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2140" yWindow="-340" windowWidth="53480" windowHeight="280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8">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7" applyAlignment="1" pivotButton="0" quotePrefix="0" xfId="0">
      <alignment horizontal="center" wrapText="1"/>
    </xf>
    <xf numFmtId="0" fontId="0" fillId="3" borderId="8" applyAlignment="1" pivotButton="0" quotePrefix="0" xfId="0">
      <alignment horizontal="center" wrapText="1"/>
    </xf>
    <xf numFmtId="0" fontId="0" fillId="3" borderId="9" applyAlignment="1" pivotButton="0" quotePrefix="0" xfId="0">
      <alignment horizontal="center" wrapText="1"/>
    </xf>
    <xf numFmtId="14" fontId="0" fillId="2" borderId="6" applyAlignment="1" pivotButton="0" quotePrefix="0" xfId="0">
      <alignment horizontal="center"/>
    </xf>
    <xf numFmtId="0" fontId="0" fillId="2" borderId="6"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6" applyAlignment="1" pivotButton="0" quotePrefix="0" xfId="0">
      <alignment horizontal="center"/>
    </xf>
    <xf numFmtId="0" fontId="12" fillId="3" borderId="10" applyAlignment="1" pivotButton="0" quotePrefix="0" xfId="0">
      <alignment horizontal="center"/>
    </xf>
    <xf numFmtId="164" fontId="12" fillId="3" borderId="11" applyAlignment="1" pivotButton="0" quotePrefix="0" xfId="0">
      <alignment horizontal="center"/>
    </xf>
    <xf numFmtId="0" fontId="12" fillId="3" borderId="8" applyAlignment="1" pivotButton="0" quotePrefix="0" xfId="0">
      <alignment horizontal="center"/>
    </xf>
    <xf numFmtId="165" fontId="12" fillId="3" borderId="9" applyAlignment="1" pivotButton="0" quotePrefix="0" xfId="0">
      <alignment horizontal="center"/>
    </xf>
    <xf numFmtId="17" fontId="9" fillId="2" borderId="6" applyAlignment="1" pivotButton="0" quotePrefix="0" xfId="0">
      <alignment horizontal="center" vertical="top" wrapText="1"/>
    </xf>
    <xf numFmtId="10" fontId="0" fillId="2" borderId="6" applyAlignment="1" pivotButton="0" quotePrefix="0" xfId="0">
      <alignment horizontal="center"/>
    </xf>
    <xf numFmtId="17" fontId="11" fillId="2" borderId="6"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6" applyAlignment="1" pivotButton="0" quotePrefix="0" xfId="0">
      <alignment horizontal="center" wrapText="1"/>
    </xf>
    <xf numFmtId="0" fontId="0" fillId="2" borderId="8" applyAlignment="1" pivotButton="0" quotePrefix="0" xfId="0">
      <alignment horizontal="center"/>
    </xf>
    <xf numFmtId="0" fontId="0" fillId="2" borderId="9" applyAlignment="1" pivotButton="0" quotePrefix="0" xfId="0">
      <alignment horizontal="center"/>
    </xf>
    <xf numFmtId="0" fontId="0" fillId="2" borderId="12" applyAlignment="1" pivotButton="0" quotePrefix="0" xfId="0">
      <alignment horizontal="center"/>
    </xf>
    <xf numFmtId="0" fontId="0" fillId="2" borderId="13" applyAlignment="1" pivotButton="0" quotePrefix="0" xfId="0">
      <alignment horizontal="center"/>
    </xf>
    <xf numFmtId="0" fontId="0" fillId="2" borderId="1" applyAlignment="1" pivotButton="0" quotePrefix="0" xfId="0">
      <alignment horizontal="center"/>
    </xf>
    <xf numFmtId="0" fontId="0" fillId="2" borderId="15" applyAlignment="1" pivotButton="0" quotePrefix="0" xfId="0">
      <alignment horizontal="center"/>
    </xf>
    <xf numFmtId="0" fontId="0" fillId="2" borderId="7" applyAlignment="1" pivotButton="0" quotePrefix="0" xfId="0">
      <alignment horizontal="center"/>
    </xf>
    <xf numFmtId="0" fontId="0" fillId="2" borderId="14" applyAlignment="1" pivotButton="0" quotePrefix="0" xfId="0">
      <alignment horizontal="center"/>
    </xf>
    <xf numFmtId="0" fontId="3" fillId="2" borderId="16" pivotButton="0" quotePrefix="0" xfId="0"/>
    <xf numFmtId="0" fontId="3" fillId="2" borderId="18" pivotButton="0" quotePrefix="0" xfId="0"/>
    <xf numFmtId="0" fontId="3" fillId="2" borderId="17" pivotButton="0" quotePrefix="0" xfId="0"/>
    <xf numFmtId="14" fontId="13" fillId="2" borderId="16" applyAlignment="1" pivotButton="0" quotePrefix="0" xfId="0">
      <alignment horizontal="center"/>
    </xf>
    <xf numFmtId="0" fontId="3" fillId="2" borderId="8" applyAlignment="1" pivotButton="0" quotePrefix="0" xfId="0">
      <alignment horizontal="center"/>
    </xf>
    <xf numFmtId="0" fontId="3" fillId="2" borderId="9" applyAlignment="1" pivotButton="0" quotePrefix="0" xfId="0">
      <alignment horizontal="center"/>
    </xf>
    <xf numFmtId="0" fontId="3" fillId="2" borderId="7" applyAlignment="1" pivotButton="0" quotePrefix="0" xfId="0">
      <alignment horizontal="center"/>
    </xf>
    <xf numFmtId="0" fontId="3" fillId="2" borderId="17" applyAlignment="1" pivotButton="0" quotePrefix="0" xfId="0">
      <alignment horizontal="center"/>
    </xf>
    <xf numFmtId="0" fontId="3" fillId="2" borderId="0" applyAlignment="1" pivotButton="0" quotePrefix="0" xfId="0">
      <alignment horizontal="center"/>
    </xf>
    <xf numFmtId="0" fontId="3" fillId="2" borderId="13" applyAlignment="1" pivotButton="0" quotePrefix="0" xfId="0">
      <alignment horizontal="center"/>
    </xf>
    <xf numFmtId="0" fontId="3" fillId="2" borderId="12"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9" applyAlignment="1" pivotButton="0" quotePrefix="0" xfId="0">
      <alignment horizontal="center"/>
    </xf>
    <xf numFmtId="0" fontId="0" fillId="0" borderId="2" pivotButton="0" quotePrefix="0" xfId="0"/>
    <xf numFmtId="0" fontId="0" fillId="0" borderId="3" pivotButton="0" quotePrefix="0" xfId="0"/>
    <xf numFmtId="0" fontId="3" fillId="4" borderId="6" applyAlignment="1" pivotButton="0" quotePrefix="0" xfId="0">
      <alignment horizontal="center"/>
    </xf>
    <xf numFmtId="0" fontId="0" fillId="0" borderId="4" pivotButton="0" quotePrefix="0" xfId="0"/>
    <xf numFmtId="0" fontId="0" fillId="0" borderId="5"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8" fontId="0" fillId="0" borderId="0" pivotButton="0" quotePrefix="0" xfId="0"/>
  </cellXfs>
  <cellStyles count="4">
    <cellStyle name="Normal" xfId="0" builtinId="0"/>
    <cellStyle name="Per cent" xfId="1" builtinId="5"/>
    <cellStyle name="Hyperlink" xfId="2" builtinId="8"/>
    <cellStyle name="Normal 3" xfId="3"/>
  </cellStyles>
  <dxfs count="25">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7"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UMCSI!$A$7:$A$270</f>
              <numCache>
                <formatCode>m/d/yy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UMCSI!$B$7:$B$270</f>
              <numCache>
                <formatCode>General</formatCode>
                <ptCount val="264"/>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UMCSI!$A$7:$A$270</f>
              <numCache>
                <formatCode>m/d/yy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UMCSI!$B$7:$B$270</f>
              <numCache>
                <formatCode>General</formatCode>
                <ptCount val="264"/>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UMCSI!$A$7:$A$270</f>
              <numCache>
                <formatCode>m/d/yy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UMCSI!$C$7:$C$270</f>
              <numCache>
                <formatCode>General</formatCode>
                <ptCount val="264"/>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UMCSI!$A$7:$A$270</f>
              <numCache>
                <formatCode>m/d/yy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UMCSI!$D$7:$D$270</f>
              <numCache>
                <formatCode>General</formatCode>
                <ptCount val="264"/>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UMCSI!$A$7:$A$270</f>
              <numCache>
                <formatCode>m/d/yy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UMCSI!$C$7:$C$270</f>
              <numCache>
                <formatCode>General</formatCode>
                <ptCount val="264"/>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UMCSI!$A$7:$A$270</f>
              <numCache>
                <formatCode>m/d/yy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UMCSI!$B$7:$B$270</f>
              <numCache>
                <formatCode>General</formatCode>
                <ptCount val="264"/>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UMCSI!$A$7:$A$270</f>
              <numCache>
                <formatCode>m/d/yy</formatCode>
                <ptCount val="26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UMCSI!$D$7:$D$270</f>
              <numCache>
                <formatCode>General</formatCode>
                <ptCount val="264"/>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GDP'!$A$7:$A$534</f>
              <numCache>
                <formatCode>mmm\-yy</formatCode>
                <ptCount val="528"/>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numCache>
            </numRef>
          </cat>
          <val>
            <numRef>
              <f>'UMCSI vs GDP'!$C$7:$C$534</f>
              <numCache>
                <formatCode>0.00%</formatCode>
                <ptCount val="528"/>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v>
                </pt>
                <pt idx="526">
                  <v>0</v>
                </pt>
                <pt idx="527">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GDP'!$A$7:$A$534</f>
              <numCache>
                <formatCode>mmm\-yy</formatCode>
                <ptCount val="528"/>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numCache>
            </numRef>
          </cat>
          <val>
            <numRef>
              <f>'UMCSI vs GDP'!$B$7:$B$534</f>
              <numCache>
                <formatCode>0.0</formatCode>
                <ptCount val="528"/>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GDP'!$A$7:$A$534</f>
              <numCache>
                <formatCode>mmm\-yy</formatCode>
                <ptCount val="528"/>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numCache>
            </numRef>
          </cat>
          <val>
            <numRef>
              <f>'UMCSI vs GDP'!$D$7:$D$534</f>
              <numCache>
                <formatCode>0.00%</formatCode>
                <ptCount val="528"/>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v>
                </pt>
                <pt idx="526">
                  <v>0</v>
                </pt>
                <pt idx="527">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GDP'!$A$7:$A$534</f>
              <numCache>
                <formatCode>mmm\-yy</formatCode>
                <ptCount val="528"/>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numCache>
            </numRef>
          </cat>
          <val>
            <numRef>
              <f>'UMCSI vs GDP'!$B$7:$B$534</f>
              <numCache>
                <formatCode>0.0</formatCode>
                <ptCount val="528"/>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13</col>
      <colOff>19049</colOff>
      <row>1</row>
      <rowOff>9525</rowOff>
    </from>
    <to>
      <col>18</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5</col>
      <colOff>95249</colOff>
      <row>208</row>
      <rowOff>57150</rowOff>
    </from>
    <to>
      <col>14</col>
      <colOff>76200</colOff>
      <row>225</row>
      <rowOff>9526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104776</colOff>
      <row>226</row>
      <rowOff>9525</rowOff>
    </from>
    <to>
      <col>20</col>
      <colOff>200026</colOff>
      <row>242</row>
      <rowOff>152401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5</col>
      <colOff>514350</colOff>
      <row>226</row>
      <rowOff>9525</rowOff>
    </from>
    <to>
      <col>13</col>
      <colOff>0</colOff>
      <row>242</row>
      <rowOff>152401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20</col>
      <colOff>342900</colOff>
      <row>226</row>
      <rowOff>0</rowOff>
    </from>
    <to>
      <col>27</col>
      <colOff>438150</colOff>
      <row>242</row>
      <rowOff>142876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590550</colOff>
      <row>469</row>
      <rowOff>76199</rowOff>
    </from>
    <to>
      <col>13</col>
      <colOff>438149</colOff>
      <row>489</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14287</colOff>
      <row>490</row>
      <rowOff>28581</rowOff>
    </from>
    <to>
      <col>13</col>
      <colOff>200025</colOff>
      <row>509</row>
      <rowOff>85725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4" headerRowCount="1" totalsRowShown="0" headerRowDxfId="22" dataDxfId="21">
  <autoFilter ref="A9:F764"/>
  <tableColumns count="6">
    <tableColumn id="1" name="Date" dataDxfId="20"/>
    <tableColumn id="2" name="Conference Board Leading Indicator" dataDxfId="19"/>
    <tableColumn id="3" name="Var y/y %" dataDxfId="18"/>
    <tableColumn id="4" name="GDP y/y %" dataDxfId="17"/>
    <tableColumn id="5" name="S&amp;P 500" dataDxfId="16"/>
    <tableColumn id="6" name="S&amp;P y/y %" dataDxfId="15"/>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0" headerRowCount="1" totalsRowShown="0" headerRowDxfId="14" dataDxfId="12" headerRowBorderDxfId="13">
  <autoFilter ref="A6:D270"/>
  <sortState ref="A7:D224">
    <sortCondition ref="A7:A224"/>
  </sortState>
  <tableColumns count="4">
    <tableColumn id="1" name="Date" dataDxfId="11"/>
    <tableColumn id="2" name="UMCSI" dataDxfId="10">
      <calculatedColumnFormula>VLOOKUP(Table2[[#This Row],[Date]],'DB LEI'!$A:$F,5)</calculatedColumnFormula>
    </tableColumn>
    <tableColumn id="3" name="Mich Current Index" dataDxfId="9">
      <calculatedColumnFormula>VLOOKUP(Table2[[#This Row],[Date]],'DB LEI'!$A:$F,5)</calculatedColumnFormula>
    </tableColumn>
    <tableColumn id="4"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4" headerRowCount="1" totalsRowShown="0" headerRowDxfId="7" dataDxfId="5" headerRowBorderDxfId="6" tableBorderDxfId="4">
  <autoFilter ref="A6:D534"/>
  <sortState ref="A7:D385">
    <sortCondition ref="B15:B512"/>
  </sortState>
  <tableColumns count="4">
    <tableColumn id="1" name="Date" dataDxfId="3"/>
    <tableColumn id="2" name="UMCSI" dataDxfId="2">
      <calculatedColumnFormula>VLOOKUP(Table48[[#This Row],[Date]],'DB LEI'!$A:$F,5)</calculatedColumnFormula>
    </tableColumn>
    <tableColumn id="3" name="GDP yoy %" dataDxfId="1">
      <calculatedColumnFormula>IF(VLOOKUP(Table48[[#This Row],[Date]],'DB LEI'!$A:$I,9)=0,"",VLOOKUP(Table48[[#This Row],[Date]],'DB LEI'!$A:$I,9))</calculatedColumnFormula>
    </tableColumn>
    <tableColumn id="4" name="GDP q0q %" dataDxfId="0">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23"/>
  <sheetViews>
    <sheetView tabSelected="1" zoomScale="160" zoomScaleNormal="160" workbookViewId="0">
      <selection activeCell="O35" sqref="O35"/>
    </sheetView>
  </sheetViews>
  <sheetFormatPr baseColWidth="10" defaultColWidth="9.1640625" defaultRowHeight="15"/>
  <cols>
    <col width="9.1640625" customWidth="1" style="55" min="1" max="1"/>
    <col width="12.83203125" customWidth="1" style="55" min="2" max="10"/>
    <col width="3.33203125" customWidth="1" style="55" min="11" max="13"/>
    <col width="21.33203125" customWidth="1" style="55" min="14" max="14"/>
    <col width="10.6640625" bestFit="1" customWidth="1" style="55" min="15" max="16"/>
    <col width="9.1640625" customWidth="1" style="55" min="17" max="26"/>
    <col width="9.1640625" customWidth="1" style="55" min="27" max="16384"/>
  </cols>
  <sheetData>
    <row r="1">
      <c r="B1" s="54" t="n"/>
    </row>
    <row r="2" ht="16" customHeight="1" thickBot="1">
      <c r="B2" s="56" t="n"/>
      <c r="C2" s="56" t="n"/>
      <c r="D2" s="56" t="n"/>
      <c r="E2" s="56" t="n"/>
      <c r="F2" s="56" t="n"/>
      <c r="G2" s="56" t="n"/>
      <c r="H2" s="56" t="n"/>
      <c r="I2" s="56" t="n"/>
      <c r="J2" s="56" t="n"/>
    </row>
    <row r="3" ht="16" customHeight="1" thickBot="1">
      <c r="B3" s="57" t="inlineStr">
        <is>
          <t>Consumer Confidence</t>
        </is>
      </c>
      <c r="C3" s="58" t="n"/>
      <c r="D3" s="58" t="n"/>
      <c r="E3" s="58" t="n"/>
      <c r="F3" s="58" t="n"/>
      <c r="G3" s="58" t="n"/>
      <c r="H3" s="58" t="n"/>
      <c r="I3" s="58" t="n"/>
      <c r="J3" s="59" t="n"/>
    </row>
    <row r="5">
      <c r="B5" s="60" t="inlineStr">
        <is>
          <t>Definition</t>
        </is>
      </c>
      <c r="C5" s="61" t="n"/>
      <c r="D5" s="61" t="n"/>
      <c r="E5" s="61" t="n"/>
      <c r="F5" s="61" t="n"/>
      <c r="G5" s="61" t="n"/>
      <c r="H5" s="61" t="n"/>
      <c r="I5" s="61" t="n"/>
      <c r="J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P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1" t="n"/>
      <c r="J10" s="62" t="n"/>
      <c r="N10" s="60" t="inlineStr">
        <is>
          <t>Summary</t>
        </is>
      </c>
      <c r="O10" s="61" t="n"/>
      <c r="P10" s="61" t="n"/>
      <c r="Q10" s="61" t="n"/>
      <c r="R10" s="61" t="n"/>
      <c r="S10" s="62" t="n"/>
    </row>
    <row r="12">
      <c r="B12" s="60" t="inlineStr">
        <is>
          <t>TO DO LIST</t>
        </is>
      </c>
      <c r="C12" s="61" t="n"/>
      <c r="D12" s="61" t="n"/>
      <c r="E12" s="61" t="n"/>
      <c r="F12" s="62" t="n"/>
      <c r="G12" s="60" t="inlineStr">
        <is>
          <t>Comments</t>
        </is>
      </c>
      <c r="H12" s="61" t="n"/>
      <c r="I12" s="61" t="n"/>
      <c r="J12" s="62" t="n"/>
    </row>
    <row r="13" ht="19.5" customHeight="1" thickBot="1"/>
    <row r="14" ht="19.5" customHeight="1">
      <c r="B14" s="64" t="inlineStr">
        <is>
          <t>https://www.conference-board.org/data/bcicountry.cfm?cid=1</t>
        </is>
      </c>
      <c r="G14" s="55" t="inlineStr">
        <is>
          <t>Conference Board</t>
        </is>
      </c>
      <c r="O14" s="40" t="n">
        <v>44531</v>
      </c>
      <c r="P14" s="41" t="inlineStr">
        <is>
          <t>mom</t>
        </is>
      </c>
      <c r="Q14" s="42" t="n"/>
      <c r="R14" s="43" t="inlineStr">
        <is>
          <t>yoy</t>
        </is>
      </c>
      <c r="S14" s="42" t="n"/>
    </row>
    <row r="15" ht="19.5" customHeight="1" thickBot="1">
      <c r="G15" s="55" t="n"/>
      <c r="O15" s="44" t="inlineStr">
        <is>
          <t>Last</t>
        </is>
      </c>
      <c r="P15" s="45" t="inlineStr">
        <is>
          <t>Last</t>
        </is>
      </c>
      <c r="Q15" s="46" t="inlineStr">
        <is>
          <t>Var.</t>
        </is>
      </c>
      <c r="R15" s="47" t="inlineStr">
        <is>
          <t>Last</t>
        </is>
      </c>
      <c r="S15" s="46" t="inlineStr">
        <is>
          <t>Var.</t>
        </is>
      </c>
    </row>
    <row r="16" ht="19.5" customHeight="1">
      <c r="B16" s="27" t="inlineStr">
        <is>
          <t>http://www.sca.isr.umich.edu/tables.html</t>
        </is>
      </c>
      <c r="G16" s="55" t="inlineStr">
        <is>
          <t>UMCSI</t>
        </is>
      </c>
      <c r="N16" s="37" t="inlineStr">
        <is>
          <t>UMCSI</t>
        </is>
      </c>
      <c r="O16" s="35">
        <f>VLOOKUP(O14,UMCSI!A:D,2,)</f>
        <v/>
      </c>
      <c r="P16" s="29">
        <f>VLOOKUP(DATE(YEAR($O$14),MONTH($O$14)-1,DAY($O$14)),UMCSI!$A:$D,2,)</f>
        <v/>
      </c>
      <c r="Q16" s="29">
        <f>O16-P16</f>
        <v/>
      </c>
      <c r="R16" s="29">
        <f>VLOOKUP(DATE(YEAR($O$14)-1,MONTH($O$14),DAY($O$14)),UMCSI!$A:$D,2,)</f>
        <v/>
      </c>
      <c r="S16" s="30">
        <f>O16-R16</f>
        <v/>
      </c>
    </row>
    <row r="17" ht="19.5" customHeight="1">
      <c r="B17" s="27" t="inlineStr">
        <is>
          <t>https://fred.stlouisfed.org/series/GDPC1</t>
        </is>
      </c>
      <c r="G17" s="65" t="inlineStr">
        <is>
          <t>Real Gross Domestic Product</t>
        </is>
      </c>
      <c r="N17" s="38" t="inlineStr">
        <is>
          <t>Current Index</t>
        </is>
      </c>
      <c r="O17" s="31">
        <f>VLOOKUP(O14,UMCSI!A:D,3,)</f>
        <v/>
      </c>
      <c r="P17" s="16">
        <f>VLOOKUP(DATE(YEAR($O$14),MONTH($O$14)-1,DAY($O$14)),UMCSI!$A:$D,3,)</f>
        <v/>
      </c>
      <c r="Q17" s="16">
        <f>O17-P17</f>
        <v/>
      </c>
      <c r="R17" s="16">
        <f>VLOOKUP(DATE(YEAR($O$14)-1,MONTH($O$14),DAY($O$14)),UMCSI!$A:$D,3,)</f>
        <v/>
      </c>
      <c r="S17" s="32">
        <f>O17-R17</f>
        <v/>
      </c>
    </row>
    <row r="18" ht="19.5" customHeight="1" thickBot="1">
      <c r="B18" s="8" t="n"/>
      <c r="G18" s="65" t="n"/>
      <c r="N18" s="39" t="inlineStr">
        <is>
          <t>Expected Index</t>
        </is>
      </c>
      <c r="O18" s="36">
        <f>VLOOKUP(O14,UMCSI!A:D,4,)</f>
        <v/>
      </c>
      <c r="P18" s="33">
        <f>VLOOKUP(DATE(YEAR($O$14),MONTH($O$14)-1,DAY($O$14)),UMCSI!$A:$D,4,)</f>
        <v/>
      </c>
      <c r="Q18" s="33">
        <f>O18-P18</f>
        <v/>
      </c>
      <c r="R18" s="33">
        <f>VLOOKUP(DATE(YEAR($O$14)-1,MONTH($O$14),DAY($O$14)),UMCSI!$A:$D,4,)</f>
        <v/>
      </c>
      <c r="S18" s="34">
        <f>O18-R18</f>
        <v/>
      </c>
    </row>
    <row r="21">
      <c r="B21" s="9" t="n"/>
    </row>
    <row r="22" ht="30" customHeight="1">
      <c r="B22" s="66" t="n"/>
    </row>
    <row r="23">
      <c r="B23" s="10" t="n"/>
    </row>
  </sheetData>
  <mergeCells count="15">
    <mergeCell ref="G18:J18"/>
    <mergeCell ref="B22:J22"/>
    <mergeCell ref="N10:S10"/>
    <mergeCell ref="B12:F12"/>
    <mergeCell ref="G12:J12"/>
    <mergeCell ref="G14:J14"/>
    <mergeCell ref="G15:J15"/>
    <mergeCell ref="G16:J16"/>
    <mergeCell ref="G17:J17"/>
    <mergeCell ref="B10:J10"/>
    <mergeCell ref="B1:J2"/>
    <mergeCell ref="B3:J3"/>
    <mergeCell ref="B5:J5"/>
    <mergeCell ref="B7:J7"/>
    <mergeCell ref="B8:J8"/>
  </mergeCells>
  <conditionalFormatting sqref="Q16:Q18 S16:S18">
    <cfRule type="cellIs" priority="3" operator="lessThan" dxfId="24">
      <formula>0</formula>
    </cfRule>
    <cfRule type="cellIs" priority="4" operator="greaterThan" dxfId="23">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I750"/>
  <sheetViews>
    <sheetView topLeftCell="A704" workbookViewId="0">
      <selection activeCell="I768" sqref="I768"/>
    </sheetView>
  </sheetViews>
  <sheetFormatPr baseColWidth="10" defaultRowHeight="15"/>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row>
    <row r="2">
      <c r="A2" s="67" t="n">
        <v>17168</v>
      </c>
      <c r="B2" t="n">
        <v/>
      </c>
      <c r="C2" t="n">
        <v/>
      </c>
      <c r="D2" t="n">
        <v/>
      </c>
      <c r="E2" t="n">
        <v/>
      </c>
      <c r="F2" t="n">
        <v/>
      </c>
      <c r="G2" t="n">
        <v>2034.45</v>
      </c>
      <c r="H2" t="n">
        <v/>
      </c>
      <c r="I2" t="n">
        <v/>
      </c>
    </row>
    <row r="3">
      <c r="A3" s="67" t="n">
        <v>17258</v>
      </c>
      <c r="B3" t="n">
        <v/>
      </c>
      <c r="C3" t="n">
        <v/>
      </c>
      <c r="D3" t="n">
        <v/>
      </c>
      <c r="E3" t="n">
        <v/>
      </c>
      <c r="F3" t="n">
        <v/>
      </c>
      <c r="G3" t="n">
        <v>2029.024</v>
      </c>
      <c r="H3" t="n">
        <v>-0.00267419212389807</v>
      </c>
      <c r="I3" t="n">
        <v/>
      </c>
    </row>
    <row r="4">
      <c r="A4" s="67" t="n">
        <v>17349</v>
      </c>
      <c r="B4" t="n">
        <v/>
      </c>
      <c r="C4" t="n">
        <v/>
      </c>
      <c r="D4" t="n">
        <v/>
      </c>
      <c r="E4" t="n">
        <v/>
      </c>
      <c r="F4" t="n">
        <v/>
      </c>
      <c r="G4" t="n">
        <v>2024.834</v>
      </c>
      <c r="H4" t="n">
        <v>-0.002069305434420712</v>
      </c>
      <c r="I4" t="n">
        <v/>
      </c>
    </row>
    <row r="5">
      <c r="A5" s="67" t="n">
        <v>17441</v>
      </c>
      <c r="B5" t="n">
        <v/>
      </c>
      <c r="C5" t="n">
        <v/>
      </c>
      <c r="D5" t="n">
        <v/>
      </c>
      <c r="E5" t="n">
        <v/>
      </c>
      <c r="F5" t="n">
        <v/>
      </c>
      <c r="G5" t="n">
        <v>2056.508</v>
      </c>
      <c r="H5" t="n">
        <v>0.01540183651121209</v>
      </c>
      <c r="I5" t="n">
        <v/>
      </c>
    </row>
    <row r="6">
      <c r="A6" s="67" t="n">
        <v>17533</v>
      </c>
      <c r="B6" t="n">
        <v/>
      </c>
      <c r="C6" t="n">
        <v/>
      </c>
      <c r="D6" t="n">
        <v/>
      </c>
      <c r="E6" t="n">
        <v/>
      </c>
      <c r="F6" t="n">
        <v/>
      </c>
      <c r="G6" t="n">
        <v>2087.442</v>
      </c>
      <c r="H6" t="n">
        <v>0.01481909437483781</v>
      </c>
      <c r="I6" t="n">
        <v>0.02538609455975302</v>
      </c>
    </row>
    <row r="7">
      <c r="A7" s="67" t="n">
        <v>17624</v>
      </c>
      <c r="B7" t="n">
        <v/>
      </c>
      <c r="C7" t="n">
        <v/>
      </c>
      <c r="D7" t="n">
        <v/>
      </c>
      <c r="E7" t="n">
        <v/>
      </c>
      <c r="F7" t="n">
        <v/>
      </c>
      <c r="G7" t="n">
        <v>2121.899</v>
      </c>
      <c r="H7" t="n">
        <v>0.01623875594455716</v>
      </c>
      <c r="I7" t="n">
        <v>0.04376975529938042</v>
      </c>
    </row>
    <row r="8">
      <c r="A8" s="67" t="n">
        <v>17715</v>
      </c>
      <c r="B8" t="n">
        <v/>
      </c>
      <c r="C8" t="n">
        <v/>
      </c>
      <c r="D8" t="n">
        <v/>
      </c>
      <c r="E8" t="n">
        <v/>
      </c>
      <c r="F8" t="n">
        <v/>
      </c>
      <c r="G8" t="n">
        <v>2134.056</v>
      </c>
      <c r="H8" t="n">
        <v>0.005696664005068354</v>
      </c>
      <c r="I8" t="n">
        <v>0.0511804751140551</v>
      </c>
    </row>
    <row r="9">
      <c r="A9" s="67" t="n">
        <v>17807</v>
      </c>
      <c r="B9" t="n">
        <v/>
      </c>
      <c r="C9" t="n">
        <v/>
      </c>
      <c r="D9" t="n">
        <v/>
      </c>
      <c r="E9" t="n">
        <v/>
      </c>
      <c r="F9" t="n">
        <v/>
      </c>
      <c r="G9" t="n">
        <v>2136.44</v>
      </c>
      <c r="H9" t="n">
        <v>0.001115875007021032</v>
      </c>
      <c r="I9" t="n">
        <v>0.0374136413847336</v>
      </c>
    </row>
    <row r="10">
      <c r="A10" s="67" t="n">
        <v>17899</v>
      </c>
      <c r="B10" t="n">
        <v/>
      </c>
      <c r="C10" t="n">
        <v/>
      </c>
      <c r="D10" t="n">
        <v/>
      </c>
      <c r="E10" t="n">
        <v/>
      </c>
      <c r="F10" t="n">
        <v/>
      </c>
      <c r="G10" t="n">
        <v>2107.001</v>
      </c>
      <c r="H10" t="n">
        <v>-0.01397199147034095</v>
      </c>
      <c r="I10" t="n">
        <v>0.00928286222930136</v>
      </c>
    </row>
    <row r="11">
      <c r="A11" s="67" t="n">
        <v>17989</v>
      </c>
      <c r="B11" t="n">
        <v/>
      </c>
      <c r="C11" t="n">
        <v/>
      </c>
      <c r="D11" t="n">
        <v/>
      </c>
      <c r="E11" t="n">
        <v/>
      </c>
      <c r="F11" t="n">
        <v/>
      </c>
      <c r="G11" t="n">
        <v>2099.814</v>
      </c>
      <c r="H11" t="n">
        <v>-0.003422684104401796</v>
      </c>
      <c r="I11" t="n">
        <v>-0.01051759822536665</v>
      </c>
    </row>
    <row r="12">
      <c r="A12" s="67" t="n">
        <v>18080</v>
      </c>
      <c r="B12" t="n">
        <v/>
      </c>
      <c r="C12" t="n">
        <v/>
      </c>
      <c r="D12" t="n">
        <v/>
      </c>
      <c r="E12" t="n">
        <v/>
      </c>
      <c r="F12" t="n">
        <v/>
      </c>
      <c r="G12" t="n">
        <v>2121.493</v>
      </c>
      <c r="H12" t="n">
        <v>0.01021874689192945</v>
      </c>
      <c r="I12" t="n">
        <v>-0.00592177301551318</v>
      </c>
    </row>
    <row r="13">
      <c r="A13" s="67" t="n">
        <v>18172</v>
      </c>
      <c r="B13" t="n">
        <v/>
      </c>
      <c r="C13" t="n">
        <v/>
      </c>
      <c r="D13" t="n">
        <v/>
      </c>
      <c r="E13" t="n">
        <v/>
      </c>
      <c r="F13" t="n">
        <v/>
      </c>
      <c r="G13" t="n">
        <v>2103.688</v>
      </c>
      <c r="H13" t="n">
        <v>-0.008463707545985829</v>
      </c>
      <c r="I13" t="n">
        <v>-0.01556884861253187</v>
      </c>
    </row>
    <row r="14">
      <c r="A14" s="67" t="n">
        <v>18264</v>
      </c>
      <c r="B14" t="n">
        <v/>
      </c>
      <c r="C14" t="n">
        <v/>
      </c>
      <c r="D14" t="n">
        <v/>
      </c>
      <c r="E14" t="n">
        <v/>
      </c>
      <c r="F14" t="n">
        <v/>
      </c>
      <c r="G14" t="n">
        <v>2186.365</v>
      </c>
      <c r="H14" t="n">
        <v>0.03781482048971681</v>
      </c>
      <c r="I14" t="n">
        <v>0.03629951997950918</v>
      </c>
    </row>
    <row r="15">
      <c r="A15" s="67" t="n">
        <v>18354</v>
      </c>
      <c r="B15" t="n">
        <v/>
      </c>
      <c r="C15" t="n">
        <v/>
      </c>
      <c r="D15" t="n">
        <v/>
      </c>
      <c r="E15" t="n">
        <v/>
      </c>
      <c r="F15" t="n">
        <v/>
      </c>
      <c r="G15" t="n">
        <v>2253.045</v>
      </c>
      <c r="H15" t="n">
        <v>0.02959550297486304</v>
      </c>
      <c r="I15" t="n">
        <v>0.06801062561999437</v>
      </c>
    </row>
    <row r="16">
      <c r="A16" s="67" t="n">
        <v>18445</v>
      </c>
      <c r="B16" t="n">
        <v/>
      </c>
      <c r="C16" t="n">
        <v/>
      </c>
      <c r="D16" t="n">
        <v/>
      </c>
      <c r="E16" t="n">
        <v/>
      </c>
      <c r="F16" t="n">
        <v/>
      </c>
      <c r="G16" t="n">
        <v>2340.112</v>
      </c>
      <c r="H16" t="n">
        <v>0.03720633884190159</v>
      </c>
      <c r="I16" t="n">
        <v>0.09342245157496741</v>
      </c>
    </row>
    <row r="17">
      <c r="A17" s="67" t="n">
        <v>18537</v>
      </c>
      <c r="B17" t="n">
        <v/>
      </c>
      <c r="C17" t="n">
        <v/>
      </c>
      <c r="D17" t="n">
        <v/>
      </c>
      <c r="E17" t="n">
        <v/>
      </c>
      <c r="F17" t="n">
        <v/>
      </c>
      <c r="G17" t="n">
        <v>2384.92</v>
      </c>
      <c r="H17" t="n">
        <v>0.01878805159082904</v>
      </c>
      <c r="I17" t="n">
        <v>0.1179209365513308</v>
      </c>
    </row>
    <row r="18">
      <c r="A18" s="67" t="n">
        <v>18629</v>
      </c>
      <c r="B18" t="n">
        <v/>
      </c>
      <c r="C18" t="n">
        <v/>
      </c>
      <c r="D18" t="n">
        <v/>
      </c>
      <c r="E18" t="n">
        <v/>
      </c>
      <c r="F18" t="n">
        <v/>
      </c>
      <c r="G18" t="n">
        <v>2417.311</v>
      </c>
      <c r="H18" t="n">
        <v>0.01339959980325249</v>
      </c>
      <c r="I18" t="n">
        <v>0.09553838955765326</v>
      </c>
    </row>
    <row r="19">
      <c r="A19" s="67" t="n">
        <v>18660</v>
      </c>
      <c r="B19" t="n">
        <v/>
      </c>
      <c r="C19" t="n">
        <v/>
      </c>
      <c r="D19" t="n">
        <v/>
      </c>
      <c r="E19" t="n">
        <v>67.7</v>
      </c>
      <c r="F19" t="n">
        <v/>
      </c>
      <c r="G19" t="n">
        <v/>
      </c>
      <c r="H19" t="n">
        <v/>
      </c>
      <c r="I19" t="n">
        <v/>
      </c>
    </row>
    <row r="20">
      <c r="A20" s="67" t="n">
        <v>18719</v>
      </c>
      <c r="B20" t="n">
        <v/>
      </c>
      <c r="C20" t="n">
        <v/>
      </c>
      <c r="D20" t="n">
        <v/>
      </c>
      <c r="E20" t="n">
        <v/>
      </c>
      <c r="F20" t="n">
        <v/>
      </c>
      <c r="G20" t="n">
        <v>2459.196</v>
      </c>
      <c r="H20" t="n">
        <v>0.01703198931683354</v>
      </c>
      <c r="I20" t="n">
        <v>0.08382861715780274</v>
      </c>
    </row>
    <row r="21">
      <c r="A21" s="67" t="n">
        <v>18749</v>
      </c>
      <c r="B21" t="n">
        <v/>
      </c>
      <c r="C21" t="n">
        <v/>
      </c>
      <c r="D21" t="n">
        <v/>
      </c>
      <c r="E21" t="n">
        <v>60.2</v>
      </c>
      <c r="F21" t="n">
        <v/>
      </c>
      <c r="G21" t="n">
        <v/>
      </c>
      <c r="H21" t="n">
        <v/>
      </c>
      <c r="I21" t="n">
        <v/>
      </c>
    </row>
    <row r="22">
      <c r="A22" s="67" t="n">
        <v>18810</v>
      </c>
      <c r="B22" t="n">
        <v/>
      </c>
      <c r="C22" t="n">
        <v/>
      </c>
      <c r="D22" t="n">
        <v/>
      </c>
      <c r="E22" t="n">
        <v/>
      </c>
      <c r="F22" t="n">
        <v/>
      </c>
      <c r="G22" t="n">
        <v>2509.88</v>
      </c>
      <c r="H22" t="n">
        <v>0.02019379412561564</v>
      </c>
      <c r="I22" t="n">
        <v>0.06763988716592029</v>
      </c>
    </row>
    <row r="23">
      <c r="A23" s="67" t="n">
        <v>18902</v>
      </c>
      <c r="B23" t="n">
        <v/>
      </c>
      <c r="C23" t="n">
        <v/>
      </c>
      <c r="D23" t="n">
        <v/>
      </c>
      <c r="E23" t="n">
        <v/>
      </c>
      <c r="F23" t="n">
        <v/>
      </c>
      <c r="G23" t="n">
        <v>2515.408</v>
      </c>
      <c r="H23" t="n">
        <v>0.002197655410175921</v>
      </c>
      <c r="I23" t="n">
        <v>0.05187548103528328</v>
      </c>
    </row>
    <row r="24">
      <c r="A24" s="67" t="n">
        <v>18933</v>
      </c>
      <c r="B24" t="n">
        <v/>
      </c>
      <c r="C24" t="n">
        <v/>
      </c>
      <c r="D24" t="n">
        <v/>
      </c>
      <c r="E24" t="n">
        <v>63.6</v>
      </c>
      <c r="F24" t="n">
        <v/>
      </c>
      <c r="G24" t="n">
        <v/>
      </c>
      <c r="H24" t="n">
        <v/>
      </c>
      <c r="I24" t="n">
        <v/>
      </c>
    </row>
    <row r="25">
      <c r="A25" s="67" t="n">
        <v>18994</v>
      </c>
      <c r="B25" t="n">
        <v/>
      </c>
      <c r="C25" t="n">
        <v/>
      </c>
      <c r="D25" t="n">
        <v/>
      </c>
      <c r="E25" t="n">
        <v/>
      </c>
      <c r="F25" t="n">
        <v/>
      </c>
      <c r="G25" t="n">
        <v>2542.286</v>
      </c>
      <c r="H25" t="n">
        <v>0.01057237462661564</v>
      </c>
      <c r="I25" t="n">
        <v>0.04915851324359254</v>
      </c>
    </row>
    <row r="26">
      <c r="A26" s="67" t="n">
        <v>19025</v>
      </c>
      <c r="B26" t="n">
        <v/>
      </c>
      <c r="C26" t="n">
        <v/>
      </c>
      <c r="D26" t="n">
        <v/>
      </c>
      <c r="E26" t="n">
        <v>66.2</v>
      </c>
      <c r="F26" t="n">
        <v/>
      </c>
      <c r="G26" t="n">
        <v/>
      </c>
      <c r="H26" t="n">
        <v/>
      </c>
      <c r="I26" t="n">
        <v/>
      </c>
    </row>
    <row r="27">
      <c r="A27" s="67" t="n">
        <v>19085</v>
      </c>
      <c r="B27" t="n">
        <v/>
      </c>
      <c r="C27" t="n">
        <v/>
      </c>
      <c r="D27" t="n">
        <v/>
      </c>
      <c r="E27" t="n">
        <v/>
      </c>
      <c r="F27" t="n">
        <v/>
      </c>
      <c r="G27" t="n">
        <v>2547.762</v>
      </c>
      <c r="H27" t="n">
        <v>0.00214933733998706</v>
      </c>
      <c r="I27" t="n">
        <v>0.03476227371316483</v>
      </c>
    </row>
    <row r="28">
      <c r="A28" s="67" t="n">
        <v>19115</v>
      </c>
      <c r="B28" t="n">
        <v/>
      </c>
      <c r="C28" t="n">
        <v/>
      </c>
      <c r="D28" t="n">
        <v/>
      </c>
      <c r="E28" t="n">
        <v>70.40000000000001</v>
      </c>
      <c r="F28" t="n">
        <v/>
      </c>
      <c r="G28" t="n">
        <v/>
      </c>
      <c r="H28" t="n">
        <v/>
      </c>
      <c r="I28" t="n">
        <v/>
      </c>
    </row>
    <row r="29">
      <c r="A29" s="67" t="n">
        <v>19176</v>
      </c>
      <c r="B29" t="n">
        <v/>
      </c>
      <c r="C29" t="n">
        <v/>
      </c>
      <c r="D29" t="n">
        <v/>
      </c>
      <c r="E29" t="n">
        <v/>
      </c>
      <c r="F29" t="n">
        <v/>
      </c>
      <c r="G29" t="n">
        <v>2566.153</v>
      </c>
      <c r="H29" t="n">
        <v>0.007166758957864018</v>
      </c>
      <c r="I29" t="n">
        <v>0.0219289340892767</v>
      </c>
    </row>
    <row r="30">
      <c r="A30" s="67" t="n">
        <v>19268</v>
      </c>
      <c r="B30" t="n">
        <v/>
      </c>
      <c r="C30" t="n">
        <v/>
      </c>
      <c r="D30" t="n">
        <v/>
      </c>
      <c r="E30" t="n">
        <v/>
      </c>
      <c r="F30" t="n">
        <v/>
      </c>
      <c r="G30" t="n">
        <v>2650.431</v>
      </c>
      <c r="H30" t="n">
        <v>0.03179784721805633</v>
      </c>
      <c r="I30" t="n">
        <v>0.05094378989681306</v>
      </c>
    </row>
    <row r="31">
      <c r="A31" s="67" t="n">
        <v>19299</v>
      </c>
      <c r="B31" t="n">
        <v/>
      </c>
      <c r="C31" t="n">
        <v/>
      </c>
      <c r="D31" t="n">
        <v>86.2</v>
      </c>
      <c r="E31" t="n">
        <v>73.40000000000001</v>
      </c>
      <c r="F31" t="n">
        <v>92.40000000000001</v>
      </c>
      <c r="G31" t="n">
        <v/>
      </c>
      <c r="H31" t="n">
        <v/>
      </c>
      <c r="I31" t="n">
        <v/>
      </c>
    </row>
    <row r="32">
      <c r="A32" s="67" t="n">
        <v>19360</v>
      </c>
      <c r="B32" t="n">
        <v/>
      </c>
      <c r="C32" t="n">
        <v/>
      </c>
      <c r="D32" t="n">
        <v/>
      </c>
      <c r="E32" t="n">
        <v/>
      </c>
      <c r="F32" t="n">
        <v/>
      </c>
      <c r="G32" t="n">
        <v>2699.699</v>
      </c>
      <c r="H32" t="n">
        <v>0.01824944188222466</v>
      </c>
      <c r="I32" t="n">
        <v>0.05830761133000383</v>
      </c>
    </row>
    <row r="33">
      <c r="A33" s="67" t="n">
        <v>19391</v>
      </c>
      <c r="B33" t="n">
        <v/>
      </c>
      <c r="C33" t="n">
        <v/>
      </c>
      <c r="D33" t="n">
        <v>90.7</v>
      </c>
      <c r="E33" t="n">
        <v>78.7</v>
      </c>
      <c r="F33" t="n">
        <v>95.5</v>
      </c>
      <c r="G33" t="n">
        <v/>
      </c>
      <c r="H33" t="n">
        <v/>
      </c>
      <c r="I33" t="n">
        <v/>
      </c>
    </row>
    <row r="34">
      <c r="A34" s="67" t="n">
        <v>19450</v>
      </c>
      <c r="B34" t="n">
        <v/>
      </c>
      <c r="C34" t="n">
        <v/>
      </c>
      <c r="D34" t="n">
        <v/>
      </c>
      <c r="E34" t="n">
        <v/>
      </c>
      <c r="F34" t="n">
        <v/>
      </c>
      <c r="G34" t="n">
        <v>2720.566</v>
      </c>
      <c r="H34" t="n">
        <v>0.007670095119912451</v>
      </c>
      <c r="I34" t="n">
        <v>0.06351766507410578</v>
      </c>
    </row>
    <row r="35">
      <c r="A35" s="67" t="n">
        <v>19541</v>
      </c>
      <c r="B35" t="n">
        <v/>
      </c>
      <c r="C35" t="n">
        <v/>
      </c>
      <c r="D35" t="n">
        <v/>
      </c>
      <c r="E35" t="n">
        <v/>
      </c>
      <c r="F35" t="n">
        <v/>
      </c>
      <c r="G35" t="n">
        <v>2705.258</v>
      </c>
      <c r="H35" t="n">
        <v>-0.005658610010579396</v>
      </c>
      <c r="I35" t="n">
        <v>0.05142023422534931</v>
      </c>
    </row>
    <row r="36">
      <c r="A36" s="67" t="n">
        <v>19572</v>
      </c>
      <c r="B36" t="n">
        <v/>
      </c>
      <c r="C36" t="n">
        <v/>
      </c>
      <c r="D36" t="n">
        <v>80.8</v>
      </c>
      <c r="E36" t="n">
        <v/>
      </c>
      <c r="F36" t="n">
        <v/>
      </c>
      <c r="G36" t="n">
        <v/>
      </c>
      <c r="H36" t="n">
        <v/>
      </c>
      <c r="I36" t="n">
        <v/>
      </c>
    </row>
    <row r="37">
      <c r="A37" s="67" t="n">
        <v>19633</v>
      </c>
      <c r="B37" t="n">
        <v/>
      </c>
      <c r="C37" t="n">
        <v/>
      </c>
      <c r="D37" t="n">
        <v/>
      </c>
      <c r="E37" t="n">
        <v/>
      </c>
      <c r="F37" t="n">
        <v/>
      </c>
      <c r="G37" t="n">
        <v>2664.302</v>
      </c>
      <c r="H37" t="n">
        <v>-0.01537213123737462</v>
      </c>
      <c r="I37" t="n">
        <v>0.005206241634769667</v>
      </c>
    </row>
    <row r="38">
      <c r="A38" s="67" t="n">
        <v>19664</v>
      </c>
      <c r="B38" t="n">
        <v/>
      </c>
      <c r="C38" t="n">
        <v/>
      </c>
      <c r="D38" t="n">
        <v>80.7</v>
      </c>
      <c r="E38" t="n">
        <v>73.40000000000001</v>
      </c>
      <c r="F38" t="n">
        <v>83.90000000000001</v>
      </c>
      <c r="G38" t="n">
        <v/>
      </c>
      <c r="H38" t="n">
        <v/>
      </c>
      <c r="I38" t="n">
        <v/>
      </c>
    </row>
    <row r="39">
      <c r="A39" s="67" t="n">
        <v>19725</v>
      </c>
      <c r="B39" t="n">
        <v/>
      </c>
      <c r="C39" t="n">
        <v/>
      </c>
      <c r="D39" t="n">
        <v/>
      </c>
      <c r="E39" t="n">
        <v/>
      </c>
      <c r="F39" t="n">
        <v/>
      </c>
      <c r="G39" t="n">
        <v>2651.566</v>
      </c>
      <c r="H39" t="n">
        <v>-0.004803199316932081</v>
      </c>
      <c r="I39" t="n">
        <v>-0.01815266902653008</v>
      </c>
    </row>
    <row r="40">
      <c r="A40" s="67" t="n">
        <v>19756</v>
      </c>
      <c r="B40" t="n">
        <v/>
      </c>
      <c r="C40" t="n">
        <v/>
      </c>
      <c r="D40" t="n">
        <v>82</v>
      </c>
      <c r="E40" t="n">
        <v>75.7</v>
      </c>
      <c r="F40" t="n">
        <v>85.3</v>
      </c>
      <c r="G40" t="n">
        <v/>
      </c>
      <c r="H40" t="n">
        <v/>
      </c>
      <c r="I40" t="n">
        <v/>
      </c>
    </row>
    <row r="41">
      <c r="A41" s="67" t="n">
        <v>19815</v>
      </c>
      <c r="B41" t="n">
        <v/>
      </c>
      <c r="C41" t="n">
        <v/>
      </c>
      <c r="D41" t="n">
        <v/>
      </c>
      <c r="E41" t="n">
        <v/>
      </c>
      <c r="F41" t="n">
        <v/>
      </c>
      <c r="G41" t="n">
        <v>2654.456</v>
      </c>
      <c r="H41" t="n">
        <v>0.001088735319025943</v>
      </c>
      <c r="I41" t="n">
        <v>-0.02490529132899534</v>
      </c>
    </row>
    <row r="42">
      <c r="A42" s="67" t="n">
        <v>19845</v>
      </c>
      <c r="B42" t="n">
        <v/>
      </c>
      <c r="C42" t="n">
        <v/>
      </c>
      <c r="D42" t="n">
        <v>82.90000000000001</v>
      </c>
      <c r="E42" t="n">
        <v>81.40000000000001</v>
      </c>
      <c r="F42" t="n">
        <v>86.09999999999999</v>
      </c>
      <c r="G42" t="n">
        <v/>
      </c>
      <c r="H42" t="n">
        <v/>
      </c>
      <c r="I42" t="n">
        <v/>
      </c>
    </row>
    <row r="43">
      <c r="A43" s="67" t="n">
        <v>19906</v>
      </c>
      <c r="B43" t="n">
        <v/>
      </c>
      <c r="C43" t="n">
        <v/>
      </c>
      <c r="D43" t="n">
        <v/>
      </c>
      <c r="E43" t="n">
        <v/>
      </c>
      <c r="F43" t="n">
        <v/>
      </c>
      <c r="G43" t="n">
        <v>2684.434</v>
      </c>
      <c r="H43" t="n">
        <v>0.01116734477360966</v>
      </c>
      <c r="I43" t="n">
        <v>-0.007757314949817956</v>
      </c>
    </row>
    <row r="44">
      <c r="A44" s="67" t="n">
        <v>19998</v>
      </c>
      <c r="B44" t="n">
        <v/>
      </c>
      <c r="C44" t="n">
        <v/>
      </c>
      <c r="D44" t="n">
        <v/>
      </c>
      <c r="E44" t="n">
        <v/>
      </c>
      <c r="F44" t="n">
        <v/>
      </c>
      <c r="G44" t="n">
        <v>2736.96</v>
      </c>
      <c r="H44" t="n">
        <v>0.01919136560271244</v>
      </c>
      <c r="I44" t="n">
        <v>0.02654697182275222</v>
      </c>
    </row>
    <row r="45">
      <c r="A45" s="67" t="n">
        <v>20029</v>
      </c>
      <c r="B45" t="n">
        <v/>
      </c>
      <c r="C45" t="n">
        <v/>
      </c>
      <c r="D45" t="n">
        <v>87</v>
      </c>
      <c r="E45" t="n">
        <v>83.2</v>
      </c>
      <c r="F45" t="n">
        <v>89.7</v>
      </c>
      <c r="G45" t="n">
        <v/>
      </c>
      <c r="H45" t="n">
        <v/>
      </c>
      <c r="I45" t="n">
        <v/>
      </c>
    </row>
    <row r="46">
      <c r="A46" s="67" t="n">
        <v>20090</v>
      </c>
      <c r="B46" t="n">
        <v/>
      </c>
      <c r="C46" t="n">
        <v/>
      </c>
      <c r="D46" t="n">
        <v/>
      </c>
      <c r="E46" t="n">
        <v/>
      </c>
      <c r="F46" t="n">
        <v/>
      </c>
      <c r="G46" t="n">
        <v>2815.134</v>
      </c>
      <c r="H46" t="n">
        <v>0.0277691932249051</v>
      </c>
      <c r="I46" t="n">
        <v>0.05810309562528825</v>
      </c>
    </row>
    <row r="47">
      <c r="A47" s="67" t="n">
        <v>20121</v>
      </c>
      <c r="B47" t="n">
        <v/>
      </c>
      <c r="C47" t="n">
        <v/>
      </c>
      <c r="D47" t="n">
        <v>95.90000000000001</v>
      </c>
      <c r="E47" t="n">
        <v/>
      </c>
      <c r="F47" t="n">
        <v/>
      </c>
      <c r="G47" t="n">
        <v/>
      </c>
      <c r="H47" t="n">
        <v/>
      </c>
      <c r="I47" t="n">
        <v/>
      </c>
    </row>
    <row r="48">
      <c r="A48" s="67" t="n">
        <v>20180</v>
      </c>
      <c r="B48" t="n">
        <v/>
      </c>
      <c r="C48" t="n">
        <v/>
      </c>
      <c r="D48" t="n">
        <v/>
      </c>
      <c r="E48" t="n">
        <v/>
      </c>
      <c r="F48" t="n">
        <v/>
      </c>
      <c r="G48" t="n">
        <v>2860.942</v>
      </c>
      <c r="H48" t="n">
        <v>0.0160115094958234</v>
      </c>
      <c r="I48" t="n">
        <v>0.07217413005926016</v>
      </c>
    </row>
    <row r="49">
      <c r="A49" s="67" t="n">
        <v>20210</v>
      </c>
      <c r="B49" t="n">
        <v/>
      </c>
      <c r="C49" t="n">
        <v/>
      </c>
      <c r="D49" t="n">
        <v>99.09999999999999</v>
      </c>
      <c r="E49" t="n">
        <v>95</v>
      </c>
      <c r="F49" t="n">
        <v>99.90000000000001</v>
      </c>
      <c r="G49" t="n">
        <v/>
      </c>
      <c r="H49" t="n">
        <v/>
      </c>
      <c r="I49" t="n">
        <v/>
      </c>
    </row>
    <row r="50">
      <c r="A50" s="67" t="n">
        <v>20271</v>
      </c>
      <c r="B50" t="n">
        <v/>
      </c>
      <c r="C50" t="n">
        <v/>
      </c>
      <c r="D50" t="n">
        <v/>
      </c>
      <c r="E50" t="n">
        <v/>
      </c>
      <c r="F50" t="n">
        <v/>
      </c>
      <c r="G50" t="n">
        <v>2899.578</v>
      </c>
      <c r="H50" t="n">
        <v>0.01332469759392573</v>
      </c>
      <c r="I50" t="n">
        <v>0.07419838335095651</v>
      </c>
    </row>
    <row r="51">
      <c r="A51" s="67" t="n">
        <v>20363</v>
      </c>
      <c r="B51" t="n">
        <v/>
      </c>
      <c r="C51" t="n">
        <v/>
      </c>
      <c r="D51" t="n">
        <v/>
      </c>
      <c r="E51" t="n">
        <v/>
      </c>
      <c r="F51" t="n">
        <v/>
      </c>
      <c r="G51" t="n">
        <v>2916.985</v>
      </c>
      <c r="H51" t="n">
        <v>0.005967462979754833</v>
      </c>
      <c r="I51" t="n">
        <v>0.06171612126905009</v>
      </c>
    </row>
    <row r="52">
      <c r="A52" s="67" t="n">
        <v>20394</v>
      </c>
      <c r="B52" t="n">
        <v/>
      </c>
      <c r="C52" t="n">
        <v/>
      </c>
      <c r="D52" t="n">
        <v>99.7</v>
      </c>
      <c r="E52" t="n">
        <v>94.59999999999999</v>
      </c>
      <c r="F52" t="n">
        <v>103.8</v>
      </c>
      <c r="G52" t="n">
        <v/>
      </c>
      <c r="H52" t="n">
        <v/>
      </c>
      <c r="I52" t="n">
        <v/>
      </c>
    </row>
    <row r="53">
      <c r="A53" s="67" t="n">
        <v>20455</v>
      </c>
      <c r="B53" t="n">
        <v/>
      </c>
      <c r="C53" t="n">
        <v/>
      </c>
      <c r="D53" t="n">
        <v/>
      </c>
      <c r="E53" t="n">
        <v/>
      </c>
      <c r="F53" t="n">
        <v/>
      </c>
      <c r="G53" t="n">
        <v>2905.656</v>
      </c>
      <c r="H53" t="n">
        <v>-0.003898947432180608</v>
      </c>
      <c r="I53" t="n">
        <v>0.03115372225755559</v>
      </c>
    </row>
    <row r="54">
      <c r="A54" s="67" t="n">
        <v>20546</v>
      </c>
      <c r="B54" t="n">
        <v/>
      </c>
      <c r="C54" t="n">
        <v/>
      </c>
      <c r="D54" t="n">
        <v/>
      </c>
      <c r="E54" t="n">
        <v/>
      </c>
      <c r="F54" t="n">
        <v/>
      </c>
      <c r="G54" t="n">
        <v>2929.666</v>
      </c>
      <c r="H54" t="n">
        <v>0.008195473477181432</v>
      </c>
      <c r="I54" t="n">
        <v>0.02345796415017963</v>
      </c>
    </row>
    <row r="55">
      <c r="A55" s="67" t="n">
        <v>20576</v>
      </c>
      <c r="B55" t="n">
        <v/>
      </c>
      <c r="C55" t="n">
        <v/>
      </c>
      <c r="D55" t="n">
        <v>98.2</v>
      </c>
      <c r="E55" t="n">
        <v/>
      </c>
      <c r="F55" t="n">
        <v>103.3</v>
      </c>
      <c r="G55" t="n">
        <v/>
      </c>
      <c r="H55" t="n">
        <v/>
      </c>
      <c r="I55" t="n">
        <v/>
      </c>
    </row>
    <row r="56">
      <c r="A56" s="67" t="n">
        <v>20637</v>
      </c>
      <c r="B56" t="n">
        <v/>
      </c>
      <c r="C56" t="n">
        <v/>
      </c>
      <c r="D56" t="n">
        <v/>
      </c>
      <c r="E56" t="n">
        <v/>
      </c>
      <c r="F56" t="n">
        <v/>
      </c>
      <c r="G56" t="n">
        <v>2927.034</v>
      </c>
      <c r="H56" t="n">
        <v>-0.0008992037673631608</v>
      </c>
      <c r="I56" t="n">
        <v>0.009380143858937111</v>
      </c>
    </row>
    <row r="57">
      <c r="A57" s="67" t="n">
        <v>20668</v>
      </c>
      <c r="B57" t="n">
        <v/>
      </c>
      <c r="C57" t="n">
        <v/>
      </c>
      <c r="D57" t="n">
        <v>99.90000000000001</v>
      </c>
      <c r="E57" t="n">
        <v>93.09999999999999</v>
      </c>
      <c r="F57" t="n">
        <v>105.2</v>
      </c>
      <c r="G57" t="n">
        <v/>
      </c>
      <c r="H57" t="n">
        <v/>
      </c>
      <c r="I57" t="n">
        <v/>
      </c>
    </row>
    <row r="58">
      <c r="A58" s="67" t="n">
        <v>20729</v>
      </c>
      <c r="B58" t="n">
        <v/>
      </c>
      <c r="C58" t="n">
        <v/>
      </c>
      <c r="D58" t="n">
        <v/>
      </c>
      <c r="E58" t="n">
        <v/>
      </c>
      <c r="F58" t="n">
        <v/>
      </c>
      <c r="G58" t="n">
        <v>2975.209</v>
      </c>
      <c r="H58" t="n">
        <v>0.0161921397790877</v>
      </c>
      <c r="I58" t="n">
        <v>0.01956971762319881</v>
      </c>
    </row>
    <row r="59">
      <c r="A59" s="67" t="n">
        <v>20760</v>
      </c>
      <c r="B59" t="n">
        <v/>
      </c>
      <c r="C59" t="n">
        <v/>
      </c>
      <c r="D59" t="n">
        <v>100.2</v>
      </c>
      <c r="E59" t="n">
        <v>94.2</v>
      </c>
      <c r="F59" t="n">
        <v>105.2</v>
      </c>
      <c r="G59" t="n">
        <v/>
      </c>
      <c r="H59" t="n">
        <v/>
      </c>
      <c r="I59" t="n">
        <v/>
      </c>
    </row>
    <row r="60">
      <c r="A60" s="67" t="n">
        <v>20821</v>
      </c>
      <c r="B60" t="n">
        <v/>
      </c>
      <c r="C60" t="n">
        <v/>
      </c>
      <c r="D60" t="n">
        <v/>
      </c>
      <c r="E60" t="n">
        <v/>
      </c>
      <c r="F60" t="n">
        <v/>
      </c>
      <c r="G60" t="n">
        <v>2994.259</v>
      </c>
      <c r="H60" t="n">
        <v>0.006362175082382714</v>
      </c>
      <c r="I60" t="n">
        <v>0.02959096056820738</v>
      </c>
    </row>
    <row r="61">
      <c r="A61" s="67" t="n">
        <v>20911</v>
      </c>
      <c r="B61" t="n">
        <v/>
      </c>
      <c r="C61" t="n">
        <v/>
      </c>
      <c r="D61" t="n">
        <v/>
      </c>
      <c r="E61" t="n">
        <v/>
      </c>
      <c r="F61" t="n">
        <v/>
      </c>
      <c r="G61" t="n">
        <v>2987.699</v>
      </c>
      <c r="H61" t="n">
        <v>-0.002195669644097329</v>
      </c>
      <c r="I61" t="n">
        <v>0.01942397811827761</v>
      </c>
    </row>
    <row r="62">
      <c r="A62" s="67" t="n">
        <v>20941</v>
      </c>
      <c r="B62" t="n">
        <v/>
      </c>
      <c r="C62" t="n">
        <v/>
      </c>
      <c r="D62" t="n">
        <v>92.90000000000001</v>
      </c>
      <c r="E62" t="n">
        <v>88.90000000000001</v>
      </c>
      <c r="F62" t="n">
        <v>96.2</v>
      </c>
      <c r="G62" t="n">
        <v/>
      </c>
      <c r="H62" t="n">
        <v/>
      </c>
      <c r="I62" t="n">
        <v/>
      </c>
    </row>
    <row r="63">
      <c r="A63" s="67" t="n">
        <v>21002</v>
      </c>
      <c r="B63" t="n">
        <v/>
      </c>
      <c r="C63" t="n">
        <v/>
      </c>
      <c r="D63" t="n">
        <v/>
      </c>
      <c r="E63" t="n">
        <v/>
      </c>
      <c r="F63" t="n">
        <v/>
      </c>
      <c r="G63" t="n">
        <v>3016.979</v>
      </c>
      <c r="H63" t="n">
        <v>0.009705072524535221</v>
      </c>
      <c r="I63" t="n">
        <v>0.02981293539000428</v>
      </c>
    </row>
    <row r="64">
      <c r="A64" s="67" t="n">
        <v>21094</v>
      </c>
      <c r="B64" t="n">
        <v/>
      </c>
      <c r="C64" t="n">
        <v/>
      </c>
      <c r="D64" t="n">
        <v/>
      </c>
      <c r="E64" t="n">
        <v/>
      </c>
      <c r="F64" t="n">
        <v/>
      </c>
      <c r="G64" t="n">
        <v>2985.775</v>
      </c>
      <c r="H64" t="n">
        <v>-0.01045088796041219</v>
      </c>
      <c r="I64" t="n">
        <v>0.003538779713809734</v>
      </c>
    </row>
    <row r="65">
      <c r="A65" s="67" t="n">
        <v>21125</v>
      </c>
      <c r="B65" t="n">
        <v/>
      </c>
      <c r="C65" t="n">
        <v/>
      </c>
      <c r="D65" t="n">
        <v>83.7</v>
      </c>
      <c r="E65" t="n">
        <v>79.5</v>
      </c>
      <c r="F65" t="n">
        <v>86.3</v>
      </c>
      <c r="G65" t="n">
        <v/>
      </c>
      <c r="H65" t="n">
        <v/>
      </c>
      <c r="I65" t="n">
        <v/>
      </c>
    </row>
    <row r="66">
      <c r="A66" s="67" t="n">
        <v>21186</v>
      </c>
      <c r="B66" t="n">
        <v/>
      </c>
      <c r="C66" t="n">
        <v/>
      </c>
      <c r="D66" t="n">
        <v/>
      </c>
      <c r="E66" t="n">
        <v/>
      </c>
      <c r="F66" t="n">
        <v/>
      </c>
      <c r="G66" t="n">
        <v>2908.281</v>
      </c>
      <c r="H66" t="n">
        <v>-0.02664598090762211</v>
      </c>
      <c r="I66" t="n">
        <v>-0.02956316807076072</v>
      </c>
    </row>
    <row r="67">
      <c r="A67" s="67" t="n">
        <v>21217</v>
      </c>
      <c r="B67" t="n">
        <v/>
      </c>
      <c r="C67" t="n">
        <v/>
      </c>
      <c r="D67" t="n">
        <v>78.5</v>
      </c>
      <c r="E67" t="n">
        <v/>
      </c>
      <c r="F67" t="n">
        <v/>
      </c>
      <c r="G67" t="n">
        <v/>
      </c>
      <c r="H67" t="n">
        <v/>
      </c>
      <c r="I67" t="n">
        <v/>
      </c>
    </row>
    <row r="68">
      <c r="A68" s="67" t="n">
        <v>21276</v>
      </c>
      <c r="B68" t="n">
        <v/>
      </c>
      <c r="C68" t="n">
        <v/>
      </c>
      <c r="D68" t="n">
        <v/>
      </c>
      <c r="E68" t="n">
        <v/>
      </c>
      <c r="F68" t="n">
        <v/>
      </c>
      <c r="G68" t="n">
        <v>2927.395</v>
      </c>
      <c r="H68" t="n">
        <v>0.006529354596834398</v>
      </c>
      <c r="I68" t="n">
        <v>-0.02059988488058499</v>
      </c>
    </row>
    <row r="69">
      <c r="A69" s="67" t="n">
        <v>21306</v>
      </c>
      <c r="B69" t="n">
        <v/>
      </c>
      <c r="C69" t="n">
        <v/>
      </c>
      <c r="D69" t="n">
        <v>80.90000000000001</v>
      </c>
      <c r="E69" t="n">
        <v>78</v>
      </c>
      <c r="F69" t="n">
        <v>82.90000000000001</v>
      </c>
      <c r="G69" t="n">
        <v/>
      </c>
      <c r="H69" t="n">
        <v/>
      </c>
      <c r="I69" t="n">
        <v/>
      </c>
    </row>
    <row r="70">
      <c r="A70" s="67" t="n">
        <v>21367</v>
      </c>
      <c r="B70" t="n">
        <v/>
      </c>
      <c r="C70" t="n">
        <v/>
      </c>
      <c r="D70" t="n">
        <v/>
      </c>
      <c r="E70" t="n">
        <v/>
      </c>
      <c r="F70" t="n">
        <v/>
      </c>
      <c r="G70" t="n">
        <v>2995.112</v>
      </c>
      <c r="H70" t="n">
        <v>0.02260917120962425</v>
      </c>
      <c r="I70" t="n">
        <v>-0.007300895592552043</v>
      </c>
    </row>
    <row r="71">
      <c r="A71" s="67" t="n">
        <v>21459</v>
      </c>
      <c r="B71" t="n">
        <v/>
      </c>
      <c r="C71" t="n">
        <v/>
      </c>
      <c r="D71" t="n">
        <v/>
      </c>
      <c r="E71" t="n">
        <v/>
      </c>
      <c r="F71" t="n">
        <v/>
      </c>
      <c r="G71" t="n">
        <v>3065.141</v>
      </c>
      <c r="H71" t="n">
        <v>0.02284690981589427</v>
      </c>
      <c r="I71" t="n">
        <v>0.0258930992081604</v>
      </c>
    </row>
    <row r="72">
      <c r="A72" s="67" t="n">
        <v>21490</v>
      </c>
      <c r="B72" t="n">
        <v/>
      </c>
      <c r="C72" t="n">
        <v/>
      </c>
      <c r="D72" t="n">
        <v>90.8</v>
      </c>
      <c r="E72" t="n">
        <v>86.7</v>
      </c>
      <c r="F72" t="n">
        <v>94.09999999999999</v>
      </c>
      <c r="G72" t="n">
        <v/>
      </c>
      <c r="H72" t="n">
        <v/>
      </c>
      <c r="I72" t="n">
        <v/>
      </c>
    </row>
    <row r="73">
      <c r="A73" s="67" t="n">
        <v>21551</v>
      </c>
      <c r="B73" t="n">
        <v/>
      </c>
      <c r="C73" t="n">
        <v/>
      </c>
      <c r="D73" t="n">
        <v/>
      </c>
      <c r="E73" t="n">
        <v/>
      </c>
      <c r="F73" t="n">
        <v/>
      </c>
      <c r="G73" t="n">
        <v>3123.978</v>
      </c>
      <c r="H73" t="n">
        <v>0.01883399947118705</v>
      </c>
      <c r="I73" t="n">
        <v>0.06904562067978716</v>
      </c>
    </row>
    <row r="74">
      <c r="A74" s="67" t="n">
        <v>21641</v>
      </c>
      <c r="B74" t="n">
        <v/>
      </c>
      <c r="C74" t="n">
        <v/>
      </c>
      <c r="D74" t="n">
        <v/>
      </c>
      <c r="E74" t="n">
        <v/>
      </c>
      <c r="F74" t="n">
        <v/>
      </c>
      <c r="G74" t="n">
        <v>3194.429</v>
      </c>
      <c r="H74" t="n">
        <v>0.02205433271486078</v>
      </c>
      <c r="I74" t="n">
        <v>0.0835936563310689</v>
      </c>
    </row>
    <row r="75">
      <c r="A75" s="67" t="n">
        <v>21671</v>
      </c>
      <c r="B75" t="n">
        <v/>
      </c>
      <c r="C75" t="n">
        <v/>
      </c>
      <c r="D75" t="n">
        <v>95.3</v>
      </c>
      <c r="E75" t="n">
        <v>92.7</v>
      </c>
      <c r="F75" t="n">
        <v>97.5</v>
      </c>
      <c r="G75" t="n">
        <v/>
      </c>
      <c r="H75" t="n">
        <v/>
      </c>
      <c r="I75" t="n">
        <v/>
      </c>
    </row>
    <row r="76">
      <c r="A76" s="67" t="n">
        <v>21732</v>
      </c>
      <c r="B76" t="n">
        <v/>
      </c>
      <c r="C76" t="n">
        <v/>
      </c>
      <c r="D76" t="n">
        <v/>
      </c>
      <c r="E76" t="n">
        <v/>
      </c>
      <c r="F76" t="n">
        <v/>
      </c>
      <c r="G76" t="n">
        <v>3196.683</v>
      </c>
      <c r="H76" t="n">
        <v>0.0007051058863202593</v>
      </c>
      <c r="I76" t="n">
        <v>0.06305629929523819</v>
      </c>
    </row>
    <row r="77">
      <c r="A77" s="67" t="n">
        <v>21824</v>
      </c>
      <c r="B77" t="n">
        <v/>
      </c>
      <c r="C77" t="n">
        <v/>
      </c>
      <c r="D77" t="n">
        <v/>
      </c>
      <c r="E77" t="n">
        <v/>
      </c>
      <c r="F77" t="n">
        <v/>
      </c>
      <c r="G77" t="n">
        <v>3205.79</v>
      </c>
      <c r="H77" t="n">
        <v>0.002840797432146202</v>
      </c>
      <c r="I77" t="n">
        <v>0.04387342901437707</v>
      </c>
    </row>
    <row r="78">
      <c r="A78" s="67" t="n">
        <v>21855</v>
      </c>
      <c r="B78" t="n">
        <v/>
      </c>
      <c r="C78" t="n">
        <v/>
      </c>
      <c r="D78" t="n">
        <v>93.8</v>
      </c>
      <c r="E78" t="n">
        <v>87</v>
      </c>
      <c r="F78" t="n">
        <v>95.8</v>
      </c>
      <c r="G78" t="n">
        <v/>
      </c>
      <c r="H78" t="n">
        <v/>
      </c>
      <c r="I78" t="n">
        <v/>
      </c>
    </row>
    <row r="79">
      <c r="A79" s="67" t="n">
        <v>21916</v>
      </c>
      <c r="B79" t="n">
        <v/>
      </c>
      <c r="C79" t="n">
        <v/>
      </c>
      <c r="D79" t="n">
        <v/>
      </c>
      <c r="E79" t="n">
        <v/>
      </c>
      <c r="F79" t="n">
        <v/>
      </c>
      <c r="G79" t="n">
        <v>3277.847</v>
      </c>
      <c r="H79" t="n">
        <v>0.02198302727369528</v>
      </c>
      <c r="I79" t="n">
        <v>0.0469420933924006</v>
      </c>
    </row>
    <row r="80">
      <c r="A80" s="67" t="n">
        <v>21947</v>
      </c>
      <c r="B80" t="n">
        <v/>
      </c>
      <c r="C80" t="n">
        <v/>
      </c>
      <c r="D80" t="n">
        <v>100</v>
      </c>
      <c r="E80" t="n">
        <v>99.59999999999999</v>
      </c>
      <c r="F80" t="n">
        <v>104.6</v>
      </c>
      <c r="G80" t="n">
        <v/>
      </c>
      <c r="H80" t="n">
        <v/>
      </c>
      <c r="I80" t="n">
        <v/>
      </c>
    </row>
    <row r="81">
      <c r="A81" s="67" t="n">
        <v>22007</v>
      </c>
      <c r="B81" t="n">
        <v/>
      </c>
      <c r="C81" t="n">
        <v/>
      </c>
      <c r="D81" t="n">
        <v/>
      </c>
      <c r="E81" t="n">
        <v/>
      </c>
      <c r="F81" t="n">
        <v/>
      </c>
      <c r="G81" t="n">
        <v>3260.177</v>
      </c>
      <c r="H81" t="n">
        <v>-0.005419951125353032</v>
      </c>
      <c r="I81" t="n">
        <v>0.02016700320258687</v>
      </c>
    </row>
    <row r="82">
      <c r="A82" s="67" t="n">
        <v>22037</v>
      </c>
      <c r="B82" t="n">
        <v/>
      </c>
      <c r="C82" t="n">
        <v/>
      </c>
      <c r="D82" t="n">
        <v>93.3</v>
      </c>
      <c r="E82" t="n">
        <v>91.59999999999999</v>
      </c>
      <c r="F82" t="n">
        <v>98.59999999999999</v>
      </c>
      <c r="G82" t="n">
        <v/>
      </c>
      <c r="H82" t="n">
        <v/>
      </c>
      <c r="I82" t="n">
        <v/>
      </c>
    </row>
    <row r="83">
      <c r="A83" s="67" t="n">
        <v>22098</v>
      </c>
      <c r="B83" t="n">
        <v/>
      </c>
      <c r="C83" t="n">
        <v/>
      </c>
      <c r="D83" t="n">
        <v/>
      </c>
      <c r="E83" t="n">
        <v/>
      </c>
      <c r="F83" t="n">
        <v/>
      </c>
      <c r="G83" t="n">
        <v>3276.133</v>
      </c>
      <c r="H83" t="n">
        <v>0.004870376141627851</v>
      </c>
      <c r="I83" t="n">
        <v>0.02425115219681247</v>
      </c>
    </row>
    <row r="84">
      <c r="A84" s="67" t="n">
        <v>22129</v>
      </c>
      <c r="B84" t="n">
        <v/>
      </c>
      <c r="C84" t="n">
        <v/>
      </c>
      <c r="D84" t="n">
        <v>97.2</v>
      </c>
      <c r="E84" t="n">
        <v>96.90000000000001</v>
      </c>
      <c r="F84" t="n">
        <v>97.5</v>
      </c>
      <c r="G84" t="n">
        <v/>
      </c>
      <c r="H84" t="n">
        <v/>
      </c>
      <c r="I84" t="n">
        <v/>
      </c>
    </row>
    <row r="85">
      <c r="A85" s="67" t="n">
        <v>22190</v>
      </c>
      <c r="B85" t="n">
        <v/>
      </c>
      <c r="C85" t="n">
        <v/>
      </c>
      <c r="D85" t="n">
        <v/>
      </c>
      <c r="E85" t="n">
        <v/>
      </c>
      <c r="F85" t="n">
        <v/>
      </c>
      <c r="G85" t="n">
        <v>3234.087</v>
      </c>
      <c r="H85" t="n">
        <v>-0.01300088711280798</v>
      </c>
      <c r="I85" t="n">
        <v>0.00874961001358344</v>
      </c>
    </row>
    <row r="86">
      <c r="A86" s="67" t="n">
        <v>22221</v>
      </c>
      <c r="B86" t="n">
        <v/>
      </c>
      <c r="C86" t="n">
        <v/>
      </c>
      <c r="D86" t="n">
        <v>90.09999999999999</v>
      </c>
      <c r="E86" t="n">
        <v>89.3</v>
      </c>
      <c r="F86" t="n">
        <v>93.40000000000001</v>
      </c>
      <c r="G86" t="n">
        <v/>
      </c>
      <c r="H86" t="n">
        <v/>
      </c>
      <c r="I86" t="n">
        <v/>
      </c>
    </row>
    <row r="87">
      <c r="A87" s="67" t="n">
        <v>22282</v>
      </c>
      <c r="B87" t="n">
        <v/>
      </c>
      <c r="C87" t="n">
        <v/>
      </c>
      <c r="D87" t="n">
        <v/>
      </c>
      <c r="E87" t="n">
        <v/>
      </c>
      <c r="F87" t="n">
        <v/>
      </c>
      <c r="G87" t="n">
        <v>3255.914</v>
      </c>
      <c r="H87" t="n">
        <v>0.006703801144624896</v>
      </c>
      <c r="I87" t="n">
        <v>-0.006736357287078219</v>
      </c>
    </row>
    <row r="88">
      <c r="A88" s="67" t="n">
        <v>22313</v>
      </c>
      <c r="B88" t="n">
        <v/>
      </c>
      <c r="C88" t="n">
        <v/>
      </c>
      <c r="D88" t="n">
        <v>91.59999999999999</v>
      </c>
      <c r="E88" t="n">
        <v>93.2</v>
      </c>
      <c r="F88" t="n">
        <v>94.90000000000001</v>
      </c>
      <c r="G88" t="n">
        <v/>
      </c>
      <c r="H88" t="n">
        <v/>
      </c>
      <c r="I88" t="n">
        <v/>
      </c>
    </row>
    <row r="89">
      <c r="A89" s="67" t="n">
        <v>22372</v>
      </c>
      <c r="B89" t="n">
        <v/>
      </c>
      <c r="C89" t="n">
        <v/>
      </c>
      <c r="D89" t="n">
        <v/>
      </c>
      <c r="E89" t="n">
        <v/>
      </c>
      <c r="F89" t="n">
        <v/>
      </c>
      <c r="G89" t="n">
        <v>3311.181</v>
      </c>
      <c r="H89" t="n">
        <v>0.01669102353510721</v>
      </c>
      <c r="I89" t="n">
        <v>0.01540356748845802</v>
      </c>
    </row>
    <row r="90">
      <c r="A90" s="67" t="n">
        <v>22402</v>
      </c>
      <c r="B90" t="n">
        <v/>
      </c>
      <c r="C90" t="n">
        <v/>
      </c>
      <c r="D90" t="n">
        <v>92.5</v>
      </c>
      <c r="E90" t="n">
        <v>90.90000000000001</v>
      </c>
      <c r="F90" t="n">
        <v>98.09999999999999</v>
      </c>
      <c r="G90" t="n">
        <v/>
      </c>
      <c r="H90" t="n">
        <v/>
      </c>
      <c r="I90" t="n">
        <v/>
      </c>
    </row>
    <row r="91">
      <c r="A91" s="67" t="n">
        <v>22463</v>
      </c>
      <c r="B91" t="n">
        <v/>
      </c>
      <c r="C91" t="n">
        <v/>
      </c>
      <c r="D91" t="n">
        <v/>
      </c>
      <c r="E91" t="n">
        <v/>
      </c>
      <c r="F91" t="n">
        <v/>
      </c>
      <c r="G91" t="n">
        <v>3374.742</v>
      </c>
      <c r="H91" t="n">
        <v>0.01883432866868049</v>
      </c>
      <c r="I91" t="n">
        <v>0.02921971516637431</v>
      </c>
    </row>
    <row r="92">
      <c r="A92" s="67" t="n">
        <v>22494</v>
      </c>
      <c r="B92" t="n">
        <v/>
      </c>
      <c r="C92" t="n">
        <v/>
      </c>
      <c r="D92" t="n">
        <v>99.2</v>
      </c>
      <c r="E92" t="n">
        <v>100.2</v>
      </c>
      <c r="F92" t="n">
        <v>98.5</v>
      </c>
      <c r="G92" t="n">
        <v/>
      </c>
      <c r="H92" t="n">
        <v/>
      </c>
      <c r="I92" t="n">
        <v/>
      </c>
    </row>
    <row r="93">
      <c r="A93" s="67" t="n">
        <v>22555</v>
      </c>
      <c r="B93" t="n">
        <v/>
      </c>
      <c r="C93" t="n">
        <v/>
      </c>
      <c r="D93" t="n">
        <v/>
      </c>
      <c r="E93" t="n">
        <v/>
      </c>
      <c r="F93" t="n">
        <v/>
      </c>
      <c r="G93" t="n">
        <v>3440.924</v>
      </c>
      <c r="H93" t="n">
        <v>0.01923378720366965</v>
      </c>
      <c r="I93" t="n">
        <v>0.06011088881939851</v>
      </c>
    </row>
    <row r="94">
      <c r="A94" s="67" t="n">
        <v>22586</v>
      </c>
      <c r="B94" t="n">
        <v/>
      </c>
      <c r="C94" t="n">
        <v/>
      </c>
      <c r="D94" t="n">
        <v>93</v>
      </c>
      <c r="E94" t="n">
        <v>94</v>
      </c>
      <c r="F94" t="n">
        <v>96.8</v>
      </c>
      <c r="G94" t="n">
        <v/>
      </c>
      <c r="H94" t="n">
        <v/>
      </c>
      <c r="I94" t="n">
        <v/>
      </c>
    </row>
    <row r="95">
      <c r="A95" s="67" t="n">
        <v>22647</v>
      </c>
      <c r="B95" t="n">
        <v/>
      </c>
      <c r="C95" t="n">
        <v/>
      </c>
      <c r="D95" t="n">
        <v/>
      </c>
      <c r="E95" t="n">
        <v/>
      </c>
      <c r="F95" t="n">
        <v/>
      </c>
      <c r="G95" t="n">
        <v>3502.298</v>
      </c>
      <c r="H95" t="n">
        <v>0.01752392286435929</v>
      </c>
      <c r="I95" t="n">
        <v>0.07034923927090145</v>
      </c>
    </row>
    <row r="96">
      <c r="A96" s="67" t="n">
        <v>22678</v>
      </c>
      <c r="B96" t="n">
        <v/>
      </c>
      <c r="C96" t="n">
        <v/>
      </c>
      <c r="D96" t="n">
        <v>99.90000000000001</v>
      </c>
      <c r="E96" t="n">
        <v>100.8</v>
      </c>
      <c r="F96" t="n">
        <v>103.4</v>
      </c>
      <c r="G96" t="n">
        <v/>
      </c>
      <c r="H96" t="n">
        <v/>
      </c>
      <c r="I96" t="n">
        <v/>
      </c>
    </row>
    <row r="97">
      <c r="A97" s="67" t="n">
        <v>22737</v>
      </c>
      <c r="B97" t="n">
        <v/>
      </c>
      <c r="C97" t="n">
        <v/>
      </c>
      <c r="D97" t="n">
        <v/>
      </c>
      <c r="E97" t="n">
        <v/>
      </c>
      <c r="F97" t="n">
        <v/>
      </c>
      <c r="G97" t="n">
        <v>3533.947</v>
      </c>
      <c r="H97" t="n">
        <v>0.008955708730210255</v>
      </c>
      <c r="I97" t="n">
        <v>0.06303603308142428</v>
      </c>
    </row>
    <row r="98">
      <c r="A98" s="67" t="n">
        <v>22767</v>
      </c>
      <c r="B98" t="n">
        <v/>
      </c>
      <c r="C98" t="n">
        <v/>
      </c>
      <c r="D98" t="n">
        <v>95.40000000000001</v>
      </c>
      <c r="E98" t="n">
        <v>94.2</v>
      </c>
      <c r="F98" t="n">
        <v>96.5</v>
      </c>
      <c r="G98" t="n">
        <v/>
      </c>
      <c r="H98" t="n">
        <v/>
      </c>
      <c r="I98" t="n">
        <v/>
      </c>
    </row>
    <row r="99">
      <c r="A99" s="67" t="n">
        <v>22828</v>
      </c>
      <c r="B99" t="n">
        <v/>
      </c>
      <c r="C99" t="n">
        <v/>
      </c>
      <c r="D99" t="n">
        <v/>
      </c>
      <c r="E99" t="n">
        <v/>
      </c>
      <c r="F99" t="n">
        <v/>
      </c>
      <c r="G99" t="n">
        <v>3577.362</v>
      </c>
      <c r="H99" t="n">
        <v>0.01213603767245248</v>
      </c>
      <c r="I99" t="n">
        <v>0.05663950139795746</v>
      </c>
    </row>
    <row r="100">
      <c r="A100" s="67" t="n">
        <v>22859</v>
      </c>
      <c r="B100" t="n">
        <v/>
      </c>
      <c r="C100" t="n">
        <v/>
      </c>
      <c r="D100" t="n">
        <v>91.59999999999999</v>
      </c>
      <c r="E100" t="n">
        <v>95.59999999999999</v>
      </c>
      <c r="F100" t="n">
        <v>93.40000000000001</v>
      </c>
      <c r="G100" t="n">
        <v/>
      </c>
      <c r="H100" t="n">
        <v/>
      </c>
      <c r="I100" t="n">
        <v/>
      </c>
    </row>
    <row r="101">
      <c r="A101" s="67" t="n">
        <v>22920</v>
      </c>
      <c r="B101" t="n">
        <v/>
      </c>
      <c r="C101" t="n">
        <v/>
      </c>
      <c r="D101" t="n">
        <v/>
      </c>
      <c r="E101" t="n">
        <v/>
      </c>
      <c r="F101" t="n">
        <v/>
      </c>
      <c r="G101" t="n">
        <v>3589.128</v>
      </c>
      <c r="H101" t="n">
        <v>0.003278233598801736</v>
      </c>
      <c r="I101" t="n">
        <v>0.04129248107061107</v>
      </c>
    </row>
    <row r="102">
      <c r="A102" s="67" t="n">
        <v>22951</v>
      </c>
      <c r="B102" t="n">
        <v/>
      </c>
      <c r="C102" t="n">
        <v/>
      </c>
      <c r="D102" t="n">
        <v>95</v>
      </c>
      <c r="E102" t="n">
        <v>95.5</v>
      </c>
      <c r="F102" t="n">
        <v>99.2</v>
      </c>
      <c r="G102" t="n">
        <v/>
      </c>
      <c r="H102" t="n">
        <v/>
      </c>
      <c r="I102" t="n">
        <v/>
      </c>
    </row>
    <row r="103">
      <c r="A103" s="67" t="n">
        <v>23012</v>
      </c>
      <c r="B103" t="n">
        <v/>
      </c>
      <c r="C103" t="n">
        <v/>
      </c>
      <c r="D103" t="n">
        <v/>
      </c>
      <c r="E103" t="n">
        <v/>
      </c>
      <c r="F103" t="n">
        <v/>
      </c>
      <c r="G103" t="n">
        <v>3628.306</v>
      </c>
      <c r="H103" t="n">
        <v>0.01079787647458618</v>
      </c>
      <c r="I103" t="n">
        <v>0.03472915459721431</v>
      </c>
    </row>
    <row r="104">
      <c r="A104" s="67" t="n">
        <v>23043</v>
      </c>
      <c r="B104" t="n">
        <v/>
      </c>
      <c r="C104" t="n">
        <v/>
      </c>
      <c r="D104" t="n">
        <v>98.40000000000001</v>
      </c>
      <c r="E104" t="n">
        <v>103.2</v>
      </c>
      <c r="F104" t="n">
        <v>99.90000000000001</v>
      </c>
      <c r="G104" t="n">
        <v/>
      </c>
      <c r="H104" t="n">
        <v/>
      </c>
      <c r="I104" t="n">
        <v/>
      </c>
    </row>
    <row r="105">
      <c r="A105" s="67" t="n">
        <v>23102</v>
      </c>
      <c r="B105" t="n">
        <v/>
      </c>
      <c r="C105" t="n">
        <v/>
      </c>
      <c r="D105" t="n">
        <v/>
      </c>
      <c r="E105" t="n">
        <v/>
      </c>
      <c r="F105" t="n">
        <v/>
      </c>
      <c r="G105" t="n">
        <v>3669.02</v>
      </c>
      <c r="H105" t="n">
        <v>0.01109669612048992</v>
      </c>
      <c r="I105" t="n">
        <v>0.03681446271756487</v>
      </c>
    </row>
    <row r="106">
      <c r="A106" s="67" t="n">
        <v>23132</v>
      </c>
      <c r="B106" t="n">
        <v/>
      </c>
      <c r="C106" t="n">
        <v/>
      </c>
      <c r="D106" t="n">
        <v>91.7</v>
      </c>
      <c r="E106" t="n">
        <v>94.3</v>
      </c>
      <c r="F106" t="n">
        <v>94.09999999999999</v>
      </c>
      <c r="G106" t="n">
        <v/>
      </c>
      <c r="H106" t="n">
        <v/>
      </c>
      <c r="I106" t="n">
        <v/>
      </c>
    </row>
    <row r="107">
      <c r="A107" s="67" t="n">
        <v>23193</v>
      </c>
      <c r="B107" t="n">
        <v/>
      </c>
      <c r="C107" t="n">
        <v/>
      </c>
      <c r="D107" t="n">
        <v/>
      </c>
      <c r="E107" t="n">
        <v/>
      </c>
      <c r="F107" t="n">
        <v/>
      </c>
      <c r="G107" t="n">
        <v>3749.681</v>
      </c>
      <c r="H107" t="n">
        <v>0.02151142990563732</v>
      </c>
      <c r="I107" t="n">
        <v>0.0459556426266661</v>
      </c>
    </row>
    <row r="108">
      <c r="A108" s="67" t="n">
        <v>23224</v>
      </c>
      <c r="B108" t="n">
        <v/>
      </c>
      <c r="C108" t="n">
        <v/>
      </c>
      <c r="D108" t="n">
        <v>96.40000000000001</v>
      </c>
      <c r="E108" t="n">
        <v>102.3</v>
      </c>
      <c r="F108" t="n">
        <v>97</v>
      </c>
      <c r="G108" t="n">
        <v/>
      </c>
      <c r="H108" t="n">
        <v/>
      </c>
      <c r="I108" t="n">
        <v/>
      </c>
    </row>
    <row r="109">
      <c r="A109" s="67" t="n">
        <v>23285</v>
      </c>
      <c r="B109" t="n">
        <v/>
      </c>
      <c r="C109" t="n">
        <v/>
      </c>
      <c r="D109" t="n">
        <v/>
      </c>
      <c r="E109" t="n">
        <v/>
      </c>
      <c r="F109" t="n">
        <v/>
      </c>
      <c r="G109" t="n">
        <v>3774.264</v>
      </c>
      <c r="H109" t="n">
        <v>0.006513322862417702</v>
      </c>
      <c r="I109" t="n">
        <v>0.049052212563827</v>
      </c>
    </row>
    <row r="110">
      <c r="A110" s="67" t="n">
        <v>23316</v>
      </c>
      <c r="B110" t="n">
        <v/>
      </c>
      <c r="C110" t="n">
        <v/>
      </c>
      <c r="D110" t="n">
        <v>94.40000000000001</v>
      </c>
      <c r="E110" t="n">
        <v>97.59999999999999</v>
      </c>
      <c r="F110" t="n">
        <v>97</v>
      </c>
      <c r="G110" t="n">
        <v/>
      </c>
      <c r="H110" t="n">
        <v/>
      </c>
      <c r="I110" t="n">
        <v/>
      </c>
    </row>
    <row r="111">
      <c r="A111" s="67" t="n">
        <v>23377</v>
      </c>
      <c r="B111" t="n">
        <v/>
      </c>
      <c r="C111" t="n">
        <v/>
      </c>
      <c r="D111" t="n">
        <v/>
      </c>
      <c r="E111" t="n">
        <v/>
      </c>
      <c r="F111" t="n">
        <v/>
      </c>
      <c r="G111" t="n">
        <v>3853.835</v>
      </c>
      <c r="H111" t="n">
        <v>0.02064722542610151</v>
      </c>
      <c r="I111" t="n">
        <v>0.0585206683731919</v>
      </c>
    </row>
    <row r="112">
      <c r="A112" s="67" t="n">
        <v>23408</v>
      </c>
      <c r="B112" t="n">
        <v/>
      </c>
      <c r="C112" t="n">
        <v/>
      </c>
      <c r="D112" t="n">
        <v>99.5</v>
      </c>
      <c r="E112" t="n">
        <v>99.5</v>
      </c>
      <c r="F112" t="n">
        <v>99.40000000000001</v>
      </c>
      <c r="G112" t="n">
        <v/>
      </c>
      <c r="H112" t="n">
        <v/>
      </c>
      <c r="I112" t="n">
        <v/>
      </c>
    </row>
    <row r="113">
      <c r="A113" s="67" t="n">
        <v>23468</v>
      </c>
      <c r="B113" t="n">
        <v/>
      </c>
      <c r="C113" t="n">
        <v/>
      </c>
      <c r="D113" t="n">
        <v/>
      </c>
      <c r="E113" t="n">
        <v/>
      </c>
      <c r="F113" t="n">
        <v/>
      </c>
      <c r="G113" t="n">
        <v>3895.793</v>
      </c>
      <c r="H113" t="n">
        <v>0.01077007941643719</v>
      </c>
      <c r="I113" t="n">
        <v>0.05820971494121996</v>
      </c>
    </row>
    <row r="114">
      <c r="A114" s="67" t="n">
        <v>23498</v>
      </c>
      <c r="B114" t="n">
        <v/>
      </c>
      <c r="C114" t="n">
        <v/>
      </c>
      <c r="D114" t="n">
        <v>98.5</v>
      </c>
      <c r="E114" t="n">
        <v>99.90000000000001</v>
      </c>
      <c r="F114" t="n">
        <v>97.2</v>
      </c>
      <c r="G114" t="n">
        <v/>
      </c>
      <c r="H114" t="n">
        <v/>
      </c>
      <c r="I114" t="n">
        <v/>
      </c>
    </row>
    <row r="115">
      <c r="A115" s="67" t="n">
        <v>23559</v>
      </c>
      <c r="B115" t="n">
        <v/>
      </c>
      <c r="C115" t="n">
        <v/>
      </c>
      <c r="D115" t="n">
        <v/>
      </c>
      <c r="E115" t="n">
        <v/>
      </c>
      <c r="F115" t="n">
        <v/>
      </c>
      <c r="G115" t="n">
        <v>3956.657</v>
      </c>
      <c r="H115" t="n">
        <v>0.01538268290630197</v>
      </c>
      <c r="I115" t="n">
        <v>0.0523108270441436</v>
      </c>
    </row>
    <row r="116">
      <c r="A116" s="67" t="n">
        <v>23590</v>
      </c>
      <c r="B116" t="n">
        <v/>
      </c>
      <c r="C116" t="n">
        <v/>
      </c>
      <c r="D116" t="n">
        <v>100.6</v>
      </c>
      <c r="E116" t="n">
        <v/>
      </c>
      <c r="F116" t="n">
        <v/>
      </c>
      <c r="G116" t="n">
        <v/>
      </c>
      <c r="H116" t="n">
        <v/>
      </c>
      <c r="I116" t="n">
        <v/>
      </c>
    </row>
    <row r="117">
      <c r="A117" s="67" t="n">
        <v>23651</v>
      </c>
      <c r="B117" t="n">
        <v/>
      </c>
      <c r="C117" t="n">
        <v/>
      </c>
      <c r="D117" t="n">
        <v/>
      </c>
      <c r="E117" t="n">
        <v/>
      </c>
      <c r="F117" t="n">
        <v/>
      </c>
      <c r="G117" t="n">
        <v>3968.878</v>
      </c>
      <c r="H117" t="n">
        <v>0.003079207776101962</v>
      </c>
      <c r="I117" t="n">
        <v>0.04903501694937461</v>
      </c>
    </row>
    <row r="118">
      <c r="A118" s="67" t="n">
        <v>23682</v>
      </c>
      <c r="B118" t="n">
        <v/>
      </c>
      <c r="C118" t="n">
        <v/>
      </c>
      <c r="D118" t="n">
        <v>99.90000000000001</v>
      </c>
      <c r="E118" t="n">
        <v/>
      </c>
      <c r="F118" t="n">
        <v/>
      </c>
      <c r="G118" t="n">
        <v/>
      </c>
      <c r="H118" t="n">
        <v/>
      </c>
      <c r="I118" t="n">
        <v/>
      </c>
    </row>
    <row r="119">
      <c r="A119" s="67" t="n">
        <v>23743</v>
      </c>
      <c r="B119" t="n">
        <v/>
      </c>
      <c r="C119" t="n">
        <v/>
      </c>
      <c r="D119" t="n">
        <v/>
      </c>
      <c r="E119" t="n">
        <v/>
      </c>
      <c r="F119" t="n">
        <v/>
      </c>
      <c r="G119" t="n">
        <v>4064.915</v>
      </c>
      <c r="H119" t="n">
        <v>0.02362583227447556</v>
      </c>
      <c r="I119" t="n">
        <v>0.05192728507238157</v>
      </c>
    </row>
    <row r="120">
      <c r="A120" s="67" t="n">
        <v>23774</v>
      </c>
      <c r="B120" t="n">
        <v/>
      </c>
      <c r="C120" t="n">
        <v/>
      </c>
      <c r="D120" t="n">
        <v>102</v>
      </c>
      <c r="E120" t="n">
        <v>100.4</v>
      </c>
      <c r="F120" t="n">
        <v>103</v>
      </c>
      <c r="G120" t="n">
        <v/>
      </c>
      <c r="H120" t="n">
        <v/>
      </c>
      <c r="I120" t="n">
        <v/>
      </c>
    </row>
    <row r="121">
      <c r="A121" s="67" t="n">
        <v>23833</v>
      </c>
      <c r="B121" t="n">
        <v/>
      </c>
      <c r="C121" t="n">
        <v/>
      </c>
      <c r="D121" t="n">
        <v/>
      </c>
      <c r="E121" t="n">
        <v/>
      </c>
      <c r="F121" t="n">
        <v/>
      </c>
      <c r="G121" t="n">
        <v>4116.267</v>
      </c>
      <c r="H121" t="n">
        <v>0.01247538121312341</v>
      </c>
      <c r="I121" t="n">
        <v>0.05356163727960303</v>
      </c>
    </row>
    <row r="122">
      <c r="A122" s="67" t="n">
        <v>23863</v>
      </c>
      <c r="B122" t="n">
        <v/>
      </c>
      <c r="C122" t="n">
        <v/>
      </c>
      <c r="D122" t="n">
        <v>105.4</v>
      </c>
      <c r="E122" t="n">
        <v>109</v>
      </c>
      <c r="F122" t="n">
        <v>103.1</v>
      </c>
      <c r="G122" t="n">
        <v/>
      </c>
      <c r="H122" t="n">
        <v/>
      </c>
      <c r="I122" t="n">
        <v/>
      </c>
    </row>
    <row r="123">
      <c r="A123" s="67" t="n">
        <v>23924</v>
      </c>
      <c r="B123" t="n">
        <v/>
      </c>
      <c r="C123" t="n">
        <v/>
      </c>
      <c r="D123" t="n">
        <v/>
      </c>
      <c r="E123" t="n">
        <v/>
      </c>
      <c r="F123" t="n">
        <v/>
      </c>
      <c r="G123" t="n">
        <v>4207.782</v>
      </c>
      <c r="H123" t="n">
        <v>0.02174898794661899</v>
      </c>
      <c r="I123" t="n">
        <v>0.05968108613991884</v>
      </c>
    </row>
    <row r="124">
      <c r="A124" s="67" t="n">
        <v>23955</v>
      </c>
      <c r="B124" t="n">
        <v/>
      </c>
      <c r="C124" t="n">
        <v/>
      </c>
      <c r="D124" t="n">
        <v>103.4</v>
      </c>
      <c r="E124" t="n">
        <v>102.9</v>
      </c>
      <c r="F124" t="n">
        <v>104.3</v>
      </c>
      <c r="G124" t="n">
        <v/>
      </c>
      <c r="H124" t="n">
        <v/>
      </c>
      <c r="I124" t="n">
        <v/>
      </c>
    </row>
    <row r="125">
      <c r="A125" s="67" t="n">
        <v>24016</v>
      </c>
      <c r="B125" t="n">
        <v/>
      </c>
      <c r="C125" t="n">
        <v/>
      </c>
      <c r="D125" t="n">
        <v/>
      </c>
      <c r="E125" t="n">
        <v/>
      </c>
      <c r="F125" t="n">
        <v/>
      </c>
      <c r="G125" t="n">
        <v>4304.731</v>
      </c>
      <c r="H125" t="n">
        <v>0.02252150018200896</v>
      </c>
      <c r="I125" t="n">
        <v>0.07801950923298102</v>
      </c>
    </row>
    <row r="126">
      <c r="A126" s="67" t="n">
        <v>24047</v>
      </c>
      <c r="B126" t="n">
        <v/>
      </c>
      <c r="C126" t="n">
        <v/>
      </c>
      <c r="D126" t="n">
        <v>102.9</v>
      </c>
      <c r="E126" t="n">
        <v>100</v>
      </c>
      <c r="F126" t="n">
        <v>104.8</v>
      </c>
      <c r="G126" t="n">
        <v/>
      </c>
      <c r="H126" t="n">
        <v/>
      </c>
      <c r="I126" t="n">
        <v/>
      </c>
    </row>
    <row r="127">
      <c r="A127" s="67" t="n">
        <v>24108</v>
      </c>
      <c r="B127" t="n">
        <v/>
      </c>
      <c r="C127" t="n">
        <v/>
      </c>
      <c r="D127" t="n">
        <v/>
      </c>
      <c r="E127" t="n">
        <v/>
      </c>
      <c r="F127" t="n">
        <v/>
      </c>
      <c r="G127" t="n">
        <v>4409.518</v>
      </c>
      <c r="H127" t="n">
        <v>0.02376382180546723</v>
      </c>
      <c r="I127" t="n">
        <v>0.07814981138528067</v>
      </c>
    </row>
    <row r="128">
      <c r="A128" s="67" t="n">
        <v>24139</v>
      </c>
      <c r="B128" t="n">
        <v/>
      </c>
      <c r="C128" t="n">
        <v/>
      </c>
      <c r="D128" t="n">
        <v>100</v>
      </c>
      <c r="E128" t="n">
        <v>100</v>
      </c>
      <c r="F128" t="n">
        <v>100</v>
      </c>
      <c r="G128" t="n">
        <v/>
      </c>
      <c r="H128" t="n">
        <v/>
      </c>
      <c r="I128" t="n">
        <v/>
      </c>
    </row>
    <row r="129">
      <c r="A129" s="67" t="n">
        <v>24198</v>
      </c>
      <c r="B129" t="n">
        <v/>
      </c>
      <c r="C129" t="n">
        <v/>
      </c>
      <c r="D129" t="n">
        <v/>
      </c>
      <c r="E129" t="n">
        <v/>
      </c>
      <c r="F129" t="n">
        <v/>
      </c>
      <c r="G129" t="n">
        <v>4424.581</v>
      </c>
      <c r="H129" t="n">
        <v>0.003404390155813647</v>
      </c>
      <c r="I129" t="n">
        <v>0.06968207837081077</v>
      </c>
    </row>
    <row r="130">
      <c r="A130" s="67" t="n">
        <v>24228</v>
      </c>
      <c r="B130" t="n">
        <v/>
      </c>
      <c r="C130" t="n">
        <v/>
      </c>
      <c r="D130" t="n">
        <v>95.7</v>
      </c>
      <c r="E130" t="n">
        <v>95.7</v>
      </c>
      <c r="F130" t="n">
        <v>96</v>
      </c>
      <c r="G130" t="n">
        <v/>
      </c>
      <c r="H130" t="n">
        <v/>
      </c>
      <c r="I130" t="n">
        <v/>
      </c>
    </row>
    <row r="131">
      <c r="A131" s="67" t="n">
        <v>24289</v>
      </c>
      <c r="B131" t="n">
        <v/>
      </c>
      <c r="C131" t="n">
        <v/>
      </c>
      <c r="D131" t="n">
        <v/>
      </c>
      <c r="E131" t="n">
        <v/>
      </c>
      <c r="F131" t="n">
        <v/>
      </c>
      <c r="G131" t="n">
        <v>4462.053</v>
      </c>
      <c r="H131" t="n">
        <v>0.00839792803895421</v>
      </c>
      <c r="I131" t="n">
        <v>0.05698520389605407</v>
      </c>
    </row>
    <row r="132">
      <c r="A132" s="67" t="n">
        <v>24320</v>
      </c>
      <c r="B132" t="n">
        <v/>
      </c>
      <c r="C132" t="n">
        <v/>
      </c>
      <c r="D132" t="n">
        <v>91.2</v>
      </c>
      <c r="E132" t="n">
        <v>92</v>
      </c>
      <c r="F132" t="n">
        <v>90.7</v>
      </c>
      <c r="G132" t="n">
        <v/>
      </c>
      <c r="H132" t="n">
        <v/>
      </c>
      <c r="I132" t="n">
        <v/>
      </c>
    </row>
    <row r="133">
      <c r="A133" s="67" t="n">
        <v>24381</v>
      </c>
      <c r="B133" t="n">
        <v/>
      </c>
      <c r="C133" t="n">
        <v/>
      </c>
      <c r="D133" t="n">
        <v/>
      </c>
      <c r="E133" t="n">
        <v/>
      </c>
      <c r="F133" t="n">
        <v/>
      </c>
      <c r="G133" t="n">
        <v>4498.66</v>
      </c>
      <c r="H133" t="n">
        <v>0.0081373119995732</v>
      </c>
      <c r="I133" t="n">
        <v>0.04310816998839657</v>
      </c>
    </row>
    <row r="134">
      <c r="A134" s="67" t="n">
        <v>24412</v>
      </c>
      <c r="B134" t="n">
        <v/>
      </c>
      <c r="C134" t="n">
        <v/>
      </c>
      <c r="D134" t="n">
        <v>88.3</v>
      </c>
      <c r="E134" t="n">
        <v>85.09999999999999</v>
      </c>
      <c r="F134" t="n">
        <v>90.2</v>
      </c>
      <c r="G134" t="n">
        <v/>
      </c>
      <c r="H134" t="n">
        <v/>
      </c>
      <c r="I134" t="n">
        <v/>
      </c>
    </row>
    <row r="135">
      <c r="A135" s="67" t="n">
        <v>24473</v>
      </c>
      <c r="B135" t="n">
        <v/>
      </c>
      <c r="C135" t="n">
        <v/>
      </c>
      <c r="D135" t="n">
        <v/>
      </c>
      <c r="E135" t="n">
        <v/>
      </c>
      <c r="F135" t="n">
        <v/>
      </c>
      <c r="G135" t="n">
        <v>4538.498</v>
      </c>
      <c r="H135" t="n">
        <v>0.008777793886876174</v>
      </c>
      <c r="I135" t="n">
        <v>0.02841909371778936</v>
      </c>
    </row>
    <row r="136">
      <c r="A136" s="67" t="n">
        <v>24504</v>
      </c>
      <c r="B136" t="n">
        <v/>
      </c>
      <c r="C136" t="n">
        <v/>
      </c>
      <c r="D136" t="n">
        <v>94.09999999999999</v>
      </c>
      <c r="E136" t="n">
        <v>90.40000000000001</v>
      </c>
      <c r="F136" t="n">
        <v>96.40000000000001</v>
      </c>
      <c r="G136" t="n">
        <v/>
      </c>
      <c r="H136" t="n">
        <v/>
      </c>
      <c r="I136" t="n">
        <v/>
      </c>
    </row>
    <row r="137">
      <c r="A137" s="67" t="n">
        <v>24563</v>
      </c>
      <c r="B137" t="n">
        <v/>
      </c>
      <c r="C137" t="n">
        <v/>
      </c>
      <c r="D137" t="n">
        <v/>
      </c>
      <c r="E137" t="n">
        <v/>
      </c>
      <c r="F137" t="n">
        <v/>
      </c>
      <c r="G137" t="n">
        <v>4541.28</v>
      </c>
      <c r="H137" t="n">
        <v>0.0006126026142409525</v>
      </c>
      <c r="I137" t="n">
        <v>0.02569738047422745</v>
      </c>
    </row>
    <row r="138">
      <c r="A138" s="67" t="n">
        <v>24593</v>
      </c>
      <c r="B138" t="n">
        <v/>
      </c>
      <c r="C138" t="n">
        <v/>
      </c>
      <c r="D138" t="n">
        <v>95.90000000000001</v>
      </c>
      <c r="E138" t="n">
        <v>98.40000000000001</v>
      </c>
      <c r="F138" t="n">
        <v>94.3</v>
      </c>
      <c r="G138" t="n">
        <v/>
      </c>
      <c r="H138" t="n">
        <v/>
      </c>
      <c r="I138" t="n">
        <v/>
      </c>
    </row>
    <row r="139">
      <c r="A139" s="67" t="n">
        <v>24654</v>
      </c>
      <c r="B139" t="n">
        <v/>
      </c>
      <c r="C139" t="n">
        <v/>
      </c>
      <c r="D139" t="n">
        <v/>
      </c>
      <c r="E139" t="n">
        <v/>
      </c>
      <c r="F139" t="n">
        <v/>
      </c>
      <c r="G139" t="n">
        <v>4584.246</v>
      </c>
      <c r="H139" t="n">
        <v>0.009372533672931241</v>
      </c>
      <c r="I139" t="n">
        <v>0.02665498317498673</v>
      </c>
    </row>
    <row r="140">
      <c r="A140" s="67" t="n">
        <v>24685</v>
      </c>
      <c r="B140" t="n">
        <v/>
      </c>
      <c r="C140" t="n">
        <v/>
      </c>
      <c r="D140" t="n">
        <v>97</v>
      </c>
      <c r="E140" t="n">
        <v>99.5</v>
      </c>
      <c r="F140" t="n">
        <v>95.5</v>
      </c>
      <c r="G140" t="n">
        <v/>
      </c>
      <c r="H140" t="n">
        <v/>
      </c>
      <c r="I140" t="n">
        <v/>
      </c>
    </row>
    <row r="141">
      <c r="A141" s="67" t="n">
        <v>24746</v>
      </c>
      <c r="B141" t="n">
        <v/>
      </c>
      <c r="C141" t="n">
        <v/>
      </c>
      <c r="D141" t="n">
        <v/>
      </c>
      <c r="E141" t="n">
        <v/>
      </c>
      <c r="F141" t="n">
        <v/>
      </c>
      <c r="G141" t="n">
        <v>4618.812</v>
      </c>
      <c r="H141" t="n">
        <v>0.007483742572765422</v>
      </c>
      <c r="I141" t="n">
        <v>0.02601361562237217</v>
      </c>
    </row>
    <row r="142">
      <c r="A142" s="67" t="n">
        <v>24777</v>
      </c>
      <c r="B142" t="n">
        <v/>
      </c>
      <c r="C142" t="n">
        <v/>
      </c>
      <c r="D142" t="n">
        <v>92.90000000000001</v>
      </c>
      <c r="E142" t="n">
        <v>95.59999999999999</v>
      </c>
      <c r="F142" t="n">
        <v>91.09999999999999</v>
      </c>
      <c r="G142" t="n">
        <v/>
      </c>
      <c r="H142" t="n">
        <v/>
      </c>
      <c r="I142" t="n">
        <v/>
      </c>
    </row>
    <row r="143">
      <c r="A143" s="67" t="n">
        <v>24838</v>
      </c>
      <c r="B143" t="n">
        <v/>
      </c>
      <c r="C143" t="n">
        <v/>
      </c>
      <c r="D143" t="n">
        <v/>
      </c>
      <c r="E143" t="n">
        <v/>
      </c>
      <c r="F143" t="n">
        <v/>
      </c>
      <c r="G143" t="n">
        <v>4713.013</v>
      </c>
      <c r="H143" t="n">
        <v>0.01998742630245239</v>
      </c>
      <c r="I143" t="n">
        <v>0.03702832986032509</v>
      </c>
    </row>
    <row r="144">
      <c r="A144" s="67" t="n">
        <v>24869</v>
      </c>
      <c r="B144" t="n">
        <v/>
      </c>
      <c r="C144" t="n">
        <v/>
      </c>
      <c r="D144" t="n">
        <v>97.2</v>
      </c>
      <c r="E144" t="n">
        <v>101.6</v>
      </c>
      <c r="F144" t="n">
        <v>94.3</v>
      </c>
      <c r="G144" t="n">
        <v/>
      </c>
      <c r="H144" t="n">
        <v/>
      </c>
      <c r="I144" t="n">
        <v/>
      </c>
    </row>
    <row r="145">
      <c r="A145" s="67" t="n">
        <v>24929</v>
      </c>
      <c r="B145" t="n">
        <v/>
      </c>
      <c r="C145" t="n">
        <v/>
      </c>
      <c r="D145" t="n">
        <v/>
      </c>
      <c r="E145" t="n">
        <v/>
      </c>
      <c r="F145" t="n">
        <v/>
      </c>
      <c r="G145" t="n">
        <v>4791.758</v>
      </c>
      <c r="H145" t="n">
        <v>0.01643342589504727</v>
      </c>
      <c r="I145" t="n">
        <v>0.05227267320261167</v>
      </c>
    </row>
    <row r="146">
      <c r="A146" s="67" t="n">
        <v>24959</v>
      </c>
      <c r="B146" t="n">
        <v/>
      </c>
      <c r="C146" t="n">
        <v/>
      </c>
      <c r="D146" t="n">
        <v>92.40000000000001</v>
      </c>
      <c r="E146" t="n">
        <v>96.40000000000001</v>
      </c>
      <c r="F146" t="n">
        <v>89.90000000000001</v>
      </c>
      <c r="G146" t="n">
        <v/>
      </c>
      <c r="H146" t="n">
        <v/>
      </c>
      <c r="I146" t="n">
        <v/>
      </c>
    </row>
    <row r="147">
      <c r="A147" s="67" t="n">
        <v>25020</v>
      </c>
      <c r="B147" t="n">
        <v/>
      </c>
      <c r="C147" t="n">
        <v/>
      </c>
      <c r="D147" t="n">
        <v/>
      </c>
      <c r="E147" t="n">
        <v/>
      </c>
      <c r="F147" t="n">
        <v/>
      </c>
      <c r="G147" t="n">
        <v>4828.892</v>
      </c>
      <c r="H147" t="n">
        <v>0.007689962832053402</v>
      </c>
      <c r="I147" t="n">
        <v>0.05066296781953288</v>
      </c>
    </row>
    <row r="148">
      <c r="A148" s="67" t="n">
        <v>25051</v>
      </c>
      <c r="B148" t="n">
        <v/>
      </c>
      <c r="C148" t="n">
        <v/>
      </c>
      <c r="D148" t="n">
        <v>92.40000000000001</v>
      </c>
      <c r="E148" t="n">
        <v>96.8</v>
      </c>
      <c r="F148" t="n">
        <v>89.59999999999999</v>
      </c>
      <c r="G148" t="n">
        <v/>
      </c>
      <c r="H148" t="n">
        <v/>
      </c>
      <c r="I148" t="n">
        <v/>
      </c>
    </row>
    <row r="149">
      <c r="A149" s="67" t="n">
        <v>25112</v>
      </c>
      <c r="B149" t="n">
        <v/>
      </c>
      <c r="C149" t="n">
        <v/>
      </c>
      <c r="D149" t="n">
        <v/>
      </c>
      <c r="E149" t="n">
        <v/>
      </c>
      <c r="F149" t="n">
        <v/>
      </c>
      <c r="G149" t="n">
        <v>4847.885</v>
      </c>
      <c r="H149" t="n">
        <v>0.003917790954199696</v>
      </c>
      <c r="I149" t="n">
        <v>0.04725215222720842</v>
      </c>
    </row>
    <row r="150">
      <c r="A150" s="67" t="n">
        <v>25143</v>
      </c>
      <c r="B150" t="n">
        <v/>
      </c>
      <c r="C150" t="n">
        <v/>
      </c>
      <c r="D150" t="n">
        <v>91.7</v>
      </c>
      <c r="E150" t="n">
        <v>91.90000000000001</v>
      </c>
      <c r="F150" t="n">
        <v>91.59999999999999</v>
      </c>
      <c r="G150" t="n">
        <v/>
      </c>
      <c r="H150" t="n">
        <v/>
      </c>
      <c r="I150" t="n">
        <v/>
      </c>
    </row>
    <row r="151">
      <c r="A151" s="67" t="n">
        <v>25204</v>
      </c>
      <c r="B151" t="n">
        <v/>
      </c>
      <c r="C151" t="n">
        <v/>
      </c>
      <c r="D151" t="n">
        <v/>
      </c>
      <c r="E151" t="n">
        <v/>
      </c>
      <c r="F151" t="n">
        <v/>
      </c>
      <c r="G151" t="n">
        <v>4923.76</v>
      </c>
      <c r="H151" t="n">
        <v>0.01540997124149024</v>
      </c>
      <c r="I151" t="n">
        <v>0.04280204559117428</v>
      </c>
    </row>
    <row r="152">
      <c r="A152" s="67" t="n">
        <v>25235</v>
      </c>
      <c r="B152" t="n">
        <v/>
      </c>
      <c r="C152" t="n">
        <v/>
      </c>
      <c r="D152" t="n">
        <v>98.2</v>
      </c>
      <c r="E152" t="n">
        <v>98.3</v>
      </c>
      <c r="F152" t="n">
        <v>98</v>
      </c>
      <c r="G152" t="n">
        <v/>
      </c>
      <c r="H152" t="n">
        <v/>
      </c>
      <c r="I152" t="n">
        <v/>
      </c>
    </row>
    <row r="153">
      <c r="A153" s="67" t="n">
        <v>25294</v>
      </c>
      <c r="B153" t="n">
        <v/>
      </c>
      <c r="C153" t="n">
        <v/>
      </c>
      <c r="D153" t="n">
        <v/>
      </c>
      <c r="E153" t="n">
        <v/>
      </c>
      <c r="F153" t="n">
        <v/>
      </c>
      <c r="G153" t="n">
        <v>4938.728</v>
      </c>
      <c r="H153" t="n">
        <v>0.003030739899018502</v>
      </c>
      <c r="I153" t="n">
        <v>0.02975867470328398</v>
      </c>
    </row>
    <row r="154">
      <c r="A154" s="67" t="n">
        <v>25324</v>
      </c>
      <c r="B154" t="n">
        <v/>
      </c>
      <c r="C154" t="n">
        <v/>
      </c>
      <c r="D154" t="n">
        <v>91.5</v>
      </c>
      <c r="E154" t="n">
        <v>92.2</v>
      </c>
      <c r="F154" t="n">
        <v>91.09999999999999</v>
      </c>
      <c r="G154" t="n">
        <v/>
      </c>
      <c r="H154" t="n">
        <v/>
      </c>
      <c r="I154" t="n">
        <v/>
      </c>
    </row>
    <row r="155">
      <c r="A155" s="67" t="n">
        <v>25385</v>
      </c>
      <c r="B155" t="n">
        <v/>
      </c>
      <c r="C155" t="n">
        <v/>
      </c>
      <c r="D155" t="n">
        <v/>
      </c>
      <c r="E155" t="n">
        <v/>
      </c>
      <c r="F155" t="n">
        <v/>
      </c>
      <c r="G155" t="n">
        <v>4971.349</v>
      </c>
      <c r="H155" t="n">
        <v>0.006561800428817227</v>
      </c>
      <c r="I155" t="n">
        <v>0.02865560233248568</v>
      </c>
    </row>
    <row r="156">
      <c r="A156" s="67" t="n">
        <v>25416</v>
      </c>
      <c r="B156" t="n">
        <v/>
      </c>
      <c r="C156" t="n">
        <v/>
      </c>
      <c r="D156" t="n">
        <v>86.40000000000001</v>
      </c>
      <c r="E156" t="n">
        <v>86.2</v>
      </c>
      <c r="F156" t="n">
        <v>86.59999999999999</v>
      </c>
      <c r="G156" t="n">
        <v/>
      </c>
      <c r="H156" t="n">
        <v/>
      </c>
      <c r="I156" t="n">
        <v/>
      </c>
    </row>
    <row r="157">
      <c r="A157" s="67" t="n">
        <v>25477</v>
      </c>
      <c r="B157" t="n">
        <v/>
      </c>
      <c r="C157" t="n">
        <v/>
      </c>
      <c r="D157" t="n">
        <v/>
      </c>
      <c r="E157" t="n">
        <v/>
      </c>
      <c r="F157" t="n">
        <v/>
      </c>
      <c r="G157" t="n">
        <v>4947.104</v>
      </c>
      <c r="H157" t="n">
        <v>-0.004900847041016298</v>
      </c>
      <c r="I157" t="n">
        <v>0.02005597618323772</v>
      </c>
    </row>
    <row r="158">
      <c r="A158" s="67" t="n">
        <v>25508</v>
      </c>
      <c r="B158" t="n">
        <v/>
      </c>
      <c r="C158" t="n">
        <v/>
      </c>
      <c r="D158" t="n">
        <v>79.7</v>
      </c>
      <c r="E158" t="n">
        <v>79.90000000000001</v>
      </c>
      <c r="F158" t="n">
        <v>79.59999999999999</v>
      </c>
      <c r="G158" t="n">
        <v/>
      </c>
      <c r="H158" t="n">
        <v/>
      </c>
      <c r="I158" t="n">
        <v/>
      </c>
    </row>
    <row r="159">
      <c r="A159" s="67" t="n">
        <v>25569</v>
      </c>
      <c r="B159" t="n">
        <v/>
      </c>
      <c r="C159" t="n">
        <v/>
      </c>
      <c r="D159" t="n">
        <v/>
      </c>
      <c r="E159" t="n">
        <v/>
      </c>
      <c r="F159" t="n">
        <v/>
      </c>
      <c r="G159" t="n">
        <v>4939.759</v>
      </c>
      <c r="H159" t="n">
        <v>-0.001486914645026256</v>
      </c>
      <c r="I159" t="n">
        <v>0.003238821974918168</v>
      </c>
    </row>
    <row r="160">
      <c r="A160" s="67" t="n">
        <v>25600</v>
      </c>
      <c r="B160" t="n">
        <v/>
      </c>
      <c r="C160" t="n">
        <v/>
      </c>
      <c r="D160" t="n">
        <v>78.09999999999999</v>
      </c>
      <c r="E160" t="n">
        <v>81.59999999999999</v>
      </c>
      <c r="F160" t="n">
        <v>75.8</v>
      </c>
      <c r="G160" t="n">
        <v/>
      </c>
      <c r="H160" t="n">
        <v/>
      </c>
      <c r="I160" t="n">
        <v/>
      </c>
    </row>
    <row r="161">
      <c r="A161" s="67" t="n">
        <v>25659</v>
      </c>
      <c r="B161" t="n">
        <v/>
      </c>
      <c r="C161" t="n">
        <v/>
      </c>
      <c r="D161" t="n">
        <v/>
      </c>
      <c r="E161" t="n">
        <v/>
      </c>
      <c r="F161" t="n">
        <v/>
      </c>
      <c r="G161" t="n">
        <v>4946.77</v>
      </c>
      <c r="H161" t="n">
        <v>0.001417288452869331</v>
      </c>
      <c r="I161" t="n">
        <v>0.001625707279699758</v>
      </c>
    </row>
    <row r="162">
      <c r="A162" s="67" t="n">
        <v>25689</v>
      </c>
      <c r="B162" t="n">
        <v/>
      </c>
      <c r="C162" t="n">
        <v/>
      </c>
      <c r="D162" t="n">
        <v>75.40000000000001</v>
      </c>
      <c r="E162" t="n">
        <v>81.90000000000001</v>
      </c>
      <c r="F162" t="n">
        <v>71.2</v>
      </c>
      <c r="G162" t="n">
        <v/>
      </c>
      <c r="H162" t="n">
        <v/>
      </c>
      <c r="I162" t="n">
        <v/>
      </c>
    </row>
    <row r="163">
      <c r="A163" s="67" t="n">
        <v>25750</v>
      </c>
      <c r="B163" t="n">
        <v/>
      </c>
      <c r="C163" t="n">
        <v/>
      </c>
      <c r="D163" t="n">
        <v/>
      </c>
      <c r="E163" t="n">
        <v/>
      </c>
      <c r="F163" t="n">
        <v/>
      </c>
      <c r="G163" t="n">
        <v>4992.357</v>
      </c>
      <c r="H163" t="n">
        <v>0.009131358194135462</v>
      </c>
      <c r="I163" t="n">
        <v>0.00420803239832404</v>
      </c>
    </row>
    <row r="164">
      <c r="A164" s="67" t="n">
        <v>25781</v>
      </c>
      <c r="B164" t="n">
        <v/>
      </c>
      <c r="C164" t="n">
        <v/>
      </c>
      <c r="D164" t="n">
        <v>77.59999999999999</v>
      </c>
      <c r="E164" t="n">
        <v>80.59999999999999</v>
      </c>
      <c r="F164" t="n">
        <v>75.7</v>
      </c>
      <c r="G164" t="n">
        <v/>
      </c>
      <c r="H164" t="n">
        <v/>
      </c>
      <c r="I164" t="n">
        <v/>
      </c>
    </row>
    <row r="165">
      <c r="A165" s="67" t="n">
        <v>25842</v>
      </c>
      <c r="B165" t="n">
        <v/>
      </c>
      <c r="C165" t="n">
        <v/>
      </c>
      <c r="D165" t="n">
        <v/>
      </c>
      <c r="E165" t="n">
        <v/>
      </c>
      <c r="F165" t="n">
        <v/>
      </c>
      <c r="G165" t="n">
        <v>4938.857</v>
      </c>
      <c r="H165" t="n">
        <v>-0.01083246589241195</v>
      </c>
      <c r="I165" t="n">
        <v>-0.001669819555415413</v>
      </c>
    </row>
    <row r="166">
      <c r="A166" s="67" t="n">
        <v>25873</v>
      </c>
      <c r="B166" t="n">
        <v/>
      </c>
      <c r="C166" t="n">
        <v/>
      </c>
      <c r="D166" t="n">
        <v>72.40000000000001</v>
      </c>
      <c r="E166" t="n">
        <v>74</v>
      </c>
      <c r="F166" t="n">
        <v>71.3</v>
      </c>
      <c r="G166" t="n">
        <v/>
      </c>
      <c r="H166" t="n">
        <v/>
      </c>
      <c r="I166" t="n">
        <v/>
      </c>
    </row>
    <row r="167">
      <c r="A167" s="67" t="n">
        <v>25934</v>
      </c>
      <c r="B167" t="n">
        <v/>
      </c>
      <c r="C167" t="n">
        <v/>
      </c>
      <c r="D167" t="n">
        <v/>
      </c>
      <c r="E167" t="n">
        <v/>
      </c>
      <c r="F167" t="n">
        <v/>
      </c>
      <c r="G167" t="n">
        <v>5072.996</v>
      </c>
      <c r="H167" t="n">
        <v>0.02644177129254589</v>
      </c>
      <c r="I167" t="n">
        <v>0.02626396709163581</v>
      </c>
    </row>
    <row r="168">
      <c r="A168" s="67" t="n">
        <v>25965</v>
      </c>
      <c r="B168" t="n">
        <v/>
      </c>
      <c r="C168" t="n">
        <v/>
      </c>
      <c r="D168" t="n">
        <v>78.09999999999999</v>
      </c>
      <c r="E168" t="n">
        <v>81.7</v>
      </c>
      <c r="F168" t="n">
        <v>75.90000000000001</v>
      </c>
      <c r="G168" t="n">
        <v/>
      </c>
      <c r="H168" t="n">
        <v/>
      </c>
      <c r="I168" t="n">
        <v/>
      </c>
    </row>
    <row r="169">
      <c r="A169" s="67" t="n">
        <v>26024</v>
      </c>
      <c r="B169" t="n">
        <v/>
      </c>
      <c r="C169" t="n">
        <v/>
      </c>
      <c r="D169" t="n">
        <v/>
      </c>
      <c r="E169" t="n">
        <v/>
      </c>
      <c r="F169" t="n">
        <v/>
      </c>
      <c r="G169" t="n">
        <v>5100.447</v>
      </c>
      <c r="H169" t="n">
        <v>0.00538207729636246</v>
      </c>
      <c r="I169" t="n">
        <v>0.0301301042830167</v>
      </c>
    </row>
    <row r="170">
      <c r="A170" s="67" t="n">
        <v>26054</v>
      </c>
      <c r="B170" t="n">
        <v/>
      </c>
      <c r="C170" t="n">
        <v/>
      </c>
      <c r="D170" t="n">
        <v>80.2</v>
      </c>
      <c r="E170" t="n">
        <v>87</v>
      </c>
      <c r="F170" t="n">
        <v>75.90000000000001</v>
      </c>
      <c r="G170" t="n">
        <v/>
      </c>
      <c r="H170" t="n">
        <v/>
      </c>
      <c r="I170" t="n">
        <v/>
      </c>
    </row>
    <row r="171">
      <c r="A171" s="67" t="n">
        <v>26115</v>
      </c>
      <c r="B171" t="n">
        <v/>
      </c>
      <c r="C171" t="n">
        <v/>
      </c>
      <c r="D171" t="n">
        <v/>
      </c>
      <c r="E171" t="n">
        <v/>
      </c>
      <c r="F171" t="n">
        <v/>
      </c>
      <c r="G171" t="n">
        <v>5142.422</v>
      </c>
      <c r="H171" t="n">
        <v>0.008162496193427815</v>
      </c>
      <c r="I171" t="n">
        <v>0.02918177465793348</v>
      </c>
    </row>
    <row r="172">
      <c r="A172" s="67" t="n">
        <v>26146</v>
      </c>
      <c r="B172" t="n">
        <v/>
      </c>
      <c r="C172" t="n">
        <v/>
      </c>
      <c r="D172" t="n">
        <v>82.09999999999999</v>
      </c>
      <c r="E172" t="n">
        <v>87.8</v>
      </c>
      <c r="F172" t="n">
        <v>78.40000000000001</v>
      </c>
      <c r="G172" t="n">
        <v/>
      </c>
      <c r="H172" t="n">
        <v/>
      </c>
      <c r="I172" t="n">
        <v/>
      </c>
    </row>
    <row r="173">
      <c r="A173" s="67" t="n">
        <v>26207</v>
      </c>
      <c r="B173" t="n">
        <v/>
      </c>
      <c r="C173" t="n">
        <v/>
      </c>
      <c r="D173" t="n">
        <v/>
      </c>
      <c r="E173" t="n">
        <v/>
      </c>
      <c r="F173" t="n">
        <v/>
      </c>
      <c r="G173" t="n">
        <v>5154.547</v>
      </c>
      <c r="H173" t="n">
        <v>0.002352292063686683</v>
      </c>
      <c r="I173" t="n">
        <v>0.04184460826528492</v>
      </c>
    </row>
    <row r="174">
      <c r="A174" s="67" t="n">
        <v>26238</v>
      </c>
      <c r="B174" t="n">
        <v/>
      </c>
      <c r="C174" t="n">
        <v/>
      </c>
      <c r="D174" t="n">
        <v>82</v>
      </c>
      <c r="E174" t="n">
        <v>89.59999999999999</v>
      </c>
      <c r="F174" t="n">
        <v>77.2</v>
      </c>
      <c r="G174" t="n">
        <v/>
      </c>
      <c r="H174" t="n">
        <v/>
      </c>
      <c r="I174" t="n">
        <v/>
      </c>
    </row>
    <row r="175">
      <c r="A175" s="67" t="n">
        <v>26299</v>
      </c>
      <c r="B175" t="n">
        <v/>
      </c>
      <c r="C175" t="n">
        <v/>
      </c>
      <c r="D175" t="n">
        <v/>
      </c>
      <c r="E175" t="n">
        <v/>
      </c>
      <c r="F175" t="n">
        <v/>
      </c>
      <c r="G175" t="n">
        <v>5249.337</v>
      </c>
      <c r="H175" t="n">
        <v>0.0180575185018605</v>
      </c>
      <c r="I175" t="n">
        <v>0.03359300422129505</v>
      </c>
    </row>
    <row r="176">
      <c r="A176" s="67" t="n">
        <v>26330</v>
      </c>
      <c r="B176" t="n">
        <v/>
      </c>
      <c r="C176" t="n">
        <v/>
      </c>
      <c r="D176" t="n">
        <v>92.8</v>
      </c>
      <c r="E176" t="n">
        <v>95.7</v>
      </c>
      <c r="F176" t="n">
        <v>90.90000000000001</v>
      </c>
      <c r="G176" t="n">
        <v/>
      </c>
      <c r="H176" t="n">
        <v/>
      </c>
      <c r="I176" t="n">
        <v/>
      </c>
    </row>
    <row r="177">
      <c r="A177" s="67" t="n">
        <v>26390</v>
      </c>
      <c r="B177" t="n">
        <v/>
      </c>
      <c r="C177" t="n">
        <v/>
      </c>
      <c r="D177" t="n">
        <v/>
      </c>
      <c r="E177" t="n">
        <v/>
      </c>
      <c r="F177" t="n">
        <v/>
      </c>
      <c r="G177" t="n">
        <v>5368.485</v>
      </c>
      <c r="H177" t="n">
        <v>0.02219397092475796</v>
      </c>
      <c r="I177" t="n">
        <v>0.0499280523276119</v>
      </c>
    </row>
    <row r="178">
      <c r="A178" s="67" t="n">
        <v>26420</v>
      </c>
      <c r="B178" t="n">
        <v/>
      </c>
      <c r="C178" t="n">
        <v/>
      </c>
      <c r="D178" t="n">
        <v>88.59999999999999</v>
      </c>
      <c r="E178" t="n">
        <v>98.59999999999999</v>
      </c>
      <c r="F178" t="n">
        <v>82.2</v>
      </c>
      <c r="G178" t="n">
        <v/>
      </c>
      <c r="H178" t="n">
        <v/>
      </c>
      <c r="I178" t="n">
        <v/>
      </c>
    </row>
    <row r="179">
      <c r="A179" s="67" t="n">
        <v>26481</v>
      </c>
      <c r="B179" t="n">
        <v/>
      </c>
      <c r="C179" t="n">
        <v/>
      </c>
      <c r="D179" t="n">
        <v/>
      </c>
      <c r="E179" t="n">
        <v/>
      </c>
      <c r="F179" t="n">
        <v/>
      </c>
      <c r="G179" t="n">
        <v>5419.184</v>
      </c>
      <c r="H179" t="n">
        <v>0.009355467539024422</v>
      </c>
      <c r="I179" t="n">
        <v>0.05107078851723813</v>
      </c>
    </row>
    <row r="180">
      <c r="A180" s="67" t="n">
        <v>26512</v>
      </c>
      <c r="B180" t="n">
        <v/>
      </c>
      <c r="C180" t="n">
        <v/>
      </c>
      <c r="D180" t="n">
        <v>95.2</v>
      </c>
      <c r="E180" t="n">
        <v>101.2</v>
      </c>
      <c r="F180" t="n">
        <v>91.3</v>
      </c>
      <c r="G180" t="n">
        <v/>
      </c>
      <c r="H180" t="n">
        <v/>
      </c>
      <c r="I180" t="n">
        <v/>
      </c>
    </row>
    <row r="181">
      <c r="A181" s="67" t="n">
        <v>26573</v>
      </c>
      <c r="B181" t="n">
        <v/>
      </c>
      <c r="C181" t="n">
        <v/>
      </c>
      <c r="D181" t="n">
        <v/>
      </c>
      <c r="E181" t="n">
        <v/>
      </c>
      <c r="F181" t="n">
        <v/>
      </c>
      <c r="G181" t="n">
        <v>5509.926</v>
      </c>
      <c r="H181" t="n">
        <v>0.01646882371922966</v>
      </c>
      <c r="I181" t="n">
        <v>0.06449796240457691</v>
      </c>
    </row>
    <row r="182">
      <c r="A182" s="67" t="n">
        <v>26604</v>
      </c>
      <c r="B182" t="n">
        <v/>
      </c>
      <c r="C182" t="n">
        <v/>
      </c>
      <c r="D182" t="n">
        <v>90.7</v>
      </c>
      <c r="E182" t="n">
        <v>95.2</v>
      </c>
      <c r="F182" t="n">
        <v>87.8</v>
      </c>
      <c r="G182" t="n">
        <v/>
      </c>
      <c r="H182" t="n">
        <v/>
      </c>
      <c r="I182" t="n">
        <v/>
      </c>
    </row>
    <row r="183">
      <c r="A183" s="67" t="n">
        <v>26665</v>
      </c>
      <c r="B183" t="n">
        <v/>
      </c>
      <c r="C183" t="n">
        <v/>
      </c>
      <c r="D183" t="n">
        <v/>
      </c>
      <c r="E183" t="n">
        <v/>
      </c>
      <c r="F183" t="n">
        <v/>
      </c>
      <c r="G183" t="n">
        <v>5646.286</v>
      </c>
      <c r="H183" t="n">
        <v>0.02415038841461443</v>
      </c>
      <c r="I183" t="n">
        <v>0.07030267329710178</v>
      </c>
    </row>
    <row r="184">
      <c r="A184" s="67" t="n">
        <v>26696</v>
      </c>
      <c r="B184" t="n">
        <v/>
      </c>
      <c r="C184" t="n">
        <v/>
      </c>
      <c r="D184" t="n">
        <v>81.90000000000001</v>
      </c>
      <c r="E184" t="n">
        <v>95.09999999999999</v>
      </c>
      <c r="F184" t="n">
        <v>73.3</v>
      </c>
      <c r="G184" t="n">
        <v/>
      </c>
      <c r="H184" t="n">
        <v/>
      </c>
      <c r="I184" t="n">
        <v/>
      </c>
    </row>
    <row r="185">
      <c r="A185" s="67" t="n">
        <v>26755</v>
      </c>
      <c r="B185" t="n">
        <v/>
      </c>
      <c r="C185" t="n">
        <v/>
      </c>
      <c r="D185" t="n">
        <v/>
      </c>
      <c r="E185" t="n">
        <v/>
      </c>
      <c r="F185" t="n">
        <v/>
      </c>
      <c r="G185" t="n">
        <v>5707.755</v>
      </c>
      <c r="H185" t="n">
        <v>0.01076938305866318</v>
      </c>
      <c r="I185" t="n">
        <v>0.05944018269880197</v>
      </c>
    </row>
    <row r="186">
      <c r="A186" s="67" t="n">
        <v>26785</v>
      </c>
      <c r="B186" t="n">
        <v/>
      </c>
      <c r="C186" t="n">
        <v/>
      </c>
      <c r="D186" t="n">
        <v>77</v>
      </c>
      <c r="E186" t="n">
        <v>92</v>
      </c>
      <c r="F186" t="n">
        <v>67.3</v>
      </c>
      <c r="G186" t="n">
        <v/>
      </c>
      <c r="H186" t="n">
        <v/>
      </c>
      <c r="I186" t="n">
        <v/>
      </c>
    </row>
    <row r="187">
      <c r="A187" s="67" t="n">
        <v>26846</v>
      </c>
      <c r="B187" t="n">
        <v/>
      </c>
      <c r="C187" t="n">
        <v/>
      </c>
      <c r="D187" t="n">
        <v/>
      </c>
      <c r="E187" t="n">
        <v/>
      </c>
      <c r="F187" t="n">
        <v/>
      </c>
      <c r="G187" t="n">
        <v>5677.738</v>
      </c>
      <c r="H187" t="n">
        <v>-0.005286788506267782</v>
      </c>
      <c r="I187" t="n">
        <v>0.0455382055318509</v>
      </c>
    </row>
    <row r="188">
      <c r="A188" s="67" t="n">
        <v>26877</v>
      </c>
      <c r="B188" t="n">
        <v/>
      </c>
      <c r="C188" t="n">
        <v/>
      </c>
      <c r="D188" t="n">
        <v>72</v>
      </c>
      <c r="E188" t="n">
        <v>85.90000000000001</v>
      </c>
      <c r="F188" t="n">
        <v>63</v>
      </c>
      <c r="G188" t="n">
        <v/>
      </c>
      <c r="H188" t="n">
        <v/>
      </c>
      <c r="I188" t="n">
        <v/>
      </c>
    </row>
    <row r="189">
      <c r="A189" s="67" t="n">
        <v>26938</v>
      </c>
      <c r="B189" t="n">
        <v/>
      </c>
      <c r="C189" t="n">
        <v/>
      </c>
      <c r="D189" t="n">
        <v/>
      </c>
      <c r="E189" t="n">
        <v/>
      </c>
      <c r="F189" t="n">
        <v/>
      </c>
      <c r="G189" t="n">
        <v>5731.632</v>
      </c>
      <c r="H189" t="n">
        <v>0.009402906536916418</v>
      </c>
      <c r="I189" t="n">
        <v>0.03868112956309813</v>
      </c>
    </row>
    <row r="190">
      <c r="A190" s="67" t="n">
        <v>26969</v>
      </c>
      <c r="B190" t="n">
        <v/>
      </c>
      <c r="C190" t="n">
        <v/>
      </c>
      <c r="D190" t="n">
        <v>76.5</v>
      </c>
      <c r="E190" t="n">
        <v>91</v>
      </c>
      <c r="F190" t="n">
        <v>67.09999999999999</v>
      </c>
      <c r="G190" t="n">
        <v/>
      </c>
      <c r="H190" t="n">
        <v/>
      </c>
      <c r="I190" t="n">
        <v/>
      </c>
    </row>
    <row r="191">
      <c r="A191" s="67" t="n">
        <v>27030</v>
      </c>
      <c r="B191" t="n">
        <v/>
      </c>
      <c r="C191" t="n">
        <v/>
      </c>
      <c r="D191" t="n">
        <v/>
      </c>
      <c r="E191" t="n">
        <v/>
      </c>
      <c r="F191" t="n">
        <v/>
      </c>
      <c r="G191" t="n">
        <v>5682.353</v>
      </c>
      <c r="H191" t="n">
        <v>-0.008672287694903774</v>
      </c>
      <c r="I191" t="n">
        <v>0.006347194551271279</v>
      </c>
    </row>
    <row r="192">
      <c r="A192" s="67" t="n">
        <v>27061</v>
      </c>
      <c r="B192" t="n">
        <v/>
      </c>
      <c r="C192" t="n">
        <v/>
      </c>
      <c r="D192" t="n">
        <v>61.8</v>
      </c>
      <c r="E192" t="n">
        <v>81.09999999999999</v>
      </c>
      <c r="F192" t="n">
        <v>49.4</v>
      </c>
      <c r="G192" t="n">
        <v/>
      </c>
      <c r="H192" t="n">
        <v/>
      </c>
      <c r="I192" t="n">
        <v/>
      </c>
    </row>
    <row r="193">
      <c r="A193" s="67" t="n">
        <v>27120</v>
      </c>
      <c r="B193" t="n">
        <v/>
      </c>
      <c r="C193" t="n">
        <v/>
      </c>
      <c r="D193" t="n">
        <v/>
      </c>
      <c r="E193" t="n">
        <v/>
      </c>
      <c r="F193" t="n">
        <v/>
      </c>
      <c r="G193" t="n">
        <v>5695.859</v>
      </c>
      <c r="H193" t="n">
        <v>0.002371196337549843</v>
      </c>
      <c r="I193" t="n">
        <v>-0.002088534846104816</v>
      </c>
    </row>
    <row r="194">
      <c r="A194" s="67" t="n">
        <v>27150</v>
      </c>
      <c r="B194" t="n">
        <v/>
      </c>
      <c r="C194" t="n">
        <v/>
      </c>
      <c r="D194" t="n">
        <v>72.09999999999999</v>
      </c>
      <c r="E194" t="n">
        <v>84.90000000000001</v>
      </c>
      <c r="F194" t="n">
        <v>63.9</v>
      </c>
      <c r="G194" t="n">
        <v/>
      </c>
      <c r="H194" t="n">
        <v/>
      </c>
      <c r="I194" t="n">
        <v/>
      </c>
    </row>
    <row r="195">
      <c r="A195" s="67" t="n">
        <v>27211</v>
      </c>
      <c r="B195" t="n">
        <v/>
      </c>
      <c r="C195" t="n">
        <v/>
      </c>
      <c r="D195" t="n">
        <v/>
      </c>
      <c r="E195" t="n">
        <v/>
      </c>
      <c r="F195" t="n">
        <v/>
      </c>
      <c r="G195" t="n">
        <v>5642.025</v>
      </c>
      <c r="H195" t="n">
        <v>-0.009541609617114555</v>
      </c>
      <c r="I195" t="n">
        <v>-0.00632981952401853</v>
      </c>
    </row>
    <row r="196">
      <c r="A196" s="67" t="n">
        <v>27242</v>
      </c>
      <c r="B196" t="n">
        <v/>
      </c>
      <c r="C196" t="n">
        <v/>
      </c>
      <c r="D196" t="n">
        <v>64.40000000000001</v>
      </c>
      <c r="E196" t="n">
        <v>75</v>
      </c>
      <c r="F196" t="n">
        <v>57.6</v>
      </c>
      <c r="G196" t="n">
        <v/>
      </c>
      <c r="H196" t="n">
        <v/>
      </c>
      <c r="I196" t="n">
        <v/>
      </c>
    </row>
    <row r="197">
      <c r="A197" s="67" t="n">
        <v>27303</v>
      </c>
      <c r="B197" t="n">
        <v/>
      </c>
      <c r="C197" t="n">
        <v/>
      </c>
      <c r="D197" t="n">
        <v/>
      </c>
      <c r="E197" t="n">
        <v/>
      </c>
      <c r="F197" t="n">
        <v/>
      </c>
      <c r="G197" t="n">
        <v>5620.126</v>
      </c>
      <c r="H197" t="n">
        <v>-0.003896531857114846</v>
      </c>
      <c r="I197" t="n">
        <v>-0.01984048044474437</v>
      </c>
    </row>
    <row r="198">
      <c r="A198" s="67" t="n">
        <v>27334</v>
      </c>
      <c r="B198" t="n">
        <v/>
      </c>
      <c r="C198" t="n">
        <v/>
      </c>
      <c r="D198" t="n">
        <v>59.5</v>
      </c>
      <c r="E198" t="n">
        <v>72.40000000000001</v>
      </c>
      <c r="F198" t="n">
        <v>51.2</v>
      </c>
      <c r="G198" t="n">
        <v/>
      </c>
      <c r="H198" t="n">
        <v/>
      </c>
      <c r="I198" t="n">
        <v/>
      </c>
    </row>
    <row r="199">
      <c r="A199" s="67" t="n">
        <v>27395</v>
      </c>
      <c r="B199" t="n">
        <v/>
      </c>
      <c r="C199" t="n">
        <v/>
      </c>
      <c r="D199" t="n">
        <v/>
      </c>
      <c r="E199" t="n">
        <v/>
      </c>
      <c r="F199" t="n">
        <v/>
      </c>
      <c r="G199" t="n">
        <v>5551.713</v>
      </c>
      <c r="H199" t="n">
        <v>-0.01232286323158284</v>
      </c>
      <c r="I199" t="n">
        <v>-0.02353147578053843</v>
      </c>
    </row>
    <row r="200">
      <c r="A200" s="67" t="n">
        <v>27426</v>
      </c>
      <c r="B200" t="n">
        <v/>
      </c>
      <c r="C200" t="n">
        <v/>
      </c>
      <c r="D200" t="n">
        <v>57.6</v>
      </c>
      <c r="E200" t="n">
        <v>69.3</v>
      </c>
      <c r="F200" t="n">
        <v>50</v>
      </c>
      <c r="G200" t="n">
        <v/>
      </c>
      <c r="H200" t="n">
        <v/>
      </c>
      <c r="I200" t="n">
        <v/>
      </c>
    </row>
    <row r="201">
      <c r="A201" s="67" t="n">
        <v>27485</v>
      </c>
      <c r="B201" t="n">
        <v/>
      </c>
      <c r="C201" t="n">
        <v/>
      </c>
      <c r="D201" t="n">
        <v/>
      </c>
      <c r="E201" t="n">
        <v/>
      </c>
      <c r="F201" t="n">
        <v/>
      </c>
      <c r="G201" t="n">
        <v>5591.382</v>
      </c>
      <c r="H201" t="n">
        <v>0.007094668187578647</v>
      </c>
      <c r="I201" t="n">
        <v>-0.01868536258120099</v>
      </c>
    </row>
    <row r="202">
      <c r="A202" s="67" t="n">
        <v>27515</v>
      </c>
      <c r="B202" t="n">
        <v/>
      </c>
      <c r="C202" t="n">
        <v/>
      </c>
      <c r="D202" t="n">
        <v>72.8</v>
      </c>
      <c r="E202" t="n">
        <v>77.40000000000001</v>
      </c>
      <c r="F202" t="n">
        <v>69.8</v>
      </c>
      <c r="G202" t="n">
        <v/>
      </c>
      <c r="H202" t="n">
        <v/>
      </c>
      <c r="I202" t="n">
        <v/>
      </c>
    </row>
    <row r="203">
      <c r="A203" s="67" t="n">
        <v>27576</v>
      </c>
      <c r="B203" t="n">
        <v/>
      </c>
      <c r="C203" t="n">
        <v/>
      </c>
      <c r="D203" t="n">
        <v/>
      </c>
      <c r="E203" t="n">
        <v/>
      </c>
      <c r="F203" t="n">
        <v/>
      </c>
      <c r="G203" t="n">
        <v>5687.087</v>
      </c>
      <c r="H203" t="n">
        <v>0.0168284747534196</v>
      </c>
      <c r="I203" t="n">
        <v>0.007923564383664396</v>
      </c>
    </row>
    <row r="204">
      <c r="A204" s="67" t="n">
        <v>27607</v>
      </c>
      <c r="B204" t="n">
        <v/>
      </c>
      <c r="C204" t="n">
        <v/>
      </c>
      <c r="D204" t="n">
        <v>75.7</v>
      </c>
      <c r="E204" t="n">
        <v>83.5</v>
      </c>
      <c r="F204" t="n">
        <v>70.7</v>
      </c>
      <c r="G204" t="n">
        <v/>
      </c>
      <c r="H204" t="n">
        <v/>
      </c>
      <c r="I204" t="n">
        <v/>
      </c>
    </row>
    <row r="205">
      <c r="A205" s="67" t="n">
        <v>27668</v>
      </c>
      <c r="B205" t="n">
        <v/>
      </c>
      <c r="C205" t="n">
        <v/>
      </c>
      <c r="D205" t="n">
        <v/>
      </c>
      <c r="E205" t="n">
        <v/>
      </c>
      <c r="F205" t="n">
        <v/>
      </c>
      <c r="G205" t="n">
        <v>5763.665</v>
      </c>
      <c r="H205" t="n">
        <v>0.01328633777292739</v>
      </c>
      <c r="I205" t="n">
        <v>0.02490411916723122</v>
      </c>
    </row>
    <row r="206">
      <c r="A206" s="67" t="n">
        <v>27699</v>
      </c>
      <c r="B206" t="n">
        <v/>
      </c>
      <c r="C206" t="n">
        <v/>
      </c>
      <c r="D206" t="n">
        <v>75.59999999999999</v>
      </c>
      <c r="E206" t="n">
        <v>84.40000000000001</v>
      </c>
      <c r="F206" t="n">
        <v>69.90000000000001</v>
      </c>
      <c r="G206" t="n">
        <v/>
      </c>
      <c r="H206" t="n">
        <v/>
      </c>
      <c r="I206" t="n">
        <v/>
      </c>
    </row>
    <row r="207">
      <c r="A207" s="67" t="n">
        <v>27760</v>
      </c>
      <c r="B207" t="n">
        <v/>
      </c>
      <c r="C207" t="n">
        <v/>
      </c>
      <c r="D207" t="n">
        <v/>
      </c>
      <c r="E207" t="n">
        <v/>
      </c>
      <c r="F207" t="n">
        <v/>
      </c>
      <c r="G207" t="n">
        <v>5893.276</v>
      </c>
      <c r="H207" t="n">
        <v>0.02199303070142988</v>
      </c>
      <c r="I207" t="n">
        <v>0.05795808647007201</v>
      </c>
    </row>
    <row r="208">
      <c r="A208" s="67" t="n">
        <v>27791</v>
      </c>
      <c r="B208" t="n">
        <v/>
      </c>
      <c r="C208" t="n">
        <v/>
      </c>
      <c r="D208" t="n">
        <v>84.59999999999999</v>
      </c>
      <c r="E208" t="n">
        <v>89.90000000000001</v>
      </c>
      <c r="F208" t="n">
        <v>81.2</v>
      </c>
      <c r="G208" t="n">
        <v/>
      </c>
      <c r="H208" t="n">
        <v/>
      </c>
      <c r="I208" t="n">
        <v/>
      </c>
    </row>
    <row r="209">
      <c r="A209" s="67" t="n">
        <v>27851</v>
      </c>
      <c r="B209" t="n">
        <v/>
      </c>
      <c r="C209" t="n">
        <v/>
      </c>
      <c r="D209" t="n">
        <v/>
      </c>
      <c r="E209" t="n">
        <v/>
      </c>
      <c r="F209" t="n">
        <v/>
      </c>
      <c r="G209" t="n">
        <v>5936.515</v>
      </c>
      <c r="H209" t="n">
        <v>0.00728356620003495</v>
      </c>
      <c r="I209" t="n">
        <v>0.05813730783127823</v>
      </c>
    </row>
    <row r="210">
      <c r="A210" s="67" t="n">
        <v>27881</v>
      </c>
      <c r="B210" t="n">
        <v/>
      </c>
      <c r="C210" t="n">
        <v/>
      </c>
      <c r="D210" t="n">
        <v>83.3</v>
      </c>
      <c r="E210" t="n">
        <v>89.09999999999999</v>
      </c>
      <c r="F210" t="n">
        <v>79.5</v>
      </c>
      <c r="G210" t="n">
        <v/>
      </c>
      <c r="H210" t="n">
        <v/>
      </c>
      <c r="I210" t="n">
        <v/>
      </c>
    </row>
    <row r="211">
      <c r="A211" s="67" t="n">
        <v>27942</v>
      </c>
      <c r="B211" t="n">
        <v/>
      </c>
      <c r="C211" t="n">
        <v/>
      </c>
      <c r="D211" t="n">
        <v/>
      </c>
      <c r="E211" t="n">
        <v/>
      </c>
      <c r="F211" t="n">
        <v/>
      </c>
      <c r="G211" t="n">
        <v>5969.089</v>
      </c>
      <c r="H211" t="n">
        <v>0.005457114142543295</v>
      </c>
      <c r="I211" t="n">
        <v>0.04724372513125529</v>
      </c>
    </row>
    <row r="212">
      <c r="A212" s="67" t="n">
        <v>27973</v>
      </c>
      <c r="B212" t="n">
        <v/>
      </c>
      <c r="C212" t="n">
        <v/>
      </c>
      <c r="D212" t="n">
        <v>89.7</v>
      </c>
      <c r="E212" t="n">
        <v>96.2</v>
      </c>
      <c r="F212" t="n">
        <v>85.5</v>
      </c>
      <c r="G212" t="n">
        <v/>
      </c>
      <c r="H212" t="n">
        <v/>
      </c>
      <c r="I212" t="n">
        <v/>
      </c>
    </row>
    <row r="213">
      <c r="A213" s="67" t="n">
        <v>28034</v>
      </c>
      <c r="B213" t="n">
        <v/>
      </c>
      <c r="C213" t="n">
        <v/>
      </c>
      <c r="D213" t="n">
        <v/>
      </c>
      <c r="E213" t="n">
        <v/>
      </c>
      <c r="F213" t="n">
        <v/>
      </c>
      <c r="G213" t="n">
        <v>6012.356</v>
      </c>
      <c r="H213" t="n">
        <v>0.007196346989433065</v>
      </c>
      <c r="I213" t="n">
        <v>0.04136331913812153</v>
      </c>
    </row>
    <row r="214">
      <c r="A214" s="67" t="n">
        <v>28065</v>
      </c>
      <c r="B214" t="n">
        <v/>
      </c>
      <c r="C214" t="n">
        <v/>
      </c>
      <c r="D214" t="n">
        <v>87</v>
      </c>
      <c r="E214" t="n">
        <v>88.7</v>
      </c>
      <c r="F214" t="n">
        <v>85.90000000000001</v>
      </c>
      <c r="G214" t="n">
        <v/>
      </c>
      <c r="H214" t="n">
        <v/>
      </c>
      <c r="I214" t="n">
        <v/>
      </c>
    </row>
    <row r="215">
      <c r="A215" s="67" t="n">
        <v>28126</v>
      </c>
      <c r="B215" t="n">
        <v/>
      </c>
      <c r="C215" t="n">
        <v/>
      </c>
      <c r="D215" t="n">
        <v/>
      </c>
      <c r="E215" t="n">
        <v/>
      </c>
      <c r="F215" t="n">
        <v/>
      </c>
      <c r="G215" t="n">
        <v>6083.391</v>
      </c>
      <c r="H215" t="n">
        <v>0.01167687561098734</v>
      </c>
      <c r="I215" t="n">
        <v>0.0312514845749681</v>
      </c>
    </row>
    <row r="216">
      <c r="A216" s="67" t="n">
        <v>28157</v>
      </c>
      <c r="B216" t="n">
        <v/>
      </c>
      <c r="C216" t="n">
        <v/>
      </c>
      <c r="D216" t="n">
        <v>87.09999999999999</v>
      </c>
      <c r="E216" t="n">
        <v>91.59999999999999</v>
      </c>
      <c r="F216" t="n">
        <v>84.2</v>
      </c>
      <c r="G216" t="n">
        <v/>
      </c>
      <c r="H216" t="n">
        <v/>
      </c>
      <c r="I216" t="n">
        <v/>
      </c>
    </row>
    <row r="217">
      <c r="A217" s="67" t="n">
        <v>28216</v>
      </c>
      <c r="B217" t="n">
        <v/>
      </c>
      <c r="C217" t="n">
        <v/>
      </c>
      <c r="D217" t="n">
        <v/>
      </c>
      <c r="E217" t="n">
        <v/>
      </c>
      <c r="F217" t="n">
        <v/>
      </c>
      <c r="G217" t="n">
        <v>6201.659</v>
      </c>
      <c r="H217" t="n">
        <v>0.01907038100611466</v>
      </c>
      <c r="I217" t="n">
        <v>0.04275372122201484</v>
      </c>
    </row>
    <row r="218">
      <c r="A218" s="67" t="n">
        <v>28246</v>
      </c>
      <c r="B218" t="n">
        <v/>
      </c>
      <c r="C218" t="n">
        <v/>
      </c>
      <c r="D218" t="n">
        <v>90.2</v>
      </c>
      <c r="E218" t="n">
        <v>100.4</v>
      </c>
      <c r="F218" t="n">
        <v>83.59999999999999</v>
      </c>
      <c r="G218" t="n">
        <v/>
      </c>
      <c r="H218" t="n">
        <v/>
      </c>
      <c r="I218" t="n">
        <v/>
      </c>
    </row>
    <row r="219">
      <c r="A219" s="67" t="n">
        <v>28307</v>
      </c>
      <c r="B219" t="n">
        <v/>
      </c>
      <c r="C219" t="n">
        <v/>
      </c>
      <c r="D219" t="n">
        <v/>
      </c>
      <c r="E219" t="n">
        <v/>
      </c>
      <c r="F219" t="n">
        <v/>
      </c>
      <c r="G219" t="n">
        <v>6313.559</v>
      </c>
      <c r="H219" t="n">
        <v>0.01772375929329251</v>
      </c>
      <c r="I219" t="n">
        <v>0.05456035177623274</v>
      </c>
    </row>
    <row r="220">
      <c r="A220" s="67" t="n">
        <v>28338</v>
      </c>
      <c r="B220" t="n">
        <v/>
      </c>
      <c r="C220" t="n">
        <v/>
      </c>
      <c r="D220" t="n">
        <v>89</v>
      </c>
      <c r="E220" t="n">
        <v>100.8</v>
      </c>
      <c r="F220" t="n">
        <v>81.5</v>
      </c>
      <c r="G220" t="n">
        <v/>
      </c>
      <c r="H220" t="n">
        <v/>
      </c>
      <c r="I220" t="n">
        <v/>
      </c>
    </row>
    <row r="221">
      <c r="A221" s="67" t="n">
        <v>28399</v>
      </c>
      <c r="B221" t="n">
        <v/>
      </c>
      <c r="C221" t="n">
        <v/>
      </c>
      <c r="D221" t="n">
        <v/>
      </c>
      <c r="E221" t="n">
        <v/>
      </c>
      <c r="F221" t="n">
        <v/>
      </c>
      <c r="G221" t="n">
        <v>6313.697</v>
      </c>
      <c r="H221" t="n">
        <v>2.18572414862354e-05</v>
      </c>
      <c r="I221" t="n">
        <v>0.04772813772976441</v>
      </c>
    </row>
    <row r="222">
      <c r="A222" s="67" t="n">
        <v>28430</v>
      </c>
      <c r="B222" t="n">
        <v/>
      </c>
      <c r="C222" t="n">
        <v/>
      </c>
      <c r="D222" t="n">
        <v>84.40000000000001</v>
      </c>
      <c r="E222" t="n">
        <v>97.59999999999999</v>
      </c>
      <c r="F222" t="n">
        <v>75.90000000000001</v>
      </c>
      <c r="G222" t="n">
        <v/>
      </c>
      <c r="H222" t="n">
        <v/>
      </c>
      <c r="I222" t="n">
        <v/>
      </c>
    </row>
    <row r="223">
      <c r="A223" s="67" t="n">
        <v>28491</v>
      </c>
      <c r="B223" t="n">
        <v>55.2</v>
      </c>
      <c r="C223" t="n">
        <v/>
      </c>
      <c r="D223" t="n">
        <v>83.7</v>
      </c>
      <c r="E223" t="n">
        <v>96.2</v>
      </c>
      <c r="F223" t="n">
        <v>75.7</v>
      </c>
      <c r="G223" t="n">
        <v>6333.848</v>
      </c>
      <c r="H223" t="n">
        <v>0.00318147830513139</v>
      </c>
      <c r="I223" t="n">
        <v>0.03954262874637982</v>
      </c>
    </row>
    <row r="224">
      <c r="A224" s="67" t="n">
        <v>28522</v>
      </c>
      <c r="B224" t="n">
        <v>55.5</v>
      </c>
      <c r="C224" t="n">
        <v/>
      </c>
      <c r="D224" t="n">
        <v>84.3</v>
      </c>
      <c r="E224" t="n">
        <v>95.40000000000001</v>
      </c>
      <c r="F224" t="n">
        <v>77.2</v>
      </c>
      <c r="G224" t="n">
        <v/>
      </c>
      <c r="H224" t="n">
        <v/>
      </c>
      <c r="I224" t="n">
        <v/>
      </c>
    </row>
    <row r="225">
      <c r="A225" s="67" t="n">
        <v>28550</v>
      </c>
      <c r="B225" t="n">
        <v>56</v>
      </c>
      <c r="C225" t="n">
        <v/>
      </c>
      <c r="D225" t="n">
        <v>78.8</v>
      </c>
      <c r="E225" t="n">
        <v>93.2</v>
      </c>
      <c r="F225" t="n">
        <v>69.5</v>
      </c>
      <c r="G225" t="n">
        <v/>
      </c>
      <c r="H225" t="n">
        <v/>
      </c>
      <c r="I225" t="n">
        <v/>
      </c>
    </row>
    <row r="226">
      <c r="A226" s="67" t="n">
        <v>28581</v>
      </c>
      <c r="B226" t="n">
        <v>56.6</v>
      </c>
      <c r="C226" t="n">
        <v/>
      </c>
      <c r="D226" t="n">
        <v>81.59999999999999</v>
      </c>
      <c r="E226" t="n">
        <v>98</v>
      </c>
      <c r="F226" t="n">
        <v>71.09999999999999</v>
      </c>
      <c r="G226" t="n">
        <v>6578.605</v>
      </c>
      <c r="H226" t="n">
        <v>0.03720500014820766</v>
      </c>
      <c r="I226" t="n">
        <v>0.05729877382819001</v>
      </c>
    </row>
    <row r="227">
      <c r="A227" s="67" t="n">
        <v>28611</v>
      </c>
      <c r="B227" t="n">
        <v>56.9</v>
      </c>
      <c r="C227" t="n">
        <v/>
      </c>
      <c r="D227" t="n">
        <v>82.90000000000001</v>
      </c>
      <c r="E227" t="n">
        <v>98.2</v>
      </c>
      <c r="F227" t="n">
        <v>73</v>
      </c>
      <c r="G227" t="n">
        <v/>
      </c>
      <c r="H227" t="n">
        <v/>
      </c>
      <c r="I227" t="n">
        <v/>
      </c>
    </row>
    <row r="228">
      <c r="A228" s="67" t="n">
        <v>28642</v>
      </c>
      <c r="B228" t="n">
        <v>57.1</v>
      </c>
      <c r="C228" t="n">
        <v/>
      </c>
      <c r="D228" t="n">
        <v>80</v>
      </c>
      <c r="E228" t="n">
        <v>98.40000000000001</v>
      </c>
      <c r="F228" t="n">
        <v>68.09999999999999</v>
      </c>
      <c r="G228" t="n">
        <v/>
      </c>
      <c r="H228" t="n">
        <v/>
      </c>
      <c r="I228" t="n">
        <v/>
      </c>
    </row>
    <row r="229">
      <c r="A229" s="67" t="n">
        <v>28672</v>
      </c>
      <c r="B229" t="n">
        <v>57</v>
      </c>
      <c r="C229" t="n">
        <v/>
      </c>
      <c r="D229" t="n">
        <v>82.40000000000001</v>
      </c>
      <c r="E229" t="n">
        <v>98.7</v>
      </c>
      <c r="F229" t="n">
        <v>72</v>
      </c>
      <c r="G229" t="n">
        <v>6644.754</v>
      </c>
      <c r="H229" t="n">
        <v>0.009955071323934693</v>
      </c>
      <c r="I229" t="n">
        <v>0.04984307921707858</v>
      </c>
    </row>
    <row r="230">
      <c r="A230" s="67" t="n">
        <v>28703</v>
      </c>
      <c r="B230" t="n">
        <v>57.4</v>
      </c>
      <c r="C230" t="n">
        <v/>
      </c>
      <c r="D230" t="n">
        <v>78.40000000000001</v>
      </c>
      <c r="E230" t="n">
        <v>96.09999999999999</v>
      </c>
      <c r="F230" t="n">
        <v>67</v>
      </c>
      <c r="G230" t="n">
        <v/>
      </c>
      <c r="H230" t="n">
        <v/>
      </c>
      <c r="I230" t="n">
        <v/>
      </c>
    </row>
    <row r="231">
      <c r="A231" s="67" t="n">
        <v>28734</v>
      </c>
      <c r="B231" t="n">
        <v>57.6</v>
      </c>
      <c r="C231" t="n">
        <v/>
      </c>
      <c r="D231" t="n">
        <v>80.40000000000001</v>
      </c>
      <c r="E231" t="n">
        <v>96.90000000000001</v>
      </c>
      <c r="F231" t="n">
        <v>69.8</v>
      </c>
      <c r="G231" t="n">
        <v/>
      </c>
      <c r="H231" t="n">
        <v/>
      </c>
      <c r="I231" t="n">
        <v/>
      </c>
    </row>
    <row r="232">
      <c r="A232" s="67" t="n">
        <v>28764</v>
      </c>
      <c r="B232" t="n">
        <v>57.6</v>
      </c>
      <c r="C232" t="n">
        <v/>
      </c>
      <c r="D232" t="n">
        <v>79.3</v>
      </c>
      <c r="E232" t="n">
        <v>91.2</v>
      </c>
      <c r="F232" t="n">
        <v>71.7</v>
      </c>
      <c r="G232" t="n">
        <v>6734.069</v>
      </c>
      <c r="H232" t="n">
        <v>0.01326315486223864</v>
      </c>
      <c r="I232" t="n">
        <v>0.06242466479033706</v>
      </c>
    </row>
    <row r="233">
      <c r="A233" s="67" t="n">
        <v>28795</v>
      </c>
      <c r="B233" t="n">
        <v>57.3</v>
      </c>
      <c r="C233" t="n">
        <v/>
      </c>
      <c r="D233" t="n">
        <v>75</v>
      </c>
      <c r="E233" t="n">
        <v>94.09999999999999</v>
      </c>
      <c r="F233" t="n">
        <v>62.8</v>
      </c>
      <c r="G233" t="n">
        <v/>
      </c>
      <c r="H233" t="n">
        <v/>
      </c>
      <c r="I233" t="n">
        <v/>
      </c>
    </row>
    <row r="234">
      <c r="A234" s="67" t="n">
        <v>28825</v>
      </c>
      <c r="B234" t="n">
        <v>57.3</v>
      </c>
      <c r="C234" t="n">
        <v/>
      </c>
      <c r="D234" t="n">
        <v>66.09999999999999</v>
      </c>
      <c r="E234" t="n">
        <v>85.2</v>
      </c>
      <c r="F234" t="n">
        <v>53.8</v>
      </c>
      <c r="G234" t="n">
        <v/>
      </c>
      <c r="H234" t="n">
        <v/>
      </c>
      <c r="I234" t="n">
        <v/>
      </c>
    </row>
    <row r="235">
      <c r="A235" s="67" t="n">
        <v>28856</v>
      </c>
      <c r="B235" t="n">
        <v>57</v>
      </c>
      <c r="C235" t="n">
        <v/>
      </c>
      <c r="D235" t="n">
        <v>72.09999999999999</v>
      </c>
      <c r="E235" t="n">
        <v>93.3</v>
      </c>
      <c r="F235" t="n">
        <v>58.4</v>
      </c>
      <c r="G235" t="n">
        <v>6746.176</v>
      </c>
      <c r="H235" t="n">
        <v>0.001794646330009767</v>
      </c>
      <c r="I235" t="n">
        <v>0.06112025538616253</v>
      </c>
    </row>
    <row r="236">
      <c r="A236" s="67" t="n">
        <v>28887</v>
      </c>
      <c r="B236" t="n">
        <v>56.9</v>
      </c>
      <c r="C236" t="n">
        <v/>
      </c>
      <c r="D236" t="n">
        <v>73.90000000000001</v>
      </c>
      <c r="E236" t="n">
        <v>92.2</v>
      </c>
      <c r="F236" t="n">
        <v>62.2</v>
      </c>
      <c r="G236" t="n">
        <v/>
      </c>
      <c r="H236" t="n">
        <v/>
      </c>
      <c r="I236" t="n">
        <v/>
      </c>
    </row>
    <row r="237">
      <c r="A237" s="67" t="n">
        <v>28915</v>
      </c>
      <c r="B237" t="n">
        <v>57.4</v>
      </c>
      <c r="C237" t="n">
        <v/>
      </c>
      <c r="D237" t="n">
        <v>68.40000000000001</v>
      </c>
      <c r="E237" t="n">
        <v>91.2</v>
      </c>
      <c r="F237" t="n">
        <v>53.7</v>
      </c>
      <c r="G237" t="n">
        <v/>
      </c>
      <c r="H237" t="n">
        <v/>
      </c>
      <c r="I237" t="n">
        <v/>
      </c>
    </row>
    <row r="238">
      <c r="A238" s="67" t="n">
        <v>28946</v>
      </c>
      <c r="B238" t="n">
        <v>56.4</v>
      </c>
      <c r="C238" t="n">
        <v/>
      </c>
      <c r="D238" t="n">
        <v>66</v>
      </c>
      <c r="E238" t="n">
        <v>85.90000000000001</v>
      </c>
      <c r="F238" t="n">
        <v>53.3</v>
      </c>
      <c r="G238" t="n">
        <v>6753.389</v>
      </c>
      <c r="H238" t="n">
        <v>0.001068056349189975</v>
      </c>
      <c r="I238" t="n">
        <v>0.02588093178106586</v>
      </c>
    </row>
    <row r="239">
      <c r="A239" s="67" t="n">
        <v>28976</v>
      </c>
      <c r="B239" t="n">
        <v>56.7</v>
      </c>
      <c r="C239" t="n">
        <v/>
      </c>
      <c r="D239" t="n">
        <v>68.09999999999999</v>
      </c>
      <c r="E239" t="n">
        <v>88.7</v>
      </c>
      <c r="F239" t="n">
        <v>54.9</v>
      </c>
      <c r="G239" t="n">
        <v/>
      </c>
      <c r="H239" t="n">
        <v/>
      </c>
      <c r="I239" t="n">
        <v/>
      </c>
    </row>
    <row r="240">
      <c r="A240" s="67" t="n">
        <v>29007</v>
      </c>
      <c r="B240" t="n">
        <v>56.4</v>
      </c>
      <c r="C240" t="n">
        <v/>
      </c>
      <c r="D240" t="n">
        <v>65.8</v>
      </c>
      <c r="E240" t="n">
        <v>88.2</v>
      </c>
      <c r="F240" t="n">
        <v>51.4</v>
      </c>
      <c r="G240" t="n">
        <v/>
      </c>
      <c r="H240" t="n">
        <v/>
      </c>
      <c r="I240" t="n">
        <v/>
      </c>
    </row>
    <row r="241">
      <c r="A241" s="67" t="n">
        <v>29037</v>
      </c>
      <c r="B241" t="n">
        <v>55.9</v>
      </c>
      <c r="C241" t="n">
        <v/>
      </c>
      <c r="D241" t="n">
        <v>60.4</v>
      </c>
      <c r="E241" t="n">
        <v>85.7</v>
      </c>
      <c r="F241" t="n">
        <v>44.2</v>
      </c>
      <c r="G241" t="n">
        <v>6803.558</v>
      </c>
      <c r="H241" t="n">
        <v>0.007373935814172506</v>
      </c>
      <c r="I241" t="n">
        <v>0.02334131641120721</v>
      </c>
    </row>
    <row r="242">
      <c r="A242" s="67" t="n">
        <v>29068</v>
      </c>
      <c r="B242" t="n">
        <v>55.7</v>
      </c>
      <c r="C242" t="n">
        <v/>
      </c>
      <c r="D242" t="n">
        <v>64.5</v>
      </c>
      <c r="E242" t="n">
        <v>88.2</v>
      </c>
      <c r="F242" t="n">
        <v>49.3</v>
      </c>
      <c r="G242" t="n">
        <v/>
      </c>
      <c r="H242" t="n">
        <v/>
      </c>
      <c r="I242" t="n">
        <v/>
      </c>
    </row>
    <row r="243">
      <c r="A243" s="67" t="n">
        <v>29099</v>
      </c>
      <c r="B243" t="n">
        <v>55.4</v>
      </c>
      <c r="C243" t="n">
        <v/>
      </c>
      <c r="D243" t="n">
        <v>66.7</v>
      </c>
      <c r="E243" t="n">
        <v>87.09999999999999</v>
      </c>
      <c r="F243" t="n">
        <v>53.6</v>
      </c>
      <c r="G243" t="n">
        <v/>
      </c>
      <c r="H243" t="n">
        <v/>
      </c>
      <c r="I243" t="n">
        <v/>
      </c>
    </row>
    <row r="244">
      <c r="A244" s="67" t="n">
        <v>29129</v>
      </c>
      <c r="B244" t="n">
        <v>54.9</v>
      </c>
      <c r="C244" t="n">
        <v/>
      </c>
      <c r="D244" t="n">
        <v>62.1</v>
      </c>
      <c r="E244" t="n">
        <v>81.59999999999999</v>
      </c>
      <c r="F244" t="n">
        <v>49.5</v>
      </c>
      <c r="G244" t="n">
        <v>6820.572</v>
      </c>
      <c r="H244" t="n">
        <v>0.002494512190473192</v>
      </c>
      <c r="I244" t="n">
        <v>0.01268266063315506</v>
      </c>
    </row>
    <row r="245">
      <c r="A245" s="67" t="n">
        <v>29160</v>
      </c>
      <c r="B245" t="n">
        <v>54.2</v>
      </c>
      <c r="C245" t="n">
        <v/>
      </c>
      <c r="D245" t="n">
        <v>63.3</v>
      </c>
      <c r="E245" t="n">
        <v>80.90000000000001</v>
      </c>
      <c r="F245" t="n">
        <v>52</v>
      </c>
      <c r="G245" t="n">
        <v/>
      </c>
      <c r="H245" t="n">
        <v/>
      </c>
      <c r="I245" t="n">
        <v/>
      </c>
    </row>
    <row r="246">
      <c r="A246" s="67" t="n">
        <v>29190</v>
      </c>
      <c r="B246" t="n">
        <v>53.8</v>
      </c>
      <c r="C246" t="n">
        <v/>
      </c>
      <c r="D246" t="n">
        <v>61</v>
      </c>
      <c r="E246" t="n">
        <v>75.8</v>
      </c>
      <c r="F246" t="n">
        <v>51.5</v>
      </c>
      <c r="G246" t="n">
        <v/>
      </c>
      <c r="H246" t="n">
        <v/>
      </c>
      <c r="I246" t="n">
        <v/>
      </c>
    </row>
    <row r="247">
      <c r="A247" s="67" t="n">
        <v>29221</v>
      </c>
      <c r="B247" t="n">
        <v>53.7</v>
      </c>
      <c r="C247" t="n">
        <v/>
      </c>
      <c r="D247" t="n">
        <v>67</v>
      </c>
      <c r="E247" t="n">
        <v>87.09999999999999</v>
      </c>
      <c r="F247" t="n">
        <v>54.1</v>
      </c>
      <c r="G247" t="n">
        <v>6842.024</v>
      </c>
      <c r="H247" t="n">
        <v>0.003135329545760176</v>
      </c>
      <c r="I247" t="n">
        <v>0.01400872022664638</v>
      </c>
    </row>
    <row r="248">
      <c r="A248" s="67" t="n">
        <v>29252</v>
      </c>
      <c r="B248" t="n">
        <v>53.5</v>
      </c>
      <c r="C248" t="n">
        <v/>
      </c>
      <c r="D248" t="n">
        <v>66.90000000000001</v>
      </c>
      <c r="E248" t="n">
        <v>85.5</v>
      </c>
      <c r="F248" t="n">
        <v>54.9</v>
      </c>
      <c r="G248" t="n">
        <v/>
      </c>
      <c r="H248" t="n">
        <v/>
      </c>
      <c r="I248" t="n">
        <v/>
      </c>
    </row>
    <row r="249">
      <c r="A249" s="67" t="n">
        <v>29281</v>
      </c>
      <c r="B249" t="n">
        <v>52.2</v>
      </c>
      <c r="C249" t="n">
        <v/>
      </c>
      <c r="D249" t="n">
        <v>56.5</v>
      </c>
      <c r="E249" t="n">
        <v>75.3</v>
      </c>
      <c r="F249" t="n">
        <v>44.3</v>
      </c>
      <c r="G249" t="n">
        <v/>
      </c>
      <c r="H249" t="n">
        <v/>
      </c>
      <c r="I249" t="n">
        <v/>
      </c>
    </row>
    <row r="250">
      <c r="A250" s="67" t="n">
        <v>29312</v>
      </c>
      <c r="B250" t="n">
        <v>50.6</v>
      </c>
      <c r="C250" t="n">
        <v/>
      </c>
      <c r="D250" t="n">
        <v>52.7</v>
      </c>
      <c r="E250" t="n">
        <v>65.8</v>
      </c>
      <c r="F250" t="n">
        <v>44.4</v>
      </c>
      <c r="G250" t="n">
        <v>6701.046</v>
      </c>
      <c r="H250" t="n">
        <v>-0.02103820806483048</v>
      </c>
      <c r="I250" t="n">
        <v>-0.007811168584725406</v>
      </c>
    </row>
    <row r="251">
      <c r="A251" s="67" t="n">
        <v>29342</v>
      </c>
      <c r="B251" t="n">
        <v>49.9</v>
      </c>
      <c r="C251" t="n">
        <v/>
      </c>
      <c r="D251" t="n">
        <v>51.7</v>
      </c>
      <c r="E251" t="n">
        <v>61.7</v>
      </c>
      <c r="F251" t="n">
        <v>45.3</v>
      </c>
      <c r="G251" t="n">
        <v/>
      </c>
      <c r="H251" t="n">
        <v/>
      </c>
      <c r="I251" t="n">
        <v/>
      </c>
    </row>
    <row r="252">
      <c r="A252" s="67" t="n">
        <v>29373</v>
      </c>
      <c r="B252" t="n">
        <v>50.2</v>
      </c>
      <c r="C252" t="n">
        <v/>
      </c>
      <c r="D252" t="n">
        <v>58.7</v>
      </c>
      <c r="E252" t="n">
        <v>67.40000000000001</v>
      </c>
      <c r="F252" t="n">
        <v>53</v>
      </c>
      <c r="G252" t="n">
        <v/>
      </c>
      <c r="H252" t="n">
        <v/>
      </c>
      <c r="I252" t="n">
        <v/>
      </c>
    </row>
    <row r="253">
      <c r="A253" s="67" t="n">
        <v>29403</v>
      </c>
      <c r="B253" t="n">
        <v>50.6</v>
      </c>
      <c r="C253" t="n">
        <v/>
      </c>
      <c r="D253" t="n">
        <v>62.3</v>
      </c>
      <c r="E253" t="n">
        <v>76.09999999999999</v>
      </c>
      <c r="F253" t="n">
        <v>53.4</v>
      </c>
      <c r="G253" t="n">
        <v>6693.082</v>
      </c>
      <c r="H253" t="n">
        <v>-0.00118988531740683</v>
      </c>
      <c r="I253" t="n">
        <v>-0.01650599828300321</v>
      </c>
    </row>
    <row r="254">
      <c r="A254" s="67" t="n">
        <v>29434</v>
      </c>
      <c r="B254" t="n">
        <v>50.9</v>
      </c>
      <c r="C254" t="n">
        <v/>
      </c>
      <c r="D254" t="n">
        <v>67.3</v>
      </c>
      <c r="E254" t="n">
        <v>79.40000000000001</v>
      </c>
      <c r="F254" t="n">
        <v>59.6</v>
      </c>
      <c r="G254" t="n">
        <v/>
      </c>
      <c r="H254" t="n">
        <v/>
      </c>
      <c r="I254" t="n">
        <v/>
      </c>
    </row>
    <row r="255">
      <c r="A255" s="67" t="n">
        <v>29465</v>
      </c>
      <c r="B255" t="n">
        <v>51.4</v>
      </c>
      <c r="C255" t="n">
        <v/>
      </c>
      <c r="D255" t="n">
        <v>73.7</v>
      </c>
      <c r="E255" t="n">
        <v>82.7</v>
      </c>
      <c r="F255" t="n">
        <v>67.90000000000001</v>
      </c>
      <c r="G255" t="n">
        <v/>
      </c>
      <c r="H255" t="n">
        <v/>
      </c>
      <c r="I255" t="n">
        <v/>
      </c>
    </row>
    <row r="256">
      <c r="A256" s="67" t="n">
        <v>29495</v>
      </c>
      <c r="B256" t="n">
        <v>51.7</v>
      </c>
      <c r="C256" t="n">
        <v/>
      </c>
      <c r="D256" t="n">
        <v>75</v>
      </c>
      <c r="E256" t="n">
        <v>83.40000000000001</v>
      </c>
      <c r="F256" t="n">
        <v>69.59999999999999</v>
      </c>
      <c r="G256" t="n">
        <v>6817.903</v>
      </c>
      <c r="H256" t="n">
        <v>0.01830782866814032</v>
      </c>
      <c r="I256" t="n">
        <v>-0.0003914693418195989</v>
      </c>
    </row>
    <row r="257">
      <c r="A257" s="67" t="n">
        <v>29526</v>
      </c>
      <c r="B257" t="n">
        <v>51.8</v>
      </c>
      <c r="C257" t="n">
        <v/>
      </c>
      <c r="D257" t="n">
        <v>76.7</v>
      </c>
      <c r="E257" t="n">
        <v>76.40000000000001</v>
      </c>
      <c r="F257" t="n">
        <v>76.90000000000001</v>
      </c>
      <c r="G257" t="n">
        <v/>
      </c>
      <c r="H257" t="n">
        <v/>
      </c>
      <c r="I257" t="n">
        <v/>
      </c>
    </row>
    <row r="258">
      <c r="A258" s="67" t="n">
        <v>29556</v>
      </c>
      <c r="B258" t="n">
        <v>51.5</v>
      </c>
      <c r="C258" t="n">
        <v/>
      </c>
      <c r="D258" t="n">
        <v>64.5</v>
      </c>
      <c r="E258" t="n">
        <v>70.90000000000001</v>
      </c>
      <c r="F258" t="n">
        <v>60.4</v>
      </c>
      <c r="G258" t="n">
        <v/>
      </c>
      <c r="H258" t="n">
        <v/>
      </c>
      <c r="I258" t="n">
        <v/>
      </c>
    </row>
    <row r="259">
      <c r="A259" s="67" t="n">
        <v>29587</v>
      </c>
      <c r="B259" t="n">
        <v>50.9</v>
      </c>
      <c r="C259" t="n">
        <v/>
      </c>
      <c r="D259" t="n">
        <v>71.40000000000001</v>
      </c>
      <c r="E259" t="n">
        <v>76.7</v>
      </c>
      <c r="F259" t="n">
        <v>67.90000000000001</v>
      </c>
      <c r="G259" t="n">
        <v>6951.495</v>
      </c>
      <c r="H259" t="n">
        <v>0.01921773661636808</v>
      </c>
      <c r="I259" t="n">
        <v>0.01574783553753539</v>
      </c>
    </row>
    <row r="260">
      <c r="A260" s="67" t="n">
        <v>29618</v>
      </c>
      <c r="B260" t="n">
        <v>50.5</v>
      </c>
      <c r="C260" t="n">
        <v/>
      </c>
      <c r="D260" t="n">
        <v>66.90000000000001</v>
      </c>
      <c r="E260" t="n">
        <v>74.40000000000001</v>
      </c>
      <c r="F260" t="n">
        <v>62.1</v>
      </c>
      <c r="G260" t="n">
        <v/>
      </c>
      <c r="H260" t="n">
        <v/>
      </c>
      <c r="I260" t="n">
        <v/>
      </c>
    </row>
    <row r="261">
      <c r="A261" s="67" t="n">
        <v>29646</v>
      </c>
      <c r="B261" t="n">
        <v>50.7</v>
      </c>
      <c r="C261" t="n">
        <v/>
      </c>
      <c r="D261" t="n">
        <v>66.5</v>
      </c>
      <c r="E261" t="n">
        <v>73.5</v>
      </c>
      <c r="F261" t="n">
        <v>62.1</v>
      </c>
      <c r="G261" t="n">
        <v/>
      </c>
      <c r="H261" t="n">
        <v/>
      </c>
      <c r="I261" t="n">
        <v/>
      </c>
    </row>
    <row r="262">
      <c r="A262" s="67" t="n">
        <v>29677</v>
      </c>
      <c r="B262" t="n">
        <v>51</v>
      </c>
      <c r="C262" t="n">
        <v/>
      </c>
      <c r="D262" t="n">
        <v>72.40000000000001</v>
      </c>
      <c r="E262" t="n">
        <v>78.09999999999999</v>
      </c>
      <c r="F262" t="n">
        <v>68.8</v>
      </c>
      <c r="G262" t="n">
        <v>6899.98</v>
      </c>
      <c r="H262" t="n">
        <v>-0.00746596366945996</v>
      </c>
      <c r="I262" t="n">
        <v>0.0288310980611537</v>
      </c>
    </row>
    <row r="263">
      <c r="A263" s="67" t="n">
        <v>29707</v>
      </c>
      <c r="B263" t="n">
        <v>50.6</v>
      </c>
      <c r="C263" t="n">
        <v/>
      </c>
      <c r="D263" t="n">
        <v>76.3</v>
      </c>
      <c r="E263" t="n">
        <v>80.40000000000001</v>
      </c>
      <c r="F263" t="n">
        <v>73.59999999999999</v>
      </c>
      <c r="G263" t="n">
        <v/>
      </c>
      <c r="H263" t="n">
        <v/>
      </c>
      <c r="I263" t="n">
        <v/>
      </c>
    </row>
    <row r="264">
      <c r="A264" s="67" t="n">
        <v>29738</v>
      </c>
      <c r="B264" t="n">
        <v>50.2</v>
      </c>
      <c r="C264" t="n">
        <v/>
      </c>
      <c r="D264" t="n">
        <v>73.09999999999999</v>
      </c>
      <c r="E264" t="n">
        <v>76.09999999999999</v>
      </c>
      <c r="F264" t="n">
        <v>71.2</v>
      </c>
      <c r="G264" t="n">
        <v/>
      </c>
      <c r="H264" t="n">
        <v/>
      </c>
      <c r="I264" t="n">
        <v/>
      </c>
    </row>
    <row r="265">
      <c r="A265" s="67" t="n">
        <v>29768</v>
      </c>
      <c r="B265" t="n">
        <v>49.8</v>
      </c>
      <c r="C265" t="n">
        <v/>
      </c>
      <c r="D265" t="n">
        <v>74.09999999999999</v>
      </c>
      <c r="E265" t="n">
        <v>84.90000000000001</v>
      </c>
      <c r="F265" t="n">
        <v>67.09999999999999</v>
      </c>
      <c r="G265" t="n">
        <v>6982.609</v>
      </c>
      <c r="H265" t="n">
        <v>0.01183354244810225</v>
      </c>
      <c r="I265" t="n">
        <v>0.04146401438201681</v>
      </c>
    </row>
    <row r="266">
      <c r="A266" s="67" t="n">
        <v>29799</v>
      </c>
      <c r="B266" t="n">
        <v>49.6</v>
      </c>
      <c r="C266" t="n">
        <v/>
      </c>
      <c r="D266" t="n">
        <v>77.2</v>
      </c>
      <c r="E266" t="n">
        <v>87.09999999999999</v>
      </c>
      <c r="F266" t="n">
        <v>70.8</v>
      </c>
      <c r="G266" t="n">
        <v/>
      </c>
      <c r="H266" t="n">
        <v/>
      </c>
      <c r="I266" t="n">
        <v/>
      </c>
    </row>
    <row r="267">
      <c r="A267" s="67" t="n">
        <v>29830</v>
      </c>
      <c r="B267" t="n">
        <v>48.9</v>
      </c>
      <c r="C267" t="n">
        <v/>
      </c>
      <c r="D267" t="n">
        <v>73.09999999999999</v>
      </c>
      <c r="E267" t="n">
        <v>79.5</v>
      </c>
      <c r="F267" t="n">
        <v>69</v>
      </c>
      <c r="G267" t="n">
        <v/>
      </c>
      <c r="H267" t="n">
        <v/>
      </c>
      <c r="I267" t="n">
        <v/>
      </c>
    </row>
    <row r="268">
      <c r="A268" s="67" t="n">
        <v>29860</v>
      </c>
      <c r="B268" t="n">
        <v>48.6</v>
      </c>
      <c r="C268" t="n">
        <v/>
      </c>
      <c r="D268" t="n">
        <v>70.3</v>
      </c>
      <c r="E268" t="n">
        <v>82.8</v>
      </c>
      <c r="F268" t="n">
        <v>62.2</v>
      </c>
      <c r="G268" t="n">
        <v>6906.529</v>
      </c>
      <c r="H268" t="n">
        <v>-0.0110156635844141</v>
      </c>
      <c r="I268" t="n">
        <v>0.0128322055840206</v>
      </c>
    </row>
    <row r="269">
      <c r="A269" s="67" t="n">
        <v>29891</v>
      </c>
      <c r="B269" t="n">
        <v>48.4</v>
      </c>
      <c r="C269" t="n">
        <v/>
      </c>
      <c r="D269" t="n">
        <v>62.5</v>
      </c>
      <c r="E269" t="n">
        <v>72.09999999999999</v>
      </c>
      <c r="F269" t="n">
        <v>56.3</v>
      </c>
      <c r="G269" t="n">
        <v/>
      </c>
      <c r="H269" t="n">
        <v/>
      </c>
      <c r="I269" t="n">
        <v/>
      </c>
    </row>
    <row r="270">
      <c r="A270" s="67" t="n">
        <v>29921</v>
      </c>
      <c r="B270" t="n">
        <v>48.3</v>
      </c>
      <c r="C270" t="n">
        <v/>
      </c>
      <c r="D270" t="n">
        <v>64.3</v>
      </c>
      <c r="E270" t="n">
        <v>75.90000000000001</v>
      </c>
      <c r="F270" t="n">
        <v>56.8</v>
      </c>
      <c r="G270" t="n">
        <v/>
      </c>
      <c r="H270" t="n">
        <v/>
      </c>
      <c r="I270" t="n">
        <v/>
      </c>
    </row>
    <row r="271">
      <c r="A271" s="67" t="n">
        <v>29952</v>
      </c>
      <c r="B271" t="n">
        <v>47.8</v>
      </c>
      <c r="C271" t="n">
        <v/>
      </c>
      <c r="D271" t="n">
        <v>71</v>
      </c>
      <c r="E271" t="n">
        <v>83.5</v>
      </c>
      <c r="F271" t="n">
        <v>62.9</v>
      </c>
      <c r="G271" t="n">
        <v>6799.233</v>
      </c>
      <c r="H271" t="n">
        <v>-0.01578060348865825</v>
      </c>
      <c r="I271" t="n">
        <v>-0.02239399649931098</v>
      </c>
    </row>
    <row r="272">
      <c r="A272" s="67" t="n">
        <v>29983</v>
      </c>
      <c r="B272" t="n">
        <v>48</v>
      </c>
      <c r="C272" t="n">
        <v/>
      </c>
      <c r="D272" t="n">
        <v>66.5</v>
      </c>
      <c r="E272" t="n">
        <v>78.59999999999999</v>
      </c>
      <c r="F272" t="n">
        <v>58.7</v>
      </c>
      <c r="G272" t="n">
        <v/>
      </c>
      <c r="H272" t="n">
        <v/>
      </c>
      <c r="I272" t="n">
        <v/>
      </c>
    </row>
    <row r="273">
      <c r="A273" s="67" t="n">
        <v>30011</v>
      </c>
      <c r="B273" t="n">
        <v>47.8</v>
      </c>
      <c r="C273" t="n">
        <v/>
      </c>
      <c r="D273" t="n">
        <v>62</v>
      </c>
      <c r="E273" t="n">
        <v>75.90000000000001</v>
      </c>
      <c r="F273" t="n">
        <v>53.1</v>
      </c>
      <c r="G273" t="n">
        <v/>
      </c>
      <c r="H273" t="n">
        <v/>
      </c>
      <c r="I273" t="n">
        <v/>
      </c>
    </row>
    <row r="274">
      <c r="A274" s="67" t="n">
        <v>30042</v>
      </c>
      <c r="B274" t="n">
        <v>47.8</v>
      </c>
      <c r="C274" t="n">
        <v/>
      </c>
      <c r="D274" t="n">
        <v>65.5</v>
      </c>
      <c r="E274" t="n">
        <v>72.3</v>
      </c>
      <c r="F274" t="n">
        <v>61.1</v>
      </c>
      <c r="G274" t="n">
        <v>6830.251</v>
      </c>
      <c r="H274" t="n">
        <v>0.004541267956331331</v>
      </c>
      <c r="I274" t="n">
        <v>-0.01020884884025483</v>
      </c>
    </row>
    <row r="275">
      <c r="A275" s="67" t="n">
        <v>30072</v>
      </c>
      <c r="B275" t="n">
        <v>47.5</v>
      </c>
      <c r="C275" t="n">
        <v/>
      </c>
      <c r="D275" t="n">
        <v>67.5</v>
      </c>
      <c r="E275" t="n">
        <v>76.09999999999999</v>
      </c>
      <c r="F275" t="n">
        <v>62</v>
      </c>
      <c r="G275" t="n">
        <v/>
      </c>
      <c r="H275" t="n">
        <v/>
      </c>
      <c r="I275" t="n">
        <v/>
      </c>
    </row>
    <row r="276">
      <c r="A276" s="67" t="n">
        <v>30103</v>
      </c>
      <c r="B276" t="n">
        <v>47.2</v>
      </c>
      <c r="C276" t="n">
        <v/>
      </c>
      <c r="D276" t="n">
        <v>65.7</v>
      </c>
      <c r="E276" t="n">
        <v>74.3</v>
      </c>
      <c r="F276" t="n">
        <v>60.1</v>
      </c>
      <c r="G276" t="n">
        <v/>
      </c>
      <c r="H276" t="n">
        <v/>
      </c>
      <c r="I276" t="n">
        <v/>
      </c>
    </row>
    <row r="277">
      <c r="A277" s="67" t="n">
        <v>30133</v>
      </c>
      <c r="B277" t="n">
        <v>47.2</v>
      </c>
      <c r="C277" t="n">
        <v/>
      </c>
      <c r="D277" t="n">
        <v>65.40000000000001</v>
      </c>
      <c r="E277" t="n">
        <v>77.5</v>
      </c>
      <c r="F277" t="n">
        <v>57.6</v>
      </c>
      <c r="G277" t="n">
        <v>6804.139</v>
      </c>
      <c r="H277" t="n">
        <v>-0.00383766410415779</v>
      </c>
      <c r="I277" t="n">
        <v>-0.02622962288101408</v>
      </c>
    </row>
    <row r="278">
      <c r="A278" s="67" t="n">
        <v>30164</v>
      </c>
      <c r="B278" t="n">
        <v>46.9</v>
      </c>
      <c r="C278" t="n">
        <v/>
      </c>
      <c r="D278" t="n">
        <v>65.40000000000001</v>
      </c>
      <c r="E278" t="n">
        <v>72.5</v>
      </c>
      <c r="F278" t="n">
        <v>60.9</v>
      </c>
      <c r="G278" t="n">
        <v/>
      </c>
      <c r="H278" t="n">
        <v/>
      </c>
      <c r="I278" t="n">
        <v/>
      </c>
    </row>
    <row r="279">
      <c r="A279" s="67" t="n">
        <v>30195</v>
      </c>
      <c r="B279" t="n">
        <v>47.3</v>
      </c>
      <c r="C279" t="n">
        <v/>
      </c>
      <c r="D279" t="n">
        <v>69.3</v>
      </c>
      <c r="E279" t="n">
        <v>72.90000000000001</v>
      </c>
      <c r="F279" t="n">
        <v>66.90000000000001</v>
      </c>
      <c r="G279" t="n">
        <v/>
      </c>
      <c r="H279" t="n">
        <v/>
      </c>
      <c r="I279" t="n">
        <v/>
      </c>
    </row>
    <row r="280">
      <c r="A280" s="67" t="n">
        <v>30225</v>
      </c>
      <c r="B280" t="n">
        <v>47.4</v>
      </c>
      <c r="C280" t="n">
        <v/>
      </c>
      <c r="D280" t="n">
        <v>73.40000000000001</v>
      </c>
      <c r="E280" t="n">
        <v>78.09999999999999</v>
      </c>
      <c r="F280" t="n">
        <v>70.40000000000001</v>
      </c>
      <c r="G280" t="n">
        <v>6806.857</v>
      </c>
      <c r="H280" t="n">
        <v>0.0003993032320202771</v>
      </c>
      <c r="I280" t="n">
        <v>-0.01464288143558774</v>
      </c>
    </row>
    <row r="281">
      <c r="A281" s="67" t="n">
        <v>30256</v>
      </c>
      <c r="B281" t="n">
        <v>47.6</v>
      </c>
      <c r="C281" t="n">
        <v/>
      </c>
      <c r="D281" t="n">
        <v>72.09999999999999</v>
      </c>
      <c r="E281" t="n">
        <v>73.8</v>
      </c>
      <c r="F281" t="n">
        <v>71</v>
      </c>
      <c r="G281" t="n">
        <v/>
      </c>
      <c r="H281" t="n">
        <v/>
      </c>
      <c r="I281" t="n">
        <v/>
      </c>
    </row>
    <row r="282">
      <c r="A282" s="67" t="n">
        <v>30286</v>
      </c>
      <c r="B282" t="n">
        <v>48</v>
      </c>
      <c r="C282" t="n">
        <v/>
      </c>
      <c r="D282" t="n">
        <v>71.90000000000001</v>
      </c>
      <c r="E282" t="n">
        <v>78.09999999999999</v>
      </c>
      <c r="F282" t="n">
        <v>67.90000000000001</v>
      </c>
      <c r="G282" t="n">
        <v/>
      </c>
      <c r="H282" t="n">
        <v/>
      </c>
      <c r="I282" t="n">
        <v/>
      </c>
    </row>
    <row r="283">
      <c r="A283" s="67" t="n">
        <v>30317</v>
      </c>
      <c r="B283" t="n">
        <v>48.9</v>
      </c>
      <c r="C283" t="n">
        <v/>
      </c>
      <c r="D283" t="n">
        <v>70.40000000000001</v>
      </c>
      <c r="E283" t="n">
        <v>78.40000000000001</v>
      </c>
      <c r="F283" t="n">
        <v>65.2</v>
      </c>
      <c r="G283" t="n">
        <v>6896.561</v>
      </c>
      <c r="H283" t="n">
        <v>0.01300706250550089</v>
      </c>
      <c r="I283" t="n">
        <v>0.01411254101863226</v>
      </c>
    </row>
    <row r="284">
      <c r="A284" s="67" t="n">
        <v>30348</v>
      </c>
      <c r="B284" t="n">
        <v>49.4</v>
      </c>
      <c r="C284" t="n">
        <v/>
      </c>
      <c r="D284" t="n">
        <v>74.59999999999999</v>
      </c>
      <c r="E284" t="n">
        <v>79.90000000000001</v>
      </c>
      <c r="F284" t="n">
        <v>71.2</v>
      </c>
      <c r="G284" t="n">
        <v/>
      </c>
      <c r="H284" t="n">
        <v/>
      </c>
      <c r="I284" t="n">
        <v/>
      </c>
    </row>
    <row r="285">
      <c r="A285" s="67" t="n">
        <v>30376</v>
      </c>
      <c r="B285" t="n">
        <v>50.1</v>
      </c>
      <c r="C285" t="n">
        <v/>
      </c>
      <c r="D285" t="n">
        <v>80.8</v>
      </c>
      <c r="E285" t="n">
        <v>80.5</v>
      </c>
      <c r="F285" t="n">
        <v>80.90000000000001</v>
      </c>
      <c r="G285" t="n">
        <v/>
      </c>
      <c r="H285" t="n">
        <v/>
      </c>
      <c r="I285" t="n">
        <v/>
      </c>
    </row>
    <row r="286">
      <c r="A286" s="67" t="n">
        <v>30407</v>
      </c>
      <c r="B286" t="n">
        <v>50.5</v>
      </c>
      <c r="C286" t="n">
        <v/>
      </c>
      <c r="D286" t="n">
        <v>89.09999999999999</v>
      </c>
      <c r="E286" t="n">
        <v>92.7</v>
      </c>
      <c r="F286" t="n">
        <v>86.90000000000001</v>
      </c>
      <c r="G286" t="n">
        <v>7053.5</v>
      </c>
      <c r="H286" t="n">
        <v>0.02224980506131712</v>
      </c>
      <c r="I286" t="n">
        <v>0.03165081165378887</v>
      </c>
    </row>
    <row r="287">
      <c r="A287" s="67" t="n">
        <v>30437</v>
      </c>
      <c r="B287" t="n">
        <v>51.2</v>
      </c>
      <c r="C287" t="n">
        <v/>
      </c>
      <c r="D287" t="n">
        <v>93.3</v>
      </c>
      <c r="E287" t="n">
        <v>93.09999999999999</v>
      </c>
      <c r="F287" t="n">
        <v>93.40000000000001</v>
      </c>
      <c r="G287" t="n">
        <v/>
      </c>
      <c r="H287" t="n">
        <v/>
      </c>
      <c r="I287" t="n">
        <v/>
      </c>
    </row>
    <row r="288">
      <c r="A288" s="67" t="n">
        <v>30468</v>
      </c>
      <c r="B288" t="n">
        <v>51.9</v>
      </c>
      <c r="C288" t="n">
        <v/>
      </c>
      <c r="D288" t="n">
        <v>92.2</v>
      </c>
      <c r="E288" t="n">
        <v>96.90000000000001</v>
      </c>
      <c r="F288" t="n">
        <v>89.2</v>
      </c>
      <c r="G288" t="n">
        <v/>
      </c>
      <c r="H288" t="n">
        <v/>
      </c>
      <c r="I288" t="n">
        <v/>
      </c>
    </row>
    <row r="289">
      <c r="A289" s="67" t="n">
        <v>30498</v>
      </c>
      <c r="B289" t="n">
        <v>52.4</v>
      </c>
      <c r="C289" t="n">
        <v/>
      </c>
      <c r="D289" t="n">
        <v>92.8</v>
      </c>
      <c r="E289" t="n">
        <v>96.5</v>
      </c>
      <c r="F289" t="n">
        <v>90.5</v>
      </c>
      <c r="G289" t="n">
        <v>7194.504</v>
      </c>
      <c r="H289" t="n">
        <v>0.01959884934388804</v>
      </c>
      <c r="I289" t="n">
        <v>0.05425877864547713</v>
      </c>
    </row>
    <row r="290">
      <c r="A290" s="67" t="n">
        <v>30529</v>
      </c>
      <c r="B290" t="n">
        <v>52.6</v>
      </c>
      <c r="C290" t="n">
        <v/>
      </c>
      <c r="D290" t="n">
        <v>90.90000000000001</v>
      </c>
      <c r="E290" t="n">
        <v>95.09999999999999</v>
      </c>
      <c r="F290" t="n">
        <v>88.2</v>
      </c>
      <c r="G290" t="n">
        <v/>
      </c>
      <c r="H290" t="n">
        <v/>
      </c>
      <c r="I290" t="n">
        <v/>
      </c>
    </row>
    <row r="291">
      <c r="A291" s="67" t="n">
        <v>30560</v>
      </c>
      <c r="B291" t="n">
        <v>53.2</v>
      </c>
      <c r="C291" t="n">
        <v/>
      </c>
      <c r="D291" t="n">
        <v>89.90000000000001</v>
      </c>
      <c r="E291" t="n">
        <v>96.40000000000001</v>
      </c>
      <c r="F291" t="n">
        <v>85.8</v>
      </c>
      <c r="G291" t="n">
        <v/>
      </c>
      <c r="H291" t="n">
        <v/>
      </c>
      <c r="I291" t="n">
        <v/>
      </c>
    </row>
    <row r="292">
      <c r="A292" s="67" t="n">
        <v>30590</v>
      </c>
      <c r="B292" t="n">
        <v>53.9</v>
      </c>
      <c r="C292" t="n">
        <v/>
      </c>
      <c r="D292" t="n">
        <v>89.3</v>
      </c>
      <c r="E292" t="n">
        <v>94.3</v>
      </c>
      <c r="F292" t="n">
        <v>86.09999999999999</v>
      </c>
      <c r="G292" t="n">
        <v>7344.597</v>
      </c>
      <c r="H292" t="n">
        <v>0.02043583875330394</v>
      </c>
      <c r="I292" t="n">
        <v>0.07321572579135381</v>
      </c>
    </row>
    <row r="293">
      <c r="A293" s="67" t="n">
        <v>30621</v>
      </c>
      <c r="B293" t="n">
        <v>54.3</v>
      </c>
      <c r="C293" t="n">
        <v/>
      </c>
      <c r="D293" t="n">
        <v>91.09999999999999</v>
      </c>
      <c r="E293" t="n">
        <v>96.09999999999999</v>
      </c>
      <c r="F293" t="n">
        <v>87.90000000000001</v>
      </c>
      <c r="G293" t="n">
        <v/>
      </c>
      <c r="H293" t="n">
        <v/>
      </c>
      <c r="I293" t="n">
        <v/>
      </c>
    </row>
    <row r="294">
      <c r="A294" s="67" t="n">
        <v>30651</v>
      </c>
      <c r="B294" t="n">
        <v>54.9</v>
      </c>
      <c r="C294" t="n">
        <v/>
      </c>
      <c r="D294" t="n">
        <v>94.2</v>
      </c>
      <c r="E294" t="n">
        <v>99.3</v>
      </c>
      <c r="F294" t="n">
        <v>91</v>
      </c>
      <c r="G294" t="n">
        <v/>
      </c>
      <c r="H294" t="n">
        <v/>
      </c>
      <c r="I294" t="n">
        <v/>
      </c>
    </row>
    <row r="295">
      <c r="A295" s="67" t="n">
        <v>30682</v>
      </c>
      <c r="B295" t="n">
        <v>55.5</v>
      </c>
      <c r="C295" t="n">
        <v/>
      </c>
      <c r="D295" t="n">
        <v>100.1</v>
      </c>
      <c r="E295" t="n">
        <v>104.9</v>
      </c>
      <c r="F295" t="n">
        <v>97</v>
      </c>
      <c r="G295" t="n">
        <v>7488.167</v>
      </c>
      <c r="H295" t="n">
        <v>0.01917291641599347</v>
      </c>
      <c r="I295" t="n">
        <v>0.07900544953124052</v>
      </c>
    </row>
    <row r="296">
      <c r="A296" s="67" t="n">
        <v>30713</v>
      </c>
      <c r="B296" t="n">
        <v>56</v>
      </c>
      <c r="C296" t="n">
        <v/>
      </c>
      <c r="D296" t="n">
        <v>97.40000000000001</v>
      </c>
      <c r="E296" t="n">
        <v>103.9</v>
      </c>
      <c r="F296" t="n">
        <v>93.2</v>
      </c>
      <c r="G296" t="n">
        <v/>
      </c>
      <c r="H296" t="n">
        <v/>
      </c>
      <c r="I296" t="n">
        <v/>
      </c>
    </row>
    <row r="297">
      <c r="A297" s="67" t="n">
        <v>30742</v>
      </c>
      <c r="B297" t="n">
        <v>56.1</v>
      </c>
      <c r="C297" t="n">
        <v/>
      </c>
      <c r="D297" t="n">
        <v>101</v>
      </c>
      <c r="E297" t="n">
        <v>106</v>
      </c>
      <c r="F297" t="n">
        <v>97.7</v>
      </c>
      <c r="G297" t="n">
        <v/>
      </c>
      <c r="H297" t="n">
        <v/>
      </c>
      <c r="I297" t="n">
        <v/>
      </c>
    </row>
    <row r="298">
      <c r="A298" s="67" t="n">
        <v>30773</v>
      </c>
      <c r="B298" t="n">
        <v>56.4</v>
      </c>
      <c r="C298" t="n">
        <v/>
      </c>
      <c r="D298" t="n">
        <v>96.09999999999999</v>
      </c>
      <c r="E298" t="n">
        <v>103.5</v>
      </c>
      <c r="F298" t="n">
        <v>91.40000000000001</v>
      </c>
      <c r="G298" t="n">
        <v>7617.547</v>
      </c>
      <c r="H298" t="n">
        <v>0.01698447019755824</v>
      </c>
      <c r="I298" t="n">
        <v>0.07404575252374546</v>
      </c>
    </row>
    <row r="299">
      <c r="A299" s="67" t="n">
        <v>30803</v>
      </c>
      <c r="B299" t="n">
        <v>56.8</v>
      </c>
      <c r="C299" t="n">
        <v/>
      </c>
      <c r="D299" t="n">
        <v>98.09999999999999</v>
      </c>
      <c r="E299" t="n">
        <v>109.8</v>
      </c>
      <c r="F299" t="n">
        <v>90.59999999999999</v>
      </c>
      <c r="G299" t="n">
        <v/>
      </c>
      <c r="H299" t="n">
        <v/>
      </c>
      <c r="I299" t="n">
        <v/>
      </c>
    </row>
    <row r="300">
      <c r="A300" s="67" t="n">
        <v>30834</v>
      </c>
      <c r="B300" t="n">
        <v>57</v>
      </c>
      <c r="C300" t="n">
        <v/>
      </c>
      <c r="D300" t="n">
        <v>95.5</v>
      </c>
      <c r="E300" t="n">
        <v>104.4</v>
      </c>
      <c r="F300" t="n">
        <v>89.8</v>
      </c>
      <c r="G300" t="n">
        <v/>
      </c>
      <c r="H300" t="n">
        <v/>
      </c>
      <c r="I300" t="n">
        <v/>
      </c>
    </row>
    <row r="301">
      <c r="A301" s="67" t="n">
        <v>30864</v>
      </c>
      <c r="B301" t="n">
        <v>57.2</v>
      </c>
      <c r="C301" t="n">
        <v/>
      </c>
      <c r="D301" t="n">
        <v>96.59999999999999</v>
      </c>
      <c r="E301" t="n">
        <v>103.9</v>
      </c>
      <c r="F301" t="n">
        <v>91.90000000000001</v>
      </c>
      <c r="G301" t="n">
        <v>7690.985</v>
      </c>
      <c r="H301" t="n">
        <v>0.009548581878654048</v>
      </c>
      <c r="I301" t="n">
        <v>0.06455362999667791</v>
      </c>
    </row>
    <row r="302">
      <c r="A302" s="67" t="n">
        <v>30895</v>
      </c>
      <c r="B302" t="n">
        <v>57.2</v>
      </c>
      <c r="C302" t="n">
        <v/>
      </c>
      <c r="D302" t="n">
        <v>99.09999999999999</v>
      </c>
      <c r="E302" t="n">
        <v>107.5</v>
      </c>
      <c r="F302" t="n">
        <v>93.7</v>
      </c>
      <c r="G302" t="n">
        <v/>
      </c>
      <c r="H302" t="n">
        <v/>
      </c>
      <c r="I302" t="n">
        <v/>
      </c>
    </row>
    <row r="303">
      <c r="A303" s="67" t="n">
        <v>30926</v>
      </c>
      <c r="B303" t="n">
        <v>57.2</v>
      </c>
      <c r="C303" t="n">
        <v/>
      </c>
      <c r="D303" t="n">
        <v>100.9</v>
      </c>
      <c r="E303" t="n">
        <v>107.8</v>
      </c>
      <c r="F303" t="n">
        <v>96.40000000000001</v>
      </c>
      <c r="G303" t="n">
        <v/>
      </c>
      <c r="H303" t="n">
        <v/>
      </c>
      <c r="I303" t="n">
        <v/>
      </c>
    </row>
    <row r="304">
      <c r="A304" s="67" t="n">
        <v>30956</v>
      </c>
      <c r="B304" t="n">
        <v>57.4</v>
      </c>
      <c r="C304" t="n">
        <v/>
      </c>
      <c r="D304" t="n">
        <v>96.3</v>
      </c>
      <c r="E304" t="n">
        <v>103.6</v>
      </c>
      <c r="F304" t="n">
        <v>91.59999999999999</v>
      </c>
      <c r="G304" t="n">
        <v>7754.117</v>
      </c>
      <c r="H304" t="n">
        <v>0.008141739414042955</v>
      </c>
      <c r="I304" t="n">
        <v>0.05281323456945523</v>
      </c>
    </row>
    <row r="305">
      <c r="A305" s="67" t="n">
        <v>30987</v>
      </c>
      <c r="B305" t="n">
        <v>57.7</v>
      </c>
      <c r="C305" t="n">
        <v/>
      </c>
      <c r="D305" t="n">
        <v>95.7</v>
      </c>
      <c r="E305" t="n">
        <v>102.4</v>
      </c>
      <c r="F305" t="n">
        <v>91.5</v>
      </c>
      <c r="G305" t="n">
        <v/>
      </c>
      <c r="H305" t="n">
        <v/>
      </c>
      <c r="I305" t="n">
        <v/>
      </c>
    </row>
    <row r="306">
      <c r="A306" s="67" t="n">
        <v>31017</v>
      </c>
      <c r="B306" t="n">
        <v>58.1</v>
      </c>
      <c r="C306" t="n">
        <v/>
      </c>
      <c r="D306" t="n">
        <v>92.90000000000001</v>
      </c>
      <c r="E306" t="n">
        <v>100.6</v>
      </c>
      <c r="F306" t="n">
        <v>87.90000000000001</v>
      </c>
      <c r="G306" t="n">
        <v/>
      </c>
      <c r="H306" t="n">
        <v/>
      </c>
      <c r="I306" t="n">
        <v/>
      </c>
    </row>
    <row r="307">
      <c r="A307" s="67" t="n">
        <v>31048</v>
      </c>
      <c r="B307" t="n">
        <v>58.4</v>
      </c>
      <c r="C307" t="n">
        <v>179.6300048828125</v>
      </c>
      <c r="D307" t="n">
        <v>96</v>
      </c>
      <c r="E307" t="n">
        <v>104.9</v>
      </c>
      <c r="F307" t="n">
        <v>90.3</v>
      </c>
      <c r="G307" t="n">
        <v>7829.26</v>
      </c>
      <c r="H307" t="n">
        <v>0.009597714215647458</v>
      </c>
      <c r="I307" t="n">
        <v>0.04356644178377009</v>
      </c>
    </row>
    <row r="308">
      <c r="A308" s="67" t="n">
        <v>31079</v>
      </c>
      <c r="B308" t="n">
        <v>58.7</v>
      </c>
      <c r="C308" t="n">
        <v>181.1799926757812</v>
      </c>
      <c r="D308" t="n">
        <v>93.7</v>
      </c>
      <c r="E308" t="n">
        <v>105.1</v>
      </c>
      <c r="F308" t="n">
        <v>86.5</v>
      </c>
      <c r="G308" t="n">
        <v/>
      </c>
      <c r="H308" t="n">
        <v/>
      </c>
      <c r="I308" t="n">
        <v/>
      </c>
    </row>
    <row r="309">
      <c r="A309" s="67" t="n">
        <v>31107</v>
      </c>
      <c r="B309" t="n">
        <v>58.9</v>
      </c>
      <c r="C309" t="n">
        <v>180.6600036621094</v>
      </c>
      <c r="D309" t="n">
        <v>93.7</v>
      </c>
      <c r="E309" t="n">
        <v>103.7</v>
      </c>
      <c r="F309" t="n">
        <v>87.3</v>
      </c>
      <c r="G309" t="n">
        <v/>
      </c>
      <c r="H309" t="n">
        <v/>
      </c>
      <c r="I309" t="n">
        <v/>
      </c>
    </row>
    <row r="310">
      <c r="A310" s="67" t="n">
        <v>31138</v>
      </c>
      <c r="B310" t="n">
        <v>59</v>
      </c>
      <c r="C310" t="n">
        <v>179.8300018310547</v>
      </c>
      <c r="D310" t="n">
        <v>94.59999999999999</v>
      </c>
      <c r="E310" t="n">
        <v>106.6</v>
      </c>
      <c r="F310" t="n">
        <v>87</v>
      </c>
      <c r="G310" t="n">
        <v>7898.194</v>
      </c>
      <c r="H310" t="n">
        <v>0.008727818030299104</v>
      </c>
      <c r="I310" t="n">
        <v>0.03553305983621077</v>
      </c>
    </row>
    <row r="311">
      <c r="A311" s="67" t="n">
        <v>31168</v>
      </c>
      <c r="B311" t="n">
        <v>59.2</v>
      </c>
      <c r="C311" t="n">
        <v>189.5500030517578</v>
      </c>
      <c r="D311" t="n">
        <v>91.8</v>
      </c>
      <c r="E311" t="n">
        <v>103.7</v>
      </c>
      <c r="F311" t="n">
        <v>84.2</v>
      </c>
      <c r="G311" t="n">
        <v/>
      </c>
      <c r="H311" t="n">
        <v/>
      </c>
      <c r="I311" t="n">
        <v/>
      </c>
    </row>
    <row r="312">
      <c r="A312" s="67" t="n">
        <v>31199</v>
      </c>
      <c r="B312" t="n">
        <v>59.6</v>
      </c>
      <c r="C312" t="n">
        <v>191.8500061035156</v>
      </c>
      <c r="D312" t="n">
        <v>96.5</v>
      </c>
      <c r="E312" t="n">
        <v>104.9</v>
      </c>
      <c r="F312" t="n">
        <v>91.09999999999999</v>
      </c>
      <c r="G312" t="n">
        <v/>
      </c>
      <c r="H312" t="n">
        <v/>
      </c>
      <c r="I312" t="n">
        <v/>
      </c>
    </row>
    <row r="313">
      <c r="A313" s="67" t="n">
        <v>31229</v>
      </c>
      <c r="B313" t="n">
        <v>59.8</v>
      </c>
      <c r="C313" t="n">
        <v>190.9199981689453</v>
      </c>
      <c r="D313" t="n">
        <v>94</v>
      </c>
      <c r="E313" t="n">
        <v>104.3</v>
      </c>
      <c r="F313" t="n">
        <v>87.40000000000001</v>
      </c>
      <c r="G313" t="n">
        <v>8018.809</v>
      </c>
      <c r="H313" t="n">
        <v>0.01504151052855852</v>
      </c>
      <c r="I313" t="n">
        <v>0.04088188158615581</v>
      </c>
    </row>
    <row r="314">
      <c r="A314" s="67" t="n">
        <v>31260</v>
      </c>
      <c r="B314" t="n">
        <v>60</v>
      </c>
      <c r="C314" t="n">
        <v>188.6300048828125</v>
      </c>
      <c r="D314" t="n">
        <v>92.40000000000001</v>
      </c>
      <c r="E314" t="n">
        <v>101.8</v>
      </c>
      <c r="F314" t="n">
        <v>86.3</v>
      </c>
      <c r="G314" t="n">
        <v/>
      </c>
      <c r="H314" t="n">
        <v/>
      </c>
      <c r="I314" t="n">
        <v/>
      </c>
    </row>
    <row r="315">
      <c r="A315" s="67" t="n">
        <v>31291</v>
      </c>
      <c r="B315" t="n">
        <v>60.2</v>
      </c>
      <c r="C315" t="n">
        <v>182.0800018310547</v>
      </c>
      <c r="D315" t="n">
        <v>92.09999999999999</v>
      </c>
      <c r="E315" t="n">
        <v>104.3</v>
      </c>
      <c r="F315" t="n">
        <v>84.2</v>
      </c>
      <c r="G315" t="n">
        <v/>
      </c>
      <c r="H315" t="n">
        <v/>
      </c>
      <c r="I315" t="n">
        <v/>
      </c>
    </row>
    <row r="316">
      <c r="A316" s="67" t="n">
        <v>31321</v>
      </c>
      <c r="B316" t="n">
        <v>60.3</v>
      </c>
      <c r="C316" t="n">
        <v>189.8200073242188</v>
      </c>
      <c r="D316" t="n">
        <v>88.40000000000001</v>
      </c>
      <c r="E316" t="n">
        <v>100.3</v>
      </c>
      <c r="F316" t="n">
        <v>80.8</v>
      </c>
      <c r="G316" t="n">
        <v>8078.415</v>
      </c>
      <c r="H316" t="n">
        <v>0.007378427575211198</v>
      </c>
      <c r="I316" t="n">
        <v>0.04014376582535061</v>
      </c>
    </row>
    <row r="317">
      <c r="A317" s="67" t="n">
        <v>31352</v>
      </c>
      <c r="B317" t="n">
        <v>60.5</v>
      </c>
      <c r="C317" t="n">
        <v>202.1699981689453</v>
      </c>
      <c r="D317" t="n">
        <v>90.90000000000001</v>
      </c>
      <c r="E317" t="n">
        <v>100.7</v>
      </c>
      <c r="F317" t="n">
        <v>84.5</v>
      </c>
      <c r="G317" t="n">
        <v/>
      </c>
      <c r="H317" t="n">
        <v/>
      </c>
      <c r="I317" t="n">
        <v/>
      </c>
    </row>
    <row r="318">
      <c r="A318" s="67" t="n">
        <v>31382</v>
      </c>
      <c r="B318" t="n">
        <v>60.8</v>
      </c>
      <c r="C318" t="n">
        <v>211.2799987792969</v>
      </c>
      <c r="D318" t="n">
        <v>93.90000000000001</v>
      </c>
      <c r="E318" t="n">
        <v>103.1</v>
      </c>
      <c r="F318" t="n">
        <v>88.09999999999999</v>
      </c>
      <c r="G318" t="n">
        <v/>
      </c>
      <c r="H318" t="n">
        <v/>
      </c>
      <c r="I318" t="n">
        <v/>
      </c>
    </row>
    <row r="319">
      <c r="A319" s="67" t="n">
        <v>31413</v>
      </c>
      <c r="B319" t="n">
        <v>61</v>
      </c>
      <c r="C319" t="n">
        <v>211.7799987792969</v>
      </c>
      <c r="D319" t="n">
        <v>95.59999999999999</v>
      </c>
      <c r="E319" t="n">
        <v>111.8</v>
      </c>
      <c r="F319" t="n">
        <v>85.3</v>
      </c>
      <c r="G319" t="n">
        <v>8153.829</v>
      </c>
      <c r="H319" t="n">
        <v>0.009248906250057459</v>
      </c>
      <c r="I319" t="n">
        <v>0.03980571581768511</v>
      </c>
    </row>
    <row r="320">
      <c r="A320" s="67" t="n">
        <v>31444</v>
      </c>
      <c r="B320" t="n">
        <v>61.2</v>
      </c>
      <c r="C320" t="n">
        <v>226.9199981689453</v>
      </c>
      <c r="D320" t="n">
        <v>95.90000000000001</v>
      </c>
      <c r="E320" t="n">
        <v>108.4</v>
      </c>
      <c r="F320" t="n">
        <v>87.8</v>
      </c>
      <c r="G320" t="n">
        <v/>
      </c>
      <c r="H320" t="n">
        <v/>
      </c>
      <c r="I320" t="n">
        <v/>
      </c>
    </row>
    <row r="321">
      <c r="A321" s="67" t="n">
        <v>31472</v>
      </c>
      <c r="B321" t="n">
        <v>61.3</v>
      </c>
      <c r="C321" t="n">
        <v>238.8999938964844</v>
      </c>
      <c r="D321" t="n">
        <v>95.09999999999999</v>
      </c>
      <c r="E321" t="n">
        <v>107.9</v>
      </c>
      <c r="F321" t="n">
        <v>86.90000000000001</v>
      </c>
      <c r="G321" t="n">
        <v/>
      </c>
      <c r="H321" t="n">
        <v/>
      </c>
      <c r="I321" t="n">
        <v/>
      </c>
    </row>
    <row r="322">
      <c r="A322" s="67" t="n">
        <v>31503</v>
      </c>
      <c r="B322" t="n">
        <v>61.6</v>
      </c>
      <c r="C322" t="n">
        <v>235.5200042724609</v>
      </c>
      <c r="D322" t="n">
        <v>96.2</v>
      </c>
      <c r="E322" t="n">
        <v>108.1</v>
      </c>
      <c r="F322" t="n">
        <v>88.5</v>
      </c>
      <c r="G322" t="n">
        <v>8190.552</v>
      </c>
      <c r="H322" t="n">
        <v>0.004483580593835429</v>
      </c>
      <c r="I322" t="n">
        <v>0.03569454171098593</v>
      </c>
    </row>
    <row r="323">
      <c r="A323" s="67" t="n">
        <v>31533</v>
      </c>
      <c r="B323" t="n">
        <v>61.8</v>
      </c>
      <c r="C323" t="n">
        <v>247.3500061035156</v>
      </c>
      <c r="D323" t="n">
        <v>94.8</v>
      </c>
      <c r="E323" t="n">
        <v>106.2</v>
      </c>
      <c r="F323" t="n">
        <v>87.5</v>
      </c>
      <c r="G323" t="n">
        <v/>
      </c>
      <c r="H323" t="n">
        <v/>
      </c>
      <c r="I323" t="n">
        <v/>
      </c>
    </row>
    <row r="324">
      <c r="A324" s="67" t="n">
        <v>31564</v>
      </c>
      <c r="B324" t="n">
        <v>62.3</v>
      </c>
      <c r="C324" t="n">
        <v>250.8399963378906</v>
      </c>
      <c r="D324" t="n">
        <v>99.3</v>
      </c>
      <c r="E324" t="n">
        <v>113.3</v>
      </c>
      <c r="F324" t="n">
        <v>90.3</v>
      </c>
      <c r="G324" t="n">
        <v/>
      </c>
      <c r="H324" t="n">
        <v/>
      </c>
      <c r="I324" t="n">
        <v/>
      </c>
    </row>
    <row r="325">
      <c r="A325" s="67" t="n">
        <v>31594</v>
      </c>
      <c r="B325" t="n">
        <v>62.3</v>
      </c>
      <c r="C325" t="n">
        <v>236.1199951171875</v>
      </c>
      <c r="D325" t="n">
        <v>97.7</v>
      </c>
      <c r="E325" t="n">
        <v>112.1</v>
      </c>
      <c r="F325" t="n">
        <v>88.5</v>
      </c>
      <c r="G325" t="n">
        <v>8268.934999999999</v>
      </c>
      <c r="H325" t="n">
        <v>0.009479213465821151</v>
      </c>
      <c r="I325" t="n">
        <v>0.03024887727379636</v>
      </c>
    </row>
    <row r="326">
      <c r="A326" s="67" t="n">
        <v>31625</v>
      </c>
      <c r="B326" t="n">
        <v>62.4</v>
      </c>
      <c r="C326" t="n">
        <v>252.9299926757812</v>
      </c>
      <c r="D326" t="n">
        <v>94.90000000000001</v>
      </c>
      <c r="E326" t="n">
        <v>108.9</v>
      </c>
      <c r="F326" t="n">
        <v>85.90000000000001</v>
      </c>
      <c r="G326" t="n">
        <v/>
      </c>
      <c r="H326" t="n">
        <v/>
      </c>
      <c r="I326" t="n">
        <v/>
      </c>
    </row>
    <row r="327">
      <c r="A327" s="67" t="n">
        <v>31656</v>
      </c>
      <c r="B327" t="n">
        <v>62.6</v>
      </c>
      <c r="C327" t="n">
        <v>231.3200073242188</v>
      </c>
      <c r="D327" t="n">
        <v>91.90000000000001</v>
      </c>
      <c r="E327" t="n">
        <v>108.3</v>
      </c>
      <c r="F327" t="n">
        <v>81.3</v>
      </c>
      <c r="G327" t="n">
        <v/>
      </c>
      <c r="H327" t="n">
        <v/>
      </c>
      <c r="I327" t="n">
        <v/>
      </c>
    </row>
    <row r="328">
      <c r="A328" s="67" t="n">
        <v>31686</v>
      </c>
      <c r="B328" t="n">
        <v>62.7</v>
      </c>
      <c r="C328" t="n">
        <v>243.9799957275391</v>
      </c>
      <c r="D328" t="n">
        <v>95.59999999999999</v>
      </c>
      <c r="E328" t="n">
        <v>108.9</v>
      </c>
      <c r="F328" t="n">
        <v>87.09999999999999</v>
      </c>
      <c r="G328" t="n">
        <v>8313.338</v>
      </c>
      <c r="H328" t="n">
        <v>0.005341175830935811</v>
      </c>
      <c r="I328" t="n">
        <v>0.02825856473055706</v>
      </c>
    </row>
    <row r="329">
      <c r="A329" s="67" t="n">
        <v>31717</v>
      </c>
      <c r="B329" t="n">
        <v>62.9</v>
      </c>
      <c r="C329" t="n">
        <v>249.2200012207031</v>
      </c>
      <c r="D329" t="n">
        <v>91.40000000000001</v>
      </c>
      <c r="E329" t="n">
        <v>106.7</v>
      </c>
      <c r="F329" t="n">
        <v>81.59999999999999</v>
      </c>
      <c r="G329" t="n">
        <v/>
      </c>
      <c r="H329" t="n">
        <v/>
      </c>
      <c r="I329" t="n">
        <v/>
      </c>
    </row>
    <row r="330">
      <c r="A330" s="67" t="n">
        <v>31747</v>
      </c>
      <c r="B330" t="n">
        <v>63.3</v>
      </c>
      <c r="C330" t="n">
        <v>242.1699981689453</v>
      </c>
      <c r="D330" t="n">
        <v>89.09999999999999</v>
      </c>
      <c r="E330" t="n">
        <v>105.8</v>
      </c>
      <c r="F330" t="n">
        <v>78.3</v>
      </c>
      <c r="G330" t="n">
        <v/>
      </c>
      <c r="H330" t="n">
        <v/>
      </c>
      <c r="I330" t="n">
        <v/>
      </c>
    </row>
    <row r="331">
      <c r="A331" s="67" t="n">
        <v>31778</v>
      </c>
      <c r="B331" t="n">
        <v>63.3</v>
      </c>
      <c r="C331" t="n">
        <v>274.0799865722656</v>
      </c>
      <c r="D331" t="n">
        <v>90.40000000000001</v>
      </c>
      <c r="E331" t="n">
        <v>105.1</v>
      </c>
      <c r="F331" t="n">
        <v>80.90000000000001</v>
      </c>
      <c r="G331" t="n">
        <v>8375.273999999999</v>
      </c>
      <c r="H331" t="n">
        <v>0.007395101342356047</v>
      </c>
      <c r="I331" t="n">
        <v>0.02644032899699756</v>
      </c>
    </row>
    <row r="332">
      <c r="A332" s="67" t="n">
        <v>31809</v>
      </c>
      <c r="B332" t="n">
        <v>63.8</v>
      </c>
      <c r="C332" t="n">
        <v>284.2000122070312</v>
      </c>
      <c r="D332" t="n">
        <v>90.2</v>
      </c>
      <c r="E332" t="n">
        <v>103.7</v>
      </c>
      <c r="F332" t="n">
        <v>81.59999999999999</v>
      </c>
      <c r="G332" t="n">
        <v/>
      </c>
      <c r="H332" t="n">
        <v/>
      </c>
      <c r="I332" t="n">
        <v/>
      </c>
    </row>
    <row r="333">
      <c r="A333" s="67" t="n">
        <v>31837</v>
      </c>
      <c r="B333" t="n">
        <v>63.9</v>
      </c>
      <c r="C333" t="n">
        <v>291.7000122070312</v>
      </c>
      <c r="D333" t="n">
        <v>90.8</v>
      </c>
      <c r="E333" t="n">
        <v>102.5</v>
      </c>
      <c r="F333" t="n">
        <v>83.3</v>
      </c>
      <c r="G333" t="n">
        <v/>
      </c>
      <c r="H333" t="n">
        <v/>
      </c>
      <c r="I333" t="n">
        <v/>
      </c>
    </row>
    <row r="334">
      <c r="A334" s="67" t="n">
        <v>31868</v>
      </c>
      <c r="B334" t="n">
        <v>64</v>
      </c>
      <c r="C334" t="n">
        <v>288.3599853515625</v>
      </c>
      <c r="D334" t="n">
        <v>92.8</v>
      </c>
      <c r="E334" t="n">
        <v>105.5</v>
      </c>
      <c r="F334" t="n">
        <v>84.7</v>
      </c>
      <c r="G334" t="n">
        <v>8465.629999999999</v>
      </c>
      <c r="H334" t="n">
        <v>0.0106732753498558</v>
      </c>
      <c r="I334" t="n">
        <v>0.03249350609464382</v>
      </c>
    </row>
    <row r="335">
      <c r="A335" s="67" t="n">
        <v>31898</v>
      </c>
      <c r="B335" t="n">
        <v>64.2</v>
      </c>
      <c r="C335" t="n">
        <v>290.1000061035156</v>
      </c>
      <c r="D335" t="n">
        <v>91.09999999999999</v>
      </c>
      <c r="E335" t="n">
        <v>107.4</v>
      </c>
      <c r="F335" t="n">
        <v>80.59999999999999</v>
      </c>
      <c r="G335" t="n">
        <v/>
      </c>
      <c r="H335" t="n">
        <v/>
      </c>
      <c r="I335" t="n">
        <v/>
      </c>
    </row>
    <row r="336">
      <c r="A336" s="67" t="n">
        <v>31929</v>
      </c>
      <c r="B336" t="n">
        <v>64.5</v>
      </c>
      <c r="C336" t="n">
        <v>304</v>
      </c>
      <c r="D336" t="n">
        <v>91.5</v>
      </c>
      <c r="E336" t="n">
        <v>108.1</v>
      </c>
      <c r="F336" t="n">
        <v>80.8</v>
      </c>
      <c r="G336" t="n">
        <v/>
      </c>
      <c r="H336" t="n">
        <v/>
      </c>
      <c r="I336" t="n">
        <v/>
      </c>
    </row>
    <row r="337">
      <c r="A337" s="67" t="n">
        <v>31959</v>
      </c>
      <c r="B337" t="n">
        <v>64.8</v>
      </c>
      <c r="C337" t="n">
        <v>318.6600036621094</v>
      </c>
      <c r="D337" t="n">
        <v>93.7</v>
      </c>
      <c r="E337" t="n">
        <v>109.9</v>
      </c>
      <c r="F337" t="n">
        <v>83.3</v>
      </c>
      <c r="G337" t="n">
        <v>8539.075000000001</v>
      </c>
      <c r="H337" t="n">
        <v>0.008601048708437567</v>
      </c>
      <c r="I337" t="n">
        <v>0.03163574508948583</v>
      </c>
    </row>
    <row r="338">
      <c r="A338" s="67" t="n">
        <v>31990</v>
      </c>
      <c r="B338" t="n">
        <v>65</v>
      </c>
      <c r="C338" t="n">
        <v>329.7999877929688</v>
      </c>
      <c r="D338" t="n">
        <v>94.40000000000001</v>
      </c>
      <c r="E338" t="n">
        <v>107.8</v>
      </c>
      <c r="F338" t="n">
        <v>85.8</v>
      </c>
      <c r="G338" t="n">
        <v/>
      </c>
      <c r="H338" t="n">
        <v/>
      </c>
      <c r="I338" t="n">
        <v/>
      </c>
    </row>
    <row r="339">
      <c r="A339" s="67" t="n">
        <v>32021</v>
      </c>
      <c r="B339" t="n">
        <v>65.40000000000001</v>
      </c>
      <c r="C339" t="n">
        <v>321.8299865722656</v>
      </c>
      <c r="D339" t="n">
        <v>93.59999999999999</v>
      </c>
      <c r="E339" t="n">
        <v>108.3</v>
      </c>
      <c r="F339" t="n">
        <v>84.2</v>
      </c>
      <c r="G339" t="n">
        <v/>
      </c>
      <c r="H339" t="n">
        <v/>
      </c>
      <c r="I339" t="n">
        <v/>
      </c>
    </row>
    <row r="340">
      <c r="A340" s="67" t="n">
        <v>32051</v>
      </c>
      <c r="B340" t="n">
        <v>65.59999999999999</v>
      </c>
      <c r="C340" t="n">
        <v>251.7899932861328</v>
      </c>
      <c r="D340" t="n">
        <v>89.3</v>
      </c>
      <c r="E340" t="n">
        <v>103.1</v>
      </c>
      <c r="F340" t="n">
        <v>80.40000000000001</v>
      </c>
      <c r="G340" t="n">
        <v>8685.694</v>
      </c>
      <c r="H340" t="n">
        <v>0.01688051639857435</v>
      </c>
      <c r="I340" t="n">
        <v>0.04287003433461964</v>
      </c>
    </row>
    <row r="341">
      <c r="A341" s="67" t="n">
        <v>32082</v>
      </c>
      <c r="B341" t="n">
        <v>65.40000000000001</v>
      </c>
      <c r="C341" t="n">
        <v>230.3000030517578</v>
      </c>
      <c r="D341" t="n">
        <v>83.09999999999999</v>
      </c>
      <c r="E341" t="n">
        <v>99.3</v>
      </c>
      <c r="F341" t="n">
        <v>72.7</v>
      </c>
      <c r="G341" t="n">
        <v/>
      </c>
      <c r="H341" t="n">
        <v/>
      </c>
      <c r="I341" t="n">
        <v/>
      </c>
    </row>
    <row r="342">
      <c r="A342" s="67" t="n">
        <v>32112</v>
      </c>
      <c r="B342" t="n">
        <v>65.40000000000001</v>
      </c>
      <c r="C342" t="n">
        <v>247.0800018310547</v>
      </c>
      <c r="D342" t="n">
        <v>86.8</v>
      </c>
      <c r="E342" t="n">
        <v>102.7</v>
      </c>
      <c r="F342" t="n">
        <v>76.7</v>
      </c>
      <c r="G342" t="n">
        <v/>
      </c>
      <c r="H342" t="n">
        <v/>
      </c>
      <c r="I342" t="n">
        <v/>
      </c>
    </row>
    <row r="343">
      <c r="A343" s="67" t="n">
        <v>32143</v>
      </c>
      <c r="B343" t="n">
        <v>65.59999999999999</v>
      </c>
      <c r="C343" t="n">
        <v>257.0700073242188</v>
      </c>
      <c r="D343" t="n">
        <v>90.8</v>
      </c>
      <c r="E343" t="n">
        <v>106.2</v>
      </c>
      <c r="F343" t="n">
        <v>80.90000000000001</v>
      </c>
      <c r="G343" t="n">
        <v>8730.569</v>
      </c>
      <c r="H343" t="n">
        <v>0.005139985721434651</v>
      </c>
      <c r="I343" t="n">
        <v>0.04069551480550696</v>
      </c>
    </row>
    <row r="344">
      <c r="A344" s="67" t="n">
        <v>32174</v>
      </c>
      <c r="B344" t="n">
        <v>66.09999999999999</v>
      </c>
      <c r="C344" t="n">
        <v>267.8200073242188</v>
      </c>
      <c r="D344" t="n">
        <v>91.59999999999999</v>
      </c>
      <c r="E344" t="n">
        <v>106.6</v>
      </c>
      <c r="F344" t="n">
        <v>81.90000000000001</v>
      </c>
      <c r="G344" t="n">
        <v/>
      </c>
      <c r="H344" t="n">
        <v/>
      </c>
      <c r="I344" t="n">
        <v/>
      </c>
    </row>
    <row r="345">
      <c r="A345" s="67" t="n">
        <v>32203</v>
      </c>
      <c r="B345" t="n">
        <v>66.40000000000001</v>
      </c>
      <c r="C345" t="n">
        <v>258.8900146484375</v>
      </c>
      <c r="D345" t="n">
        <v>94.59999999999999</v>
      </c>
      <c r="E345" t="n">
        <v>109.1</v>
      </c>
      <c r="F345" t="n">
        <v>85.2</v>
      </c>
      <c r="G345" t="n">
        <v/>
      </c>
      <c r="H345" t="n">
        <v/>
      </c>
      <c r="I345" t="n">
        <v/>
      </c>
    </row>
    <row r="346">
      <c r="A346" s="67" t="n">
        <v>32234</v>
      </c>
      <c r="B346" t="n">
        <v>66.5</v>
      </c>
      <c r="C346" t="n">
        <v>261.3299865722656</v>
      </c>
      <c r="D346" t="n">
        <v>91.2</v>
      </c>
      <c r="E346" t="n">
        <v>104.8</v>
      </c>
      <c r="F346" t="n">
        <v>82.40000000000001</v>
      </c>
      <c r="G346" t="n">
        <v>8845.280000000001</v>
      </c>
      <c r="H346" t="n">
        <v>0.01296861150805866</v>
      </c>
      <c r="I346" t="n">
        <v>0.04292119638948699</v>
      </c>
    </row>
    <row r="347">
      <c r="A347" s="67" t="n">
        <v>32264</v>
      </c>
      <c r="B347" t="n">
        <v>66.8</v>
      </c>
      <c r="C347" t="n">
        <v>262.1600036621094</v>
      </c>
      <c r="D347" t="n">
        <v>94.8</v>
      </c>
      <c r="E347" t="n">
        <v>106.5</v>
      </c>
      <c r="F347" t="n">
        <v>87.3</v>
      </c>
      <c r="G347" t="n">
        <v/>
      </c>
      <c r="H347" t="n">
        <v/>
      </c>
      <c r="I347" t="n">
        <v/>
      </c>
    </row>
    <row r="348">
      <c r="A348" s="67" t="n">
        <v>32295</v>
      </c>
      <c r="B348" t="n">
        <v>67.2</v>
      </c>
      <c r="C348" t="n">
        <v>273.5</v>
      </c>
      <c r="D348" t="n">
        <v>94.7</v>
      </c>
      <c r="E348" t="n">
        <v>108.6</v>
      </c>
      <c r="F348" t="n">
        <v>85.7</v>
      </c>
      <c r="G348" t="n">
        <v/>
      </c>
      <c r="H348" t="n">
        <v/>
      </c>
      <c r="I348" t="n">
        <v/>
      </c>
    </row>
    <row r="349">
      <c r="A349" s="67" t="n">
        <v>32325</v>
      </c>
      <c r="B349" t="n">
        <v>67.2</v>
      </c>
      <c r="C349" t="n">
        <v>272.0199890136719</v>
      </c>
      <c r="D349" t="n">
        <v>93.40000000000001</v>
      </c>
      <c r="E349" t="n">
        <v>110.7</v>
      </c>
      <c r="F349" t="n">
        <v>82.3</v>
      </c>
      <c r="G349" t="n">
        <v>8897.107</v>
      </c>
      <c r="H349" t="n">
        <v>0.005825151928598736</v>
      </c>
      <c r="I349" t="n">
        <v>0.04024139532097335</v>
      </c>
    </row>
    <row r="350">
      <c r="A350" s="67" t="n">
        <v>32356</v>
      </c>
      <c r="B350" t="n">
        <v>67.3</v>
      </c>
      <c r="C350" t="n">
        <v>261.5199890136719</v>
      </c>
      <c r="D350" t="n">
        <v>97.40000000000001</v>
      </c>
      <c r="E350" t="n">
        <v>110.8</v>
      </c>
      <c r="F350" t="n">
        <v>88.8</v>
      </c>
      <c r="G350" t="n">
        <v/>
      </c>
      <c r="H350" t="n">
        <v/>
      </c>
      <c r="I350" t="n">
        <v/>
      </c>
    </row>
    <row r="351">
      <c r="A351" s="67" t="n">
        <v>32387</v>
      </c>
      <c r="B351" t="n">
        <v>67.5</v>
      </c>
      <c r="C351" t="n">
        <v>271.9100036621094</v>
      </c>
      <c r="D351" t="n">
        <v>97.3</v>
      </c>
      <c r="E351" t="n">
        <v>109.4</v>
      </c>
      <c r="F351" t="n">
        <v>89.5</v>
      </c>
      <c r="G351" t="n">
        <v/>
      </c>
      <c r="H351" t="n">
        <v/>
      </c>
      <c r="I351" t="n">
        <v/>
      </c>
    </row>
    <row r="352">
      <c r="A352" s="67" t="n">
        <v>32417</v>
      </c>
      <c r="B352" t="n">
        <v>67.8</v>
      </c>
      <c r="C352" t="n">
        <v>278.9700012207031</v>
      </c>
      <c r="D352" t="n">
        <v>94.09999999999999</v>
      </c>
      <c r="E352" t="n">
        <v>105</v>
      </c>
      <c r="F352" t="n">
        <v>87</v>
      </c>
      <c r="G352" t="n">
        <v>9015.661</v>
      </c>
      <c r="H352" t="n">
        <v>0.01314978458040959</v>
      </c>
      <c r="I352" t="n">
        <v>0.03659931312856601</v>
      </c>
    </row>
    <row r="353">
      <c r="A353" s="67" t="n">
        <v>32448</v>
      </c>
      <c r="B353" t="n">
        <v>67.90000000000001</v>
      </c>
      <c r="C353" t="n">
        <v>273.7000122070312</v>
      </c>
      <c r="D353" t="n">
        <v>93</v>
      </c>
      <c r="E353" t="n">
        <v>103.3</v>
      </c>
      <c r="F353" t="n">
        <v>86.3</v>
      </c>
      <c r="G353" t="n">
        <v/>
      </c>
      <c r="H353" t="n">
        <v/>
      </c>
      <c r="I353" t="n">
        <v/>
      </c>
    </row>
    <row r="354">
      <c r="A354" s="67" t="n">
        <v>32478</v>
      </c>
      <c r="B354" t="n">
        <v>68.09999999999999</v>
      </c>
      <c r="C354" t="n">
        <v>277.7200012207031</v>
      </c>
      <c r="D354" t="n">
        <v>91.90000000000001</v>
      </c>
      <c r="E354" t="n">
        <v>102</v>
      </c>
      <c r="F354" t="n">
        <v>85.5</v>
      </c>
      <c r="G354" t="n">
        <v/>
      </c>
      <c r="H354" t="n">
        <v/>
      </c>
      <c r="I354" t="n">
        <v/>
      </c>
    </row>
    <row r="355">
      <c r="A355" s="67" t="n">
        <v>32509</v>
      </c>
      <c r="B355" t="n">
        <v>68.2</v>
      </c>
      <c r="C355" t="n">
        <v>297.4700012207031</v>
      </c>
      <c r="D355" t="n">
        <v>97.90000000000001</v>
      </c>
      <c r="E355" t="n">
        <v>110.3</v>
      </c>
      <c r="F355" t="n">
        <v>89.90000000000001</v>
      </c>
      <c r="G355" t="n">
        <v>9107.314</v>
      </c>
      <c r="H355" t="n">
        <v>0.01006366970546972</v>
      </c>
      <c r="I355" t="n">
        <v>0.04136730105056231</v>
      </c>
    </row>
    <row r="356">
      <c r="A356" s="67" t="n">
        <v>32540</v>
      </c>
      <c r="B356" t="n">
        <v>68.2</v>
      </c>
      <c r="C356" t="n">
        <v>288.8599853515625</v>
      </c>
      <c r="D356" t="n">
        <v>95.40000000000001</v>
      </c>
      <c r="E356" t="n">
        <v>105.7</v>
      </c>
      <c r="F356" t="n">
        <v>88.8</v>
      </c>
      <c r="G356" t="n">
        <v/>
      </c>
      <c r="H356" t="n">
        <v/>
      </c>
      <c r="I356" t="n">
        <v/>
      </c>
    </row>
    <row r="357">
      <c r="A357" s="67" t="n">
        <v>32568</v>
      </c>
      <c r="B357" t="n">
        <v>67.90000000000001</v>
      </c>
      <c r="C357" t="n">
        <v>294.8699951171875</v>
      </c>
      <c r="D357" t="n">
        <v>94.3</v>
      </c>
      <c r="E357" t="n">
        <v>104.8</v>
      </c>
      <c r="F357" t="n">
        <v>87.59999999999999</v>
      </c>
      <c r="G357" t="n">
        <v/>
      </c>
      <c r="H357" t="n">
        <v/>
      </c>
      <c r="I357" t="n">
        <v/>
      </c>
    </row>
    <row r="358">
      <c r="A358" s="67" t="n">
        <v>32599</v>
      </c>
      <c r="B358" t="n">
        <v>68</v>
      </c>
      <c r="C358" t="n">
        <v>309.6400146484375</v>
      </c>
      <c r="D358" t="n">
        <v>91.5</v>
      </c>
      <c r="E358" t="n">
        <v>104.4</v>
      </c>
      <c r="F358" t="n">
        <v>83.2</v>
      </c>
      <c r="G358" t="n">
        <v>9176.826999999999</v>
      </c>
      <c r="H358" t="n">
        <v>0.00757484041052523</v>
      </c>
      <c r="I358" t="n">
        <v>0.03612871856470637</v>
      </c>
    </row>
    <row r="359">
      <c r="A359" s="67" t="n">
        <v>32629</v>
      </c>
      <c r="B359" t="n">
        <v>67.8</v>
      </c>
      <c r="C359" t="n">
        <v>320.5199890136719</v>
      </c>
      <c r="D359" t="n">
        <v>90.7</v>
      </c>
      <c r="E359" t="n">
        <v>107.1</v>
      </c>
      <c r="F359" t="n">
        <v>80.09999999999999</v>
      </c>
      <c r="G359" t="n">
        <v/>
      </c>
      <c r="H359" t="n">
        <v/>
      </c>
      <c r="I359" t="n">
        <v/>
      </c>
    </row>
    <row r="360">
      <c r="A360" s="67" t="n">
        <v>32660</v>
      </c>
      <c r="B360" t="n">
        <v>67.7</v>
      </c>
      <c r="C360" t="n">
        <v>317.9800109863281</v>
      </c>
      <c r="D360" t="n">
        <v>90.59999999999999</v>
      </c>
      <c r="E360" t="n">
        <v>104.1</v>
      </c>
      <c r="F360" t="n">
        <v>82</v>
      </c>
      <c r="G360" t="n">
        <v/>
      </c>
      <c r="H360" t="n">
        <v/>
      </c>
      <c r="I360" t="n">
        <v/>
      </c>
    </row>
    <row r="361">
      <c r="A361" s="67" t="n">
        <v>32690</v>
      </c>
      <c r="B361" t="n">
        <v>67.40000000000001</v>
      </c>
      <c r="C361" t="n">
        <v>346.0799865722656</v>
      </c>
      <c r="D361" t="n">
        <v>92</v>
      </c>
      <c r="E361" t="n">
        <v>102.1</v>
      </c>
      <c r="F361" t="n">
        <v>85.5</v>
      </c>
      <c r="G361" t="n">
        <v>9244.816000000001</v>
      </c>
      <c r="H361" t="n">
        <v>0.007354283741288241</v>
      </c>
      <c r="I361" t="n">
        <v>0.03761124072128647</v>
      </c>
    </row>
    <row r="362">
      <c r="A362" s="67" t="n">
        <v>32721</v>
      </c>
      <c r="B362" t="n">
        <v>67.59999999999999</v>
      </c>
      <c r="C362" t="n">
        <v>351.4500122070312</v>
      </c>
      <c r="D362" t="n">
        <v>89.59999999999999</v>
      </c>
      <c r="E362" t="n">
        <v>103.9</v>
      </c>
      <c r="F362" t="n">
        <v>80.3</v>
      </c>
      <c r="G362" t="n">
        <v/>
      </c>
      <c r="H362" t="n">
        <v/>
      </c>
      <c r="I362" t="n">
        <v/>
      </c>
    </row>
    <row r="363">
      <c r="A363" s="67" t="n">
        <v>32752</v>
      </c>
      <c r="B363" t="n">
        <v>67.59999999999999</v>
      </c>
      <c r="C363" t="n">
        <v>349.1499938964844</v>
      </c>
      <c r="D363" t="n">
        <v>95.8</v>
      </c>
      <c r="E363" t="n">
        <v>107.1</v>
      </c>
      <c r="F363" t="n">
        <v>88.59999999999999</v>
      </c>
      <c r="G363" t="n">
        <v/>
      </c>
      <c r="H363" t="n">
        <v/>
      </c>
      <c r="I363" t="n">
        <v/>
      </c>
    </row>
    <row r="364">
      <c r="A364" s="67" t="n">
        <v>32782</v>
      </c>
      <c r="B364" t="n">
        <v>67.40000000000001</v>
      </c>
      <c r="C364" t="n">
        <v>340.3599853515625</v>
      </c>
      <c r="D364" t="n">
        <v>93.90000000000001</v>
      </c>
      <c r="E364" t="n">
        <v>104.4</v>
      </c>
      <c r="F364" t="n">
        <v>87.2</v>
      </c>
      <c r="G364" t="n">
        <v>9263.032999999999</v>
      </c>
      <c r="H364" t="n">
        <v>0.001966634470588492</v>
      </c>
      <c r="I364" t="n">
        <v>0.02670529188441835</v>
      </c>
    </row>
    <row r="365">
      <c r="A365" s="67" t="n">
        <v>32813</v>
      </c>
      <c r="B365" t="n">
        <v>67.5</v>
      </c>
      <c r="C365" t="n">
        <v>345.989990234375</v>
      </c>
      <c r="D365" t="n">
        <v>90.90000000000001</v>
      </c>
      <c r="E365" t="n">
        <v>101.2</v>
      </c>
      <c r="F365" t="n">
        <v>84.3</v>
      </c>
      <c r="G365" t="n">
        <v/>
      </c>
      <c r="H365" t="n">
        <v/>
      </c>
      <c r="I365" t="n">
        <v/>
      </c>
    </row>
    <row r="366">
      <c r="A366" s="67" t="n">
        <v>32843</v>
      </c>
      <c r="B366" t="n">
        <v>67.5</v>
      </c>
      <c r="C366" t="n">
        <v>353.3999938964844</v>
      </c>
      <c r="D366" t="n">
        <v>90.5</v>
      </c>
      <c r="E366" t="n">
        <v>98.2</v>
      </c>
      <c r="F366" t="n">
        <v>85.5</v>
      </c>
      <c r="G366" t="n">
        <v/>
      </c>
      <c r="H366" t="n">
        <v/>
      </c>
      <c r="I366" t="n">
        <v/>
      </c>
    </row>
    <row r="367">
      <c r="A367" s="67" t="n">
        <v>32874</v>
      </c>
      <c r="B367" t="n">
        <v>67.40000000000001</v>
      </c>
      <c r="C367" t="n">
        <v>329.0799865722656</v>
      </c>
      <c r="D367" t="n">
        <v>93</v>
      </c>
      <c r="E367" t="n">
        <v>108</v>
      </c>
      <c r="F367" t="n">
        <v>83.40000000000001</v>
      </c>
      <c r="G367" t="n">
        <v>9364.259</v>
      </c>
      <c r="H367" t="n">
        <v>0.01080982488844025</v>
      </c>
      <c r="I367" t="n">
        <v>0.02743890360144884</v>
      </c>
    </row>
    <row r="368">
      <c r="A368" s="67" t="n">
        <v>32905</v>
      </c>
      <c r="B368" t="n">
        <v>67.3</v>
      </c>
      <c r="C368" t="n">
        <v>331.8900146484375</v>
      </c>
      <c r="D368" t="n">
        <v>89.5</v>
      </c>
      <c r="E368" t="n">
        <v>102.3</v>
      </c>
      <c r="F368" t="n">
        <v>81.3</v>
      </c>
      <c r="G368" t="n">
        <v/>
      </c>
      <c r="H368" t="n">
        <v/>
      </c>
      <c r="I368" t="n">
        <v/>
      </c>
    </row>
    <row r="369">
      <c r="A369" s="67" t="n">
        <v>32933</v>
      </c>
      <c r="B369" t="n">
        <v>67.3</v>
      </c>
      <c r="C369" t="n">
        <v>339.9400024414062</v>
      </c>
      <c r="D369" t="n">
        <v>91.3</v>
      </c>
      <c r="E369" t="n">
        <v>106.9</v>
      </c>
      <c r="F369" t="n">
        <v>81.3</v>
      </c>
      <c r="G369" t="n">
        <v/>
      </c>
      <c r="H369" t="n">
        <v/>
      </c>
      <c r="I369" t="n">
        <v/>
      </c>
    </row>
    <row r="370">
      <c r="A370" s="67" t="n">
        <v>32964</v>
      </c>
      <c r="B370" t="n">
        <v>67.09999999999999</v>
      </c>
      <c r="C370" t="n">
        <v>330.7999877929688</v>
      </c>
      <c r="D370" t="n">
        <v>93.90000000000001</v>
      </c>
      <c r="E370" t="n">
        <v>109.4</v>
      </c>
      <c r="F370" t="n">
        <v>83.90000000000001</v>
      </c>
      <c r="G370" t="n">
        <v>9398.243</v>
      </c>
      <c r="H370" t="n">
        <v>0.003615995032262986</v>
      </c>
      <c r="I370" t="n">
        <v>0.02355929720055132</v>
      </c>
    </row>
    <row r="371">
      <c r="A371" s="67" t="n">
        <v>32994</v>
      </c>
      <c r="B371" t="n">
        <v>67.09999999999999</v>
      </c>
      <c r="C371" t="n">
        <v>361.2300109863281</v>
      </c>
      <c r="D371" t="n">
        <v>90.59999999999999</v>
      </c>
      <c r="E371" t="n">
        <v>108.1</v>
      </c>
      <c r="F371" t="n">
        <v>79.3</v>
      </c>
      <c r="G371" t="n">
        <v/>
      </c>
      <c r="H371" t="n">
        <v/>
      </c>
      <c r="I371" t="n">
        <v/>
      </c>
    </row>
    <row r="372">
      <c r="A372" s="67" t="n">
        <v>33025</v>
      </c>
      <c r="B372" t="n">
        <v>67.09999999999999</v>
      </c>
      <c r="C372" t="n">
        <v>358.0199890136719</v>
      </c>
      <c r="D372" t="n">
        <v>88.3</v>
      </c>
      <c r="E372" t="n">
        <v>106.5</v>
      </c>
      <c r="F372" t="n">
        <v>76.59999999999999</v>
      </c>
      <c r="G372" t="n">
        <v/>
      </c>
      <c r="H372" t="n">
        <v/>
      </c>
      <c r="I372" t="n">
        <v/>
      </c>
    </row>
    <row r="373">
      <c r="A373" s="67" t="n">
        <v>33055</v>
      </c>
      <c r="B373" t="n">
        <v>66.8</v>
      </c>
      <c r="C373" t="n">
        <v>356.1499938964844</v>
      </c>
      <c r="D373" t="n">
        <v>88.2</v>
      </c>
      <c r="E373" t="n">
        <v>105.1</v>
      </c>
      <c r="F373" t="n">
        <v>77.3</v>
      </c>
      <c r="G373" t="n">
        <v>9404.494000000001</v>
      </c>
      <c r="H373" t="n">
        <v>0.000664682225327615</v>
      </c>
      <c r="I373" t="n">
        <v>0.01697890391551102</v>
      </c>
    </row>
    <row r="374">
      <c r="A374" s="67" t="n">
        <v>33086</v>
      </c>
      <c r="B374" t="n">
        <v>65.90000000000001</v>
      </c>
      <c r="C374" t="n">
        <v>322.5599975585938</v>
      </c>
      <c r="D374" t="n">
        <v>76.40000000000001</v>
      </c>
      <c r="E374" t="n">
        <v>97.5</v>
      </c>
      <c r="F374" t="n">
        <v>62.9</v>
      </c>
      <c r="G374" t="n">
        <v/>
      </c>
      <c r="H374" t="n">
        <v/>
      </c>
      <c r="I374" t="n">
        <v/>
      </c>
    </row>
    <row r="375">
      <c r="A375" s="67" t="n">
        <v>33117</v>
      </c>
      <c r="B375" t="n">
        <v>65.09999999999999</v>
      </c>
      <c r="C375" t="n">
        <v>306.0499877929688</v>
      </c>
      <c r="D375" t="n">
        <v>72.8</v>
      </c>
      <c r="E375" t="n">
        <v>94.7</v>
      </c>
      <c r="F375" t="n">
        <v>58.8</v>
      </c>
      <c r="G375" t="n">
        <v/>
      </c>
      <c r="H375" t="n">
        <v/>
      </c>
      <c r="I375" t="n">
        <v/>
      </c>
    </row>
    <row r="376">
      <c r="A376" s="67" t="n">
        <v>33147</v>
      </c>
      <c r="B376" t="n">
        <v>64.2</v>
      </c>
      <c r="C376" t="n">
        <v>304</v>
      </c>
      <c r="D376" t="n">
        <v>63.9</v>
      </c>
      <c r="E376" t="n">
        <v>84.2</v>
      </c>
      <c r="F376" t="n">
        <v>50.9</v>
      </c>
      <c r="G376" t="n">
        <v>9318.876</v>
      </c>
      <c r="H376" t="n">
        <v>-0.009187588717781027</v>
      </c>
      <c r="I376" t="n">
        <v>0.005992460893352455</v>
      </c>
    </row>
    <row r="377">
      <c r="A377" s="67" t="n">
        <v>33178</v>
      </c>
      <c r="B377" t="n">
        <v>63.1</v>
      </c>
      <c r="C377" t="n">
        <v>322.2200012207031</v>
      </c>
      <c r="D377" t="n">
        <v>66</v>
      </c>
      <c r="E377" t="n">
        <v>86.7</v>
      </c>
      <c r="F377" t="n">
        <v>52.8</v>
      </c>
      <c r="G377" t="n">
        <v/>
      </c>
      <c r="H377" t="n">
        <v/>
      </c>
      <c r="I377" t="n">
        <v/>
      </c>
    </row>
    <row r="378">
      <c r="A378" s="67" t="n">
        <v>33208</v>
      </c>
      <c r="B378" t="n">
        <v>62.4</v>
      </c>
      <c r="C378" t="n">
        <v>330.2200012207031</v>
      </c>
      <c r="D378" t="n">
        <v>65.5</v>
      </c>
      <c r="E378" t="n">
        <v>84</v>
      </c>
      <c r="F378" t="n">
        <v>53.7</v>
      </c>
      <c r="G378" t="n">
        <v/>
      </c>
      <c r="H378" t="n">
        <v/>
      </c>
      <c r="I378" t="n">
        <v/>
      </c>
    </row>
    <row r="379">
      <c r="A379" s="67" t="n">
        <v>33239</v>
      </c>
      <c r="B379" t="n">
        <v>61.7</v>
      </c>
      <c r="C379" t="n">
        <v>343.9299926757812</v>
      </c>
      <c r="D379" t="n">
        <v>66.8</v>
      </c>
      <c r="E379" t="n">
        <v>84.90000000000001</v>
      </c>
      <c r="F379" t="n">
        <v>55.2</v>
      </c>
      <c r="G379" t="n">
        <v>9275.276</v>
      </c>
      <c r="H379" t="n">
        <v>-0.004700668745598553</v>
      </c>
      <c r="I379" t="n">
        <v>-0.009593568967651225</v>
      </c>
    </row>
    <row r="380">
      <c r="A380" s="67" t="n">
        <v>33270</v>
      </c>
      <c r="B380" t="n">
        <v>61.5</v>
      </c>
      <c r="C380" t="n">
        <v>367.0700073242188</v>
      </c>
      <c r="D380" t="n">
        <v>70.40000000000001</v>
      </c>
      <c r="E380" t="n">
        <v>83.7</v>
      </c>
      <c r="F380" t="n">
        <v>62</v>
      </c>
      <c r="G380" t="n">
        <v/>
      </c>
      <c r="H380" t="n">
        <v/>
      </c>
      <c r="I380" t="n">
        <v/>
      </c>
    </row>
    <row r="381">
      <c r="A381" s="67" t="n">
        <v>33298</v>
      </c>
      <c r="B381" t="n">
        <v>61.2</v>
      </c>
      <c r="C381" t="n">
        <v>375.2200012207031</v>
      </c>
      <c r="D381" t="n">
        <v>87.7</v>
      </c>
      <c r="E381" t="n">
        <v>92.7</v>
      </c>
      <c r="F381" t="n">
        <v>84.5</v>
      </c>
      <c r="G381" t="n">
        <v/>
      </c>
      <c r="H381" t="n">
        <v/>
      </c>
      <c r="I381" t="n">
        <v/>
      </c>
    </row>
    <row r="382">
      <c r="A382" s="67" t="n">
        <v>33329</v>
      </c>
      <c r="B382" t="n">
        <v>61.9</v>
      </c>
      <c r="C382" t="n">
        <v>375.3399963378906</v>
      </c>
      <c r="D382" t="n">
        <v>81.8</v>
      </c>
      <c r="E382" t="n">
        <v>92.8</v>
      </c>
      <c r="F382" t="n">
        <v>74.7</v>
      </c>
      <c r="G382" t="n">
        <v>9347.597</v>
      </c>
      <c r="H382" t="n">
        <v>0.007736854723197835</v>
      </c>
      <c r="I382" t="n">
        <v>-0.005418076966732802</v>
      </c>
    </row>
    <row r="383">
      <c r="A383" s="67" t="n">
        <v>33359</v>
      </c>
      <c r="B383" t="n">
        <v>62.3</v>
      </c>
      <c r="C383" t="n">
        <v>389.8299865722656</v>
      </c>
      <c r="D383" t="n">
        <v>78.3</v>
      </c>
      <c r="E383" t="n">
        <v>89</v>
      </c>
      <c r="F383" t="n">
        <v>71.5</v>
      </c>
      <c r="G383" t="n">
        <v/>
      </c>
      <c r="H383" t="n">
        <v/>
      </c>
      <c r="I383" t="n">
        <v/>
      </c>
    </row>
    <row r="384">
      <c r="A384" s="67" t="n">
        <v>33390</v>
      </c>
      <c r="B384" t="n">
        <v>62.4</v>
      </c>
      <c r="C384" t="n">
        <v>371.1600036621094</v>
      </c>
      <c r="D384" t="n">
        <v>82.09999999999999</v>
      </c>
      <c r="E384" t="n">
        <v>91.90000000000001</v>
      </c>
      <c r="F384" t="n">
        <v>75.90000000000001</v>
      </c>
      <c r="G384" t="n">
        <v/>
      </c>
      <c r="H384" t="n">
        <v/>
      </c>
      <c r="I384" t="n">
        <v/>
      </c>
    </row>
    <row r="385">
      <c r="A385" s="67" t="n">
        <v>33420</v>
      </c>
      <c r="B385" t="n">
        <v>63</v>
      </c>
      <c r="C385" t="n">
        <v>387.8099975585938</v>
      </c>
      <c r="D385" t="n">
        <v>82.90000000000001</v>
      </c>
      <c r="E385" t="n">
        <v>96.09999999999999</v>
      </c>
      <c r="F385" t="n">
        <v>74.40000000000001</v>
      </c>
      <c r="G385" t="n">
        <v>9394.834000000001</v>
      </c>
      <c r="H385" t="n">
        <v>0.005027976013200551</v>
      </c>
      <c r="I385" t="n">
        <v>-0.00102822466048893</v>
      </c>
    </row>
    <row r="386">
      <c r="A386" s="67" t="n">
        <v>33451</v>
      </c>
      <c r="B386" t="n">
        <v>63.1</v>
      </c>
      <c r="C386" t="n">
        <v>395.4299926757812</v>
      </c>
      <c r="D386" t="n">
        <v>82</v>
      </c>
      <c r="E386" t="n">
        <v>92.3</v>
      </c>
      <c r="F386" t="n">
        <v>75.3</v>
      </c>
      <c r="G386" t="n">
        <v/>
      </c>
      <c r="H386" t="n">
        <v/>
      </c>
      <c r="I386" t="n">
        <v/>
      </c>
    </row>
    <row r="387">
      <c r="A387" s="67" t="n">
        <v>33482</v>
      </c>
      <c r="B387" t="n">
        <v>63.6</v>
      </c>
      <c r="C387" t="n">
        <v>387.8599853515625</v>
      </c>
      <c r="D387" t="n">
        <v>83</v>
      </c>
      <c r="E387" t="n">
        <v>93.2</v>
      </c>
      <c r="F387" t="n">
        <v>76.40000000000001</v>
      </c>
      <c r="G387" t="n">
        <v/>
      </c>
      <c r="H387" t="n">
        <v/>
      </c>
      <c r="I387" t="n">
        <v/>
      </c>
    </row>
    <row r="388">
      <c r="A388" s="67" t="n">
        <v>33512</v>
      </c>
      <c r="B388" t="n">
        <v>63.5</v>
      </c>
      <c r="C388" t="n">
        <v>392.4500122070312</v>
      </c>
      <c r="D388" t="n">
        <v>78.3</v>
      </c>
      <c r="E388" t="n">
        <v>90.40000000000001</v>
      </c>
      <c r="F388" t="n">
        <v>70.5</v>
      </c>
      <c r="G388" t="n">
        <v>9427.581</v>
      </c>
      <c r="H388" t="n">
        <v>0.003473531545366663</v>
      </c>
      <c r="I388" t="n">
        <v>0.01153052941152136</v>
      </c>
    </row>
    <row r="389">
      <c r="A389" s="67" t="n">
        <v>33543</v>
      </c>
      <c r="B389" t="n">
        <v>63.5</v>
      </c>
      <c r="C389" t="n">
        <v>375.2200012207031</v>
      </c>
      <c r="D389" t="n">
        <v>69.09999999999999</v>
      </c>
      <c r="E389" t="n">
        <v>80.3</v>
      </c>
      <c r="F389" t="n">
        <v>61.9</v>
      </c>
      <c r="G389" t="n">
        <v/>
      </c>
      <c r="H389" t="n">
        <v/>
      </c>
      <c r="I389" t="n">
        <v/>
      </c>
    </row>
    <row r="390">
      <c r="A390" s="67" t="n">
        <v>33573</v>
      </c>
      <c r="B390" t="n">
        <v>63.3</v>
      </c>
      <c r="C390" t="n">
        <v>417.0899963378906</v>
      </c>
      <c r="D390" t="n">
        <v>68.2</v>
      </c>
      <c r="E390" t="n">
        <v>78.7</v>
      </c>
      <c r="F390" t="n">
        <v>61.5</v>
      </c>
      <c r="G390" t="n">
        <v/>
      </c>
      <c r="H390" t="n">
        <v/>
      </c>
      <c r="I390" t="n">
        <v/>
      </c>
    </row>
    <row r="391">
      <c r="A391" s="67" t="n">
        <v>33604</v>
      </c>
      <c r="B391" t="n">
        <v>63.8</v>
      </c>
      <c r="C391" t="n">
        <v>408.7799987792969</v>
      </c>
      <c r="D391" t="n">
        <v>67.5</v>
      </c>
      <c r="E391" t="n">
        <v>80.5</v>
      </c>
      <c r="F391" t="n">
        <v>59.1</v>
      </c>
      <c r="G391" t="n">
        <v>9540.444</v>
      </c>
      <c r="H391" t="n">
        <v>0.01182995256824519</v>
      </c>
      <c r="I391" t="n">
        <v>0.02779409427905029</v>
      </c>
    </row>
    <row r="392">
      <c r="A392" s="67" t="n">
        <v>33635</v>
      </c>
      <c r="B392" t="n">
        <v>64</v>
      </c>
      <c r="C392" t="n">
        <v>412.7000122070312</v>
      </c>
      <c r="D392" t="n">
        <v>68.8</v>
      </c>
      <c r="E392" t="n">
        <v>79.7</v>
      </c>
      <c r="F392" t="n">
        <v>61.8</v>
      </c>
      <c r="G392" t="n">
        <v/>
      </c>
      <c r="H392" t="n">
        <v/>
      </c>
      <c r="I392" t="n">
        <v/>
      </c>
    </row>
    <row r="393">
      <c r="A393" s="67" t="n">
        <v>33664</v>
      </c>
      <c r="B393" t="n">
        <v>64.59999999999999</v>
      </c>
      <c r="C393" t="n">
        <v>403.6900024414062</v>
      </c>
      <c r="D393" t="n">
        <v>76</v>
      </c>
      <c r="E393" t="n">
        <v>84.90000000000001</v>
      </c>
      <c r="F393" t="n">
        <v>70.3</v>
      </c>
      <c r="G393" t="n">
        <v/>
      </c>
      <c r="H393" t="n">
        <v/>
      </c>
      <c r="I393" t="n">
        <v/>
      </c>
    </row>
    <row r="394">
      <c r="A394" s="67" t="n">
        <v>33695</v>
      </c>
      <c r="B394" t="n">
        <v>65.09999999999999</v>
      </c>
      <c r="C394" t="n">
        <v>414.9500122070312</v>
      </c>
      <c r="D394" t="n">
        <v>77.2</v>
      </c>
      <c r="E394" t="n">
        <v>87.7</v>
      </c>
      <c r="F394" t="n">
        <v>70.5</v>
      </c>
      <c r="G394" t="n">
        <v>9643.893</v>
      </c>
      <c r="H394" t="n">
        <v>0.01072689213785351</v>
      </c>
      <c r="I394" t="n">
        <v>0.0307236921853032</v>
      </c>
    </row>
    <row r="395">
      <c r="A395" s="67" t="n">
        <v>33725</v>
      </c>
      <c r="B395" t="n">
        <v>65.59999999999999</v>
      </c>
      <c r="C395" t="n">
        <v>415.3500061035156</v>
      </c>
      <c r="D395" t="n">
        <v>79.2</v>
      </c>
      <c r="E395" t="n">
        <v>91.5</v>
      </c>
      <c r="F395" t="n">
        <v>71.2</v>
      </c>
      <c r="G395" t="n">
        <v/>
      </c>
      <c r="H395" t="n">
        <v/>
      </c>
      <c r="I395" t="n">
        <v/>
      </c>
    </row>
    <row r="396">
      <c r="A396" s="67" t="n">
        <v>33756</v>
      </c>
      <c r="B396" t="n">
        <v>65.90000000000001</v>
      </c>
      <c r="C396" t="n">
        <v>408.1400146484375</v>
      </c>
      <c r="D396" t="n">
        <v>80.40000000000001</v>
      </c>
      <c r="E396" t="n">
        <v>95.40000000000001</v>
      </c>
      <c r="F396" t="n">
        <v>70.7</v>
      </c>
      <c r="G396" t="n">
        <v/>
      </c>
      <c r="H396" t="n">
        <v/>
      </c>
      <c r="I396" t="n">
        <v/>
      </c>
    </row>
    <row r="397">
      <c r="A397" s="67" t="n">
        <v>33786</v>
      </c>
      <c r="B397" t="n">
        <v>66.09999999999999</v>
      </c>
      <c r="C397" t="n">
        <v>424.2099914550781</v>
      </c>
      <c r="D397" t="n">
        <v>76.59999999999999</v>
      </c>
      <c r="E397" t="n">
        <v>90.59999999999999</v>
      </c>
      <c r="F397" t="n">
        <v>67.59999999999999</v>
      </c>
      <c r="G397" t="n">
        <v>9739.184999999999</v>
      </c>
      <c r="H397" t="n">
        <v>0.009784391609770167</v>
      </c>
      <c r="I397" t="n">
        <v>0.03535727065457724</v>
      </c>
    </row>
    <row r="398">
      <c r="A398" s="67" t="n">
        <v>33817</v>
      </c>
      <c r="B398" t="n">
        <v>66.5</v>
      </c>
      <c r="C398" t="n">
        <v>414.0299987792969</v>
      </c>
      <c r="D398" t="n">
        <v>76.09999999999999</v>
      </c>
      <c r="E398" t="n">
        <v>86.2</v>
      </c>
      <c r="F398" t="n">
        <v>69.5</v>
      </c>
      <c r="G398" t="n">
        <v/>
      </c>
      <c r="H398" t="n">
        <v/>
      </c>
      <c r="I398" t="n">
        <v/>
      </c>
    </row>
    <row r="399">
      <c r="A399" s="67" t="n">
        <v>33848</v>
      </c>
      <c r="B399" t="n">
        <v>66.59999999999999</v>
      </c>
      <c r="C399" t="n">
        <v>417.7999877929688</v>
      </c>
      <c r="D399" t="n">
        <v>75.59999999999999</v>
      </c>
      <c r="E399" t="n">
        <v>88.3</v>
      </c>
      <c r="F399" t="n">
        <v>67.40000000000001</v>
      </c>
      <c r="G399" t="n">
        <v/>
      </c>
      <c r="H399" t="n">
        <v/>
      </c>
      <c r="I399" t="n">
        <v/>
      </c>
    </row>
    <row r="400">
      <c r="A400" s="67" t="n">
        <v>33878</v>
      </c>
      <c r="B400" t="n">
        <v>66.8</v>
      </c>
      <c r="C400" t="n">
        <v>418.6799926757812</v>
      </c>
      <c r="D400" t="n">
        <v>73.3</v>
      </c>
      <c r="E400" t="n">
        <v>82.5</v>
      </c>
      <c r="F400" t="n">
        <v>67.5</v>
      </c>
      <c r="G400" t="n">
        <v>9840.753000000001</v>
      </c>
      <c r="H400" t="n">
        <v>0.01032116139892965</v>
      </c>
      <c r="I400" t="n">
        <v>0.04198581145162372</v>
      </c>
    </row>
    <row r="401">
      <c r="A401" s="67" t="n">
        <v>33909</v>
      </c>
      <c r="B401" t="n">
        <v>67.40000000000001</v>
      </c>
      <c r="C401" t="n">
        <v>431.3500061035156</v>
      </c>
      <c r="D401" t="n">
        <v>85.3</v>
      </c>
      <c r="E401" t="n">
        <v>96.40000000000001</v>
      </c>
      <c r="F401" t="n">
        <v>78.2</v>
      </c>
      <c r="G401" t="n">
        <v/>
      </c>
      <c r="H401" t="n">
        <v/>
      </c>
      <c r="I401" t="n">
        <v/>
      </c>
    </row>
    <row r="402">
      <c r="A402" s="67" t="n">
        <v>33939</v>
      </c>
      <c r="B402" t="n">
        <v>68.3</v>
      </c>
      <c r="C402" t="n">
        <v>435.7099914550781</v>
      </c>
      <c r="D402" t="n">
        <v>91</v>
      </c>
      <c r="E402" t="n">
        <v>93.40000000000001</v>
      </c>
      <c r="F402" t="n">
        <v>89.5</v>
      </c>
      <c r="G402" t="n">
        <v/>
      </c>
      <c r="H402" t="n">
        <v/>
      </c>
      <c r="I402" t="n">
        <v/>
      </c>
    </row>
    <row r="403">
      <c r="A403" s="67" t="n">
        <v>33970</v>
      </c>
      <c r="B403" t="n">
        <v>68.7</v>
      </c>
      <c r="C403" t="n">
        <v>438.7799987792969</v>
      </c>
      <c r="D403" t="n">
        <v>89.3</v>
      </c>
      <c r="E403" t="n">
        <v>98.59999999999999</v>
      </c>
      <c r="F403" t="n">
        <v>83.40000000000001</v>
      </c>
      <c r="G403" t="n">
        <v>9857.184999999999</v>
      </c>
      <c r="H403" t="n">
        <v>0.001667007365693033</v>
      </c>
      <c r="I403" t="n">
        <v>0.03213300754728658</v>
      </c>
    </row>
    <row r="404">
      <c r="A404" s="67" t="n">
        <v>34001</v>
      </c>
      <c r="B404" t="n">
        <v>69.09999999999999</v>
      </c>
      <c r="C404" t="n">
        <v>443.3800048828125</v>
      </c>
      <c r="D404" t="n">
        <v>86.59999999999999</v>
      </c>
      <c r="E404" t="n">
        <v>96</v>
      </c>
      <c r="F404" t="n">
        <v>80.59999999999999</v>
      </c>
      <c r="G404" t="n">
        <v/>
      </c>
      <c r="H404" t="n">
        <v/>
      </c>
      <c r="I404" t="n">
        <v/>
      </c>
    </row>
    <row r="405">
      <c r="A405" s="67" t="n">
        <v>34029</v>
      </c>
      <c r="B405" t="n">
        <v>69</v>
      </c>
      <c r="C405" t="n">
        <v>451.6700134277344</v>
      </c>
      <c r="D405" t="n">
        <v>85.90000000000001</v>
      </c>
      <c r="E405" t="n">
        <v>101.6</v>
      </c>
      <c r="F405" t="n">
        <v>75.8</v>
      </c>
      <c r="G405" t="n">
        <v/>
      </c>
      <c r="H405" t="n">
        <v/>
      </c>
      <c r="I405" t="n">
        <v/>
      </c>
    </row>
    <row r="406">
      <c r="A406" s="67" t="n">
        <v>34060</v>
      </c>
      <c r="B406" t="n">
        <v>69.5</v>
      </c>
      <c r="C406" t="n">
        <v>440.1900024414062</v>
      </c>
      <c r="D406" t="n">
        <v>85.59999999999999</v>
      </c>
      <c r="E406" t="n">
        <v>99.90000000000001</v>
      </c>
      <c r="F406" t="n">
        <v>76.40000000000001</v>
      </c>
      <c r="G406" t="n">
        <v>9914.565000000001</v>
      </c>
      <c r="H406" t="n">
        <v>0.005787445036670899</v>
      </c>
      <c r="I406" t="n">
        <v>0.02730044132042106</v>
      </c>
    </row>
    <row r="407">
      <c r="A407" s="67" t="n">
        <v>34090</v>
      </c>
      <c r="B407" t="n">
        <v>69.59999999999999</v>
      </c>
      <c r="C407" t="n">
        <v>450.1900024414062</v>
      </c>
      <c r="D407" t="n">
        <v>80.3</v>
      </c>
      <c r="E407" t="n">
        <v>98.7</v>
      </c>
      <c r="F407" t="n">
        <v>68.5</v>
      </c>
      <c r="G407" t="n">
        <v/>
      </c>
      <c r="H407" t="n">
        <v/>
      </c>
      <c r="I407" t="n">
        <v/>
      </c>
    </row>
    <row r="408">
      <c r="A408" s="67" t="n">
        <v>34121</v>
      </c>
      <c r="B408" t="n">
        <v>69.90000000000001</v>
      </c>
      <c r="C408" t="n">
        <v>450.5299987792969</v>
      </c>
      <c r="D408" t="n">
        <v>81.5</v>
      </c>
      <c r="E408" t="n">
        <v>98.7</v>
      </c>
      <c r="F408" t="n">
        <v>70.40000000000001</v>
      </c>
      <c r="G408" t="n">
        <v/>
      </c>
      <c r="H408" t="n">
        <v/>
      </c>
      <c r="I408" t="n">
        <v/>
      </c>
    </row>
    <row r="409">
      <c r="A409" s="67" t="n">
        <v>34151</v>
      </c>
      <c r="B409" t="n">
        <v>69.90000000000001</v>
      </c>
      <c r="C409" t="n">
        <v>448.1300048828125</v>
      </c>
      <c r="D409" t="n">
        <v>77</v>
      </c>
      <c r="E409" t="n">
        <v>96.2</v>
      </c>
      <c r="F409" t="n">
        <v>64.7</v>
      </c>
      <c r="G409" t="n">
        <v>9961.873</v>
      </c>
      <c r="H409" t="n">
        <v>0.004748906154495153</v>
      </c>
      <c r="I409" t="n">
        <v>0.02235402920715814</v>
      </c>
    </row>
    <row r="410">
      <c r="A410" s="67" t="n">
        <v>34182</v>
      </c>
      <c r="B410" t="n">
        <v>70.40000000000001</v>
      </c>
      <c r="C410" t="n">
        <v>463.5599975585938</v>
      </c>
      <c r="D410" t="n">
        <v>77.3</v>
      </c>
      <c r="E410" t="n">
        <v>95.09999999999999</v>
      </c>
      <c r="F410" t="n">
        <v>65.8</v>
      </c>
      <c r="G410" t="n">
        <v/>
      </c>
      <c r="H410" t="n">
        <v/>
      </c>
      <c r="I410" t="n">
        <v/>
      </c>
    </row>
    <row r="411">
      <c r="A411" s="67" t="n">
        <v>34213</v>
      </c>
      <c r="B411" t="n">
        <v>70.8</v>
      </c>
      <c r="C411" t="n">
        <v>458.9299926757812</v>
      </c>
      <c r="D411" t="n">
        <v>77.90000000000001</v>
      </c>
      <c r="E411" t="n">
        <v>95.2</v>
      </c>
      <c r="F411" t="n">
        <v>66.8</v>
      </c>
      <c r="G411" t="n">
        <v/>
      </c>
      <c r="H411" t="n">
        <v/>
      </c>
      <c r="I411" t="n">
        <v/>
      </c>
    </row>
    <row r="412">
      <c r="A412" s="67" t="n">
        <v>34243</v>
      </c>
      <c r="B412" t="n">
        <v>71.09999999999999</v>
      </c>
      <c r="C412" t="n">
        <v>467.8299865722656</v>
      </c>
      <c r="D412" t="n">
        <v>82.7</v>
      </c>
      <c r="E412" t="n">
        <v>98.7</v>
      </c>
      <c r="F412" t="n">
        <v>72.5</v>
      </c>
      <c r="G412" t="n">
        <v>10097.362</v>
      </c>
      <c r="H412" t="n">
        <v>0.01341825716459404</v>
      </c>
      <c r="I412" t="n">
        <v>0.02541346937942787</v>
      </c>
    </row>
    <row r="413">
      <c r="A413" s="67" t="n">
        <v>34274</v>
      </c>
      <c r="B413" t="n">
        <v>71.5</v>
      </c>
      <c r="C413" t="n">
        <v>461.7900085449219</v>
      </c>
      <c r="D413" t="n">
        <v>81.2</v>
      </c>
      <c r="E413" t="n">
        <v>98.2</v>
      </c>
      <c r="F413" t="n">
        <v>70.3</v>
      </c>
      <c r="G413" t="n">
        <v/>
      </c>
      <c r="H413" t="n">
        <v/>
      </c>
      <c r="I413" t="n">
        <v/>
      </c>
    </row>
    <row r="414">
      <c r="A414" s="67" t="n">
        <v>34304</v>
      </c>
      <c r="B414" t="n">
        <v>72.5</v>
      </c>
      <c r="C414" t="n">
        <v>466.4500122070312</v>
      </c>
      <c r="D414" t="n">
        <v>88.2</v>
      </c>
      <c r="E414" t="n">
        <v>102.9</v>
      </c>
      <c r="F414" t="n">
        <v>78.8</v>
      </c>
      <c r="G414" t="n">
        <v/>
      </c>
      <c r="H414" t="n">
        <v/>
      </c>
      <c r="I414" t="n">
        <v/>
      </c>
    </row>
    <row r="415">
      <c r="A415" s="67" t="n">
        <v>34335</v>
      </c>
      <c r="B415" t="n">
        <v>72.3</v>
      </c>
      <c r="C415" t="n">
        <v>481.6099853515625</v>
      </c>
      <c r="D415" t="n">
        <v>94.3</v>
      </c>
      <c r="E415" t="n">
        <v>106.6</v>
      </c>
      <c r="F415" t="n">
        <v>86.40000000000001</v>
      </c>
      <c r="G415" t="n">
        <v>10195.338</v>
      </c>
      <c r="H415" t="n">
        <v>0.009609882477657981</v>
      </c>
      <c r="I415" t="n">
        <v>0.03316741436134832</v>
      </c>
    </row>
    <row r="416">
      <c r="A416" s="67" t="n">
        <v>34366</v>
      </c>
      <c r="B416" t="n">
        <v>72.59999999999999</v>
      </c>
      <c r="C416" t="n">
        <v>467.1400146484375</v>
      </c>
      <c r="D416" t="n">
        <v>93.2</v>
      </c>
      <c r="E416" t="n">
        <v>108.3</v>
      </c>
      <c r="F416" t="n">
        <v>83.5</v>
      </c>
      <c r="G416" t="n">
        <v/>
      </c>
      <c r="H416" t="n">
        <v/>
      </c>
      <c r="I416" t="n">
        <v/>
      </c>
    </row>
    <row r="417">
      <c r="A417" s="67" t="n">
        <v>34394</v>
      </c>
      <c r="B417" t="n">
        <v>73.59999999999999</v>
      </c>
      <c r="C417" t="n">
        <v>445.7699890136719</v>
      </c>
      <c r="D417" t="n">
        <v>91.5</v>
      </c>
      <c r="E417" t="n">
        <v>101.4</v>
      </c>
      <c r="F417" t="n">
        <v>85.09999999999999</v>
      </c>
      <c r="G417" t="n">
        <v/>
      </c>
      <c r="H417" t="n">
        <v/>
      </c>
      <c r="I417" t="n">
        <v/>
      </c>
    </row>
    <row r="418">
      <c r="A418" s="67" t="n">
        <v>34425</v>
      </c>
      <c r="B418" t="n">
        <v>74.09999999999999</v>
      </c>
      <c r="C418" t="n">
        <v>450.9100036621094</v>
      </c>
      <c r="D418" t="n">
        <v>92.59999999999999</v>
      </c>
      <c r="E418" t="n">
        <v>108.1</v>
      </c>
      <c r="F418" t="n">
        <v>82.59999999999999</v>
      </c>
      <c r="G418" t="n">
        <v>10333.495</v>
      </c>
      <c r="H418" t="n">
        <v>0.01336982308502603</v>
      </c>
      <c r="I418" t="n">
        <v>0.04054097863307625</v>
      </c>
    </row>
    <row r="419">
      <c r="A419" s="67" t="n">
        <v>34455</v>
      </c>
      <c r="B419" t="n">
        <v>74.5</v>
      </c>
      <c r="C419" t="n">
        <v>456.5</v>
      </c>
      <c r="D419" t="n">
        <v>92.8</v>
      </c>
      <c r="E419" t="n">
        <v>106.3</v>
      </c>
      <c r="F419" t="n">
        <v>84.2</v>
      </c>
      <c r="G419" t="n">
        <v/>
      </c>
      <c r="H419" t="n">
        <v/>
      </c>
      <c r="I419" t="n">
        <v/>
      </c>
    </row>
    <row r="420">
      <c r="A420" s="67" t="n">
        <v>34486</v>
      </c>
      <c r="B420" t="n">
        <v>75.09999999999999</v>
      </c>
      <c r="C420" t="n">
        <v>444.2699890136719</v>
      </c>
      <c r="D420" t="n">
        <v>91.2</v>
      </c>
      <c r="E420" t="n">
        <v>104.5</v>
      </c>
      <c r="F420" t="n">
        <v>82.7</v>
      </c>
      <c r="G420" t="n">
        <v/>
      </c>
      <c r="H420" t="n">
        <v/>
      </c>
      <c r="I420" t="n">
        <v/>
      </c>
    </row>
    <row r="421">
      <c r="A421" s="67" t="n">
        <v>34516</v>
      </c>
      <c r="B421" t="n">
        <v>75.40000000000001</v>
      </c>
      <c r="C421" t="n">
        <v>458.260009765625</v>
      </c>
      <c r="D421" t="n">
        <v>89</v>
      </c>
      <c r="E421" t="n">
        <v>105.4</v>
      </c>
      <c r="F421" t="n">
        <v>78.5</v>
      </c>
      <c r="G421" t="n">
        <v>10393.898</v>
      </c>
      <c r="H421" t="n">
        <v>0.005811390490843612</v>
      </c>
      <c r="I421" t="n">
        <v>0.04156525299747984</v>
      </c>
    </row>
    <row r="422">
      <c r="A422" s="67" t="n">
        <v>34547</v>
      </c>
      <c r="B422" t="n">
        <v>76</v>
      </c>
      <c r="C422" t="n">
        <v>475.489990234375</v>
      </c>
      <c r="D422" t="n">
        <v>91.7</v>
      </c>
      <c r="E422" t="n">
        <v>108.7</v>
      </c>
      <c r="F422" t="n">
        <v>80.8</v>
      </c>
      <c r="G422" t="n">
        <v/>
      </c>
      <c r="H422" t="n">
        <v/>
      </c>
      <c r="I422" t="n">
        <v/>
      </c>
    </row>
    <row r="423">
      <c r="A423" s="67" t="n">
        <v>34578</v>
      </c>
      <c r="B423" t="n">
        <v>76.5</v>
      </c>
      <c r="C423" t="n">
        <v>462.7099914550781</v>
      </c>
      <c r="D423" t="n">
        <v>91.5</v>
      </c>
      <c r="E423" t="n">
        <v>104</v>
      </c>
      <c r="F423" t="n">
        <v>83.5</v>
      </c>
      <c r="G423" t="n">
        <v/>
      </c>
      <c r="H423" t="n">
        <v/>
      </c>
      <c r="I423" t="n">
        <v/>
      </c>
    </row>
    <row r="424">
      <c r="A424" s="67" t="n">
        <v>34608</v>
      </c>
      <c r="B424" t="n">
        <v>77</v>
      </c>
      <c r="C424" t="n">
        <v>472.3500061035156</v>
      </c>
      <c r="D424" t="n">
        <v>92.7</v>
      </c>
      <c r="E424" t="n">
        <v>104.6</v>
      </c>
      <c r="F424" t="n">
        <v>85.09999999999999</v>
      </c>
      <c r="G424" t="n">
        <v>10512.962</v>
      </c>
      <c r="H424" t="n">
        <v>0.01132544757604948</v>
      </c>
      <c r="I424" t="n">
        <v>0.03953215088193036</v>
      </c>
    </row>
    <row r="425">
      <c r="A425" s="67" t="n">
        <v>34639</v>
      </c>
      <c r="B425" t="n">
        <v>77.09999999999999</v>
      </c>
      <c r="C425" t="n">
        <v>453.6900024414062</v>
      </c>
      <c r="D425" t="n">
        <v>91.59999999999999</v>
      </c>
      <c r="E425" t="n">
        <v>102.1</v>
      </c>
      <c r="F425" t="n">
        <v>84.8</v>
      </c>
      <c r="G425" t="n">
        <v/>
      </c>
      <c r="H425" t="n">
        <v/>
      </c>
      <c r="I425" t="n">
        <v/>
      </c>
    </row>
    <row r="426">
      <c r="A426" s="67" t="n">
        <v>34669</v>
      </c>
      <c r="B426" t="n">
        <v>77.7</v>
      </c>
      <c r="C426" t="n">
        <v>459.2699890136719</v>
      </c>
      <c r="D426" t="n">
        <v>95.09999999999999</v>
      </c>
      <c r="E426" t="n">
        <v>104.9</v>
      </c>
      <c r="F426" t="n">
        <v>88.8</v>
      </c>
      <c r="G426" t="n">
        <v/>
      </c>
      <c r="H426" t="n">
        <v/>
      </c>
      <c r="I426" t="n">
        <v/>
      </c>
    </row>
    <row r="427">
      <c r="A427" s="67" t="n">
        <v>34700</v>
      </c>
      <c r="B427" t="n">
        <v>77.8</v>
      </c>
      <c r="C427" t="n">
        <v>470.4200134277344</v>
      </c>
      <c r="D427" t="n">
        <v>97.59999999999999</v>
      </c>
      <c r="E427" t="n">
        <v>112</v>
      </c>
      <c r="F427" t="n">
        <v>88.40000000000001</v>
      </c>
      <c r="G427" t="n">
        <v>10550.251</v>
      </c>
      <c r="H427" t="n">
        <v>0.003534418280664666</v>
      </c>
      <c r="I427" t="n">
        <v>0.03364024230324003</v>
      </c>
    </row>
    <row r="428">
      <c r="A428" s="67" t="n">
        <v>34731</v>
      </c>
      <c r="B428" t="n">
        <v>77.8</v>
      </c>
      <c r="C428" t="n">
        <v>487.3900146484375</v>
      </c>
      <c r="D428" t="n">
        <v>95.09999999999999</v>
      </c>
      <c r="E428" t="n">
        <v>109.3</v>
      </c>
      <c r="F428" t="n">
        <v>85.90000000000001</v>
      </c>
      <c r="G428" t="n">
        <v/>
      </c>
      <c r="H428" t="n">
        <v/>
      </c>
      <c r="I428" t="n">
        <v/>
      </c>
    </row>
    <row r="429">
      <c r="A429" s="67" t="n">
        <v>34759</v>
      </c>
      <c r="B429" t="n">
        <v>77.8</v>
      </c>
      <c r="C429" t="n">
        <v>500.7099914550781</v>
      </c>
      <c r="D429" t="n">
        <v>90.3</v>
      </c>
      <c r="E429" t="n">
        <v>106.5</v>
      </c>
      <c r="F429" t="n">
        <v>79.8</v>
      </c>
      <c r="G429" t="n">
        <v/>
      </c>
      <c r="H429" t="n">
        <v/>
      </c>
      <c r="I429" t="n">
        <v/>
      </c>
    </row>
    <row r="430">
      <c r="A430" s="67" t="n">
        <v>34790</v>
      </c>
      <c r="B430" t="n">
        <v>77.7</v>
      </c>
      <c r="C430" t="n">
        <v>514.7100219726562</v>
      </c>
      <c r="D430" t="n">
        <v>92.5</v>
      </c>
      <c r="E430" t="n">
        <v>105.9</v>
      </c>
      <c r="F430" t="n">
        <v>83.8</v>
      </c>
      <c r="G430" t="n">
        <v>10581.723</v>
      </c>
      <c r="H430" t="n">
        <v>0.002974184827933953</v>
      </c>
      <c r="I430" t="n">
        <v>0.02345818351132412</v>
      </c>
    </row>
    <row r="431">
      <c r="A431" s="67" t="n">
        <v>34820</v>
      </c>
      <c r="B431" t="n">
        <v>77.7</v>
      </c>
      <c r="C431" t="n">
        <v>533.4000244140625</v>
      </c>
      <c r="D431" t="n">
        <v>89.8</v>
      </c>
      <c r="E431" t="n">
        <v>105</v>
      </c>
      <c r="F431" t="n">
        <v>80.09999999999999</v>
      </c>
      <c r="G431" t="n">
        <v/>
      </c>
      <c r="H431" t="n">
        <v/>
      </c>
      <c r="I431" t="n">
        <v/>
      </c>
    </row>
    <row r="432">
      <c r="A432" s="67" t="n">
        <v>34851</v>
      </c>
      <c r="B432" t="n">
        <v>77.7</v>
      </c>
      <c r="C432" t="n">
        <v>544.75</v>
      </c>
      <c r="D432" t="n">
        <v>92.7</v>
      </c>
      <c r="E432" t="n">
        <v>106.1</v>
      </c>
      <c r="F432" t="n">
        <v>84.09999999999999</v>
      </c>
      <c r="G432" t="n">
        <v/>
      </c>
      <c r="H432" t="n">
        <v/>
      </c>
      <c r="I432" t="n">
        <v/>
      </c>
    </row>
    <row r="433">
      <c r="A433" s="67" t="n">
        <v>34881</v>
      </c>
      <c r="B433" t="n">
        <v>77.7</v>
      </c>
      <c r="C433" t="n">
        <v>562.0599975585938</v>
      </c>
      <c r="D433" t="n">
        <v>94.40000000000001</v>
      </c>
      <c r="E433" t="n">
        <v>105.2</v>
      </c>
      <c r="F433" t="n">
        <v>87.40000000000001</v>
      </c>
      <c r="G433" t="n">
        <v>10671.738</v>
      </c>
      <c r="H433" t="n">
        <v>0.008434895984140486</v>
      </c>
      <c r="I433" t="n">
        <v>0.02603512192671898</v>
      </c>
    </row>
    <row r="434">
      <c r="A434" s="67" t="n">
        <v>34912</v>
      </c>
      <c r="B434" t="n">
        <v>78.2</v>
      </c>
      <c r="C434" t="n">
        <v>561.8800048828125</v>
      </c>
      <c r="D434" t="n">
        <v>96.2</v>
      </c>
      <c r="E434" t="n">
        <v>111.8</v>
      </c>
      <c r="F434" t="n">
        <v>86.09999999999999</v>
      </c>
      <c r="G434" t="n">
        <v/>
      </c>
      <c r="H434" t="n">
        <v/>
      </c>
      <c r="I434" t="n">
        <v/>
      </c>
    </row>
    <row r="435">
      <c r="A435" s="67" t="n">
        <v>34943</v>
      </c>
      <c r="B435" t="n">
        <v>78.40000000000001</v>
      </c>
      <c r="C435" t="n">
        <v>584.4099731445312</v>
      </c>
      <c r="D435" t="n">
        <v>88.90000000000001</v>
      </c>
      <c r="E435" t="n">
        <v>104.6</v>
      </c>
      <c r="F435" t="n">
        <v>78.8</v>
      </c>
      <c r="G435" t="n">
        <v/>
      </c>
      <c r="H435" t="n">
        <v/>
      </c>
      <c r="I435" t="n">
        <v/>
      </c>
    </row>
    <row r="436">
      <c r="A436" s="67" t="n">
        <v>34973</v>
      </c>
      <c r="B436" t="n">
        <v>78.3</v>
      </c>
      <c r="C436" t="n">
        <v>581.5</v>
      </c>
      <c r="D436" t="n">
        <v>90.2</v>
      </c>
      <c r="E436" t="n">
        <v>104.8</v>
      </c>
      <c r="F436" t="n">
        <v>80.8</v>
      </c>
      <c r="G436" t="n">
        <v>10744.203</v>
      </c>
      <c r="H436" t="n">
        <v>0.006744567279676319</v>
      </c>
      <c r="I436" t="n">
        <v>0.02152239677526569</v>
      </c>
    </row>
    <row r="437">
      <c r="A437" s="67" t="n">
        <v>35004</v>
      </c>
      <c r="B437" t="n">
        <v>78.3</v>
      </c>
      <c r="C437" t="n">
        <v>605.3699951171875</v>
      </c>
      <c r="D437" t="n">
        <v>88.2</v>
      </c>
      <c r="E437" t="n">
        <v>101.3</v>
      </c>
      <c r="F437" t="n">
        <v>79.7</v>
      </c>
      <c r="G437" t="n">
        <v/>
      </c>
      <c r="H437" t="n">
        <v/>
      </c>
      <c r="I437" t="n">
        <v/>
      </c>
    </row>
    <row r="438">
      <c r="A438" s="67" t="n">
        <v>35034</v>
      </c>
      <c r="B438" t="n">
        <v>78.40000000000001</v>
      </c>
      <c r="C438" t="n">
        <v>615.9299926757812</v>
      </c>
      <c r="D438" t="n">
        <v>91</v>
      </c>
      <c r="E438" t="n">
        <v>102.4</v>
      </c>
      <c r="F438" t="n">
        <v>83.7</v>
      </c>
      <c r="G438" t="n">
        <v/>
      </c>
      <c r="H438" t="n">
        <v/>
      </c>
      <c r="I438" t="n">
        <v/>
      </c>
    </row>
    <row r="439">
      <c r="A439" s="67" t="n">
        <v>35065</v>
      </c>
      <c r="B439" t="n">
        <v>76.90000000000001</v>
      </c>
      <c r="C439" t="n">
        <v>636.02001953125</v>
      </c>
      <c r="D439" t="n">
        <v>89.3</v>
      </c>
      <c r="E439" t="n">
        <v>105.8</v>
      </c>
      <c r="F439" t="n">
        <v>78.7</v>
      </c>
      <c r="G439" t="n">
        <v>10824.674</v>
      </c>
      <c r="H439" t="n">
        <v>0.007434034503025344</v>
      </c>
      <c r="I439" t="n">
        <v>0.02535161797944221</v>
      </c>
    </row>
    <row r="440">
      <c r="A440" s="67" t="n">
        <v>35096</v>
      </c>
      <c r="B440" t="n">
        <v>77.8</v>
      </c>
      <c r="C440" t="n">
        <v>640.4299926757812</v>
      </c>
      <c r="D440" t="n">
        <v>88.5</v>
      </c>
      <c r="E440" t="n">
        <v>105.2</v>
      </c>
      <c r="F440" t="n">
        <v>77.8</v>
      </c>
      <c r="G440" t="n">
        <v/>
      </c>
      <c r="H440" t="n">
        <v/>
      </c>
      <c r="I440" t="n">
        <v/>
      </c>
    </row>
    <row r="441">
      <c r="A441" s="67" t="n">
        <v>35125</v>
      </c>
      <c r="B441" t="n">
        <v>78</v>
      </c>
      <c r="C441" t="n">
        <v>645.5</v>
      </c>
      <c r="D441" t="n">
        <v>93.7</v>
      </c>
      <c r="E441" t="n">
        <v>105.4</v>
      </c>
      <c r="F441" t="n">
        <v>86.2</v>
      </c>
      <c r="G441" t="n">
        <v/>
      </c>
      <c r="H441" t="n">
        <v/>
      </c>
      <c r="I441" t="n">
        <v/>
      </c>
    </row>
    <row r="442">
      <c r="A442" s="67" t="n">
        <v>35156</v>
      </c>
      <c r="B442" t="n">
        <v>78.40000000000001</v>
      </c>
      <c r="C442" t="n">
        <v>654.1699829101562</v>
      </c>
      <c r="D442" t="n">
        <v>92.7</v>
      </c>
      <c r="E442" t="n">
        <v>107.8</v>
      </c>
      <c r="F442" t="n">
        <v>83</v>
      </c>
      <c r="G442" t="n">
        <v>11005.217</v>
      </c>
      <c r="H442" t="n">
        <v>0.01640521945182904</v>
      </c>
      <c r="I442" t="n">
        <v>0.03848120395990379</v>
      </c>
    </row>
    <row r="443">
      <c r="A443" s="67" t="n">
        <v>35186</v>
      </c>
      <c r="B443" t="n">
        <v>79.09999999999999</v>
      </c>
      <c r="C443" t="n">
        <v>669.1199951171875</v>
      </c>
      <c r="D443" t="n">
        <v>89.40000000000001</v>
      </c>
      <c r="E443" t="n">
        <v>105.1</v>
      </c>
      <c r="F443" t="n">
        <v>79.2</v>
      </c>
      <c r="G443" t="n">
        <v/>
      </c>
      <c r="H443" t="n">
        <v/>
      </c>
      <c r="I443" t="n">
        <v/>
      </c>
    </row>
    <row r="444">
      <c r="A444" s="67" t="n">
        <v>35217</v>
      </c>
      <c r="B444" t="n">
        <v>79.59999999999999</v>
      </c>
      <c r="C444" t="n">
        <v>670.6300048828125</v>
      </c>
      <c r="D444" t="n">
        <v>92.40000000000001</v>
      </c>
      <c r="E444" t="n">
        <v>105.4</v>
      </c>
      <c r="F444" t="n">
        <v>84</v>
      </c>
      <c r="G444" t="n">
        <v/>
      </c>
      <c r="H444" t="n">
        <v/>
      </c>
      <c r="I444" t="n">
        <v/>
      </c>
    </row>
    <row r="445">
      <c r="A445" s="67" t="n">
        <v>35247</v>
      </c>
      <c r="B445" t="n">
        <v>79.5</v>
      </c>
      <c r="C445" t="n">
        <v>639.9500122070312</v>
      </c>
      <c r="D445" t="n">
        <v>94.7</v>
      </c>
      <c r="E445" t="n">
        <v>107.5</v>
      </c>
      <c r="F445" t="n">
        <v>86.5</v>
      </c>
      <c r="G445" t="n">
        <v>11103.935</v>
      </c>
      <c r="H445" t="n">
        <v>0.008890361840194394</v>
      </c>
      <c r="I445" t="n">
        <v>0.03892286833451386</v>
      </c>
    </row>
    <row r="446">
      <c r="A446" s="67" t="n">
        <v>35278</v>
      </c>
      <c r="B446" t="n">
        <v>79.7</v>
      </c>
      <c r="C446" t="n">
        <v>651.989990234375</v>
      </c>
      <c r="D446" t="n">
        <v>95.3</v>
      </c>
      <c r="E446" t="n">
        <v>107.8</v>
      </c>
      <c r="F446" t="n">
        <v>87.3</v>
      </c>
      <c r="G446" t="n">
        <v/>
      </c>
      <c r="H446" t="n">
        <v/>
      </c>
      <c r="I446" t="n">
        <v/>
      </c>
    </row>
    <row r="447">
      <c r="A447" s="67" t="n">
        <v>35309</v>
      </c>
      <c r="B447" t="n">
        <v>80</v>
      </c>
      <c r="C447" t="n">
        <v>687.3300170898438</v>
      </c>
      <c r="D447" t="n">
        <v>94.7</v>
      </c>
      <c r="E447" t="n">
        <v>102</v>
      </c>
      <c r="F447" t="n">
        <v>90.09999999999999</v>
      </c>
      <c r="G447" t="n">
        <v/>
      </c>
      <c r="H447" t="n">
        <v/>
      </c>
      <c r="I447" t="n">
        <v/>
      </c>
    </row>
    <row r="448">
      <c r="A448" s="67" t="n">
        <v>35339</v>
      </c>
      <c r="B448" t="n">
        <v>80.2</v>
      </c>
      <c r="C448" t="n">
        <v>705.27001953125</v>
      </c>
      <c r="D448" t="n">
        <v>96.5</v>
      </c>
      <c r="E448" t="n">
        <v>106.6</v>
      </c>
      <c r="F448" t="n">
        <v>89.90000000000001</v>
      </c>
      <c r="G448" t="n">
        <v>11219.238</v>
      </c>
      <c r="H448" t="n">
        <v>0.01027725768898029</v>
      </c>
      <c r="I448" t="n">
        <v>0.04234111086688774</v>
      </c>
    </row>
    <row r="449">
      <c r="A449" s="67" t="n">
        <v>35370</v>
      </c>
      <c r="B449" t="n">
        <v>80.8</v>
      </c>
      <c r="C449" t="n">
        <v>757.02001953125</v>
      </c>
      <c r="D449" t="n">
        <v>99.2</v>
      </c>
      <c r="E449" t="n">
        <v>107.5</v>
      </c>
      <c r="F449" t="n">
        <v>93.90000000000001</v>
      </c>
      <c r="G449" t="n">
        <v/>
      </c>
      <c r="H449" t="n">
        <v/>
      </c>
      <c r="I449" t="n">
        <v/>
      </c>
    </row>
    <row r="450">
      <c r="A450" s="67" t="n">
        <v>35400</v>
      </c>
      <c r="B450" t="n">
        <v>80.8</v>
      </c>
      <c r="C450" t="n">
        <v>740.739990234375</v>
      </c>
      <c r="D450" t="n">
        <v>96.90000000000001</v>
      </c>
      <c r="E450" t="n">
        <v>104.9</v>
      </c>
      <c r="F450" t="n">
        <v>91.8</v>
      </c>
      <c r="G450" t="n">
        <v/>
      </c>
      <c r="H450" t="n">
        <v/>
      </c>
      <c r="I450" t="n">
        <v/>
      </c>
    </row>
    <row r="451">
      <c r="A451" s="67" t="n">
        <v>35431</v>
      </c>
      <c r="B451" t="n">
        <v>81.3</v>
      </c>
      <c r="C451" t="n">
        <v>786.1599731445312</v>
      </c>
      <c r="D451" t="n">
        <v>97.40000000000001</v>
      </c>
      <c r="E451" t="n">
        <v>106.8</v>
      </c>
      <c r="F451" t="n">
        <v>91.3</v>
      </c>
      <c r="G451" t="n">
        <v>11291.665</v>
      </c>
      <c r="H451" t="n">
        <v>0.00641420020873817</v>
      </c>
      <c r="I451" t="n">
        <v>0.04135714263574061</v>
      </c>
    </row>
    <row r="452">
      <c r="A452" s="67" t="n">
        <v>35462</v>
      </c>
      <c r="B452" t="n">
        <v>82.40000000000001</v>
      </c>
      <c r="C452" t="n">
        <v>790.8200073242188</v>
      </c>
      <c r="D452" t="n">
        <v>99.7</v>
      </c>
      <c r="E452" t="n">
        <v>107.2</v>
      </c>
      <c r="F452" t="n">
        <v>94.90000000000001</v>
      </c>
      <c r="G452" t="n">
        <v/>
      </c>
      <c r="H452" t="n">
        <v/>
      </c>
      <c r="I452" t="n">
        <v/>
      </c>
    </row>
    <row r="453">
      <c r="A453" s="67" t="n">
        <v>35490</v>
      </c>
      <c r="B453" t="n">
        <v>82.8</v>
      </c>
      <c r="C453" t="n">
        <v>757.1199951171875</v>
      </c>
      <c r="D453" t="n">
        <v>100</v>
      </c>
      <c r="E453" t="n">
        <v>109.8</v>
      </c>
      <c r="F453" t="n">
        <v>93.59999999999999</v>
      </c>
      <c r="G453" t="n">
        <v/>
      </c>
      <c r="H453" t="n">
        <v/>
      </c>
      <c r="I453" t="n">
        <v/>
      </c>
    </row>
    <row r="454">
      <c r="A454" s="67" t="n">
        <v>35521</v>
      </c>
      <c r="B454" t="n">
        <v>82.90000000000001</v>
      </c>
      <c r="C454" t="n">
        <v>801.3400268554688</v>
      </c>
      <c r="D454" t="n">
        <v>101.4</v>
      </c>
      <c r="E454" t="n">
        <v>115.2</v>
      </c>
      <c r="F454" t="n">
        <v>92.5</v>
      </c>
      <c r="G454" t="n">
        <v>11479.33</v>
      </c>
      <c r="H454" t="n">
        <v>0.01634807954819655</v>
      </c>
      <c r="I454" t="n">
        <v>0.04130145226245777</v>
      </c>
    </row>
    <row r="455">
      <c r="A455" s="67" t="n">
        <v>35551</v>
      </c>
      <c r="B455" t="n">
        <v>83.40000000000001</v>
      </c>
      <c r="C455" t="n">
        <v>848.280029296875</v>
      </c>
      <c r="D455" t="n">
        <v>103.2</v>
      </c>
      <c r="E455" t="n">
        <v>113.5</v>
      </c>
      <c r="F455" t="n">
        <v>96.59999999999999</v>
      </c>
      <c r="G455" t="n">
        <v/>
      </c>
      <c r="H455" t="n">
        <v/>
      </c>
      <c r="I455" t="n">
        <v/>
      </c>
    </row>
    <row r="456">
      <c r="A456" s="67" t="n">
        <v>35582</v>
      </c>
      <c r="B456" t="n">
        <v>84</v>
      </c>
      <c r="C456" t="n">
        <v>885.1400146484375</v>
      </c>
      <c r="D456" t="n">
        <v>104.5</v>
      </c>
      <c r="E456" t="n">
        <v>113.2</v>
      </c>
      <c r="F456" t="n">
        <v>98.90000000000001</v>
      </c>
      <c r="G456" t="n">
        <v/>
      </c>
      <c r="H456" t="n">
        <v/>
      </c>
      <c r="I456" t="n">
        <v/>
      </c>
    </row>
    <row r="457">
      <c r="A457" s="67" t="n">
        <v>35612</v>
      </c>
      <c r="B457" t="n">
        <v>85</v>
      </c>
      <c r="C457" t="n">
        <v>954.3099975585938</v>
      </c>
      <c r="D457" t="n">
        <v>107.1</v>
      </c>
      <c r="E457" t="n">
        <v>114</v>
      </c>
      <c r="F457" t="n">
        <v>102.6</v>
      </c>
      <c r="G457" t="n">
        <v>11622.911</v>
      </c>
      <c r="H457" t="n">
        <v>0.01235327363342971</v>
      </c>
      <c r="I457" t="n">
        <v>0.04465112053254134</v>
      </c>
    </row>
    <row r="458">
      <c r="A458" s="67" t="n">
        <v>35643</v>
      </c>
      <c r="B458" t="n">
        <v>85.2</v>
      </c>
      <c r="C458" t="n">
        <v>899.469970703125</v>
      </c>
      <c r="D458" t="n">
        <v>104.4</v>
      </c>
      <c r="E458" t="n">
        <v>110.7</v>
      </c>
      <c r="F458" t="n">
        <v>100.3</v>
      </c>
      <c r="G458" t="n">
        <v/>
      </c>
      <c r="H458" t="n">
        <v/>
      </c>
      <c r="I458" t="n">
        <v/>
      </c>
    </row>
    <row r="459">
      <c r="A459" s="67" t="n">
        <v>35674</v>
      </c>
      <c r="B459" t="n">
        <v>85.8</v>
      </c>
      <c r="C459" t="n">
        <v>947.280029296875</v>
      </c>
      <c r="D459" t="n">
        <v>106</v>
      </c>
      <c r="E459" t="n">
        <v>114.1</v>
      </c>
      <c r="F459" t="n">
        <v>100.7</v>
      </c>
      <c r="G459" t="n">
        <v/>
      </c>
      <c r="H459" t="n">
        <v/>
      </c>
      <c r="I459" t="n">
        <v/>
      </c>
    </row>
    <row r="460">
      <c r="A460" s="67" t="n">
        <v>35704</v>
      </c>
      <c r="B460" t="n">
        <v>86.09999999999999</v>
      </c>
      <c r="C460" t="n">
        <v>914.6199951171875</v>
      </c>
      <c r="D460" t="n">
        <v>105.6</v>
      </c>
      <c r="E460" t="n">
        <v>109.8</v>
      </c>
      <c r="F460" t="n">
        <v>102.8</v>
      </c>
      <c r="G460" t="n">
        <v>11722.722</v>
      </c>
      <c r="H460" t="n">
        <v>0.008514319455839667</v>
      </c>
      <c r="I460" t="n">
        <v>0.04294941055498888</v>
      </c>
    </row>
    <row r="461">
      <c r="A461" s="67" t="n">
        <v>35735</v>
      </c>
      <c r="B461" t="n">
        <v>86.3</v>
      </c>
      <c r="C461" t="n">
        <v>955.4000244140625</v>
      </c>
      <c r="D461" t="n">
        <v>107.2</v>
      </c>
      <c r="E461" t="n">
        <v>114.9</v>
      </c>
      <c r="F461" t="n">
        <v>102.3</v>
      </c>
      <c r="G461" t="n">
        <v/>
      </c>
      <c r="H461" t="n">
        <v/>
      </c>
      <c r="I461" t="n">
        <v/>
      </c>
    </row>
    <row r="462">
      <c r="A462" s="67" t="n">
        <v>35765</v>
      </c>
      <c r="B462" t="n">
        <v>86.59999999999999</v>
      </c>
      <c r="C462" t="n">
        <v>970.4299926757812</v>
      </c>
      <c r="D462" t="n">
        <v>102.1</v>
      </c>
      <c r="E462" t="n">
        <v>111.4</v>
      </c>
      <c r="F462" t="n">
        <v>96.09999999999999</v>
      </c>
      <c r="G462" t="n">
        <v/>
      </c>
      <c r="H462" t="n">
        <v/>
      </c>
      <c r="I462" t="n">
        <v/>
      </c>
    </row>
    <row r="463">
      <c r="A463" s="67" t="n">
        <v>35796</v>
      </c>
      <c r="B463" t="n">
        <v>86.59999999999999</v>
      </c>
      <c r="C463" t="n">
        <v>980.280029296875</v>
      </c>
      <c r="D463" t="n">
        <v>106.6</v>
      </c>
      <c r="E463" t="n">
        <v>113.5</v>
      </c>
      <c r="F463" t="n">
        <v>102.2</v>
      </c>
      <c r="G463" t="n">
        <v>11839.876</v>
      </c>
      <c r="H463" t="n">
        <v>0.009894867142189703</v>
      </c>
      <c r="I463" t="n">
        <v>0.04630208965026317</v>
      </c>
    </row>
    <row r="464">
      <c r="A464" s="67" t="n">
        <v>35827</v>
      </c>
      <c r="B464" t="n">
        <v>87.5</v>
      </c>
      <c r="C464" t="n">
        <v>1049.339965820312</v>
      </c>
      <c r="D464" t="n">
        <v>110.4</v>
      </c>
      <c r="E464" t="n">
        <v>120</v>
      </c>
      <c r="F464" t="n">
        <v>104.2</v>
      </c>
      <c r="G464" t="n">
        <v/>
      </c>
      <c r="H464" t="n">
        <v/>
      </c>
      <c r="I464" t="n">
        <v/>
      </c>
    </row>
    <row r="465">
      <c r="A465" s="67" t="n">
        <v>35855</v>
      </c>
      <c r="B465" t="n">
        <v>87.59999999999999</v>
      </c>
      <c r="C465" t="n">
        <v>1101.75</v>
      </c>
      <c r="D465" t="n">
        <v>106.5</v>
      </c>
      <c r="E465" t="n">
        <v>113.7</v>
      </c>
      <c r="F465" t="n">
        <v>101.9</v>
      </c>
      <c r="G465" t="n">
        <v/>
      </c>
      <c r="H465" t="n">
        <v/>
      </c>
      <c r="I465" t="n">
        <v/>
      </c>
    </row>
    <row r="466">
      <c r="A466" s="67" t="n">
        <v>35886</v>
      </c>
      <c r="B466" t="n">
        <v>87.5</v>
      </c>
      <c r="C466" t="n">
        <v>1111.75</v>
      </c>
      <c r="D466" t="n">
        <v>108.7</v>
      </c>
      <c r="E466" t="n">
        <v>115.5</v>
      </c>
      <c r="F466" t="n">
        <v>104.3</v>
      </c>
      <c r="G466" t="n">
        <v>11949.492</v>
      </c>
      <c r="H466" t="n">
        <v>0.009173276989515537</v>
      </c>
      <c r="I466" t="n">
        <v>0.0393457730253303</v>
      </c>
    </row>
    <row r="467">
      <c r="A467" s="67" t="n">
        <v>35916</v>
      </c>
      <c r="B467" t="n">
        <v>88</v>
      </c>
      <c r="C467" t="n">
        <v>1090.819946289062</v>
      </c>
      <c r="D467" t="n">
        <v>106.5</v>
      </c>
      <c r="E467" t="n">
        <v>113.9</v>
      </c>
      <c r="F467" t="n">
        <v>101.7</v>
      </c>
      <c r="G467" t="n">
        <v/>
      </c>
      <c r="H467" t="n">
        <v/>
      </c>
      <c r="I467" t="n">
        <v/>
      </c>
    </row>
    <row r="468">
      <c r="A468" s="67" t="n">
        <v>35947</v>
      </c>
      <c r="B468" t="n">
        <v>87.40000000000001</v>
      </c>
      <c r="C468" t="n">
        <v>1133.839965820312</v>
      </c>
      <c r="D468" t="n">
        <v>105.6</v>
      </c>
      <c r="E468" t="n">
        <v>115.4</v>
      </c>
      <c r="F468" t="n">
        <v>99.3</v>
      </c>
      <c r="G468" t="n">
        <v/>
      </c>
      <c r="H468" t="n">
        <v/>
      </c>
      <c r="I468" t="n">
        <v/>
      </c>
    </row>
    <row r="469">
      <c r="A469" s="67" t="n">
        <v>35977</v>
      </c>
      <c r="B469" t="n">
        <v>87.7</v>
      </c>
      <c r="C469" t="n">
        <v>1120.670043945312</v>
      </c>
      <c r="D469" t="n">
        <v>105.2</v>
      </c>
      <c r="E469" t="n">
        <v>113.3</v>
      </c>
      <c r="F469" t="n">
        <v>100</v>
      </c>
      <c r="G469" t="n">
        <v>12099.191</v>
      </c>
      <c r="H469" t="n">
        <v>0.01237264541075519</v>
      </c>
      <c r="I469" t="n">
        <v>0.03936461536973841</v>
      </c>
    </row>
    <row r="470">
      <c r="A470" s="67" t="n">
        <v>36008</v>
      </c>
      <c r="B470" t="n">
        <v>87.8</v>
      </c>
      <c r="C470" t="n">
        <v>957.280029296875</v>
      </c>
      <c r="D470" t="n">
        <v>104.4</v>
      </c>
      <c r="E470" t="n">
        <v>113.9</v>
      </c>
      <c r="F470" t="n">
        <v>98.3</v>
      </c>
      <c r="G470" t="n">
        <v/>
      </c>
      <c r="H470" t="n">
        <v/>
      </c>
      <c r="I470" t="n">
        <v/>
      </c>
    </row>
    <row r="471">
      <c r="A471" s="67" t="n">
        <v>36039</v>
      </c>
      <c r="B471" t="n">
        <v>87.3</v>
      </c>
      <c r="C471" t="n">
        <v>1017.010009765625</v>
      </c>
      <c r="D471" t="n">
        <v>100.9</v>
      </c>
      <c r="E471" t="n">
        <v>111.7</v>
      </c>
      <c r="F471" t="n">
        <v>93.90000000000001</v>
      </c>
      <c r="G471" t="n">
        <v/>
      </c>
      <c r="H471" t="n">
        <v/>
      </c>
      <c r="I471" t="n">
        <v/>
      </c>
    </row>
    <row r="472">
      <c r="A472" s="67" t="n">
        <v>36069</v>
      </c>
      <c r="B472" t="n">
        <v>86.8</v>
      </c>
      <c r="C472" t="n">
        <v>1098.670043945312</v>
      </c>
      <c r="D472" t="n">
        <v>97.40000000000001</v>
      </c>
      <c r="E472" t="n">
        <v>112.8</v>
      </c>
      <c r="F472" t="n">
        <v>87.5</v>
      </c>
      <c r="G472" t="n">
        <v>12294.737</v>
      </c>
      <c r="H472" t="n">
        <v>0.01590485424779712</v>
      </c>
      <c r="I472" t="n">
        <v>0.04652519203948807</v>
      </c>
    </row>
    <row r="473">
      <c r="A473" s="67" t="n">
        <v>36100</v>
      </c>
      <c r="B473" t="n">
        <v>87.09999999999999</v>
      </c>
      <c r="C473" t="n">
        <v>1163.630004882812</v>
      </c>
      <c r="D473" t="n">
        <v>102.7</v>
      </c>
      <c r="E473" t="n">
        <v>115.9</v>
      </c>
      <c r="F473" t="n">
        <v>94.3</v>
      </c>
      <c r="G473" t="n">
        <v/>
      </c>
      <c r="H473" t="n">
        <v/>
      </c>
      <c r="I473" t="n">
        <v/>
      </c>
    </row>
    <row r="474">
      <c r="A474" s="67" t="n">
        <v>36130</v>
      </c>
      <c r="B474" t="n">
        <v>87.3</v>
      </c>
      <c r="C474" t="n">
        <v>1229.22998046875</v>
      </c>
      <c r="D474" t="n">
        <v>100.5</v>
      </c>
      <c r="E474" t="n">
        <v>113.9</v>
      </c>
      <c r="F474" t="n">
        <v>91.90000000000001</v>
      </c>
      <c r="G474" t="n">
        <v/>
      </c>
      <c r="H474" t="n">
        <v/>
      </c>
      <c r="I474" t="n">
        <v/>
      </c>
    </row>
    <row r="475">
      <c r="A475" s="67" t="n">
        <v>36161</v>
      </c>
      <c r="B475" t="n">
        <v>87.2</v>
      </c>
      <c r="C475" t="n">
        <v>1279.640014648438</v>
      </c>
      <c r="D475" t="n">
        <v>103.9</v>
      </c>
      <c r="E475" t="n">
        <v>116.8</v>
      </c>
      <c r="F475" t="n">
        <v>95.7</v>
      </c>
      <c r="G475" t="n">
        <v>12410.778</v>
      </c>
      <c r="H475" t="n">
        <v>0.009350018185806004</v>
      </c>
      <c r="I475" t="n">
        <v>0.04600050053268216</v>
      </c>
    </row>
    <row r="476">
      <c r="A476" s="67" t="n">
        <v>36192</v>
      </c>
      <c r="B476" t="n">
        <v>87.7</v>
      </c>
      <c r="C476" t="n">
        <v>1238.329956054688</v>
      </c>
      <c r="D476" t="n">
        <v>108.1</v>
      </c>
      <c r="E476" t="n">
        <v>115</v>
      </c>
      <c r="F476" t="n">
        <v>103.6</v>
      </c>
      <c r="G476" t="n">
        <v/>
      </c>
      <c r="H476" t="n">
        <v/>
      </c>
      <c r="I476" t="n">
        <v/>
      </c>
    </row>
    <row r="477">
      <c r="A477" s="67" t="n">
        <v>36220</v>
      </c>
      <c r="B477" t="n">
        <v>87.7</v>
      </c>
      <c r="C477" t="n">
        <v>1286.369995117188</v>
      </c>
      <c r="D477" t="n">
        <v>105.7</v>
      </c>
      <c r="E477" t="n">
        <v>116.3</v>
      </c>
      <c r="F477" t="n">
        <v>99</v>
      </c>
      <c r="G477" t="n">
        <v/>
      </c>
      <c r="H477" t="n">
        <v/>
      </c>
      <c r="I477" t="n">
        <v/>
      </c>
    </row>
    <row r="478">
      <c r="A478" s="67" t="n">
        <v>36251</v>
      </c>
      <c r="B478" t="n">
        <v>87.8</v>
      </c>
      <c r="C478" t="n">
        <v>1335.180053710938</v>
      </c>
      <c r="D478" t="n">
        <v>104.6</v>
      </c>
      <c r="E478" t="n">
        <v>115.9</v>
      </c>
      <c r="F478" t="n">
        <v>97.40000000000001</v>
      </c>
      <c r="G478" t="n">
        <v>12514.408</v>
      </c>
      <c r="H478" t="n">
        <v>0.008280855155113946</v>
      </c>
      <c r="I478" t="n">
        <v>0.04514124839145402</v>
      </c>
    </row>
    <row r="479">
      <c r="A479" s="67" t="n">
        <v>36281</v>
      </c>
      <c r="B479" t="n">
        <v>88.3</v>
      </c>
      <c r="C479" t="n">
        <v>1301.839965820312</v>
      </c>
      <c r="D479" t="n">
        <v>106.8</v>
      </c>
      <c r="E479" t="n">
        <v>121.1</v>
      </c>
      <c r="F479" t="n">
        <v>97.59999999999999</v>
      </c>
      <c r="G479" t="n">
        <v/>
      </c>
      <c r="H479" t="n">
        <v/>
      </c>
      <c r="I479" t="n">
        <v/>
      </c>
    </row>
    <row r="480">
      <c r="A480" s="67" t="n">
        <v>36312</v>
      </c>
      <c r="B480" t="n">
        <v>88.59999999999999</v>
      </c>
      <c r="C480" t="n">
        <v>1372.7099609375</v>
      </c>
      <c r="D480" t="n">
        <v>107.3</v>
      </c>
      <c r="E480" t="n">
        <v>118.9</v>
      </c>
      <c r="F480" t="n">
        <v>99.8</v>
      </c>
      <c r="G480" t="n">
        <v/>
      </c>
      <c r="H480" t="n">
        <v/>
      </c>
      <c r="I480" t="n">
        <v/>
      </c>
    </row>
    <row r="481">
      <c r="A481" s="67" t="n">
        <v>36342</v>
      </c>
      <c r="B481" t="n">
        <v>88.90000000000001</v>
      </c>
      <c r="C481" t="n">
        <v>1328.719970703125</v>
      </c>
      <c r="D481" t="n">
        <v>106</v>
      </c>
      <c r="E481" t="n">
        <v>116.5</v>
      </c>
      <c r="F481" t="n">
        <v>99.2</v>
      </c>
      <c r="G481" t="n">
        <v>12679.977</v>
      </c>
      <c r="H481" t="n">
        <v>0.01305751579833318</v>
      </c>
      <c r="I481" t="n">
        <v>0.04580339538470772</v>
      </c>
    </row>
    <row r="482">
      <c r="A482" s="67" t="n">
        <v>36373</v>
      </c>
      <c r="B482" t="n">
        <v>89.09999999999999</v>
      </c>
      <c r="C482" t="n">
        <v>1320.410034179688</v>
      </c>
      <c r="D482" t="n">
        <v>104.5</v>
      </c>
      <c r="E482" t="n">
        <v>114.1</v>
      </c>
      <c r="F482" t="n">
        <v>98.40000000000001</v>
      </c>
      <c r="G482" t="n">
        <v/>
      </c>
      <c r="H482" t="n">
        <v/>
      </c>
      <c r="I482" t="n">
        <v/>
      </c>
    </row>
    <row r="483">
      <c r="A483" s="67" t="n">
        <v>36404</v>
      </c>
      <c r="B483" t="n">
        <v>89.09999999999999</v>
      </c>
      <c r="C483" t="n">
        <v>1282.7099609375</v>
      </c>
      <c r="D483" t="n">
        <v>107.2</v>
      </c>
      <c r="E483" t="n">
        <v>115.9</v>
      </c>
      <c r="F483" t="n">
        <v>101.5</v>
      </c>
      <c r="G483" t="n">
        <v/>
      </c>
      <c r="H483" t="n">
        <v/>
      </c>
      <c r="I483" t="n">
        <v/>
      </c>
    </row>
    <row r="484">
      <c r="A484" s="67" t="n">
        <v>36434</v>
      </c>
      <c r="B484" t="n">
        <v>89.40000000000001</v>
      </c>
      <c r="C484" t="n">
        <v>1362.930053710938</v>
      </c>
      <c r="D484" t="n">
        <v>103.2</v>
      </c>
      <c r="E484" t="n">
        <v>112.7</v>
      </c>
      <c r="F484" t="n">
        <v>97.09999999999999</v>
      </c>
      <c r="G484" t="n">
        <v>12888.281</v>
      </c>
      <c r="H484" t="n">
        <v>0.01616227951578648</v>
      </c>
      <c r="I484" t="n">
        <v>0.04605299962035291</v>
      </c>
    </row>
    <row r="485">
      <c r="A485" s="67" t="n">
        <v>36465</v>
      </c>
      <c r="B485" t="n">
        <v>89.90000000000001</v>
      </c>
      <c r="C485" t="n">
        <v>1388.910034179688</v>
      </c>
      <c r="D485" t="n">
        <v>107.2</v>
      </c>
      <c r="E485" t="n">
        <v>116.8</v>
      </c>
      <c r="F485" t="n">
        <v>101</v>
      </c>
      <c r="G485" t="n">
        <v/>
      </c>
      <c r="H485" t="n">
        <v/>
      </c>
      <c r="I485" t="n">
        <v/>
      </c>
    </row>
    <row r="486">
      <c r="A486" s="67" t="n">
        <v>36495</v>
      </c>
      <c r="B486" t="n">
        <v>90.7</v>
      </c>
      <c r="C486" t="n">
        <v>1469.25</v>
      </c>
      <c r="D486" t="n">
        <v>105.4</v>
      </c>
      <c r="E486" t="n">
        <v>112.2</v>
      </c>
      <c r="F486" t="n">
        <v>101.1</v>
      </c>
      <c r="G486" t="n">
        <v/>
      </c>
      <c r="H486" t="n">
        <v/>
      </c>
      <c r="I486" t="n">
        <v/>
      </c>
    </row>
    <row r="487">
      <c r="A487" s="67" t="n">
        <v>36526</v>
      </c>
      <c r="B487" t="n">
        <v>91.2</v>
      </c>
      <c r="C487" t="n">
        <v>1394.4599609375</v>
      </c>
      <c r="D487" t="n">
        <v>112</v>
      </c>
      <c r="E487" t="n">
        <v>117.3</v>
      </c>
      <c r="F487" t="n">
        <v>108.6</v>
      </c>
      <c r="G487" t="n">
        <v>12935.252</v>
      </c>
      <c r="H487" t="n">
        <v>0.003631239654240949</v>
      </c>
      <c r="I487" t="n">
        <v>0.040546098367469</v>
      </c>
    </row>
    <row r="488">
      <c r="A488" s="67" t="n">
        <v>36557</v>
      </c>
      <c r="B488" t="n">
        <v>90.59999999999999</v>
      </c>
      <c r="C488" t="n">
        <v>1366.420043945312</v>
      </c>
      <c r="D488" t="n">
        <v>111.3</v>
      </c>
      <c r="E488" t="n">
        <v>116.8</v>
      </c>
      <c r="F488" t="n">
        <v>107.8</v>
      </c>
      <c r="G488" t="n">
        <v/>
      </c>
      <c r="H488" t="n">
        <v/>
      </c>
      <c r="I488" t="n">
        <v/>
      </c>
    </row>
    <row r="489">
      <c r="A489" s="67" t="n">
        <v>36586</v>
      </c>
      <c r="B489" t="n">
        <v>91.59999999999999</v>
      </c>
      <c r="C489" t="n">
        <v>1498.579956054688</v>
      </c>
      <c r="D489" t="n">
        <v>107.1</v>
      </c>
      <c r="E489" t="n">
        <v>115.4</v>
      </c>
      <c r="F489" t="n">
        <v>101.7</v>
      </c>
      <c r="G489" t="n">
        <v/>
      </c>
      <c r="H489" t="n">
        <v/>
      </c>
      <c r="I489" t="n">
        <v/>
      </c>
    </row>
    <row r="490">
      <c r="A490" s="67" t="n">
        <v>36617</v>
      </c>
      <c r="B490" t="n">
        <v>91.7</v>
      </c>
      <c r="C490" t="n">
        <v>1452.430053710938</v>
      </c>
      <c r="D490" t="n">
        <v>109.2</v>
      </c>
      <c r="E490" t="n">
        <v>117.8</v>
      </c>
      <c r="F490" t="n">
        <v>103.7</v>
      </c>
      <c r="G490" t="n">
        <v>13170.749</v>
      </c>
      <c r="H490" t="n">
        <v>0.01788030430160042</v>
      </c>
      <c r="I490" t="n">
        <v>0.04983323271895929</v>
      </c>
    </row>
    <row r="491">
      <c r="A491" s="67" t="n">
        <v>36647</v>
      </c>
      <c r="B491" t="n">
        <v>90.7</v>
      </c>
      <c r="C491" t="n">
        <v>1420.599975585938</v>
      </c>
      <c r="D491" t="n">
        <v>110.7</v>
      </c>
      <c r="E491" t="n">
        <v>119.9</v>
      </c>
      <c r="F491" t="n">
        <v>104.8</v>
      </c>
      <c r="G491" t="n">
        <v/>
      </c>
      <c r="H491" t="n">
        <v/>
      </c>
      <c r="I491" t="n">
        <v/>
      </c>
    </row>
    <row r="492">
      <c r="A492" s="67" t="n">
        <v>36678</v>
      </c>
      <c r="B492" t="n">
        <v>91</v>
      </c>
      <c r="C492" t="n">
        <v>1454.599975585938</v>
      </c>
      <c r="D492" t="n">
        <v>106.4</v>
      </c>
      <c r="E492" t="n">
        <v>115.1</v>
      </c>
      <c r="F492" t="n">
        <v>100.8</v>
      </c>
      <c r="G492" t="n">
        <v/>
      </c>
      <c r="H492" t="n">
        <v/>
      </c>
      <c r="I492" t="n">
        <v/>
      </c>
    </row>
    <row r="493">
      <c r="A493" s="67" t="n">
        <v>36708</v>
      </c>
      <c r="B493" t="n">
        <v>90.59999999999999</v>
      </c>
      <c r="C493" t="n">
        <v>1430.829956054688</v>
      </c>
      <c r="D493" t="n">
        <v>108.3</v>
      </c>
      <c r="E493" t="n">
        <v>114.2</v>
      </c>
      <c r="F493" t="n">
        <v>104.5</v>
      </c>
      <c r="G493" t="n">
        <v>13183.89</v>
      </c>
      <c r="H493" t="n">
        <v>0.0009967467871773521</v>
      </c>
      <c r="I493" t="n">
        <v>0.03822187533421461</v>
      </c>
    </row>
    <row r="494">
      <c r="A494" s="67" t="n">
        <v>36739</v>
      </c>
      <c r="B494" t="n">
        <v>90</v>
      </c>
      <c r="C494" t="n">
        <v>1517.680053710938</v>
      </c>
      <c r="D494" t="n">
        <v>107.3</v>
      </c>
      <c r="E494" t="n">
        <v>112.4</v>
      </c>
      <c r="F494" t="n">
        <v>104</v>
      </c>
      <c r="G494" t="n">
        <v/>
      </c>
      <c r="H494" t="n">
        <v/>
      </c>
      <c r="I494" t="n">
        <v/>
      </c>
    </row>
    <row r="495">
      <c r="A495" s="67" t="n">
        <v>36770</v>
      </c>
      <c r="B495" t="n">
        <v>90.3</v>
      </c>
      <c r="C495" t="n">
        <v>1436.510009765625</v>
      </c>
      <c r="D495" t="n">
        <v>106.8</v>
      </c>
      <c r="E495" t="n">
        <v>112</v>
      </c>
      <c r="F495" t="n">
        <v>103.4</v>
      </c>
      <c r="G495" t="n">
        <v/>
      </c>
      <c r="H495" t="n">
        <v/>
      </c>
      <c r="I495" t="n">
        <v/>
      </c>
    </row>
    <row r="496">
      <c r="A496" s="67" t="n">
        <v>36800</v>
      </c>
      <c r="B496" t="n">
        <v>89.40000000000001</v>
      </c>
      <c r="C496" t="n">
        <v>1429.400024414062</v>
      </c>
      <c r="D496" t="n">
        <v>105.8</v>
      </c>
      <c r="E496" t="n">
        <v>113.6</v>
      </c>
      <c r="F496" t="n">
        <v>100.7</v>
      </c>
      <c r="G496" t="n">
        <v>13262.25</v>
      </c>
      <c r="H496" t="n">
        <v>0.005908499688966848</v>
      </c>
      <c r="I496" t="n">
        <v>0.02819800561744796</v>
      </c>
    </row>
    <row r="497">
      <c r="A497" s="67" t="n">
        <v>36831</v>
      </c>
      <c r="B497" t="n">
        <v>88.7</v>
      </c>
      <c r="C497" t="n">
        <v>1314.949951171875</v>
      </c>
      <c r="D497" t="n">
        <v>107.6</v>
      </c>
      <c r="E497" t="n">
        <v>116.9</v>
      </c>
      <c r="F497" t="n">
        <v>101.6</v>
      </c>
      <c r="G497" t="n">
        <v/>
      </c>
      <c r="H497" t="n">
        <v/>
      </c>
      <c r="I497" t="n">
        <v/>
      </c>
    </row>
    <row r="498">
      <c r="A498" s="67" t="n">
        <v>36861</v>
      </c>
      <c r="B498" t="n">
        <v>87.40000000000001</v>
      </c>
      <c r="C498" t="n">
        <v>1320.280029296875</v>
      </c>
      <c r="D498" t="n">
        <v>98.40000000000001</v>
      </c>
      <c r="E498" t="n">
        <v>110.5</v>
      </c>
      <c r="F498" t="n">
        <v>90.7</v>
      </c>
      <c r="G498" t="n">
        <v/>
      </c>
      <c r="H498" t="n">
        <v/>
      </c>
      <c r="I498" t="n">
        <v/>
      </c>
    </row>
    <row r="499">
      <c r="A499" s="67" t="n">
        <v>36892</v>
      </c>
      <c r="B499" t="n">
        <v>86.90000000000001</v>
      </c>
      <c r="C499" t="n">
        <v>1366.010009765625</v>
      </c>
      <c r="D499" t="n">
        <v>94.7</v>
      </c>
      <c r="E499" t="n">
        <v>107.7</v>
      </c>
      <c r="F499" t="n">
        <v>86.40000000000001</v>
      </c>
      <c r="G499" t="n">
        <v>13219.251</v>
      </c>
      <c r="H499" t="n">
        <v>-0.003252756150859061</v>
      </c>
      <c r="I499" t="n">
        <v>0.02148374367049992</v>
      </c>
    </row>
    <row r="500">
      <c r="A500" s="67" t="n">
        <v>36923</v>
      </c>
      <c r="B500" t="n">
        <v>85.90000000000001</v>
      </c>
      <c r="C500" t="n">
        <v>1239.93994140625</v>
      </c>
      <c r="D500" t="n">
        <v>90.59999999999999</v>
      </c>
      <c r="E500" t="n">
        <v>105.8</v>
      </c>
      <c r="F500" t="n">
        <v>80.8</v>
      </c>
      <c r="G500" t="n">
        <v/>
      </c>
      <c r="H500" t="n">
        <v/>
      </c>
      <c r="I500" t="n">
        <v/>
      </c>
    </row>
    <row r="501">
      <c r="A501" s="67" t="n">
        <v>36951</v>
      </c>
      <c r="B501" t="n">
        <v>84.59999999999999</v>
      </c>
      <c r="C501" t="n">
        <v>1160.329956054688</v>
      </c>
      <c r="D501" t="n">
        <v>91.5</v>
      </c>
      <c r="E501" t="n">
        <v>103.4</v>
      </c>
      <c r="F501" t="n">
        <v>83.90000000000001</v>
      </c>
      <c r="G501" t="n">
        <v/>
      </c>
      <c r="H501" t="n">
        <v/>
      </c>
      <c r="I501" t="n">
        <v/>
      </c>
    </row>
    <row r="502">
      <c r="A502" s="67" t="n">
        <v>36982</v>
      </c>
      <c r="B502" t="n">
        <v>83.7</v>
      </c>
      <c r="C502" t="n">
        <v>1249.4599609375</v>
      </c>
      <c r="D502" t="n">
        <v>88.40000000000001</v>
      </c>
      <c r="E502" t="n">
        <v>98</v>
      </c>
      <c r="F502" t="n">
        <v>82.2</v>
      </c>
      <c r="G502" t="n">
        <v>13301.394</v>
      </c>
      <c r="H502" t="n">
        <v>0.006175518144940299</v>
      </c>
      <c r="I502" t="n">
        <v>0.009821902877247334</v>
      </c>
    </row>
    <row r="503">
      <c r="A503" s="67" t="n">
        <v>37012</v>
      </c>
      <c r="B503" t="n">
        <v>84</v>
      </c>
      <c r="C503" t="n">
        <v>1255.819946289062</v>
      </c>
      <c r="D503" t="n">
        <v>92</v>
      </c>
      <c r="E503" t="n">
        <v>102.2</v>
      </c>
      <c r="F503" t="n">
        <v>85.40000000000001</v>
      </c>
      <c r="G503" t="n">
        <v/>
      </c>
      <c r="H503" t="n">
        <v/>
      </c>
      <c r="I503" t="n">
        <v/>
      </c>
    </row>
    <row r="504">
      <c r="A504" s="67" t="n">
        <v>37043</v>
      </c>
      <c r="B504" t="n">
        <v>83.59999999999999</v>
      </c>
      <c r="C504" t="n">
        <v>1224.380004882812</v>
      </c>
      <c r="D504" t="n">
        <v>92.59999999999999</v>
      </c>
      <c r="E504" t="n">
        <v>101.6</v>
      </c>
      <c r="F504" t="n">
        <v>86.90000000000001</v>
      </c>
      <c r="G504" t="n">
        <v/>
      </c>
      <c r="H504" t="n">
        <v/>
      </c>
      <c r="I504" t="n">
        <v/>
      </c>
    </row>
    <row r="505">
      <c r="A505" s="67" t="n">
        <v>37073</v>
      </c>
      <c r="B505" t="n">
        <v>83.40000000000001</v>
      </c>
      <c r="C505" t="n">
        <v>1211.22998046875</v>
      </c>
      <c r="D505" t="n">
        <v>92.40000000000001</v>
      </c>
      <c r="E505" t="n">
        <v>98.59999999999999</v>
      </c>
      <c r="F505" t="n">
        <v>88.40000000000001</v>
      </c>
      <c r="G505" t="n">
        <v>13248.142</v>
      </c>
      <c r="H505" t="n">
        <v>-0.004019582519571454</v>
      </c>
      <c r="I505" t="n">
        <v>0.004849887629525741</v>
      </c>
    </row>
    <row r="506">
      <c r="A506" s="67" t="n">
        <v>37104</v>
      </c>
      <c r="B506" t="n">
        <v>83.2</v>
      </c>
      <c r="C506" t="n">
        <v>1133.579956054688</v>
      </c>
      <c r="D506" t="n">
        <v>91.5</v>
      </c>
      <c r="E506" t="n">
        <v>101.2</v>
      </c>
      <c r="F506" t="n">
        <v>85.2</v>
      </c>
      <c r="G506" t="n">
        <v/>
      </c>
      <c r="H506" t="n">
        <v/>
      </c>
      <c r="I506" t="n">
        <v/>
      </c>
    </row>
    <row r="507">
      <c r="A507" s="67" t="n">
        <v>37135</v>
      </c>
      <c r="B507" t="n">
        <v>81.7</v>
      </c>
      <c r="C507" t="n">
        <v>1040.93994140625</v>
      </c>
      <c r="D507" t="n">
        <v>81.8</v>
      </c>
      <c r="E507" t="n">
        <v>94.59999999999999</v>
      </c>
      <c r="F507" t="n">
        <v>73.5</v>
      </c>
      <c r="G507" t="n">
        <v/>
      </c>
      <c r="H507" t="n">
        <v/>
      </c>
      <c r="I507" t="n">
        <v/>
      </c>
    </row>
    <row r="508">
      <c r="A508" s="67" t="n">
        <v>37165</v>
      </c>
      <c r="B508" t="n">
        <v>81.09999999999999</v>
      </c>
      <c r="C508" t="n">
        <v>1059.780029296875</v>
      </c>
      <c r="D508" t="n">
        <v>82.7</v>
      </c>
      <c r="E508" t="n">
        <v>94</v>
      </c>
      <c r="F508" t="n">
        <v>75.5</v>
      </c>
      <c r="G508" t="n">
        <v>13284.881</v>
      </c>
      <c r="H508" t="n">
        <v>0.002765474527020572</v>
      </c>
      <c r="I508" t="n">
        <v>0.001703515447372047</v>
      </c>
    </row>
    <row r="509">
      <c r="A509" s="67" t="n">
        <v>37196</v>
      </c>
      <c r="B509" t="n">
        <v>81.59999999999999</v>
      </c>
      <c r="C509" t="n">
        <v>1139.449951171875</v>
      </c>
      <c r="D509" t="n">
        <v>83.90000000000001</v>
      </c>
      <c r="E509" t="n">
        <v>95.3</v>
      </c>
      <c r="F509" t="n">
        <v>76.59999999999999</v>
      </c>
      <c r="G509" t="n">
        <v/>
      </c>
      <c r="H509" t="n">
        <v/>
      </c>
      <c r="I509" t="n">
        <v/>
      </c>
    </row>
    <row r="510">
      <c r="A510" s="67" t="n">
        <v>37226</v>
      </c>
      <c r="B510" t="n">
        <v>82.2</v>
      </c>
      <c r="C510" t="n">
        <v>1148.079956054688</v>
      </c>
      <c r="D510" t="n">
        <v>88.8</v>
      </c>
      <c r="E510" t="n">
        <v>99</v>
      </c>
      <c r="F510" t="n">
        <v>82.3</v>
      </c>
      <c r="G510" t="n">
        <v/>
      </c>
      <c r="H510" t="n">
        <v/>
      </c>
      <c r="I510" t="n">
        <v/>
      </c>
    </row>
    <row r="511">
      <c r="A511" s="67" t="n">
        <v>37257</v>
      </c>
      <c r="B511" t="n">
        <v>82.2</v>
      </c>
      <c r="C511" t="n">
        <v>1130.199951171875</v>
      </c>
      <c r="D511" t="n">
        <v>93</v>
      </c>
      <c r="E511" t="n">
        <v>95.7</v>
      </c>
      <c r="F511" t="n">
        <v>91.3</v>
      </c>
      <c r="G511" t="n">
        <v>13394.91</v>
      </c>
      <c r="H511" t="n">
        <v>0.008214239588022648</v>
      </c>
      <c r="I511" t="n">
        <v>0.01311386190724683</v>
      </c>
    </row>
    <row r="512">
      <c r="A512" s="67" t="n">
        <v>37288</v>
      </c>
      <c r="B512" t="n">
        <v>83</v>
      </c>
      <c r="C512" t="n">
        <v>1106.72998046875</v>
      </c>
      <c r="D512" t="n">
        <v>90.7</v>
      </c>
      <c r="E512" t="n">
        <v>96.2</v>
      </c>
      <c r="F512" t="n">
        <v>87.2</v>
      </c>
      <c r="G512" t="n">
        <v/>
      </c>
      <c r="H512" t="n">
        <v/>
      </c>
      <c r="I512" t="n">
        <v/>
      </c>
    </row>
    <row r="513">
      <c r="A513" s="67" t="n">
        <v>37316</v>
      </c>
      <c r="B513" t="n">
        <v>83.40000000000001</v>
      </c>
      <c r="C513" t="n">
        <v>1147.390014648438</v>
      </c>
      <c r="D513" t="n">
        <v>95.7</v>
      </c>
      <c r="E513" t="n">
        <v>100.4</v>
      </c>
      <c r="F513" t="n">
        <v>92.7</v>
      </c>
      <c r="G513" t="n">
        <v/>
      </c>
      <c r="H513" t="n">
        <v/>
      </c>
      <c r="I513" t="n">
        <v/>
      </c>
    </row>
    <row r="514">
      <c r="A514" s="67" t="n">
        <v>37347</v>
      </c>
      <c r="B514" t="n">
        <v>84</v>
      </c>
      <c r="C514" t="n">
        <v>1076.920043945312</v>
      </c>
      <c r="D514" t="n">
        <v>93</v>
      </c>
      <c r="E514" t="n">
        <v>99.2</v>
      </c>
      <c r="F514" t="n">
        <v>89.09999999999999</v>
      </c>
      <c r="G514" t="n">
        <v>13477.356</v>
      </c>
      <c r="H514" t="n">
        <v>0.006117371983050676</v>
      </c>
      <c r="I514" t="n">
        <v>0.01305612169033745</v>
      </c>
    </row>
    <row r="515">
      <c r="A515" s="67" t="n">
        <v>37377</v>
      </c>
      <c r="B515" t="n">
        <v>84.8</v>
      </c>
      <c r="C515" t="n">
        <v>1067.140014648438</v>
      </c>
      <c r="D515" t="n">
        <v>96.90000000000001</v>
      </c>
      <c r="E515" t="n">
        <v>103.5</v>
      </c>
      <c r="F515" t="n">
        <v>92.7</v>
      </c>
      <c r="G515" t="n">
        <v/>
      </c>
      <c r="H515" t="n">
        <v/>
      </c>
      <c r="I515" t="n">
        <v/>
      </c>
    </row>
    <row r="516">
      <c r="A516" s="67" t="n">
        <v>37408</v>
      </c>
      <c r="B516" t="n">
        <v>85</v>
      </c>
      <c r="C516" t="n">
        <v>989.8200073242188</v>
      </c>
      <c r="D516" t="n">
        <v>92.40000000000001</v>
      </c>
      <c r="E516" t="n">
        <v>99.5</v>
      </c>
      <c r="F516" t="n">
        <v>87.90000000000001</v>
      </c>
      <c r="G516" t="n">
        <v/>
      </c>
      <c r="H516" t="n">
        <v/>
      </c>
      <c r="I516" t="n">
        <v/>
      </c>
    </row>
    <row r="517">
      <c r="A517" s="67" t="n">
        <v>37438</v>
      </c>
      <c r="B517" t="n">
        <v>84.59999999999999</v>
      </c>
      <c r="C517" t="n">
        <v>911.6199951171875</v>
      </c>
      <c r="D517" t="n">
        <v>88.09999999999999</v>
      </c>
      <c r="E517" t="n">
        <v>99.3</v>
      </c>
      <c r="F517" t="n">
        <v>81</v>
      </c>
      <c r="G517" t="n">
        <v>13531.741</v>
      </c>
      <c r="H517" t="n">
        <v>0.004019068943161137</v>
      </c>
      <c r="I517" t="n">
        <v>0.02095805706006346</v>
      </c>
    </row>
    <row r="518">
      <c r="A518" s="67" t="n">
        <v>37469</v>
      </c>
      <c r="B518" t="n">
        <v>84.7</v>
      </c>
      <c r="C518" t="n">
        <v>916.0700073242188</v>
      </c>
      <c r="D518" t="n">
        <v>87.59999999999999</v>
      </c>
      <c r="E518" t="n">
        <v>98.5</v>
      </c>
      <c r="F518" t="n">
        <v>80.59999999999999</v>
      </c>
      <c r="G518" t="n">
        <v/>
      </c>
      <c r="H518" t="n">
        <v/>
      </c>
      <c r="I518" t="n">
        <v/>
      </c>
    </row>
    <row r="519">
      <c r="A519" s="67" t="n">
        <v>37500</v>
      </c>
      <c r="B519" t="n">
        <v>84.40000000000001</v>
      </c>
      <c r="C519" t="n">
        <v>815.280029296875</v>
      </c>
      <c r="D519" t="n">
        <v>86.09999999999999</v>
      </c>
      <c r="E519" t="n">
        <v>95.8</v>
      </c>
      <c r="F519" t="n">
        <v>79.90000000000001</v>
      </c>
      <c r="G519" t="n">
        <v/>
      </c>
      <c r="H519" t="n">
        <v/>
      </c>
      <c r="I519" t="n">
        <v/>
      </c>
    </row>
    <row r="520">
      <c r="A520" s="67" t="n">
        <v>37530</v>
      </c>
      <c r="B520" t="n">
        <v>84.3</v>
      </c>
      <c r="C520" t="n">
        <v>885.760009765625</v>
      </c>
      <c r="D520" t="n">
        <v>80.59999999999999</v>
      </c>
      <c r="E520" t="n">
        <v>92.40000000000001</v>
      </c>
      <c r="F520" t="n">
        <v>73.09999999999999</v>
      </c>
      <c r="G520" t="n">
        <v>13549.421</v>
      </c>
      <c r="H520" t="n">
        <v>0.001304852805149407</v>
      </c>
      <c r="I520" t="n">
        <v>0.01952408150872284</v>
      </c>
    </row>
    <row r="521">
      <c r="A521" s="67" t="n">
        <v>37561</v>
      </c>
      <c r="B521" t="n">
        <v>84.8</v>
      </c>
      <c r="C521" t="n">
        <v>936.3099975585938</v>
      </c>
      <c r="D521" t="n">
        <v>84.2</v>
      </c>
      <c r="E521" t="n">
        <v>93.09999999999999</v>
      </c>
      <c r="F521" t="n">
        <v>78.5</v>
      </c>
      <c r="G521" t="n">
        <v/>
      </c>
      <c r="H521" t="n">
        <v/>
      </c>
      <c r="I521" t="n">
        <v/>
      </c>
    </row>
    <row r="522">
      <c r="A522" s="67" t="n">
        <v>37591</v>
      </c>
      <c r="B522" t="n">
        <v>84.8</v>
      </c>
      <c r="C522" t="n">
        <v>879.8200073242188</v>
      </c>
      <c r="D522" t="n">
        <v>86.7</v>
      </c>
      <c r="E522" t="n">
        <v>96</v>
      </c>
      <c r="F522" t="n">
        <v>80.8</v>
      </c>
      <c r="G522" t="n">
        <v/>
      </c>
      <c r="H522" t="n">
        <v/>
      </c>
      <c r="I522" t="n">
        <v/>
      </c>
    </row>
    <row r="523">
      <c r="A523" s="67" t="n">
        <v>37622</v>
      </c>
      <c r="B523" t="n">
        <v>85</v>
      </c>
      <c r="C523" t="n">
        <v>855.7000122070312</v>
      </c>
      <c r="D523" t="n">
        <v>82.40000000000001</v>
      </c>
      <c r="E523" t="n">
        <v>97.2</v>
      </c>
      <c r="F523" t="n">
        <v>72.8</v>
      </c>
      <c r="G523" t="n">
        <v>13619.434</v>
      </c>
      <c r="H523" t="n">
        <v>0.005140668841304199</v>
      </c>
      <c r="I523" t="n">
        <v>0.01648556026630765</v>
      </c>
    </row>
    <row r="524">
      <c r="A524" s="67" t="n">
        <v>37653</v>
      </c>
      <c r="B524" t="n">
        <v>84.8</v>
      </c>
      <c r="C524" t="n">
        <v>841.1500244140625</v>
      </c>
      <c r="D524" t="n">
        <v>79.90000000000001</v>
      </c>
      <c r="E524" t="n">
        <v>95.40000000000001</v>
      </c>
      <c r="F524" t="n">
        <v>69.90000000000001</v>
      </c>
      <c r="G524" t="n">
        <v/>
      </c>
      <c r="H524" t="n">
        <v/>
      </c>
      <c r="I524" t="n">
        <v/>
      </c>
    </row>
    <row r="525">
      <c r="A525" s="67" t="n">
        <v>37681</v>
      </c>
      <c r="B525" t="n">
        <v>84.7</v>
      </c>
      <c r="C525" t="n">
        <v>848.1799926757812</v>
      </c>
      <c r="D525" t="n">
        <v>77.59999999999999</v>
      </c>
      <c r="E525" t="n">
        <v>90</v>
      </c>
      <c r="F525" t="n">
        <v>69.59999999999999</v>
      </c>
      <c r="G525" t="n">
        <v/>
      </c>
      <c r="H525" t="n">
        <v/>
      </c>
      <c r="I525" t="n">
        <v/>
      </c>
    </row>
    <row r="526">
      <c r="A526" s="67" t="n">
        <v>37712</v>
      </c>
      <c r="B526" t="n">
        <v>84.40000000000001</v>
      </c>
      <c r="C526" t="n">
        <v>916.9199829101562</v>
      </c>
      <c r="D526" t="n">
        <v>86</v>
      </c>
      <c r="E526" t="n">
        <v>96.40000000000001</v>
      </c>
      <c r="F526" t="n">
        <v>79.3</v>
      </c>
      <c r="G526" t="n">
        <v>13741.107</v>
      </c>
      <c r="H526" t="n">
        <v>0.008854672334623453</v>
      </c>
      <c r="I526" t="n">
        <v>0.01919430508764688</v>
      </c>
    </row>
    <row r="527">
      <c r="A527" s="67" t="n">
        <v>37742</v>
      </c>
      <c r="B527" t="n">
        <v>85.3</v>
      </c>
      <c r="C527" t="n">
        <v>963.5900268554688</v>
      </c>
      <c r="D527" t="n">
        <v>92.09999999999999</v>
      </c>
      <c r="E527" t="n">
        <v>93.2</v>
      </c>
      <c r="F527" t="n">
        <v>91.40000000000001</v>
      </c>
      <c r="G527" t="n">
        <v/>
      </c>
      <c r="H527" t="n">
        <v/>
      </c>
      <c r="I527" t="n">
        <v/>
      </c>
    </row>
    <row r="528">
      <c r="A528" s="67" t="n">
        <v>37773</v>
      </c>
      <c r="B528" t="n">
        <v>86</v>
      </c>
      <c r="C528" t="n">
        <v>974.5</v>
      </c>
      <c r="D528" t="n">
        <v>89.7</v>
      </c>
      <c r="E528" t="n">
        <v>94.7</v>
      </c>
      <c r="F528" t="n">
        <v>86.40000000000001</v>
      </c>
      <c r="G528" t="n">
        <v/>
      </c>
      <c r="H528" t="n">
        <v/>
      </c>
      <c r="I528" t="n">
        <v/>
      </c>
    </row>
    <row r="529">
      <c r="A529" s="67" t="n">
        <v>37803</v>
      </c>
      <c r="B529" t="n">
        <v>86.3</v>
      </c>
      <c r="C529" t="n">
        <v>990.3099975585938</v>
      </c>
      <c r="D529" t="n">
        <v>90.90000000000001</v>
      </c>
      <c r="E529" t="n">
        <v>102.1</v>
      </c>
      <c r="F529" t="n">
        <v>83.7</v>
      </c>
      <c r="G529" t="n">
        <v>13970.157</v>
      </c>
      <c r="H529" t="n">
        <v>0.01639566398573754</v>
      </c>
      <c r="I529" t="n">
        <v>0.03138232447924524</v>
      </c>
    </row>
    <row r="530">
      <c r="A530" s="67" t="n">
        <v>37834</v>
      </c>
      <c r="B530" t="n">
        <v>86.90000000000001</v>
      </c>
      <c r="C530" t="n">
        <v>1008.010009765625</v>
      </c>
      <c r="D530" t="n">
        <v>89.3</v>
      </c>
      <c r="E530" t="n">
        <v>99.7</v>
      </c>
      <c r="F530" t="n">
        <v>82.5</v>
      </c>
      <c r="G530" t="n">
        <v/>
      </c>
      <c r="H530" t="n">
        <v/>
      </c>
      <c r="I530" t="n">
        <v/>
      </c>
    </row>
    <row r="531">
      <c r="A531" s="67" t="n">
        <v>37865</v>
      </c>
      <c r="B531" t="n">
        <v>87.90000000000001</v>
      </c>
      <c r="C531" t="n">
        <v>995.969970703125</v>
      </c>
      <c r="D531" t="n">
        <v>87.7</v>
      </c>
      <c r="E531" t="n">
        <v>98.40000000000001</v>
      </c>
      <c r="F531" t="n">
        <v>80.8</v>
      </c>
      <c r="G531" t="n">
        <v/>
      </c>
      <c r="H531" t="n">
        <v/>
      </c>
      <c r="I531" t="n">
        <v/>
      </c>
    </row>
    <row r="532">
      <c r="A532" s="67" t="n">
        <v>37895</v>
      </c>
      <c r="B532" t="n">
        <v>88.8</v>
      </c>
      <c r="C532" t="n">
        <v>1050.7099609375</v>
      </c>
      <c r="D532" t="n">
        <v>89.59999999999999</v>
      </c>
      <c r="E532" t="n">
        <v>99.90000000000001</v>
      </c>
      <c r="F532" t="n">
        <v>83</v>
      </c>
      <c r="G532" t="n">
        <v>14131.379</v>
      </c>
      <c r="H532" t="n">
        <v>0.01140879456987188</v>
      </c>
      <c r="I532" t="n">
        <v>0.04118196815753088</v>
      </c>
    </row>
    <row r="533">
      <c r="A533" s="67" t="n">
        <v>37926</v>
      </c>
      <c r="B533" t="n">
        <v>89.8</v>
      </c>
      <c r="C533" t="n">
        <v>1058.199951171875</v>
      </c>
      <c r="D533" t="n">
        <v>93.7</v>
      </c>
      <c r="E533" t="n">
        <v>102.5</v>
      </c>
      <c r="F533" t="n">
        <v>88.09999999999999</v>
      </c>
      <c r="G533" t="n">
        <v/>
      </c>
      <c r="H533" t="n">
        <v/>
      </c>
      <c r="I533" t="n">
        <v/>
      </c>
    </row>
    <row r="534">
      <c r="A534" s="67" t="n">
        <v>37956</v>
      </c>
      <c r="B534" t="n">
        <v>90.59999999999999</v>
      </c>
      <c r="C534" t="n">
        <v>1111.920043945312</v>
      </c>
      <c r="D534" t="n">
        <v>92.59999999999999</v>
      </c>
      <c r="E534" t="n">
        <v>97</v>
      </c>
      <c r="F534" t="n">
        <v>89.8</v>
      </c>
      <c r="G534" t="n">
        <v/>
      </c>
      <c r="H534" t="n">
        <v/>
      </c>
      <c r="I534" t="n">
        <v/>
      </c>
    </row>
    <row r="535">
      <c r="A535" s="67" t="n">
        <v>37987</v>
      </c>
      <c r="B535" t="n">
        <v>91.5</v>
      </c>
      <c r="C535" t="n">
        <v>1131.130004882812</v>
      </c>
      <c r="D535" t="n">
        <v>103.8</v>
      </c>
      <c r="E535" t="n">
        <v>109.5</v>
      </c>
      <c r="F535" t="n">
        <v>100.1</v>
      </c>
      <c r="G535" t="n">
        <v>14212.34</v>
      </c>
      <c r="H535" t="n">
        <v>0.005696528509731636</v>
      </c>
      <c r="I535" t="n">
        <v>0.04171769040143994</v>
      </c>
    </row>
    <row r="536">
      <c r="A536" s="67" t="n">
        <v>38018</v>
      </c>
      <c r="B536" t="n">
        <v>92.3</v>
      </c>
      <c r="C536" t="n">
        <v>1144.93994140625</v>
      </c>
      <c r="D536" t="n">
        <v>94.40000000000001</v>
      </c>
      <c r="E536" t="n">
        <v>103.6</v>
      </c>
      <c r="F536" t="n">
        <v>88.5</v>
      </c>
      <c r="G536" t="n">
        <v/>
      </c>
      <c r="H536" t="n">
        <v/>
      </c>
      <c r="I536" t="n">
        <v/>
      </c>
    </row>
    <row r="537">
      <c r="A537" s="67" t="n">
        <v>38047</v>
      </c>
      <c r="B537" t="n">
        <v>93.59999999999999</v>
      </c>
      <c r="C537" t="n">
        <v>1126.2099609375</v>
      </c>
      <c r="D537" t="n">
        <v>95.8</v>
      </c>
      <c r="E537" t="n">
        <v>106.8</v>
      </c>
      <c r="F537" t="n">
        <v>88.8</v>
      </c>
      <c r="G537" t="n">
        <v/>
      </c>
      <c r="H537" t="n">
        <v/>
      </c>
      <c r="I537" t="n">
        <v/>
      </c>
    </row>
    <row r="538">
      <c r="A538" s="67" t="n">
        <v>38078</v>
      </c>
      <c r="B538" t="n">
        <v>93.8</v>
      </c>
      <c r="C538" t="n">
        <v>1107.300048828125</v>
      </c>
      <c r="D538" t="n">
        <v>94.2</v>
      </c>
      <c r="E538" t="n">
        <v>105</v>
      </c>
      <c r="F538" t="n">
        <v>87.3</v>
      </c>
      <c r="G538" t="n">
        <v>14323.017</v>
      </c>
      <c r="H538" t="n">
        <v>0.007727212779262894</v>
      </c>
      <c r="I538" t="n">
        <v>0.04062761358169161</v>
      </c>
    </row>
    <row r="539">
      <c r="A539" s="67" t="n">
        <v>38108</v>
      </c>
      <c r="B539" t="n">
        <v>94.7</v>
      </c>
      <c r="C539" t="n">
        <v>1120.680053710938</v>
      </c>
      <c r="D539" t="n">
        <v>90.2</v>
      </c>
      <c r="E539" t="n">
        <v>103.6</v>
      </c>
      <c r="F539" t="n">
        <v>81.59999999999999</v>
      </c>
      <c r="G539" t="n">
        <v/>
      </c>
      <c r="H539" t="n">
        <v/>
      </c>
      <c r="I539" t="n">
        <v/>
      </c>
    </row>
    <row r="540">
      <c r="A540" s="67" t="n">
        <v>38139</v>
      </c>
      <c r="B540" t="n">
        <v>95.09999999999999</v>
      </c>
      <c r="C540" t="n">
        <v>1140.839965820312</v>
      </c>
      <c r="D540" t="n">
        <v>95.59999999999999</v>
      </c>
      <c r="E540" t="n">
        <v>106.7</v>
      </c>
      <c r="F540" t="n">
        <v>88.5</v>
      </c>
      <c r="G540" t="n">
        <v/>
      </c>
      <c r="H540" t="n">
        <v/>
      </c>
      <c r="I540" t="n">
        <v/>
      </c>
    </row>
    <row r="541">
      <c r="A541" s="67" t="n">
        <v>38169</v>
      </c>
      <c r="B541" t="n">
        <v>95.59999999999999</v>
      </c>
      <c r="C541" t="n">
        <v>1101.719970703125</v>
      </c>
      <c r="D541" t="n">
        <v>96.7</v>
      </c>
      <c r="E541" t="n">
        <v>105.2</v>
      </c>
      <c r="F541" t="n">
        <v>91.2</v>
      </c>
      <c r="G541" t="n">
        <v>14457.832</v>
      </c>
      <c r="H541" t="n">
        <v>0.00932470373151386</v>
      </c>
      <c r="I541" t="n">
        <v>0.03373085259256028</v>
      </c>
    </row>
    <row r="542">
      <c r="A542" s="67" t="n">
        <v>38200</v>
      </c>
      <c r="B542" t="n">
        <v>96</v>
      </c>
      <c r="C542" t="n">
        <v>1104.239990234375</v>
      </c>
      <c r="D542" t="n">
        <v>95.90000000000001</v>
      </c>
      <c r="E542" t="n">
        <v>107.9</v>
      </c>
      <c r="F542" t="n">
        <v>88.2</v>
      </c>
      <c r="G542" t="n">
        <v/>
      </c>
      <c r="H542" t="n">
        <v/>
      </c>
      <c r="I542" t="n">
        <v/>
      </c>
    </row>
    <row r="543">
      <c r="A543" s="67" t="n">
        <v>38231</v>
      </c>
      <c r="B543" t="n">
        <v>96.7</v>
      </c>
      <c r="C543" t="n">
        <v>1114.579956054688</v>
      </c>
      <c r="D543" t="n">
        <v>94.2</v>
      </c>
      <c r="E543" t="n">
        <v>103.7</v>
      </c>
      <c r="F543" t="n">
        <v>88</v>
      </c>
      <c r="G543" t="n">
        <v/>
      </c>
      <c r="H543" t="n">
        <v/>
      </c>
      <c r="I543" t="n">
        <v/>
      </c>
    </row>
    <row r="544">
      <c r="A544" s="67" t="n">
        <v>38261</v>
      </c>
      <c r="B544" t="n">
        <v>97</v>
      </c>
      <c r="C544" t="n">
        <v>1130.199951171875</v>
      </c>
      <c r="D544" t="n">
        <v>91.7</v>
      </c>
      <c r="E544" t="n">
        <v>104</v>
      </c>
      <c r="F544" t="n">
        <v>83.8</v>
      </c>
      <c r="G544" t="n">
        <v>14605.595</v>
      </c>
      <c r="H544" t="n">
        <v>0.010116876443582</v>
      </c>
      <c r="I544" t="n">
        <v>0.03246810554448474</v>
      </c>
    </row>
    <row r="545">
      <c r="A545" s="67" t="n">
        <v>38292</v>
      </c>
      <c r="B545" t="n">
        <v>97.7</v>
      </c>
      <c r="C545" t="n">
        <v>1173.819946289062</v>
      </c>
      <c r="D545" t="n">
        <v>92.8</v>
      </c>
      <c r="E545" t="n">
        <v>104.7</v>
      </c>
      <c r="F545" t="n">
        <v>85.2</v>
      </c>
      <c r="G545" t="n">
        <v/>
      </c>
      <c r="H545" t="n">
        <v/>
      </c>
      <c r="I545" t="n">
        <v/>
      </c>
    </row>
    <row r="546">
      <c r="A546" s="67" t="n">
        <v>38322</v>
      </c>
      <c r="B546" t="n">
        <v>98.59999999999999</v>
      </c>
      <c r="C546" t="n">
        <v>1211.920043945312</v>
      </c>
      <c r="D546" t="n">
        <v>97.09999999999999</v>
      </c>
      <c r="E546" t="n">
        <v>106.7</v>
      </c>
      <c r="F546" t="n">
        <v>90.90000000000001</v>
      </c>
      <c r="G546" t="n">
        <v/>
      </c>
      <c r="H546" t="n">
        <v/>
      </c>
      <c r="I546" t="n">
        <v/>
      </c>
    </row>
    <row r="547">
      <c r="A547" s="67" t="n">
        <v>38353</v>
      </c>
      <c r="B547" t="n">
        <v>99.09999999999999</v>
      </c>
      <c r="C547" t="n">
        <v>1181.27001953125</v>
      </c>
      <c r="D547" t="n">
        <v>95.5</v>
      </c>
      <c r="E547" t="n">
        <v>110.9</v>
      </c>
      <c r="F547" t="n">
        <v>85.7</v>
      </c>
      <c r="G547" t="n">
        <v>14767.846</v>
      </c>
      <c r="H547" t="n">
        <v>0.01098677491626065</v>
      </c>
      <c r="I547" t="n">
        <v>0.0376159123002772</v>
      </c>
    </row>
    <row r="548">
      <c r="A548" s="67" t="n">
        <v>38384</v>
      </c>
      <c r="B548" t="n">
        <v>99.59999999999999</v>
      </c>
      <c r="C548" t="n">
        <v>1203.599975585938</v>
      </c>
      <c r="D548" t="n">
        <v>94.09999999999999</v>
      </c>
      <c r="E548" t="n">
        <v>109.2</v>
      </c>
      <c r="F548" t="n">
        <v>84.40000000000001</v>
      </c>
      <c r="G548" t="n">
        <v/>
      </c>
      <c r="H548" t="n">
        <v/>
      </c>
      <c r="I548" t="n">
        <v/>
      </c>
    </row>
    <row r="549">
      <c r="A549" s="67" t="n">
        <v>38412</v>
      </c>
      <c r="B549" t="n">
        <v>99.2</v>
      </c>
      <c r="C549" t="n">
        <v>1180.589965820312</v>
      </c>
      <c r="D549" t="n">
        <v>92.59999999999999</v>
      </c>
      <c r="E549" t="n">
        <v>108</v>
      </c>
      <c r="F549" t="n">
        <v>82.8</v>
      </c>
      <c r="G549" t="n">
        <v/>
      </c>
      <c r="H549" t="n">
        <v/>
      </c>
      <c r="I549" t="n">
        <v/>
      </c>
    </row>
    <row r="550">
      <c r="A550" s="67" t="n">
        <v>38443</v>
      </c>
      <c r="B550" t="n">
        <v>99.7</v>
      </c>
      <c r="C550" t="n">
        <v>1156.849975585938</v>
      </c>
      <c r="D550" t="n">
        <v>87.7</v>
      </c>
      <c r="E550" t="n">
        <v>104.4</v>
      </c>
      <c r="F550" t="n">
        <v>77</v>
      </c>
      <c r="G550" t="n">
        <v>14839.707</v>
      </c>
      <c r="H550" t="n">
        <v>0.004842481054376666</v>
      </c>
      <c r="I550" t="n">
        <v>0.03481807289052274</v>
      </c>
    </row>
    <row r="551">
      <c r="A551" s="67" t="n">
        <v>38473</v>
      </c>
      <c r="B551" t="n">
        <v>99.59999999999999</v>
      </c>
      <c r="C551" t="n">
        <v>1191.5</v>
      </c>
      <c r="D551" t="n">
        <v>86.90000000000001</v>
      </c>
      <c r="E551" t="n">
        <v>104.9</v>
      </c>
      <c r="F551" t="n">
        <v>75.3</v>
      </c>
      <c r="G551" t="n">
        <v/>
      </c>
      <c r="H551" t="n">
        <v/>
      </c>
      <c r="I551" t="n">
        <v/>
      </c>
    </row>
    <row r="552">
      <c r="A552" s="67" t="n">
        <v>38504</v>
      </c>
      <c r="B552" t="n">
        <v>100.3</v>
      </c>
      <c r="C552" t="n">
        <v>1191.329956054688</v>
      </c>
      <c r="D552" t="n">
        <v>96</v>
      </c>
      <c r="E552" t="n">
        <v>113.2</v>
      </c>
      <c r="F552" t="n">
        <v>85</v>
      </c>
      <c r="G552" t="n">
        <v/>
      </c>
      <c r="H552" t="n">
        <v/>
      </c>
      <c r="I552" t="n">
        <v/>
      </c>
    </row>
    <row r="553">
      <c r="A553" s="67" t="n">
        <v>38534</v>
      </c>
      <c r="B553" t="n">
        <v>100.4</v>
      </c>
      <c r="C553" t="n">
        <v>1234.180053710938</v>
      </c>
      <c r="D553" t="n">
        <v>96.5</v>
      </c>
      <c r="E553" t="n">
        <v>113.5</v>
      </c>
      <c r="F553" t="n">
        <v>85.5</v>
      </c>
      <c r="G553" t="n">
        <v>14956.291</v>
      </c>
      <c r="H553" t="n">
        <v>0.007794980720821688</v>
      </c>
      <c r="I553" t="n">
        <v>0.03332771473890144</v>
      </c>
    </row>
    <row r="554">
      <c r="A554" s="67" t="n">
        <v>38565</v>
      </c>
      <c r="B554" t="n">
        <v>101</v>
      </c>
      <c r="C554" t="n">
        <v>1220.329956054688</v>
      </c>
      <c r="D554" t="n">
        <v>89.09999999999999</v>
      </c>
      <c r="E554" t="n">
        <v>108.2</v>
      </c>
      <c r="F554" t="n">
        <v>76.90000000000001</v>
      </c>
      <c r="G554" t="n">
        <v/>
      </c>
      <c r="H554" t="n">
        <v/>
      </c>
      <c r="I554" t="n">
        <v/>
      </c>
    </row>
    <row r="555">
      <c r="A555" s="67" t="n">
        <v>38596</v>
      </c>
      <c r="B555" t="n">
        <v>100.3</v>
      </c>
      <c r="C555" t="n">
        <v>1228.81005859375</v>
      </c>
      <c r="D555" t="n">
        <v>76.90000000000001</v>
      </c>
      <c r="E555" t="n">
        <v>98.09999999999999</v>
      </c>
      <c r="F555" t="n">
        <v>63.3</v>
      </c>
      <c r="G555" t="n">
        <v/>
      </c>
      <c r="H555" t="n">
        <v/>
      </c>
      <c r="I555" t="n">
        <v/>
      </c>
    </row>
    <row r="556">
      <c r="A556" s="67" t="n">
        <v>38626</v>
      </c>
      <c r="B556" t="n">
        <v>100.7</v>
      </c>
      <c r="C556" t="n">
        <v>1207.010009765625</v>
      </c>
      <c r="D556" t="n">
        <v>74.2</v>
      </c>
      <c r="E556" t="n">
        <v>91.2</v>
      </c>
      <c r="F556" t="n">
        <v>63.2</v>
      </c>
      <c r="G556" t="n">
        <v>15041.232</v>
      </c>
      <c r="H556" t="n">
        <v>0.005647210281711014</v>
      </c>
      <c r="I556" t="n">
        <v>0.02896285357476041</v>
      </c>
    </row>
    <row r="557">
      <c r="A557" s="67" t="n">
        <v>38657</v>
      </c>
      <c r="B557" t="n">
        <v>101.3</v>
      </c>
      <c r="C557" t="n">
        <v>1249.47998046875</v>
      </c>
      <c r="D557" t="n">
        <v>81.59999999999999</v>
      </c>
      <c r="E557" t="n">
        <v>100.2</v>
      </c>
      <c r="F557" t="n">
        <v>69.59999999999999</v>
      </c>
      <c r="G557" t="n">
        <v/>
      </c>
      <c r="H557" t="n">
        <v/>
      </c>
      <c r="I557" t="n">
        <v/>
      </c>
    </row>
    <row r="558">
      <c r="A558" s="67" t="n">
        <v>38687</v>
      </c>
      <c r="B558" t="n">
        <v>101.3</v>
      </c>
      <c r="C558" t="n">
        <v>1248.2900390625</v>
      </c>
      <c r="D558" t="n">
        <v>91.5</v>
      </c>
      <c r="E558" t="n">
        <v>109.1</v>
      </c>
      <c r="F558" t="n">
        <v>80.2</v>
      </c>
      <c r="G558" t="n">
        <v/>
      </c>
      <c r="H558" t="n">
        <v/>
      </c>
      <c r="I558" t="n">
        <v/>
      </c>
    </row>
    <row r="559">
      <c r="A559" s="67" t="n">
        <v>38718</v>
      </c>
      <c r="B559" t="n">
        <v>102.1</v>
      </c>
      <c r="C559" t="n">
        <v>1280.079956054688</v>
      </c>
      <c r="D559" t="n">
        <v>91.2</v>
      </c>
      <c r="E559" t="n">
        <v>110.3</v>
      </c>
      <c r="F559" t="n">
        <v>78.90000000000001</v>
      </c>
      <c r="G559" t="n">
        <v>15244.088</v>
      </c>
      <c r="H559" t="n">
        <v>0.0133071916142179</v>
      </c>
      <c r="I559" t="n">
        <v>0.03124109490839991</v>
      </c>
    </row>
    <row r="560">
      <c r="A560" s="67" t="n">
        <v>38749</v>
      </c>
      <c r="B560" t="n">
        <v>102.1</v>
      </c>
      <c r="C560" t="n">
        <v>1280.660034179688</v>
      </c>
      <c r="D560" t="n">
        <v>86.7</v>
      </c>
      <c r="E560" t="n">
        <v>105.6</v>
      </c>
      <c r="F560" t="n">
        <v>74.5</v>
      </c>
      <c r="G560" t="n">
        <v/>
      </c>
      <c r="H560" t="n">
        <v/>
      </c>
      <c r="I560" t="n">
        <v/>
      </c>
    </row>
    <row r="561">
      <c r="A561" s="67" t="n">
        <v>38777</v>
      </c>
      <c r="B561" t="n">
        <v>102.4</v>
      </c>
      <c r="C561" t="n">
        <v>1294.869995117188</v>
      </c>
      <c r="D561" t="n">
        <v>88.90000000000001</v>
      </c>
      <c r="E561" t="n">
        <v>109.1</v>
      </c>
      <c r="F561" t="n">
        <v>76</v>
      </c>
      <c r="G561" t="n">
        <v/>
      </c>
      <c r="H561" t="n">
        <v/>
      </c>
      <c r="I561" t="n">
        <v/>
      </c>
    </row>
    <row r="562">
      <c r="A562" s="67" t="n">
        <v>38808</v>
      </c>
      <c r="B562" t="n">
        <v>101.8</v>
      </c>
      <c r="C562" t="n">
        <v>1310.609985351562</v>
      </c>
      <c r="D562" t="n">
        <v>87.40000000000001</v>
      </c>
      <c r="E562" t="n">
        <v>109.2</v>
      </c>
      <c r="F562" t="n">
        <v>73.40000000000001</v>
      </c>
      <c r="G562" t="n">
        <v>15281.525</v>
      </c>
      <c r="H562" t="n">
        <v>0.002449820943917567</v>
      </c>
      <c r="I562" t="n">
        <v>0.02891190506183115</v>
      </c>
    </row>
    <row r="563">
      <c r="A563" s="67" t="n">
        <v>38838</v>
      </c>
      <c r="B563" t="n">
        <v>101.2</v>
      </c>
      <c r="C563" t="n">
        <v>1270.089965820312</v>
      </c>
      <c r="D563" t="n">
        <v>79.09999999999999</v>
      </c>
      <c r="E563" t="n">
        <v>96.09999999999999</v>
      </c>
      <c r="F563" t="n">
        <v>68.2</v>
      </c>
      <c r="G563" t="n">
        <v/>
      </c>
      <c r="H563" t="n">
        <v/>
      </c>
      <c r="I563" t="n">
        <v/>
      </c>
    </row>
    <row r="564">
      <c r="A564" s="67" t="n">
        <v>38869</v>
      </c>
      <c r="B564" t="n">
        <v>101.1</v>
      </c>
      <c r="C564" t="n">
        <v>1270.199951171875</v>
      </c>
      <c r="D564" t="n">
        <v>84.90000000000001</v>
      </c>
      <c r="E564" t="n">
        <v>105</v>
      </c>
      <c r="F564" t="n">
        <v>72</v>
      </c>
      <c r="G564" t="n">
        <v/>
      </c>
      <c r="H564" t="n">
        <v/>
      </c>
      <c r="I564" t="n">
        <v/>
      </c>
    </row>
    <row r="565">
      <c r="A565" s="67" t="n">
        <v>38899</v>
      </c>
      <c r="B565" t="n">
        <v>100.6</v>
      </c>
      <c r="C565" t="n">
        <v>1276.660034179688</v>
      </c>
      <c r="D565" t="n">
        <v>84.7</v>
      </c>
      <c r="E565" t="n">
        <v>103.5</v>
      </c>
      <c r="F565" t="n">
        <v>72.5</v>
      </c>
      <c r="G565" t="n">
        <v>15304.517</v>
      </c>
      <c r="H565" t="n">
        <v>0.001502301575410723</v>
      </c>
      <c r="I565" t="n">
        <v>0.022753151896267</v>
      </c>
    </row>
    <row r="566">
      <c r="A566" s="67" t="n">
        <v>38930</v>
      </c>
      <c r="B566" t="n">
        <v>100.4</v>
      </c>
      <c r="C566" t="n">
        <v>1303.819946289062</v>
      </c>
      <c r="D566" t="n">
        <v>82</v>
      </c>
      <c r="E566" t="n">
        <v>103.8</v>
      </c>
      <c r="F566" t="n">
        <v>68</v>
      </c>
      <c r="G566" t="n">
        <v/>
      </c>
      <c r="H566" t="n">
        <v/>
      </c>
      <c r="I566" t="n">
        <v/>
      </c>
    </row>
    <row r="567">
      <c r="A567" s="67" t="n">
        <v>38961</v>
      </c>
      <c r="B567" t="n">
        <v>100.4</v>
      </c>
      <c r="C567" t="n">
        <v>1335.849975585938</v>
      </c>
      <c r="D567" t="n">
        <v>85.40000000000001</v>
      </c>
      <c r="E567" t="n">
        <v>96.59999999999999</v>
      </c>
      <c r="F567" t="n">
        <v>78.2</v>
      </c>
      <c r="G567" t="n">
        <v/>
      </c>
      <c r="H567" t="n">
        <v/>
      </c>
      <c r="I567" t="n">
        <v/>
      </c>
    </row>
    <row r="568">
      <c r="A568" s="67" t="n">
        <v>38991</v>
      </c>
      <c r="B568" t="n">
        <v>100.2</v>
      </c>
      <c r="C568" t="n">
        <v>1377.93994140625</v>
      </c>
      <c r="D568" t="n">
        <v>93.59999999999999</v>
      </c>
      <c r="E568" t="n">
        <v>107.3</v>
      </c>
      <c r="F568" t="n">
        <v>84.8</v>
      </c>
      <c r="G568" t="n">
        <v>15433.643</v>
      </c>
      <c r="H568" t="n">
        <v>0.008366527591703411</v>
      </c>
      <c r="I568" t="n">
        <v>0.02542568854288</v>
      </c>
    </row>
    <row r="569">
      <c r="A569" s="67" t="n">
        <v>39022</v>
      </c>
      <c r="B569" t="n">
        <v>100</v>
      </c>
      <c r="C569" t="n">
        <v>1400.630004882812</v>
      </c>
      <c r="D569" t="n">
        <v>92.09999999999999</v>
      </c>
      <c r="E569" t="n">
        <v>106</v>
      </c>
      <c r="F569" t="n">
        <v>83.2</v>
      </c>
      <c r="G569" t="n">
        <v/>
      </c>
      <c r="H569" t="n">
        <v/>
      </c>
      <c r="I569" t="n">
        <v/>
      </c>
    </row>
    <row r="570">
      <c r="A570" s="67" t="n">
        <v>39052</v>
      </c>
      <c r="B570" t="n">
        <v>100.4</v>
      </c>
      <c r="C570" t="n">
        <v>1418.300048828125</v>
      </c>
      <c r="D570" t="n">
        <v>91.7</v>
      </c>
      <c r="E570" t="n">
        <v>108.1</v>
      </c>
      <c r="F570" t="n">
        <v>81.2</v>
      </c>
      <c r="G570" t="n">
        <v/>
      </c>
      <c r="H570" t="n">
        <v/>
      </c>
      <c r="I570" t="n">
        <v/>
      </c>
    </row>
    <row r="571">
      <c r="A571" s="67" t="n">
        <v>39083</v>
      </c>
      <c r="B571" t="n">
        <v>100</v>
      </c>
      <c r="C571" t="n">
        <v>1438.239990234375</v>
      </c>
      <c r="D571" t="n">
        <v>96.90000000000001</v>
      </c>
      <c r="E571" t="n">
        <v>111.3</v>
      </c>
      <c r="F571" t="n">
        <v>87.59999999999999</v>
      </c>
      <c r="G571" t="n">
        <v>15478.956</v>
      </c>
      <c r="H571" t="n">
        <v>0.002927393811313896</v>
      </c>
      <c r="I571" t="n">
        <v>0.01517337474181078</v>
      </c>
    </row>
    <row r="572">
      <c r="A572" s="67" t="n">
        <v>39114</v>
      </c>
      <c r="B572" t="n">
        <v>99.90000000000001</v>
      </c>
      <c r="C572" t="n">
        <v>1406.819946289062</v>
      </c>
      <c r="D572" t="n">
        <v>91.3</v>
      </c>
      <c r="E572" t="n">
        <v>106.7</v>
      </c>
      <c r="F572" t="n">
        <v>81.5</v>
      </c>
      <c r="G572" t="n">
        <v/>
      </c>
      <c r="H572" t="n">
        <v/>
      </c>
      <c r="I572" t="n">
        <v/>
      </c>
    </row>
    <row r="573">
      <c r="A573" s="67" t="n">
        <v>39142</v>
      </c>
      <c r="B573" t="n">
        <v>100.2</v>
      </c>
      <c r="C573" t="n">
        <v>1420.859985351562</v>
      </c>
      <c r="D573" t="n">
        <v>88.40000000000001</v>
      </c>
      <c r="E573" t="n">
        <v>103.5</v>
      </c>
      <c r="F573" t="n">
        <v>78.7</v>
      </c>
      <c r="G573" t="n">
        <v/>
      </c>
      <c r="H573" t="n">
        <v/>
      </c>
      <c r="I573" t="n">
        <v/>
      </c>
    </row>
    <row r="574">
      <c r="A574" s="67" t="n">
        <v>39173</v>
      </c>
      <c r="B574" t="n">
        <v>99.8</v>
      </c>
      <c r="C574" t="n">
        <v>1482.369995117188</v>
      </c>
      <c r="D574" t="n">
        <v>87.09999999999999</v>
      </c>
      <c r="E574" t="n">
        <v>104.6</v>
      </c>
      <c r="F574" t="n">
        <v>75.90000000000001</v>
      </c>
      <c r="G574" t="n">
        <v>15577.779</v>
      </c>
      <c r="H574" t="n">
        <v>0.006343844010112116</v>
      </c>
      <c r="I574" t="n">
        <v>0.01901773031957898</v>
      </c>
    </row>
    <row r="575">
      <c r="A575" s="67" t="n">
        <v>39203</v>
      </c>
      <c r="B575" t="n">
        <v>99.90000000000001</v>
      </c>
      <c r="C575" t="n">
        <v>1530.619995117188</v>
      </c>
      <c r="D575" t="n">
        <v>88.3</v>
      </c>
      <c r="E575" t="n">
        <v>105.1</v>
      </c>
      <c r="F575" t="n">
        <v>77.59999999999999</v>
      </c>
      <c r="G575" t="n">
        <v/>
      </c>
      <c r="H575" t="n">
        <v/>
      </c>
      <c r="I575" t="n">
        <v/>
      </c>
    </row>
    <row r="576">
      <c r="A576" s="67" t="n">
        <v>39234</v>
      </c>
      <c r="B576" t="n">
        <v>99.7</v>
      </c>
      <c r="C576" t="n">
        <v>1503.349975585938</v>
      </c>
      <c r="D576" t="n">
        <v>85.3</v>
      </c>
      <c r="E576" t="n">
        <v>101.9</v>
      </c>
      <c r="F576" t="n">
        <v>74.7</v>
      </c>
      <c r="G576" t="n">
        <v/>
      </c>
      <c r="H576" t="n">
        <v/>
      </c>
      <c r="I576" t="n">
        <v/>
      </c>
    </row>
    <row r="577">
      <c r="A577" s="67" t="n">
        <v>39264</v>
      </c>
      <c r="B577" t="n">
        <v>99.59999999999999</v>
      </c>
      <c r="C577" t="n">
        <v>1455.27001953125</v>
      </c>
      <c r="D577" t="n">
        <v>90.40000000000001</v>
      </c>
      <c r="E577" t="n">
        <v>104.5</v>
      </c>
      <c r="F577" t="n">
        <v>81.5</v>
      </c>
      <c r="G577" t="n">
        <v>15671.605</v>
      </c>
      <c r="H577" t="n">
        <v>0.005987006436162672</v>
      </c>
      <c r="I577" t="n">
        <v>0.02342376546626844</v>
      </c>
    </row>
    <row r="578">
      <c r="A578" s="67" t="n">
        <v>39295</v>
      </c>
      <c r="B578" t="n">
        <v>99</v>
      </c>
      <c r="C578" t="n">
        <v>1473.989990234375</v>
      </c>
      <c r="D578" t="n">
        <v>83.40000000000001</v>
      </c>
      <c r="E578" t="n">
        <v>98.40000000000001</v>
      </c>
      <c r="F578" t="n">
        <v>73.7</v>
      </c>
      <c r="G578" t="n">
        <v/>
      </c>
      <c r="H578" t="n">
        <v/>
      </c>
      <c r="I578" t="n">
        <v/>
      </c>
    </row>
    <row r="579">
      <c r="A579" s="67" t="n">
        <v>39326</v>
      </c>
      <c r="B579" t="n">
        <v>98.3</v>
      </c>
      <c r="C579" t="n">
        <v>1526.75</v>
      </c>
      <c r="D579" t="n">
        <v>83.40000000000001</v>
      </c>
      <c r="E579" t="n">
        <v>97.90000000000001</v>
      </c>
      <c r="F579" t="n">
        <v>74.09999999999999</v>
      </c>
      <c r="G579" t="n">
        <v/>
      </c>
      <c r="H579" t="n">
        <v/>
      </c>
      <c r="I579" t="n">
        <v/>
      </c>
    </row>
    <row r="580">
      <c r="A580" s="67" t="n">
        <v>39356</v>
      </c>
      <c r="B580" t="n">
        <v>97.7</v>
      </c>
      <c r="C580" t="n">
        <v>1549.380004882812</v>
      </c>
      <c r="D580" t="n">
        <v>80.90000000000001</v>
      </c>
      <c r="E580" t="n">
        <v>97.59999999999999</v>
      </c>
      <c r="F580" t="n">
        <v>70.09999999999999</v>
      </c>
      <c r="G580" t="n">
        <v>15767.146</v>
      </c>
      <c r="H580" t="n">
        <v>0.006059498656256565</v>
      </c>
      <c r="I580" t="n">
        <v>0.02115176709849713</v>
      </c>
    </row>
    <row r="581">
      <c r="A581" s="67" t="n">
        <v>39387</v>
      </c>
      <c r="B581" t="n">
        <v>96.8</v>
      </c>
      <c r="C581" t="n">
        <v>1481.140014648438</v>
      </c>
      <c r="D581" t="n">
        <v>76.09999999999999</v>
      </c>
      <c r="E581" t="n">
        <v>91.5</v>
      </c>
      <c r="F581" t="n">
        <v>66.2</v>
      </c>
      <c r="G581" t="n">
        <v/>
      </c>
      <c r="H581" t="n">
        <v/>
      </c>
      <c r="I581" t="n">
        <v/>
      </c>
    </row>
    <row r="582">
      <c r="A582" s="67" t="n">
        <v>39417</v>
      </c>
      <c r="B582" t="n">
        <v>95.8</v>
      </c>
      <c r="C582" t="n">
        <v>1468.359985351562</v>
      </c>
      <c r="D582" t="n">
        <v>75.5</v>
      </c>
      <c r="E582" t="n">
        <v>91</v>
      </c>
      <c r="F582" t="n">
        <v>65.59999999999999</v>
      </c>
      <c r="G582" t="n">
        <v/>
      </c>
      <c r="H582" t="n">
        <v/>
      </c>
      <c r="I582" t="n">
        <v/>
      </c>
    </row>
    <row r="583">
      <c r="A583" s="67" t="n">
        <v>39448</v>
      </c>
      <c r="B583" t="n">
        <v>94.7</v>
      </c>
      <c r="C583" t="n">
        <v>1378.550048828125</v>
      </c>
      <c r="D583" t="n">
        <v>78.40000000000001</v>
      </c>
      <c r="E583" t="n">
        <v>94.40000000000001</v>
      </c>
      <c r="F583" t="n">
        <v>68.09999999999999</v>
      </c>
      <c r="G583" t="n">
        <v>15702.906</v>
      </c>
      <c r="H583" t="n">
        <v>-0.004090962526299258</v>
      </c>
      <c r="I583" t="n">
        <v>0.01426169143469373</v>
      </c>
    </row>
    <row r="584">
      <c r="A584" s="67" t="n">
        <v>39479</v>
      </c>
      <c r="B584" t="n">
        <v>93.59999999999999</v>
      </c>
      <c r="C584" t="n">
        <v>1330.630004882812</v>
      </c>
      <c r="D584" t="n">
        <v>70.8</v>
      </c>
      <c r="E584" t="n">
        <v>83.8</v>
      </c>
      <c r="F584" t="n">
        <v>62.4</v>
      </c>
      <c r="G584" t="n">
        <v/>
      </c>
      <c r="H584" t="n">
        <v/>
      </c>
      <c r="I584" t="n">
        <v/>
      </c>
    </row>
    <row r="585">
      <c r="A585" s="67" t="n">
        <v>39508</v>
      </c>
      <c r="B585" t="n">
        <v>92.09999999999999</v>
      </c>
      <c r="C585" t="n">
        <v>1322.699951171875</v>
      </c>
      <c r="D585" t="n">
        <v>69.5</v>
      </c>
      <c r="E585" t="n">
        <v>84.2</v>
      </c>
      <c r="F585" t="n">
        <v>60.1</v>
      </c>
      <c r="G585" t="n">
        <v/>
      </c>
      <c r="H585" t="n">
        <v/>
      </c>
      <c r="I585" t="n">
        <v/>
      </c>
    </row>
    <row r="586">
      <c r="A586" s="67" t="n">
        <v>39539</v>
      </c>
      <c r="B586" t="n">
        <v>91.59999999999999</v>
      </c>
      <c r="C586" t="n">
        <v>1385.589965820312</v>
      </c>
      <c r="D586" t="n">
        <v>62.6</v>
      </c>
      <c r="E586" t="n">
        <v>77</v>
      </c>
      <c r="F586" t="n">
        <v>53.3</v>
      </c>
      <c r="G586" t="n">
        <v>15792.773</v>
      </c>
      <c r="H586" t="n">
        <v>0.00569038762223698</v>
      </c>
      <c r="I586" t="n">
        <v>0.01361344204719455</v>
      </c>
    </row>
    <row r="587">
      <c r="A587" s="67" t="n">
        <v>39569</v>
      </c>
      <c r="B587" t="n">
        <v>90.8</v>
      </c>
      <c r="C587" t="n">
        <v>1400.380004882812</v>
      </c>
      <c r="D587" t="n">
        <v>59.8</v>
      </c>
      <c r="E587" t="n">
        <v>73.3</v>
      </c>
      <c r="F587" t="n">
        <v>51.1</v>
      </c>
      <c r="G587" t="n">
        <v/>
      </c>
      <c r="H587" t="n">
        <v/>
      </c>
      <c r="I587" t="n">
        <v/>
      </c>
    </row>
    <row r="588">
      <c r="A588" s="67" t="n">
        <v>39600</v>
      </c>
      <c r="B588" t="n">
        <v>90.3</v>
      </c>
      <c r="C588" t="n">
        <v>1280</v>
      </c>
      <c r="D588" t="n">
        <v>56.4</v>
      </c>
      <c r="E588" t="n">
        <v>67.59999999999999</v>
      </c>
      <c r="F588" t="n">
        <v>49.2</v>
      </c>
      <c r="G588" t="n">
        <v/>
      </c>
      <c r="H588" t="n">
        <v/>
      </c>
      <c r="I588" t="n">
        <v/>
      </c>
    </row>
    <row r="589">
      <c r="A589" s="67" t="n">
        <v>39630</v>
      </c>
      <c r="B589" t="n">
        <v>88.3</v>
      </c>
      <c r="C589" t="n">
        <v>1267.380004882812</v>
      </c>
      <c r="D589" t="n">
        <v>61.2</v>
      </c>
      <c r="E589" t="n">
        <v>73.09999999999999</v>
      </c>
      <c r="F589" t="n">
        <v>53.5</v>
      </c>
      <c r="G589" t="n">
        <v>15709.562</v>
      </c>
      <c r="H589" t="n">
        <v>-0.005296837683953209</v>
      </c>
      <c r="I589" t="n">
        <v>0.002416171755775262</v>
      </c>
    </row>
    <row r="590">
      <c r="A590" s="67" t="n">
        <v>39661</v>
      </c>
      <c r="B590" t="n">
        <v>87.2</v>
      </c>
      <c r="C590" t="n">
        <v>1282.829956054688</v>
      </c>
      <c r="D590" t="n">
        <v>63</v>
      </c>
      <c r="E590" t="n">
        <v>71</v>
      </c>
      <c r="F590" t="n">
        <v>57.9</v>
      </c>
      <c r="G590" t="n">
        <v/>
      </c>
      <c r="H590" t="n">
        <v/>
      </c>
      <c r="I590" t="n">
        <v/>
      </c>
    </row>
    <row r="591">
      <c r="A591" s="67" t="n">
        <v>39692</v>
      </c>
      <c r="B591" t="n">
        <v>85.2</v>
      </c>
      <c r="C591" t="n">
        <v>1166.359985351562</v>
      </c>
      <c r="D591" t="n">
        <v>70.3</v>
      </c>
      <c r="E591" t="n">
        <v>75</v>
      </c>
      <c r="F591" t="n">
        <v>67.2</v>
      </c>
      <c r="G591" t="n">
        <v/>
      </c>
      <c r="H591" t="n">
        <v/>
      </c>
      <c r="I591" t="n">
        <v/>
      </c>
    </row>
    <row r="592">
      <c r="A592" s="67" t="n">
        <v>39722</v>
      </c>
      <c r="B592" t="n">
        <v>82.40000000000001</v>
      </c>
      <c r="C592" t="n">
        <v>968.75</v>
      </c>
      <c r="D592" t="n">
        <v>57.6</v>
      </c>
      <c r="E592" t="n">
        <v>58.4</v>
      </c>
      <c r="F592" t="n">
        <v>57</v>
      </c>
      <c r="G592" t="n">
        <v>15366.607</v>
      </c>
      <c r="H592" t="n">
        <v>-0.02231819945678314</v>
      </c>
      <c r="I592" t="n">
        <v>-0.02606554589441903</v>
      </c>
    </row>
    <row r="593">
      <c r="A593" s="67" t="n">
        <v>39753</v>
      </c>
      <c r="B593" t="n">
        <v>79.90000000000001</v>
      </c>
      <c r="C593" t="n">
        <v>896.239990234375</v>
      </c>
      <c r="D593" t="n">
        <v>55.3</v>
      </c>
      <c r="E593" t="n">
        <v>57.5</v>
      </c>
      <c r="F593" t="n">
        <v>53.9</v>
      </c>
      <c r="G593" t="n">
        <v/>
      </c>
      <c r="H593" t="n">
        <v/>
      </c>
      <c r="I593" t="n">
        <v/>
      </c>
    </row>
    <row r="594">
      <c r="A594" s="67" t="n">
        <v>39783</v>
      </c>
      <c r="B594" t="n">
        <v>77.59999999999999</v>
      </c>
      <c r="C594" t="n">
        <v>903.25</v>
      </c>
      <c r="D594" t="n">
        <v>60.1</v>
      </c>
      <c r="E594" t="n">
        <v>69.5</v>
      </c>
      <c r="F594" t="n">
        <v>54</v>
      </c>
      <c r="G594" t="n">
        <v/>
      </c>
      <c r="H594" t="n">
        <v/>
      </c>
      <c r="I594" t="n">
        <v/>
      </c>
    </row>
    <row r="595">
      <c r="A595" s="67" t="n">
        <v>39814</v>
      </c>
      <c r="B595" t="n">
        <v>76</v>
      </c>
      <c r="C595" t="n">
        <v>825.8800048828125</v>
      </c>
      <c r="D595" t="n">
        <v>61.2</v>
      </c>
      <c r="E595" t="n">
        <v>66.5</v>
      </c>
      <c r="F595" t="n">
        <v>57.8</v>
      </c>
      <c r="G595" t="n">
        <v>15187.475</v>
      </c>
      <c r="H595" t="n">
        <v>-0.01179471900365265</v>
      </c>
      <c r="I595" t="n">
        <v>-0.03393789948625433</v>
      </c>
    </row>
    <row r="596">
      <c r="A596" s="67" t="n">
        <v>39845</v>
      </c>
      <c r="B596" t="n">
        <v>74.8</v>
      </c>
      <c r="C596" t="n">
        <v>735.0900268554688</v>
      </c>
      <c r="D596" t="n">
        <v>56.3</v>
      </c>
      <c r="E596" t="n">
        <v>65.5</v>
      </c>
      <c r="F596" t="n">
        <v>50.5</v>
      </c>
      <c r="G596" t="n">
        <v/>
      </c>
      <c r="H596" t="n">
        <v/>
      </c>
      <c r="I596" t="n">
        <v/>
      </c>
    </row>
    <row r="597">
      <c r="A597" s="67" t="n">
        <v>39873</v>
      </c>
      <c r="B597" t="n">
        <v>73.5</v>
      </c>
      <c r="C597" t="n">
        <v>797.8699951171875</v>
      </c>
      <c r="D597" t="n">
        <v>57.3</v>
      </c>
      <c r="E597" t="n">
        <v>63.3</v>
      </c>
      <c r="F597" t="n">
        <v>53.5</v>
      </c>
      <c r="G597" t="n">
        <v/>
      </c>
      <c r="H597" t="n">
        <v/>
      </c>
      <c r="I597" t="n">
        <v/>
      </c>
    </row>
    <row r="598">
      <c r="A598" s="67" t="n">
        <v>39904</v>
      </c>
      <c r="B598" t="n">
        <v>73.7</v>
      </c>
      <c r="C598" t="n">
        <v>872.8099975585938</v>
      </c>
      <c r="D598" t="n">
        <v>65.09999999999999</v>
      </c>
      <c r="E598" t="n">
        <v>68.3</v>
      </c>
      <c r="F598" t="n">
        <v>63.1</v>
      </c>
      <c r="G598" t="n">
        <v>15161.772</v>
      </c>
      <c r="H598" t="n">
        <v>-0.001695250396853317</v>
      </c>
      <c r="I598" t="n">
        <v>-0.04161789268431146</v>
      </c>
    </row>
    <row r="599">
      <c r="A599" s="67" t="n">
        <v>39934</v>
      </c>
      <c r="B599" t="n">
        <v>74</v>
      </c>
      <c r="C599" t="n">
        <v>919.1400146484375</v>
      </c>
      <c r="D599" t="n">
        <v>68.7</v>
      </c>
      <c r="E599" t="n">
        <v>67.7</v>
      </c>
      <c r="F599" t="n">
        <v>69.40000000000001</v>
      </c>
      <c r="G599" t="n">
        <v/>
      </c>
      <c r="H599" t="n">
        <v/>
      </c>
      <c r="I599" t="n">
        <v/>
      </c>
    </row>
    <row r="600">
      <c r="A600" s="67" t="n">
        <v>39965</v>
      </c>
      <c r="B600" t="n">
        <v>74.59999999999999</v>
      </c>
      <c r="C600" t="n">
        <v>919.3200073242188</v>
      </c>
      <c r="D600" t="n">
        <v>70.8</v>
      </c>
      <c r="E600" t="n">
        <v>73.2</v>
      </c>
      <c r="F600" t="n">
        <v>69.2</v>
      </c>
      <c r="G600" t="n">
        <v/>
      </c>
      <c r="H600" t="n">
        <v/>
      </c>
      <c r="I600" t="n">
        <v/>
      </c>
    </row>
    <row r="601">
      <c r="A601" s="67" t="n">
        <v>39995</v>
      </c>
      <c r="B601" t="n">
        <v>75.2</v>
      </c>
      <c r="C601" t="n">
        <v>987.47998046875</v>
      </c>
      <c r="D601" t="n">
        <v>66</v>
      </c>
      <c r="E601" t="n">
        <v>70.5</v>
      </c>
      <c r="F601" t="n">
        <v>63.2</v>
      </c>
      <c r="G601" t="n">
        <v>15216.647</v>
      </c>
      <c r="H601" t="n">
        <v>0.003606247815303857</v>
      </c>
      <c r="I601" t="n">
        <v>-0.0323931415376856</v>
      </c>
    </row>
    <row r="602">
      <c r="A602" s="67" t="n">
        <v>40026</v>
      </c>
      <c r="B602" t="n">
        <v>76</v>
      </c>
      <c r="C602" t="n">
        <v>1020.619995117188</v>
      </c>
      <c r="D602" t="n">
        <v>65.7</v>
      </c>
      <c r="E602" t="n">
        <v>66.59999999999999</v>
      </c>
      <c r="F602" t="n">
        <v>65</v>
      </c>
      <c r="G602" t="n">
        <v/>
      </c>
      <c r="H602" t="n">
        <v/>
      </c>
      <c r="I602" t="n">
        <v/>
      </c>
    </row>
    <row r="603">
      <c r="A603" s="67" t="n">
        <v>40057</v>
      </c>
      <c r="B603" t="n">
        <v>76.59999999999999</v>
      </c>
      <c r="C603" t="n">
        <v>1057.079956054688</v>
      </c>
      <c r="D603" t="n">
        <v>73.5</v>
      </c>
      <c r="E603" t="n">
        <v>73.40000000000001</v>
      </c>
      <c r="F603" t="n">
        <v>73.5</v>
      </c>
      <c r="G603" t="n">
        <v/>
      </c>
      <c r="H603" t="n">
        <v/>
      </c>
      <c r="I603" t="n">
        <v/>
      </c>
    </row>
    <row r="604">
      <c r="A604" s="67" t="n">
        <v>40087</v>
      </c>
      <c r="B604" t="n">
        <v>77</v>
      </c>
      <c r="C604" t="n">
        <v>1036.18994140625</v>
      </c>
      <c r="D604" t="n">
        <v>70.59999999999999</v>
      </c>
      <c r="E604" t="n">
        <v>73.7</v>
      </c>
      <c r="F604" t="n">
        <v>68.59999999999999</v>
      </c>
      <c r="G604" t="n">
        <v>15379.155</v>
      </c>
      <c r="H604" t="n">
        <v>0.01056677041098811</v>
      </c>
      <c r="I604" t="n">
        <v>0.0008159095867101076</v>
      </c>
    </row>
    <row r="605">
      <c r="A605" s="67" t="n">
        <v>40118</v>
      </c>
      <c r="B605" t="n">
        <v>77.8</v>
      </c>
      <c r="C605" t="n">
        <v>1095.630004882812</v>
      </c>
      <c r="D605" t="n">
        <v>67.40000000000001</v>
      </c>
      <c r="E605" t="n">
        <v>68.8</v>
      </c>
      <c r="F605" t="n">
        <v>66.5</v>
      </c>
      <c r="G605" t="n">
        <v/>
      </c>
      <c r="H605" t="n">
        <v/>
      </c>
      <c r="I605" t="n">
        <v/>
      </c>
    </row>
    <row r="606">
      <c r="A606" s="67" t="n">
        <v>40148</v>
      </c>
      <c r="B606" t="n">
        <v>78.59999999999999</v>
      </c>
      <c r="C606" t="n">
        <v>1115.099975585938</v>
      </c>
      <c r="D606" t="n">
        <v>72.5</v>
      </c>
      <c r="E606" t="n">
        <v>78</v>
      </c>
      <c r="F606" t="n">
        <v>68.90000000000001</v>
      </c>
      <c r="G606" t="n">
        <v/>
      </c>
      <c r="H606" t="n">
        <v/>
      </c>
      <c r="I606" t="n">
        <v/>
      </c>
    </row>
    <row r="607">
      <c r="A607" s="67" t="n">
        <v>40179</v>
      </c>
      <c r="B607" t="n">
        <v>79.09999999999999</v>
      </c>
      <c r="C607" t="n">
        <v>1073.869995117188</v>
      </c>
      <c r="D607" t="n">
        <v>74.40000000000001</v>
      </c>
      <c r="E607" t="n">
        <v>81.09999999999999</v>
      </c>
      <c r="F607" t="n">
        <v>70.09999999999999</v>
      </c>
      <c r="G607" t="n">
        <v>15456.059</v>
      </c>
      <c r="H607" t="n">
        <v>0.004975653884343909</v>
      </c>
      <c r="I607" t="n">
        <v>0.01737726285853327</v>
      </c>
    </row>
    <row r="608">
      <c r="A608" s="67" t="n">
        <v>40210</v>
      </c>
      <c r="B608" t="n">
        <v>79.09999999999999</v>
      </c>
      <c r="C608" t="n">
        <v>1104.489990234375</v>
      </c>
      <c r="D608" t="n">
        <v>73.59999999999999</v>
      </c>
      <c r="E608" t="n">
        <v>81.8</v>
      </c>
      <c r="F608" t="n">
        <v>68.40000000000001</v>
      </c>
      <c r="G608" t="n">
        <v/>
      </c>
      <c r="H608" t="n">
        <v/>
      </c>
      <c r="I608" t="n">
        <v/>
      </c>
    </row>
    <row r="609">
      <c r="A609" s="67" t="n">
        <v>40238</v>
      </c>
      <c r="B609" t="n">
        <v>80.5</v>
      </c>
      <c r="C609" t="n">
        <v>1169.430053710938</v>
      </c>
      <c r="D609" t="n">
        <v>73.59999999999999</v>
      </c>
      <c r="E609" t="n">
        <v>82.40000000000001</v>
      </c>
      <c r="F609" t="n">
        <v>67.90000000000001</v>
      </c>
      <c r="G609" t="n">
        <v/>
      </c>
      <c r="H609" t="n">
        <v/>
      </c>
      <c r="I609" t="n">
        <v/>
      </c>
    </row>
    <row r="610">
      <c r="A610" s="67" t="n">
        <v>40269</v>
      </c>
      <c r="B610" t="n">
        <v>80.90000000000001</v>
      </c>
      <c r="C610" t="n">
        <v>1186.68994140625</v>
      </c>
      <c r="D610" t="n">
        <v>72.2</v>
      </c>
      <c r="E610" t="n">
        <v>81</v>
      </c>
      <c r="F610" t="n">
        <v>66.5</v>
      </c>
      <c r="G610" t="n">
        <v>15605.628</v>
      </c>
      <c r="H610" t="n">
        <v>0.009584298690190573</v>
      </c>
      <c r="I610" t="n">
        <v>0.02844204667700651</v>
      </c>
    </row>
    <row r="611">
      <c r="A611" s="67" t="n">
        <v>40299</v>
      </c>
      <c r="B611" t="n">
        <v>81</v>
      </c>
      <c r="C611" t="n">
        <v>1089.410034179688</v>
      </c>
      <c r="D611" t="n">
        <v>73.59999999999999</v>
      </c>
      <c r="E611" t="n">
        <v>81</v>
      </c>
      <c r="F611" t="n">
        <v>68.8</v>
      </c>
      <c r="G611" t="n">
        <v/>
      </c>
      <c r="H611" t="n">
        <v/>
      </c>
      <c r="I611" t="n">
        <v/>
      </c>
    </row>
    <row r="612">
      <c r="A612" s="67" t="n">
        <v>40330</v>
      </c>
      <c r="B612" t="n">
        <v>81.09999999999999</v>
      </c>
      <c r="C612" t="n">
        <v>1030.7099609375</v>
      </c>
      <c r="D612" t="n">
        <v>76</v>
      </c>
      <c r="E612" t="n">
        <v>85.59999999999999</v>
      </c>
      <c r="F612" t="n">
        <v>69.8</v>
      </c>
      <c r="G612" t="n">
        <v/>
      </c>
      <c r="H612" t="n">
        <v/>
      </c>
      <c r="I612" t="n">
        <v/>
      </c>
    </row>
    <row r="613">
      <c r="A613" s="67" t="n">
        <v>40360</v>
      </c>
      <c r="B613" t="n">
        <v>81.2</v>
      </c>
      <c r="C613" t="n">
        <v>1101.599975585938</v>
      </c>
      <c r="D613" t="n">
        <v>67.8</v>
      </c>
      <c r="E613" t="n">
        <v>76.5</v>
      </c>
      <c r="F613" t="n">
        <v>62.3</v>
      </c>
      <c r="G613" t="n">
        <v>15726.282</v>
      </c>
      <c r="H613" t="n">
        <v>0.007672124918019316</v>
      </c>
      <c r="I613" t="n">
        <v>0.03240657899940994</v>
      </c>
    </row>
    <row r="614">
      <c r="A614" s="67" t="n">
        <v>40391</v>
      </c>
      <c r="B614" t="n">
        <v>81.5</v>
      </c>
      <c r="C614" t="n">
        <v>1049.329956054688</v>
      </c>
      <c r="D614" t="n">
        <v>68.90000000000001</v>
      </c>
      <c r="E614" t="n">
        <v>78.3</v>
      </c>
      <c r="F614" t="n">
        <v>62.9</v>
      </c>
      <c r="G614" t="n">
        <v/>
      </c>
      <c r="H614" t="n">
        <v/>
      </c>
      <c r="I614" t="n">
        <v/>
      </c>
    </row>
    <row r="615">
      <c r="A615" s="67" t="n">
        <v>40422</v>
      </c>
      <c r="B615" t="n">
        <v>82</v>
      </c>
      <c r="C615" t="n">
        <v>1141.199951171875</v>
      </c>
      <c r="D615" t="n">
        <v>68.2</v>
      </c>
      <c r="E615" t="n">
        <v>79.59999999999999</v>
      </c>
      <c r="F615" t="n">
        <v>60.9</v>
      </c>
      <c r="G615" t="n">
        <v/>
      </c>
      <c r="H615" t="n">
        <v/>
      </c>
      <c r="I615" t="n">
        <v/>
      </c>
    </row>
    <row r="616">
      <c r="A616" s="67" t="n">
        <v>40452</v>
      </c>
      <c r="B616" t="n">
        <v>82.09999999999999</v>
      </c>
      <c r="C616" t="n">
        <v>1183.260009765625</v>
      </c>
      <c r="D616" t="n">
        <v>67.7</v>
      </c>
      <c r="E616" t="n">
        <v>76.59999999999999</v>
      </c>
      <c r="F616" t="n">
        <v>61.9</v>
      </c>
      <c r="G616" t="n">
        <v>15807.995</v>
      </c>
      <c r="H616" t="n">
        <v>0.005169093234151551</v>
      </c>
      <c r="I616" t="n">
        <v>0.0271280450177268</v>
      </c>
    </row>
    <row r="617">
      <c r="A617" s="67" t="n">
        <v>40483</v>
      </c>
      <c r="B617" t="n">
        <v>82.8</v>
      </c>
      <c r="C617" t="n">
        <v>1180.550048828125</v>
      </c>
      <c r="D617" t="n">
        <v>71.59999999999999</v>
      </c>
      <c r="E617" t="n">
        <v>82.09999999999999</v>
      </c>
      <c r="F617" t="n">
        <v>64.8</v>
      </c>
      <c r="G617" t="n">
        <v/>
      </c>
      <c r="H617" t="n">
        <v/>
      </c>
      <c r="I617" t="n">
        <v/>
      </c>
    </row>
    <row r="618">
      <c r="A618" s="67" t="n">
        <v>40513</v>
      </c>
      <c r="B618" t="n">
        <v>83.7</v>
      </c>
      <c r="C618" t="n">
        <v>1257.640014648438</v>
      </c>
      <c r="D618" t="n">
        <v>74.5</v>
      </c>
      <c r="E618" t="n">
        <v>85.3</v>
      </c>
      <c r="F618" t="n">
        <v>67.5</v>
      </c>
      <c r="G618" t="n">
        <v/>
      </c>
      <c r="H618" t="n">
        <v/>
      </c>
      <c r="I618" t="n">
        <v/>
      </c>
    </row>
    <row r="619">
      <c r="A619" s="67" t="n">
        <v>40544</v>
      </c>
      <c r="B619" t="n">
        <v>83.8</v>
      </c>
      <c r="C619" t="n">
        <v>1286.119995117188</v>
      </c>
      <c r="D619" t="n">
        <v>74.2</v>
      </c>
      <c r="E619" t="n">
        <v>81.8</v>
      </c>
      <c r="F619" t="n">
        <v>69.3</v>
      </c>
      <c r="G619" t="n">
        <v>15769.911</v>
      </c>
      <c r="H619" t="n">
        <v>-0.002414978752892184</v>
      </c>
      <c r="I619" t="n">
        <v>0.0199019512538784</v>
      </c>
    </row>
    <row r="620">
      <c r="A620" s="67" t="n">
        <v>40575</v>
      </c>
      <c r="B620" t="n">
        <v>84.40000000000001</v>
      </c>
      <c r="C620" t="n">
        <v>1327.219970703125</v>
      </c>
      <c r="D620" t="n">
        <v>77.5</v>
      </c>
      <c r="E620" t="n">
        <v>86.90000000000001</v>
      </c>
      <c r="F620" t="n">
        <v>71.59999999999999</v>
      </c>
      <c r="G620" t="n">
        <v/>
      </c>
      <c r="H620" t="n">
        <v/>
      </c>
      <c r="I620" t="n">
        <v/>
      </c>
    </row>
    <row r="621">
      <c r="A621" s="67" t="n">
        <v>40603</v>
      </c>
      <c r="B621" t="n">
        <v>85.3</v>
      </c>
      <c r="C621" t="n">
        <v>1325.829956054688</v>
      </c>
      <c r="D621" t="n">
        <v>67.5</v>
      </c>
      <c r="E621" t="n">
        <v>82.5</v>
      </c>
      <c r="F621" t="n">
        <v>57.9</v>
      </c>
      <c r="G621" t="n">
        <v/>
      </c>
      <c r="H621" t="n">
        <v/>
      </c>
      <c r="I621" t="n">
        <v/>
      </c>
    </row>
    <row r="622">
      <c r="A622" s="67" t="n">
        <v>40634</v>
      </c>
      <c r="B622" t="n">
        <v>85.3</v>
      </c>
      <c r="C622" t="n">
        <v>1363.609985351562</v>
      </c>
      <c r="D622" t="n">
        <v>69.8</v>
      </c>
      <c r="E622" t="n">
        <v>82.5</v>
      </c>
      <c r="F622" t="n">
        <v>61.6</v>
      </c>
      <c r="G622" t="n">
        <v>15876.839</v>
      </c>
      <c r="H622" t="n">
        <v>0.006734841866192627</v>
      </c>
      <c r="I622" t="n">
        <v>0.01708217863769982</v>
      </c>
    </row>
    <row r="623">
      <c r="A623" s="67" t="n">
        <v>40664</v>
      </c>
      <c r="B623" t="n">
        <v>85.8</v>
      </c>
      <c r="C623" t="n">
        <v>1345.199951171875</v>
      </c>
      <c r="D623" t="n">
        <v>74.3</v>
      </c>
      <c r="E623" t="n">
        <v>81.90000000000001</v>
      </c>
      <c r="F623" t="n">
        <v>69.5</v>
      </c>
      <c r="G623" t="n">
        <v/>
      </c>
      <c r="H623" t="n">
        <v/>
      </c>
      <c r="I623" t="n">
        <v/>
      </c>
    </row>
    <row r="624">
      <c r="A624" s="67" t="n">
        <v>40695</v>
      </c>
      <c r="B624" t="n">
        <v>85.7</v>
      </c>
      <c r="C624" t="n">
        <v>1320.640014648438</v>
      </c>
      <c r="D624" t="n">
        <v>71.5</v>
      </c>
      <c r="E624" t="n">
        <v>82</v>
      </c>
      <c r="F624" t="n">
        <v>64.7</v>
      </c>
      <c r="G624" t="n">
        <v/>
      </c>
      <c r="H624" t="n">
        <v/>
      </c>
      <c r="I624" t="n">
        <v/>
      </c>
    </row>
    <row r="625">
      <c r="A625" s="67" t="n">
        <v>40725</v>
      </c>
      <c r="B625" t="n">
        <v>86.2</v>
      </c>
      <c r="C625" t="n">
        <v>1292.280029296875</v>
      </c>
      <c r="D625" t="n">
        <v>63.7</v>
      </c>
      <c r="E625" t="n">
        <v>75.7</v>
      </c>
      <c r="F625" t="n">
        <v>55.9</v>
      </c>
      <c r="G625" t="n">
        <v>15870.684</v>
      </c>
      <c r="H625" t="n">
        <v>-0.0003878219741506198</v>
      </c>
      <c r="I625" t="n">
        <v>0.009098662666334989</v>
      </c>
    </row>
    <row r="626">
      <c r="A626" s="67" t="n">
        <v>40756</v>
      </c>
      <c r="B626" t="n">
        <v>85.59999999999999</v>
      </c>
      <c r="C626" t="n">
        <v>1218.890014648438</v>
      </c>
      <c r="D626" t="n">
        <v>55.8</v>
      </c>
      <c r="E626" t="n">
        <v>68.5</v>
      </c>
      <c r="F626" t="n">
        <v>47.6</v>
      </c>
      <c r="G626" t="n">
        <v/>
      </c>
      <c r="H626" t="n">
        <v/>
      </c>
      <c r="I626" t="n">
        <v/>
      </c>
    </row>
    <row r="627">
      <c r="A627" s="67" t="n">
        <v>40787</v>
      </c>
      <c r="B627" t="n">
        <v>85.2</v>
      </c>
      <c r="C627" t="n">
        <v>1131.420043945312</v>
      </c>
      <c r="D627" t="n">
        <v>59.5</v>
      </c>
      <c r="E627" t="n">
        <v>75.2</v>
      </c>
      <c r="F627" t="n">
        <v>49.4</v>
      </c>
      <c r="G627" t="n">
        <v/>
      </c>
      <c r="H627" t="n">
        <v/>
      </c>
      <c r="I627" t="n">
        <v/>
      </c>
    </row>
    <row r="628">
      <c r="A628" s="67" t="n">
        <v>40817</v>
      </c>
      <c r="B628" t="n">
        <v>85.8</v>
      </c>
      <c r="C628" t="n">
        <v>1253.300048828125</v>
      </c>
      <c r="D628" t="n">
        <v>60.8</v>
      </c>
      <c r="E628" t="n">
        <v>74.90000000000001</v>
      </c>
      <c r="F628" t="n">
        <v>51.7</v>
      </c>
      <c r="G628" t="n">
        <v>16048.702</v>
      </c>
      <c r="H628" t="n">
        <v>0.01109236123893384</v>
      </c>
      <c r="I628" t="n">
        <v>0.01499853383781433</v>
      </c>
    </row>
    <row r="629">
      <c r="A629" s="67" t="n">
        <v>40848</v>
      </c>
      <c r="B629" t="n">
        <v>85.90000000000001</v>
      </c>
      <c r="C629" t="n">
        <v>1246.9599609375</v>
      </c>
      <c r="D629" t="n">
        <v>63.7</v>
      </c>
      <c r="E629" t="n">
        <v>77.40000000000001</v>
      </c>
      <c r="F629" t="n">
        <v>54.9</v>
      </c>
      <c r="G629" t="n">
        <v/>
      </c>
      <c r="H629" t="n">
        <v/>
      </c>
      <c r="I629" t="n">
        <v/>
      </c>
    </row>
    <row r="630">
      <c r="A630" s="67" t="n">
        <v>40878</v>
      </c>
      <c r="B630" t="n">
        <v>86.3</v>
      </c>
      <c r="C630" t="n">
        <v>1257.599975585938</v>
      </c>
      <c r="D630" t="n">
        <v>69.90000000000001</v>
      </c>
      <c r="E630" t="n">
        <v>79.59999999999999</v>
      </c>
      <c r="F630" t="n">
        <v>63.6</v>
      </c>
      <c r="G630" t="n">
        <v/>
      </c>
      <c r="H630" t="n">
        <v/>
      </c>
      <c r="I630" t="n">
        <v/>
      </c>
    </row>
    <row r="631">
      <c r="A631" s="67" t="n">
        <v>40909</v>
      </c>
      <c r="B631" t="n">
        <v>86.5</v>
      </c>
      <c r="C631" t="n">
        <v>1312.410034179688</v>
      </c>
      <c r="D631" t="n">
        <v>75</v>
      </c>
      <c r="E631" t="n">
        <v>84.2</v>
      </c>
      <c r="F631" t="n">
        <v>69.09999999999999</v>
      </c>
      <c r="G631" t="n">
        <v>16179.968</v>
      </c>
      <c r="H631" t="n">
        <v>0.008112871422242703</v>
      </c>
      <c r="I631" t="n">
        <v>0.02534349882521404</v>
      </c>
    </row>
    <row r="632">
      <c r="A632" s="67" t="n">
        <v>40940</v>
      </c>
      <c r="B632" t="n">
        <v>87</v>
      </c>
      <c r="C632" t="n">
        <v>1365.680053710938</v>
      </c>
      <c r="D632" t="n">
        <v>75.3</v>
      </c>
      <c r="E632" t="n">
        <v>83</v>
      </c>
      <c r="F632" t="n">
        <v>70.3</v>
      </c>
      <c r="G632" t="n">
        <v/>
      </c>
      <c r="H632" t="n">
        <v/>
      </c>
      <c r="I632" t="n">
        <v/>
      </c>
    </row>
    <row r="633">
      <c r="A633" s="67" t="n">
        <v>40969</v>
      </c>
      <c r="B633" t="n">
        <v>87.5</v>
      </c>
      <c r="C633" t="n">
        <v>1408.469970703125</v>
      </c>
      <c r="D633" t="n">
        <v>76.2</v>
      </c>
      <c r="E633" t="n">
        <v>86</v>
      </c>
      <c r="F633" t="n">
        <v>69.8</v>
      </c>
      <c r="G633" t="n">
        <v/>
      </c>
      <c r="H633" t="n">
        <v/>
      </c>
      <c r="I633" t="n">
        <v/>
      </c>
    </row>
    <row r="634">
      <c r="A634" s="67" t="n">
        <v>41000</v>
      </c>
      <c r="B634" t="n">
        <v>87.3</v>
      </c>
      <c r="C634" t="n">
        <v>1397.910034179688</v>
      </c>
      <c r="D634" t="n">
        <v>76.40000000000001</v>
      </c>
      <c r="E634" t="n">
        <v>82.90000000000001</v>
      </c>
      <c r="F634" t="n">
        <v>72.3</v>
      </c>
      <c r="G634" t="n">
        <v>16253.726</v>
      </c>
      <c r="H634" t="n">
        <v>0.004537913337532564</v>
      </c>
      <c r="I634" t="n">
        <v>0.02318772938586516</v>
      </c>
    </row>
    <row r="635">
      <c r="A635" s="67" t="n">
        <v>41030</v>
      </c>
      <c r="B635" t="n">
        <v>87.40000000000001</v>
      </c>
      <c r="C635" t="n">
        <v>1310.329956054688</v>
      </c>
      <c r="D635" t="n">
        <v>79.3</v>
      </c>
      <c r="E635" t="n">
        <v>87.2</v>
      </c>
      <c r="F635" t="n">
        <v>74.3</v>
      </c>
      <c r="G635" t="n">
        <v/>
      </c>
      <c r="H635" t="n">
        <v/>
      </c>
      <c r="I635" t="n">
        <v/>
      </c>
    </row>
    <row r="636">
      <c r="A636" s="67" t="n">
        <v>41061</v>
      </c>
      <c r="B636" t="n">
        <v>87</v>
      </c>
      <c r="C636" t="n">
        <v>1362.160034179688</v>
      </c>
      <c r="D636" t="n">
        <v>73.2</v>
      </c>
      <c r="E636" t="n">
        <v>81.5</v>
      </c>
      <c r="F636" t="n">
        <v>67.8</v>
      </c>
      <c r="G636" t="n">
        <v/>
      </c>
      <c r="H636" t="n">
        <v/>
      </c>
      <c r="I636" t="n">
        <v/>
      </c>
    </row>
    <row r="637">
      <c r="A637" s="67" t="n">
        <v>41091</v>
      </c>
      <c r="B637" t="n">
        <v>87.2</v>
      </c>
      <c r="C637" t="n">
        <v>1379.319946289062</v>
      </c>
      <c r="D637" t="n">
        <v>72.3</v>
      </c>
      <c r="E637" t="n">
        <v>82.7</v>
      </c>
      <c r="F637" t="n">
        <v>65.59999999999999</v>
      </c>
      <c r="G637" t="n">
        <v>16282.151</v>
      </c>
      <c r="H637" t="n">
        <v>0.001745776709723382</v>
      </c>
      <c r="I637" t="n">
        <v>0.02527104680456535</v>
      </c>
    </row>
    <row r="638">
      <c r="A638" s="67" t="n">
        <v>41122</v>
      </c>
      <c r="B638" t="n">
        <v>86.90000000000001</v>
      </c>
      <c r="C638" t="n">
        <v>1406.579956054688</v>
      </c>
      <c r="D638" t="n">
        <v>74.3</v>
      </c>
      <c r="E638" t="n">
        <v>88.7</v>
      </c>
      <c r="F638" t="n">
        <v>65.09999999999999</v>
      </c>
      <c r="G638" t="n">
        <v/>
      </c>
      <c r="H638" t="n">
        <v/>
      </c>
      <c r="I638" t="n">
        <v/>
      </c>
    </row>
    <row r="639">
      <c r="A639" s="67" t="n">
        <v>41153</v>
      </c>
      <c r="B639" t="n">
        <v>87.40000000000001</v>
      </c>
      <c r="C639" t="n">
        <v>1440.670043945312</v>
      </c>
      <c r="D639" t="n">
        <v>78.3</v>
      </c>
      <c r="E639" t="n">
        <v>85.7</v>
      </c>
      <c r="F639" t="n">
        <v>73.5</v>
      </c>
      <c r="G639" t="n">
        <v/>
      </c>
      <c r="H639" t="n">
        <v/>
      </c>
      <c r="I639" t="n">
        <v/>
      </c>
    </row>
    <row r="640">
      <c r="A640" s="67" t="n">
        <v>41183</v>
      </c>
      <c r="B640" t="n">
        <v>87.5</v>
      </c>
      <c r="C640" t="n">
        <v>1412.160034179688</v>
      </c>
      <c r="D640" t="n">
        <v>82.59999999999999</v>
      </c>
      <c r="E640" t="n">
        <v>88.09999999999999</v>
      </c>
      <c r="F640" t="n">
        <v>79</v>
      </c>
      <c r="G640" t="n">
        <v>16300.035</v>
      </c>
      <c r="H640" t="n">
        <v>0.001097175558211992</v>
      </c>
      <c r="I640" t="n">
        <v>0.01541916934534193</v>
      </c>
    </row>
    <row r="641">
      <c r="A641" s="67" t="n">
        <v>41214</v>
      </c>
      <c r="B641" t="n">
        <v>87.5</v>
      </c>
      <c r="C641" t="n">
        <v>1416.180053710938</v>
      </c>
      <c r="D641" t="n">
        <v>82.7</v>
      </c>
      <c r="E641" t="n">
        <v>90.59999999999999</v>
      </c>
      <c r="F641" t="n">
        <v>77.7</v>
      </c>
      <c r="G641" t="n">
        <v/>
      </c>
      <c r="H641" t="n">
        <v/>
      </c>
      <c r="I641" t="n">
        <v/>
      </c>
    </row>
    <row r="642">
      <c r="A642" s="67" t="n">
        <v>41244</v>
      </c>
      <c r="B642" t="n">
        <v>87.8</v>
      </c>
      <c r="C642" t="n">
        <v>1426.18994140625</v>
      </c>
      <c r="D642" t="n">
        <v>72.90000000000001</v>
      </c>
      <c r="E642" t="n">
        <v>87</v>
      </c>
      <c r="F642" t="n">
        <v>63.8</v>
      </c>
      <c r="G642" t="n">
        <v/>
      </c>
      <c r="H642" t="n">
        <v/>
      </c>
      <c r="I642" t="n">
        <v/>
      </c>
    </row>
    <row r="643">
      <c r="A643" s="67" t="n">
        <v>41275</v>
      </c>
      <c r="B643" t="n">
        <v>88.2</v>
      </c>
      <c r="C643" t="n">
        <v>1498.109985351562</v>
      </c>
      <c r="D643" t="n">
        <v>73.8</v>
      </c>
      <c r="E643" t="n">
        <v>85</v>
      </c>
      <c r="F643" t="n">
        <v>66.59999999999999</v>
      </c>
      <c r="G643" t="n">
        <v>16441.485</v>
      </c>
      <c r="H643" t="n">
        <v>0.00860323748128595</v>
      </c>
      <c r="I643" t="n">
        <v>0.01590592333964966</v>
      </c>
    </row>
    <row r="644">
      <c r="A644" s="67" t="n">
        <v>41306</v>
      </c>
      <c r="B644" t="n">
        <v>88.59999999999999</v>
      </c>
      <c r="C644" t="n">
        <v>1514.680053710938</v>
      </c>
      <c r="D644" t="n">
        <v>77.59999999999999</v>
      </c>
      <c r="E644" t="n">
        <v>89</v>
      </c>
      <c r="F644" t="n">
        <v>70.2</v>
      </c>
      <c r="G644" t="n">
        <v/>
      </c>
      <c r="H644" t="n">
        <v/>
      </c>
      <c r="I644" t="n">
        <v/>
      </c>
    </row>
    <row r="645">
      <c r="A645" s="67" t="n">
        <v>41334</v>
      </c>
      <c r="B645" t="n">
        <v>88.5</v>
      </c>
      <c r="C645" t="n">
        <v>1569.18994140625</v>
      </c>
      <c r="D645" t="n">
        <v>78.59999999999999</v>
      </c>
      <c r="E645" t="n">
        <v>90.7</v>
      </c>
      <c r="F645" t="n">
        <v>70.8</v>
      </c>
      <c r="G645" t="n">
        <v/>
      </c>
      <c r="H645" t="n">
        <v/>
      </c>
      <c r="I645" t="n">
        <v/>
      </c>
    </row>
    <row r="646">
      <c r="A646" s="67" t="n">
        <v>41365</v>
      </c>
      <c r="B646" t="n">
        <v>88.90000000000001</v>
      </c>
      <c r="C646" t="n">
        <v>1597.569946289062</v>
      </c>
      <c r="D646" t="n">
        <v>76.40000000000001</v>
      </c>
      <c r="E646" t="n">
        <v>89.90000000000001</v>
      </c>
      <c r="F646" t="n">
        <v>67.8</v>
      </c>
      <c r="G646" t="n">
        <v>16464.402</v>
      </c>
      <c r="H646" t="n">
        <v>0.001391912077948391</v>
      </c>
      <c r="I646" t="n">
        <v>0.0127958488865856</v>
      </c>
    </row>
    <row r="647">
      <c r="A647" s="67" t="n">
        <v>41395</v>
      </c>
      <c r="B647" t="n">
        <v>89.2</v>
      </c>
      <c r="C647" t="n">
        <v>1630.739990234375</v>
      </c>
      <c r="D647" t="n">
        <v>84.5</v>
      </c>
      <c r="E647" t="n">
        <v>98</v>
      </c>
      <c r="F647" t="n">
        <v>75.8</v>
      </c>
      <c r="G647" t="n">
        <v/>
      </c>
      <c r="H647" t="n">
        <v/>
      </c>
      <c r="I647" t="n">
        <v/>
      </c>
    </row>
    <row r="648">
      <c r="A648" s="67" t="n">
        <v>41426</v>
      </c>
      <c r="B648" t="n">
        <v>89.3</v>
      </c>
      <c r="C648" t="n">
        <v>1606.280029296875</v>
      </c>
      <c r="D648" t="n">
        <v>84.09999999999999</v>
      </c>
      <c r="E648" t="n">
        <v>93.8</v>
      </c>
      <c r="F648" t="n">
        <v>77.8</v>
      </c>
      <c r="G648" t="n">
        <v/>
      </c>
      <c r="H648" t="n">
        <v/>
      </c>
      <c r="I648" t="n">
        <v/>
      </c>
    </row>
    <row r="649">
      <c r="A649" s="67" t="n">
        <v>41456</v>
      </c>
      <c r="B649" t="n">
        <v>89.40000000000001</v>
      </c>
      <c r="C649" t="n">
        <v>1685.72998046875</v>
      </c>
      <c r="D649" t="n">
        <v>85.09999999999999</v>
      </c>
      <c r="E649" t="n">
        <v>98.59999999999999</v>
      </c>
      <c r="F649" t="n">
        <v>76.5</v>
      </c>
      <c r="G649" t="n">
        <v>16594.743</v>
      </c>
      <c r="H649" t="n">
        <v>0.007854354839963497</v>
      </c>
      <c r="I649" t="n">
        <v>0.01883680874117778</v>
      </c>
    </row>
    <row r="650">
      <c r="A650" s="67" t="n">
        <v>41487</v>
      </c>
      <c r="B650" t="n">
        <v>90.09999999999999</v>
      </c>
      <c r="C650" t="n">
        <v>1632.969970703125</v>
      </c>
      <c r="D650" t="n">
        <v>82.09999999999999</v>
      </c>
      <c r="E650" t="n">
        <v>95.2</v>
      </c>
      <c r="F650" t="n">
        <v>73.7</v>
      </c>
      <c r="G650" t="n">
        <v/>
      </c>
      <c r="H650" t="n">
        <v/>
      </c>
      <c r="I650" t="n">
        <v/>
      </c>
    </row>
    <row r="651">
      <c r="A651" s="67" t="n">
        <v>41518</v>
      </c>
      <c r="B651" t="n">
        <v>90.90000000000001</v>
      </c>
      <c r="C651" t="n">
        <v>1681.550048828125</v>
      </c>
      <c r="D651" t="n">
        <v>77.5</v>
      </c>
      <c r="E651" t="n">
        <v>92.59999999999999</v>
      </c>
      <c r="F651" t="n">
        <v>67.8</v>
      </c>
      <c r="G651" t="n">
        <v/>
      </c>
      <c r="H651" t="n">
        <v/>
      </c>
      <c r="I651" t="n">
        <v/>
      </c>
    </row>
    <row r="652">
      <c r="A652" s="67" t="n">
        <v>41548</v>
      </c>
      <c r="B652" t="n">
        <v>90.8</v>
      </c>
      <c r="C652" t="n">
        <v>1756.5400390625</v>
      </c>
      <c r="D652" t="n">
        <v>73.2</v>
      </c>
      <c r="E652" t="n">
        <v>89.90000000000001</v>
      </c>
      <c r="F652" t="n">
        <v>62.5</v>
      </c>
      <c r="G652" t="n">
        <v>16712.76</v>
      </c>
      <c r="H652" t="n">
        <v>0.007061490741206111</v>
      </c>
      <c r="I652" t="n">
        <v>0.02469520294673044</v>
      </c>
    </row>
    <row r="653">
      <c r="A653" s="67" t="n">
        <v>41579</v>
      </c>
      <c r="B653" t="n">
        <v>91.8</v>
      </c>
      <c r="C653" t="n">
        <v>1805.81005859375</v>
      </c>
      <c r="D653" t="n">
        <v>75.09999999999999</v>
      </c>
      <c r="E653" t="n">
        <v>88</v>
      </c>
      <c r="F653" t="n">
        <v>66.8</v>
      </c>
      <c r="G653" t="n">
        <v/>
      </c>
      <c r="H653" t="n">
        <v/>
      </c>
      <c r="I653" t="n">
        <v/>
      </c>
    </row>
    <row r="654">
      <c r="A654" s="67" t="n">
        <v>41609</v>
      </c>
      <c r="B654" t="n">
        <v>91.8</v>
      </c>
      <c r="C654" t="n">
        <v>1848.359985351562</v>
      </c>
      <c r="D654" t="n">
        <v>82.5</v>
      </c>
      <c r="E654" t="n">
        <v>98.59999999999999</v>
      </c>
      <c r="F654" t="n">
        <v>72.09999999999999</v>
      </c>
      <c r="G654" t="n">
        <v/>
      </c>
      <c r="H654" t="n">
        <v/>
      </c>
      <c r="I654" t="n">
        <v/>
      </c>
    </row>
    <row r="655">
      <c r="A655" s="67" t="n">
        <v>41640</v>
      </c>
      <c r="B655" t="n">
        <v>92</v>
      </c>
      <c r="C655" t="n">
        <v>1782.589965820312</v>
      </c>
      <c r="D655" t="n">
        <v>81.2</v>
      </c>
      <c r="E655" t="n">
        <v>96.8</v>
      </c>
      <c r="F655" t="n">
        <v>71.2</v>
      </c>
      <c r="G655" t="n">
        <v>16654.247</v>
      </c>
      <c r="H655" t="n">
        <v>-0.003513398114006536</v>
      </c>
      <c r="I655" t="n">
        <v>0.01277523985323376</v>
      </c>
    </row>
    <row r="656">
      <c r="A656" s="67" t="n">
        <v>41671</v>
      </c>
      <c r="B656" t="n">
        <v>92.5</v>
      </c>
      <c r="C656" t="n">
        <v>1859.449951171875</v>
      </c>
      <c r="D656" t="n">
        <v>81.59999999999999</v>
      </c>
      <c r="E656" t="n">
        <v>95.40000000000001</v>
      </c>
      <c r="F656" t="n">
        <v>72.7</v>
      </c>
      <c r="G656" t="n">
        <v/>
      </c>
      <c r="H656" t="n">
        <v/>
      </c>
      <c r="I656" t="n">
        <v/>
      </c>
    </row>
    <row r="657">
      <c r="A657" s="67" t="n">
        <v>41699</v>
      </c>
      <c r="B657" t="n">
        <v>93.40000000000001</v>
      </c>
      <c r="C657" t="n">
        <v>1872.339965820312</v>
      </c>
      <c r="D657" t="n">
        <v>80</v>
      </c>
      <c r="E657" t="n">
        <v>95.7</v>
      </c>
      <c r="F657" t="n">
        <v>70</v>
      </c>
      <c r="G657" t="n">
        <v/>
      </c>
      <c r="H657" t="n">
        <v/>
      </c>
      <c r="I657" t="n">
        <v/>
      </c>
    </row>
    <row r="658">
      <c r="A658" s="67" t="n">
        <v>41730</v>
      </c>
      <c r="B658" t="n">
        <v>93.5</v>
      </c>
      <c r="C658" t="n">
        <v>1883.949951171875</v>
      </c>
      <c r="D658" t="n">
        <v>84.09999999999999</v>
      </c>
      <c r="E658" t="n">
        <v>98.7</v>
      </c>
      <c r="F658" t="n">
        <v>74.7</v>
      </c>
      <c r="G658" t="n">
        <v>16868.109</v>
      </c>
      <c r="H658" t="n">
        <v>0.01267848103186913</v>
      </c>
      <c r="I658" t="n">
        <v>0.023933151012956</v>
      </c>
    </row>
    <row r="659">
      <c r="A659" s="67" t="n">
        <v>41760</v>
      </c>
      <c r="B659" t="n">
        <v>94</v>
      </c>
      <c r="C659" t="n">
        <v>1923.569946289062</v>
      </c>
      <c r="D659" t="n">
        <v>81.90000000000001</v>
      </c>
      <c r="E659" t="n">
        <v>94.5</v>
      </c>
      <c r="F659" t="n">
        <v>73.7</v>
      </c>
      <c r="G659" t="n">
        <v/>
      </c>
      <c r="H659" t="n">
        <v/>
      </c>
      <c r="I659" t="n">
        <v/>
      </c>
    </row>
    <row r="660">
      <c r="A660" s="67" t="n">
        <v>41791</v>
      </c>
      <c r="B660" t="n">
        <v>94.7</v>
      </c>
      <c r="C660" t="n">
        <v>1960.22998046875</v>
      </c>
      <c r="D660" t="n">
        <v>82.5</v>
      </c>
      <c r="E660" t="n">
        <v>96.59999999999999</v>
      </c>
      <c r="F660" t="n">
        <v>73.5</v>
      </c>
      <c r="G660" t="n">
        <v/>
      </c>
      <c r="H660" t="n">
        <v/>
      </c>
      <c r="I660" t="n">
        <v/>
      </c>
    </row>
    <row r="661">
      <c r="A661" s="67" t="n">
        <v>41821</v>
      </c>
      <c r="B661" t="n">
        <v>95.2</v>
      </c>
      <c r="C661" t="n">
        <v>1930.670043945312</v>
      </c>
      <c r="D661" t="n">
        <v>81.8</v>
      </c>
      <c r="E661" t="n">
        <v>97.40000000000001</v>
      </c>
      <c r="F661" t="n">
        <v>71.8</v>
      </c>
      <c r="G661" t="n">
        <v>17064.616</v>
      </c>
      <c r="H661" t="n">
        <v>0.01151546568642397</v>
      </c>
      <c r="I661" t="n">
        <v>0.02753492958763345</v>
      </c>
    </row>
    <row r="662">
      <c r="A662" s="67" t="n">
        <v>41852</v>
      </c>
      <c r="B662" t="n">
        <v>95.5</v>
      </c>
      <c r="C662" t="n">
        <v>2003.369995117188</v>
      </c>
      <c r="D662" t="n">
        <v>82.5</v>
      </c>
      <c r="E662" t="n">
        <v>99.8</v>
      </c>
      <c r="F662" t="n">
        <v>71.3</v>
      </c>
      <c r="G662" t="n">
        <v/>
      </c>
      <c r="H662" t="n">
        <v/>
      </c>
      <c r="I662" t="n">
        <v/>
      </c>
    </row>
    <row r="663">
      <c r="A663" s="67" t="n">
        <v>41883</v>
      </c>
      <c r="B663" t="n">
        <v>96.09999999999999</v>
      </c>
      <c r="C663" t="n">
        <v>1972.2900390625</v>
      </c>
      <c r="D663" t="n">
        <v>84.59999999999999</v>
      </c>
      <c r="E663" t="n">
        <v>98.90000000000001</v>
      </c>
      <c r="F663" t="n">
        <v>75.40000000000001</v>
      </c>
      <c r="G663" t="n">
        <v/>
      </c>
      <c r="H663" t="n">
        <v/>
      </c>
      <c r="I663" t="n">
        <v/>
      </c>
    </row>
    <row r="664">
      <c r="A664" s="67" t="n">
        <v>41913</v>
      </c>
      <c r="B664" t="n">
        <v>96.40000000000001</v>
      </c>
      <c r="C664" t="n">
        <v>2018.050048828125</v>
      </c>
      <c r="D664" t="n">
        <v>86.90000000000001</v>
      </c>
      <c r="E664" t="n">
        <v>98.3</v>
      </c>
      <c r="F664" t="n">
        <v>79.59999999999999</v>
      </c>
      <c r="G664" t="n">
        <v>17141.235</v>
      </c>
      <c r="H664" t="n">
        <v>0.004469864627606982</v>
      </c>
      <c r="I664" t="n">
        <v>0.02499674031655258</v>
      </c>
    </row>
    <row r="665">
      <c r="A665" s="67" t="n">
        <v>41944</v>
      </c>
      <c r="B665" t="n">
        <v>96.8</v>
      </c>
      <c r="C665" t="n">
        <v>2067.56005859375</v>
      </c>
      <c r="D665" t="n">
        <v>88.8</v>
      </c>
      <c r="E665" t="n">
        <v>102.7</v>
      </c>
      <c r="F665" t="n">
        <v>79.90000000000001</v>
      </c>
      <c r="G665" t="n">
        <v/>
      </c>
      <c r="H665" t="n">
        <v/>
      </c>
      <c r="I665" t="n">
        <v/>
      </c>
    </row>
    <row r="666">
      <c r="A666" s="67" t="n">
        <v>41974</v>
      </c>
      <c r="B666" t="n">
        <v>97.3</v>
      </c>
      <c r="C666" t="n">
        <v>2058.89990234375</v>
      </c>
      <c r="D666" t="n">
        <v>93.59999999999999</v>
      </c>
      <c r="E666" t="n">
        <v>104.8</v>
      </c>
      <c r="F666" t="n">
        <v>86.40000000000001</v>
      </c>
      <c r="G666" t="n">
        <v/>
      </c>
      <c r="H666" t="n">
        <v/>
      </c>
      <c r="I666" t="n">
        <v/>
      </c>
    </row>
    <row r="667">
      <c r="A667" s="67" t="n">
        <v>42005</v>
      </c>
      <c r="B667" t="n">
        <v>97.40000000000001</v>
      </c>
      <c r="C667" t="n">
        <v>1994.989990234375</v>
      </c>
      <c r="D667" t="n">
        <v>98.09999999999999</v>
      </c>
      <c r="E667" t="n">
        <v>109.3</v>
      </c>
      <c r="F667" t="n">
        <v>91</v>
      </c>
      <c r="G667" t="n">
        <v>17280.647</v>
      </c>
      <c r="H667" t="n">
        <v>0.008067522008869243</v>
      </c>
      <c r="I667" t="n">
        <v>0.03624864277361845</v>
      </c>
    </row>
    <row r="668">
      <c r="A668" s="67" t="n">
        <v>42036</v>
      </c>
      <c r="B668" t="n">
        <v>97.40000000000001</v>
      </c>
      <c r="C668" t="n">
        <v>2104.5</v>
      </c>
      <c r="D668" t="n">
        <v>95.40000000000001</v>
      </c>
      <c r="E668" t="n">
        <v>106.9</v>
      </c>
      <c r="F668" t="n">
        <v>88</v>
      </c>
      <c r="G668" t="n">
        <v/>
      </c>
      <c r="H668" t="n">
        <v/>
      </c>
      <c r="I668" t="n">
        <v/>
      </c>
    </row>
    <row r="669">
      <c r="A669" s="67" t="n">
        <v>42064</v>
      </c>
      <c r="B669" t="n">
        <v>97.90000000000001</v>
      </c>
      <c r="C669" t="n">
        <v>2067.889892578125</v>
      </c>
      <c r="D669" t="n">
        <v>93</v>
      </c>
      <c r="E669" t="n">
        <v>105</v>
      </c>
      <c r="F669" t="n">
        <v>85.3</v>
      </c>
      <c r="G669" t="n">
        <v/>
      </c>
      <c r="H669" t="n">
        <v/>
      </c>
      <c r="I669" t="n">
        <v/>
      </c>
    </row>
    <row r="670">
      <c r="A670" s="67" t="n">
        <v>42095</v>
      </c>
      <c r="B670" t="n">
        <v>98.40000000000001</v>
      </c>
      <c r="C670" t="n">
        <v>2085.510009765625</v>
      </c>
      <c r="D670" t="n">
        <v>95.90000000000001</v>
      </c>
      <c r="E670" t="n">
        <v>107</v>
      </c>
      <c r="F670" t="n">
        <v>88.8</v>
      </c>
      <c r="G670" t="n">
        <v>17380.875</v>
      </c>
      <c r="H670" t="n">
        <v>0.005766568138830706</v>
      </c>
      <c r="I670" t="n">
        <v>0.0295017368228009</v>
      </c>
    </row>
    <row r="671">
      <c r="A671" s="67" t="n">
        <v>42125</v>
      </c>
      <c r="B671" t="n">
        <v>98.8</v>
      </c>
      <c r="C671" t="n">
        <v>2107.389892578125</v>
      </c>
      <c r="D671" t="n">
        <v>90.7</v>
      </c>
      <c r="E671" t="n">
        <v>100.8</v>
      </c>
      <c r="F671" t="n">
        <v>84.2</v>
      </c>
      <c r="G671" t="n">
        <v/>
      </c>
      <c r="H671" t="n">
        <v/>
      </c>
      <c r="I671" t="n">
        <v/>
      </c>
    </row>
    <row r="672">
      <c r="A672" s="67" t="n">
        <v>42156</v>
      </c>
      <c r="B672" t="n">
        <v>99.3</v>
      </c>
      <c r="C672" t="n">
        <v>2063.110107421875</v>
      </c>
      <c r="D672" t="n">
        <v>96.09999999999999</v>
      </c>
      <c r="E672" t="n">
        <v>108.9</v>
      </c>
      <c r="F672" t="n">
        <v>87.8</v>
      </c>
      <c r="G672" t="n">
        <v/>
      </c>
      <c r="H672" t="n">
        <v/>
      </c>
      <c r="I672" t="n">
        <v/>
      </c>
    </row>
    <row r="673">
      <c r="A673" s="67" t="n">
        <v>42186</v>
      </c>
      <c r="B673" t="n">
        <v>99.09999999999999</v>
      </c>
      <c r="C673" t="n">
        <v>2103.840087890625</v>
      </c>
      <c r="D673" t="n">
        <v>93.09999999999999</v>
      </c>
      <c r="E673" t="n">
        <v>107.2</v>
      </c>
      <c r="F673" t="n">
        <v>84.09999999999999</v>
      </c>
      <c r="G673" t="n">
        <v>17437.08</v>
      </c>
      <c r="H673" t="n">
        <v>0.003223303443007759</v>
      </c>
      <c r="I673" t="n">
        <v>0.0213604571407598</v>
      </c>
    </row>
    <row r="674">
      <c r="A674" s="67" t="n">
        <v>42217</v>
      </c>
      <c r="B674" t="n">
        <v>99.09999999999999</v>
      </c>
      <c r="C674" t="n">
        <v>1972.180053710938</v>
      </c>
      <c r="D674" t="n">
        <v>91.90000000000001</v>
      </c>
      <c r="E674" t="n">
        <v>105.1</v>
      </c>
      <c r="F674" t="n">
        <v>83.40000000000001</v>
      </c>
      <c r="G674" t="n">
        <v/>
      </c>
      <c r="H674" t="n">
        <v/>
      </c>
      <c r="I674" t="n">
        <v/>
      </c>
    </row>
    <row r="675">
      <c r="A675" s="67" t="n">
        <v>42248</v>
      </c>
      <c r="B675" t="n">
        <v>99</v>
      </c>
      <c r="C675" t="n">
        <v>1920.030029296875</v>
      </c>
      <c r="D675" t="n">
        <v>87.2</v>
      </c>
      <c r="E675" t="n">
        <v>101.2</v>
      </c>
      <c r="F675" t="n">
        <v>78.2</v>
      </c>
      <c r="G675" t="n">
        <v/>
      </c>
      <c r="H675" t="n">
        <v/>
      </c>
      <c r="I675" t="n">
        <v/>
      </c>
    </row>
    <row r="676">
      <c r="A676" s="67" t="n">
        <v>42278</v>
      </c>
      <c r="B676" t="n">
        <v>99.40000000000001</v>
      </c>
      <c r="C676" t="n">
        <v>2079.360107421875</v>
      </c>
      <c r="D676" t="n">
        <v>90</v>
      </c>
      <c r="E676" t="n">
        <v>102.3</v>
      </c>
      <c r="F676" t="n">
        <v>82.09999999999999</v>
      </c>
      <c r="G676" t="n">
        <v>17462.579</v>
      </c>
      <c r="H676" t="n">
        <v>0.001460208139931667</v>
      </c>
      <c r="I676" t="n">
        <v>0.01840186377968575</v>
      </c>
    </row>
    <row r="677">
      <c r="A677" s="67" t="n">
        <v>42309</v>
      </c>
      <c r="B677" t="n">
        <v>99.8</v>
      </c>
      <c r="C677" t="n">
        <v>2080.409912109375</v>
      </c>
      <c r="D677" t="n">
        <v>91.3</v>
      </c>
      <c r="E677" t="n">
        <v>104.3</v>
      </c>
      <c r="F677" t="n">
        <v>82.90000000000001</v>
      </c>
      <c r="G677" t="n">
        <v/>
      </c>
      <c r="H677" t="n">
        <v/>
      </c>
      <c r="I677" t="n">
        <v/>
      </c>
    </row>
    <row r="678">
      <c r="A678" s="67" t="n">
        <v>42339</v>
      </c>
      <c r="B678" t="n">
        <v>99.59999999999999</v>
      </c>
      <c r="C678" t="n">
        <v>2043.93994140625</v>
      </c>
      <c r="D678" t="n">
        <v>92.59999999999999</v>
      </c>
      <c r="E678" t="n">
        <v>108.1</v>
      </c>
      <c r="F678" t="n">
        <v>82.7</v>
      </c>
      <c r="G678" t="n">
        <v/>
      </c>
      <c r="H678" t="n">
        <v/>
      </c>
      <c r="I678" t="n">
        <v/>
      </c>
    </row>
    <row r="679">
      <c r="A679" s="67" t="n">
        <v>42370</v>
      </c>
      <c r="B679" t="n">
        <v>99.3</v>
      </c>
      <c r="C679" t="n">
        <v>1940.239990234375</v>
      </c>
      <c r="D679" t="n">
        <v>92</v>
      </c>
      <c r="E679" t="n">
        <v>106.4</v>
      </c>
      <c r="F679" t="n">
        <v>82.7</v>
      </c>
      <c r="G679" t="n">
        <v>17565.465</v>
      </c>
      <c r="H679" t="n">
        <v>0.005857288719655221</v>
      </c>
      <c r="I679" t="n">
        <v>0.01621465756813152</v>
      </c>
    </row>
    <row r="680">
      <c r="A680" s="67" t="n">
        <v>42401</v>
      </c>
      <c r="B680" t="n">
        <v>99.2</v>
      </c>
      <c r="C680" t="n">
        <v>1932.22998046875</v>
      </c>
      <c r="D680" t="n">
        <v>91.7</v>
      </c>
      <c r="E680" t="n">
        <v>106.8</v>
      </c>
      <c r="F680" t="n">
        <v>81.90000000000001</v>
      </c>
      <c r="G680" t="n">
        <v/>
      </c>
      <c r="H680" t="n">
        <v/>
      </c>
      <c r="I680" t="n">
        <v/>
      </c>
    </row>
    <row r="681">
      <c r="A681" s="67" t="n">
        <v>42430</v>
      </c>
      <c r="B681" t="n">
        <v>99.2</v>
      </c>
      <c r="C681" t="n">
        <v>2059.739990234375</v>
      </c>
      <c r="D681" t="n">
        <v>91</v>
      </c>
      <c r="E681" t="n">
        <v>105.6</v>
      </c>
      <c r="F681" t="n">
        <v>81.5</v>
      </c>
      <c r="G681" t="n">
        <v/>
      </c>
      <c r="H681" t="n">
        <v/>
      </c>
      <c r="I681" t="n">
        <v/>
      </c>
    </row>
    <row r="682">
      <c r="A682" s="67" t="n">
        <v>42461</v>
      </c>
      <c r="B682" t="n">
        <v>99.7</v>
      </c>
      <c r="C682" t="n">
        <v>2065.300048828125</v>
      </c>
      <c r="D682" t="n">
        <v>89</v>
      </c>
      <c r="E682" t="n">
        <v>106.7</v>
      </c>
      <c r="F682" t="n">
        <v>77.59999999999999</v>
      </c>
      <c r="G682" t="n">
        <v>17618.581</v>
      </c>
      <c r="H682" t="n">
        <v>0.003014771734454561</v>
      </c>
      <c r="I682" t="n">
        <v>0.0134917789349777</v>
      </c>
    </row>
    <row r="683">
      <c r="A683" s="67" t="n">
        <v>42491</v>
      </c>
      <c r="B683" t="n">
        <v>99.5</v>
      </c>
      <c r="C683" t="n">
        <v>2096.949951171875</v>
      </c>
      <c r="D683" t="n">
        <v>94.7</v>
      </c>
      <c r="E683" t="n">
        <v>109.9</v>
      </c>
      <c r="F683" t="n">
        <v>84.90000000000001</v>
      </c>
      <c r="G683" t="n">
        <v/>
      </c>
      <c r="H683" t="n">
        <v/>
      </c>
      <c r="I683" t="n">
        <v/>
      </c>
    </row>
    <row r="684">
      <c r="A684" s="67" t="n">
        <v>42522</v>
      </c>
      <c r="B684" t="n">
        <v>99.8</v>
      </c>
      <c r="C684" t="n">
        <v>2098.860107421875</v>
      </c>
      <c r="D684" t="n">
        <v>93.5</v>
      </c>
      <c r="E684" t="n">
        <v>110.8</v>
      </c>
      <c r="F684" t="n">
        <v>82.40000000000001</v>
      </c>
      <c r="G684" t="n">
        <v/>
      </c>
      <c r="H684" t="n">
        <v/>
      </c>
      <c r="I684" t="n">
        <v/>
      </c>
    </row>
    <row r="685">
      <c r="A685" s="67" t="n">
        <v>42552</v>
      </c>
      <c r="B685" t="n">
        <v>100.2</v>
      </c>
      <c r="C685" t="n">
        <v>2173.60009765625</v>
      </c>
      <c r="D685" t="n">
        <v>90</v>
      </c>
      <c r="E685" t="n">
        <v>109</v>
      </c>
      <c r="F685" t="n">
        <v>77.8</v>
      </c>
      <c r="G685" t="n">
        <v>17724.489</v>
      </c>
      <c r="H685" t="n">
        <v>0.005975235731760903</v>
      </c>
      <c r="I685" t="n">
        <v>0.01621536169533574</v>
      </c>
    </row>
    <row r="686">
      <c r="A686" s="67" t="n">
        <v>42583</v>
      </c>
      <c r="B686" t="n">
        <v>100.2</v>
      </c>
      <c r="C686" t="n">
        <v>2170.949951171875</v>
      </c>
      <c r="D686" t="n">
        <v>89.8</v>
      </c>
      <c r="E686" t="n">
        <v>107</v>
      </c>
      <c r="F686" t="n">
        <v>78.7</v>
      </c>
      <c r="G686" t="n">
        <v/>
      </c>
      <c r="H686" t="n">
        <v/>
      </c>
      <c r="I686" t="n">
        <v/>
      </c>
    </row>
    <row r="687">
      <c r="A687" s="67" t="n">
        <v>42614</v>
      </c>
      <c r="B687" t="n">
        <v>100.4</v>
      </c>
      <c r="C687" t="n">
        <v>2168.27001953125</v>
      </c>
      <c r="D687" t="n">
        <v>91.2</v>
      </c>
      <c r="E687" t="n">
        <v>104.2</v>
      </c>
      <c r="F687" t="n">
        <v>82.7</v>
      </c>
      <c r="G687" t="n">
        <v/>
      </c>
      <c r="H687" t="n">
        <v/>
      </c>
      <c r="I687" t="n">
        <v/>
      </c>
    </row>
    <row r="688">
      <c r="A688" s="67" t="n">
        <v>42644</v>
      </c>
      <c r="B688" t="n">
        <v>100.5</v>
      </c>
      <c r="C688" t="n">
        <v>2126.14990234375</v>
      </c>
      <c r="D688" t="n">
        <v>87.2</v>
      </c>
      <c r="E688" t="n">
        <v>103.2</v>
      </c>
      <c r="F688" t="n">
        <v>76.8</v>
      </c>
      <c r="G688" t="n">
        <v>17812.56</v>
      </c>
      <c r="H688" t="n">
        <v>0.004944320187553047</v>
      </c>
      <c r="I688" t="n">
        <v>0.01964798995764785</v>
      </c>
    </row>
    <row r="689">
      <c r="A689" s="67" t="n">
        <v>42675</v>
      </c>
      <c r="B689" t="n">
        <v>100.7</v>
      </c>
      <c r="C689" t="n">
        <v>2198.81005859375</v>
      </c>
      <c r="D689" t="n">
        <v>93.8</v>
      </c>
      <c r="E689" t="n">
        <v>107.3</v>
      </c>
      <c r="F689" t="n">
        <v>85.2</v>
      </c>
      <c r="G689" t="n">
        <v/>
      </c>
      <c r="H689" t="n">
        <v/>
      </c>
      <c r="I689" t="n">
        <v/>
      </c>
    </row>
    <row r="690">
      <c r="A690" s="67" t="n">
        <v>42705</v>
      </c>
      <c r="B690" t="n">
        <v>101.2</v>
      </c>
      <c r="C690" t="n">
        <v>2238.830078125</v>
      </c>
      <c r="D690" t="n">
        <v>98.2</v>
      </c>
      <c r="E690" t="n">
        <v>111.9</v>
      </c>
      <c r="F690" t="n">
        <v>89.5</v>
      </c>
      <c r="G690" t="n">
        <v/>
      </c>
      <c r="H690" t="n">
        <v/>
      </c>
      <c r="I690" t="n">
        <v/>
      </c>
    </row>
    <row r="691">
      <c r="A691" s="67" t="n">
        <v>42736</v>
      </c>
      <c r="B691" t="n">
        <v>101.8</v>
      </c>
      <c r="C691" t="n">
        <v>2278.8701171875</v>
      </c>
      <c r="D691" t="n">
        <v>98.5</v>
      </c>
      <c r="E691" t="n">
        <v>111.3</v>
      </c>
      <c r="F691" t="n">
        <v>90.3</v>
      </c>
      <c r="G691" t="n">
        <v>17896.623</v>
      </c>
      <c r="H691" t="n">
        <v>0.004697143142591666</v>
      </c>
      <c r="I691" t="n">
        <v>0.01850393786581968</v>
      </c>
    </row>
    <row r="692">
      <c r="A692" s="67" t="n">
        <v>42767</v>
      </c>
      <c r="B692" t="n">
        <v>102.1</v>
      </c>
      <c r="C692" t="n">
        <v>2363.639892578125</v>
      </c>
      <c r="D692" t="n">
        <v>96.3</v>
      </c>
      <c r="E692" t="n">
        <v>111.5</v>
      </c>
      <c r="F692" t="n">
        <v>86.5</v>
      </c>
      <c r="G692" t="n">
        <v/>
      </c>
      <c r="H692" t="n">
        <v/>
      </c>
      <c r="I692" t="n">
        <v/>
      </c>
    </row>
    <row r="693">
      <c r="A693" s="67" t="n">
        <v>42795</v>
      </c>
      <c r="B693" t="n">
        <v>102.6</v>
      </c>
      <c r="C693" t="n">
        <v>2362.719970703125</v>
      </c>
      <c r="D693" t="n">
        <v>96.90000000000001</v>
      </c>
      <c r="E693" t="n">
        <v>113.2</v>
      </c>
      <c r="F693" t="n">
        <v>86.5</v>
      </c>
      <c r="G693" t="n">
        <v/>
      </c>
      <c r="H693" t="n">
        <v/>
      </c>
      <c r="I693" t="n">
        <v/>
      </c>
    </row>
    <row r="694">
      <c r="A694" s="67" t="n">
        <v>42826</v>
      </c>
      <c r="B694" t="n">
        <v>102.8</v>
      </c>
      <c r="C694" t="n">
        <v>2384.199951171875</v>
      </c>
      <c r="D694" t="n">
        <v>97</v>
      </c>
      <c r="E694" t="n">
        <v>112.7</v>
      </c>
      <c r="F694" t="n">
        <v>87</v>
      </c>
      <c r="G694" t="n">
        <v>17996.802</v>
      </c>
      <c r="H694" t="n">
        <v>0.005566488979542037</v>
      </c>
      <c r="I694" t="n">
        <v>0.02101601162250945</v>
      </c>
    </row>
    <row r="695">
      <c r="A695" s="67" t="n">
        <v>42856</v>
      </c>
      <c r="B695" t="n">
        <v>103.2</v>
      </c>
      <c r="C695" t="n">
        <v>2411.800048828125</v>
      </c>
      <c r="D695" t="n">
        <v>97.09999999999999</v>
      </c>
      <c r="E695" t="n">
        <v>111.7</v>
      </c>
      <c r="F695" t="n">
        <v>87.7</v>
      </c>
      <c r="G695" t="n">
        <v/>
      </c>
      <c r="H695" t="n">
        <v/>
      </c>
      <c r="I695" t="n">
        <v/>
      </c>
    </row>
    <row r="696">
      <c r="A696" s="67" t="n">
        <v>42887</v>
      </c>
      <c r="B696" t="n">
        <v>103.8</v>
      </c>
      <c r="C696" t="n">
        <v>2423.409912109375</v>
      </c>
      <c r="D696" t="n">
        <v>95</v>
      </c>
      <c r="E696" t="n">
        <v>112.4</v>
      </c>
      <c r="F696" t="n">
        <v>83.8</v>
      </c>
      <c r="G696" t="n">
        <v/>
      </c>
      <c r="H696" t="n">
        <v/>
      </c>
      <c r="I696" t="n">
        <v/>
      </c>
    </row>
    <row r="697">
      <c r="A697" s="67" t="n">
        <v>42917</v>
      </c>
      <c r="B697" t="n">
        <v>104.1</v>
      </c>
      <c r="C697" t="n">
        <v>2470.300048828125</v>
      </c>
      <c r="D697" t="n">
        <v>93.40000000000001</v>
      </c>
      <c r="E697" t="n">
        <v>113.4</v>
      </c>
      <c r="F697" t="n">
        <v>80.5</v>
      </c>
      <c r="G697" t="n">
        <v>18126.226</v>
      </c>
      <c r="H697" t="n">
        <v>0.007140151513061741</v>
      </c>
      <c r="I697" t="n">
        <v>0.02216330084376071</v>
      </c>
    </row>
    <row r="698">
      <c r="A698" s="67" t="n">
        <v>42948</v>
      </c>
      <c r="B698" t="n">
        <v>104.5</v>
      </c>
      <c r="C698" t="n">
        <v>2471.64990234375</v>
      </c>
      <c r="D698" t="n">
        <v>96.8</v>
      </c>
      <c r="E698" t="n">
        <v>110.9</v>
      </c>
      <c r="F698" t="n">
        <v>87.7</v>
      </c>
      <c r="G698" t="n">
        <v/>
      </c>
      <c r="H698" t="n">
        <v/>
      </c>
      <c r="I698" t="n">
        <v/>
      </c>
    </row>
    <row r="699">
      <c r="A699" s="67" t="n">
        <v>42979</v>
      </c>
      <c r="B699" t="n">
        <v>104.5</v>
      </c>
      <c r="C699" t="n">
        <v>2519.360107421875</v>
      </c>
      <c r="D699" t="n">
        <v>95.09999999999999</v>
      </c>
      <c r="E699" t="n">
        <v>111.7</v>
      </c>
      <c r="F699" t="n">
        <v>84.40000000000001</v>
      </c>
      <c r="G699" t="n">
        <v/>
      </c>
      <c r="H699" t="n">
        <v/>
      </c>
      <c r="I699" t="n">
        <v/>
      </c>
    </row>
    <row r="700">
      <c r="A700" s="67" t="n">
        <v>43009</v>
      </c>
      <c r="B700" t="n">
        <v>105.9</v>
      </c>
      <c r="C700" t="n">
        <v>2575.260009765625</v>
      </c>
      <c r="D700" t="n">
        <v>100.7</v>
      </c>
      <c r="E700" t="n">
        <v>116.5</v>
      </c>
      <c r="F700" t="n">
        <v>90.5</v>
      </c>
      <c r="G700" t="n">
        <v>18296.685</v>
      </c>
      <c r="H700" t="n">
        <v>0.009316387094165011</v>
      </c>
      <c r="I700" t="n">
        <v>0.02645971114439583</v>
      </c>
    </row>
    <row r="701">
      <c r="A701" s="67" t="n">
        <v>43040</v>
      </c>
      <c r="B701" t="n">
        <v>106.3</v>
      </c>
      <c r="C701" t="n">
        <v>2647.580078125</v>
      </c>
      <c r="D701" t="n">
        <v>98.5</v>
      </c>
      <c r="E701" t="n">
        <v>113.5</v>
      </c>
      <c r="F701" t="n">
        <v>88.90000000000001</v>
      </c>
      <c r="G701" t="n">
        <v/>
      </c>
      <c r="H701" t="n">
        <v/>
      </c>
      <c r="I701" t="n">
        <v/>
      </c>
    </row>
    <row r="702">
      <c r="A702" s="67" t="n">
        <v>43070</v>
      </c>
      <c r="B702" t="n">
        <v>107</v>
      </c>
      <c r="C702" t="n">
        <v>2673.610107421875</v>
      </c>
      <c r="D702" t="n">
        <v>95.90000000000001</v>
      </c>
      <c r="E702" t="n">
        <v>113.8</v>
      </c>
      <c r="F702" t="n">
        <v>84.3</v>
      </c>
      <c r="G702" t="n">
        <v/>
      </c>
      <c r="H702" t="n">
        <v/>
      </c>
      <c r="I702" t="n">
        <v/>
      </c>
    </row>
    <row r="703">
      <c r="A703" s="67" t="n">
        <v>43101</v>
      </c>
      <c r="B703" t="n">
        <v>107.9</v>
      </c>
      <c r="C703" t="n">
        <v>2823.81005859375</v>
      </c>
      <c r="D703" t="n">
        <v>95.7</v>
      </c>
      <c r="E703" t="n">
        <v>110.5</v>
      </c>
      <c r="F703" t="n">
        <v>86.3</v>
      </c>
      <c r="G703" t="n">
        <v>18436.262</v>
      </c>
      <c r="H703" t="n">
        <v>0.007570786312322829</v>
      </c>
      <c r="I703" t="n">
        <v>0.0292705213236826</v>
      </c>
    </row>
    <row r="704">
      <c r="A704" s="67" t="n">
        <v>43132</v>
      </c>
      <c r="B704" t="n">
        <v>108.7</v>
      </c>
      <c r="C704" t="n">
        <v>2713.830078125</v>
      </c>
      <c r="D704" t="n">
        <v>99.7</v>
      </c>
      <c r="E704" t="n">
        <v>114.9</v>
      </c>
      <c r="F704" t="n">
        <v>90</v>
      </c>
      <c r="G704" t="n">
        <v/>
      </c>
      <c r="H704" t="n">
        <v/>
      </c>
      <c r="I704" t="n">
        <v/>
      </c>
    </row>
    <row r="705">
      <c r="A705" s="67" t="n">
        <v>43160</v>
      </c>
      <c r="B705" t="n">
        <v>109</v>
      </c>
      <c r="C705" t="n">
        <v>2640.8701171875</v>
      </c>
      <c r="D705" t="n">
        <v>101.4</v>
      </c>
      <c r="E705" t="n">
        <v>121.2</v>
      </c>
      <c r="F705" t="n">
        <v>88.8</v>
      </c>
      <c r="G705" t="n">
        <v/>
      </c>
      <c r="H705" t="n">
        <v/>
      </c>
      <c r="I705" t="n">
        <v/>
      </c>
    </row>
    <row r="706">
      <c r="A706" s="67" t="n">
        <v>43191</v>
      </c>
      <c r="B706" t="n">
        <v>109.4</v>
      </c>
      <c r="C706" t="n">
        <v>2648.050048828125</v>
      </c>
      <c r="D706" t="n">
        <v>98.8</v>
      </c>
      <c r="E706" t="n">
        <v>114.9</v>
      </c>
      <c r="F706" t="n">
        <v>88.40000000000001</v>
      </c>
      <c r="G706" t="n">
        <v>18590.004</v>
      </c>
      <c r="H706" t="n">
        <v>0.008270143459893931</v>
      </c>
      <c r="I706" t="n">
        <v>0.03190972955142996</v>
      </c>
    </row>
    <row r="707">
      <c r="A707" s="67" t="n">
        <v>43221</v>
      </c>
      <c r="B707" t="n">
        <v>109.4</v>
      </c>
      <c r="C707" t="n">
        <v>2705.27001953125</v>
      </c>
      <c r="D707" t="n">
        <v>98</v>
      </c>
      <c r="E707" t="n">
        <v>111.8</v>
      </c>
      <c r="F707" t="n">
        <v>89.09999999999999</v>
      </c>
      <c r="G707" t="n">
        <v/>
      </c>
      <c r="H707" t="n">
        <v/>
      </c>
      <c r="I707" t="n">
        <v/>
      </c>
    </row>
    <row r="708">
      <c r="A708" s="67" t="n">
        <v>43252</v>
      </c>
      <c r="B708" t="n">
        <v>109.9</v>
      </c>
      <c r="C708" t="n">
        <v>2718.3701171875</v>
      </c>
      <c r="D708" t="n">
        <v>98.2</v>
      </c>
      <c r="E708" t="n">
        <v>116.5</v>
      </c>
      <c r="F708" t="n">
        <v>86.3</v>
      </c>
      <c r="G708" t="n">
        <v/>
      </c>
      <c r="H708" t="n">
        <v/>
      </c>
      <c r="I708" t="n">
        <v/>
      </c>
    </row>
    <row r="709">
      <c r="A709" s="67" t="n">
        <v>43282</v>
      </c>
      <c r="B709" t="n">
        <v>110.7</v>
      </c>
      <c r="C709" t="n">
        <v>2816.2900390625</v>
      </c>
      <c r="D709" t="n">
        <v>97.90000000000001</v>
      </c>
      <c r="E709" t="n">
        <v>114.4</v>
      </c>
      <c r="F709" t="n">
        <v>87.3</v>
      </c>
      <c r="G709" t="n">
        <v>18679.599</v>
      </c>
      <c r="H709" t="n">
        <v>0.00479640917345161</v>
      </c>
      <c r="I709" t="n">
        <v>0.02962445821240593</v>
      </c>
    </row>
    <row r="710">
      <c r="A710" s="67" t="n">
        <v>43313</v>
      </c>
      <c r="B710" t="n">
        <v>111.3</v>
      </c>
      <c r="C710" t="n">
        <v>2901.52001953125</v>
      </c>
      <c r="D710" t="n">
        <v>96.2</v>
      </c>
      <c r="E710" t="n">
        <v>110.3</v>
      </c>
      <c r="F710" t="n">
        <v>87.09999999999999</v>
      </c>
      <c r="G710" t="n">
        <v/>
      </c>
      <c r="H710" t="n">
        <v/>
      </c>
      <c r="I710" t="n">
        <v/>
      </c>
    </row>
    <row r="711">
      <c r="A711" s="67" t="n">
        <v>43344</v>
      </c>
      <c r="B711" t="n">
        <v>111.8</v>
      </c>
      <c r="C711" t="n">
        <v>2913.97998046875</v>
      </c>
      <c r="D711" t="n">
        <v>100.1</v>
      </c>
      <c r="E711" t="n">
        <v>115.2</v>
      </c>
      <c r="F711" t="n">
        <v>90.5</v>
      </c>
      <c r="G711" t="n">
        <v/>
      </c>
      <c r="H711" t="n">
        <v/>
      </c>
      <c r="I711" t="n">
        <v/>
      </c>
    </row>
    <row r="712">
      <c r="A712" s="67" t="n">
        <v>43374</v>
      </c>
      <c r="B712" t="n">
        <v>112.1</v>
      </c>
      <c r="C712" t="n">
        <v>2711.739990234375</v>
      </c>
      <c r="D712" t="n">
        <v>98.59999999999999</v>
      </c>
      <c r="E712" t="n">
        <v>113.1</v>
      </c>
      <c r="F712" t="n">
        <v>89.3</v>
      </c>
      <c r="G712" t="n">
        <v>18721.281</v>
      </c>
      <c r="H712" t="n">
        <v>0.002226450209256551</v>
      </c>
      <c r="I712" t="n">
        <v>0.02267985828533837</v>
      </c>
    </row>
    <row r="713">
      <c r="A713" s="67" t="n">
        <v>43405</v>
      </c>
      <c r="B713" t="n">
        <v>111.8</v>
      </c>
      <c r="C713" t="n">
        <v>2760.169921875</v>
      </c>
      <c r="D713" t="n">
        <v>97.5</v>
      </c>
      <c r="E713" t="n">
        <v>112.3</v>
      </c>
      <c r="F713" t="n">
        <v>88.09999999999999</v>
      </c>
      <c r="G713" t="n">
        <v/>
      </c>
      <c r="H713" t="n">
        <v/>
      </c>
      <c r="I713" t="n">
        <v/>
      </c>
    </row>
    <row r="714">
      <c r="A714" s="67" t="n">
        <v>43435</v>
      </c>
      <c r="B714" t="n">
        <v>111.7</v>
      </c>
      <c r="C714" t="n">
        <v>2506.85009765625</v>
      </c>
      <c r="D714" t="n">
        <v>98.3</v>
      </c>
      <c r="E714" t="n">
        <v>116.1</v>
      </c>
      <c r="F714" t="n">
        <v>87</v>
      </c>
      <c r="G714" t="n">
        <v/>
      </c>
      <c r="H714" t="n">
        <v/>
      </c>
      <c r="I714" t="n">
        <v/>
      </c>
    </row>
    <row r="715">
      <c r="A715" s="67" t="n">
        <v>43466</v>
      </c>
      <c r="B715" t="n">
        <v>111</v>
      </c>
      <c r="C715" t="n">
        <v>2704.10009765625</v>
      </c>
      <c r="D715" t="n">
        <v>91.2</v>
      </c>
      <c r="E715" t="n">
        <v>108.8</v>
      </c>
      <c r="F715" t="n">
        <v>79.90000000000001</v>
      </c>
      <c r="G715" t="n">
        <v>18833.195</v>
      </c>
      <c r="H715" t="n">
        <v>0.00594237993075528</v>
      </c>
      <c r="I715" t="n">
        <v>0.02107624330338007</v>
      </c>
    </row>
    <row r="716">
      <c r="A716" s="67" t="n">
        <v>43497</v>
      </c>
      <c r="B716" t="n">
        <v>111.1</v>
      </c>
      <c r="C716" t="n">
        <v>2784.489990234375</v>
      </c>
      <c r="D716" t="n">
        <v>93.8</v>
      </c>
      <c r="E716" t="n">
        <v>108.5</v>
      </c>
      <c r="F716" t="n">
        <v>84.40000000000001</v>
      </c>
      <c r="G716" t="n">
        <v/>
      </c>
      <c r="H716" t="n">
        <v/>
      </c>
      <c r="I716" t="n">
        <v/>
      </c>
    </row>
    <row r="717">
      <c r="A717" s="67" t="n">
        <v>43525</v>
      </c>
      <c r="B717" t="n">
        <v>111.5</v>
      </c>
      <c r="C717" t="n">
        <v>2834.39990234375</v>
      </c>
      <c r="D717" t="n">
        <v>98.40000000000001</v>
      </c>
      <c r="E717" t="n">
        <v>113.3</v>
      </c>
      <c r="F717" t="n">
        <v>88.8</v>
      </c>
      <c r="G717" t="n">
        <v/>
      </c>
      <c r="H717" t="n">
        <v/>
      </c>
      <c r="I717" t="n">
        <v/>
      </c>
    </row>
    <row r="718">
      <c r="A718" s="67" t="n">
        <v>43556</v>
      </c>
      <c r="B718" t="n">
        <v>111.5</v>
      </c>
      <c r="C718" t="n">
        <v>2945.830078125</v>
      </c>
      <c r="D718" t="n">
        <v>97.2</v>
      </c>
      <c r="E718" t="n">
        <v>112.3</v>
      </c>
      <c r="F718" t="n">
        <v>87.40000000000001</v>
      </c>
      <c r="G718" t="n">
        <v>18982.528</v>
      </c>
      <c r="H718" t="n">
        <v>0.007866865783103217</v>
      </c>
      <c r="I718" t="n">
        <v>0.02067817310739632</v>
      </c>
    </row>
    <row r="719">
      <c r="A719" s="67" t="n">
        <v>43586</v>
      </c>
      <c r="B719" t="n">
        <v>111.4</v>
      </c>
      <c r="C719" t="n">
        <v>2752.06005859375</v>
      </c>
      <c r="D719" t="n">
        <v>100</v>
      </c>
      <c r="E719" t="n">
        <v>110</v>
      </c>
      <c r="F719" t="n">
        <v>93.5</v>
      </c>
      <c r="G719" t="n">
        <v/>
      </c>
      <c r="H719" t="n">
        <v/>
      </c>
      <c r="I719" t="n">
        <v/>
      </c>
    </row>
    <row r="720">
      <c r="A720" s="67" t="n">
        <v>43617</v>
      </c>
      <c r="B720" t="n">
        <v>111.5</v>
      </c>
      <c r="C720" t="n">
        <v>2941.760009765625</v>
      </c>
      <c r="D720" t="n">
        <v>98.2</v>
      </c>
      <c r="E720" t="n">
        <v>111.9</v>
      </c>
      <c r="F720" t="n">
        <v>89.3</v>
      </c>
      <c r="G720" t="n">
        <v/>
      </c>
      <c r="H720" t="n">
        <v/>
      </c>
      <c r="I720" t="n">
        <v/>
      </c>
    </row>
    <row r="721">
      <c r="A721" s="67" t="n">
        <v>43647</v>
      </c>
      <c r="B721" t="n">
        <v>112</v>
      </c>
      <c r="C721" t="n">
        <v>2980.3798828125</v>
      </c>
      <c r="D721" t="n">
        <v>98.40000000000001</v>
      </c>
      <c r="E721" t="n">
        <v>110.7</v>
      </c>
      <c r="F721" t="n">
        <v>90.5</v>
      </c>
      <c r="G721" t="n">
        <v>19112.653</v>
      </c>
      <c r="H721" t="n">
        <v>0.006808316982472293</v>
      </c>
      <c r="I721" t="n">
        <v>0.0226579742749476</v>
      </c>
    </row>
    <row r="722">
      <c r="A722" s="67" t="n">
        <v>43678</v>
      </c>
      <c r="B722" t="n">
        <v>111.8</v>
      </c>
      <c r="C722" t="n">
        <v>2926.4599609375</v>
      </c>
      <c r="D722" t="n">
        <v>89.8</v>
      </c>
      <c r="E722" t="n">
        <v>105.3</v>
      </c>
      <c r="F722" t="n">
        <v>79.90000000000001</v>
      </c>
      <c r="G722" t="n">
        <v/>
      </c>
      <c r="H722" t="n">
        <v/>
      </c>
      <c r="I722" t="n">
        <v/>
      </c>
    </row>
    <row r="723">
      <c r="A723" s="67" t="n">
        <v>43709</v>
      </c>
      <c r="B723" t="n">
        <v>111.7</v>
      </c>
      <c r="C723" t="n">
        <v>2976.739990234375</v>
      </c>
      <c r="D723" t="n">
        <v>93.2</v>
      </c>
      <c r="E723" t="n">
        <v>108.5</v>
      </c>
      <c r="F723" t="n">
        <v>83.40000000000001</v>
      </c>
      <c r="G723" t="n">
        <v/>
      </c>
      <c r="H723" t="n">
        <v/>
      </c>
      <c r="I723" t="n">
        <v/>
      </c>
    </row>
    <row r="724">
      <c r="A724" s="67" t="n">
        <v>43739</v>
      </c>
      <c r="B724" t="n">
        <v>111.4</v>
      </c>
      <c r="C724" t="n">
        <v>3037.56005859375</v>
      </c>
      <c r="D724" t="n">
        <v>95.5</v>
      </c>
      <c r="E724" t="n">
        <v>113.2</v>
      </c>
      <c r="F724" t="n">
        <v>84.2</v>
      </c>
      <c r="G724" t="n">
        <v>19202.31</v>
      </c>
      <c r="H724" t="n">
        <v>0.004669073668741046</v>
      </c>
      <c r="I724" t="n">
        <v>0.02505057985211166</v>
      </c>
    </row>
    <row r="725">
      <c r="A725" s="67" t="n">
        <v>43770</v>
      </c>
      <c r="B725" t="n">
        <v>111.6</v>
      </c>
      <c r="C725" t="n">
        <v>3140.97998046875</v>
      </c>
      <c r="D725" t="n">
        <v>96.8</v>
      </c>
      <c r="E725" t="n">
        <v>111.6</v>
      </c>
      <c r="F725" t="n">
        <v>87.3</v>
      </c>
      <c r="G725" t="n">
        <v/>
      </c>
      <c r="H725" t="n">
        <v/>
      </c>
      <c r="I725" t="n">
        <v/>
      </c>
    </row>
    <row r="726">
      <c r="A726" s="67" t="n">
        <v>43800</v>
      </c>
      <c r="B726" t="n">
        <v>111.4</v>
      </c>
      <c r="C726" t="n">
        <v>3230.780029296875</v>
      </c>
      <c r="D726" t="n">
        <v>99.3</v>
      </c>
      <c r="E726" t="n">
        <v>115.5</v>
      </c>
      <c r="F726" t="n">
        <v>88.90000000000001</v>
      </c>
      <c r="G726" t="n">
        <v/>
      </c>
      <c r="H726" t="n">
        <v/>
      </c>
      <c r="I726" t="n">
        <v/>
      </c>
    </row>
    <row r="727">
      <c r="A727" s="67" t="n">
        <v>43831</v>
      </c>
      <c r="B727" t="n">
        <v>112</v>
      </c>
      <c r="C727" t="n">
        <v>3225.52001953125</v>
      </c>
      <c r="D727" t="n">
        <v>99.8</v>
      </c>
      <c r="E727" t="n">
        <v>114.4</v>
      </c>
      <c r="F727" t="n">
        <v>90.5</v>
      </c>
      <c r="G727" t="n">
        <v>18951.992</v>
      </c>
      <c r="H727" t="n">
        <v>-0.01320800473111233</v>
      </c>
      <c r="I727" t="n">
        <v>0.006268312059228321</v>
      </c>
    </row>
    <row r="728">
      <c r="A728" s="67" t="n">
        <v>43862</v>
      </c>
      <c r="B728" t="n">
        <v>111.9</v>
      </c>
      <c r="C728" t="n">
        <v>2954.219970703125</v>
      </c>
      <c r="D728" t="n">
        <v>101</v>
      </c>
      <c r="E728" t="n">
        <v>114.8</v>
      </c>
      <c r="F728" t="n">
        <v>92.09999999999999</v>
      </c>
      <c r="G728" t="n">
        <v/>
      </c>
      <c r="H728" t="n">
        <v/>
      </c>
      <c r="I728" t="n">
        <v/>
      </c>
    </row>
    <row r="729">
      <c r="A729" s="67" t="n">
        <v>43891</v>
      </c>
      <c r="B729" t="n">
        <v>103.4</v>
      </c>
      <c r="C729" t="n">
        <v>2584.590087890625</v>
      </c>
      <c r="D729" t="n">
        <v>89.09999999999999</v>
      </c>
      <c r="E729" t="n">
        <v>103.7</v>
      </c>
      <c r="F729" t="n">
        <v>79.7</v>
      </c>
      <c r="G729" t="n">
        <v/>
      </c>
      <c r="H729" t="n">
        <v/>
      </c>
      <c r="I729" t="n">
        <v/>
      </c>
    </row>
    <row r="730">
      <c r="A730" s="67" t="n">
        <v>43922</v>
      </c>
      <c r="B730" t="n">
        <v>96.8</v>
      </c>
      <c r="C730" t="n">
        <v>2912.429931640625</v>
      </c>
      <c r="D730" t="n">
        <v>71.8</v>
      </c>
      <c r="E730" t="n">
        <v>74.3</v>
      </c>
      <c r="F730" t="n">
        <v>70.09999999999999</v>
      </c>
      <c r="G730" t="n">
        <v>17258.205</v>
      </c>
      <c r="H730" t="n">
        <v>-0.09814386838028616</v>
      </c>
      <c r="I730" t="n">
        <v>-0.09991322967828906</v>
      </c>
    </row>
    <row r="731">
      <c r="A731" s="67" t="n">
        <v>43952</v>
      </c>
      <c r="B731" t="n">
        <v>99.8</v>
      </c>
      <c r="C731" t="n">
        <v>3044.31005859375</v>
      </c>
      <c r="D731" t="n">
        <v>72.3</v>
      </c>
      <c r="E731" t="n">
        <v>82.3</v>
      </c>
      <c r="F731" t="n">
        <v>65.90000000000001</v>
      </c>
      <c r="G731" t="n">
        <v/>
      </c>
      <c r="H731" t="n">
        <v/>
      </c>
      <c r="I731" t="n">
        <v/>
      </c>
    </row>
    <row r="732">
      <c r="A732" s="67" t="n">
        <v>43983</v>
      </c>
      <c r="B732" t="n">
        <v>102.8</v>
      </c>
      <c r="C732" t="n">
        <v>3100.2900390625</v>
      </c>
      <c r="D732" t="n">
        <v>78.09999999999999</v>
      </c>
      <c r="E732" t="n">
        <v>87.09999999999999</v>
      </c>
      <c r="F732" t="n">
        <v>72.3</v>
      </c>
      <c r="G732" t="n">
        <v/>
      </c>
      <c r="H732" t="n">
        <v/>
      </c>
      <c r="I732" t="n">
        <v/>
      </c>
    </row>
    <row r="733">
      <c r="A733" s="67" t="n">
        <v>44013</v>
      </c>
      <c r="B733" t="n">
        <v>104.9</v>
      </c>
      <c r="C733" t="n">
        <v>3271.1201171875</v>
      </c>
      <c r="D733" t="n">
        <v>72.5</v>
      </c>
      <c r="E733" t="n">
        <v>82.8</v>
      </c>
      <c r="F733" t="n">
        <v>65.90000000000001</v>
      </c>
      <c r="G733" t="n">
        <v>18560.774</v>
      </c>
      <c r="H733" t="n">
        <v>0.07017859276773691</v>
      </c>
      <c r="I733" t="n">
        <v>-0.02973361994494395</v>
      </c>
    </row>
    <row r="734">
      <c r="A734" s="67" t="n">
        <v>44044</v>
      </c>
      <c r="B734" t="n">
        <v>106.5</v>
      </c>
      <c r="C734" t="n">
        <v>3500.31005859375</v>
      </c>
      <c r="D734" t="n">
        <v>74.09999999999999</v>
      </c>
      <c r="E734" t="n">
        <v>82.90000000000001</v>
      </c>
      <c r="F734" t="n">
        <v>68.5</v>
      </c>
      <c r="G734" t="n">
        <v/>
      </c>
      <c r="H734" t="n">
        <v/>
      </c>
      <c r="I734" t="n">
        <v/>
      </c>
    </row>
    <row r="735">
      <c r="A735" s="67" t="n">
        <v>44075</v>
      </c>
      <c r="B735" t="n">
        <v>107.5</v>
      </c>
      <c r="C735" t="n">
        <v>3363</v>
      </c>
      <c r="D735" t="n">
        <v>80.40000000000001</v>
      </c>
      <c r="E735" t="n">
        <v>87.8</v>
      </c>
      <c r="F735" t="n">
        <v>75.59999999999999</v>
      </c>
      <c r="G735" t="n">
        <v/>
      </c>
      <c r="H735" t="n">
        <v/>
      </c>
      <c r="I735" t="n">
        <v/>
      </c>
    </row>
    <row r="736">
      <c r="A736" s="67" t="n">
        <v>44105</v>
      </c>
      <c r="B736" t="n">
        <v>108.2</v>
      </c>
      <c r="C736" t="n">
        <v>3269.9599609375</v>
      </c>
      <c r="D736" t="n">
        <v>81.8</v>
      </c>
      <c r="E736" t="n">
        <v>85.90000000000001</v>
      </c>
      <c r="F736" t="n">
        <v>79.2</v>
      </c>
      <c r="G736" t="n">
        <v>18767.778</v>
      </c>
      <c r="H736" t="n">
        <v>0.01102975536049058</v>
      </c>
      <c r="I736" t="n">
        <v>-0.02315308716887012</v>
      </c>
    </row>
    <row r="737">
      <c r="A737" s="67" t="n">
        <v>44136</v>
      </c>
      <c r="B737" t="n">
        <v>109.2</v>
      </c>
      <c r="C737" t="n">
        <v>3621.6298828125</v>
      </c>
      <c r="D737" t="n">
        <v>76.90000000000001</v>
      </c>
      <c r="E737" t="n">
        <v>87</v>
      </c>
      <c r="F737" t="n">
        <v>70.5</v>
      </c>
      <c r="G737" t="n">
        <v/>
      </c>
      <c r="H737" t="n">
        <v/>
      </c>
      <c r="I737" t="n">
        <v/>
      </c>
    </row>
    <row r="738">
      <c r="A738" s="67" t="n">
        <v>44166</v>
      </c>
      <c r="B738" t="n">
        <v>109.6</v>
      </c>
      <c r="C738" t="n">
        <v>3756.070068359375</v>
      </c>
      <c r="D738" t="n">
        <v>80.7</v>
      </c>
      <c r="E738" t="n">
        <v>90</v>
      </c>
      <c r="F738" t="n">
        <v>74.59999999999999</v>
      </c>
      <c r="G738" t="n">
        <v/>
      </c>
      <c r="H738" t="n">
        <v/>
      </c>
      <c r="I738" t="n">
        <v/>
      </c>
    </row>
    <row r="739">
      <c r="A739" s="67" t="n">
        <v>44197</v>
      </c>
      <c r="B739" t="n">
        <v>110.1</v>
      </c>
      <c r="C739" t="n">
        <v>3714.239990234375</v>
      </c>
      <c r="D739" t="n">
        <v>79</v>
      </c>
      <c r="E739" t="n">
        <v>86.7</v>
      </c>
      <c r="F739" t="n">
        <v>74</v>
      </c>
      <c r="G739" t="n">
        <v>19055.655</v>
      </c>
      <c r="H739" t="n">
        <v>0.0151071689742494</v>
      </c>
      <c r="I739" t="n">
        <v>0.005440012426757331</v>
      </c>
    </row>
    <row r="740">
      <c r="A740" s="67" t="n">
        <v>44228</v>
      </c>
      <c r="B740" t="n">
        <v>110.1</v>
      </c>
      <c r="C740" t="n">
        <v>3811.14990234375</v>
      </c>
      <c r="D740" t="n">
        <v>76.8</v>
      </c>
      <c r="E740" t="n">
        <v>86.2</v>
      </c>
      <c r="F740" t="n">
        <v>70.7</v>
      </c>
      <c r="G740" t="n">
        <v/>
      </c>
      <c r="H740" t="n">
        <v/>
      </c>
      <c r="I740" t="n">
        <v/>
      </c>
    </row>
    <row r="741">
      <c r="A741" s="67" t="n">
        <v>44256</v>
      </c>
      <c r="B741" t="n">
        <v>111.6</v>
      </c>
      <c r="C741" t="n">
        <v>3972.889892578125</v>
      </c>
      <c r="D741" t="n">
        <v>84.90000000000001</v>
      </c>
      <c r="E741" t="n">
        <v>93</v>
      </c>
      <c r="F741" t="n">
        <v>79.7</v>
      </c>
      <c r="G741" t="n">
        <v/>
      </c>
      <c r="H741" t="n">
        <v/>
      </c>
      <c r="I741" t="n">
        <v/>
      </c>
    </row>
    <row r="742">
      <c r="A742" s="67" t="n">
        <v>44287</v>
      </c>
      <c r="B742" t="n">
        <v>113</v>
      </c>
      <c r="C742" t="n">
        <v>4181.169921875</v>
      </c>
      <c r="D742" t="n">
        <v>88.3</v>
      </c>
      <c r="E742" t="n">
        <v>97.2</v>
      </c>
      <c r="F742" t="n">
        <v>82.7</v>
      </c>
      <c r="G742" t="n">
        <v>19368.31</v>
      </c>
      <c r="H742" t="n">
        <v>0.01614260614374731</v>
      </c>
      <c r="I742" t="n">
        <v>0.1089462632516724</v>
      </c>
    </row>
    <row r="743">
      <c r="A743" s="67" t="n">
        <v>44317</v>
      </c>
      <c r="B743" t="n">
        <v>114.5</v>
      </c>
      <c r="C743" t="n">
        <v>4204.10986328125</v>
      </c>
      <c r="D743" t="n">
        <v>82.90000000000001</v>
      </c>
      <c r="E743" t="n">
        <v>89.40000000000001</v>
      </c>
      <c r="F743" t="n">
        <v>78.8</v>
      </c>
      <c r="G743" t="n">
        <v/>
      </c>
      <c r="H743" t="n">
        <v/>
      </c>
      <c r="I743" t="n">
        <v/>
      </c>
    </row>
    <row r="744">
      <c r="A744" s="67" t="n">
        <v>44348</v>
      </c>
      <c r="B744" t="n">
        <v>115.1</v>
      </c>
      <c r="C744" t="n">
        <v>4297.5</v>
      </c>
      <c r="D744" t="n">
        <v>85.5</v>
      </c>
      <c r="E744" t="n">
        <v>88.59999999999999</v>
      </c>
      <c r="F744" t="n">
        <v>83.5</v>
      </c>
      <c r="G744" t="n">
        <v/>
      </c>
      <c r="H744" t="n">
        <v/>
      </c>
      <c r="I744" t="n">
        <v/>
      </c>
    </row>
    <row r="745">
      <c r="A745" s="67" t="n">
        <v>44378</v>
      </c>
      <c r="B745" t="n">
        <v>116</v>
      </c>
      <c r="C745" t="n">
        <v>4395.259765625</v>
      </c>
      <c r="D745" t="n">
        <v>81.2</v>
      </c>
      <c r="E745" t="n">
        <v>84.5</v>
      </c>
      <c r="F745" t="n">
        <v>79</v>
      </c>
      <c r="G745" t="n">
        <v>19478.893</v>
      </c>
      <c r="H745" t="n">
        <v>0.005677067993545564</v>
      </c>
      <c r="I745" t="n">
        <v>0.04713404401369209</v>
      </c>
    </row>
    <row r="746">
      <c r="A746" s="67" t="n">
        <v>44409</v>
      </c>
      <c r="B746" t="n">
        <v>117.1</v>
      </c>
      <c r="C746" t="n">
        <v>4522.68017578125</v>
      </c>
      <c r="D746" t="n">
        <v>70.3</v>
      </c>
      <c r="E746" t="n">
        <v>78.5</v>
      </c>
      <c r="F746" t="n">
        <v>65.09999999999999</v>
      </c>
      <c r="G746" t="n">
        <v/>
      </c>
      <c r="H746" t="n">
        <v/>
      </c>
      <c r="I746" t="n">
        <v/>
      </c>
    </row>
    <row r="747">
      <c r="A747" s="67" t="n">
        <v>44440</v>
      </c>
      <c r="B747" t="n">
        <v>117.5</v>
      </c>
      <c r="C747" t="n">
        <v>4307.5400390625</v>
      </c>
      <c r="D747" t="n">
        <v>72.8</v>
      </c>
      <c r="E747" t="n">
        <v>80.09999999999999</v>
      </c>
      <c r="F747" t="n">
        <v>68.09999999999999</v>
      </c>
      <c r="G747" t="n">
        <v/>
      </c>
      <c r="H747" t="n">
        <v/>
      </c>
      <c r="I747" t="n">
        <v/>
      </c>
    </row>
    <row r="748">
      <c r="A748" s="67" t="n">
        <v>44470</v>
      </c>
      <c r="B748" t="n">
        <v>118.3</v>
      </c>
      <c r="C748" t="n">
        <v>4605.3798828125</v>
      </c>
      <c r="D748" t="n">
        <v>71.7</v>
      </c>
      <c r="E748" t="n">
        <v>77.7</v>
      </c>
      <c r="F748" t="n">
        <v>67.90000000000001</v>
      </c>
      <c r="G748" t="n">
        <v/>
      </c>
      <c r="H748" t="n">
        <v/>
      </c>
      <c r="I748" t="n">
        <v/>
      </c>
    </row>
    <row r="749">
      <c r="A749" s="67" t="n">
        <v>44501</v>
      </c>
      <c r="B749" t="n">
        <v>119.9</v>
      </c>
      <c r="C749" t="n">
        <v>4567</v>
      </c>
      <c r="D749" t="n">
        <v>67.40000000000001</v>
      </c>
      <c r="E749" t="n">
        <v>73.59999999999999</v>
      </c>
      <c r="F749" t="n">
        <v>63.5</v>
      </c>
      <c r="G749" t="n">
        <v/>
      </c>
      <c r="H749" t="n">
        <v/>
      </c>
      <c r="I749" t="n">
        <v/>
      </c>
    </row>
    <row r="750">
      <c r="A750" s="67" t="n">
        <v>44531</v>
      </c>
      <c r="B750" t="n">
        <v>120.8</v>
      </c>
      <c r="C750" t="n">
        <v>4766.18017578125</v>
      </c>
      <c r="D750" t="n">
        <v>70.59999999999999</v>
      </c>
      <c r="E750" t="n">
        <v>74.2</v>
      </c>
      <c r="F750" t="n">
        <v>68.3</v>
      </c>
      <c r="G750" t="n">
        <v/>
      </c>
      <c r="H750" t="n">
        <v/>
      </c>
      <c r="I750"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4"/>
  <sheetViews>
    <sheetView zoomScale="130" zoomScaleNormal="130" workbookViewId="0">
      <pane ySplit="9" topLeftCell="A715" activePane="bottomLeft" state="frozen"/>
      <selection activeCell="F487" sqref="F487"/>
      <selection pane="bottomLeft" activeCell="B762" sqref="B762"/>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16"/>
    <col width="9.1640625" customWidth="1" style="55" min="17"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sheetData>
  <conditionalFormatting sqref="B622:B764">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0"/>
  <sheetViews>
    <sheetView zoomScale="150" zoomScaleNormal="150" workbookViewId="0">
      <pane ySplit="6" topLeftCell="A207" activePane="bottomLeft" state="frozen"/>
      <selection pane="bottomLeft" activeCell="V214" sqref="V214"/>
    </sheetView>
  </sheetViews>
  <sheetFormatPr baseColWidth="10" defaultColWidth="9.1640625" defaultRowHeight="15"/>
  <cols>
    <col width="14.1640625" customWidth="1" style="16" min="1" max="1"/>
    <col width="16" customWidth="1" style="16" min="2" max="4"/>
    <col width="9.1640625" customWidth="1" style="55" min="5" max="14"/>
    <col width="9.1640625" customWidth="1" style="55" min="15"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LEI'!$A:$F,5)</f>
        <v/>
      </c>
      <c r="C7" s="15">
        <f>VLOOKUP(Table2[[#This Row],[Date]],'DB LEI'!$A:$F,5)</f>
        <v/>
      </c>
      <c r="D7" s="15">
        <f>VLOOKUP(Table2[[#This Row],[Date]],'DB LEI'!$A:$F,6)</f>
        <v/>
      </c>
    </row>
    <row r="8">
      <c r="A8" s="14" t="n">
        <v>36557</v>
      </c>
      <c r="B8" s="15">
        <f>VLOOKUP(Table2[[#This Row],[Date]],'DB LEI'!$A:$F,5)</f>
        <v/>
      </c>
      <c r="C8" s="15">
        <f>VLOOKUP(Table2[[#This Row],[Date]],'DB LEI'!$A:$F,5)</f>
        <v/>
      </c>
      <c r="D8" s="15">
        <f>VLOOKUP(Table2[[#This Row],[Date]],'DB LEI'!$A:$F,6)</f>
        <v/>
      </c>
    </row>
    <row r="9">
      <c r="A9" s="14" t="n">
        <v>36586</v>
      </c>
      <c r="B9" s="15">
        <f>VLOOKUP(Table2[[#This Row],[Date]],'DB LEI'!$A:$F,5)</f>
        <v/>
      </c>
      <c r="C9" s="15">
        <f>VLOOKUP(Table2[[#This Row],[Date]],'DB LEI'!$A:$F,5)</f>
        <v/>
      </c>
      <c r="D9" s="15">
        <f>VLOOKUP(Table2[[#This Row],[Date]],'DB LEI'!$A:$F,6)</f>
        <v/>
      </c>
    </row>
    <row r="10">
      <c r="A10" s="14" t="n">
        <v>36617</v>
      </c>
      <c r="B10" s="15">
        <f>VLOOKUP(Table2[[#This Row],[Date]],'DB LEI'!$A:$F,5)</f>
        <v/>
      </c>
      <c r="C10" s="15">
        <f>VLOOKUP(Table2[[#This Row],[Date]],'DB LEI'!$A:$F,5)</f>
        <v/>
      </c>
      <c r="D10" s="15">
        <f>VLOOKUP(Table2[[#This Row],[Date]],'DB LEI'!$A:$F,6)</f>
        <v/>
      </c>
    </row>
    <row r="11">
      <c r="A11" s="14" t="n">
        <v>36647</v>
      </c>
      <c r="B11" s="15">
        <f>VLOOKUP(Table2[[#This Row],[Date]],'DB LEI'!$A:$F,5)</f>
        <v/>
      </c>
      <c r="C11" s="15">
        <f>VLOOKUP(Table2[[#This Row],[Date]],'DB LEI'!$A:$F,5)</f>
        <v/>
      </c>
      <c r="D11" s="15">
        <f>VLOOKUP(Table2[[#This Row],[Date]],'DB LEI'!$A:$F,6)</f>
        <v/>
      </c>
    </row>
    <row r="12">
      <c r="A12" s="14" t="n">
        <v>36678</v>
      </c>
      <c r="B12" s="15">
        <f>VLOOKUP(Table2[[#This Row],[Date]],'DB LEI'!$A:$F,5)</f>
        <v/>
      </c>
      <c r="C12" s="15">
        <f>VLOOKUP(Table2[[#This Row],[Date]],'DB LEI'!$A:$F,5)</f>
        <v/>
      </c>
      <c r="D12" s="15">
        <f>VLOOKUP(Table2[[#This Row],[Date]],'DB LEI'!$A:$F,6)</f>
        <v/>
      </c>
    </row>
    <row r="13">
      <c r="A13" s="14" t="n">
        <v>36708</v>
      </c>
      <c r="B13" s="15">
        <f>VLOOKUP(Table2[[#This Row],[Date]],'DB LEI'!$A:$F,5)</f>
        <v/>
      </c>
      <c r="C13" s="15">
        <f>VLOOKUP(Table2[[#This Row],[Date]],'DB LEI'!$A:$F,5)</f>
        <v/>
      </c>
      <c r="D13" s="15">
        <f>VLOOKUP(Table2[[#This Row],[Date]],'DB LEI'!$A:$F,6)</f>
        <v/>
      </c>
    </row>
    <row r="14">
      <c r="A14" s="14" t="n">
        <v>36739</v>
      </c>
      <c r="B14" s="15">
        <f>VLOOKUP(Table2[[#This Row],[Date]],'DB LEI'!$A:$F,5)</f>
        <v/>
      </c>
      <c r="C14" s="15">
        <f>VLOOKUP(Table2[[#This Row],[Date]],'DB LEI'!$A:$F,5)</f>
        <v/>
      </c>
      <c r="D14" s="15">
        <f>VLOOKUP(Table2[[#This Row],[Date]],'DB LEI'!$A:$F,6)</f>
        <v/>
      </c>
    </row>
    <row r="15">
      <c r="A15" s="14" t="n">
        <v>36770</v>
      </c>
      <c r="B15" s="15">
        <f>VLOOKUP(Table2[[#This Row],[Date]],'DB LEI'!$A:$F,5)</f>
        <v/>
      </c>
      <c r="C15" s="15">
        <f>VLOOKUP(Table2[[#This Row],[Date]],'DB LEI'!$A:$F,5)</f>
        <v/>
      </c>
      <c r="D15" s="15">
        <f>VLOOKUP(Table2[[#This Row],[Date]],'DB LEI'!$A:$F,6)</f>
        <v/>
      </c>
    </row>
    <row r="16">
      <c r="A16" s="14" t="n">
        <v>36800</v>
      </c>
      <c r="B16" s="15">
        <f>VLOOKUP(Table2[[#This Row],[Date]],'DB LEI'!$A:$F,5)</f>
        <v/>
      </c>
      <c r="C16" s="15">
        <f>VLOOKUP(Table2[[#This Row],[Date]],'DB LEI'!$A:$F,5)</f>
        <v/>
      </c>
      <c r="D16" s="15">
        <f>VLOOKUP(Table2[[#This Row],[Date]],'DB LEI'!$A:$F,6)</f>
        <v/>
      </c>
    </row>
    <row r="17">
      <c r="A17" s="14" t="n">
        <v>36831</v>
      </c>
      <c r="B17" s="15">
        <f>VLOOKUP(Table2[[#This Row],[Date]],'DB LEI'!$A:$F,5)</f>
        <v/>
      </c>
      <c r="C17" s="15">
        <f>VLOOKUP(Table2[[#This Row],[Date]],'DB LEI'!$A:$F,5)</f>
        <v/>
      </c>
      <c r="D17" s="15">
        <f>VLOOKUP(Table2[[#This Row],[Date]],'DB LEI'!$A:$F,6)</f>
        <v/>
      </c>
    </row>
    <row r="18">
      <c r="A18" s="14" t="n">
        <v>36861</v>
      </c>
      <c r="B18" s="15">
        <f>VLOOKUP(Table2[[#This Row],[Date]],'DB LEI'!$A:$F,5)</f>
        <v/>
      </c>
      <c r="C18" s="15">
        <f>VLOOKUP(Table2[[#This Row],[Date]],'DB LEI'!$A:$F,5)</f>
        <v/>
      </c>
      <c r="D18" s="15">
        <f>VLOOKUP(Table2[[#This Row],[Date]],'DB LEI'!$A:$F,6)</f>
        <v/>
      </c>
    </row>
    <row r="19">
      <c r="A19" s="14" t="n">
        <v>36892</v>
      </c>
      <c r="B19" s="15">
        <f>VLOOKUP(Table2[[#This Row],[Date]],'DB LEI'!$A:$F,5)</f>
        <v/>
      </c>
      <c r="C19" s="15">
        <f>VLOOKUP(Table2[[#This Row],[Date]],'DB LEI'!$A:$F,5)</f>
        <v/>
      </c>
      <c r="D19" s="15">
        <f>VLOOKUP(Table2[[#This Row],[Date]],'DB LEI'!$A:$F,6)</f>
        <v/>
      </c>
    </row>
    <row r="20">
      <c r="A20" s="14" t="n">
        <v>36923</v>
      </c>
      <c r="B20" s="15">
        <f>VLOOKUP(Table2[[#This Row],[Date]],'DB LEI'!$A:$F,5)</f>
        <v/>
      </c>
      <c r="C20" s="15">
        <f>VLOOKUP(Table2[[#This Row],[Date]],'DB LEI'!$A:$F,5)</f>
        <v/>
      </c>
      <c r="D20" s="15">
        <f>VLOOKUP(Table2[[#This Row],[Date]],'DB LEI'!$A:$F,6)</f>
        <v/>
      </c>
    </row>
    <row r="21">
      <c r="A21" s="14" t="n">
        <v>36951</v>
      </c>
      <c r="B21" s="15">
        <f>VLOOKUP(Table2[[#This Row],[Date]],'DB LEI'!$A:$F,5)</f>
        <v/>
      </c>
      <c r="C21" s="15">
        <f>VLOOKUP(Table2[[#This Row],[Date]],'DB LEI'!$A:$F,5)</f>
        <v/>
      </c>
      <c r="D21" s="15">
        <f>VLOOKUP(Table2[[#This Row],[Date]],'DB LEI'!$A:$F,6)</f>
        <v/>
      </c>
    </row>
    <row r="22">
      <c r="A22" s="14" t="n">
        <v>36982</v>
      </c>
      <c r="B22" s="15">
        <f>VLOOKUP(Table2[[#This Row],[Date]],'DB LEI'!$A:$F,5)</f>
        <v/>
      </c>
      <c r="C22" s="15">
        <f>VLOOKUP(Table2[[#This Row],[Date]],'DB LEI'!$A:$F,5)</f>
        <v/>
      </c>
      <c r="D22" s="15">
        <f>VLOOKUP(Table2[[#This Row],[Date]],'DB LEI'!$A:$F,6)</f>
        <v/>
      </c>
    </row>
    <row r="23">
      <c r="A23" s="14" t="n">
        <v>37012</v>
      </c>
      <c r="B23" s="15">
        <f>VLOOKUP(Table2[[#This Row],[Date]],'DB LEI'!$A:$F,5)</f>
        <v/>
      </c>
      <c r="C23" s="15">
        <f>VLOOKUP(Table2[[#This Row],[Date]],'DB LEI'!$A:$F,5)</f>
        <v/>
      </c>
      <c r="D23" s="15">
        <f>VLOOKUP(Table2[[#This Row],[Date]],'DB LEI'!$A:$F,6)</f>
        <v/>
      </c>
    </row>
    <row r="24">
      <c r="A24" s="14" t="n">
        <v>37043</v>
      </c>
      <c r="B24" s="15">
        <f>VLOOKUP(Table2[[#This Row],[Date]],'DB LEI'!$A:$F,5)</f>
        <v/>
      </c>
      <c r="C24" s="15">
        <f>VLOOKUP(Table2[[#This Row],[Date]],'DB LEI'!$A:$F,5)</f>
        <v/>
      </c>
      <c r="D24" s="15">
        <f>VLOOKUP(Table2[[#This Row],[Date]],'DB LEI'!$A:$F,6)</f>
        <v/>
      </c>
    </row>
    <row r="25">
      <c r="A25" s="14" t="n">
        <v>37073</v>
      </c>
      <c r="B25" s="15">
        <f>VLOOKUP(Table2[[#This Row],[Date]],'DB LEI'!$A:$F,5)</f>
        <v/>
      </c>
      <c r="C25" s="15">
        <f>VLOOKUP(Table2[[#This Row],[Date]],'DB LEI'!$A:$F,5)</f>
        <v/>
      </c>
      <c r="D25" s="15">
        <f>VLOOKUP(Table2[[#This Row],[Date]],'DB LEI'!$A:$F,6)</f>
        <v/>
      </c>
    </row>
    <row r="26">
      <c r="A26" s="14" t="n">
        <v>37104</v>
      </c>
      <c r="B26" s="15">
        <f>VLOOKUP(Table2[[#This Row],[Date]],'DB LEI'!$A:$F,5)</f>
        <v/>
      </c>
      <c r="C26" s="15">
        <f>VLOOKUP(Table2[[#This Row],[Date]],'DB LEI'!$A:$F,5)</f>
        <v/>
      </c>
      <c r="D26" s="15">
        <f>VLOOKUP(Table2[[#This Row],[Date]],'DB LEI'!$A:$F,6)</f>
        <v/>
      </c>
    </row>
    <row r="27">
      <c r="A27" s="14" t="n">
        <v>37135</v>
      </c>
      <c r="B27" s="15">
        <f>VLOOKUP(Table2[[#This Row],[Date]],'DB LEI'!$A:$F,5)</f>
        <v/>
      </c>
      <c r="C27" s="15">
        <f>VLOOKUP(Table2[[#This Row],[Date]],'DB LEI'!$A:$F,5)</f>
        <v/>
      </c>
      <c r="D27" s="15">
        <f>VLOOKUP(Table2[[#This Row],[Date]],'DB LEI'!$A:$F,6)</f>
        <v/>
      </c>
    </row>
    <row r="28">
      <c r="A28" s="14" t="n">
        <v>37165</v>
      </c>
      <c r="B28" s="15">
        <f>VLOOKUP(Table2[[#This Row],[Date]],'DB LEI'!$A:$F,5)</f>
        <v/>
      </c>
      <c r="C28" s="15">
        <f>VLOOKUP(Table2[[#This Row],[Date]],'DB LEI'!$A:$F,5)</f>
        <v/>
      </c>
      <c r="D28" s="15">
        <f>VLOOKUP(Table2[[#This Row],[Date]],'DB LEI'!$A:$F,6)</f>
        <v/>
      </c>
    </row>
    <row r="29">
      <c r="A29" s="14" t="n">
        <v>37196</v>
      </c>
      <c r="B29" s="15">
        <f>VLOOKUP(Table2[[#This Row],[Date]],'DB LEI'!$A:$F,5)</f>
        <v/>
      </c>
      <c r="C29" s="15">
        <f>VLOOKUP(Table2[[#This Row],[Date]],'DB LEI'!$A:$F,5)</f>
        <v/>
      </c>
      <c r="D29" s="15">
        <f>VLOOKUP(Table2[[#This Row],[Date]],'DB LEI'!$A:$F,6)</f>
        <v/>
      </c>
    </row>
    <row r="30">
      <c r="A30" s="14" t="n">
        <v>37226</v>
      </c>
      <c r="B30" s="15">
        <f>VLOOKUP(Table2[[#This Row],[Date]],'DB LEI'!$A:$F,5)</f>
        <v/>
      </c>
      <c r="C30" s="15">
        <f>VLOOKUP(Table2[[#This Row],[Date]],'DB LEI'!$A:$F,5)</f>
        <v/>
      </c>
      <c r="D30" s="15">
        <f>VLOOKUP(Table2[[#This Row],[Date]],'DB LEI'!$A:$F,6)</f>
        <v/>
      </c>
    </row>
    <row r="31">
      <c r="A31" s="14" t="n">
        <v>37257</v>
      </c>
      <c r="B31" s="15">
        <f>VLOOKUP(Table2[[#This Row],[Date]],'DB LEI'!$A:$F,5)</f>
        <v/>
      </c>
      <c r="C31" s="15">
        <f>VLOOKUP(Table2[[#This Row],[Date]],'DB LEI'!$A:$F,5)</f>
        <v/>
      </c>
      <c r="D31" s="15">
        <f>VLOOKUP(Table2[[#This Row],[Date]],'DB LEI'!$A:$F,6)</f>
        <v/>
      </c>
    </row>
    <row r="32">
      <c r="A32" s="14" t="n">
        <v>37288</v>
      </c>
      <c r="B32" s="15">
        <f>VLOOKUP(Table2[[#This Row],[Date]],'DB LEI'!$A:$F,5)</f>
        <v/>
      </c>
      <c r="C32" s="15">
        <f>VLOOKUP(Table2[[#This Row],[Date]],'DB LEI'!$A:$F,5)</f>
        <v/>
      </c>
      <c r="D32" s="15">
        <f>VLOOKUP(Table2[[#This Row],[Date]],'DB LEI'!$A:$F,6)</f>
        <v/>
      </c>
    </row>
    <row r="33">
      <c r="A33" s="14" t="n">
        <v>37316</v>
      </c>
      <c r="B33" s="15">
        <f>VLOOKUP(Table2[[#This Row],[Date]],'DB LEI'!$A:$F,5)</f>
        <v/>
      </c>
      <c r="C33" s="15">
        <f>VLOOKUP(Table2[[#This Row],[Date]],'DB LEI'!$A:$F,5)</f>
        <v/>
      </c>
      <c r="D33" s="15">
        <f>VLOOKUP(Table2[[#This Row],[Date]],'DB LEI'!$A:$F,6)</f>
        <v/>
      </c>
    </row>
    <row r="34">
      <c r="A34" s="14" t="n">
        <v>37347</v>
      </c>
      <c r="B34" s="15">
        <f>VLOOKUP(Table2[[#This Row],[Date]],'DB LEI'!$A:$F,5)</f>
        <v/>
      </c>
      <c r="C34" s="15">
        <f>VLOOKUP(Table2[[#This Row],[Date]],'DB LEI'!$A:$F,5)</f>
        <v/>
      </c>
      <c r="D34" s="15">
        <f>VLOOKUP(Table2[[#This Row],[Date]],'DB LEI'!$A:$F,6)</f>
        <v/>
      </c>
    </row>
    <row r="35">
      <c r="A35" s="14" t="n">
        <v>37377</v>
      </c>
      <c r="B35" s="15">
        <f>VLOOKUP(Table2[[#This Row],[Date]],'DB LEI'!$A:$F,5)</f>
        <v/>
      </c>
      <c r="C35" s="15">
        <f>VLOOKUP(Table2[[#This Row],[Date]],'DB LEI'!$A:$F,5)</f>
        <v/>
      </c>
      <c r="D35" s="15">
        <f>VLOOKUP(Table2[[#This Row],[Date]],'DB LEI'!$A:$F,6)</f>
        <v/>
      </c>
    </row>
    <row r="36">
      <c r="A36" s="14" t="n">
        <v>37408</v>
      </c>
      <c r="B36" s="15">
        <f>VLOOKUP(Table2[[#This Row],[Date]],'DB LEI'!$A:$F,5)</f>
        <v/>
      </c>
      <c r="C36" s="15">
        <f>VLOOKUP(Table2[[#This Row],[Date]],'DB LEI'!$A:$F,5)</f>
        <v/>
      </c>
      <c r="D36" s="15">
        <f>VLOOKUP(Table2[[#This Row],[Date]],'DB LEI'!$A:$F,6)</f>
        <v/>
      </c>
    </row>
    <row r="37">
      <c r="A37" s="14" t="n">
        <v>37438</v>
      </c>
      <c r="B37" s="15">
        <f>VLOOKUP(Table2[[#This Row],[Date]],'DB LEI'!$A:$F,5)</f>
        <v/>
      </c>
      <c r="C37" s="15">
        <f>VLOOKUP(Table2[[#This Row],[Date]],'DB LEI'!$A:$F,5)</f>
        <v/>
      </c>
      <c r="D37" s="15">
        <f>VLOOKUP(Table2[[#This Row],[Date]],'DB LEI'!$A:$F,6)</f>
        <v/>
      </c>
    </row>
    <row r="38">
      <c r="A38" s="14" t="n">
        <v>37469</v>
      </c>
      <c r="B38" s="15">
        <f>VLOOKUP(Table2[[#This Row],[Date]],'DB LEI'!$A:$F,5)</f>
        <v/>
      </c>
      <c r="C38" s="15">
        <f>VLOOKUP(Table2[[#This Row],[Date]],'DB LEI'!$A:$F,5)</f>
        <v/>
      </c>
      <c r="D38" s="15">
        <f>VLOOKUP(Table2[[#This Row],[Date]],'DB LEI'!$A:$F,6)</f>
        <v/>
      </c>
    </row>
    <row r="39">
      <c r="A39" s="14" t="n">
        <v>37500</v>
      </c>
      <c r="B39" s="15">
        <f>VLOOKUP(Table2[[#This Row],[Date]],'DB LEI'!$A:$F,5)</f>
        <v/>
      </c>
      <c r="C39" s="15">
        <f>VLOOKUP(Table2[[#This Row],[Date]],'DB LEI'!$A:$F,5)</f>
        <v/>
      </c>
      <c r="D39" s="15">
        <f>VLOOKUP(Table2[[#This Row],[Date]],'DB LEI'!$A:$F,6)</f>
        <v/>
      </c>
    </row>
    <row r="40">
      <c r="A40" s="14" t="n">
        <v>37530</v>
      </c>
      <c r="B40" s="15">
        <f>VLOOKUP(Table2[[#This Row],[Date]],'DB LEI'!$A:$F,5)</f>
        <v/>
      </c>
      <c r="C40" s="15">
        <f>VLOOKUP(Table2[[#This Row],[Date]],'DB LEI'!$A:$F,5)</f>
        <v/>
      </c>
      <c r="D40" s="15">
        <f>VLOOKUP(Table2[[#This Row],[Date]],'DB LEI'!$A:$F,6)</f>
        <v/>
      </c>
    </row>
    <row r="41">
      <c r="A41" s="14" t="n">
        <v>37561</v>
      </c>
      <c r="B41" s="15">
        <f>VLOOKUP(Table2[[#This Row],[Date]],'DB LEI'!$A:$F,5)</f>
        <v/>
      </c>
      <c r="C41" s="15">
        <f>VLOOKUP(Table2[[#This Row],[Date]],'DB LEI'!$A:$F,5)</f>
        <v/>
      </c>
      <c r="D41" s="15">
        <f>VLOOKUP(Table2[[#This Row],[Date]],'DB LEI'!$A:$F,6)</f>
        <v/>
      </c>
    </row>
    <row r="42">
      <c r="A42" s="14" t="n">
        <v>37591</v>
      </c>
      <c r="B42" s="15">
        <f>VLOOKUP(Table2[[#This Row],[Date]],'DB LEI'!$A:$F,5)</f>
        <v/>
      </c>
      <c r="C42" s="15">
        <f>VLOOKUP(Table2[[#This Row],[Date]],'DB LEI'!$A:$F,5)</f>
        <v/>
      </c>
      <c r="D42" s="15">
        <f>VLOOKUP(Table2[[#This Row],[Date]],'DB LEI'!$A:$F,6)</f>
        <v/>
      </c>
    </row>
    <row r="43">
      <c r="A43" s="14" t="n">
        <v>37622</v>
      </c>
      <c r="B43" s="15">
        <f>VLOOKUP(Table2[[#This Row],[Date]],'DB LEI'!$A:$F,5)</f>
        <v/>
      </c>
      <c r="C43" s="15">
        <f>VLOOKUP(Table2[[#This Row],[Date]],'DB LEI'!$A:$F,5)</f>
        <v/>
      </c>
      <c r="D43" s="15">
        <f>VLOOKUP(Table2[[#This Row],[Date]],'DB LEI'!$A:$F,6)</f>
        <v/>
      </c>
    </row>
    <row r="44">
      <c r="A44" s="14" t="n">
        <v>37653</v>
      </c>
      <c r="B44" s="15">
        <f>VLOOKUP(Table2[[#This Row],[Date]],'DB LEI'!$A:$F,5)</f>
        <v/>
      </c>
      <c r="C44" s="15">
        <f>VLOOKUP(Table2[[#This Row],[Date]],'DB LEI'!$A:$F,5)</f>
        <v/>
      </c>
      <c r="D44" s="15">
        <f>VLOOKUP(Table2[[#This Row],[Date]],'DB LEI'!$A:$F,6)</f>
        <v/>
      </c>
    </row>
    <row r="45">
      <c r="A45" s="14" t="n">
        <v>37681</v>
      </c>
      <c r="B45" s="15">
        <f>VLOOKUP(Table2[[#This Row],[Date]],'DB LEI'!$A:$F,5)</f>
        <v/>
      </c>
      <c r="C45" s="15">
        <f>VLOOKUP(Table2[[#This Row],[Date]],'DB LEI'!$A:$F,5)</f>
        <v/>
      </c>
      <c r="D45" s="15">
        <f>VLOOKUP(Table2[[#This Row],[Date]],'DB LEI'!$A:$F,6)</f>
        <v/>
      </c>
    </row>
    <row r="46">
      <c r="A46" s="14" t="n">
        <v>37712</v>
      </c>
      <c r="B46" s="15">
        <f>VLOOKUP(Table2[[#This Row],[Date]],'DB LEI'!$A:$F,5)</f>
        <v/>
      </c>
      <c r="C46" s="15">
        <f>VLOOKUP(Table2[[#This Row],[Date]],'DB LEI'!$A:$F,5)</f>
        <v/>
      </c>
      <c r="D46" s="15">
        <f>VLOOKUP(Table2[[#This Row],[Date]],'DB LEI'!$A:$F,6)</f>
        <v/>
      </c>
    </row>
    <row r="47">
      <c r="A47" s="14" t="n">
        <v>37742</v>
      </c>
      <c r="B47" s="15">
        <f>VLOOKUP(Table2[[#This Row],[Date]],'DB LEI'!$A:$F,5)</f>
        <v/>
      </c>
      <c r="C47" s="15">
        <f>VLOOKUP(Table2[[#This Row],[Date]],'DB LEI'!$A:$F,5)</f>
        <v/>
      </c>
      <c r="D47" s="15">
        <f>VLOOKUP(Table2[[#This Row],[Date]],'DB LEI'!$A:$F,6)</f>
        <v/>
      </c>
    </row>
    <row r="48">
      <c r="A48" s="14" t="n">
        <v>37773</v>
      </c>
      <c r="B48" s="15">
        <f>VLOOKUP(Table2[[#This Row],[Date]],'DB LEI'!$A:$F,5)</f>
        <v/>
      </c>
      <c r="C48" s="15">
        <f>VLOOKUP(Table2[[#This Row],[Date]],'DB LEI'!$A:$F,5)</f>
        <v/>
      </c>
      <c r="D48" s="15">
        <f>VLOOKUP(Table2[[#This Row],[Date]],'DB LEI'!$A:$F,6)</f>
        <v/>
      </c>
    </row>
    <row r="49">
      <c r="A49" s="14" t="n">
        <v>37803</v>
      </c>
      <c r="B49" s="15">
        <f>VLOOKUP(Table2[[#This Row],[Date]],'DB LEI'!$A:$F,5)</f>
        <v/>
      </c>
      <c r="C49" s="15">
        <f>VLOOKUP(Table2[[#This Row],[Date]],'DB LEI'!$A:$F,5)</f>
        <v/>
      </c>
      <c r="D49" s="15">
        <f>VLOOKUP(Table2[[#This Row],[Date]],'DB LEI'!$A:$F,6)</f>
        <v/>
      </c>
    </row>
    <row r="50">
      <c r="A50" s="14" t="n">
        <v>37834</v>
      </c>
      <c r="B50" s="15">
        <f>VLOOKUP(Table2[[#This Row],[Date]],'DB LEI'!$A:$F,5)</f>
        <v/>
      </c>
      <c r="C50" s="15">
        <f>VLOOKUP(Table2[[#This Row],[Date]],'DB LEI'!$A:$F,5)</f>
        <v/>
      </c>
      <c r="D50" s="15">
        <f>VLOOKUP(Table2[[#This Row],[Date]],'DB LEI'!$A:$F,6)</f>
        <v/>
      </c>
    </row>
    <row r="51">
      <c r="A51" s="14" t="n">
        <v>37865</v>
      </c>
      <c r="B51" s="15">
        <f>VLOOKUP(Table2[[#This Row],[Date]],'DB LEI'!$A:$F,5)</f>
        <v/>
      </c>
      <c r="C51" s="15">
        <f>VLOOKUP(Table2[[#This Row],[Date]],'DB LEI'!$A:$F,5)</f>
        <v/>
      </c>
      <c r="D51" s="15">
        <f>VLOOKUP(Table2[[#This Row],[Date]],'DB LEI'!$A:$F,6)</f>
        <v/>
      </c>
    </row>
    <row r="52">
      <c r="A52" s="14" t="n">
        <v>37895</v>
      </c>
      <c r="B52" s="15">
        <f>VLOOKUP(Table2[[#This Row],[Date]],'DB LEI'!$A:$F,5)</f>
        <v/>
      </c>
      <c r="C52" s="15">
        <f>VLOOKUP(Table2[[#This Row],[Date]],'DB LEI'!$A:$F,5)</f>
        <v/>
      </c>
      <c r="D52" s="15">
        <f>VLOOKUP(Table2[[#This Row],[Date]],'DB LEI'!$A:$F,6)</f>
        <v/>
      </c>
    </row>
    <row r="53">
      <c r="A53" s="14" t="n">
        <v>37926</v>
      </c>
      <c r="B53" s="15">
        <f>VLOOKUP(Table2[[#This Row],[Date]],'DB LEI'!$A:$F,5)</f>
        <v/>
      </c>
      <c r="C53" s="15">
        <f>VLOOKUP(Table2[[#This Row],[Date]],'DB LEI'!$A:$F,5)</f>
        <v/>
      </c>
      <c r="D53" s="15">
        <f>VLOOKUP(Table2[[#This Row],[Date]],'DB LEI'!$A:$F,6)</f>
        <v/>
      </c>
    </row>
    <row r="54">
      <c r="A54" s="14" t="n">
        <v>37956</v>
      </c>
      <c r="B54" s="15">
        <f>VLOOKUP(Table2[[#This Row],[Date]],'DB LEI'!$A:$F,5)</f>
        <v/>
      </c>
      <c r="C54" s="15">
        <f>VLOOKUP(Table2[[#This Row],[Date]],'DB LEI'!$A:$F,5)</f>
        <v/>
      </c>
      <c r="D54" s="15">
        <f>VLOOKUP(Table2[[#This Row],[Date]],'DB LEI'!$A:$F,6)</f>
        <v/>
      </c>
    </row>
    <row r="55">
      <c r="A55" s="14" t="n">
        <v>37987</v>
      </c>
      <c r="B55" s="15">
        <f>VLOOKUP(Table2[[#This Row],[Date]],'DB LEI'!$A:$F,5)</f>
        <v/>
      </c>
      <c r="C55" s="15">
        <f>VLOOKUP(Table2[[#This Row],[Date]],'DB LEI'!$A:$F,5)</f>
        <v/>
      </c>
      <c r="D55" s="15">
        <f>VLOOKUP(Table2[[#This Row],[Date]],'DB LEI'!$A:$F,6)</f>
        <v/>
      </c>
    </row>
    <row r="56">
      <c r="A56" s="14" t="n">
        <v>38018</v>
      </c>
      <c r="B56" s="15">
        <f>VLOOKUP(Table2[[#This Row],[Date]],'DB LEI'!$A:$F,5)</f>
        <v/>
      </c>
      <c r="C56" s="15">
        <f>VLOOKUP(Table2[[#This Row],[Date]],'DB LEI'!$A:$F,5)</f>
        <v/>
      </c>
      <c r="D56" s="15">
        <f>VLOOKUP(Table2[[#This Row],[Date]],'DB LEI'!$A:$F,6)</f>
        <v/>
      </c>
    </row>
    <row r="57">
      <c r="A57" s="14" t="n">
        <v>38047</v>
      </c>
      <c r="B57" s="15">
        <f>VLOOKUP(Table2[[#This Row],[Date]],'DB LEI'!$A:$F,5)</f>
        <v/>
      </c>
      <c r="C57" s="15">
        <f>VLOOKUP(Table2[[#This Row],[Date]],'DB LEI'!$A:$F,5)</f>
        <v/>
      </c>
      <c r="D57" s="15">
        <f>VLOOKUP(Table2[[#This Row],[Date]],'DB LEI'!$A:$F,6)</f>
        <v/>
      </c>
    </row>
    <row r="58">
      <c r="A58" s="14" t="n">
        <v>38078</v>
      </c>
      <c r="B58" s="15">
        <f>VLOOKUP(Table2[[#This Row],[Date]],'DB LEI'!$A:$F,5)</f>
        <v/>
      </c>
      <c r="C58" s="15">
        <f>VLOOKUP(Table2[[#This Row],[Date]],'DB LEI'!$A:$F,5)</f>
        <v/>
      </c>
      <c r="D58" s="15">
        <f>VLOOKUP(Table2[[#This Row],[Date]],'DB LEI'!$A:$F,6)</f>
        <v/>
      </c>
    </row>
    <row r="59">
      <c r="A59" s="14" t="n">
        <v>38108</v>
      </c>
      <c r="B59" s="15">
        <f>VLOOKUP(Table2[[#This Row],[Date]],'DB LEI'!$A:$F,5)</f>
        <v/>
      </c>
      <c r="C59" s="15">
        <f>VLOOKUP(Table2[[#This Row],[Date]],'DB LEI'!$A:$F,5)</f>
        <v/>
      </c>
      <c r="D59" s="15">
        <f>VLOOKUP(Table2[[#This Row],[Date]],'DB LEI'!$A:$F,6)</f>
        <v/>
      </c>
    </row>
    <row r="60">
      <c r="A60" s="14" t="n">
        <v>38139</v>
      </c>
      <c r="B60" s="15">
        <f>VLOOKUP(Table2[[#This Row],[Date]],'DB LEI'!$A:$F,5)</f>
        <v/>
      </c>
      <c r="C60" s="15">
        <f>VLOOKUP(Table2[[#This Row],[Date]],'DB LEI'!$A:$F,5)</f>
        <v/>
      </c>
      <c r="D60" s="15">
        <f>VLOOKUP(Table2[[#This Row],[Date]],'DB LEI'!$A:$F,6)</f>
        <v/>
      </c>
    </row>
    <row r="61">
      <c r="A61" s="14" t="n">
        <v>38169</v>
      </c>
      <c r="B61" s="15">
        <f>VLOOKUP(Table2[[#This Row],[Date]],'DB LEI'!$A:$F,5)</f>
        <v/>
      </c>
      <c r="C61" s="15">
        <f>VLOOKUP(Table2[[#This Row],[Date]],'DB LEI'!$A:$F,5)</f>
        <v/>
      </c>
      <c r="D61" s="15">
        <f>VLOOKUP(Table2[[#This Row],[Date]],'DB LEI'!$A:$F,6)</f>
        <v/>
      </c>
    </row>
    <row r="62">
      <c r="A62" s="14" t="n">
        <v>38200</v>
      </c>
      <c r="B62" s="15">
        <f>VLOOKUP(Table2[[#This Row],[Date]],'DB LEI'!$A:$F,5)</f>
        <v/>
      </c>
      <c r="C62" s="15">
        <f>VLOOKUP(Table2[[#This Row],[Date]],'DB LEI'!$A:$F,5)</f>
        <v/>
      </c>
      <c r="D62" s="15">
        <f>VLOOKUP(Table2[[#This Row],[Date]],'DB LEI'!$A:$F,6)</f>
        <v/>
      </c>
    </row>
    <row r="63">
      <c r="A63" s="14" t="n">
        <v>38231</v>
      </c>
      <c r="B63" s="15">
        <f>VLOOKUP(Table2[[#This Row],[Date]],'DB LEI'!$A:$F,5)</f>
        <v/>
      </c>
      <c r="C63" s="15">
        <f>VLOOKUP(Table2[[#This Row],[Date]],'DB LEI'!$A:$F,5)</f>
        <v/>
      </c>
      <c r="D63" s="15">
        <f>VLOOKUP(Table2[[#This Row],[Date]],'DB LEI'!$A:$F,6)</f>
        <v/>
      </c>
    </row>
    <row r="64">
      <c r="A64" s="14" t="n">
        <v>38261</v>
      </c>
      <c r="B64" s="15">
        <f>VLOOKUP(Table2[[#This Row],[Date]],'DB LEI'!$A:$F,5)</f>
        <v/>
      </c>
      <c r="C64" s="15">
        <f>VLOOKUP(Table2[[#This Row],[Date]],'DB LEI'!$A:$F,5)</f>
        <v/>
      </c>
      <c r="D64" s="15">
        <f>VLOOKUP(Table2[[#This Row],[Date]],'DB LEI'!$A:$F,6)</f>
        <v/>
      </c>
    </row>
    <row r="65">
      <c r="A65" s="14" t="n">
        <v>38292</v>
      </c>
      <c r="B65" s="15">
        <f>VLOOKUP(Table2[[#This Row],[Date]],'DB LEI'!$A:$F,5)</f>
        <v/>
      </c>
      <c r="C65" s="15">
        <f>VLOOKUP(Table2[[#This Row],[Date]],'DB LEI'!$A:$F,5)</f>
        <v/>
      </c>
      <c r="D65" s="15">
        <f>VLOOKUP(Table2[[#This Row],[Date]],'DB LEI'!$A:$F,6)</f>
        <v/>
      </c>
    </row>
    <row r="66">
      <c r="A66" s="14" t="n">
        <v>38322</v>
      </c>
      <c r="B66" s="15">
        <f>VLOOKUP(Table2[[#This Row],[Date]],'DB LEI'!$A:$F,5)</f>
        <v/>
      </c>
      <c r="C66" s="15">
        <f>VLOOKUP(Table2[[#This Row],[Date]],'DB LEI'!$A:$F,5)</f>
        <v/>
      </c>
      <c r="D66" s="15">
        <f>VLOOKUP(Table2[[#This Row],[Date]],'DB LEI'!$A:$F,6)</f>
        <v/>
      </c>
    </row>
    <row r="67">
      <c r="A67" s="14" t="n">
        <v>38353</v>
      </c>
      <c r="B67" s="15">
        <f>VLOOKUP(Table2[[#This Row],[Date]],'DB LEI'!$A:$F,5)</f>
        <v/>
      </c>
      <c r="C67" s="15">
        <f>VLOOKUP(Table2[[#This Row],[Date]],'DB LEI'!$A:$F,5)</f>
        <v/>
      </c>
      <c r="D67" s="15">
        <f>VLOOKUP(Table2[[#This Row],[Date]],'DB LEI'!$A:$F,6)</f>
        <v/>
      </c>
    </row>
    <row r="68">
      <c r="A68" s="14" t="n">
        <v>38384</v>
      </c>
      <c r="B68" s="15">
        <f>VLOOKUP(Table2[[#This Row],[Date]],'DB LEI'!$A:$F,5)</f>
        <v/>
      </c>
      <c r="C68" s="15">
        <f>VLOOKUP(Table2[[#This Row],[Date]],'DB LEI'!$A:$F,5)</f>
        <v/>
      </c>
      <c r="D68" s="15">
        <f>VLOOKUP(Table2[[#This Row],[Date]],'DB LEI'!$A:$F,6)</f>
        <v/>
      </c>
    </row>
    <row r="69">
      <c r="A69" s="14" t="n">
        <v>38412</v>
      </c>
      <c r="B69" s="15">
        <f>VLOOKUP(Table2[[#This Row],[Date]],'DB LEI'!$A:$F,5)</f>
        <v/>
      </c>
      <c r="C69" s="15">
        <f>VLOOKUP(Table2[[#This Row],[Date]],'DB LEI'!$A:$F,5)</f>
        <v/>
      </c>
      <c r="D69" s="15">
        <f>VLOOKUP(Table2[[#This Row],[Date]],'DB LEI'!$A:$F,6)</f>
        <v/>
      </c>
    </row>
    <row r="70">
      <c r="A70" s="14" t="n">
        <v>38443</v>
      </c>
      <c r="B70" s="15">
        <f>VLOOKUP(Table2[[#This Row],[Date]],'DB LEI'!$A:$F,5)</f>
        <v/>
      </c>
      <c r="C70" s="15">
        <f>VLOOKUP(Table2[[#This Row],[Date]],'DB LEI'!$A:$F,5)</f>
        <v/>
      </c>
      <c r="D70" s="15">
        <f>VLOOKUP(Table2[[#This Row],[Date]],'DB LEI'!$A:$F,6)</f>
        <v/>
      </c>
    </row>
    <row r="71">
      <c r="A71" s="14" t="n">
        <v>38473</v>
      </c>
      <c r="B71" s="15">
        <f>VLOOKUP(Table2[[#This Row],[Date]],'DB LEI'!$A:$F,5)</f>
        <v/>
      </c>
      <c r="C71" s="15">
        <f>VLOOKUP(Table2[[#This Row],[Date]],'DB LEI'!$A:$F,5)</f>
        <v/>
      </c>
      <c r="D71" s="15">
        <f>VLOOKUP(Table2[[#This Row],[Date]],'DB LEI'!$A:$F,6)</f>
        <v/>
      </c>
    </row>
    <row r="72">
      <c r="A72" s="14" t="n">
        <v>38504</v>
      </c>
      <c r="B72" s="15">
        <f>VLOOKUP(Table2[[#This Row],[Date]],'DB LEI'!$A:$F,5)</f>
        <v/>
      </c>
      <c r="C72" s="15">
        <f>VLOOKUP(Table2[[#This Row],[Date]],'DB LEI'!$A:$F,5)</f>
        <v/>
      </c>
      <c r="D72" s="15">
        <f>VLOOKUP(Table2[[#This Row],[Date]],'DB LEI'!$A:$F,6)</f>
        <v/>
      </c>
    </row>
    <row r="73">
      <c r="A73" s="14" t="n">
        <v>38534</v>
      </c>
      <c r="B73" s="15">
        <f>VLOOKUP(Table2[[#This Row],[Date]],'DB LEI'!$A:$F,5)</f>
        <v/>
      </c>
      <c r="C73" s="15">
        <f>VLOOKUP(Table2[[#This Row],[Date]],'DB LEI'!$A:$F,5)</f>
        <v/>
      </c>
      <c r="D73" s="15">
        <f>VLOOKUP(Table2[[#This Row],[Date]],'DB LEI'!$A:$F,6)</f>
        <v/>
      </c>
    </row>
    <row r="74">
      <c r="A74" s="14" t="n">
        <v>38565</v>
      </c>
      <c r="B74" s="15">
        <f>VLOOKUP(Table2[[#This Row],[Date]],'DB LEI'!$A:$F,5)</f>
        <v/>
      </c>
      <c r="C74" s="15">
        <f>VLOOKUP(Table2[[#This Row],[Date]],'DB LEI'!$A:$F,5)</f>
        <v/>
      </c>
      <c r="D74" s="15">
        <f>VLOOKUP(Table2[[#This Row],[Date]],'DB LEI'!$A:$F,6)</f>
        <v/>
      </c>
    </row>
    <row r="75">
      <c r="A75" s="14" t="n">
        <v>38596</v>
      </c>
      <c r="B75" s="15">
        <f>VLOOKUP(Table2[[#This Row],[Date]],'DB LEI'!$A:$F,5)</f>
        <v/>
      </c>
      <c r="C75" s="15">
        <f>VLOOKUP(Table2[[#This Row],[Date]],'DB LEI'!$A:$F,5)</f>
        <v/>
      </c>
      <c r="D75" s="15">
        <f>VLOOKUP(Table2[[#This Row],[Date]],'DB LEI'!$A:$F,6)</f>
        <v/>
      </c>
    </row>
    <row r="76">
      <c r="A76" s="14" t="n">
        <v>38626</v>
      </c>
      <c r="B76" s="15">
        <f>VLOOKUP(Table2[[#This Row],[Date]],'DB LEI'!$A:$F,5)</f>
        <v/>
      </c>
      <c r="C76" s="15">
        <f>VLOOKUP(Table2[[#This Row],[Date]],'DB LEI'!$A:$F,5)</f>
        <v/>
      </c>
      <c r="D76" s="15">
        <f>VLOOKUP(Table2[[#This Row],[Date]],'DB LEI'!$A:$F,6)</f>
        <v/>
      </c>
    </row>
    <row r="77">
      <c r="A77" s="14" t="n">
        <v>38657</v>
      </c>
      <c r="B77" s="15">
        <f>VLOOKUP(Table2[[#This Row],[Date]],'DB LEI'!$A:$F,5)</f>
        <v/>
      </c>
      <c r="C77" s="15">
        <f>VLOOKUP(Table2[[#This Row],[Date]],'DB LEI'!$A:$F,5)</f>
        <v/>
      </c>
      <c r="D77" s="15">
        <f>VLOOKUP(Table2[[#This Row],[Date]],'DB LEI'!$A:$F,6)</f>
        <v/>
      </c>
    </row>
    <row r="78">
      <c r="A78" s="14" t="n">
        <v>38687</v>
      </c>
      <c r="B78" s="15">
        <f>VLOOKUP(Table2[[#This Row],[Date]],'DB LEI'!$A:$F,5)</f>
        <v/>
      </c>
      <c r="C78" s="15">
        <f>VLOOKUP(Table2[[#This Row],[Date]],'DB LEI'!$A:$F,5)</f>
        <v/>
      </c>
      <c r="D78" s="15">
        <f>VLOOKUP(Table2[[#This Row],[Date]],'DB LEI'!$A:$F,6)</f>
        <v/>
      </c>
    </row>
    <row r="79">
      <c r="A79" s="14" t="n">
        <v>38718</v>
      </c>
      <c r="B79" s="15">
        <f>VLOOKUP(Table2[[#This Row],[Date]],'DB LEI'!$A:$F,5)</f>
        <v/>
      </c>
      <c r="C79" s="15">
        <f>VLOOKUP(Table2[[#This Row],[Date]],'DB LEI'!$A:$F,5)</f>
        <v/>
      </c>
      <c r="D79" s="15">
        <f>VLOOKUP(Table2[[#This Row],[Date]],'DB LEI'!$A:$F,6)</f>
        <v/>
      </c>
    </row>
    <row r="80">
      <c r="A80" s="14" t="n">
        <v>38749</v>
      </c>
      <c r="B80" s="15">
        <f>VLOOKUP(Table2[[#This Row],[Date]],'DB LEI'!$A:$F,5)</f>
        <v/>
      </c>
      <c r="C80" s="15">
        <f>VLOOKUP(Table2[[#This Row],[Date]],'DB LEI'!$A:$F,5)</f>
        <v/>
      </c>
      <c r="D80" s="15">
        <f>VLOOKUP(Table2[[#This Row],[Date]],'DB LEI'!$A:$F,6)</f>
        <v/>
      </c>
    </row>
    <row r="81">
      <c r="A81" s="14" t="n">
        <v>38777</v>
      </c>
      <c r="B81" s="15">
        <f>VLOOKUP(Table2[[#This Row],[Date]],'DB LEI'!$A:$F,5)</f>
        <v/>
      </c>
      <c r="C81" s="15">
        <f>VLOOKUP(Table2[[#This Row],[Date]],'DB LEI'!$A:$F,5)</f>
        <v/>
      </c>
      <c r="D81" s="15">
        <f>VLOOKUP(Table2[[#This Row],[Date]],'DB LEI'!$A:$F,6)</f>
        <v/>
      </c>
    </row>
    <row r="82">
      <c r="A82" s="14" t="n">
        <v>38808</v>
      </c>
      <c r="B82" s="15">
        <f>VLOOKUP(Table2[[#This Row],[Date]],'DB LEI'!$A:$F,5)</f>
        <v/>
      </c>
      <c r="C82" s="15">
        <f>VLOOKUP(Table2[[#This Row],[Date]],'DB LEI'!$A:$F,5)</f>
        <v/>
      </c>
      <c r="D82" s="15">
        <f>VLOOKUP(Table2[[#This Row],[Date]],'DB LEI'!$A:$F,6)</f>
        <v/>
      </c>
    </row>
    <row r="83">
      <c r="A83" s="14" t="n">
        <v>38838</v>
      </c>
      <c r="B83" s="15">
        <f>VLOOKUP(Table2[[#This Row],[Date]],'DB LEI'!$A:$F,5)</f>
        <v/>
      </c>
      <c r="C83" s="15">
        <f>VLOOKUP(Table2[[#This Row],[Date]],'DB LEI'!$A:$F,5)</f>
        <v/>
      </c>
      <c r="D83" s="15">
        <f>VLOOKUP(Table2[[#This Row],[Date]],'DB LEI'!$A:$F,6)</f>
        <v/>
      </c>
    </row>
    <row r="84">
      <c r="A84" s="14" t="n">
        <v>38869</v>
      </c>
      <c r="B84" s="15">
        <f>VLOOKUP(Table2[[#This Row],[Date]],'DB LEI'!$A:$F,5)</f>
        <v/>
      </c>
      <c r="C84" s="15">
        <f>VLOOKUP(Table2[[#This Row],[Date]],'DB LEI'!$A:$F,5)</f>
        <v/>
      </c>
      <c r="D84" s="15">
        <f>VLOOKUP(Table2[[#This Row],[Date]],'DB LEI'!$A:$F,6)</f>
        <v/>
      </c>
    </row>
    <row r="85">
      <c r="A85" s="14" t="n">
        <v>38899</v>
      </c>
      <c r="B85" s="15">
        <f>VLOOKUP(Table2[[#This Row],[Date]],'DB LEI'!$A:$F,5)</f>
        <v/>
      </c>
      <c r="C85" s="15">
        <f>VLOOKUP(Table2[[#This Row],[Date]],'DB LEI'!$A:$F,5)</f>
        <v/>
      </c>
      <c r="D85" s="15">
        <f>VLOOKUP(Table2[[#This Row],[Date]],'DB LEI'!$A:$F,6)</f>
        <v/>
      </c>
    </row>
    <row r="86">
      <c r="A86" s="14" t="n">
        <v>38930</v>
      </c>
      <c r="B86" s="15">
        <f>VLOOKUP(Table2[[#This Row],[Date]],'DB LEI'!$A:$F,5)</f>
        <v/>
      </c>
      <c r="C86" s="15">
        <f>VLOOKUP(Table2[[#This Row],[Date]],'DB LEI'!$A:$F,5)</f>
        <v/>
      </c>
      <c r="D86" s="15">
        <f>VLOOKUP(Table2[[#This Row],[Date]],'DB LEI'!$A:$F,6)</f>
        <v/>
      </c>
    </row>
    <row r="87">
      <c r="A87" s="14" t="n">
        <v>38961</v>
      </c>
      <c r="B87" s="15">
        <f>VLOOKUP(Table2[[#This Row],[Date]],'DB LEI'!$A:$F,5)</f>
        <v/>
      </c>
      <c r="C87" s="15">
        <f>VLOOKUP(Table2[[#This Row],[Date]],'DB LEI'!$A:$F,5)</f>
        <v/>
      </c>
      <c r="D87" s="15">
        <f>VLOOKUP(Table2[[#This Row],[Date]],'DB LEI'!$A:$F,6)</f>
        <v/>
      </c>
    </row>
    <row r="88">
      <c r="A88" s="14" t="n">
        <v>38991</v>
      </c>
      <c r="B88" s="15">
        <f>VLOOKUP(Table2[[#This Row],[Date]],'DB LEI'!$A:$F,5)</f>
        <v/>
      </c>
      <c r="C88" s="15">
        <f>VLOOKUP(Table2[[#This Row],[Date]],'DB LEI'!$A:$F,5)</f>
        <v/>
      </c>
      <c r="D88" s="15">
        <f>VLOOKUP(Table2[[#This Row],[Date]],'DB LEI'!$A:$F,6)</f>
        <v/>
      </c>
    </row>
    <row r="89">
      <c r="A89" s="14" t="n">
        <v>39022</v>
      </c>
      <c r="B89" s="15">
        <f>VLOOKUP(Table2[[#This Row],[Date]],'DB LEI'!$A:$F,5)</f>
        <v/>
      </c>
      <c r="C89" s="15">
        <f>VLOOKUP(Table2[[#This Row],[Date]],'DB LEI'!$A:$F,5)</f>
        <v/>
      </c>
      <c r="D89" s="15">
        <f>VLOOKUP(Table2[[#This Row],[Date]],'DB LEI'!$A:$F,6)</f>
        <v/>
      </c>
    </row>
    <row r="90">
      <c r="A90" s="14" t="n">
        <v>39052</v>
      </c>
      <c r="B90" s="15">
        <f>VLOOKUP(Table2[[#This Row],[Date]],'DB LEI'!$A:$F,5)</f>
        <v/>
      </c>
      <c r="C90" s="15">
        <f>VLOOKUP(Table2[[#This Row],[Date]],'DB LEI'!$A:$F,5)</f>
        <v/>
      </c>
      <c r="D90" s="15">
        <f>VLOOKUP(Table2[[#This Row],[Date]],'DB LEI'!$A:$F,6)</f>
        <v/>
      </c>
    </row>
    <row r="91">
      <c r="A91" s="14" t="n">
        <v>39083</v>
      </c>
      <c r="B91" s="15">
        <f>VLOOKUP(Table2[[#This Row],[Date]],'DB LEI'!$A:$F,5)</f>
        <v/>
      </c>
      <c r="C91" s="15">
        <f>VLOOKUP(Table2[[#This Row],[Date]],'DB LEI'!$A:$F,5)</f>
        <v/>
      </c>
      <c r="D91" s="15">
        <f>VLOOKUP(Table2[[#This Row],[Date]],'DB LEI'!$A:$F,6)</f>
        <v/>
      </c>
    </row>
    <row r="92">
      <c r="A92" s="14" t="n">
        <v>39114</v>
      </c>
      <c r="B92" s="15">
        <f>VLOOKUP(Table2[[#This Row],[Date]],'DB LEI'!$A:$F,5)</f>
        <v/>
      </c>
      <c r="C92" s="15">
        <f>VLOOKUP(Table2[[#This Row],[Date]],'DB LEI'!$A:$F,5)</f>
        <v/>
      </c>
      <c r="D92" s="15">
        <f>VLOOKUP(Table2[[#This Row],[Date]],'DB LEI'!$A:$F,6)</f>
        <v/>
      </c>
    </row>
    <row r="93">
      <c r="A93" s="14" t="n">
        <v>39142</v>
      </c>
      <c r="B93" s="15">
        <f>VLOOKUP(Table2[[#This Row],[Date]],'DB LEI'!$A:$F,5)</f>
        <v/>
      </c>
      <c r="C93" s="15">
        <f>VLOOKUP(Table2[[#This Row],[Date]],'DB LEI'!$A:$F,5)</f>
        <v/>
      </c>
      <c r="D93" s="15">
        <f>VLOOKUP(Table2[[#This Row],[Date]],'DB LEI'!$A:$F,6)</f>
        <v/>
      </c>
    </row>
    <row r="94">
      <c r="A94" s="14" t="n">
        <v>39173</v>
      </c>
      <c r="B94" s="15">
        <f>VLOOKUP(Table2[[#This Row],[Date]],'DB LEI'!$A:$F,5)</f>
        <v/>
      </c>
      <c r="C94" s="15">
        <f>VLOOKUP(Table2[[#This Row],[Date]],'DB LEI'!$A:$F,5)</f>
        <v/>
      </c>
      <c r="D94" s="15">
        <f>VLOOKUP(Table2[[#This Row],[Date]],'DB LEI'!$A:$F,6)</f>
        <v/>
      </c>
    </row>
    <row r="95">
      <c r="A95" s="14" t="n">
        <v>39203</v>
      </c>
      <c r="B95" s="15">
        <f>VLOOKUP(Table2[[#This Row],[Date]],'DB LEI'!$A:$F,5)</f>
        <v/>
      </c>
      <c r="C95" s="15">
        <f>VLOOKUP(Table2[[#This Row],[Date]],'DB LEI'!$A:$F,5)</f>
        <v/>
      </c>
      <c r="D95" s="15">
        <f>VLOOKUP(Table2[[#This Row],[Date]],'DB LEI'!$A:$F,6)</f>
        <v/>
      </c>
    </row>
    <row r="96">
      <c r="A96" s="14" t="n">
        <v>39234</v>
      </c>
      <c r="B96" s="15">
        <f>VLOOKUP(Table2[[#This Row],[Date]],'DB LEI'!$A:$F,5)</f>
        <v/>
      </c>
      <c r="C96" s="15">
        <f>VLOOKUP(Table2[[#This Row],[Date]],'DB LEI'!$A:$F,5)</f>
        <v/>
      </c>
      <c r="D96" s="15">
        <f>VLOOKUP(Table2[[#This Row],[Date]],'DB LEI'!$A:$F,6)</f>
        <v/>
      </c>
    </row>
    <row r="97">
      <c r="A97" s="14" t="n">
        <v>39264</v>
      </c>
      <c r="B97" s="15">
        <f>VLOOKUP(Table2[[#This Row],[Date]],'DB LEI'!$A:$F,5)</f>
        <v/>
      </c>
      <c r="C97" s="15">
        <f>VLOOKUP(Table2[[#This Row],[Date]],'DB LEI'!$A:$F,5)</f>
        <v/>
      </c>
      <c r="D97" s="15">
        <f>VLOOKUP(Table2[[#This Row],[Date]],'DB LEI'!$A:$F,6)</f>
        <v/>
      </c>
    </row>
    <row r="98">
      <c r="A98" s="14" t="n">
        <v>39295</v>
      </c>
      <c r="B98" s="15">
        <f>VLOOKUP(Table2[[#This Row],[Date]],'DB LEI'!$A:$F,5)</f>
        <v/>
      </c>
      <c r="C98" s="15">
        <f>VLOOKUP(Table2[[#This Row],[Date]],'DB LEI'!$A:$F,5)</f>
        <v/>
      </c>
      <c r="D98" s="15">
        <f>VLOOKUP(Table2[[#This Row],[Date]],'DB LEI'!$A:$F,6)</f>
        <v/>
      </c>
    </row>
    <row r="99">
      <c r="A99" s="14" t="n">
        <v>39326</v>
      </c>
      <c r="B99" s="15">
        <f>VLOOKUP(Table2[[#This Row],[Date]],'DB LEI'!$A:$F,5)</f>
        <v/>
      </c>
      <c r="C99" s="15">
        <f>VLOOKUP(Table2[[#This Row],[Date]],'DB LEI'!$A:$F,5)</f>
        <v/>
      </c>
      <c r="D99" s="15">
        <f>VLOOKUP(Table2[[#This Row],[Date]],'DB LEI'!$A:$F,6)</f>
        <v/>
      </c>
    </row>
    <row r="100">
      <c r="A100" s="14" t="n">
        <v>39356</v>
      </c>
      <c r="B100" s="15">
        <f>VLOOKUP(Table2[[#This Row],[Date]],'DB LEI'!$A:$F,5)</f>
        <v/>
      </c>
      <c r="C100" s="15">
        <f>VLOOKUP(Table2[[#This Row],[Date]],'DB LEI'!$A:$F,5)</f>
        <v/>
      </c>
      <c r="D100" s="15">
        <f>VLOOKUP(Table2[[#This Row],[Date]],'DB LEI'!$A:$F,6)</f>
        <v/>
      </c>
    </row>
    <row r="101">
      <c r="A101" s="14" t="n">
        <v>39387</v>
      </c>
      <c r="B101" s="15">
        <f>VLOOKUP(Table2[[#This Row],[Date]],'DB LEI'!$A:$F,5)</f>
        <v/>
      </c>
      <c r="C101" s="15">
        <f>VLOOKUP(Table2[[#This Row],[Date]],'DB LEI'!$A:$F,5)</f>
        <v/>
      </c>
      <c r="D101" s="15">
        <f>VLOOKUP(Table2[[#This Row],[Date]],'DB LEI'!$A:$F,6)</f>
        <v/>
      </c>
    </row>
    <row r="102">
      <c r="A102" s="14" t="n">
        <v>39417</v>
      </c>
      <c r="B102" s="15">
        <f>VLOOKUP(Table2[[#This Row],[Date]],'DB LEI'!$A:$F,5)</f>
        <v/>
      </c>
      <c r="C102" s="15">
        <f>VLOOKUP(Table2[[#This Row],[Date]],'DB LEI'!$A:$F,5)</f>
        <v/>
      </c>
      <c r="D102" s="15">
        <f>VLOOKUP(Table2[[#This Row],[Date]],'DB LEI'!$A:$F,6)</f>
        <v/>
      </c>
    </row>
    <row r="103">
      <c r="A103" s="14" t="n">
        <v>39448</v>
      </c>
      <c r="B103" s="15">
        <f>VLOOKUP(Table2[[#This Row],[Date]],'DB LEI'!$A:$F,5)</f>
        <v/>
      </c>
      <c r="C103" s="15">
        <f>VLOOKUP(Table2[[#This Row],[Date]],'DB LEI'!$A:$F,5)</f>
        <v/>
      </c>
      <c r="D103" s="15">
        <f>VLOOKUP(Table2[[#This Row],[Date]],'DB LEI'!$A:$F,6)</f>
        <v/>
      </c>
    </row>
    <row r="104">
      <c r="A104" s="14" t="n">
        <v>39479</v>
      </c>
      <c r="B104" s="15">
        <f>VLOOKUP(Table2[[#This Row],[Date]],'DB LEI'!$A:$F,5)</f>
        <v/>
      </c>
      <c r="C104" s="15">
        <f>VLOOKUP(Table2[[#This Row],[Date]],'DB LEI'!$A:$F,5)</f>
        <v/>
      </c>
      <c r="D104" s="15">
        <f>VLOOKUP(Table2[[#This Row],[Date]],'DB LEI'!$A:$F,6)</f>
        <v/>
      </c>
    </row>
    <row r="105">
      <c r="A105" s="14" t="n">
        <v>39508</v>
      </c>
      <c r="B105" s="15">
        <f>VLOOKUP(Table2[[#This Row],[Date]],'DB LEI'!$A:$F,5)</f>
        <v/>
      </c>
      <c r="C105" s="15">
        <f>VLOOKUP(Table2[[#This Row],[Date]],'DB LEI'!$A:$F,5)</f>
        <v/>
      </c>
      <c r="D105" s="15">
        <f>VLOOKUP(Table2[[#This Row],[Date]],'DB LEI'!$A:$F,6)</f>
        <v/>
      </c>
    </row>
    <row r="106">
      <c r="A106" s="14" t="n">
        <v>39539</v>
      </c>
      <c r="B106" s="15">
        <f>VLOOKUP(Table2[[#This Row],[Date]],'DB LEI'!$A:$F,5)</f>
        <v/>
      </c>
      <c r="C106" s="15">
        <f>VLOOKUP(Table2[[#This Row],[Date]],'DB LEI'!$A:$F,5)</f>
        <v/>
      </c>
      <c r="D106" s="15">
        <f>VLOOKUP(Table2[[#This Row],[Date]],'DB LEI'!$A:$F,6)</f>
        <v/>
      </c>
    </row>
    <row r="107">
      <c r="A107" s="14" t="n">
        <v>39569</v>
      </c>
      <c r="B107" s="15">
        <f>VLOOKUP(Table2[[#This Row],[Date]],'DB LEI'!$A:$F,5)</f>
        <v/>
      </c>
      <c r="C107" s="15">
        <f>VLOOKUP(Table2[[#This Row],[Date]],'DB LEI'!$A:$F,5)</f>
        <v/>
      </c>
      <c r="D107" s="15">
        <f>VLOOKUP(Table2[[#This Row],[Date]],'DB LEI'!$A:$F,6)</f>
        <v/>
      </c>
    </row>
    <row r="108">
      <c r="A108" s="14" t="n">
        <v>39600</v>
      </c>
      <c r="B108" s="15">
        <f>VLOOKUP(Table2[[#This Row],[Date]],'DB LEI'!$A:$F,5)</f>
        <v/>
      </c>
      <c r="C108" s="15">
        <f>VLOOKUP(Table2[[#This Row],[Date]],'DB LEI'!$A:$F,5)</f>
        <v/>
      </c>
      <c r="D108" s="15">
        <f>VLOOKUP(Table2[[#This Row],[Date]],'DB LEI'!$A:$F,6)</f>
        <v/>
      </c>
    </row>
    <row r="109">
      <c r="A109" s="14" t="n">
        <v>39630</v>
      </c>
      <c r="B109" s="15">
        <f>VLOOKUP(Table2[[#This Row],[Date]],'DB LEI'!$A:$F,5)</f>
        <v/>
      </c>
      <c r="C109" s="15">
        <f>VLOOKUP(Table2[[#This Row],[Date]],'DB LEI'!$A:$F,5)</f>
        <v/>
      </c>
      <c r="D109" s="15">
        <f>VLOOKUP(Table2[[#This Row],[Date]],'DB LEI'!$A:$F,6)</f>
        <v/>
      </c>
    </row>
    <row r="110">
      <c r="A110" s="14" t="n">
        <v>39661</v>
      </c>
      <c r="B110" s="15">
        <f>VLOOKUP(Table2[[#This Row],[Date]],'DB LEI'!$A:$F,5)</f>
        <v/>
      </c>
      <c r="C110" s="15">
        <f>VLOOKUP(Table2[[#This Row],[Date]],'DB LEI'!$A:$F,5)</f>
        <v/>
      </c>
      <c r="D110" s="15">
        <f>VLOOKUP(Table2[[#This Row],[Date]],'DB LEI'!$A:$F,6)</f>
        <v/>
      </c>
    </row>
    <row r="111">
      <c r="A111" s="14" t="n">
        <v>39692</v>
      </c>
      <c r="B111" s="15">
        <f>VLOOKUP(Table2[[#This Row],[Date]],'DB LEI'!$A:$F,5)</f>
        <v/>
      </c>
      <c r="C111" s="15">
        <f>VLOOKUP(Table2[[#This Row],[Date]],'DB LEI'!$A:$F,5)</f>
        <v/>
      </c>
      <c r="D111" s="15">
        <f>VLOOKUP(Table2[[#This Row],[Date]],'DB LEI'!$A:$F,6)</f>
        <v/>
      </c>
    </row>
    <row r="112">
      <c r="A112" s="14" t="n">
        <v>39722</v>
      </c>
      <c r="B112" s="15">
        <f>VLOOKUP(Table2[[#This Row],[Date]],'DB LEI'!$A:$F,5)</f>
        <v/>
      </c>
      <c r="C112" s="15">
        <f>VLOOKUP(Table2[[#This Row],[Date]],'DB LEI'!$A:$F,5)</f>
        <v/>
      </c>
      <c r="D112" s="15">
        <f>VLOOKUP(Table2[[#This Row],[Date]],'DB LEI'!$A:$F,6)</f>
        <v/>
      </c>
    </row>
    <row r="113">
      <c r="A113" s="14" t="n">
        <v>39753</v>
      </c>
      <c r="B113" s="15">
        <f>VLOOKUP(Table2[[#This Row],[Date]],'DB LEI'!$A:$F,5)</f>
        <v/>
      </c>
      <c r="C113" s="15">
        <f>VLOOKUP(Table2[[#This Row],[Date]],'DB LEI'!$A:$F,5)</f>
        <v/>
      </c>
      <c r="D113" s="15">
        <f>VLOOKUP(Table2[[#This Row],[Date]],'DB LEI'!$A:$F,6)</f>
        <v/>
      </c>
    </row>
    <row r="114">
      <c r="A114" s="14" t="n">
        <v>39783</v>
      </c>
      <c r="B114" s="15">
        <f>VLOOKUP(Table2[[#This Row],[Date]],'DB LEI'!$A:$F,5)</f>
        <v/>
      </c>
      <c r="C114" s="15">
        <f>VLOOKUP(Table2[[#This Row],[Date]],'DB LEI'!$A:$F,5)</f>
        <v/>
      </c>
      <c r="D114" s="15">
        <f>VLOOKUP(Table2[[#This Row],[Date]],'DB LEI'!$A:$F,6)</f>
        <v/>
      </c>
    </row>
    <row r="115">
      <c r="A115" s="14" t="n">
        <v>39814</v>
      </c>
      <c r="B115" s="15">
        <f>VLOOKUP(Table2[[#This Row],[Date]],'DB LEI'!$A:$F,5)</f>
        <v/>
      </c>
      <c r="C115" s="15">
        <f>VLOOKUP(Table2[[#This Row],[Date]],'DB LEI'!$A:$F,5)</f>
        <v/>
      </c>
      <c r="D115" s="15">
        <f>VLOOKUP(Table2[[#This Row],[Date]],'DB LEI'!$A:$F,6)</f>
        <v/>
      </c>
    </row>
    <row r="116">
      <c r="A116" s="14" t="n">
        <v>39845</v>
      </c>
      <c r="B116" s="15">
        <f>VLOOKUP(Table2[[#This Row],[Date]],'DB LEI'!$A:$F,5)</f>
        <v/>
      </c>
      <c r="C116" s="15">
        <f>VLOOKUP(Table2[[#This Row],[Date]],'DB LEI'!$A:$F,5)</f>
        <v/>
      </c>
      <c r="D116" s="15">
        <f>VLOOKUP(Table2[[#This Row],[Date]],'DB LEI'!$A:$F,6)</f>
        <v/>
      </c>
    </row>
    <row r="117">
      <c r="A117" s="14" t="n">
        <v>39873</v>
      </c>
      <c r="B117" s="15">
        <f>VLOOKUP(Table2[[#This Row],[Date]],'DB LEI'!$A:$F,5)</f>
        <v/>
      </c>
      <c r="C117" s="15">
        <f>VLOOKUP(Table2[[#This Row],[Date]],'DB LEI'!$A:$F,5)</f>
        <v/>
      </c>
      <c r="D117" s="15">
        <f>VLOOKUP(Table2[[#This Row],[Date]],'DB LEI'!$A:$F,6)</f>
        <v/>
      </c>
    </row>
    <row r="118">
      <c r="A118" s="14" t="n">
        <v>39904</v>
      </c>
      <c r="B118" s="15">
        <f>VLOOKUP(Table2[[#This Row],[Date]],'DB LEI'!$A:$F,5)</f>
        <v/>
      </c>
      <c r="C118" s="15">
        <f>VLOOKUP(Table2[[#This Row],[Date]],'DB LEI'!$A:$F,5)</f>
        <v/>
      </c>
      <c r="D118" s="15">
        <f>VLOOKUP(Table2[[#This Row],[Date]],'DB LEI'!$A:$F,6)</f>
        <v/>
      </c>
    </row>
    <row r="119">
      <c r="A119" s="14" t="n">
        <v>39934</v>
      </c>
      <c r="B119" s="15">
        <f>VLOOKUP(Table2[[#This Row],[Date]],'DB LEI'!$A:$F,5)</f>
        <v/>
      </c>
      <c r="C119" s="15">
        <f>VLOOKUP(Table2[[#This Row],[Date]],'DB LEI'!$A:$F,5)</f>
        <v/>
      </c>
      <c r="D119" s="15">
        <f>VLOOKUP(Table2[[#This Row],[Date]],'DB LEI'!$A:$F,6)</f>
        <v/>
      </c>
    </row>
    <row r="120">
      <c r="A120" s="14" t="n">
        <v>39973</v>
      </c>
      <c r="B120" s="15">
        <f>VLOOKUP(Table2[[#This Row],[Date]],'DB LEI'!$A:$F,5)</f>
        <v/>
      </c>
      <c r="C120" s="15">
        <f>VLOOKUP(Table2[[#This Row],[Date]],'DB LEI'!$A:$F,5)</f>
        <v/>
      </c>
      <c r="D120" s="15">
        <f>VLOOKUP(Table2[[#This Row],[Date]],'DB LEI'!$A:$F,6)</f>
        <v/>
      </c>
    </row>
    <row r="121">
      <c r="A121" s="14" t="n">
        <v>39995</v>
      </c>
      <c r="B121" s="15">
        <f>VLOOKUP(Table2[[#This Row],[Date]],'DB LEI'!$A:$F,5)</f>
        <v/>
      </c>
      <c r="C121" s="15">
        <f>VLOOKUP(Table2[[#This Row],[Date]],'DB LEI'!$A:$F,5)</f>
        <v/>
      </c>
      <c r="D121" s="15">
        <f>VLOOKUP(Table2[[#This Row],[Date]],'DB LEI'!$A:$F,6)</f>
        <v/>
      </c>
    </row>
    <row r="122">
      <c r="A122" s="14" t="n">
        <v>40026</v>
      </c>
      <c r="B122" s="15">
        <f>VLOOKUP(Table2[[#This Row],[Date]],'DB LEI'!$A:$F,5)</f>
        <v/>
      </c>
      <c r="C122" s="15">
        <f>VLOOKUP(Table2[[#This Row],[Date]],'DB LEI'!$A:$F,5)</f>
        <v/>
      </c>
      <c r="D122" s="15">
        <f>VLOOKUP(Table2[[#This Row],[Date]],'DB LEI'!$A:$F,6)</f>
        <v/>
      </c>
    </row>
    <row r="123">
      <c r="A123" s="14" t="n">
        <v>40057</v>
      </c>
      <c r="B123" s="15">
        <f>VLOOKUP(Table2[[#This Row],[Date]],'DB LEI'!$A:$F,5)</f>
        <v/>
      </c>
      <c r="C123" s="15">
        <f>VLOOKUP(Table2[[#This Row],[Date]],'DB LEI'!$A:$F,5)</f>
        <v/>
      </c>
      <c r="D123" s="15">
        <f>VLOOKUP(Table2[[#This Row],[Date]],'DB LEI'!$A:$F,6)</f>
        <v/>
      </c>
    </row>
    <row r="124">
      <c r="A124" s="14" t="n">
        <v>40087</v>
      </c>
      <c r="B124" s="15">
        <f>VLOOKUP(Table2[[#This Row],[Date]],'DB LEI'!$A:$F,5)</f>
        <v/>
      </c>
      <c r="C124" s="15">
        <f>VLOOKUP(Table2[[#This Row],[Date]],'DB LEI'!$A:$F,5)</f>
        <v/>
      </c>
      <c r="D124" s="15">
        <f>VLOOKUP(Table2[[#This Row],[Date]],'DB LEI'!$A:$F,6)</f>
        <v/>
      </c>
    </row>
    <row r="125">
      <c r="A125" s="14" t="n">
        <v>40118</v>
      </c>
      <c r="B125" s="15">
        <f>VLOOKUP(Table2[[#This Row],[Date]],'DB LEI'!$A:$F,5)</f>
        <v/>
      </c>
      <c r="C125" s="15">
        <f>VLOOKUP(Table2[[#This Row],[Date]],'DB LEI'!$A:$F,5)</f>
        <v/>
      </c>
      <c r="D125" s="15">
        <f>VLOOKUP(Table2[[#This Row],[Date]],'DB LEI'!$A:$F,6)</f>
        <v/>
      </c>
    </row>
    <row r="126">
      <c r="A126" s="14" t="n">
        <v>40148</v>
      </c>
      <c r="B126" s="15">
        <f>VLOOKUP(Table2[[#This Row],[Date]],'DB LEI'!$A:$F,5)</f>
        <v/>
      </c>
      <c r="C126" s="15">
        <f>VLOOKUP(Table2[[#This Row],[Date]],'DB LEI'!$A:$F,5)</f>
        <v/>
      </c>
      <c r="D126" s="15">
        <f>VLOOKUP(Table2[[#This Row],[Date]],'DB LEI'!$A:$F,6)</f>
        <v/>
      </c>
    </row>
    <row r="127">
      <c r="A127" s="14" t="n">
        <v>40179</v>
      </c>
      <c r="B127" s="15">
        <f>VLOOKUP(Table2[[#This Row],[Date]],'DB LEI'!$A:$F,5)</f>
        <v/>
      </c>
      <c r="C127" s="15">
        <f>VLOOKUP(Table2[[#This Row],[Date]],'DB LEI'!$A:$F,5)</f>
        <v/>
      </c>
      <c r="D127" s="15">
        <f>VLOOKUP(Table2[[#This Row],[Date]],'DB LEI'!$A:$F,6)</f>
        <v/>
      </c>
    </row>
    <row r="128">
      <c r="A128" s="14" t="n">
        <v>40210</v>
      </c>
      <c r="B128" s="15">
        <f>VLOOKUP(Table2[[#This Row],[Date]],'DB LEI'!$A:$F,5)</f>
        <v/>
      </c>
      <c r="C128" s="15">
        <f>VLOOKUP(Table2[[#This Row],[Date]],'DB LEI'!$A:$F,5)</f>
        <v/>
      </c>
      <c r="D128" s="15">
        <f>VLOOKUP(Table2[[#This Row],[Date]],'DB LEI'!$A:$F,6)</f>
        <v/>
      </c>
    </row>
    <row r="129">
      <c r="A129" s="14" t="n">
        <v>40238</v>
      </c>
      <c r="B129" s="15">
        <f>VLOOKUP(Table2[[#This Row],[Date]],'DB LEI'!$A:$F,5)</f>
        <v/>
      </c>
      <c r="C129" s="15">
        <f>VLOOKUP(Table2[[#This Row],[Date]],'DB LEI'!$A:$F,5)</f>
        <v/>
      </c>
      <c r="D129" s="15">
        <f>VLOOKUP(Table2[[#This Row],[Date]],'DB LEI'!$A:$F,6)</f>
        <v/>
      </c>
    </row>
    <row r="130">
      <c r="A130" s="14" t="n">
        <v>40269</v>
      </c>
      <c r="B130" s="15">
        <f>VLOOKUP(Table2[[#This Row],[Date]],'DB LEI'!$A:$F,5)</f>
        <v/>
      </c>
      <c r="C130" s="15">
        <f>VLOOKUP(Table2[[#This Row],[Date]],'DB LEI'!$A:$F,5)</f>
        <v/>
      </c>
      <c r="D130" s="15">
        <f>VLOOKUP(Table2[[#This Row],[Date]],'DB LEI'!$A:$F,6)</f>
        <v/>
      </c>
    </row>
    <row r="131">
      <c r="A131" s="14" t="n">
        <v>40299</v>
      </c>
      <c r="B131" s="15">
        <f>VLOOKUP(Table2[[#This Row],[Date]],'DB LEI'!$A:$F,5)</f>
        <v/>
      </c>
      <c r="C131" s="15">
        <f>VLOOKUP(Table2[[#This Row],[Date]],'DB LEI'!$A:$F,5)</f>
        <v/>
      </c>
      <c r="D131" s="15">
        <f>VLOOKUP(Table2[[#This Row],[Date]],'DB LEI'!$A:$F,6)</f>
        <v/>
      </c>
    </row>
    <row r="132">
      <c r="A132" s="14" t="n">
        <v>40330</v>
      </c>
      <c r="B132" s="15">
        <f>VLOOKUP(Table2[[#This Row],[Date]],'DB LEI'!$A:$F,5)</f>
        <v/>
      </c>
      <c r="C132" s="15">
        <f>VLOOKUP(Table2[[#This Row],[Date]],'DB LEI'!$A:$F,5)</f>
        <v/>
      </c>
      <c r="D132" s="15">
        <f>VLOOKUP(Table2[[#This Row],[Date]],'DB LEI'!$A:$F,6)</f>
        <v/>
      </c>
    </row>
    <row r="133">
      <c r="A133" s="14" t="n">
        <v>40360</v>
      </c>
      <c r="B133" s="15">
        <f>VLOOKUP(Table2[[#This Row],[Date]],'DB LEI'!$A:$F,5)</f>
        <v/>
      </c>
      <c r="C133" s="15">
        <f>VLOOKUP(Table2[[#This Row],[Date]],'DB LEI'!$A:$F,5)</f>
        <v/>
      </c>
      <c r="D133" s="15">
        <f>VLOOKUP(Table2[[#This Row],[Date]],'DB LEI'!$A:$F,6)</f>
        <v/>
      </c>
    </row>
    <row r="134">
      <c r="A134" s="14" t="n">
        <v>40391</v>
      </c>
      <c r="B134" s="15">
        <f>VLOOKUP(Table2[[#This Row],[Date]],'DB LEI'!$A:$F,5)</f>
        <v/>
      </c>
      <c r="C134" s="15">
        <f>VLOOKUP(Table2[[#This Row],[Date]],'DB LEI'!$A:$F,5)</f>
        <v/>
      </c>
      <c r="D134" s="15">
        <f>VLOOKUP(Table2[[#This Row],[Date]],'DB LEI'!$A:$F,6)</f>
        <v/>
      </c>
    </row>
    <row r="135">
      <c r="A135" s="14" t="n">
        <v>40422</v>
      </c>
      <c r="B135" s="15">
        <f>VLOOKUP(Table2[[#This Row],[Date]],'DB LEI'!$A:$F,5)</f>
        <v/>
      </c>
      <c r="C135" s="15">
        <f>VLOOKUP(Table2[[#This Row],[Date]],'DB LEI'!$A:$F,5)</f>
        <v/>
      </c>
      <c r="D135" s="15">
        <f>VLOOKUP(Table2[[#This Row],[Date]],'DB LEI'!$A:$F,6)</f>
        <v/>
      </c>
    </row>
    <row r="136">
      <c r="A136" s="14" t="n">
        <v>40452</v>
      </c>
      <c r="B136" s="15">
        <f>VLOOKUP(Table2[[#This Row],[Date]],'DB LEI'!$A:$F,5)</f>
        <v/>
      </c>
      <c r="C136" s="15">
        <f>VLOOKUP(Table2[[#This Row],[Date]],'DB LEI'!$A:$F,5)</f>
        <v/>
      </c>
      <c r="D136" s="15">
        <f>VLOOKUP(Table2[[#This Row],[Date]],'DB LEI'!$A:$F,6)</f>
        <v/>
      </c>
    </row>
    <row r="137">
      <c r="A137" s="14" t="n">
        <v>40483</v>
      </c>
      <c r="B137" s="15">
        <f>VLOOKUP(Table2[[#This Row],[Date]],'DB LEI'!$A:$F,5)</f>
        <v/>
      </c>
      <c r="C137" s="15">
        <f>VLOOKUP(Table2[[#This Row],[Date]],'DB LEI'!$A:$F,5)</f>
        <v/>
      </c>
      <c r="D137" s="15">
        <f>VLOOKUP(Table2[[#This Row],[Date]],'DB LEI'!$A:$F,6)</f>
        <v/>
      </c>
    </row>
    <row r="138">
      <c r="A138" s="14" t="n">
        <v>40513</v>
      </c>
      <c r="B138" s="15">
        <f>VLOOKUP(Table2[[#This Row],[Date]],'DB LEI'!$A:$F,5)</f>
        <v/>
      </c>
      <c r="C138" s="15">
        <f>VLOOKUP(Table2[[#This Row],[Date]],'DB LEI'!$A:$F,5)</f>
        <v/>
      </c>
      <c r="D138" s="15">
        <f>VLOOKUP(Table2[[#This Row],[Date]],'DB LEI'!$A:$F,6)</f>
        <v/>
      </c>
    </row>
    <row r="139">
      <c r="A139" s="14" t="n">
        <v>40544</v>
      </c>
      <c r="B139" s="15">
        <f>VLOOKUP(Table2[[#This Row],[Date]],'DB LEI'!$A:$F,5)</f>
        <v/>
      </c>
      <c r="C139" s="15">
        <f>VLOOKUP(Table2[[#This Row],[Date]],'DB LEI'!$A:$F,5)</f>
        <v/>
      </c>
      <c r="D139" s="15">
        <f>VLOOKUP(Table2[[#This Row],[Date]],'DB LEI'!$A:$F,6)</f>
        <v/>
      </c>
    </row>
    <row r="140">
      <c r="A140" s="14" t="n">
        <v>40575</v>
      </c>
      <c r="B140" s="15">
        <f>VLOOKUP(Table2[[#This Row],[Date]],'DB LEI'!$A:$F,5)</f>
        <v/>
      </c>
      <c r="C140" s="15">
        <f>VLOOKUP(Table2[[#This Row],[Date]],'DB LEI'!$A:$F,5)</f>
        <v/>
      </c>
      <c r="D140" s="15">
        <f>VLOOKUP(Table2[[#This Row],[Date]],'DB LEI'!$A:$F,6)</f>
        <v/>
      </c>
    </row>
    <row r="141">
      <c r="A141" s="14" t="n">
        <v>40603</v>
      </c>
      <c r="B141" s="15">
        <f>VLOOKUP(Table2[[#This Row],[Date]],'DB LEI'!$A:$F,5)</f>
        <v/>
      </c>
      <c r="C141" s="15">
        <f>VLOOKUP(Table2[[#This Row],[Date]],'DB LEI'!$A:$F,5)</f>
        <v/>
      </c>
      <c r="D141" s="15">
        <f>VLOOKUP(Table2[[#This Row],[Date]],'DB LEI'!$A:$F,6)</f>
        <v/>
      </c>
    </row>
    <row r="142">
      <c r="A142" s="14" t="n">
        <v>40634</v>
      </c>
      <c r="B142" s="15">
        <f>VLOOKUP(Table2[[#This Row],[Date]],'DB LEI'!$A:$F,5)</f>
        <v/>
      </c>
      <c r="C142" s="15">
        <f>VLOOKUP(Table2[[#This Row],[Date]],'DB LEI'!$A:$F,5)</f>
        <v/>
      </c>
      <c r="D142" s="15">
        <f>VLOOKUP(Table2[[#This Row],[Date]],'DB LEI'!$A:$F,6)</f>
        <v/>
      </c>
    </row>
    <row r="143">
      <c r="A143" s="14" t="n">
        <v>40664</v>
      </c>
      <c r="B143" s="15">
        <f>VLOOKUP(Table2[[#This Row],[Date]],'DB LEI'!$A:$F,5)</f>
        <v/>
      </c>
      <c r="C143" s="15">
        <f>VLOOKUP(Table2[[#This Row],[Date]],'DB LEI'!$A:$F,5)</f>
        <v/>
      </c>
      <c r="D143" s="15">
        <f>VLOOKUP(Table2[[#This Row],[Date]],'DB LEI'!$A:$F,6)</f>
        <v/>
      </c>
    </row>
    <row r="144">
      <c r="A144" s="14" t="n">
        <v>40695</v>
      </c>
      <c r="B144" s="15">
        <f>VLOOKUP(Table2[[#This Row],[Date]],'DB LEI'!$A:$F,5)</f>
        <v/>
      </c>
      <c r="C144" s="15">
        <f>VLOOKUP(Table2[[#This Row],[Date]],'DB LEI'!$A:$F,5)</f>
        <v/>
      </c>
      <c r="D144" s="15">
        <f>VLOOKUP(Table2[[#This Row],[Date]],'DB LEI'!$A:$F,6)</f>
        <v/>
      </c>
    </row>
    <row r="145">
      <c r="A145" s="14" t="n">
        <v>40725</v>
      </c>
      <c r="B145" s="15">
        <f>VLOOKUP(Table2[[#This Row],[Date]],'DB LEI'!$A:$F,5)</f>
        <v/>
      </c>
      <c r="C145" s="15">
        <f>VLOOKUP(Table2[[#This Row],[Date]],'DB LEI'!$A:$F,5)</f>
        <v/>
      </c>
      <c r="D145" s="15">
        <f>VLOOKUP(Table2[[#This Row],[Date]],'DB LEI'!$A:$F,6)</f>
        <v/>
      </c>
    </row>
    <row r="146">
      <c r="A146" s="14" t="n">
        <v>40756</v>
      </c>
      <c r="B146" s="15">
        <f>VLOOKUP(Table2[[#This Row],[Date]],'DB LEI'!$A:$F,5)</f>
        <v/>
      </c>
      <c r="C146" s="15">
        <f>VLOOKUP(Table2[[#This Row],[Date]],'DB LEI'!$A:$F,5)</f>
        <v/>
      </c>
      <c r="D146" s="15">
        <f>VLOOKUP(Table2[[#This Row],[Date]],'DB LEI'!$A:$F,6)</f>
        <v/>
      </c>
    </row>
    <row r="147">
      <c r="A147" s="14" t="n">
        <v>40787</v>
      </c>
      <c r="B147" s="15">
        <f>VLOOKUP(Table2[[#This Row],[Date]],'DB LEI'!$A:$F,5)</f>
        <v/>
      </c>
      <c r="C147" s="15">
        <f>VLOOKUP(Table2[[#This Row],[Date]],'DB LEI'!$A:$F,5)</f>
        <v/>
      </c>
      <c r="D147" s="15">
        <f>VLOOKUP(Table2[[#This Row],[Date]],'DB LEI'!$A:$F,6)</f>
        <v/>
      </c>
    </row>
    <row r="148">
      <c r="A148" s="14" t="n">
        <v>40817</v>
      </c>
      <c r="B148" s="15">
        <f>VLOOKUP(Table2[[#This Row],[Date]],'DB LEI'!$A:$F,5)</f>
        <v/>
      </c>
      <c r="C148" s="15">
        <f>VLOOKUP(Table2[[#This Row],[Date]],'DB LEI'!$A:$F,5)</f>
        <v/>
      </c>
      <c r="D148" s="15">
        <f>VLOOKUP(Table2[[#This Row],[Date]],'DB LEI'!$A:$F,6)</f>
        <v/>
      </c>
    </row>
    <row r="149">
      <c r="A149" s="14" t="n">
        <v>40848</v>
      </c>
      <c r="B149" s="15">
        <f>VLOOKUP(Table2[[#This Row],[Date]],'DB LEI'!$A:$F,5)</f>
        <v/>
      </c>
      <c r="C149" s="15">
        <f>VLOOKUP(Table2[[#This Row],[Date]],'DB LEI'!$A:$F,5)</f>
        <v/>
      </c>
      <c r="D149" s="15">
        <f>VLOOKUP(Table2[[#This Row],[Date]],'DB LEI'!$A:$F,6)</f>
        <v/>
      </c>
    </row>
    <row r="150">
      <c r="A150" s="14" t="n">
        <v>40878</v>
      </c>
      <c r="B150" s="15">
        <f>VLOOKUP(Table2[[#This Row],[Date]],'DB LEI'!$A:$F,5)</f>
        <v/>
      </c>
      <c r="C150" s="15">
        <f>VLOOKUP(Table2[[#This Row],[Date]],'DB LEI'!$A:$F,5)</f>
        <v/>
      </c>
      <c r="D150" s="15">
        <f>VLOOKUP(Table2[[#This Row],[Date]],'DB LEI'!$A:$F,6)</f>
        <v/>
      </c>
    </row>
    <row r="151">
      <c r="A151" s="14" t="n">
        <v>40909</v>
      </c>
      <c r="B151" s="15">
        <f>VLOOKUP(Table2[[#This Row],[Date]],'DB LEI'!$A:$F,5)</f>
        <v/>
      </c>
      <c r="C151" s="15">
        <f>VLOOKUP(Table2[[#This Row],[Date]],'DB LEI'!$A:$F,5)</f>
        <v/>
      </c>
      <c r="D151" s="15">
        <f>VLOOKUP(Table2[[#This Row],[Date]],'DB LEI'!$A:$F,6)</f>
        <v/>
      </c>
    </row>
    <row r="152">
      <c r="A152" s="14" t="n">
        <v>40940</v>
      </c>
      <c r="B152" s="15">
        <f>VLOOKUP(Table2[[#This Row],[Date]],'DB LEI'!$A:$F,5)</f>
        <v/>
      </c>
      <c r="C152" s="15">
        <f>VLOOKUP(Table2[[#This Row],[Date]],'DB LEI'!$A:$F,5)</f>
        <v/>
      </c>
      <c r="D152" s="15">
        <f>VLOOKUP(Table2[[#This Row],[Date]],'DB LEI'!$A:$F,6)</f>
        <v/>
      </c>
    </row>
    <row r="153">
      <c r="A153" s="14" t="n">
        <v>40969</v>
      </c>
      <c r="B153" s="15">
        <f>VLOOKUP(Table2[[#This Row],[Date]],'DB LEI'!$A:$F,5)</f>
        <v/>
      </c>
      <c r="C153" s="15">
        <f>VLOOKUP(Table2[[#This Row],[Date]],'DB LEI'!$A:$F,5)</f>
        <v/>
      </c>
      <c r="D153" s="15">
        <f>VLOOKUP(Table2[[#This Row],[Date]],'DB LEI'!$A:$F,6)</f>
        <v/>
      </c>
    </row>
    <row r="154">
      <c r="A154" s="14" t="n">
        <v>41000</v>
      </c>
      <c r="B154" s="15">
        <f>VLOOKUP(Table2[[#This Row],[Date]],'DB LEI'!$A:$F,5)</f>
        <v/>
      </c>
      <c r="C154" s="15">
        <f>VLOOKUP(Table2[[#This Row],[Date]],'DB LEI'!$A:$F,5)</f>
        <v/>
      </c>
      <c r="D154" s="15">
        <f>VLOOKUP(Table2[[#This Row],[Date]],'DB LEI'!$A:$F,6)</f>
        <v/>
      </c>
    </row>
    <row r="155">
      <c r="A155" s="14" t="n">
        <v>41030</v>
      </c>
      <c r="B155" s="15">
        <f>VLOOKUP(Table2[[#This Row],[Date]],'DB LEI'!$A:$F,5)</f>
        <v/>
      </c>
      <c r="C155" s="15">
        <f>VLOOKUP(Table2[[#This Row],[Date]],'DB LEI'!$A:$F,5)</f>
        <v/>
      </c>
      <c r="D155" s="15">
        <f>VLOOKUP(Table2[[#This Row],[Date]],'DB LEI'!$A:$F,6)</f>
        <v/>
      </c>
    </row>
    <row r="156">
      <c r="A156" s="14" t="n">
        <v>41061</v>
      </c>
      <c r="B156" s="15">
        <f>VLOOKUP(Table2[[#This Row],[Date]],'DB LEI'!$A:$F,5)</f>
        <v/>
      </c>
      <c r="C156" s="15">
        <f>VLOOKUP(Table2[[#This Row],[Date]],'DB LEI'!$A:$F,5)</f>
        <v/>
      </c>
      <c r="D156" s="15">
        <f>VLOOKUP(Table2[[#This Row],[Date]],'DB LEI'!$A:$F,6)</f>
        <v/>
      </c>
    </row>
    <row r="157">
      <c r="A157" s="14" t="n">
        <v>41091</v>
      </c>
      <c r="B157" s="15">
        <f>VLOOKUP(Table2[[#This Row],[Date]],'DB LEI'!$A:$F,5)</f>
        <v/>
      </c>
      <c r="C157" s="15">
        <f>VLOOKUP(Table2[[#This Row],[Date]],'DB LEI'!$A:$F,5)</f>
        <v/>
      </c>
      <c r="D157" s="15">
        <f>VLOOKUP(Table2[[#This Row],[Date]],'DB LEI'!$A:$F,6)</f>
        <v/>
      </c>
    </row>
    <row r="158">
      <c r="A158" s="14" t="n">
        <v>41122</v>
      </c>
      <c r="B158" s="15">
        <f>VLOOKUP(Table2[[#This Row],[Date]],'DB LEI'!$A:$F,5)</f>
        <v/>
      </c>
      <c r="C158" s="15">
        <f>VLOOKUP(Table2[[#This Row],[Date]],'DB LEI'!$A:$F,5)</f>
        <v/>
      </c>
      <c r="D158" s="15">
        <f>VLOOKUP(Table2[[#This Row],[Date]],'DB LEI'!$A:$F,6)</f>
        <v/>
      </c>
    </row>
    <row r="159">
      <c r="A159" s="14" t="n">
        <v>41153</v>
      </c>
      <c r="B159" s="15">
        <f>VLOOKUP(Table2[[#This Row],[Date]],'DB LEI'!$A:$F,5)</f>
        <v/>
      </c>
      <c r="C159" s="15">
        <f>VLOOKUP(Table2[[#This Row],[Date]],'DB LEI'!$A:$F,5)</f>
        <v/>
      </c>
      <c r="D159" s="15">
        <f>VLOOKUP(Table2[[#This Row],[Date]],'DB LEI'!$A:$F,6)</f>
        <v/>
      </c>
    </row>
    <row r="160">
      <c r="A160" s="14" t="n">
        <v>41183</v>
      </c>
      <c r="B160" s="15">
        <f>VLOOKUP(Table2[[#This Row],[Date]],'DB LEI'!$A:$F,5)</f>
        <v/>
      </c>
      <c r="C160" s="15">
        <f>VLOOKUP(Table2[[#This Row],[Date]],'DB LEI'!$A:$F,5)</f>
        <v/>
      </c>
      <c r="D160" s="15">
        <f>VLOOKUP(Table2[[#This Row],[Date]],'DB LEI'!$A:$F,6)</f>
        <v/>
      </c>
    </row>
    <row r="161">
      <c r="A161" s="14" t="n">
        <v>41214</v>
      </c>
      <c r="B161" s="15">
        <f>VLOOKUP(Table2[[#This Row],[Date]],'DB LEI'!$A:$F,5)</f>
        <v/>
      </c>
      <c r="C161" s="15">
        <f>VLOOKUP(Table2[[#This Row],[Date]],'DB LEI'!$A:$F,5)</f>
        <v/>
      </c>
      <c r="D161" s="15">
        <f>VLOOKUP(Table2[[#This Row],[Date]],'DB LEI'!$A:$F,6)</f>
        <v/>
      </c>
    </row>
    <row r="162">
      <c r="A162" s="14" t="n">
        <v>41244</v>
      </c>
      <c r="B162" s="15">
        <f>VLOOKUP(Table2[[#This Row],[Date]],'DB LEI'!$A:$F,5)</f>
        <v/>
      </c>
      <c r="C162" s="15">
        <f>VLOOKUP(Table2[[#This Row],[Date]],'DB LEI'!$A:$F,5)</f>
        <v/>
      </c>
      <c r="D162" s="15">
        <f>VLOOKUP(Table2[[#This Row],[Date]],'DB LEI'!$A:$F,6)</f>
        <v/>
      </c>
    </row>
    <row r="163">
      <c r="A163" s="14" t="n">
        <v>41275</v>
      </c>
      <c r="B163" s="15">
        <f>VLOOKUP(Table2[[#This Row],[Date]],'DB LEI'!$A:$F,5)</f>
        <v/>
      </c>
      <c r="C163" s="15">
        <f>VLOOKUP(Table2[[#This Row],[Date]],'DB LEI'!$A:$F,5)</f>
        <v/>
      </c>
      <c r="D163" s="15">
        <f>VLOOKUP(Table2[[#This Row],[Date]],'DB LEI'!$A:$F,6)</f>
        <v/>
      </c>
    </row>
    <row r="164">
      <c r="A164" s="14" t="n">
        <v>41306</v>
      </c>
      <c r="B164" s="15">
        <f>VLOOKUP(Table2[[#This Row],[Date]],'DB LEI'!$A:$F,5)</f>
        <v/>
      </c>
      <c r="C164" s="15">
        <f>VLOOKUP(Table2[[#This Row],[Date]],'DB LEI'!$A:$F,5)</f>
        <v/>
      </c>
      <c r="D164" s="15">
        <f>VLOOKUP(Table2[[#This Row],[Date]],'DB LEI'!$A:$F,6)</f>
        <v/>
      </c>
    </row>
    <row r="165">
      <c r="A165" s="14" t="n">
        <v>41334</v>
      </c>
      <c r="B165" s="15">
        <f>VLOOKUP(Table2[[#This Row],[Date]],'DB LEI'!$A:$F,5)</f>
        <v/>
      </c>
      <c r="C165" s="15">
        <f>VLOOKUP(Table2[[#This Row],[Date]],'DB LEI'!$A:$F,5)</f>
        <v/>
      </c>
      <c r="D165" s="15">
        <f>VLOOKUP(Table2[[#This Row],[Date]],'DB LEI'!$A:$F,6)</f>
        <v/>
      </c>
    </row>
    <row r="166">
      <c r="A166" s="14" t="n">
        <v>41365</v>
      </c>
      <c r="B166" s="15">
        <f>VLOOKUP(Table2[[#This Row],[Date]],'DB LEI'!$A:$F,5)</f>
        <v/>
      </c>
      <c r="C166" s="15">
        <f>VLOOKUP(Table2[[#This Row],[Date]],'DB LEI'!$A:$F,5)</f>
        <v/>
      </c>
      <c r="D166" s="15">
        <f>VLOOKUP(Table2[[#This Row],[Date]],'DB LEI'!$A:$F,6)</f>
        <v/>
      </c>
    </row>
    <row r="167">
      <c r="A167" s="14" t="n">
        <v>41395</v>
      </c>
      <c r="B167" s="15">
        <f>VLOOKUP(Table2[[#This Row],[Date]],'DB LEI'!$A:$F,5)</f>
        <v/>
      </c>
      <c r="C167" s="15">
        <f>VLOOKUP(Table2[[#This Row],[Date]],'DB LEI'!$A:$F,5)</f>
        <v/>
      </c>
      <c r="D167" s="15">
        <f>VLOOKUP(Table2[[#This Row],[Date]],'DB LEI'!$A:$F,6)</f>
        <v/>
      </c>
    </row>
    <row r="168">
      <c r="A168" s="14" t="n">
        <v>41426</v>
      </c>
      <c r="B168" s="15">
        <f>VLOOKUP(Table2[[#This Row],[Date]],'DB LEI'!$A:$F,5)</f>
        <v/>
      </c>
      <c r="C168" s="15">
        <f>VLOOKUP(Table2[[#This Row],[Date]],'DB LEI'!$A:$F,5)</f>
        <v/>
      </c>
      <c r="D168" s="15">
        <f>VLOOKUP(Table2[[#This Row],[Date]],'DB LEI'!$A:$F,6)</f>
        <v/>
      </c>
    </row>
    <row r="169">
      <c r="A169" s="14" t="n">
        <v>41456</v>
      </c>
      <c r="B169" s="15">
        <f>VLOOKUP(Table2[[#This Row],[Date]],'DB LEI'!$A:$F,5)</f>
        <v/>
      </c>
      <c r="C169" s="15">
        <f>VLOOKUP(Table2[[#This Row],[Date]],'DB LEI'!$A:$F,5)</f>
        <v/>
      </c>
      <c r="D169" s="15">
        <f>VLOOKUP(Table2[[#This Row],[Date]],'DB LEI'!$A:$F,6)</f>
        <v/>
      </c>
    </row>
    <row r="170">
      <c r="A170" s="14" t="n">
        <v>41487</v>
      </c>
      <c r="B170" s="15">
        <f>VLOOKUP(Table2[[#This Row],[Date]],'DB LEI'!$A:$F,5)</f>
        <v/>
      </c>
      <c r="C170" s="15">
        <f>VLOOKUP(Table2[[#This Row],[Date]],'DB LEI'!$A:$F,5)</f>
        <v/>
      </c>
      <c r="D170" s="15">
        <f>VLOOKUP(Table2[[#This Row],[Date]],'DB LEI'!$A:$F,6)</f>
        <v/>
      </c>
    </row>
    <row r="171">
      <c r="A171" s="14" t="n">
        <v>41518</v>
      </c>
      <c r="B171" s="15">
        <f>VLOOKUP(Table2[[#This Row],[Date]],'DB LEI'!$A:$F,5)</f>
        <v/>
      </c>
      <c r="C171" s="15">
        <f>VLOOKUP(Table2[[#This Row],[Date]],'DB LEI'!$A:$F,5)</f>
        <v/>
      </c>
      <c r="D171" s="15">
        <f>VLOOKUP(Table2[[#This Row],[Date]],'DB LEI'!$A:$F,6)</f>
        <v/>
      </c>
    </row>
    <row r="172">
      <c r="A172" s="14" t="n">
        <v>41548</v>
      </c>
      <c r="B172" s="15">
        <f>VLOOKUP(Table2[[#This Row],[Date]],'DB LEI'!$A:$F,5)</f>
        <v/>
      </c>
      <c r="C172" s="15">
        <f>VLOOKUP(Table2[[#This Row],[Date]],'DB LEI'!$A:$F,5)</f>
        <v/>
      </c>
      <c r="D172" s="15">
        <f>VLOOKUP(Table2[[#This Row],[Date]],'DB LEI'!$A:$F,6)</f>
        <v/>
      </c>
    </row>
    <row r="173">
      <c r="A173" s="14" t="n">
        <v>41579</v>
      </c>
      <c r="B173" s="15">
        <f>VLOOKUP(Table2[[#This Row],[Date]],'DB LEI'!$A:$F,5)</f>
        <v/>
      </c>
      <c r="C173" s="15">
        <f>VLOOKUP(Table2[[#This Row],[Date]],'DB LEI'!$A:$F,5)</f>
        <v/>
      </c>
      <c r="D173" s="15">
        <f>VLOOKUP(Table2[[#This Row],[Date]],'DB LEI'!$A:$F,6)</f>
        <v/>
      </c>
    </row>
    <row r="174">
      <c r="A174" s="14" t="n">
        <v>41609</v>
      </c>
      <c r="B174" s="15">
        <f>VLOOKUP(Table2[[#This Row],[Date]],'DB LEI'!$A:$F,5)</f>
        <v/>
      </c>
      <c r="C174" s="15">
        <f>VLOOKUP(Table2[[#This Row],[Date]],'DB LEI'!$A:$F,5)</f>
        <v/>
      </c>
      <c r="D174" s="15">
        <f>VLOOKUP(Table2[[#This Row],[Date]],'DB LEI'!$A:$F,6)</f>
        <v/>
      </c>
    </row>
    <row r="175">
      <c r="A175" s="14" t="n">
        <v>41640</v>
      </c>
      <c r="B175" s="15">
        <f>VLOOKUP(Table2[[#This Row],[Date]],'DB LEI'!$A:$F,5)</f>
        <v/>
      </c>
      <c r="C175" s="15">
        <f>VLOOKUP(Table2[[#This Row],[Date]],'DB LEI'!$A:$F,5)</f>
        <v/>
      </c>
      <c r="D175" s="15">
        <f>VLOOKUP(Table2[[#This Row],[Date]],'DB LEI'!$A:$F,6)</f>
        <v/>
      </c>
    </row>
    <row r="176">
      <c r="A176" s="14" t="n">
        <v>41671</v>
      </c>
      <c r="B176" s="15">
        <f>VLOOKUP(Table2[[#This Row],[Date]],'DB LEI'!$A:$F,5)</f>
        <v/>
      </c>
      <c r="C176" s="15">
        <f>VLOOKUP(Table2[[#This Row],[Date]],'DB LEI'!$A:$F,5)</f>
        <v/>
      </c>
      <c r="D176" s="15">
        <f>VLOOKUP(Table2[[#This Row],[Date]],'DB LEI'!$A:$F,6)</f>
        <v/>
      </c>
    </row>
    <row r="177">
      <c r="A177" s="14" t="n">
        <v>41699</v>
      </c>
      <c r="B177" s="15">
        <f>VLOOKUP(Table2[[#This Row],[Date]],'DB LEI'!$A:$F,5)</f>
        <v/>
      </c>
      <c r="C177" s="15">
        <f>VLOOKUP(Table2[[#This Row],[Date]],'DB LEI'!$A:$F,5)</f>
        <v/>
      </c>
      <c r="D177" s="15">
        <f>VLOOKUP(Table2[[#This Row],[Date]],'DB LEI'!$A:$F,6)</f>
        <v/>
      </c>
    </row>
    <row r="178">
      <c r="A178" s="14" t="n">
        <v>41730</v>
      </c>
      <c r="B178" s="15">
        <f>VLOOKUP(Table2[[#This Row],[Date]],'DB LEI'!$A:$F,5)</f>
        <v/>
      </c>
      <c r="C178" s="15">
        <f>VLOOKUP(Table2[[#This Row],[Date]],'DB LEI'!$A:$F,5)</f>
        <v/>
      </c>
      <c r="D178" s="15">
        <f>VLOOKUP(Table2[[#This Row],[Date]],'DB LEI'!$A:$F,6)</f>
        <v/>
      </c>
    </row>
    <row r="179">
      <c r="A179" s="14" t="n">
        <v>41760</v>
      </c>
      <c r="B179" s="15">
        <f>VLOOKUP(Table2[[#This Row],[Date]],'DB LEI'!$A:$F,5)</f>
        <v/>
      </c>
      <c r="C179" s="15">
        <f>VLOOKUP(Table2[[#This Row],[Date]],'DB LEI'!$A:$F,5)</f>
        <v/>
      </c>
      <c r="D179" s="15">
        <f>VLOOKUP(Table2[[#This Row],[Date]],'DB LEI'!$A:$F,6)</f>
        <v/>
      </c>
    </row>
    <row r="180">
      <c r="A180" s="14" t="n">
        <v>41791</v>
      </c>
      <c r="B180" s="15">
        <f>VLOOKUP(Table2[[#This Row],[Date]],'DB LEI'!$A:$F,5)</f>
        <v/>
      </c>
      <c r="C180" s="15">
        <f>VLOOKUP(Table2[[#This Row],[Date]],'DB LEI'!$A:$F,5)</f>
        <v/>
      </c>
      <c r="D180" s="15">
        <f>VLOOKUP(Table2[[#This Row],[Date]],'DB LEI'!$A:$F,6)</f>
        <v/>
      </c>
    </row>
    <row r="181">
      <c r="A181" s="14" t="n">
        <v>41821</v>
      </c>
      <c r="B181" s="15">
        <f>VLOOKUP(Table2[[#This Row],[Date]],'DB LEI'!$A:$F,5)</f>
        <v/>
      </c>
      <c r="C181" s="15">
        <f>VLOOKUP(Table2[[#This Row],[Date]],'DB LEI'!$A:$F,5)</f>
        <v/>
      </c>
      <c r="D181" s="15">
        <f>VLOOKUP(Table2[[#This Row],[Date]],'DB LEI'!$A:$F,6)</f>
        <v/>
      </c>
    </row>
    <row r="182">
      <c r="A182" s="14" t="n">
        <v>41852</v>
      </c>
      <c r="B182" s="15">
        <f>VLOOKUP(Table2[[#This Row],[Date]],'DB LEI'!$A:$F,5)</f>
        <v/>
      </c>
      <c r="C182" s="15">
        <f>VLOOKUP(Table2[[#This Row],[Date]],'DB LEI'!$A:$F,5)</f>
        <v/>
      </c>
      <c r="D182" s="15">
        <f>VLOOKUP(Table2[[#This Row],[Date]],'DB LEI'!$A:$F,6)</f>
        <v/>
      </c>
    </row>
    <row r="183">
      <c r="A183" s="14" t="n">
        <v>41883</v>
      </c>
      <c r="B183" s="15">
        <f>VLOOKUP(Table2[[#This Row],[Date]],'DB LEI'!$A:$F,5)</f>
        <v/>
      </c>
      <c r="C183" s="15">
        <f>VLOOKUP(Table2[[#This Row],[Date]],'DB LEI'!$A:$F,5)</f>
        <v/>
      </c>
      <c r="D183" s="15">
        <f>VLOOKUP(Table2[[#This Row],[Date]],'DB LEI'!$A:$F,6)</f>
        <v/>
      </c>
    </row>
    <row r="184">
      <c r="A184" s="14" t="n">
        <v>41913</v>
      </c>
      <c r="B184" s="15">
        <f>VLOOKUP(Table2[[#This Row],[Date]],'DB LEI'!$A:$F,5)</f>
        <v/>
      </c>
      <c r="C184" s="15">
        <f>VLOOKUP(Table2[[#This Row],[Date]],'DB LEI'!$A:$F,5)</f>
        <v/>
      </c>
      <c r="D184" s="15">
        <f>VLOOKUP(Table2[[#This Row],[Date]],'DB LEI'!$A:$F,6)</f>
        <v/>
      </c>
    </row>
    <row r="185">
      <c r="A185" s="14" t="n">
        <v>41944</v>
      </c>
      <c r="B185" s="15">
        <f>VLOOKUP(Table2[[#This Row],[Date]],'DB LEI'!$A:$F,5)</f>
        <v/>
      </c>
      <c r="C185" s="15">
        <f>VLOOKUP(Table2[[#This Row],[Date]],'DB LEI'!$A:$F,5)</f>
        <v/>
      </c>
      <c r="D185" s="15">
        <f>VLOOKUP(Table2[[#This Row],[Date]],'DB LEI'!$A:$F,6)</f>
        <v/>
      </c>
    </row>
    <row r="186">
      <c r="A186" s="14" t="n">
        <v>41974</v>
      </c>
      <c r="B186" s="15">
        <f>VLOOKUP(Table2[[#This Row],[Date]],'DB LEI'!$A:$F,5)</f>
        <v/>
      </c>
      <c r="C186" s="15">
        <f>VLOOKUP(Table2[[#This Row],[Date]],'DB LEI'!$A:$F,5)</f>
        <v/>
      </c>
      <c r="D186" s="15">
        <f>VLOOKUP(Table2[[#This Row],[Date]],'DB LEI'!$A:$F,6)</f>
        <v/>
      </c>
    </row>
    <row r="187">
      <c r="A187" s="14" t="n">
        <v>42005</v>
      </c>
      <c r="B187" s="15">
        <f>VLOOKUP(Table2[[#This Row],[Date]],'DB LEI'!$A:$F,5)</f>
        <v/>
      </c>
      <c r="C187" s="15">
        <f>VLOOKUP(Table2[[#This Row],[Date]],'DB LEI'!$A:$F,5)</f>
        <v/>
      </c>
      <c r="D187" s="15">
        <f>VLOOKUP(Table2[[#This Row],[Date]],'DB LEI'!$A:$F,6)</f>
        <v/>
      </c>
    </row>
    <row r="188">
      <c r="A188" s="14" t="n">
        <v>42036</v>
      </c>
      <c r="B188" s="15">
        <f>VLOOKUP(Table2[[#This Row],[Date]],'DB LEI'!$A:$F,5)</f>
        <v/>
      </c>
      <c r="C188" s="15">
        <f>VLOOKUP(Table2[[#This Row],[Date]],'DB LEI'!$A:$F,5)</f>
        <v/>
      </c>
      <c r="D188" s="15">
        <f>VLOOKUP(Table2[[#This Row],[Date]],'DB LEI'!$A:$F,6)</f>
        <v/>
      </c>
    </row>
    <row r="189">
      <c r="A189" s="14" t="n">
        <v>42064</v>
      </c>
      <c r="B189" s="15">
        <f>VLOOKUP(Table2[[#This Row],[Date]],'DB LEI'!$A:$F,5)</f>
        <v/>
      </c>
      <c r="C189" s="15">
        <f>VLOOKUP(Table2[[#This Row],[Date]],'DB LEI'!$A:$F,5)</f>
        <v/>
      </c>
      <c r="D189" s="15">
        <f>VLOOKUP(Table2[[#This Row],[Date]],'DB LEI'!$A:$F,6)</f>
        <v/>
      </c>
    </row>
    <row r="190">
      <c r="A190" s="14" t="n">
        <v>42095</v>
      </c>
      <c r="B190" s="15">
        <f>VLOOKUP(Table2[[#This Row],[Date]],'DB LEI'!$A:$F,5)</f>
        <v/>
      </c>
      <c r="C190" s="15">
        <f>VLOOKUP(Table2[[#This Row],[Date]],'DB LEI'!$A:$F,5)</f>
        <v/>
      </c>
      <c r="D190" s="15">
        <f>VLOOKUP(Table2[[#This Row],[Date]],'DB LEI'!$A:$F,6)</f>
        <v/>
      </c>
    </row>
    <row r="191">
      <c r="A191" s="14" t="n">
        <v>42125</v>
      </c>
      <c r="B191" s="15">
        <f>VLOOKUP(Table2[[#This Row],[Date]],'DB LEI'!$A:$F,5)</f>
        <v/>
      </c>
      <c r="C191" s="15">
        <f>VLOOKUP(Table2[[#This Row],[Date]],'DB LEI'!$A:$F,5)</f>
        <v/>
      </c>
      <c r="D191" s="15">
        <f>VLOOKUP(Table2[[#This Row],[Date]],'DB LEI'!$A:$F,6)</f>
        <v/>
      </c>
    </row>
    <row r="192">
      <c r="A192" s="14" t="n">
        <v>42156</v>
      </c>
      <c r="B192" s="15">
        <f>VLOOKUP(Table2[[#This Row],[Date]],'DB LEI'!$A:$F,5)</f>
        <v/>
      </c>
      <c r="C192" s="15">
        <f>VLOOKUP(Table2[[#This Row],[Date]],'DB LEI'!$A:$F,5)</f>
        <v/>
      </c>
      <c r="D192" s="15">
        <f>VLOOKUP(Table2[[#This Row],[Date]],'DB LEI'!$A:$F,6)</f>
        <v/>
      </c>
    </row>
    <row r="193">
      <c r="A193" s="14" t="n">
        <v>42186</v>
      </c>
      <c r="B193" s="15">
        <f>VLOOKUP(Table2[[#This Row],[Date]],'DB LEI'!$A:$F,5)</f>
        <v/>
      </c>
      <c r="C193" s="15">
        <f>VLOOKUP(Table2[[#This Row],[Date]],'DB LEI'!$A:$F,5)</f>
        <v/>
      </c>
      <c r="D193" s="15">
        <f>VLOOKUP(Table2[[#This Row],[Date]],'DB LEI'!$A:$F,6)</f>
        <v/>
      </c>
    </row>
    <row r="194">
      <c r="A194" s="14" t="n">
        <v>42217</v>
      </c>
      <c r="B194" s="15">
        <f>VLOOKUP(Table2[[#This Row],[Date]],'DB LEI'!$A:$F,5)</f>
        <v/>
      </c>
      <c r="C194" s="15">
        <f>VLOOKUP(Table2[[#This Row],[Date]],'DB LEI'!$A:$F,5)</f>
        <v/>
      </c>
      <c r="D194" s="15">
        <f>VLOOKUP(Table2[[#This Row],[Date]],'DB LEI'!$A:$F,6)</f>
        <v/>
      </c>
    </row>
    <row r="195">
      <c r="A195" s="14" t="n">
        <v>42248</v>
      </c>
      <c r="B195" s="15">
        <f>VLOOKUP(Table2[[#This Row],[Date]],'DB LEI'!$A:$F,5)</f>
        <v/>
      </c>
      <c r="C195" s="15">
        <f>VLOOKUP(Table2[[#This Row],[Date]],'DB LEI'!$A:$F,5)</f>
        <v/>
      </c>
      <c r="D195" s="15">
        <f>VLOOKUP(Table2[[#This Row],[Date]],'DB LEI'!$A:$F,6)</f>
        <v/>
      </c>
    </row>
    <row r="196">
      <c r="A196" s="14" t="n">
        <v>42278</v>
      </c>
      <c r="B196" s="15">
        <f>VLOOKUP(Table2[[#This Row],[Date]],'DB LEI'!$A:$F,5)</f>
        <v/>
      </c>
      <c r="C196" s="15">
        <f>VLOOKUP(Table2[[#This Row],[Date]],'DB LEI'!$A:$F,5)</f>
        <v/>
      </c>
      <c r="D196" s="15">
        <f>VLOOKUP(Table2[[#This Row],[Date]],'DB LEI'!$A:$F,6)</f>
        <v/>
      </c>
    </row>
    <row r="197">
      <c r="A197" s="14" t="n">
        <v>42309</v>
      </c>
      <c r="B197" s="15">
        <f>VLOOKUP(Table2[[#This Row],[Date]],'DB LEI'!$A:$F,5)</f>
        <v/>
      </c>
      <c r="C197" s="15">
        <f>VLOOKUP(Table2[[#This Row],[Date]],'DB LEI'!$A:$F,5)</f>
        <v/>
      </c>
      <c r="D197" s="15">
        <f>VLOOKUP(Table2[[#This Row],[Date]],'DB LEI'!$A:$F,6)</f>
        <v/>
      </c>
    </row>
    <row r="198">
      <c r="A198" s="14" t="n">
        <v>42339</v>
      </c>
      <c r="B198" s="15">
        <f>VLOOKUP(Table2[[#This Row],[Date]],'DB LEI'!$A:$F,5)</f>
        <v/>
      </c>
      <c r="C198" s="15">
        <f>VLOOKUP(Table2[[#This Row],[Date]],'DB LEI'!$A:$F,5)</f>
        <v/>
      </c>
      <c r="D198" s="15">
        <f>VLOOKUP(Table2[[#This Row],[Date]],'DB LEI'!$A:$F,6)</f>
        <v/>
      </c>
    </row>
    <row r="199">
      <c r="A199" s="14" t="n">
        <v>42370</v>
      </c>
      <c r="B199" s="15">
        <f>VLOOKUP(Table2[[#This Row],[Date]],'DB LEI'!$A:$F,5)</f>
        <v/>
      </c>
      <c r="C199" s="15">
        <f>VLOOKUP(Table2[[#This Row],[Date]],'DB LEI'!$A:$F,5)</f>
        <v/>
      </c>
      <c r="D199" s="15">
        <f>VLOOKUP(Table2[[#This Row],[Date]],'DB LEI'!$A:$F,6)</f>
        <v/>
      </c>
    </row>
    <row r="200">
      <c r="A200" s="14" t="n">
        <v>42401</v>
      </c>
      <c r="B200" s="15">
        <f>VLOOKUP(Table2[[#This Row],[Date]],'DB LEI'!$A:$F,5)</f>
        <v/>
      </c>
      <c r="C200" s="15">
        <f>VLOOKUP(Table2[[#This Row],[Date]],'DB LEI'!$A:$F,5)</f>
        <v/>
      </c>
      <c r="D200" s="15">
        <f>VLOOKUP(Table2[[#This Row],[Date]],'DB LEI'!$A:$F,6)</f>
        <v/>
      </c>
    </row>
    <row r="201">
      <c r="A201" s="14" t="n">
        <v>42430</v>
      </c>
      <c r="B201" s="15">
        <f>VLOOKUP(Table2[[#This Row],[Date]],'DB LEI'!$A:$F,5)</f>
        <v/>
      </c>
      <c r="C201" s="15">
        <f>VLOOKUP(Table2[[#This Row],[Date]],'DB LEI'!$A:$F,5)</f>
        <v/>
      </c>
      <c r="D201" s="15">
        <f>VLOOKUP(Table2[[#This Row],[Date]],'DB LEI'!$A:$F,6)</f>
        <v/>
      </c>
    </row>
    <row r="202">
      <c r="A202" s="14" t="n">
        <v>42461</v>
      </c>
      <c r="B202" s="15">
        <f>VLOOKUP(Table2[[#This Row],[Date]],'DB LEI'!$A:$F,5)</f>
        <v/>
      </c>
      <c r="C202" s="15">
        <f>VLOOKUP(Table2[[#This Row],[Date]],'DB LEI'!$A:$F,5)</f>
        <v/>
      </c>
      <c r="D202" s="15">
        <f>VLOOKUP(Table2[[#This Row],[Date]],'DB LEI'!$A:$F,6)</f>
        <v/>
      </c>
    </row>
    <row r="203">
      <c r="A203" s="14" t="n">
        <v>42491</v>
      </c>
      <c r="B203" s="15">
        <f>VLOOKUP(Table2[[#This Row],[Date]],'DB LEI'!$A:$F,5)</f>
        <v/>
      </c>
      <c r="C203" s="15">
        <f>VLOOKUP(Table2[[#This Row],[Date]],'DB LEI'!$A:$F,5)</f>
        <v/>
      </c>
      <c r="D203" s="15">
        <f>VLOOKUP(Table2[[#This Row],[Date]],'DB LEI'!$A:$F,6)</f>
        <v/>
      </c>
    </row>
    <row r="204">
      <c r="A204" s="14" t="n">
        <v>42522</v>
      </c>
      <c r="B204" s="15">
        <f>VLOOKUP(Table2[[#This Row],[Date]],'DB LEI'!$A:$F,5)</f>
        <v/>
      </c>
      <c r="C204" s="15">
        <f>VLOOKUP(Table2[[#This Row],[Date]],'DB LEI'!$A:$F,5)</f>
        <v/>
      </c>
      <c r="D204" s="15">
        <f>VLOOKUP(Table2[[#This Row],[Date]],'DB LEI'!$A:$F,6)</f>
        <v/>
      </c>
    </row>
    <row r="205">
      <c r="A205" s="14" t="n">
        <v>42552</v>
      </c>
      <c r="B205" s="15">
        <f>VLOOKUP(Table2[[#This Row],[Date]],'DB LEI'!$A:$F,5)</f>
        <v/>
      </c>
      <c r="C205" s="15">
        <f>VLOOKUP(Table2[[#This Row],[Date]],'DB LEI'!$A:$F,5)</f>
        <v/>
      </c>
      <c r="D205" s="15">
        <f>VLOOKUP(Table2[[#This Row],[Date]],'DB LEI'!$A:$F,6)</f>
        <v/>
      </c>
    </row>
    <row r="206">
      <c r="A206" s="14" t="n">
        <v>42583</v>
      </c>
      <c r="B206" s="15">
        <f>VLOOKUP(Table2[[#This Row],[Date]],'DB LEI'!$A:$F,5)</f>
        <v/>
      </c>
      <c r="C206" s="15">
        <f>VLOOKUP(Table2[[#This Row],[Date]],'DB LEI'!$A:$F,5)</f>
        <v/>
      </c>
      <c r="D206" s="15">
        <f>VLOOKUP(Table2[[#This Row],[Date]],'DB LEI'!$A:$F,6)</f>
        <v/>
      </c>
    </row>
    <row r="207">
      <c r="A207" s="14" t="n">
        <v>42614</v>
      </c>
      <c r="B207" s="15">
        <f>VLOOKUP(Table2[[#This Row],[Date]],'DB LEI'!$A:$F,5)</f>
        <v/>
      </c>
      <c r="C207" s="15">
        <f>VLOOKUP(Table2[[#This Row],[Date]],'DB LEI'!$A:$F,5)</f>
        <v/>
      </c>
      <c r="D207" s="15">
        <f>VLOOKUP(Table2[[#This Row],[Date]],'DB LEI'!$A:$F,6)</f>
        <v/>
      </c>
    </row>
    <row r="208">
      <c r="A208" s="14" t="n">
        <v>42644</v>
      </c>
      <c r="B208" s="15">
        <f>VLOOKUP(Table2[[#This Row],[Date]],'DB LEI'!$A:$F,5)</f>
        <v/>
      </c>
      <c r="C208" s="15">
        <f>VLOOKUP(Table2[[#This Row],[Date]],'DB LEI'!$A:$F,5)</f>
        <v/>
      </c>
      <c r="D208" s="15">
        <f>VLOOKUP(Table2[[#This Row],[Date]],'DB LEI'!$A:$F,6)</f>
        <v/>
      </c>
    </row>
    <row r="209">
      <c r="A209" s="14" t="n">
        <v>42675</v>
      </c>
      <c r="B209" s="15">
        <f>VLOOKUP(Table2[[#This Row],[Date]],'DB LEI'!$A:$F,5)</f>
        <v/>
      </c>
      <c r="C209" s="15">
        <f>VLOOKUP(Table2[[#This Row],[Date]],'DB LEI'!$A:$F,5)</f>
        <v/>
      </c>
      <c r="D209" s="15">
        <f>VLOOKUP(Table2[[#This Row],[Date]],'DB LEI'!$A:$F,6)</f>
        <v/>
      </c>
    </row>
    <row r="210">
      <c r="A210" s="14" t="n">
        <v>42705</v>
      </c>
      <c r="B210" s="15">
        <f>VLOOKUP(Table2[[#This Row],[Date]],'DB LEI'!$A:$F,5)</f>
        <v/>
      </c>
      <c r="C210" s="15">
        <f>VLOOKUP(Table2[[#This Row],[Date]],'DB LEI'!$A:$F,5)</f>
        <v/>
      </c>
      <c r="D210" s="15">
        <f>VLOOKUP(Table2[[#This Row],[Date]],'DB LEI'!$A:$F,6)</f>
        <v/>
      </c>
    </row>
    <row r="211">
      <c r="A211" s="14" t="n">
        <v>42736</v>
      </c>
      <c r="B211" s="15">
        <f>VLOOKUP(Table2[[#This Row],[Date]],'DB LEI'!$A:$F,5)</f>
        <v/>
      </c>
      <c r="C211" s="15">
        <f>VLOOKUP(Table2[[#This Row],[Date]],'DB LEI'!$A:$F,5)</f>
        <v/>
      </c>
      <c r="D211" s="15">
        <f>VLOOKUP(Table2[[#This Row],[Date]],'DB LEI'!$A:$F,6)</f>
        <v/>
      </c>
    </row>
    <row r="212">
      <c r="A212" s="14" t="n">
        <v>42767</v>
      </c>
      <c r="B212" s="15">
        <f>VLOOKUP(Table2[[#This Row],[Date]],'DB LEI'!$A:$F,5)</f>
        <v/>
      </c>
      <c r="C212" s="15">
        <f>VLOOKUP(Table2[[#This Row],[Date]],'DB LEI'!$A:$F,5)</f>
        <v/>
      </c>
      <c r="D212" s="15">
        <f>VLOOKUP(Table2[[#This Row],[Date]],'DB LEI'!$A:$F,6)</f>
        <v/>
      </c>
    </row>
    <row r="213">
      <c r="A213" s="14" t="n">
        <v>42795</v>
      </c>
      <c r="B213" s="15">
        <f>VLOOKUP(Table2[[#This Row],[Date]],'DB LEI'!$A:$F,5)</f>
        <v/>
      </c>
      <c r="C213" s="15">
        <f>VLOOKUP(Table2[[#This Row],[Date]],'DB LEI'!$A:$F,5)</f>
        <v/>
      </c>
      <c r="D213" s="15">
        <f>VLOOKUP(Table2[[#This Row],[Date]],'DB LEI'!$A:$F,6)</f>
        <v/>
      </c>
    </row>
    <row r="214">
      <c r="A214" s="14" t="n">
        <v>42826</v>
      </c>
      <c r="B214" s="15">
        <f>VLOOKUP(Table2[[#This Row],[Date]],'DB LEI'!$A:$F,5)</f>
        <v/>
      </c>
      <c r="C214" s="15">
        <f>VLOOKUP(Table2[[#This Row],[Date]],'DB LEI'!$A:$F,5)</f>
        <v/>
      </c>
      <c r="D214" s="15">
        <f>VLOOKUP(Table2[[#This Row],[Date]],'DB LEI'!$A:$F,6)</f>
        <v/>
      </c>
    </row>
    <row r="215">
      <c r="A215" s="14" t="n">
        <v>42856</v>
      </c>
      <c r="B215" s="15">
        <f>VLOOKUP(Table2[[#This Row],[Date]],'DB LEI'!$A:$F,5)</f>
        <v/>
      </c>
      <c r="C215" s="15">
        <f>VLOOKUP(Table2[[#This Row],[Date]],'DB LEI'!$A:$F,5)</f>
        <v/>
      </c>
      <c r="D215" s="15">
        <f>VLOOKUP(Table2[[#This Row],[Date]],'DB LEI'!$A:$F,6)</f>
        <v/>
      </c>
    </row>
    <row r="216">
      <c r="A216" s="14" t="n">
        <v>42887</v>
      </c>
      <c r="B216" s="15">
        <f>VLOOKUP(Table2[[#This Row],[Date]],'DB LEI'!$A:$F,5)</f>
        <v/>
      </c>
      <c r="C216" s="15">
        <f>VLOOKUP(Table2[[#This Row],[Date]],'DB LEI'!$A:$F,5)</f>
        <v/>
      </c>
      <c r="D216" s="15">
        <f>VLOOKUP(Table2[[#This Row],[Date]],'DB LEI'!$A:$F,6)</f>
        <v/>
      </c>
    </row>
    <row r="217">
      <c r="A217" s="14" t="n">
        <v>42917</v>
      </c>
      <c r="B217" s="15">
        <f>VLOOKUP(Table2[[#This Row],[Date]],'DB LEI'!$A:$F,5)</f>
        <v/>
      </c>
      <c r="C217" s="15">
        <f>VLOOKUP(Table2[[#This Row],[Date]],'DB LEI'!$A:$F,5)</f>
        <v/>
      </c>
      <c r="D217" s="15">
        <f>VLOOKUP(Table2[[#This Row],[Date]],'DB LEI'!$A:$F,6)</f>
        <v/>
      </c>
    </row>
    <row r="218">
      <c r="A218" s="14" t="n">
        <v>42948</v>
      </c>
      <c r="B218" s="15">
        <f>VLOOKUP(Table2[[#This Row],[Date]],'DB LEI'!$A:$F,5)</f>
        <v/>
      </c>
      <c r="C218" s="15">
        <f>VLOOKUP(Table2[[#This Row],[Date]],'DB LEI'!$A:$F,5)</f>
        <v/>
      </c>
      <c r="D218" s="15">
        <f>VLOOKUP(Table2[[#This Row],[Date]],'DB LEI'!$A:$F,6)</f>
        <v/>
      </c>
    </row>
    <row r="219">
      <c r="A219" s="14" t="n">
        <v>42979</v>
      </c>
      <c r="B219" s="15">
        <f>VLOOKUP(Table2[[#This Row],[Date]],'DB LEI'!$A:$F,5)</f>
        <v/>
      </c>
      <c r="C219" s="15">
        <f>VLOOKUP(Table2[[#This Row],[Date]],'DB LEI'!$A:$F,5)</f>
        <v/>
      </c>
      <c r="D219" s="15">
        <f>VLOOKUP(Table2[[#This Row],[Date]],'DB LEI'!$A:$F,6)</f>
        <v/>
      </c>
    </row>
    <row r="220">
      <c r="A220" s="14" t="n">
        <v>43009</v>
      </c>
      <c r="B220" s="15">
        <f>VLOOKUP(Table2[[#This Row],[Date]],'DB LEI'!$A:$F,5)</f>
        <v/>
      </c>
      <c r="C220" s="15">
        <f>VLOOKUP(Table2[[#This Row],[Date]],'DB LEI'!$A:$F,5)</f>
        <v/>
      </c>
      <c r="D220" s="15">
        <f>VLOOKUP(Table2[[#This Row],[Date]],'DB LEI'!$A:$F,6)</f>
        <v/>
      </c>
    </row>
    <row r="221">
      <c r="A221" s="14" t="n">
        <v>43040</v>
      </c>
      <c r="B221" s="15">
        <f>VLOOKUP(Table2[[#This Row],[Date]],'DB LEI'!$A:$F,5)</f>
        <v/>
      </c>
      <c r="C221" s="15">
        <f>VLOOKUP(Table2[[#This Row],[Date]],'DB LEI'!$A:$F,5)</f>
        <v/>
      </c>
      <c r="D221" s="15">
        <f>VLOOKUP(Table2[[#This Row],[Date]],'DB LEI'!$A:$F,6)</f>
        <v/>
      </c>
    </row>
    <row r="222">
      <c r="A222" s="14" t="n">
        <v>43070</v>
      </c>
      <c r="B222" s="15">
        <f>VLOOKUP(Table2[[#This Row],[Date]],'DB LEI'!$A:$F,5)</f>
        <v/>
      </c>
      <c r="C222" s="15">
        <f>VLOOKUP(Table2[[#This Row],[Date]],'DB LEI'!$A:$F,5)</f>
        <v/>
      </c>
      <c r="D222" s="15">
        <f>VLOOKUP(Table2[[#This Row],[Date]],'DB LEI'!$A:$F,6)</f>
        <v/>
      </c>
    </row>
    <row r="223">
      <c r="A223" s="14" t="n">
        <v>43101</v>
      </c>
      <c r="B223" s="15">
        <f>VLOOKUP(Table2[[#This Row],[Date]],'DB LEI'!$A:$F,5)</f>
        <v/>
      </c>
      <c r="C223" s="15">
        <f>VLOOKUP(Table2[[#This Row],[Date]],'DB LEI'!$A:$F,5)</f>
        <v/>
      </c>
      <c r="D223" s="15">
        <f>VLOOKUP(Table2[[#This Row],[Date]],'DB LEI'!$A:$F,6)</f>
        <v/>
      </c>
    </row>
    <row r="224">
      <c r="A224" s="14" t="n">
        <v>43132</v>
      </c>
      <c r="B224" s="15">
        <f>VLOOKUP(Table2[[#This Row],[Date]],'DB LEI'!$A:$F,5)</f>
        <v/>
      </c>
      <c r="C224" s="15">
        <f>VLOOKUP(Table2[[#This Row],[Date]],'DB LEI'!$A:$F,5)</f>
        <v/>
      </c>
      <c r="D224" s="15">
        <f>VLOOKUP(Table2[[#This Row],[Date]],'DB LEI'!$A:$F,6)</f>
        <v/>
      </c>
    </row>
    <row r="225">
      <c r="A225" s="14" t="n">
        <v>43160</v>
      </c>
      <c r="B225" s="15">
        <f>VLOOKUP(Table2[[#This Row],[Date]],'DB LEI'!$A:$F,5)</f>
        <v/>
      </c>
      <c r="C225" s="15">
        <f>VLOOKUP(Table2[[#This Row],[Date]],'DB LEI'!$A:$F,5)</f>
        <v/>
      </c>
      <c r="D225" s="15">
        <f>VLOOKUP(Table2[[#This Row],[Date]],'DB LEI'!$A:$F,6)</f>
        <v/>
      </c>
    </row>
    <row r="226">
      <c r="A226" s="14" t="n">
        <v>43191</v>
      </c>
      <c r="B226" s="15">
        <f>VLOOKUP(Table2[[#This Row],[Date]],'DB LEI'!$A:$F,5)</f>
        <v/>
      </c>
      <c r="C226" s="15">
        <f>VLOOKUP(Table2[[#This Row],[Date]],'DB LEI'!$A:$F,5)</f>
        <v/>
      </c>
      <c r="D226" s="15">
        <f>VLOOKUP(Table2[[#This Row],[Date]],'DB LEI'!$A:$F,6)</f>
        <v/>
      </c>
    </row>
    <row r="227">
      <c r="A227" s="28" t="n">
        <v>43221</v>
      </c>
      <c r="B227" s="15">
        <f>VLOOKUP(Table2[[#This Row],[Date]],'DB LEI'!$A:$F,5)</f>
        <v/>
      </c>
      <c r="C227" s="15">
        <f>VLOOKUP(Table2[[#This Row],[Date]],'DB LEI'!$A:$F,5)</f>
        <v/>
      </c>
      <c r="D227" s="15">
        <f>VLOOKUP(Table2[[#This Row],[Date]],'DB LEI'!$A:$F,6)</f>
        <v/>
      </c>
    </row>
    <row r="228">
      <c r="A228" s="28" t="n">
        <v>43252</v>
      </c>
      <c r="B228" s="15">
        <f>VLOOKUP(Table2[[#This Row],[Date]],'DB LEI'!$A:$F,5)</f>
        <v/>
      </c>
      <c r="C228" s="15">
        <f>VLOOKUP(Table2[[#This Row],[Date]],'DB LEI'!$A:$F,5)</f>
        <v/>
      </c>
      <c r="D228" s="15">
        <f>VLOOKUP(Table2[[#This Row],[Date]],'DB LEI'!$A:$F,6)</f>
        <v/>
      </c>
    </row>
    <row r="229">
      <c r="A229" s="28" t="n">
        <v>43282</v>
      </c>
      <c r="B229" s="15">
        <f>VLOOKUP(Table2[[#This Row],[Date]],'DB LEI'!$A:$F,5)</f>
        <v/>
      </c>
      <c r="C229" s="15">
        <f>VLOOKUP(Table2[[#This Row],[Date]],'DB LEI'!$A:$F,5)</f>
        <v/>
      </c>
      <c r="D229" s="15">
        <f>VLOOKUP(Table2[[#This Row],[Date]],'DB LEI'!$A:$F,6)</f>
        <v/>
      </c>
    </row>
    <row r="230">
      <c r="A230" s="28" t="n">
        <v>43313</v>
      </c>
      <c r="B230" s="15">
        <f>VLOOKUP(Table2[[#This Row],[Date]],'DB LEI'!$A:$F,5)</f>
        <v/>
      </c>
      <c r="C230" s="15">
        <f>VLOOKUP(Table2[[#This Row],[Date]],'DB LEI'!$A:$F,5)</f>
        <v/>
      </c>
      <c r="D230" s="15">
        <f>VLOOKUP(Table2[[#This Row],[Date]],'DB LEI'!$A:$F,6)</f>
        <v/>
      </c>
    </row>
    <row r="231">
      <c r="A231" s="28" t="n">
        <v>43344</v>
      </c>
      <c r="B231" s="15">
        <f>VLOOKUP(Table2[[#This Row],[Date]],'DB LEI'!$A:$F,5)</f>
        <v/>
      </c>
      <c r="C231" s="15">
        <f>VLOOKUP(Table2[[#This Row],[Date]],'DB LEI'!$A:$F,5)</f>
        <v/>
      </c>
      <c r="D231" s="15">
        <f>VLOOKUP(Table2[[#This Row],[Date]],'DB LEI'!$A:$F,6)</f>
        <v/>
      </c>
    </row>
    <row r="232">
      <c r="A232" s="28" t="n">
        <v>43374</v>
      </c>
      <c r="B232" s="15">
        <f>VLOOKUP(Table2[[#This Row],[Date]],'DB LEI'!$A:$F,5)</f>
        <v/>
      </c>
      <c r="C232" s="15">
        <f>VLOOKUP(Table2[[#This Row],[Date]],'DB LEI'!$A:$F,5)</f>
        <v/>
      </c>
      <c r="D232" s="15">
        <f>VLOOKUP(Table2[[#This Row],[Date]],'DB LEI'!$A:$F,6)</f>
        <v/>
      </c>
    </row>
    <row r="233">
      <c r="A233" s="28" t="n">
        <v>43405</v>
      </c>
      <c r="B233" s="15">
        <f>VLOOKUP(Table2[[#This Row],[Date]],'DB LEI'!$A:$F,5)</f>
        <v/>
      </c>
      <c r="C233" s="15">
        <f>VLOOKUP(Table2[[#This Row],[Date]],'DB LEI'!$A:$F,5)</f>
        <v/>
      </c>
      <c r="D233" s="15">
        <f>VLOOKUP(Table2[[#This Row],[Date]],'DB LEI'!$A:$F,6)</f>
        <v/>
      </c>
    </row>
    <row r="234">
      <c r="A234" s="28" t="n">
        <v>43435</v>
      </c>
      <c r="B234" s="15">
        <f>VLOOKUP(Table2[[#This Row],[Date]],'DB LEI'!$A:$F,5)</f>
        <v/>
      </c>
      <c r="C234" s="15">
        <f>VLOOKUP(Table2[[#This Row],[Date]],'DB LEI'!$A:$F,5)</f>
        <v/>
      </c>
      <c r="D234" s="15">
        <f>VLOOKUP(Table2[[#This Row],[Date]],'DB LEI'!$A:$F,6)</f>
        <v/>
      </c>
    </row>
    <row r="235">
      <c r="A235" s="28" t="n">
        <v>43466</v>
      </c>
      <c r="B235" s="15">
        <f>VLOOKUP(Table2[[#This Row],[Date]],'DB LEI'!$A:$F,5)</f>
        <v/>
      </c>
      <c r="C235" s="15">
        <f>VLOOKUP(Table2[[#This Row],[Date]],'DB LEI'!$A:$F,5)</f>
        <v/>
      </c>
      <c r="D235" s="15">
        <f>VLOOKUP(Table2[[#This Row],[Date]],'DB LEI'!$A:$F,6)</f>
        <v/>
      </c>
    </row>
    <row r="236">
      <c r="A236" s="28" t="n">
        <v>43497</v>
      </c>
      <c r="B236" s="15">
        <f>VLOOKUP(Table2[[#This Row],[Date]],'DB LEI'!$A:$F,5)</f>
        <v/>
      </c>
      <c r="C236" s="15">
        <f>VLOOKUP(Table2[[#This Row],[Date]],'DB LEI'!$A:$F,5)</f>
        <v/>
      </c>
      <c r="D236" s="15">
        <f>VLOOKUP(Table2[[#This Row],[Date]],'DB LEI'!$A:$F,6)</f>
        <v/>
      </c>
    </row>
    <row r="237">
      <c r="A237" s="28" t="n">
        <v>43525</v>
      </c>
      <c r="B237" s="15">
        <f>VLOOKUP(Table2[[#This Row],[Date]],'DB LEI'!$A:$F,5)</f>
        <v/>
      </c>
      <c r="C237" s="15">
        <f>VLOOKUP(Table2[[#This Row],[Date]],'DB LEI'!$A:$F,5)</f>
        <v/>
      </c>
      <c r="D237" s="15">
        <f>VLOOKUP(Table2[[#This Row],[Date]],'DB LEI'!$A:$F,6)</f>
        <v/>
      </c>
    </row>
    <row r="238">
      <c r="A238" s="28" t="n">
        <v>43556</v>
      </c>
      <c r="B238" s="15">
        <f>VLOOKUP(Table2[[#This Row],[Date]],'DB LEI'!$A:$F,5)</f>
        <v/>
      </c>
      <c r="C238" s="15">
        <f>VLOOKUP(Table2[[#This Row],[Date]],'DB LEI'!$A:$F,5)</f>
        <v/>
      </c>
      <c r="D238" s="15">
        <f>VLOOKUP(Table2[[#This Row],[Date]],'DB LEI'!$A:$F,6)</f>
        <v/>
      </c>
    </row>
    <row r="239">
      <c r="A239" s="28" t="n">
        <v>43586</v>
      </c>
      <c r="B239" s="15">
        <f>VLOOKUP(Table2[[#This Row],[Date]],'DB LEI'!$A:$F,5)</f>
        <v/>
      </c>
      <c r="C239" s="15">
        <f>VLOOKUP(Table2[[#This Row],[Date]],'DB LEI'!$A:$F,5)</f>
        <v/>
      </c>
      <c r="D239" s="15">
        <f>VLOOKUP(Table2[[#This Row],[Date]],'DB LEI'!$A:$F,6)</f>
        <v/>
      </c>
    </row>
    <row r="240">
      <c r="A240" s="28" t="n">
        <v>43617</v>
      </c>
      <c r="B240" s="15">
        <f>VLOOKUP(Table2[[#This Row],[Date]],'DB LEI'!$A:$F,5)</f>
        <v/>
      </c>
      <c r="C240" s="15">
        <f>VLOOKUP(Table2[[#This Row],[Date]],'DB LEI'!$A:$F,5)</f>
        <v/>
      </c>
      <c r="D240" s="15">
        <f>VLOOKUP(Table2[[#This Row],[Date]],'DB LEI'!$A:$F,6)</f>
        <v/>
      </c>
    </row>
    <row r="241">
      <c r="A241" s="28" t="n">
        <v>43647</v>
      </c>
      <c r="B241" s="15">
        <f>VLOOKUP(Table2[[#This Row],[Date]],'DB LEI'!$A:$F,5)</f>
        <v/>
      </c>
      <c r="C241" s="15">
        <f>VLOOKUP(Table2[[#This Row],[Date]],'DB LEI'!$A:$F,5)</f>
        <v/>
      </c>
      <c r="D241" s="15">
        <f>VLOOKUP(Table2[[#This Row],[Date]],'DB LEI'!$A:$F,6)</f>
        <v/>
      </c>
    </row>
    <row r="242">
      <c r="A242" s="28" t="n">
        <v>43678</v>
      </c>
      <c r="B242" s="15">
        <f>VLOOKUP(Table2[[#This Row],[Date]],'DB LEI'!$A:$F,5)</f>
        <v/>
      </c>
      <c r="C242" s="15">
        <f>VLOOKUP(Table2[[#This Row],[Date]],'DB LEI'!$A:$F,5)</f>
        <v/>
      </c>
      <c r="D242" s="15">
        <f>VLOOKUP(Table2[[#This Row],[Date]],'DB LEI'!$A:$F,6)</f>
        <v/>
      </c>
    </row>
    <row r="243">
      <c r="A243" s="28" t="n">
        <v>43709</v>
      </c>
      <c r="B243" s="15">
        <f>VLOOKUP(Table2[[#This Row],[Date]],'DB LEI'!$A:$F,5)</f>
        <v/>
      </c>
      <c r="C243" s="15">
        <f>VLOOKUP(Table2[[#This Row],[Date]],'DB LEI'!$A:$F,5)</f>
        <v/>
      </c>
      <c r="D243" s="15">
        <f>VLOOKUP(Table2[[#This Row],[Date]],'DB LEI'!$A:$F,6)</f>
        <v/>
      </c>
    </row>
    <row r="244">
      <c r="A244" s="28" t="n">
        <v>43739</v>
      </c>
      <c r="B244" s="15">
        <f>VLOOKUP(Table2[[#This Row],[Date]],'DB LEI'!$A:$F,5)</f>
        <v/>
      </c>
      <c r="C244" s="15">
        <f>VLOOKUP(Table2[[#This Row],[Date]],'DB LEI'!$A:$F,5)</f>
        <v/>
      </c>
      <c r="D244" s="15">
        <f>VLOOKUP(Table2[[#This Row],[Date]],'DB LEI'!$A:$F,6)</f>
        <v/>
      </c>
    </row>
    <row r="245">
      <c r="A245" s="28" t="n">
        <v>43770</v>
      </c>
      <c r="B245" s="15">
        <f>VLOOKUP(Table2[[#This Row],[Date]],'DB LEI'!$A:$F,5)</f>
        <v/>
      </c>
      <c r="C245" s="15">
        <f>VLOOKUP(Table2[[#This Row],[Date]],'DB LEI'!$A:$F,5)</f>
        <v/>
      </c>
      <c r="D245" s="15">
        <f>VLOOKUP(Table2[[#This Row],[Date]],'DB LEI'!$A:$F,6)</f>
        <v/>
      </c>
    </row>
    <row r="246">
      <c r="A246" s="28" t="n">
        <v>43800</v>
      </c>
      <c r="B246" s="15">
        <f>VLOOKUP(Table2[[#This Row],[Date]],'DB LEI'!$A:$F,5)</f>
        <v/>
      </c>
      <c r="C246" s="15">
        <f>VLOOKUP(Table2[[#This Row],[Date]],'DB LEI'!$A:$F,5)</f>
        <v/>
      </c>
      <c r="D246" s="15">
        <f>VLOOKUP(Table2[[#This Row],[Date]],'DB LEI'!$A:$F,6)</f>
        <v/>
      </c>
    </row>
    <row r="247">
      <c r="A247" s="28" t="n">
        <v>43831</v>
      </c>
      <c r="B247" s="15">
        <f>VLOOKUP(Table2[[#This Row],[Date]],'DB LEI'!$A:$F,5)</f>
        <v/>
      </c>
      <c r="C247" s="15">
        <f>VLOOKUP(Table2[[#This Row],[Date]],'DB LEI'!$A:$F,5)</f>
        <v/>
      </c>
      <c r="D247" s="15">
        <f>VLOOKUP(Table2[[#This Row],[Date]],'DB LEI'!$A:$F,6)</f>
        <v/>
      </c>
    </row>
    <row r="248">
      <c r="A248" s="28" t="n">
        <v>43862</v>
      </c>
      <c r="B248" s="15">
        <f>VLOOKUP(Table2[[#This Row],[Date]],'DB LEI'!$A:$F,5)</f>
        <v/>
      </c>
      <c r="C248" s="15">
        <f>VLOOKUP(Table2[[#This Row],[Date]],'DB LEI'!$A:$F,5)</f>
        <v/>
      </c>
      <c r="D248" s="15">
        <f>VLOOKUP(Table2[[#This Row],[Date]],'DB LEI'!$A:$F,6)</f>
        <v/>
      </c>
    </row>
    <row r="249">
      <c r="A249" s="28" t="n">
        <v>43891</v>
      </c>
      <c r="B249" s="15">
        <f>VLOOKUP(Table2[[#This Row],[Date]],'DB LEI'!$A:$F,5)</f>
        <v/>
      </c>
      <c r="C249" s="15">
        <f>VLOOKUP(Table2[[#This Row],[Date]],'DB LEI'!$A:$F,5)</f>
        <v/>
      </c>
      <c r="D249" s="15">
        <f>VLOOKUP(Table2[[#This Row],[Date]],'DB LEI'!$A:$F,6)</f>
        <v/>
      </c>
    </row>
    <row r="250">
      <c r="A250" s="28" t="n">
        <v>43922</v>
      </c>
      <c r="B250" s="15">
        <f>VLOOKUP(Table2[[#This Row],[Date]],'DB LEI'!$A:$F,5)</f>
        <v/>
      </c>
      <c r="C250" s="15">
        <f>VLOOKUP(Table2[[#This Row],[Date]],'DB LEI'!$A:$F,5)</f>
        <v/>
      </c>
      <c r="D250" s="15">
        <f>VLOOKUP(Table2[[#This Row],[Date]],'DB LEI'!$A:$F,6)</f>
        <v/>
      </c>
    </row>
    <row r="251">
      <c r="A251" s="28" t="n">
        <v>43952</v>
      </c>
      <c r="B251" s="15">
        <f>VLOOKUP(Table2[[#This Row],[Date]],'DB LEI'!$A:$F,5)</f>
        <v/>
      </c>
      <c r="C251" s="15">
        <f>VLOOKUP(Table2[[#This Row],[Date]],'DB LEI'!$A:$F,5)</f>
        <v/>
      </c>
      <c r="D251" s="15">
        <f>VLOOKUP(Table2[[#This Row],[Date]],'DB LEI'!$A:$F,6)</f>
        <v/>
      </c>
    </row>
    <row r="252">
      <c r="A252" s="28" t="n">
        <v>43983</v>
      </c>
      <c r="B252" s="15">
        <f>VLOOKUP(Table2[[#This Row],[Date]],'DB LEI'!$A:$F,5)</f>
        <v/>
      </c>
      <c r="C252" s="15">
        <f>VLOOKUP(Table2[[#This Row],[Date]],'DB LEI'!$A:$F,5)</f>
        <v/>
      </c>
      <c r="D252" s="15">
        <f>VLOOKUP(Table2[[#This Row],[Date]],'DB LEI'!$A:$F,6)</f>
        <v/>
      </c>
    </row>
    <row r="253">
      <c r="A253" s="28" t="n">
        <v>44013</v>
      </c>
      <c r="B253" s="15">
        <f>VLOOKUP(Table2[[#This Row],[Date]],'DB LEI'!$A:$F,5)</f>
        <v/>
      </c>
      <c r="C253" s="15">
        <f>VLOOKUP(Table2[[#This Row],[Date]],'DB LEI'!$A:$F,5)</f>
        <v/>
      </c>
      <c r="D253" s="15">
        <f>VLOOKUP(Table2[[#This Row],[Date]],'DB LEI'!$A:$F,6)</f>
        <v/>
      </c>
    </row>
    <row r="254">
      <c r="A254" s="28" t="n">
        <v>44044</v>
      </c>
      <c r="B254" s="15">
        <f>VLOOKUP(Table2[[#This Row],[Date]],'DB LEI'!$A:$F,5)</f>
        <v/>
      </c>
      <c r="C254" s="15">
        <f>VLOOKUP(Table2[[#This Row],[Date]],'DB LEI'!$A:$F,5)</f>
        <v/>
      </c>
      <c r="D254" s="15">
        <f>VLOOKUP(Table2[[#This Row],[Date]],'DB LEI'!$A:$F,6)</f>
        <v/>
      </c>
    </row>
    <row r="255">
      <c r="A255" s="28" t="n">
        <v>44075</v>
      </c>
      <c r="B255" s="15">
        <f>VLOOKUP(Table2[[#This Row],[Date]],'DB LEI'!$A:$F,5)</f>
        <v/>
      </c>
      <c r="C255" s="15">
        <f>VLOOKUP(Table2[[#This Row],[Date]],'DB LEI'!$A:$F,5)</f>
        <v/>
      </c>
      <c r="D255" s="15">
        <f>VLOOKUP(Table2[[#This Row],[Date]],'DB LEI'!$A:$F,6)</f>
        <v/>
      </c>
    </row>
    <row r="256">
      <c r="A256" s="28" t="n">
        <v>44105</v>
      </c>
      <c r="B256" s="15">
        <f>VLOOKUP(Table2[[#This Row],[Date]],'DB LEI'!$A:$F,5)</f>
        <v/>
      </c>
      <c r="C256" s="15">
        <f>VLOOKUP(Table2[[#This Row],[Date]],'DB LEI'!$A:$F,5)</f>
        <v/>
      </c>
      <c r="D256" s="15">
        <f>VLOOKUP(Table2[[#This Row],[Date]],'DB LEI'!$A:$F,6)</f>
        <v/>
      </c>
    </row>
    <row r="257">
      <c r="A257" s="28" t="n">
        <v>44136</v>
      </c>
      <c r="B257" s="15">
        <f>VLOOKUP(Table2[[#This Row],[Date]],'DB LEI'!$A:$F,5)</f>
        <v/>
      </c>
      <c r="C257" s="15">
        <f>VLOOKUP(Table2[[#This Row],[Date]],'DB LEI'!$A:$F,5)</f>
        <v/>
      </c>
      <c r="D257" s="15">
        <f>VLOOKUP(Table2[[#This Row],[Date]],'DB LEI'!$A:$F,6)</f>
        <v/>
      </c>
    </row>
    <row r="258">
      <c r="A258" s="28" t="n">
        <v>44166</v>
      </c>
      <c r="B258" s="15">
        <f>VLOOKUP(Table2[[#This Row],[Date]],'DB LEI'!$A:$F,5)</f>
        <v/>
      </c>
      <c r="C258" s="15">
        <f>VLOOKUP(Table2[[#This Row],[Date]],'DB LEI'!$A:$F,5)</f>
        <v/>
      </c>
      <c r="D258" s="15">
        <f>VLOOKUP(Table2[[#This Row],[Date]],'DB LEI'!$A:$F,6)</f>
        <v/>
      </c>
    </row>
    <row r="259">
      <c r="A259" s="28" t="n">
        <v>44197</v>
      </c>
      <c r="B259" s="15">
        <f>VLOOKUP(Table2[[#This Row],[Date]],'DB LEI'!$A:$F,5)</f>
        <v/>
      </c>
      <c r="C259" s="15">
        <f>VLOOKUP(Table2[[#This Row],[Date]],'DB LEI'!$A:$F,5)</f>
        <v/>
      </c>
      <c r="D259" s="15">
        <f>VLOOKUP(Table2[[#This Row],[Date]],'DB LEI'!$A:$F,6)</f>
        <v/>
      </c>
    </row>
    <row r="260">
      <c r="A260" s="28" t="n">
        <v>44228</v>
      </c>
      <c r="B260" s="15">
        <f>VLOOKUP(Table2[[#This Row],[Date]],'DB LEI'!$A:$F,5)</f>
        <v/>
      </c>
      <c r="C260" s="15">
        <f>VLOOKUP(Table2[[#This Row],[Date]],'DB LEI'!$A:$F,5)</f>
        <v/>
      </c>
      <c r="D260" s="15">
        <f>VLOOKUP(Table2[[#This Row],[Date]],'DB LEI'!$A:$F,6)</f>
        <v/>
      </c>
    </row>
    <row r="261">
      <c r="A261" s="28" t="n">
        <v>44256</v>
      </c>
      <c r="B261" s="15">
        <f>VLOOKUP(Table2[[#This Row],[Date]],'DB LEI'!$A:$F,5)</f>
        <v/>
      </c>
      <c r="C261" s="15">
        <f>VLOOKUP(Table2[[#This Row],[Date]],'DB LEI'!$A:$F,5)</f>
        <v/>
      </c>
      <c r="D261" s="15">
        <f>VLOOKUP(Table2[[#This Row],[Date]],'DB LEI'!$A:$F,6)</f>
        <v/>
      </c>
    </row>
    <row r="262">
      <c r="A262" s="28" t="n">
        <v>44287</v>
      </c>
      <c r="B262" s="15">
        <f>VLOOKUP(Table2[[#This Row],[Date]],'DB LEI'!$A:$F,5)</f>
        <v/>
      </c>
      <c r="C262" s="15">
        <f>VLOOKUP(Table2[[#This Row],[Date]],'DB LEI'!$A:$F,5)</f>
        <v/>
      </c>
      <c r="D262" s="15">
        <f>VLOOKUP(Table2[[#This Row],[Date]],'DB LEI'!$A:$F,6)</f>
        <v/>
      </c>
    </row>
    <row r="263">
      <c r="A263" s="28" t="n">
        <v>44317</v>
      </c>
      <c r="B263" s="15">
        <f>VLOOKUP(Table2[[#This Row],[Date]],'DB LEI'!$A:$F,5)</f>
        <v/>
      </c>
      <c r="C263" s="15">
        <f>VLOOKUP(Table2[[#This Row],[Date]],'DB LEI'!$A:$F,5)</f>
        <v/>
      </c>
      <c r="D263" s="15">
        <f>VLOOKUP(Table2[[#This Row],[Date]],'DB LEI'!$A:$F,6)</f>
        <v/>
      </c>
    </row>
    <row r="264">
      <c r="A264" s="28" t="n">
        <v>44348</v>
      </c>
      <c r="B264" s="15">
        <f>VLOOKUP(Table2[[#This Row],[Date]],'DB LEI'!$A:$F,5)</f>
        <v/>
      </c>
      <c r="C264" s="15">
        <f>VLOOKUP(Table2[[#This Row],[Date]],'DB LEI'!$A:$F,5)</f>
        <v/>
      </c>
      <c r="D264" s="15">
        <f>VLOOKUP(Table2[[#This Row],[Date]],'DB LEI'!$A:$F,6)</f>
        <v/>
      </c>
    </row>
    <row r="265">
      <c r="A265" s="28" t="n">
        <v>44378</v>
      </c>
      <c r="B265" s="15">
        <f>VLOOKUP(Table2[[#This Row],[Date]],'DB LEI'!$A:$F,5)</f>
        <v/>
      </c>
      <c r="C265" s="15">
        <f>VLOOKUP(Table2[[#This Row],[Date]],'DB LEI'!$A:$F,5)</f>
        <v/>
      </c>
      <c r="D265" s="15">
        <f>VLOOKUP(Table2[[#This Row],[Date]],'DB LEI'!$A:$F,6)</f>
        <v/>
      </c>
    </row>
    <row r="266">
      <c r="A266" s="28" t="n">
        <v>44409</v>
      </c>
      <c r="B266" s="15">
        <f>VLOOKUP(Table2[[#This Row],[Date]],'DB LEI'!$A:$F,5)</f>
        <v/>
      </c>
      <c r="C266" s="15">
        <f>VLOOKUP(Table2[[#This Row],[Date]],'DB LEI'!$A:$F,5)</f>
        <v/>
      </c>
      <c r="D266" s="15">
        <f>VLOOKUP(Table2[[#This Row],[Date]],'DB LEI'!$A:$F,6)</f>
        <v/>
      </c>
    </row>
    <row r="267">
      <c r="A267" s="28" t="n">
        <v>44440</v>
      </c>
      <c r="B267" s="15">
        <f>VLOOKUP(Table2[[#This Row],[Date]],'DB LEI'!$A:$F,5)</f>
        <v/>
      </c>
      <c r="C267" s="15">
        <f>VLOOKUP(Table2[[#This Row],[Date]],'DB LEI'!$A:$F,5)</f>
        <v/>
      </c>
      <c r="D267" s="15">
        <f>VLOOKUP(Table2[[#This Row],[Date]],'DB LEI'!$A:$F,6)</f>
        <v/>
      </c>
    </row>
    <row r="268">
      <c r="A268" s="28" t="n">
        <v>44470</v>
      </c>
      <c r="B268" s="15">
        <f>VLOOKUP(Table2[[#This Row],[Date]],'DB LEI'!$A:$F,5)</f>
        <v/>
      </c>
      <c r="C268" s="15">
        <f>VLOOKUP(Table2[[#This Row],[Date]],'DB LEI'!$A:$F,5)</f>
        <v/>
      </c>
      <c r="D268" s="15">
        <f>VLOOKUP(Table2[[#This Row],[Date]],'DB LEI'!$A:$F,6)</f>
        <v/>
      </c>
    </row>
    <row r="269">
      <c r="A269" s="28" t="n">
        <v>44501</v>
      </c>
      <c r="B269" s="15">
        <f>VLOOKUP(Table2[[#This Row],[Date]],'DB LEI'!$A:$F,5)</f>
        <v/>
      </c>
      <c r="C269" s="15">
        <f>VLOOKUP(Table2[[#This Row],[Date]],'DB LEI'!$A:$F,5)</f>
        <v/>
      </c>
      <c r="D269" s="15">
        <f>VLOOKUP(Table2[[#This Row],[Date]],'DB LEI'!$A:$F,6)</f>
        <v/>
      </c>
    </row>
    <row r="270">
      <c r="A270" s="28" t="n">
        <v>44531</v>
      </c>
      <c r="B270" s="15">
        <f>VLOOKUP(Table2[[#This Row],[Date]],'DB LEI'!$A:$F,5)</f>
        <v/>
      </c>
      <c r="C270" s="15">
        <f>VLOOKUP(Table2[[#This Row],[Date]],'DB LEI'!$A:$F,5)</f>
        <v/>
      </c>
      <c r="D270" s="15">
        <f>VLOOKUP(Table2[[#This Row],[Date]],'DB LEI'!$A:$F,6)</f>
        <v/>
      </c>
    </row>
  </sheetData>
  <conditionalFormatting sqref="B127:B27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4"/>
  <sheetViews>
    <sheetView zoomScale="170" zoomScaleNormal="170" workbookViewId="0">
      <pane ySplit="6" topLeftCell="A471" activePane="bottomLeft" state="frozen"/>
      <selection pane="bottomLeft" activeCell="A28" sqref="A28"/>
    </sheetView>
  </sheetViews>
  <sheetFormatPr baseColWidth="10" defaultColWidth="9.1640625" defaultRowHeight="15"/>
  <cols>
    <col width="11.6640625" customWidth="1" style="16" min="1" max="1"/>
    <col width="15" customWidth="1" style="16" min="2" max="4"/>
    <col width="9.1640625" customWidth="1" style="55" min="5" max="14"/>
    <col width="9.1640625" customWidth="1" style="55" min="15"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sheetData>
  <conditionalFormatting sqref="B391:B53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2022-01-18T02:46:25Z</dcterms:modified>
  <cp:lastModifiedBy>Mark Mukherjee</cp:lastModifiedBy>
</cp:coreProperties>
</file>