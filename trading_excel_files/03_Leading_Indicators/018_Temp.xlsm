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436C7753-6E2B-6047-94D3-910216A9CED4}" xr6:coauthVersionLast="47" xr6:coauthVersionMax="47" xr10:uidLastSave="{00000000-0000-0000-0000-000000000000}"/>
  <bookViews>
    <workbookView xWindow="-62300" yWindow="-640" windowWidth="27980" windowHeight="27120" tabRatio="804" xr2:uid="{00000000-000D-0000-FFFF-FFFF00000000}"/>
  </bookViews>
  <sheets>
    <sheet name="DB Country PMI" sheetId="1" r:id="rId1"/>
    <sheet name="Global" sheetId="2" r:id="rId2"/>
    <sheet name="US" sheetId="3" r:id="rId3"/>
    <sheet name="China" sheetId="4" r:id="rId4"/>
    <sheet name="EuroArea" sheetId="5" r:id="rId5"/>
    <sheet name="Japan" sheetId="6" r:id="rId6"/>
    <sheet name="Germany" sheetId="7" r:id="rId7"/>
    <sheet name="France" sheetId="8" r:id="rId8"/>
    <sheet name="UK" sheetId="9" r:id="rId9"/>
    <sheet name="Italy" sheetId="10" r:id="rId10"/>
    <sheet name="Spain" sheetId="11" r:id="rId11"/>
    <sheet name="Brazil" sheetId="12" r:id="rId12"/>
    <sheet name="Mexico" sheetId="13" r:id="rId13"/>
    <sheet name="Russia" sheetId="14" r:id="rId14"/>
    <sheet name="India" sheetId="15" r:id="rId15"/>
    <sheet name="Canada" sheetId="16" r:id="rId16"/>
    <sheet name="Australia" sheetId="17" r:id="rId17"/>
    <sheet name="Indonesia" sheetId="18" r:id="rId18"/>
    <sheet name="SouthKorea" sheetId="19" r:id="rId19"/>
    <sheet name="Taiwan" sheetId="20" r:id="rId20"/>
    <sheet name="Greece" sheetId="21" r:id="rId21"/>
    <sheet name="Ireland" sheetId="22" r:id="rId22"/>
    <sheet name="Turkey" sheetId="23" r:id="rId23"/>
    <sheet name="CzechRepublic" sheetId="24" r:id="rId24"/>
    <sheet name="Poland" sheetId="25" r:id="rId25"/>
    <sheet name="Denmark" sheetId="26" r:id="rId26"/>
    <sheet name="Vietnam" sheetId="27" r:id="rId27"/>
    <sheet name="Thailand" sheetId="28" r:id="rId28"/>
    <sheet name="SouthAfrica" sheetId="29" r:id="rId29"/>
    <sheet name="HongKong" sheetId="30" r:id="rId30"/>
    <sheet name="SaudiArabia" sheetId="31" r:id="rId31"/>
    <sheet name="NewZealand" sheetId="32" r:id="rId3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5" i="4" l="1"/>
  <c r="C205" i="4"/>
  <c r="E204" i="4"/>
  <c r="C204" i="4"/>
  <c r="E203" i="4"/>
  <c r="C203" i="4"/>
  <c r="E202" i="4"/>
  <c r="C202" i="4"/>
  <c r="E201" i="4"/>
  <c r="C201" i="4"/>
  <c r="E200" i="4"/>
  <c r="C200" i="4"/>
  <c r="E199" i="4"/>
  <c r="C199" i="4"/>
  <c r="E198" i="4"/>
  <c r="C198" i="4"/>
  <c r="E197" i="4"/>
  <c r="C197" i="4"/>
  <c r="E196" i="4"/>
  <c r="C196" i="4"/>
  <c r="E195" i="4"/>
  <c r="C195" i="4"/>
  <c r="E194" i="4"/>
  <c r="C194" i="4"/>
  <c r="E193" i="4"/>
  <c r="C193" i="4"/>
  <c r="E192" i="4"/>
  <c r="C192" i="4"/>
  <c r="E191" i="4"/>
  <c r="C191" i="4"/>
  <c r="E190" i="4"/>
  <c r="C190" i="4"/>
  <c r="E189" i="4"/>
  <c r="C189" i="4"/>
  <c r="E188" i="4"/>
  <c r="C188" i="4"/>
  <c r="E187" i="4"/>
  <c r="C187" i="4"/>
  <c r="E186" i="4"/>
  <c r="C186" i="4"/>
  <c r="E185" i="4"/>
  <c r="C185" i="4"/>
  <c r="E184" i="4"/>
  <c r="C184" i="4"/>
  <c r="E183" i="4"/>
  <c r="C183" i="4"/>
  <c r="E182" i="4"/>
  <c r="C182" i="4"/>
  <c r="E181" i="4"/>
  <c r="C181" i="4"/>
  <c r="E180" i="4"/>
  <c r="C180" i="4"/>
  <c r="E179" i="4"/>
  <c r="C179" i="4"/>
  <c r="E178" i="4"/>
  <c r="C178" i="4"/>
  <c r="E177" i="4"/>
  <c r="C177" i="4"/>
  <c r="E176" i="4"/>
  <c r="C176" i="4"/>
  <c r="E175" i="4"/>
  <c r="C175" i="4"/>
  <c r="E174" i="4"/>
  <c r="C174" i="4"/>
  <c r="E173" i="4"/>
  <c r="C173" i="4"/>
  <c r="E172" i="4"/>
  <c r="C172" i="4"/>
  <c r="E171" i="4"/>
  <c r="C171" i="4"/>
  <c r="E170" i="4"/>
  <c r="C170" i="4"/>
  <c r="E169" i="4"/>
  <c r="C169" i="4"/>
  <c r="E168" i="4"/>
  <c r="C168" i="4"/>
  <c r="E167" i="4"/>
  <c r="C167" i="4"/>
  <c r="E166" i="4"/>
  <c r="C166" i="4"/>
  <c r="E165" i="4"/>
  <c r="C165" i="4"/>
  <c r="E164" i="4"/>
  <c r="C164" i="4"/>
  <c r="E163" i="4"/>
  <c r="C163" i="4"/>
  <c r="E162" i="4"/>
  <c r="C162" i="4"/>
  <c r="E161" i="4"/>
  <c r="C161" i="4"/>
  <c r="E160" i="4"/>
  <c r="C160" i="4"/>
  <c r="E159" i="4"/>
  <c r="C159" i="4"/>
  <c r="E158" i="4"/>
  <c r="C158" i="4"/>
  <c r="E157" i="4"/>
  <c r="C157" i="4"/>
  <c r="E156" i="4"/>
  <c r="C156" i="4"/>
  <c r="E155" i="4"/>
  <c r="C155" i="4"/>
  <c r="E154" i="4"/>
  <c r="C154" i="4"/>
  <c r="E153" i="4"/>
  <c r="C153" i="4"/>
  <c r="E152" i="4"/>
  <c r="C152" i="4"/>
  <c r="E151" i="4"/>
  <c r="C151" i="4"/>
  <c r="E150" i="4"/>
  <c r="C150" i="4"/>
  <c r="E149" i="4"/>
  <c r="C149" i="4"/>
  <c r="E148" i="4"/>
  <c r="C148" i="4"/>
  <c r="E147" i="4"/>
  <c r="C147" i="4"/>
  <c r="E146" i="4"/>
  <c r="C146" i="4"/>
  <c r="E145" i="4"/>
  <c r="C145" i="4"/>
  <c r="E144" i="4"/>
  <c r="C144" i="4"/>
  <c r="E143" i="4"/>
  <c r="C143" i="4"/>
  <c r="E142" i="4"/>
  <c r="C142" i="4"/>
  <c r="E141" i="4"/>
  <c r="C141" i="4"/>
  <c r="E140" i="4"/>
  <c r="C140" i="4"/>
  <c r="E139" i="4"/>
  <c r="C139" i="4"/>
  <c r="E138" i="4"/>
  <c r="C138" i="4"/>
  <c r="E137" i="4"/>
  <c r="C137" i="4"/>
  <c r="E136" i="4"/>
  <c r="C136" i="4"/>
  <c r="E135" i="4"/>
  <c r="C135" i="4"/>
  <c r="E134" i="4"/>
  <c r="C134" i="4"/>
  <c r="E133" i="4"/>
  <c r="C133" i="4"/>
  <c r="E132" i="4"/>
  <c r="C132" i="4"/>
  <c r="E131" i="4"/>
  <c r="C131" i="4"/>
  <c r="E130" i="4"/>
  <c r="C130" i="4"/>
  <c r="E129" i="4"/>
  <c r="C129" i="4"/>
  <c r="E128" i="4"/>
  <c r="C128" i="4"/>
  <c r="E127" i="4"/>
  <c r="C127" i="4"/>
  <c r="E126" i="4"/>
  <c r="C126" i="4"/>
  <c r="E125" i="4"/>
  <c r="C125" i="4"/>
  <c r="E124" i="4"/>
  <c r="C124" i="4"/>
  <c r="E123" i="4"/>
  <c r="C123" i="4"/>
  <c r="E122" i="4"/>
  <c r="C122" i="4"/>
  <c r="E121" i="4"/>
  <c r="C121" i="4"/>
  <c r="E120" i="4"/>
  <c r="C120" i="4"/>
  <c r="E119" i="4"/>
  <c r="C119" i="4"/>
  <c r="E118" i="4"/>
  <c r="C118" i="4"/>
  <c r="E117" i="4"/>
  <c r="C117" i="4"/>
  <c r="E116" i="4"/>
  <c r="C116" i="4"/>
  <c r="E115" i="4"/>
  <c r="C115" i="4"/>
  <c r="E114" i="4"/>
  <c r="C114" i="4"/>
  <c r="E113" i="4"/>
  <c r="C113" i="4"/>
  <c r="E112" i="4"/>
  <c r="C112" i="4"/>
  <c r="E111" i="4"/>
  <c r="C111" i="4"/>
  <c r="E110" i="4"/>
  <c r="C110" i="4"/>
  <c r="E109" i="4"/>
  <c r="C109" i="4"/>
  <c r="E108" i="4"/>
  <c r="C108" i="4"/>
  <c r="E107" i="4"/>
  <c r="C107" i="4"/>
  <c r="E106" i="4"/>
  <c r="C106" i="4"/>
  <c r="E105" i="4"/>
  <c r="C105" i="4"/>
  <c r="E104" i="4"/>
  <c r="C104" i="4"/>
  <c r="E103" i="4"/>
  <c r="C103" i="4"/>
  <c r="E102" i="4"/>
  <c r="C102" i="4"/>
  <c r="E101" i="4"/>
  <c r="C101" i="4"/>
  <c r="E100" i="4"/>
  <c r="C100" i="4"/>
  <c r="E99" i="4"/>
  <c r="C99" i="4"/>
  <c r="E98" i="4"/>
  <c r="C98" i="4"/>
  <c r="E97" i="4"/>
  <c r="C97" i="4"/>
  <c r="E96" i="4"/>
  <c r="C96" i="4"/>
  <c r="E95" i="4"/>
  <c r="C95" i="4"/>
  <c r="E94" i="4"/>
  <c r="C94" i="4"/>
  <c r="E93" i="4"/>
  <c r="C93" i="4"/>
  <c r="E92" i="4"/>
  <c r="C92" i="4"/>
  <c r="E91" i="4"/>
  <c r="C91" i="4"/>
  <c r="E90" i="4"/>
  <c r="C90" i="4"/>
  <c r="E89" i="4"/>
  <c r="C89" i="4"/>
  <c r="E88" i="4"/>
  <c r="C88" i="4"/>
  <c r="E87" i="4"/>
  <c r="C87" i="4"/>
  <c r="E86" i="4"/>
  <c r="C86" i="4"/>
  <c r="E85" i="4"/>
  <c r="C85" i="4"/>
  <c r="E84" i="4"/>
  <c r="C84" i="4"/>
  <c r="E83" i="4"/>
  <c r="C83" i="4"/>
  <c r="E82" i="4"/>
  <c r="C82" i="4"/>
  <c r="E81" i="4"/>
  <c r="C81" i="4"/>
  <c r="E80" i="4"/>
  <c r="C80" i="4"/>
  <c r="E79" i="4"/>
  <c r="C79" i="4"/>
  <c r="E78" i="4"/>
  <c r="C78" i="4"/>
  <c r="E77" i="4"/>
  <c r="C77" i="4"/>
  <c r="E76" i="4"/>
  <c r="C76" i="4"/>
  <c r="E75" i="4"/>
  <c r="C75" i="4"/>
  <c r="E74" i="4"/>
  <c r="C74" i="4"/>
  <c r="E73" i="4"/>
  <c r="C73" i="4"/>
  <c r="E72" i="4"/>
  <c r="C72" i="4"/>
  <c r="E71" i="4"/>
  <c r="C71" i="4"/>
  <c r="E70" i="4"/>
  <c r="C70" i="4"/>
  <c r="E69" i="4"/>
  <c r="C69" i="4"/>
  <c r="E68" i="4"/>
  <c r="C68" i="4"/>
  <c r="E67" i="4"/>
  <c r="C67" i="4"/>
  <c r="E66" i="4"/>
  <c r="C66" i="4"/>
  <c r="E65" i="4"/>
  <c r="C65" i="4"/>
  <c r="E64" i="4"/>
  <c r="C64" i="4"/>
  <c r="E63" i="4"/>
  <c r="C63" i="4"/>
  <c r="E62" i="4"/>
  <c r="C62" i="4"/>
  <c r="E61" i="4"/>
  <c r="C61" i="4"/>
  <c r="E60" i="4"/>
  <c r="C60" i="4"/>
  <c r="E59" i="4"/>
  <c r="C59" i="4"/>
  <c r="E58" i="4"/>
  <c r="C58" i="4"/>
  <c r="E57" i="4"/>
  <c r="C57" i="4"/>
  <c r="E56" i="4"/>
  <c r="C56" i="4"/>
  <c r="E55" i="4"/>
  <c r="C55" i="4"/>
  <c r="E54" i="4"/>
  <c r="C54" i="4"/>
  <c r="E53" i="4"/>
  <c r="C53" i="4"/>
  <c r="E52" i="4"/>
  <c r="C52" i="4"/>
  <c r="E51" i="4"/>
  <c r="C51" i="4"/>
  <c r="E50" i="4"/>
  <c r="C50" i="4"/>
  <c r="E49" i="4"/>
  <c r="C49" i="4"/>
  <c r="E48" i="4"/>
  <c r="C48" i="4"/>
  <c r="E47" i="4"/>
  <c r="C47" i="4"/>
  <c r="E46" i="4"/>
  <c r="C46" i="4"/>
  <c r="E45" i="4"/>
  <c r="C45" i="4"/>
  <c r="E44" i="4"/>
  <c r="C44" i="4"/>
  <c r="E43" i="4"/>
  <c r="C43" i="4"/>
  <c r="E42" i="4"/>
  <c r="C42" i="4"/>
  <c r="E41" i="4"/>
  <c r="C41" i="4"/>
  <c r="E40" i="4"/>
  <c r="C40" i="4"/>
  <c r="E39" i="4"/>
  <c r="C39" i="4"/>
  <c r="E38" i="4"/>
  <c r="C38" i="4"/>
  <c r="E37" i="4"/>
  <c r="C37" i="4"/>
  <c r="E36" i="4"/>
  <c r="C36" i="4"/>
  <c r="E35" i="4"/>
  <c r="C35" i="4"/>
  <c r="E34" i="4"/>
  <c r="C34" i="4"/>
  <c r="E33" i="4"/>
  <c r="C33" i="4"/>
  <c r="E32" i="4"/>
  <c r="C32" i="4"/>
  <c r="E31" i="4"/>
  <c r="C31" i="4"/>
  <c r="E30" i="4"/>
  <c r="C30" i="4"/>
  <c r="E29" i="4"/>
  <c r="C29" i="4"/>
  <c r="E28" i="4"/>
  <c r="C28" i="4"/>
  <c r="E27" i="4"/>
  <c r="C27" i="4"/>
  <c r="E26" i="4"/>
  <c r="C26" i="4"/>
  <c r="E25" i="4"/>
  <c r="C25" i="4"/>
  <c r="E24" i="4"/>
  <c r="C24" i="4"/>
  <c r="E23" i="4"/>
  <c r="C23" i="4"/>
  <c r="E22" i="4"/>
  <c r="C22" i="4"/>
  <c r="E21" i="4"/>
  <c r="C21" i="4"/>
  <c r="E20" i="4"/>
  <c r="C20" i="4"/>
  <c r="E19" i="4"/>
  <c r="C19" i="4"/>
  <c r="E18" i="4"/>
  <c r="C18" i="4"/>
  <c r="E17" i="4"/>
  <c r="C17" i="4"/>
  <c r="E16" i="4"/>
  <c r="C16" i="4"/>
  <c r="E15" i="4"/>
  <c r="C15" i="4"/>
  <c r="E14" i="4"/>
  <c r="C14" i="4"/>
  <c r="E13" i="4"/>
  <c r="C13" i="4"/>
  <c r="E12" i="4"/>
  <c r="C12" i="4"/>
  <c r="E11" i="4"/>
  <c r="C11" i="4"/>
  <c r="E10" i="4"/>
  <c r="C10" i="4"/>
  <c r="E9" i="4"/>
  <c r="C9" i="4"/>
  <c r="E8" i="4"/>
  <c r="C8" i="4"/>
  <c r="E7" i="4"/>
  <c r="C7" i="4"/>
  <c r="E6" i="4"/>
  <c r="C6" i="4"/>
  <c r="E5" i="4"/>
  <c r="C5" i="4"/>
  <c r="E4" i="4"/>
  <c r="C4" i="4"/>
  <c r="E3" i="4"/>
  <c r="C3" i="4"/>
</calcChain>
</file>

<file path=xl/sharedStrings.xml><?xml version="1.0" encoding="utf-8"?>
<sst xmlns="http://schemas.openxmlformats.org/spreadsheetml/2006/main" count="101" uniqueCount="68">
  <si>
    <t>Date</t>
  </si>
  <si>
    <t>Australia</t>
  </si>
  <si>
    <t>Brazil</t>
  </si>
  <si>
    <t>Canada</t>
  </si>
  <si>
    <t>CzechRepublic</t>
  </si>
  <si>
    <t>Denmark</t>
  </si>
  <si>
    <t>EuroArea</t>
  </si>
  <si>
    <t>France</t>
  </si>
  <si>
    <t>Germany</t>
  </si>
  <si>
    <t>Global</t>
  </si>
  <si>
    <t>Greece</t>
  </si>
  <si>
    <t>HongKong</t>
  </si>
  <si>
    <t>India</t>
  </si>
  <si>
    <t>Indonesia</t>
  </si>
  <si>
    <t>Ireland</t>
  </si>
  <si>
    <t>Italy</t>
  </si>
  <si>
    <t>Japan</t>
  </si>
  <si>
    <t>Mexico</t>
  </si>
  <si>
    <t>NewZealand</t>
  </si>
  <si>
    <t>Poland</t>
  </si>
  <si>
    <t>Russia</t>
  </si>
  <si>
    <t>SaudiArabia</t>
  </si>
  <si>
    <t>SouthAfrica</t>
  </si>
  <si>
    <t>SouthKorea</t>
  </si>
  <si>
    <t>Spain</t>
  </si>
  <si>
    <t>Taiwan</t>
  </si>
  <si>
    <t>Thailand</t>
  </si>
  <si>
    <t>Turkey</t>
  </si>
  <si>
    <t>UK</t>
  </si>
  <si>
    <t>US</t>
  </si>
  <si>
    <t>Vietnam</t>
  </si>
  <si>
    <t>T</t>
  </si>
  <si>
    <t>Ca</t>
  </si>
  <si>
    <t>Caixin PMI</t>
  </si>
  <si>
    <t>mom</t>
  </si>
  <si>
    <t>Official PMI</t>
  </si>
  <si>
    <t>mom2</t>
  </si>
  <si>
    <t>GDP yoy %</t>
  </si>
  <si>
    <t>australia</t>
  </si>
  <si>
    <t>brazil</t>
  </si>
  <si>
    <t>canada</t>
  </si>
  <si>
    <t>czech republic</t>
  </si>
  <si>
    <t>denmark</t>
  </si>
  <si>
    <t>euro area</t>
  </si>
  <si>
    <t>france</t>
  </si>
  <si>
    <t>germany</t>
  </si>
  <si>
    <t>global</t>
  </si>
  <si>
    <t>greece</t>
  </si>
  <si>
    <t>hong kong</t>
  </si>
  <si>
    <t>india</t>
  </si>
  <si>
    <t>indonesia</t>
  </si>
  <si>
    <t>ireland</t>
  </si>
  <si>
    <t>italy</t>
  </si>
  <si>
    <t>japan</t>
  </si>
  <si>
    <t>mexico</t>
  </si>
  <si>
    <t>new zealand</t>
  </si>
  <si>
    <t>poland</t>
  </si>
  <si>
    <t>russia</t>
  </si>
  <si>
    <t>saudi arabia</t>
  </si>
  <si>
    <t>south africa</t>
  </si>
  <si>
    <t>south korea</t>
  </si>
  <si>
    <t>spain</t>
  </si>
  <si>
    <t>taiwan</t>
  </si>
  <si>
    <t>thailand</t>
  </si>
  <si>
    <t>turkey</t>
  </si>
  <si>
    <t>united kingdom</t>
  </si>
  <si>
    <t>united states</t>
  </si>
  <si>
    <t>vietnam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</si>
</sst>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6" formatCode="dd\-mm\-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/>
    <xf numFmtId="0" fontId="2" fillId="0" borderId="0"/>
  </cellStyleXfs>
  <cellXfs count="19">
    <xf numFmtId="0" fontId="0" fillId="0" borderId="0" xfId="0"/>
    <xf numFmtId="0" fontId="0" fillId="2" borderId="0" xfId="0" applyFill="1"/>
    <xf numFmtId="14" fontId="0" fillId="2" borderId="1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14" fontId="0" fillId="2" borderId="5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9" xfId="0" applyFill="1" applyBorder="1" applyAlignment="1">
      <alignment horizontal="center"/>
    </xf>
    <xf numFmtId="164" fontId="0" fillId="2" borderId="2" xfId="1" applyNumberFormat="1" applyFont="1" applyFill="1" applyBorder="1" applyAlignment="1">
      <alignment horizontal="center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10" fontId="0" fillId="2" borderId="0" xfId="0" applyNumberFormat="1" applyFill="1" applyAlignment="1">
      <alignment horizontal="center"/>
    </xf>
    <xf numFmtId="166" fontId="0" fillId="0" borderId="0" xfId="0" applyNumberFormat="1"/>
  </cellXfs>
  <cellStyles count="3">
    <cellStyle name="Normal" xfId="0" builtinId="0"/>
    <cellStyle name="Normal 3" xfId="2" xr:uid="{00000000-0005-0000-0000-000002000000}"/>
    <cellStyle name="Per cent" xfId="1" builtinId="5"/>
  </cellStyles>
  <dxfs count="221"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center" vertical="bottom"/>
    </dxf>
    <dxf>
      <numFmt numFmtId="0" formatCode="General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136" totalsRowShown="0" headerRowDxfId="220" dataDxfId="218" headerRowBorderDxfId="219" tableBorderDxfId="217" totalsRowBorderDxfId="216">
  <autoFilter ref="A1:B136" xr:uid="{00000000-0009-0000-0100-000001000000}"/>
  <tableColumns count="2">
    <tableColumn id="1" xr3:uid="{00000000-0010-0000-0000-000001000000}" name="Date" dataDxfId="215"/>
    <tableColumn id="2" xr3:uid="{00000000-0010-0000-0000-000002000000}" name="Global" dataDxfId="2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6811" displayName="Table1346811" ref="A1:B136" totalsRowShown="0" headerRowDxfId="213" dataDxfId="211" headerRowBorderDxfId="212" tableBorderDxfId="210" totalsRowBorderDxfId="209">
  <autoFilter ref="A1:B136" xr:uid="{00000000-0009-0000-0100-000002000000}"/>
  <tableColumns count="2">
    <tableColumn id="1" xr3:uid="{00000000-0010-0000-0100-000001000000}" name="Date" dataDxfId="208"/>
    <tableColumn id="2" xr3:uid="{00000000-0010-0000-0100-000002000000}" name="US" dataDxfId="20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346811121415161718192021" displayName="Table1346811121415161718192021" ref="A1:F205" totalsRowShown="0" headerRowDxfId="206" dataDxfId="204" headerRowBorderDxfId="205" tableBorderDxfId="203" totalsRowBorderDxfId="202">
  <autoFilter ref="A1:F205" xr:uid="{00000000-0009-0000-0100-000003000000}"/>
  <tableColumns count="6">
    <tableColumn id="1" xr3:uid="{00000000-0010-0000-0200-000001000000}" name="Date" dataDxfId="201"/>
    <tableColumn id="2" xr3:uid="{00000000-0010-0000-0200-000002000000}" name="Caixin PMI" dataDxfId="200"/>
    <tableColumn id="3" xr3:uid="{00000000-0010-0000-0200-000003000000}" name="mom" dataDxfId="199">
      <calculatedColumnFormula>Table1346811121415161718192021[[#This Row],[Caixin PMI]]-B1</calculatedColumnFormula>
    </tableColumn>
    <tableColumn id="4" xr3:uid="{00000000-0010-0000-0200-000004000000}" name="Official PMI" dataDxfId="198"/>
    <tableColumn id="5" xr3:uid="{00000000-0010-0000-0200-000005000000}" name="mom2" dataDxfId="197">
      <calculatedColumnFormula>Table1346811121415161718192021[[#This Row],[Official PMI]]-D1</calculatedColumnFormula>
    </tableColumn>
    <tableColumn id="6" xr3:uid="{00000000-0010-0000-0200-000006000000}" name="GDP yoy %" dataDxfId="1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13468111214" displayName="Table13468111214" ref="A1:B206" totalsRowShown="0" headerRowDxfId="195" dataDxfId="193" headerRowBorderDxfId="194" tableBorderDxfId="192" totalsRowBorderDxfId="191">
  <autoFilter ref="A1:B206" xr:uid="{00000000-0009-0000-0100-000004000000}"/>
  <tableColumns count="2">
    <tableColumn id="1" xr3:uid="{00000000-0010-0000-0300-000001000000}" name="Date" dataDxfId="190"/>
    <tableColumn id="2" xr3:uid="{00000000-0010-0000-0300-000002000000}" name="EuroArea" dataDxfId="18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1346811121415161718192022" displayName="Table1346811121415161718192022" ref="A1:B168" totalsRowShown="0" headerRowDxfId="188" dataDxfId="186" headerRowBorderDxfId="187" tableBorderDxfId="185" totalsRowBorderDxfId="184">
  <autoFilter ref="A1:B168" xr:uid="{00000000-0009-0000-0100-000005000000}"/>
  <tableColumns count="2">
    <tableColumn id="1" xr3:uid="{00000000-0010-0000-0400-000001000000}" name="Date" dataDxfId="183"/>
    <tableColumn id="2" xr3:uid="{00000000-0010-0000-0400-000002000000}" name="Japan" dataDxfId="18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1346811121415" displayName="Table1346811121415" ref="A1:B169" totalsRowShown="0" headerRowDxfId="181" dataDxfId="179" headerRowBorderDxfId="180" tableBorderDxfId="178" totalsRowBorderDxfId="177">
  <autoFilter ref="A1:B169" xr:uid="{00000000-0009-0000-0100-000006000000}"/>
  <tableColumns count="2">
    <tableColumn id="1" xr3:uid="{00000000-0010-0000-0500-000001000000}" name="Date" dataDxfId="176"/>
    <tableColumn id="2" xr3:uid="{00000000-0010-0000-0500-000002000000}" name="Germany" dataDxfId="17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134681112141516" displayName="Table134681112141516" ref="A1:B162" totalsRowShown="0" headerRowDxfId="174" dataDxfId="172" headerRowBorderDxfId="173" tableBorderDxfId="171" totalsRowBorderDxfId="170">
  <autoFilter ref="A1:B162" xr:uid="{00000000-0009-0000-0100-000007000000}"/>
  <tableColumns count="2">
    <tableColumn id="1" xr3:uid="{00000000-0010-0000-0600-000001000000}" name="Date" dataDxfId="169"/>
    <tableColumn id="2" xr3:uid="{00000000-0010-0000-0600-000002000000}" name="France" dataDxfId="16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134681112" displayName="Table134681112" ref="A1:B206" totalsRowShown="0" headerRowDxfId="167" dataDxfId="165" headerRowBorderDxfId="166" tableBorderDxfId="164" totalsRowBorderDxfId="163">
  <autoFilter ref="A1:B206" xr:uid="{00000000-0009-0000-0100-000008000000}"/>
  <tableColumns count="2">
    <tableColumn id="1" xr3:uid="{00000000-0010-0000-0700-000001000000}" name="Date" dataDxfId="162"/>
    <tableColumn id="2" xr3:uid="{00000000-0010-0000-0700-000002000000}" name="UK" dataDxfId="16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13468111214151617" displayName="Table13468111214151617" ref="A1:B182" totalsRowShown="0" headerRowDxfId="160" dataDxfId="158" headerRowBorderDxfId="159" tableBorderDxfId="157" totalsRowBorderDxfId="156">
  <autoFilter ref="A1:B182" xr:uid="{00000000-0009-0000-0100-000009000000}"/>
  <tableColumns count="2">
    <tableColumn id="1" xr3:uid="{00000000-0010-0000-0800-000001000000}" name="Date" dataDxfId="155"/>
    <tableColumn id="2" xr3:uid="{00000000-0010-0000-0800-000002000000}" name="Italy" dataDxfId="15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1346811121415161718" displayName="Table1346811121415161718" ref="A1:B182" totalsRowShown="0" headerRowDxfId="153" dataDxfId="151" headerRowBorderDxfId="152" tableBorderDxfId="150" totalsRowBorderDxfId="149">
  <autoFilter ref="A1:B182" xr:uid="{00000000-0009-0000-0100-00000A000000}"/>
  <tableColumns count="2">
    <tableColumn id="1" xr3:uid="{00000000-0010-0000-0900-000001000000}" name="Date" dataDxfId="148"/>
    <tableColumn id="2" xr3:uid="{00000000-0010-0000-0900-000002000000}" name="Spain" dataDxfId="14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134681112141516171819202223" displayName="Table134681112141516171819202223" ref="A1:B136" totalsRowShown="0" headerRowDxfId="146" dataDxfId="144" headerRowBorderDxfId="145" tableBorderDxfId="143" totalsRowBorderDxfId="142">
  <autoFilter ref="A1:B136" xr:uid="{00000000-0009-0000-0100-00000B000000}"/>
  <tableColumns count="2">
    <tableColumn id="1" xr3:uid="{00000000-0010-0000-0A00-000001000000}" name="Date" dataDxfId="141"/>
    <tableColumn id="2" xr3:uid="{00000000-0010-0000-0A00-000002000000}" name="Brazil" dataDxfId="14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13468111214151617181920222526" displayName="Table13468111214151617181920222526" ref="A1:B130" totalsRowShown="0" headerRowDxfId="139" dataDxfId="137" headerRowBorderDxfId="138" tableBorderDxfId="136" totalsRowBorderDxfId="135">
  <autoFilter ref="A1:B130" xr:uid="{00000000-0009-0000-0100-00000C000000}"/>
  <tableColumns count="2">
    <tableColumn id="1" xr3:uid="{00000000-0010-0000-0B00-000001000000}" name="Date" dataDxfId="134"/>
    <tableColumn id="2" xr3:uid="{00000000-0010-0000-0B00-000002000000}" name="Mexico" dataDxfId="13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134681112141516171819202225" displayName="Table134681112141516171819202225" ref="A1:B136" totalsRowShown="0" headerRowDxfId="132" dataDxfId="130" headerRowBorderDxfId="131" tableBorderDxfId="129" totalsRowBorderDxfId="128">
  <autoFilter ref="A1:B136" xr:uid="{00000000-0009-0000-0100-00000D000000}"/>
  <tableColumns count="2">
    <tableColumn id="1" xr3:uid="{00000000-0010-0000-0C00-000001000000}" name="Date" dataDxfId="127"/>
    <tableColumn id="2" xr3:uid="{00000000-0010-0000-0C00-000002000000}" name="Russia" dataDxfId="12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13468111214151617181920222324" displayName="Table13468111214151617181920222324" ref="A1:B136" totalsRowShown="0" headerRowDxfId="125" dataDxfId="123" headerRowBorderDxfId="124" tableBorderDxfId="122" totalsRowBorderDxfId="121">
  <autoFilter ref="A1:B136" xr:uid="{00000000-0009-0000-0100-00000E000000}"/>
  <tableColumns count="2">
    <tableColumn id="1" xr3:uid="{00000000-0010-0000-0D00-000001000000}" name="Date" dataDxfId="120"/>
    <tableColumn id="2" xr3:uid="{00000000-0010-0000-0D00-000002000000}" name="India" dataDxfId="11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13468" displayName="Table13468" ref="A1:B130" totalsRowShown="0" headerRowDxfId="118" dataDxfId="116" headerRowBorderDxfId="117" tableBorderDxfId="115" totalsRowBorderDxfId="114">
  <autoFilter ref="A1:B130" xr:uid="{00000000-0009-0000-0100-00000F000000}"/>
  <tableColumns count="2">
    <tableColumn id="1" xr3:uid="{00000000-0010-0000-0E00-000001000000}" name="Date" dataDxfId="113"/>
    <tableColumn id="2" xr3:uid="{00000000-0010-0000-0E00-000002000000}" name="Canada" dataDxfId="11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1346811121415161718192022252627" displayName="Table1346811121415161718192022252627" ref="A1:B164" totalsRowShown="0" headerRowDxfId="111" dataDxfId="109" headerRowBorderDxfId="110" tableBorderDxfId="108" totalsRowBorderDxfId="107">
  <autoFilter ref="A1:B164" xr:uid="{00000000-0009-0000-0100-000010000000}"/>
  <tableColumns count="2">
    <tableColumn id="1" xr3:uid="{00000000-0010-0000-0F00-000001000000}" name="Date" dataDxfId="106"/>
    <tableColumn id="2" xr3:uid="{00000000-0010-0000-0F00-000002000000}" name="Australia" dataDxfId="10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e13468111214151617181920222530" displayName="Table13468111214151617181920222530" ref="A1:B130" totalsRowShown="0" headerRowDxfId="104" dataDxfId="102" headerRowBorderDxfId="103" tableBorderDxfId="101" totalsRowBorderDxfId="100">
  <autoFilter ref="A1:B130" xr:uid="{00000000-0009-0000-0100-000011000000}"/>
  <tableColumns count="2">
    <tableColumn id="1" xr3:uid="{00000000-0010-0000-1000-000001000000}" name="Date" dataDxfId="99"/>
    <tableColumn id="2" xr3:uid="{00000000-0010-0000-1000-000002000000}" name="Indonesia" dataDxfId="9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1346811121415161718192022252629" displayName="Table1346811121415161718192022252629" ref="A1:B134" totalsRowShown="0" headerRowDxfId="97" dataDxfId="95" headerRowBorderDxfId="96" tableBorderDxfId="94" totalsRowBorderDxfId="93">
  <autoFilter ref="A1:B134" xr:uid="{00000000-0009-0000-0100-000012000000}"/>
  <tableColumns count="2">
    <tableColumn id="1" xr3:uid="{00000000-0010-0000-1100-000001000000}" name="Date" dataDxfId="92"/>
    <tableColumn id="2" xr3:uid="{00000000-0010-0000-1100-000002000000}" name="SouthKorea" dataDxfId="9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e1346811121415161718192022253033" displayName="Table1346811121415161718192022253033" ref="A1:B136" totalsRowShown="0" headerRowDxfId="90" dataDxfId="88" headerRowBorderDxfId="89" tableBorderDxfId="87" totalsRowBorderDxfId="86">
  <autoFilter ref="A1:B136" xr:uid="{00000000-0009-0000-0100-000013000000}"/>
  <tableColumns count="2">
    <tableColumn id="1" xr3:uid="{00000000-0010-0000-1200-000001000000}" name="Date" dataDxfId="85"/>
    <tableColumn id="2" xr3:uid="{00000000-0010-0000-1200-000002000000}" name="Taiwan" dataDxfId="8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e134681112141516171819" displayName="Table134681112141516171819" ref="A1:B136" totalsRowShown="0" headerRowDxfId="83" dataDxfId="81" headerRowBorderDxfId="82" tableBorderDxfId="80" totalsRowBorderDxfId="79">
  <autoFilter ref="A1:B136" xr:uid="{00000000-0009-0000-0100-000014000000}"/>
  <tableColumns count="2">
    <tableColumn id="1" xr3:uid="{00000000-0010-0000-1300-000001000000}" name="Date" dataDxfId="78"/>
    <tableColumn id="2" xr3:uid="{00000000-0010-0000-1300-000002000000}" name="Greece" dataDxfId="7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e13468111214151617181920" displayName="Table13468111214151617181920" ref="A1:B136" totalsRowShown="0" headerRowDxfId="76" dataDxfId="74" headerRowBorderDxfId="75" tableBorderDxfId="73" totalsRowBorderDxfId="72">
  <autoFilter ref="A1:B136" xr:uid="{00000000-0009-0000-0100-000015000000}"/>
  <tableColumns count="2">
    <tableColumn id="1" xr3:uid="{00000000-0010-0000-1400-000001000000}" name="Date" dataDxfId="71"/>
    <tableColumn id="2" xr3:uid="{00000000-0010-0000-1400-000002000000}" name="Ireland" dataDxfId="7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e134681112141516171819202225303334" displayName="Table134681112141516171819202225303334" ref="A1:B136" totalsRowShown="0" headerRowDxfId="69" dataDxfId="67" headerRowBorderDxfId="68" tableBorderDxfId="66" totalsRowBorderDxfId="65">
  <autoFilter ref="A1:B136" xr:uid="{00000000-0009-0000-0100-000016000000}"/>
  <tableColumns count="2">
    <tableColumn id="1" xr3:uid="{00000000-0010-0000-1500-000001000000}" name="Date" dataDxfId="64"/>
    <tableColumn id="2" xr3:uid="{00000000-0010-0000-1500-000002000000}" name="Turkey" dataDxfId="6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e13468111214151617181920222530333435" displayName="Table13468111214151617181920222530333435" ref="A1:B136" totalsRowShown="0" headerRowDxfId="62" dataDxfId="60" headerRowBorderDxfId="61" tableBorderDxfId="59" totalsRowBorderDxfId="58">
  <autoFilter ref="A1:B136" xr:uid="{00000000-0009-0000-0100-000017000000}"/>
  <tableColumns count="2">
    <tableColumn id="1" xr3:uid="{00000000-0010-0000-1600-000001000000}" name="Date" dataDxfId="57"/>
    <tableColumn id="2" xr3:uid="{00000000-0010-0000-1600-000002000000}" name="CzechRepublic" dataDxfId="5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e1346811121415161718192022253033343536" displayName="Table1346811121415161718192022253033343536" ref="A1:B136" totalsRowShown="0" headerRowDxfId="55" dataDxfId="53" headerRowBorderDxfId="54" tableBorderDxfId="52" totalsRowBorderDxfId="51">
  <autoFilter ref="A1:B136" xr:uid="{00000000-0009-0000-0100-000018000000}"/>
  <tableColumns count="2">
    <tableColumn id="1" xr3:uid="{00000000-0010-0000-1700-000001000000}" name="Date" dataDxfId="50"/>
    <tableColumn id="2" xr3:uid="{00000000-0010-0000-1700-000002000000}" name="Poland" dataDxfId="4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e13" displayName="Table13" ref="A1:B337" totalsRowShown="0" headerRowDxfId="48" dataDxfId="46" headerRowBorderDxfId="47" tableBorderDxfId="45" totalsRowBorderDxfId="44">
  <autoFilter ref="A1:B337" xr:uid="{00000000-0009-0000-0100-000019000000}"/>
  <tableColumns count="2">
    <tableColumn id="1" xr3:uid="{00000000-0010-0000-1800-000001000000}" name="Date" dataDxfId="43"/>
    <tableColumn id="2" xr3:uid="{00000000-0010-0000-1800-000002000000}" name="Denmark" dataDxfId="4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e134" displayName="Table134" ref="A1:B115" totalsRowShown="0" headerRowDxfId="41" dataDxfId="39" headerRowBorderDxfId="40" tableBorderDxfId="38" totalsRowBorderDxfId="37">
  <autoFilter ref="A1:B115" xr:uid="{00000000-0009-0000-0100-00001A000000}"/>
  <tableColumns count="2">
    <tableColumn id="1" xr3:uid="{00000000-0010-0000-1900-000001000000}" name="Date" dataDxfId="36"/>
    <tableColumn id="2" xr3:uid="{00000000-0010-0000-1900-000002000000}" name="Vietnam" dataDxfId="35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e1345" displayName="Table1345" ref="A1:B67" totalsRowShown="0" headerRowDxfId="34" dataDxfId="32" headerRowBorderDxfId="33" tableBorderDxfId="31" totalsRowBorderDxfId="30">
  <autoFilter ref="A1:B67" xr:uid="{00000000-0009-0000-0100-00001B000000}"/>
  <tableColumns count="2">
    <tableColumn id="1" xr3:uid="{00000000-0010-0000-1A00-000001000000}" name="Date" dataDxfId="29"/>
    <tableColumn id="2" xr3:uid="{00000000-0010-0000-1A00-000002000000}" name="Thailand" dataDxfId="2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Table1346" displayName="Table1346" ref="A1:B264" totalsRowShown="0" headerRowDxfId="27" dataDxfId="25" headerRowBorderDxfId="26" tableBorderDxfId="24" totalsRowBorderDxfId="23">
  <autoFilter ref="A1:B264" xr:uid="{00000000-0009-0000-0100-00001C000000}"/>
  <tableColumns count="2">
    <tableColumn id="1" xr3:uid="{00000000-0010-0000-1B00-000001000000}" name="Date" dataDxfId="22"/>
    <tableColumn id="2" xr3:uid="{00000000-0010-0000-1B00-000002000000}" name="SouthAfrica" dataDxfId="2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Table13467" displayName="Table13467" ref="A1:B115" totalsRowShown="0" headerRowDxfId="20" dataDxfId="18" headerRowBorderDxfId="19" tableBorderDxfId="17" totalsRowBorderDxfId="16">
  <autoFilter ref="A1:B115" xr:uid="{00000000-0009-0000-0100-00001D000000}"/>
  <tableColumns count="2">
    <tableColumn id="1" xr3:uid="{00000000-0010-0000-1C00-000001000000}" name="Date" dataDxfId="15"/>
    <tableColumn id="2" xr3:uid="{00000000-0010-0000-1C00-000002000000}" name="HongKong" dataDxfId="14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Table134689" displayName="Table134689" ref="A1:B82" totalsRowShown="0" headerRowDxfId="13" dataDxfId="11" headerRowBorderDxfId="12" tableBorderDxfId="10" totalsRowBorderDxfId="9">
  <autoFilter ref="A1:B82" xr:uid="{00000000-0009-0000-0100-00001E000000}"/>
  <tableColumns count="2">
    <tableColumn id="1" xr3:uid="{00000000-0010-0000-1D00-000001000000}" name="Date" dataDxfId="8"/>
    <tableColumn id="2" xr3:uid="{00000000-0010-0000-1D00-000002000000}" name="SaudiArabia" dataDxfId="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Table1346811121415161718192022253032" displayName="Table1346811121415161718192022253032" ref="A1:B233" totalsRowShown="0" headerRowDxfId="6" dataDxfId="4" headerRowBorderDxfId="5" tableBorderDxfId="3" totalsRowBorderDxfId="2">
  <autoFilter ref="A1:B233" xr:uid="{00000000-0009-0000-0100-00001F000000}"/>
  <tableColumns count="2">
    <tableColumn id="1" xr3:uid="{00000000-0010-0000-1E00-000001000000}" name="Date" dataDxfId="1"/>
    <tableColumn id="2" xr3:uid="{00000000-0010-0000-1E00-000002000000}" name="NewZealan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339"/>
  <sheetViews>
    <sheetView tabSelected="1" zoomScale="160" zoomScaleNormal="160" workbookViewId="0"/>
  </sheetViews>
  <sheetFormatPr baseColWidth="10" defaultRowHeight="15" x14ac:dyDescent="0.2"/>
  <sheetData>
    <row r="1" spans="1:31" x14ac:dyDescent="0.2">
      <c r="A1" t="s">
        <v>0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52</v>
      </c>
      <c r="Q1" t="s">
        <v>53</v>
      </c>
      <c r="R1" t="s">
        <v>54</v>
      </c>
      <c r="S1" t="s">
        <v>55</v>
      </c>
      <c r="T1" t="s">
        <v>56</v>
      </c>
      <c r="U1" t="s">
        <v>57</v>
      </c>
      <c r="V1" t="s">
        <v>58</v>
      </c>
      <c r="W1" t="s">
        <v>59</v>
      </c>
      <c r="X1" t="s">
        <v>60</v>
      </c>
      <c r="Y1" t="s">
        <v>61</v>
      </c>
      <c r="Z1" t="s">
        <v>62</v>
      </c>
      <c r="AA1" t="s">
        <v>63</v>
      </c>
      <c r="AB1" t="s">
        <v>64</v>
      </c>
      <c r="AC1" t="s">
        <v>65</v>
      </c>
      <c r="AD1" t="s">
        <v>66</v>
      </c>
      <c r="AE1" t="s">
        <v>67</v>
      </c>
    </row>
    <row r="2" spans="1:31" x14ac:dyDescent="0.2">
      <c r="A2" s="18">
        <v>34335</v>
      </c>
      <c r="F2">
        <v>62.8</v>
      </c>
    </row>
    <row r="3" spans="1:31" x14ac:dyDescent="0.2">
      <c r="A3" s="18">
        <v>34366</v>
      </c>
      <c r="F3">
        <v>67.53</v>
      </c>
    </row>
    <row r="4" spans="1:31" x14ac:dyDescent="0.2">
      <c r="A4" s="18">
        <v>34394</v>
      </c>
      <c r="F4">
        <v>61.89</v>
      </c>
    </row>
    <row r="5" spans="1:31" x14ac:dyDescent="0.2">
      <c r="A5" s="18">
        <v>34425</v>
      </c>
      <c r="F5">
        <v>60.57</v>
      </c>
    </row>
    <row r="6" spans="1:31" x14ac:dyDescent="0.2">
      <c r="A6" s="18">
        <v>34455</v>
      </c>
      <c r="F6">
        <v>63.1</v>
      </c>
    </row>
    <row r="7" spans="1:31" x14ac:dyDescent="0.2">
      <c r="A7" s="18">
        <v>34486</v>
      </c>
      <c r="F7">
        <v>62.94</v>
      </c>
    </row>
    <row r="8" spans="1:31" x14ac:dyDescent="0.2">
      <c r="A8" s="18">
        <v>34516</v>
      </c>
      <c r="F8">
        <v>63.1</v>
      </c>
    </row>
    <row r="9" spans="1:31" x14ac:dyDescent="0.2">
      <c r="A9" s="18">
        <v>34547</v>
      </c>
      <c r="F9">
        <v>59.49</v>
      </c>
    </row>
    <row r="10" spans="1:31" x14ac:dyDescent="0.2">
      <c r="A10" s="18">
        <v>34578</v>
      </c>
      <c r="F10">
        <v>59.36</v>
      </c>
    </row>
    <row r="11" spans="1:31" x14ac:dyDescent="0.2">
      <c r="A11" s="18">
        <v>34608</v>
      </c>
      <c r="F11">
        <v>61.33</v>
      </c>
    </row>
    <row r="12" spans="1:31" x14ac:dyDescent="0.2">
      <c r="A12" s="18">
        <v>34639</v>
      </c>
      <c r="F12">
        <v>60.53</v>
      </c>
    </row>
    <row r="13" spans="1:31" x14ac:dyDescent="0.2">
      <c r="A13" s="18">
        <v>34669</v>
      </c>
      <c r="F13">
        <v>62.29</v>
      </c>
    </row>
    <row r="14" spans="1:31" x14ac:dyDescent="0.2">
      <c r="A14" s="18">
        <v>34700</v>
      </c>
      <c r="F14">
        <v>62.95</v>
      </c>
    </row>
    <row r="15" spans="1:31" x14ac:dyDescent="0.2">
      <c r="A15" s="18">
        <v>34731</v>
      </c>
      <c r="F15">
        <v>63.78</v>
      </c>
    </row>
    <row r="16" spans="1:31" x14ac:dyDescent="0.2">
      <c r="A16" s="18">
        <v>34759</v>
      </c>
      <c r="F16">
        <v>61.91</v>
      </c>
    </row>
    <row r="17" spans="1:6" x14ac:dyDescent="0.2">
      <c r="A17" s="18">
        <v>34790</v>
      </c>
      <c r="F17">
        <v>59.68</v>
      </c>
    </row>
    <row r="18" spans="1:6" x14ac:dyDescent="0.2">
      <c r="A18" s="18">
        <v>34820</v>
      </c>
      <c r="F18">
        <v>58.91</v>
      </c>
    </row>
    <row r="19" spans="1:6" x14ac:dyDescent="0.2">
      <c r="A19" s="18">
        <v>34851</v>
      </c>
      <c r="F19">
        <v>58.16</v>
      </c>
    </row>
    <row r="20" spans="1:6" x14ac:dyDescent="0.2">
      <c r="A20" s="18">
        <v>34881</v>
      </c>
      <c r="F20">
        <v>65.400000000000006</v>
      </c>
    </row>
    <row r="21" spans="1:6" x14ac:dyDescent="0.2">
      <c r="A21" s="18">
        <v>34912</v>
      </c>
      <c r="F21">
        <v>56.52</v>
      </c>
    </row>
    <row r="22" spans="1:6" x14ac:dyDescent="0.2">
      <c r="A22" s="18">
        <v>34943</v>
      </c>
      <c r="F22">
        <v>55.66</v>
      </c>
    </row>
    <row r="23" spans="1:6" x14ac:dyDescent="0.2">
      <c r="A23" s="18">
        <v>34973</v>
      </c>
      <c r="F23">
        <v>53.13</v>
      </c>
    </row>
    <row r="24" spans="1:6" x14ac:dyDescent="0.2">
      <c r="A24" s="18">
        <v>35004</v>
      </c>
      <c r="F24">
        <v>55.08</v>
      </c>
    </row>
    <row r="25" spans="1:6" x14ac:dyDescent="0.2">
      <c r="A25" s="18">
        <v>35034</v>
      </c>
      <c r="F25">
        <v>54.03</v>
      </c>
    </row>
    <row r="26" spans="1:6" x14ac:dyDescent="0.2">
      <c r="A26" s="18">
        <v>35065</v>
      </c>
      <c r="F26">
        <v>50.16</v>
      </c>
    </row>
    <row r="27" spans="1:6" x14ac:dyDescent="0.2">
      <c r="A27" s="18">
        <v>35096</v>
      </c>
      <c r="F27">
        <v>46.38</v>
      </c>
    </row>
    <row r="28" spans="1:6" x14ac:dyDescent="0.2">
      <c r="A28" s="18">
        <v>35125</v>
      </c>
      <c r="F28">
        <v>52.65</v>
      </c>
    </row>
    <row r="29" spans="1:6" x14ac:dyDescent="0.2">
      <c r="A29" s="18">
        <v>35156</v>
      </c>
      <c r="F29">
        <v>54.64</v>
      </c>
    </row>
    <row r="30" spans="1:6" x14ac:dyDescent="0.2">
      <c r="A30" s="18">
        <v>35186</v>
      </c>
      <c r="F30">
        <v>48.99</v>
      </c>
    </row>
    <row r="31" spans="1:6" x14ac:dyDescent="0.2">
      <c r="A31" s="18">
        <v>35217</v>
      </c>
      <c r="F31">
        <v>50.64</v>
      </c>
    </row>
    <row r="32" spans="1:6" x14ac:dyDescent="0.2">
      <c r="A32" s="18">
        <v>35247</v>
      </c>
      <c r="F32">
        <v>54.72</v>
      </c>
    </row>
    <row r="33" spans="1:6" x14ac:dyDescent="0.2">
      <c r="A33" s="18">
        <v>35278</v>
      </c>
      <c r="F33">
        <v>56.46</v>
      </c>
    </row>
    <row r="34" spans="1:6" x14ac:dyDescent="0.2">
      <c r="A34" s="18">
        <v>35309</v>
      </c>
      <c r="F34">
        <v>59.28</v>
      </c>
    </row>
    <row r="35" spans="1:6" x14ac:dyDescent="0.2">
      <c r="A35" s="18">
        <v>35339</v>
      </c>
      <c r="F35">
        <v>57.49</v>
      </c>
    </row>
    <row r="36" spans="1:6" x14ac:dyDescent="0.2">
      <c r="A36" s="18">
        <v>35370</v>
      </c>
      <c r="F36">
        <v>61.57</v>
      </c>
    </row>
    <row r="37" spans="1:6" x14ac:dyDescent="0.2">
      <c r="A37" s="18">
        <v>35400</v>
      </c>
      <c r="F37">
        <v>60.71</v>
      </c>
    </row>
    <row r="38" spans="1:6" x14ac:dyDescent="0.2">
      <c r="A38" s="18">
        <v>35431</v>
      </c>
      <c r="F38">
        <v>62.72</v>
      </c>
    </row>
    <row r="39" spans="1:6" x14ac:dyDescent="0.2">
      <c r="A39" s="18">
        <v>35462</v>
      </c>
      <c r="F39">
        <v>57.65</v>
      </c>
    </row>
    <row r="40" spans="1:6" x14ac:dyDescent="0.2">
      <c r="A40" s="18">
        <v>35490</v>
      </c>
      <c r="F40">
        <v>60.39</v>
      </c>
    </row>
    <row r="41" spans="1:6" x14ac:dyDescent="0.2">
      <c r="A41" s="18">
        <v>35521</v>
      </c>
      <c r="F41">
        <v>60.87</v>
      </c>
    </row>
    <row r="42" spans="1:6" x14ac:dyDescent="0.2">
      <c r="A42" s="18">
        <v>35551</v>
      </c>
      <c r="F42">
        <v>64.19</v>
      </c>
    </row>
    <row r="43" spans="1:6" x14ac:dyDescent="0.2">
      <c r="A43" s="18">
        <v>35582</v>
      </c>
      <c r="F43">
        <v>63.39</v>
      </c>
    </row>
    <row r="44" spans="1:6" x14ac:dyDescent="0.2">
      <c r="A44" s="18">
        <v>35612</v>
      </c>
      <c r="F44">
        <v>54.92</v>
      </c>
    </row>
    <row r="45" spans="1:6" x14ac:dyDescent="0.2">
      <c r="A45" s="18">
        <v>35643</v>
      </c>
      <c r="F45">
        <v>61.25</v>
      </c>
    </row>
    <row r="46" spans="1:6" x14ac:dyDescent="0.2">
      <c r="A46" s="18">
        <v>35674</v>
      </c>
      <c r="F46">
        <v>61.84</v>
      </c>
    </row>
    <row r="47" spans="1:6" x14ac:dyDescent="0.2">
      <c r="A47" s="18">
        <v>35704</v>
      </c>
      <c r="F47">
        <v>58.84</v>
      </c>
    </row>
    <row r="48" spans="1:6" x14ac:dyDescent="0.2">
      <c r="A48" s="18">
        <v>35735</v>
      </c>
      <c r="F48">
        <v>56.3</v>
      </c>
    </row>
    <row r="49" spans="1:6" x14ac:dyDescent="0.2">
      <c r="A49" s="18">
        <v>35765</v>
      </c>
      <c r="F49">
        <v>56.74</v>
      </c>
    </row>
    <row r="50" spans="1:6" x14ac:dyDescent="0.2">
      <c r="A50" s="18">
        <v>35796</v>
      </c>
      <c r="F50">
        <v>55.77</v>
      </c>
    </row>
    <row r="51" spans="1:6" x14ac:dyDescent="0.2">
      <c r="A51" s="18">
        <v>35827</v>
      </c>
      <c r="F51">
        <v>55.65</v>
      </c>
    </row>
    <row r="52" spans="1:6" x14ac:dyDescent="0.2">
      <c r="A52" s="18">
        <v>35855</v>
      </c>
      <c r="F52">
        <v>58.86</v>
      </c>
    </row>
    <row r="53" spans="1:6" x14ac:dyDescent="0.2">
      <c r="A53" s="18">
        <v>35886</v>
      </c>
      <c r="F53">
        <v>58.81</v>
      </c>
    </row>
    <row r="54" spans="1:6" x14ac:dyDescent="0.2">
      <c r="A54" s="18">
        <v>35916</v>
      </c>
      <c r="F54">
        <v>60.33</v>
      </c>
    </row>
    <row r="55" spans="1:6" x14ac:dyDescent="0.2">
      <c r="A55" s="18">
        <v>35947</v>
      </c>
      <c r="F55">
        <v>57.46</v>
      </c>
    </row>
    <row r="56" spans="1:6" x14ac:dyDescent="0.2">
      <c r="A56" s="18">
        <v>35977</v>
      </c>
      <c r="F56">
        <v>50.71</v>
      </c>
    </row>
    <row r="57" spans="1:6" x14ac:dyDescent="0.2">
      <c r="A57" s="18">
        <v>36008</v>
      </c>
      <c r="F57">
        <v>62.84</v>
      </c>
    </row>
    <row r="58" spans="1:6" x14ac:dyDescent="0.2">
      <c r="A58" s="18">
        <v>36039</v>
      </c>
      <c r="F58">
        <v>51.54</v>
      </c>
    </row>
    <row r="59" spans="1:6" x14ac:dyDescent="0.2">
      <c r="A59" s="18">
        <v>36069</v>
      </c>
      <c r="F59">
        <v>54.96</v>
      </c>
    </row>
    <row r="60" spans="1:6" x14ac:dyDescent="0.2">
      <c r="A60" s="18">
        <v>36100</v>
      </c>
      <c r="F60">
        <v>48.18</v>
      </c>
    </row>
    <row r="61" spans="1:6" x14ac:dyDescent="0.2">
      <c r="A61" s="18">
        <v>36130</v>
      </c>
      <c r="F61">
        <v>49.94</v>
      </c>
    </row>
    <row r="62" spans="1:6" x14ac:dyDescent="0.2">
      <c r="A62" s="18">
        <v>36161</v>
      </c>
      <c r="F62">
        <v>53.69</v>
      </c>
    </row>
    <row r="63" spans="1:6" x14ac:dyDescent="0.2">
      <c r="A63" s="18">
        <v>36192</v>
      </c>
      <c r="F63">
        <v>55.51</v>
      </c>
    </row>
    <row r="64" spans="1:6" x14ac:dyDescent="0.2">
      <c r="A64" s="18">
        <v>36220</v>
      </c>
      <c r="F64">
        <v>45.32</v>
      </c>
    </row>
    <row r="65" spans="1:23" x14ac:dyDescent="0.2">
      <c r="A65" s="18">
        <v>36251</v>
      </c>
      <c r="F65">
        <v>50.98</v>
      </c>
    </row>
    <row r="66" spans="1:23" x14ac:dyDescent="0.2">
      <c r="A66" s="18">
        <v>36281</v>
      </c>
      <c r="F66">
        <v>48.33</v>
      </c>
    </row>
    <row r="67" spans="1:23" x14ac:dyDescent="0.2">
      <c r="A67" s="18">
        <v>36312</v>
      </c>
      <c r="F67">
        <v>51.51</v>
      </c>
    </row>
    <row r="68" spans="1:23" x14ac:dyDescent="0.2">
      <c r="A68" s="18">
        <v>36342</v>
      </c>
      <c r="F68">
        <v>53.07</v>
      </c>
    </row>
    <row r="69" spans="1:23" x14ac:dyDescent="0.2">
      <c r="A69" s="18">
        <v>36373</v>
      </c>
      <c r="F69">
        <v>49.58</v>
      </c>
    </row>
    <row r="70" spans="1:23" x14ac:dyDescent="0.2">
      <c r="A70" s="18">
        <v>36404</v>
      </c>
      <c r="F70">
        <v>52.05</v>
      </c>
    </row>
    <row r="71" spans="1:23" x14ac:dyDescent="0.2">
      <c r="A71" s="18">
        <v>36434</v>
      </c>
      <c r="F71">
        <v>69.790000000000006</v>
      </c>
    </row>
    <row r="72" spans="1:23" x14ac:dyDescent="0.2">
      <c r="A72" s="18">
        <v>36465</v>
      </c>
      <c r="F72">
        <v>64.63</v>
      </c>
    </row>
    <row r="73" spans="1:23" x14ac:dyDescent="0.2">
      <c r="A73" s="18">
        <v>36495</v>
      </c>
      <c r="F73">
        <v>46.56</v>
      </c>
    </row>
    <row r="74" spans="1:23" x14ac:dyDescent="0.2">
      <c r="A74" s="18">
        <v>36526</v>
      </c>
      <c r="F74">
        <v>56.5</v>
      </c>
      <c r="W74">
        <v>56.66</v>
      </c>
    </row>
    <row r="75" spans="1:23" x14ac:dyDescent="0.2">
      <c r="A75" s="18">
        <v>36557</v>
      </c>
      <c r="F75">
        <v>60.09</v>
      </c>
      <c r="W75">
        <v>57.26</v>
      </c>
    </row>
    <row r="76" spans="1:23" x14ac:dyDescent="0.2">
      <c r="A76" s="18">
        <v>36586</v>
      </c>
      <c r="F76">
        <v>58.03</v>
      </c>
      <c r="W76">
        <v>49.83</v>
      </c>
    </row>
    <row r="77" spans="1:23" x14ac:dyDescent="0.2">
      <c r="A77" s="18">
        <v>36617</v>
      </c>
      <c r="F77">
        <v>54.9</v>
      </c>
      <c r="W77">
        <v>52.72</v>
      </c>
    </row>
    <row r="78" spans="1:23" x14ac:dyDescent="0.2">
      <c r="A78" s="18">
        <v>36647</v>
      </c>
      <c r="F78">
        <v>55.18</v>
      </c>
      <c r="W78">
        <v>50.05</v>
      </c>
    </row>
    <row r="79" spans="1:23" x14ac:dyDescent="0.2">
      <c r="A79" s="18">
        <v>36678</v>
      </c>
      <c r="F79">
        <v>53.67</v>
      </c>
      <c r="W79">
        <v>49.65</v>
      </c>
    </row>
    <row r="80" spans="1:23" x14ac:dyDescent="0.2">
      <c r="A80" s="18">
        <v>36708</v>
      </c>
      <c r="F80">
        <v>64.069999999999993</v>
      </c>
      <c r="W80">
        <v>49.18</v>
      </c>
    </row>
    <row r="81" spans="1:23" x14ac:dyDescent="0.2">
      <c r="A81" s="18">
        <v>36739</v>
      </c>
      <c r="F81">
        <v>56.81</v>
      </c>
      <c r="W81">
        <v>51.48</v>
      </c>
    </row>
    <row r="82" spans="1:23" x14ac:dyDescent="0.2">
      <c r="A82" s="18">
        <v>36770</v>
      </c>
      <c r="F82">
        <v>56.21</v>
      </c>
      <c r="W82">
        <v>53.75</v>
      </c>
    </row>
    <row r="83" spans="1:23" x14ac:dyDescent="0.2">
      <c r="A83" s="18">
        <v>36800</v>
      </c>
      <c r="F83">
        <v>59.71</v>
      </c>
      <c r="W83">
        <v>56.34</v>
      </c>
    </row>
    <row r="84" spans="1:23" x14ac:dyDescent="0.2">
      <c r="A84" s="18">
        <v>36831</v>
      </c>
      <c r="F84">
        <v>54.29</v>
      </c>
      <c r="W84">
        <v>51.73</v>
      </c>
    </row>
    <row r="85" spans="1:23" x14ac:dyDescent="0.2">
      <c r="A85" s="18">
        <v>36861</v>
      </c>
      <c r="F85">
        <v>55.54</v>
      </c>
      <c r="W85">
        <v>50.48</v>
      </c>
    </row>
    <row r="86" spans="1:23" x14ac:dyDescent="0.2">
      <c r="A86" s="18">
        <v>36892</v>
      </c>
      <c r="F86">
        <v>52.88</v>
      </c>
      <c r="W86">
        <v>49.29</v>
      </c>
    </row>
    <row r="87" spans="1:23" x14ac:dyDescent="0.2">
      <c r="A87" s="18">
        <v>36923</v>
      </c>
      <c r="F87">
        <v>51.59</v>
      </c>
      <c r="W87">
        <v>53.48</v>
      </c>
    </row>
    <row r="88" spans="1:23" x14ac:dyDescent="0.2">
      <c r="A88" s="18">
        <v>36951</v>
      </c>
      <c r="F88">
        <v>52.49</v>
      </c>
      <c r="W88">
        <v>53.61</v>
      </c>
    </row>
    <row r="89" spans="1:23" x14ac:dyDescent="0.2">
      <c r="A89" s="18">
        <v>36982</v>
      </c>
      <c r="F89">
        <v>49.61</v>
      </c>
      <c r="W89">
        <v>52.38</v>
      </c>
    </row>
    <row r="90" spans="1:23" x14ac:dyDescent="0.2">
      <c r="A90" s="18">
        <v>37012</v>
      </c>
      <c r="F90">
        <v>52.89</v>
      </c>
      <c r="W90">
        <v>55.01</v>
      </c>
    </row>
    <row r="91" spans="1:23" x14ac:dyDescent="0.2">
      <c r="A91" s="18">
        <v>37043</v>
      </c>
      <c r="F91">
        <v>53.97</v>
      </c>
      <c r="W91">
        <v>56.17</v>
      </c>
    </row>
    <row r="92" spans="1:23" x14ac:dyDescent="0.2">
      <c r="A92" s="18">
        <v>37073</v>
      </c>
      <c r="F92">
        <v>50.42</v>
      </c>
      <c r="W92">
        <v>51.34</v>
      </c>
    </row>
    <row r="93" spans="1:23" x14ac:dyDescent="0.2">
      <c r="A93" s="18">
        <v>37104</v>
      </c>
      <c r="F93">
        <v>53.21</v>
      </c>
      <c r="W93">
        <v>51.22</v>
      </c>
    </row>
    <row r="94" spans="1:23" x14ac:dyDescent="0.2">
      <c r="A94" s="18">
        <v>37135</v>
      </c>
      <c r="F94">
        <v>47.75</v>
      </c>
      <c r="W94">
        <v>48.76</v>
      </c>
    </row>
    <row r="95" spans="1:23" x14ac:dyDescent="0.2">
      <c r="A95" s="18">
        <v>37165</v>
      </c>
      <c r="F95">
        <v>46.09</v>
      </c>
      <c r="W95">
        <v>50.25</v>
      </c>
    </row>
    <row r="96" spans="1:23" x14ac:dyDescent="0.2">
      <c r="A96" s="18">
        <v>37196</v>
      </c>
      <c r="F96">
        <v>50.81</v>
      </c>
      <c r="W96">
        <v>54.35</v>
      </c>
    </row>
    <row r="97" spans="1:23" x14ac:dyDescent="0.2">
      <c r="A97" s="18">
        <v>37226</v>
      </c>
      <c r="F97">
        <v>46.1</v>
      </c>
      <c r="W97">
        <v>55.35</v>
      </c>
    </row>
    <row r="98" spans="1:23" x14ac:dyDescent="0.2">
      <c r="A98" s="18">
        <v>37257</v>
      </c>
      <c r="F98">
        <v>52.42</v>
      </c>
      <c r="W98">
        <v>55.53</v>
      </c>
    </row>
    <row r="99" spans="1:23" x14ac:dyDescent="0.2">
      <c r="A99" s="18">
        <v>37288</v>
      </c>
      <c r="F99">
        <v>53.28</v>
      </c>
      <c r="W99">
        <v>53.87</v>
      </c>
    </row>
    <row r="100" spans="1:23" x14ac:dyDescent="0.2">
      <c r="A100" s="18">
        <v>37316</v>
      </c>
      <c r="F100">
        <v>53.02</v>
      </c>
      <c r="W100">
        <v>53.63</v>
      </c>
    </row>
    <row r="101" spans="1:23" x14ac:dyDescent="0.2">
      <c r="A101" s="18">
        <v>37347</v>
      </c>
      <c r="F101">
        <v>55.71</v>
      </c>
      <c r="W101">
        <v>60.87</v>
      </c>
    </row>
    <row r="102" spans="1:23" x14ac:dyDescent="0.2">
      <c r="A102" s="18">
        <v>37377</v>
      </c>
      <c r="F102">
        <v>52.26</v>
      </c>
      <c r="W102">
        <v>58.74</v>
      </c>
    </row>
    <row r="103" spans="1:23" x14ac:dyDescent="0.2">
      <c r="A103" s="18">
        <v>37408</v>
      </c>
      <c r="F103">
        <v>53.98</v>
      </c>
      <c r="W103">
        <v>56.43</v>
      </c>
    </row>
    <row r="104" spans="1:23" x14ac:dyDescent="0.2">
      <c r="A104" s="18">
        <v>37438</v>
      </c>
      <c r="F104">
        <v>54.33</v>
      </c>
      <c r="W104">
        <v>54.63</v>
      </c>
    </row>
    <row r="105" spans="1:23" x14ac:dyDescent="0.2">
      <c r="A105" s="18">
        <v>37469</v>
      </c>
      <c r="F105">
        <v>53.11</v>
      </c>
      <c r="S105">
        <v>56.907262129678003</v>
      </c>
      <c r="W105">
        <v>55.58</v>
      </c>
    </row>
    <row r="106" spans="1:23" x14ac:dyDescent="0.2">
      <c r="A106" s="18">
        <v>37500</v>
      </c>
      <c r="F106">
        <v>52.08</v>
      </c>
      <c r="S106">
        <v>58.558944963243398</v>
      </c>
      <c r="W106">
        <v>57.74</v>
      </c>
    </row>
    <row r="107" spans="1:23" x14ac:dyDescent="0.2">
      <c r="A107" s="18">
        <v>37530</v>
      </c>
      <c r="F107">
        <v>47.57</v>
      </c>
      <c r="S107">
        <v>57.946692398866297</v>
      </c>
      <c r="W107">
        <v>56.38</v>
      </c>
    </row>
    <row r="108" spans="1:23" x14ac:dyDescent="0.2">
      <c r="A108" s="18">
        <v>37561</v>
      </c>
      <c r="F108">
        <v>47.96</v>
      </c>
      <c r="S108">
        <v>57.045752075729702</v>
      </c>
      <c r="W108">
        <v>54.54</v>
      </c>
    </row>
    <row r="109" spans="1:23" x14ac:dyDescent="0.2">
      <c r="A109" s="18">
        <v>37591</v>
      </c>
      <c r="F109">
        <v>48.71</v>
      </c>
      <c r="S109">
        <v>57.162855142389098</v>
      </c>
      <c r="W109">
        <v>55.28</v>
      </c>
    </row>
    <row r="110" spans="1:23" x14ac:dyDescent="0.2">
      <c r="A110" s="18">
        <v>37622</v>
      </c>
      <c r="F110">
        <v>46.3</v>
      </c>
      <c r="S110">
        <v>56.037312647284203</v>
      </c>
      <c r="W110">
        <v>56.84</v>
      </c>
    </row>
    <row r="111" spans="1:23" x14ac:dyDescent="0.2">
      <c r="A111" s="18">
        <v>37653</v>
      </c>
      <c r="F111">
        <v>46.27</v>
      </c>
      <c r="S111">
        <v>54.453721410704397</v>
      </c>
      <c r="W111">
        <v>52.39</v>
      </c>
    </row>
    <row r="112" spans="1:23" x14ac:dyDescent="0.2">
      <c r="A112" s="18">
        <v>37681</v>
      </c>
      <c r="F112">
        <v>49.92</v>
      </c>
      <c r="S112">
        <v>52.803630209600101</v>
      </c>
      <c r="W112">
        <v>49.15</v>
      </c>
    </row>
    <row r="113" spans="1:23" x14ac:dyDescent="0.2">
      <c r="A113" s="18">
        <v>37712</v>
      </c>
      <c r="F113">
        <v>52.91</v>
      </c>
      <c r="S113">
        <v>53.3207423548318</v>
      </c>
      <c r="W113">
        <v>48.99</v>
      </c>
    </row>
    <row r="114" spans="1:23" x14ac:dyDescent="0.2">
      <c r="A114" s="18">
        <v>37742</v>
      </c>
      <c r="F114">
        <v>50.11</v>
      </c>
      <c r="S114">
        <v>51.856412409729302</v>
      </c>
      <c r="W114">
        <v>46.13</v>
      </c>
    </row>
    <row r="115" spans="1:23" x14ac:dyDescent="0.2">
      <c r="A115" s="18">
        <v>37773</v>
      </c>
      <c r="F115">
        <v>47.14</v>
      </c>
      <c r="S115">
        <v>53.437648762611197</v>
      </c>
      <c r="W115">
        <v>45.22</v>
      </c>
    </row>
    <row r="116" spans="1:23" x14ac:dyDescent="0.2">
      <c r="A116" s="18">
        <v>37803</v>
      </c>
      <c r="F116">
        <v>49.65</v>
      </c>
      <c r="S116">
        <v>53.0699070792162</v>
      </c>
      <c r="W116">
        <v>47.89</v>
      </c>
    </row>
    <row r="117" spans="1:23" x14ac:dyDescent="0.2">
      <c r="A117" s="18">
        <v>37834</v>
      </c>
      <c r="F117">
        <v>49.78</v>
      </c>
      <c r="S117">
        <v>50.568235899885103</v>
      </c>
      <c r="W117">
        <v>48.44</v>
      </c>
    </row>
    <row r="118" spans="1:23" x14ac:dyDescent="0.2">
      <c r="A118" s="18">
        <v>37865</v>
      </c>
      <c r="F118">
        <v>59.65</v>
      </c>
      <c r="S118">
        <v>57.843029176009402</v>
      </c>
      <c r="W118">
        <v>45.46</v>
      </c>
    </row>
    <row r="119" spans="1:23" x14ac:dyDescent="0.2">
      <c r="A119" s="18">
        <v>37895</v>
      </c>
      <c r="F119">
        <v>54.14</v>
      </c>
      <c r="S119">
        <v>60.866406299467698</v>
      </c>
      <c r="W119">
        <v>47.73</v>
      </c>
    </row>
    <row r="120" spans="1:23" x14ac:dyDescent="0.2">
      <c r="A120" s="18">
        <v>37926</v>
      </c>
      <c r="F120">
        <v>57.7</v>
      </c>
      <c r="S120">
        <v>56.386882357350899</v>
      </c>
      <c r="W120">
        <v>53.1</v>
      </c>
    </row>
    <row r="121" spans="1:23" x14ac:dyDescent="0.2">
      <c r="A121" s="18">
        <v>37956</v>
      </c>
      <c r="F121">
        <v>60.4</v>
      </c>
      <c r="S121">
        <v>54.845751644085702</v>
      </c>
      <c r="W121">
        <v>51.55</v>
      </c>
    </row>
    <row r="122" spans="1:23" x14ac:dyDescent="0.2">
      <c r="A122" s="18">
        <v>37987</v>
      </c>
      <c r="F122">
        <v>46.37</v>
      </c>
      <c r="S122">
        <v>55.793919717969402</v>
      </c>
      <c r="W122">
        <v>54.61</v>
      </c>
    </row>
    <row r="123" spans="1:23" x14ac:dyDescent="0.2">
      <c r="A123" s="18">
        <v>38018</v>
      </c>
      <c r="F123">
        <v>56.97</v>
      </c>
      <c r="S123">
        <v>56.800472168487701</v>
      </c>
      <c r="W123">
        <v>54.29</v>
      </c>
    </row>
    <row r="124" spans="1:23" x14ac:dyDescent="0.2">
      <c r="A124" s="18">
        <v>38047</v>
      </c>
      <c r="F124">
        <v>58.99</v>
      </c>
      <c r="S124">
        <v>59.0129037737941</v>
      </c>
      <c r="W124">
        <v>55.84</v>
      </c>
    </row>
    <row r="125" spans="1:23" x14ac:dyDescent="0.2">
      <c r="A125" s="18">
        <v>38078</v>
      </c>
      <c r="F125">
        <v>59.16</v>
      </c>
      <c r="S125">
        <v>58.741686967726302</v>
      </c>
      <c r="W125">
        <v>56.95</v>
      </c>
    </row>
    <row r="126" spans="1:23" x14ac:dyDescent="0.2">
      <c r="A126" s="18">
        <v>38108</v>
      </c>
      <c r="F126">
        <v>61.27</v>
      </c>
      <c r="S126">
        <v>56.1940744843941</v>
      </c>
      <c r="W126">
        <v>56.6</v>
      </c>
    </row>
    <row r="127" spans="1:23" x14ac:dyDescent="0.2">
      <c r="A127" s="18">
        <v>38139</v>
      </c>
      <c r="F127">
        <v>51.93</v>
      </c>
      <c r="S127">
        <v>62.772774028058897</v>
      </c>
      <c r="W127">
        <v>56.83</v>
      </c>
    </row>
    <row r="128" spans="1:23" x14ac:dyDescent="0.2">
      <c r="A128" s="18">
        <v>38169</v>
      </c>
      <c r="F128">
        <v>56.18</v>
      </c>
      <c r="S128">
        <v>58.771020874084499</v>
      </c>
      <c r="W128">
        <v>55.54</v>
      </c>
    </row>
    <row r="129" spans="1:29" x14ac:dyDescent="0.2">
      <c r="A129" s="18">
        <v>38200</v>
      </c>
      <c r="F129">
        <v>62.38</v>
      </c>
      <c r="S129">
        <v>57.427085291237098</v>
      </c>
      <c r="W129">
        <v>57.5</v>
      </c>
    </row>
    <row r="130" spans="1:29" x14ac:dyDescent="0.2">
      <c r="A130" s="18">
        <v>38231</v>
      </c>
      <c r="F130">
        <v>57.36</v>
      </c>
      <c r="S130">
        <v>55.049322078869203</v>
      </c>
      <c r="W130">
        <v>57.5</v>
      </c>
    </row>
    <row r="131" spans="1:29" x14ac:dyDescent="0.2">
      <c r="A131" s="18">
        <v>38261</v>
      </c>
      <c r="F131">
        <v>56.87</v>
      </c>
      <c r="S131">
        <v>52.917155117700901</v>
      </c>
      <c r="W131">
        <v>55.37</v>
      </c>
    </row>
    <row r="132" spans="1:29" x14ac:dyDescent="0.2">
      <c r="A132" s="18">
        <v>38292</v>
      </c>
      <c r="F132">
        <v>54.39</v>
      </c>
      <c r="S132">
        <v>57.866935416672398</v>
      </c>
      <c r="W132">
        <v>54.08</v>
      </c>
    </row>
    <row r="133" spans="1:29" x14ac:dyDescent="0.2">
      <c r="A133" s="18">
        <v>38322</v>
      </c>
      <c r="F133">
        <v>57.58</v>
      </c>
      <c r="G133">
        <v>51.4</v>
      </c>
      <c r="S133">
        <v>58.981422607151899</v>
      </c>
      <c r="W133">
        <v>54.34</v>
      </c>
      <c r="AC133">
        <v>53.7</v>
      </c>
    </row>
    <row r="134" spans="1:29" x14ac:dyDescent="0.2">
      <c r="A134" s="18">
        <v>38353</v>
      </c>
      <c r="F134">
        <v>59.37</v>
      </c>
      <c r="G134">
        <v>51.9</v>
      </c>
      <c r="S134">
        <v>57.034440617633997</v>
      </c>
      <c r="W134">
        <v>51.54</v>
      </c>
      <c r="AC134">
        <v>51.8</v>
      </c>
    </row>
    <row r="135" spans="1:29" x14ac:dyDescent="0.2">
      <c r="A135" s="18">
        <v>38384</v>
      </c>
      <c r="F135">
        <v>55.3</v>
      </c>
      <c r="G135">
        <v>51.9</v>
      </c>
      <c r="S135">
        <v>56.255983584510801</v>
      </c>
      <c r="W135">
        <v>55.55</v>
      </c>
      <c r="AC135">
        <v>51.8</v>
      </c>
    </row>
    <row r="136" spans="1:29" x14ac:dyDescent="0.2">
      <c r="A136" s="18">
        <v>38412</v>
      </c>
      <c r="F136">
        <v>56.66</v>
      </c>
      <c r="G136">
        <v>50.4</v>
      </c>
      <c r="S136">
        <v>51.639603525794001</v>
      </c>
      <c r="W136">
        <v>57.65</v>
      </c>
      <c r="AC136">
        <v>52</v>
      </c>
    </row>
    <row r="137" spans="1:29" x14ac:dyDescent="0.2">
      <c r="A137" s="18">
        <v>38443</v>
      </c>
      <c r="F137">
        <v>52.88</v>
      </c>
      <c r="G137">
        <v>49.2</v>
      </c>
      <c r="S137">
        <v>51.5818588801095</v>
      </c>
      <c r="W137">
        <v>54.64</v>
      </c>
      <c r="AC137">
        <v>49.5</v>
      </c>
    </row>
    <row r="138" spans="1:29" x14ac:dyDescent="0.2">
      <c r="A138" s="18">
        <v>38473</v>
      </c>
      <c r="F138">
        <v>53.51</v>
      </c>
      <c r="G138">
        <v>48.7</v>
      </c>
      <c r="S138">
        <v>51.297542414814103</v>
      </c>
      <c r="W138">
        <v>53.75</v>
      </c>
      <c r="AC138">
        <v>47.3</v>
      </c>
    </row>
    <row r="139" spans="1:29" x14ac:dyDescent="0.2">
      <c r="A139" s="18">
        <v>38504</v>
      </c>
      <c r="F139">
        <v>58.58</v>
      </c>
      <c r="G139">
        <v>49.9</v>
      </c>
      <c r="S139">
        <v>52.9270116328412</v>
      </c>
      <c r="W139">
        <v>57.12</v>
      </c>
      <c r="AC139">
        <v>49.6</v>
      </c>
    </row>
    <row r="140" spans="1:29" x14ac:dyDescent="0.2">
      <c r="A140" s="18">
        <v>38534</v>
      </c>
      <c r="F140">
        <v>56.43</v>
      </c>
      <c r="G140">
        <v>50.8</v>
      </c>
      <c r="S140">
        <v>49.237862406275802</v>
      </c>
      <c r="W140">
        <v>57.43</v>
      </c>
      <c r="AC140">
        <v>49.2</v>
      </c>
    </row>
    <row r="141" spans="1:29" x14ac:dyDescent="0.2">
      <c r="A141" s="18">
        <v>38565</v>
      </c>
      <c r="F141">
        <v>56.34</v>
      </c>
      <c r="G141">
        <v>50.4</v>
      </c>
      <c r="S141">
        <v>51.811669856587201</v>
      </c>
      <c r="W141">
        <v>55.2</v>
      </c>
      <c r="AC141">
        <v>50.1</v>
      </c>
    </row>
    <row r="142" spans="1:29" x14ac:dyDescent="0.2">
      <c r="A142" s="18">
        <v>38596</v>
      </c>
      <c r="F142">
        <v>61.16</v>
      </c>
      <c r="G142">
        <v>51.7</v>
      </c>
      <c r="S142">
        <v>50.571930732839697</v>
      </c>
      <c r="W142">
        <v>54.96</v>
      </c>
      <c r="AC142">
        <v>51.5</v>
      </c>
    </row>
    <row r="143" spans="1:29" x14ac:dyDescent="0.2">
      <c r="A143" s="18">
        <v>38626</v>
      </c>
      <c r="F143">
        <v>68.930000000000007</v>
      </c>
      <c r="G143">
        <v>52.7</v>
      </c>
      <c r="S143">
        <v>45.895480732884501</v>
      </c>
      <c r="W143">
        <v>52.77</v>
      </c>
      <c r="AC143">
        <v>51.7</v>
      </c>
    </row>
    <row r="144" spans="1:29" x14ac:dyDescent="0.2">
      <c r="A144" s="18">
        <v>38657</v>
      </c>
      <c r="F144">
        <v>57.53</v>
      </c>
      <c r="G144">
        <v>52.8</v>
      </c>
      <c r="S144">
        <v>44.270599524960801</v>
      </c>
      <c r="W144">
        <v>52.02</v>
      </c>
      <c r="AC144">
        <v>51</v>
      </c>
    </row>
    <row r="145" spans="1:29" x14ac:dyDescent="0.2">
      <c r="A145" s="18">
        <v>38687</v>
      </c>
      <c r="F145">
        <v>59.8</v>
      </c>
      <c r="G145">
        <v>53.6</v>
      </c>
      <c r="S145">
        <v>48.479025467498097</v>
      </c>
      <c r="W145">
        <v>53.31</v>
      </c>
      <c r="AC145">
        <v>51.1</v>
      </c>
    </row>
    <row r="146" spans="1:29" x14ac:dyDescent="0.2">
      <c r="A146" s="18">
        <v>38718</v>
      </c>
      <c r="F146">
        <v>58.97</v>
      </c>
      <c r="G146">
        <v>53.5</v>
      </c>
      <c r="S146">
        <v>48.585345068779702</v>
      </c>
      <c r="W146">
        <v>49.78</v>
      </c>
      <c r="AC146">
        <v>51.7</v>
      </c>
    </row>
    <row r="147" spans="1:29" x14ac:dyDescent="0.2">
      <c r="A147" s="18">
        <v>38749</v>
      </c>
      <c r="F147">
        <v>60.32</v>
      </c>
      <c r="G147">
        <v>54.5</v>
      </c>
      <c r="S147">
        <v>52.190552419279399</v>
      </c>
      <c r="W147">
        <v>50.11</v>
      </c>
      <c r="AC147">
        <v>51.7</v>
      </c>
    </row>
    <row r="148" spans="1:29" x14ac:dyDescent="0.2">
      <c r="A148" s="18">
        <v>38777</v>
      </c>
      <c r="F148">
        <v>52.93</v>
      </c>
      <c r="G148">
        <v>56.1</v>
      </c>
      <c r="S148">
        <v>53.543058814971403</v>
      </c>
      <c r="W148">
        <v>52.17</v>
      </c>
      <c r="AC148">
        <v>50.8</v>
      </c>
    </row>
    <row r="149" spans="1:29" x14ac:dyDescent="0.2">
      <c r="A149" s="18">
        <v>38808</v>
      </c>
      <c r="F149">
        <v>55.97</v>
      </c>
      <c r="G149">
        <v>56.7</v>
      </c>
      <c r="S149">
        <v>52.014251258866402</v>
      </c>
      <c r="W149">
        <v>54.63</v>
      </c>
      <c r="AC149">
        <v>54.1</v>
      </c>
    </row>
    <row r="150" spans="1:29" x14ac:dyDescent="0.2">
      <c r="A150" s="18">
        <v>38838</v>
      </c>
      <c r="F150">
        <v>56.87</v>
      </c>
      <c r="G150">
        <v>57</v>
      </c>
      <c r="S150">
        <v>57.202432453847202</v>
      </c>
      <c r="W150">
        <v>57</v>
      </c>
      <c r="AC150">
        <v>53.2</v>
      </c>
    </row>
    <row r="151" spans="1:29" x14ac:dyDescent="0.2">
      <c r="A151" s="18">
        <v>38869</v>
      </c>
      <c r="F151">
        <v>56.69</v>
      </c>
      <c r="G151">
        <v>57.7</v>
      </c>
      <c r="S151">
        <v>53.844737402000803</v>
      </c>
      <c r="W151">
        <v>58.8</v>
      </c>
      <c r="AC151">
        <v>55.1</v>
      </c>
    </row>
    <row r="152" spans="1:29" x14ac:dyDescent="0.2">
      <c r="A152" s="18">
        <v>38899</v>
      </c>
      <c r="F152">
        <v>58.32</v>
      </c>
      <c r="G152">
        <v>57.4</v>
      </c>
      <c r="S152">
        <v>53.378118046287</v>
      </c>
      <c r="W152">
        <v>60.27</v>
      </c>
      <c r="AC152">
        <v>53.8</v>
      </c>
    </row>
    <row r="153" spans="1:29" x14ac:dyDescent="0.2">
      <c r="A153" s="18">
        <v>38930</v>
      </c>
      <c r="F153">
        <v>63.49</v>
      </c>
      <c r="G153">
        <v>56.5</v>
      </c>
      <c r="S153">
        <v>52.497099283063399</v>
      </c>
      <c r="W153">
        <v>58.68</v>
      </c>
      <c r="AC153">
        <v>53.1</v>
      </c>
    </row>
    <row r="154" spans="1:29" x14ac:dyDescent="0.2">
      <c r="A154" s="18">
        <v>38961</v>
      </c>
      <c r="F154">
        <v>62.87</v>
      </c>
      <c r="G154">
        <v>56.6</v>
      </c>
      <c r="S154">
        <v>51.262659151328798</v>
      </c>
      <c r="W154">
        <v>56.6</v>
      </c>
      <c r="AC154">
        <v>54.4</v>
      </c>
    </row>
    <row r="155" spans="1:29" x14ac:dyDescent="0.2">
      <c r="A155" s="18">
        <v>38991</v>
      </c>
      <c r="F155">
        <v>62.65</v>
      </c>
      <c r="G155">
        <v>57</v>
      </c>
      <c r="S155">
        <v>56.532079990323197</v>
      </c>
      <c r="W155">
        <v>56.73</v>
      </c>
      <c r="AC155">
        <v>53.7</v>
      </c>
    </row>
    <row r="156" spans="1:29" x14ac:dyDescent="0.2">
      <c r="A156" s="18">
        <v>39022</v>
      </c>
      <c r="F156">
        <v>66.77</v>
      </c>
      <c r="G156">
        <v>56.6</v>
      </c>
      <c r="S156">
        <v>54.819585258175898</v>
      </c>
      <c r="W156">
        <v>56.34</v>
      </c>
      <c r="AC156">
        <v>53.6</v>
      </c>
    </row>
    <row r="157" spans="1:29" x14ac:dyDescent="0.2">
      <c r="A157" s="18">
        <v>39052</v>
      </c>
      <c r="F157">
        <v>62.5</v>
      </c>
      <c r="G157">
        <v>56.5</v>
      </c>
      <c r="P157">
        <v>55</v>
      </c>
      <c r="S157">
        <v>54.238666923849898</v>
      </c>
      <c r="W157">
        <v>55.49</v>
      </c>
      <c r="Y157">
        <v>57.2</v>
      </c>
      <c r="AC157">
        <v>51.9</v>
      </c>
    </row>
    <row r="158" spans="1:29" x14ac:dyDescent="0.2">
      <c r="A158" s="18">
        <v>39083</v>
      </c>
      <c r="F158">
        <v>55.72</v>
      </c>
      <c r="G158">
        <v>55.5</v>
      </c>
      <c r="P158">
        <v>53.5</v>
      </c>
      <c r="S158">
        <v>56.036031351097698</v>
      </c>
      <c r="W158">
        <v>57.79</v>
      </c>
      <c r="Y158">
        <v>56.2</v>
      </c>
      <c r="AC158">
        <v>52.8</v>
      </c>
    </row>
    <row r="159" spans="1:29" x14ac:dyDescent="0.2">
      <c r="A159" s="18">
        <v>39114</v>
      </c>
      <c r="F159">
        <v>60.51</v>
      </c>
      <c r="G159">
        <v>55.6</v>
      </c>
      <c r="P159">
        <v>54.2</v>
      </c>
      <c r="S159">
        <v>54.742775705584201</v>
      </c>
      <c r="W159">
        <v>60.18</v>
      </c>
      <c r="Y159">
        <v>56.2</v>
      </c>
      <c r="AC159">
        <v>55.4</v>
      </c>
    </row>
    <row r="160" spans="1:29" x14ac:dyDescent="0.2">
      <c r="A160" s="18">
        <v>39142</v>
      </c>
      <c r="F160">
        <v>65.52</v>
      </c>
      <c r="G160">
        <v>55.4</v>
      </c>
      <c r="P160">
        <v>53.8</v>
      </c>
      <c r="S160">
        <v>57.570250699095702</v>
      </c>
      <c r="W160">
        <v>60.35</v>
      </c>
      <c r="Y160">
        <v>55.4</v>
      </c>
      <c r="AC160">
        <v>54.4</v>
      </c>
    </row>
    <row r="161" spans="1:29" x14ac:dyDescent="0.2">
      <c r="A161" s="18">
        <v>39173</v>
      </c>
      <c r="F161">
        <v>63.43</v>
      </c>
      <c r="G161">
        <v>55.4</v>
      </c>
      <c r="P161">
        <v>53.9</v>
      </c>
      <c r="S161">
        <v>53.260616311208402</v>
      </c>
      <c r="W161">
        <v>57.89</v>
      </c>
      <c r="Y161">
        <v>56</v>
      </c>
      <c r="AC161">
        <v>53.9</v>
      </c>
    </row>
    <row r="162" spans="1:29" x14ac:dyDescent="0.2">
      <c r="A162" s="18">
        <v>39203</v>
      </c>
      <c r="F162">
        <v>62.81</v>
      </c>
      <c r="G162">
        <v>55</v>
      </c>
      <c r="P162">
        <v>55</v>
      </c>
      <c r="S162">
        <v>55.407160874264001</v>
      </c>
      <c r="W162">
        <v>56.91</v>
      </c>
      <c r="Y162">
        <v>53.3</v>
      </c>
      <c r="AC162">
        <v>54.9</v>
      </c>
    </row>
    <row r="163" spans="1:29" x14ac:dyDescent="0.2">
      <c r="A163" s="18">
        <v>39234</v>
      </c>
      <c r="F163">
        <v>59.06</v>
      </c>
      <c r="G163">
        <v>55.6</v>
      </c>
      <c r="P163">
        <v>54</v>
      </c>
      <c r="S163">
        <v>51.416409801705001</v>
      </c>
      <c r="W163">
        <v>56.33</v>
      </c>
      <c r="Y163">
        <v>55.1</v>
      </c>
      <c r="AC163">
        <v>54.3</v>
      </c>
    </row>
    <row r="164" spans="1:29" x14ac:dyDescent="0.2">
      <c r="A164" s="18">
        <v>39264</v>
      </c>
      <c r="F164">
        <v>63.94</v>
      </c>
      <c r="G164">
        <v>54.9</v>
      </c>
      <c r="P164">
        <v>53.3</v>
      </c>
      <c r="S164">
        <v>54.021529677242</v>
      </c>
      <c r="W164">
        <v>57.52</v>
      </c>
      <c r="Y164">
        <v>53.2</v>
      </c>
      <c r="AC164">
        <v>55.7</v>
      </c>
    </row>
    <row r="165" spans="1:29" x14ac:dyDescent="0.2">
      <c r="A165" s="18">
        <v>39295</v>
      </c>
      <c r="F165">
        <v>55.08</v>
      </c>
      <c r="G165">
        <v>54.3</v>
      </c>
      <c r="P165">
        <v>53.6</v>
      </c>
      <c r="S165">
        <v>56.598811050608198</v>
      </c>
      <c r="W165">
        <v>54.42</v>
      </c>
      <c r="Y165">
        <v>52.2</v>
      </c>
      <c r="AC165">
        <v>56.3</v>
      </c>
    </row>
    <row r="166" spans="1:29" x14ac:dyDescent="0.2">
      <c r="A166" s="18">
        <v>39326</v>
      </c>
      <c r="F166">
        <v>57.16</v>
      </c>
      <c r="G166">
        <v>53.2</v>
      </c>
      <c r="P166">
        <v>52.4</v>
      </c>
      <c r="S166">
        <v>54.2282350566784</v>
      </c>
      <c r="W166">
        <v>51.63</v>
      </c>
      <c r="Y166">
        <v>50.8</v>
      </c>
      <c r="AC166">
        <v>55.1</v>
      </c>
    </row>
    <row r="167" spans="1:29" x14ac:dyDescent="0.2">
      <c r="A167" s="18">
        <v>39356</v>
      </c>
      <c r="F167">
        <v>59.94</v>
      </c>
      <c r="G167">
        <v>51.5</v>
      </c>
      <c r="P167">
        <v>51.3</v>
      </c>
      <c r="S167">
        <v>57.433784173576299</v>
      </c>
      <c r="W167">
        <v>54.4</v>
      </c>
      <c r="Y167">
        <v>49.6</v>
      </c>
      <c r="AC167">
        <v>52.9</v>
      </c>
    </row>
    <row r="168" spans="1:29" x14ac:dyDescent="0.2">
      <c r="A168" s="18">
        <v>39387</v>
      </c>
      <c r="F168">
        <v>57.03</v>
      </c>
      <c r="G168">
        <v>52.8</v>
      </c>
      <c r="P168">
        <v>51.3</v>
      </c>
      <c r="S168">
        <v>57.155724465306697</v>
      </c>
      <c r="W168">
        <v>53.96</v>
      </c>
      <c r="Y168">
        <v>50.7</v>
      </c>
      <c r="AC168">
        <v>54.4</v>
      </c>
    </row>
    <row r="169" spans="1:29" x14ac:dyDescent="0.2">
      <c r="A169" s="18">
        <v>39417</v>
      </c>
      <c r="F169">
        <v>55.62</v>
      </c>
      <c r="G169">
        <v>52.6</v>
      </c>
      <c r="P169">
        <v>50.7</v>
      </c>
      <c r="S169">
        <v>53.153499590717303</v>
      </c>
      <c r="W169">
        <v>53.23</v>
      </c>
      <c r="Y169">
        <v>49.5</v>
      </c>
      <c r="AC169">
        <v>52.9</v>
      </c>
    </row>
    <row r="170" spans="1:29" x14ac:dyDescent="0.2">
      <c r="A170" s="18">
        <v>39448</v>
      </c>
      <c r="F170">
        <v>56.34</v>
      </c>
      <c r="G170">
        <v>52.8</v>
      </c>
      <c r="P170">
        <v>50.8</v>
      </c>
      <c r="S170">
        <v>53.080817306480398</v>
      </c>
      <c r="W170">
        <v>51.3</v>
      </c>
      <c r="Y170">
        <v>49.8</v>
      </c>
      <c r="AC170">
        <v>50.6</v>
      </c>
    </row>
    <row r="171" spans="1:29" x14ac:dyDescent="0.2">
      <c r="A171" s="18">
        <v>39478</v>
      </c>
      <c r="I171">
        <v>54.4</v>
      </c>
    </row>
    <row r="172" spans="1:29" x14ac:dyDescent="0.2">
      <c r="A172" s="18">
        <v>39479</v>
      </c>
      <c r="F172">
        <v>64.819999999999993</v>
      </c>
      <c r="G172">
        <v>52.3</v>
      </c>
      <c r="I172">
        <v>54.3</v>
      </c>
      <c r="P172">
        <v>50.6</v>
      </c>
      <c r="Q172">
        <v>50.8</v>
      </c>
      <c r="S172">
        <v>52.568361901912901</v>
      </c>
      <c r="W172">
        <v>45.75</v>
      </c>
      <c r="Y172">
        <v>46.7</v>
      </c>
      <c r="AC172">
        <v>51.3</v>
      </c>
    </row>
    <row r="173" spans="1:29" x14ac:dyDescent="0.2">
      <c r="A173" s="18">
        <v>39508</v>
      </c>
      <c r="F173">
        <v>57.03</v>
      </c>
      <c r="G173">
        <v>52</v>
      </c>
      <c r="I173">
        <v>54.9</v>
      </c>
      <c r="P173">
        <v>49.4</v>
      </c>
      <c r="Q173">
        <v>49.5</v>
      </c>
      <c r="S173">
        <v>48.114001410038803</v>
      </c>
      <c r="W173">
        <v>44.21</v>
      </c>
      <c r="Y173">
        <v>46.4</v>
      </c>
      <c r="AC173">
        <v>51.3</v>
      </c>
    </row>
    <row r="174" spans="1:29" x14ac:dyDescent="0.2">
      <c r="A174" s="18">
        <v>39539</v>
      </c>
      <c r="F174">
        <v>44.91</v>
      </c>
      <c r="G174">
        <v>50.7</v>
      </c>
      <c r="I174">
        <v>53.6</v>
      </c>
      <c r="P174">
        <v>48.2</v>
      </c>
      <c r="Q174">
        <v>48.6</v>
      </c>
      <c r="S174">
        <v>50.379620041373897</v>
      </c>
      <c r="W174">
        <v>53.72</v>
      </c>
      <c r="Y174">
        <v>45.2</v>
      </c>
      <c r="AC174">
        <v>51</v>
      </c>
    </row>
    <row r="175" spans="1:29" x14ac:dyDescent="0.2">
      <c r="A175" s="18">
        <v>39569</v>
      </c>
      <c r="B175">
        <v>51.4</v>
      </c>
      <c r="F175">
        <v>66.78</v>
      </c>
      <c r="G175">
        <v>50.6</v>
      </c>
      <c r="I175">
        <v>53.5</v>
      </c>
      <c r="P175">
        <v>48</v>
      </c>
      <c r="Q175">
        <v>47.7</v>
      </c>
      <c r="S175">
        <v>48.254867105237302</v>
      </c>
      <c r="W175">
        <v>48.8</v>
      </c>
      <c r="Y175">
        <v>43.8</v>
      </c>
      <c r="AC175">
        <v>50</v>
      </c>
    </row>
    <row r="176" spans="1:29" x14ac:dyDescent="0.2">
      <c r="A176" s="18">
        <v>39600</v>
      </c>
      <c r="B176">
        <v>51.2</v>
      </c>
      <c r="F176">
        <v>62.6</v>
      </c>
      <c r="G176">
        <v>49.2</v>
      </c>
      <c r="I176">
        <v>52.3</v>
      </c>
      <c r="P176">
        <v>46.9</v>
      </c>
      <c r="Q176">
        <v>46.5</v>
      </c>
      <c r="S176">
        <v>44.324455950641003</v>
      </c>
      <c r="W176">
        <v>45.37</v>
      </c>
      <c r="Y176">
        <v>40.6</v>
      </c>
      <c r="AC176">
        <v>45.8</v>
      </c>
    </row>
    <row r="177" spans="1:29" x14ac:dyDescent="0.2">
      <c r="A177" s="18">
        <v>39630</v>
      </c>
      <c r="B177">
        <v>52.7</v>
      </c>
      <c r="F177">
        <v>38.909999999999997</v>
      </c>
      <c r="G177">
        <v>47.4</v>
      </c>
      <c r="I177">
        <v>50.9</v>
      </c>
      <c r="P177">
        <v>45.3</v>
      </c>
      <c r="Q177">
        <v>47</v>
      </c>
      <c r="S177">
        <v>48.173562781692198</v>
      </c>
      <c r="W177">
        <v>44.8</v>
      </c>
      <c r="Y177">
        <v>39.200000000000003</v>
      </c>
      <c r="AC177">
        <v>44.3</v>
      </c>
    </row>
    <row r="178" spans="1:29" x14ac:dyDescent="0.2">
      <c r="A178" s="18">
        <v>39661</v>
      </c>
      <c r="B178">
        <v>51.2</v>
      </c>
      <c r="F178">
        <v>48.73</v>
      </c>
      <c r="G178">
        <v>47.6</v>
      </c>
      <c r="H178">
        <v>45.1</v>
      </c>
      <c r="I178">
        <v>49.9</v>
      </c>
      <c r="P178">
        <v>47.1</v>
      </c>
      <c r="Q178">
        <v>46.9</v>
      </c>
      <c r="S178">
        <v>46.094212934239899</v>
      </c>
      <c r="W178">
        <v>48.3</v>
      </c>
      <c r="Y178">
        <v>42.4</v>
      </c>
      <c r="AC178">
        <v>45.9</v>
      </c>
    </row>
    <row r="179" spans="1:29" x14ac:dyDescent="0.2">
      <c r="A179" s="18">
        <v>39692</v>
      </c>
      <c r="B179">
        <v>47</v>
      </c>
      <c r="F179">
        <v>52.91</v>
      </c>
      <c r="G179">
        <v>45</v>
      </c>
      <c r="H179">
        <v>43.6</v>
      </c>
      <c r="I179">
        <v>48.1</v>
      </c>
      <c r="P179">
        <v>44.4</v>
      </c>
      <c r="Q179">
        <v>44.3</v>
      </c>
      <c r="S179">
        <v>46.816302534574902</v>
      </c>
      <c r="W179">
        <v>47.07</v>
      </c>
      <c r="Y179">
        <v>38.299999999999997</v>
      </c>
      <c r="AC179">
        <v>41</v>
      </c>
    </row>
    <row r="180" spans="1:29" x14ac:dyDescent="0.2">
      <c r="A180" s="18">
        <v>39722</v>
      </c>
      <c r="B180">
        <v>46.9</v>
      </c>
      <c r="F180">
        <v>40.79</v>
      </c>
      <c r="G180">
        <v>38.9</v>
      </c>
      <c r="H180">
        <v>40.799999999999997</v>
      </c>
      <c r="I180">
        <v>43.3</v>
      </c>
      <c r="P180">
        <v>39.700000000000003</v>
      </c>
      <c r="Q180">
        <v>42.2</v>
      </c>
      <c r="S180">
        <v>44.045668643393597</v>
      </c>
      <c r="W180">
        <v>45.16</v>
      </c>
      <c r="Y180">
        <v>34.6</v>
      </c>
      <c r="AC180">
        <v>41.5</v>
      </c>
    </row>
    <row r="181" spans="1:29" x14ac:dyDescent="0.2">
      <c r="A181" s="18">
        <v>39753</v>
      </c>
      <c r="B181">
        <v>40.4</v>
      </c>
      <c r="F181">
        <v>45.47</v>
      </c>
      <c r="G181">
        <v>35.6</v>
      </c>
      <c r="H181">
        <v>37.9</v>
      </c>
      <c r="I181">
        <v>36.700000000000003</v>
      </c>
      <c r="P181">
        <v>34.9</v>
      </c>
      <c r="Q181">
        <v>36.700000000000003</v>
      </c>
      <c r="S181">
        <v>36.083796175526899</v>
      </c>
      <c r="W181">
        <v>38.97</v>
      </c>
      <c r="Y181">
        <v>29.4</v>
      </c>
      <c r="AC181">
        <v>34.4</v>
      </c>
    </row>
    <row r="182" spans="1:29" x14ac:dyDescent="0.2">
      <c r="A182" s="18">
        <v>39783</v>
      </c>
      <c r="B182">
        <v>33.700000000000003</v>
      </c>
      <c r="F182">
        <v>40.299999999999997</v>
      </c>
      <c r="G182">
        <v>33.9</v>
      </c>
      <c r="H182">
        <v>35.9</v>
      </c>
      <c r="I182">
        <v>33.5</v>
      </c>
      <c r="P182">
        <v>35.5</v>
      </c>
      <c r="Q182">
        <v>30.8</v>
      </c>
      <c r="S182">
        <v>42.435398240949702</v>
      </c>
      <c r="W182">
        <v>40.24</v>
      </c>
      <c r="Y182">
        <v>28.5</v>
      </c>
      <c r="AC182">
        <v>34.9</v>
      </c>
    </row>
    <row r="183" spans="1:29" x14ac:dyDescent="0.2">
      <c r="A183" s="18">
        <v>39814</v>
      </c>
      <c r="B183">
        <v>36.6</v>
      </c>
      <c r="F183">
        <v>25.32</v>
      </c>
      <c r="G183">
        <v>34.4</v>
      </c>
      <c r="H183">
        <v>38.1</v>
      </c>
      <c r="I183">
        <v>32</v>
      </c>
      <c r="P183">
        <v>36.1</v>
      </c>
      <c r="Q183">
        <v>29.6</v>
      </c>
      <c r="S183">
        <v>42.236706316594997</v>
      </c>
      <c r="W183">
        <v>39.9</v>
      </c>
      <c r="Y183">
        <v>31.5</v>
      </c>
      <c r="AC183">
        <v>35.799999999999997</v>
      </c>
    </row>
    <row r="184" spans="1:29" x14ac:dyDescent="0.2">
      <c r="A184" s="18">
        <v>39845</v>
      </c>
      <c r="B184">
        <v>31.7</v>
      </c>
      <c r="F184">
        <v>25.02</v>
      </c>
      <c r="G184">
        <v>33.5</v>
      </c>
      <c r="H184">
        <v>32.299999999999997</v>
      </c>
      <c r="I184">
        <v>32.200000000000003</v>
      </c>
      <c r="P184">
        <v>35</v>
      </c>
      <c r="Q184">
        <v>31.6</v>
      </c>
      <c r="S184">
        <v>38.936383749853697</v>
      </c>
      <c r="W184">
        <v>37.590000000000003</v>
      </c>
      <c r="Y184">
        <v>31.8</v>
      </c>
      <c r="AC184">
        <v>34.700000000000003</v>
      </c>
    </row>
    <row r="185" spans="1:29" x14ac:dyDescent="0.2">
      <c r="A185" s="18">
        <v>39873</v>
      </c>
      <c r="B185">
        <v>33.4</v>
      </c>
      <c r="F185">
        <v>30.56</v>
      </c>
      <c r="G185">
        <v>33.9</v>
      </c>
      <c r="H185">
        <v>36.299999999999997</v>
      </c>
      <c r="I185">
        <v>32.4</v>
      </c>
      <c r="P185">
        <v>34.6</v>
      </c>
      <c r="Q185">
        <v>33.799999999999997</v>
      </c>
      <c r="S185">
        <v>41.563078337337402</v>
      </c>
      <c r="W185">
        <v>35.76</v>
      </c>
      <c r="Y185">
        <v>32.9</v>
      </c>
      <c r="AC185">
        <v>39.1</v>
      </c>
    </row>
    <row r="186" spans="1:29" x14ac:dyDescent="0.2">
      <c r="A186" s="18">
        <v>39904</v>
      </c>
      <c r="B186">
        <v>30.1</v>
      </c>
      <c r="F186">
        <v>34.450000000000003</v>
      </c>
      <c r="G186">
        <v>36.799999999999997</v>
      </c>
      <c r="H186">
        <v>40</v>
      </c>
      <c r="I186">
        <v>35</v>
      </c>
      <c r="P186">
        <v>37.200000000000003</v>
      </c>
      <c r="Q186">
        <v>41.4</v>
      </c>
      <c r="S186">
        <v>43.348295431938503</v>
      </c>
      <c r="W186">
        <v>35.090000000000003</v>
      </c>
      <c r="Y186">
        <v>34.6</v>
      </c>
      <c r="AC186">
        <v>42.9</v>
      </c>
    </row>
    <row r="187" spans="1:29" x14ac:dyDescent="0.2">
      <c r="A187" s="18">
        <v>39934</v>
      </c>
      <c r="B187">
        <v>37.5</v>
      </c>
      <c r="F187">
        <v>27.75</v>
      </c>
      <c r="G187">
        <v>40.700000000000003</v>
      </c>
      <c r="H187">
        <v>43.1</v>
      </c>
      <c r="I187">
        <v>39.6</v>
      </c>
      <c r="P187">
        <v>41.1</v>
      </c>
      <c r="Q187">
        <v>46.6</v>
      </c>
      <c r="S187">
        <v>41.874722452342098</v>
      </c>
      <c r="W187">
        <v>37.520000000000003</v>
      </c>
      <c r="Y187">
        <v>39.799999999999997</v>
      </c>
      <c r="AC187">
        <v>45.4</v>
      </c>
    </row>
    <row r="188" spans="1:29" x14ac:dyDescent="0.2">
      <c r="A188" s="18">
        <v>39965</v>
      </c>
      <c r="B188">
        <v>38.4</v>
      </c>
      <c r="F188">
        <v>42</v>
      </c>
      <c r="G188">
        <v>42.6</v>
      </c>
      <c r="H188">
        <v>45.9</v>
      </c>
      <c r="I188">
        <v>40.9</v>
      </c>
      <c r="P188">
        <v>42.7</v>
      </c>
      <c r="Q188">
        <v>48.2</v>
      </c>
      <c r="S188">
        <v>45.561029356135201</v>
      </c>
      <c r="W188">
        <v>39.700000000000003</v>
      </c>
      <c r="Y188">
        <v>42.8</v>
      </c>
      <c r="AC188">
        <v>47</v>
      </c>
    </row>
    <row r="189" spans="1:29" x14ac:dyDescent="0.2">
      <c r="A189" s="18">
        <v>39995</v>
      </c>
      <c r="B189">
        <v>44.5</v>
      </c>
      <c r="F189">
        <v>47.7</v>
      </c>
      <c r="G189">
        <v>46.3</v>
      </c>
      <c r="H189">
        <v>50.2</v>
      </c>
      <c r="I189">
        <v>45.2</v>
      </c>
      <c r="P189">
        <v>45.4</v>
      </c>
      <c r="Q189">
        <v>50.4</v>
      </c>
      <c r="S189">
        <v>49.734183405407201</v>
      </c>
      <c r="W189">
        <v>39.43</v>
      </c>
      <c r="Y189">
        <v>47.3</v>
      </c>
      <c r="AC189">
        <v>50.8</v>
      </c>
    </row>
    <row r="190" spans="1:29" x14ac:dyDescent="0.2">
      <c r="A190" s="18">
        <v>40026</v>
      </c>
      <c r="B190">
        <v>51.7</v>
      </c>
      <c r="F190">
        <v>42.59</v>
      </c>
      <c r="G190">
        <v>48.2</v>
      </c>
      <c r="H190">
        <v>52.5</v>
      </c>
      <c r="I190">
        <v>49</v>
      </c>
      <c r="P190">
        <v>44.2</v>
      </c>
      <c r="Q190">
        <v>53.6</v>
      </c>
      <c r="S190">
        <v>49.642350273864402</v>
      </c>
      <c r="W190">
        <v>40.659999999999997</v>
      </c>
      <c r="Y190">
        <v>47.2</v>
      </c>
      <c r="AC190">
        <v>49.7</v>
      </c>
    </row>
    <row r="191" spans="1:29" x14ac:dyDescent="0.2">
      <c r="A191" s="18">
        <v>40057</v>
      </c>
      <c r="B191">
        <v>52</v>
      </c>
      <c r="F191">
        <v>42.73</v>
      </c>
      <c r="G191">
        <v>49.3</v>
      </c>
      <c r="H191">
        <v>53</v>
      </c>
      <c r="I191">
        <v>49.6</v>
      </c>
      <c r="P191">
        <v>47.6</v>
      </c>
      <c r="Q191">
        <v>54.5</v>
      </c>
      <c r="S191">
        <v>52.680029270514602</v>
      </c>
      <c r="W191">
        <v>47.46</v>
      </c>
      <c r="Y191">
        <v>45.8</v>
      </c>
      <c r="AC191">
        <v>49.5</v>
      </c>
    </row>
    <row r="192" spans="1:29" x14ac:dyDescent="0.2">
      <c r="A192" s="18">
        <v>40087</v>
      </c>
      <c r="B192">
        <v>51.7</v>
      </c>
      <c r="F192">
        <v>49.89</v>
      </c>
      <c r="G192">
        <v>50.7</v>
      </c>
      <c r="H192">
        <v>54.2</v>
      </c>
      <c r="I192">
        <v>51.1</v>
      </c>
      <c r="P192">
        <v>49.2</v>
      </c>
      <c r="Q192">
        <v>54.3</v>
      </c>
      <c r="S192">
        <v>51.7262292777555</v>
      </c>
      <c r="W192">
        <v>47.74</v>
      </c>
      <c r="Y192">
        <v>46.3</v>
      </c>
      <c r="AC192">
        <v>53.7</v>
      </c>
    </row>
    <row r="193" spans="1:30" x14ac:dyDescent="0.2">
      <c r="A193" s="18">
        <v>40118</v>
      </c>
      <c r="B193">
        <v>51.2</v>
      </c>
      <c r="F193">
        <v>50.67</v>
      </c>
      <c r="G193">
        <v>51.2</v>
      </c>
      <c r="H193">
        <v>54.4</v>
      </c>
      <c r="I193">
        <v>52.4</v>
      </c>
      <c r="P193">
        <v>50.1</v>
      </c>
      <c r="Q193">
        <v>52.3</v>
      </c>
      <c r="S193">
        <v>53.326198285872401</v>
      </c>
      <c r="W193">
        <v>49.48</v>
      </c>
      <c r="Y193">
        <v>45.3</v>
      </c>
      <c r="AC193">
        <v>51.8</v>
      </c>
    </row>
    <row r="194" spans="1:30" x14ac:dyDescent="0.2">
      <c r="A194" s="18">
        <v>40148</v>
      </c>
      <c r="B194">
        <v>48.5</v>
      </c>
      <c r="F194">
        <v>49.48</v>
      </c>
      <c r="G194">
        <v>51.6</v>
      </c>
      <c r="H194">
        <v>54.7</v>
      </c>
      <c r="I194">
        <v>53.1</v>
      </c>
      <c r="P194">
        <v>50.8</v>
      </c>
      <c r="Q194">
        <v>53.8</v>
      </c>
      <c r="S194">
        <v>53.1454156225943</v>
      </c>
      <c r="W194">
        <v>52.58</v>
      </c>
      <c r="Y194">
        <v>45.2</v>
      </c>
      <c r="AC194">
        <v>54.1</v>
      </c>
    </row>
    <row r="195" spans="1:30" x14ac:dyDescent="0.2">
      <c r="A195" s="18">
        <v>40179</v>
      </c>
      <c r="B195">
        <v>51</v>
      </c>
      <c r="F195">
        <v>50.96</v>
      </c>
      <c r="G195">
        <v>52.4</v>
      </c>
      <c r="H195">
        <v>54.6</v>
      </c>
      <c r="I195">
        <v>53.4</v>
      </c>
      <c r="P195">
        <v>51.7</v>
      </c>
      <c r="Q195">
        <v>52.5</v>
      </c>
      <c r="S195">
        <v>51.823641067846701</v>
      </c>
      <c r="W195">
        <v>52.14</v>
      </c>
      <c r="Y195">
        <v>45.3</v>
      </c>
      <c r="AC195">
        <v>56.7</v>
      </c>
    </row>
    <row r="196" spans="1:30" x14ac:dyDescent="0.2">
      <c r="A196" s="18">
        <v>40210</v>
      </c>
      <c r="B196">
        <v>53.8</v>
      </c>
      <c r="F196">
        <v>48.93</v>
      </c>
      <c r="G196">
        <v>54.2</v>
      </c>
      <c r="H196">
        <v>56.3</v>
      </c>
      <c r="I196">
        <v>57.2</v>
      </c>
      <c r="P196">
        <v>51.6</v>
      </c>
      <c r="Q196">
        <v>52.5</v>
      </c>
      <c r="S196">
        <v>52.533413447435898</v>
      </c>
      <c r="W196">
        <v>55.72</v>
      </c>
      <c r="Y196">
        <v>49.1</v>
      </c>
      <c r="AC196">
        <v>56.6</v>
      </c>
    </row>
    <row r="197" spans="1:30" x14ac:dyDescent="0.2">
      <c r="A197" s="18">
        <v>40238</v>
      </c>
      <c r="B197">
        <v>50.2</v>
      </c>
      <c r="F197">
        <v>51.66</v>
      </c>
      <c r="G197">
        <v>56.6</v>
      </c>
      <c r="H197">
        <v>56.7</v>
      </c>
      <c r="I197">
        <v>59.6</v>
      </c>
      <c r="P197">
        <v>53.7</v>
      </c>
      <c r="Q197">
        <v>52.4</v>
      </c>
      <c r="S197">
        <v>55.832523203119003</v>
      </c>
      <c r="W197">
        <v>53.65</v>
      </c>
      <c r="Y197">
        <v>51.8</v>
      </c>
      <c r="AC197">
        <v>57.2</v>
      </c>
    </row>
    <row r="198" spans="1:30" x14ac:dyDescent="0.2">
      <c r="A198" s="18">
        <v>40269</v>
      </c>
      <c r="B198">
        <v>59.8</v>
      </c>
      <c r="F198">
        <v>49.02</v>
      </c>
      <c r="G198">
        <v>57.6</v>
      </c>
      <c r="H198">
        <v>56.6</v>
      </c>
      <c r="I198">
        <v>61.5</v>
      </c>
      <c r="P198">
        <v>54.3</v>
      </c>
      <c r="Q198">
        <v>53.5</v>
      </c>
      <c r="S198">
        <v>58.4019949666218</v>
      </c>
      <c r="W198">
        <v>53.24</v>
      </c>
      <c r="Y198">
        <v>53.3</v>
      </c>
      <c r="AC198">
        <v>58</v>
      </c>
    </row>
    <row r="199" spans="1:30" x14ac:dyDescent="0.2">
      <c r="A199" s="18">
        <v>40299</v>
      </c>
      <c r="B199">
        <v>56.3</v>
      </c>
      <c r="F199">
        <v>51.33</v>
      </c>
      <c r="G199">
        <v>55.8</v>
      </c>
      <c r="H199">
        <v>55.8</v>
      </c>
      <c r="I199">
        <v>58.4</v>
      </c>
      <c r="P199">
        <v>54</v>
      </c>
      <c r="Q199">
        <v>54.7</v>
      </c>
      <c r="S199">
        <v>51.8006228698843</v>
      </c>
      <c r="W199">
        <v>51.19</v>
      </c>
      <c r="Y199">
        <v>51.5</v>
      </c>
      <c r="AC199">
        <v>58</v>
      </c>
    </row>
    <row r="200" spans="1:30" x14ac:dyDescent="0.2">
      <c r="A200" s="18">
        <v>40330</v>
      </c>
      <c r="B200">
        <v>52.9</v>
      </c>
      <c r="F200">
        <v>50.2</v>
      </c>
      <c r="G200">
        <v>55.6</v>
      </c>
      <c r="H200">
        <v>53.7</v>
      </c>
      <c r="I200">
        <v>58.1</v>
      </c>
      <c r="P200">
        <v>54.3</v>
      </c>
      <c r="Q200">
        <v>53.9</v>
      </c>
      <c r="S200">
        <v>54.885916458142702</v>
      </c>
      <c r="W200">
        <v>50.84</v>
      </c>
      <c r="Y200">
        <v>51.2</v>
      </c>
      <c r="AC200">
        <v>57.5</v>
      </c>
    </row>
    <row r="201" spans="1:30" x14ac:dyDescent="0.2">
      <c r="A201" s="18">
        <v>40360</v>
      </c>
      <c r="B201">
        <v>54.4</v>
      </c>
      <c r="F201">
        <v>54.3</v>
      </c>
      <c r="G201">
        <v>56.7</v>
      </c>
      <c r="H201">
        <v>54.7</v>
      </c>
      <c r="I201">
        <v>61.2</v>
      </c>
      <c r="P201">
        <v>54.4</v>
      </c>
      <c r="Q201">
        <v>52.8</v>
      </c>
      <c r="S201">
        <v>50.256943813857902</v>
      </c>
      <c r="W201">
        <v>52.65</v>
      </c>
      <c r="Y201">
        <v>51.6</v>
      </c>
      <c r="AC201">
        <v>57.3</v>
      </c>
    </row>
    <row r="202" spans="1:30" x14ac:dyDescent="0.2">
      <c r="A202" s="18">
        <v>40391</v>
      </c>
      <c r="B202">
        <v>51.7</v>
      </c>
      <c r="F202">
        <v>54.73</v>
      </c>
      <c r="G202">
        <v>55.1</v>
      </c>
      <c r="H202">
        <v>55.4</v>
      </c>
      <c r="I202">
        <v>58.2</v>
      </c>
      <c r="P202">
        <v>52.8</v>
      </c>
      <c r="Q202">
        <v>50.1</v>
      </c>
      <c r="S202">
        <v>50.288913340954501</v>
      </c>
      <c r="W202">
        <v>51.95</v>
      </c>
      <c r="Y202">
        <v>51.2</v>
      </c>
      <c r="AC202">
        <v>54.3</v>
      </c>
    </row>
    <row r="203" spans="1:30" x14ac:dyDescent="0.2">
      <c r="A203" s="18">
        <v>40422</v>
      </c>
      <c r="B203">
        <v>47.3</v>
      </c>
      <c r="F203">
        <v>56.27</v>
      </c>
      <c r="G203">
        <v>53.7</v>
      </c>
      <c r="H203">
        <v>55.2</v>
      </c>
      <c r="I203">
        <v>55.3</v>
      </c>
      <c r="P203">
        <v>52.6</v>
      </c>
      <c r="Q203">
        <v>49.5</v>
      </c>
      <c r="S203">
        <v>50.989279973423798</v>
      </c>
      <c r="W203">
        <v>50.14</v>
      </c>
      <c r="Y203">
        <v>49.6</v>
      </c>
      <c r="AC203">
        <v>53.4</v>
      </c>
    </row>
    <row r="204" spans="1:30" x14ac:dyDescent="0.2">
      <c r="A204" s="18">
        <v>40452</v>
      </c>
      <c r="B204">
        <v>49.4</v>
      </c>
      <c r="C204">
        <v>49.5</v>
      </c>
      <c r="E204">
        <v>57.2</v>
      </c>
      <c r="F204">
        <v>56.89</v>
      </c>
      <c r="G204">
        <v>54.6</v>
      </c>
      <c r="H204">
        <v>57.5</v>
      </c>
      <c r="I204">
        <v>56.6</v>
      </c>
      <c r="J204">
        <v>53.7</v>
      </c>
      <c r="M204">
        <v>57.2</v>
      </c>
      <c r="O204">
        <v>50.9</v>
      </c>
      <c r="P204">
        <v>53</v>
      </c>
      <c r="Q204">
        <v>47.2</v>
      </c>
      <c r="S204">
        <v>51.425226109909701</v>
      </c>
      <c r="T204">
        <v>55.6</v>
      </c>
      <c r="U204">
        <v>51.8</v>
      </c>
      <c r="W204">
        <v>51.35</v>
      </c>
      <c r="Y204">
        <v>51.2</v>
      </c>
      <c r="Z204">
        <v>48.6</v>
      </c>
      <c r="AB204" t="s">
        <v>31</v>
      </c>
      <c r="AC204">
        <v>54.9</v>
      </c>
      <c r="AD204">
        <v>56.9</v>
      </c>
    </row>
    <row r="205" spans="1:30" x14ac:dyDescent="0.2">
      <c r="A205" s="18">
        <v>40482</v>
      </c>
      <c r="K205">
        <v>43.6</v>
      </c>
    </row>
    <row r="206" spans="1:30" x14ac:dyDescent="0.2">
      <c r="A206" s="18">
        <v>40483</v>
      </c>
      <c r="B206">
        <v>47.6</v>
      </c>
      <c r="C206">
        <v>49.9</v>
      </c>
      <c r="E206">
        <v>57.3</v>
      </c>
      <c r="F206">
        <v>55.8</v>
      </c>
      <c r="G206">
        <v>55.3</v>
      </c>
      <c r="H206">
        <v>56.3</v>
      </c>
      <c r="I206">
        <v>58.1</v>
      </c>
      <c r="J206">
        <v>54</v>
      </c>
      <c r="K206">
        <v>43.9</v>
      </c>
      <c r="M206">
        <v>58.4</v>
      </c>
      <c r="O206">
        <v>51.2</v>
      </c>
      <c r="P206">
        <v>52</v>
      </c>
      <c r="Q206">
        <v>47.3</v>
      </c>
      <c r="S206">
        <v>54.9544836853158</v>
      </c>
      <c r="T206">
        <v>55.9</v>
      </c>
      <c r="U206">
        <v>51.1</v>
      </c>
      <c r="W206">
        <v>52.54</v>
      </c>
      <c r="Y206">
        <v>50</v>
      </c>
      <c r="Z206">
        <v>51.7</v>
      </c>
      <c r="AB206">
        <v>56.4</v>
      </c>
      <c r="AC206">
        <v>58</v>
      </c>
      <c r="AD206">
        <v>56.6</v>
      </c>
    </row>
    <row r="207" spans="1:30" x14ac:dyDescent="0.2">
      <c r="A207" s="18">
        <v>40513</v>
      </c>
      <c r="B207">
        <v>46.3</v>
      </c>
      <c r="C207">
        <v>52.4</v>
      </c>
      <c r="E207">
        <v>58.4</v>
      </c>
      <c r="F207">
        <v>62.4</v>
      </c>
      <c r="G207">
        <v>57.1</v>
      </c>
      <c r="H207">
        <v>54.3</v>
      </c>
      <c r="I207">
        <v>60.9</v>
      </c>
      <c r="J207">
        <v>54.9</v>
      </c>
      <c r="K207">
        <v>43.1</v>
      </c>
      <c r="M207">
        <v>56.7</v>
      </c>
      <c r="O207">
        <v>52.2</v>
      </c>
      <c r="P207">
        <v>54.7</v>
      </c>
      <c r="Q207">
        <v>48.3</v>
      </c>
      <c r="S207">
        <v>53.213836822334102</v>
      </c>
      <c r="T207">
        <v>56.3</v>
      </c>
      <c r="U207">
        <v>53.5</v>
      </c>
      <c r="W207">
        <v>52.81</v>
      </c>
      <c r="X207">
        <v>53.9</v>
      </c>
      <c r="Y207">
        <v>51.5</v>
      </c>
      <c r="Z207">
        <v>51.7</v>
      </c>
      <c r="AB207">
        <v>56.4</v>
      </c>
      <c r="AC207">
        <v>58.3</v>
      </c>
      <c r="AD207">
        <v>57</v>
      </c>
    </row>
    <row r="208" spans="1:30" x14ac:dyDescent="0.2">
      <c r="A208" s="18">
        <v>40544</v>
      </c>
      <c r="B208">
        <v>46.7</v>
      </c>
      <c r="C208">
        <v>53.1</v>
      </c>
      <c r="E208">
        <v>60.5</v>
      </c>
      <c r="F208">
        <v>57.21</v>
      </c>
      <c r="G208">
        <v>57.3</v>
      </c>
      <c r="H208">
        <v>54.9</v>
      </c>
      <c r="I208">
        <v>60.5</v>
      </c>
      <c r="J208">
        <v>57.2</v>
      </c>
      <c r="K208">
        <v>42.8</v>
      </c>
      <c r="M208">
        <v>56.8</v>
      </c>
      <c r="O208">
        <v>55.8</v>
      </c>
      <c r="P208">
        <v>56.6</v>
      </c>
      <c r="Q208">
        <v>51.4</v>
      </c>
      <c r="S208">
        <v>52.941418710448602</v>
      </c>
      <c r="T208">
        <v>55.6</v>
      </c>
      <c r="U208">
        <v>53.5</v>
      </c>
      <c r="W208">
        <v>53.56</v>
      </c>
      <c r="X208">
        <v>53.5</v>
      </c>
      <c r="Y208">
        <v>52</v>
      </c>
      <c r="Z208">
        <v>54.6</v>
      </c>
      <c r="AB208">
        <v>57.2</v>
      </c>
      <c r="AC208">
        <v>62</v>
      </c>
      <c r="AD208">
        <v>60.8</v>
      </c>
    </row>
    <row r="209" spans="1:30" x14ac:dyDescent="0.2">
      <c r="A209" s="18">
        <v>40575</v>
      </c>
      <c r="B209">
        <v>51.1</v>
      </c>
      <c r="C209">
        <v>54.6</v>
      </c>
      <c r="E209">
        <v>59.8</v>
      </c>
      <c r="F209">
        <v>60.78</v>
      </c>
      <c r="G209">
        <v>59</v>
      </c>
      <c r="H209">
        <v>56.6</v>
      </c>
      <c r="I209">
        <v>62.7</v>
      </c>
      <c r="J209">
        <v>58.2</v>
      </c>
      <c r="K209">
        <v>43.8</v>
      </c>
      <c r="M209">
        <v>57.9</v>
      </c>
      <c r="O209">
        <v>56.7</v>
      </c>
      <c r="P209">
        <v>59</v>
      </c>
      <c r="Q209">
        <v>52.9</v>
      </c>
      <c r="S209">
        <v>51.296148060149903</v>
      </c>
      <c r="T209">
        <v>53.8</v>
      </c>
      <c r="U209">
        <v>56.4</v>
      </c>
      <c r="W209">
        <v>51.49</v>
      </c>
      <c r="X209">
        <v>53.4</v>
      </c>
      <c r="Y209">
        <v>52.1</v>
      </c>
      <c r="Z209">
        <v>55.8</v>
      </c>
      <c r="AB209">
        <v>58.5</v>
      </c>
      <c r="AC209">
        <v>64.5</v>
      </c>
      <c r="AD209">
        <v>61.4</v>
      </c>
    </row>
    <row r="210" spans="1:30" x14ac:dyDescent="0.2">
      <c r="A210" s="18">
        <v>40603</v>
      </c>
      <c r="B210">
        <v>47.9</v>
      </c>
      <c r="C210">
        <v>53.2</v>
      </c>
      <c r="E210">
        <v>58.6</v>
      </c>
      <c r="F210">
        <v>62.07</v>
      </c>
      <c r="G210">
        <v>57.5</v>
      </c>
      <c r="H210">
        <v>56.9</v>
      </c>
      <c r="I210">
        <v>60.9</v>
      </c>
      <c r="J210">
        <v>56</v>
      </c>
      <c r="K210">
        <v>45.4</v>
      </c>
      <c r="M210">
        <v>57.9</v>
      </c>
      <c r="O210">
        <v>55.7</v>
      </c>
      <c r="P210">
        <v>56.2</v>
      </c>
      <c r="Q210">
        <v>46.4</v>
      </c>
      <c r="S210">
        <v>49.030116711296003</v>
      </c>
      <c r="T210">
        <v>54.8</v>
      </c>
      <c r="U210">
        <v>55.1</v>
      </c>
      <c r="W210">
        <v>54.71</v>
      </c>
      <c r="X210">
        <v>52.8</v>
      </c>
      <c r="Y210">
        <v>51.6</v>
      </c>
      <c r="Z210">
        <v>55.6</v>
      </c>
      <c r="AB210">
        <v>56.1</v>
      </c>
      <c r="AC210">
        <v>57.1</v>
      </c>
      <c r="AD210">
        <v>61.2</v>
      </c>
    </row>
    <row r="211" spans="1:30" x14ac:dyDescent="0.2">
      <c r="A211" s="18">
        <v>40634</v>
      </c>
      <c r="B211">
        <v>48.4</v>
      </c>
      <c r="C211">
        <v>52.5</v>
      </c>
      <c r="D211" t="s">
        <v>32</v>
      </c>
      <c r="E211">
        <v>59</v>
      </c>
      <c r="F211">
        <v>63.05</v>
      </c>
      <c r="G211">
        <v>58</v>
      </c>
      <c r="H211">
        <v>57.5</v>
      </c>
      <c r="I211">
        <v>62</v>
      </c>
      <c r="J211">
        <v>55.5</v>
      </c>
      <c r="K211">
        <v>46.8</v>
      </c>
      <c r="M211">
        <v>58</v>
      </c>
      <c r="N211">
        <v>48.1</v>
      </c>
      <c r="O211">
        <v>56</v>
      </c>
      <c r="P211">
        <v>55.5</v>
      </c>
      <c r="Q211">
        <v>45.7</v>
      </c>
      <c r="R211">
        <v>56.1</v>
      </c>
      <c r="S211">
        <v>53.0485447056205</v>
      </c>
      <c r="T211">
        <v>54.4</v>
      </c>
      <c r="U211">
        <v>52.1</v>
      </c>
      <c r="W211">
        <v>54.16</v>
      </c>
      <c r="X211">
        <v>51.7</v>
      </c>
      <c r="Y211">
        <v>50.6</v>
      </c>
      <c r="Z211">
        <v>58.2</v>
      </c>
      <c r="AB211">
        <v>52.7</v>
      </c>
      <c r="AC211">
        <v>54.6</v>
      </c>
      <c r="AD211">
        <v>60.4</v>
      </c>
    </row>
    <row r="212" spans="1:30" x14ac:dyDescent="0.2">
      <c r="A212" s="18">
        <v>40664</v>
      </c>
      <c r="B212">
        <v>47.7</v>
      </c>
      <c r="C212">
        <v>53</v>
      </c>
      <c r="D212">
        <v>54.8</v>
      </c>
      <c r="E212">
        <v>55.9</v>
      </c>
      <c r="F212">
        <v>58.59</v>
      </c>
      <c r="G212">
        <v>54.6</v>
      </c>
      <c r="H212">
        <v>54.9</v>
      </c>
      <c r="I212">
        <v>57.7</v>
      </c>
      <c r="J212">
        <v>53.1</v>
      </c>
      <c r="K212">
        <v>44.5</v>
      </c>
      <c r="M212">
        <v>57.5</v>
      </c>
      <c r="N212">
        <v>48</v>
      </c>
      <c r="O212">
        <v>51.8</v>
      </c>
      <c r="P212">
        <v>52.8</v>
      </c>
      <c r="Q212">
        <v>51.3</v>
      </c>
      <c r="R212">
        <v>54.5</v>
      </c>
      <c r="S212">
        <v>52.890127153315902</v>
      </c>
      <c r="T212">
        <v>52.6</v>
      </c>
      <c r="U212">
        <v>50.9</v>
      </c>
      <c r="W212">
        <v>54.1</v>
      </c>
      <c r="X212">
        <v>51.2</v>
      </c>
      <c r="Y212">
        <v>48.2</v>
      </c>
      <c r="Z212">
        <v>54.9</v>
      </c>
      <c r="AB212">
        <v>50.6</v>
      </c>
      <c r="AC212">
        <v>52.1</v>
      </c>
      <c r="AD212">
        <v>53.5</v>
      </c>
    </row>
    <row r="213" spans="1:30" x14ac:dyDescent="0.2">
      <c r="A213" s="18">
        <v>40695</v>
      </c>
      <c r="B213">
        <v>52.9</v>
      </c>
      <c r="C213">
        <v>49</v>
      </c>
      <c r="D213">
        <v>52.8</v>
      </c>
      <c r="E213">
        <v>55.1</v>
      </c>
      <c r="F213">
        <v>58.05</v>
      </c>
      <c r="G213">
        <v>52</v>
      </c>
      <c r="H213">
        <v>50.1</v>
      </c>
      <c r="I213">
        <v>54.9</v>
      </c>
      <c r="J213">
        <v>52.8</v>
      </c>
      <c r="K213">
        <v>45.5</v>
      </c>
      <c r="M213">
        <v>55.3</v>
      </c>
      <c r="N213">
        <v>50.5</v>
      </c>
      <c r="O213">
        <v>49.8</v>
      </c>
      <c r="P213">
        <v>49.9</v>
      </c>
      <c r="Q213">
        <v>50.7</v>
      </c>
      <c r="R213">
        <v>55.1</v>
      </c>
      <c r="S213">
        <v>54.276686305751802</v>
      </c>
      <c r="T213">
        <v>51.2</v>
      </c>
      <c r="U213">
        <v>50.6</v>
      </c>
      <c r="W213">
        <v>55.16</v>
      </c>
      <c r="X213">
        <v>51.2</v>
      </c>
      <c r="Y213">
        <v>47.3</v>
      </c>
      <c r="Z213">
        <v>49.9</v>
      </c>
      <c r="AB213">
        <v>52.3</v>
      </c>
      <c r="AC213">
        <v>51.3</v>
      </c>
      <c r="AD213">
        <v>55.3</v>
      </c>
    </row>
    <row r="214" spans="1:30" x14ac:dyDescent="0.2">
      <c r="A214" s="18">
        <v>40725</v>
      </c>
      <c r="B214">
        <v>43.4</v>
      </c>
      <c r="C214">
        <v>47.8</v>
      </c>
      <c r="D214">
        <v>53.1</v>
      </c>
      <c r="E214">
        <v>53.4</v>
      </c>
      <c r="F214">
        <v>58.37</v>
      </c>
      <c r="G214">
        <v>50.4</v>
      </c>
      <c r="H214">
        <v>50.5</v>
      </c>
      <c r="I214">
        <v>52</v>
      </c>
      <c r="J214">
        <v>50.9</v>
      </c>
      <c r="K214">
        <v>45.2</v>
      </c>
      <c r="M214">
        <v>56.3</v>
      </c>
      <c r="N214">
        <v>51</v>
      </c>
      <c r="O214">
        <v>48.2</v>
      </c>
      <c r="P214">
        <v>50.1</v>
      </c>
      <c r="Q214">
        <v>52.1</v>
      </c>
      <c r="R214">
        <v>54.8</v>
      </c>
      <c r="S214">
        <v>52.914785131054401</v>
      </c>
      <c r="T214">
        <v>52.9</v>
      </c>
      <c r="U214">
        <v>49.8</v>
      </c>
      <c r="W214">
        <v>46.16</v>
      </c>
      <c r="X214">
        <v>51.1</v>
      </c>
      <c r="Y214">
        <v>45.6</v>
      </c>
      <c r="Z214">
        <v>46.1</v>
      </c>
      <c r="AB214">
        <v>52.3</v>
      </c>
      <c r="AC214">
        <v>49.1</v>
      </c>
      <c r="AD214">
        <v>50.9</v>
      </c>
    </row>
    <row r="215" spans="1:30" x14ac:dyDescent="0.2">
      <c r="A215" s="18">
        <v>40756</v>
      </c>
      <c r="B215">
        <v>43.3</v>
      </c>
      <c r="C215">
        <v>46</v>
      </c>
      <c r="D215">
        <v>54.9</v>
      </c>
      <c r="E215">
        <v>53.4</v>
      </c>
      <c r="F215">
        <v>55.07</v>
      </c>
      <c r="G215">
        <v>49</v>
      </c>
      <c r="H215">
        <v>49.1</v>
      </c>
      <c r="I215">
        <v>50.9</v>
      </c>
      <c r="J215">
        <v>50.4</v>
      </c>
      <c r="K215">
        <v>43.3</v>
      </c>
      <c r="M215">
        <v>52.6</v>
      </c>
      <c r="N215">
        <v>50.9</v>
      </c>
      <c r="O215">
        <v>49.7</v>
      </c>
      <c r="P215">
        <v>47</v>
      </c>
      <c r="Q215">
        <v>51.9</v>
      </c>
      <c r="R215">
        <v>51.7</v>
      </c>
      <c r="S215">
        <v>53.276022834882099</v>
      </c>
      <c r="T215">
        <v>51.8</v>
      </c>
      <c r="U215">
        <v>49.9</v>
      </c>
      <c r="W215">
        <v>47.73</v>
      </c>
      <c r="X215">
        <v>51.3</v>
      </c>
      <c r="Y215">
        <v>45.3</v>
      </c>
      <c r="Z215">
        <v>45.2</v>
      </c>
      <c r="AB215">
        <v>49.8</v>
      </c>
      <c r="AC215">
        <v>49</v>
      </c>
      <c r="AD215">
        <v>50.6</v>
      </c>
    </row>
    <row r="216" spans="1:30" x14ac:dyDescent="0.2">
      <c r="A216" s="18">
        <v>40787</v>
      </c>
      <c r="B216">
        <v>42.3</v>
      </c>
      <c r="C216">
        <v>45.5</v>
      </c>
      <c r="D216">
        <v>55</v>
      </c>
      <c r="E216">
        <v>52.3</v>
      </c>
      <c r="F216">
        <v>64.400000000000006</v>
      </c>
      <c r="G216">
        <v>48.5</v>
      </c>
      <c r="H216">
        <v>48.2</v>
      </c>
      <c r="I216">
        <v>50.3</v>
      </c>
      <c r="J216">
        <v>50.1</v>
      </c>
      <c r="K216">
        <v>43.2</v>
      </c>
      <c r="M216">
        <v>50.4</v>
      </c>
      <c r="N216">
        <v>49.8</v>
      </c>
      <c r="O216">
        <v>47.3</v>
      </c>
      <c r="P216">
        <v>48.3</v>
      </c>
      <c r="Q216">
        <v>49.3</v>
      </c>
      <c r="R216">
        <v>53.2</v>
      </c>
      <c r="S216">
        <v>51.1649272067922</v>
      </c>
      <c r="T216">
        <v>50.2</v>
      </c>
      <c r="U216">
        <v>50</v>
      </c>
      <c r="W216">
        <v>52.45</v>
      </c>
      <c r="X216">
        <v>49.7</v>
      </c>
      <c r="Y216">
        <v>43.7</v>
      </c>
      <c r="Z216">
        <v>44.5</v>
      </c>
      <c r="AB216">
        <v>51.5</v>
      </c>
      <c r="AC216">
        <v>51.1</v>
      </c>
      <c r="AD216">
        <v>51.6</v>
      </c>
    </row>
    <row r="217" spans="1:30" x14ac:dyDescent="0.2">
      <c r="A217" s="18">
        <v>40817</v>
      </c>
      <c r="B217">
        <v>47.4</v>
      </c>
      <c r="C217">
        <v>46.5</v>
      </c>
      <c r="D217">
        <v>53.7</v>
      </c>
      <c r="E217">
        <v>51.7</v>
      </c>
      <c r="F217">
        <v>43.91</v>
      </c>
      <c r="G217">
        <v>47.1</v>
      </c>
      <c r="H217">
        <v>48.5</v>
      </c>
      <c r="I217">
        <v>49.1</v>
      </c>
      <c r="J217">
        <v>49.5</v>
      </c>
      <c r="K217">
        <v>40.5</v>
      </c>
      <c r="M217">
        <v>51</v>
      </c>
      <c r="N217">
        <v>51.3</v>
      </c>
      <c r="O217">
        <v>50.1</v>
      </c>
      <c r="P217">
        <v>43.3</v>
      </c>
      <c r="Q217">
        <v>50.6</v>
      </c>
      <c r="R217">
        <v>54.8</v>
      </c>
      <c r="S217">
        <v>47.055625036655101</v>
      </c>
      <c r="T217">
        <v>51.7</v>
      </c>
      <c r="U217">
        <v>50.4</v>
      </c>
      <c r="W217">
        <v>52.18</v>
      </c>
      <c r="X217">
        <v>47.4</v>
      </c>
      <c r="Y217">
        <v>43.9</v>
      </c>
      <c r="Z217">
        <v>48</v>
      </c>
      <c r="AB217">
        <v>53.3</v>
      </c>
      <c r="AC217">
        <v>47.4</v>
      </c>
      <c r="AD217">
        <v>50.8</v>
      </c>
    </row>
    <row r="218" spans="1:30" x14ac:dyDescent="0.2">
      <c r="A218" s="18">
        <v>40848</v>
      </c>
      <c r="B218">
        <v>47.8</v>
      </c>
      <c r="C218">
        <v>48.7</v>
      </c>
      <c r="D218">
        <v>53.3</v>
      </c>
      <c r="E218">
        <v>48.6</v>
      </c>
      <c r="F218">
        <v>47.79</v>
      </c>
      <c r="G218">
        <v>46.4</v>
      </c>
      <c r="H218">
        <v>47.3</v>
      </c>
      <c r="I218">
        <v>47.9</v>
      </c>
      <c r="J218">
        <v>49.6</v>
      </c>
      <c r="K218">
        <v>40.9</v>
      </c>
      <c r="M218">
        <v>52</v>
      </c>
      <c r="N218">
        <v>50.1</v>
      </c>
      <c r="O218">
        <v>48.5</v>
      </c>
      <c r="P218">
        <v>44</v>
      </c>
      <c r="Q218">
        <v>49.1</v>
      </c>
      <c r="R218">
        <v>53.9</v>
      </c>
      <c r="S218">
        <v>47.8189290340678</v>
      </c>
      <c r="T218">
        <v>49.5</v>
      </c>
      <c r="U218">
        <v>52.6</v>
      </c>
      <c r="W218">
        <v>51.66</v>
      </c>
      <c r="X218">
        <v>48</v>
      </c>
      <c r="Y218">
        <v>43.8</v>
      </c>
      <c r="Z218">
        <v>47.1</v>
      </c>
      <c r="AB218">
        <v>52.3</v>
      </c>
      <c r="AC218">
        <v>47.6</v>
      </c>
      <c r="AD218">
        <v>52.7</v>
      </c>
    </row>
    <row r="219" spans="1:30" x14ac:dyDescent="0.2">
      <c r="A219" s="18">
        <v>40878</v>
      </c>
      <c r="B219">
        <v>50.2</v>
      </c>
      <c r="C219">
        <v>49.3</v>
      </c>
      <c r="D219">
        <v>54</v>
      </c>
      <c r="E219">
        <v>49.2</v>
      </c>
      <c r="F219">
        <v>58.44</v>
      </c>
      <c r="G219">
        <v>46.9</v>
      </c>
      <c r="H219">
        <v>48.9</v>
      </c>
      <c r="I219">
        <v>48.4</v>
      </c>
      <c r="J219">
        <v>50.4</v>
      </c>
      <c r="K219">
        <v>42</v>
      </c>
      <c r="M219">
        <v>57</v>
      </c>
      <c r="N219">
        <v>48.1</v>
      </c>
      <c r="O219">
        <v>49.8</v>
      </c>
      <c r="P219">
        <v>44.3</v>
      </c>
      <c r="Q219">
        <v>50.2</v>
      </c>
      <c r="R219">
        <v>53.1</v>
      </c>
      <c r="S219">
        <v>52.079468638644201</v>
      </c>
      <c r="T219">
        <v>48.8</v>
      </c>
      <c r="U219">
        <v>51.6</v>
      </c>
      <c r="W219">
        <v>51.4</v>
      </c>
      <c r="X219">
        <v>47.1</v>
      </c>
      <c r="Y219">
        <v>43.7</v>
      </c>
      <c r="Z219">
        <v>47.1</v>
      </c>
      <c r="AB219">
        <v>52</v>
      </c>
      <c r="AC219">
        <v>49.6</v>
      </c>
      <c r="AD219">
        <v>53.2</v>
      </c>
    </row>
    <row r="220" spans="1:30" x14ac:dyDescent="0.2">
      <c r="A220" s="18">
        <v>40909</v>
      </c>
      <c r="B220">
        <v>51.6</v>
      </c>
      <c r="C220">
        <v>50.6</v>
      </c>
      <c r="D220">
        <v>50.6</v>
      </c>
      <c r="E220">
        <v>48.8</v>
      </c>
      <c r="F220">
        <v>52.12</v>
      </c>
      <c r="G220">
        <v>48.8</v>
      </c>
      <c r="H220">
        <v>48.5</v>
      </c>
      <c r="I220">
        <v>51</v>
      </c>
      <c r="J220">
        <v>51</v>
      </c>
      <c r="K220">
        <v>41</v>
      </c>
      <c r="M220">
        <v>57.5</v>
      </c>
      <c r="N220">
        <v>48.5</v>
      </c>
      <c r="O220">
        <v>49.3</v>
      </c>
      <c r="P220">
        <v>46.8</v>
      </c>
      <c r="Q220">
        <v>50.7</v>
      </c>
      <c r="R220">
        <v>52.2</v>
      </c>
      <c r="S220">
        <v>50.6209489737154</v>
      </c>
      <c r="T220">
        <v>52.2</v>
      </c>
      <c r="U220">
        <v>50.8</v>
      </c>
      <c r="W220">
        <v>52.94</v>
      </c>
      <c r="X220">
        <v>49.2</v>
      </c>
      <c r="Y220">
        <v>45.1</v>
      </c>
      <c r="Z220">
        <v>47.1</v>
      </c>
      <c r="AB220">
        <v>51.7</v>
      </c>
      <c r="AC220">
        <v>50.8</v>
      </c>
      <c r="AD220">
        <v>54.3</v>
      </c>
    </row>
    <row r="221" spans="1:30" x14ac:dyDescent="0.2">
      <c r="A221" s="18">
        <v>40940</v>
      </c>
      <c r="B221">
        <v>51.3</v>
      </c>
      <c r="C221">
        <v>51.4</v>
      </c>
      <c r="D221">
        <v>51.8</v>
      </c>
      <c r="E221">
        <v>50.5</v>
      </c>
      <c r="F221">
        <v>53.88</v>
      </c>
      <c r="G221">
        <v>49</v>
      </c>
      <c r="H221">
        <v>50</v>
      </c>
      <c r="I221">
        <v>50.2</v>
      </c>
      <c r="J221">
        <v>51.2</v>
      </c>
      <c r="K221">
        <v>37.700000000000003</v>
      </c>
      <c r="M221">
        <v>56.6</v>
      </c>
      <c r="N221">
        <v>50.6</v>
      </c>
      <c r="O221">
        <v>49.7</v>
      </c>
      <c r="P221">
        <v>47.8</v>
      </c>
      <c r="Q221">
        <v>50.5</v>
      </c>
      <c r="R221">
        <v>53.7</v>
      </c>
      <c r="S221">
        <v>55.936808068004602</v>
      </c>
      <c r="T221">
        <v>50</v>
      </c>
      <c r="U221">
        <v>50.7</v>
      </c>
      <c r="W221">
        <v>53.51</v>
      </c>
      <c r="X221">
        <v>50.7</v>
      </c>
      <c r="Y221">
        <v>45</v>
      </c>
      <c r="Z221">
        <v>48.9</v>
      </c>
      <c r="AB221">
        <v>49.6</v>
      </c>
      <c r="AC221">
        <v>51.1</v>
      </c>
      <c r="AD221">
        <v>53.6</v>
      </c>
    </row>
    <row r="222" spans="1:30" x14ac:dyDescent="0.2">
      <c r="A222" s="18">
        <v>40969</v>
      </c>
      <c r="B222">
        <v>49.5</v>
      </c>
      <c r="C222">
        <v>51.1</v>
      </c>
      <c r="D222">
        <v>52.4</v>
      </c>
      <c r="E222">
        <v>52.1</v>
      </c>
      <c r="F222">
        <v>50.34</v>
      </c>
      <c r="G222">
        <v>47.7</v>
      </c>
      <c r="H222">
        <v>46.7</v>
      </c>
      <c r="I222">
        <v>48.4</v>
      </c>
      <c r="J222">
        <v>51.6</v>
      </c>
      <c r="K222">
        <v>41.3</v>
      </c>
      <c r="M222">
        <v>54.7</v>
      </c>
      <c r="N222">
        <v>50.8</v>
      </c>
      <c r="O222">
        <v>51.5</v>
      </c>
      <c r="P222">
        <v>47.9</v>
      </c>
      <c r="Q222">
        <v>51.1</v>
      </c>
      <c r="R222">
        <v>53.8</v>
      </c>
      <c r="S222">
        <v>53.627871720274001</v>
      </c>
      <c r="T222">
        <v>50.1</v>
      </c>
      <c r="U222">
        <v>50.8</v>
      </c>
      <c r="W222">
        <v>53.51</v>
      </c>
      <c r="X222">
        <v>52</v>
      </c>
      <c r="Y222">
        <v>44.5</v>
      </c>
      <c r="Z222">
        <v>52.7</v>
      </c>
      <c r="AB222">
        <v>49.6</v>
      </c>
      <c r="AC222">
        <v>52</v>
      </c>
      <c r="AD222">
        <v>56</v>
      </c>
    </row>
    <row r="223" spans="1:30" x14ac:dyDescent="0.2">
      <c r="A223" s="18">
        <v>41000</v>
      </c>
      <c r="B223">
        <v>43.9</v>
      </c>
      <c r="C223">
        <v>49.3</v>
      </c>
      <c r="D223">
        <v>53.3</v>
      </c>
      <c r="E223">
        <v>49.7</v>
      </c>
      <c r="F223">
        <v>63.6</v>
      </c>
      <c r="G223">
        <v>45.9</v>
      </c>
      <c r="H223">
        <v>46.9</v>
      </c>
      <c r="I223">
        <v>46.2</v>
      </c>
      <c r="J223">
        <v>51.3</v>
      </c>
      <c r="K223">
        <v>40.700000000000003</v>
      </c>
      <c r="M223">
        <v>54.9</v>
      </c>
      <c r="N223">
        <v>50.5</v>
      </c>
      <c r="O223">
        <v>50.1</v>
      </c>
      <c r="P223">
        <v>43.8</v>
      </c>
      <c r="Q223">
        <v>50.7</v>
      </c>
      <c r="R223">
        <v>56.3</v>
      </c>
      <c r="S223">
        <v>48.512504850892803</v>
      </c>
      <c r="T223">
        <v>49.2</v>
      </c>
      <c r="U223">
        <v>52.9</v>
      </c>
      <c r="W223">
        <v>52.19</v>
      </c>
      <c r="X223">
        <v>51.9</v>
      </c>
      <c r="Y223">
        <v>43.5</v>
      </c>
      <c r="Z223">
        <v>54.1</v>
      </c>
      <c r="AB223">
        <v>52.3</v>
      </c>
      <c r="AC223">
        <v>50.2</v>
      </c>
      <c r="AD223">
        <v>56</v>
      </c>
    </row>
    <row r="224" spans="1:30" x14ac:dyDescent="0.2">
      <c r="A224" s="18">
        <v>41030</v>
      </c>
      <c r="B224">
        <v>42.4</v>
      </c>
      <c r="C224">
        <v>49.3</v>
      </c>
      <c r="D224">
        <v>54.7</v>
      </c>
      <c r="E224">
        <v>47.6</v>
      </c>
      <c r="F224">
        <v>51.42</v>
      </c>
      <c r="G224">
        <v>45.1</v>
      </c>
      <c r="H224">
        <v>44.7</v>
      </c>
      <c r="I224">
        <v>45.2</v>
      </c>
      <c r="J224">
        <v>50.3</v>
      </c>
      <c r="K224">
        <v>43.1</v>
      </c>
      <c r="M224">
        <v>54.8</v>
      </c>
      <c r="N224">
        <v>48.1</v>
      </c>
      <c r="O224">
        <v>51.2</v>
      </c>
      <c r="P224">
        <v>44.8</v>
      </c>
      <c r="Q224">
        <v>50.7</v>
      </c>
      <c r="R224">
        <v>55.2</v>
      </c>
      <c r="S224">
        <v>54.185789788296702</v>
      </c>
      <c r="T224">
        <v>48.9</v>
      </c>
      <c r="U224">
        <v>53.2</v>
      </c>
      <c r="W224">
        <v>52.57</v>
      </c>
      <c r="X224">
        <v>51</v>
      </c>
      <c r="Y224">
        <v>42</v>
      </c>
      <c r="Z224">
        <v>51.2</v>
      </c>
      <c r="AB224">
        <v>50.2</v>
      </c>
      <c r="AC224">
        <v>46.8</v>
      </c>
      <c r="AD224">
        <v>54</v>
      </c>
    </row>
    <row r="225" spans="1:31" x14ac:dyDescent="0.2">
      <c r="A225" s="18">
        <v>41061</v>
      </c>
      <c r="B225">
        <v>47.2</v>
      </c>
      <c r="C225">
        <v>48.5</v>
      </c>
      <c r="D225">
        <v>54.8</v>
      </c>
      <c r="E225">
        <v>49.4</v>
      </c>
      <c r="F225">
        <v>52.69</v>
      </c>
      <c r="G225">
        <v>45.1</v>
      </c>
      <c r="H225">
        <v>45.2</v>
      </c>
      <c r="I225">
        <v>45</v>
      </c>
      <c r="J225">
        <v>49.7</v>
      </c>
      <c r="K225">
        <v>40.1</v>
      </c>
      <c r="L225">
        <v>49.8</v>
      </c>
      <c r="M225">
        <v>55</v>
      </c>
      <c r="N225">
        <v>50.2</v>
      </c>
      <c r="O225">
        <v>53.1</v>
      </c>
      <c r="P225">
        <v>44.6</v>
      </c>
      <c r="Q225">
        <v>52.6</v>
      </c>
      <c r="R225">
        <v>55.9</v>
      </c>
      <c r="S225">
        <v>50.472370512699001</v>
      </c>
      <c r="T225">
        <v>48</v>
      </c>
      <c r="U225">
        <v>51</v>
      </c>
      <c r="W225">
        <v>49.09</v>
      </c>
      <c r="X225">
        <v>49.4</v>
      </c>
      <c r="Y225">
        <v>41.1</v>
      </c>
      <c r="Z225">
        <v>50.5</v>
      </c>
      <c r="AB225">
        <v>51.4</v>
      </c>
      <c r="AC225">
        <v>48.8</v>
      </c>
      <c r="AD225">
        <v>52.5</v>
      </c>
    </row>
    <row r="226" spans="1:31" x14ac:dyDescent="0.2">
      <c r="A226" s="18">
        <v>41091</v>
      </c>
      <c r="B226">
        <v>40.299999999999997</v>
      </c>
      <c r="C226">
        <v>48.7</v>
      </c>
      <c r="D226">
        <v>53</v>
      </c>
      <c r="E226">
        <v>49.5</v>
      </c>
      <c r="F226">
        <v>47.21</v>
      </c>
      <c r="G226">
        <v>44</v>
      </c>
      <c r="H226">
        <v>43.4</v>
      </c>
      <c r="I226">
        <v>43</v>
      </c>
      <c r="J226">
        <v>48.8</v>
      </c>
      <c r="K226">
        <v>41.9</v>
      </c>
      <c r="L226">
        <v>50.3</v>
      </c>
      <c r="M226">
        <v>52.9</v>
      </c>
      <c r="N226">
        <v>51.3</v>
      </c>
      <c r="O226">
        <v>53.9</v>
      </c>
      <c r="P226">
        <v>44.3</v>
      </c>
      <c r="Q226">
        <v>52</v>
      </c>
      <c r="R226">
        <v>55.2</v>
      </c>
      <c r="S226">
        <v>49.600935432835399</v>
      </c>
      <c r="T226">
        <v>49.7</v>
      </c>
      <c r="U226">
        <v>52</v>
      </c>
      <c r="W226">
        <v>51.13</v>
      </c>
      <c r="X226">
        <v>47.2</v>
      </c>
      <c r="Y226">
        <v>42.3</v>
      </c>
      <c r="Z226">
        <v>49.2</v>
      </c>
      <c r="AB226">
        <v>49.4</v>
      </c>
      <c r="AC226">
        <v>45.5</v>
      </c>
      <c r="AD226">
        <v>51.4</v>
      </c>
      <c r="AE226">
        <v>43.6</v>
      </c>
    </row>
    <row r="227" spans="1:31" x14ac:dyDescent="0.2">
      <c r="A227" s="18">
        <v>41122</v>
      </c>
      <c r="B227">
        <v>45.3</v>
      </c>
      <c r="C227">
        <v>49.3</v>
      </c>
      <c r="D227">
        <v>53</v>
      </c>
      <c r="E227">
        <v>48.7</v>
      </c>
      <c r="F227">
        <v>51.06</v>
      </c>
      <c r="G227">
        <v>45.1</v>
      </c>
      <c r="H227">
        <v>46</v>
      </c>
      <c r="I227">
        <v>44.7</v>
      </c>
      <c r="J227">
        <v>48.7</v>
      </c>
      <c r="K227">
        <v>42.1</v>
      </c>
      <c r="L227">
        <v>50.5</v>
      </c>
      <c r="M227">
        <v>52.8</v>
      </c>
      <c r="N227">
        <v>51.4</v>
      </c>
      <c r="O227">
        <v>50.9</v>
      </c>
      <c r="P227">
        <v>43.6</v>
      </c>
      <c r="Q227">
        <v>52.1</v>
      </c>
      <c r="R227">
        <v>55.1</v>
      </c>
      <c r="S227">
        <v>47.429094831237798</v>
      </c>
      <c r="T227">
        <v>48.3</v>
      </c>
      <c r="U227">
        <v>51</v>
      </c>
      <c r="W227">
        <v>49.56</v>
      </c>
      <c r="X227">
        <v>47.5</v>
      </c>
      <c r="Y227">
        <v>44</v>
      </c>
      <c r="Z227">
        <v>47.5</v>
      </c>
      <c r="AB227">
        <v>50</v>
      </c>
      <c r="AC227">
        <v>49.1</v>
      </c>
      <c r="AD227">
        <v>51.5</v>
      </c>
      <c r="AE227">
        <v>47.9</v>
      </c>
    </row>
    <row r="228" spans="1:31" x14ac:dyDescent="0.2">
      <c r="A228" s="18">
        <v>41153</v>
      </c>
      <c r="B228">
        <v>44.1</v>
      </c>
      <c r="C228">
        <v>49.8</v>
      </c>
      <c r="D228">
        <v>52.4</v>
      </c>
      <c r="E228">
        <v>48</v>
      </c>
      <c r="F228">
        <v>52.09</v>
      </c>
      <c r="G228">
        <v>46.1</v>
      </c>
      <c r="H228">
        <v>42.7</v>
      </c>
      <c r="I228">
        <v>47.4</v>
      </c>
      <c r="J228">
        <v>48.7</v>
      </c>
      <c r="K228">
        <v>42.2</v>
      </c>
      <c r="L228">
        <v>49.6</v>
      </c>
      <c r="M228">
        <v>52.8</v>
      </c>
      <c r="N228">
        <v>51.6</v>
      </c>
      <c r="O228">
        <v>51.8</v>
      </c>
      <c r="P228">
        <v>45.7</v>
      </c>
      <c r="Q228">
        <v>48</v>
      </c>
      <c r="R228">
        <v>54.4</v>
      </c>
      <c r="S228">
        <v>48.448709339422898</v>
      </c>
      <c r="T228">
        <v>47</v>
      </c>
      <c r="U228">
        <v>52.4</v>
      </c>
      <c r="W228">
        <v>48.42</v>
      </c>
      <c r="X228">
        <v>45.7</v>
      </c>
      <c r="Y228">
        <v>44.5</v>
      </c>
      <c r="Z228">
        <v>46.1</v>
      </c>
      <c r="AB228">
        <v>52.2</v>
      </c>
      <c r="AC228">
        <v>48.2</v>
      </c>
      <c r="AD228">
        <v>51.1</v>
      </c>
      <c r="AE228">
        <v>49.2</v>
      </c>
    </row>
    <row r="229" spans="1:31" x14ac:dyDescent="0.2">
      <c r="A229" s="18">
        <v>41183</v>
      </c>
      <c r="B229">
        <v>45.2</v>
      </c>
      <c r="C229">
        <v>50.2</v>
      </c>
      <c r="D229">
        <v>51.4</v>
      </c>
      <c r="E229">
        <v>47.2</v>
      </c>
      <c r="F229">
        <v>57.41</v>
      </c>
      <c r="G229">
        <v>45.4</v>
      </c>
      <c r="H229">
        <v>43.7</v>
      </c>
      <c r="I229">
        <v>46</v>
      </c>
      <c r="J229">
        <v>48.9</v>
      </c>
      <c r="K229">
        <v>41</v>
      </c>
      <c r="L229">
        <v>50.5</v>
      </c>
      <c r="M229">
        <v>52.9</v>
      </c>
      <c r="N229">
        <v>50.5</v>
      </c>
      <c r="O229">
        <v>52.1</v>
      </c>
      <c r="P229">
        <v>45.5</v>
      </c>
      <c r="Q229">
        <v>46.9</v>
      </c>
      <c r="R229">
        <v>55.5</v>
      </c>
      <c r="S229">
        <v>51.316273938764503</v>
      </c>
      <c r="T229">
        <v>47.3</v>
      </c>
      <c r="U229">
        <v>52.9</v>
      </c>
      <c r="W229">
        <v>48.23</v>
      </c>
      <c r="X229">
        <v>47.4</v>
      </c>
      <c r="Y229">
        <v>43.5</v>
      </c>
      <c r="Z229">
        <v>45.6</v>
      </c>
      <c r="AB229">
        <v>52.5</v>
      </c>
      <c r="AC229">
        <v>48</v>
      </c>
      <c r="AD229">
        <v>51</v>
      </c>
      <c r="AE229">
        <v>48.7</v>
      </c>
    </row>
    <row r="230" spans="1:31" x14ac:dyDescent="0.2">
      <c r="A230" s="18">
        <v>41214</v>
      </c>
      <c r="B230">
        <v>43.6</v>
      </c>
      <c r="C230">
        <v>52.2</v>
      </c>
      <c r="D230">
        <v>50.4</v>
      </c>
      <c r="E230">
        <v>48.2</v>
      </c>
      <c r="F230">
        <v>56.29</v>
      </c>
      <c r="G230">
        <v>46.2</v>
      </c>
      <c r="H230">
        <v>44.5</v>
      </c>
      <c r="I230">
        <v>46.8</v>
      </c>
      <c r="J230">
        <v>49.6</v>
      </c>
      <c r="K230">
        <v>41.8</v>
      </c>
      <c r="L230">
        <v>52.2</v>
      </c>
      <c r="M230">
        <v>53.7</v>
      </c>
      <c r="N230">
        <v>51.9</v>
      </c>
      <c r="O230">
        <v>52.4</v>
      </c>
      <c r="P230">
        <v>45.1</v>
      </c>
      <c r="Q230">
        <v>46.5</v>
      </c>
      <c r="R230">
        <v>55.6</v>
      </c>
      <c r="S230">
        <v>50.803170950440403</v>
      </c>
      <c r="T230">
        <v>48.2</v>
      </c>
      <c r="U230">
        <v>52.2</v>
      </c>
      <c r="W230">
        <v>49.15</v>
      </c>
      <c r="X230">
        <v>48.2</v>
      </c>
      <c r="Y230">
        <v>45.3</v>
      </c>
      <c r="Z230">
        <v>47.8</v>
      </c>
      <c r="AB230">
        <v>51.6</v>
      </c>
      <c r="AC230">
        <v>48.4</v>
      </c>
      <c r="AD230">
        <v>52.8</v>
      </c>
      <c r="AE230">
        <v>50.5</v>
      </c>
    </row>
    <row r="231" spans="1:31" x14ac:dyDescent="0.2">
      <c r="A231" s="18">
        <v>41244</v>
      </c>
      <c r="B231">
        <v>44.3</v>
      </c>
      <c r="C231">
        <v>51.1</v>
      </c>
      <c r="D231">
        <v>50.4</v>
      </c>
      <c r="E231">
        <v>46</v>
      </c>
      <c r="F231">
        <v>57.62</v>
      </c>
      <c r="G231">
        <v>46.1</v>
      </c>
      <c r="H231">
        <v>44.6</v>
      </c>
      <c r="I231">
        <v>46</v>
      </c>
      <c r="J231">
        <v>50</v>
      </c>
      <c r="K231">
        <v>41.4</v>
      </c>
      <c r="L231">
        <v>51.7</v>
      </c>
      <c r="M231">
        <v>54.7</v>
      </c>
      <c r="N231">
        <v>51.5</v>
      </c>
      <c r="O231">
        <v>51.4</v>
      </c>
      <c r="P231">
        <v>46.7</v>
      </c>
      <c r="Q231">
        <v>45</v>
      </c>
      <c r="R231">
        <v>57.1</v>
      </c>
      <c r="S231">
        <v>50.176098211716898</v>
      </c>
      <c r="T231">
        <v>48.3</v>
      </c>
      <c r="U231">
        <v>50</v>
      </c>
      <c r="W231">
        <v>48.92</v>
      </c>
      <c r="X231">
        <v>50.1</v>
      </c>
      <c r="Y231">
        <v>44.6</v>
      </c>
      <c r="Z231">
        <v>47.4</v>
      </c>
      <c r="AB231">
        <v>53.1</v>
      </c>
      <c r="AC231">
        <v>50.7</v>
      </c>
      <c r="AD231">
        <v>54</v>
      </c>
      <c r="AE231">
        <v>49.3</v>
      </c>
    </row>
    <row r="232" spans="1:31" x14ac:dyDescent="0.2">
      <c r="A232" s="18">
        <v>41275</v>
      </c>
      <c r="B232">
        <v>40.200000000000003</v>
      </c>
      <c r="C232">
        <v>53.2</v>
      </c>
      <c r="D232">
        <v>50.5</v>
      </c>
      <c r="E232">
        <v>48.3</v>
      </c>
      <c r="F232">
        <v>55.27</v>
      </c>
      <c r="G232">
        <v>47.9</v>
      </c>
      <c r="H232">
        <v>42.9</v>
      </c>
      <c r="I232">
        <v>49.8</v>
      </c>
      <c r="J232">
        <v>51.5</v>
      </c>
      <c r="K232">
        <v>41.7</v>
      </c>
      <c r="L232">
        <v>52.5</v>
      </c>
      <c r="M232">
        <v>53.2</v>
      </c>
      <c r="N232">
        <v>49.7</v>
      </c>
      <c r="O232">
        <v>50.3</v>
      </c>
      <c r="P232">
        <v>47.8</v>
      </c>
      <c r="Q232">
        <v>47.7</v>
      </c>
      <c r="R232">
        <v>55</v>
      </c>
      <c r="S232">
        <v>55.650680223541102</v>
      </c>
      <c r="T232">
        <v>48.6</v>
      </c>
      <c r="U232">
        <v>52</v>
      </c>
      <c r="W232">
        <v>49.08</v>
      </c>
      <c r="X232">
        <v>49.9</v>
      </c>
      <c r="Y232">
        <v>46.1</v>
      </c>
      <c r="Z232">
        <v>51.5</v>
      </c>
      <c r="AB232">
        <v>54</v>
      </c>
      <c r="AC232">
        <v>50.9</v>
      </c>
      <c r="AD232">
        <v>55.8</v>
      </c>
      <c r="AE232">
        <v>50.1</v>
      </c>
    </row>
    <row r="233" spans="1:31" x14ac:dyDescent="0.2">
      <c r="A233" s="18">
        <v>41306</v>
      </c>
      <c r="B233">
        <v>45.6</v>
      </c>
      <c r="C233">
        <v>52.5</v>
      </c>
      <c r="D233">
        <v>51.7</v>
      </c>
      <c r="E233">
        <v>49.9</v>
      </c>
      <c r="F233">
        <v>61.23</v>
      </c>
      <c r="G233">
        <v>47.9</v>
      </c>
      <c r="H233">
        <v>43.9</v>
      </c>
      <c r="I233">
        <v>50.3</v>
      </c>
      <c r="J233">
        <v>50.9</v>
      </c>
      <c r="K233">
        <v>43</v>
      </c>
      <c r="L233">
        <v>51.2</v>
      </c>
      <c r="M233">
        <v>54.2</v>
      </c>
      <c r="N233">
        <v>50.5</v>
      </c>
      <c r="O233">
        <v>51.5</v>
      </c>
      <c r="P233">
        <v>45.8</v>
      </c>
      <c r="Q233">
        <v>48.5</v>
      </c>
      <c r="R233">
        <v>53.4</v>
      </c>
      <c r="S233">
        <v>55.210349982691298</v>
      </c>
      <c r="T233">
        <v>48.9</v>
      </c>
      <c r="U233">
        <v>52</v>
      </c>
      <c r="W233">
        <v>51.42</v>
      </c>
      <c r="X233">
        <v>50.9</v>
      </c>
      <c r="Y233">
        <v>46.8</v>
      </c>
      <c r="Z233">
        <v>51.5</v>
      </c>
      <c r="AB233">
        <v>53.5</v>
      </c>
      <c r="AC233">
        <v>48.2</v>
      </c>
      <c r="AD233">
        <v>54.3</v>
      </c>
      <c r="AE233">
        <v>48.3</v>
      </c>
    </row>
    <row r="234" spans="1:31" x14ac:dyDescent="0.2">
      <c r="A234" s="18">
        <v>41334</v>
      </c>
      <c r="B234">
        <v>44.4</v>
      </c>
      <c r="C234">
        <v>51.8</v>
      </c>
      <c r="D234">
        <v>49.3</v>
      </c>
      <c r="E234">
        <v>49.1</v>
      </c>
      <c r="F234">
        <v>49.81</v>
      </c>
      <c r="G234">
        <v>46.8</v>
      </c>
      <c r="H234">
        <v>44</v>
      </c>
      <c r="I234">
        <v>49</v>
      </c>
      <c r="J234">
        <v>51.2</v>
      </c>
      <c r="K234">
        <v>42.1</v>
      </c>
      <c r="L234">
        <v>50.5</v>
      </c>
      <c r="M234">
        <v>52</v>
      </c>
      <c r="N234">
        <v>51.3</v>
      </c>
      <c r="O234">
        <v>48.6</v>
      </c>
      <c r="P234">
        <v>44.5</v>
      </c>
      <c r="Q234">
        <v>50.4</v>
      </c>
      <c r="R234">
        <v>52.2</v>
      </c>
      <c r="S234">
        <v>52.7071688076255</v>
      </c>
      <c r="T234">
        <v>48</v>
      </c>
      <c r="U234">
        <v>50.8</v>
      </c>
      <c r="W234">
        <v>49.04</v>
      </c>
      <c r="X234">
        <v>52</v>
      </c>
      <c r="Y234">
        <v>44.2</v>
      </c>
      <c r="Z234">
        <v>50.2</v>
      </c>
      <c r="AB234">
        <v>52.3</v>
      </c>
      <c r="AC234">
        <v>49.3</v>
      </c>
      <c r="AD234">
        <v>54.6</v>
      </c>
      <c r="AE234">
        <v>48.8</v>
      </c>
    </row>
    <row r="235" spans="1:31" x14ac:dyDescent="0.2">
      <c r="A235" s="18">
        <v>41365</v>
      </c>
      <c r="B235">
        <v>36.700000000000003</v>
      </c>
      <c r="C235">
        <v>50.8</v>
      </c>
      <c r="D235">
        <v>50.1</v>
      </c>
      <c r="E235">
        <v>49.5</v>
      </c>
      <c r="F235">
        <v>49.29</v>
      </c>
      <c r="G235">
        <v>46.7</v>
      </c>
      <c r="H235">
        <v>44.4</v>
      </c>
      <c r="I235">
        <v>48.1</v>
      </c>
      <c r="J235">
        <v>50.4</v>
      </c>
      <c r="K235">
        <v>45</v>
      </c>
      <c r="L235">
        <v>49.9</v>
      </c>
      <c r="M235">
        <v>51</v>
      </c>
      <c r="N235">
        <v>51.7</v>
      </c>
      <c r="O235">
        <v>48</v>
      </c>
      <c r="P235">
        <v>45.5</v>
      </c>
      <c r="Q235">
        <v>51.1</v>
      </c>
      <c r="R235">
        <v>51.7</v>
      </c>
      <c r="S235">
        <v>56.120859261244199</v>
      </c>
      <c r="T235">
        <v>48</v>
      </c>
      <c r="U235">
        <v>50.6</v>
      </c>
      <c r="W235">
        <v>49.8</v>
      </c>
      <c r="X235">
        <v>52.6</v>
      </c>
      <c r="Y235">
        <v>44.7</v>
      </c>
      <c r="Z235">
        <v>51.2</v>
      </c>
      <c r="AB235">
        <v>51.3</v>
      </c>
      <c r="AC235">
        <v>50.6</v>
      </c>
      <c r="AD235">
        <v>52.1</v>
      </c>
      <c r="AE235">
        <v>51</v>
      </c>
    </row>
    <row r="236" spans="1:31" x14ac:dyDescent="0.2">
      <c r="A236" s="18">
        <v>41395</v>
      </c>
      <c r="B236">
        <v>43.8</v>
      </c>
      <c r="C236">
        <v>50.4</v>
      </c>
      <c r="D236">
        <v>53.2</v>
      </c>
      <c r="E236">
        <v>50.1</v>
      </c>
      <c r="F236">
        <v>54.75</v>
      </c>
      <c r="G236">
        <v>48.3</v>
      </c>
      <c r="H236">
        <v>46.4</v>
      </c>
      <c r="I236">
        <v>49.4</v>
      </c>
      <c r="J236">
        <v>50.6</v>
      </c>
      <c r="K236">
        <v>45.3</v>
      </c>
      <c r="L236">
        <v>49.8</v>
      </c>
      <c r="M236">
        <v>50.1</v>
      </c>
      <c r="N236">
        <v>51.6</v>
      </c>
      <c r="O236">
        <v>49.7</v>
      </c>
      <c r="P236">
        <v>47.3</v>
      </c>
      <c r="Q236">
        <v>51.5</v>
      </c>
      <c r="R236">
        <v>51.8</v>
      </c>
      <c r="S236">
        <v>59.073750840452703</v>
      </c>
      <c r="T236">
        <v>46.9</v>
      </c>
      <c r="U236">
        <v>50.4</v>
      </c>
      <c r="W236">
        <v>50.21</v>
      </c>
      <c r="X236">
        <v>51.1</v>
      </c>
      <c r="Y236">
        <v>48.1</v>
      </c>
      <c r="Z236">
        <v>50.7</v>
      </c>
      <c r="AB236">
        <v>51.1</v>
      </c>
      <c r="AC236">
        <v>52.1</v>
      </c>
      <c r="AD236">
        <v>52.3</v>
      </c>
      <c r="AE236">
        <v>48.8</v>
      </c>
    </row>
    <row r="237" spans="1:31" x14ac:dyDescent="0.2">
      <c r="A237" s="18">
        <v>41426</v>
      </c>
      <c r="B237">
        <v>49.6</v>
      </c>
      <c r="C237">
        <v>50.4</v>
      </c>
      <c r="D237">
        <v>52.4</v>
      </c>
      <c r="E237">
        <v>51</v>
      </c>
      <c r="F237">
        <v>57.73</v>
      </c>
      <c r="G237">
        <v>48.8</v>
      </c>
      <c r="H237">
        <v>48.4</v>
      </c>
      <c r="I237">
        <v>48.6</v>
      </c>
      <c r="J237">
        <v>50.6</v>
      </c>
      <c r="K237">
        <v>45.4</v>
      </c>
      <c r="L237">
        <v>48.7</v>
      </c>
      <c r="M237">
        <v>50.3</v>
      </c>
      <c r="N237">
        <v>51</v>
      </c>
      <c r="O237">
        <v>50.3</v>
      </c>
      <c r="P237">
        <v>49.1</v>
      </c>
      <c r="Q237">
        <v>52.3</v>
      </c>
      <c r="R237">
        <v>51.3</v>
      </c>
      <c r="S237">
        <v>55.0752933288219</v>
      </c>
      <c r="T237">
        <v>48</v>
      </c>
      <c r="U237">
        <v>51.7</v>
      </c>
      <c r="W237">
        <v>51.96</v>
      </c>
      <c r="X237">
        <v>49.4</v>
      </c>
      <c r="Y237">
        <v>50</v>
      </c>
      <c r="Z237">
        <v>47.1</v>
      </c>
      <c r="AB237">
        <v>51.2</v>
      </c>
      <c r="AC237">
        <v>53</v>
      </c>
      <c r="AD237">
        <v>51.9</v>
      </c>
      <c r="AE237">
        <v>51</v>
      </c>
    </row>
    <row r="238" spans="1:31" x14ac:dyDescent="0.2">
      <c r="A238" s="18">
        <v>41456</v>
      </c>
      <c r="B238">
        <v>42</v>
      </c>
      <c r="C238">
        <v>48.5</v>
      </c>
      <c r="D238">
        <v>52</v>
      </c>
      <c r="E238">
        <v>52</v>
      </c>
      <c r="F238">
        <v>59.18</v>
      </c>
      <c r="G238">
        <v>50.3</v>
      </c>
      <c r="H238">
        <v>49.7</v>
      </c>
      <c r="I238">
        <v>50.7</v>
      </c>
      <c r="J238">
        <v>50.8</v>
      </c>
      <c r="K238">
        <v>47</v>
      </c>
      <c r="L238">
        <v>49.7</v>
      </c>
      <c r="M238">
        <v>50.1</v>
      </c>
      <c r="N238">
        <v>50.7</v>
      </c>
      <c r="O238">
        <v>51</v>
      </c>
      <c r="P238">
        <v>50.4</v>
      </c>
      <c r="Q238">
        <v>50.7</v>
      </c>
      <c r="R238">
        <v>49.7</v>
      </c>
      <c r="S238">
        <v>60.261392032361201</v>
      </c>
      <c r="T238">
        <v>49.3</v>
      </c>
      <c r="U238">
        <v>49.2</v>
      </c>
      <c r="W238">
        <v>52.15</v>
      </c>
      <c r="X238">
        <v>47.2</v>
      </c>
      <c r="Y238">
        <v>49.8</v>
      </c>
      <c r="Z238">
        <v>49.5</v>
      </c>
      <c r="AB238">
        <v>49.8</v>
      </c>
      <c r="AC238">
        <v>54.7</v>
      </c>
      <c r="AD238">
        <v>53.7</v>
      </c>
      <c r="AE238">
        <v>46.4</v>
      </c>
    </row>
    <row r="239" spans="1:31" x14ac:dyDescent="0.2">
      <c r="A239" s="18">
        <v>41487</v>
      </c>
      <c r="B239">
        <v>46.4</v>
      </c>
      <c r="C239">
        <v>49.4</v>
      </c>
      <c r="D239">
        <v>52.1</v>
      </c>
      <c r="E239">
        <v>53.9</v>
      </c>
      <c r="F239">
        <v>60.29</v>
      </c>
      <c r="G239">
        <v>51.4</v>
      </c>
      <c r="H239">
        <v>49.7</v>
      </c>
      <c r="I239">
        <v>51.8</v>
      </c>
      <c r="J239">
        <v>51.6</v>
      </c>
      <c r="K239">
        <v>48.7</v>
      </c>
      <c r="L239">
        <v>49.7</v>
      </c>
      <c r="M239">
        <v>48.5</v>
      </c>
      <c r="N239">
        <v>48.5</v>
      </c>
      <c r="O239">
        <v>52</v>
      </c>
      <c r="P239">
        <v>51.3</v>
      </c>
      <c r="Q239">
        <v>52.2</v>
      </c>
      <c r="R239">
        <v>50.8</v>
      </c>
      <c r="S239">
        <v>56.723185987861498</v>
      </c>
      <c r="T239">
        <v>51.1</v>
      </c>
      <c r="U239">
        <v>49.4</v>
      </c>
      <c r="W239">
        <v>55.26</v>
      </c>
      <c r="X239">
        <v>47.5</v>
      </c>
      <c r="Y239">
        <v>51.1</v>
      </c>
      <c r="Z239">
        <v>48.6</v>
      </c>
      <c r="AB239">
        <v>50.9</v>
      </c>
      <c r="AC239">
        <v>57.3</v>
      </c>
      <c r="AD239">
        <v>53.7</v>
      </c>
      <c r="AE239">
        <v>48.5</v>
      </c>
    </row>
    <row r="240" spans="1:31" x14ac:dyDescent="0.2">
      <c r="A240" s="18">
        <v>41518</v>
      </c>
      <c r="B240">
        <v>51.7</v>
      </c>
      <c r="C240">
        <v>49.9</v>
      </c>
      <c r="D240">
        <v>54.2</v>
      </c>
      <c r="E240">
        <v>53.4</v>
      </c>
      <c r="F240">
        <v>55.74</v>
      </c>
      <c r="G240">
        <v>51.1</v>
      </c>
      <c r="H240">
        <v>49.8</v>
      </c>
      <c r="I240">
        <v>51.1</v>
      </c>
      <c r="J240">
        <v>51.8</v>
      </c>
      <c r="K240">
        <v>47.5</v>
      </c>
      <c r="L240">
        <v>50</v>
      </c>
      <c r="M240">
        <v>49.6</v>
      </c>
      <c r="N240">
        <v>50.2</v>
      </c>
      <c r="O240">
        <v>52.7</v>
      </c>
      <c r="P240">
        <v>50.8</v>
      </c>
      <c r="Q240">
        <v>52.5</v>
      </c>
      <c r="R240">
        <v>50</v>
      </c>
      <c r="S240">
        <v>52.7868939881118</v>
      </c>
      <c r="T240">
        <v>52.6</v>
      </c>
      <c r="U240">
        <v>49.4</v>
      </c>
      <c r="W240">
        <v>49.43</v>
      </c>
      <c r="X240">
        <v>49.7</v>
      </c>
      <c r="Y240">
        <v>50.7</v>
      </c>
      <c r="Z240">
        <v>50</v>
      </c>
      <c r="AB240">
        <v>54</v>
      </c>
      <c r="AC240">
        <v>56.7</v>
      </c>
      <c r="AD240">
        <v>52.8</v>
      </c>
      <c r="AE240">
        <v>51.5</v>
      </c>
    </row>
    <row r="241" spans="1:31" x14ac:dyDescent="0.2">
      <c r="A241" s="18">
        <v>41548</v>
      </c>
      <c r="B241">
        <v>53.2</v>
      </c>
      <c r="C241">
        <v>50.2</v>
      </c>
      <c r="D241">
        <v>55.6</v>
      </c>
      <c r="E241">
        <v>54.5</v>
      </c>
      <c r="F241">
        <v>55.71</v>
      </c>
      <c r="G241">
        <v>51.3</v>
      </c>
      <c r="H241">
        <v>49.1</v>
      </c>
      <c r="I241">
        <v>51.7</v>
      </c>
      <c r="J241">
        <v>52.1</v>
      </c>
      <c r="K241">
        <v>47.3</v>
      </c>
      <c r="L241">
        <v>50.1</v>
      </c>
      <c r="M241">
        <v>49.6</v>
      </c>
      <c r="N241">
        <v>50.9</v>
      </c>
      <c r="O241">
        <v>54.9</v>
      </c>
      <c r="P241">
        <v>50.7</v>
      </c>
      <c r="Q241">
        <v>54.2</v>
      </c>
      <c r="R241">
        <v>50.2</v>
      </c>
      <c r="S241">
        <v>55.491851126124203</v>
      </c>
      <c r="T241">
        <v>53.4</v>
      </c>
      <c r="U241">
        <v>51.8</v>
      </c>
      <c r="W241">
        <v>51.43</v>
      </c>
      <c r="X241">
        <v>50.2</v>
      </c>
      <c r="Y241">
        <v>50.9</v>
      </c>
      <c r="Z241">
        <v>52</v>
      </c>
      <c r="AB241">
        <v>53.3</v>
      </c>
      <c r="AC241">
        <v>56.5</v>
      </c>
      <c r="AD241">
        <v>51.8</v>
      </c>
      <c r="AE241">
        <v>51.5</v>
      </c>
    </row>
    <row r="242" spans="1:31" x14ac:dyDescent="0.2">
      <c r="A242" s="18">
        <v>41579</v>
      </c>
      <c r="B242">
        <v>47.7</v>
      </c>
      <c r="C242">
        <v>49.7</v>
      </c>
      <c r="D242">
        <v>55.3</v>
      </c>
      <c r="E242">
        <v>55.4</v>
      </c>
      <c r="F242">
        <v>57.85</v>
      </c>
      <c r="G242">
        <v>51.6</v>
      </c>
      <c r="H242">
        <v>48.4</v>
      </c>
      <c r="I242">
        <v>52.7</v>
      </c>
      <c r="J242">
        <v>53.1</v>
      </c>
      <c r="K242">
        <v>49.2</v>
      </c>
      <c r="L242">
        <v>52.1</v>
      </c>
      <c r="M242">
        <v>51.3</v>
      </c>
      <c r="N242">
        <v>50.3</v>
      </c>
      <c r="O242">
        <v>52.4</v>
      </c>
      <c r="P242">
        <v>51.4</v>
      </c>
      <c r="Q242">
        <v>55.1</v>
      </c>
      <c r="R242">
        <v>51.9</v>
      </c>
      <c r="S242">
        <v>57.389922652514898</v>
      </c>
      <c r="T242">
        <v>54.4</v>
      </c>
      <c r="U242">
        <v>49.4</v>
      </c>
      <c r="W242">
        <v>52</v>
      </c>
      <c r="X242">
        <v>50.4</v>
      </c>
      <c r="Y242">
        <v>48.6</v>
      </c>
      <c r="Z242">
        <v>53</v>
      </c>
      <c r="AB242">
        <v>55</v>
      </c>
      <c r="AC242">
        <v>58.1</v>
      </c>
      <c r="AD242">
        <v>54.7</v>
      </c>
      <c r="AE242">
        <v>50.3</v>
      </c>
    </row>
    <row r="243" spans="1:31" x14ac:dyDescent="0.2">
      <c r="A243" s="18">
        <v>41609</v>
      </c>
      <c r="B243">
        <v>47.6</v>
      </c>
      <c r="C243">
        <v>50.5</v>
      </c>
      <c r="D243">
        <v>53.5</v>
      </c>
      <c r="E243">
        <v>54.9</v>
      </c>
      <c r="F243">
        <v>53.45</v>
      </c>
      <c r="G243">
        <v>52.7</v>
      </c>
      <c r="H243">
        <v>47</v>
      </c>
      <c r="I243">
        <v>54.3</v>
      </c>
      <c r="J243">
        <v>53.3</v>
      </c>
      <c r="K243">
        <v>49.6</v>
      </c>
      <c r="L243">
        <v>51.2</v>
      </c>
      <c r="M243">
        <v>50.7</v>
      </c>
      <c r="N243">
        <v>50.9</v>
      </c>
      <c r="O243">
        <v>53.5</v>
      </c>
      <c r="P243">
        <v>53.3</v>
      </c>
      <c r="Q243">
        <v>55.2</v>
      </c>
      <c r="R243">
        <v>52.6</v>
      </c>
      <c r="S243">
        <v>55.724521077420903</v>
      </c>
      <c r="T243">
        <v>53.2</v>
      </c>
      <c r="U243">
        <v>48.8</v>
      </c>
      <c r="W243">
        <v>51</v>
      </c>
      <c r="X243">
        <v>50.8</v>
      </c>
      <c r="Y243">
        <v>50.8</v>
      </c>
      <c r="Z243">
        <v>53.4</v>
      </c>
      <c r="AB243">
        <v>53.5</v>
      </c>
      <c r="AC243">
        <v>57.3</v>
      </c>
      <c r="AD243">
        <v>55</v>
      </c>
      <c r="AE243">
        <v>51.8</v>
      </c>
    </row>
    <row r="244" spans="1:31" x14ac:dyDescent="0.2">
      <c r="A244" s="18">
        <v>41640</v>
      </c>
      <c r="B244">
        <v>46.7</v>
      </c>
      <c r="C244">
        <v>51.7</v>
      </c>
      <c r="D244">
        <v>51.7</v>
      </c>
      <c r="E244">
        <v>55.9</v>
      </c>
      <c r="F244">
        <v>55.6</v>
      </c>
      <c r="G244">
        <v>54</v>
      </c>
      <c r="H244">
        <v>49.3</v>
      </c>
      <c r="I244">
        <v>56.6</v>
      </c>
      <c r="J244">
        <v>52.9</v>
      </c>
      <c r="K244">
        <v>51.2</v>
      </c>
      <c r="L244">
        <v>52.7</v>
      </c>
      <c r="M244">
        <v>51.4</v>
      </c>
      <c r="N244">
        <v>51</v>
      </c>
      <c r="O244">
        <v>52.8</v>
      </c>
      <c r="P244">
        <v>53.1</v>
      </c>
      <c r="Q244">
        <v>56.6</v>
      </c>
      <c r="R244">
        <v>54</v>
      </c>
      <c r="S244">
        <v>57.197211909594103</v>
      </c>
      <c r="T244">
        <v>55.4</v>
      </c>
      <c r="U244">
        <v>48</v>
      </c>
      <c r="W244">
        <v>49.96</v>
      </c>
      <c r="X244">
        <v>50.9</v>
      </c>
      <c r="Y244">
        <v>52.2</v>
      </c>
      <c r="Z244">
        <v>55.5</v>
      </c>
      <c r="AB244">
        <v>52.7</v>
      </c>
      <c r="AC244">
        <v>56.7</v>
      </c>
      <c r="AD244">
        <v>53.7</v>
      </c>
      <c r="AE244">
        <v>52.1</v>
      </c>
    </row>
    <row r="245" spans="1:31" x14ac:dyDescent="0.2">
      <c r="A245" s="18">
        <v>41671</v>
      </c>
      <c r="B245">
        <v>48.6</v>
      </c>
      <c r="C245">
        <v>50.4</v>
      </c>
      <c r="D245">
        <v>52.9</v>
      </c>
      <c r="E245">
        <v>56.5</v>
      </c>
      <c r="F245">
        <v>56.77</v>
      </c>
      <c r="G245">
        <v>53.2</v>
      </c>
      <c r="H245">
        <v>49.7</v>
      </c>
      <c r="I245">
        <v>54.8</v>
      </c>
      <c r="J245">
        <v>53.3</v>
      </c>
      <c r="K245">
        <v>51.3</v>
      </c>
      <c r="L245">
        <v>53.3</v>
      </c>
      <c r="M245">
        <v>52.5</v>
      </c>
      <c r="N245">
        <v>50.5</v>
      </c>
      <c r="O245">
        <v>52.9</v>
      </c>
      <c r="P245">
        <v>52.3</v>
      </c>
      <c r="Q245">
        <v>55.5</v>
      </c>
      <c r="R245">
        <v>52</v>
      </c>
      <c r="S245">
        <v>56.026127287725103</v>
      </c>
      <c r="T245">
        <v>55.9</v>
      </c>
      <c r="U245">
        <v>48.5</v>
      </c>
      <c r="W245">
        <v>50.69</v>
      </c>
      <c r="X245">
        <v>49.8</v>
      </c>
      <c r="Y245">
        <v>52.5</v>
      </c>
      <c r="Z245">
        <v>54.7</v>
      </c>
      <c r="AB245">
        <v>53.4</v>
      </c>
      <c r="AC245">
        <v>56.9</v>
      </c>
      <c r="AD245">
        <v>57.1</v>
      </c>
      <c r="AE245">
        <v>51</v>
      </c>
    </row>
    <row r="246" spans="1:31" x14ac:dyDescent="0.2">
      <c r="A246" s="18">
        <v>41699</v>
      </c>
      <c r="B246">
        <v>49.7</v>
      </c>
      <c r="C246">
        <v>50.6</v>
      </c>
      <c r="D246">
        <v>53.3</v>
      </c>
      <c r="E246">
        <v>55.5</v>
      </c>
      <c r="F246">
        <v>60.3</v>
      </c>
      <c r="G246">
        <v>53</v>
      </c>
      <c r="H246">
        <v>52.1</v>
      </c>
      <c r="I246">
        <v>53.7</v>
      </c>
      <c r="J246">
        <v>52.4</v>
      </c>
      <c r="K246">
        <v>49.7</v>
      </c>
      <c r="L246">
        <v>49.9</v>
      </c>
      <c r="M246">
        <v>51.3</v>
      </c>
      <c r="N246">
        <v>50.1</v>
      </c>
      <c r="O246">
        <v>55.5</v>
      </c>
      <c r="P246">
        <v>52.4</v>
      </c>
      <c r="Q246">
        <v>53.9</v>
      </c>
      <c r="R246">
        <v>51.7</v>
      </c>
      <c r="S246">
        <v>57.951243871749298</v>
      </c>
      <c r="T246">
        <v>54</v>
      </c>
      <c r="U246">
        <v>48.3</v>
      </c>
      <c r="W246">
        <v>50.29</v>
      </c>
      <c r="X246">
        <v>50.4</v>
      </c>
      <c r="Y246">
        <v>52.8</v>
      </c>
      <c r="Z246">
        <v>52.7</v>
      </c>
      <c r="AB246">
        <v>51.7</v>
      </c>
      <c r="AC246">
        <v>55.3</v>
      </c>
      <c r="AD246">
        <v>55.5</v>
      </c>
      <c r="AE246">
        <v>51.3</v>
      </c>
    </row>
    <row r="247" spans="1:31" x14ac:dyDescent="0.2">
      <c r="A247" s="18">
        <v>41730</v>
      </c>
      <c r="B247">
        <v>44.8</v>
      </c>
      <c r="C247">
        <v>49.3</v>
      </c>
      <c r="D247">
        <v>52.9</v>
      </c>
      <c r="E247">
        <v>56.5</v>
      </c>
      <c r="F247">
        <v>60.5</v>
      </c>
      <c r="G247">
        <v>54</v>
      </c>
      <c r="H247">
        <v>51.2</v>
      </c>
      <c r="I247">
        <v>54.1</v>
      </c>
      <c r="J247">
        <v>51.9</v>
      </c>
      <c r="K247">
        <v>51.1</v>
      </c>
      <c r="L247">
        <v>49.7</v>
      </c>
      <c r="M247">
        <v>51.3</v>
      </c>
      <c r="N247">
        <v>51.1</v>
      </c>
      <c r="O247">
        <v>56.1</v>
      </c>
      <c r="P247">
        <v>54</v>
      </c>
      <c r="Q247">
        <v>49.4</v>
      </c>
      <c r="R247">
        <v>51.8</v>
      </c>
      <c r="S247">
        <v>55.4325461314546</v>
      </c>
      <c r="T247">
        <v>51.1</v>
      </c>
      <c r="U247">
        <v>48.5</v>
      </c>
      <c r="W247">
        <v>47.3</v>
      </c>
      <c r="X247">
        <v>50.2</v>
      </c>
      <c r="Y247">
        <v>52.7</v>
      </c>
      <c r="Z247">
        <v>52.3</v>
      </c>
      <c r="AB247">
        <v>51.1</v>
      </c>
      <c r="AC247">
        <v>57.3</v>
      </c>
      <c r="AD247">
        <v>55.4</v>
      </c>
      <c r="AE247">
        <v>53.1</v>
      </c>
    </row>
    <row r="248" spans="1:31" x14ac:dyDescent="0.2">
      <c r="A248" s="18">
        <v>41760</v>
      </c>
      <c r="B248">
        <v>49.2</v>
      </c>
      <c r="C248">
        <v>48.8</v>
      </c>
      <c r="D248">
        <v>52.2</v>
      </c>
      <c r="E248">
        <v>57.3</v>
      </c>
      <c r="F248">
        <v>58.71</v>
      </c>
      <c r="G248">
        <v>52.2</v>
      </c>
      <c r="H248">
        <v>49.6</v>
      </c>
      <c r="I248">
        <v>52.3</v>
      </c>
      <c r="J248">
        <v>52.2</v>
      </c>
      <c r="K248">
        <v>51</v>
      </c>
      <c r="L248">
        <v>49.1</v>
      </c>
      <c r="M248">
        <v>51.4</v>
      </c>
      <c r="N248">
        <v>52.4</v>
      </c>
      <c r="O248">
        <v>55</v>
      </c>
      <c r="P248">
        <v>53.2</v>
      </c>
      <c r="Q248">
        <v>49.9</v>
      </c>
      <c r="R248">
        <v>51.9</v>
      </c>
      <c r="S248">
        <v>53.956229398254202</v>
      </c>
      <c r="T248">
        <v>50.8</v>
      </c>
      <c r="U248">
        <v>48.9</v>
      </c>
      <c r="W248">
        <v>44.41</v>
      </c>
      <c r="X248">
        <v>49.5</v>
      </c>
      <c r="Y248">
        <v>52.9</v>
      </c>
      <c r="Z248">
        <v>52.4</v>
      </c>
      <c r="AB248">
        <v>50.1</v>
      </c>
      <c r="AC248">
        <v>57</v>
      </c>
      <c r="AD248">
        <v>56.4</v>
      </c>
      <c r="AE248">
        <v>52.5</v>
      </c>
    </row>
    <row r="249" spans="1:31" x14ac:dyDescent="0.2">
      <c r="A249" s="18">
        <v>41791</v>
      </c>
      <c r="B249">
        <v>48.9</v>
      </c>
      <c r="C249">
        <v>48.7</v>
      </c>
      <c r="D249">
        <v>53.5</v>
      </c>
      <c r="E249">
        <v>54.7</v>
      </c>
      <c r="F249">
        <v>51.76</v>
      </c>
      <c r="G249">
        <v>51.8</v>
      </c>
      <c r="H249">
        <v>48.2</v>
      </c>
      <c r="I249">
        <v>52</v>
      </c>
      <c r="J249">
        <v>52.6</v>
      </c>
      <c r="K249">
        <v>49.4</v>
      </c>
      <c r="L249">
        <v>50.1</v>
      </c>
      <c r="M249">
        <v>51.5</v>
      </c>
      <c r="N249">
        <v>52.7</v>
      </c>
      <c r="O249">
        <v>55.3</v>
      </c>
      <c r="P249">
        <v>52.6</v>
      </c>
      <c r="Q249">
        <v>51.5</v>
      </c>
      <c r="R249">
        <v>51.8</v>
      </c>
      <c r="S249">
        <v>53.332054998804701</v>
      </c>
      <c r="T249">
        <v>50.3</v>
      </c>
      <c r="U249">
        <v>49.1</v>
      </c>
      <c r="W249">
        <v>46.59</v>
      </c>
      <c r="X249">
        <v>48.4</v>
      </c>
      <c r="Y249">
        <v>54.6</v>
      </c>
      <c r="Z249">
        <v>54</v>
      </c>
      <c r="AB249">
        <v>48.8</v>
      </c>
      <c r="AC249">
        <v>57.5</v>
      </c>
      <c r="AD249">
        <v>57.3</v>
      </c>
      <c r="AE249">
        <v>52.3</v>
      </c>
    </row>
    <row r="250" spans="1:31" x14ac:dyDescent="0.2">
      <c r="A250" s="18">
        <v>41821</v>
      </c>
      <c r="B250">
        <v>50.7</v>
      </c>
      <c r="C250">
        <v>49.1</v>
      </c>
      <c r="D250">
        <v>54.3</v>
      </c>
      <c r="E250">
        <v>56.463888888888903</v>
      </c>
      <c r="F250">
        <v>49.75</v>
      </c>
      <c r="G250">
        <v>51.8</v>
      </c>
      <c r="H250">
        <v>47.8</v>
      </c>
      <c r="I250">
        <v>52.4</v>
      </c>
      <c r="J250">
        <v>52.5</v>
      </c>
      <c r="K250">
        <v>48.7</v>
      </c>
      <c r="L250">
        <v>50.4</v>
      </c>
      <c r="M250">
        <v>53</v>
      </c>
      <c r="N250">
        <v>52.4</v>
      </c>
      <c r="O250">
        <v>55.4</v>
      </c>
      <c r="P250">
        <v>51.9</v>
      </c>
      <c r="Q250">
        <v>50.5</v>
      </c>
      <c r="R250">
        <v>51.5</v>
      </c>
      <c r="S250">
        <v>54.753248698735099</v>
      </c>
      <c r="T250">
        <v>49.4</v>
      </c>
      <c r="U250">
        <v>51</v>
      </c>
      <c r="W250">
        <v>45.45</v>
      </c>
      <c r="X250">
        <v>48.506666666666703</v>
      </c>
      <c r="Y250">
        <v>53.9</v>
      </c>
      <c r="Z250">
        <v>55.8</v>
      </c>
      <c r="AB250">
        <v>48.5</v>
      </c>
      <c r="AC250">
        <v>55.4</v>
      </c>
      <c r="AD250">
        <v>55.8</v>
      </c>
      <c r="AE250">
        <v>51.7</v>
      </c>
    </row>
    <row r="251" spans="1:31" x14ac:dyDescent="0.2">
      <c r="A251" s="18">
        <v>41852</v>
      </c>
      <c r="B251">
        <v>47.3</v>
      </c>
      <c r="C251">
        <v>50.2</v>
      </c>
      <c r="D251">
        <v>54.8</v>
      </c>
      <c r="E251">
        <v>54.3</v>
      </c>
      <c r="F251">
        <v>48.13</v>
      </c>
      <c r="G251">
        <v>50.7</v>
      </c>
      <c r="H251">
        <v>46.9</v>
      </c>
      <c r="I251">
        <v>51.4</v>
      </c>
      <c r="J251">
        <v>52.6</v>
      </c>
      <c r="K251">
        <v>50.1</v>
      </c>
      <c r="L251">
        <v>49.6</v>
      </c>
      <c r="M251">
        <v>52.4</v>
      </c>
      <c r="N251">
        <v>49.5</v>
      </c>
      <c r="O251">
        <v>57.3</v>
      </c>
      <c r="P251">
        <v>49.8</v>
      </c>
      <c r="Q251">
        <v>52.2</v>
      </c>
      <c r="R251">
        <v>52.1</v>
      </c>
      <c r="S251">
        <v>56.390867178830199</v>
      </c>
      <c r="T251">
        <v>49</v>
      </c>
      <c r="U251">
        <v>51</v>
      </c>
      <c r="W251">
        <v>49</v>
      </c>
      <c r="X251">
        <v>50.3</v>
      </c>
      <c r="Y251">
        <v>52.8</v>
      </c>
      <c r="Z251">
        <v>56.1</v>
      </c>
      <c r="AB251">
        <v>50</v>
      </c>
      <c r="AC251">
        <v>52.5</v>
      </c>
      <c r="AD251">
        <v>57.9</v>
      </c>
      <c r="AE251">
        <v>50.3</v>
      </c>
    </row>
    <row r="252" spans="1:31" x14ac:dyDescent="0.2">
      <c r="A252" s="18">
        <v>41883</v>
      </c>
      <c r="B252">
        <v>46.5</v>
      </c>
      <c r="C252">
        <v>49.3</v>
      </c>
      <c r="D252">
        <v>53.5</v>
      </c>
      <c r="E252">
        <v>55.6</v>
      </c>
      <c r="F252">
        <v>51.33</v>
      </c>
      <c r="G252">
        <v>50.3</v>
      </c>
      <c r="H252">
        <v>48.8</v>
      </c>
      <c r="I252">
        <v>49.9</v>
      </c>
      <c r="J252">
        <v>52.2</v>
      </c>
      <c r="K252">
        <v>48.4</v>
      </c>
      <c r="L252">
        <v>49.8</v>
      </c>
      <c r="M252">
        <v>51</v>
      </c>
      <c r="N252">
        <v>50.7</v>
      </c>
      <c r="O252">
        <v>55.7</v>
      </c>
      <c r="P252">
        <v>50.7</v>
      </c>
      <c r="Q252">
        <v>51.7</v>
      </c>
      <c r="R252">
        <v>52.6</v>
      </c>
      <c r="S252">
        <v>57.298541725858399</v>
      </c>
      <c r="T252">
        <v>49.5</v>
      </c>
      <c r="U252">
        <v>50.4</v>
      </c>
      <c r="W252">
        <v>50.35</v>
      </c>
      <c r="X252">
        <v>48.8</v>
      </c>
      <c r="Y252">
        <v>52.6</v>
      </c>
      <c r="Z252">
        <v>53.3</v>
      </c>
      <c r="AB252">
        <v>50.4</v>
      </c>
      <c r="AC252">
        <v>51.6</v>
      </c>
      <c r="AD252">
        <v>57.5</v>
      </c>
      <c r="AE252">
        <v>51.7</v>
      </c>
    </row>
    <row r="253" spans="1:31" x14ac:dyDescent="0.2">
      <c r="A253" s="18">
        <v>41913</v>
      </c>
      <c r="B253">
        <v>49.42</v>
      </c>
      <c r="C253">
        <v>49.1</v>
      </c>
      <c r="D253">
        <v>55.3</v>
      </c>
      <c r="E253">
        <v>54.4</v>
      </c>
      <c r="F253">
        <v>54.04</v>
      </c>
      <c r="G253">
        <v>50.6</v>
      </c>
      <c r="H253">
        <v>48.5</v>
      </c>
      <c r="I253">
        <v>51.4</v>
      </c>
      <c r="J253">
        <v>52.2</v>
      </c>
      <c r="K253">
        <v>48.8</v>
      </c>
      <c r="L253">
        <v>47.7</v>
      </c>
      <c r="M253">
        <v>51.6</v>
      </c>
      <c r="N253">
        <v>49.2</v>
      </c>
      <c r="O253">
        <v>56.6</v>
      </c>
      <c r="P253">
        <v>49</v>
      </c>
      <c r="Q253">
        <v>52.4</v>
      </c>
      <c r="R253">
        <v>53.3</v>
      </c>
      <c r="S253">
        <v>58.5179627874654</v>
      </c>
      <c r="T253">
        <v>51.2</v>
      </c>
      <c r="U253">
        <v>50.3</v>
      </c>
      <c r="W253">
        <v>50.13</v>
      </c>
      <c r="X253">
        <v>48.7</v>
      </c>
      <c r="Y253">
        <v>52.6</v>
      </c>
      <c r="Z253">
        <v>52</v>
      </c>
      <c r="AB253">
        <v>51.5</v>
      </c>
      <c r="AC253">
        <v>53.2</v>
      </c>
      <c r="AD253">
        <v>55.9</v>
      </c>
      <c r="AE253">
        <v>51</v>
      </c>
    </row>
    <row r="254" spans="1:31" x14ac:dyDescent="0.2">
      <c r="A254" s="18">
        <v>41944</v>
      </c>
      <c r="B254">
        <v>50.1</v>
      </c>
      <c r="C254">
        <v>48.7</v>
      </c>
      <c r="D254">
        <v>55.3</v>
      </c>
      <c r="E254">
        <v>55.6</v>
      </c>
      <c r="F254">
        <v>51.5</v>
      </c>
      <c r="G254">
        <v>50.1</v>
      </c>
      <c r="H254">
        <v>48.4</v>
      </c>
      <c r="I254">
        <v>49.5</v>
      </c>
      <c r="J254">
        <v>51.8</v>
      </c>
      <c r="K254">
        <v>49.1</v>
      </c>
      <c r="L254">
        <v>48.8</v>
      </c>
      <c r="M254">
        <v>53.3</v>
      </c>
      <c r="N254">
        <v>48</v>
      </c>
      <c r="O254">
        <v>56.2</v>
      </c>
      <c r="P254">
        <v>49</v>
      </c>
      <c r="Q254">
        <v>52</v>
      </c>
      <c r="R254">
        <v>54.3</v>
      </c>
      <c r="S254">
        <v>54.617724905754102</v>
      </c>
      <c r="T254">
        <v>53.2</v>
      </c>
      <c r="U254">
        <v>51.7</v>
      </c>
      <c r="W254">
        <v>53.12</v>
      </c>
      <c r="X254">
        <v>49</v>
      </c>
      <c r="Y254">
        <v>54.7</v>
      </c>
      <c r="Z254">
        <v>51.4</v>
      </c>
      <c r="AB254">
        <v>52.2</v>
      </c>
      <c r="AC254">
        <v>53.5</v>
      </c>
      <c r="AD254">
        <v>54.8</v>
      </c>
      <c r="AE254">
        <v>52.7</v>
      </c>
    </row>
    <row r="255" spans="1:31" x14ac:dyDescent="0.2">
      <c r="A255" s="18">
        <v>41974</v>
      </c>
      <c r="B255">
        <v>46.9</v>
      </c>
      <c r="C255">
        <v>50.2</v>
      </c>
      <c r="D255">
        <v>53.9</v>
      </c>
      <c r="E255">
        <v>53.3</v>
      </c>
      <c r="F255">
        <v>53.85</v>
      </c>
      <c r="G255">
        <v>50.6</v>
      </c>
      <c r="H255">
        <v>47.5</v>
      </c>
      <c r="I255">
        <v>51.2</v>
      </c>
      <c r="J255">
        <v>51.6</v>
      </c>
      <c r="K255">
        <v>49.4</v>
      </c>
      <c r="L255">
        <v>50.3</v>
      </c>
      <c r="M255">
        <v>54.5</v>
      </c>
      <c r="N255">
        <v>47.6</v>
      </c>
      <c r="O255">
        <v>56.9</v>
      </c>
      <c r="P255">
        <v>48.4</v>
      </c>
      <c r="Q255">
        <v>52</v>
      </c>
      <c r="R255">
        <v>55.3</v>
      </c>
      <c r="S255">
        <v>56.651751484174397</v>
      </c>
      <c r="T255">
        <v>52.8</v>
      </c>
      <c r="U255">
        <v>48.9</v>
      </c>
      <c r="W255">
        <v>51.1</v>
      </c>
      <c r="X255">
        <v>49.9</v>
      </c>
      <c r="Y255">
        <v>53.8</v>
      </c>
      <c r="Z255">
        <v>50</v>
      </c>
      <c r="AB255">
        <v>51.4</v>
      </c>
      <c r="AC255">
        <v>52.5</v>
      </c>
      <c r="AD255">
        <v>53.9</v>
      </c>
      <c r="AE255">
        <v>51.5</v>
      </c>
    </row>
    <row r="256" spans="1:31" x14ac:dyDescent="0.2">
      <c r="A256" s="18">
        <v>42005</v>
      </c>
      <c r="B256">
        <v>49</v>
      </c>
      <c r="C256">
        <v>50.7</v>
      </c>
      <c r="D256">
        <v>51</v>
      </c>
      <c r="E256">
        <v>56.1</v>
      </c>
      <c r="F256">
        <v>55.25</v>
      </c>
      <c r="G256">
        <v>51</v>
      </c>
      <c r="H256">
        <v>49.2</v>
      </c>
      <c r="I256">
        <v>50.9</v>
      </c>
      <c r="J256">
        <v>51.7</v>
      </c>
      <c r="K256">
        <v>48.3</v>
      </c>
      <c r="L256">
        <v>49.4</v>
      </c>
      <c r="M256">
        <v>52.9</v>
      </c>
      <c r="N256">
        <v>48.5</v>
      </c>
      <c r="O256">
        <v>55.1</v>
      </c>
      <c r="P256">
        <v>49.9</v>
      </c>
      <c r="Q256">
        <v>52.2</v>
      </c>
      <c r="R256">
        <v>55.6</v>
      </c>
      <c r="S256">
        <v>51.560748726156199</v>
      </c>
      <c r="T256">
        <v>55.2</v>
      </c>
      <c r="U256">
        <v>47.6</v>
      </c>
      <c r="W256">
        <v>53.24</v>
      </c>
      <c r="X256">
        <v>51.1</v>
      </c>
      <c r="Y256">
        <v>54.7</v>
      </c>
      <c r="Z256">
        <v>51.7</v>
      </c>
      <c r="AB256">
        <v>49.8</v>
      </c>
      <c r="AC256">
        <v>53</v>
      </c>
      <c r="AD256">
        <v>53.7</v>
      </c>
      <c r="AE256">
        <v>51.5</v>
      </c>
    </row>
    <row r="257" spans="1:31" x14ac:dyDescent="0.2">
      <c r="A257" s="18">
        <v>42036</v>
      </c>
      <c r="B257">
        <v>45.4</v>
      </c>
      <c r="C257">
        <v>49.6</v>
      </c>
      <c r="D257">
        <v>48.7</v>
      </c>
      <c r="E257">
        <v>55.6</v>
      </c>
      <c r="F257">
        <v>57.96</v>
      </c>
      <c r="G257">
        <v>51</v>
      </c>
      <c r="H257">
        <v>47.6</v>
      </c>
      <c r="I257">
        <v>51.1</v>
      </c>
      <c r="J257">
        <v>52</v>
      </c>
      <c r="K257">
        <v>48.4</v>
      </c>
      <c r="L257">
        <v>50.7</v>
      </c>
      <c r="M257">
        <v>51.2</v>
      </c>
      <c r="N257">
        <v>47.5</v>
      </c>
      <c r="O257">
        <v>57.5</v>
      </c>
      <c r="P257">
        <v>51.9</v>
      </c>
      <c r="Q257">
        <v>51.6</v>
      </c>
      <c r="R257">
        <v>54.4</v>
      </c>
      <c r="S257">
        <v>56.685992642344303</v>
      </c>
      <c r="T257">
        <v>55.1</v>
      </c>
      <c r="U257">
        <v>49.7</v>
      </c>
      <c r="W257">
        <v>47.66</v>
      </c>
      <c r="X257">
        <v>51.1</v>
      </c>
      <c r="Y257">
        <v>54.2</v>
      </c>
      <c r="Z257">
        <v>52.1</v>
      </c>
      <c r="AB257">
        <v>49.6</v>
      </c>
      <c r="AC257">
        <v>54.1</v>
      </c>
      <c r="AD257">
        <v>54.3</v>
      </c>
      <c r="AE257">
        <v>51.7</v>
      </c>
    </row>
    <row r="258" spans="1:31" x14ac:dyDescent="0.2">
      <c r="A258" s="18">
        <v>42064</v>
      </c>
      <c r="B258">
        <v>46.3</v>
      </c>
      <c r="C258">
        <v>46.2</v>
      </c>
      <c r="D258">
        <v>48.9</v>
      </c>
      <c r="E258">
        <v>56.1</v>
      </c>
      <c r="F258">
        <v>58.54</v>
      </c>
      <c r="G258">
        <v>52.2</v>
      </c>
      <c r="H258">
        <v>48.8</v>
      </c>
      <c r="I258">
        <v>52.8</v>
      </c>
      <c r="J258">
        <v>51.8</v>
      </c>
      <c r="K258">
        <v>48.9</v>
      </c>
      <c r="L258">
        <v>49.6</v>
      </c>
      <c r="M258">
        <v>52.1</v>
      </c>
      <c r="N258">
        <v>46.4</v>
      </c>
      <c r="O258">
        <v>56.8</v>
      </c>
      <c r="P258">
        <v>53.3</v>
      </c>
      <c r="Q258">
        <v>50.3</v>
      </c>
      <c r="R258">
        <v>53.8</v>
      </c>
      <c r="S258">
        <v>54.7822942728314</v>
      </c>
      <c r="T258">
        <v>54.8</v>
      </c>
      <c r="U258">
        <v>48.1</v>
      </c>
      <c r="W258">
        <v>47.88</v>
      </c>
      <c r="X258">
        <v>49.2</v>
      </c>
      <c r="Y258">
        <v>54.3</v>
      </c>
      <c r="Z258">
        <v>51</v>
      </c>
      <c r="AB258">
        <v>48</v>
      </c>
      <c r="AC258">
        <v>54.4</v>
      </c>
      <c r="AD258">
        <v>55.3</v>
      </c>
      <c r="AE258">
        <v>50.7</v>
      </c>
    </row>
    <row r="259" spans="1:31" x14ac:dyDescent="0.2">
      <c r="A259" s="18">
        <v>42095</v>
      </c>
      <c r="B259">
        <v>48</v>
      </c>
      <c r="C259">
        <v>46</v>
      </c>
      <c r="D259">
        <v>49</v>
      </c>
      <c r="E259">
        <v>54.7</v>
      </c>
      <c r="F259">
        <v>53.3</v>
      </c>
      <c r="G259">
        <v>52</v>
      </c>
      <c r="H259">
        <v>48</v>
      </c>
      <c r="I259">
        <v>52.1</v>
      </c>
      <c r="J259">
        <v>51</v>
      </c>
      <c r="K259">
        <v>46.5</v>
      </c>
      <c r="L259">
        <v>48.6</v>
      </c>
      <c r="M259">
        <v>51.3</v>
      </c>
      <c r="N259">
        <v>46.7</v>
      </c>
      <c r="O259">
        <v>55.8</v>
      </c>
      <c r="P259">
        <v>53.8</v>
      </c>
      <c r="Q259">
        <v>49.9</v>
      </c>
      <c r="R259">
        <v>53.8</v>
      </c>
      <c r="S259">
        <v>52.337448703873399</v>
      </c>
      <c r="T259">
        <v>54</v>
      </c>
      <c r="U259">
        <v>48.9</v>
      </c>
      <c r="V259">
        <v>60.1</v>
      </c>
      <c r="W259">
        <v>44.92</v>
      </c>
      <c r="X259">
        <v>48.8</v>
      </c>
      <c r="Y259">
        <v>54.2</v>
      </c>
      <c r="Z259">
        <v>49.2</v>
      </c>
      <c r="AB259">
        <v>48.5</v>
      </c>
      <c r="AC259">
        <v>51.9</v>
      </c>
      <c r="AD259">
        <v>54.1</v>
      </c>
      <c r="AE259">
        <v>53.5</v>
      </c>
    </row>
    <row r="260" spans="1:31" x14ac:dyDescent="0.2">
      <c r="A260" s="18">
        <v>42125</v>
      </c>
      <c r="B260">
        <v>52.29</v>
      </c>
      <c r="C260">
        <v>45.9</v>
      </c>
      <c r="D260">
        <v>49.8</v>
      </c>
      <c r="E260">
        <v>55.5</v>
      </c>
      <c r="F260">
        <v>52.73</v>
      </c>
      <c r="G260">
        <v>52.2</v>
      </c>
      <c r="H260">
        <v>49.4</v>
      </c>
      <c r="I260">
        <v>51.1</v>
      </c>
      <c r="J260">
        <v>51.2</v>
      </c>
      <c r="K260">
        <v>48</v>
      </c>
      <c r="L260">
        <v>47.6</v>
      </c>
      <c r="M260">
        <v>52.6</v>
      </c>
      <c r="N260">
        <v>47.1</v>
      </c>
      <c r="O260">
        <v>57.1</v>
      </c>
      <c r="P260">
        <v>54.8</v>
      </c>
      <c r="Q260">
        <v>50.9</v>
      </c>
      <c r="R260">
        <v>53.3</v>
      </c>
      <c r="S260">
        <v>51.445669244171299</v>
      </c>
      <c r="T260">
        <v>52.4</v>
      </c>
      <c r="U260">
        <v>47.6</v>
      </c>
      <c r="V260">
        <v>57</v>
      </c>
      <c r="W260">
        <v>50.52</v>
      </c>
      <c r="X260">
        <v>47.8</v>
      </c>
      <c r="Y260">
        <v>55.8</v>
      </c>
      <c r="Z260">
        <v>49.3</v>
      </c>
      <c r="AB260">
        <v>50.2</v>
      </c>
      <c r="AC260">
        <v>52.2</v>
      </c>
      <c r="AD260">
        <v>53.8</v>
      </c>
      <c r="AE260">
        <v>54.8</v>
      </c>
    </row>
    <row r="261" spans="1:31" x14ac:dyDescent="0.2">
      <c r="A261" s="18">
        <v>42156</v>
      </c>
      <c r="B261">
        <v>44.2</v>
      </c>
      <c r="C261">
        <v>46.5</v>
      </c>
      <c r="D261">
        <v>51.3</v>
      </c>
      <c r="E261">
        <v>56.9</v>
      </c>
      <c r="F261">
        <v>54.46</v>
      </c>
      <c r="G261">
        <v>52.5</v>
      </c>
      <c r="H261">
        <v>50.7</v>
      </c>
      <c r="I261">
        <v>51.9</v>
      </c>
      <c r="J261">
        <v>51</v>
      </c>
      <c r="K261">
        <v>46.9</v>
      </c>
      <c r="L261">
        <v>49.2</v>
      </c>
      <c r="M261">
        <v>51.3</v>
      </c>
      <c r="N261">
        <v>47.8</v>
      </c>
      <c r="O261">
        <v>54.6</v>
      </c>
      <c r="P261">
        <v>54.1</v>
      </c>
      <c r="Q261">
        <v>50.1</v>
      </c>
      <c r="R261">
        <v>52</v>
      </c>
      <c r="S261">
        <v>55.1807836368314</v>
      </c>
      <c r="T261">
        <v>54.3</v>
      </c>
      <c r="U261">
        <v>48.7</v>
      </c>
      <c r="V261">
        <v>56.1</v>
      </c>
      <c r="W261">
        <v>50.31</v>
      </c>
      <c r="X261">
        <v>46.1</v>
      </c>
      <c r="Y261">
        <v>54.5</v>
      </c>
      <c r="Z261">
        <v>46.3</v>
      </c>
      <c r="AB261">
        <v>49</v>
      </c>
      <c r="AC261">
        <v>51.9</v>
      </c>
      <c r="AD261">
        <v>53.6</v>
      </c>
      <c r="AE261">
        <v>52.2</v>
      </c>
    </row>
    <row r="262" spans="1:31" x14ac:dyDescent="0.2">
      <c r="A262" s="18">
        <v>42186</v>
      </c>
      <c r="B262">
        <v>50.4</v>
      </c>
      <c r="C262">
        <v>47.2</v>
      </c>
      <c r="D262">
        <v>50.8</v>
      </c>
      <c r="E262">
        <v>57.5</v>
      </c>
      <c r="F262">
        <v>52.31</v>
      </c>
      <c r="G262">
        <v>52.4</v>
      </c>
      <c r="H262">
        <v>49.6</v>
      </c>
      <c r="I262">
        <v>51.8</v>
      </c>
      <c r="J262">
        <v>51</v>
      </c>
      <c r="K262">
        <v>30.2</v>
      </c>
      <c r="L262">
        <v>48.2</v>
      </c>
      <c r="M262">
        <v>52.7</v>
      </c>
      <c r="N262">
        <v>47.3</v>
      </c>
      <c r="O262">
        <v>56.7</v>
      </c>
      <c r="P262">
        <v>55.3</v>
      </c>
      <c r="Q262">
        <v>51.2</v>
      </c>
      <c r="R262">
        <v>52.9</v>
      </c>
      <c r="S262">
        <v>54.381444828161598</v>
      </c>
      <c r="T262">
        <v>54.5</v>
      </c>
      <c r="U262">
        <v>48.3</v>
      </c>
      <c r="V262">
        <v>57.7</v>
      </c>
      <c r="W262">
        <v>50.25</v>
      </c>
      <c r="X262">
        <v>47.6</v>
      </c>
      <c r="Y262">
        <v>53.6</v>
      </c>
      <c r="Z262">
        <v>47.1</v>
      </c>
      <c r="AB262">
        <v>50.1</v>
      </c>
      <c r="AC262">
        <v>52.5</v>
      </c>
      <c r="AD262">
        <v>53.8</v>
      </c>
      <c r="AE262">
        <v>52.6</v>
      </c>
    </row>
    <row r="263" spans="1:31" x14ac:dyDescent="0.2">
      <c r="A263" s="18">
        <v>42217</v>
      </c>
      <c r="B263">
        <v>51.7</v>
      </c>
      <c r="C263">
        <v>45.8</v>
      </c>
      <c r="D263">
        <v>49.4</v>
      </c>
      <c r="E263">
        <v>56.6</v>
      </c>
      <c r="F263">
        <v>62.51</v>
      </c>
      <c r="G263">
        <v>52.3</v>
      </c>
      <c r="H263">
        <v>48.3</v>
      </c>
      <c r="I263">
        <v>53.3</v>
      </c>
      <c r="J263">
        <v>50.7</v>
      </c>
      <c r="K263">
        <v>39.1</v>
      </c>
      <c r="L263">
        <v>44.4</v>
      </c>
      <c r="M263">
        <v>52.3</v>
      </c>
      <c r="N263">
        <v>48.4</v>
      </c>
      <c r="O263">
        <v>53.6</v>
      </c>
      <c r="P263">
        <v>53.8</v>
      </c>
      <c r="Q263">
        <v>51.7</v>
      </c>
      <c r="R263">
        <v>52.4</v>
      </c>
      <c r="S263">
        <v>54.870796907468197</v>
      </c>
      <c r="T263">
        <v>51.1</v>
      </c>
      <c r="U263">
        <v>47.9</v>
      </c>
      <c r="V263">
        <v>58.7</v>
      </c>
      <c r="W263">
        <v>50.52</v>
      </c>
      <c r="X263">
        <v>47.9</v>
      </c>
      <c r="Y263">
        <v>53.2</v>
      </c>
      <c r="Z263">
        <v>46.1</v>
      </c>
      <c r="AB263">
        <v>49.3</v>
      </c>
      <c r="AC263">
        <v>51.6</v>
      </c>
      <c r="AD263">
        <v>53</v>
      </c>
      <c r="AE263">
        <v>51.3</v>
      </c>
    </row>
    <row r="264" spans="1:31" x14ac:dyDescent="0.2">
      <c r="A264" s="18">
        <v>42248</v>
      </c>
      <c r="B264">
        <v>52.1</v>
      </c>
      <c r="C264">
        <v>47</v>
      </c>
      <c r="D264">
        <v>48.6</v>
      </c>
      <c r="E264">
        <v>55.5</v>
      </c>
      <c r="F264">
        <v>69.37</v>
      </c>
      <c r="G264">
        <v>52</v>
      </c>
      <c r="H264">
        <v>50.6</v>
      </c>
      <c r="I264">
        <v>52.3</v>
      </c>
      <c r="J264">
        <v>50.6</v>
      </c>
      <c r="K264">
        <v>43.3</v>
      </c>
      <c r="L264">
        <v>45.7</v>
      </c>
      <c r="M264">
        <v>51.2</v>
      </c>
      <c r="N264">
        <v>47.4</v>
      </c>
      <c r="O264">
        <v>53.8</v>
      </c>
      <c r="P264">
        <v>52.7</v>
      </c>
      <c r="Q264">
        <v>51</v>
      </c>
      <c r="R264">
        <v>52.1</v>
      </c>
      <c r="S264">
        <v>54.096709865768197</v>
      </c>
      <c r="T264">
        <v>50.9</v>
      </c>
      <c r="U264">
        <v>49.1</v>
      </c>
      <c r="V264">
        <v>56.5</v>
      </c>
      <c r="W264">
        <v>50.14</v>
      </c>
      <c r="X264">
        <v>49.2</v>
      </c>
      <c r="Y264">
        <v>51.7</v>
      </c>
      <c r="Z264">
        <v>46.9</v>
      </c>
      <c r="AB264">
        <v>48.8</v>
      </c>
      <c r="AC264">
        <v>51.6</v>
      </c>
      <c r="AD264">
        <v>53.1</v>
      </c>
      <c r="AE264">
        <v>49.5</v>
      </c>
    </row>
    <row r="265" spans="1:31" x14ac:dyDescent="0.2">
      <c r="A265" s="18">
        <v>42278</v>
      </c>
      <c r="B265">
        <v>50.2</v>
      </c>
      <c r="C265">
        <v>44.1</v>
      </c>
      <c r="D265">
        <v>48</v>
      </c>
      <c r="E265">
        <v>54</v>
      </c>
      <c r="F265">
        <v>55.62</v>
      </c>
      <c r="G265">
        <v>52.3</v>
      </c>
      <c r="H265">
        <v>50.6</v>
      </c>
      <c r="I265">
        <v>52.1</v>
      </c>
      <c r="J265">
        <v>51.4</v>
      </c>
      <c r="K265">
        <v>47.3</v>
      </c>
      <c r="L265">
        <v>46.6</v>
      </c>
      <c r="M265">
        <v>50.7</v>
      </c>
      <c r="N265">
        <v>47.8</v>
      </c>
      <c r="O265">
        <v>53.6</v>
      </c>
      <c r="P265">
        <v>54.1</v>
      </c>
      <c r="Q265">
        <v>52.4</v>
      </c>
      <c r="R265">
        <v>53</v>
      </c>
      <c r="S265">
        <v>53.140695996963103</v>
      </c>
      <c r="T265">
        <v>52.2</v>
      </c>
      <c r="U265">
        <v>50.2</v>
      </c>
      <c r="V265">
        <v>55.7</v>
      </c>
      <c r="W265">
        <v>48.74</v>
      </c>
      <c r="X265">
        <v>49.1</v>
      </c>
      <c r="Y265">
        <v>51.3</v>
      </c>
      <c r="Z265">
        <v>47.8</v>
      </c>
      <c r="AB265">
        <v>49.5</v>
      </c>
      <c r="AC265">
        <v>54.3</v>
      </c>
      <c r="AD265">
        <v>54.1</v>
      </c>
      <c r="AE265">
        <v>50.1</v>
      </c>
    </row>
    <row r="266" spans="1:31" x14ac:dyDescent="0.2">
      <c r="A266" s="18">
        <v>42309</v>
      </c>
      <c r="B266">
        <v>52.5</v>
      </c>
      <c r="C266">
        <v>43.8</v>
      </c>
      <c r="D266">
        <v>48.6</v>
      </c>
      <c r="E266">
        <v>54.2</v>
      </c>
      <c r="F266">
        <v>61.47</v>
      </c>
      <c r="G266">
        <v>52.8</v>
      </c>
      <c r="H266">
        <v>50.6</v>
      </c>
      <c r="I266">
        <v>52.9</v>
      </c>
      <c r="J266">
        <v>51.2</v>
      </c>
      <c r="K266">
        <v>48.1</v>
      </c>
      <c r="L266">
        <v>46.6</v>
      </c>
      <c r="M266">
        <v>50.3</v>
      </c>
      <c r="N266">
        <v>46.9</v>
      </c>
      <c r="O266">
        <v>53.3</v>
      </c>
      <c r="P266">
        <v>54.9</v>
      </c>
      <c r="Q266">
        <v>52.6</v>
      </c>
      <c r="R266">
        <v>53</v>
      </c>
      <c r="S266">
        <v>55.032635885992697</v>
      </c>
      <c r="T266">
        <v>52.1</v>
      </c>
      <c r="U266">
        <v>50.1</v>
      </c>
      <c r="V266">
        <v>56.3</v>
      </c>
      <c r="W266">
        <v>44.73</v>
      </c>
      <c r="X266">
        <v>49.1</v>
      </c>
      <c r="Y266">
        <v>53.1</v>
      </c>
      <c r="Z266">
        <v>49.5</v>
      </c>
      <c r="AB266">
        <v>50.9</v>
      </c>
      <c r="AC266">
        <v>52.3</v>
      </c>
      <c r="AD266">
        <v>52.8</v>
      </c>
      <c r="AE266">
        <v>49.4</v>
      </c>
    </row>
    <row r="267" spans="1:31" x14ac:dyDescent="0.2">
      <c r="A267" s="18">
        <v>42339</v>
      </c>
      <c r="B267">
        <v>51.9</v>
      </c>
      <c r="C267">
        <v>45.6</v>
      </c>
      <c r="D267">
        <v>47.5</v>
      </c>
      <c r="E267">
        <v>55.6</v>
      </c>
      <c r="F267">
        <v>54.76</v>
      </c>
      <c r="G267">
        <v>53.2</v>
      </c>
      <c r="H267">
        <v>51.4</v>
      </c>
      <c r="I267">
        <v>53.2</v>
      </c>
      <c r="J267">
        <v>50.9</v>
      </c>
      <c r="K267">
        <v>50.2</v>
      </c>
      <c r="L267">
        <v>46.4</v>
      </c>
      <c r="M267">
        <v>49.1</v>
      </c>
      <c r="N267">
        <v>47.8</v>
      </c>
      <c r="O267">
        <v>54.2</v>
      </c>
      <c r="P267">
        <v>55.6</v>
      </c>
      <c r="Q267">
        <v>52.6</v>
      </c>
      <c r="R267">
        <v>52.4</v>
      </c>
      <c r="S267">
        <v>56.985602727074799</v>
      </c>
      <c r="T267">
        <v>52.1</v>
      </c>
      <c r="U267">
        <v>48.7</v>
      </c>
      <c r="V267">
        <v>54.4</v>
      </c>
      <c r="W267">
        <v>47.2</v>
      </c>
      <c r="X267">
        <v>50.7</v>
      </c>
      <c r="Y267">
        <v>53</v>
      </c>
      <c r="Z267">
        <v>51.7</v>
      </c>
      <c r="AB267">
        <v>52.2</v>
      </c>
      <c r="AC267">
        <v>51</v>
      </c>
      <c r="AD267">
        <v>51.2</v>
      </c>
      <c r="AE267">
        <v>51.3</v>
      </c>
    </row>
    <row r="268" spans="1:31" x14ac:dyDescent="0.2">
      <c r="A268" s="18">
        <v>42370</v>
      </c>
      <c r="B268">
        <v>51.5</v>
      </c>
      <c r="C268">
        <v>47.4</v>
      </c>
      <c r="D268">
        <v>49.3</v>
      </c>
      <c r="E268">
        <v>56.9</v>
      </c>
      <c r="F268">
        <v>54.46</v>
      </c>
      <c r="G268">
        <v>52.3</v>
      </c>
      <c r="H268">
        <v>50</v>
      </c>
      <c r="I268">
        <v>52.3</v>
      </c>
      <c r="J268">
        <v>50.9</v>
      </c>
      <c r="K268">
        <v>50</v>
      </c>
      <c r="L268">
        <v>46.1</v>
      </c>
      <c r="M268">
        <v>51.1</v>
      </c>
      <c r="N268">
        <v>48.9</v>
      </c>
      <c r="O268">
        <v>54.3</v>
      </c>
      <c r="P268">
        <v>53.2</v>
      </c>
      <c r="Q268">
        <v>52.3</v>
      </c>
      <c r="R268">
        <v>52.2</v>
      </c>
      <c r="S268">
        <v>59.789243036004997</v>
      </c>
      <c r="T268">
        <v>50.9</v>
      </c>
      <c r="U268">
        <v>49.8</v>
      </c>
      <c r="V268">
        <v>53.9</v>
      </c>
      <c r="W268">
        <v>43.27</v>
      </c>
      <c r="X268">
        <v>49.5</v>
      </c>
      <c r="Y268">
        <v>55.4</v>
      </c>
      <c r="Z268">
        <v>50.6</v>
      </c>
      <c r="AB268">
        <v>50.9</v>
      </c>
      <c r="AC268">
        <v>52.2</v>
      </c>
      <c r="AD268">
        <v>52.4</v>
      </c>
      <c r="AE268">
        <v>51.5</v>
      </c>
    </row>
    <row r="269" spans="1:31" x14ac:dyDescent="0.2">
      <c r="A269" s="18">
        <v>42401</v>
      </c>
      <c r="B269">
        <v>53.5</v>
      </c>
      <c r="C269">
        <v>44.5</v>
      </c>
      <c r="D269">
        <v>49.4</v>
      </c>
      <c r="E269">
        <v>55.5</v>
      </c>
      <c r="F269">
        <v>50.93</v>
      </c>
      <c r="G269">
        <v>51.2</v>
      </c>
      <c r="H269">
        <v>50.2</v>
      </c>
      <c r="I269">
        <v>50.5</v>
      </c>
      <c r="J269">
        <v>50</v>
      </c>
      <c r="K269">
        <v>48.4</v>
      </c>
      <c r="L269">
        <v>46.4</v>
      </c>
      <c r="M269">
        <v>51.1</v>
      </c>
      <c r="N269">
        <v>48.7</v>
      </c>
      <c r="O269">
        <v>52.9</v>
      </c>
      <c r="P269">
        <v>52.2</v>
      </c>
      <c r="Q269">
        <v>50.1</v>
      </c>
      <c r="R269">
        <v>53.1</v>
      </c>
      <c r="S269">
        <v>56.078910394119397</v>
      </c>
      <c r="T269">
        <v>52.8</v>
      </c>
      <c r="U269">
        <v>49.3</v>
      </c>
      <c r="V269">
        <v>54.4</v>
      </c>
      <c r="W269">
        <v>46.84</v>
      </c>
      <c r="X269">
        <v>48.7</v>
      </c>
      <c r="Y269">
        <v>54.1</v>
      </c>
      <c r="Z269">
        <v>49.4</v>
      </c>
      <c r="AB269">
        <v>50.3</v>
      </c>
      <c r="AC269">
        <v>50.8</v>
      </c>
      <c r="AD269">
        <v>51.3</v>
      </c>
      <c r="AE269">
        <v>50.3</v>
      </c>
    </row>
    <row r="270" spans="1:31" x14ac:dyDescent="0.2">
      <c r="A270" s="18">
        <v>42430</v>
      </c>
      <c r="B270">
        <v>58.1</v>
      </c>
      <c r="C270">
        <v>46</v>
      </c>
      <c r="D270">
        <v>51.5</v>
      </c>
      <c r="E270">
        <v>54.3</v>
      </c>
      <c r="F270">
        <v>55.11</v>
      </c>
      <c r="G270">
        <v>51.6</v>
      </c>
      <c r="H270">
        <v>49.6</v>
      </c>
      <c r="I270">
        <v>50.7</v>
      </c>
      <c r="J270">
        <v>50.5</v>
      </c>
      <c r="K270">
        <v>49</v>
      </c>
      <c r="L270">
        <v>45.5</v>
      </c>
      <c r="M270">
        <v>52.4</v>
      </c>
      <c r="N270">
        <v>50.6</v>
      </c>
      <c r="O270">
        <v>54.9</v>
      </c>
      <c r="P270">
        <v>53.5</v>
      </c>
      <c r="Q270">
        <v>49.1</v>
      </c>
      <c r="R270">
        <v>53.2</v>
      </c>
      <c r="S270">
        <v>54.178654064476802</v>
      </c>
      <c r="T270">
        <v>53.8</v>
      </c>
      <c r="U270">
        <v>48.3</v>
      </c>
      <c r="V270">
        <v>54.5</v>
      </c>
      <c r="W270">
        <v>49.54</v>
      </c>
      <c r="X270">
        <v>49.5</v>
      </c>
      <c r="Y270">
        <v>53.4</v>
      </c>
      <c r="Z270">
        <v>51.1</v>
      </c>
      <c r="AB270">
        <v>49.2</v>
      </c>
      <c r="AC270">
        <v>51.1</v>
      </c>
      <c r="AD270">
        <v>51.5</v>
      </c>
      <c r="AE270">
        <v>50.7</v>
      </c>
    </row>
    <row r="271" spans="1:31" x14ac:dyDescent="0.2">
      <c r="A271" s="18">
        <v>42461</v>
      </c>
      <c r="B271">
        <v>53.4</v>
      </c>
      <c r="C271">
        <v>42.6</v>
      </c>
      <c r="D271">
        <v>52.2</v>
      </c>
      <c r="E271">
        <v>53.6</v>
      </c>
      <c r="F271">
        <v>63.28</v>
      </c>
      <c r="G271">
        <v>51.7</v>
      </c>
      <c r="H271">
        <v>48</v>
      </c>
      <c r="I271">
        <v>51.8</v>
      </c>
      <c r="J271">
        <v>50.1</v>
      </c>
      <c r="K271">
        <v>49.7</v>
      </c>
      <c r="L271">
        <v>45.3</v>
      </c>
      <c r="M271">
        <v>50.5</v>
      </c>
      <c r="N271">
        <v>50.9</v>
      </c>
      <c r="O271">
        <v>52.6</v>
      </c>
      <c r="P271">
        <v>53.9</v>
      </c>
      <c r="Q271">
        <v>48.2</v>
      </c>
      <c r="R271">
        <v>52.4</v>
      </c>
      <c r="S271">
        <v>56.546320970312202</v>
      </c>
      <c r="T271">
        <v>51</v>
      </c>
      <c r="U271">
        <v>48</v>
      </c>
      <c r="V271">
        <v>54.2</v>
      </c>
      <c r="W271">
        <v>53.33</v>
      </c>
      <c r="X271">
        <v>50</v>
      </c>
      <c r="Y271">
        <v>53.5</v>
      </c>
      <c r="Z271">
        <v>49.7</v>
      </c>
      <c r="AB271">
        <v>48.9</v>
      </c>
      <c r="AC271">
        <v>50</v>
      </c>
      <c r="AD271">
        <v>50.8</v>
      </c>
      <c r="AE271">
        <v>52.3</v>
      </c>
    </row>
    <row r="272" spans="1:31" x14ac:dyDescent="0.2">
      <c r="A272" s="18">
        <v>42491</v>
      </c>
      <c r="B272">
        <v>51</v>
      </c>
      <c r="C272">
        <v>41.6</v>
      </c>
      <c r="D272">
        <v>52.1</v>
      </c>
      <c r="E272">
        <v>53.3</v>
      </c>
      <c r="F272">
        <v>61.65</v>
      </c>
      <c r="G272">
        <v>51.5</v>
      </c>
      <c r="H272">
        <v>48.4</v>
      </c>
      <c r="I272">
        <v>52.1</v>
      </c>
      <c r="J272">
        <v>50</v>
      </c>
      <c r="K272">
        <v>48.4</v>
      </c>
      <c r="L272">
        <v>47.2</v>
      </c>
      <c r="M272">
        <v>50.7</v>
      </c>
      <c r="N272">
        <v>50.6</v>
      </c>
      <c r="O272">
        <v>51.5</v>
      </c>
      <c r="P272">
        <v>52.4</v>
      </c>
      <c r="Q272">
        <v>47.7</v>
      </c>
      <c r="R272">
        <v>53.6</v>
      </c>
      <c r="S272">
        <v>56.327478347796301</v>
      </c>
      <c r="T272">
        <v>52.1</v>
      </c>
      <c r="U272">
        <v>49.6</v>
      </c>
      <c r="V272">
        <v>54.8</v>
      </c>
      <c r="W272">
        <v>50.72</v>
      </c>
      <c r="X272">
        <v>50.1</v>
      </c>
      <c r="Y272">
        <v>51.8</v>
      </c>
      <c r="Z272">
        <v>48.5</v>
      </c>
      <c r="AB272">
        <v>49.4</v>
      </c>
      <c r="AC272">
        <v>50.7</v>
      </c>
      <c r="AD272">
        <v>50.7</v>
      </c>
      <c r="AE272">
        <v>52.7</v>
      </c>
    </row>
    <row r="273" spans="1:31" x14ac:dyDescent="0.2">
      <c r="A273" s="18">
        <v>42522</v>
      </c>
      <c r="B273">
        <v>51.8</v>
      </c>
      <c r="C273">
        <v>43.2</v>
      </c>
      <c r="D273">
        <v>51.8</v>
      </c>
      <c r="E273">
        <v>51.8</v>
      </c>
      <c r="F273">
        <v>59.75</v>
      </c>
      <c r="G273">
        <v>52.8</v>
      </c>
      <c r="H273">
        <v>48.3</v>
      </c>
      <c r="I273">
        <v>54.5</v>
      </c>
      <c r="J273">
        <v>50.9</v>
      </c>
      <c r="K273">
        <v>50.4</v>
      </c>
      <c r="L273">
        <v>45.4</v>
      </c>
      <c r="M273">
        <v>51.7</v>
      </c>
      <c r="N273">
        <v>51.9</v>
      </c>
      <c r="O273">
        <v>53</v>
      </c>
      <c r="P273">
        <v>53.5</v>
      </c>
      <c r="Q273">
        <v>48.1</v>
      </c>
      <c r="R273">
        <v>51.1</v>
      </c>
      <c r="S273">
        <v>57.559793008442902</v>
      </c>
      <c r="T273">
        <v>51.8</v>
      </c>
      <c r="U273">
        <v>51.5</v>
      </c>
      <c r="V273">
        <v>54.4</v>
      </c>
      <c r="W273">
        <v>52.14</v>
      </c>
      <c r="X273">
        <v>50.5</v>
      </c>
      <c r="Y273">
        <v>52.2</v>
      </c>
      <c r="Z273">
        <v>50.5</v>
      </c>
      <c r="AB273">
        <v>47.4</v>
      </c>
      <c r="AC273">
        <v>53.2</v>
      </c>
      <c r="AD273">
        <v>51.3</v>
      </c>
      <c r="AE273">
        <v>52.6</v>
      </c>
    </row>
    <row r="274" spans="1:31" x14ac:dyDescent="0.2">
      <c r="A274" s="18">
        <v>42552</v>
      </c>
      <c r="B274">
        <v>56.4</v>
      </c>
      <c r="C274">
        <v>46</v>
      </c>
      <c r="D274">
        <v>51.9</v>
      </c>
      <c r="E274">
        <v>49.3</v>
      </c>
      <c r="F274">
        <v>59.53</v>
      </c>
      <c r="G274">
        <v>52</v>
      </c>
      <c r="H274">
        <v>48.6</v>
      </c>
      <c r="I274">
        <v>53.8</v>
      </c>
      <c r="J274">
        <v>51</v>
      </c>
      <c r="K274">
        <v>48.7</v>
      </c>
      <c r="L274">
        <v>47.2</v>
      </c>
      <c r="M274">
        <v>51.8</v>
      </c>
      <c r="N274">
        <v>48.4</v>
      </c>
      <c r="O274">
        <v>50.2</v>
      </c>
      <c r="P274">
        <v>51.2</v>
      </c>
      <c r="Q274">
        <v>49.3</v>
      </c>
      <c r="R274">
        <v>50.6</v>
      </c>
      <c r="S274">
        <v>55.949978197804803</v>
      </c>
      <c r="T274">
        <v>50.3</v>
      </c>
      <c r="U274">
        <v>49.5</v>
      </c>
      <c r="V274">
        <v>56</v>
      </c>
      <c r="W274">
        <v>51.25</v>
      </c>
      <c r="X274">
        <v>50.1</v>
      </c>
      <c r="Y274">
        <v>51</v>
      </c>
      <c r="Z274">
        <v>51</v>
      </c>
      <c r="AA274">
        <v>49.3</v>
      </c>
      <c r="AB274">
        <v>47.6</v>
      </c>
      <c r="AC274">
        <v>48.5</v>
      </c>
      <c r="AD274">
        <v>52.9</v>
      </c>
      <c r="AE274">
        <v>51.9</v>
      </c>
    </row>
    <row r="275" spans="1:31" x14ac:dyDescent="0.2">
      <c r="A275" s="18">
        <v>42583</v>
      </c>
      <c r="B275">
        <v>46.9</v>
      </c>
      <c r="C275">
        <v>45.7</v>
      </c>
      <c r="D275">
        <v>51.1</v>
      </c>
      <c r="E275">
        <v>50.1</v>
      </c>
      <c r="F275">
        <v>53.62</v>
      </c>
      <c r="G275">
        <v>51.7</v>
      </c>
      <c r="H275">
        <v>48.3</v>
      </c>
      <c r="I275">
        <v>53.6</v>
      </c>
      <c r="J275">
        <v>50.9</v>
      </c>
      <c r="K275">
        <v>50.4</v>
      </c>
      <c r="L275">
        <v>49</v>
      </c>
      <c r="M275">
        <v>52.6</v>
      </c>
      <c r="N275">
        <v>50.4</v>
      </c>
      <c r="O275">
        <v>51.7</v>
      </c>
      <c r="P275">
        <v>49.8</v>
      </c>
      <c r="Q275">
        <v>49.5</v>
      </c>
      <c r="R275">
        <v>50.9</v>
      </c>
      <c r="S275">
        <v>54.647059284907002</v>
      </c>
      <c r="T275">
        <v>51.5</v>
      </c>
      <c r="U275">
        <v>50.8</v>
      </c>
      <c r="V275">
        <v>56.6</v>
      </c>
      <c r="W275">
        <v>47.94</v>
      </c>
      <c r="X275">
        <v>48.6</v>
      </c>
      <c r="Y275">
        <v>51</v>
      </c>
      <c r="Z275">
        <v>51.8</v>
      </c>
      <c r="AA275">
        <v>49.8</v>
      </c>
      <c r="AB275">
        <v>47</v>
      </c>
      <c r="AC275">
        <v>53.2</v>
      </c>
      <c r="AD275">
        <v>52</v>
      </c>
      <c r="AE275">
        <v>52.2</v>
      </c>
    </row>
    <row r="276" spans="1:31" x14ac:dyDescent="0.2">
      <c r="A276" s="18">
        <v>42614</v>
      </c>
      <c r="B276">
        <v>49.8</v>
      </c>
      <c r="C276">
        <v>46</v>
      </c>
      <c r="D276">
        <v>50.3</v>
      </c>
      <c r="E276">
        <v>52</v>
      </c>
      <c r="F276">
        <v>58.98</v>
      </c>
      <c r="G276">
        <v>52.6</v>
      </c>
      <c r="H276">
        <v>49.7</v>
      </c>
      <c r="I276">
        <v>54.3</v>
      </c>
      <c r="J276">
        <v>51</v>
      </c>
      <c r="K276">
        <v>49.2</v>
      </c>
      <c r="L276">
        <v>49.3</v>
      </c>
      <c r="M276">
        <v>52.1</v>
      </c>
      <c r="N276">
        <v>50.9</v>
      </c>
      <c r="O276">
        <v>51.3</v>
      </c>
      <c r="P276">
        <v>51</v>
      </c>
      <c r="Q276">
        <v>50.4</v>
      </c>
      <c r="R276">
        <v>51.9</v>
      </c>
      <c r="S276">
        <v>57.200032269804097</v>
      </c>
      <c r="T276">
        <v>52.2</v>
      </c>
      <c r="U276">
        <v>51.1</v>
      </c>
      <c r="V276">
        <v>55.3</v>
      </c>
      <c r="W276">
        <v>49.85</v>
      </c>
      <c r="X276">
        <v>47.6</v>
      </c>
      <c r="Y276">
        <v>52.3</v>
      </c>
      <c r="Z276">
        <v>52.2</v>
      </c>
      <c r="AA276">
        <v>48.8</v>
      </c>
      <c r="AB276">
        <v>48.3</v>
      </c>
      <c r="AC276">
        <v>55.6</v>
      </c>
      <c r="AD276">
        <v>51.5</v>
      </c>
      <c r="AE276">
        <v>52.9</v>
      </c>
    </row>
    <row r="277" spans="1:31" x14ac:dyDescent="0.2">
      <c r="A277" s="18">
        <v>42644</v>
      </c>
      <c r="B277">
        <v>50.9</v>
      </c>
      <c r="C277">
        <v>46.3</v>
      </c>
      <c r="D277">
        <v>51.1</v>
      </c>
      <c r="E277">
        <v>53.3</v>
      </c>
      <c r="F277">
        <v>57.31</v>
      </c>
      <c r="G277">
        <v>53.5</v>
      </c>
      <c r="H277">
        <v>51.8</v>
      </c>
      <c r="I277">
        <v>55</v>
      </c>
      <c r="J277">
        <v>52</v>
      </c>
      <c r="K277">
        <v>48.6</v>
      </c>
      <c r="L277">
        <v>48.2</v>
      </c>
      <c r="M277">
        <v>54.4</v>
      </c>
      <c r="N277">
        <v>48.7</v>
      </c>
      <c r="O277">
        <v>52.1</v>
      </c>
      <c r="P277">
        <v>50.9</v>
      </c>
      <c r="Q277">
        <v>51.4</v>
      </c>
      <c r="R277">
        <v>51.8</v>
      </c>
      <c r="S277">
        <v>54.770169462479103</v>
      </c>
      <c r="T277">
        <v>50.2</v>
      </c>
      <c r="U277">
        <v>52.4</v>
      </c>
      <c r="V277">
        <v>53.2</v>
      </c>
      <c r="W277">
        <v>46.47</v>
      </c>
      <c r="X277">
        <v>48</v>
      </c>
      <c r="Y277">
        <v>53.3</v>
      </c>
      <c r="Z277">
        <v>52.7</v>
      </c>
      <c r="AA277">
        <v>48.8</v>
      </c>
      <c r="AB277">
        <v>49.8</v>
      </c>
      <c r="AC277">
        <v>53.8</v>
      </c>
      <c r="AD277">
        <v>53.4</v>
      </c>
      <c r="AE277">
        <v>51.7</v>
      </c>
    </row>
    <row r="278" spans="1:31" x14ac:dyDescent="0.2">
      <c r="A278" s="18">
        <v>42675</v>
      </c>
      <c r="B278">
        <v>54.2</v>
      </c>
      <c r="C278">
        <v>46.2</v>
      </c>
      <c r="D278">
        <v>51.5</v>
      </c>
      <c r="E278">
        <v>52.2</v>
      </c>
      <c r="F278">
        <v>57.22</v>
      </c>
      <c r="G278">
        <v>53.7</v>
      </c>
      <c r="H278">
        <v>51.7</v>
      </c>
      <c r="I278">
        <v>54.3</v>
      </c>
      <c r="J278">
        <v>52.1</v>
      </c>
      <c r="K278">
        <v>48.3</v>
      </c>
      <c r="L278">
        <v>49.5</v>
      </c>
      <c r="M278">
        <v>52.3</v>
      </c>
      <c r="N278">
        <v>49.7</v>
      </c>
      <c r="O278">
        <v>53.7</v>
      </c>
      <c r="P278">
        <v>52.2</v>
      </c>
      <c r="Q278">
        <v>51.3</v>
      </c>
      <c r="R278">
        <v>51.1</v>
      </c>
      <c r="S278">
        <v>54.294699659706197</v>
      </c>
      <c r="T278">
        <v>51.9</v>
      </c>
      <c r="U278">
        <v>53.6</v>
      </c>
      <c r="V278">
        <v>55</v>
      </c>
      <c r="W278">
        <v>49.22</v>
      </c>
      <c r="X278">
        <v>48</v>
      </c>
      <c r="Y278">
        <v>54.5</v>
      </c>
      <c r="Z278">
        <v>54.7</v>
      </c>
      <c r="AA278">
        <v>48.2</v>
      </c>
      <c r="AB278">
        <v>48.8</v>
      </c>
      <c r="AC278">
        <v>53.2</v>
      </c>
      <c r="AD278">
        <v>54.1</v>
      </c>
      <c r="AE278">
        <v>54</v>
      </c>
    </row>
    <row r="279" spans="1:31" x14ac:dyDescent="0.2">
      <c r="A279" s="18">
        <v>42705</v>
      </c>
      <c r="B279">
        <v>55.4</v>
      </c>
      <c r="C279">
        <v>45.2</v>
      </c>
      <c r="D279">
        <v>51.8</v>
      </c>
      <c r="E279">
        <v>53.8</v>
      </c>
      <c r="F279">
        <v>62.52</v>
      </c>
      <c r="G279">
        <v>54.9</v>
      </c>
      <c r="H279">
        <v>53.5</v>
      </c>
      <c r="I279">
        <v>55.6</v>
      </c>
      <c r="J279">
        <v>52.7</v>
      </c>
      <c r="K279">
        <v>49.3</v>
      </c>
      <c r="L279">
        <v>50.3</v>
      </c>
      <c r="M279">
        <v>49.6</v>
      </c>
      <c r="N279">
        <v>49</v>
      </c>
      <c r="O279">
        <v>55.7</v>
      </c>
      <c r="P279">
        <v>53.2</v>
      </c>
      <c r="Q279">
        <v>52.4</v>
      </c>
      <c r="R279">
        <v>50.2</v>
      </c>
      <c r="S279">
        <v>54.632850303643103</v>
      </c>
      <c r="T279">
        <v>54.3</v>
      </c>
      <c r="U279">
        <v>53.7</v>
      </c>
      <c r="V279">
        <v>55.5</v>
      </c>
      <c r="W279">
        <v>48.56</v>
      </c>
      <c r="X279">
        <v>49.4</v>
      </c>
      <c r="Y279">
        <v>55.3</v>
      </c>
      <c r="Z279">
        <v>56.2</v>
      </c>
      <c r="AA279">
        <v>50.6</v>
      </c>
      <c r="AB279">
        <v>47.7</v>
      </c>
      <c r="AC279">
        <v>55.6</v>
      </c>
      <c r="AD279">
        <v>54.3</v>
      </c>
      <c r="AE279">
        <v>52.4</v>
      </c>
    </row>
    <row r="280" spans="1:31" x14ac:dyDescent="0.2">
      <c r="A280" s="18">
        <v>42736</v>
      </c>
      <c r="B280">
        <v>51.2</v>
      </c>
      <c r="C280">
        <v>44</v>
      </c>
      <c r="D280">
        <v>53.5</v>
      </c>
      <c r="E280">
        <v>55.7</v>
      </c>
      <c r="F280">
        <v>57.57</v>
      </c>
      <c r="G280">
        <v>55.2</v>
      </c>
      <c r="H280">
        <v>53.6</v>
      </c>
      <c r="I280">
        <v>56.4</v>
      </c>
      <c r="J280">
        <v>52.7</v>
      </c>
      <c r="K280">
        <v>46.6</v>
      </c>
      <c r="L280">
        <v>49.9</v>
      </c>
      <c r="M280">
        <v>50.4</v>
      </c>
      <c r="N280">
        <v>50.4</v>
      </c>
      <c r="O280">
        <v>55.5</v>
      </c>
      <c r="P280">
        <v>53</v>
      </c>
      <c r="Q280">
        <v>52.7</v>
      </c>
      <c r="R280">
        <v>50.8</v>
      </c>
      <c r="S280">
        <v>53.201234556972999</v>
      </c>
      <c r="T280">
        <v>54.8</v>
      </c>
      <c r="U280">
        <v>54.7</v>
      </c>
      <c r="V280">
        <v>56.7</v>
      </c>
      <c r="W280">
        <v>50.08</v>
      </c>
      <c r="X280">
        <v>49</v>
      </c>
      <c r="Y280">
        <v>55.6</v>
      </c>
      <c r="Z280">
        <v>55.6</v>
      </c>
      <c r="AA280">
        <v>50.6</v>
      </c>
      <c r="AB280">
        <v>48.7</v>
      </c>
      <c r="AC280">
        <v>55.2</v>
      </c>
      <c r="AD280">
        <v>55</v>
      </c>
      <c r="AE280">
        <v>51.9</v>
      </c>
    </row>
    <row r="281" spans="1:31" x14ac:dyDescent="0.2">
      <c r="A281" s="18">
        <v>42767</v>
      </c>
      <c r="B281">
        <v>59.3</v>
      </c>
      <c r="C281">
        <v>46.9</v>
      </c>
      <c r="D281">
        <v>54.7</v>
      </c>
      <c r="E281">
        <v>57.6</v>
      </c>
      <c r="F281">
        <v>56.51</v>
      </c>
      <c r="G281">
        <v>55.4</v>
      </c>
      <c r="H281">
        <v>52.2</v>
      </c>
      <c r="I281">
        <v>56.8</v>
      </c>
      <c r="J281">
        <v>53</v>
      </c>
      <c r="K281">
        <v>47.7</v>
      </c>
      <c r="L281">
        <v>49.6</v>
      </c>
      <c r="M281">
        <v>50.7</v>
      </c>
      <c r="N281">
        <v>49.3</v>
      </c>
      <c r="O281">
        <v>53.8</v>
      </c>
      <c r="P281">
        <v>55</v>
      </c>
      <c r="Q281">
        <v>53.3</v>
      </c>
      <c r="R281">
        <v>50.6</v>
      </c>
      <c r="S281">
        <v>56.052093803738103</v>
      </c>
      <c r="T281">
        <v>54.2</v>
      </c>
      <c r="U281">
        <v>52.5</v>
      </c>
      <c r="V281">
        <v>57</v>
      </c>
      <c r="W281">
        <v>51.22</v>
      </c>
      <c r="X281">
        <v>49.2</v>
      </c>
      <c r="Y281">
        <v>54.8</v>
      </c>
      <c r="Z281">
        <v>54.5</v>
      </c>
      <c r="AA281">
        <v>50.6</v>
      </c>
      <c r="AB281">
        <v>49.7</v>
      </c>
      <c r="AC281">
        <v>54.5</v>
      </c>
      <c r="AD281">
        <v>54.2</v>
      </c>
      <c r="AE281">
        <v>54.2</v>
      </c>
    </row>
    <row r="282" spans="1:31" x14ac:dyDescent="0.2">
      <c r="A282" s="18">
        <v>42795</v>
      </c>
      <c r="B282">
        <v>57.5</v>
      </c>
      <c r="C282">
        <v>49.6</v>
      </c>
      <c r="D282">
        <v>55.5</v>
      </c>
      <c r="E282">
        <v>57.5</v>
      </c>
      <c r="F282">
        <v>56.62</v>
      </c>
      <c r="G282">
        <v>56.2</v>
      </c>
      <c r="H282">
        <v>53.3</v>
      </c>
      <c r="I282">
        <v>58.3</v>
      </c>
      <c r="J282">
        <v>53</v>
      </c>
      <c r="K282">
        <v>46.7</v>
      </c>
      <c r="L282">
        <v>49.9</v>
      </c>
      <c r="M282">
        <v>52.5</v>
      </c>
      <c r="N282">
        <v>50.5</v>
      </c>
      <c r="O282">
        <v>53.6</v>
      </c>
      <c r="P282">
        <v>55.7</v>
      </c>
      <c r="Q282">
        <v>52.4</v>
      </c>
      <c r="R282">
        <v>51.5</v>
      </c>
      <c r="S282">
        <v>58.722829092940202</v>
      </c>
      <c r="T282">
        <v>53.5</v>
      </c>
      <c r="U282">
        <v>52.4</v>
      </c>
      <c r="V282">
        <v>56.4</v>
      </c>
      <c r="W282">
        <v>50.81</v>
      </c>
      <c r="X282">
        <v>48.4</v>
      </c>
      <c r="Y282">
        <v>53.9</v>
      </c>
      <c r="Z282">
        <v>56.2</v>
      </c>
      <c r="AA282">
        <v>50.2</v>
      </c>
      <c r="AB282">
        <v>52.3</v>
      </c>
      <c r="AC282">
        <v>54.1</v>
      </c>
      <c r="AD282">
        <v>53.3</v>
      </c>
      <c r="AE282">
        <v>54.6</v>
      </c>
    </row>
    <row r="283" spans="1:31" x14ac:dyDescent="0.2">
      <c r="A283" s="18">
        <v>42826</v>
      </c>
      <c r="B283">
        <v>59.2</v>
      </c>
      <c r="C283">
        <v>50.1</v>
      </c>
      <c r="D283">
        <v>55.9</v>
      </c>
      <c r="E283">
        <v>57.5</v>
      </c>
      <c r="F283">
        <v>49.11</v>
      </c>
      <c r="G283">
        <v>56.7</v>
      </c>
      <c r="H283">
        <v>55.1</v>
      </c>
      <c r="I283">
        <v>58.2</v>
      </c>
      <c r="J283">
        <v>52.7</v>
      </c>
      <c r="K283">
        <v>48.2</v>
      </c>
      <c r="L283">
        <v>51.1</v>
      </c>
      <c r="M283">
        <v>52.5</v>
      </c>
      <c r="N283">
        <v>51.2</v>
      </c>
      <c r="O283">
        <v>55</v>
      </c>
      <c r="P283">
        <v>56.2</v>
      </c>
      <c r="Q283">
        <v>52.7</v>
      </c>
      <c r="R283">
        <v>50.7</v>
      </c>
      <c r="S283">
        <v>56.591209988029298</v>
      </c>
      <c r="T283">
        <v>54.1</v>
      </c>
      <c r="U283">
        <v>50.8</v>
      </c>
      <c r="V283">
        <v>56.5</v>
      </c>
      <c r="W283">
        <v>43.53</v>
      </c>
      <c r="X283">
        <v>49.4</v>
      </c>
      <c r="Y283">
        <v>54.5</v>
      </c>
      <c r="Z283">
        <v>54.4</v>
      </c>
      <c r="AA283">
        <v>49.8</v>
      </c>
      <c r="AB283">
        <v>51.7</v>
      </c>
      <c r="AC283">
        <v>57.8</v>
      </c>
      <c r="AD283">
        <v>52.8</v>
      </c>
      <c r="AE283">
        <v>54.1</v>
      </c>
    </row>
    <row r="284" spans="1:31" x14ac:dyDescent="0.2">
      <c r="A284" s="18">
        <v>42856</v>
      </c>
      <c r="B284">
        <v>54.8</v>
      </c>
      <c r="C284">
        <v>52</v>
      </c>
      <c r="D284">
        <v>55.1</v>
      </c>
      <c r="E284">
        <v>56.4</v>
      </c>
      <c r="F284">
        <v>57.99</v>
      </c>
      <c r="G284">
        <v>57</v>
      </c>
      <c r="H284">
        <v>53.8</v>
      </c>
      <c r="I284">
        <v>59.5</v>
      </c>
      <c r="J284">
        <v>52.6</v>
      </c>
      <c r="K284">
        <v>49.6</v>
      </c>
      <c r="L284">
        <v>50.5</v>
      </c>
      <c r="M284">
        <v>51.6</v>
      </c>
      <c r="N284">
        <v>50.6</v>
      </c>
      <c r="O284">
        <v>55.9</v>
      </c>
      <c r="P284">
        <v>55.1</v>
      </c>
      <c r="Q284">
        <v>53.1</v>
      </c>
      <c r="R284">
        <v>51.2</v>
      </c>
      <c r="S284">
        <v>57.6796522807713</v>
      </c>
      <c r="T284">
        <v>52.7</v>
      </c>
      <c r="U284">
        <v>52.4</v>
      </c>
      <c r="V284">
        <v>55.3</v>
      </c>
      <c r="W284">
        <v>50.11</v>
      </c>
      <c r="X284">
        <v>49.2</v>
      </c>
      <c r="Y284">
        <v>55.4</v>
      </c>
      <c r="Z284">
        <v>53.1</v>
      </c>
      <c r="AA284">
        <v>49.7</v>
      </c>
      <c r="AB284">
        <v>53.5</v>
      </c>
      <c r="AC284">
        <v>56.6</v>
      </c>
      <c r="AD284">
        <v>52.7</v>
      </c>
      <c r="AE284">
        <v>51.6</v>
      </c>
    </row>
    <row r="285" spans="1:31" x14ac:dyDescent="0.2">
      <c r="A285" s="18">
        <v>42887</v>
      </c>
      <c r="B285">
        <v>55</v>
      </c>
      <c r="C285">
        <v>50.5</v>
      </c>
      <c r="D285">
        <v>54.7</v>
      </c>
      <c r="E285">
        <v>56.4</v>
      </c>
      <c r="F285">
        <v>63.61</v>
      </c>
      <c r="G285">
        <v>57.4</v>
      </c>
      <c r="H285">
        <v>54.8</v>
      </c>
      <c r="I285">
        <v>59.6</v>
      </c>
      <c r="J285">
        <v>52.6</v>
      </c>
      <c r="K285">
        <v>50.5</v>
      </c>
      <c r="L285">
        <v>51.1</v>
      </c>
      <c r="M285">
        <v>50.9</v>
      </c>
      <c r="N285">
        <v>49.5</v>
      </c>
      <c r="O285">
        <v>56</v>
      </c>
      <c r="P285">
        <v>55.2</v>
      </c>
      <c r="Q285">
        <v>52.4</v>
      </c>
      <c r="R285">
        <v>52.3</v>
      </c>
      <c r="S285">
        <v>55.908061806319601</v>
      </c>
      <c r="T285">
        <v>53.1</v>
      </c>
      <c r="U285">
        <v>50.3</v>
      </c>
      <c r="V285">
        <v>54.3</v>
      </c>
      <c r="W285">
        <v>45.98</v>
      </c>
      <c r="X285">
        <v>50.1</v>
      </c>
      <c r="Y285">
        <v>54.7</v>
      </c>
      <c r="Z285">
        <v>53.3</v>
      </c>
      <c r="AA285">
        <v>50.4</v>
      </c>
      <c r="AB285">
        <v>54.7</v>
      </c>
      <c r="AC285">
        <v>54.4</v>
      </c>
      <c r="AD285">
        <v>52</v>
      </c>
      <c r="AE285">
        <v>52.5</v>
      </c>
    </row>
    <row r="286" spans="1:31" x14ac:dyDescent="0.2">
      <c r="A286" s="18">
        <v>42917</v>
      </c>
      <c r="B286">
        <v>56</v>
      </c>
      <c r="C286">
        <v>50</v>
      </c>
      <c r="D286">
        <v>55.5</v>
      </c>
      <c r="E286">
        <v>55.3</v>
      </c>
      <c r="F286">
        <v>63.72</v>
      </c>
      <c r="G286">
        <v>56.6</v>
      </c>
      <c r="H286">
        <v>54.9</v>
      </c>
      <c r="I286">
        <v>58.1</v>
      </c>
      <c r="J286">
        <v>52.8</v>
      </c>
      <c r="K286">
        <v>50.5</v>
      </c>
      <c r="L286">
        <v>51.3</v>
      </c>
      <c r="M286">
        <v>47.9</v>
      </c>
      <c r="N286">
        <v>48.6</v>
      </c>
      <c r="O286">
        <v>54.6</v>
      </c>
      <c r="P286">
        <v>55.1</v>
      </c>
      <c r="Q286">
        <v>52.1</v>
      </c>
      <c r="R286">
        <v>51.2</v>
      </c>
      <c r="S286">
        <v>55.831645577076003</v>
      </c>
      <c r="T286">
        <v>52.3</v>
      </c>
      <c r="U286">
        <v>52.7</v>
      </c>
      <c r="V286">
        <v>55.7</v>
      </c>
      <c r="W286">
        <v>42.1</v>
      </c>
      <c r="X286">
        <v>49.1</v>
      </c>
      <c r="Y286">
        <v>54</v>
      </c>
      <c r="Z286">
        <v>53.6</v>
      </c>
      <c r="AA286">
        <v>49.6</v>
      </c>
      <c r="AB286">
        <v>53.6</v>
      </c>
      <c r="AC286">
        <v>55.3</v>
      </c>
      <c r="AD286">
        <v>53.3</v>
      </c>
      <c r="AE286">
        <v>51.7</v>
      </c>
    </row>
    <row r="287" spans="1:31" x14ac:dyDescent="0.2">
      <c r="A287" s="18">
        <v>42948</v>
      </c>
      <c r="B287">
        <v>59.8</v>
      </c>
      <c r="C287">
        <v>50.9</v>
      </c>
      <c r="D287">
        <v>54.6</v>
      </c>
      <c r="E287">
        <v>54.9</v>
      </c>
      <c r="F287">
        <v>60.57</v>
      </c>
      <c r="G287">
        <v>57.4</v>
      </c>
      <c r="H287">
        <v>55.8</v>
      </c>
      <c r="I287">
        <v>59.3</v>
      </c>
      <c r="J287">
        <v>53.2</v>
      </c>
      <c r="K287">
        <v>52.2</v>
      </c>
      <c r="L287">
        <v>49.7</v>
      </c>
      <c r="M287">
        <v>51.2</v>
      </c>
      <c r="N287">
        <v>50.7</v>
      </c>
      <c r="O287">
        <v>56.1</v>
      </c>
      <c r="P287">
        <v>56.3</v>
      </c>
      <c r="Q287">
        <v>52.2</v>
      </c>
      <c r="R287">
        <v>52.2</v>
      </c>
      <c r="S287">
        <v>57.887533658349597</v>
      </c>
      <c r="T287">
        <v>52.5</v>
      </c>
      <c r="U287">
        <v>51.6</v>
      </c>
      <c r="V287">
        <v>55.8</v>
      </c>
      <c r="W287">
        <v>46.1</v>
      </c>
      <c r="X287">
        <v>49.9</v>
      </c>
      <c r="Y287">
        <v>52.4</v>
      </c>
      <c r="Z287">
        <v>54.3</v>
      </c>
      <c r="AA287">
        <v>49.5</v>
      </c>
      <c r="AB287">
        <v>55.3</v>
      </c>
      <c r="AC287">
        <v>56.8</v>
      </c>
      <c r="AD287">
        <v>52.8</v>
      </c>
      <c r="AE287">
        <v>51.8</v>
      </c>
    </row>
    <row r="288" spans="1:31" x14ac:dyDescent="0.2">
      <c r="A288" s="18">
        <v>42979</v>
      </c>
      <c r="B288">
        <v>54.2</v>
      </c>
      <c r="C288">
        <v>50.9</v>
      </c>
      <c r="D288">
        <v>55</v>
      </c>
      <c r="E288">
        <v>56.6</v>
      </c>
      <c r="F288">
        <v>61.78</v>
      </c>
      <c r="G288">
        <v>58.1</v>
      </c>
      <c r="H288">
        <v>56.1</v>
      </c>
      <c r="I288">
        <v>60.6</v>
      </c>
      <c r="J288">
        <v>53.3</v>
      </c>
      <c r="K288">
        <v>52.8</v>
      </c>
      <c r="L288">
        <v>51.2</v>
      </c>
      <c r="M288">
        <v>51.2</v>
      </c>
      <c r="N288">
        <v>50.4</v>
      </c>
      <c r="O288">
        <v>55.4</v>
      </c>
      <c r="P288">
        <v>56.3</v>
      </c>
      <c r="Q288">
        <v>52.9</v>
      </c>
      <c r="R288">
        <v>52.8</v>
      </c>
      <c r="S288">
        <v>57.5865651905984</v>
      </c>
      <c r="T288">
        <v>53.7</v>
      </c>
      <c r="U288">
        <v>51.9</v>
      </c>
      <c r="V288">
        <v>55.5</v>
      </c>
      <c r="W288">
        <v>46.4</v>
      </c>
      <c r="X288">
        <v>50.6</v>
      </c>
      <c r="Y288">
        <v>54.3</v>
      </c>
      <c r="Z288">
        <v>54.2</v>
      </c>
      <c r="AA288">
        <v>50.3</v>
      </c>
      <c r="AB288">
        <v>53.5</v>
      </c>
      <c r="AC288">
        <v>56</v>
      </c>
      <c r="AD288">
        <v>53.1</v>
      </c>
      <c r="AE288">
        <v>53.3</v>
      </c>
    </row>
    <row r="289" spans="1:31" x14ac:dyDescent="0.2">
      <c r="A289" s="18">
        <v>43009</v>
      </c>
      <c r="B289">
        <v>51.1</v>
      </c>
      <c r="C289">
        <v>51.2</v>
      </c>
      <c r="D289">
        <v>54.3</v>
      </c>
      <c r="E289">
        <v>58.5</v>
      </c>
      <c r="F289">
        <v>58.57</v>
      </c>
      <c r="G289">
        <v>58.5</v>
      </c>
      <c r="H289">
        <v>56.1</v>
      </c>
      <c r="I289">
        <v>60.6</v>
      </c>
      <c r="J289">
        <v>53.5</v>
      </c>
      <c r="K289">
        <v>52.1</v>
      </c>
      <c r="L289">
        <v>50.3</v>
      </c>
      <c r="M289">
        <v>50.3</v>
      </c>
      <c r="N289">
        <v>50.1</v>
      </c>
      <c r="O289">
        <v>54.4</v>
      </c>
      <c r="P289">
        <v>57.8</v>
      </c>
      <c r="Q289">
        <v>52.8</v>
      </c>
      <c r="R289">
        <v>49.2</v>
      </c>
      <c r="S289">
        <v>56.831431477817098</v>
      </c>
      <c r="T289">
        <v>53.4</v>
      </c>
      <c r="U289">
        <v>51.1</v>
      </c>
      <c r="V289">
        <v>55.6</v>
      </c>
      <c r="W289">
        <v>48.4</v>
      </c>
      <c r="X289">
        <v>50.2</v>
      </c>
      <c r="Y289">
        <v>55.8</v>
      </c>
      <c r="Z289">
        <v>53.6</v>
      </c>
      <c r="AA289">
        <v>49.8</v>
      </c>
      <c r="AB289">
        <v>52.8</v>
      </c>
      <c r="AC289">
        <v>56.2</v>
      </c>
      <c r="AD289">
        <v>54.6</v>
      </c>
      <c r="AE289">
        <v>51.6</v>
      </c>
    </row>
    <row r="290" spans="1:31" x14ac:dyDescent="0.2">
      <c r="A290" s="18">
        <v>43040</v>
      </c>
      <c r="B290">
        <v>57.3</v>
      </c>
      <c r="C290">
        <v>53.5</v>
      </c>
      <c r="D290">
        <v>54.4</v>
      </c>
      <c r="E290">
        <v>58.7</v>
      </c>
      <c r="F290">
        <v>58.31</v>
      </c>
      <c r="G290">
        <v>60.1</v>
      </c>
      <c r="H290">
        <v>57.7</v>
      </c>
      <c r="I290">
        <v>62.5</v>
      </c>
      <c r="J290">
        <v>54.1</v>
      </c>
      <c r="K290">
        <v>52.2</v>
      </c>
      <c r="L290">
        <v>50.7</v>
      </c>
      <c r="M290">
        <v>52.6</v>
      </c>
      <c r="N290">
        <v>50.4</v>
      </c>
      <c r="O290">
        <v>58.1</v>
      </c>
      <c r="P290">
        <v>58.3</v>
      </c>
      <c r="Q290">
        <v>53.6</v>
      </c>
      <c r="R290">
        <v>52.4</v>
      </c>
      <c r="S290">
        <v>57.427575830614998</v>
      </c>
      <c r="T290">
        <v>54.2</v>
      </c>
      <c r="U290">
        <v>51.5</v>
      </c>
      <c r="V290">
        <v>57.5</v>
      </c>
      <c r="W290">
        <v>48.9</v>
      </c>
      <c r="X290">
        <v>51.2</v>
      </c>
      <c r="Y290">
        <v>56.1</v>
      </c>
      <c r="Z290">
        <v>56.3</v>
      </c>
      <c r="AA290">
        <v>50</v>
      </c>
      <c r="AB290">
        <v>52.9</v>
      </c>
      <c r="AC290">
        <v>58.3</v>
      </c>
      <c r="AD290">
        <v>53.9</v>
      </c>
      <c r="AE290">
        <v>51.4</v>
      </c>
    </row>
    <row r="291" spans="1:31" x14ac:dyDescent="0.2">
      <c r="A291" s="18">
        <v>43070</v>
      </c>
      <c r="B291">
        <v>56.2</v>
      </c>
      <c r="C291">
        <v>52.4</v>
      </c>
      <c r="D291">
        <v>54.7</v>
      </c>
      <c r="E291">
        <v>59.8</v>
      </c>
      <c r="F291">
        <v>61.04</v>
      </c>
      <c r="G291">
        <v>60.6</v>
      </c>
      <c r="H291">
        <v>58.8</v>
      </c>
      <c r="I291">
        <v>63.3</v>
      </c>
      <c r="J291">
        <v>54.5</v>
      </c>
      <c r="K291">
        <v>53.1</v>
      </c>
      <c r="L291">
        <v>51.5</v>
      </c>
      <c r="M291">
        <v>54.7</v>
      </c>
      <c r="N291">
        <v>49.3</v>
      </c>
      <c r="O291">
        <v>59.1</v>
      </c>
      <c r="P291">
        <v>57.4</v>
      </c>
      <c r="Q291">
        <v>54</v>
      </c>
      <c r="R291">
        <v>51.7</v>
      </c>
      <c r="S291">
        <v>50.964893006040199</v>
      </c>
      <c r="T291">
        <v>55</v>
      </c>
      <c r="U291">
        <v>52</v>
      </c>
      <c r="V291">
        <v>57.3</v>
      </c>
      <c r="W291">
        <v>45.9</v>
      </c>
      <c r="X291">
        <v>49.9</v>
      </c>
      <c r="Y291">
        <v>55.8</v>
      </c>
      <c r="Z291">
        <v>56.6</v>
      </c>
      <c r="AA291">
        <v>50.4</v>
      </c>
      <c r="AB291">
        <v>54.9</v>
      </c>
      <c r="AC291">
        <v>56</v>
      </c>
      <c r="AD291">
        <v>55.1</v>
      </c>
      <c r="AE291">
        <v>52.5</v>
      </c>
    </row>
    <row r="292" spans="1:31" x14ac:dyDescent="0.2">
      <c r="A292" s="18">
        <v>43101</v>
      </c>
      <c r="B292">
        <v>58.7</v>
      </c>
      <c r="C292">
        <v>51.2</v>
      </c>
      <c r="D292">
        <v>55.9</v>
      </c>
      <c r="E292">
        <v>59.8</v>
      </c>
      <c r="F292">
        <v>66.650000000000006</v>
      </c>
      <c r="G292">
        <v>59.6</v>
      </c>
      <c r="H292">
        <v>58.4</v>
      </c>
      <c r="I292">
        <v>61.1</v>
      </c>
      <c r="J292">
        <v>54.4</v>
      </c>
      <c r="K292">
        <v>55.2</v>
      </c>
      <c r="L292">
        <v>51.1</v>
      </c>
      <c r="M292">
        <v>52.4</v>
      </c>
      <c r="N292">
        <v>49.9</v>
      </c>
      <c r="O292">
        <v>57.6</v>
      </c>
      <c r="P292">
        <v>59</v>
      </c>
      <c r="Q292">
        <v>54.8</v>
      </c>
      <c r="R292">
        <v>52.6</v>
      </c>
      <c r="S292">
        <v>55.399130043972598</v>
      </c>
      <c r="T292">
        <v>54.6</v>
      </c>
      <c r="U292">
        <v>52.1</v>
      </c>
      <c r="V292">
        <v>53</v>
      </c>
      <c r="W292">
        <v>49.2</v>
      </c>
      <c r="X292">
        <v>50.7</v>
      </c>
      <c r="Y292">
        <v>55.2</v>
      </c>
      <c r="Z292">
        <v>56.9</v>
      </c>
      <c r="AA292">
        <v>50.6</v>
      </c>
      <c r="AB292">
        <v>55.7</v>
      </c>
      <c r="AC292">
        <v>55</v>
      </c>
      <c r="AD292">
        <v>55.5</v>
      </c>
      <c r="AE292">
        <v>53.4</v>
      </c>
    </row>
    <row r="293" spans="1:31" x14ac:dyDescent="0.2">
      <c r="A293" s="18">
        <v>43132</v>
      </c>
      <c r="B293">
        <v>57.5</v>
      </c>
      <c r="C293">
        <v>53.2</v>
      </c>
      <c r="D293">
        <v>55.6</v>
      </c>
      <c r="E293">
        <v>58.8</v>
      </c>
      <c r="F293">
        <v>70.75</v>
      </c>
      <c r="G293">
        <v>58.6</v>
      </c>
      <c r="H293">
        <v>55.9</v>
      </c>
      <c r="I293">
        <v>60.6</v>
      </c>
      <c r="J293">
        <v>54.1</v>
      </c>
      <c r="K293">
        <v>56.1</v>
      </c>
      <c r="L293">
        <v>51.7</v>
      </c>
      <c r="M293">
        <v>52.1</v>
      </c>
      <c r="N293">
        <v>51.4</v>
      </c>
      <c r="O293">
        <v>56.2</v>
      </c>
      <c r="P293">
        <v>56.8</v>
      </c>
      <c r="Q293">
        <v>54.1</v>
      </c>
      <c r="R293">
        <v>51.6</v>
      </c>
      <c r="S293">
        <v>53.452875132901703</v>
      </c>
      <c r="T293">
        <v>53.7</v>
      </c>
      <c r="U293">
        <v>50.2</v>
      </c>
      <c r="V293">
        <v>53.2</v>
      </c>
      <c r="W293">
        <v>50</v>
      </c>
      <c r="X293">
        <v>50.3</v>
      </c>
      <c r="Y293">
        <v>56</v>
      </c>
      <c r="Z293">
        <v>56</v>
      </c>
      <c r="AA293">
        <v>50.9</v>
      </c>
      <c r="AB293">
        <v>55.6</v>
      </c>
      <c r="AC293">
        <v>54.9</v>
      </c>
      <c r="AD293">
        <v>55.3</v>
      </c>
      <c r="AE293">
        <v>53.5</v>
      </c>
    </row>
    <row r="294" spans="1:31" x14ac:dyDescent="0.2">
      <c r="A294" s="18">
        <v>43160</v>
      </c>
      <c r="B294">
        <v>63.1</v>
      </c>
      <c r="C294">
        <v>53.4</v>
      </c>
      <c r="D294">
        <v>55.7</v>
      </c>
      <c r="E294">
        <v>57.3</v>
      </c>
      <c r="F294">
        <v>61.05</v>
      </c>
      <c r="G294">
        <v>56.6</v>
      </c>
      <c r="H294">
        <v>53.7</v>
      </c>
      <c r="I294">
        <v>58.4</v>
      </c>
      <c r="J294">
        <v>53.3</v>
      </c>
      <c r="K294">
        <v>55</v>
      </c>
      <c r="L294">
        <v>50.6</v>
      </c>
      <c r="M294">
        <v>51</v>
      </c>
      <c r="N294">
        <v>50.7</v>
      </c>
      <c r="O294">
        <v>54.1</v>
      </c>
      <c r="P294">
        <v>55.1</v>
      </c>
      <c r="Q294">
        <v>53.2</v>
      </c>
      <c r="R294">
        <v>52.4</v>
      </c>
      <c r="S294">
        <v>53.138892832554802</v>
      </c>
      <c r="T294">
        <v>53.7</v>
      </c>
      <c r="U294">
        <v>50.6</v>
      </c>
      <c r="V294">
        <v>52.8</v>
      </c>
      <c r="W294">
        <v>46.7</v>
      </c>
      <c r="X294">
        <v>49.1</v>
      </c>
      <c r="Y294">
        <v>54.8</v>
      </c>
      <c r="Z294">
        <v>55.3</v>
      </c>
      <c r="AA294">
        <v>49.1</v>
      </c>
      <c r="AB294">
        <v>51.8</v>
      </c>
      <c r="AC294">
        <v>54.9</v>
      </c>
      <c r="AD294">
        <v>55.6</v>
      </c>
      <c r="AE294">
        <v>51.6</v>
      </c>
    </row>
    <row r="295" spans="1:31" x14ac:dyDescent="0.2">
      <c r="A295" s="18">
        <v>43191</v>
      </c>
      <c r="B295">
        <v>58.3</v>
      </c>
      <c r="C295">
        <v>52.3</v>
      </c>
      <c r="D295">
        <v>55.5</v>
      </c>
      <c r="E295">
        <v>57.2</v>
      </c>
      <c r="F295">
        <v>54.24</v>
      </c>
      <c r="G295">
        <v>56.2</v>
      </c>
      <c r="H295">
        <v>53.8</v>
      </c>
      <c r="I295">
        <v>58.1</v>
      </c>
      <c r="J295">
        <v>53.5</v>
      </c>
      <c r="K295">
        <v>52.9</v>
      </c>
      <c r="L295">
        <v>49.1</v>
      </c>
      <c r="M295">
        <v>51.6</v>
      </c>
      <c r="N295">
        <v>51.6</v>
      </c>
      <c r="O295">
        <v>55.3</v>
      </c>
      <c r="P295">
        <v>53.5</v>
      </c>
      <c r="Q295">
        <v>53.8</v>
      </c>
      <c r="R295">
        <v>51.6</v>
      </c>
      <c r="S295">
        <v>59.203530801353899</v>
      </c>
      <c r="T295">
        <v>53.9</v>
      </c>
      <c r="U295">
        <v>51.3</v>
      </c>
      <c r="V295">
        <v>51.4</v>
      </c>
      <c r="W295">
        <v>49.1</v>
      </c>
      <c r="X295">
        <v>48.4</v>
      </c>
      <c r="Y295">
        <v>54.4</v>
      </c>
      <c r="Z295">
        <v>54.8</v>
      </c>
      <c r="AA295">
        <v>49.5</v>
      </c>
      <c r="AB295">
        <v>48.9</v>
      </c>
      <c r="AC295">
        <v>53.9</v>
      </c>
      <c r="AD295">
        <v>56.5</v>
      </c>
      <c r="AE295">
        <v>52.9</v>
      </c>
    </row>
    <row r="296" spans="1:31" x14ac:dyDescent="0.2">
      <c r="A296" s="18">
        <v>43221</v>
      </c>
      <c r="B296">
        <v>57.5</v>
      </c>
      <c r="C296">
        <v>50.7</v>
      </c>
      <c r="D296">
        <v>56.2</v>
      </c>
      <c r="E296">
        <v>56.5</v>
      </c>
      <c r="F296">
        <v>47.78</v>
      </c>
      <c r="G296">
        <v>55.5</v>
      </c>
      <c r="H296">
        <v>55.1</v>
      </c>
      <c r="I296">
        <v>56.9</v>
      </c>
      <c r="J296">
        <v>53.1</v>
      </c>
      <c r="K296">
        <v>54.2</v>
      </c>
      <c r="L296">
        <v>47.8</v>
      </c>
      <c r="M296">
        <v>51.2</v>
      </c>
      <c r="N296">
        <v>51.7</v>
      </c>
      <c r="O296">
        <v>55.4</v>
      </c>
      <c r="P296">
        <v>52.7</v>
      </c>
      <c r="Q296">
        <v>52.8</v>
      </c>
      <c r="R296">
        <v>51</v>
      </c>
      <c r="S296">
        <v>54.328230091142899</v>
      </c>
      <c r="T296">
        <v>53.3</v>
      </c>
      <c r="U296">
        <v>49.8</v>
      </c>
      <c r="V296">
        <v>53.2</v>
      </c>
      <c r="W296">
        <v>49.4</v>
      </c>
      <c r="X296">
        <v>48.9</v>
      </c>
      <c r="Y296">
        <v>53.4</v>
      </c>
      <c r="Z296">
        <v>53.4</v>
      </c>
      <c r="AA296">
        <v>51.1</v>
      </c>
      <c r="AB296">
        <v>46.4</v>
      </c>
      <c r="AC296">
        <v>54.4</v>
      </c>
      <c r="AD296">
        <v>56.4</v>
      </c>
      <c r="AE296">
        <v>53.9</v>
      </c>
    </row>
    <row r="297" spans="1:31" x14ac:dyDescent="0.2">
      <c r="A297" s="18">
        <v>43252</v>
      </c>
      <c r="B297">
        <v>57.4</v>
      </c>
      <c r="C297">
        <v>49.8</v>
      </c>
      <c r="D297">
        <v>57.1</v>
      </c>
      <c r="E297">
        <v>56.8</v>
      </c>
      <c r="F297">
        <v>49.8</v>
      </c>
      <c r="G297">
        <v>54.9</v>
      </c>
      <c r="H297">
        <v>52.5</v>
      </c>
      <c r="I297">
        <v>55.9</v>
      </c>
      <c r="J297">
        <v>53</v>
      </c>
      <c r="K297">
        <v>53.5</v>
      </c>
      <c r="L297">
        <v>47.7</v>
      </c>
      <c r="M297">
        <v>53.1</v>
      </c>
      <c r="N297">
        <v>50.3</v>
      </c>
      <c r="O297">
        <v>56.6</v>
      </c>
      <c r="P297">
        <v>53.3</v>
      </c>
      <c r="Q297">
        <v>53</v>
      </c>
      <c r="R297">
        <v>52.1</v>
      </c>
      <c r="S297">
        <v>52.724539725642202</v>
      </c>
      <c r="T297">
        <v>54.2</v>
      </c>
      <c r="U297">
        <v>49.5</v>
      </c>
      <c r="V297">
        <v>55</v>
      </c>
      <c r="W297">
        <v>48</v>
      </c>
      <c r="X297">
        <v>49.8</v>
      </c>
      <c r="Y297">
        <v>53.4</v>
      </c>
      <c r="Z297">
        <v>54.5</v>
      </c>
      <c r="AA297">
        <v>50.2</v>
      </c>
      <c r="AB297">
        <v>46.8</v>
      </c>
      <c r="AC297">
        <v>54.4</v>
      </c>
      <c r="AD297">
        <v>55.4</v>
      </c>
      <c r="AE297">
        <v>55.7</v>
      </c>
    </row>
    <row r="298" spans="1:31" x14ac:dyDescent="0.2">
      <c r="A298" s="18">
        <v>43282</v>
      </c>
      <c r="B298">
        <v>52</v>
      </c>
      <c r="C298">
        <v>50.5</v>
      </c>
      <c r="D298">
        <v>56.9</v>
      </c>
      <c r="E298">
        <v>55.4</v>
      </c>
      <c r="F298">
        <v>55.7</v>
      </c>
      <c r="G298">
        <v>55.1</v>
      </c>
      <c r="H298">
        <v>53.3</v>
      </c>
      <c r="I298">
        <v>56.9</v>
      </c>
      <c r="J298">
        <v>52.8</v>
      </c>
      <c r="K298">
        <v>53.5</v>
      </c>
      <c r="L298">
        <v>48.2</v>
      </c>
      <c r="M298">
        <v>52.3</v>
      </c>
      <c r="N298">
        <v>50.5</v>
      </c>
      <c r="O298">
        <v>56.3</v>
      </c>
      <c r="P298">
        <v>51.5</v>
      </c>
      <c r="Q298">
        <v>52.3</v>
      </c>
      <c r="R298">
        <v>52.1</v>
      </c>
      <c r="S298">
        <v>51.2462636215065</v>
      </c>
      <c r="T298">
        <v>52.9</v>
      </c>
      <c r="U298">
        <v>48.1</v>
      </c>
      <c r="V298">
        <v>54.9</v>
      </c>
      <c r="W298">
        <v>49.9</v>
      </c>
      <c r="X298">
        <v>48.3</v>
      </c>
      <c r="Y298">
        <v>52.9</v>
      </c>
      <c r="Z298">
        <v>53.1</v>
      </c>
      <c r="AA298">
        <v>50.1</v>
      </c>
      <c r="AB298">
        <v>49</v>
      </c>
      <c r="AC298">
        <v>54</v>
      </c>
      <c r="AD298">
        <v>55.3</v>
      </c>
      <c r="AE298">
        <v>54.9</v>
      </c>
    </row>
    <row r="299" spans="1:31" x14ac:dyDescent="0.2">
      <c r="A299" s="18">
        <v>43313</v>
      </c>
      <c r="B299">
        <v>56.7</v>
      </c>
      <c r="C299">
        <v>51.1</v>
      </c>
      <c r="D299">
        <v>56.8</v>
      </c>
      <c r="E299">
        <v>54.9</v>
      </c>
      <c r="F299">
        <v>59.15</v>
      </c>
      <c r="G299">
        <v>54.6</v>
      </c>
      <c r="H299">
        <v>53.5</v>
      </c>
      <c r="I299">
        <v>55.9</v>
      </c>
      <c r="J299">
        <v>52.6</v>
      </c>
      <c r="K299">
        <v>53.9</v>
      </c>
      <c r="L299">
        <v>48.5</v>
      </c>
      <c r="M299">
        <v>51.7</v>
      </c>
      <c r="N299">
        <v>51.9</v>
      </c>
      <c r="O299">
        <v>57.5</v>
      </c>
      <c r="P299">
        <v>50.1</v>
      </c>
      <c r="Q299">
        <v>52.5</v>
      </c>
      <c r="R299">
        <v>50.7</v>
      </c>
      <c r="S299">
        <v>52.132210597352199</v>
      </c>
      <c r="T299">
        <v>51.4</v>
      </c>
      <c r="U299">
        <v>48.9</v>
      </c>
      <c r="V299">
        <v>55.1</v>
      </c>
      <c r="W299">
        <v>45.2</v>
      </c>
      <c r="X299">
        <v>49.9</v>
      </c>
      <c r="Y299">
        <v>53</v>
      </c>
      <c r="Z299">
        <v>53</v>
      </c>
      <c r="AA299">
        <v>49.9</v>
      </c>
      <c r="AB299">
        <v>46.4</v>
      </c>
      <c r="AC299">
        <v>52.8</v>
      </c>
      <c r="AD299">
        <v>54.5</v>
      </c>
      <c r="AE299">
        <v>53.7</v>
      </c>
    </row>
    <row r="300" spans="1:31" x14ac:dyDescent="0.2">
      <c r="A300" s="18">
        <v>43344</v>
      </c>
      <c r="B300">
        <v>59</v>
      </c>
      <c r="C300">
        <v>50.9</v>
      </c>
      <c r="D300">
        <v>54.8</v>
      </c>
      <c r="E300">
        <v>53.4</v>
      </c>
      <c r="F300">
        <v>53.7</v>
      </c>
      <c r="G300">
        <v>53.2</v>
      </c>
      <c r="H300">
        <v>52.5</v>
      </c>
      <c r="I300">
        <v>53.7</v>
      </c>
      <c r="J300">
        <v>52.2</v>
      </c>
      <c r="K300">
        <v>53.6</v>
      </c>
      <c r="L300">
        <v>47.9</v>
      </c>
      <c r="M300">
        <v>52.2</v>
      </c>
      <c r="N300">
        <v>50.7</v>
      </c>
      <c r="O300">
        <v>56.3</v>
      </c>
      <c r="P300">
        <v>50</v>
      </c>
      <c r="Q300">
        <v>52.5</v>
      </c>
      <c r="R300">
        <v>51.7</v>
      </c>
      <c r="S300">
        <v>51.870945765782103</v>
      </c>
      <c r="T300">
        <v>50.5</v>
      </c>
      <c r="U300">
        <v>50</v>
      </c>
      <c r="V300">
        <v>53.4</v>
      </c>
      <c r="W300">
        <v>44.5</v>
      </c>
      <c r="X300">
        <v>51.3</v>
      </c>
      <c r="Y300">
        <v>51.4</v>
      </c>
      <c r="Z300">
        <v>50.8</v>
      </c>
      <c r="AA300">
        <v>50</v>
      </c>
      <c r="AB300">
        <v>42.7</v>
      </c>
      <c r="AC300">
        <v>53.8</v>
      </c>
      <c r="AD300">
        <v>55.6</v>
      </c>
      <c r="AE300">
        <v>51.5</v>
      </c>
    </row>
    <row r="301" spans="1:31" x14ac:dyDescent="0.2">
      <c r="A301" s="18">
        <v>43374</v>
      </c>
      <c r="B301">
        <v>58.3</v>
      </c>
      <c r="C301">
        <v>51.1</v>
      </c>
      <c r="D301">
        <v>53.9</v>
      </c>
      <c r="E301">
        <v>52.5</v>
      </c>
      <c r="F301">
        <v>66.8</v>
      </c>
      <c r="G301">
        <v>52</v>
      </c>
      <c r="H301">
        <v>51.2</v>
      </c>
      <c r="I301">
        <v>52.2</v>
      </c>
      <c r="J301">
        <v>52</v>
      </c>
      <c r="K301">
        <v>53.1</v>
      </c>
      <c r="L301">
        <v>48.6</v>
      </c>
      <c r="M301">
        <v>53.1</v>
      </c>
      <c r="N301">
        <v>50.5</v>
      </c>
      <c r="O301">
        <v>54.9</v>
      </c>
      <c r="P301">
        <v>49.2</v>
      </c>
      <c r="Q301">
        <v>52.9</v>
      </c>
      <c r="R301">
        <v>50.7</v>
      </c>
      <c r="S301">
        <v>53.5</v>
      </c>
      <c r="T301">
        <v>50.4</v>
      </c>
      <c r="U301">
        <v>51.3</v>
      </c>
      <c r="V301">
        <v>53.8</v>
      </c>
      <c r="W301">
        <v>42.4</v>
      </c>
      <c r="X301">
        <v>51</v>
      </c>
      <c r="Y301">
        <v>51.8</v>
      </c>
      <c r="Z301">
        <v>48.7</v>
      </c>
      <c r="AA301">
        <v>48.9</v>
      </c>
      <c r="AB301">
        <v>44.3</v>
      </c>
      <c r="AC301">
        <v>51.1</v>
      </c>
      <c r="AD301">
        <v>55.7</v>
      </c>
      <c r="AE301">
        <v>53.9</v>
      </c>
    </row>
    <row r="302" spans="1:31" x14ac:dyDescent="0.2">
      <c r="A302" s="18">
        <v>43405</v>
      </c>
      <c r="B302">
        <v>51.3</v>
      </c>
      <c r="C302">
        <v>52.7</v>
      </c>
      <c r="D302">
        <v>54.9</v>
      </c>
      <c r="E302">
        <v>51.8</v>
      </c>
      <c r="F302">
        <v>58.2</v>
      </c>
      <c r="G302">
        <v>51.8</v>
      </c>
      <c r="H302">
        <v>50.8</v>
      </c>
      <c r="I302">
        <v>51.8</v>
      </c>
      <c r="J302">
        <v>52</v>
      </c>
      <c r="K302">
        <v>54</v>
      </c>
      <c r="L302">
        <v>47.1</v>
      </c>
      <c r="M302">
        <v>54</v>
      </c>
      <c r="N302">
        <v>50.4</v>
      </c>
      <c r="O302">
        <v>55.4</v>
      </c>
      <c r="P302">
        <v>48.6</v>
      </c>
      <c r="Q302">
        <v>52.2</v>
      </c>
      <c r="R302">
        <v>49.7</v>
      </c>
      <c r="S302">
        <v>53.5</v>
      </c>
      <c r="T302">
        <v>49.5</v>
      </c>
      <c r="U302">
        <v>52.6</v>
      </c>
      <c r="V302">
        <v>55.2</v>
      </c>
      <c r="W302">
        <v>49.5</v>
      </c>
      <c r="X302">
        <v>48.6</v>
      </c>
      <c r="Y302">
        <v>52.6</v>
      </c>
      <c r="Z302">
        <v>48.4</v>
      </c>
      <c r="AA302">
        <v>49.8</v>
      </c>
      <c r="AB302">
        <v>44.7</v>
      </c>
      <c r="AC302">
        <v>53.1</v>
      </c>
      <c r="AD302">
        <v>55.3</v>
      </c>
      <c r="AE302">
        <v>56.5</v>
      </c>
    </row>
    <row r="303" spans="1:31" x14ac:dyDescent="0.2">
      <c r="A303" s="18">
        <v>43435</v>
      </c>
      <c r="B303">
        <v>49.5</v>
      </c>
      <c r="C303">
        <v>52.6</v>
      </c>
      <c r="D303">
        <v>53.6</v>
      </c>
      <c r="E303">
        <v>49.7</v>
      </c>
      <c r="F303">
        <v>57.5</v>
      </c>
      <c r="G303">
        <v>51.4</v>
      </c>
      <c r="H303">
        <v>49.7</v>
      </c>
      <c r="I303">
        <v>51.5</v>
      </c>
      <c r="J303">
        <v>51.5</v>
      </c>
      <c r="K303">
        <v>53.8</v>
      </c>
      <c r="L303">
        <v>48</v>
      </c>
      <c r="M303">
        <v>53.2</v>
      </c>
      <c r="N303">
        <v>51.2</v>
      </c>
      <c r="O303">
        <v>54.5</v>
      </c>
      <c r="P303">
        <v>49.2</v>
      </c>
      <c r="Q303">
        <v>52.4</v>
      </c>
      <c r="R303">
        <v>49.7</v>
      </c>
      <c r="S303">
        <v>55.1</v>
      </c>
      <c r="T303">
        <v>47.6</v>
      </c>
      <c r="U303">
        <v>51.7</v>
      </c>
      <c r="V303">
        <v>54.5</v>
      </c>
      <c r="W303">
        <v>50.7</v>
      </c>
      <c r="X303">
        <v>49.8</v>
      </c>
      <c r="Y303">
        <v>51.1</v>
      </c>
      <c r="Z303">
        <v>47.7</v>
      </c>
      <c r="AA303">
        <v>50.3</v>
      </c>
      <c r="AB303">
        <v>44.2</v>
      </c>
      <c r="AC303">
        <v>54.2</v>
      </c>
      <c r="AD303">
        <v>53.8</v>
      </c>
      <c r="AE303">
        <v>53.8</v>
      </c>
    </row>
    <row r="304" spans="1:31" x14ac:dyDescent="0.2">
      <c r="A304" s="18">
        <v>43466</v>
      </c>
      <c r="B304">
        <v>52.5</v>
      </c>
      <c r="C304">
        <v>52.7</v>
      </c>
      <c r="D304">
        <v>53</v>
      </c>
      <c r="E304">
        <v>49</v>
      </c>
      <c r="F304">
        <v>51.1</v>
      </c>
      <c r="G304">
        <v>50.5</v>
      </c>
      <c r="H304">
        <v>51.2</v>
      </c>
      <c r="I304">
        <v>49.7</v>
      </c>
      <c r="J304">
        <v>50.7</v>
      </c>
      <c r="K304">
        <v>53.7</v>
      </c>
      <c r="L304">
        <v>48.2</v>
      </c>
      <c r="M304">
        <v>53.9</v>
      </c>
      <c r="N304">
        <v>49.9</v>
      </c>
      <c r="O304">
        <v>52.6</v>
      </c>
      <c r="P304">
        <v>47.8</v>
      </c>
      <c r="Q304">
        <v>50.3</v>
      </c>
      <c r="R304">
        <v>50.9</v>
      </c>
      <c r="S304">
        <v>53.1</v>
      </c>
      <c r="T304">
        <v>48.2</v>
      </c>
      <c r="U304">
        <v>50.9</v>
      </c>
      <c r="V304">
        <v>56.2</v>
      </c>
      <c r="W304">
        <v>49.9</v>
      </c>
      <c r="X304">
        <v>48.3</v>
      </c>
      <c r="Y304">
        <v>52.4</v>
      </c>
      <c r="Z304">
        <v>47.5</v>
      </c>
      <c r="AA304">
        <v>50.2</v>
      </c>
      <c r="AB304">
        <v>44.2</v>
      </c>
      <c r="AC304">
        <v>52.8</v>
      </c>
      <c r="AD304">
        <v>54.9</v>
      </c>
      <c r="AE304">
        <v>51.9</v>
      </c>
    </row>
    <row r="305" spans="1:31" x14ac:dyDescent="0.2">
      <c r="A305" s="18">
        <v>43497</v>
      </c>
      <c r="B305">
        <v>54</v>
      </c>
      <c r="C305">
        <v>53.4</v>
      </c>
      <c r="D305">
        <v>52.6</v>
      </c>
      <c r="E305">
        <v>48.6</v>
      </c>
      <c r="F305">
        <v>61.6</v>
      </c>
      <c r="G305">
        <v>49.3</v>
      </c>
      <c r="H305">
        <v>51.5</v>
      </c>
      <c r="I305">
        <v>47.6</v>
      </c>
      <c r="J305">
        <v>50.6</v>
      </c>
      <c r="K305">
        <v>54.2</v>
      </c>
      <c r="L305">
        <v>48.4</v>
      </c>
      <c r="M305">
        <v>54.3</v>
      </c>
      <c r="N305">
        <v>50.1</v>
      </c>
      <c r="O305">
        <v>54</v>
      </c>
      <c r="P305">
        <v>47.7</v>
      </c>
      <c r="Q305">
        <v>48.9</v>
      </c>
      <c r="R305">
        <v>52.6</v>
      </c>
      <c r="S305">
        <v>53.4</v>
      </c>
      <c r="T305">
        <v>47.6</v>
      </c>
      <c r="U305">
        <v>50.1</v>
      </c>
      <c r="V305">
        <v>56.6</v>
      </c>
      <c r="W305">
        <v>46.2</v>
      </c>
      <c r="X305">
        <v>47.2</v>
      </c>
      <c r="Y305">
        <v>49.9</v>
      </c>
      <c r="Z305">
        <v>46.3</v>
      </c>
      <c r="AA305">
        <v>49.9</v>
      </c>
      <c r="AB305">
        <v>46.4</v>
      </c>
      <c r="AC305">
        <v>52</v>
      </c>
      <c r="AD305">
        <v>53</v>
      </c>
      <c r="AE305">
        <v>51.2</v>
      </c>
    </row>
    <row r="306" spans="1:31" x14ac:dyDescent="0.2">
      <c r="A306" s="18">
        <v>43525</v>
      </c>
      <c r="B306">
        <v>51</v>
      </c>
      <c r="C306">
        <v>52.8</v>
      </c>
      <c r="D306">
        <v>50.5</v>
      </c>
      <c r="E306">
        <v>47.3</v>
      </c>
      <c r="F306">
        <v>56.6</v>
      </c>
      <c r="G306">
        <v>47.5</v>
      </c>
      <c r="H306">
        <v>49.7</v>
      </c>
      <c r="I306">
        <v>44.1</v>
      </c>
      <c r="J306">
        <v>50.5</v>
      </c>
      <c r="K306">
        <v>54.7</v>
      </c>
      <c r="L306">
        <v>48</v>
      </c>
      <c r="M306">
        <v>52.6</v>
      </c>
      <c r="N306">
        <v>51.2</v>
      </c>
      <c r="O306">
        <v>53.9</v>
      </c>
      <c r="P306">
        <v>47.4</v>
      </c>
      <c r="Q306">
        <v>49.2</v>
      </c>
      <c r="R306">
        <v>49.8</v>
      </c>
      <c r="S306">
        <v>51.9</v>
      </c>
      <c r="T306">
        <v>48.7</v>
      </c>
      <c r="U306">
        <v>52.8</v>
      </c>
      <c r="V306">
        <v>56.8</v>
      </c>
      <c r="W306">
        <v>45</v>
      </c>
      <c r="X306">
        <v>48.8</v>
      </c>
      <c r="Y306">
        <v>50.9</v>
      </c>
      <c r="Z306">
        <v>49</v>
      </c>
      <c r="AA306">
        <v>50.3</v>
      </c>
      <c r="AB306">
        <v>47.2</v>
      </c>
      <c r="AC306">
        <v>55.1</v>
      </c>
      <c r="AD306">
        <v>52.4</v>
      </c>
      <c r="AE306">
        <v>51.9</v>
      </c>
    </row>
    <row r="307" spans="1:31" x14ac:dyDescent="0.2">
      <c r="A307" s="18">
        <v>43556</v>
      </c>
      <c r="B307">
        <v>54.8</v>
      </c>
      <c r="C307">
        <v>51.5</v>
      </c>
      <c r="D307">
        <v>49.7</v>
      </c>
      <c r="E307">
        <v>46.6</v>
      </c>
      <c r="F307">
        <v>59.6</v>
      </c>
      <c r="G307">
        <v>47.9</v>
      </c>
      <c r="H307">
        <v>50</v>
      </c>
      <c r="I307">
        <v>44.4</v>
      </c>
      <c r="J307">
        <v>50.4</v>
      </c>
      <c r="K307">
        <v>56.6</v>
      </c>
      <c r="L307">
        <v>48.4</v>
      </c>
      <c r="M307">
        <v>51.8</v>
      </c>
      <c r="N307">
        <v>50.4</v>
      </c>
      <c r="O307">
        <v>52.5</v>
      </c>
      <c r="P307">
        <v>49.1</v>
      </c>
      <c r="Q307">
        <v>49.5</v>
      </c>
      <c r="R307">
        <v>50.1</v>
      </c>
      <c r="S307">
        <v>52.7</v>
      </c>
      <c r="T307">
        <v>49</v>
      </c>
      <c r="U307">
        <v>51.8</v>
      </c>
      <c r="V307">
        <v>57.3</v>
      </c>
      <c r="W307">
        <v>47.2</v>
      </c>
      <c r="X307">
        <v>50.2</v>
      </c>
      <c r="Y307">
        <v>51.8</v>
      </c>
      <c r="Z307">
        <v>48.2</v>
      </c>
      <c r="AA307">
        <v>51</v>
      </c>
      <c r="AB307">
        <v>46.8</v>
      </c>
      <c r="AC307">
        <v>53.1</v>
      </c>
      <c r="AD307">
        <v>52.6</v>
      </c>
      <c r="AE307">
        <v>52.5</v>
      </c>
    </row>
    <row r="308" spans="1:31" x14ac:dyDescent="0.2">
      <c r="A308" s="18">
        <v>43586</v>
      </c>
      <c r="B308">
        <v>52.7</v>
      </c>
      <c r="C308">
        <v>50.2</v>
      </c>
      <c r="D308">
        <v>49.1</v>
      </c>
      <c r="E308">
        <v>46.6</v>
      </c>
      <c r="F308">
        <v>47.6</v>
      </c>
      <c r="G308">
        <v>47.7</v>
      </c>
      <c r="H308">
        <v>50.6</v>
      </c>
      <c r="I308">
        <v>44.3</v>
      </c>
      <c r="J308">
        <v>49.8</v>
      </c>
      <c r="K308">
        <v>54.2</v>
      </c>
      <c r="L308">
        <v>46.9</v>
      </c>
      <c r="M308">
        <v>52.7</v>
      </c>
      <c r="N308">
        <v>51.6</v>
      </c>
      <c r="O308">
        <v>50.4</v>
      </c>
      <c r="P308">
        <v>49.7</v>
      </c>
      <c r="Q308">
        <v>49.8</v>
      </c>
      <c r="R308">
        <v>50</v>
      </c>
      <c r="S308">
        <v>50.2</v>
      </c>
      <c r="T308">
        <v>48.8</v>
      </c>
      <c r="U308">
        <v>49.8</v>
      </c>
      <c r="V308">
        <v>57.3</v>
      </c>
      <c r="W308">
        <v>45.4</v>
      </c>
      <c r="X308">
        <v>48.4</v>
      </c>
      <c r="Y308">
        <v>50.1</v>
      </c>
      <c r="Z308">
        <v>48.4</v>
      </c>
      <c r="AA308">
        <v>50.7</v>
      </c>
      <c r="AB308">
        <v>45.3</v>
      </c>
      <c r="AC308">
        <v>49.4</v>
      </c>
      <c r="AD308">
        <v>50.5</v>
      </c>
      <c r="AE308">
        <v>52</v>
      </c>
    </row>
    <row r="309" spans="1:31" x14ac:dyDescent="0.2">
      <c r="A309" s="18">
        <v>43617</v>
      </c>
      <c r="B309">
        <v>49.4</v>
      </c>
      <c r="C309">
        <v>51</v>
      </c>
      <c r="D309">
        <v>49.2</v>
      </c>
      <c r="E309">
        <v>45.9</v>
      </c>
      <c r="F309">
        <v>45</v>
      </c>
      <c r="G309">
        <v>47.6</v>
      </c>
      <c r="H309">
        <v>51.9</v>
      </c>
      <c r="I309">
        <v>45</v>
      </c>
      <c r="J309">
        <v>49.4</v>
      </c>
      <c r="K309">
        <v>52.4</v>
      </c>
      <c r="L309">
        <v>47.9</v>
      </c>
      <c r="M309">
        <v>52.1</v>
      </c>
      <c r="N309">
        <v>50.6</v>
      </c>
      <c r="O309">
        <v>49.8</v>
      </c>
      <c r="P309">
        <v>48.4</v>
      </c>
      <c r="Q309">
        <v>49.3</v>
      </c>
      <c r="R309">
        <v>49.2</v>
      </c>
      <c r="S309">
        <v>51.3</v>
      </c>
      <c r="T309">
        <v>48.4</v>
      </c>
      <c r="U309">
        <v>48.6</v>
      </c>
      <c r="V309">
        <v>57.4</v>
      </c>
      <c r="W309">
        <v>46.2</v>
      </c>
      <c r="X309">
        <v>47.5</v>
      </c>
      <c r="Y309">
        <v>47.9</v>
      </c>
      <c r="Z309">
        <v>45.5</v>
      </c>
      <c r="AA309">
        <v>50.6</v>
      </c>
      <c r="AB309">
        <v>47.9</v>
      </c>
      <c r="AC309">
        <v>48</v>
      </c>
      <c r="AD309">
        <v>50.6</v>
      </c>
      <c r="AE309">
        <v>52.5</v>
      </c>
    </row>
    <row r="310" spans="1:31" x14ac:dyDescent="0.2">
      <c r="A310" s="18">
        <v>43647</v>
      </c>
      <c r="B310">
        <v>51.3</v>
      </c>
      <c r="C310">
        <v>49.9</v>
      </c>
      <c r="D310">
        <v>50.2</v>
      </c>
      <c r="E310">
        <v>43.1</v>
      </c>
      <c r="F310">
        <v>49.5</v>
      </c>
      <c r="G310">
        <v>46.5</v>
      </c>
      <c r="H310">
        <v>49.7</v>
      </c>
      <c r="I310">
        <v>43.2</v>
      </c>
      <c r="J310">
        <v>49.3</v>
      </c>
      <c r="K310">
        <v>54.6</v>
      </c>
      <c r="L310">
        <v>43.8</v>
      </c>
      <c r="M310">
        <v>52.5</v>
      </c>
      <c r="N310">
        <v>49.6</v>
      </c>
      <c r="O310">
        <v>48.7</v>
      </c>
      <c r="P310">
        <v>48.5</v>
      </c>
      <c r="Q310">
        <v>49.4</v>
      </c>
      <c r="R310">
        <v>49.8</v>
      </c>
      <c r="S310">
        <v>48.1</v>
      </c>
      <c r="T310">
        <v>47.4</v>
      </c>
      <c r="U310">
        <v>49.3</v>
      </c>
      <c r="V310">
        <v>56.6</v>
      </c>
      <c r="W310">
        <v>52.1</v>
      </c>
      <c r="X310">
        <v>47.3</v>
      </c>
      <c r="Y310">
        <v>48.2</v>
      </c>
      <c r="Z310">
        <v>48.1</v>
      </c>
      <c r="AA310">
        <v>50.3</v>
      </c>
      <c r="AB310">
        <v>46.7</v>
      </c>
      <c r="AC310">
        <v>48</v>
      </c>
      <c r="AD310">
        <v>50</v>
      </c>
      <c r="AE310">
        <v>52.6</v>
      </c>
    </row>
    <row r="311" spans="1:31" x14ac:dyDescent="0.2">
      <c r="A311" s="18">
        <v>43678</v>
      </c>
      <c r="B311">
        <v>53.1</v>
      </c>
      <c r="C311">
        <v>52.5</v>
      </c>
      <c r="D311">
        <v>49.1</v>
      </c>
      <c r="E311">
        <v>44.9</v>
      </c>
      <c r="F311">
        <v>48.7</v>
      </c>
      <c r="G311">
        <v>47</v>
      </c>
      <c r="H311">
        <v>51.1</v>
      </c>
      <c r="I311">
        <v>43.5</v>
      </c>
      <c r="J311">
        <v>49.5</v>
      </c>
      <c r="K311">
        <v>54.9</v>
      </c>
      <c r="L311">
        <v>40.799999999999997</v>
      </c>
      <c r="M311">
        <v>51.4</v>
      </c>
      <c r="N311">
        <v>49</v>
      </c>
      <c r="O311">
        <v>48.6</v>
      </c>
      <c r="P311">
        <v>48.7</v>
      </c>
      <c r="Q311">
        <v>49.3</v>
      </c>
      <c r="R311">
        <v>49</v>
      </c>
      <c r="S311">
        <v>48.4</v>
      </c>
      <c r="T311">
        <v>48.8</v>
      </c>
      <c r="U311">
        <v>49.1</v>
      </c>
      <c r="V311">
        <v>57</v>
      </c>
      <c r="W311">
        <v>45.7</v>
      </c>
      <c r="X311">
        <v>49</v>
      </c>
      <c r="Y311">
        <v>48.8</v>
      </c>
      <c r="Z311">
        <v>47.9</v>
      </c>
      <c r="AA311">
        <v>50</v>
      </c>
      <c r="AB311">
        <v>48</v>
      </c>
      <c r="AC311">
        <v>47.4</v>
      </c>
      <c r="AD311">
        <v>50.3</v>
      </c>
      <c r="AE311">
        <v>51.4</v>
      </c>
    </row>
    <row r="312" spans="1:31" x14ac:dyDescent="0.2">
      <c r="A312" s="18">
        <v>43709</v>
      </c>
      <c r="B312">
        <v>54.7</v>
      </c>
      <c r="C312">
        <v>53.4</v>
      </c>
      <c r="D312">
        <v>51</v>
      </c>
      <c r="E312">
        <v>44.9</v>
      </c>
      <c r="F312">
        <v>50.2</v>
      </c>
      <c r="G312">
        <v>45.7</v>
      </c>
      <c r="H312">
        <v>50.1</v>
      </c>
      <c r="I312">
        <v>41.7</v>
      </c>
      <c r="J312">
        <v>49.7</v>
      </c>
      <c r="K312">
        <v>53.6</v>
      </c>
      <c r="L312">
        <v>41.5</v>
      </c>
      <c r="M312">
        <v>51.4</v>
      </c>
      <c r="N312">
        <v>49.1</v>
      </c>
      <c r="O312">
        <v>48.7</v>
      </c>
      <c r="P312">
        <v>47.8</v>
      </c>
      <c r="Q312">
        <v>48.9</v>
      </c>
      <c r="R312">
        <v>49.1</v>
      </c>
      <c r="S312">
        <v>48.4</v>
      </c>
      <c r="T312">
        <v>47.8</v>
      </c>
      <c r="U312">
        <v>46.3</v>
      </c>
      <c r="V312">
        <v>57.3</v>
      </c>
      <c r="W312">
        <v>41.6</v>
      </c>
      <c r="X312">
        <v>48</v>
      </c>
      <c r="Y312">
        <v>47.7</v>
      </c>
      <c r="Z312">
        <v>50</v>
      </c>
      <c r="AA312">
        <v>50.6</v>
      </c>
      <c r="AB312">
        <v>50</v>
      </c>
      <c r="AC312">
        <v>48.3</v>
      </c>
      <c r="AD312">
        <v>51.1</v>
      </c>
      <c r="AE312">
        <v>50.5</v>
      </c>
    </row>
    <row r="313" spans="1:31" x14ac:dyDescent="0.2">
      <c r="A313" s="18">
        <v>43739</v>
      </c>
      <c r="B313">
        <v>51.6</v>
      </c>
      <c r="C313">
        <v>52.2</v>
      </c>
      <c r="D313">
        <v>51.2</v>
      </c>
      <c r="E313">
        <v>45</v>
      </c>
      <c r="F313">
        <v>49.5</v>
      </c>
      <c r="G313">
        <v>45.9</v>
      </c>
      <c r="H313">
        <v>50.7</v>
      </c>
      <c r="I313">
        <v>42.1</v>
      </c>
      <c r="J313">
        <v>49.8</v>
      </c>
      <c r="K313">
        <v>53.5</v>
      </c>
      <c r="L313">
        <v>39.299999999999997</v>
      </c>
      <c r="M313">
        <v>50.6</v>
      </c>
      <c r="N313">
        <v>47.7</v>
      </c>
      <c r="O313">
        <v>50.7</v>
      </c>
      <c r="P313">
        <v>47.7</v>
      </c>
      <c r="Q313">
        <v>48.4</v>
      </c>
      <c r="R313">
        <v>50.4</v>
      </c>
      <c r="S313">
        <v>52.6</v>
      </c>
      <c r="T313">
        <v>45.6</v>
      </c>
      <c r="U313">
        <v>47.2</v>
      </c>
      <c r="V313">
        <v>57.8</v>
      </c>
      <c r="W313">
        <v>48.1</v>
      </c>
      <c r="X313">
        <v>48.4</v>
      </c>
      <c r="Y313">
        <v>46.8</v>
      </c>
      <c r="Z313">
        <v>49.8</v>
      </c>
      <c r="AA313">
        <v>50</v>
      </c>
      <c r="AB313">
        <v>49</v>
      </c>
      <c r="AC313">
        <v>49.6</v>
      </c>
      <c r="AD313">
        <v>51.3</v>
      </c>
      <c r="AE313">
        <v>50</v>
      </c>
    </row>
    <row r="314" spans="1:31" x14ac:dyDescent="0.2">
      <c r="A314" s="18">
        <v>43770</v>
      </c>
      <c r="B314">
        <v>48.1</v>
      </c>
      <c r="C314">
        <v>52.9</v>
      </c>
      <c r="D314">
        <v>51.4</v>
      </c>
      <c r="E314">
        <v>43.5</v>
      </c>
      <c r="F314">
        <v>53</v>
      </c>
      <c r="G314">
        <v>46.9</v>
      </c>
      <c r="H314">
        <v>51.7</v>
      </c>
      <c r="I314">
        <v>44.1</v>
      </c>
      <c r="J314">
        <v>50.3</v>
      </c>
      <c r="K314">
        <v>54.1</v>
      </c>
      <c r="L314">
        <v>38.5</v>
      </c>
      <c r="M314">
        <v>51.2</v>
      </c>
      <c r="N314">
        <v>48.2</v>
      </c>
      <c r="O314">
        <v>49.7</v>
      </c>
      <c r="P314">
        <v>47.6</v>
      </c>
      <c r="Q314">
        <v>48.9</v>
      </c>
      <c r="R314">
        <v>48</v>
      </c>
      <c r="S314">
        <v>51.4</v>
      </c>
      <c r="T314">
        <v>46.7</v>
      </c>
      <c r="U314">
        <v>45.6</v>
      </c>
      <c r="V314">
        <v>58.3</v>
      </c>
      <c r="W314">
        <v>47.7</v>
      </c>
      <c r="X314">
        <v>49.4</v>
      </c>
      <c r="Y314">
        <v>47.5</v>
      </c>
      <c r="Z314">
        <v>49.8</v>
      </c>
      <c r="AA314">
        <v>49.3</v>
      </c>
      <c r="AB314">
        <v>49.5</v>
      </c>
      <c r="AC314">
        <v>48.9</v>
      </c>
      <c r="AD314">
        <v>52.6</v>
      </c>
      <c r="AE314">
        <v>51</v>
      </c>
    </row>
    <row r="315" spans="1:31" x14ac:dyDescent="0.2">
      <c r="A315" s="18">
        <v>43800</v>
      </c>
      <c r="B315">
        <v>48.3</v>
      </c>
      <c r="C315">
        <v>50.2</v>
      </c>
      <c r="D315">
        <v>50.4</v>
      </c>
      <c r="E315">
        <v>43.6</v>
      </c>
      <c r="F315">
        <v>50.7</v>
      </c>
      <c r="G315">
        <v>46.3</v>
      </c>
      <c r="H315">
        <v>50.4</v>
      </c>
      <c r="I315">
        <v>43.7</v>
      </c>
      <c r="J315">
        <v>50.1</v>
      </c>
      <c r="K315">
        <v>53.9</v>
      </c>
      <c r="L315">
        <v>42.1</v>
      </c>
      <c r="M315">
        <v>52.7</v>
      </c>
      <c r="N315">
        <v>49.5</v>
      </c>
      <c r="O315">
        <v>49.5</v>
      </c>
      <c r="P315">
        <v>46.2</v>
      </c>
      <c r="Q315">
        <v>48.4</v>
      </c>
      <c r="R315">
        <v>47.1</v>
      </c>
      <c r="S315">
        <v>49.3</v>
      </c>
      <c r="T315">
        <v>48</v>
      </c>
      <c r="U315">
        <v>47.5</v>
      </c>
      <c r="V315">
        <v>56.9</v>
      </c>
      <c r="W315">
        <v>47.1</v>
      </c>
      <c r="X315">
        <v>50.1</v>
      </c>
      <c r="Y315">
        <v>47.4</v>
      </c>
      <c r="Z315">
        <v>50.8</v>
      </c>
      <c r="AA315">
        <v>50.1</v>
      </c>
      <c r="AB315">
        <v>49.5</v>
      </c>
      <c r="AC315">
        <v>47.5</v>
      </c>
      <c r="AD315">
        <v>52.4</v>
      </c>
      <c r="AE315">
        <v>50.8</v>
      </c>
    </row>
    <row r="316" spans="1:31" x14ac:dyDescent="0.2">
      <c r="A316" s="18">
        <v>43831</v>
      </c>
      <c r="B316">
        <v>45.4</v>
      </c>
      <c r="C316">
        <v>51</v>
      </c>
      <c r="D316">
        <v>50.6</v>
      </c>
      <c r="E316">
        <v>45.2</v>
      </c>
      <c r="F316">
        <v>53.2</v>
      </c>
      <c r="G316">
        <v>47.9</v>
      </c>
      <c r="H316">
        <v>51.1</v>
      </c>
      <c r="I316">
        <v>45.3</v>
      </c>
      <c r="J316">
        <v>50.4</v>
      </c>
      <c r="K316">
        <v>54.4</v>
      </c>
      <c r="L316">
        <v>46.8</v>
      </c>
      <c r="M316">
        <v>55.3</v>
      </c>
      <c r="N316">
        <v>49.3</v>
      </c>
      <c r="O316">
        <v>51.4</v>
      </c>
      <c r="P316">
        <v>48.9</v>
      </c>
      <c r="Q316">
        <v>48.8</v>
      </c>
      <c r="R316">
        <v>49</v>
      </c>
      <c r="S316">
        <v>49.6</v>
      </c>
      <c r="T316">
        <v>47.4</v>
      </c>
      <c r="U316">
        <v>47.9</v>
      </c>
      <c r="V316">
        <v>54.9</v>
      </c>
      <c r="W316">
        <v>45.2</v>
      </c>
      <c r="X316">
        <v>49.8</v>
      </c>
      <c r="Y316">
        <v>48.5</v>
      </c>
      <c r="Z316">
        <v>51.8</v>
      </c>
      <c r="AA316">
        <v>49.9</v>
      </c>
      <c r="AB316">
        <v>51.3</v>
      </c>
      <c r="AC316">
        <v>50</v>
      </c>
      <c r="AD316">
        <v>51.9</v>
      </c>
      <c r="AE316">
        <v>50.6</v>
      </c>
    </row>
    <row r="317" spans="1:31" x14ac:dyDescent="0.2">
      <c r="A317" s="18">
        <v>43862</v>
      </c>
      <c r="B317">
        <v>44.3</v>
      </c>
      <c r="C317">
        <v>52.3</v>
      </c>
      <c r="D317">
        <v>51.8</v>
      </c>
      <c r="E317">
        <v>46.5</v>
      </c>
      <c r="F317">
        <v>49.2</v>
      </c>
      <c r="G317">
        <v>49.2</v>
      </c>
      <c r="H317">
        <v>49.8</v>
      </c>
      <c r="I317">
        <v>48</v>
      </c>
      <c r="J317">
        <v>47.1</v>
      </c>
      <c r="K317">
        <v>56.2</v>
      </c>
      <c r="L317">
        <v>33.1</v>
      </c>
      <c r="M317">
        <v>54.5</v>
      </c>
      <c r="N317">
        <v>51.9</v>
      </c>
      <c r="O317">
        <v>51.2</v>
      </c>
      <c r="P317">
        <v>48.7</v>
      </c>
      <c r="Q317">
        <v>47.8</v>
      </c>
      <c r="R317">
        <v>50</v>
      </c>
      <c r="S317">
        <v>53.2</v>
      </c>
      <c r="T317">
        <v>48.2</v>
      </c>
      <c r="U317">
        <v>48.2</v>
      </c>
      <c r="V317">
        <v>52.5</v>
      </c>
      <c r="W317">
        <v>44.3</v>
      </c>
      <c r="X317">
        <v>48.7</v>
      </c>
      <c r="Y317">
        <v>50.4</v>
      </c>
      <c r="Z317">
        <v>49.9</v>
      </c>
      <c r="AA317">
        <v>49.5</v>
      </c>
      <c r="AB317">
        <v>52.4</v>
      </c>
      <c r="AC317">
        <v>51.7</v>
      </c>
      <c r="AD317">
        <v>50.7</v>
      </c>
      <c r="AE317">
        <v>49</v>
      </c>
    </row>
    <row r="318" spans="1:31" x14ac:dyDescent="0.2">
      <c r="A318" s="18">
        <v>43891</v>
      </c>
      <c r="B318">
        <v>53.7</v>
      </c>
      <c r="C318">
        <v>48.4</v>
      </c>
      <c r="D318">
        <v>46.1</v>
      </c>
      <c r="E318">
        <v>41.3</v>
      </c>
      <c r="F318">
        <v>46.8</v>
      </c>
      <c r="G318">
        <v>44.5</v>
      </c>
      <c r="H318">
        <v>43.2</v>
      </c>
      <c r="I318">
        <v>45.4</v>
      </c>
      <c r="J318">
        <v>47.3</v>
      </c>
      <c r="K318">
        <v>42.5</v>
      </c>
      <c r="L318">
        <v>34.9</v>
      </c>
      <c r="M318">
        <v>51.8</v>
      </c>
      <c r="N318">
        <v>45.3</v>
      </c>
      <c r="O318">
        <v>45.1</v>
      </c>
      <c r="P318">
        <v>40.299999999999997</v>
      </c>
      <c r="Q318">
        <v>44.2</v>
      </c>
      <c r="R318">
        <v>46.9</v>
      </c>
      <c r="S318">
        <v>38</v>
      </c>
      <c r="T318">
        <v>42.4</v>
      </c>
      <c r="U318">
        <v>47.5</v>
      </c>
      <c r="V318">
        <v>42.4</v>
      </c>
      <c r="W318">
        <v>48.1</v>
      </c>
      <c r="X318">
        <v>44.2</v>
      </c>
      <c r="Y318">
        <v>45.7</v>
      </c>
      <c r="Z318">
        <v>50.4</v>
      </c>
      <c r="AA318">
        <v>46.7</v>
      </c>
      <c r="AB318">
        <v>48.1</v>
      </c>
      <c r="AC318">
        <v>47.8</v>
      </c>
      <c r="AD318">
        <v>48.5</v>
      </c>
      <c r="AE318">
        <v>41.9</v>
      </c>
    </row>
    <row r="319" spans="1:31" x14ac:dyDescent="0.2">
      <c r="A319" s="18">
        <v>43922</v>
      </c>
      <c r="B319">
        <v>35.799999999999997</v>
      </c>
      <c r="C319">
        <v>36</v>
      </c>
      <c r="D319">
        <v>33</v>
      </c>
      <c r="E319">
        <v>35.1</v>
      </c>
      <c r="F319">
        <v>38.6</v>
      </c>
      <c r="G319">
        <v>33.4</v>
      </c>
      <c r="H319">
        <v>31.5</v>
      </c>
      <c r="I319">
        <v>34.5</v>
      </c>
      <c r="J319">
        <v>39.6</v>
      </c>
      <c r="K319">
        <v>29.5</v>
      </c>
      <c r="L319">
        <v>36.9</v>
      </c>
      <c r="M319">
        <v>27.4</v>
      </c>
      <c r="N319">
        <v>27.5</v>
      </c>
      <c r="O319">
        <v>36</v>
      </c>
      <c r="P319">
        <v>31.1</v>
      </c>
      <c r="Q319">
        <v>41.9</v>
      </c>
      <c r="R319">
        <v>35</v>
      </c>
      <c r="S319">
        <v>26.1</v>
      </c>
      <c r="T319">
        <v>31.9</v>
      </c>
      <c r="U319">
        <v>31.3</v>
      </c>
      <c r="V319">
        <v>44.4</v>
      </c>
      <c r="W319">
        <v>46.1</v>
      </c>
      <c r="X319">
        <v>41.6</v>
      </c>
      <c r="Y319">
        <v>30.8</v>
      </c>
      <c r="Z319">
        <v>42.2</v>
      </c>
      <c r="AA319">
        <v>36.799999999999997</v>
      </c>
      <c r="AB319">
        <v>33.4</v>
      </c>
      <c r="AC319">
        <v>32.6</v>
      </c>
      <c r="AD319">
        <v>36.1</v>
      </c>
      <c r="AE319">
        <v>32.700000000000003</v>
      </c>
    </row>
    <row r="320" spans="1:31" x14ac:dyDescent="0.2">
      <c r="A320" s="18">
        <v>43952</v>
      </c>
      <c r="B320">
        <v>41.6</v>
      </c>
      <c r="C320">
        <v>38.299999999999997</v>
      </c>
      <c r="D320">
        <v>40.6</v>
      </c>
      <c r="E320">
        <v>39.6</v>
      </c>
      <c r="F320">
        <v>54</v>
      </c>
      <c r="G320">
        <v>39.4</v>
      </c>
      <c r="H320">
        <v>40.6</v>
      </c>
      <c r="I320">
        <v>36.6</v>
      </c>
      <c r="J320">
        <v>42.4</v>
      </c>
      <c r="K320">
        <v>41.1</v>
      </c>
      <c r="L320">
        <v>43.9</v>
      </c>
      <c r="M320">
        <v>30.8</v>
      </c>
      <c r="N320">
        <v>28.6</v>
      </c>
      <c r="O320">
        <v>39.200000000000003</v>
      </c>
      <c r="P320">
        <v>45.4</v>
      </c>
      <c r="Q320">
        <v>38.4</v>
      </c>
      <c r="R320">
        <v>38.299999999999997</v>
      </c>
      <c r="S320">
        <v>39.700000000000003</v>
      </c>
      <c r="T320">
        <v>40.6</v>
      </c>
      <c r="U320">
        <v>36.200000000000003</v>
      </c>
      <c r="V320">
        <v>48.1</v>
      </c>
      <c r="W320">
        <v>50.2</v>
      </c>
      <c r="X320">
        <v>41.3</v>
      </c>
      <c r="Y320">
        <v>38.299999999999997</v>
      </c>
      <c r="Z320">
        <v>41.9</v>
      </c>
      <c r="AA320">
        <v>41.6</v>
      </c>
      <c r="AB320">
        <v>40.9</v>
      </c>
      <c r="AC320">
        <v>40.700000000000003</v>
      </c>
      <c r="AD320">
        <v>39.799999999999997</v>
      </c>
      <c r="AE320">
        <v>42.7</v>
      </c>
    </row>
    <row r="321" spans="1:31" x14ac:dyDescent="0.2">
      <c r="A321" s="18">
        <v>43983</v>
      </c>
      <c r="B321">
        <v>51.5</v>
      </c>
      <c r="C321">
        <v>51.6</v>
      </c>
      <c r="D321">
        <v>47.8</v>
      </c>
      <c r="E321">
        <v>44.9</v>
      </c>
      <c r="F321">
        <v>52.2</v>
      </c>
      <c r="G321">
        <v>47.4</v>
      </c>
      <c r="H321">
        <v>52.3</v>
      </c>
      <c r="I321">
        <v>45.2</v>
      </c>
      <c r="J321">
        <v>47.8</v>
      </c>
      <c r="K321">
        <v>49.4</v>
      </c>
      <c r="L321">
        <v>49.6</v>
      </c>
      <c r="M321">
        <v>47.2</v>
      </c>
      <c r="N321">
        <v>39.1</v>
      </c>
      <c r="O321">
        <v>51</v>
      </c>
      <c r="P321">
        <v>47.5</v>
      </c>
      <c r="Q321">
        <v>40.1</v>
      </c>
      <c r="R321">
        <v>38.6</v>
      </c>
      <c r="S321">
        <v>56.3</v>
      </c>
      <c r="T321">
        <v>47.2</v>
      </c>
      <c r="U321">
        <v>49.4</v>
      </c>
      <c r="V321">
        <v>47.7</v>
      </c>
      <c r="W321">
        <v>53.9</v>
      </c>
      <c r="X321">
        <v>43.4</v>
      </c>
      <c r="Y321">
        <v>49</v>
      </c>
      <c r="Z321">
        <v>46.2</v>
      </c>
      <c r="AA321">
        <v>43.5</v>
      </c>
      <c r="AB321">
        <v>53.9</v>
      </c>
      <c r="AC321">
        <v>50.1</v>
      </c>
      <c r="AD321">
        <v>49.8</v>
      </c>
      <c r="AE321">
        <v>51.1</v>
      </c>
    </row>
    <row r="322" spans="1:31" x14ac:dyDescent="0.2">
      <c r="A322" s="18">
        <v>44013</v>
      </c>
      <c r="B322">
        <v>53.5</v>
      </c>
      <c r="C322">
        <v>58.2</v>
      </c>
      <c r="D322">
        <v>52.9</v>
      </c>
      <c r="E322">
        <v>47</v>
      </c>
      <c r="F322">
        <v>57.4</v>
      </c>
      <c r="G322">
        <v>51.8</v>
      </c>
      <c r="H322">
        <v>52.4</v>
      </c>
      <c r="I322">
        <v>51</v>
      </c>
      <c r="J322">
        <v>50.6</v>
      </c>
      <c r="K322">
        <v>48.6</v>
      </c>
      <c r="L322">
        <v>44.5</v>
      </c>
      <c r="M322">
        <v>46</v>
      </c>
      <c r="N322">
        <v>46.9</v>
      </c>
      <c r="O322">
        <v>57.3</v>
      </c>
      <c r="P322">
        <v>51.9</v>
      </c>
      <c r="Q322">
        <v>45.2</v>
      </c>
      <c r="R322">
        <v>40.4</v>
      </c>
      <c r="S322">
        <v>59</v>
      </c>
      <c r="T322">
        <v>52.8</v>
      </c>
      <c r="U322">
        <v>48.4</v>
      </c>
      <c r="V322">
        <v>48.8</v>
      </c>
      <c r="W322">
        <v>51.2</v>
      </c>
      <c r="X322">
        <v>46.9</v>
      </c>
      <c r="Y322">
        <v>53.5</v>
      </c>
      <c r="Z322">
        <v>50.6</v>
      </c>
      <c r="AA322">
        <v>45.9</v>
      </c>
      <c r="AB322">
        <v>56.9</v>
      </c>
      <c r="AC322">
        <v>53.3</v>
      </c>
      <c r="AD322">
        <v>50.9</v>
      </c>
      <c r="AE322">
        <v>47.6</v>
      </c>
    </row>
    <row r="323" spans="1:31" x14ac:dyDescent="0.2">
      <c r="A323" s="18">
        <v>44044</v>
      </c>
      <c r="B323">
        <v>49.3</v>
      </c>
      <c r="C323">
        <v>64.7</v>
      </c>
      <c r="D323">
        <v>55.1</v>
      </c>
      <c r="E323">
        <v>49.1</v>
      </c>
      <c r="F323">
        <v>52.3</v>
      </c>
      <c r="G323">
        <v>51.7</v>
      </c>
      <c r="H323">
        <v>49.8</v>
      </c>
      <c r="I323">
        <v>52.2</v>
      </c>
      <c r="J323">
        <v>51.8</v>
      </c>
      <c r="K323">
        <v>49.4</v>
      </c>
      <c r="L323">
        <v>44</v>
      </c>
      <c r="M323">
        <v>52</v>
      </c>
      <c r="N323">
        <v>50.8</v>
      </c>
      <c r="O323">
        <v>52.3</v>
      </c>
      <c r="P323">
        <v>53.1</v>
      </c>
      <c r="Q323">
        <v>47.2</v>
      </c>
      <c r="R323">
        <v>41.3</v>
      </c>
      <c r="S323">
        <v>51</v>
      </c>
      <c r="T323">
        <v>50.6</v>
      </c>
      <c r="U323">
        <v>51.1</v>
      </c>
      <c r="V323">
        <v>50</v>
      </c>
      <c r="W323">
        <v>57.3</v>
      </c>
      <c r="X323">
        <v>48.5</v>
      </c>
      <c r="Y323">
        <v>49.9</v>
      </c>
      <c r="Z323">
        <v>52.2</v>
      </c>
      <c r="AA323">
        <v>49.7</v>
      </c>
      <c r="AB323">
        <v>54.3</v>
      </c>
      <c r="AC323">
        <v>55.2</v>
      </c>
      <c r="AD323">
        <v>53.1</v>
      </c>
      <c r="AE323">
        <v>45.7</v>
      </c>
    </row>
    <row r="324" spans="1:31" x14ac:dyDescent="0.2">
      <c r="A324" s="18">
        <v>44075</v>
      </c>
      <c r="B324">
        <v>46.7</v>
      </c>
      <c r="C324">
        <v>64.900000000000006</v>
      </c>
      <c r="D324">
        <v>56</v>
      </c>
      <c r="E324">
        <v>50.7</v>
      </c>
      <c r="F324">
        <v>54.4</v>
      </c>
      <c r="G324">
        <v>53.7</v>
      </c>
      <c r="H324">
        <v>51.2</v>
      </c>
      <c r="I324">
        <v>56.4</v>
      </c>
      <c r="J324">
        <v>52.4</v>
      </c>
      <c r="K324">
        <v>50</v>
      </c>
      <c r="L324">
        <v>47.7</v>
      </c>
      <c r="M324">
        <v>56.8</v>
      </c>
      <c r="N324">
        <v>47.2</v>
      </c>
      <c r="O324">
        <v>50</v>
      </c>
      <c r="P324">
        <v>53.2</v>
      </c>
      <c r="Q324">
        <v>47.7</v>
      </c>
      <c r="R324">
        <v>42.1</v>
      </c>
      <c r="S324">
        <v>54</v>
      </c>
      <c r="T324">
        <v>50.8</v>
      </c>
      <c r="U324">
        <v>48.9</v>
      </c>
      <c r="V324">
        <v>50.7</v>
      </c>
      <c r="W324">
        <v>58.3</v>
      </c>
      <c r="X324">
        <v>49.8</v>
      </c>
      <c r="Y324">
        <v>50.8</v>
      </c>
      <c r="Z324">
        <v>55.2</v>
      </c>
      <c r="AA324">
        <v>49.9</v>
      </c>
      <c r="AB324">
        <v>52.8</v>
      </c>
      <c r="AC324">
        <v>54.1</v>
      </c>
      <c r="AD324">
        <v>53.2</v>
      </c>
      <c r="AE324">
        <v>52.2</v>
      </c>
    </row>
    <row r="325" spans="1:31" x14ac:dyDescent="0.2">
      <c r="A325" s="18">
        <v>44105</v>
      </c>
      <c r="B325">
        <v>56.3</v>
      </c>
      <c r="C325">
        <v>66.7</v>
      </c>
      <c r="D325">
        <v>55.5</v>
      </c>
      <c r="E325">
        <v>51.9</v>
      </c>
      <c r="F325">
        <v>61.8</v>
      </c>
      <c r="G325">
        <v>54.8</v>
      </c>
      <c r="H325">
        <v>51.3</v>
      </c>
      <c r="I325">
        <v>58.2</v>
      </c>
      <c r="J325">
        <v>53</v>
      </c>
      <c r="K325">
        <v>48.7</v>
      </c>
      <c r="L325">
        <v>49.8</v>
      </c>
      <c r="M325">
        <v>58.9</v>
      </c>
      <c r="N325">
        <v>47.8</v>
      </c>
      <c r="O325">
        <v>50.3</v>
      </c>
      <c r="P325">
        <v>53.8</v>
      </c>
      <c r="Q325">
        <v>48.7</v>
      </c>
      <c r="R325">
        <v>43.6</v>
      </c>
      <c r="S325">
        <v>51.7</v>
      </c>
      <c r="T325">
        <v>50.8</v>
      </c>
      <c r="U325">
        <v>46.9</v>
      </c>
      <c r="V325">
        <v>51</v>
      </c>
      <c r="W325">
        <v>60.9</v>
      </c>
      <c r="X325">
        <v>51.2</v>
      </c>
      <c r="Y325">
        <v>52.5</v>
      </c>
      <c r="Z325">
        <v>55.1</v>
      </c>
      <c r="AA325">
        <v>50.8</v>
      </c>
      <c r="AB325">
        <v>53.9</v>
      </c>
      <c r="AC325">
        <v>53.7</v>
      </c>
      <c r="AD325">
        <v>53.4</v>
      </c>
      <c r="AE325">
        <v>51.8</v>
      </c>
    </row>
    <row r="326" spans="1:31" x14ac:dyDescent="0.2">
      <c r="A326" s="18">
        <v>44136</v>
      </c>
      <c r="B326">
        <v>52.1</v>
      </c>
      <c r="C326">
        <v>64</v>
      </c>
      <c r="D326">
        <v>55.8</v>
      </c>
      <c r="E326">
        <v>53.9</v>
      </c>
      <c r="F326">
        <v>47.7</v>
      </c>
      <c r="G326">
        <v>53.8</v>
      </c>
      <c r="H326">
        <v>49.6</v>
      </c>
      <c r="I326">
        <v>57.8</v>
      </c>
      <c r="J326">
        <v>53.8</v>
      </c>
      <c r="K326">
        <v>42.3</v>
      </c>
      <c r="L326">
        <v>50.1</v>
      </c>
      <c r="M326">
        <v>56.3</v>
      </c>
      <c r="N326">
        <v>50.6</v>
      </c>
      <c r="O326">
        <v>52.2</v>
      </c>
      <c r="P326">
        <v>51.5</v>
      </c>
      <c r="Q326">
        <v>49</v>
      </c>
      <c r="R326">
        <v>43.7</v>
      </c>
      <c r="S326">
        <v>55.3</v>
      </c>
      <c r="T326">
        <v>50.8</v>
      </c>
      <c r="U326">
        <v>46.3</v>
      </c>
      <c r="V326">
        <v>54.7</v>
      </c>
      <c r="W326">
        <v>52.6</v>
      </c>
      <c r="X326">
        <v>52.9</v>
      </c>
      <c r="Y326">
        <v>49.8</v>
      </c>
      <c r="Z326">
        <v>56.9</v>
      </c>
      <c r="AA326">
        <v>50.4</v>
      </c>
      <c r="AB326">
        <v>51.4</v>
      </c>
      <c r="AC326">
        <v>55.6</v>
      </c>
      <c r="AD326">
        <v>56.7</v>
      </c>
      <c r="AE326">
        <v>49.9</v>
      </c>
    </row>
    <row r="327" spans="1:31" x14ac:dyDescent="0.2">
      <c r="A327" s="18">
        <v>44166</v>
      </c>
      <c r="B327">
        <v>55.3</v>
      </c>
      <c r="C327">
        <v>61.5</v>
      </c>
      <c r="D327">
        <v>57.9</v>
      </c>
      <c r="E327">
        <v>57</v>
      </c>
      <c r="F327">
        <v>41.9</v>
      </c>
      <c r="G327">
        <v>55.2</v>
      </c>
      <c r="H327">
        <v>51.1</v>
      </c>
      <c r="I327">
        <v>58.3</v>
      </c>
      <c r="J327">
        <v>53.8</v>
      </c>
      <c r="K327">
        <v>46.9</v>
      </c>
      <c r="L327">
        <v>43.5</v>
      </c>
      <c r="M327">
        <v>56.4</v>
      </c>
      <c r="N327">
        <v>51.3</v>
      </c>
      <c r="O327">
        <v>57.2</v>
      </c>
      <c r="P327">
        <v>52.8</v>
      </c>
      <c r="Q327">
        <v>50</v>
      </c>
      <c r="R327">
        <v>42.4</v>
      </c>
      <c r="S327">
        <v>48.7</v>
      </c>
      <c r="T327">
        <v>51.7</v>
      </c>
      <c r="U327">
        <v>49.7</v>
      </c>
      <c r="V327">
        <v>57</v>
      </c>
      <c r="W327">
        <v>50.3</v>
      </c>
      <c r="X327">
        <v>52.9</v>
      </c>
      <c r="Y327">
        <v>51</v>
      </c>
      <c r="Z327">
        <v>59.4</v>
      </c>
      <c r="AA327">
        <v>50.8</v>
      </c>
      <c r="AB327">
        <v>50.8</v>
      </c>
      <c r="AC327">
        <v>57.5</v>
      </c>
      <c r="AD327">
        <v>57.1</v>
      </c>
      <c r="AE327">
        <v>51.7</v>
      </c>
    </row>
    <row r="328" spans="1:31" x14ac:dyDescent="0.2">
      <c r="A328" s="18">
        <v>44197</v>
      </c>
      <c r="B328">
        <v>55.3</v>
      </c>
      <c r="C328">
        <v>56.5</v>
      </c>
      <c r="D328">
        <v>54.4</v>
      </c>
      <c r="E328">
        <v>57</v>
      </c>
      <c r="F328">
        <v>42.1</v>
      </c>
      <c r="G328">
        <v>54.8</v>
      </c>
      <c r="H328">
        <v>51.6</v>
      </c>
      <c r="I328">
        <v>57.1</v>
      </c>
      <c r="J328">
        <v>53.6</v>
      </c>
      <c r="K328">
        <v>50</v>
      </c>
      <c r="L328">
        <v>47.8</v>
      </c>
      <c r="M328">
        <v>57.7</v>
      </c>
      <c r="N328">
        <v>52.2</v>
      </c>
      <c r="O328">
        <v>51.8</v>
      </c>
      <c r="P328">
        <v>55.1</v>
      </c>
      <c r="Q328">
        <v>49.8</v>
      </c>
      <c r="R328">
        <v>43</v>
      </c>
      <c r="S328">
        <v>58.05</v>
      </c>
      <c r="T328">
        <v>51.9</v>
      </c>
      <c r="U328">
        <v>50.9</v>
      </c>
      <c r="V328">
        <v>57.1</v>
      </c>
      <c r="W328">
        <v>50.3</v>
      </c>
      <c r="X328">
        <v>53.2</v>
      </c>
      <c r="Y328">
        <v>49.3</v>
      </c>
      <c r="Z328">
        <v>60.2</v>
      </c>
      <c r="AA328">
        <v>49</v>
      </c>
      <c r="AB328">
        <v>54.4</v>
      </c>
      <c r="AC328">
        <v>54.1</v>
      </c>
      <c r="AD328">
        <v>59.2</v>
      </c>
      <c r="AE328">
        <v>51.3</v>
      </c>
    </row>
    <row r="329" spans="1:31" x14ac:dyDescent="0.2">
      <c r="A329" s="18">
        <v>44228</v>
      </c>
      <c r="B329">
        <v>58.8</v>
      </c>
      <c r="C329">
        <v>58.4</v>
      </c>
      <c r="D329">
        <v>54.8</v>
      </c>
      <c r="E329">
        <v>56.5</v>
      </c>
      <c r="F329">
        <v>40.799999999999997</v>
      </c>
      <c r="G329">
        <v>57.9</v>
      </c>
      <c r="H329">
        <v>56.1</v>
      </c>
      <c r="I329">
        <v>60.7</v>
      </c>
      <c r="J329">
        <v>53.9</v>
      </c>
      <c r="K329">
        <v>49.4</v>
      </c>
      <c r="L329">
        <v>50.2</v>
      </c>
      <c r="M329">
        <v>57.5</v>
      </c>
      <c r="N329">
        <v>50.9</v>
      </c>
      <c r="O329">
        <v>52</v>
      </c>
      <c r="P329">
        <v>56.9</v>
      </c>
      <c r="Q329">
        <v>51.4</v>
      </c>
      <c r="R329">
        <v>44.2</v>
      </c>
      <c r="S329">
        <v>54.21</v>
      </c>
      <c r="T329">
        <v>53.4</v>
      </c>
      <c r="U329">
        <v>51.5</v>
      </c>
      <c r="V329">
        <v>53.9</v>
      </c>
      <c r="W329">
        <v>53</v>
      </c>
      <c r="X329">
        <v>55.3</v>
      </c>
      <c r="Y329">
        <v>52.9</v>
      </c>
      <c r="Z329">
        <v>60.4</v>
      </c>
      <c r="AA329">
        <v>47.2</v>
      </c>
      <c r="AB329">
        <v>51.7</v>
      </c>
      <c r="AC329">
        <v>55.1</v>
      </c>
      <c r="AD329">
        <v>58.6</v>
      </c>
      <c r="AE329">
        <v>51.6</v>
      </c>
    </row>
    <row r="330" spans="1:31" x14ac:dyDescent="0.2">
      <c r="A330" s="18">
        <v>44256</v>
      </c>
      <c r="B330">
        <v>59.9</v>
      </c>
      <c r="C330">
        <v>52.8</v>
      </c>
      <c r="D330">
        <v>58.5</v>
      </c>
      <c r="E330">
        <v>58</v>
      </c>
      <c r="F330">
        <v>67.599999999999994</v>
      </c>
      <c r="G330">
        <v>62.5</v>
      </c>
      <c r="H330">
        <v>59.3</v>
      </c>
      <c r="I330">
        <v>66.599999999999994</v>
      </c>
      <c r="J330">
        <v>55</v>
      </c>
      <c r="K330">
        <v>51.8</v>
      </c>
      <c r="L330">
        <v>50.5</v>
      </c>
      <c r="M330">
        <v>55.4</v>
      </c>
      <c r="N330">
        <v>53.2</v>
      </c>
      <c r="O330">
        <v>57.1</v>
      </c>
      <c r="P330">
        <v>59.8</v>
      </c>
      <c r="Q330">
        <v>52.7</v>
      </c>
      <c r="R330">
        <v>45.6</v>
      </c>
      <c r="S330">
        <v>63.6</v>
      </c>
      <c r="T330">
        <v>54.3</v>
      </c>
      <c r="U330">
        <v>51.1</v>
      </c>
      <c r="V330">
        <v>53.3</v>
      </c>
      <c r="W330">
        <v>57.4</v>
      </c>
      <c r="X330">
        <v>55.3</v>
      </c>
      <c r="Y330">
        <v>56.9</v>
      </c>
      <c r="Z330">
        <v>60.8</v>
      </c>
      <c r="AA330">
        <v>48.8</v>
      </c>
      <c r="AB330">
        <v>52.6</v>
      </c>
      <c r="AC330">
        <v>58.9</v>
      </c>
      <c r="AD330">
        <v>59.1</v>
      </c>
      <c r="AE330">
        <v>53.6</v>
      </c>
    </row>
    <row r="331" spans="1:31" x14ac:dyDescent="0.2">
      <c r="A331" s="18">
        <v>44287</v>
      </c>
      <c r="B331">
        <v>61.7</v>
      </c>
      <c r="C331">
        <v>52.3</v>
      </c>
      <c r="D331">
        <v>57.2</v>
      </c>
      <c r="E331">
        <v>58.9</v>
      </c>
      <c r="F331">
        <v>72</v>
      </c>
      <c r="G331">
        <v>62.9</v>
      </c>
      <c r="H331">
        <v>58.9</v>
      </c>
      <c r="I331">
        <v>66.2</v>
      </c>
      <c r="J331">
        <v>55.9</v>
      </c>
      <c r="K331">
        <v>54.4</v>
      </c>
      <c r="L331">
        <v>50.3</v>
      </c>
      <c r="M331">
        <v>55.5</v>
      </c>
      <c r="N331">
        <v>54.6</v>
      </c>
      <c r="O331">
        <v>60.8</v>
      </c>
      <c r="P331">
        <v>60.7</v>
      </c>
      <c r="Q331">
        <v>53.6</v>
      </c>
      <c r="R331">
        <v>48.4</v>
      </c>
      <c r="S331">
        <v>58.3</v>
      </c>
      <c r="T331">
        <v>53.7</v>
      </c>
      <c r="U331">
        <v>50.4</v>
      </c>
      <c r="V331">
        <v>55.2</v>
      </c>
      <c r="W331">
        <v>56.2</v>
      </c>
      <c r="X331">
        <v>54.6</v>
      </c>
      <c r="Y331">
        <v>57.7</v>
      </c>
      <c r="Z331">
        <v>62.4</v>
      </c>
      <c r="AA331">
        <v>50.7</v>
      </c>
      <c r="AB331">
        <v>50.4</v>
      </c>
      <c r="AC331">
        <v>60.9</v>
      </c>
      <c r="AD331">
        <v>60.5</v>
      </c>
      <c r="AE331">
        <v>54.7</v>
      </c>
    </row>
    <row r="332" spans="1:31" x14ac:dyDescent="0.2">
      <c r="A332" s="18">
        <v>44317</v>
      </c>
      <c r="B332">
        <v>61.8</v>
      </c>
      <c r="C332">
        <v>53.7</v>
      </c>
      <c r="D332">
        <v>57</v>
      </c>
      <c r="E332">
        <v>61.8</v>
      </c>
      <c r="F332">
        <v>67.7</v>
      </c>
      <c r="G332">
        <v>63.1</v>
      </c>
      <c r="H332">
        <v>59.4</v>
      </c>
      <c r="I332">
        <v>64.400000000000006</v>
      </c>
      <c r="J332">
        <v>56</v>
      </c>
      <c r="K332">
        <v>58</v>
      </c>
      <c r="L332">
        <v>52.5</v>
      </c>
      <c r="M332">
        <v>50.8</v>
      </c>
      <c r="N332">
        <v>55.3</v>
      </c>
      <c r="O332">
        <v>64.099999999999994</v>
      </c>
      <c r="P332">
        <v>62.3</v>
      </c>
      <c r="Q332">
        <v>53</v>
      </c>
      <c r="R332">
        <v>47.6</v>
      </c>
      <c r="S332">
        <v>58.6</v>
      </c>
      <c r="T332">
        <v>57.2</v>
      </c>
      <c r="U332">
        <v>51.9</v>
      </c>
      <c r="V332">
        <v>56.4</v>
      </c>
      <c r="W332">
        <v>57.8</v>
      </c>
      <c r="X332">
        <v>53.7</v>
      </c>
      <c r="Y332">
        <v>59.4</v>
      </c>
      <c r="Z332">
        <v>62</v>
      </c>
      <c r="AA332">
        <v>47.8</v>
      </c>
      <c r="AB332">
        <v>49.3</v>
      </c>
      <c r="AC332">
        <v>65.599999999999994</v>
      </c>
      <c r="AD332">
        <v>62.6</v>
      </c>
      <c r="AE332">
        <v>53.1</v>
      </c>
    </row>
    <row r="333" spans="1:31" x14ac:dyDescent="0.2">
      <c r="A333" s="18">
        <v>44348</v>
      </c>
      <c r="B333">
        <v>63.2</v>
      </c>
      <c r="C333">
        <v>56.4</v>
      </c>
      <c r="D333">
        <v>56.5</v>
      </c>
      <c r="E333">
        <v>62.7</v>
      </c>
      <c r="F333">
        <v>62.1</v>
      </c>
      <c r="G333">
        <v>63.4</v>
      </c>
      <c r="H333">
        <v>59</v>
      </c>
      <c r="I333">
        <v>65.099999999999994</v>
      </c>
      <c r="J333">
        <v>55.5</v>
      </c>
      <c r="K333">
        <v>58.6</v>
      </c>
      <c r="L333">
        <v>51.4</v>
      </c>
      <c r="M333">
        <v>48.1</v>
      </c>
      <c r="N333">
        <v>53.5</v>
      </c>
      <c r="O333">
        <v>64</v>
      </c>
      <c r="P333">
        <v>62.2</v>
      </c>
      <c r="Q333">
        <v>52.4</v>
      </c>
      <c r="R333">
        <v>48.8</v>
      </c>
      <c r="S333">
        <v>60.9</v>
      </c>
      <c r="T333">
        <v>59.4</v>
      </c>
      <c r="U333">
        <v>49.2</v>
      </c>
      <c r="V333">
        <v>56.4</v>
      </c>
      <c r="W333">
        <v>57.4</v>
      </c>
      <c r="X333">
        <v>53.9</v>
      </c>
      <c r="Y333">
        <v>60.4</v>
      </c>
      <c r="Z333">
        <v>57.6</v>
      </c>
      <c r="AA333">
        <v>49.5</v>
      </c>
      <c r="AB333">
        <v>51.3</v>
      </c>
      <c r="AC333">
        <v>63.9</v>
      </c>
      <c r="AD333">
        <v>62.1</v>
      </c>
      <c r="AE333">
        <v>44.1</v>
      </c>
    </row>
    <row r="334" spans="1:31" x14ac:dyDescent="0.2">
      <c r="A334" s="18">
        <v>44378</v>
      </c>
      <c r="B334">
        <v>60.8</v>
      </c>
      <c r="C334">
        <v>56.7</v>
      </c>
      <c r="D334">
        <v>56.2</v>
      </c>
      <c r="E334">
        <v>62</v>
      </c>
      <c r="F334">
        <v>69.8</v>
      </c>
      <c r="G334">
        <v>62.8</v>
      </c>
      <c r="H334">
        <v>58</v>
      </c>
      <c r="I334">
        <v>65.900000000000006</v>
      </c>
      <c r="J334">
        <v>55.4</v>
      </c>
      <c r="K334">
        <v>57.4</v>
      </c>
      <c r="L334">
        <v>51.3</v>
      </c>
      <c r="M334">
        <v>55.3</v>
      </c>
      <c r="N334">
        <v>40.1</v>
      </c>
      <c r="O334">
        <v>63.3</v>
      </c>
      <c r="P334">
        <v>60.3</v>
      </c>
      <c r="Q334">
        <v>53</v>
      </c>
      <c r="R334">
        <v>49.6</v>
      </c>
      <c r="S334">
        <v>62.2</v>
      </c>
      <c r="T334">
        <v>57.6</v>
      </c>
      <c r="U334">
        <v>47.5</v>
      </c>
      <c r="V334">
        <v>55.8</v>
      </c>
      <c r="W334">
        <v>43.5</v>
      </c>
      <c r="X334">
        <v>53</v>
      </c>
      <c r="Y334">
        <v>59</v>
      </c>
      <c r="Z334">
        <v>59.7</v>
      </c>
      <c r="AA334">
        <v>48.7</v>
      </c>
      <c r="AB334">
        <v>54</v>
      </c>
      <c r="AC334">
        <v>60.4</v>
      </c>
      <c r="AD334">
        <v>63.4</v>
      </c>
      <c r="AE334">
        <v>45.1</v>
      </c>
    </row>
    <row r="335" spans="1:31" x14ac:dyDescent="0.2">
      <c r="A335" s="18">
        <v>44409</v>
      </c>
      <c r="B335">
        <v>51.6</v>
      </c>
      <c r="C335">
        <v>53.6</v>
      </c>
      <c r="D335">
        <v>57.2</v>
      </c>
      <c r="E335">
        <v>61</v>
      </c>
      <c r="F335">
        <v>67.3</v>
      </c>
      <c r="G335">
        <v>61.4</v>
      </c>
      <c r="H335">
        <v>57.5</v>
      </c>
      <c r="I335">
        <v>62.6</v>
      </c>
      <c r="J335">
        <v>54.1</v>
      </c>
      <c r="K335">
        <v>59.3</v>
      </c>
      <c r="L335">
        <v>53.3</v>
      </c>
      <c r="M335">
        <v>52.3</v>
      </c>
      <c r="N335">
        <v>43.7</v>
      </c>
      <c r="O335">
        <v>62.8</v>
      </c>
      <c r="P335">
        <v>60.9</v>
      </c>
      <c r="Q335">
        <v>52.7</v>
      </c>
      <c r="R335">
        <v>47.1</v>
      </c>
      <c r="S335">
        <v>39.700000000000003</v>
      </c>
      <c r="T335">
        <v>56</v>
      </c>
      <c r="U335">
        <v>46.5</v>
      </c>
      <c r="V335">
        <v>54.1</v>
      </c>
      <c r="W335">
        <v>57.9</v>
      </c>
      <c r="X335">
        <v>51.2</v>
      </c>
      <c r="Y335">
        <v>59.5</v>
      </c>
      <c r="Z335">
        <v>58.5</v>
      </c>
      <c r="AA335">
        <v>48.3</v>
      </c>
      <c r="AB335">
        <v>54.1</v>
      </c>
      <c r="AC335">
        <v>60.3</v>
      </c>
      <c r="AD335">
        <v>61.1</v>
      </c>
      <c r="AE335">
        <v>40.200000000000003</v>
      </c>
    </row>
    <row r="336" spans="1:31" x14ac:dyDescent="0.2">
      <c r="A336" s="18">
        <v>44440</v>
      </c>
      <c r="B336">
        <v>51.2</v>
      </c>
      <c r="C336">
        <v>54.4</v>
      </c>
      <c r="D336">
        <v>57</v>
      </c>
      <c r="E336">
        <v>58</v>
      </c>
      <c r="F336">
        <v>65.2</v>
      </c>
      <c r="G336">
        <v>58.6</v>
      </c>
      <c r="H336">
        <v>55</v>
      </c>
      <c r="I336">
        <v>58.4</v>
      </c>
      <c r="J336">
        <v>54.1</v>
      </c>
      <c r="K336">
        <v>58.4</v>
      </c>
      <c r="L336">
        <v>51.7</v>
      </c>
      <c r="M336">
        <v>53.7</v>
      </c>
      <c r="N336">
        <v>52.2</v>
      </c>
      <c r="O336">
        <v>60.3</v>
      </c>
      <c r="P336">
        <v>59.7</v>
      </c>
      <c r="Q336">
        <v>51.5</v>
      </c>
      <c r="R336">
        <v>48.6</v>
      </c>
      <c r="S336">
        <v>51.4</v>
      </c>
      <c r="T336">
        <v>53.4</v>
      </c>
      <c r="U336">
        <v>49.8</v>
      </c>
      <c r="V336">
        <v>58.6</v>
      </c>
      <c r="W336">
        <v>54.7</v>
      </c>
      <c r="X336">
        <v>52.4</v>
      </c>
      <c r="Y336">
        <v>58.1</v>
      </c>
      <c r="Z336">
        <v>54.7</v>
      </c>
      <c r="AA336">
        <v>48.9</v>
      </c>
      <c r="AB336">
        <v>52.5</v>
      </c>
      <c r="AC336">
        <v>57.1</v>
      </c>
      <c r="AD336">
        <v>60.7</v>
      </c>
      <c r="AE336">
        <v>40.200000000000003</v>
      </c>
    </row>
    <row r="337" spans="1:31" x14ac:dyDescent="0.2">
      <c r="A337" s="18">
        <v>44470</v>
      </c>
      <c r="B337">
        <v>50.4</v>
      </c>
      <c r="C337">
        <v>51.7</v>
      </c>
      <c r="D337">
        <v>57.7</v>
      </c>
      <c r="E337">
        <v>55.1</v>
      </c>
      <c r="F337">
        <v>71.900000000000006</v>
      </c>
      <c r="G337">
        <v>58.3</v>
      </c>
      <c r="H337">
        <v>53.6</v>
      </c>
      <c r="I337">
        <v>57.8</v>
      </c>
      <c r="J337">
        <v>54.2</v>
      </c>
      <c r="K337">
        <v>58.9</v>
      </c>
      <c r="L337">
        <v>50.8</v>
      </c>
      <c r="M337">
        <v>55.9</v>
      </c>
      <c r="N337">
        <v>57.2</v>
      </c>
      <c r="O337">
        <v>62.1</v>
      </c>
      <c r="P337">
        <v>61.1</v>
      </c>
      <c r="Q337">
        <v>53.2</v>
      </c>
      <c r="R337">
        <v>49.3</v>
      </c>
      <c r="S337">
        <v>54.3</v>
      </c>
      <c r="T337">
        <v>53.8</v>
      </c>
      <c r="U337">
        <v>51.6</v>
      </c>
      <c r="V337">
        <v>57.7</v>
      </c>
      <c r="W337">
        <v>53.6</v>
      </c>
      <c r="X337">
        <v>50.2</v>
      </c>
      <c r="Y337">
        <v>57.4</v>
      </c>
      <c r="Z337">
        <v>55.2</v>
      </c>
      <c r="AA337">
        <v>50.9</v>
      </c>
      <c r="AB337">
        <v>51.2</v>
      </c>
      <c r="AC337">
        <v>57.8</v>
      </c>
      <c r="AD337">
        <v>58.4</v>
      </c>
      <c r="AE337">
        <v>52.1</v>
      </c>
    </row>
    <row r="338" spans="1:31" x14ac:dyDescent="0.2">
      <c r="A338" s="18">
        <v>44501</v>
      </c>
      <c r="B338">
        <v>54.8</v>
      </c>
      <c r="C338">
        <v>49.8</v>
      </c>
      <c r="D338">
        <v>57.2</v>
      </c>
      <c r="E338">
        <v>57.1</v>
      </c>
      <c r="F338">
        <v>68.2</v>
      </c>
      <c r="G338">
        <v>58.4</v>
      </c>
      <c r="H338">
        <v>55.9</v>
      </c>
      <c r="I338">
        <v>57.4</v>
      </c>
      <c r="J338">
        <v>54.2</v>
      </c>
      <c r="K338">
        <v>58.8</v>
      </c>
      <c r="L338">
        <v>52.6</v>
      </c>
      <c r="M338">
        <v>57.6</v>
      </c>
      <c r="N338">
        <v>53.9</v>
      </c>
      <c r="O338">
        <v>59.9</v>
      </c>
      <c r="P338">
        <v>62.8</v>
      </c>
      <c r="Q338">
        <v>54.5</v>
      </c>
      <c r="R338">
        <v>49.4</v>
      </c>
      <c r="S338">
        <v>50.6</v>
      </c>
      <c r="T338">
        <v>54.4</v>
      </c>
      <c r="U338">
        <v>51.7</v>
      </c>
      <c r="V338">
        <v>56.9</v>
      </c>
      <c r="W338">
        <v>57.2</v>
      </c>
      <c r="X338">
        <v>50.9</v>
      </c>
      <c r="Y338">
        <v>57.1</v>
      </c>
      <c r="Z338">
        <v>54.9</v>
      </c>
      <c r="AA338">
        <v>50.6</v>
      </c>
      <c r="AB338">
        <v>52</v>
      </c>
      <c r="AC338">
        <v>58.1</v>
      </c>
      <c r="AD338">
        <v>58.3</v>
      </c>
      <c r="AE338">
        <v>52.2</v>
      </c>
    </row>
    <row r="339" spans="1:31" x14ac:dyDescent="0.2">
      <c r="A339" s="18">
        <v>44531</v>
      </c>
      <c r="C339">
        <v>49.8</v>
      </c>
      <c r="D339">
        <v>55.5</v>
      </c>
      <c r="E339">
        <v>59.1</v>
      </c>
      <c r="F339">
        <v>64.400000000000006</v>
      </c>
      <c r="G339">
        <v>58</v>
      </c>
      <c r="H339">
        <v>55.6</v>
      </c>
      <c r="I339">
        <v>57.4</v>
      </c>
      <c r="J339">
        <v>54.2</v>
      </c>
      <c r="K339">
        <v>59</v>
      </c>
      <c r="M339">
        <v>55.5</v>
      </c>
      <c r="N339">
        <v>53.5</v>
      </c>
      <c r="O339">
        <v>58.3</v>
      </c>
      <c r="P339">
        <v>62</v>
      </c>
      <c r="Q339">
        <v>54.3</v>
      </c>
      <c r="R339">
        <v>49.4</v>
      </c>
      <c r="T339">
        <v>56.1</v>
      </c>
      <c r="U339">
        <v>51.6</v>
      </c>
      <c r="V339">
        <v>53.9</v>
      </c>
      <c r="X339">
        <v>51.9</v>
      </c>
      <c r="Y339">
        <v>56.2</v>
      </c>
      <c r="Z339">
        <v>55.5</v>
      </c>
      <c r="AA339">
        <v>49.5</v>
      </c>
      <c r="AB339">
        <v>52.1</v>
      </c>
      <c r="AC339">
        <v>57.9</v>
      </c>
      <c r="AD339">
        <v>57.7</v>
      </c>
      <c r="AE339">
        <v>52.5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36"/>
  <sheetViews>
    <sheetView zoomScale="160" zoomScaleNormal="160" workbookViewId="0">
      <pane ySplit="1" topLeftCell="A2" activePane="bottomLeft" state="frozen"/>
      <selection pane="bottomLeft" activeCell="J12" sqref="J12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9</v>
      </c>
    </row>
    <row r="2" spans="1:2" x14ac:dyDescent="0.2">
      <c r="A2" s="6">
        <v>40452</v>
      </c>
      <c r="B2" s="7">
        <v>53.7</v>
      </c>
    </row>
    <row r="3" spans="1:2" x14ac:dyDescent="0.2">
      <c r="A3" s="2">
        <v>40483</v>
      </c>
      <c r="B3" s="11">
        <v>54</v>
      </c>
    </row>
    <row r="4" spans="1:2" x14ac:dyDescent="0.2">
      <c r="A4" s="2">
        <v>40513</v>
      </c>
      <c r="B4" s="11">
        <v>54.9</v>
      </c>
    </row>
    <row r="5" spans="1:2" x14ac:dyDescent="0.2">
      <c r="A5" s="2">
        <v>40544</v>
      </c>
      <c r="B5" s="11">
        <v>57.2</v>
      </c>
    </row>
    <row r="6" spans="1:2" x14ac:dyDescent="0.2">
      <c r="A6" s="2">
        <v>40575</v>
      </c>
      <c r="B6" s="11">
        <v>58.2</v>
      </c>
    </row>
    <row r="7" spans="1:2" x14ac:dyDescent="0.2">
      <c r="A7" s="2">
        <v>40603</v>
      </c>
      <c r="B7" s="11">
        <v>56</v>
      </c>
    </row>
    <row r="8" spans="1:2" x14ac:dyDescent="0.2">
      <c r="A8" s="2">
        <v>40634</v>
      </c>
      <c r="B8" s="11">
        <v>55.5</v>
      </c>
    </row>
    <row r="9" spans="1:2" x14ac:dyDescent="0.2">
      <c r="A9" s="2">
        <v>40664</v>
      </c>
      <c r="B9" s="11">
        <v>53.1</v>
      </c>
    </row>
    <row r="10" spans="1:2" x14ac:dyDescent="0.2">
      <c r="A10" s="2">
        <v>40695</v>
      </c>
      <c r="B10" s="11">
        <v>52.8</v>
      </c>
    </row>
    <row r="11" spans="1:2" x14ac:dyDescent="0.2">
      <c r="A11" s="2">
        <v>40725</v>
      </c>
      <c r="B11" s="11">
        <v>50.9</v>
      </c>
    </row>
    <row r="12" spans="1:2" x14ac:dyDescent="0.2">
      <c r="A12" s="2">
        <v>40756</v>
      </c>
      <c r="B12" s="11">
        <v>50.4</v>
      </c>
    </row>
    <row r="13" spans="1:2" x14ac:dyDescent="0.2">
      <c r="A13" s="2">
        <v>40787</v>
      </c>
      <c r="B13" s="11">
        <v>50.1</v>
      </c>
    </row>
    <row r="14" spans="1:2" x14ac:dyDescent="0.2">
      <c r="A14" s="2">
        <v>40817</v>
      </c>
      <c r="B14" s="11">
        <v>49.5</v>
      </c>
    </row>
    <row r="15" spans="1:2" x14ac:dyDescent="0.2">
      <c r="A15" s="2">
        <v>40848</v>
      </c>
      <c r="B15" s="11">
        <v>49.6</v>
      </c>
    </row>
    <row r="16" spans="1:2" x14ac:dyDescent="0.2">
      <c r="A16" s="2">
        <v>40878</v>
      </c>
      <c r="B16" s="11">
        <v>50.4</v>
      </c>
    </row>
    <row r="17" spans="1:2" x14ac:dyDescent="0.2">
      <c r="A17" s="2">
        <v>40909</v>
      </c>
      <c r="B17" s="11">
        <v>51</v>
      </c>
    </row>
    <row r="18" spans="1:2" x14ac:dyDescent="0.2">
      <c r="A18" s="2">
        <v>40940</v>
      </c>
      <c r="B18" s="11">
        <v>51.2</v>
      </c>
    </row>
    <row r="19" spans="1:2" x14ac:dyDescent="0.2">
      <c r="A19" s="2">
        <v>40969</v>
      </c>
      <c r="B19" s="11">
        <v>51.6</v>
      </c>
    </row>
    <row r="20" spans="1:2" x14ac:dyDescent="0.2">
      <c r="A20" s="2">
        <v>41000</v>
      </c>
      <c r="B20" s="11">
        <v>51.3</v>
      </c>
    </row>
    <row r="21" spans="1:2" x14ac:dyDescent="0.2">
      <c r="A21" s="2">
        <v>41030</v>
      </c>
      <c r="B21" s="11">
        <v>50.3</v>
      </c>
    </row>
    <row r="22" spans="1:2" x14ac:dyDescent="0.2">
      <c r="A22" s="2">
        <v>41061</v>
      </c>
      <c r="B22" s="11">
        <v>49.7</v>
      </c>
    </row>
    <row r="23" spans="1:2" x14ac:dyDescent="0.2">
      <c r="A23" s="2">
        <v>41091</v>
      </c>
      <c r="B23" s="11">
        <v>48.8</v>
      </c>
    </row>
    <row r="24" spans="1:2" x14ac:dyDescent="0.2">
      <c r="A24" s="2">
        <v>41122</v>
      </c>
      <c r="B24" s="11">
        <v>48.7</v>
      </c>
    </row>
    <row r="25" spans="1:2" x14ac:dyDescent="0.2">
      <c r="A25" s="2">
        <v>41153</v>
      </c>
      <c r="B25" s="11">
        <v>48.7</v>
      </c>
    </row>
    <row r="26" spans="1:2" x14ac:dyDescent="0.2">
      <c r="A26" s="2">
        <v>41183</v>
      </c>
      <c r="B26" s="11">
        <v>48.9</v>
      </c>
    </row>
    <row r="27" spans="1:2" x14ac:dyDescent="0.2">
      <c r="A27" s="2">
        <v>41214</v>
      </c>
      <c r="B27" s="11">
        <v>49.6</v>
      </c>
    </row>
    <row r="28" spans="1:2" x14ac:dyDescent="0.2">
      <c r="A28" s="2">
        <v>41244</v>
      </c>
      <c r="B28" s="11">
        <v>50</v>
      </c>
    </row>
    <row r="29" spans="1:2" x14ac:dyDescent="0.2">
      <c r="A29" s="2">
        <v>41275</v>
      </c>
      <c r="B29" s="11">
        <v>51.5</v>
      </c>
    </row>
    <row r="30" spans="1:2" x14ac:dyDescent="0.2">
      <c r="A30" s="2">
        <v>41306</v>
      </c>
      <c r="B30" s="11">
        <v>50.9</v>
      </c>
    </row>
    <row r="31" spans="1:2" x14ac:dyDescent="0.2">
      <c r="A31" s="2">
        <v>41334</v>
      </c>
      <c r="B31" s="11">
        <v>51.2</v>
      </c>
    </row>
    <row r="32" spans="1:2" x14ac:dyDescent="0.2">
      <c r="A32" s="2">
        <v>41365</v>
      </c>
      <c r="B32" s="11">
        <v>50.4</v>
      </c>
    </row>
    <row r="33" spans="1:2" x14ac:dyDescent="0.2">
      <c r="A33" s="2">
        <v>41395</v>
      </c>
      <c r="B33" s="11">
        <v>50.6</v>
      </c>
    </row>
    <row r="34" spans="1:2" x14ac:dyDescent="0.2">
      <c r="A34" s="2">
        <v>41426</v>
      </c>
      <c r="B34" s="11">
        <v>50.6</v>
      </c>
    </row>
    <row r="35" spans="1:2" x14ac:dyDescent="0.2">
      <c r="A35" s="2">
        <v>41456</v>
      </c>
      <c r="B35" s="11">
        <v>50.8</v>
      </c>
    </row>
    <row r="36" spans="1:2" x14ac:dyDescent="0.2">
      <c r="A36" s="2">
        <v>41487</v>
      </c>
      <c r="B36" s="11">
        <v>51.6</v>
      </c>
    </row>
    <row r="37" spans="1:2" x14ac:dyDescent="0.2">
      <c r="A37" s="2">
        <v>41518</v>
      </c>
      <c r="B37" s="11">
        <v>51.8</v>
      </c>
    </row>
    <row r="38" spans="1:2" x14ac:dyDescent="0.2">
      <c r="A38" s="2">
        <v>41548</v>
      </c>
      <c r="B38" s="11">
        <v>52.1</v>
      </c>
    </row>
    <row r="39" spans="1:2" x14ac:dyDescent="0.2">
      <c r="A39" s="2">
        <v>41579</v>
      </c>
      <c r="B39" s="11">
        <v>53.1</v>
      </c>
    </row>
    <row r="40" spans="1:2" x14ac:dyDescent="0.2">
      <c r="A40" s="2">
        <v>41609</v>
      </c>
      <c r="B40" s="11">
        <v>53.3</v>
      </c>
    </row>
    <row r="41" spans="1:2" x14ac:dyDescent="0.2">
      <c r="A41" s="2">
        <v>41640</v>
      </c>
      <c r="B41" s="11">
        <v>52.9</v>
      </c>
    </row>
    <row r="42" spans="1:2" x14ac:dyDescent="0.2">
      <c r="A42" s="2">
        <v>41671</v>
      </c>
      <c r="B42" s="11">
        <v>53.3</v>
      </c>
    </row>
    <row r="43" spans="1:2" x14ac:dyDescent="0.2">
      <c r="A43" s="2">
        <v>41699</v>
      </c>
      <c r="B43" s="11">
        <v>52.4</v>
      </c>
    </row>
    <row r="44" spans="1:2" x14ac:dyDescent="0.2">
      <c r="A44" s="2">
        <v>41730</v>
      </c>
      <c r="B44" s="11">
        <v>51.9</v>
      </c>
    </row>
    <row r="45" spans="1:2" x14ac:dyDescent="0.2">
      <c r="A45" s="2">
        <v>41760</v>
      </c>
      <c r="B45" s="11">
        <v>52.2</v>
      </c>
    </row>
    <row r="46" spans="1:2" x14ac:dyDescent="0.2">
      <c r="A46" s="2">
        <v>41791</v>
      </c>
      <c r="B46" s="11">
        <v>52.6</v>
      </c>
    </row>
    <row r="47" spans="1:2" x14ac:dyDescent="0.2">
      <c r="A47" s="2">
        <v>41821</v>
      </c>
      <c r="B47" s="11">
        <v>52.5</v>
      </c>
    </row>
    <row r="48" spans="1:2" x14ac:dyDescent="0.2">
      <c r="A48" s="2">
        <v>41852</v>
      </c>
      <c r="B48" s="11">
        <v>52.6</v>
      </c>
    </row>
    <row r="49" spans="1:2" x14ac:dyDescent="0.2">
      <c r="A49" s="2">
        <v>41883</v>
      </c>
      <c r="B49" s="11">
        <v>52.2</v>
      </c>
    </row>
    <row r="50" spans="1:2" x14ac:dyDescent="0.2">
      <c r="A50" s="2">
        <v>41913</v>
      </c>
      <c r="B50" s="11">
        <v>52.2</v>
      </c>
    </row>
    <row r="51" spans="1:2" x14ac:dyDescent="0.2">
      <c r="A51" s="2">
        <v>41944</v>
      </c>
      <c r="B51" s="11">
        <v>51.8</v>
      </c>
    </row>
    <row r="52" spans="1:2" x14ac:dyDescent="0.2">
      <c r="A52" s="2">
        <v>41974</v>
      </c>
      <c r="B52" s="11">
        <v>51.6</v>
      </c>
    </row>
    <row r="53" spans="1:2" x14ac:dyDescent="0.2">
      <c r="A53" s="2">
        <v>42005</v>
      </c>
      <c r="B53" s="11">
        <v>51.7</v>
      </c>
    </row>
    <row r="54" spans="1:2" x14ac:dyDescent="0.2">
      <c r="A54" s="2">
        <v>42036</v>
      </c>
      <c r="B54" s="11">
        <v>52</v>
      </c>
    </row>
    <row r="55" spans="1:2" x14ac:dyDescent="0.2">
      <c r="A55" s="2">
        <v>42064</v>
      </c>
      <c r="B55" s="11">
        <v>51.8</v>
      </c>
    </row>
    <row r="56" spans="1:2" x14ac:dyDescent="0.2">
      <c r="A56" s="2">
        <v>42095</v>
      </c>
      <c r="B56" s="11">
        <v>51</v>
      </c>
    </row>
    <row r="57" spans="1:2" x14ac:dyDescent="0.2">
      <c r="A57" s="2">
        <v>42125</v>
      </c>
      <c r="B57" s="11">
        <v>51.2</v>
      </c>
    </row>
    <row r="58" spans="1:2" x14ac:dyDescent="0.2">
      <c r="A58" s="2">
        <v>42156</v>
      </c>
      <c r="B58" s="11">
        <v>51</v>
      </c>
    </row>
    <row r="59" spans="1:2" x14ac:dyDescent="0.2">
      <c r="A59" s="2">
        <v>42186</v>
      </c>
      <c r="B59" s="11">
        <v>51</v>
      </c>
    </row>
    <row r="60" spans="1:2" x14ac:dyDescent="0.2">
      <c r="A60" s="2">
        <v>42217</v>
      </c>
      <c r="B60" s="11">
        <v>50.7</v>
      </c>
    </row>
    <row r="61" spans="1:2" x14ac:dyDescent="0.2">
      <c r="A61" s="2">
        <v>42248</v>
      </c>
      <c r="B61" s="11">
        <v>50.6</v>
      </c>
    </row>
    <row r="62" spans="1:2" x14ac:dyDescent="0.2">
      <c r="A62" s="2">
        <v>42278</v>
      </c>
      <c r="B62" s="11">
        <v>51.4</v>
      </c>
    </row>
    <row r="63" spans="1:2" x14ac:dyDescent="0.2">
      <c r="A63" s="2">
        <v>42309</v>
      </c>
      <c r="B63" s="11">
        <v>51.2</v>
      </c>
    </row>
    <row r="64" spans="1:2" x14ac:dyDescent="0.2">
      <c r="A64" s="2">
        <v>42339</v>
      </c>
      <c r="B64" s="11">
        <v>50.9</v>
      </c>
    </row>
    <row r="65" spans="1:2" x14ac:dyDescent="0.2">
      <c r="A65" s="2">
        <v>42370</v>
      </c>
      <c r="B65" s="11">
        <v>50.9</v>
      </c>
    </row>
    <row r="66" spans="1:2" x14ac:dyDescent="0.2">
      <c r="A66" s="2">
        <v>42401</v>
      </c>
      <c r="B66" s="11">
        <v>50</v>
      </c>
    </row>
    <row r="67" spans="1:2" x14ac:dyDescent="0.2">
      <c r="A67" s="2">
        <v>42430</v>
      </c>
      <c r="B67" s="11">
        <v>50.5</v>
      </c>
    </row>
    <row r="68" spans="1:2" x14ac:dyDescent="0.2">
      <c r="A68" s="2">
        <v>42461</v>
      </c>
      <c r="B68" s="11">
        <v>50.1</v>
      </c>
    </row>
    <row r="69" spans="1:2" x14ac:dyDescent="0.2">
      <c r="A69" s="2">
        <v>42491</v>
      </c>
      <c r="B69" s="11">
        <v>50</v>
      </c>
    </row>
    <row r="70" spans="1:2" x14ac:dyDescent="0.2">
      <c r="A70" s="2">
        <v>42522</v>
      </c>
      <c r="B70" s="11">
        <v>50.9</v>
      </c>
    </row>
    <row r="71" spans="1:2" x14ac:dyDescent="0.2">
      <c r="A71" s="2">
        <v>42552</v>
      </c>
      <c r="B71" s="11">
        <v>51</v>
      </c>
    </row>
    <row r="72" spans="1:2" x14ac:dyDescent="0.2">
      <c r="A72" s="2">
        <v>42583</v>
      </c>
      <c r="B72" s="11">
        <v>50.9</v>
      </c>
    </row>
    <row r="73" spans="1:2" x14ac:dyDescent="0.2">
      <c r="A73" s="2">
        <v>42614</v>
      </c>
      <c r="B73" s="11">
        <v>51</v>
      </c>
    </row>
    <row r="74" spans="1:2" x14ac:dyDescent="0.2">
      <c r="A74" s="2">
        <v>42644</v>
      </c>
      <c r="B74" s="11">
        <v>52</v>
      </c>
    </row>
    <row r="75" spans="1:2" x14ac:dyDescent="0.2">
      <c r="A75" s="2">
        <v>42675</v>
      </c>
      <c r="B75" s="11">
        <v>52.1</v>
      </c>
    </row>
    <row r="76" spans="1:2" x14ac:dyDescent="0.2">
      <c r="A76" s="2">
        <v>42705</v>
      </c>
      <c r="B76" s="11">
        <v>52.7</v>
      </c>
    </row>
    <row r="77" spans="1:2" x14ac:dyDescent="0.2">
      <c r="A77" s="2">
        <v>42736</v>
      </c>
      <c r="B77" s="11">
        <v>52.7</v>
      </c>
    </row>
    <row r="78" spans="1:2" x14ac:dyDescent="0.2">
      <c r="A78" s="2">
        <v>42767</v>
      </c>
      <c r="B78" s="11">
        <v>53</v>
      </c>
    </row>
    <row r="79" spans="1:2" x14ac:dyDescent="0.2">
      <c r="A79" s="2">
        <v>42795</v>
      </c>
      <c r="B79" s="11">
        <v>53</v>
      </c>
    </row>
    <row r="80" spans="1:2" x14ac:dyDescent="0.2">
      <c r="A80" s="2">
        <v>42826</v>
      </c>
      <c r="B80" s="11">
        <v>52.7</v>
      </c>
    </row>
    <row r="81" spans="1:2" x14ac:dyDescent="0.2">
      <c r="A81" s="2">
        <v>42856</v>
      </c>
      <c r="B81" s="11">
        <v>52.6</v>
      </c>
    </row>
    <row r="82" spans="1:2" x14ac:dyDescent="0.2">
      <c r="A82" s="2">
        <v>42887</v>
      </c>
      <c r="B82" s="11">
        <v>52.6</v>
      </c>
    </row>
    <row r="83" spans="1:2" x14ac:dyDescent="0.2">
      <c r="A83" s="2">
        <v>42917</v>
      </c>
      <c r="B83" s="11">
        <v>52.8</v>
      </c>
    </row>
    <row r="84" spans="1:2" x14ac:dyDescent="0.2">
      <c r="A84" s="2">
        <v>42948</v>
      </c>
      <c r="B84" s="11">
        <v>53.2</v>
      </c>
    </row>
    <row r="85" spans="1:2" x14ac:dyDescent="0.2">
      <c r="A85" s="2">
        <v>42979</v>
      </c>
      <c r="B85" s="11">
        <v>53.3</v>
      </c>
    </row>
    <row r="86" spans="1:2" x14ac:dyDescent="0.2">
      <c r="A86" s="2">
        <v>43009</v>
      </c>
      <c r="B86" s="11">
        <v>53.5</v>
      </c>
    </row>
    <row r="87" spans="1:2" x14ac:dyDescent="0.2">
      <c r="A87" s="2">
        <v>43040</v>
      </c>
      <c r="B87" s="11">
        <v>54.1</v>
      </c>
    </row>
    <row r="88" spans="1:2" x14ac:dyDescent="0.2">
      <c r="A88" s="2">
        <v>43070</v>
      </c>
      <c r="B88" s="11">
        <v>54.5</v>
      </c>
    </row>
    <row r="89" spans="1:2" x14ac:dyDescent="0.2">
      <c r="A89" s="2">
        <v>43101</v>
      </c>
      <c r="B89" s="11">
        <v>54.4</v>
      </c>
    </row>
    <row r="90" spans="1:2" x14ac:dyDescent="0.2">
      <c r="A90" s="2">
        <v>43132</v>
      </c>
      <c r="B90" s="11">
        <v>54.1</v>
      </c>
    </row>
    <row r="91" spans="1:2" x14ac:dyDescent="0.2">
      <c r="A91" s="2">
        <v>43160</v>
      </c>
      <c r="B91" s="11">
        <v>53.3</v>
      </c>
    </row>
    <row r="92" spans="1:2" x14ac:dyDescent="0.2">
      <c r="A92" s="2">
        <v>43191</v>
      </c>
      <c r="B92" s="11">
        <v>53.5</v>
      </c>
    </row>
    <row r="93" spans="1:2" x14ac:dyDescent="0.2">
      <c r="A93" s="2">
        <v>43221</v>
      </c>
      <c r="B93" s="11">
        <v>53.1</v>
      </c>
    </row>
    <row r="94" spans="1:2" x14ac:dyDescent="0.2">
      <c r="A94" s="2">
        <v>43252</v>
      </c>
      <c r="B94" s="11">
        <v>53</v>
      </c>
    </row>
    <row r="95" spans="1:2" x14ac:dyDescent="0.2">
      <c r="A95" s="2">
        <v>43282</v>
      </c>
      <c r="B95" s="11">
        <v>52.8</v>
      </c>
    </row>
    <row r="96" spans="1:2" x14ac:dyDescent="0.2">
      <c r="A96" s="2">
        <v>43313</v>
      </c>
      <c r="B96" s="11">
        <v>52.6</v>
      </c>
    </row>
    <row r="97" spans="1:2" x14ac:dyDescent="0.2">
      <c r="A97" s="2">
        <v>43344</v>
      </c>
      <c r="B97" s="11">
        <v>52.2</v>
      </c>
    </row>
    <row r="98" spans="1:2" x14ac:dyDescent="0.2">
      <c r="A98" s="2">
        <v>43374</v>
      </c>
      <c r="B98" s="11">
        <v>52</v>
      </c>
    </row>
    <row r="99" spans="1:2" x14ac:dyDescent="0.2">
      <c r="A99" s="2">
        <v>43405</v>
      </c>
      <c r="B99" s="11">
        <v>52</v>
      </c>
    </row>
    <row r="100" spans="1:2" x14ac:dyDescent="0.2">
      <c r="A100" s="2">
        <v>43435</v>
      </c>
      <c r="B100" s="11">
        <v>51.5</v>
      </c>
    </row>
    <row r="101" spans="1:2" x14ac:dyDescent="0.2">
      <c r="A101" s="2">
        <v>43466</v>
      </c>
      <c r="B101" s="11">
        <v>50.7</v>
      </c>
    </row>
    <row r="102" spans="1:2" x14ac:dyDescent="0.2">
      <c r="A102" s="2">
        <v>43497</v>
      </c>
      <c r="B102" s="11">
        <v>50.6</v>
      </c>
    </row>
    <row r="103" spans="1:2" x14ac:dyDescent="0.2">
      <c r="A103" s="2">
        <v>43525</v>
      </c>
      <c r="B103" s="11">
        <v>50.5</v>
      </c>
    </row>
    <row r="104" spans="1:2" x14ac:dyDescent="0.2">
      <c r="A104" s="2">
        <v>43556</v>
      </c>
      <c r="B104" s="11">
        <v>50.4</v>
      </c>
    </row>
    <row r="105" spans="1:2" x14ac:dyDescent="0.2">
      <c r="A105" s="2">
        <v>43586</v>
      </c>
      <c r="B105" s="11">
        <v>49.8</v>
      </c>
    </row>
    <row r="106" spans="1:2" x14ac:dyDescent="0.2">
      <c r="A106" s="2">
        <v>43617</v>
      </c>
      <c r="B106" s="11">
        <v>49.4</v>
      </c>
    </row>
    <row r="107" spans="1:2" x14ac:dyDescent="0.2">
      <c r="A107" s="2">
        <v>43647</v>
      </c>
      <c r="B107" s="11">
        <v>49.3</v>
      </c>
    </row>
    <row r="108" spans="1:2" x14ac:dyDescent="0.2">
      <c r="A108" s="4">
        <v>43678</v>
      </c>
      <c r="B108" s="5">
        <v>49.5</v>
      </c>
    </row>
    <row r="109" spans="1:2" x14ac:dyDescent="0.2">
      <c r="A109" s="2">
        <v>43709</v>
      </c>
      <c r="B109" s="11">
        <v>49.7</v>
      </c>
    </row>
    <row r="110" spans="1:2" x14ac:dyDescent="0.2">
      <c r="A110" s="4">
        <v>43739</v>
      </c>
      <c r="B110" s="5">
        <v>49.8</v>
      </c>
    </row>
    <row r="111" spans="1:2" x14ac:dyDescent="0.2">
      <c r="A111" s="2">
        <v>43770</v>
      </c>
      <c r="B111" s="11">
        <v>50.3</v>
      </c>
    </row>
    <row r="112" spans="1:2" x14ac:dyDescent="0.2">
      <c r="A112" s="4">
        <v>43800</v>
      </c>
      <c r="B112" s="5">
        <v>50.1</v>
      </c>
    </row>
    <row r="113" spans="1:2" x14ac:dyDescent="0.2">
      <c r="A113" s="2">
        <v>43831</v>
      </c>
      <c r="B113" s="11">
        <v>50.4</v>
      </c>
    </row>
    <row r="114" spans="1:2" x14ac:dyDescent="0.2">
      <c r="A114" s="4">
        <v>43862</v>
      </c>
      <c r="B114" s="5">
        <v>47.1</v>
      </c>
    </row>
    <row r="115" spans="1:2" x14ac:dyDescent="0.2">
      <c r="A115" s="2">
        <v>43891</v>
      </c>
      <c r="B115" s="11">
        <v>47.3</v>
      </c>
    </row>
    <row r="116" spans="1:2" x14ac:dyDescent="0.2">
      <c r="A116" s="4">
        <v>43922</v>
      </c>
      <c r="B116" s="5">
        <v>39.6</v>
      </c>
    </row>
    <row r="117" spans="1:2" x14ac:dyDescent="0.2">
      <c r="A117" s="2">
        <v>43952</v>
      </c>
      <c r="B117" s="11">
        <v>42.4</v>
      </c>
    </row>
    <row r="118" spans="1:2" x14ac:dyDescent="0.2">
      <c r="A118" s="4">
        <v>43983</v>
      </c>
      <c r="B118" s="5">
        <v>47.8</v>
      </c>
    </row>
    <row r="119" spans="1:2" x14ac:dyDescent="0.2">
      <c r="A119" s="2">
        <v>44013</v>
      </c>
      <c r="B119" s="11">
        <v>50.6</v>
      </c>
    </row>
    <row r="120" spans="1:2" x14ac:dyDescent="0.2">
      <c r="A120" s="4">
        <v>44044</v>
      </c>
      <c r="B120" s="5">
        <v>51.8</v>
      </c>
    </row>
    <row r="121" spans="1:2" x14ac:dyDescent="0.2">
      <c r="A121" s="2">
        <v>44075</v>
      </c>
      <c r="B121" s="11">
        <v>52.4</v>
      </c>
    </row>
    <row r="122" spans="1:2" x14ac:dyDescent="0.2">
      <c r="A122" s="4">
        <v>44105</v>
      </c>
      <c r="B122" s="5">
        <v>53</v>
      </c>
    </row>
    <row r="123" spans="1:2" x14ac:dyDescent="0.2">
      <c r="A123" s="2">
        <v>44136</v>
      </c>
      <c r="B123" s="11">
        <v>53.8</v>
      </c>
    </row>
    <row r="124" spans="1:2" x14ac:dyDescent="0.2">
      <c r="A124" s="4">
        <v>44166</v>
      </c>
      <c r="B124" s="5">
        <v>53.8</v>
      </c>
    </row>
    <row r="125" spans="1:2" x14ac:dyDescent="0.2">
      <c r="A125" s="2">
        <v>44197</v>
      </c>
      <c r="B125" s="11">
        <v>53.6</v>
      </c>
    </row>
    <row r="126" spans="1:2" x14ac:dyDescent="0.2">
      <c r="A126" s="4">
        <v>44228</v>
      </c>
      <c r="B126" s="5">
        <v>53.9</v>
      </c>
    </row>
    <row r="127" spans="1:2" x14ac:dyDescent="0.2">
      <c r="A127" s="2">
        <v>44256</v>
      </c>
      <c r="B127" s="11">
        <v>55</v>
      </c>
    </row>
    <row r="128" spans="1:2" x14ac:dyDescent="0.2">
      <c r="A128" s="4">
        <v>44287</v>
      </c>
      <c r="B128" s="5">
        <v>55.9</v>
      </c>
    </row>
    <row r="129" spans="1:2" x14ac:dyDescent="0.2">
      <c r="A129" s="2">
        <v>44317</v>
      </c>
      <c r="B129" s="11">
        <v>56</v>
      </c>
    </row>
    <row r="130" spans="1:2" x14ac:dyDescent="0.2">
      <c r="A130" s="4">
        <v>44348</v>
      </c>
      <c r="B130" s="5">
        <v>55.5</v>
      </c>
    </row>
    <row r="131" spans="1:2" x14ac:dyDescent="0.2">
      <c r="A131" s="2">
        <v>44378</v>
      </c>
      <c r="B131" s="11">
        <v>55.4</v>
      </c>
    </row>
    <row r="132" spans="1:2" x14ac:dyDescent="0.2">
      <c r="A132" s="4">
        <v>44409</v>
      </c>
      <c r="B132" s="5">
        <v>54.1</v>
      </c>
    </row>
    <row r="133" spans="1:2" x14ac:dyDescent="0.2">
      <c r="A133" s="2">
        <v>44440</v>
      </c>
      <c r="B133" s="11">
        <v>54.1</v>
      </c>
    </row>
    <row r="134" spans="1:2" x14ac:dyDescent="0.2">
      <c r="A134" s="4">
        <v>44470</v>
      </c>
      <c r="B134" s="5">
        <v>54.2</v>
      </c>
    </row>
    <row r="135" spans="1:2" x14ac:dyDescent="0.2">
      <c r="A135" s="2">
        <v>44501</v>
      </c>
      <c r="B135" s="11">
        <v>54.2</v>
      </c>
    </row>
    <row r="136" spans="1:2" x14ac:dyDescent="0.2">
      <c r="A136" s="4">
        <v>44531</v>
      </c>
      <c r="B136" s="5">
        <v>54.2</v>
      </c>
    </row>
  </sheetData>
  <conditionalFormatting sqref="B2:B13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136"/>
  <sheetViews>
    <sheetView zoomScale="160" zoomScaleNormal="160" workbookViewId="0">
      <selection activeCell="B1" sqref="B1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29</v>
      </c>
    </row>
    <row r="2" spans="1:2" x14ac:dyDescent="0.2">
      <c r="A2" s="6">
        <v>40452</v>
      </c>
      <c r="B2" s="7">
        <v>56.9</v>
      </c>
    </row>
    <row r="3" spans="1:2" x14ac:dyDescent="0.2">
      <c r="A3" s="2">
        <v>40483</v>
      </c>
      <c r="B3" s="11">
        <v>56.6</v>
      </c>
    </row>
    <row r="4" spans="1:2" x14ac:dyDescent="0.2">
      <c r="A4" s="2">
        <v>40513</v>
      </c>
      <c r="B4" s="11">
        <v>57</v>
      </c>
    </row>
    <row r="5" spans="1:2" x14ac:dyDescent="0.2">
      <c r="A5" s="2">
        <v>40544</v>
      </c>
      <c r="B5" s="11">
        <v>60.8</v>
      </c>
    </row>
    <row r="6" spans="1:2" x14ac:dyDescent="0.2">
      <c r="A6" s="2">
        <v>40575</v>
      </c>
      <c r="B6" s="11">
        <v>61.4</v>
      </c>
    </row>
    <row r="7" spans="1:2" x14ac:dyDescent="0.2">
      <c r="A7" s="2">
        <v>40603</v>
      </c>
      <c r="B7" s="11">
        <v>61.2</v>
      </c>
    </row>
    <row r="8" spans="1:2" x14ac:dyDescent="0.2">
      <c r="A8" s="2">
        <v>40634</v>
      </c>
      <c r="B8" s="11">
        <v>60.4</v>
      </c>
    </row>
    <row r="9" spans="1:2" x14ac:dyDescent="0.2">
      <c r="A9" s="2">
        <v>40664</v>
      </c>
      <c r="B9" s="11">
        <v>53.5</v>
      </c>
    </row>
    <row r="10" spans="1:2" x14ac:dyDescent="0.2">
      <c r="A10" s="2">
        <v>40695</v>
      </c>
      <c r="B10" s="11">
        <v>55.3</v>
      </c>
    </row>
    <row r="11" spans="1:2" x14ac:dyDescent="0.2">
      <c r="A11" s="2">
        <v>40725</v>
      </c>
      <c r="B11" s="11">
        <v>50.9</v>
      </c>
    </row>
    <row r="12" spans="1:2" x14ac:dyDescent="0.2">
      <c r="A12" s="2">
        <v>40756</v>
      </c>
      <c r="B12" s="11">
        <v>50.6</v>
      </c>
    </row>
    <row r="13" spans="1:2" x14ac:dyDescent="0.2">
      <c r="A13" s="2">
        <v>40787</v>
      </c>
      <c r="B13" s="11">
        <v>51.6</v>
      </c>
    </row>
    <row r="14" spans="1:2" x14ac:dyDescent="0.2">
      <c r="A14" s="2">
        <v>40817</v>
      </c>
      <c r="B14" s="11">
        <v>50.8</v>
      </c>
    </row>
    <row r="15" spans="1:2" x14ac:dyDescent="0.2">
      <c r="A15" s="2">
        <v>40848</v>
      </c>
      <c r="B15" s="11">
        <v>52.7</v>
      </c>
    </row>
    <row r="16" spans="1:2" x14ac:dyDescent="0.2">
      <c r="A16" s="2">
        <v>40878</v>
      </c>
      <c r="B16" s="11">
        <v>53.2</v>
      </c>
    </row>
    <row r="17" spans="1:2" x14ac:dyDescent="0.2">
      <c r="A17" s="2">
        <v>40909</v>
      </c>
      <c r="B17" s="11">
        <v>54.3</v>
      </c>
    </row>
    <row r="18" spans="1:2" x14ac:dyDescent="0.2">
      <c r="A18" s="2">
        <v>40940</v>
      </c>
      <c r="B18" s="11">
        <v>53.6</v>
      </c>
    </row>
    <row r="19" spans="1:2" x14ac:dyDescent="0.2">
      <c r="A19" s="2">
        <v>40969</v>
      </c>
      <c r="B19" s="11">
        <v>56</v>
      </c>
    </row>
    <row r="20" spans="1:2" x14ac:dyDescent="0.2">
      <c r="A20" s="2">
        <v>41000</v>
      </c>
      <c r="B20" s="11">
        <v>56</v>
      </c>
    </row>
    <row r="21" spans="1:2" x14ac:dyDescent="0.2">
      <c r="A21" s="2">
        <v>41030</v>
      </c>
      <c r="B21" s="11">
        <v>54</v>
      </c>
    </row>
    <row r="22" spans="1:2" x14ac:dyDescent="0.2">
      <c r="A22" s="2">
        <v>41061</v>
      </c>
      <c r="B22" s="11">
        <v>52.5</v>
      </c>
    </row>
    <row r="23" spans="1:2" x14ac:dyDescent="0.2">
      <c r="A23" s="2">
        <v>41091</v>
      </c>
      <c r="B23" s="11">
        <v>51.4</v>
      </c>
    </row>
    <row r="24" spans="1:2" x14ac:dyDescent="0.2">
      <c r="A24" s="2">
        <v>41122</v>
      </c>
      <c r="B24" s="11">
        <v>51.5</v>
      </c>
    </row>
    <row r="25" spans="1:2" x14ac:dyDescent="0.2">
      <c r="A25" s="2">
        <v>41153</v>
      </c>
      <c r="B25" s="11">
        <v>51.1</v>
      </c>
    </row>
    <row r="26" spans="1:2" x14ac:dyDescent="0.2">
      <c r="A26" s="2">
        <v>41183</v>
      </c>
      <c r="B26" s="11">
        <v>51</v>
      </c>
    </row>
    <row r="27" spans="1:2" x14ac:dyDescent="0.2">
      <c r="A27" s="2">
        <v>41214</v>
      </c>
      <c r="B27" s="11">
        <v>52.8</v>
      </c>
    </row>
    <row r="28" spans="1:2" x14ac:dyDescent="0.2">
      <c r="A28" s="2">
        <v>41244</v>
      </c>
      <c r="B28" s="11">
        <v>54</v>
      </c>
    </row>
    <row r="29" spans="1:2" x14ac:dyDescent="0.2">
      <c r="A29" s="2">
        <v>41275</v>
      </c>
      <c r="B29" s="11">
        <v>55.8</v>
      </c>
    </row>
    <row r="30" spans="1:2" x14ac:dyDescent="0.2">
      <c r="A30" s="2">
        <v>41306</v>
      </c>
      <c r="B30" s="11">
        <v>54.3</v>
      </c>
    </row>
    <row r="31" spans="1:2" x14ac:dyDescent="0.2">
      <c r="A31" s="2">
        <v>41334</v>
      </c>
      <c r="B31" s="11">
        <v>54.6</v>
      </c>
    </row>
    <row r="32" spans="1:2" x14ac:dyDescent="0.2">
      <c r="A32" s="2">
        <v>41365</v>
      </c>
      <c r="B32" s="11">
        <v>52.1</v>
      </c>
    </row>
    <row r="33" spans="1:2" x14ac:dyDescent="0.2">
      <c r="A33" s="2">
        <v>41395</v>
      </c>
      <c r="B33" s="11">
        <v>52.3</v>
      </c>
    </row>
    <row r="34" spans="1:2" x14ac:dyDescent="0.2">
      <c r="A34" s="2">
        <v>41426</v>
      </c>
      <c r="B34" s="11">
        <v>51.9</v>
      </c>
    </row>
    <row r="35" spans="1:2" x14ac:dyDescent="0.2">
      <c r="A35" s="2">
        <v>41456</v>
      </c>
      <c r="B35" s="11">
        <v>53.7</v>
      </c>
    </row>
    <row r="36" spans="1:2" x14ac:dyDescent="0.2">
      <c r="A36" s="2">
        <v>41487</v>
      </c>
      <c r="B36" s="11">
        <v>53.7</v>
      </c>
    </row>
    <row r="37" spans="1:2" x14ac:dyDescent="0.2">
      <c r="A37" s="2">
        <v>41518</v>
      </c>
      <c r="B37" s="11">
        <v>52.8</v>
      </c>
    </row>
    <row r="38" spans="1:2" x14ac:dyDescent="0.2">
      <c r="A38" s="2">
        <v>41548</v>
      </c>
      <c r="B38" s="11">
        <v>51.8</v>
      </c>
    </row>
    <row r="39" spans="1:2" x14ac:dyDescent="0.2">
      <c r="A39" s="2">
        <v>41579</v>
      </c>
      <c r="B39" s="11">
        <v>54.7</v>
      </c>
    </row>
    <row r="40" spans="1:2" x14ac:dyDescent="0.2">
      <c r="A40" s="2">
        <v>41609</v>
      </c>
      <c r="B40" s="11">
        <v>55</v>
      </c>
    </row>
    <row r="41" spans="1:2" x14ac:dyDescent="0.2">
      <c r="A41" s="2">
        <v>41640</v>
      </c>
      <c r="B41" s="11">
        <v>53.7</v>
      </c>
    </row>
    <row r="42" spans="1:2" x14ac:dyDescent="0.2">
      <c r="A42" s="2">
        <v>41671</v>
      </c>
      <c r="B42" s="11">
        <v>57.1</v>
      </c>
    </row>
    <row r="43" spans="1:2" x14ac:dyDescent="0.2">
      <c r="A43" s="2">
        <v>41699</v>
      </c>
      <c r="B43" s="11">
        <v>55.5</v>
      </c>
    </row>
    <row r="44" spans="1:2" x14ac:dyDescent="0.2">
      <c r="A44" s="2">
        <v>41730</v>
      </c>
      <c r="B44" s="11">
        <v>55.4</v>
      </c>
    </row>
    <row r="45" spans="1:2" x14ac:dyDescent="0.2">
      <c r="A45" s="2">
        <v>41760</v>
      </c>
      <c r="B45" s="11">
        <v>56.4</v>
      </c>
    </row>
    <row r="46" spans="1:2" x14ac:dyDescent="0.2">
      <c r="A46" s="2">
        <v>41791</v>
      </c>
      <c r="B46" s="11">
        <v>57.3</v>
      </c>
    </row>
    <row r="47" spans="1:2" x14ac:dyDescent="0.2">
      <c r="A47" s="2">
        <v>41821</v>
      </c>
      <c r="B47" s="11">
        <v>55.8</v>
      </c>
    </row>
    <row r="48" spans="1:2" x14ac:dyDescent="0.2">
      <c r="A48" s="2">
        <v>41852</v>
      </c>
      <c r="B48" s="11">
        <v>57.9</v>
      </c>
    </row>
    <row r="49" spans="1:2" x14ac:dyDescent="0.2">
      <c r="A49" s="2">
        <v>41883</v>
      </c>
      <c r="B49" s="11">
        <v>57.5</v>
      </c>
    </row>
    <row r="50" spans="1:2" x14ac:dyDescent="0.2">
      <c r="A50" s="2">
        <v>41913</v>
      </c>
      <c r="B50" s="11">
        <v>55.9</v>
      </c>
    </row>
    <row r="51" spans="1:2" x14ac:dyDescent="0.2">
      <c r="A51" s="2">
        <v>41944</v>
      </c>
      <c r="B51" s="11">
        <v>54.8</v>
      </c>
    </row>
    <row r="52" spans="1:2" x14ac:dyDescent="0.2">
      <c r="A52" s="2">
        <v>41974</v>
      </c>
      <c r="B52" s="11">
        <v>53.9</v>
      </c>
    </row>
    <row r="53" spans="1:2" x14ac:dyDescent="0.2">
      <c r="A53" s="2">
        <v>42005</v>
      </c>
      <c r="B53" s="11">
        <v>53.7</v>
      </c>
    </row>
    <row r="54" spans="1:2" x14ac:dyDescent="0.2">
      <c r="A54" s="2">
        <v>42036</v>
      </c>
      <c r="B54" s="11">
        <v>54.3</v>
      </c>
    </row>
    <row r="55" spans="1:2" x14ac:dyDescent="0.2">
      <c r="A55" s="2">
        <v>42064</v>
      </c>
      <c r="B55" s="11">
        <v>55.3</v>
      </c>
    </row>
    <row r="56" spans="1:2" x14ac:dyDescent="0.2">
      <c r="A56" s="2">
        <v>42095</v>
      </c>
      <c r="B56" s="11">
        <v>54.1</v>
      </c>
    </row>
    <row r="57" spans="1:2" x14ac:dyDescent="0.2">
      <c r="A57" s="2">
        <v>42125</v>
      </c>
      <c r="B57" s="11">
        <v>53.8</v>
      </c>
    </row>
    <row r="58" spans="1:2" x14ac:dyDescent="0.2">
      <c r="A58" s="2">
        <v>42156</v>
      </c>
      <c r="B58" s="11">
        <v>53.6</v>
      </c>
    </row>
    <row r="59" spans="1:2" x14ac:dyDescent="0.2">
      <c r="A59" s="2">
        <v>42186</v>
      </c>
      <c r="B59" s="11">
        <v>53.8</v>
      </c>
    </row>
    <row r="60" spans="1:2" x14ac:dyDescent="0.2">
      <c r="A60" s="2">
        <v>42217</v>
      </c>
      <c r="B60" s="11">
        <v>53</v>
      </c>
    </row>
    <row r="61" spans="1:2" x14ac:dyDescent="0.2">
      <c r="A61" s="2">
        <v>42248</v>
      </c>
      <c r="B61" s="11">
        <v>53.1</v>
      </c>
    </row>
    <row r="62" spans="1:2" x14ac:dyDescent="0.2">
      <c r="A62" s="2">
        <v>42278</v>
      </c>
      <c r="B62" s="11">
        <v>54.1</v>
      </c>
    </row>
    <row r="63" spans="1:2" x14ac:dyDescent="0.2">
      <c r="A63" s="2">
        <v>42309</v>
      </c>
      <c r="B63" s="11">
        <v>52.8</v>
      </c>
    </row>
    <row r="64" spans="1:2" x14ac:dyDescent="0.2">
      <c r="A64" s="2">
        <v>42339</v>
      </c>
      <c r="B64" s="11">
        <v>51.2</v>
      </c>
    </row>
    <row r="65" spans="1:2" x14ac:dyDescent="0.2">
      <c r="A65" s="2">
        <v>42370</v>
      </c>
      <c r="B65" s="11">
        <v>52.4</v>
      </c>
    </row>
    <row r="66" spans="1:2" x14ac:dyDescent="0.2">
      <c r="A66" s="2">
        <v>42401</v>
      </c>
      <c r="B66" s="11">
        <v>51.3</v>
      </c>
    </row>
    <row r="67" spans="1:2" x14ac:dyDescent="0.2">
      <c r="A67" s="2">
        <v>42430</v>
      </c>
      <c r="B67" s="11">
        <v>51.5</v>
      </c>
    </row>
    <row r="68" spans="1:2" x14ac:dyDescent="0.2">
      <c r="A68" s="2">
        <v>42461</v>
      </c>
      <c r="B68" s="11">
        <v>50.8</v>
      </c>
    </row>
    <row r="69" spans="1:2" x14ac:dyDescent="0.2">
      <c r="A69" s="2">
        <v>42491</v>
      </c>
      <c r="B69" s="11">
        <v>50.7</v>
      </c>
    </row>
    <row r="70" spans="1:2" x14ac:dyDescent="0.2">
      <c r="A70" s="2">
        <v>42522</v>
      </c>
      <c r="B70" s="11">
        <v>51.3</v>
      </c>
    </row>
    <row r="71" spans="1:2" x14ac:dyDescent="0.2">
      <c r="A71" s="2">
        <v>42552</v>
      </c>
      <c r="B71" s="11">
        <v>52.9</v>
      </c>
    </row>
    <row r="72" spans="1:2" x14ac:dyDescent="0.2">
      <c r="A72" s="2">
        <v>42583</v>
      </c>
      <c r="B72" s="11">
        <v>52</v>
      </c>
    </row>
    <row r="73" spans="1:2" x14ac:dyDescent="0.2">
      <c r="A73" s="2">
        <v>42614</v>
      </c>
      <c r="B73" s="11">
        <v>51.5</v>
      </c>
    </row>
    <row r="74" spans="1:2" x14ac:dyDescent="0.2">
      <c r="A74" s="2">
        <v>42644</v>
      </c>
      <c r="B74" s="11">
        <v>53.4</v>
      </c>
    </row>
    <row r="75" spans="1:2" x14ac:dyDescent="0.2">
      <c r="A75" s="2">
        <v>42675</v>
      </c>
      <c r="B75" s="11">
        <v>54.1</v>
      </c>
    </row>
    <row r="76" spans="1:2" x14ac:dyDescent="0.2">
      <c r="A76" s="2">
        <v>42705</v>
      </c>
      <c r="B76" s="11">
        <v>54.3</v>
      </c>
    </row>
    <row r="77" spans="1:2" x14ac:dyDescent="0.2">
      <c r="A77" s="2">
        <v>42736</v>
      </c>
      <c r="B77" s="11">
        <v>55</v>
      </c>
    </row>
    <row r="78" spans="1:2" x14ac:dyDescent="0.2">
      <c r="A78" s="2">
        <v>42767</v>
      </c>
      <c r="B78" s="11">
        <v>54.2</v>
      </c>
    </row>
    <row r="79" spans="1:2" x14ac:dyDescent="0.2">
      <c r="A79" s="2">
        <v>42795</v>
      </c>
      <c r="B79" s="11">
        <v>53.3</v>
      </c>
    </row>
    <row r="80" spans="1:2" x14ac:dyDescent="0.2">
      <c r="A80" s="2">
        <v>42826</v>
      </c>
      <c r="B80" s="11">
        <v>52.8</v>
      </c>
    </row>
    <row r="81" spans="1:2" x14ac:dyDescent="0.2">
      <c r="A81" s="2">
        <v>42856</v>
      </c>
      <c r="B81" s="11">
        <v>52.7</v>
      </c>
    </row>
    <row r="82" spans="1:2" x14ac:dyDescent="0.2">
      <c r="A82" s="2">
        <v>42887</v>
      </c>
      <c r="B82" s="11">
        <v>52</v>
      </c>
    </row>
    <row r="83" spans="1:2" x14ac:dyDescent="0.2">
      <c r="A83" s="2">
        <v>42917</v>
      </c>
      <c r="B83" s="11">
        <v>53.3</v>
      </c>
    </row>
    <row r="84" spans="1:2" x14ac:dyDescent="0.2">
      <c r="A84" s="2">
        <v>42948</v>
      </c>
      <c r="B84" s="11">
        <v>52.8</v>
      </c>
    </row>
    <row r="85" spans="1:2" x14ac:dyDescent="0.2">
      <c r="A85" s="2">
        <v>42979</v>
      </c>
      <c r="B85" s="11">
        <v>53.1</v>
      </c>
    </row>
    <row r="86" spans="1:2" x14ac:dyDescent="0.2">
      <c r="A86" s="2">
        <v>43009</v>
      </c>
      <c r="B86" s="11">
        <v>54.6</v>
      </c>
    </row>
    <row r="87" spans="1:2" x14ac:dyDescent="0.2">
      <c r="A87" s="2">
        <v>43040</v>
      </c>
      <c r="B87" s="11">
        <v>53.9</v>
      </c>
    </row>
    <row r="88" spans="1:2" x14ac:dyDescent="0.2">
      <c r="A88" s="2">
        <v>43070</v>
      </c>
      <c r="B88" s="11">
        <v>55.1</v>
      </c>
    </row>
    <row r="89" spans="1:2" x14ac:dyDescent="0.2">
      <c r="A89" s="2">
        <v>43101</v>
      </c>
      <c r="B89" s="11">
        <v>55.5</v>
      </c>
    </row>
    <row r="90" spans="1:2" x14ac:dyDescent="0.2">
      <c r="A90" s="2">
        <v>43132</v>
      </c>
      <c r="B90" s="11">
        <v>55.3</v>
      </c>
    </row>
    <row r="91" spans="1:2" x14ac:dyDescent="0.2">
      <c r="A91" s="2">
        <v>43160</v>
      </c>
      <c r="B91" s="11">
        <v>55.6</v>
      </c>
    </row>
    <row r="92" spans="1:2" x14ac:dyDescent="0.2">
      <c r="A92" s="2">
        <v>43191</v>
      </c>
      <c r="B92" s="11">
        <v>56.5</v>
      </c>
    </row>
    <row r="93" spans="1:2" x14ac:dyDescent="0.2">
      <c r="A93" s="2">
        <v>43221</v>
      </c>
      <c r="B93" s="11">
        <v>56.4</v>
      </c>
    </row>
    <row r="94" spans="1:2" x14ac:dyDescent="0.2">
      <c r="A94" s="2">
        <v>43252</v>
      </c>
      <c r="B94" s="11">
        <v>55.4</v>
      </c>
    </row>
    <row r="95" spans="1:2" x14ac:dyDescent="0.2">
      <c r="A95" s="2">
        <v>43282</v>
      </c>
      <c r="B95" s="11">
        <v>55.3</v>
      </c>
    </row>
    <row r="96" spans="1:2" x14ac:dyDescent="0.2">
      <c r="A96" s="2">
        <v>43313</v>
      </c>
      <c r="B96" s="11">
        <v>54.5</v>
      </c>
    </row>
    <row r="97" spans="1:2" x14ac:dyDescent="0.2">
      <c r="A97" s="2">
        <v>43344</v>
      </c>
      <c r="B97" s="11">
        <v>55.6</v>
      </c>
    </row>
    <row r="98" spans="1:2" x14ac:dyDescent="0.2">
      <c r="A98" s="2">
        <v>43374</v>
      </c>
      <c r="B98" s="11">
        <v>55.7</v>
      </c>
    </row>
    <row r="99" spans="1:2" x14ac:dyDescent="0.2">
      <c r="A99" s="2">
        <v>43405</v>
      </c>
      <c r="B99" s="11">
        <v>55.3</v>
      </c>
    </row>
    <row r="100" spans="1:2" x14ac:dyDescent="0.2">
      <c r="A100" s="2">
        <v>43435</v>
      </c>
      <c r="B100" s="11">
        <v>53.8</v>
      </c>
    </row>
    <row r="101" spans="1:2" x14ac:dyDescent="0.2">
      <c r="A101" s="2">
        <v>43466</v>
      </c>
      <c r="B101" s="11">
        <v>54.9</v>
      </c>
    </row>
    <row r="102" spans="1:2" x14ac:dyDescent="0.2">
      <c r="A102" s="2">
        <v>43497</v>
      </c>
      <c r="B102" s="11">
        <v>53</v>
      </c>
    </row>
    <row r="103" spans="1:2" x14ac:dyDescent="0.2">
      <c r="A103" s="2">
        <v>43525</v>
      </c>
      <c r="B103" s="11">
        <v>52.4</v>
      </c>
    </row>
    <row r="104" spans="1:2" x14ac:dyDescent="0.2">
      <c r="A104" s="2">
        <v>43556</v>
      </c>
      <c r="B104" s="11">
        <v>52.6</v>
      </c>
    </row>
    <row r="105" spans="1:2" x14ac:dyDescent="0.2">
      <c r="A105" s="2">
        <v>43586</v>
      </c>
      <c r="B105" s="11">
        <v>50.5</v>
      </c>
    </row>
    <row r="106" spans="1:2" x14ac:dyDescent="0.2">
      <c r="A106" s="2">
        <v>43617</v>
      </c>
      <c r="B106" s="11">
        <v>50.6</v>
      </c>
    </row>
    <row r="107" spans="1:2" x14ac:dyDescent="0.2">
      <c r="A107" s="2">
        <v>43647</v>
      </c>
      <c r="B107" s="11">
        <v>50</v>
      </c>
    </row>
    <row r="108" spans="1:2" x14ac:dyDescent="0.2">
      <c r="A108" s="2">
        <v>43678</v>
      </c>
      <c r="B108" s="11">
        <v>50.3</v>
      </c>
    </row>
    <row r="109" spans="1:2" x14ac:dyDescent="0.2">
      <c r="A109" s="2">
        <v>43709</v>
      </c>
      <c r="B109" s="11">
        <v>51.1</v>
      </c>
    </row>
    <row r="110" spans="1:2" x14ac:dyDescent="0.2">
      <c r="A110" s="2">
        <v>43739</v>
      </c>
      <c r="B110" s="11">
        <v>51.3</v>
      </c>
    </row>
    <row r="111" spans="1:2" x14ac:dyDescent="0.2">
      <c r="A111" s="2">
        <v>43770</v>
      </c>
      <c r="B111" s="11">
        <v>52.6</v>
      </c>
    </row>
    <row r="112" spans="1:2" x14ac:dyDescent="0.2">
      <c r="A112" s="2">
        <v>43800</v>
      </c>
      <c r="B112" s="11">
        <v>52.4</v>
      </c>
    </row>
    <row r="113" spans="1:2" x14ac:dyDescent="0.2">
      <c r="A113" s="2">
        <v>43831</v>
      </c>
      <c r="B113" s="11">
        <v>51.9</v>
      </c>
    </row>
    <row r="114" spans="1:2" x14ac:dyDescent="0.2">
      <c r="A114" s="2">
        <v>43862</v>
      </c>
      <c r="B114" s="11">
        <v>50.7</v>
      </c>
    </row>
    <row r="115" spans="1:2" x14ac:dyDescent="0.2">
      <c r="A115" s="2">
        <v>43891</v>
      </c>
      <c r="B115" s="11">
        <v>48.5</v>
      </c>
    </row>
    <row r="116" spans="1:2" x14ac:dyDescent="0.2">
      <c r="A116" s="2">
        <v>43922</v>
      </c>
      <c r="B116" s="11">
        <v>36.1</v>
      </c>
    </row>
    <row r="117" spans="1:2" x14ac:dyDescent="0.2">
      <c r="A117" s="2">
        <v>43952</v>
      </c>
      <c r="B117" s="11">
        <v>39.799999999999997</v>
      </c>
    </row>
    <row r="118" spans="1:2" x14ac:dyDescent="0.2">
      <c r="A118" s="2">
        <v>43983</v>
      </c>
      <c r="B118" s="11">
        <v>49.8</v>
      </c>
    </row>
    <row r="119" spans="1:2" x14ac:dyDescent="0.2">
      <c r="A119" s="2">
        <v>44013</v>
      </c>
      <c r="B119" s="11">
        <v>50.9</v>
      </c>
    </row>
    <row r="120" spans="1:2" x14ac:dyDescent="0.2">
      <c r="A120" s="2">
        <v>44044</v>
      </c>
      <c r="B120" s="11">
        <v>53.1</v>
      </c>
    </row>
    <row r="121" spans="1:2" x14ac:dyDescent="0.2">
      <c r="A121" s="2">
        <v>44075</v>
      </c>
      <c r="B121" s="11">
        <v>53.2</v>
      </c>
    </row>
    <row r="122" spans="1:2" x14ac:dyDescent="0.2">
      <c r="A122" s="2">
        <v>44105</v>
      </c>
      <c r="B122" s="11">
        <v>53.4</v>
      </c>
    </row>
    <row r="123" spans="1:2" x14ac:dyDescent="0.2">
      <c r="A123" s="2">
        <v>44136</v>
      </c>
      <c r="B123" s="11">
        <v>56.7</v>
      </c>
    </row>
    <row r="124" spans="1:2" x14ac:dyDescent="0.2">
      <c r="A124" s="2">
        <v>44166</v>
      </c>
      <c r="B124" s="11">
        <v>57.1</v>
      </c>
    </row>
    <row r="125" spans="1:2" x14ac:dyDescent="0.2">
      <c r="A125" s="2">
        <v>44197</v>
      </c>
      <c r="B125" s="11">
        <v>59.2</v>
      </c>
    </row>
    <row r="126" spans="1:2" x14ac:dyDescent="0.2">
      <c r="A126" s="2">
        <v>44228</v>
      </c>
      <c r="B126" s="11">
        <v>58.6</v>
      </c>
    </row>
    <row r="127" spans="1:2" x14ac:dyDescent="0.2">
      <c r="A127" s="2">
        <v>44256</v>
      </c>
      <c r="B127" s="11">
        <v>59.1</v>
      </c>
    </row>
    <row r="128" spans="1:2" x14ac:dyDescent="0.2">
      <c r="A128" s="2">
        <v>44287</v>
      </c>
      <c r="B128" s="11">
        <v>60.5</v>
      </c>
    </row>
    <row r="129" spans="1:2" x14ac:dyDescent="0.2">
      <c r="A129" s="2">
        <v>44317</v>
      </c>
      <c r="B129" s="11">
        <v>62.6</v>
      </c>
    </row>
    <row r="130" spans="1:2" x14ac:dyDescent="0.2">
      <c r="A130" s="2">
        <v>44348</v>
      </c>
      <c r="B130" s="11">
        <v>62.1</v>
      </c>
    </row>
    <row r="131" spans="1:2" x14ac:dyDescent="0.2">
      <c r="A131" s="2">
        <v>44378</v>
      </c>
      <c r="B131" s="11">
        <v>63.4</v>
      </c>
    </row>
    <row r="132" spans="1:2" x14ac:dyDescent="0.2">
      <c r="A132" s="2">
        <v>44409</v>
      </c>
      <c r="B132" s="11">
        <v>61.1</v>
      </c>
    </row>
    <row r="133" spans="1:2" x14ac:dyDescent="0.2">
      <c r="A133" s="2">
        <v>44440</v>
      </c>
      <c r="B133" s="11">
        <v>60.7</v>
      </c>
    </row>
    <row r="134" spans="1:2" x14ac:dyDescent="0.2">
      <c r="A134" s="2">
        <v>44470</v>
      </c>
      <c r="B134" s="11">
        <v>58.4</v>
      </c>
    </row>
    <row r="135" spans="1:2" x14ac:dyDescent="0.2">
      <c r="A135" s="2">
        <v>44501</v>
      </c>
      <c r="B135" s="11">
        <v>58.3</v>
      </c>
    </row>
    <row r="136" spans="1:2" x14ac:dyDescent="0.2">
      <c r="A136" s="2">
        <v>44531</v>
      </c>
      <c r="B136" s="11">
        <v>57.7</v>
      </c>
    </row>
  </sheetData>
  <conditionalFormatting sqref="B2:B13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205"/>
  <sheetViews>
    <sheetView zoomScale="150" zoomScaleNormal="150" workbookViewId="0">
      <pane ySplit="1" topLeftCell="A186" activePane="bottomLeft" state="frozen"/>
      <selection pane="bottomLeft" activeCell="K14" sqref="K14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4" width="18.33203125" style="1" customWidth="1"/>
    <col min="5" max="5" width="9.1640625" style="1" customWidth="1"/>
    <col min="6" max="16384" width="9.1640625" style="1"/>
  </cols>
  <sheetData>
    <row r="1" spans="1:6" ht="16" customHeight="1" thickBot="1" x14ac:dyDescent="0.25">
      <c r="A1" s="9" t="s">
        <v>0</v>
      </c>
      <c r="B1" s="10" t="s">
        <v>33</v>
      </c>
      <c r="C1" s="10" t="s">
        <v>34</v>
      </c>
      <c r="D1" s="13" t="s">
        <v>35</v>
      </c>
      <c r="E1" s="13" t="s">
        <v>36</v>
      </c>
      <c r="F1" s="13" t="s">
        <v>37</v>
      </c>
    </row>
    <row r="2" spans="1:6" x14ac:dyDescent="0.2">
      <c r="A2" s="6">
        <v>38353</v>
      </c>
      <c r="B2" s="7">
        <v>52.1</v>
      </c>
      <c r="C2" s="7"/>
      <c r="D2" s="11">
        <v>55.7</v>
      </c>
      <c r="E2" s="11"/>
      <c r="F2" s="14"/>
    </row>
    <row r="3" spans="1:6" x14ac:dyDescent="0.2">
      <c r="A3" s="2">
        <v>38384</v>
      </c>
      <c r="B3" s="11">
        <v>52.9</v>
      </c>
      <c r="C3" s="11">
        <f>Table1346811121415161718192021[[#This Row],[Caixin PMI]]-B2</f>
        <v>0.79999999999999716</v>
      </c>
      <c r="D3" s="11">
        <v>54.4</v>
      </c>
      <c r="E3" s="11">
        <f>Table1346811121415161718192021[[#This Row],[Official PMI]]-D2</f>
        <v>-1.3000000000000043</v>
      </c>
      <c r="F3" s="14"/>
    </row>
    <row r="4" spans="1:6" x14ac:dyDescent="0.2">
      <c r="A4" s="2">
        <v>38412</v>
      </c>
      <c r="B4" s="11">
        <v>55.2</v>
      </c>
      <c r="C4" s="11">
        <f>Table1346811121415161718192021[[#This Row],[Caixin PMI]]-B3</f>
        <v>2.3000000000000043</v>
      </c>
      <c r="D4" s="11">
        <v>63.4</v>
      </c>
      <c r="E4" s="11">
        <f>Table1346811121415161718192021[[#This Row],[Official PMI]]-D3</f>
        <v>9</v>
      </c>
      <c r="F4" s="14">
        <v>0.105</v>
      </c>
    </row>
    <row r="5" spans="1:6" x14ac:dyDescent="0.2">
      <c r="A5" s="2">
        <v>38443</v>
      </c>
      <c r="B5" s="11">
        <v>54.4</v>
      </c>
      <c r="C5" s="11">
        <f>Table1346811121415161718192021[[#This Row],[Caixin PMI]]-B4</f>
        <v>-0.80000000000000426</v>
      </c>
      <c r="D5" s="11">
        <v>56.9</v>
      </c>
      <c r="E5" s="11">
        <f>Table1346811121415161718192021[[#This Row],[Official PMI]]-D4</f>
        <v>-6.5</v>
      </c>
      <c r="F5" s="14"/>
    </row>
    <row r="6" spans="1:6" x14ac:dyDescent="0.2">
      <c r="A6" s="2">
        <v>38473</v>
      </c>
      <c r="B6" s="11">
        <v>53.3</v>
      </c>
      <c r="C6" s="11">
        <f>Table1346811121415161718192021[[#This Row],[Caixin PMI]]-B5</f>
        <v>-1.1000000000000014</v>
      </c>
      <c r="D6" s="11">
        <v>52.1</v>
      </c>
      <c r="E6" s="11">
        <f>Table1346811121415161718192021[[#This Row],[Official PMI]]-D5</f>
        <v>-4.7999999999999972</v>
      </c>
      <c r="F6" s="14"/>
    </row>
    <row r="7" spans="1:6" x14ac:dyDescent="0.2">
      <c r="A7" s="2">
        <v>38504</v>
      </c>
      <c r="B7" s="11">
        <v>51</v>
      </c>
      <c r="C7" s="11">
        <f>Table1346811121415161718192021[[#This Row],[Caixin PMI]]-B6</f>
        <v>-2.2999999999999972</v>
      </c>
      <c r="D7" s="11">
        <v>52.1</v>
      </c>
      <c r="E7" s="11">
        <f>Table1346811121415161718192021[[#This Row],[Official PMI]]-D6</f>
        <v>0</v>
      </c>
      <c r="F7" s="14">
        <v>0.10100000000000001</v>
      </c>
    </row>
    <row r="8" spans="1:6" x14ac:dyDescent="0.2">
      <c r="A8" s="2">
        <v>38534</v>
      </c>
      <c r="B8" s="11">
        <v>51.5</v>
      </c>
      <c r="C8" s="11">
        <f>Table1346811121415161718192021[[#This Row],[Caixin PMI]]-B7</f>
        <v>0.5</v>
      </c>
      <c r="D8" s="11">
        <v>51.2</v>
      </c>
      <c r="E8" s="11">
        <f>Table1346811121415161718192021[[#This Row],[Official PMI]]-D7</f>
        <v>-0.89999999999999858</v>
      </c>
      <c r="F8" s="14"/>
    </row>
    <row r="9" spans="1:6" x14ac:dyDescent="0.2">
      <c r="A9" s="2">
        <v>38565</v>
      </c>
      <c r="B9" s="11">
        <v>50.6</v>
      </c>
      <c r="C9" s="11">
        <f>Table1346811121415161718192021[[#This Row],[Caixin PMI]]-B8</f>
        <v>-0.89999999999999858</v>
      </c>
      <c r="D9" s="11">
        <v>54.1</v>
      </c>
      <c r="E9" s="11">
        <f>Table1346811121415161718192021[[#This Row],[Official PMI]]-D8</f>
        <v>2.8999999999999986</v>
      </c>
      <c r="F9" s="14"/>
    </row>
    <row r="10" spans="1:6" x14ac:dyDescent="0.2">
      <c r="A10" s="2">
        <v>38596</v>
      </c>
      <c r="B10" s="11">
        <v>50.9</v>
      </c>
      <c r="C10" s="11">
        <f>Table1346811121415161718192021[[#This Row],[Caixin PMI]]-B9</f>
        <v>0.29999999999999716</v>
      </c>
      <c r="D10" s="11">
        <v>56.9</v>
      </c>
      <c r="E10" s="11">
        <f>Table1346811121415161718192021[[#This Row],[Official PMI]]-D9</f>
        <v>2.7999999999999972</v>
      </c>
      <c r="F10" s="14">
        <v>9.98E-2</v>
      </c>
    </row>
    <row r="11" spans="1:6" x14ac:dyDescent="0.2">
      <c r="A11" s="2">
        <v>38626</v>
      </c>
      <c r="B11" s="11">
        <v>50.1</v>
      </c>
      <c r="C11" s="11">
        <f>Table1346811121415161718192021[[#This Row],[Caixin PMI]]-B10</f>
        <v>-0.79999999999999716</v>
      </c>
      <c r="D11" s="11">
        <v>54.1</v>
      </c>
      <c r="E11" s="11">
        <f>Table1346811121415161718192021[[#This Row],[Official PMI]]-D10</f>
        <v>-2.7999999999999972</v>
      </c>
      <c r="F11" s="14"/>
    </row>
    <row r="12" spans="1:6" x14ac:dyDescent="0.2">
      <c r="A12" s="2">
        <v>38657</v>
      </c>
      <c r="B12" s="11">
        <v>49.8</v>
      </c>
      <c r="C12" s="11">
        <f>Table1346811121415161718192021[[#This Row],[Caixin PMI]]-B11</f>
        <v>-0.30000000000000426</v>
      </c>
      <c r="D12" s="11">
        <v>54.1</v>
      </c>
      <c r="E12" s="11">
        <f>Table1346811121415161718192021[[#This Row],[Official PMI]]-D11</f>
        <v>0</v>
      </c>
      <c r="F12" s="14"/>
    </row>
    <row r="13" spans="1:6" x14ac:dyDescent="0.2">
      <c r="A13" s="2">
        <v>38687</v>
      </c>
      <c r="B13" s="11">
        <v>50.1</v>
      </c>
      <c r="C13" s="11">
        <f>Table1346811121415161718192021[[#This Row],[Caixin PMI]]-B12</f>
        <v>0.30000000000000426</v>
      </c>
      <c r="D13" s="11">
        <v>54.3</v>
      </c>
      <c r="E13" s="11">
        <f>Table1346811121415161718192021[[#This Row],[Official PMI]]-D12</f>
        <v>0.19999999999999574</v>
      </c>
      <c r="F13" s="14">
        <v>9.9000000000000005E-2</v>
      </c>
    </row>
    <row r="14" spans="1:6" x14ac:dyDescent="0.2">
      <c r="A14" s="2">
        <v>38718</v>
      </c>
      <c r="B14" s="11">
        <v>50.2</v>
      </c>
      <c r="C14" s="11">
        <f>Table1346811121415161718192021[[#This Row],[Caixin PMI]]-B13</f>
        <v>0.10000000000000142</v>
      </c>
      <c r="D14" s="11">
        <v>52.1</v>
      </c>
      <c r="E14" s="11">
        <f>Table1346811121415161718192021[[#This Row],[Official PMI]]-D13</f>
        <v>-2.1999999999999957</v>
      </c>
      <c r="F14" s="14"/>
    </row>
    <row r="15" spans="1:6" x14ac:dyDescent="0.2">
      <c r="A15" s="2">
        <v>38749</v>
      </c>
      <c r="B15" s="11">
        <v>50.7</v>
      </c>
      <c r="C15" s="11">
        <f>Table1346811121415161718192021[[#This Row],[Caixin PMI]]-B14</f>
        <v>0.5</v>
      </c>
      <c r="D15" s="11">
        <v>52.1</v>
      </c>
      <c r="E15" s="11">
        <f>Table1346811121415161718192021[[#This Row],[Official PMI]]-D14</f>
        <v>0</v>
      </c>
      <c r="F15" s="14"/>
    </row>
    <row r="16" spans="1:6" x14ac:dyDescent="0.2">
      <c r="A16" s="2">
        <v>38777</v>
      </c>
      <c r="B16" s="11">
        <v>51</v>
      </c>
      <c r="C16" s="11">
        <f>Table1346811121415161718192021[[#This Row],[Caixin PMI]]-B15</f>
        <v>0.29999999999999716</v>
      </c>
      <c r="D16" s="11">
        <v>55.3</v>
      </c>
      <c r="E16" s="11">
        <f>Table1346811121415161718192021[[#This Row],[Official PMI]]-D15</f>
        <v>3.1999999999999957</v>
      </c>
      <c r="F16" s="14">
        <v>0.114</v>
      </c>
    </row>
    <row r="17" spans="1:6" x14ac:dyDescent="0.2">
      <c r="A17" s="2">
        <v>38808</v>
      </c>
      <c r="B17" s="11">
        <v>52.7</v>
      </c>
      <c r="C17" s="11">
        <f>Table1346811121415161718192021[[#This Row],[Caixin PMI]]-B16</f>
        <v>1.7000000000000028</v>
      </c>
      <c r="D17" s="11">
        <v>58.1</v>
      </c>
      <c r="E17" s="11">
        <f>Table1346811121415161718192021[[#This Row],[Official PMI]]-D16</f>
        <v>2.8000000000000043</v>
      </c>
      <c r="F17" s="14"/>
    </row>
    <row r="18" spans="1:6" x14ac:dyDescent="0.2">
      <c r="A18" s="2">
        <v>38838</v>
      </c>
      <c r="B18" s="11">
        <v>52.8</v>
      </c>
      <c r="C18" s="11">
        <f>Table1346811121415161718192021[[#This Row],[Caixin PMI]]-B17</f>
        <v>9.9999999999994316E-2</v>
      </c>
      <c r="D18" s="11">
        <v>54.8</v>
      </c>
      <c r="E18" s="11">
        <f>Table1346811121415161718192021[[#This Row],[Official PMI]]-D17</f>
        <v>-3.3000000000000043</v>
      </c>
      <c r="F18" s="14"/>
    </row>
    <row r="19" spans="1:6" x14ac:dyDescent="0.2">
      <c r="A19" s="2">
        <v>38869</v>
      </c>
      <c r="B19" s="11">
        <v>52.9</v>
      </c>
      <c r="C19" s="11">
        <f>Table1346811121415161718192021[[#This Row],[Caixin PMI]]-B18</f>
        <v>0.10000000000000142</v>
      </c>
      <c r="D19" s="11">
        <v>54.1</v>
      </c>
      <c r="E19" s="11">
        <f>Table1346811121415161718192021[[#This Row],[Official PMI]]-D18</f>
        <v>-0.69999999999999574</v>
      </c>
      <c r="F19" s="14">
        <v>0.115</v>
      </c>
    </row>
    <row r="20" spans="1:6" x14ac:dyDescent="0.2">
      <c r="A20" s="2">
        <v>38899</v>
      </c>
      <c r="B20" s="11">
        <v>53</v>
      </c>
      <c r="C20" s="11">
        <f>Table1346811121415161718192021[[#This Row],[Caixin PMI]]-B19</f>
        <v>0.10000000000000142</v>
      </c>
      <c r="D20" s="11">
        <v>52.4</v>
      </c>
      <c r="E20" s="11">
        <f>Table1346811121415161718192021[[#This Row],[Official PMI]]-D19</f>
        <v>-1.7000000000000028</v>
      </c>
      <c r="F20" s="14"/>
    </row>
    <row r="21" spans="1:6" x14ac:dyDescent="0.2">
      <c r="A21" s="2">
        <v>38930</v>
      </c>
      <c r="B21" s="11">
        <v>52.6</v>
      </c>
      <c r="C21" s="11">
        <f>Table1346811121415161718192021[[#This Row],[Caixin PMI]]-B20</f>
        <v>-0.39999999999999858</v>
      </c>
      <c r="D21" s="11">
        <v>53.1</v>
      </c>
      <c r="E21" s="11">
        <f>Table1346811121415161718192021[[#This Row],[Official PMI]]-D20</f>
        <v>0.70000000000000284</v>
      </c>
      <c r="F21" s="14"/>
    </row>
    <row r="22" spans="1:6" x14ac:dyDescent="0.2">
      <c r="A22" s="2">
        <v>38961</v>
      </c>
      <c r="B22" s="11">
        <v>52.4</v>
      </c>
      <c r="C22" s="11">
        <f>Table1346811121415161718192021[[#This Row],[Caixin PMI]]-B21</f>
        <v>-0.20000000000000284</v>
      </c>
      <c r="D22" s="11">
        <v>57</v>
      </c>
      <c r="E22" s="11">
        <f>Table1346811121415161718192021[[#This Row],[Official PMI]]-D21</f>
        <v>3.8999999999999986</v>
      </c>
      <c r="F22" s="14">
        <v>0.106</v>
      </c>
    </row>
    <row r="23" spans="1:6" x14ac:dyDescent="0.2">
      <c r="A23" s="2">
        <v>38991</v>
      </c>
      <c r="B23" s="11">
        <v>52.1</v>
      </c>
      <c r="C23" s="11">
        <f>Table1346811121415161718192021[[#This Row],[Caixin PMI]]-B22</f>
        <v>-0.29999999999999716</v>
      </c>
      <c r="D23" s="11">
        <v>54.7</v>
      </c>
      <c r="E23" s="11">
        <f>Table1346811121415161718192021[[#This Row],[Official PMI]]-D22</f>
        <v>-2.2999999999999972</v>
      </c>
      <c r="F23" s="14"/>
    </row>
    <row r="24" spans="1:6" x14ac:dyDescent="0.2">
      <c r="A24" s="2">
        <v>39022</v>
      </c>
      <c r="B24" s="11">
        <v>53</v>
      </c>
      <c r="C24" s="11">
        <f>Table1346811121415161718192021[[#This Row],[Caixin PMI]]-B23</f>
        <v>0.89999999999999858</v>
      </c>
      <c r="D24" s="11">
        <v>55.3</v>
      </c>
      <c r="E24" s="11">
        <f>Table1346811121415161718192021[[#This Row],[Official PMI]]-D23</f>
        <v>0.59999999999999432</v>
      </c>
      <c r="F24" s="14"/>
    </row>
    <row r="25" spans="1:6" x14ac:dyDescent="0.2">
      <c r="A25" s="2">
        <v>39052</v>
      </c>
      <c r="B25" s="11">
        <v>52.4</v>
      </c>
      <c r="C25" s="11">
        <f>Table1346811121415161718192021[[#This Row],[Caixin PMI]]-B24</f>
        <v>-0.60000000000000142</v>
      </c>
      <c r="D25" s="11">
        <v>54.8</v>
      </c>
      <c r="E25" s="11">
        <f>Table1346811121415161718192021[[#This Row],[Official PMI]]-D24</f>
        <v>-0.5</v>
      </c>
      <c r="F25" s="14">
        <v>0.104</v>
      </c>
    </row>
    <row r="26" spans="1:6" x14ac:dyDescent="0.2">
      <c r="A26" s="2">
        <v>39083</v>
      </c>
      <c r="B26" s="11">
        <v>52</v>
      </c>
      <c r="C26" s="11">
        <f>Table1346811121415161718192021[[#This Row],[Caixin PMI]]-B25</f>
        <v>-0.39999999999999858</v>
      </c>
      <c r="D26" s="11">
        <v>55.1</v>
      </c>
      <c r="E26" s="11">
        <f>Table1346811121415161718192021[[#This Row],[Official PMI]]-D25</f>
        <v>0.30000000000000426</v>
      </c>
      <c r="F26" s="14"/>
    </row>
    <row r="27" spans="1:6" x14ac:dyDescent="0.2">
      <c r="A27" s="2">
        <v>39114</v>
      </c>
      <c r="B27" s="11">
        <v>53</v>
      </c>
      <c r="C27" s="11">
        <f>Table1346811121415161718192021[[#This Row],[Caixin PMI]]-B26</f>
        <v>1</v>
      </c>
      <c r="D27" s="11">
        <v>53.1</v>
      </c>
      <c r="E27" s="11">
        <f>Table1346811121415161718192021[[#This Row],[Official PMI]]-D26</f>
        <v>-2</v>
      </c>
      <c r="F27" s="14"/>
    </row>
    <row r="28" spans="1:6" x14ac:dyDescent="0.2">
      <c r="A28" s="2">
        <v>39142</v>
      </c>
      <c r="B28" s="11">
        <v>52.3</v>
      </c>
      <c r="C28" s="11">
        <f>Table1346811121415161718192021[[#This Row],[Caixin PMI]]-B27</f>
        <v>-0.70000000000000284</v>
      </c>
      <c r="D28" s="11">
        <v>56.1</v>
      </c>
      <c r="E28" s="11">
        <f>Table1346811121415161718192021[[#This Row],[Official PMI]]-D27</f>
        <v>3</v>
      </c>
      <c r="F28" s="14">
        <v>0.13</v>
      </c>
    </row>
    <row r="29" spans="1:6" x14ac:dyDescent="0.2">
      <c r="A29" s="2">
        <v>39173</v>
      </c>
      <c r="B29" s="11">
        <v>53.3</v>
      </c>
      <c r="C29" s="11">
        <f>Table1346811121415161718192021[[#This Row],[Caixin PMI]]-B28</f>
        <v>1</v>
      </c>
      <c r="D29" s="11">
        <v>58.6</v>
      </c>
      <c r="E29" s="11">
        <f>Table1346811121415161718192021[[#This Row],[Official PMI]]-D28</f>
        <v>2.5</v>
      </c>
      <c r="F29" s="14"/>
    </row>
    <row r="30" spans="1:6" x14ac:dyDescent="0.2">
      <c r="A30" s="2">
        <v>39203</v>
      </c>
      <c r="B30" s="11">
        <v>54.1</v>
      </c>
      <c r="C30" s="11">
        <f>Table1346811121415161718192021[[#This Row],[Caixin PMI]]-B29</f>
        <v>0.80000000000000426</v>
      </c>
      <c r="D30" s="11">
        <v>55.7</v>
      </c>
      <c r="E30" s="11">
        <f>Table1346811121415161718192021[[#This Row],[Official PMI]]-D29</f>
        <v>-2.8999999999999986</v>
      </c>
      <c r="F30" s="14"/>
    </row>
    <row r="31" spans="1:6" x14ac:dyDescent="0.2">
      <c r="A31" s="2">
        <v>39234</v>
      </c>
      <c r="B31" s="11">
        <v>55</v>
      </c>
      <c r="C31" s="11">
        <f>Table1346811121415161718192021[[#This Row],[Caixin PMI]]-B30</f>
        <v>0.89999999999999858</v>
      </c>
      <c r="D31" s="11">
        <v>54.5</v>
      </c>
      <c r="E31" s="11">
        <f>Table1346811121415161718192021[[#This Row],[Official PMI]]-D30</f>
        <v>-1.2000000000000028</v>
      </c>
      <c r="F31" s="14">
        <v>0.126</v>
      </c>
    </row>
    <row r="32" spans="1:6" x14ac:dyDescent="0.2">
      <c r="A32" s="2">
        <v>39264</v>
      </c>
      <c r="B32" s="11">
        <v>53.2</v>
      </c>
      <c r="C32" s="11">
        <f>Table1346811121415161718192021[[#This Row],[Caixin PMI]]-B31</f>
        <v>-1.7999999999999972</v>
      </c>
      <c r="D32" s="11">
        <v>53.3</v>
      </c>
      <c r="E32" s="11">
        <f>Table1346811121415161718192021[[#This Row],[Official PMI]]-D31</f>
        <v>-1.2000000000000028</v>
      </c>
      <c r="F32" s="14"/>
    </row>
    <row r="33" spans="1:6" x14ac:dyDescent="0.2">
      <c r="A33" s="2">
        <v>39295</v>
      </c>
      <c r="B33" s="11">
        <v>53.4</v>
      </c>
      <c r="C33" s="11">
        <f>Table1346811121415161718192021[[#This Row],[Caixin PMI]]-B32</f>
        <v>0.19999999999999574</v>
      </c>
      <c r="D33" s="11">
        <v>54</v>
      </c>
      <c r="E33" s="11">
        <f>Table1346811121415161718192021[[#This Row],[Official PMI]]-D32</f>
        <v>0.70000000000000284</v>
      </c>
      <c r="F33" s="14"/>
    </row>
    <row r="34" spans="1:6" x14ac:dyDescent="0.2">
      <c r="A34" s="2">
        <v>39326</v>
      </c>
      <c r="B34" s="11">
        <v>55</v>
      </c>
      <c r="C34" s="11">
        <f>Table1346811121415161718192021[[#This Row],[Caixin PMI]]-B33</f>
        <v>1.6000000000000014</v>
      </c>
      <c r="D34" s="11">
        <v>56.1</v>
      </c>
      <c r="E34" s="11">
        <f>Table1346811121415161718192021[[#This Row],[Official PMI]]-D33</f>
        <v>2.1000000000000014</v>
      </c>
      <c r="F34" s="14">
        <v>0.115</v>
      </c>
    </row>
    <row r="35" spans="1:6" x14ac:dyDescent="0.2">
      <c r="A35" s="2">
        <v>39356</v>
      </c>
      <c r="B35" s="11">
        <v>55.2</v>
      </c>
      <c r="C35" s="11">
        <f>Table1346811121415161718192021[[#This Row],[Caixin PMI]]-B34</f>
        <v>0.20000000000000284</v>
      </c>
      <c r="D35" s="11">
        <v>53.2</v>
      </c>
      <c r="E35" s="11">
        <f>Table1346811121415161718192021[[#This Row],[Official PMI]]-D34</f>
        <v>-2.8999999999999986</v>
      </c>
      <c r="F35" s="14"/>
    </row>
    <row r="36" spans="1:6" x14ac:dyDescent="0.2">
      <c r="A36" s="2">
        <v>39387</v>
      </c>
      <c r="B36" s="11">
        <v>52.8</v>
      </c>
      <c r="C36" s="11">
        <f>Table1346811121415161718192021[[#This Row],[Caixin PMI]]-B35</f>
        <v>-2.4000000000000057</v>
      </c>
      <c r="D36" s="11">
        <v>55.4</v>
      </c>
      <c r="E36" s="11">
        <f>Table1346811121415161718192021[[#This Row],[Official PMI]]-D35</f>
        <v>2.1999999999999957</v>
      </c>
      <c r="F36" s="14"/>
    </row>
    <row r="37" spans="1:6" x14ac:dyDescent="0.2">
      <c r="A37" s="2">
        <v>39417</v>
      </c>
      <c r="B37" s="11">
        <v>53.3</v>
      </c>
      <c r="C37" s="11">
        <f>Table1346811121415161718192021[[#This Row],[Caixin PMI]]-B36</f>
        <v>0.5</v>
      </c>
      <c r="D37" s="11">
        <v>55.3</v>
      </c>
      <c r="E37" s="11">
        <f>Table1346811121415161718192021[[#This Row],[Official PMI]]-D36</f>
        <v>-0.10000000000000142</v>
      </c>
      <c r="F37" s="14">
        <v>0.112</v>
      </c>
    </row>
    <row r="38" spans="1:6" x14ac:dyDescent="0.2">
      <c r="A38" s="2">
        <v>39448</v>
      </c>
      <c r="B38" s="11">
        <v>53.2</v>
      </c>
      <c r="C38" s="11">
        <f>Table1346811121415161718192021[[#This Row],[Caixin PMI]]-B37</f>
        <v>-9.9999999999994316E-2</v>
      </c>
      <c r="D38" s="11">
        <v>53</v>
      </c>
      <c r="E38" s="11">
        <f>Table1346811121415161718192021[[#This Row],[Official PMI]]-D37</f>
        <v>-2.2999999999999972</v>
      </c>
      <c r="F38" s="14"/>
    </row>
    <row r="39" spans="1:6" x14ac:dyDescent="0.2">
      <c r="A39" s="2">
        <v>39479</v>
      </c>
      <c r="B39" s="11">
        <v>52.8</v>
      </c>
      <c r="C39" s="11">
        <f>Table1346811121415161718192021[[#This Row],[Caixin PMI]]-B38</f>
        <v>-0.40000000000000568</v>
      </c>
      <c r="D39" s="11">
        <v>53.4</v>
      </c>
      <c r="E39" s="11">
        <f>Table1346811121415161718192021[[#This Row],[Official PMI]]-D38</f>
        <v>0.39999999999999858</v>
      </c>
      <c r="F39" s="14"/>
    </row>
    <row r="40" spans="1:6" x14ac:dyDescent="0.2">
      <c r="A40" s="2">
        <v>39508</v>
      </c>
      <c r="B40" s="11">
        <v>54.4</v>
      </c>
      <c r="C40" s="11">
        <f>Table1346811121415161718192021[[#This Row],[Caixin PMI]]-B39</f>
        <v>1.6000000000000014</v>
      </c>
      <c r="D40" s="11">
        <v>58.4</v>
      </c>
      <c r="E40" s="11">
        <f>Table1346811121415161718192021[[#This Row],[Official PMI]]-D39</f>
        <v>5</v>
      </c>
      <c r="F40" s="14">
        <v>0.106</v>
      </c>
    </row>
    <row r="41" spans="1:6" x14ac:dyDescent="0.2">
      <c r="A41" s="2">
        <v>39539</v>
      </c>
      <c r="B41" s="11">
        <v>55.4</v>
      </c>
      <c r="C41" s="11">
        <f>Table1346811121415161718192021[[#This Row],[Caixin PMI]]-B40</f>
        <v>1</v>
      </c>
      <c r="D41" s="11">
        <v>59.2</v>
      </c>
      <c r="E41" s="11">
        <f>Table1346811121415161718192021[[#This Row],[Official PMI]]-D40</f>
        <v>0.80000000000000426</v>
      </c>
      <c r="F41" s="14"/>
    </row>
    <row r="42" spans="1:6" x14ac:dyDescent="0.2">
      <c r="A42" s="2">
        <v>39569</v>
      </c>
      <c r="B42" s="11">
        <v>54.7</v>
      </c>
      <c r="C42" s="11">
        <f>Table1346811121415161718192021[[#This Row],[Caixin PMI]]-B41</f>
        <v>-0.69999999999999574</v>
      </c>
      <c r="D42" s="11">
        <v>53.3</v>
      </c>
      <c r="E42" s="11">
        <f>Table1346811121415161718192021[[#This Row],[Official PMI]]-D41</f>
        <v>-5.9000000000000057</v>
      </c>
      <c r="F42" s="14"/>
    </row>
    <row r="43" spans="1:6" x14ac:dyDescent="0.2">
      <c r="A43" s="2">
        <v>39600</v>
      </c>
      <c r="B43" s="11">
        <v>53.3</v>
      </c>
      <c r="C43" s="11">
        <f>Table1346811121415161718192021[[#This Row],[Caixin PMI]]-B42</f>
        <v>-1.4000000000000057</v>
      </c>
      <c r="D43" s="11">
        <v>52</v>
      </c>
      <c r="E43" s="11">
        <f>Table1346811121415161718192021[[#This Row],[Official PMI]]-D42</f>
        <v>-1.2999999999999972</v>
      </c>
      <c r="F43" s="14">
        <v>0.10100000000000001</v>
      </c>
    </row>
    <row r="44" spans="1:6" x14ac:dyDescent="0.2">
      <c r="A44" s="2">
        <v>39630</v>
      </c>
      <c r="B44" s="11">
        <v>53.3</v>
      </c>
      <c r="C44" s="11">
        <f>Table1346811121415161718192021[[#This Row],[Caixin PMI]]-B43</f>
        <v>0</v>
      </c>
      <c r="D44" s="11">
        <v>48.4</v>
      </c>
      <c r="E44" s="11">
        <f>Table1346811121415161718192021[[#This Row],[Official PMI]]-D43</f>
        <v>-3.6000000000000014</v>
      </c>
      <c r="F44" s="14"/>
    </row>
    <row r="45" spans="1:6" x14ac:dyDescent="0.2">
      <c r="A45" s="2">
        <v>39661</v>
      </c>
      <c r="B45" s="11">
        <v>49.2</v>
      </c>
      <c r="C45" s="11">
        <f>Table1346811121415161718192021[[#This Row],[Caixin PMI]]-B44</f>
        <v>-4.0999999999999943</v>
      </c>
      <c r="D45" s="11">
        <v>48.4</v>
      </c>
      <c r="E45" s="11">
        <f>Table1346811121415161718192021[[#This Row],[Official PMI]]-D44</f>
        <v>0</v>
      </c>
      <c r="F45" s="14"/>
    </row>
    <row r="46" spans="1:6" x14ac:dyDescent="0.2">
      <c r="A46" s="2">
        <v>39692</v>
      </c>
      <c r="B46" s="11">
        <v>47.7</v>
      </c>
      <c r="C46" s="11">
        <f>Table1346811121415161718192021[[#This Row],[Caixin PMI]]-B45</f>
        <v>-1.5</v>
      </c>
      <c r="D46" s="11">
        <v>51.2</v>
      </c>
      <c r="E46" s="11">
        <f>Table1346811121415161718192021[[#This Row],[Official PMI]]-D45</f>
        <v>2.8000000000000043</v>
      </c>
      <c r="F46" s="14">
        <v>0.09</v>
      </c>
    </row>
    <row r="47" spans="1:6" x14ac:dyDescent="0.2">
      <c r="A47" s="2">
        <v>39722</v>
      </c>
      <c r="B47" s="11">
        <v>45.2</v>
      </c>
      <c r="C47" s="11">
        <f>Table1346811121415161718192021[[#This Row],[Caixin PMI]]-B46</f>
        <v>-2.5</v>
      </c>
      <c r="D47" s="11">
        <v>44.6</v>
      </c>
      <c r="E47" s="11">
        <f>Table1346811121415161718192021[[#This Row],[Official PMI]]-D46</f>
        <v>-6.6000000000000014</v>
      </c>
      <c r="F47" s="14"/>
    </row>
    <row r="48" spans="1:6" x14ac:dyDescent="0.2">
      <c r="A48" s="2">
        <v>39753</v>
      </c>
      <c r="B48" s="11">
        <v>40.9</v>
      </c>
      <c r="C48" s="11">
        <f>Table1346811121415161718192021[[#This Row],[Caixin PMI]]-B47</f>
        <v>-4.3000000000000043</v>
      </c>
      <c r="D48" s="11">
        <v>38.799999999999997</v>
      </c>
      <c r="E48" s="11">
        <f>Table1346811121415161718192021[[#This Row],[Official PMI]]-D47</f>
        <v>-5.8000000000000043</v>
      </c>
      <c r="F48" s="14"/>
    </row>
    <row r="49" spans="1:6" x14ac:dyDescent="0.2">
      <c r="A49" s="2">
        <v>39783</v>
      </c>
      <c r="B49" s="11">
        <v>41.2</v>
      </c>
      <c r="C49" s="11">
        <f>Table1346811121415161718192021[[#This Row],[Caixin PMI]]-B48</f>
        <v>0.30000000000000426</v>
      </c>
      <c r="D49" s="11">
        <v>41.2</v>
      </c>
      <c r="E49" s="11">
        <f>Table1346811121415161718192021[[#This Row],[Official PMI]]-D48</f>
        <v>2.4000000000000057</v>
      </c>
      <c r="F49" s="14">
        <v>6.8000000000000005E-2</v>
      </c>
    </row>
    <row r="50" spans="1:6" x14ac:dyDescent="0.2">
      <c r="A50" s="2">
        <v>39814</v>
      </c>
      <c r="B50" s="11">
        <v>42.2</v>
      </c>
      <c r="C50" s="11">
        <f>Table1346811121415161718192021[[#This Row],[Caixin PMI]]-B49</f>
        <v>1</v>
      </c>
      <c r="D50" s="11">
        <v>45.3</v>
      </c>
      <c r="E50" s="11">
        <f>Table1346811121415161718192021[[#This Row],[Official PMI]]-D49</f>
        <v>4.0999999999999943</v>
      </c>
      <c r="F50" s="14"/>
    </row>
    <row r="51" spans="1:6" x14ac:dyDescent="0.2">
      <c r="A51" s="2">
        <v>39845</v>
      </c>
      <c r="B51" s="11">
        <v>45.1</v>
      </c>
      <c r="C51" s="11">
        <f>Table1346811121415161718192021[[#This Row],[Caixin PMI]]-B50</f>
        <v>2.8999999999999986</v>
      </c>
      <c r="D51" s="11">
        <v>49</v>
      </c>
      <c r="E51" s="11">
        <f>Table1346811121415161718192021[[#This Row],[Official PMI]]-D50</f>
        <v>3.7000000000000028</v>
      </c>
      <c r="F51" s="14"/>
    </row>
    <row r="52" spans="1:6" x14ac:dyDescent="0.2">
      <c r="A52" s="2">
        <v>39873</v>
      </c>
      <c r="B52" s="11">
        <v>44.8</v>
      </c>
      <c r="C52" s="11">
        <f>Table1346811121415161718192021[[#This Row],[Caixin PMI]]-B51</f>
        <v>-0.30000000000000426</v>
      </c>
      <c r="D52" s="11">
        <v>52.4</v>
      </c>
      <c r="E52" s="11">
        <f>Table1346811121415161718192021[[#This Row],[Official PMI]]-D51</f>
        <v>3.3999999999999986</v>
      </c>
      <c r="F52" s="14">
        <v>6.2E-2</v>
      </c>
    </row>
    <row r="53" spans="1:6" x14ac:dyDescent="0.2">
      <c r="A53" s="2">
        <v>39904</v>
      </c>
      <c r="B53" s="11">
        <v>50.1</v>
      </c>
      <c r="C53" s="11">
        <f>Table1346811121415161718192021[[#This Row],[Caixin PMI]]-B52</f>
        <v>5.3000000000000043</v>
      </c>
      <c r="D53" s="11">
        <v>53.5</v>
      </c>
      <c r="E53" s="11">
        <f>Table1346811121415161718192021[[#This Row],[Official PMI]]-D52</f>
        <v>1.1000000000000014</v>
      </c>
      <c r="F53" s="14"/>
    </row>
    <row r="54" spans="1:6" x14ac:dyDescent="0.2">
      <c r="A54" s="2">
        <v>39934</v>
      </c>
      <c r="B54" s="11">
        <v>51.2</v>
      </c>
      <c r="C54" s="11">
        <f>Table1346811121415161718192021[[#This Row],[Caixin PMI]]-B53</f>
        <v>1.1000000000000014</v>
      </c>
      <c r="D54" s="11">
        <v>53.1</v>
      </c>
      <c r="E54" s="11">
        <f>Table1346811121415161718192021[[#This Row],[Official PMI]]-D53</f>
        <v>-0.39999999999999858</v>
      </c>
      <c r="F54" s="14"/>
    </row>
    <row r="55" spans="1:6" x14ac:dyDescent="0.2">
      <c r="A55" s="2">
        <v>39965</v>
      </c>
      <c r="B55" s="11">
        <v>51.8</v>
      </c>
      <c r="C55" s="11">
        <f>Table1346811121415161718192021[[#This Row],[Caixin PMI]]-B54</f>
        <v>0.59999999999999432</v>
      </c>
      <c r="D55" s="11">
        <v>53.2</v>
      </c>
      <c r="E55" s="11">
        <f>Table1346811121415161718192021[[#This Row],[Official PMI]]-D54</f>
        <v>0.10000000000000142</v>
      </c>
      <c r="F55" s="14">
        <v>7.9000000000000001E-2</v>
      </c>
    </row>
    <row r="56" spans="1:6" x14ac:dyDescent="0.2">
      <c r="A56" s="2">
        <v>39995</v>
      </c>
      <c r="B56" s="11">
        <v>52.8</v>
      </c>
      <c r="C56" s="11">
        <f>Table1346811121415161718192021[[#This Row],[Caixin PMI]]-B55</f>
        <v>1</v>
      </c>
      <c r="D56" s="11">
        <v>53.3</v>
      </c>
      <c r="E56" s="11">
        <f>Table1346811121415161718192021[[#This Row],[Official PMI]]-D55</f>
        <v>9.9999999999994316E-2</v>
      </c>
      <c r="F56" s="14"/>
    </row>
    <row r="57" spans="1:6" x14ac:dyDescent="0.2">
      <c r="A57" s="2">
        <v>40026</v>
      </c>
      <c r="B57" s="11">
        <v>55.1</v>
      </c>
      <c r="C57" s="11">
        <f>Table1346811121415161718192021[[#This Row],[Caixin PMI]]-B56</f>
        <v>2.3000000000000043</v>
      </c>
      <c r="D57" s="11">
        <v>54</v>
      </c>
      <c r="E57" s="11">
        <f>Table1346811121415161718192021[[#This Row],[Official PMI]]-D56</f>
        <v>0.70000000000000284</v>
      </c>
      <c r="F57" s="14"/>
    </row>
    <row r="58" spans="1:6" x14ac:dyDescent="0.2">
      <c r="A58" s="2">
        <v>40057</v>
      </c>
      <c r="B58" s="11">
        <v>55</v>
      </c>
      <c r="C58" s="11">
        <f>Table1346811121415161718192021[[#This Row],[Caixin PMI]]-B57</f>
        <v>-0.10000000000000142</v>
      </c>
      <c r="D58" s="11">
        <v>54.3</v>
      </c>
      <c r="E58" s="11">
        <f>Table1346811121415161718192021[[#This Row],[Official PMI]]-D57</f>
        <v>0.29999999999999716</v>
      </c>
      <c r="F58" s="14">
        <v>9.0999999999999998E-2</v>
      </c>
    </row>
    <row r="59" spans="1:6" x14ac:dyDescent="0.2">
      <c r="A59" s="2">
        <v>40087</v>
      </c>
      <c r="B59" s="11">
        <v>55.4</v>
      </c>
      <c r="C59" s="11">
        <f>Table1346811121415161718192021[[#This Row],[Caixin PMI]]-B58</f>
        <v>0.39999999999999858</v>
      </c>
      <c r="D59" s="11">
        <v>55.2</v>
      </c>
      <c r="E59" s="11">
        <f>Table1346811121415161718192021[[#This Row],[Official PMI]]-D58</f>
        <v>0.90000000000000568</v>
      </c>
      <c r="F59" s="14"/>
    </row>
    <row r="60" spans="1:6" x14ac:dyDescent="0.2">
      <c r="A60" s="2">
        <v>40118</v>
      </c>
      <c r="B60" s="11">
        <v>55.7</v>
      </c>
      <c r="C60" s="11">
        <f>Table1346811121415161718192021[[#This Row],[Caixin PMI]]-B59</f>
        <v>0.30000000000000426</v>
      </c>
      <c r="D60" s="11">
        <v>55.2</v>
      </c>
      <c r="E60" s="11">
        <f>Table1346811121415161718192021[[#This Row],[Official PMI]]-D59</f>
        <v>0</v>
      </c>
      <c r="F60" s="14"/>
    </row>
    <row r="61" spans="1:6" x14ac:dyDescent="0.2">
      <c r="A61" s="2">
        <v>40148</v>
      </c>
      <c r="B61" s="11">
        <v>56.1</v>
      </c>
      <c r="C61" s="11">
        <f>Table1346811121415161718192021[[#This Row],[Caixin PMI]]-B60</f>
        <v>0.39999999999999858</v>
      </c>
      <c r="D61" s="11">
        <v>56.6</v>
      </c>
      <c r="E61" s="11">
        <f>Table1346811121415161718192021[[#This Row],[Official PMI]]-D60</f>
        <v>1.3999999999999986</v>
      </c>
      <c r="F61" s="14">
        <v>0.107</v>
      </c>
    </row>
    <row r="62" spans="1:6" x14ac:dyDescent="0.2">
      <c r="A62" s="2">
        <v>40179</v>
      </c>
      <c r="B62" s="11">
        <v>57.4</v>
      </c>
      <c r="C62" s="11">
        <f>Table1346811121415161718192021[[#This Row],[Caixin PMI]]-B61</f>
        <v>1.2999999999999972</v>
      </c>
      <c r="D62" s="11">
        <v>55.8</v>
      </c>
      <c r="E62" s="11">
        <f>Table1346811121415161718192021[[#This Row],[Official PMI]]-D61</f>
        <v>-0.80000000000000426</v>
      </c>
      <c r="F62" s="14"/>
    </row>
    <row r="63" spans="1:6" x14ac:dyDescent="0.2">
      <c r="A63" s="2">
        <v>40210</v>
      </c>
      <c r="B63" s="11">
        <v>55.8</v>
      </c>
      <c r="C63" s="11">
        <f>Table1346811121415161718192021[[#This Row],[Caixin PMI]]-B62</f>
        <v>-1.6000000000000014</v>
      </c>
      <c r="D63" s="11">
        <v>52</v>
      </c>
      <c r="E63" s="11">
        <f>Table1346811121415161718192021[[#This Row],[Official PMI]]-D62</f>
        <v>-3.7999999999999972</v>
      </c>
      <c r="F63" s="14"/>
    </row>
    <row r="64" spans="1:6" x14ac:dyDescent="0.2">
      <c r="A64" s="2">
        <v>40238</v>
      </c>
      <c r="B64" s="11">
        <v>57</v>
      </c>
      <c r="C64" s="11">
        <f>Table1346811121415161718192021[[#This Row],[Caixin PMI]]-B63</f>
        <v>1.2000000000000028</v>
      </c>
      <c r="D64" s="11">
        <v>55.1</v>
      </c>
      <c r="E64" s="11">
        <f>Table1346811121415161718192021[[#This Row],[Official PMI]]-D63</f>
        <v>3.1000000000000014</v>
      </c>
      <c r="F64" s="14">
        <v>0.11899999999999999</v>
      </c>
    </row>
    <row r="65" spans="1:6" x14ac:dyDescent="0.2">
      <c r="A65" s="2">
        <v>40269</v>
      </c>
      <c r="B65" s="11">
        <v>55.4</v>
      </c>
      <c r="C65" s="11">
        <f>Table1346811121415161718192021[[#This Row],[Caixin PMI]]-B64</f>
        <v>-1.6000000000000014</v>
      </c>
      <c r="D65" s="11">
        <v>55.7</v>
      </c>
      <c r="E65" s="11">
        <f>Table1346811121415161718192021[[#This Row],[Official PMI]]-D64</f>
        <v>0.60000000000000142</v>
      </c>
      <c r="F65" s="14"/>
    </row>
    <row r="66" spans="1:6" x14ac:dyDescent="0.2">
      <c r="A66" s="2">
        <v>40299</v>
      </c>
      <c r="B66" s="11">
        <v>52.7</v>
      </c>
      <c r="C66" s="11">
        <f>Table1346811121415161718192021[[#This Row],[Caixin PMI]]-B65</f>
        <v>-2.6999999999999957</v>
      </c>
      <c r="D66" s="11">
        <v>53.9</v>
      </c>
      <c r="E66" s="11">
        <f>Table1346811121415161718192021[[#This Row],[Official PMI]]-D65</f>
        <v>-1.8000000000000043</v>
      </c>
      <c r="F66" s="14"/>
    </row>
    <row r="67" spans="1:6" x14ac:dyDescent="0.2">
      <c r="A67" s="2">
        <v>40330</v>
      </c>
      <c r="B67" s="11">
        <v>50.4</v>
      </c>
      <c r="C67" s="11">
        <f>Table1346811121415161718192021[[#This Row],[Caixin PMI]]-B66</f>
        <v>-2.3000000000000043</v>
      </c>
      <c r="D67" s="11">
        <v>52.1</v>
      </c>
      <c r="E67" s="11">
        <f>Table1346811121415161718192021[[#This Row],[Official PMI]]-D66</f>
        <v>-1.7999999999999972</v>
      </c>
      <c r="F67" s="14">
        <v>0.10299999999999999</v>
      </c>
    </row>
    <row r="68" spans="1:6" x14ac:dyDescent="0.2">
      <c r="A68" s="2">
        <v>40360</v>
      </c>
      <c r="B68" s="11">
        <v>49.4</v>
      </c>
      <c r="C68" s="11">
        <f>Table1346811121415161718192021[[#This Row],[Caixin PMI]]-B67</f>
        <v>-1</v>
      </c>
      <c r="D68" s="11">
        <v>51.2</v>
      </c>
      <c r="E68" s="11">
        <f>Table1346811121415161718192021[[#This Row],[Official PMI]]-D67</f>
        <v>-0.89999999999999858</v>
      </c>
      <c r="F68" s="14"/>
    </row>
    <row r="69" spans="1:6" x14ac:dyDescent="0.2">
      <c r="A69" s="2">
        <v>40391</v>
      </c>
      <c r="B69" s="11">
        <v>51.9</v>
      </c>
      <c r="C69" s="11">
        <f>Table1346811121415161718192021[[#This Row],[Caixin PMI]]-B68</f>
        <v>2.5</v>
      </c>
      <c r="D69" s="11">
        <v>51.7</v>
      </c>
      <c r="E69" s="11">
        <f>Table1346811121415161718192021[[#This Row],[Official PMI]]-D68</f>
        <v>0.5</v>
      </c>
      <c r="F69" s="14"/>
    </row>
    <row r="70" spans="1:6" x14ac:dyDescent="0.2">
      <c r="A70" s="2">
        <v>40422</v>
      </c>
      <c r="B70" s="11">
        <v>52.9</v>
      </c>
      <c r="C70" s="11">
        <f>Table1346811121415161718192021[[#This Row],[Caixin PMI]]-B69</f>
        <v>1</v>
      </c>
      <c r="D70" s="11">
        <v>53.8</v>
      </c>
      <c r="E70" s="11">
        <f>Table1346811121415161718192021[[#This Row],[Official PMI]]-D69</f>
        <v>2.0999999999999943</v>
      </c>
      <c r="F70" s="14">
        <v>9.6000000000000002E-2</v>
      </c>
    </row>
    <row r="71" spans="1:6" x14ac:dyDescent="0.2">
      <c r="A71" s="2">
        <v>40452</v>
      </c>
      <c r="B71" s="11">
        <v>54.8</v>
      </c>
      <c r="C71" s="11">
        <f>Table1346811121415161718192021[[#This Row],[Caixin PMI]]-B70</f>
        <v>1.8999999999999986</v>
      </c>
      <c r="D71" s="11">
        <v>54.7</v>
      </c>
      <c r="E71" s="11">
        <f>Table1346811121415161718192021[[#This Row],[Official PMI]]-D70</f>
        <v>0.90000000000000568</v>
      </c>
      <c r="F71" s="14"/>
    </row>
    <row r="72" spans="1:6" x14ac:dyDescent="0.2">
      <c r="A72" s="2">
        <v>40483</v>
      </c>
      <c r="B72" s="11">
        <v>55.3</v>
      </c>
      <c r="C72" s="11">
        <f>Table1346811121415161718192021[[#This Row],[Caixin PMI]]-B71</f>
        <v>0.5</v>
      </c>
      <c r="D72" s="11">
        <v>55.2</v>
      </c>
      <c r="E72" s="11">
        <f>Table1346811121415161718192021[[#This Row],[Official PMI]]-D71</f>
        <v>0.5</v>
      </c>
      <c r="F72" s="14"/>
    </row>
    <row r="73" spans="1:6" x14ac:dyDescent="0.2">
      <c r="A73" s="2">
        <v>40513</v>
      </c>
      <c r="B73" s="11">
        <v>54.4</v>
      </c>
      <c r="C73" s="11">
        <f>Table1346811121415161718192021[[#This Row],[Caixin PMI]]-B72</f>
        <v>-0.89999999999999858</v>
      </c>
      <c r="D73" s="11">
        <v>53.9</v>
      </c>
      <c r="E73" s="11">
        <f>Table1346811121415161718192021[[#This Row],[Official PMI]]-D72</f>
        <v>-1.3000000000000043</v>
      </c>
      <c r="F73" s="14">
        <v>9.8000000000000004E-2</v>
      </c>
    </row>
    <row r="74" spans="1:6" x14ac:dyDescent="0.2">
      <c r="A74" s="2">
        <v>40544</v>
      </c>
      <c r="B74" s="11">
        <v>54.5</v>
      </c>
      <c r="C74" s="11">
        <f>Table1346811121415161718192021[[#This Row],[Caixin PMI]]-B73</f>
        <v>0.10000000000000142</v>
      </c>
      <c r="D74" s="11">
        <v>52.9</v>
      </c>
      <c r="E74" s="11">
        <f>Table1346811121415161718192021[[#This Row],[Official PMI]]-D73</f>
        <v>-1</v>
      </c>
      <c r="F74" s="14"/>
    </row>
    <row r="75" spans="1:6" x14ac:dyDescent="0.2">
      <c r="A75" s="2">
        <v>40575</v>
      </c>
      <c r="B75" s="11">
        <v>51.7</v>
      </c>
      <c r="C75" s="11">
        <f>Table1346811121415161718192021[[#This Row],[Caixin PMI]]-B74</f>
        <v>-2.7999999999999972</v>
      </c>
      <c r="D75" s="11">
        <v>52.2</v>
      </c>
      <c r="E75" s="11">
        <f>Table1346811121415161718192021[[#This Row],[Official PMI]]-D74</f>
        <v>-0.69999999999999574</v>
      </c>
      <c r="F75" s="14"/>
    </row>
    <row r="76" spans="1:6" x14ac:dyDescent="0.2">
      <c r="A76" s="2">
        <v>40603</v>
      </c>
      <c r="B76" s="11">
        <v>51.8</v>
      </c>
      <c r="C76" s="11">
        <f>Table1346811121415161718192021[[#This Row],[Caixin PMI]]-B75</f>
        <v>9.9999999999994316E-2</v>
      </c>
      <c r="D76" s="11">
        <v>53.4</v>
      </c>
      <c r="E76" s="11">
        <f>Table1346811121415161718192021[[#This Row],[Official PMI]]-D75</f>
        <v>1.1999999999999957</v>
      </c>
      <c r="F76" s="14">
        <v>9.7000000000000003E-2</v>
      </c>
    </row>
    <row r="77" spans="1:6" x14ac:dyDescent="0.2">
      <c r="A77" s="2">
        <v>40634</v>
      </c>
      <c r="B77" s="11">
        <v>51.8</v>
      </c>
      <c r="C77" s="11">
        <f>Table1346811121415161718192021[[#This Row],[Caixin PMI]]-B76</f>
        <v>0</v>
      </c>
      <c r="D77" s="11">
        <v>52.9</v>
      </c>
      <c r="E77" s="11">
        <f>Table1346811121415161718192021[[#This Row],[Official PMI]]-D76</f>
        <v>-0.5</v>
      </c>
      <c r="F77" s="14"/>
    </row>
    <row r="78" spans="1:6" x14ac:dyDescent="0.2">
      <c r="A78" s="2">
        <v>40664</v>
      </c>
      <c r="B78" s="11">
        <v>51.6</v>
      </c>
      <c r="C78" s="11">
        <f>Table1346811121415161718192021[[#This Row],[Caixin PMI]]-B77</f>
        <v>-0.19999999999999574</v>
      </c>
      <c r="D78" s="11">
        <v>52</v>
      </c>
      <c r="E78" s="11">
        <f>Table1346811121415161718192021[[#This Row],[Official PMI]]-D77</f>
        <v>-0.89999999999999858</v>
      </c>
      <c r="F78" s="14"/>
    </row>
    <row r="79" spans="1:6" x14ac:dyDescent="0.2">
      <c r="A79" s="2">
        <v>40695</v>
      </c>
      <c r="B79" s="11">
        <v>50.1</v>
      </c>
      <c r="C79" s="11">
        <f>Table1346811121415161718192021[[#This Row],[Caixin PMI]]-B78</f>
        <v>-1.5</v>
      </c>
      <c r="D79" s="11">
        <v>50.9</v>
      </c>
      <c r="E79" s="11">
        <f>Table1346811121415161718192021[[#This Row],[Official PMI]]-D78</f>
        <v>-1.1000000000000014</v>
      </c>
      <c r="F79" s="14">
        <v>9.5000000000000001E-2</v>
      </c>
    </row>
    <row r="80" spans="1:6" x14ac:dyDescent="0.2">
      <c r="A80" s="2">
        <v>40725</v>
      </c>
      <c r="B80" s="11">
        <v>49.3</v>
      </c>
      <c r="C80" s="11">
        <f>Table1346811121415161718192021[[#This Row],[Caixin PMI]]-B79</f>
        <v>-0.80000000000000426</v>
      </c>
      <c r="D80" s="11">
        <v>50.7</v>
      </c>
      <c r="E80" s="11">
        <f>Table1346811121415161718192021[[#This Row],[Official PMI]]-D79</f>
        <v>-0.19999999999999574</v>
      </c>
      <c r="F80" s="14"/>
    </row>
    <row r="81" spans="1:6" x14ac:dyDescent="0.2">
      <c r="A81" s="2">
        <v>40756</v>
      </c>
      <c r="B81" s="11">
        <v>49.9</v>
      </c>
      <c r="C81" s="11">
        <f>Table1346811121415161718192021[[#This Row],[Caixin PMI]]-B80</f>
        <v>0.60000000000000142</v>
      </c>
      <c r="D81" s="11">
        <v>50.9</v>
      </c>
      <c r="E81" s="11">
        <f>Table1346811121415161718192021[[#This Row],[Official PMI]]-D80</f>
        <v>0.19999999999999574</v>
      </c>
      <c r="F81" s="14"/>
    </row>
    <row r="82" spans="1:6" x14ac:dyDescent="0.2">
      <c r="A82" s="2">
        <v>40787</v>
      </c>
      <c r="B82" s="11">
        <v>49.9</v>
      </c>
      <c r="C82" s="11">
        <f>Table1346811121415161718192021[[#This Row],[Caixin PMI]]-B81</f>
        <v>0</v>
      </c>
      <c r="D82" s="11">
        <v>51.2</v>
      </c>
      <c r="E82" s="11">
        <f>Table1346811121415161718192021[[#This Row],[Official PMI]]-D81</f>
        <v>0.30000000000000426</v>
      </c>
      <c r="F82" s="14">
        <v>9.0999999999999998E-2</v>
      </c>
    </row>
    <row r="83" spans="1:6" x14ac:dyDescent="0.2">
      <c r="A83" s="2">
        <v>40817</v>
      </c>
      <c r="B83" s="11">
        <v>51</v>
      </c>
      <c r="C83" s="11">
        <f>Table1346811121415161718192021[[#This Row],[Caixin PMI]]-B82</f>
        <v>1.1000000000000014</v>
      </c>
      <c r="D83" s="11">
        <v>50.4</v>
      </c>
      <c r="E83" s="11">
        <f>Table1346811121415161718192021[[#This Row],[Official PMI]]-D82</f>
        <v>-0.80000000000000426</v>
      </c>
      <c r="F83" s="14"/>
    </row>
    <row r="84" spans="1:6" x14ac:dyDescent="0.2">
      <c r="A84" s="2">
        <v>40848</v>
      </c>
      <c r="B84" s="11">
        <v>47.7</v>
      </c>
      <c r="C84" s="11">
        <f>Table1346811121415161718192021[[#This Row],[Caixin PMI]]-B83</f>
        <v>-3.2999999999999972</v>
      </c>
      <c r="D84" s="11">
        <v>49</v>
      </c>
      <c r="E84" s="11">
        <f>Table1346811121415161718192021[[#This Row],[Official PMI]]-D83</f>
        <v>-1.3999999999999986</v>
      </c>
      <c r="F84" s="14"/>
    </row>
    <row r="85" spans="1:6" x14ac:dyDescent="0.2">
      <c r="A85" s="2">
        <v>40878</v>
      </c>
      <c r="B85" s="11">
        <v>48.7</v>
      </c>
      <c r="C85" s="11">
        <f>Table1346811121415161718192021[[#This Row],[Caixin PMI]]-B84</f>
        <v>1</v>
      </c>
      <c r="D85" s="11">
        <v>50.3</v>
      </c>
      <c r="E85" s="11">
        <f>Table1346811121415161718192021[[#This Row],[Official PMI]]-D84</f>
        <v>1.2999999999999972</v>
      </c>
      <c r="F85" s="14">
        <v>8.8999999999999996E-2</v>
      </c>
    </row>
    <row r="86" spans="1:6" x14ac:dyDescent="0.2">
      <c r="A86" s="2">
        <v>40909</v>
      </c>
      <c r="B86" s="11">
        <v>48.8</v>
      </c>
      <c r="C86" s="11">
        <f>Table1346811121415161718192021[[#This Row],[Caixin PMI]]-B85</f>
        <v>9.9999999999994316E-2</v>
      </c>
      <c r="D86" s="11">
        <v>50.5</v>
      </c>
      <c r="E86" s="11">
        <f>Table1346811121415161718192021[[#This Row],[Official PMI]]-D85</f>
        <v>0.20000000000000284</v>
      </c>
      <c r="F86" s="14"/>
    </row>
    <row r="87" spans="1:6" x14ac:dyDescent="0.2">
      <c r="A87" s="2">
        <v>40940</v>
      </c>
      <c r="B87" s="11">
        <v>49.6</v>
      </c>
      <c r="C87" s="11">
        <f>Table1346811121415161718192021[[#This Row],[Caixin PMI]]-B86</f>
        <v>0.80000000000000426</v>
      </c>
      <c r="D87" s="11">
        <v>51</v>
      </c>
      <c r="E87" s="11">
        <f>Table1346811121415161718192021[[#This Row],[Official PMI]]-D86</f>
        <v>0.5</v>
      </c>
      <c r="F87" s="14"/>
    </row>
    <row r="88" spans="1:6" x14ac:dyDescent="0.2">
      <c r="A88" s="2">
        <v>40969</v>
      </c>
      <c r="B88" s="11">
        <v>48.3</v>
      </c>
      <c r="C88" s="11">
        <f>Table1346811121415161718192021[[#This Row],[Caixin PMI]]-B87</f>
        <v>-1.3000000000000043</v>
      </c>
      <c r="D88" s="11">
        <v>53.1</v>
      </c>
      <c r="E88" s="11">
        <f>Table1346811121415161718192021[[#This Row],[Official PMI]]-D87</f>
        <v>2.1000000000000014</v>
      </c>
      <c r="F88" s="14">
        <v>8.1000000000000003E-2</v>
      </c>
    </row>
    <row r="89" spans="1:6" x14ac:dyDescent="0.2">
      <c r="A89" s="2">
        <v>41000</v>
      </c>
      <c r="B89" s="11">
        <v>49.3</v>
      </c>
      <c r="C89" s="11">
        <f>Table1346811121415161718192021[[#This Row],[Caixin PMI]]-B88</f>
        <v>1</v>
      </c>
      <c r="D89" s="11">
        <v>53.3</v>
      </c>
      <c r="E89" s="11">
        <f>Table1346811121415161718192021[[#This Row],[Official PMI]]-D88</f>
        <v>0.19999999999999574</v>
      </c>
      <c r="F89" s="14"/>
    </row>
    <row r="90" spans="1:6" x14ac:dyDescent="0.2">
      <c r="A90" s="2">
        <v>41030</v>
      </c>
      <c r="B90" s="11">
        <v>48.4</v>
      </c>
      <c r="C90" s="11">
        <f>Table1346811121415161718192021[[#This Row],[Caixin PMI]]-B89</f>
        <v>-0.89999999999999858</v>
      </c>
      <c r="D90" s="11">
        <v>50.4</v>
      </c>
      <c r="E90" s="11">
        <f>Table1346811121415161718192021[[#This Row],[Official PMI]]-D89</f>
        <v>-2.8999999999999986</v>
      </c>
      <c r="F90" s="14"/>
    </row>
    <row r="91" spans="1:6" x14ac:dyDescent="0.2">
      <c r="A91" s="2">
        <v>41061</v>
      </c>
      <c r="B91" s="11">
        <v>48.2</v>
      </c>
      <c r="C91" s="11">
        <f>Table1346811121415161718192021[[#This Row],[Caixin PMI]]-B90</f>
        <v>-0.19999999999999574</v>
      </c>
      <c r="D91" s="11">
        <v>50.2</v>
      </c>
      <c r="E91" s="11">
        <f>Table1346811121415161718192021[[#This Row],[Official PMI]]-D90</f>
        <v>-0.19999999999999574</v>
      </c>
      <c r="F91" s="14">
        <v>7.5999999999999998E-2</v>
      </c>
    </row>
    <row r="92" spans="1:6" x14ac:dyDescent="0.2">
      <c r="A92" s="2">
        <v>41091</v>
      </c>
      <c r="B92" s="11">
        <v>49.3</v>
      </c>
      <c r="C92" s="11">
        <f>Table1346811121415161718192021[[#This Row],[Caixin PMI]]-B91</f>
        <v>1.0999999999999943</v>
      </c>
      <c r="D92" s="11">
        <v>50.1</v>
      </c>
      <c r="E92" s="11">
        <f>Table1346811121415161718192021[[#This Row],[Official PMI]]-D91</f>
        <v>-0.10000000000000142</v>
      </c>
      <c r="F92" s="14"/>
    </row>
    <row r="93" spans="1:6" x14ac:dyDescent="0.2">
      <c r="A93" s="2">
        <v>41122</v>
      </c>
      <c r="B93" s="11">
        <v>47.7</v>
      </c>
      <c r="C93" s="11">
        <f>Table1346811121415161718192021[[#This Row],[Caixin PMI]]-B92</f>
        <v>-1.5999999999999943</v>
      </c>
      <c r="D93" s="11">
        <v>49.2</v>
      </c>
      <c r="E93" s="11">
        <f>Table1346811121415161718192021[[#This Row],[Official PMI]]-D92</f>
        <v>-0.89999999999999858</v>
      </c>
      <c r="F93" s="14"/>
    </row>
    <row r="94" spans="1:6" x14ac:dyDescent="0.2">
      <c r="A94" s="2">
        <v>41153</v>
      </c>
      <c r="B94" s="11">
        <v>47.9</v>
      </c>
      <c r="C94" s="11">
        <f>Table1346811121415161718192021[[#This Row],[Caixin PMI]]-B93</f>
        <v>0.19999999999999574</v>
      </c>
      <c r="D94" s="11">
        <v>49.8</v>
      </c>
      <c r="E94" s="11">
        <f>Table1346811121415161718192021[[#This Row],[Official PMI]]-D93</f>
        <v>0.59999999999999432</v>
      </c>
      <c r="F94" s="14">
        <v>7.3999999999999996E-2</v>
      </c>
    </row>
    <row r="95" spans="1:6" x14ac:dyDescent="0.2">
      <c r="A95" s="2">
        <v>41183</v>
      </c>
      <c r="B95" s="11">
        <v>49.5</v>
      </c>
      <c r="C95" s="11">
        <f>Table1346811121415161718192021[[#This Row],[Caixin PMI]]-B94</f>
        <v>1.6000000000000014</v>
      </c>
      <c r="D95" s="11">
        <v>50.2</v>
      </c>
      <c r="E95" s="11">
        <f>Table1346811121415161718192021[[#This Row],[Official PMI]]-D94</f>
        <v>0.40000000000000568</v>
      </c>
      <c r="F95" s="14"/>
    </row>
    <row r="96" spans="1:6" x14ac:dyDescent="0.2">
      <c r="A96" s="2">
        <v>41214</v>
      </c>
      <c r="B96" s="11">
        <v>50.5</v>
      </c>
      <c r="C96" s="11">
        <f>Table1346811121415161718192021[[#This Row],[Caixin PMI]]-B95</f>
        <v>1</v>
      </c>
      <c r="D96" s="11">
        <v>50.6</v>
      </c>
      <c r="E96" s="11">
        <f>Table1346811121415161718192021[[#This Row],[Official PMI]]-D95</f>
        <v>0.39999999999999858</v>
      </c>
      <c r="F96" s="14"/>
    </row>
    <row r="97" spans="1:6" x14ac:dyDescent="0.2">
      <c r="A97" s="2">
        <v>41244</v>
      </c>
      <c r="B97" s="11">
        <v>51.5</v>
      </c>
      <c r="C97" s="11">
        <f>Table1346811121415161718192021[[#This Row],[Caixin PMI]]-B96</f>
        <v>1</v>
      </c>
      <c r="D97" s="11">
        <v>50.6</v>
      </c>
      <c r="E97" s="11">
        <f>Table1346811121415161718192021[[#This Row],[Official PMI]]-D96</f>
        <v>0</v>
      </c>
      <c r="F97" s="14">
        <v>7.9000000000000001E-2</v>
      </c>
    </row>
    <row r="98" spans="1:6" x14ac:dyDescent="0.2">
      <c r="A98" s="2">
        <v>41275</v>
      </c>
      <c r="B98" s="11">
        <v>52.3</v>
      </c>
      <c r="C98" s="11">
        <f>Table1346811121415161718192021[[#This Row],[Caixin PMI]]-B97</f>
        <v>0.79999999999999716</v>
      </c>
      <c r="D98" s="11">
        <v>50.4</v>
      </c>
      <c r="E98" s="11">
        <f>Table1346811121415161718192021[[#This Row],[Official PMI]]-D97</f>
        <v>-0.20000000000000284</v>
      </c>
      <c r="F98" s="14"/>
    </row>
    <row r="99" spans="1:6" x14ac:dyDescent="0.2">
      <c r="A99" s="2">
        <v>41306</v>
      </c>
      <c r="B99" s="11">
        <v>50.4</v>
      </c>
      <c r="C99" s="11">
        <f>Table1346811121415161718192021[[#This Row],[Caixin PMI]]-B98</f>
        <v>-1.8999999999999986</v>
      </c>
      <c r="D99" s="11">
        <v>50.1</v>
      </c>
      <c r="E99" s="11">
        <f>Table1346811121415161718192021[[#This Row],[Official PMI]]-D98</f>
        <v>-0.29999999999999716</v>
      </c>
      <c r="F99" s="14"/>
    </row>
    <row r="100" spans="1:6" x14ac:dyDescent="0.2">
      <c r="A100" s="2">
        <v>41334</v>
      </c>
      <c r="B100" s="11">
        <v>51.6</v>
      </c>
      <c r="C100" s="11">
        <f>Table1346811121415161718192021[[#This Row],[Caixin PMI]]-B99</f>
        <v>1.2000000000000028</v>
      </c>
      <c r="D100" s="11">
        <v>50.9</v>
      </c>
      <c r="E100" s="11">
        <f>Table1346811121415161718192021[[#This Row],[Official PMI]]-D99</f>
        <v>0.79999999999999716</v>
      </c>
      <c r="F100" s="14">
        <v>7.8E-2</v>
      </c>
    </row>
    <row r="101" spans="1:6" x14ac:dyDescent="0.2">
      <c r="A101" s="2">
        <v>41365</v>
      </c>
      <c r="B101" s="11">
        <v>50.4</v>
      </c>
      <c r="C101" s="11">
        <f>Table1346811121415161718192021[[#This Row],[Caixin PMI]]-B100</f>
        <v>-1.2000000000000028</v>
      </c>
      <c r="D101" s="11">
        <v>50.6</v>
      </c>
      <c r="E101" s="11">
        <f>Table1346811121415161718192021[[#This Row],[Official PMI]]-D100</f>
        <v>-0.29999999999999716</v>
      </c>
      <c r="F101" s="14"/>
    </row>
    <row r="102" spans="1:6" x14ac:dyDescent="0.2">
      <c r="A102" s="2">
        <v>41395</v>
      </c>
      <c r="B102" s="11">
        <v>49.2</v>
      </c>
      <c r="C102" s="11">
        <f>Table1346811121415161718192021[[#This Row],[Caixin PMI]]-B101</f>
        <v>-1.1999999999999957</v>
      </c>
      <c r="D102" s="11">
        <v>50.8</v>
      </c>
      <c r="E102" s="11">
        <f>Table1346811121415161718192021[[#This Row],[Official PMI]]-D101</f>
        <v>0.19999999999999574</v>
      </c>
      <c r="F102" s="14"/>
    </row>
    <row r="103" spans="1:6" x14ac:dyDescent="0.2">
      <c r="A103" s="2">
        <v>41426</v>
      </c>
      <c r="B103" s="11">
        <v>48.2</v>
      </c>
      <c r="C103" s="11">
        <f>Table1346811121415161718192021[[#This Row],[Caixin PMI]]-B102</f>
        <v>-1</v>
      </c>
      <c r="D103" s="11">
        <v>50.1</v>
      </c>
      <c r="E103" s="11">
        <f>Table1346811121415161718192021[[#This Row],[Official PMI]]-D102</f>
        <v>-0.69999999999999574</v>
      </c>
      <c r="F103" s="14">
        <v>7.4999999999999997E-2</v>
      </c>
    </row>
    <row r="104" spans="1:6" x14ac:dyDescent="0.2">
      <c r="A104" s="2">
        <v>41456</v>
      </c>
      <c r="B104" s="11">
        <v>47.7</v>
      </c>
      <c r="C104" s="11">
        <f>Table1346811121415161718192021[[#This Row],[Caixin PMI]]-B103</f>
        <v>-0.5</v>
      </c>
      <c r="D104" s="11">
        <v>50.3</v>
      </c>
      <c r="E104" s="11">
        <f>Table1346811121415161718192021[[#This Row],[Official PMI]]-D103</f>
        <v>0.19999999999999574</v>
      </c>
      <c r="F104" s="14"/>
    </row>
    <row r="105" spans="1:6" x14ac:dyDescent="0.2">
      <c r="A105" s="2">
        <v>41487</v>
      </c>
      <c r="B105" s="11">
        <v>50.1</v>
      </c>
      <c r="C105" s="11">
        <f>Table1346811121415161718192021[[#This Row],[Caixin PMI]]-B104</f>
        <v>2.3999999999999986</v>
      </c>
      <c r="D105" s="11">
        <v>51</v>
      </c>
      <c r="E105" s="11">
        <f>Table1346811121415161718192021[[#This Row],[Official PMI]]-D104</f>
        <v>0.70000000000000284</v>
      </c>
      <c r="F105" s="14"/>
    </row>
    <row r="106" spans="1:6" x14ac:dyDescent="0.2">
      <c r="A106" s="2">
        <v>41518</v>
      </c>
      <c r="B106" s="11">
        <v>50.2</v>
      </c>
      <c r="C106" s="11">
        <f>Table1346811121415161718192021[[#This Row],[Caixin PMI]]-B105</f>
        <v>0.10000000000000142</v>
      </c>
      <c r="D106" s="11">
        <v>51.1</v>
      </c>
      <c r="E106" s="11">
        <f>Table1346811121415161718192021[[#This Row],[Official PMI]]-D105</f>
        <v>0.10000000000000142</v>
      </c>
      <c r="F106" s="14">
        <v>7.9000000000000001E-2</v>
      </c>
    </row>
    <row r="107" spans="1:6" x14ac:dyDescent="0.2">
      <c r="A107" s="2">
        <v>41548</v>
      </c>
      <c r="B107" s="11">
        <v>50.9</v>
      </c>
      <c r="C107" s="11">
        <f>Table1346811121415161718192021[[#This Row],[Caixin PMI]]-B106</f>
        <v>0.69999999999999574</v>
      </c>
      <c r="D107" s="11">
        <v>51.4</v>
      </c>
      <c r="E107" s="11">
        <f>Table1346811121415161718192021[[#This Row],[Official PMI]]-D106</f>
        <v>0.29999999999999716</v>
      </c>
      <c r="F107" s="14"/>
    </row>
    <row r="108" spans="1:6" x14ac:dyDescent="0.2">
      <c r="A108" s="2">
        <v>41579</v>
      </c>
      <c r="B108" s="11">
        <v>50.8</v>
      </c>
      <c r="C108" s="11">
        <f>Table1346811121415161718192021[[#This Row],[Caixin PMI]]-B107</f>
        <v>-0.10000000000000142</v>
      </c>
      <c r="D108" s="11">
        <v>51.4</v>
      </c>
      <c r="E108" s="11">
        <f>Table1346811121415161718192021[[#This Row],[Official PMI]]-D107</f>
        <v>0</v>
      </c>
      <c r="F108" s="14"/>
    </row>
    <row r="109" spans="1:6" x14ac:dyDescent="0.2">
      <c r="A109" s="2">
        <v>41609</v>
      </c>
      <c r="B109" s="11">
        <v>50.5</v>
      </c>
      <c r="C109" s="11">
        <f>Table1346811121415161718192021[[#This Row],[Caixin PMI]]-B108</f>
        <v>-0.29999999999999716</v>
      </c>
      <c r="D109" s="11">
        <v>51</v>
      </c>
      <c r="E109" s="11">
        <f>Table1346811121415161718192021[[#This Row],[Official PMI]]-D108</f>
        <v>-0.39999999999999858</v>
      </c>
      <c r="F109" s="14">
        <v>7.5999999999999998E-2</v>
      </c>
    </row>
    <row r="110" spans="1:6" x14ac:dyDescent="0.2">
      <c r="A110" s="2">
        <v>41640</v>
      </c>
      <c r="B110" s="11">
        <v>49.5</v>
      </c>
      <c r="C110" s="11">
        <f>Table1346811121415161718192021[[#This Row],[Caixin PMI]]-B109</f>
        <v>-1</v>
      </c>
      <c r="D110" s="11">
        <v>50.5</v>
      </c>
      <c r="E110" s="11">
        <f>Table1346811121415161718192021[[#This Row],[Official PMI]]-D109</f>
        <v>-0.5</v>
      </c>
      <c r="F110" s="14"/>
    </row>
    <row r="111" spans="1:6" x14ac:dyDescent="0.2">
      <c r="A111" s="2">
        <v>41671</v>
      </c>
      <c r="B111" s="11">
        <v>48.5</v>
      </c>
      <c r="C111" s="11">
        <f>Table1346811121415161718192021[[#This Row],[Caixin PMI]]-B110</f>
        <v>-1</v>
      </c>
      <c r="D111" s="11">
        <v>50.2</v>
      </c>
      <c r="E111" s="11">
        <f>Table1346811121415161718192021[[#This Row],[Official PMI]]-D110</f>
        <v>-0.29999999999999716</v>
      </c>
      <c r="F111" s="14"/>
    </row>
    <row r="112" spans="1:6" x14ac:dyDescent="0.2">
      <c r="A112" s="2">
        <v>41699</v>
      </c>
      <c r="B112" s="11">
        <v>48</v>
      </c>
      <c r="C112" s="11">
        <f>Table1346811121415161718192021[[#This Row],[Caixin PMI]]-B111</f>
        <v>-0.5</v>
      </c>
      <c r="D112" s="11">
        <v>50.3</v>
      </c>
      <c r="E112" s="11">
        <f>Table1346811121415161718192021[[#This Row],[Official PMI]]-D111</f>
        <v>9.9999999999994316E-2</v>
      </c>
      <c r="F112" s="14">
        <v>7.2999999999999995E-2</v>
      </c>
    </row>
    <row r="113" spans="1:6" x14ac:dyDescent="0.2">
      <c r="A113" s="2">
        <v>41730</v>
      </c>
      <c r="B113" s="11">
        <v>48.1</v>
      </c>
      <c r="C113" s="11">
        <f>Table1346811121415161718192021[[#This Row],[Caixin PMI]]-B112</f>
        <v>0.10000000000000142</v>
      </c>
      <c r="D113" s="11">
        <v>50.4</v>
      </c>
      <c r="E113" s="11">
        <f>Table1346811121415161718192021[[#This Row],[Official PMI]]-D112</f>
        <v>0.10000000000000142</v>
      </c>
      <c r="F113" s="14"/>
    </row>
    <row r="114" spans="1:6" x14ac:dyDescent="0.2">
      <c r="A114" s="2">
        <v>41760</v>
      </c>
      <c r="B114" s="11">
        <v>49.4</v>
      </c>
      <c r="C114" s="11">
        <f>Table1346811121415161718192021[[#This Row],[Caixin PMI]]-B113</f>
        <v>1.2999999999999972</v>
      </c>
      <c r="D114" s="11">
        <v>50.8</v>
      </c>
      <c r="E114" s="11">
        <f>Table1346811121415161718192021[[#This Row],[Official PMI]]-D113</f>
        <v>0.39999999999999858</v>
      </c>
      <c r="F114" s="14"/>
    </row>
    <row r="115" spans="1:6" x14ac:dyDescent="0.2">
      <c r="A115" s="2">
        <v>41791</v>
      </c>
      <c r="B115" s="11">
        <v>50.7</v>
      </c>
      <c r="C115" s="11">
        <f>Table1346811121415161718192021[[#This Row],[Caixin PMI]]-B114</f>
        <v>1.3000000000000043</v>
      </c>
      <c r="D115" s="11">
        <v>51</v>
      </c>
      <c r="E115" s="11">
        <f>Table1346811121415161718192021[[#This Row],[Official PMI]]-D114</f>
        <v>0.20000000000000284</v>
      </c>
      <c r="F115" s="14">
        <v>7.3999999999999996E-2</v>
      </c>
    </row>
    <row r="116" spans="1:6" x14ac:dyDescent="0.2">
      <c r="A116" s="2">
        <v>41821</v>
      </c>
      <c r="B116" s="11">
        <v>51.7</v>
      </c>
      <c r="C116" s="11">
        <f>Table1346811121415161718192021[[#This Row],[Caixin PMI]]-B115</f>
        <v>1</v>
      </c>
      <c r="D116" s="11">
        <v>51.7</v>
      </c>
      <c r="E116" s="11">
        <f>Table1346811121415161718192021[[#This Row],[Official PMI]]-D115</f>
        <v>0.70000000000000284</v>
      </c>
      <c r="F116" s="14"/>
    </row>
    <row r="117" spans="1:6" x14ac:dyDescent="0.2">
      <c r="A117" s="2">
        <v>41852</v>
      </c>
      <c r="B117" s="11">
        <v>50.2</v>
      </c>
      <c r="C117" s="11">
        <f>Table1346811121415161718192021[[#This Row],[Caixin PMI]]-B116</f>
        <v>-1.5</v>
      </c>
      <c r="D117" s="11">
        <v>51.1</v>
      </c>
      <c r="E117" s="11">
        <f>Table1346811121415161718192021[[#This Row],[Official PMI]]-D116</f>
        <v>-0.60000000000000142</v>
      </c>
      <c r="F117" s="14"/>
    </row>
    <row r="118" spans="1:6" x14ac:dyDescent="0.2">
      <c r="A118" s="2">
        <v>41883</v>
      </c>
      <c r="B118" s="11">
        <v>51.1</v>
      </c>
      <c r="C118" s="11">
        <f>Table1346811121415161718192021[[#This Row],[Caixin PMI]]-B117</f>
        <v>0.89999999999999858</v>
      </c>
      <c r="D118" s="11">
        <v>51.1</v>
      </c>
      <c r="E118" s="11">
        <f>Table1346811121415161718192021[[#This Row],[Official PMI]]-D117</f>
        <v>0</v>
      </c>
      <c r="F118" s="14">
        <v>7.1999999999999995E-2</v>
      </c>
    </row>
    <row r="119" spans="1:6" x14ac:dyDescent="0.2">
      <c r="A119" s="2">
        <v>41913</v>
      </c>
      <c r="B119" s="11">
        <v>50.8</v>
      </c>
      <c r="C119" s="11">
        <f>Table1346811121415161718192021[[#This Row],[Caixin PMI]]-B118</f>
        <v>-0.30000000000000426</v>
      </c>
      <c r="D119" s="11">
        <v>50.8</v>
      </c>
      <c r="E119" s="11">
        <f>Table1346811121415161718192021[[#This Row],[Official PMI]]-D118</f>
        <v>-0.30000000000000426</v>
      </c>
      <c r="F119" s="14"/>
    </row>
    <row r="120" spans="1:6" x14ac:dyDescent="0.2">
      <c r="A120" s="2">
        <v>41944</v>
      </c>
      <c r="B120" s="11">
        <v>50.3</v>
      </c>
      <c r="C120" s="11">
        <f>Table1346811121415161718192021[[#This Row],[Caixin PMI]]-B119</f>
        <v>-0.5</v>
      </c>
      <c r="D120" s="11">
        <v>50.3</v>
      </c>
      <c r="E120" s="11">
        <f>Table1346811121415161718192021[[#This Row],[Official PMI]]-D119</f>
        <v>-0.5</v>
      </c>
      <c r="F120" s="14"/>
    </row>
    <row r="121" spans="1:6" x14ac:dyDescent="0.2">
      <c r="A121" s="2">
        <v>41974</v>
      </c>
      <c r="B121" s="11">
        <v>50.1</v>
      </c>
      <c r="C121" s="11">
        <f>Table1346811121415161718192021[[#This Row],[Caixin PMI]]-B120</f>
        <v>-0.19999999999999574</v>
      </c>
      <c r="D121" s="11">
        <v>50.1</v>
      </c>
      <c r="E121" s="11">
        <f>Table1346811121415161718192021[[#This Row],[Official PMI]]-D120</f>
        <v>-0.19999999999999574</v>
      </c>
      <c r="F121" s="14">
        <v>7.1999999999999995E-2</v>
      </c>
    </row>
    <row r="122" spans="1:6" x14ac:dyDescent="0.2">
      <c r="A122" s="2">
        <v>42005</v>
      </c>
      <c r="B122" s="11">
        <v>49.8</v>
      </c>
      <c r="C122" s="11">
        <f>Table1346811121415161718192021[[#This Row],[Caixin PMI]]-B121</f>
        <v>-0.30000000000000426</v>
      </c>
      <c r="D122" s="11">
        <v>49.8</v>
      </c>
      <c r="E122" s="11">
        <f>Table1346811121415161718192021[[#This Row],[Official PMI]]-D121</f>
        <v>-0.30000000000000426</v>
      </c>
      <c r="F122" s="14"/>
    </row>
    <row r="123" spans="1:6" x14ac:dyDescent="0.2">
      <c r="A123" s="2">
        <v>42036</v>
      </c>
      <c r="B123" s="11">
        <v>49.9</v>
      </c>
      <c r="C123" s="11">
        <f>Table1346811121415161718192021[[#This Row],[Caixin PMI]]-B122</f>
        <v>0.10000000000000142</v>
      </c>
      <c r="D123" s="11">
        <v>49.9</v>
      </c>
      <c r="E123" s="11">
        <f>Table1346811121415161718192021[[#This Row],[Official PMI]]-D122</f>
        <v>0.10000000000000142</v>
      </c>
      <c r="F123" s="14"/>
    </row>
    <row r="124" spans="1:6" x14ac:dyDescent="0.2">
      <c r="A124" s="2">
        <v>42064</v>
      </c>
      <c r="B124" s="11">
        <v>50.1</v>
      </c>
      <c r="C124" s="11">
        <f>Table1346811121415161718192021[[#This Row],[Caixin PMI]]-B123</f>
        <v>0.20000000000000284</v>
      </c>
      <c r="D124" s="11">
        <v>50.1</v>
      </c>
      <c r="E124" s="11">
        <f>Table1346811121415161718192021[[#This Row],[Official PMI]]-D123</f>
        <v>0.20000000000000284</v>
      </c>
      <c r="F124" s="14">
        <v>7.0000000000000007E-2</v>
      </c>
    </row>
    <row r="125" spans="1:6" x14ac:dyDescent="0.2">
      <c r="A125" s="2">
        <v>42095</v>
      </c>
      <c r="B125" s="11">
        <v>50.1</v>
      </c>
      <c r="C125" s="11">
        <f>Table1346811121415161718192021[[#This Row],[Caixin PMI]]-B124</f>
        <v>0</v>
      </c>
      <c r="D125" s="11">
        <v>50.1</v>
      </c>
      <c r="E125" s="11">
        <f>Table1346811121415161718192021[[#This Row],[Official PMI]]-D124</f>
        <v>0</v>
      </c>
      <c r="F125" s="14"/>
    </row>
    <row r="126" spans="1:6" x14ac:dyDescent="0.2">
      <c r="A126" s="2">
        <v>42125</v>
      </c>
      <c r="B126" s="11">
        <v>50.2</v>
      </c>
      <c r="C126" s="11">
        <f>Table1346811121415161718192021[[#This Row],[Caixin PMI]]-B125</f>
        <v>0.10000000000000142</v>
      </c>
      <c r="D126" s="11">
        <v>50.2</v>
      </c>
      <c r="E126" s="11">
        <f>Table1346811121415161718192021[[#This Row],[Official PMI]]-D125</f>
        <v>0.10000000000000142</v>
      </c>
      <c r="F126" s="14"/>
    </row>
    <row r="127" spans="1:6" x14ac:dyDescent="0.2">
      <c r="A127" s="2">
        <v>42156</v>
      </c>
      <c r="B127" s="11">
        <v>50.2</v>
      </c>
      <c r="C127" s="11">
        <f>Table1346811121415161718192021[[#This Row],[Caixin PMI]]-B126</f>
        <v>0</v>
      </c>
      <c r="D127" s="11">
        <v>50.2</v>
      </c>
      <c r="E127" s="11">
        <f>Table1346811121415161718192021[[#This Row],[Official PMI]]-D126</f>
        <v>0</v>
      </c>
      <c r="F127" s="14">
        <v>7.0000000000000007E-2</v>
      </c>
    </row>
    <row r="128" spans="1:6" x14ac:dyDescent="0.2">
      <c r="A128" s="2">
        <v>42186</v>
      </c>
      <c r="B128" s="11">
        <v>50</v>
      </c>
      <c r="C128" s="11">
        <f>Table1346811121415161718192021[[#This Row],[Caixin PMI]]-B127</f>
        <v>-0.20000000000000284</v>
      </c>
      <c r="D128" s="11">
        <v>50</v>
      </c>
      <c r="E128" s="11">
        <f>Table1346811121415161718192021[[#This Row],[Official PMI]]-D127</f>
        <v>-0.20000000000000284</v>
      </c>
      <c r="F128" s="14"/>
    </row>
    <row r="129" spans="1:6" x14ac:dyDescent="0.2">
      <c r="A129" s="2">
        <v>42217</v>
      </c>
      <c r="B129" s="11">
        <v>47.3</v>
      </c>
      <c r="C129" s="11">
        <f>Table1346811121415161718192021[[#This Row],[Caixin PMI]]-B128</f>
        <v>-2.7000000000000028</v>
      </c>
      <c r="D129" s="11">
        <v>49.7</v>
      </c>
      <c r="E129" s="11">
        <f>Table1346811121415161718192021[[#This Row],[Official PMI]]-D128</f>
        <v>-0.29999999999999716</v>
      </c>
      <c r="F129" s="14"/>
    </row>
    <row r="130" spans="1:6" x14ac:dyDescent="0.2">
      <c r="A130" s="2">
        <v>42248</v>
      </c>
      <c r="B130" s="11">
        <v>47.2</v>
      </c>
      <c r="C130" s="11">
        <f>Table1346811121415161718192021[[#This Row],[Caixin PMI]]-B129</f>
        <v>-9.9999999999994316E-2</v>
      </c>
      <c r="D130" s="11">
        <v>49.8</v>
      </c>
      <c r="E130" s="11">
        <f>Table1346811121415161718192021[[#This Row],[Official PMI]]-D129</f>
        <v>9.9999999999994316E-2</v>
      </c>
      <c r="F130" s="14">
        <v>6.9000000000000006E-2</v>
      </c>
    </row>
    <row r="131" spans="1:6" x14ac:dyDescent="0.2">
      <c r="A131" s="2">
        <v>42278</v>
      </c>
      <c r="B131" s="11">
        <v>48.3</v>
      </c>
      <c r="C131" s="11">
        <f>Table1346811121415161718192021[[#This Row],[Caixin PMI]]-B130</f>
        <v>1.0999999999999943</v>
      </c>
      <c r="D131" s="11">
        <v>49.8</v>
      </c>
      <c r="E131" s="11">
        <f>Table1346811121415161718192021[[#This Row],[Official PMI]]-D130</f>
        <v>0</v>
      </c>
      <c r="F131" s="14"/>
    </row>
    <row r="132" spans="1:6" x14ac:dyDescent="0.2">
      <c r="A132" s="2">
        <v>42309</v>
      </c>
      <c r="B132" s="11">
        <v>48.6</v>
      </c>
      <c r="C132" s="11">
        <f>Table1346811121415161718192021[[#This Row],[Caixin PMI]]-B131</f>
        <v>0.30000000000000426</v>
      </c>
      <c r="D132" s="11">
        <v>49.6</v>
      </c>
      <c r="E132" s="11">
        <f>Table1346811121415161718192021[[#This Row],[Official PMI]]-D131</f>
        <v>-0.19999999999999574</v>
      </c>
      <c r="F132" s="14"/>
    </row>
    <row r="133" spans="1:6" x14ac:dyDescent="0.2">
      <c r="A133" s="2">
        <v>42339</v>
      </c>
      <c r="B133" s="11">
        <v>48.2</v>
      </c>
      <c r="C133" s="11">
        <f>Table1346811121415161718192021[[#This Row],[Caixin PMI]]-B132</f>
        <v>-0.39999999999999858</v>
      </c>
      <c r="D133" s="11">
        <v>49.7</v>
      </c>
      <c r="E133" s="11">
        <f>Table1346811121415161718192021[[#This Row],[Official PMI]]-D132</f>
        <v>0.10000000000000142</v>
      </c>
      <c r="F133" s="14">
        <v>6.8000000000000005E-2</v>
      </c>
    </row>
    <row r="134" spans="1:6" x14ac:dyDescent="0.2">
      <c r="A134" s="2">
        <v>42370</v>
      </c>
      <c r="B134" s="11">
        <v>48.4</v>
      </c>
      <c r="C134" s="11">
        <f>Table1346811121415161718192021[[#This Row],[Caixin PMI]]-B133</f>
        <v>0.19999999999999574</v>
      </c>
      <c r="D134" s="11">
        <v>49.4</v>
      </c>
      <c r="E134" s="11">
        <f>Table1346811121415161718192021[[#This Row],[Official PMI]]-D133</f>
        <v>-0.30000000000000426</v>
      </c>
      <c r="F134" s="14"/>
    </row>
    <row r="135" spans="1:6" x14ac:dyDescent="0.2">
      <c r="A135" s="2">
        <v>42401</v>
      </c>
      <c r="B135" s="11">
        <v>48</v>
      </c>
      <c r="C135" s="11">
        <f>Table1346811121415161718192021[[#This Row],[Caixin PMI]]-B134</f>
        <v>-0.39999999999999858</v>
      </c>
      <c r="D135" s="11">
        <v>49</v>
      </c>
      <c r="E135" s="11">
        <f>Table1346811121415161718192021[[#This Row],[Official PMI]]-D134</f>
        <v>-0.39999999999999858</v>
      </c>
      <c r="F135" s="14"/>
    </row>
    <row r="136" spans="1:6" x14ac:dyDescent="0.2">
      <c r="A136" s="2">
        <v>42430</v>
      </c>
      <c r="B136" s="11">
        <v>49.7</v>
      </c>
      <c r="C136" s="11">
        <f>Table1346811121415161718192021[[#This Row],[Caixin PMI]]-B135</f>
        <v>1.7000000000000028</v>
      </c>
      <c r="D136" s="11">
        <v>50.2</v>
      </c>
      <c r="E136" s="11">
        <f>Table1346811121415161718192021[[#This Row],[Official PMI]]-D135</f>
        <v>1.2000000000000028</v>
      </c>
      <c r="F136" s="14">
        <v>6.7000000000000004E-2</v>
      </c>
    </row>
    <row r="137" spans="1:6" x14ac:dyDescent="0.2">
      <c r="A137" s="2">
        <v>42461</v>
      </c>
      <c r="B137" s="11">
        <v>49.4</v>
      </c>
      <c r="C137" s="11">
        <f>Table1346811121415161718192021[[#This Row],[Caixin PMI]]-B136</f>
        <v>-0.30000000000000426</v>
      </c>
      <c r="D137" s="11">
        <v>50.1</v>
      </c>
      <c r="E137" s="11">
        <f>Table1346811121415161718192021[[#This Row],[Official PMI]]-D136</f>
        <v>-0.10000000000000142</v>
      </c>
      <c r="F137" s="14"/>
    </row>
    <row r="138" spans="1:6" x14ac:dyDescent="0.2">
      <c r="A138" s="2">
        <v>42491</v>
      </c>
      <c r="B138" s="11">
        <v>49.2</v>
      </c>
      <c r="C138" s="11">
        <f>Table1346811121415161718192021[[#This Row],[Caixin PMI]]-B137</f>
        <v>-0.19999999999999574</v>
      </c>
      <c r="D138" s="11">
        <v>50.1</v>
      </c>
      <c r="E138" s="11">
        <f>Table1346811121415161718192021[[#This Row],[Official PMI]]-D137</f>
        <v>0</v>
      </c>
      <c r="F138" s="14"/>
    </row>
    <row r="139" spans="1:6" x14ac:dyDescent="0.2">
      <c r="A139" s="2">
        <v>42522</v>
      </c>
      <c r="B139" s="11">
        <v>48.6</v>
      </c>
      <c r="C139" s="11">
        <f>Table1346811121415161718192021[[#This Row],[Caixin PMI]]-B138</f>
        <v>-0.60000000000000142</v>
      </c>
      <c r="D139" s="11">
        <v>50</v>
      </c>
      <c r="E139" s="11">
        <f>Table1346811121415161718192021[[#This Row],[Official PMI]]-D138</f>
        <v>-0.10000000000000142</v>
      </c>
      <c r="F139" s="14">
        <v>6.7000000000000004E-2</v>
      </c>
    </row>
    <row r="140" spans="1:6" x14ac:dyDescent="0.2">
      <c r="A140" s="2">
        <v>42552</v>
      </c>
      <c r="B140" s="11">
        <v>50.6</v>
      </c>
      <c r="C140" s="11">
        <f>Table1346811121415161718192021[[#This Row],[Caixin PMI]]-B139</f>
        <v>2</v>
      </c>
      <c r="D140" s="11">
        <v>49.9</v>
      </c>
      <c r="E140" s="11">
        <f>Table1346811121415161718192021[[#This Row],[Official PMI]]-D139</f>
        <v>-0.10000000000000142</v>
      </c>
      <c r="F140" s="14"/>
    </row>
    <row r="141" spans="1:6" x14ac:dyDescent="0.2">
      <c r="A141" s="2">
        <v>42583</v>
      </c>
      <c r="B141" s="11">
        <v>50</v>
      </c>
      <c r="C141" s="11">
        <f>Table1346811121415161718192021[[#This Row],[Caixin PMI]]-B140</f>
        <v>-0.60000000000000142</v>
      </c>
      <c r="D141" s="11">
        <v>50.4</v>
      </c>
      <c r="E141" s="11">
        <f>Table1346811121415161718192021[[#This Row],[Official PMI]]-D140</f>
        <v>0.5</v>
      </c>
      <c r="F141" s="14"/>
    </row>
    <row r="142" spans="1:6" x14ac:dyDescent="0.2">
      <c r="A142" s="2">
        <v>42614</v>
      </c>
      <c r="B142" s="11">
        <v>50.1</v>
      </c>
      <c r="C142" s="11">
        <f>Table1346811121415161718192021[[#This Row],[Caixin PMI]]-B141</f>
        <v>0.10000000000000142</v>
      </c>
      <c r="D142" s="11">
        <v>50.4</v>
      </c>
      <c r="E142" s="11">
        <f>Table1346811121415161718192021[[#This Row],[Official PMI]]-D141</f>
        <v>0</v>
      </c>
      <c r="F142" s="14">
        <v>6.7000000000000004E-2</v>
      </c>
    </row>
    <row r="143" spans="1:6" x14ac:dyDescent="0.2">
      <c r="A143" s="2">
        <v>42644</v>
      </c>
      <c r="B143" s="11">
        <v>51.2</v>
      </c>
      <c r="C143" s="11">
        <f>Table1346811121415161718192021[[#This Row],[Caixin PMI]]-B142</f>
        <v>1.1000000000000014</v>
      </c>
      <c r="D143" s="11">
        <v>51.2</v>
      </c>
      <c r="E143" s="11">
        <f>Table1346811121415161718192021[[#This Row],[Official PMI]]-D142</f>
        <v>0.80000000000000426</v>
      </c>
      <c r="F143" s="14"/>
    </row>
    <row r="144" spans="1:6" x14ac:dyDescent="0.2">
      <c r="A144" s="2">
        <v>42675</v>
      </c>
      <c r="B144" s="11">
        <v>50.9</v>
      </c>
      <c r="C144" s="11">
        <f>Table1346811121415161718192021[[#This Row],[Caixin PMI]]-B143</f>
        <v>-0.30000000000000426</v>
      </c>
      <c r="D144" s="11">
        <v>51.7</v>
      </c>
      <c r="E144" s="11">
        <f>Table1346811121415161718192021[[#This Row],[Official PMI]]-D143</f>
        <v>0.5</v>
      </c>
      <c r="F144" s="14"/>
    </row>
    <row r="145" spans="1:6" x14ac:dyDescent="0.2">
      <c r="A145" s="2">
        <v>42705</v>
      </c>
      <c r="B145" s="11">
        <v>51.9</v>
      </c>
      <c r="C145" s="11">
        <f>Table1346811121415161718192021[[#This Row],[Caixin PMI]]-B144</f>
        <v>1</v>
      </c>
      <c r="D145" s="11">
        <v>51.4</v>
      </c>
      <c r="E145" s="11">
        <f>Table1346811121415161718192021[[#This Row],[Official PMI]]-D144</f>
        <v>-0.30000000000000426</v>
      </c>
      <c r="F145" s="14">
        <v>6.8000000000000005E-2</v>
      </c>
    </row>
    <row r="146" spans="1:6" x14ac:dyDescent="0.2">
      <c r="A146" s="2">
        <v>42736</v>
      </c>
      <c r="B146" s="11">
        <v>51</v>
      </c>
      <c r="C146" s="11">
        <f>Table1346811121415161718192021[[#This Row],[Caixin PMI]]-B145</f>
        <v>-0.89999999999999858</v>
      </c>
      <c r="D146" s="11">
        <v>51.3</v>
      </c>
      <c r="E146" s="11">
        <f>Table1346811121415161718192021[[#This Row],[Official PMI]]-D145</f>
        <v>-0.10000000000000142</v>
      </c>
      <c r="F146" s="14"/>
    </row>
    <row r="147" spans="1:6" x14ac:dyDescent="0.2">
      <c r="A147" s="2">
        <v>42767</v>
      </c>
      <c r="B147" s="11">
        <v>51.7</v>
      </c>
      <c r="C147" s="11">
        <f>Table1346811121415161718192021[[#This Row],[Caixin PMI]]-B146</f>
        <v>0.70000000000000284</v>
      </c>
      <c r="D147" s="11">
        <v>51.6</v>
      </c>
      <c r="E147" s="11">
        <f>Table1346811121415161718192021[[#This Row],[Official PMI]]-D146</f>
        <v>0.30000000000000426</v>
      </c>
      <c r="F147" s="14"/>
    </row>
    <row r="148" spans="1:6" x14ac:dyDescent="0.2">
      <c r="A148" s="2">
        <v>42795</v>
      </c>
      <c r="B148" s="11">
        <v>51.2</v>
      </c>
      <c r="C148" s="11">
        <f>Table1346811121415161718192021[[#This Row],[Caixin PMI]]-B147</f>
        <v>-0.5</v>
      </c>
      <c r="D148" s="11">
        <v>51.8</v>
      </c>
      <c r="E148" s="11">
        <f>Table1346811121415161718192021[[#This Row],[Official PMI]]-D147</f>
        <v>0.19999999999999574</v>
      </c>
      <c r="F148" s="14">
        <v>6.9000000000000006E-2</v>
      </c>
    </row>
    <row r="149" spans="1:6" x14ac:dyDescent="0.2">
      <c r="A149" s="2">
        <v>42826</v>
      </c>
      <c r="B149" s="11">
        <v>50.3</v>
      </c>
      <c r="C149" s="11">
        <f>Table1346811121415161718192021[[#This Row],[Caixin PMI]]-B148</f>
        <v>-0.90000000000000568</v>
      </c>
      <c r="D149" s="11">
        <v>51.2</v>
      </c>
      <c r="E149" s="11">
        <f>Table1346811121415161718192021[[#This Row],[Official PMI]]-D148</f>
        <v>-0.59999999999999432</v>
      </c>
      <c r="F149" s="14"/>
    </row>
    <row r="150" spans="1:6" x14ac:dyDescent="0.2">
      <c r="A150" s="2">
        <v>42856</v>
      </c>
      <c r="B150" s="11">
        <v>49.6</v>
      </c>
      <c r="C150" s="11">
        <f>Table1346811121415161718192021[[#This Row],[Caixin PMI]]-B149</f>
        <v>-0.69999999999999574</v>
      </c>
      <c r="D150" s="11">
        <v>51.2</v>
      </c>
      <c r="E150" s="11">
        <f>Table1346811121415161718192021[[#This Row],[Official PMI]]-D149</f>
        <v>0</v>
      </c>
      <c r="F150" s="14"/>
    </row>
    <row r="151" spans="1:6" x14ac:dyDescent="0.2">
      <c r="A151" s="2">
        <v>42887</v>
      </c>
      <c r="B151" s="11">
        <v>50.4</v>
      </c>
      <c r="C151" s="11">
        <f>Table1346811121415161718192021[[#This Row],[Caixin PMI]]-B150</f>
        <v>0.79999999999999716</v>
      </c>
      <c r="D151" s="11">
        <v>51.7</v>
      </c>
      <c r="E151" s="11">
        <f>Table1346811121415161718192021[[#This Row],[Official PMI]]-D150</f>
        <v>0.5</v>
      </c>
      <c r="F151" s="14">
        <v>6.9000000000000006E-2</v>
      </c>
    </row>
    <row r="152" spans="1:6" x14ac:dyDescent="0.2">
      <c r="A152" s="2">
        <v>42917</v>
      </c>
      <c r="B152" s="11">
        <v>51.1</v>
      </c>
      <c r="C152" s="11">
        <f>Table1346811121415161718192021[[#This Row],[Caixin PMI]]-B151</f>
        <v>0.70000000000000284</v>
      </c>
      <c r="D152" s="11">
        <v>51.4</v>
      </c>
      <c r="E152" s="11">
        <f>Table1346811121415161718192021[[#This Row],[Official PMI]]-D151</f>
        <v>-0.30000000000000426</v>
      </c>
      <c r="F152" s="14"/>
    </row>
    <row r="153" spans="1:6" x14ac:dyDescent="0.2">
      <c r="A153" s="2">
        <v>42948</v>
      </c>
      <c r="B153" s="11">
        <v>51.6</v>
      </c>
      <c r="C153" s="11">
        <f>Table1346811121415161718192021[[#This Row],[Caixin PMI]]-B152</f>
        <v>0.5</v>
      </c>
      <c r="D153" s="11">
        <v>51.7</v>
      </c>
      <c r="E153" s="11">
        <f>Table1346811121415161718192021[[#This Row],[Official PMI]]-D152</f>
        <v>0.30000000000000426</v>
      </c>
      <c r="F153" s="14"/>
    </row>
    <row r="154" spans="1:6" x14ac:dyDescent="0.2">
      <c r="A154" s="2">
        <v>42979</v>
      </c>
      <c r="B154" s="11">
        <v>51</v>
      </c>
      <c r="C154" s="11">
        <f>Table1346811121415161718192021[[#This Row],[Caixin PMI]]-B153</f>
        <v>-0.60000000000000142</v>
      </c>
      <c r="D154" s="11">
        <v>52.4</v>
      </c>
      <c r="E154" s="11">
        <f>Table1346811121415161718192021[[#This Row],[Official PMI]]-D153</f>
        <v>0.69999999999999574</v>
      </c>
      <c r="F154" s="14">
        <v>6.8000000000000005E-2</v>
      </c>
    </row>
    <row r="155" spans="1:6" x14ac:dyDescent="0.2">
      <c r="A155" s="2">
        <v>43009</v>
      </c>
      <c r="B155" s="11">
        <v>51</v>
      </c>
      <c r="C155" s="11">
        <f>Table1346811121415161718192021[[#This Row],[Caixin PMI]]-B154</f>
        <v>0</v>
      </c>
      <c r="D155" s="11">
        <v>51.6</v>
      </c>
      <c r="E155" s="11">
        <f>Table1346811121415161718192021[[#This Row],[Official PMI]]-D154</f>
        <v>-0.79999999999999716</v>
      </c>
      <c r="F155" s="14"/>
    </row>
    <row r="156" spans="1:6" x14ac:dyDescent="0.2">
      <c r="A156" s="2">
        <v>43040</v>
      </c>
      <c r="B156" s="11">
        <v>50.8</v>
      </c>
      <c r="C156" s="11">
        <f>Table1346811121415161718192021[[#This Row],[Caixin PMI]]-B155</f>
        <v>-0.20000000000000284</v>
      </c>
      <c r="D156" s="11">
        <v>51.8</v>
      </c>
      <c r="E156" s="11">
        <f>Table1346811121415161718192021[[#This Row],[Official PMI]]-D155</f>
        <v>0.19999999999999574</v>
      </c>
      <c r="F156" s="14"/>
    </row>
    <row r="157" spans="1:6" x14ac:dyDescent="0.2">
      <c r="A157" s="2">
        <v>43070</v>
      </c>
      <c r="B157" s="11">
        <v>51.5</v>
      </c>
      <c r="C157" s="11">
        <f>Table1346811121415161718192021[[#This Row],[Caixin PMI]]-B156</f>
        <v>0.70000000000000284</v>
      </c>
      <c r="D157" s="11">
        <v>51.6</v>
      </c>
      <c r="E157" s="11">
        <f>Table1346811121415161718192021[[#This Row],[Official PMI]]-D156</f>
        <v>-0.19999999999999574</v>
      </c>
      <c r="F157" s="14">
        <v>6.8000000000000005E-2</v>
      </c>
    </row>
    <row r="158" spans="1:6" x14ac:dyDescent="0.2">
      <c r="A158" s="2">
        <v>43101</v>
      </c>
      <c r="B158" s="11">
        <v>51.6</v>
      </c>
      <c r="C158" s="11">
        <f>Table1346811121415161718192021[[#This Row],[Caixin PMI]]-B157</f>
        <v>0.10000000000000142</v>
      </c>
      <c r="D158" s="11">
        <v>51.3</v>
      </c>
      <c r="E158" s="11">
        <f>Table1346811121415161718192021[[#This Row],[Official PMI]]-D157</f>
        <v>-0.30000000000000426</v>
      </c>
      <c r="F158" s="14"/>
    </row>
    <row r="159" spans="1:6" x14ac:dyDescent="0.2">
      <c r="A159" s="2">
        <v>43132</v>
      </c>
      <c r="B159" s="11">
        <v>51.5</v>
      </c>
      <c r="C159" s="11">
        <f>Table1346811121415161718192021[[#This Row],[Caixin PMI]]-B158</f>
        <v>-0.10000000000000142</v>
      </c>
      <c r="D159" s="11">
        <v>50.3</v>
      </c>
      <c r="E159" s="11">
        <f>Table1346811121415161718192021[[#This Row],[Official PMI]]-D158</f>
        <v>-1</v>
      </c>
      <c r="F159" s="14"/>
    </row>
    <row r="160" spans="1:6" x14ac:dyDescent="0.2">
      <c r="A160" s="2">
        <v>43160</v>
      </c>
      <c r="B160" s="11">
        <v>51</v>
      </c>
      <c r="C160" s="11">
        <f>Table1346811121415161718192021[[#This Row],[Caixin PMI]]-B159</f>
        <v>-0.5</v>
      </c>
      <c r="D160" s="11">
        <v>51.5</v>
      </c>
      <c r="E160" s="11">
        <f>Table1346811121415161718192021[[#This Row],[Official PMI]]-D159</f>
        <v>1.2000000000000028</v>
      </c>
      <c r="F160" s="14">
        <v>6.8000000000000005E-2</v>
      </c>
    </row>
    <row r="161" spans="1:6" x14ac:dyDescent="0.2">
      <c r="A161" s="2">
        <v>43191</v>
      </c>
      <c r="B161" s="11">
        <v>51.1</v>
      </c>
      <c r="C161" s="11">
        <f>Table1346811121415161718192021[[#This Row],[Caixin PMI]]-B160</f>
        <v>0.10000000000000142</v>
      </c>
      <c r="D161" s="11">
        <v>51.4</v>
      </c>
      <c r="E161" s="11">
        <f>Table1346811121415161718192021[[#This Row],[Official PMI]]-D160</f>
        <v>-0.10000000000000142</v>
      </c>
      <c r="F161" s="14"/>
    </row>
    <row r="162" spans="1:6" x14ac:dyDescent="0.2">
      <c r="A162" s="2">
        <v>43221</v>
      </c>
      <c r="B162" s="11">
        <v>51.1</v>
      </c>
      <c r="C162" s="11">
        <f>Table1346811121415161718192021[[#This Row],[Caixin PMI]]-B161</f>
        <v>0</v>
      </c>
      <c r="D162" s="11">
        <v>51.9</v>
      </c>
      <c r="E162" s="11">
        <f>Table1346811121415161718192021[[#This Row],[Official PMI]]-D161</f>
        <v>0.5</v>
      </c>
      <c r="F162" s="14"/>
    </row>
    <row r="163" spans="1:6" x14ac:dyDescent="0.2">
      <c r="A163" s="2">
        <v>43252</v>
      </c>
      <c r="B163" s="11">
        <v>51</v>
      </c>
      <c r="C163" s="11">
        <f>Table1346811121415161718192021[[#This Row],[Caixin PMI]]-B162</f>
        <v>-0.10000000000000142</v>
      </c>
      <c r="D163" s="11">
        <v>51.5</v>
      </c>
      <c r="E163" s="11">
        <f>Table1346811121415161718192021[[#This Row],[Official PMI]]-D162</f>
        <v>-0.39999999999999858</v>
      </c>
      <c r="F163" s="14">
        <v>6.7000000000000004E-2</v>
      </c>
    </row>
    <row r="164" spans="1:6" x14ac:dyDescent="0.2">
      <c r="A164" s="2">
        <v>43282</v>
      </c>
      <c r="B164" s="11">
        <v>50.8</v>
      </c>
      <c r="C164" s="11">
        <f>Table1346811121415161718192021[[#This Row],[Caixin PMI]]-B163</f>
        <v>-0.20000000000000284</v>
      </c>
      <c r="D164" s="11">
        <v>51.2</v>
      </c>
      <c r="E164" s="11">
        <f>Table1346811121415161718192021[[#This Row],[Official PMI]]-D163</f>
        <v>-0.29999999999999716</v>
      </c>
      <c r="F164" s="14"/>
    </row>
    <row r="165" spans="1:6" x14ac:dyDescent="0.2">
      <c r="A165" s="2">
        <v>43313</v>
      </c>
      <c r="B165" s="11">
        <v>50.6</v>
      </c>
      <c r="C165" s="11">
        <f>Table1346811121415161718192021[[#This Row],[Caixin PMI]]-B164</f>
        <v>-0.19999999999999574</v>
      </c>
      <c r="D165" s="11">
        <v>51.3</v>
      </c>
      <c r="E165" s="11">
        <f>Table1346811121415161718192021[[#This Row],[Official PMI]]-D164</f>
        <v>9.9999999999994316E-2</v>
      </c>
      <c r="F165" s="14"/>
    </row>
    <row r="166" spans="1:6" x14ac:dyDescent="0.2">
      <c r="A166" s="2">
        <v>43344</v>
      </c>
      <c r="B166" s="11">
        <v>50</v>
      </c>
      <c r="C166" s="11">
        <f>Table1346811121415161718192021[[#This Row],[Caixin PMI]]-B165</f>
        <v>-0.60000000000000142</v>
      </c>
      <c r="D166" s="11">
        <v>50.8</v>
      </c>
      <c r="E166" s="11">
        <f>Table1346811121415161718192021[[#This Row],[Official PMI]]-D165</f>
        <v>-0.5</v>
      </c>
      <c r="F166" s="14">
        <v>6.5000000000000002E-2</v>
      </c>
    </row>
    <row r="167" spans="1:6" x14ac:dyDescent="0.2">
      <c r="A167" s="2">
        <v>43374</v>
      </c>
      <c r="B167" s="11">
        <v>50.1</v>
      </c>
      <c r="C167" s="11">
        <f>Table1346811121415161718192021[[#This Row],[Caixin PMI]]-B166</f>
        <v>0.10000000000000142</v>
      </c>
      <c r="D167" s="11">
        <v>50.2</v>
      </c>
      <c r="E167" s="11">
        <f>Table1346811121415161718192021[[#This Row],[Official PMI]]-D166</f>
        <v>-0.59999999999999432</v>
      </c>
      <c r="F167" s="14"/>
    </row>
    <row r="168" spans="1:6" x14ac:dyDescent="0.2">
      <c r="A168" s="2">
        <v>43405</v>
      </c>
      <c r="B168" s="11">
        <v>50.2</v>
      </c>
      <c r="C168" s="11">
        <f>Table1346811121415161718192021[[#This Row],[Caixin PMI]]-B167</f>
        <v>0.10000000000000142</v>
      </c>
      <c r="D168" s="11">
        <v>50</v>
      </c>
      <c r="E168" s="11">
        <f>Table1346811121415161718192021[[#This Row],[Official PMI]]-D167</f>
        <v>-0.20000000000000284</v>
      </c>
      <c r="F168" s="14"/>
    </row>
    <row r="169" spans="1:6" x14ac:dyDescent="0.2">
      <c r="A169" s="2">
        <v>43435</v>
      </c>
      <c r="B169" s="11">
        <v>49.7</v>
      </c>
      <c r="C169" s="11">
        <f>Table1346811121415161718192021[[#This Row],[Caixin PMI]]-B168</f>
        <v>-0.5</v>
      </c>
      <c r="D169" s="11">
        <v>49.4</v>
      </c>
      <c r="E169" s="11">
        <f>Table1346811121415161718192021[[#This Row],[Official PMI]]-D168</f>
        <v>-0.60000000000000142</v>
      </c>
      <c r="F169" s="14">
        <v>6.4000000000000001E-2</v>
      </c>
    </row>
    <row r="170" spans="1:6" x14ac:dyDescent="0.2">
      <c r="A170" s="2">
        <v>43466</v>
      </c>
      <c r="B170" s="11">
        <v>48.3</v>
      </c>
      <c r="C170" s="11">
        <f>Table1346811121415161718192021[[#This Row],[Caixin PMI]]-B169</f>
        <v>-1.4000000000000057</v>
      </c>
      <c r="D170" s="11">
        <v>49.5</v>
      </c>
      <c r="E170" s="11">
        <f>Table1346811121415161718192021[[#This Row],[Official PMI]]-D169</f>
        <v>0.10000000000000142</v>
      </c>
      <c r="F170" s="14"/>
    </row>
    <row r="171" spans="1:6" x14ac:dyDescent="0.2">
      <c r="A171" s="2">
        <v>43497</v>
      </c>
      <c r="B171" s="11">
        <v>49.9</v>
      </c>
      <c r="C171" s="11">
        <f>Table1346811121415161718192021[[#This Row],[Caixin PMI]]-B170</f>
        <v>1.6000000000000014</v>
      </c>
      <c r="D171" s="11">
        <v>49.2</v>
      </c>
      <c r="E171" s="11">
        <f>Table1346811121415161718192021[[#This Row],[Official PMI]]-D170</f>
        <v>-0.29999999999999716</v>
      </c>
      <c r="F171" s="14"/>
    </row>
    <row r="172" spans="1:6" x14ac:dyDescent="0.2">
      <c r="A172" s="2">
        <v>43525</v>
      </c>
      <c r="B172" s="11">
        <v>50.8</v>
      </c>
      <c r="C172" s="11">
        <f>Table1346811121415161718192021[[#This Row],[Caixin PMI]]-B171</f>
        <v>0.89999999999999858</v>
      </c>
      <c r="D172" s="11">
        <v>50.5</v>
      </c>
      <c r="E172" s="11">
        <f>Table1346811121415161718192021[[#This Row],[Official PMI]]-D171</f>
        <v>1.2999999999999972</v>
      </c>
      <c r="F172" s="14">
        <v>6.4000000000000001E-2</v>
      </c>
    </row>
    <row r="173" spans="1:6" x14ac:dyDescent="0.2">
      <c r="A173" s="2">
        <v>43556</v>
      </c>
      <c r="B173" s="11">
        <v>50.2</v>
      </c>
      <c r="C173" s="11">
        <f>Table1346811121415161718192021[[#This Row],[Caixin PMI]]-B172</f>
        <v>-0.59999999999999432</v>
      </c>
      <c r="D173" s="11">
        <v>50.1</v>
      </c>
      <c r="E173" s="11">
        <f>Table1346811121415161718192021[[#This Row],[Official PMI]]-D172</f>
        <v>-0.39999999999999858</v>
      </c>
      <c r="F173" s="12"/>
    </row>
    <row r="174" spans="1:6" x14ac:dyDescent="0.2">
      <c r="A174" s="2">
        <v>43586</v>
      </c>
      <c r="B174" s="11">
        <v>50.2</v>
      </c>
      <c r="C174" s="11">
        <f>Table1346811121415161718192021[[#This Row],[Caixin PMI]]-B173</f>
        <v>0</v>
      </c>
      <c r="D174" s="11">
        <v>49.4</v>
      </c>
      <c r="E174" s="11">
        <f>Table1346811121415161718192021[[#This Row],[Official PMI]]-D173</f>
        <v>-0.70000000000000284</v>
      </c>
      <c r="F174" s="12"/>
    </row>
    <row r="175" spans="1:6" x14ac:dyDescent="0.2">
      <c r="A175" s="2">
        <v>43617</v>
      </c>
      <c r="B175" s="11">
        <v>49.4</v>
      </c>
      <c r="C175" s="11">
        <f>Table1346811121415161718192021[[#This Row],[Caixin PMI]]-B174</f>
        <v>-0.80000000000000426</v>
      </c>
      <c r="D175" s="11">
        <v>49.4</v>
      </c>
      <c r="E175" s="11">
        <f>Table1346811121415161718192021[[#This Row],[Official PMI]]-D174</f>
        <v>0</v>
      </c>
      <c r="F175" s="17">
        <v>6.4000000000000001E-2</v>
      </c>
    </row>
    <row r="176" spans="1:6" x14ac:dyDescent="0.2">
      <c r="A176" s="2">
        <v>43647</v>
      </c>
      <c r="B176" s="11">
        <v>49.9</v>
      </c>
      <c r="C176" s="11">
        <f>Table1346811121415161718192021[[#This Row],[Caixin PMI]]-B175</f>
        <v>0.5</v>
      </c>
      <c r="D176" s="11">
        <v>49.7</v>
      </c>
      <c r="E176" s="11">
        <f>Table1346811121415161718192021[[#This Row],[Official PMI]]-D175</f>
        <v>0.30000000000000426</v>
      </c>
      <c r="F176" s="12"/>
    </row>
    <row r="177" spans="1:6" x14ac:dyDescent="0.2">
      <c r="A177" s="2">
        <v>43678</v>
      </c>
      <c r="B177" s="11">
        <v>50.4</v>
      </c>
      <c r="C177" s="11">
        <f>Table1346811121415161718192021[[#This Row],[Caixin PMI]]-B176</f>
        <v>0.5</v>
      </c>
      <c r="D177" s="11">
        <v>49.5</v>
      </c>
      <c r="E177" s="11">
        <f>Table1346811121415161718192021[[#This Row],[Official PMI]]-D176</f>
        <v>-0.20000000000000284</v>
      </c>
      <c r="F177" s="12"/>
    </row>
    <row r="178" spans="1:6" x14ac:dyDescent="0.2">
      <c r="A178" s="2">
        <v>43709</v>
      </c>
      <c r="B178" s="11">
        <v>51.4</v>
      </c>
      <c r="C178" s="11">
        <f>Table1346811121415161718192021[[#This Row],[Caixin PMI]]-B177</f>
        <v>1</v>
      </c>
      <c r="D178" s="11">
        <v>49.8</v>
      </c>
      <c r="E178" s="11">
        <f>Table1346811121415161718192021[[#This Row],[Official PMI]]-D177</f>
        <v>0.29999999999999716</v>
      </c>
      <c r="F178" s="12"/>
    </row>
    <row r="179" spans="1:6" x14ac:dyDescent="0.2">
      <c r="A179" s="2">
        <v>43739</v>
      </c>
      <c r="B179" s="11">
        <v>51.7</v>
      </c>
      <c r="C179" s="11">
        <f>Table1346811121415161718192021[[#This Row],[Caixin PMI]]-B178</f>
        <v>0.30000000000000426</v>
      </c>
      <c r="D179" s="11">
        <v>49.3</v>
      </c>
      <c r="E179" s="11">
        <f>Table1346811121415161718192021[[#This Row],[Official PMI]]-D178</f>
        <v>-0.5</v>
      </c>
      <c r="F179" s="12"/>
    </row>
    <row r="180" spans="1:6" x14ac:dyDescent="0.2">
      <c r="A180" s="2">
        <v>43770</v>
      </c>
      <c r="B180" s="11">
        <v>51.8</v>
      </c>
      <c r="C180" s="11">
        <f>Table1346811121415161718192021[[#This Row],[Caixin PMI]]-B179</f>
        <v>9.9999999999994316E-2</v>
      </c>
      <c r="D180" s="11">
        <v>50.2</v>
      </c>
      <c r="E180" s="11">
        <f>Table1346811121415161718192021[[#This Row],[Official PMI]]-D179</f>
        <v>0.90000000000000568</v>
      </c>
      <c r="F180" s="12"/>
    </row>
    <row r="181" spans="1:6" x14ac:dyDescent="0.2">
      <c r="A181" s="2">
        <v>43800</v>
      </c>
      <c r="B181" s="11">
        <v>51.5</v>
      </c>
      <c r="C181" s="11">
        <f>Table1346811121415161718192021[[#This Row],[Caixin PMI]]-B180</f>
        <v>-0.29999999999999716</v>
      </c>
      <c r="D181" s="11">
        <v>50.2</v>
      </c>
      <c r="E181" s="11">
        <f>Table1346811121415161718192021[[#This Row],[Official PMI]]-D180</f>
        <v>0</v>
      </c>
      <c r="F181" s="12"/>
    </row>
    <row r="182" spans="1:6" x14ac:dyDescent="0.2">
      <c r="A182" s="2">
        <v>43831</v>
      </c>
      <c r="B182" s="11">
        <v>51.1</v>
      </c>
      <c r="C182" s="11">
        <f>Table1346811121415161718192021[[#This Row],[Caixin PMI]]-B181</f>
        <v>-0.39999999999999858</v>
      </c>
      <c r="D182" s="11">
        <v>50</v>
      </c>
      <c r="E182" s="11">
        <f>Table1346811121415161718192021[[#This Row],[Official PMI]]-D181</f>
        <v>-0.20000000000000284</v>
      </c>
      <c r="F182" s="12"/>
    </row>
    <row r="183" spans="1:6" x14ac:dyDescent="0.2">
      <c r="A183" s="2">
        <v>43862</v>
      </c>
      <c r="B183" s="11">
        <v>40.299999999999997</v>
      </c>
      <c r="C183" s="11">
        <f>Table1346811121415161718192021[[#This Row],[Caixin PMI]]-B182</f>
        <v>-10.800000000000004</v>
      </c>
      <c r="D183" s="11">
        <v>35.700000000000003</v>
      </c>
      <c r="E183" s="11">
        <f>Table1346811121415161718192021[[#This Row],[Official PMI]]-D182</f>
        <v>-14.299999999999997</v>
      </c>
      <c r="F183" s="12"/>
    </row>
    <row r="184" spans="1:6" x14ac:dyDescent="0.2">
      <c r="A184" s="2">
        <v>43891</v>
      </c>
      <c r="B184" s="11">
        <v>50.1</v>
      </c>
      <c r="C184" s="11">
        <f>Table1346811121415161718192021[[#This Row],[Caixin PMI]]-B183</f>
        <v>9.8000000000000043</v>
      </c>
      <c r="D184" s="11">
        <v>52</v>
      </c>
      <c r="E184" s="11">
        <f>Table1346811121415161718192021[[#This Row],[Official PMI]]-D183</f>
        <v>16.299999999999997</v>
      </c>
      <c r="F184" s="12"/>
    </row>
    <row r="185" spans="1:6" x14ac:dyDescent="0.2">
      <c r="A185" s="2">
        <v>43922</v>
      </c>
      <c r="B185" s="11">
        <v>49.4</v>
      </c>
      <c r="C185" s="11">
        <f>Table1346811121415161718192021[[#This Row],[Caixin PMI]]-B184</f>
        <v>-0.70000000000000284</v>
      </c>
      <c r="D185" s="11">
        <v>50.8</v>
      </c>
      <c r="E185" s="11">
        <f>Table1346811121415161718192021[[#This Row],[Official PMI]]-D184</f>
        <v>-1.2000000000000028</v>
      </c>
      <c r="F185" s="12"/>
    </row>
    <row r="186" spans="1:6" x14ac:dyDescent="0.2">
      <c r="A186" s="2">
        <v>43952</v>
      </c>
      <c r="B186" s="11">
        <v>50.7</v>
      </c>
      <c r="C186" s="11">
        <f>Table1346811121415161718192021[[#This Row],[Caixin PMI]]-B185</f>
        <v>1.3000000000000043</v>
      </c>
      <c r="D186" s="11">
        <v>50.6</v>
      </c>
      <c r="E186" s="11">
        <f>Table1346811121415161718192021[[#This Row],[Official PMI]]-D185</f>
        <v>-0.19999999999999574</v>
      </c>
      <c r="F186" s="12"/>
    </row>
    <row r="187" spans="1:6" x14ac:dyDescent="0.2">
      <c r="A187" s="2">
        <v>43983</v>
      </c>
      <c r="B187" s="11">
        <v>51.2</v>
      </c>
      <c r="C187" s="11">
        <f>Table1346811121415161718192021[[#This Row],[Caixin PMI]]-B186</f>
        <v>0.5</v>
      </c>
      <c r="D187" s="11">
        <v>50.9</v>
      </c>
      <c r="E187" s="11">
        <f>Table1346811121415161718192021[[#This Row],[Official PMI]]-D186</f>
        <v>0.29999999999999716</v>
      </c>
      <c r="F187" s="12"/>
    </row>
    <row r="188" spans="1:6" x14ac:dyDescent="0.2">
      <c r="A188" s="2">
        <v>44013</v>
      </c>
      <c r="B188" s="11">
        <v>52.8</v>
      </c>
      <c r="C188" s="11">
        <f>Table1346811121415161718192021[[#This Row],[Caixin PMI]]-B187</f>
        <v>1.5999999999999943</v>
      </c>
      <c r="D188" s="11">
        <v>51.1</v>
      </c>
      <c r="E188" s="11">
        <f>Table1346811121415161718192021[[#This Row],[Official PMI]]-D187</f>
        <v>0.20000000000000284</v>
      </c>
      <c r="F188" s="12"/>
    </row>
    <row r="189" spans="1:6" x14ac:dyDescent="0.2">
      <c r="A189" s="2">
        <v>44044</v>
      </c>
      <c r="B189" s="11">
        <v>53.1</v>
      </c>
      <c r="C189" s="11">
        <f>Table1346811121415161718192021[[#This Row],[Caixin PMI]]-B188</f>
        <v>0.30000000000000426</v>
      </c>
      <c r="D189" s="11">
        <v>51</v>
      </c>
      <c r="E189" s="11">
        <f>Table1346811121415161718192021[[#This Row],[Official PMI]]-D188</f>
        <v>-0.10000000000000142</v>
      </c>
      <c r="F189" s="12"/>
    </row>
    <row r="190" spans="1:6" x14ac:dyDescent="0.2">
      <c r="A190" s="2">
        <v>44075</v>
      </c>
      <c r="B190" s="11">
        <v>53</v>
      </c>
      <c r="C190" s="11">
        <f>Table1346811121415161718192021[[#This Row],[Caixin PMI]]-B189</f>
        <v>-0.10000000000000142</v>
      </c>
      <c r="D190" s="11">
        <v>51.5</v>
      </c>
      <c r="E190" s="11">
        <f>Table1346811121415161718192021[[#This Row],[Official PMI]]-D189</f>
        <v>0.5</v>
      </c>
      <c r="F190" s="12"/>
    </row>
    <row r="191" spans="1:6" x14ac:dyDescent="0.2">
      <c r="A191" s="2">
        <v>44105</v>
      </c>
      <c r="B191" s="11">
        <v>53.6</v>
      </c>
      <c r="C191" s="11">
        <f>Table1346811121415161718192021[[#This Row],[Caixin PMI]]-B190</f>
        <v>0.60000000000000142</v>
      </c>
      <c r="D191" s="11">
        <v>51.4</v>
      </c>
      <c r="E191" s="11">
        <f>Table1346811121415161718192021[[#This Row],[Official PMI]]-D190</f>
        <v>-0.10000000000000142</v>
      </c>
      <c r="F191" s="12"/>
    </row>
    <row r="192" spans="1:6" x14ac:dyDescent="0.2">
      <c r="A192" s="2">
        <v>44136</v>
      </c>
      <c r="B192" s="11">
        <v>54.9</v>
      </c>
      <c r="C192" s="11">
        <f>Table1346811121415161718192021[[#This Row],[Caixin PMI]]-B191</f>
        <v>1.2999999999999972</v>
      </c>
      <c r="D192" s="11">
        <v>52.1</v>
      </c>
      <c r="E192" s="11">
        <f>Table1346811121415161718192021[[#This Row],[Official PMI]]-D191</f>
        <v>0.70000000000000284</v>
      </c>
      <c r="F192" s="12"/>
    </row>
    <row r="193" spans="1:6" x14ac:dyDescent="0.2">
      <c r="A193" s="2">
        <v>44166</v>
      </c>
      <c r="B193" s="11">
        <v>53</v>
      </c>
      <c r="C193" s="11">
        <f>Table1346811121415161718192021[[#This Row],[Caixin PMI]]-B192</f>
        <v>-1.8999999999999986</v>
      </c>
      <c r="D193" s="11">
        <v>51.9</v>
      </c>
      <c r="E193" s="11">
        <f>Table1346811121415161718192021[[#This Row],[Official PMI]]-D192</f>
        <v>-0.20000000000000284</v>
      </c>
      <c r="F193" s="12"/>
    </row>
    <row r="194" spans="1:6" x14ac:dyDescent="0.2">
      <c r="A194" s="2">
        <v>44197</v>
      </c>
      <c r="B194" s="11">
        <v>51.5</v>
      </c>
      <c r="C194" s="11">
        <f>Table1346811121415161718192021[[#This Row],[Caixin PMI]]-B193</f>
        <v>-1.5</v>
      </c>
      <c r="D194" s="11">
        <v>51.3</v>
      </c>
      <c r="E194" s="11">
        <f>Table1346811121415161718192021[[#This Row],[Official PMI]]-D193</f>
        <v>-0.60000000000000142</v>
      </c>
      <c r="F194" s="12"/>
    </row>
    <row r="195" spans="1:6" x14ac:dyDescent="0.2">
      <c r="A195" s="2">
        <v>44228</v>
      </c>
      <c r="B195" s="11">
        <v>50.9</v>
      </c>
      <c r="C195" s="11">
        <f>Table1346811121415161718192021[[#This Row],[Caixin PMI]]-B194</f>
        <v>-0.60000000000000142</v>
      </c>
      <c r="D195" s="11">
        <v>50.6</v>
      </c>
      <c r="E195" s="11">
        <f>Table1346811121415161718192021[[#This Row],[Official PMI]]-D194</f>
        <v>-0.69999999999999574</v>
      </c>
      <c r="F195" s="12"/>
    </row>
    <row r="196" spans="1:6" x14ac:dyDescent="0.2">
      <c r="A196" s="2">
        <v>44256</v>
      </c>
      <c r="B196" s="11">
        <v>50.6</v>
      </c>
      <c r="C196" s="11">
        <f>Table1346811121415161718192021[[#This Row],[Caixin PMI]]-B195</f>
        <v>-0.29999999999999716</v>
      </c>
      <c r="D196" s="11">
        <v>51.9</v>
      </c>
      <c r="E196" s="11">
        <f>Table1346811121415161718192021[[#This Row],[Official PMI]]-D195</f>
        <v>1.2999999999999972</v>
      </c>
      <c r="F196" s="12"/>
    </row>
    <row r="197" spans="1:6" x14ac:dyDescent="0.2">
      <c r="A197" s="2">
        <v>44287</v>
      </c>
      <c r="B197" s="11">
        <v>51.9</v>
      </c>
      <c r="C197" s="11">
        <f>Table1346811121415161718192021[[#This Row],[Caixin PMI]]-B196</f>
        <v>1.2999999999999972</v>
      </c>
      <c r="D197" s="11">
        <v>51.1</v>
      </c>
      <c r="E197" s="11">
        <f>Table1346811121415161718192021[[#This Row],[Official PMI]]-D196</f>
        <v>-0.79999999999999716</v>
      </c>
      <c r="F197" s="12"/>
    </row>
    <row r="198" spans="1:6" x14ac:dyDescent="0.2">
      <c r="A198" s="2">
        <v>44317</v>
      </c>
      <c r="B198" s="11">
        <v>52</v>
      </c>
      <c r="C198" s="11">
        <f>Table1346811121415161718192021[[#This Row],[Caixin PMI]]-B197</f>
        <v>0.10000000000000142</v>
      </c>
      <c r="D198" s="11">
        <v>51</v>
      </c>
      <c r="E198" s="11">
        <f>Table1346811121415161718192021[[#This Row],[Official PMI]]-D197</f>
        <v>-0.10000000000000142</v>
      </c>
      <c r="F198" s="12"/>
    </row>
    <row r="199" spans="1:6" x14ac:dyDescent="0.2">
      <c r="A199" s="2">
        <v>44348</v>
      </c>
      <c r="B199" s="11">
        <v>51.3</v>
      </c>
      <c r="C199" s="11">
        <f>Table1346811121415161718192021[[#This Row],[Caixin PMI]]-B198</f>
        <v>-0.70000000000000284</v>
      </c>
      <c r="D199" s="11">
        <v>50.9</v>
      </c>
      <c r="E199" s="11">
        <f>Table1346811121415161718192021[[#This Row],[Official PMI]]-D198</f>
        <v>-0.10000000000000142</v>
      </c>
      <c r="F199" s="12"/>
    </row>
    <row r="200" spans="1:6" x14ac:dyDescent="0.2">
      <c r="A200" s="2">
        <v>44378</v>
      </c>
      <c r="B200" s="11">
        <v>50.3</v>
      </c>
      <c r="C200" s="11">
        <f>Table1346811121415161718192021[[#This Row],[Caixin PMI]]-B199</f>
        <v>-1</v>
      </c>
      <c r="D200" s="11">
        <v>50.4</v>
      </c>
      <c r="E200" s="11">
        <f>Table1346811121415161718192021[[#This Row],[Official PMI]]-D199</f>
        <v>-0.5</v>
      </c>
      <c r="F200" s="12"/>
    </row>
    <row r="201" spans="1:6" x14ac:dyDescent="0.2">
      <c r="A201" s="2">
        <v>44409</v>
      </c>
      <c r="B201" s="11">
        <v>49.2</v>
      </c>
      <c r="C201" s="11">
        <f>Table1346811121415161718192021[[#This Row],[Caixin PMI]]-B200</f>
        <v>-1.0999999999999943</v>
      </c>
      <c r="D201" s="11">
        <v>50.1</v>
      </c>
      <c r="E201" s="11">
        <f>Table1346811121415161718192021[[#This Row],[Official PMI]]-D200</f>
        <v>-0.29999999999999716</v>
      </c>
      <c r="F201" s="12"/>
    </row>
    <row r="202" spans="1:6" x14ac:dyDescent="0.2">
      <c r="A202" s="2">
        <v>44440</v>
      </c>
      <c r="B202" s="11">
        <v>50</v>
      </c>
      <c r="C202" s="11">
        <f>Table1346811121415161718192021[[#This Row],[Caixin PMI]]-B201</f>
        <v>0.79999999999999716</v>
      </c>
      <c r="D202" s="11">
        <v>49.6</v>
      </c>
      <c r="E202" s="11">
        <f>Table1346811121415161718192021[[#This Row],[Official PMI]]-D201</f>
        <v>-0.5</v>
      </c>
      <c r="F202" s="12"/>
    </row>
    <row r="203" spans="1:6" x14ac:dyDescent="0.2">
      <c r="A203" s="2">
        <v>44470</v>
      </c>
      <c r="B203" s="11">
        <v>50.6</v>
      </c>
      <c r="C203" s="11">
        <f>Table1346811121415161718192021[[#This Row],[Caixin PMI]]-B202</f>
        <v>0.60000000000000142</v>
      </c>
      <c r="D203" s="11">
        <v>49.2</v>
      </c>
      <c r="E203" s="11">
        <f>Table1346811121415161718192021[[#This Row],[Official PMI]]-D202</f>
        <v>-0.39999999999999858</v>
      </c>
      <c r="F203" s="12"/>
    </row>
    <row r="204" spans="1:6" x14ac:dyDescent="0.2">
      <c r="A204" s="2">
        <v>44501</v>
      </c>
      <c r="B204" s="11">
        <v>49.9</v>
      </c>
      <c r="C204" s="11">
        <f>Table1346811121415161718192021[[#This Row],[Caixin PMI]]-B203</f>
        <v>-0.70000000000000284</v>
      </c>
      <c r="D204" s="11">
        <v>50.1</v>
      </c>
      <c r="E204" s="11">
        <f>Table1346811121415161718192021[[#This Row],[Official PMI]]-D203</f>
        <v>0.89999999999999858</v>
      </c>
      <c r="F204" s="12"/>
    </row>
    <row r="205" spans="1:6" x14ac:dyDescent="0.2">
      <c r="A205" s="2">
        <v>44531</v>
      </c>
      <c r="B205" s="11">
        <v>50.9</v>
      </c>
      <c r="C205" s="11">
        <f>Table1346811121415161718192021[[#This Row],[Caixin PMI]]-B204</f>
        <v>1</v>
      </c>
      <c r="D205" s="11">
        <v>50.3</v>
      </c>
      <c r="E205" s="11">
        <f>Table1346811121415161718192021[[#This Row],[Official PMI]]-D204</f>
        <v>0.19999999999999574</v>
      </c>
      <c r="F205" s="12"/>
    </row>
  </sheetData>
  <conditionalFormatting sqref="B62:B20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2:D20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:C205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2:E205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06"/>
  <sheetViews>
    <sheetView zoomScale="150" zoomScaleNormal="150" workbookViewId="0">
      <pane ySplit="1" topLeftCell="A2" activePane="bottomLeft" state="frozen"/>
      <selection pane="bottomLeft" activeCell="E17" sqref="E17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7" customHeight="1" thickBot="1" x14ac:dyDescent="0.25">
      <c r="A1" s="15" t="s">
        <v>0</v>
      </c>
      <c r="B1" s="16" t="s">
        <v>6</v>
      </c>
    </row>
    <row r="2" spans="1:2" x14ac:dyDescent="0.2">
      <c r="A2" s="6">
        <v>38322</v>
      </c>
      <c r="B2" s="7">
        <v>51.4</v>
      </c>
    </row>
    <row r="3" spans="1:2" x14ac:dyDescent="0.2">
      <c r="A3" s="2">
        <v>38353</v>
      </c>
      <c r="B3" s="11">
        <v>51.9</v>
      </c>
    </row>
    <row r="4" spans="1:2" x14ac:dyDescent="0.2">
      <c r="A4" s="2">
        <v>38384</v>
      </c>
      <c r="B4" s="11">
        <v>51.9</v>
      </c>
    </row>
    <row r="5" spans="1:2" x14ac:dyDescent="0.2">
      <c r="A5" s="2">
        <v>38412</v>
      </c>
      <c r="B5" s="11">
        <v>50.4</v>
      </c>
    </row>
    <row r="6" spans="1:2" x14ac:dyDescent="0.2">
      <c r="A6" s="2">
        <v>38443</v>
      </c>
      <c r="B6" s="11">
        <v>49.2</v>
      </c>
    </row>
    <row r="7" spans="1:2" x14ac:dyDescent="0.2">
      <c r="A7" s="2">
        <v>38473</v>
      </c>
      <c r="B7" s="11">
        <v>48.7</v>
      </c>
    </row>
    <row r="8" spans="1:2" x14ac:dyDescent="0.2">
      <c r="A8" s="2">
        <v>38504</v>
      </c>
      <c r="B8" s="11">
        <v>49.9</v>
      </c>
    </row>
    <row r="9" spans="1:2" x14ac:dyDescent="0.2">
      <c r="A9" s="2">
        <v>38534</v>
      </c>
      <c r="B9" s="11">
        <v>50.8</v>
      </c>
    </row>
    <row r="10" spans="1:2" x14ac:dyDescent="0.2">
      <c r="A10" s="2">
        <v>38565</v>
      </c>
      <c r="B10" s="11">
        <v>50.4</v>
      </c>
    </row>
    <row r="11" spans="1:2" x14ac:dyDescent="0.2">
      <c r="A11" s="2">
        <v>38596</v>
      </c>
      <c r="B11" s="11">
        <v>51.7</v>
      </c>
    </row>
    <row r="12" spans="1:2" x14ac:dyDescent="0.2">
      <c r="A12" s="2">
        <v>38626</v>
      </c>
      <c r="B12" s="11">
        <v>52.7</v>
      </c>
    </row>
    <row r="13" spans="1:2" x14ac:dyDescent="0.2">
      <c r="A13" s="2">
        <v>38657</v>
      </c>
      <c r="B13" s="11">
        <v>52.8</v>
      </c>
    </row>
    <row r="14" spans="1:2" x14ac:dyDescent="0.2">
      <c r="A14" s="2">
        <v>38687</v>
      </c>
      <c r="B14" s="11">
        <v>53.6</v>
      </c>
    </row>
    <row r="15" spans="1:2" x14ac:dyDescent="0.2">
      <c r="A15" s="2">
        <v>38718</v>
      </c>
      <c r="B15" s="11">
        <v>53.5</v>
      </c>
    </row>
    <row r="16" spans="1:2" x14ac:dyDescent="0.2">
      <c r="A16" s="2">
        <v>38749</v>
      </c>
      <c r="B16" s="11">
        <v>54.5</v>
      </c>
    </row>
    <row r="17" spans="1:2" x14ac:dyDescent="0.2">
      <c r="A17" s="2">
        <v>38777</v>
      </c>
      <c r="B17" s="11">
        <v>56.1</v>
      </c>
    </row>
    <row r="18" spans="1:2" x14ac:dyDescent="0.2">
      <c r="A18" s="2">
        <v>38808</v>
      </c>
      <c r="B18" s="11">
        <v>56.7</v>
      </c>
    </row>
    <row r="19" spans="1:2" x14ac:dyDescent="0.2">
      <c r="A19" s="2">
        <v>38838</v>
      </c>
      <c r="B19" s="11">
        <v>57</v>
      </c>
    </row>
    <row r="20" spans="1:2" x14ac:dyDescent="0.2">
      <c r="A20" s="2">
        <v>38869</v>
      </c>
      <c r="B20" s="11">
        <v>57.7</v>
      </c>
    </row>
    <row r="21" spans="1:2" x14ac:dyDescent="0.2">
      <c r="A21" s="2">
        <v>38899</v>
      </c>
      <c r="B21" s="11">
        <v>57.4</v>
      </c>
    </row>
    <row r="22" spans="1:2" x14ac:dyDescent="0.2">
      <c r="A22" s="2">
        <v>38930</v>
      </c>
      <c r="B22" s="11">
        <v>56.5</v>
      </c>
    </row>
    <row r="23" spans="1:2" x14ac:dyDescent="0.2">
      <c r="A23" s="2">
        <v>38961</v>
      </c>
      <c r="B23" s="11">
        <v>56.6</v>
      </c>
    </row>
    <row r="24" spans="1:2" x14ac:dyDescent="0.2">
      <c r="A24" s="2">
        <v>38991</v>
      </c>
      <c r="B24" s="11">
        <v>57</v>
      </c>
    </row>
    <row r="25" spans="1:2" x14ac:dyDescent="0.2">
      <c r="A25" s="2">
        <v>39022</v>
      </c>
      <c r="B25" s="11">
        <v>56.6</v>
      </c>
    </row>
    <row r="26" spans="1:2" x14ac:dyDescent="0.2">
      <c r="A26" s="2">
        <v>39052</v>
      </c>
      <c r="B26" s="11">
        <v>56.5</v>
      </c>
    </row>
    <row r="27" spans="1:2" x14ac:dyDescent="0.2">
      <c r="A27" s="2">
        <v>39083</v>
      </c>
      <c r="B27" s="11">
        <v>55.5</v>
      </c>
    </row>
    <row r="28" spans="1:2" x14ac:dyDescent="0.2">
      <c r="A28" s="2">
        <v>39114</v>
      </c>
      <c r="B28" s="11">
        <v>55.6</v>
      </c>
    </row>
    <row r="29" spans="1:2" x14ac:dyDescent="0.2">
      <c r="A29" s="2">
        <v>39142</v>
      </c>
      <c r="B29" s="11">
        <v>55.4</v>
      </c>
    </row>
    <row r="30" spans="1:2" x14ac:dyDescent="0.2">
      <c r="A30" s="2">
        <v>39173</v>
      </c>
      <c r="B30" s="11">
        <v>55.4</v>
      </c>
    </row>
    <row r="31" spans="1:2" x14ac:dyDescent="0.2">
      <c r="A31" s="2">
        <v>39203</v>
      </c>
      <c r="B31" s="11">
        <v>55</v>
      </c>
    </row>
    <row r="32" spans="1:2" x14ac:dyDescent="0.2">
      <c r="A32" s="2">
        <v>39234</v>
      </c>
      <c r="B32" s="11">
        <v>55.6</v>
      </c>
    </row>
    <row r="33" spans="1:2" x14ac:dyDescent="0.2">
      <c r="A33" s="2">
        <v>39264</v>
      </c>
      <c r="B33" s="11">
        <v>54.9</v>
      </c>
    </row>
    <row r="34" spans="1:2" x14ac:dyDescent="0.2">
      <c r="A34" s="2">
        <v>39295</v>
      </c>
      <c r="B34" s="11">
        <v>54.3</v>
      </c>
    </row>
    <row r="35" spans="1:2" x14ac:dyDescent="0.2">
      <c r="A35" s="2">
        <v>39326</v>
      </c>
      <c r="B35" s="11">
        <v>53.2</v>
      </c>
    </row>
    <row r="36" spans="1:2" x14ac:dyDescent="0.2">
      <c r="A36" s="2">
        <v>39356</v>
      </c>
      <c r="B36" s="11">
        <v>51.5</v>
      </c>
    </row>
    <row r="37" spans="1:2" x14ac:dyDescent="0.2">
      <c r="A37" s="2">
        <v>39387</v>
      </c>
      <c r="B37" s="11">
        <v>52.8</v>
      </c>
    </row>
    <row r="38" spans="1:2" x14ac:dyDescent="0.2">
      <c r="A38" s="2">
        <v>39417</v>
      </c>
      <c r="B38" s="11">
        <v>52.6</v>
      </c>
    </row>
    <row r="39" spans="1:2" x14ac:dyDescent="0.2">
      <c r="A39" s="2">
        <v>39448</v>
      </c>
      <c r="B39" s="11">
        <v>52.8</v>
      </c>
    </row>
    <row r="40" spans="1:2" x14ac:dyDescent="0.2">
      <c r="A40" s="2">
        <v>39479</v>
      </c>
      <c r="B40" s="11">
        <v>52.3</v>
      </c>
    </row>
    <row r="41" spans="1:2" x14ac:dyDescent="0.2">
      <c r="A41" s="2">
        <v>39508</v>
      </c>
      <c r="B41" s="11">
        <v>52</v>
      </c>
    </row>
    <row r="42" spans="1:2" x14ac:dyDescent="0.2">
      <c r="A42" s="2">
        <v>39539</v>
      </c>
      <c r="B42" s="11">
        <v>50.7</v>
      </c>
    </row>
    <row r="43" spans="1:2" x14ac:dyDescent="0.2">
      <c r="A43" s="2">
        <v>39569</v>
      </c>
      <c r="B43" s="11">
        <v>50.6</v>
      </c>
    </row>
    <row r="44" spans="1:2" x14ac:dyDescent="0.2">
      <c r="A44" s="2">
        <v>39600</v>
      </c>
      <c r="B44" s="11">
        <v>49.2</v>
      </c>
    </row>
    <row r="45" spans="1:2" x14ac:dyDescent="0.2">
      <c r="A45" s="2">
        <v>39630</v>
      </c>
      <c r="B45" s="11">
        <v>47.4</v>
      </c>
    </row>
    <row r="46" spans="1:2" x14ac:dyDescent="0.2">
      <c r="A46" s="2">
        <v>39661</v>
      </c>
      <c r="B46" s="11">
        <v>47.6</v>
      </c>
    </row>
    <row r="47" spans="1:2" x14ac:dyDescent="0.2">
      <c r="A47" s="2">
        <v>39692</v>
      </c>
      <c r="B47" s="11">
        <v>45</v>
      </c>
    </row>
    <row r="48" spans="1:2" x14ac:dyDescent="0.2">
      <c r="A48" s="2">
        <v>39722</v>
      </c>
      <c r="B48" s="11">
        <v>38.9</v>
      </c>
    </row>
    <row r="49" spans="1:2" x14ac:dyDescent="0.2">
      <c r="A49" s="2">
        <v>39753</v>
      </c>
      <c r="B49" s="11">
        <v>35.6</v>
      </c>
    </row>
    <row r="50" spans="1:2" x14ac:dyDescent="0.2">
      <c r="A50" s="2">
        <v>39783</v>
      </c>
      <c r="B50" s="11">
        <v>33.9</v>
      </c>
    </row>
    <row r="51" spans="1:2" x14ac:dyDescent="0.2">
      <c r="A51" s="2">
        <v>39814</v>
      </c>
      <c r="B51" s="11">
        <v>34.4</v>
      </c>
    </row>
    <row r="52" spans="1:2" x14ac:dyDescent="0.2">
      <c r="A52" s="2">
        <v>39845</v>
      </c>
      <c r="B52" s="11">
        <v>33.5</v>
      </c>
    </row>
    <row r="53" spans="1:2" x14ac:dyDescent="0.2">
      <c r="A53" s="2">
        <v>39873</v>
      </c>
      <c r="B53" s="11">
        <v>33.9</v>
      </c>
    </row>
    <row r="54" spans="1:2" x14ac:dyDescent="0.2">
      <c r="A54" s="2">
        <v>39904</v>
      </c>
      <c r="B54" s="11">
        <v>36.799999999999997</v>
      </c>
    </row>
    <row r="55" spans="1:2" x14ac:dyDescent="0.2">
      <c r="A55" s="2">
        <v>39934</v>
      </c>
      <c r="B55" s="11">
        <v>40.700000000000003</v>
      </c>
    </row>
    <row r="56" spans="1:2" x14ac:dyDescent="0.2">
      <c r="A56" s="2">
        <v>39965</v>
      </c>
      <c r="B56" s="11">
        <v>42.6</v>
      </c>
    </row>
    <row r="57" spans="1:2" x14ac:dyDescent="0.2">
      <c r="A57" s="2">
        <v>39995</v>
      </c>
      <c r="B57" s="11">
        <v>46.3</v>
      </c>
    </row>
    <row r="58" spans="1:2" x14ac:dyDescent="0.2">
      <c r="A58" s="2">
        <v>40026</v>
      </c>
      <c r="B58" s="11">
        <v>48.2</v>
      </c>
    </row>
    <row r="59" spans="1:2" x14ac:dyDescent="0.2">
      <c r="A59" s="2">
        <v>40057</v>
      </c>
      <c r="B59" s="11">
        <v>49.3</v>
      </c>
    </row>
    <row r="60" spans="1:2" x14ac:dyDescent="0.2">
      <c r="A60" s="2">
        <v>40087</v>
      </c>
      <c r="B60" s="11">
        <v>50.7</v>
      </c>
    </row>
    <row r="61" spans="1:2" x14ac:dyDescent="0.2">
      <c r="A61" s="2">
        <v>40118</v>
      </c>
      <c r="B61" s="11">
        <v>51.2</v>
      </c>
    </row>
    <row r="62" spans="1:2" x14ac:dyDescent="0.2">
      <c r="A62" s="2">
        <v>40148</v>
      </c>
      <c r="B62" s="11">
        <v>51.6</v>
      </c>
    </row>
    <row r="63" spans="1:2" x14ac:dyDescent="0.2">
      <c r="A63" s="2">
        <v>40179</v>
      </c>
      <c r="B63" s="11">
        <v>52.4</v>
      </c>
    </row>
    <row r="64" spans="1:2" x14ac:dyDescent="0.2">
      <c r="A64" s="2">
        <v>40210</v>
      </c>
      <c r="B64" s="11">
        <v>54.2</v>
      </c>
    </row>
    <row r="65" spans="1:2" x14ac:dyDescent="0.2">
      <c r="A65" s="2">
        <v>40238</v>
      </c>
      <c r="B65" s="11">
        <v>56.6</v>
      </c>
    </row>
    <row r="66" spans="1:2" x14ac:dyDescent="0.2">
      <c r="A66" s="2">
        <v>40269</v>
      </c>
      <c r="B66" s="11">
        <v>57.6</v>
      </c>
    </row>
    <row r="67" spans="1:2" x14ac:dyDescent="0.2">
      <c r="A67" s="2">
        <v>40299</v>
      </c>
      <c r="B67" s="11">
        <v>55.8</v>
      </c>
    </row>
    <row r="68" spans="1:2" x14ac:dyDescent="0.2">
      <c r="A68" s="2">
        <v>40330</v>
      </c>
      <c r="B68" s="11">
        <v>55.6</v>
      </c>
    </row>
    <row r="69" spans="1:2" x14ac:dyDescent="0.2">
      <c r="A69" s="2">
        <v>40360</v>
      </c>
      <c r="B69" s="11">
        <v>56.7</v>
      </c>
    </row>
    <row r="70" spans="1:2" x14ac:dyDescent="0.2">
      <c r="A70" s="2">
        <v>40391</v>
      </c>
      <c r="B70" s="11">
        <v>55.1</v>
      </c>
    </row>
    <row r="71" spans="1:2" x14ac:dyDescent="0.2">
      <c r="A71" s="2">
        <v>40422</v>
      </c>
      <c r="B71" s="11">
        <v>53.7</v>
      </c>
    </row>
    <row r="72" spans="1:2" x14ac:dyDescent="0.2">
      <c r="A72" s="2">
        <v>40452</v>
      </c>
      <c r="B72" s="11">
        <v>54.6</v>
      </c>
    </row>
    <row r="73" spans="1:2" x14ac:dyDescent="0.2">
      <c r="A73" s="2">
        <v>40483</v>
      </c>
      <c r="B73" s="11">
        <v>55.3</v>
      </c>
    </row>
    <row r="74" spans="1:2" x14ac:dyDescent="0.2">
      <c r="A74" s="2">
        <v>40513</v>
      </c>
      <c r="B74" s="11">
        <v>57.1</v>
      </c>
    </row>
    <row r="75" spans="1:2" x14ac:dyDescent="0.2">
      <c r="A75" s="2">
        <v>40544</v>
      </c>
      <c r="B75" s="11">
        <v>57.3</v>
      </c>
    </row>
    <row r="76" spans="1:2" x14ac:dyDescent="0.2">
      <c r="A76" s="2">
        <v>40575</v>
      </c>
      <c r="B76" s="11">
        <v>59</v>
      </c>
    </row>
    <row r="77" spans="1:2" x14ac:dyDescent="0.2">
      <c r="A77" s="2">
        <v>40603</v>
      </c>
      <c r="B77" s="11">
        <v>57.5</v>
      </c>
    </row>
    <row r="78" spans="1:2" x14ac:dyDescent="0.2">
      <c r="A78" s="2">
        <v>40634</v>
      </c>
      <c r="B78" s="11">
        <v>58</v>
      </c>
    </row>
    <row r="79" spans="1:2" x14ac:dyDescent="0.2">
      <c r="A79" s="2">
        <v>40664</v>
      </c>
      <c r="B79" s="11">
        <v>54.6</v>
      </c>
    </row>
    <row r="80" spans="1:2" x14ac:dyDescent="0.2">
      <c r="A80" s="2">
        <v>40695</v>
      </c>
      <c r="B80" s="11">
        <v>52</v>
      </c>
    </row>
    <row r="81" spans="1:2" x14ac:dyDescent="0.2">
      <c r="A81" s="2">
        <v>40725</v>
      </c>
      <c r="B81" s="11">
        <v>50.4</v>
      </c>
    </row>
    <row r="82" spans="1:2" x14ac:dyDescent="0.2">
      <c r="A82" s="2">
        <v>40756</v>
      </c>
      <c r="B82" s="11">
        <v>49</v>
      </c>
    </row>
    <row r="83" spans="1:2" x14ac:dyDescent="0.2">
      <c r="A83" s="2">
        <v>40787</v>
      </c>
      <c r="B83" s="11">
        <v>48.5</v>
      </c>
    </row>
    <row r="84" spans="1:2" x14ac:dyDescent="0.2">
      <c r="A84" s="2">
        <v>40817</v>
      </c>
      <c r="B84" s="11">
        <v>47.1</v>
      </c>
    </row>
    <row r="85" spans="1:2" x14ac:dyDescent="0.2">
      <c r="A85" s="2">
        <v>40848</v>
      </c>
      <c r="B85" s="11">
        <v>46.4</v>
      </c>
    </row>
    <row r="86" spans="1:2" x14ac:dyDescent="0.2">
      <c r="A86" s="2">
        <v>40878</v>
      </c>
      <c r="B86" s="11">
        <v>46.9</v>
      </c>
    </row>
    <row r="87" spans="1:2" x14ac:dyDescent="0.2">
      <c r="A87" s="2">
        <v>40909</v>
      </c>
      <c r="B87" s="11">
        <v>48.8</v>
      </c>
    </row>
    <row r="88" spans="1:2" x14ac:dyDescent="0.2">
      <c r="A88" s="2">
        <v>40940</v>
      </c>
      <c r="B88" s="11">
        <v>49</v>
      </c>
    </row>
    <row r="89" spans="1:2" x14ac:dyDescent="0.2">
      <c r="A89" s="2">
        <v>40969</v>
      </c>
      <c r="B89" s="11">
        <v>47.7</v>
      </c>
    </row>
    <row r="90" spans="1:2" x14ac:dyDescent="0.2">
      <c r="A90" s="2">
        <v>41000</v>
      </c>
      <c r="B90" s="11">
        <v>45.9</v>
      </c>
    </row>
    <row r="91" spans="1:2" x14ac:dyDescent="0.2">
      <c r="A91" s="2">
        <v>41030</v>
      </c>
      <c r="B91" s="11">
        <v>45.1</v>
      </c>
    </row>
    <row r="92" spans="1:2" x14ac:dyDescent="0.2">
      <c r="A92" s="2">
        <v>41061</v>
      </c>
      <c r="B92" s="11">
        <v>45.1</v>
      </c>
    </row>
    <row r="93" spans="1:2" x14ac:dyDescent="0.2">
      <c r="A93" s="2">
        <v>41091</v>
      </c>
      <c r="B93" s="11">
        <v>44</v>
      </c>
    </row>
    <row r="94" spans="1:2" x14ac:dyDescent="0.2">
      <c r="A94" s="2">
        <v>41122</v>
      </c>
      <c r="B94" s="11">
        <v>45.1</v>
      </c>
    </row>
    <row r="95" spans="1:2" x14ac:dyDescent="0.2">
      <c r="A95" s="2">
        <v>41153</v>
      </c>
      <c r="B95" s="11">
        <v>46.1</v>
      </c>
    </row>
    <row r="96" spans="1:2" x14ac:dyDescent="0.2">
      <c r="A96" s="2">
        <v>41183</v>
      </c>
      <c r="B96" s="11">
        <v>45.4</v>
      </c>
    </row>
    <row r="97" spans="1:2" x14ac:dyDescent="0.2">
      <c r="A97" s="2">
        <v>41214</v>
      </c>
      <c r="B97" s="11">
        <v>46.2</v>
      </c>
    </row>
    <row r="98" spans="1:2" x14ac:dyDescent="0.2">
      <c r="A98" s="2">
        <v>41244</v>
      </c>
      <c r="B98" s="11">
        <v>46.1</v>
      </c>
    </row>
    <row r="99" spans="1:2" x14ac:dyDescent="0.2">
      <c r="A99" s="2">
        <v>41275</v>
      </c>
      <c r="B99" s="11">
        <v>47.9</v>
      </c>
    </row>
    <row r="100" spans="1:2" x14ac:dyDescent="0.2">
      <c r="A100" s="2">
        <v>41306</v>
      </c>
      <c r="B100" s="11">
        <v>47.9</v>
      </c>
    </row>
    <row r="101" spans="1:2" x14ac:dyDescent="0.2">
      <c r="A101" s="2">
        <v>41334</v>
      </c>
      <c r="B101" s="11">
        <v>46.8</v>
      </c>
    </row>
    <row r="102" spans="1:2" x14ac:dyDescent="0.2">
      <c r="A102" s="2">
        <v>41365</v>
      </c>
      <c r="B102" s="11">
        <v>46.7</v>
      </c>
    </row>
    <row r="103" spans="1:2" x14ac:dyDescent="0.2">
      <c r="A103" s="2">
        <v>41395</v>
      </c>
      <c r="B103" s="11">
        <v>48.3</v>
      </c>
    </row>
    <row r="104" spans="1:2" x14ac:dyDescent="0.2">
      <c r="A104" s="2">
        <v>41426</v>
      </c>
      <c r="B104" s="11">
        <v>48.8</v>
      </c>
    </row>
    <row r="105" spans="1:2" x14ac:dyDescent="0.2">
      <c r="A105" s="2">
        <v>41456</v>
      </c>
      <c r="B105" s="11">
        <v>50.3</v>
      </c>
    </row>
    <row r="106" spans="1:2" x14ac:dyDescent="0.2">
      <c r="A106" s="2">
        <v>41487</v>
      </c>
      <c r="B106" s="11">
        <v>51.4</v>
      </c>
    </row>
    <row r="107" spans="1:2" x14ac:dyDescent="0.2">
      <c r="A107" s="2">
        <v>41518</v>
      </c>
      <c r="B107" s="11">
        <v>51.1</v>
      </c>
    </row>
    <row r="108" spans="1:2" x14ac:dyDescent="0.2">
      <c r="A108" s="2">
        <v>41548</v>
      </c>
      <c r="B108" s="11">
        <v>51.3</v>
      </c>
    </row>
    <row r="109" spans="1:2" x14ac:dyDescent="0.2">
      <c r="A109" s="2">
        <v>41579</v>
      </c>
      <c r="B109" s="11">
        <v>51.6</v>
      </c>
    </row>
    <row r="110" spans="1:2" x14ac:dyDescent="0.2">
      <c r="A110" s="2">
        <v>41609</v>
      </c>
      <c r="B110" s="11">
        <v>52.7</v>
      </c>
    </row>
    <row r="111" spans="1:2" x14ac:dyDescent="0.2">
      <c r="A111" s="2">
        <v>41640</v>
      </c>
      <c r="B111" s="11">
        <v>54</v>
      </c>
    </row>
    <row r="112" spans="1:2" x14ac:dyDescent="0.2">
      <c r="A112" s="2">
        <v>41671</v>
      </c>
      <c r="B112" s="11">
        <v>53.2</v>
      </c>
    </row>
    <row r="113" spans="1:2" x14ac:dyDescent="0.2">
      <c r="A113" s="2">
        <v>41699</v>
      </c>
      <c r="B113" s="11">
        <v>53</v>
      </c>
    </row>
    <row r="114" spans="1:2" x14ac:dyDescent="0.2">
      <c r="A114" s="2">
        <v>41730</v>
      </c>
      <c r="B114" s="11">
        <v>54</v>
      </c>
    </row>
    <row r="115" spans="1:2" x14ac:dyDescent="0.2">
      <c r="A115" s="2">
        <v>41760</v>
      </c>
      <c r="B115" s="11">
        <v>52.2</v>
      </c>
    </row>
    <row r="116" spans="1:2" x14ac:dyDescent="0.2">
      <c r="A116" s="2">
        <v>41791</v>
      </c>
      <c r="B116" s="11">
        <v>51.8</v>
      </c>
    </row>
    <row r="117" spans="1:2" x14ac:dyDescent="0.2">
      <c r="A117" s="2">
        <v>41821</v>
      </c>
      <c r="B117" s="11">
        <v>51.8</v>
      </c>
    </row>
    <row r="118" spans="1:2" x14ac:dyDescent="0.2">
      <c r="A118" s="2">
        <v>41852</v>
      </c>
      <c r="B118" s="11">
        <v>50.7</v>
      </c>
    </row>
    <row r="119" spans="1:2" x14ac:dyDescent="0.2">
      <c r="A119" s="2">
        <v>41883</v>
      </c>
      <c r="B119" s="11">
        <v>50.3</v>
      </c>
    </row>
    <row r="120" spans="1:2" x14ac:dyDescent="0.2">
      <c r="A120" s="2">
        <v>41913</v>
      </c>
      <c r="B120" s="11">
        <v>50.6</v>
      </c>
    </row>
    <row r="121" spans="1:2" x14ac:dyDescent="0.2">
      <c r="A121" s="2">
        <v>41944</v>
      </c>
      <c r="B121" s="11">
        <v>50.1</v>
      </c>
    </row>
    <row r="122" spans="1:2" x14ac:dyDescent="0.2">
      <c r="A122" s="2">
        <v>41974</v>
      </c>
      <c r="B122" s="11">
        <v>50.6</v>
      </c>
    </row>
    <row r="123" spans="1:2" x14ac:dyDescent="0.2">
      <c r="A123" s="2">
        <v>42005</v>
      </c>
      <c r="B123" s="11">
        <v>51</v>
      </c>
    </row>
    <row r="124" spans="1:2" x14ac:dyDescent="0.2">
      <c r="A124" s="2">
        <v>42036</v>
      </c>
      <c r="B124" s="11">
        <v>51</v>
      </c>
    </row>
    <row r="125" spans="1:2" x14ac:dyDescent="0.2">
      <c r="A125" s="2">
        <v>42064</v>
      </c>
      <c r="B125" s="11">
        <v>52.2</v>
      </c>
    </row>
    <row r="126" spans="1:2" x14ac:dyDescent="0.2">
      <c r="A126" s="2">
        <v>42095</v>
      </c>
      <c r="B126" s="11">
        <v>52</v>
      </c>
    </row>
    <row r="127" spans="1:2" x14ac:dyDescent="0.2">
      <c r="A127" s="2">
        <v>42125</v>
      </c>
      <c r="B127" s="11">
        <v>52.2</v>
      </c>
    </row>
    <row r="128" spans="1:2" x14ac:dyDescent="0.2">
      <c r="A128" s="2">
        <v>42156</v>
      </c>
      <c r="B128" s="11">
        <v>52.5</v>
      </c>
    </row>
    <row r="129" spans="1:2" x14ac:dyDescent="0.2">
      <c r="A129" s="2">
        <v>42186</v>
      </c>
      <c r="B129" s="11">
        <v>52.4</v>
      </c>
    </row>
    <row r="130" spans="1:2" x14ac:dyDescent="0.2">
      <c r="A130" s="2">
        <v>42217</v>
      </c>
      <c r="B130" s="11">
        <v>52.3</v>
      </c>
    </row>
    <row r="131" spans="1:2" x14ac:dyDescent="0.2">
      <c r="A131" s="2">
        <v>42248</v>
      </c>
      <c r="B131" s="11">
        <v>52</v>
      </c>
    </row>
    <row r="132" spans="1:2" x14ac:dyDescent="0.2">
      <c r="A132" s="2">
        <v>42278</v>
      </c>
      <c r="B132" s="11">
        <v>52.3</v>
      </c>
    </row>
    <row r="133" spans="1:2" x14ac:dyDescent="0.2">
      <c r="A133" s="2">
        <v>42309</v>
      </c>
      <c r="B133" s="11">
        <v>52.8</v>
      </c>
    </row>
    <row r="134" spans="1:2" x14ac:dyDescent="0.2">
      <c r="A134" s="2">
        <v>42339</v>
      </c>
      <c r="B134" s="11">
        <v>53.2</v>
      </c>
    </row>
    <row r="135" spans="1:2" x14ac:dyDescent="0.2">
      <c r="A135" s="2">
        <v>42370</v>
      </c>
      <c r="B135" s="11">
        <v>52.3</v>
      </c>
    </row>
    <row r="136" spans="1:2" x14ac:dyDescent="0.2">
      <c r="A136" s="2">
        <v>42401</v>
      </c>
      <c r="B136" s="11">
        <v>51.2</v>
      </c>
    </row>
    <row r="137" spans="1:2" x14ac:dyDescent="0.2">
      <c r="A137" s="2">
        <v>42430</v>
      </c>
      <c r="B137" s="11">
        <v>51.6</v>
      </c>
    </row>
    <row r="138" spans="1:2" x14ac:dyDescent="0.2">
      <c r="A138" s="2">
        <v>42461</v>
      </c>
      <c r="B138" s="11">
        <v>51.7</v>
      </c>
    </row>
    <row r="139" spans="1:2" x14ac:dyDescent="0.2">
      <c r="A139" s="2">
        <v>42491</v>
      </c>
      <c r="B139" s="11">
        <v>51.5</v>
      </c>
    </row>
    <row r="140" spans="1:2" x14ac:dyDescent="0.2">
      <c r="A140" s="2">
        <v>42522</v>
      </c>
      <c r="B140" s="11">
        <v>52.8</v>
      </c>
    </row>
    <row r="141" spans="1:2" x14ac:dyDescent="0.2">
      <c r="A141" s="2">
        <v>42552</v>
      </c>
      <c r="B141" s="11">
        <v>52</v>
      </c>
    </row>
    <row r="142" spans="1:2" x14ac:dyDescent="0.2">
      <c r="A142" s="2">
        <v>42583</v>
      </c>
      <c r="B142" s="11">
        <v>51.7</v>
      </c>
    </row>
    <row r="143" spans="1:2" x14ac:dyDescent="0.2">
      <c r="A143" s="2">
        <v>42614</v>
      </c>
      <c r="B143" s="11">
        <v>52.6</v>
      </c>
    </row>
    <row r="144" spans="1:2" x14ac:dyDescent="0.2">
      <c r="A144" s="2">
        <v>42644</v>
      </c>
      <c r="B144" s="11">
        <v>53.5</v>
      </c>
    </row>
    <row r="145" spans="1:2" x14ac:dyDescent="0.2">
      <c r="A145" s="2">
        <v>42675</v>
      </c>
      <c r="B145" s="11">
        <v>53.7</v>
      </c>
    </row>
    <row r="146" spans="1:2" x14ac:dyDescent="0.2">
      <c r="A146" s="2">
        <v>42705</v>
      </c>
      <c r="B146" s="11">
        <v>54.9</v>
      </c>
    </row>
    <row r="147" spans="1:2" x14ac:dyDescent="0.2">
      <c r="A147" s="2">
        <v>42736</v>
      </c>
      <c r="B147" s="11">
        <v>55.2</v>
      </c>
    </row>
    <row r="148" spans="1:2" x14ac:dyDescent="0.2">
      <c r="A148" s="2">
        <v>42767</v>
      </c>
      <c r="B148" s="11">
        <v>55.4</v>
      </c>
    </row>
    <row r="149" spans="1:2" x14ac:dyDescent="0.2">
      <c r="A149" s="2">
        <v>42795</v>
      </c>
      <c r="B149" s="11">
        <v>56.2</v>
      </c>
    </row>
    <row r="150" spans="1:2" x14ac:dyDescent="0.2">
      <c r="A150" s="2">
        <v>42826</v>
      </c>
      <c r="B150" s="11">
        <v>56.7</v>
      </c>
    </row>
    <row r="151" spans="1:2" x14ac:dyDescent="0.2">
      <c r="A151" s="2">
        <v>42856</v>
      </c>
      <c r="B151" s="11">
        <v>57</v>
      </c>
    </row>
    <row r="152" spans="1:2" x14ac:dyDescent="0.2">
      <c r="A152" s="2">
        <v>42887</v>
      </c>
      <c r="B152" s="11">
        <v>57.4</v>
      </c>
    </row>
    <row r="153" spans="1:2" x14ac:dyDescent="0.2">
      <c r="A153" s="2">
        <v>42917</v>
      </c>
      <c r="B153" s="11">
        <v>56.6</v>
      </c>
    </row>
    <row r="154" spans="1:2" x14ac:dyDescent="0.2">
      <c r="A154" s="2">
        <v>42948</v>
      </c>
      <c r="B154" s="11">
        <v>57.4</v>
      </c>
    </row>
    <row r="155" spans="1:2" x14ac:dyDescent="0.2">
      <c r="A155" s="2">
        <v>42979</v>
      </c>
      <c r="B155" s="11">
        <v>58.1</v>
      </c>
    </row>
    <row r="156" spans="1:2" x14ac:dyDescent="0.2">
      <c r="A156" s="2">
        <v>43009</v>
      </c>
      <c r="B156" s="11">
        <v>58.5</v>
      </c>
    </row>
    <row r="157" spans="1:2" x14ac:dyDescent="0.2">
      <c r="A157" s="2">
        <v>43040</v>
      </c>
      <c r="B157" s="11">
        <v>60.1</v>
      </c>
    </row>
    <row r="158" spans="1:2" x14ac:dyDescent="0.2">
      <c r="A158" s="2">
        <v>43070</v>
      </c>
      <c r="B158" s="11">
        <v>60.6</v>
      </c>
    </row>
    <row r="159" spans="1:2" x14ac:dyDescent="0.2">
      <c r="A159" s="2">
        <v>43101</v>
      </c>
      <c r="B159" s="11">
        <v>59.6</v>
      </c>
    </row>
    <row r="160" spans="1:2" x14ac:dyDescent="0.2">
      <c r="A160" s="2">
        <v>43132</v>
      </c>
      <c r="B160" s="11">
        <v>58.6</v>
      </c>
    </row>
    <row r="161" spans="1:2" x14ac:dyDescent="0.2">
      <c r="A161" s="2">
        <v>43160</v>
      </c>
      <c r="B161" s="11">
        <v>56.6</v>
      </c>
    </row>
    <row r="162" spans="1:2" x14ac:dyDescent="0.2">
      <c r="A162" s="2">
        <v>43191</v>
      </c>
      <c r="B162" s="11">
        <v>56.2</v>
      </c>
    </row>
    <row r="163" spans="1:2" x14ac:dyDescent="0.2">
      <c r="A163" s="2">
        <v>43221</v>
      </c>
      <c r="B163" s="11">
        <v>55.5</v>
      </c>
    </row>
    <row r="164" spans="1:2" x14ac:dyDescent="0.2">
      <c r="A164" s="2">
        <v>43252</v>
      </c>
      <c r="B164" s="11">
        <v>54.9</v>
      </c>
    </row>
    <row r="165" spans="1:2" x14ac:dyDescent="0.2">
      <c r="A165" s="2">
        <v>43282</v>
      </c>
      <c r="B165" s="11">
        <v>55.1</v>
      </c>
    </row>
    <row r="166" spans="1:2" x14ac:dyDescent="0.2">
      <c r="A166" s="2">
        <v>43313</v>
      </c>
      <c r="B166" s="11">
        <v>54.6</v>
      </c>
    </row>
    <row r="167" spans="1:2" x14ac:dyDescent="0.2">
      <c r="A167" s="2">
        <v>43344</v>
      </c>
      <c r="B167" s="11">
        <v>53.2</v>
      </c>
    </row>
    <row r="168" spans="1:2" x14ac:dyDescent="0.2">
      <c r="A168" s="2">
        <v>43374</v>
      </c>
      <c r="B168" s="11">
        <v>52</v>
      </c>
    </row>
    <row r="169" spans="1:2" x14ac:dyDescent="0.2">
      <c r="A169" s="2">
        <v>43405</v>
      </c>
      <c r="B169" s="11">
        <v>51.8</v>
      </c>
    </row>
    <row r="170" spans="1:2" x14ac:dyDescent="0.2">
      <c r="A170" s="2">
        <v>43435</v>
      </c>
      <c r="B170" s="11">
        <v>51.4</v>
      </c>
    </row>
    <row r="171" spans="1:2" x14ac:dyDescent="0.2">
      <c r="A171" s="2">
        <v>43466</v>
      </c>
      <c r="B171" s="11">
        <v>50.5</v>
      </c>
    </row>
    <row r="172" spans="1:2" x14ac:dyDescent="0.2">
      <c r="A172" s="2">
        <v>43497</v>
      </c>
      <c r="B172" s="11">
        <v>49.3</v>
      </c>
    </row>
    <row r="173" spans="1:2" x14ac:dyDescent="0.2">
      <c r="A173" s="2">
        <v>43525</v>
      </c>
      <c r="B173" s="11">
        <v>47.5</v>
      </c>
    </row>
    <row r="174" spans="1:2" x14ac:dyDescent="0.2">
      <c r="A174" s="2">
        <v>43556</v>
      </c>
      <c r="B174" s="11">
        <v>47.9</v>
      </c>
    </row>
    <row r="175" spans="1:2" x14ac:dyDescent="0.2">
      <c r="A175" s="2">
        <v>43586</v>
      </c>
      <c r="B175" s="11">
        <v>47.7</v>
      </c>
    </row>
    <row r="176" spans="1:2" x14ac:dyDescent="0.2">
      <c r="A176" s="2">
        <v>43617</v>
      </c>
      <c r="B176" s="11">
        <v>47.6</v>
      </c>
    </row>
    <row r="177" spans="1:2" x14ac:dyDescent="0.2">
      <c r="A177" s="2">
        <v>43647</v>
      </c>
      <c r="B177" s="11">
        <v>46.5</v>
      </c>
    </row>
    <row r="178" spans="1:2" x14ac:dyDescent="0.2">
      <c r="A178" s="2">
        <v>43678</v>
      </c>
      <c r="B178" s="11">
        <v>47</v>
      </c>
    </row>
    <row r="179" spans="1:2" x14ac:dyDescent="0.2">
      <c r="A179" s="2">
        <v>43709</v>
      </c>
      <c r="B179" s="11">
        <v>45.7</v>
      </c>
    </row>
    <row r="180" spans="1:2" x14ac:dyDescent="0.2">
      <c r="A180" s="2">
        <v>43739</v>
      </c>
      <c r="B180" s="11">
        <v>45.9</v>
      </c>
    </row>
    <row r="181" spans="1:2" x14ac:dyDescent="0.2">
      <c r="A181" s="2">
        <v>43770</v>
      </c>
      <c r="B181" s="11">
        <v>46.9</v>
      </c>
    </row>
    <row r="182" spans="1:2" x14ac:dyDescent="0.2">
      <c r="A182" s="2">
        <v>43800</v>
      </c>
      <c r="B182" s="11">
        <v>46.3</v>
      </c>
    </row>
    <row r="183" spans="1:2" x14ac:dyDescent="0.2">
      <c r="A183" s="2">
        <v>43831</v>
      </c>
      <c r="B183" s="11">
        <v>47.9</v>
      </c>
    </row>
    <row r="184" spans="1:2" x14ac:dyDescent="0.2">
      <c r="A184" s="2">
        <v>43862</v>
      </c>
      <c r="B184" s="11">
        <v>49.2</v>
      </c>
    </row>
    <row r="185" spans="1:2" x14ac:dyDescent="0.2">
      <c r="A185" s="2">
        <v>43891</v>
      </c>
      <c r="B185" s="11">
        <v>44.5</v>
      </c>
    </row>
    <row r="186" spans="1:2" x14ac:dyDescent="0.2">
      <c r="A186" s="2">
        <v>43922</v>
      </c>
      <c r="B186" s="11">
        <v>33.4</v>
      </c>
    </row>
    <row r="187" spans="1:2" x14ac:dyDescent="0.2">
      <c r="A187" s="2">
        <v>43952</v>
      </c>
      <c r="B187" s="11">
        <v>39.4</v>
      </c>
    </row>
    <row r="188" spans="1:2" x14ac:dyDescent="0.2">
      <c r="A188" s="2">
        <v>43983</v>
      </c>
      <c r="B188" s="11">
        <v>47.4</v>
      </c>
    </row>
    <row r="189" spans="1:2" x14ac:dyDescent="0.2">
      <c r="A189" s="2">
        <v>44013</v>
      </c>
      <c r="B189" s="11">
        <v>51.8</v>
      </c>
    </row>
    <row r="190" spans="1:2" x14ac:dyDescent="0.2">
      <c r="A190" s="2">
        <v>44044</v>
      </c>
      <c r="B190" s="11">
        <v>51.7</v>
      </c>
    </row>
    <row r="191" spans="1:2" x14ac:dyDescent="0.2">
      <c r="A191" s="2">
        <v>44075</v>
      </c>
      <c r="B191" s="11">
        <v>53.7</v>
      </c>
    </row>
    <row r="192" spans="1:2" x14ac:dyDescent="0.2">
      <c r="A192" s="2">
        <v>44105</v>
      </c>
      <c r="B192" s="11">
        <v>54.8</v>
      </c>
    </row>
    <row r="193" spans="1:2" x14ac:dyDescent="0.2">
      <c r="A193" s="2">
        <v>44136</v>
      </c>
      <c r="B193" s="11">
        <v>53.8</v>
      </c>
    </row>
    <row r="194" spans="1:2" x14ac:dyDescent="0.2">
      <c r="A194" s="2">
        <v>44166</v>
      </c>
      <c r="B194" s="11">
        <v>55.2</v>
      </c>
    </row>
    <row r="195" spans="1:2" x14ac:dyDescent="0.2">
      <c r="A195" s="2">
        <v>44197</v>
      </c>
      <c r="B195" s="11">
        <v>54.8</v>
      </c>
    </row>
    <row r="196" spans="1:2" x14ac:dyDescent="0.2">
      <c r="A196" s="2">
        <v>44228</v>
      </c>
      <c r="B196" s="11">
        <v>57.9</v>
      </c>
    </row>
    <row r="197" spans="1:2" x14ac:dyDescent="0.2">
      <c r="A197" s="2">
        <v>44256</v>
      </c>
      <c r="B197" s="11">
        <v>62.5</v>
      </c>
    </row>
    <row r="198" spans="1:2" x14ac:dyDescent="0.2">
      <c r="A198" s="2">
        <v>44287</v>
      </c>
      <c r="B198" s="11">
        <v>62.9</v>
      </c>
    </row>
    <row r="199" spans="1:2" x14ac:dyDescent="0.2">
      <c r="A199" s="2">
        <v>44317</v>
      </c>
      <c r="B199" s="11">
        <v>63.1</v>
      </c>
    </row>
    <row r="200" spans="1:2" x14ac:dyDescent="0.2">
      <c r="A200" s="2">
        <v>44348</v>
      </c>
      <c r="B200" s="11">
        <v>63.4</v>
      </c>
    </row>
    <row r="201" spans="1:2" x14ac:dyDescent="0.2">
      <c r="A201" s="2">
        <v>44378</v>
      </c>
      <c r="B201" s="11">
        <v>62.8</v>
      </c>
    </row>
    <row r="202" spans="1:2" x14ac:dyDescent="0.2">
      <c r="A202" s="2">
        <v>44409</v>
      </c>
      <c r="B202" s="11">
        <v>61.4</v>
      </c>
    </row>
    <row r="203" spans="1:2" x14ac:dyDescent="0.2">
      <c r="A203" s="2">
        <v>44440</v>
      </c>
      <c r="B203" s="11">
        <v>58.6</v>
      </c>
    </row>
    <row r="204" spans="1:2" x14ac:dyDescent="0.2">
      <c r="A204" s="2">
        <v>44470</v>
      </c>
      <c r="B204" s="11">
        <v>58.3</v>
      </c>
    </row>
    <row r="205" spans="1:2" x14ac:dyDescent="0.2">
      <c r="A205" s="2">
        <v>44501</v>
      </c>
      <c r="B205" s="11">
        <v>58.4</v>
      </c>
    </row>
    <row r="206" spans="1:2" x14ac:dyDescent="0.2">
      <c r="A206" s="2">
        <v>44531</v>
      </c>
      <c r="B206" s="11">
        <v>58</v>
      </c>
    </row>
  </sheetData>
  <conditionalFormatting sqref="B2:B206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168"/>
  <sheetViews>
    <sheetView zoomScale="160" zoomScaleNormal="160" workbookViewId="0">
      <pane ySplit="1" topLeftCell="A118" activePane="bottomLeft" state="frozen"/>
      <selection pane="bottomLeft" activeCell="B1" sqref="B1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16</v>
      </c>
    </row>
    <row r="2" spans="1:2" x14ac:dyDescent="0.2">
      <c r="A2" s="6">
        <v>39479</v>
      </c>
      <c r="B2" s="7">
        <v>50.8</v>
      </c>
    </row>
    <row r="3" spans="1:2" x14ac:dyDescent="0.2">
      <c r="A3" s="2">
        <v>39508</v>
      </c>
      <c r="B3" s="11">
        <v>49.5</v>
      </c>
    </row>
    <row r="4" spans="1:2" x14ac:dyDescent="0.2">
      <c r="A4" s="2">
        <v>39539</v>
      </c>
      <c r="B4" s="11">
        <v>48.6</v>
      </c>
    </row>
    <row r="5" spans="1:2" x14ac:dyDescent="0.2">
      <c r="A5" s="2">
        <v>39569</v>
      </c>
      <c r="B5" s="11">
        <v>47.7</v>
      </c>
    </row>
    <row r="6" spans="1:2" x14ac:dyDescent="0.2">
      <c r="A6" s="2">
        <v>39600</v>
      </c>
      <c r="B6" s="11">
        <v>46.5</v>
      </c>
    </row>
    <row r="7" spans="1:2" x14ac:dyDescent="0.2">
      <c r="A7" s="2">
        <v>39630</v>
      </c>
      <c r="B7" s="11">
        <v>47</v>
      </c>
    </row>
    <row r="8" spans="1:2" x14ac:dyDescent="0.2">
      <c r="A8" s="2">
        <v>39661</v>
      </c>
      <c r="B8" s="11">
        <v>46.9</v>
      </c>
    </row>
    <row r="9" spans="1:2" x14ac:dyDescent="0.2">
      <c r="A9" s="2">
        <v>39692</v>
      </c>
      <c r="B9" s="11">
        <v>44.3</v>
      </c>
    </row>
    <row r="10" spans="1:2" x14ac:dyDescent="0.2">
      <c r="A10" s="2">
        <v>39722</v>
      </c>
      <c r="B10" s="11">
        <v>42.2</v>
      </c>
    </row>
    <row r="11" spans="1:2" x14ac:dyDescent="0.2">
      <c r="A11" s="2">
        <v>39753</v>
      </c>
      <c r="B11" s="11">
        <v>36.700000000000003</v>
      </c>
    </row>
    <row r="12" spans="1:2" x14ac:dyDescent="0.2">
      <c r="A12" s="2">
        <v>39783</v>
      </c>
      <c r="B12" s="11">
        <v>30.8</v>
      </c>
    </row>
    <row r="13" spans="1:2" x14ac:dyDescent="0.2">
      <c r="A13" s="2">
        <v>39814</v>
      </c>
      <c r="B13" s="11">
        <v>29.6</v>
      </c>
    </row>
    <row r="14" spans="1:2" x14ac:dyDescent="0.2">
      <c r="A14" s="2">
        <v>39845</v>
      </c>
      <c r="B14" s="11">
        <v>31.6</v>
      </c>
    </row>
    <row r="15" spans="1:2" x14ac:dyDescent="0.2">
      <c r="A15" s="2">
        <v>39873</v>
      </c>
      <c r="B15" s="11">
        <v>33.799999999999997</v>
      </c>
    </row>
    <row r="16" spans="1:2" x14ac:dyDescent="0.2">
      <c r="A16" s="2">
        <v>39904</v>
      </c>
      <c r="B16" s="11">
        <v>41.4</v>
      </c>
    </row>
    <row r="17" spans="1:2" x14ac:dyDescent="0.2">
      <c r="A17" s="2">
        <v>39934</v>
      </c>
      <c r="B17" s="11">
        <v>46.6</v>
      </c>
    </row>
    <row r="18" spans="1:2" x14ac:dyDescent="0.2">
      <c r="A18" s="2">
        <v>39965</v>
      </c>
      <c r="B18" s="11">
        <v>48.2</v>
      </c>
    </row>
    <row r="19" spans="1:2" x14ac:dyDescent="0.2">
      <c r="A19" s="2">
        <v>39995</v>
      </c>
      <c r="B19" s="11">
        <v>50.4</v>
      </c>
    </row>
    <row r="20" spans="1:2" x14ac:dyDescent="0.2">
      <c r="A20" s="2">
        <v>40026</v>
      </c>
      <c r="B20" s="11">
        <v>53.6</v>
      </c>
    </row>
    <row r="21" spans="1:2" x14ac:dyDescent="0.2">
      <c r="A21" s="2">
        <v>40057</v>
      </c>
      <c r="B21" s="11">
        <v>54.5</v>
      </c>
    </row>
    <row r="22" spans="1:2" x14ac:dyDescent="0.2">
      <c r="A22" s="2">
        <v>40087</v>
      </c>
      <c r="B22" s="11">
        <v>54.3</v>
      </c>
    </row>
    <row r="23" spans="1:2" x14ac:dyDescent="0.2">
      <c r="A23" s="2">
        <v>40118</v>
      </c>
      <c r="B23" s="11">
        <v>52.3</v>
      </c>
    </row>
    <row r="24" spans="1:2" x14ac:dyDescent="0.2">
      <c r="A24" s="2">
        <v>40148</v>
      </c>
      <c r="B24" s="11">
        <v>53.8</v>
      </c>
    </row>
    <row r="25" spans="1:2" x14ac:dyDescent="0.2">
      <c r="A25" s="2">
        <v>40179</v>
      </c>
      <c r="B25" s="11">
        <v>52.5</v>
      </c>
    </row>
    <row r="26" spans="1:2" x14ac:dyDescent="0.2">
      <c r="A26" s="2">
        <v>40210</v>
      </c>
      <c r="B26" s="11">
        <v>52.5</v>
      </c>
    </row>
    <row r="27" spans="1:2" x14ac:dyDescent="0.2">
      <c r="A27" s="2">
        <v>40238</v>
      </c>
      <c r="B27" s="11">
        <v>52.4</v>
      </c>
    </row>
    <row r="28" spans="1:2" x14ac:dyDescent="0.2">
      <c r="A28" s="2">
        <v>40269</v>
      </c>
      <c r="B28" s="11">
        <v>53.5</v>
      </c>
    </row>
    <row r="29" spans="1:2" x14ac:dyDescent="0.2">
      <c r="A29" s="2">
        <v>40299</v>
      </c>
      <c r="B29" s="11">
        <v>54.7</v>
      </c>
    </row>
    <row r="30" spans="1:2" x14ac:dyDescent="0.2">
      <c r="A30" s="2">
        <v>40330</v>
      </c>
      <c r="B30" s="11">
        <v>53.9</v>
      </c>
    </row>
    <row r="31" spans="1:2" x14ac:dyDescent="0.2">
      <c r="A31" s="2">
        <v>40360</v>
      </c>
      <c r="B31" s="11">
        <v>52.8</v>
      </c>
    </row>
    <row r="32" spans="1:2" x14ac:dyDescent="0.2">
      <c r="A32" s="2">
        <v>40391</v>
      </c>
      <c r="B32" s="11">
        <v>50.1</v>
      </c>
    </row>
    <row r="33" spans="1:2" x14ac:dyDescent="0.2">
      <c r="A33" s="2">
        <v>40422</v>
      </c>
      <c r="B33" s="11">
        <v>49.5</v>
      </c>
    </row>
    <row r="34" spans="1:2" x14ac:dyDescent="0.2">
      <c r="A34" s="2">
        <v>40452</v>
      </c>
      <c r="B34" s="11">
        <v>47.2</v>
      </c>
    </row>
    <row r="35" spans="1:2" x14ac:dyDescent="0.2">
      <c r="A35" s="2">
        <v>40483</v>
      </c>
      <c r="B35" s="11">
        <v>47.3</v>
      </c>
    </row>
    <row r="36" spans="1:2" x14ac:dyDescent="0.2">
      <c r="A36" s="2">
        <v>40513</v>
      </c>
      <c r="B36" s="11">
        <v>48.3</v>
      </c>
    </row>
    <row r="37" spans="1:2" x14ac:dyDescent="0.2">
      <c r="A37" s="2">
        <v>40544</v>
      </c>
      <c r="B37" s="11">
        <v>51.4</v>
      </c>
    </row>
    <row r="38" spans="1:2" x14ac:dyDescent="0.2">
      <c r="A38" s="2">
        <v>40575</v>
      </c>
      <c r="B38" s="11">
        <v>52.9</v>
      </c>
    </row>
    <row r="39" spans="1:2" x14ac:dyDescent="0.2">
      <c r="A39" s="2">
        <v>40603</v>
      </c>
      <c r="B39" s="11">
        <v>46.4</v>
      </c>
    </row>
    <row r="40" spans="1:2" x14ac:dyDescent="0.2">
      <c r="A40" s="2">
        <v>40634</v>
      </c>
      <c r="B40" s="11">
        <v>45.7</v>
      </c>
    </row>
    <row r="41" spans="1:2" x14ac:dyDescent="0.2">
      <c r="A41" s="2">
        <v>40664</v>
      </c>
      <c r="B41" s="11">
        <v>51.3</v>
      </c>
    </row>
    <row r="42" spans="1:2" x14ac:dyDescent="0.2">
      <c r="A42" s="2">
        <v>40695</v>
      </c>
      <c r="B42" s="11">
        <v>50.7</v>
      </c>
    </row>
    <row r="43" spans="1:2" x14ac:dyDescent="0.2">
      <c r="A43" s="2">
        <v>40725</v>
      </c>
      <c r="B43" s="11">
        <v>52.1</v>
      </c>
    </row>
    <row r="44" spans="1:2" x14ac:dyDescent="0.2">
      <c r="A44" s="2">
        <v>40756</v>
      </c>
      <c r="B44" s="11">
        <v>51.9</v>
      </c>
    </row>
    <row r="45" spans="1:2" x14ac:dyDescent="0.2">
      <c r="A45" s="2">
        <v>40787</v>
      </c>
      <c r="B45" s="11">
        <v>49.3</v>
      </c>
    </row>
    <row r="46" spans="1:2" x14ac:dyDescent="0.2">
      <c r="A46" s="2">
        <v>40817</v>
      </c>
      <c r="B46" s="11">
        <v>50.6</v>
      </c>
    </row>
    <row r="47" spans="1:2" x14ac:dyDescent="0.2">
      <c r="A47" s="2">
        <v>40848</v>
      </c>
      <c r="B47" s="11">
        <v>49.1</v>
      </c>
    </row>
    <row r="48" spans="1:2" x14ac:dyDescent="0.2">
      <c r="A48" s="2">
        <v>40878</v>
      </c>
      <c r="B48" s="11">
        <v>50.2</v>
      </c>
    </row>
    <row r="49" spans="1:2" x14ac:dyDescent="0.2">
      <c r="A49" s="2">
        <v>40909</v>
      </c>
      <c r="B49" s="11">
        <v>50.7</v>
      </c>
    </row>
    <row r="50" spans="1:2" x14ac:dyDescent="0.2">
      <c r="A50" s="2">
        <v>40940</v>
      </c>
      <c r="B50" s="11">
        <v>50.5</v>
      </c>
    </row>
    <row r="51" spans="1:2" x14ac:dyDescent="0.2">
      <c r="A51" s="2">
        <v>40969</v>
      </c>
      <c r="B51" s="11">
        <v>51.1</v>
      </c>
    </row>
    <row r="52" spans="1:2" x14ac:dyDescent="0.2">
      <c r="A52" s="2">
        <v>41000</v>
      </c>
      <c r="B52" s="11">
        <v>50.7</v>
      </c>
    </row>
    <row r="53" spans="1:2" x14ac:dyDescent="0.2">
      <c r="A53" s="2">
        <v>41030</v>
      </c>
      <c r="B53" s="11">
        <v>50.7</v>
      </c>
    </row>
    <row r="54" spans="1:2" x14ac:dyDescent="0.2">
      <c r="A54" s="2">
        <v>41061</v>
      </c>
      <c r="B54" s="11">
        <v>52.6</v>
      </c>
    </row>
    <row r="55" spans="1:2" x14ac:dyDescent="0.2">
      <c r="A55" s="2">
        <v>41091</v>
      </c>
      <c r="B55" s="11">
        <v>52</v>
      </c>
    </row>
    <row r="56" spans="1:2" x14ac:dyDescent="0.2">
      <c r="A56" s="2">
        <v>41122</v>
      </c>
      <c r="B56" s="11">
        <v>52.1</v>
      </c>
    </row>
    <row r="57" spans="1:2" x14ac:dyDescent="0.2">
      <c r="A57" s="2">
        <v>41153</v>
      </c>
      <c r="B57" s="11">
        <v>48</v>
      </c>
    </row>
    <row r="58" spans="1:2" x14ac:dyDescent="0.2">
      <c r="A58" s="2">
        <v>41183</v>
      </c>
      <c r="B58" s="11">
        <v>46.9</v>
      </c>
    </row>
    <row r="59" spans="1:2" x14ac:dyDescent="0.2">
      <c r="A59" s="2">
        <v>41214</v>
      </c>
      <c r="B59" s="11">
        <v>46.5</v>
      </c>
    </row>
    <row r="60" spans="1:2" x14ac:dyDescent="0.2">
      <c r="A60" s="2">
        <v>41244</v>
      </c>
      <c r="B60" s="11">
        <v>45</v>
      </c>
    </row>
    <row r="61" spans="1:2" x14ac:dyDescent="0.2">
      <c r="A61" s="2">
        <v>41275</v>
      </c>
      <c r="B61" s="11">
        <v>47.7</v>
      </c>
    </row>
    <row r="62" spans="1:2" x14ac:dyDescent="0.2">
      <c r="A62" s="2">
        <v>41306</v>
      </c>
      <c r="B62" s="11">
        <v>48.5</v>
      </c>
    </row>
    <row r="63" spans="1:2" x14ac:dyDescent="0.2">
      <c r="A63" s="2">
        <v>41334</v>
      </c>
      <c r="B63" s="11">
        <v>50.4</v>
      </c>
    </row>
    <row r="64" spans="1:2" x14ac:dyDescent="0.2">
      <c r="A64" s="2">
        <v>41365</v>
      </c>
      <c r="B64" s="11">
        <v>51.1</v>
      </c>
    </row>
    <row r="65" spans="1:2" x14ac:dyDescent="0.2">
      <c r="A65" s="2">
        <v>41395</v>
      </c>
      <c r="B65" s="11">
        <v>51.5</v>
      </c>
    </row>
    <row r="66" spans="1:2" x14ac:dyDescent="0.2">
      <c r="A66" s="2">
        <v>41426</v>
      </c>
      <c r="B66" s="11">
        <v>52.3</v>
      </c>
    </row>
    <row r="67" spans="1:2" x14ac:dyDescent="0.2">
      <c r="A67" s="2">
        <v>41456</v>
      </c>
      <c r="B67" s="11">
        <v>50.7</v>
      </c>
    </row>
    <row r="68" spans="1:2" x14ac:dyDescent="0.2">
      <c r="A68" s="2">
        <v>41487</v>
      </c>
      <c r="B68" s="11">
        <v>52.2</v>
      </c>
    </row>
    <row r="69" spans="1:2" x14ac:dyDescent="0.2">
      <c r="A69" s="2">
        <v>41518</v>
      </c>
      <c r="B69" s="11">
        <v>52.5</v>
      </c>
    </row>
    <row r="70" spans="1:2" x14ac:dyDescent="0.2">
      <c r="A70" s="2">
        <v>41548</v>
      </c>
      <c r="B70" s="11">
        <v>54.2</v>
      </c>
    </row>
    <row r="71" spans="1:2" x14ac:dyDescent="0.2">
      <c r="A71" s="2">
        <v>41579</v>
      </c>
      <c r="B71" s="11">
        <v>55.1</v>
      </c>
    </row>
    <row r="72" spans="1:2" x14ac:dyDescent="0.2">
      <c r="A72" s="2">
        <v>41609</v>
      </c>
      <c r="B72" s="11">
        <v>55.2</v>
      </c>
    </row>
    <row r="73" spans="1:2" x14ac:dyDescent="0.2">
      <c r="A73" s="2">
        <v>41640</v>
      </c>
      <c r="B73" s="11">
        <v>56.6</v>
      </c>
    </row>
    <row r="74" spans="1:2" x14ac:dyDescent="0.2">
      <c r="A74" s="2">
        <v>41671</v>
      </c>
      <c r="B74" s="11">
        <v>55.5</v>
      </c>
    </row>
    <row r="75" spans="1:2" x14ac:dyDescent="0.2">
      <c r="A75" s="2">
        <v>41699</v>
      </c>
      <c r="B75" s="11">
        <v>53.9</v>
      </c>
    </row>
    <row r="76" spans="1:2" x14ac:dyDescent="0.2">
      <c r="A76" s="2">
        <v>41730</v>
      </c>
      <c r="B76" s="11">
        <v>49.4</v>
      </c>
    </row>
    <row r="77" spans="1:2" x14ac:dyDescent="0.2">
      <c r="A77" s="2">
        <v>41760</v>
      </c>
      <c r="B77" s="11">
        <v>49.9</v>
      </c>
    </row>
    <row r="78" spans="1:2" x14ac:dyDescent="0.2">
      <c r="A78" s="2">
        <v>41791</v>
      </c>
      <c r="B78" s="11">
        <v>51.5</v>
      </c>
    </row>
    <row r="79" spans="1:2" x14ac:dyDescent="0.2">
      <c r="A79" s="2">
        <v>41821</v>
      </c>
      <c r="B79" s="11">
        <v>50.5</v>
      </c>
    </row>
    <row r="80" spans="1:2" x14ac:dyDescent="0.2">
      <c r="A80" s="2">
        <v>41852</v>
      </c>
      <c r="B80" s="11">
        <v>52.2</v>
      </c>
    </row>
    <row r="81" spans="1:2" x14ac:dyDescent="0.2">
      <c r="A81" s="2">
        <v>41883</v>
      </c>
      <c r="B81" s="11">
        <v>51.7</v>
      </c>
    </row>
    <row r="82" spans="1:2" x14ac:dyDescent="0.2">
      <c r="A82" s="2">
        <v>41913</v>
      </c>
      <c r="B82" s="11">
        <v>52.4</v>
      </c>
    </row>
    <row r="83" spans="1:2" x14ac:dyDescent="0.2">
      <c r="A83" s="2">
        <v>41944</v>
      </c>
      <c r="B83" s="11">
        <v>52</v>
      </c>
    </row>
    <row r="84" spans="1:2" x14ac:dyDescent="0.2">
      <c r="A84" s="2">
        <v>41974</v>
      </c>
      <c r="B84" s="11">
        <v>52</v>
      </c>
    </row>
    <row r="85" spans="1:2" x14ac:dyDescent="0.2">
      <c r="A85" s="2">
        <v>42005</v>
      </c>
      <c r="B85" s="11">
        <v>52.2</v>
      </c>
    </row>
    <row r="86" spans="1:2" x14ac:dyDescent="0.2">
      <c r="A86" s="2">
        <v>42036</v>
      </c>
      <c r="B86" s="11">
        <v>51.6</v>
      </c>
    </row>
    <row r="87" spans="1:2" x14ac:dyDescent="0.2">
      <c r="A87" s="2">
        <v>42064</v>
      </c>
      <c r="B87" s="11">
        <v>50.3</v>
      </c>
    </row>
    <row r="88" spans="1:2" x14ac:dyDescent="0.2">
      <c r="A88" s="2">
        <v>42095</v>
      </c>
      <c r="B88" s="11">
        <v>49.9</v>
      </c>
    </row>
    <row r="89" spans="1:2" x14ac:dyDescent="0.2">
      <c r="A89" s="2">
        <v>42125</v>
      </c>
      <c r="B89" s="11">
        <v>50.9</v>
      </c>
    </row>
    <row r="90" spans="1:2" x14ac:dyDescent="0.2">
      <c r="A90" s="2">
        <v>42156</v>
      </c>
      <c r="B90" s="11">
        <v>50.1</v>
      </c>
    </row>
    <row r="91" spans="1:2" x14ac:dyDescent="0.2">
      <c r="A91" s="2">
        <v>42186</v>
      </c>
      <c r="B91" s="11">
        <v>51.2</v>
      </c>
    </row>
    <row r="92" spans="1:2" x14ac:dyDescent="0.2">
      <c r="A92" s="2">
        <v>42217</v>
      </c>
      <c r="B92" s="11">
        <v>51.7</v>
      </c>
    </row>
    <row r="93" spans="1:2" x14ac:dyDescent="0.2">
      <c r="A93" s="2">
        <v>42248</v>
      </c>
      <c r="B93" s="11">
        <v>51</v>
      </c>
    </row>
    <row r="94" spans="1:2" x14ac:dyDescent="0.2">
      <c r="A94" s="2">
        <v>42278</v>
      </c>
      <c r="B94" s="11">
        <v>52.4</v>
      </c>
    </row>
    <row r="95" spans="1:2" x14ac:dyDescent="0.2">
      <c r="A95" s="2">
        <v>42309</v>
      </c>
      <c r="B95" s="11">
        <v>52.6</v>
      </c>
    </row>
    <row r="96" spans="1:2" x14ac:dyDescent="0.2">
      <c r="A96" s="2">
        <v>42339</v>
      </c>
      <c r="B96" s="11">
        <v>52.6</v>
      </c>
    </row>
    <row r="97" spans="1:2" x14ac:dyDescent="0.2">
      <c r="A97" s="2">
        <v>42370</v>
      </c>
      <c r="B97" s="11">
        <v>52.3</v>
      </c>
    </row>
    <row r="98" spans="1:2" x14ac:dyDescent="0.2">
      <c r="A98" s="2">
        <v>42401</v>
      </c>
      <c r="B98" s="11">
        <v>50.1</v>
      </c>
    </row>
    <row r="99" spans="1:2" x14ac:dyDescent="0.2">
      <c r="A99" s="2">
        <v>42430</v>
      </c>
      <c r="B99" s="11">
        <v>49.1</v>
      </c>
    </row>
    <row r="100" spans="1:2" x14ac:dyDescent="0.2">
      <c r="A100" s="2">
        <v>42461</v>
      </c>
      <c r="B100" s="11">
        <v>48.2</v>
      </c>
    </row>
    <row r="101" spans="1:2" x14ac:dyDescent="0.2">
      <c r="A101" s="2">
        <v>42491</v>
      </c>
      <c r="B101" s="11">
        <v>47.7</v>
      </c>
    </row>
    <row r="102" spans="1:2" x14ac:dyDescent="0.2">
      <c r="A102" s="2">
        <v>42522</v>
      </c>
      <c r="B102" s="11">
        <v>48.1</v>
      </c>
    </row>
    <row r="103" spans="1:2" x14ac:dyDescent="0.2">
      <c r="A103" s="2">
        <v>42552</v>
      </c>
      <c r="B103" s="11">
        <v>49.3</v>
      </c>
    </row>
    <row r="104" spans="1:2" x14ac:dyDescent="0.2">
      <c r="A104" s="2">
        <v>42583</v>
      </c>
      <c r="B104" s="11">
        <v>49.5</v>
      </c>
    </row>
    <row r="105" spans="1:2" x14ac:dyDescent="0.2">
      <c r="A105" s="2">
        <v>42614</v>
      </c>
      <c r="B105" s="11">
        <v>50.4</v>
      </c>
    </row>
    <row r="106" spans="1:2" x14ac:dyDescent="0.2">
      <c r="A106" s="2">
        <v>42644</v>
      </c>
      <c r="B106" s="11">
        <v>51.4</v>
      </c>
    </row>
    <row r="107" spans="1:2" x14ac:dyDescent="0.2">
      <c r="A107" s="2">
        <v>42675</v>
      </c>
      <c r="B107" s="11">
        <v>51.3</v>
      </c>
    </row>
    <row r="108" spans="1:2" x14ac:dyDescent="0.2">
      <c r="A108" s="2">
        <v>42705</v>
      </c>
      <c r="B108" s="11">
        <v>52.4</v>
      </c>
    </row>
    <row r="109" spans="1:2" x14ac:dyDescent="0.2">
      <c r="A109" s="2">
        <v>42736</v>
      </c>
      <c r="B109" s="11">
        <v>52.7</v>
      </c>
    </row>
    <row r="110" spans="1:2" x14ac:dyDescent="0.2">
      <c r="A110" s="2">
        <v>42767</v>
      </c>
      <c r="B110" s="11">
        <v>53.3</v>
      </c>
    </row>
    <row r="111" spans="1:2" x14ac:dyDescent="0.2">
      <c r="A111" s="2">
        <v>42795</v>
      </c>
      <c r="B111" s="11">
        <v>52.4</v>
      </c>
    </row>
    <row r="112" spans="1:2" x14ac:dyDescent="0.2">
      <c r="A112" s="2">
        <v>42826</v>
      </c>
      <c r="B112" s="11">
        <v>52.7</v>
      </c>
    </row>
    <row r="113" spans="1:2" x14ac:dyDescent="0.2">
      <c r="A113" s="2">
        <v>42856</v>
      </c>
      <c r="B113" s="11">
        <v>53.1</v>
      </c>
    </row>
    <row r="114" spans="1:2" x14ac:dyDescent="0.2">
      <c r="A114" s="2">
        <v>42887</v>
      </c>
      <c r="B114" s="11">
        <v>52.4</v>
      </c>
    </row>
    <row r="115" spans="1:2" x14ac:dyDescent="0.2">
      <c r="A115" s="2">
        <v>42917</v>
      </c>
      <c r="B115" s="11">
        <v>52.1</v>
      </c>
    </row>
    <row r="116" spans="1:2" x14ac:dyDescent="0.2">
      <c r="A116" s="2">
        <v>42948</v>
      </c>
      <c r="B116" s="11">
        <v>52.2</v>
      </c>
    </row>
    <row r="117" spans="1:2" x14ac:dyDescent="0.2">
      <c r="A117" s="2">
        <v>42979</v>
      </c>
      <c r="B117" s="11">
        <v>52.9</v>
      </c>
    </row>
    <row r="118" spans="1:2" x14ac:dyDescent="0.2">
      <c r="A118" s="2">
        <v>43009</v>
      </c>
      <c r="B118" s="11">
        <v>52.8</v>
      </c>
    </row>
    <row r="119" spans="1:2" x14ac:dyDescent="0.2">
      <c r="A119" s="2">
        <v>43040</v>
      </c>
      <c r="B119" s="11">
        <v>53.6</v>
      </c>
    </row>
    <row r="120" spans="1:2" x14ac:dyDescent="0.2">
      <c r="A120" s="2">
        <v>43070</v>
      </c>
      <c r="B120" s="11">
        <v>54</v>
      </c>
    </row>
    <row r="121" spans="1:2" x14ac:dyDescent="0.2">
      <c r="A121" s="2">
        <v>43101</v>
      </c>
      <c r="B121" s="11">
        <v>54.8</v>
      </c>
    </row>
    <row r="122" spans="1:2" x14ac:dyDescent="0.2">
      <c r="A122" s="2">
        <v>43132</v>
      </c>
      <c r="B122" s="11">
        <v>54.1</v>
      </c>
    </row>
    <row r="123" spans="1:2" x14ac:dyDescent="0.2">
      <c r="A123" s="2">
        <v>43160</v>
      </c>
      <c r="B123" s="11">
        <v>53.2</v>
      </c>
    </row>
    <row r="124" spans="1:2" x14ac:dyDescent="0.2">
      <c r="A124" s="2">
        <v>43191</v>
      </c>
      <c r="B124" s="11">
        <v>53.8</v>
      </c>
    </row>
    <row r="125" spans="1:2" x14ac:dyDescent="0.2">
      <c r="A125" s="2">
        <v>43221</v>
      </c>
      <c r="B125" s="11">
        <v>52.8</v>
      </c>
    </row>
    <row r="126" spans="1:2" x14ac:dyDescent="0.2">
      <c r="A126" s="2">
        <v>43252</v>
      </c>
      <c r="B126" s="11">
        <v>53</v>
      </c>
    </row>
    <row r="127" spans="1:2" x14ac:dyDescent="0.2">
      <c r="A127" s="2">
        <v>43282</v>
      </c>
      <c r="B127" s="11">
        <v>52.3</v>
      </c>
    </row>
    <row r="128" spans="1:2" x14ac:dyDescent="0.2">
      <c r="A128" s="2">
        <v>43313</v>
      </c>
      <c r="B128" s="11">
        <v>52.5</v>
      </c>
    </row>
    <row r="129" spans="1:2" x14ac:dyDescent="0.2">
      <c r="A129" s="2">
        <v>43344</v>
      </c>
      <c r="B129" s="11">
        <v>52.5</v>
      </c>
    </row>
    <row r="130" spans="1:2" x14ac:dyDescent="0.2">
      <c r="A130" s="2">
        <v>43374</v>
      </c>
      <c r="B130" s="11">
        <v>52.9</v>
      </c>
    </row>
    <row r="131" spans="1:2" x14ac:dyDescent="0.2">
      <c r="A131" s="2">
        <v>43405</v>
      </c>
      <c r="B131" s="11">
        <v>52.2</v>
      </c>
    </row>
    <row r="132" spans="1:2" x14ac:dyDescent="0.2">
      <c r="A132" s="2">
        <v>43435</v>
      </c>
      <c r="B132" s="11">
        <v>52.4</v>
      </c>
    </row>
    <row r="133" spans="1:2" x14ac:dyDescent="0.2">
      <c r="A133" s="2">
        <v>43466</v>
      </c>
      <c r="B133" s="11">
        <v>50.3</v>
      </c>
    </row>
    <row r="134" spans="1:2" x14ac:dyDescent="0.2">
      <c r="A134" s="2">
        <v>43497</v>
      </c>
      <c r="B134" s="11">
        <v>48.9</v>
      </c>
    </row>
    <row r="135" spans="1:2" x14ac:dyDescent="0.2">
      <c r="A135" s="2">
        <v>43525</v>
      </c>
      <c r="B135" s="11">
        <v>49.2</v>
      </c>
    </row>
    <row r="136" spans="1:2" x14ac:dyDescent="0.2">
      <c r="A136" s="2">
        <v>43556</v>
      </c>
      <c r="B136" s="11">
        <v>49.5</v>
      </c>
    </row>
    <row r="137" spans="1:2" x14ac:dyDescent="0.2">
      <c r="A137" s="2">
        <v>43586</v>
      </c>
      <c r="B137" s="11">
        <v>49.8</v>
      </c>
    </row>
    <row r="138" spans="1:2" x14ac:dyDescent="0.2">
      <c r="A138" s="2">
        <v>43617</v>
      </c>
      <c r="B138" s="11">
        <v>49.3</v>
      </c>
    </row>
    <row r="139" spans="1:2" x14ac:dyDescent="0.2">
      <c r="A139" s="2">
        <v>43647</v>
      </c>
      <c r="B139" s="11">
        <v>49.4</v>
      </c>
    </row>
    <row r="140" spans="1:2" x14ac:dyDescent="0.2">
      <c r="A140" s="2">
        <v>43678</v>
      </c>
      <c r="B140" s="11">
        <v>49.3</v>
      </c>
    </row>
    <row r="141" spans="1:2" x14ac:dyDescent="0.2">
      <c r="A141" s="2">
        <v>43709</v>
      </c>
      <c r="B141" s="11">
        <v>48.9</v>
      </c>
    </row>
    <row r="142" spans="1:2" x14ac:dyDescent="0.2">
      <c r="A142" s="2">
        <v>43739</v>
      </c>
      <c r="B142" s="11">
        <v>48.4</v>
      </c>
    </row>
    <row r="143" spans="1:2" x14ac:dyDescent="0.2">
      <c r="A143" s="2">
        <v>43770</v>
      </c>
      <c r="B143" s="11">
        <v>48.9</v>
      </c>
    </row>
    <row r="144" spans="1:2" x14ac:dyDescent="0.2">
      <c r="A144" s="2">
        <v>43800</v>
      </c>
      <c r="B144" s="11">
        <v>48.4</v>
      </c>
    </row>
    <row r="145" spans="1:2" x14ac:dyDescent="0.2">
      <c r="A145" s="2">
        <v>43831</v>
      </c>
      <c r="B145" s="11">
        <v>48.8</v>
      </c>
    </row>
    <row r="146" spans="1:2" x14ac:dyDescent="0.2">
      <c r="A146" s="2">
        <v>43862</v>
      </c>
      <c r="B146" s="11">
        <v>47.8</v>
      </c>
    </row>
    <row r="147" spans="1:2" x14ac:dyDescent="0.2">
      <c r="A147" s="2">
        <v>43891</v>
      </c>
      <c r="B147" s="11">
        <v>44.2</v>
      </c>
    </row>
    <row r="148" spans="1:2" x14ac:dyDescent="0.2">
      <c r="A148" s="2">
        <v>43922</v>
      </c>
      <c r="B148" s="11">
        <v>41.9</v>
      </c>
    </row>
    <row r="149" spans="1:2" x14ac:dyDescent="0.2">
      <c r="A149" s="2">
        <v>43952</v>
      </c>
      <c r="B149" s="11">
        <v>38.4</v>
      </c>
    </row>
    <row r="150" spans="1:2" x14ac:dyDescent="0.2">
      <c r="A150" s="2">
        <v>43983</v>
      </c>
      <c r="B150" s="11">
        <v>40.1</v>
      </c>
    </row>
    <row r="151" spans="1:2" x14ac:dyDescent="0.2">
      <c r="A151" s="2">
        <v>44013</v>
      </c>
      <c r="B151" s="11">
        <v>45.2</v>
      </c>
    </row>
    <row r="152" spans="1:2" x14ac:dyDescent="0.2">
      <c r="A152" s="2">
        <v>44044</v>
      </c>
      <c r="B152" s="11">
        <v>47.2</v>
      </c>
    </row>
    <row r="153" spans="1:2" x14ac:dyDescent="0.2">
      <c r="A153" s="2">
        <v>44075</v>
      </c>
      <c r="B153" s="11">
        <v>47.7</v>
      </c>
    </row>
    <row r="154" spans="1:2" x14ac:dyDescent="0.2">
      <c r="A154" s="2">
        <v>44105</v>
      </c>
      <c r="B154" s="11">
        <v>48.7</v>
      </c>
    </row>
    <row r="155" spans="1:2" x14ac:dyDescent="0.2">
      <c r="A155" s="2">
        <v>44136</v>
      </c>
      <c r="B155" s="11">
        <v>49</v>
      </c>
    </row>
    <row r="156" spans="1:2" x14ac:dyDescent="0.2">
      <c r="A156" s="2">
        <v>44166</v>
      </c>
      <c r="B156" s="11">
        <v>50</v>
      </c>
    </row>
    <row r="157" spans="1:2" x14ac:dyDescent="0.2">
      <c r="A157" s="2">
        <v>44197</v>
      </c>
      <c r="B157" s="11">
        <v>49.8</v>
      </c>
    </row>
    <row r="158" spans="1:2" x14ac:dyDescent="0.2">
      <c r="A158" s="2">
        <v>44228</v>
      </c>
      <c r="B158" s="11">
        <v>51.4</v>
      </c>
    </row>
    <row r="159" spans="1:2" x14ac:dyDescent="0.2">
      <c r="A159" s="2">
        <v>44256</v>
      </c>
      <c r="B159" s="11">
        <v>52.7</v>
      </c>
    </row>
    <row r="160" spans="1:2" x14ac:dyDescent="0.2">
      <c r="A160" s="2">
        <v>44287</v>
      </c>
      <c r="B160" s="11">
        <v>53.6</v>
      </c>
    </row>
    <row r="161" spans="1:2" x14ac:dyDescent="0.2">
      <c r="A161" s="2">
        <v>44317</v>
      </c>
      <c r="B161" s="11">
        <v>53</v>
      </c>
    </row>
    <row r="162" spans="1:2" x14ac:dyDescent="0.2">
      <c r="A162" s="2">
        <v>44348</v>
      </c>
      <c r="B162" s="11">
        <v>52.4</v>
      </c>
    </row>
    <row r="163" spans="1:2" x14ac:dyDescent="0.2">
      <c r="A163" s="2">
        <v>44378</v>
      </c>
      <c r="B163" s="11">
        <v>53</v>
      </c>
    </row>
    <row r="164" spans="1:2" x14ac:dyDescent="0.2">
      <c r="A164" s="2">
        <v>44409</v>
      </c>
      <c r="B164" s="11">
        <v>52.7</v>
      </c>
    </row>
    <row r="165" spans="1:2" x14ac:dyDescent="0.2">
      <c r="A165" s="2">
        <v>44440</v>
      </c>
      <c r="B165" s="11">
        <v>51.5</v>
      </c>
    </row>
    <row r="166" spans="1:2" x14ac:dyDescent="0.2">
      <c r="A166" s="2">
        <v>44470</v>
      </c>
      <c r="B166" s="11">
        <v>53.2</v>
      </c>
    </row>
    <row r="167" spans="1:2" x14ac:dyDescent="0.2">
      <c r="A167" s="2">
        <v>44501</v>
      </c>
      <c r="B167" s="11">
        <v>54.5</v>
      </c>
    </row>
    <row r="168" spans="1:2" x14ac:dyDescent="0.2">
      <c r="A168" s="2">
        <v>44531</v>
      </c>
      <c r="B168" s="11">
        <v>54.3</v>
      </c>
    </row>
  </sheetData>
  <conditionalFormatting sqref="B2:B16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169"/>
  <sheetViews>
    <sheetView zoomScale="170" zoomScaleNormal="170" workbookViewId="0">
      <pane ySplit="1" topLeftCell="A139" activePane="bottomLeft" state="frozen"/>
      <selection pane="bottomLeft" activeCell="B1" sqref="B1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8</v>
      </c>
    </row>
    <row r="2" spans="1:2" x14ac:dyDescent="0.2">
      <c r="A2" s="6">
        <v>39478</v>
      </c>
      <c r="B2" s="7">
        <v>54.4</v>
      </c>
    </row>
    <row r="3" spans="1:2" x14ac:dyDescent="0.2">
      <c r="A3" s="2">
        <v>39479</v>
      </c>
      <c r="B3" s="11">
        <v>54.3</v>
      </c>
    </row>
    <row r="4" spans="1:2" x14ac:dyDescent="0.2">
      <c r="A4" s="2">
        <v>39508</v>
      </c>
      <c r="B4" s="11">
        <v>54.9</v>
      </c>
    </row>
    <row r="5" spans="1:2" x14ac:dyDescent="0.2">
      <c r="A5" s="2">
        <v>39539</v>
      </c>
      <c r="B5" s="11">
        <v>53.6</v>
      </c>
    </row>
    <row r="6" spans="1:2" x14ac:dyDescent="0.2">
      <c r="A6" s="2">
        <v>39569</v>
      </c>
      <c r="B6" s="11">
        <v>53.5</v>
      </c>
    </row>
    <row r="7" spans="1:2" x14ac:dyDescent="0.2">
      <c r="A7" s="2">
        <v>39600</v>
      </c>
      <c r="B7" s="11">
        <v>52.3</v>
      </c>
    </row>
    <row r="8" spans="1:2" x14ac:dyDescent="0.2">
      <c r="A8" s="2">
        <v>39630</v>
      </c>
      <c r="B8" s="11">
        <v>50.9</v>
      </c>
    </row>
    <row r="9" spans="1:2" x14ac:dyDescent="0.2">
      <c r="A9" s="2">
        <v>39661</v>
      </c>
      <c r="B9" s="11">
        <v>49.9</v>
      </c>
    </row>
    <row r="10" spans="1:2" x14ac:dyDescent="0.2">
      <c r="A10" s="2">
        <v>39692</v>
      </c>
      <c r="B10" s="11">
        <v>48.1</v>
      </c>
    </row>
    <row r="11" spans="1:2" x14ac:dyDescent="0.2">
      <c r="A11" s="2">
        <v>39722</v>
      </c>
      <c r="B11" s="11">
        <v>43.3</v>
      </c>
    </row>
    <row r="12" spans="1:2" x14ac:dyDescent="0.2">
      <c r="A12" s="2">
        <v>39753</v>
      </c>
      <c r="B12" s="11">
        <v>36.700000000000003</v>
      </c>
    </row>
    <row r="13" spans="1:2" x14ac:dyDescent="0.2">
      <c r="A13" s="2">
        <v>39783</v>
      </c>
      <c r="B13" s="11">
        <v>33.5</v>
      </c>
    </row>
    <row r="14" spans="1:2" x14ac:dyDescent="0.2">
      <c r="A14" s="2">
        <v>39814</v>
      </c>
      <c r="B14" s="11">
        <v>32</v>
      </c>
    </row>
    <row r="15" spans="1:2" x14ac:dyDescent="0.2">
      <c r="A15" s="2">
        <v>39845</v>
      </c>
      <c r="B15" s="11">
        <v>32.200000000000003</v>
      </c>
    </row>
    <row r="16" spans="1:2" x14ac:dyDescent="0.2">
      <c r="A16" s="2">
        <v>39873</v>
      </c>
      <c r="B16" s="11">
        <v>32.4</v>
      </c>
    </row>
    <row r="17" spans="1:2" x14ac:dyDescent="0.2">
      <c r="A17" s="2">
        <v>39904</v>
      </c>
      <c r="B17" s="11">
        <v>35</v>
      </c>
    </row>
    <row r="18" spans="1:2" x14ac:dyDescent="0.2">
      <c r="A18" s="2">
        <v>39934</v>
      </c>
      <c r="B18" s="11">
        <v>39.6</v>
      </c>
    </row>
    <row r="19" spans="1:2" x14ac:dyDescent="0.2">
      <c r="A19" s="2">
        <v>39965</v>
      </c>
      <c r="B19" s="11">
        <v>40.9</v>
      </c>
    </row>
    <row r="20" spans="1:2" x14ac:dyDescent="0.2">
      <c r="A20" s="2">
        <v>39995</v>
      </c>
      <c r="B20" s="11">
        <v>45.2</v>
      </c>
    </row>
    <row r="21" spans="1:2" x14ac:dyDescent="0.2">
      <c r="A21" s="2">
        <v>40026</v>
      </c>
      <c r="B21" s="11">
        <v>49</v>
      </c>
    </row>
    <row r="22" spans="1:2" x14ac:dyDescent="0.2">
      <c r="A22" s="2">
        <v>40057</v>
      </c>
      <c r="B22" s="11">
        <v>49.6</v>
      </c>
    </row>
    <row r="23" spans="1:2" x14ac:dyDescent="0.2">
      <c r="A23" s="2">
        <v>40087</v>
      </c>
      <c r="B23" s="11">
        <v>51.1</v>
      </c>
    </row>
    <row r="24" spans="1:2" x14ac:dyDescent="0.2">
      <c r="A24" s="2">
        <v>40118</v>
      </c>
      <c r="B24" s="11">
        <v>52.4</v>
      </c>
    </row>
    <row r="25" spans="1:2" x14ac:dyDescent="0.2">
      <c r="A25" s="2">
        <v>40148</v>
      </c>
      <c r="B25" s="11">
        <v>53.1</v>
      </c>
    </row>
    <row r="26" spans="1:2" x14ac:dyDescent="0.2">
      <c r="A26" s="2">
        <v>40179</v>
      </c>
      <c r="B26" s="11">
        <v>53.4</v>
      </c>
    </row>
    <row r="27" spans="1:2" x14ac:dyDescent="0.2">
      <c r="A27" s="2">
        <v>40210</v>
      </c>
      <c r="B27" s="11">
        <v>57.2</v>
      </c>
    </row>
    <row r="28" spans="1:2" x14ac:dyDescent="0.2">
      <c r="A28" s="2">
        <v>40238</v>
      </c>
      <c r="B28" s="11">
        <v>59.6</v>
      </c>
    </row>
    <row r="29" spans="1:2" x14ac:dyDescent="0.2">
      <c r="A29" s="2">
        <v>40269</v>
      </c>
      <c r="B29" s="11">
        <v>61.5</v>
      </c>
    </row>
    <row r="30" spans="1:2" x14ac:dyDescent="0.2">
      <c r="A30" s="2">
        <v>40299</v>
      </c>
      <c r="B30" s="11">
        <v>58.4</v>
      </c>
    </row>
    <row r="31" spans="1:2" x14ac:dyDescent="0.2">
      <c r="A31" s="2">
        <v>40330</v>
      </c>
      <c r="B31" s="11">
        <v>58.1</v>
      </c>
    </row>
    <row r="32" spans="1:2" x14ac:dyDescent="0.2">
      <c r="A32" s="2">
        <v>40360</v>
      </c>
      <c r="B32" s="11">
        <v>61.2</v>
      </c>
    </row>
    <row r="33" spans="1:2" x14ac:dyDescent="0.2">
      <c r="A33" s="2">
        <v>40391</v>
      </c>
      <c r="B33" s="11">
        <v>58.2</v>
      </c>
    </row>
    <row r="34" spans="1:2" x14ac:dyDescent="0.2">
      <c r="A34" s="2">
        <v>40422</v>
      </c>
      <c r="B34" s="11">
        <v>55.3</v>
      </c>
    </row>
    <row r="35" spans="1:2" x14ac:dyDescent="0.2">
      <c r="A35" s="2">
        <v>40452</v>
      </c>
      <c r="B35" s="11">
        <v>56.6</v>
      </c>
    </row>
    <row r="36" spans="1:2" x14ac:dyDescent="0.2">
      <c r="A36" s="2">
        <v>40483</v>
      </c>
      <c r="B36" s="11">
        <v>58.1</v>
      </c>
    </row>
    <row r="37" spans="1:2" x14ac:dyDescent="0.2">
      <c r="A37" s="2">
        <v>40513</v>
      </c>
      <c r="B37" s="11">
        <v>60.9</v>
      </c>
    </row>
    <row r="38" spans="1:2" x14ac:dyDescent="0.2">
      <c r="A38" s="2">
        <v>40544</v>
      </c>
      <c r="B38" s="11">
        <v>60.5</v>
      </c>
    </row>
    <row r="39" spans="1:2" x14ac:dyDescent="0.2">
      <c r="A39" s="2">
        <v>40575</v>
      </c>
      <c r="B39" s="11">
        <v>62.7</v>
      </c>
    </row>
    <row r="40" spans="1:2" x14ac:dyDescent="0.2">
      <c r="A40" s="2">
        <v>40603</v>
      </c>
      <c r="B40" s="11">
        <v>60.9</v>
      </c>
    </row>
    <row r="41" spans="1:2" x14ac:dyDescent="0.2">
      <c r="A41" s="2">
        <v>40634</v>
      </c>
      <c r="B41" s="11">
        <v>62</v>
      </c>
    </row>
    <row r="42" spans="1:2" x14ac:dyDescent="0.2">
      <c r="A42" s="2">
        <v>40664</v>
      </c>
      <c r="B42" s="11">
        <v>57.7</v>
      </c>
    </row>
    <row r="43" spans="1:2" x14ac:dyDescent="0.2">
      <c r="A43" s="2">
        <v>40695</v>
      </c>
      <c r="B43" s="11">
        <v>54.9</v>
      </c>
    </row>
    <row r="44" spans="1:2" x14ac:dyDescent="0.2">
      <c r="A44" s="2">
        <v>40725</v>
      </c>
      <c r="B44" s="11">
        <v>52</v>
      </c>
    </row>
    <row r="45" spans="1:2" x14ac:dyDescent="0.2">
      <c r="A45" s="2">
        <v>40756</v>
      </c>
      <c r="B45" s="11">
        <v>50.9</v>
      </c>
    </row>
    <row r="46" spans="1:2" x14ac:dyDescent="0.2">
      <c r="A46" s="2">
        <v>40787</v>
      </c>
      <c r="B46" s="11">
        <v>50.3</v>
      </c>
    </row>
    <row r="47" spans="1:2" x14ac:dyDescent="0.2">
      <c r="A47" s="2">
        <v>40817</v>
      </c>
      <c r="B47" s="11">
        <v>49.1</v>
      </c>
    </row>
    <row r="48" spans="1:2" x14ac:dyDescent="0.2">
      <c r="A48" s="2">
        <v>40848</v>
      </c>
      <c r="B48" s="11">
        <v>47.9</v>
      </c>
    </row>
    <row r="49" spans="1:2" x14ac:dyDescent="0.2">
      <c r="A49" s="2">
        <v>40878</v>
      </c>
      <c r="B49" s="11">
        <v>48.4</v>
      </c>
    </row>
    <row r="50" spans="1:2" x14ac:dyDescent="0.2">
      <c r="A50" s="2">
        <v>40909</v>
      </c>
      <c r="B50" s="11">
        <v>51</v>
      </c>
    </row>
    <row r="51" spans="1:2" x14ac:dyDescent="0.2">
      <c r="A51" s="2">
        <v>40940</v>
      </c>
      <c r="B51" s="11">
        <v>50.2</v>
      </c>
    </row>
    <row r="52" spans="1:2" x14ac:dyDescent="0.2">
      <c r="A52" s="2">
        <v>40969</v>
      </c>
      <c r="B52" s="11">
        <v>48.4</v>
      </c>
    </row>
    <row r="53" spans="1:2" x14ac:dyDescent="0.2">
      <c r="A53" s="2">
        <v>41000</v>
      </c>
      <c r="B53" s="11">
        <v>46.2</v>
      </c>
    </row>
    <row r="54" spans="1:2" x14ac:dyDescent="0.2">
      <c r="A54" s="2">
        <v>41030</v>
      </c>
      <c r="B54" s="11">
        <v>45.2</v>
      </c>
    </row>
    <row r="55" spans="1:2" x14ac:dyDescent="0.2">
      <c r="A55" s="2">
        <v>41061</v>
      </c>
      <c r="B55" s="11">
        <v>45</v>
      </c>
    </row>
    <row r="56" spans="1:2" x14ac:dyDescent="0.2">
      <c r="A56" s="2">
        <v>41091</v>
      </c>
      <c r="B56" s="11">
        <v>43</v>
      </c>
    </row>
    <row r="57" spans="1:2" x14ac:dyDescent="0.2">
      <c r="A57" s="2">
        <v>41122</v>
      </c>
      <c r="B57" s="11">
        <v>44.7</v>
      </c>
    </row>
    <row r="58" spans="1:2" x14ac:dyDescent="0.2">
      <c r="A58" s="2">
        <v>41153</v>
      </c>
      <c r="B58" s="11">
        <v>47.4</v>
      </c>
    </row>
    <row r="59" spans="1:2" x14ac:dyDescent="0.2">
      <c r="A59" s="2">
        <v>41183</v>
      </c>
      <c r="B59" s="11">
        <v>46</v>
      </c>
    </row>
    <row r="60" spans="1:2" x14ac:dyDescent="0.2">
      <c r="A60" s="2">
        <v>41214</v>
      </c>
      <c r="B60" s="11">
        <v>46.8</v>
      </c>
    </row>
    <row r="61" spans="1:2" x14ac:dyDescent="0.2">
      <c r="A61" s="2">
        <v>41244</v>
      </c>
      <c r="B61" s="11">
        <v>46</v>
      </c>
    </row>
    <row r="62" spans="1:2" x14ac:dyDescent="0.2">
      <c r="A62" s="2">
        <v>41275</v>
      </c>
      <c r="B62" s="11">
        <v>49.8</v>
      </c>
    </row>
    <row r="63" spans="1:2" x14ac:dyDescent="0.2">
      <c r="A63" s="2">
        <v>41306</v>
      </c>
      <c r="B63" s="11">
        <v>50.3</v>
      </c>
    </row>
    <row r="64" spans="1:2" x14ac:dyDescent="0.2">
      <c r="A64" s="2">
        <v>41334</v>
      </c>
      <c r="B64" s="11">
        <v>49</v>
      </c>
    </row>
    <row r="65" spans="1:2" x14ac:dyDescent="0.2">
      <c r="A65" s="2">
        <v>41365</v>
      </c>
      <c r="B65" s="11">
        <v>48.1</v>
      </c>
    </row>
    <row r="66" spans="1:2" x14ac:dyDescent="0.2">
      <c r="A66" s="2">
        <v>41395</v>
      </c>
      <c r="B66" s="11">
        <v>49.4</v>
      </c>
    </row>
    <row r="67" spans="1:2" x14ac:dyDescent="0.2">
      <c r="A67" s="2">
        <v>41426</v>
      </c>
      <c r="B67" s="11">
        <v>48.6</v>
      </c>
    </row>
    <row r="68" spans="1:2" x14ac:dyDescent="0.2">
      <c r="A68" s="2">
        <v>41456</v>
      </c>
      <c r="B68" s="11">
        <v>50.7</v>
      </c>
    </row>
    <row r="69" spans="1:2" x14ac:dyDescent="0.2">
      <c r="A69" s="2">
        <v>41487</v>
      </c>
      <c r="B69" s="11">
        <v>51.8</v>
      </c>
    </row>
    <row r="70" spans="1:2" x14ac:dyDescent="0.2">
      <c r="A70" s="2">
        <v>41518</v>
      </c>
      <c r="B70" s="11">
        <v>51.1</v>
      </c>
    </row>
    <row r="71" spans="1:2" x14ac:dyDescent="0.2">
      <c r="A71" s="2">
        <v>41548</v>
      </c>
      <c r="B71" s="11">
        <v>51.7</v>
      </c>
    </row>
    <row r="72" spans="1:2" x14ac:dyDescent="0.2">
      <c r="A72" s="2">
        <v>41579</v>
      </c>
      <c r="B72" s="11">
        <v>52.7</v>
      </c>
    </row>
    <row r="73" spans="1:2" x14ac:dyDescent="0.2">
      <c r="A73" s="2">
        <v>41609</v>
      </c>
      <c r="B73" s="11">
        <v>54.3</v>
      </c>
    </row>
    <row r="74" spans="1:2" x14ac:dyDescent="0.2">
      <c r="A74" s="2">
        <v>41640</v>
      </c>
      <c r="B74" s="11">
        <v>56.6</v>
      </c>
    </row>
    <row r="75" spans="1:2" x14ac:dyDescent="0.2">
      <c r="A75" s="2">
        <v>41671</v>
      </c>
      <c r="B75" s="11">
        <v>54.8</v>
      </c>
    </row>
    <row r="76" spans="1:2" x14ac:dyDescent="0.2">
      <c r="A76" s="2">
        <v>41699</v>
      </c>
      <c r="B76" s="11">
        <v>53.7</v>
      </c>
    </row>
    <row r="77" spans="1:2" x14ac:dyDescent="0.2">
      <c r="A77" s="2">
        <v>41730</v>
      </c>
      <c r="B77" s="11">
        <v>54.1</v>
      </c>
    </row>
    <row r="78" spans="1:2" x14ac:dyDescent="0.2">
      <c r="A78" s="2">
        <v>41760</v>
      </c>
      <c r="B78" s="11">
        <v>52.3</v>
      </c>
    </row>
    <row r="79" spans="1:2" x14ac:dyDescent="0.2">
      <c r="A79" s="2">
        <v>41791</v>
      </c>
      <c r="B79" s="11">
        <v>52</v>
      </c>
    </row>
    <row r="80" spans="1:2" x14ac:dyDescent="0.2">
      <c r="A80" s="2">
        <v>41821</v>
      </c>
      <c r="B80" s="11">
        <v>52.4</v>
      </c>
    </row>
    <row r="81" spans="1:2" x14ac:dyDescent="0.2">
      <c r="A81" s="2">
        <v>41852</v>
      </c>
      <c r="B81" s="11">
        <v>51.4</v>
      </c>
    </row>
    <row r="82" spans="1:2" x14ac:dyDescent="0.2">
      <c r="A82" s="2">
        <v>41883</v>
      </c>
      <c r="B82" s="11">
        <v>49.9</v>
      </c>
    </row>
    <row r="83" spans="1:2" x14ac:dyDescent="0.2">
      <c r="A83" s="2">
        <v>41913</v>
      </c>
      <c r="B83" s="11">
        <v>51.4</v>
      </c>
    </row>
    <row r="84" spans="1:2" x14ac:dyDescent="0.2">
      <c r="A84" s="2">
        <v>41944</v>
      </c>
      <c r="B84" s="11">
        <v>49.5</v>
      </c>
    </row>
    <row r="85" spans="1:2" x14ac:dyDescent="0.2">
      <c r="A85" s="2">
        <v>41974</v>
      </c>
      <c r="B85" s="11">
        <v>51.2</v>
      </c>
    </row>
    <row r="86" spans="1:2" x14ac:dyDescent="0.2">
      <c r="A86" s="2">
        <v>42005</v>
      </c>
      <c r="B86" s="11">
        <v>50.9</v>
      </c>
    </row>
    <row r="87" spans="1:2" x14ac:dyDescent="0.2">
      <c r="A87" s="2">
        <v>42036</v>
      </c>
      <c r="B87" s="11">
        <v>51.1</v>
      </c>
    </row>
    <row r="88" spans="1:2" x14ac:dyDescent="0.2">
      <c r="A88" s="2">
        <v>42064</v>
      </c>
      <c r="B88" s="11">
        <v>52.8</v>
      </c>
    </row>
    <row r="89" spans="1:2" x14ac:dyDescent="0.2">
      <c r="A89" s="2">
        <v>42095</v>
      </c>
      <c r="B89" s="11">
        <v>52.1</v>
      </c>
    </row>
    <row r="90" spans="1:2" x14ac:dyDescent="0.2">
      <c r="A90" s="2">
        <v>42125</v>
      </c>
      <c r="B90" s="11">
        <v>51.1</v>
      </c>
    </row>
    <row r="91" spans="1:2" x14ac:dyDescent="0.2">
      <c r="A91" s="2">
        <v>42156</v>
      </c>
      <c r="B91" s="11">
        <v>51.9</v>
      </c>
    </row>
    <row r="92" spans="1:2" x14ac:dyDescent="0.2">
      <c r="A92" s="2">
        <v>42186</v>
      </c>
      <c r="B92" s="11">
        <v>51.8</v>
      </c>
    </row>
    <row r="93" spans="1:2" x14ac:dyDescent="0.2">
      <c r="A93" s="2">
        <v>42217</v>
      </c>
      <c r="B93" s="11">
        <v>53.3</v>
      </c>
    </row>
    <row r="94" spans="1:2" x14ac:dyDescent="0.2">
      <c r="A94" s="2">
        <v>42248</v>
      </c>
      <c r="B94" s="11">
        <v>52.3</v>
      </c>
    </row>
    <row r="95" spans="1:2" x14ac:dyDescent="0.2">
      <c r="A95" s="2">
        <v>42278</v>
      </c>
      <c r="B95" s="11">
        <v>52.1</v>
      </c>
    </row>
    <row r="96" spans="1:2" x14ac:dyDescent="0.2">
      <c r="A96" s="2">
        <v>42309</v>
      </c>
      <c r="B96" s="11">
        <v>52.9</v>
      </c>
    </row>
    <row r="97" spans="1:2" x14ac:dyDescent="0.2">
      <c r="A97" s="2">
        <v>42339</v>
      </c>
      <c r="B97" s="11">
        <v>53.2</v>
      </c>
    </row>
    <row r="98" spans="1:2" x14ac:dyDescent="0.2">
      <c r="A98" s="2">
        <v>42370</v>
      </c>
      <c r="B98" s="11">
        <v>52.3</v>
      </c>
    </row>
    <row r="99" spans="1:2" x14ac:dyDescent="0.2">
      <c r="A99" s="2">
        <v>42401</v>
      </c>
      <c r="B99" s="11">
        <v>50.5</v>
      </c>
    </row>
    <row r="100" spans="1:2" x14ac:dyDescent="0.2">
      <c r="A100" s="2">
        <v>42430</v>
      </c>
      <c r="B100" s="11">
        <v>50.7</v>
      </c>
    </row>
    <row r="101" spans="1:2" x14ac:dyDescent="0.2">
      <c r="A101" s="2">
        <v>42461</v>
      </c>
      <c r="B101" s="11">
        <v>51.8</v>
      </c>
    </row>
    <row r="102" spans="1:2" x14ac:dyDescent="0.2">
      <c r="A102" s="2">
        <v>42491</v>
      </c>
      <c r="B102" s="11">
        <v>52.1</v>
      </c>
    </row>
    <row r="103" spans="1:2" x14ac:dyDescent="0.2">
      <c r="A103" s="2">
        <v>42522</v>
      </c>
      <c r="B103" s="11">
        <v>54.5</v>
      </c>
    </row>
    <row r="104" spans="1:2" x14ac:dyDescent="0.2">
      <c r="A104" s="2">
        <v>42552</v>
      </c>
      <c r="B104" s="11">
        <v>53.8</v>
      </c>
    </row>
    <row r="105" spans="1:2" x14ac:dyDescent="0.2">
      <c r="A105" s="2">
        <v>42583</v>
      </c>
      <c r="B105" s="11">
        <v>53.6</v>
      </c>
    </row>
    <row r="106" spans="1:2" x14ac:dyDescent="0.2">
      <c r="A106" s="2">
        <v>42614</v>
      </c>
      <c r="B106" s="11">
        <v>54.3</v>
      </c>
    </row>
    <row r="107" spans="1:2" x14ac:dyDescent="0.2">
      <c r="A107" s="2">
        <v>42644</v>
      </c>
      <c r="B107" s="11">
        <v>55</v>
      </c>
    </row>
    <row r="108" spans="1:2" x14ac:dyDescent="0.2">
      <c r="A108" s="2">
        <v>42675</v>
      </c>
      <c r="B108" s="11">
        <v>54.3</v>
      </c>
    </row>
    <row r="109" spans="1:2" x14ac:dyDescent="0.2">
      <c r="A109" s="2">
        <v>42705</v>
      </c>
      <c r="B109" s="11">
        <v>55.6</v>
      </c>
    </row>
    <row r="110" spans="1:2" x14ac:dyDescent="0.2">
      <c r="A110" s="2">
        <v>42736</v>
      </c>
      <c r="B110" s="11">
        <v>56.4</v>
      </c>
    </row>
    <row r="111" spans="1:2" x14ac:dyDescent="0.2">
      <c r="A111" s="2">
        <v>42767</v>
      </c>
      <c r="B111" s="11">
        <v>56.8</v>
      </c>
    </row>
    <row r="112" spans="1:2" x14ac:dyDescent="0.2">
      <c r="A112" s="2">
        <v>42795</v>
      </c>
      <c r="B112" s="11">
        <v>58.3</v>
      </c>
    </row>
    <row r="113" spans="1:2" x14ac:dyDescent="0.2">
      <c r="A113" s="2">
        <v>42826</v>
      </c>
      <c r="B113" s="11">
        <v>58.2</v>
      </c>
    </row>
    <row r="114" spans="1:2" x14ac:dyDescent="0.2">
      <c r="A114" s="2">
        <v>42856</v>
      </c>
      <c r="B114" s="11">
        <v>59.5</v>
      </c>
    </row>
    <row r="115" spans="1:2" x14ac:dyDescent="0.2">
      <c r="A115" s="2">
        <v>42887</v>
      </c>
      <c r="B115" s="11">
        <v>59.6</v>
      </c>
    </row>
    <row r="116" spans="1:2" x14ac:dyDescent="0.2">
      <c r="A116" s="2">
        <v>42917</v>
      </c>
      <c r="B116" s="11">
        <v>58.1</v>
      </c>
    </row>
    <row r="117" spans="1:2" x14ac:dyDescent="0.2">
      <c r="A117" s="2">
        <v>42948</v>
      </c>
      <c r="B117" s="11">
        <v>59.3</v>
      </c>
    </row>
    <row r="118" spans="1:2" x14ac:dyDescent="0.2">
      <c r="A118" s="2">
        <v>42979</v>
      </c>
      <c r="B118" s="11">
        <v>60.6</v>
      </c>
    </row>
    <row r="119" spans="1:2" x14ac:dyDescent="0.2">
      <c r="A119" s="2">
        <v>43009</v>
      </c>
      <c r="B119" s="11">
        <v>60.6</v>
      </c>
    </row>
    <row r="120" spans="1:2" x14ac:dyDescent="0.2">
      <c r="A120" s="2">
        <v>43040</v>
      </c>
      <c r="B120" s="11">
        <v>62.5</v>
      </c>
    </row>
    <row r="121" spans="1:2" x14ac:dyDescent="0.2">
      <c r="A121" s="2">
        <v>43070</v>
      </c>
      <c r="B121" s="11">
        <v>63.3</v>
      </c>
    </row>
    <row r="122" spans="1:2" x14ac:dyDescent="0.2">
      <c r="A122" s="2">
        <v>43101</v>
      </c>
      <c r="B122" s="11">
        <v>61.1</v>
      </c>
    </row>
    <row r="123" spans="1:2" x14ac:dyDescent="0.2">
      <c r="A123" s="2">
        <v>43132</v>
      </c>
      <c r="B123" s="11">
        <v>60.6</v>
      </c>
    </row>
    <row r="124" spans="1:2" x14ac:dyDescent="0.2">
      <c r="A124" s="2">
        <v>43160</v>
      </c>
      <c r="B124" s="11">
        <v>58.4</v>
      </c>
    </row>
    <row r="125" spans="1:2" x14ac:dyDescent="0.2">
      <c r="A125" s="2">
        <v>43191</v>
      </c>
      <c r="B125" s="11">
        <v>58.1</v>
      </c>
    </row>
    <row r="126" spans="1:2" x14ac:dyDescent="0.2">
      <c r="A126" s="2">
        <v>43221</v>
      </c>
      <c r="B126" s="11">
        <v>56.9</v>
      </c>
    </row>
    <row r="127" spans="1:2" x14ac:dyDescent="0.2">
      <c r="A127" s="2">
        <v>43252</v>
      </c>
      <c r="B127" s="11">
        <v>55.9</v>
      </c>
    </row>
    <row r="128" spans="1:2" x14ac:dyDescent="0.2">
      <c r="A128" s="2">
        <v>43282</v>
      </c>
      <c r="B128" s="11">
        <v>56.9</v>
      </c>
    </row>
    <row r="129" spans="1:2" x14ac:dyDescent="0.2">
      <c r="A129" s="2">
        <v>43313</v>
      </c>
      <c r="B129" s="11">
        <v>55.9</v>
      </c>
    </row>
    <row r="130" spans="1:2" x14ac:dyDescent="0.2">
      <c r="A130" s="2">
        <v>43344</v>
      </c>
      <c r="B130" s="11">
        <v>53.7</v>
      </c>
    </row>
    <row r="131" spans="1:2" x14ac:dyDescent="0.2">
      <c r="A131" s="2">
        <v>43374</v>
      </c>
      <c r="B131" s="11">
        <v>52.2</v>
      </c>
    </row>
    <row r="132" spans="1:2" x14ac:dyDescent="0.2">
      <c r="A132" s="2">
        <v>43405</v>
      </c>
      <c r="B132" s="11">
        <v>51.8</v>
      </c>
    </row>
    <row r="133" spans="1:2" x14ac:dyDescent="0.2">
      <c r="A133" s="2">
        <v>43435</v>
      </c>
      <c r="B133" s="11">
        <v>51.5</v>
      </c>
    </row>
    <row r="134" spans="1:2" x14ac:dyDescent="0.2">
      <c r="A134" s="2">
        <v>43466</v>
      </c>
      <c r="B134" s="11">
        <v>49.7</v>
      </c>
    </row>
    <row r="135" spans="1:2" x14ac:dyDescent="0.2">
      <c r="A135" s="2">
        <v>43497</v>
      </c>
      <c r="B135" s="11">
        <v>47.6</v>
      </c>
    </row>
    <row r="136" spans="1:2" x14ac:dyDescent="0.2">
      <c r="A136" s="2">
        <v>43525</v>
      </c>
      <c r="B136" s="11">
        <v>44.1</v>
      </c>
    </row>
    <row r="137" spans="1:2" x14ac:dyDescent="0.2">
      <c r="A137" s="2">
        <v>43556</v>
      </c>
      <c r="B137" s="11">
        <v>44.4</v>
      </c>
    </row>
    <row r="138" spans="1:2" x14ac:dyDescent="0.2">
      <c r="A138" s="2">
        <v>43586</v>
      </c>
      <c r="B138" s="11">
        <v>44.3</v>
      </c>
    </row>
    <row r="139" spans="1:2" x14ac:dyDescent="0.2">
      <c r="A139" s="2">
        <v>43617</v>
      </c>
      <c r="B139" s="11">
        <v>45</v>
      </c>
    </row>
    <row r="140" spans="1:2" x14ac:dyDescent="0.2">
      <c r="A140" s="2">
        <v>43647</v>
      </c>
      <c r="B140" s="11">
        <v>43.2</v>
      </c>
    </row>
    <row r="141" spans="1:2" x14ac:dyDescent="0.2">
      <c r="A141" s="2">
        <v>43678</v>
      </c>
      <c r="B141" s="11">
        <v>43.5</v>
      </c>
    </row>
    <row r="142" spans="1:2" x14ac:dyDescent="0.2">
      <c r="A142" s="2">
        <v>43709</v>
      </c>
      <c r="B142" s="11">
        <v>41.7</v>
      </c>
    </row>
    <row r="143" spans="1:2" x14ac:dyDescent="0.2">
      <c r="A143" s="2">
        <v>43739</v>
      </c>
      <c r="B143" s="11">
        <v>42.1</v>
      </c>
    </row>
    <row r="144" spans="1:2" x14ac:dyDescent="0.2">
      <c r="A144" s="2">
        <v>43770</v>
      </c>
      <c r="B144" s="11">
        <v>44.1</v>
      </c>
    </row>
    <row r="145" spans="1:2" x14ac:dyDescent="0.2">
      <c r="A145" s="2">
        <v>43800</v>
      </c>
      <c r="B145" s="11">
        <v>43.7</v>
      </c>
    </row>
    <row r="146" spans="1:2" x14ac:dyDescent="0.2">
      <c r="A146" s="2">
        <v>43831</v>
      </c>
      <c r="B146" s="11">
        <v>45.3</v>
      </c>
    </row>
    <row r="147" spans="1:2" x14ac:dyDescent="0.2">
      <c r="A147" s="2">
        <v>43862</v>
      </c>
      <c r="B147" s="11">
        <v>48</v>
      </c>
    </row>
    <row r="148" spans="1:2" x14ac:dyDescent="0.2">
      <c r="A148" s="2">
        <v>43891</v>
      </c>
      <c r="B148" s="11">
        <v>45.4</v>
      </c>
    </row>
    <row r="149" spans="1:2" x14ac:dyDescent="0.2">
      <c r="A149" s="2">
        <v>43922</v>
      </c>
      <c r="B149" s="11">
        <v>34.5</v>
      </c>
    </row>
    <row r="150" spans="1:2" x14ac:dyDescent="0.2">
      <c r="A150" s="2">
        <v>43952</v>
      </c>
      <c r="B150" s="11">
        <v>36.6</v>
      </c>
    </row>
    <row r="151" spans="1:2" x14ac:dyDescent="0.2">
      <c r="A151" s="2">
        <v>43983</v>
      </c>
      <c r="B151" s="11">
        <v>45.2</v>
      </c>
    </row>
    <row r="152" spans="1:2" x14ac:dyDescent="0.2">
      <c r="A152" s="2">
        <v>44013</v>
      </c>
      <c r="B152" s="11">
        <v>51</v>
      </c>
    </row>
    <row r="153" spans="1:2" x14ac:dyDescent="0.2">
      <c r="A153" s="2">
        <v>44044</v>
      </c>
      <c r="B153" s="11">
        <v>52.2</v>
      </c>
    </row>
    <row r="154" spans="1:2" x14ac:dyDescent="0.2">
      <c r="A154" s="2">
        <v>44075</v>
      </c>
      <c r="B154" s="11">
        <v>56.4</v>
      </c>
    </row>
    <row r="155" spans="1:2" x14ac:dyDescent="0.2">
      <c r="A155" s="2">
        <v>44105</v>
      </c>
      <c r="B155" s="11">
        <v>58.2</v>
      </c>
    </row>
    <row r="156" spans="1:2" x14ac:dyDescent="0.2">
      <c r="A156" s="2">
        <v>44136</v>
      </c>
      <c r="B156" s="11">
        <v>57.8</v>
      </c>
    </row>
    <row r="157" spans="1:2" x14ac:dyDescent="0.2">
      <c r="A157" s="2">
        <v>44166</v>
      </c>
      <c r="B157" s="11">
        <v>58.3</v>
      </c>
    </row>
    <row r="158" spans="1:2" x14ac:dyDescent="0.2">
      <c r="A158" s="2">
        <v>44197</v>
      </c>
      <c r="B158" s="11">
        <v>57.1</v>
      </c>
    </row>
    <row r="159" spans="1:2" x14ac:dyDescent="0.2">
      <c r="A159" s="2">
        <v>44228</v>
      </c>
      <c r="B159" s="11">
        <v>60.7</v>
      </c>
    </row>
    <row r="160" spans="1:2" x14ac:dyDescent="0.2">
      <c r="A160" s="2">
        <v>44256</v>
      </c>
      <c r="B160" s="11">
        <v>66.599999999999994</v>
      </c>
    </row>
    <row r="161" spans="1:2" x14ac:dyDescent="0.2">
      <c r="A161" s="2">
        <v>44287</v>
      </c>
      <c r="B161" s="11">
        <v>66.2</v>
      </c>
    </row>
    <row r="162" spans="1:2" x14ac:dyDescent="0.2">
      <c r="A162" s="2">
        <v>44317</v>
      </c>
      <c r="B162" s="11">
        <v>64.400000000000006</v>
      </c>
    </row>
    <row r="163" spans="1:2" x14ac:dyDescent="0.2">
      <c r="A163" s="2">
        <v>44348</v>
      </c>
      <c r="B163" s="11">
        <v>65.099999999999994</v>
      </c>
    </row>
    <row r="164" spans="1:2" x14ac:dyDescent="0.2">
      <c r="A164" s="2">
        <v>44378</v>
      </c>
      <c r="B164" s="11">
        <v>65.900000000000006</v>
      </c>
    </row>
    <row r="165" spans="1:2" x14ac:dyDescent="0.2">
      <c r="A165" s="2">
        <v>44409</v>
      </c>
      <c r="B165" s="11">
        <v>62.6</v>
      </c>
    </row>
    <row r="166" spans="1:2" x14ac:dyDescent="0.2">
      <c r="A166" s="2">
        <v>44440</v>
      </c>
      <c r="B166" s="11">
        <v>58.4</v>
      </c>
    </row>
    <row r="167" spans="1:2" x14ac:dyDescent="0.2">
      <c r="A167" s="2">
        <v>44470</v>
      </c>
      <c r="B167" s="11">
        <v>57.8</v>
      </c>
    </row>
    <row r="168" spans="1:2" x14ac:dyDescent="0.2">
      <c r="A168" s="2">
        <v>44501</v>
      </c>
      <c r="B168" s="11">
        <v>57.4</v>
      </c>
    </row>
    <row r="169" spans="1:2" x14ac:dyDescent="0.2">
      <c r="A169" s="2">
        <v>44531</v>
      </c>
      <c r="B169" s="11">
        <v>57.4</v>
      </c>
    </row>
  </sheetData>
  <conditionalFormatting sqref="B2:B16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162"/>
  <sheetViews>
    <sheetView zoomScale="160" zoomScaleNormal="160" workbookViewId="0">
      <pane ySplit="1" topLeftCell="A110" activePane="bottomLeft" state="frozen"/>
      <selection pane="bottomLeft" activeCell="N122" sqref="N122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7</v>
      </c>
    </row>
    <row r="2" spans="1:2" x14ac:dyDescent="0.2">
      <c r="A2" s="6">
        <v>39661</v>
      </c>
      <c r="B2" s="7">
        <v>45.1</v>
      </c>
    </row>
    <row r="3" spans="1:2" x14ac:dyDescent="0.2">
      <c r="A3" s="2">
        <v>39692</v>
      </c>
      <c r="B3" s="11">
        <v>43.6</v>
      </c>
    </row>
    <row r="4" spans="1:2" x14ac:dyDescent="0.2">
      <c r="A4" s="2">
        <v>39722</v>
      </c>
      <c r="B4" s="11">
        <v>40.799999999999997</v>
      </c>
    </row>
    <row r="5" spans="1:2" x14ac:dyDescent="0.2">
      <c r="A5" s="2">
        <v>39753</v>
      </c>
      <c r="B5" s="11">
        <v>37.9</v>
      </c>
    </row>
    <row r="6" spans="1:2" x14ac:dyDescent="0.2">
      <c r="A6" s="2">
        <v>39783</v>
      </c>
      <c r="B6" s="11">
        <v>35.9</v>
      </c>
    </row>
    <row r="7" spans="1:2" x14ac:dyDescent="0.2">
      <c r="A7" s="2">
        <v>39814</v>
      </c>
      <c r="B7" s="11">
        <v>38.1</v>
      </c>
    </row>
    <row r="8" spans="1:2" x14ac:dyDescent="0.2">
      <c r="A8" s="2">
        <v>39845</v>
      </c>
      <c r="B8" s="11">
        <v>32.299999999999997</v>
      </c>
    </row>
    <row r="9" spans="1:2" x14ac:dyDescent="0.2">
      <c r="A9" s="2">
        <v>39873</v>
      </c>
      <c r="B9" s="11">
        <v>36.299999999999997</v>
      </c>
    </row>
    <row r="10" spans="1:2" x14ac:dyDescent="0.2">
      <c r="A10" s="2">
        <v>39904</v>
      </c>
      <c r="B10" s="11">
        <v>40</v>
      </c>
    </row>
    <row r="11" spans="1:2" x14ac:dyDescent="0.2">
      <c r="A11" s="2">
        <v>39934</v>
      </c>
      <c r="B11" s="11">
        <v>43.1</v>
      </c>
    </row>
    <row r="12" spans="1:2" x14ac:dyDescent="0.2">
      <c r="A12" s="2">
        <v>39965</v>
      </c>
      <c r="B12" s="11">
        <v>45.9</v>
      </c>
    </row>
    <row r="13" spans="1:2" x14ac:dyDescent="0.2">
      <c r="A13" s="2">
        <v>39995</v>
      </c>
      <c r="B13" s="11">
        <v>50.2</v>
      </c>
    </row>
    <row r="14" spans="1:2" x14ac:dyDescent="0.2">
      <c r="A14" s="2">
        <v>40026</v>
      </c>
      <c r="B14" s="11">
        <v>52.5</v>
      </c>
    </row>
    <row r="15" spans="1:2" x14ac:dyDescent="0.2">
      <c r="A15" s="2">
        <v>40057</v>
      </c>
      <c r="B15" s="11">
        <v>53</v>
      </c>
    </row>
    <row r="16" spans="1:2" x14ac:dyDescent="0.2">
      <c r="A16" s="2">
        <v>40087</v>
      </c>
      <c r="B16" s="11">
        <v>54.2</v>
      </c>
    </row>
    <row r="17" spans="1:2" x14ac:dyDescent="0.2">
      <c r="A17" s="2">
        <v>40118</v>
      </c>
      <c r="B17" s="11">
        <v>54.4</v>
      </c>
    </row>
    <row r="18" spans="1:2" x14ac:dyDescent="0.2">
      <c r="A18" s="2">
        <v>40148</v>
      </c>
      <c r="B18" s="11">
        <v>54.7</v>
      </c>
    </row>
    <row r="19" spans="1:2" x14ac:dyDescent="0.2">
      <c r="A19" s="2">
        <v>40179</v>
      </c>
      <c r="B19" s="11">
        <v>54.6</v>
      </c>
    </row>
    <row r="20" spans="1:2" x14ac:dyDescent="0.2">
      <c r="A20" s="2">
        <v>40210</v>
      </c>
      <c r="B20" s="11">
        <v>56.3</v>
      </c>
    </row>
    <row r="21" spans="1:2" x14ac:dyDescent="0.2">
      <c r="A21" s="2">
        <v>40238</v>
      </c>
      <c r="B21" s="11">
        <v>56.7</v>
      </c>
    </row>
    <row r="22" spans="1:2" x14ac:dyDescent="0.2">
      <c r="A22" s="2">
        <v>40269</v>
      </c>
      <c r="B22" s="11">
        <v>56.6</v>
      </c>
    </row>
    <row r="23" spans="1:2" x14ac:dyDescent="0.2">
      <c r="A23" s="2">
        <v>40299</v>
      </c>
      <c r="B23" s="11">
        <v>55.8</v>
      </c>
    </row>
    <row r="24" spans="1:2" x14ac:dyDescent="0.2">
      <c r="A24" s="2">
        <v>40330</v>
      </c>
      <c r="B24" s="11">
        <v>53.7</v>
      </c>
    </row>
    <row r="25" spans="1:2" x14ac:dyDescent="0.2">
      <c r="A25" s="2">
        <v>40360</v>
      </c>
      <c r="B25" s="11">
        <v>54.7</v>
      </c>
    </row>
    <row r="26" spans="1:2" x14ac:dyDescent="0.2">
      <c r="A26" s="2">
        <v>40391</v>
      </c>
      <c r="B26" s="11">
        <v>55.4</v>
      </c>
    </row>
    <row r="27" spans="1:2" x14ac:dyDescent="0.2">
      <c r="A27" s="2">
        <v>40422</v>
      </c>
      <c r="B27" s="11">
        <v>55.2</v>
      </c>
    </row>
    <row r="28" spans="1:2" x14ac:dyDescent="0.2">
      <c r="A28" s="2">
        <v>40452</v>
      </c>
      <c r="B28" s="11">
        <v>57.5</v>
      </c>
    </row>
    <row r="29" spans="1:2" x14ac:dyDescent="0.2">
      <c r="A29" s="2">
        <v>40483</v>
      </c>
      <c r="B29" s="11">
        <v>56.3</v>
      </c>
    </row>
    <row r="30" spans="1:2" x14ac:dyDescent="0.2">
      <c r="A30" s="2">
        <v>40513</v>
      </c>
      <c r="B30" s="11">
        <v>54.3</v>
      </c>
    </row>
    <row r="31" spans="1:2" x14ac:dyDescent="0.2">
      <c r="A31" s="2">
        <v>40544</v>
      </c>
      <c r="B31" s="11">
        <v>54.9</v>
      </c>
    </row>
    <row r="32" spans="1:2" x14ac:dyDescent="0.2">
      <c r="A32" s="2">
        <v>40575</v>
      </c>
      <c r="B32" s="11">
        <v>56.6</v>
      </c>
    </row>
    <row r="33" spans="1:2" x14ac:dyDescent="0.2">
      <c r="A33" s="2">
        <v>40603</v>
      </c>
      <c r="B33" s="11">
        <v>56.9</v>
      </c>
    </row>
    <row r="34" spans="1:2" x14ac:dyDescent="0.2">
      <c r="A34" s="2">
        <v>40634</v>
      </c>
      <c r="B34" s="11">
        <v>57.5</v>
      </c>
    </row>
    <row r="35" spans="1:2" x14ac:dyDescent="0.2">
      <c r="A35" s="2">
        <v>40664</v>
      </c>
      <c r="B35" s="11">
        <v>54.9</v>
      </c>
    </row>
    <row r="36" spans="1:2" x14ac:dyDescent="0.2">
      <c r="A36" s="2">
        <v>40695</v>
      </c>
      <c r="B36" s="11">
        <v>50.1</v>
      </c>
    </row>
    <row r="37" spans="1:2" x14ac:dyDescent="0.2">
      <c r="A37" s="2">
        <v>40725</v>
      </c>
      <c r="B37" s="11">
        <v>50.5</v>
      </c>
    </row>
    <row r="38" spans="1:2" x14ac:dyDescent="0.2">
      <c r="A38" s="2">
        <v>40756</v>
      </c>
      <c r="B38" s="11">
        <v>49.1</v>
      </c>
    </row>
    <row r="39" spans="1:2" x14ac:dyDescent="0.2">
      <c r="A39" s="2">
        <v>40787</v>
      </c>
      <c r="B39" s="11">
        <v>48.2</v>
      </c>
    </row>
    <row r="40" spans="1:2" x14ac:dyDescent="0.2">
      <c r="A40" s="2">
        <v>40817</v>
      </c>
      <c r="B40" s="11">
        <v>48.5</v>
      </c>
    </row>
    <row r="41" spans="1:2" x14ac:dyDescent="0.2">
      <c r="A41" s="2">
        <v>40848</v>
      </c>
      <c r="B41" s="11">
        <v>47.3</v>
      </c>
    </row>
    <row r="42" spans="1:2" x14ac:dyDescent="0.2">
      <c r="A42" s="2">
        <v>40878</v>
      </c>
      <c r="B42" s="11">
        <v>48.9</v>
      </c>
    </row>
    <row r="43" spans="1:2" x14ac:dyDescent="0.2">
      <c r="A43" s="2">
        <v>40909</v>
      </c>
      <c r="B43" s="11">
        <v>48.5</v>
      </c>
    </row>
    <row r="44" spans="1:2" x14ac:dyDescent="0.2">
      <c r="A44" s="2">
        <v>40940</v>
      </c>
      <c r="B44" s="11">
        <v>50</v>
      </c>
    </row>
    <row r="45" spans="1:2" x14ac:dyDescent="0.2">
      <c r="A45" s="2">
        <v>40969</v>
      </c>
      <c r="B45" s="11">
        <v>46.7</v>
      </c>
    </row>
    <row r="46" spans="1:2" x14ac:dyDescent="0.2">
      <c r="A46" s="2">
        <v>41000</v>
      </c>
      <c r="B46" s="11">
        <v>46.9</v>
      </c>
    </row>
    <row r="47" spans="1:2" x14ac:dyDescent="0.2">
      <c r="A47" s="2">
        <v>41030</v>
      </c>
      <c r="B47" s="11">
        <v>44.7</v>
      </c>
    </row>
    <row r="48" spans="1:2" x14ac:dyDescent="0.2">
      <c r="A48" s="2">
        <v>41061</v>
      </c>
      <c r="B48" s="11">
        <v>45.2</v>
      </c>
    </row>
    <row r="49" spans="1:2" x14ac:dyDescent="0.2">
      <c r="A49" s="2">
        <v>41091</v>
      </c>
      <c r="B49" s="11">
        <v>43.4</v>
      </c>
    </row>
    <row r="50" spans="1:2" x14ac:dyDescent="0.2">
      <c r="A50" s="2">
        <v>41122</v>
      </c>
      <c r="B50" s="11">
        <v>46</v>
      </c>
    </row>
    <row r="51" spans="1:2" x14ac:dyDescent="0.2">
      <c r="A51" s="2">
        <v>41153</v>
      </c>
      <c r="B51" s="11">
        <v>42.7</v>
      </c>
    </row>
    <row r="52" spans="1:2" x14ac:dyDescent="0.2">
      <c r="A52" s="2">
        <v>41183</v>
      </c>
      <c r="B52" s="11">
        <v>43.7</v>
      </c>
    </row>
    <row r="53" spans="1:2" x14ac:dyDescent="0.2">
      <c r="A53" s="2">
        <v>41214</v>
      </c>
      <c r="B53" s="11">
        <v>44.5</v>
      </c>
    </row>
    <row r="54" spans="1:2" x14ac:dyDescent="0.2">
      <c r="A54" s="2">
        <v>41244</v>
      </c>
      <c r="B54" s="11">
        <v>44.6</v>
      </c>
    </row>
    <row r="55" spans="1:2" x14ac:dyDescent="0.2">
      <c r="A55" s="2">
        <v>41275</v>
      </c>
      <c r="B55" s="11">
        <v>42.9</v>
      </c>
    </row>
    <row r="56" spans="1:2" x14ac:dyDescent="0.2">
      <c r="A56" s="2">
        <v>41306</v>
      </c>
      <c r="B56" s="11">
        <v>43.9</v>
      </c>
    </row>
    <row r="57" spans="1:2" x14ac:dyDescent="0.2">
      <c r="A57" s="2">
        <v>41334</v>
      </c>
      <c r="B57" s="11">
        <v>44</v>
      </c>
    </row>
    <row r="58" spans="1:2" x14ac:dyDescent="0.2">
      <c r="A58" s="2">
        <v>41365</v>
      </c>
      <c r="B58" s="11">
        <v>44.4</v>
      </c>
    </row>
    <row r="59" spans="1:2" x14ac:dyDescent="0.2">
      <c r="A59" s="2">
        <v>41395</v>
      </c>
      <c r="B59" s="11">
        <v>46.4</v>
      </c>
    </row>
    <row r="60" spans="1:2" x14ac:dyDescent="0.2">
      <c r="A60" s="2">
        <v>41426</v>
      </c>
      <c r="B60" s="11">
        <v>48.4</v>
      </c>
    </row>
    <row r="61" spans="1:2" x14ac:dyDescent="0.2">
      <c r="A61" s="2">
        <v>41456</v>
      </c>
      <c r="B61" s="11">
        <v>49.7</v>
      </c>
    </row>
    <row r="62" spans="1:2" x14ac:dyDescent="0.2">
      <c r="A62" s="2">
        <v>41487</v>
      </c>
      <c r="B62" s="11">
        <v>49.7</v>
      </c>
    </row>
    <row r="63" spans="1:2" x14ac:dyDescent="0.2">
      <c r="A63" s="2">
        <v>41518</v>
      </c>
      <c r="B63" s="11">
        <v>49.8</v>
      </c>
    </row>
    <row r="64" spans="1:2" x14ac:dyDescent="0.2">
      <c r="A64" s="2">
        <v>41548</v>
      </c>
      <c r="B64" s="11">
        <v>49.1</v>
      </c>
    </row>
    <row r="65" spans="1:2" x14ac:dyDescent="0.2">
      <c r="A65" s="2">
        <v>41579</v>
      </c>
      <c r="B65" s="11">
        <v>48.4</v>
      </c>
    </row>
    <row r="66" spans="1:2" x14ac:dyDescent="0.2">
      <c r="A66" s="2">
        <v>41609</v>
      </c>
      <c r="B66" s="11">
        <v>47</v>
      </c>
    </row>
    <row r="67" spans="1:2" x14ac:dyDescent="0.2">
      <c r="A67" s="2">
        <v>41640</v>
      </c>
      <c r="B67" s="11">
        <v>49.3</v>
      </c>
    </row>
    <row r="68" spans="1:2" x14ac:dyDescent="0.2">
      <c r="A68" s="2">
        <v>41671</v>
      </c>
      <c r="B68" s="11">
        <v>49.7</v>
      </c>
    </row>
    <row r="69" spans="1:2" x14ac:dyDescent="0.2">
      <c r="A69" s="2">
        <v>41699</v>
      </c>
      <c r="B69" s="11">
        <v>52.1</v>
      </c>
    </row>
    <row r="70" spans="1:2" x14ac:dyDescent="0.2">
      <c r="A70" s="2">
        <v>41730</v>
      </c>
      <c r="B70" s="11">
        <v>51.2</v>
      </c>
    </row>
    <row r="71" spans="1:2" x14ac:dyDescent="0.2">
      <c r="A71" s="2">
        <v>41760</v>
      </c>
      <c r="B71" s="11">
        <v>49.6</v>
      </c>
    </row>
    <row r="72" spans="1:2" x14ac:dyDescent="0.2">
      <c r="A72" s="2">
        <v>41791</v>
      </c>
      <c r="B72" s="11">
        <v>48.2</v>
      </c>
    </row>
    <row r="73" spans="1:2" x14ac:dyDescent="0.2">
      <c r="A73" s="2">
        <v>41821</v>
      </c>
      <c r="B73" s="11">
        <v>47.8</v>
      </c>
    </row>
    <row r="74" spans="1:2" x14ac:dyDescent="0.2">
      <c r="A74" s="2">
        <v>41852</v>
      </c>
      <c r="B74" s="11">
        <v>46.9</v>
      </c>
    </row>
    <row r="75" spans="1:2" x14ac:dyDescent="0.2">
      <c r="A75" s="2">
        <v>41883</v>
      </c>
      <c r="B75" s="11">
        <v>48.8</v>
      </c>
    </row>
    <row r="76" spans="1:2" x14ac:dyDescent="0.2">
      <c r="A76" s="2">
        <v>41913</v>
      </c>
      <c r="B76" s="11">
        <v>48.5</v>
      </c>
    </row>
    <row r="77" spans="1:2" x14ac:dyDescent="0.2">
      <c r="A77" s="2">
        <v>41944</v>
      </c>
      <c r="B77" s="11">
        <v>48.4</v>
      </c>
    </row>
    <row r="78" spans="1:2" x14ac:dyDescent="0.2">
      <c r="A78" s="2">
        <v>41974</v>
      </c>
      <c r="B78" s="11">
        <v>47.5</v>
      </c>
    </row>
    <row r="79" spans="1:2" x14ac:dyDescent="0.2">
      <c r="A79" s="2">
        <v>42005</v>
      </c>
      <c r="B79" s="11">
        <v>49.2</v>
      </c>
    </row>
    <row r="80" spans="1:2" x14ac:dyDescent="0.2">
      <c r="A80" s="2">
        <v>42036</v>
      </c>
      <c r="B80" s="11">
        <v>47.6</v>
      </c>
    </row>
    <row r="81" spans="1:2" x14ac:dyDescent="0.2">
      <c r="A81" s="2">
        <v>42064</v>
      </c>
      <c r="B81" s="11">
        <v>48.8</v>
      </c>
    </row>
    <row r="82" spans="1:2" x14ac:dyDescent="0.2">
      <c r="A82" s="2">
        <v>42095</v>
      </c>
      <c r="B82" s="11">
        <v>48</v>
      </c>
    </row>
    <row r="83" spans="1:2" x14ac:dyDescent="0.2">
      <c r="A83" s="2">
        <v>42125</v>
      </c>
      <c r="B83" s="11">
        <v>49.4</v>
      </c>
    </row>
    <row r="84" spans="1:2" x14ac:dyDescent="0.2">
      <c r="A84" s="2">
        <v>42156</v>
      </c>
      <c r="B84" s="11">
        <v>50.7</v>
      </c>
    </row>
    <row r="85" spans="1:2" x14ac:dyDescent="0.2">
      <c r="A85" s="2">
        <v>42186</v>
      </c>
      <c r="B85" s="11">
        <v>49.6</v>
      </c>
    </row>
    <row r="86" spans="1:2" x14ac:dyDescent="0.2">
      <c r="A86" s="2">
        <v>42217</v>
      </c>
      <c r="B86" s="11">
        <v>48.3</v>
      </c>
    </row>
    <row r="87" spans="1:2" x14ac:dyDescent="0.2">
      <c r="A87" s="2">
        <v>42248</v>
      </c>
      <c r="B87" s="11">
        <v>50.6</v>
      </c>
    </row>
    <row r="88" spans="1:2" x14ac:dyDescent="0.2">
      <c r="A88" s="2">
        <v>42278</v>
      </c>
      <c r="B88" s="11">
        <v>50.6</v>
      </c>
    </row>
    <row r="89" spans="1:2" x14ac:dyDescent="0.2">
      <c r="A89" s="2">
        <v>42309</v>
      </c>
      <c r="B89" s="11">
        <v>50.6</v>
      </c>
    </row>
    <row r="90" spans="1:2" x14ac:dyDescent="0.2">
      <c r="A90" s="2">
        <v>42339</v>
      </c>
      <c r="B90" s="11">
        <v>51.4</v>
      </c>
    </row>
    <row r="91" spans="1:2" x14ac:dyDescent="0.2">
      <c r="A91" s="2">
        <v>42370</v>
      </c>
      <c r="B91" s="11">
        <v>50</v>
      </c>
    </row>
    <row r="92" spans="1:2" x14ac:dyDescent="0.2">
      <c r="A92" s="2">
        <v>42401</v>
      </c>
      <c r="B92" s="11">
        <v>50.2</v>
      </c>
    </row>
    <row r="93" spans="1:2" x14ac:dyDescent="0.2">
      <c r="A93" s="2">
        <v>42430</v>
      </c>
      <c r="B93" s="11">
        <v>49.6</v>
      </c>
    </row>
    <row r="94" spans="1:2" x14ac:dyDescent="0.2">
      <c r="A94" s="2">
        <v>42461</v>
      </c>
      <c r="B94" s="11">
        <v>48</v>
      </c>
    </row>
    <row r="95" spans="1:2" x14ac:dyDescent="0.2">
      <c r="A95" s="2">
        <v>42491</v>
      </c>
      <c r="B95" s="11">
        <v>48.4</v>
      </c>
    </row>
    <row r="96" spans="1:2" x14ac:dyDescent="0.2">
      <c r="A96" s="2">
        <v>42522</v>
      </c>
      <c r="B96" s="11">
        <v>48.3</v>
      </c>
    </row>
    <row r="97" spans="1:2" x14ac:dyDescent="0.2">
      <c r="A97" s="2">
        <v>42552</v>
      </c>
      <c r="B97" s="11">
        <v>48.6</v>
      </c>
    </row>
    <row r="98" spans="1:2" x14ac:dyDescent="0.2">
      <c r="A98" s="2">
        <v>42583</v>
      </c>
      <c r="B98" s="11">
        <v>48.3</v>
      </c>
    </row>
    <row r="99" spans="1:2" x14ac:dyDescent="0.2">
      <c r="A99" s="2">
        <v>42614</v>
      </c>
      <c r="B99" s="11">
        <v>49.7</v>
      </c>
    </row>
    <row r="100" spans="1:2" x14ac:dyDescent="0.2">
      <c r="A100" s="2">
        <v>42644</v>
      </c>
      <c r="B100" s="11">
        <v>51.8</v>
      </c>
    </row>
    <row r="101" spans="1:2" x14ac:dyDescent="0.2">
      <c r="A101" s="2">
        <v>42675</v>
      </c>
      <c r="B101" s="11">
        <v>51.7</v>
      </c>
    </row>
    <row r="102" spans="1:2" x14ac:dyDescent="0.2">
      <c r="A102" s="2">
        <v>42705</v>
      </c>
      <c r="B102" s="11">
        <v>53.5</v>
      </c>
    </row>
    <row r="103" spans="1:2" x14ac:dyDescent="0.2">
      <c r="A103" s="2">
        <v>42736</v>
      </c>
      <c r="B103" s="11">
        <v>53.6</v>
      </c>
    </row>
    <row r="104" spans="1:2" x14ac:dyDescent="0.2">
      <c r="A104" s="2">
        <v>42767</v>
      </c>
      <c r="B104" s="11">
        <v>52.2</v>
      </c>
    </row>
    <row r="105" spans="1:2" x14ac:dyDescent="0.2">
      <c r="A105" s="2">
        <v>42795</v>
      </c>
      <c r="B105" s="11">
        <v>53.3</v>
      </c>
    </row>
    <row r="106" spans="1:2" x14ac:dyDescent="0.2">
      <c r="A106" s="2">
        <v>42826</v>
      </c>
      <c r="B106" s="11">
        <v>55.1</v>
      </c>
    </row>
    <row r="107" spans="1:2" x14ac:dyDescent="0.2">
      <c r="A107" s="2">
        <v>42856</v>
      </c>
      <c r="B107" s="11">
        <v>53.8</v>
      </c>
    </row>
    <row r="108" spans="1:2" x14ac:dyDescent="0.2">
      <c r="A108" s="2">
        <v>42887</v>
      </c>
      <c r="B108" s="11">
        <v>54.8</v>
      </c>
    </row>
    <row r="109" spans="1:2" x14ac:dyDescent="0.2">
      <c r="A109" s="2">
        <v>42917</v>
      </c>
      <c r="B109" s="11">
        <v>54.9</v>
      </c>
    </row>
    <row r="110" spans="1:2" x14ac:dyDescent="0.2">
      <c r="A110" s="2">
        <v>42948</v>
      </c>
      <c r="B110" s="11">
        <v>55.8</v>
      </c>
    </row>
    <row r="111" spans="1:2" x14ac:dyDescent="0.2">
      <c r="A111" s="2">
        <v>42979</v>
      </c>
      <c r="B111" s="11">
        <v>56.1</v>
      </c>
    </row>
    <row r="112" spans="1:2" x14ac:dyDescent="0.2">
      <c r="A112" s="2">
        <v>43009</v>
      </c>
      <c r="B112" s="11">
        <v>56.1</v>
      </c>
    </row>
    <row r="113" spans="1:2" x14ac:dyDescent="0.2">
      <c r="A113" s="2">
        <v>43040</v>
      </c>
      <c r="B113" s="11">
        <v>57.7</v>
      </c>
    </row>
    <row r="114" spans="1:2" x14ac:dyDescent="0.2">
      <c r="A114" s="2">
        <v>43070</v>
      </c>
      <c r="B114" s="11">
        <v>58.8</v>
      </c>
    </row>
    <row r="115" spans="1:2" x14ac:dyDescent="0.2">
      <c r="A115" s="2">
        <v>43101</v>
      </c>
      <c r="B115" s="11">
        <v>58.4</v>
      </c>
    </row>
    <row r="116" spans="1:2" x14ac:dyDescent="0.2">
      <c r="A116" s="2">
        <v>43132</v>
      </c>
      <c r="B116" s="11">
        <v>55.9</v>
      </c>
    </row>
    <row r="117" spans="1:2" x14ac:dyDescent="0.2">
      <c r="A117" s="2">
        <v>43160</v>
      </c>
      <c r="B117" s="11">
        <v>53.7</v>
      </c>
    </row>
    <row r="118" spans="1:2" x14ac:dyDescent="0.2">
      <c r="A118" s="2">
        <v>43191</v>
      </c>
      <c r="B118" s="11">
        <v>53.8</v>
      </c>
    </row>
    <row r="119" spans="1:2" x14ac:dyDescent="0.2">
      <c r="A119" s="2">
        <v>43221</v>
      </c>
      <c r="B119" s="11">
        <v>55.1</v>
      </c>
    </row>
    <row r="120" spans="1:2" x14ac:dyDescent="0.2">
      <c r="A120" s="2">
        <v>43252</v>
      </c>
      <c r="B120" s="11">
        <v>52.5</v>
      </c>
    </row>
    <row r="121" spans="1:2" x14ac:dyDescent="0.2">
      <c r="A121" s="2">
        <v>43282</v>
      </c>
      <c r="B121" s="11">
        <v>53.3</v>
      </c>
    </row>
    <row r="122" spans="1:2" x14ac:dyDescent="0.2">
      <c r="A122" s="2">
        <v>43313</v>
      </c>
      <c r="B122" s="11">
        <v>53.5</v>
      </c>
    </row>
    <row r="123" spans="1:2" x14ac:dyDescent="0.2">
      <c r="A123" s="2">
        <v>43344</v>
      </c>
      <c r="B123" s="11">
        <v>52.5</v>
      </c>
    </row>
    <row r="124" spans="1:2" x14ac:dyDescent="0.2">
      <c r="A124" s="2">
        <v>43374</v>
      </c>
      <c r="B124" s="11">
        <v>51.2</v>
      </c>
    </row>
    <row r="125" spans="1:2" x14ac:dyDescent="0.2">
      <c r="A125" s="2">
        <v>43405</v>
      </c>
      <c r="B125" s="11">
        <v>50.8</v>
      </c>
    </row>
    <row r="126" spans="1:2" x14ac:dyDescent="0.2">
      <c r="A126" s="2">
        <v>43435</v>
      </c>
      <c r="B126" s="11">
        <v>49.7</v>
      </c>
    </row>
    <row r="127" spans="1:2" x14ac:dyDescent="0.2">
      <c r="A127" s="2">
        <v>43466</v>
      </c>
      <c r="B127" s="11">
        <v>51.2</v>
      </c>
    </row>
    <row r="128" spans="1:2" x14ac:dyDescent="0.2">
      <c r="A128" s="2">
        <v>43497</v>
      </c>
      <c r="B128" s="11">
        <v>51.5</v>
      </c>
    </row>
    <row r="129" spans="1:2" x14ac:dyDescent="0.2">
      <c r="A129" s="2">
        <v>43525</v>
      </c>
      <c r="B129" s="11">
        <v>49.7</v>
      </c>
    </row>
    <row r="130" spans="1:2" x14ac:dyDescent="0.2">
      <c r="A130" s="2">
        <v>43556</v>
      </c>
      <c r="B130" s="11">
        <v>50</v>
      </c>
    </row>
    <row r="131" spans="1:2" x14ac:dyDescent="0.2">
      <c r="A131" s="2">
        <v>43586</v>
      </c>
      <c r="B131" s="11">
        <v>50.6</v>
      </c>
    </row>
    <row r="132" spans="1:2" x14ac:dyDescent="0.2">
      <c r="A132" s="2">
        <v>43617</v>
      </c>
      <c r="B132" s="11">
        <v>51.9</v>
      </c>
    </row>
    <row r="133" spans="1:2" x14ac:dyDescent="0.2">
      <c r="A133" s="2">
        <v>43647</v>
      </c>
      <c r="B133" s="11">
        <v>49.7</v>
      </c>
    </row>
    <row r="134" spans="1:2" x14ac:dyDescent="0.2">
      <c r="A134" s="2">
        <v>43678</v>
      </c>
      <c r="B134" s="11">
        <v>51.1</v>
      </c>
    </row>
    <row r="135" spans="1:2" x14ac:dyDescent="0.2">
      <c r="A135" s="2">
        <v>43709</v>
      </c>
      <c r="B135" s="11">
        <v>50.1</v>
      </c>
    </row>
    <row r="136" spans="1:2" x14ac:dyDescent="0.2">
      <c r="A136" s="2">
        <v>43739</v>
      </c>
      <c r="B136" s="11">
        <v>50.7</v>
      </c>
    </row>
    <row r="137" spans="1:2" x14ac:dyDescent="0.2">
      <c r="A137" s="2">
        <v>43770</v>
      </c>
      <c r="B137" s="11">
        <v>51.7</v>
      </c>
    </row>
    <row r="138" spans="1:2" x14ac:dyDescent="0.2">
      <c r="A138" s="2">
        <v>43800</v>
      </c>
      <c r="B138" s="11">
        <v>50.4</v>
      </c>
    </row>
    <row r="139" spans="1:2" x14ac:dyDescent="0.2">
      <c r="A139" s="2">
        <v>43831</v>
      </c>
      <c r="B139" s="11">
        <v>51.1</v>
      </c>
    </row>
    <row r="140" spans="1:2" x14ac:dyDescent="0.2">
      <c r="A140" s="2">
        <v>43862</v>
      </c>
      <c r="B140" s="11">
        <v>49.8</v>
      </c>
    </row>
    <row r="141" spans="1:2" x14ac:dyDescent="0.2">
      <c r="A141" s="2">
        <v>43891</v>
      </c>
      <c r="B141" s="11">
        <v>43.2</v>
      </c>
    </row>
    <row r="142" spans="1:2" x14ac:dyDescent="0.2">
      <c r="A142" s="2">
        <v>43922</v>
      </c>
      <c r="B142" s="11">
        <v>31.5</v>
      </c>
    </row>
    <row r="143" spans="1:2" x14ac:dyDescent="0.2">
      <c r="A143" s="2">
        <v>43952</v>
      </c>
      <c r="B143" s="11">
        <v>40.6</v>
      </c>
    </row>
    <row r="144" spans="1:2" x14ac:dyDescent="0.2">
      <c r="A144" s="2">
        <v>43983</v>
      </c>
      <c r="B144" s="11">
        <v>52.3</v>
      </c>
    </row>
    <row r="145" spans="1:2" x14ac:dyDescent="0.2">
      <c r="A145" s="2">
        <v>44013</v>
      </c>
      <c r="B145" s="11">
        <v>52.4</v>
      </c>
    </row>
    <row r="146" spans="1:2" x14ac:dyDescent="0.2">
      <c r="A146" s="2">
        <v>44044</v>
      </c>
      <c r="B146" s="11">
        <v>49.8</v>
      </c>
    </row>
    <row r="147" spans="1:2" x14ac:dyDescent="0.2">
      <c r="A147" s="2">
        <v>44075</v>
      </c>
      <c r="B147" s="11">
        <v>51.2</v>
      </c>
    </row>
    <row r="148" spans="1:2" x14ac:dyDescent="0.2">
      <c r="A148" s="2">
        <v>44105</v>
      </c>
      <c r="B148" s="11">
        <v>51.3</v>
      </c>
    </row>
    <row r="149" spans="1:2" x14ac:dyDescent="0.2">
      <c r="A149" s="2">
        <v>44136</v>
      </c>
      <c r="B149" s="11">
        <v>49.6</v>
      </c>
    </row>
    <row r="150" spans="1:2" x14ac:dyDescent="0.2">
      <c r="A150" s="2">
        <v>44166</v>
      </c>
      <c r="B150" s="11">
        <v>51.1</v>
      </c>
    </row>
    <row r="151" spans="1:2" x14ac:dyDescent="0.2">
      <c r="A151" s="2">
        <v>44197</v>
      </c>
      <c r="B151" s="11">
        <v>51.6</v>
      </c>
    </row>
    <row r="152" spans="1:2" x14ac:dyDescent="0.2">
      <c r="A152" s="2">
        <v>44228</v>
      </c>
      <c r="B152" s="11">
        <v>56.1</v>
      </c>
    </row>
    <row r="153" spans="1:2" x14ac:dyDescent="0.2">
      <c r="A153" s="2">
        <v>44256</v>
      </c>
      <c r="B153" s="11">
        <v>59.3</v>
      </c>
    </row>
    <row r="154" spans="1:2" x14ac:dyDescent="0.2">
      <c r="A154" s="2">
        <v>44287</v>
      </c>
      <c r="B154" s="11">
        <v>58.9</v>
      </c>
    </row>
    <row r="155" spans="1:2" x14ac:dyDescent="0.2">
      <c r="A155" s="2">
        <v>44317</v>
      </c>
      <c r="B155" s="11">
        <v>59.4</v>
      </c>
    </row>
    <row r="156" spans="1:2" x14ac:dyDescent="0.2">
      <c r="A156" s="2">
        <v>44348</v>
      </c>
      <c r="B156" s="11">
        <v>59</v>
      </c>
    </row>
    <row r="157" spans="1:2" x14ac:dyDescent="0.2">
      <c r="A157" s="2">
        <v>44378</v>
      </c>
      <c r="B157" s="11">
        <v>58</v>
      </c>
    </row>
    <row r="158" spans="1:2" x14ac:dyDescent="0.2">
      <c r="A158" s="2">
        <v>44409</v>
      </c>
      <c r="B158" s="11">
        <v>57.5</v>
      </c>
    </row>
    <row r="159" spans="1:2" x14ac:dyDescent="0.2">
      <c r="A159" s="2">
        <v>44440</v>
      </c>
      <c r="B159" s="11">
        <v>55</v>
      </c>
    </row>
    <row r="160" spans="1:2" x14ac:dyDescent="0.2">
      <c r="A160" s="2">
        <v>44470</v>
      </c>
      <c r="B160" s="11">
        <v>53.6</v>
      </c>
    </row>
    <row r="161" spans="1:2" x14ac:dyDescent="0.2">
      <c r="A161" s="2">
        <v>44501</v>
      </c>
      <c r="B161" s="11">
        <v>55.9</v>
      </c>
    </row>
    <row r="162" spans="1:2" x14ac:dyDescent="0.2">
      <c r="A162" s="2">
        <v>44531</v>
      </c>
      <c r="B162" s="11">
        <v>55.6</v>
      </c>
    </row>
  </sheetData>
  <conditionalFormatting sqref="B2:B1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206"/>
  <sheetViews>
    <sheetView zoomScale="160" zoomScaleNormal="160" workbookViewId="0">
      <pane ySplit="1" topLeftCell="A2" activePane="bottomLeft" state="frozen"/>
      <selection pane="bottomLeft" activeCell="O181" sqref="O181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28</v>
      </c>
    </row>
    <row r="2" spans="1:2" x14ac:dyDescent="0.2">
      <c r="A2" s="6">
        <v>38322</v>
      </c>
      <c r="B2" s="7">
        <v>53.7</v>
      </c>
    </row>
    <row r="3" spans="1:2" x14ac:dyDescent="0.2">
      <c r="A3" s="2">
        <v>38353</v>
      </c>
      <c r="B3" s="11">
        <v>51.8</v>
      </c>
    </row>
    <row r="4" spans="1:2" x14ac:dyDescent="0.2">
      <c r="A4" s="2">
        <v>38384</v>
      </c>
      <c r="B4" s="11">
        <v>51.8</v>
      </c>
    </row>
    <row r="5" spans="1:2" x14ac:dyDescent="0.2">
      <c r="A5" s="2">
        <v>38412</v>
      </c>
      <c r="B5" s="11">
        <v>52</v>
      </c>
    </row>
    <row r="6" spans="1:2" x14ac:dyDescent="0.2">
      <c r="A6" s="2">
        <v>38443</v>
      </c>
      <c r="B6" s="11">
        <v>49.5</v>
      </c>
    </row>
    <row r="7" spans="1:2" x14ac:dyDescent="0.2">
      <c r="A7" s="2">
        <v>38473</v>
      </c>
      <c r="B7" s="11">
        <v>47.3</v>
      </c>
    </row>
    <row r="8" spans="1:2" x14ac:dyDescent="0.2">
      <c r="A8" s="2">
        <v>38504</v>
      </c>
      <c r="B8" s="11">
        <v>49.6</v>
      </c>
    </row>
    <row r="9" spans="1:2" x14ac:dyDescent="0.2">
      <c r="A9" s="2">
        <v>38534</v>
      </c>
      <c r="B9" s="11">
        <v>49.2</v>
      </c>
    </row>
    <row r="10" spans="1:2" x14ac:dyDescent="0.2">
      <c r="A10" s="2">
        <v>38565</v>
      </c>
      <c r="B10" s="11">
        <v>50.1</v>
      </c>
    </row>
    <row r="11" spans="1:2" x14ac:dyDescent="0.2">
      <c r="A11" s="2">
        <v>38596</v>
      </c>
      <c r="B11" s="11">
        <v>51.5</v>
      </c>
    </row>
    <row r="12" spans="1:2" x14ac:dyDescent="0.2">
      <c r="A12" s="2">
        <v>38626</v>
      </c>
      <c r="B12" s="11">
        <v>51.7</v>
      </c>
    </row>
    <row r="13" spans="1:2" x14ac:dyDescent="0.2">
      <c r="A13" s="2">
        <v>38657</v>
      </c>
      <c r="B13" s="11">
        <v>51</v>
      </c>
    </row>
    <row r="14" spans="1:2" x14ac:dyDescent="0.2">
      <c r="A14" s="2">
        <v>38687</v>
      </c>
      <c r="B14" s="11">
        <v>51.1</v>
      </c>
    </row>
    <row r="15" spans="1:2" x14ac:dyDescent="0.2">
      <c r="A15" s="2">
        <v>38718</v>
      </c>
      <c r="B15" s="11">
        <v>51.7</v>
      </c>
    </row>
    <row r="16" spans="1:2" x14ac:dyDescent="0.2">
      <c r="A16" s="2">
        <v>38749</v>
      </c>
      <c r="B16" s="11">
        <v>51.7</v>
      </c>
    </row>
    <row r="17" spans="1:2" x14ac:dyDescent="0.2">
      <c r="A17" s="2">
        <v>38777</v>
      </c>
      <c r="B17" s="11">
        <v>50.8</v>
      </c>
    </row>
    <row r="18" spans="1:2" x14ac:dyDescent="0.2">
      <c r="A18" s="2">
        <v>38808</v>
      </c>
      <c r="B18" s="11">
        <v>54.1</v>
      </c>
    </row>
    <row r="19" spans="1:2" x14ac:dyDescent="0.2">
      <c r="A19" s="2">
        <v>38838</v>
      </c>
      <c r="B19" s="11">
        <v>53.2</v>
      </c>
    </row>
    <row r="20" spans="1:2" x14ac:dyDescent="0.2">
      <c r="A20" s="2">
        <v>38869</v>
      </c>
      <c r="B20" s="11">
        <v>55.1</v>
      </c>
    </row>
    <row r="21" spans="1:2" x14ac:dyDescent="0.2">
      <c r="A21" s="2">
        <v>38899</v>
      </c>
      <c r="B21" s="11">
        <v>53.8</v>
      </c>
    </row>
    <row r="22" spans="1:2" x14ac:dyDescent="0.2">
      <c r="A22" s="2">
        <v>38930</v>
      </c>
      <c r="B22" s="11">
        <v>53.1</v>
      </c>
    </row>
    <row r="23" spans="1:2" x14ac:dyDescent="0.2">
      <c r="A23" s="2">
        <v>38961</v>
      </c>
      <c r="B23" s="11">
        <v>54.4</v>
      </c>
    </row>
    <row r="24" spans="1:2" x14ac:dyDescent="0.2">
      <c r="A24" s="2">
        <v>38991</v>
      </c>
      <c r="B24" s="11">
        <v>53.7</v>
      </c>
    </row>
    <row r="25" spans="1:2" x14ac:dyDescent="0.2">
      <c r="A25" s="2">
        <v>39022</v>
      </c>
      <c r="B25" s="11">
        <v>53.6</v>
      </c>
    </row>
    <row r="26" spans="1:2" x14ac:dyDescent="0.2">
      <c r="A26" s="2">
        <v>39052</v>
      </c>
      <c r="B26" s="11">
        <v>51.9</v>
      </c>
    </row>
    <row r="27" spans="1:2" x14ac:dyDescent="0.2">
      <c r="A27" s="2">
        <v>39083</v>
      </c>
      <c r="B27" s="11">
        <v>52.8</v>
      </c>
    </row>
    <row r="28" spans="1:2" x14ac:dyDescent="0.2">
      <c r="A28" s="2">
        <v>39114</v>
      </c>
      <c r="B28" s="11">
        <v>55.4</v>
      </c>
    </row>
    <row r="29" spans="1:2" x14ac:dyDescent="0.2">
      <c r="A29" s="2">
        <v>39142</v>
      </c>
      <c r="B29" s="11">
        <v>54.4</v>
      </c>
    </row>
    <row r="30" spans="1:2" x14ac:dyDescent="0.2">
      <c r="A30" s="2">
        <v>39173</v>
      </c>
      <c r="B30" s="11">
        <v>53.9</v>
      </c>
    </row>
    <row r="31" spans="1:2" x14ac:dyDescent="0.2">
      <c r="A31" s="2">
        <v>39203</v>
      </c>
      <c r="B31" s="11">
        <v>54.9</v>
      </c>
    </row>
    <row r="32" spans="1:2" x14ac:dyDescent="0.2">
      <c r="A32" s="2">
        <v>39234</v>
      </c>
      <c r="B32" s="11">
        <v>54.3</v>
      </c>
    </row>
    <row r="33" spans="1:2" x14ac:dyDescent="0.2">
      <c r="A33" s="2">
        <v>39264</v>
      </c>
      <c r="B33" s="11">
        <v>55.7</v>
      </c>
    </row>
    <row r="34" spans="1:2" x14ac:dyDescent="0.2">
      <c r="A34" s="2">
        <v>39295</v>
      </c>
      <c r="B34" s="11">
        <v>56.3</v>
      </c>
    </row>
    <row r="35" spans="1:2" x14ac:dyDescent="0.2">
      <c r="A35" s="2">
        <v>39326</v>
      </c>
      <c r="B35" s="11">
        <v>55.1</v>
      </c>
    </row>
    <row r="36" spans="1:2" x14ac:dyDescent="0.2">
      <c r="A36" s="2">
        <v>39356</v>
      </c>
      <c r="B36" s="11">
        <v>52.9</v>
      </c>
    </row>
    <row r="37" spans="1:2" x14ac:dyDescent="0.2">
      <c r="A37" s="2">
        <v>39387</v>
      </c>
      <c r="B37" s="11">
        <v>54.4</v>
      </c>
    </row>
    <row r="38" spans="1:2" x14ac:dyDescent="0.2">
      <c r="A38" s="2">
        <v>39417</v>
      </c>
      <c r="B38" s="11">
        <v>52.9</v>
      </c>
    </row>
    <row r="39" spans="1:2" x14ac:dyDescent="0.2">
      <c r="A39" s="2">
        <v>39448</v>
      </c>
      <c r="B39" s="11">
        <v>50.6</v>
      </c>
    </row>
    <row r="40" spans="1:2" x14ac:dyDescent="0.2">
      <c r="A40" s="2">
        <v>39479</v>
      </c>
      <c r="B40" s="11">
        <v>51.3</v>
      </c>
    </row>
    <row r="41" spans="1:2" x14ac:dyDescent="0.2">
      <c r="A41" s="2">
        <v>39508</v>
      </c>
      <c r="B41" s="11">
        <v>51.3</v>
      </c>
    </row>
    <row r="42" spans="1:2" x14ac:dyDescent="0.2">
      <c r="A42" s="2">
        <v>39539</v>
      </c>
      <c r="B42" s="11">
        <v>51</v>
      </c>
    </row>
    <row r="43" spans="1:2" x14ac:dyDescent="0.2">
      <c r="A43" s="2">
        <v>39569</v>
      </c>
      <c r="B43" s="11">
        <v>50</v>
      </c>
    </row>
    <row r="44" spans="1:2" x14ac:dyDescent="0.2">
      <c r="A44" s="2">
        <v>39600</v>
      </c>
      <c r="B44" s="11">
        <v>45.8</v>
      </c>
    </row>
    <row r="45" spans="1:2" x14ac:dyDescent="0.2">
      <c r="A45" s="2">
        <v>39630</v>
      </c>
      <c r="B45" s="11">
        <v>44.3</v>
      </c>
    </row>
    <row r="46" spans="1:2" x14ac:dyDescent="0.2">
      <c r="A46" s="2">
        <v>39661</v>
      </c>
      <c r="B46" s="11">
        <v>45.9</v>
      </c>
    </row>
    <row r="47" spans="1:2" x14ac:dyDescent="0.2">
      <c r="A47" s="2">
        <v>39692</v>
      </c>
      <c r="B47" s="11">
        <v>41</v>
      </c>
    </row>
    <row r="48" spans="1:2" x14ac:dyDescent="0.2">
      <c r="A48" s="2">
        <v>39722</v>
      </c>
      <c r="B48" s="11">
        <v>41.5</v>
      </c>
    </row>
    <row r="49" spans="1:2" x14ac:dyDescent="0.2">
      <c r="A49" s="2">
        <v>39753</v>
      </c>
      <c r="B49" s="11">
        <v>34.4</v>
      </c>
    </row>
    <row r="50" spans="1:2" x14ac:dyDescent="0.2">
      <c r="A50" s="2">
        <v>39783</v>
      </c>
      <c r="B50" s="11">
        <v>34.9</v>
      </c>
    </row>
    <row r="51" spans="1:2" x14ac:dyDescent="0.2">
      <c r="A51" s="2">
        <v>39814</v>
      </c>
      <c r="B51" s="11">
        <v>35.799999999999997</v>
      </c>
    </row>
    <row r="52" spans="1:2" x14ac:dyDescent="0.2">
      <c r="A52" s="2">
        <v>39845</v>
      </c>
      <c r="B52" s="11">
        <v>34.700000000000003</v>
      </c>
    </row>
    <row r="53" spans="1:2" x14ac:dyDescent="0.2">
      <c r="A53" s="2">
        <v>39873</v>
      </c>
      <c r="B53" s="11">
        <v>39.1</v>
      </c>
    </row>
    <row r="54" spans="1:2" x14ac:dyDescent="0.2">
      <c r="A54" s="2">
        <v>39904</v>
      </c>
      <c r="B54" s="11">
        <v>42.9</v>
      </c>
    </row>
    <row r="55" spans="1:2" x14ac:dyDescent="0.2">
      <c r="A55" s="2">
        <v>39934</v>
      </c>
      <c r="B55" s="11">
        <v>45.4</v>
      </c>
    </row>
    <row r="56" spans="1:2" x14ac:dyDescent="0.2">
      <c r="A56" s="2">
        <v>39965</v>
      </c>
      <c r="B56" s="11">
        <v>47</v>
      </c>
    </row>
    <row r="57" spans="1:2" x14ac:dyDescent="0.2">
      <c r="A57" s="2">
        <v>39995</v>
      </c>
      <c r="B57" s="11">
        <v>50.8</v>
      </c>
    </row>
    <row r="58" spans="1:2" x14ac:dyDescent="0.2">
      <c r="A58" s="2">
        <v>40026</v>
      </c>
      <c r="B58" s="11">
        <v>49.7</v>
      </c>
    </row>
    <row r="59" spans="1:2" x14ac:dyDescent="0.2">
      <c r="A59" s="2">
        <v>40057</v>
      </c>
      <c r="B59" s="11">
        <v>49.5</v>
      </c>
    </row>
    <row r="60" spans="1:2" x14ac:dyDescent="0.2">
      <c r="A60" s="2">
        <v>40087</v>
      </c>
      <c r="B60" s="11">
        <v>53.7</v>
      </c>
    </row>
    <row r="61" spans="1:2" x14ac:dyDescent="0.2">
      <c r="A61" s="2">
        <v>40118</v>
      </c>
      <c r="B61" s="11">
        <v>51.8</v>
      </c>
    </row>
    <row r="62" spans="1:2" x14ac:dyDescent="0.2">
      <c r="A62" s="2">
        <v>40148</v>
      </c>
      <c r="B62" s="11">
        <v>54.1</v>
      </c>
    </row>
    <row r="63" spans="1:2" x14ac:dyDescent="0.2">
      <c r="A63" s="2">
        <v>40179</v>
      </c>
      <c r="B63" s="11">
        <v>56.7</v>
      </c>
    </row>
    <row r="64" spans="1:2" x14ac:dyDescent="0.2">
      <c r="A64" s="2">
        <v>40210</v>
      </c>
      <c r="B64" s="11">
        <v>56.6</v>
      </c>
    </row>
    <row r="65" spans="1:2" x14ac:dyDescent="0.2">
      <c r="A65" s="2">
        <v>40238</v>
      </c>
      <c r="B65" s="11">
        <v>57.2</v>
      </c>
    </row>
    <row r="66" spans="1:2" x14ac:dyDescent="0.2">
      <c r="A66" s="2">
        <v>40269</v>
      </c>
      <c r="B66" s="11">
        <v>58</v>
      </c>
    </row>
    <row r="67" spans="1:2" x14ac:dyDescent="0.2">
      <c r="A67" s="2">
        <v>40299</v>
      </c>
      <c r="B67" s="11">
        <v>58</v>
      </c>
    </row>
    <row r="68" spans="1:2" x14ac:dyDescent="0.2">
      <c r="A68" s="2">
        <v>40330</v>
      </c>
      <c r="B68" s="11">
        <v>57.5</v>
      </c>
    </row>
    <row r="69" spans="1:2" x14ac:dyDescent="0.2">
      <c r="A69" s="2">
        <v>40360</v>
      </c>
      <c r="B69" s="11">
        <v>57.3</v>
      </c>
    </row>
    <row r="70" spans="1:2" x14ac:dyDescent="0.2">
      <c r="A70" s="2">
        <v>40391</v>
      </c>
      <c r="B70" s="11">
        <v>54.3</v>
      </c>
    </row>
    <row r="71" spans="1:2" x14ac:dyDescent="0.2">
      <c r="A71" s="2">
        <v>40422</v>
      </c>
      <c r="B71" s="11">
        <v>53.4</v>
      </c>
    </row>
    <row r="72" spans="1:2" x14ac:dyDescent="0.2">
      <c r="A72" s="2">
        <v>40452</v>
      </c>
      <c r="B72" s="11">
        <v>54.9</v>
      </c>
    </row>
    <row r="73" spans="1:2" x14ac:dyDescent="0.2">
      <c r="A73" s="2">
        <v>40483</v>
      </c>
      <c r="B73" s="11">
        <v>58</v>
      </c>
    </row>
    <row r="74" spans="1:2" x14ac:dyDescent="0.2">
      <c r="A74" s="2">
        <v>40513</v>
      </c>
      <c r="B74" s="11">
        <v>58.3</v>
      </c>
    </row>
    <row r="75" spans="1:2" x14ac:dyDescent="0.2">
      <c r="A75" s="2">
        <v>40544</v>
      </c>
      <c r="B75" s="11">
        <v>62</v>
      </c>
    </row>
    <row r="76" spans="1:2" x14ac:dyDescent="0.2">
      <c r="A76" s="2">
        <v>40575</v>
      </c>
      <c r="B76" s="11">
        <v>64.5</v>
      </c>
    </row>
    <row r="77" spans="1:2" x14ac:dyDescent="0.2">
      <c r="A77" s="2">
        <v>40603</v>
      </c>
      <c r="B77" s="11">
        <v>57.1</v>
      </c>
    </row>
    <row r="78" spans="1:2" x14ac:dyDescent="0.2">
      <c r="A78" s="2">
        <v>40634</v>
      </c>
      <c r="B78" s="11">
        <v>54.6</v>
      </c>
    </row>
    <row r="79" spans="1:2" x14ac:dyDescent="0.2">
      <c r="A79" s="2">
        <v>40664</v>
      </c>
      <c r="B79" s="11">
        <v>52.1</v>
      </c>
    </row>
    <row r="80" spans="1:2" x14ac:dyDescent="0.2">
      <c r="A80" s="2">
        <v>40695</v>
      </c>
      <c r="B80" s="11">
        <v>51.3</v>
      </c>
    </row>
    <row r="81" spans="1:2" x14ac:dyDescent="0.2">
      <c r="A81" s="2">
        <v>40725</v>
      </c>
      <c r="B81" s="11">
        <v>49.1</v>
      </c>
    </row>
    <row r="82" spans="1:2" x14ac:dyDescent="0.2">
      <c r="A82" s="2">
        <v>40756</v>
      </c>
      <c r="B82" s="11">
        <v>49</v>
      </c>
    </row>
    <row r="83" spans="1:2" x14ac:dyDescent="0.2">
      <c r="A83" s="2">
        <v>40787</v>
      </c>
      <c r="B83" s="11">
        <v>51.1</v>
      </c>
    </row>
    <row r="84" spans="1:2" x14ac:dyDescent="0.2">
      <c r="A84" s="2">
        <v>40817</v>
      </c>
      <c r="B84" s="11">
        <v>47.4</v>
      </c>
    </row>
    <row r="85" spans="1:2" x14ac:dyDescent="0.2">
      <c r="A85" s="2">
        <v>40848</v>
      </c>
      <c r="B85" s="11">
        <v>47.6</v>
      </c>
    </row>
    <row r="86" spans="1:2" x14ac:dyDescent="0.2">
      <c r="A86" s="2">
        <v>40878</v>
      </c>
      <c r="B86" s="11">
        <v>49.6</v>
      </c>
    </row>
    <row r="87" spans="1:2" x14ac:dyDescent="0.2">
      <c r="A87" s="2">
        <v>40909</v>
      </c>
      <c r="B87" s="11">
        <v>50.8</v>
      </c>
    </row>
    <row r="88" spans="1:2" x14ac:dyDescent="0.2">
      <c r="A88" s="2">
        <v>40940</v>
      </c>
      <c r="B88" s="11">
        <v>51.1</v>
      </c>
    </row>
    <row r="89" spans="1:2" x14ac:dyDescent="0.2">
      <c r="A89" s="2">
        <v>40969</v>
      </c>
      <c r="B89" s="11">
        <v>52</v>
      </c>
    </row>
    <row r="90" spans="1:2" x14ac:dyDescent="0.2">
      <c r="A90" s="2">
        <v>41000</v>
      </c>
      <c r="B90" s="11">
        <v>50.2</v>
      </c>
    </row>
    <row r="91" spans="1:2" x14ac:dyDescent="0.2">
      <c r="A91" s="2">
        <v>41030</v>
      </c>
      <c r="B91" s="11">
        <v>46.8</v>
      </c>
    </row>
    <row r="92" spans="1:2" x14ac:dyDescent="0.2">
      <c r="A92" s="2">
        <v>41061</v>
      </c>
      <c r="B92" s="11">
        <v>48.8</v>
      </c>
    </row>
    <row r="93" spans="1:2" x14ac:dyDescent="0.2">
      <c r="A93" s="2">
        <v>41091</v>
      </c>
      <c r="B93" s="11">
        <v>45.5</v>
      </c>
    </row>
    <row r="94" spans="1:2" x14ac:dyDescent="0.2">
      <c r="A94" s="2">
        <v>41122</v>
      </c>
      <c r="B94" s="11">
        <v>49.1</v>
      </c>
    </row>
    <row r="95" spans="1:2" x14ac:dyDescent="0.2">
      <c r="A95" s="2">
        <v>41153</v>
      </c>
      <c r="B95" s="11">
        <v>48.2</v>
      </c>
    </row>
    <row r="96" spans="1:2" x14ac:dyDescent="0.2">
      <c r="A96" s="2">
        <v>41183</v>
      </c>
      <c r="B96" s="11">
        <v>48</v>
      </c>
    </row>
    <row r="97" spans="1:2" x14ac:dyDescent="0.2">
      <c r="A97" s="2">
        <v>41214</v>
      </c>
      <c r="B97" s="11">
        <v>48.4</v>
      </c>
    </row>
    <row r="98" spans="1:2" x14ac:dyDescent="0.2">
      <c r="A98" s="2">
        <v>41244</v>
      </c>
      <c r="B98" s="11">
        <v>50.7</v>
      </c>
    </row>
    <row r="99" spans="1:2" x14ac:dyDescent="0.2">
      <c r="A99" s="2">
        <v>41275</v>
      </c>
      <c r="B99" s="11">
        <v>50.9</v>
      </c>
    </row>
    <row r="100" spans="1:2" x14ac:dyDescent="0.2">
      <c r="A100" s="2">
        <v>41306</v>
      </c>
      <c r="B100" s="11">
        <v>48.2</v>
      </c>
    </row>
    <row r="101" spans="1:2" x14ac:dyDescent="0.2">
      <c r="A101" s="2">
        <v>41334</v>
      </c>
      <c r="B101" s="11">
        <v>49.3</v>
      </c>
    </row>
    <row r="102" spans="1:2" x14ac:dyDescent="0.2">
      <c r="A102" s="2">
        <v>41365</v>
      </c>
      <c r="B102" s="11">
        <v>50.6</v>
      </c>
    </row>
    <row r="103" spans="1:2" x14ac:dyDescent="0.2">
      <c r="A103" s="2">
        <v>41395</v>
      </c>
      <c r="B103" s="11">
        <v>52.1</v>
      </c>
    </row>
    <row r="104" spans="1:2" x14ac:dyDescent="0.2">
      <c r="A104" s="2">
        <v>41426</v>
      </c>
      <c r="B104" s="11">
        <v>53</v>
      </c>
    </row>
    <row r="105" spans="1:2" x14ac:dyDescent="0.2">
      <c r="A105" s="2">
        <v>41456</v>
      </c>
      <c r="B105" s="11">
        <v>54.7</v>
      </c>
    </row>
    <row r="106" spans="1:2" x14ac:dyDescent="0.2">
      <c r="A106" s="2">
        <v>41487</v>
      </c>
      <c r="B106" s="11">
        <v>57.3</v>
      </c>
    </row>
    <row r="107" spans="1:2" x14ac:dyDescent="0.2">
      <c r="A107" s="2">
        <v>41518</v>
      </c>
      <c r="B107" s="11">
        <v>56.7</v>
      </c>
    </row>
    <row r="108" spans="1:2" x14ac:dyDescent="0.2">
      <c r="A108" s="2">
        <v>41548</v>
      </c>
      <c r="B108" s="11">
        <v>56.5</v>
      </c>
    </row>
    <row r="109" spans="1:2" x14ac:dyDescent="0.2">
      <c r="A109" s="2">
        <v>41579</v>
      </c>
      <c r="B109" s="11">
        <v>58.1</v>
      </c>
    </row>
    <row r="110" spans="1:2" x14ac:dyDescent="0.2">
      <c r="A110" s="2">
        <v>41609</v>
      </c>
      <c r="B110" s="11">
        <v>57.3</v>
      </c>
    </row>
    <row r="111" spans="1:2" x14ac:dyDescent="0.2">
      <c r="A111" s="2">
        <v>41640</v>
      </c>
      <c r="B111" s="11">
        <v>56.7</v>
      </c>
    </row>
    <row r="112" spans="1:2" x14ac:dyDescent="0.2">
      <c r="A112" s="2">
        <v>41671</v>
      </c>
      <c r="B112" s="11">
        <v>56.9</v>
      </c>
    </row>
    <row r="113" spans="1:2" x14ac:dyDescent="0.2">
      <c r="A113" s="2">
        <v>41699</v>
      </c>
      <c r="B113" s="11">
        <v>55.3</v>
      </c>
    </row>
    <row r="114" spans="1:2" x14ac:dyDescent="0.2">
      <c r="A114" s="2">
        <v>41730</v>
      </c>
      <c r="B114" s="11">
        <v>57.3</v>
      </c>
    </row>
    <row r="115" spans="1:2" x14ac:dyDescent="0.2">
      <c r="A115" s="2">
        <v>41760</v>
      </c>
      <c r="B115" s="11">
        <v>57</v>
      </c>
    </row>
    <row r="116" spans="1:2" x14ac:dyDescent="0.2">
      <c r="A116" s="2">
        <v>41791</v>
      </c>
      <c r="B116" s="11">
        <v>57.5</v>
      </c>
    </row>
    <row r="117" spans="1:2" x14ac:dyDescent="0.2">
      <c r="A117" s="2">
        <v>41821</v>
      </c>
      <c r="B117" s="11">
        <v>55.4</v>
      </c>
    </row>
    <row r="118" spans="1:2" x14ac:dyDescent="0.2">
      <c r="A118" s="2">
        <v>41852</v>
      </c>
      <c r="B118" s="11">
        <v>52.5</v>
      </c>
    </row>
    <row r="119" spans="1:2" x14ac:dyDescent="0.2">
      <c r="A119" s="2">
        <v>41883</v>
      </c>
      <c r="B119" s="11">
        <v>51.6</v>
      </c>
    </row>
    <row r="120" spans="1:2" x14ac:dyDescent="0.2">
      <c r="A120" s="2">
        <v>41913</v>
      </c>
      <c r="B120" s="11">
        <v>53.2</v>
      </c>
    </row>
    <row r="121" spans="1:2" x14ac:dyDescent="0.2">
      <c r="A121" s="2">
        <v>41944</v>
      </c>
      <c r="B121" s="11">
        <v>53.5</v>
      </c>
    </row>
    <row r="122" spans="1:2" x14ac:dyDescent="0.2">
      <c r="A122" s="2">
        <v>41974</v>
      </c>
      <c r="B122" s="11">
        <v>52.5</v>
      </c>
    </row>
    <row r="123" spans="1:2" x14ac:dyDescent="0.2">
      <c r="A123" s="2">
        <v>42005</v>
      </c>
      <c r="B123" s="11">
        <v>53</v>
      </c>
    </row>
    <row r="124" spans="1:2" x14ac:dyDescent="0.2">
      <c r="A124" s="2">
        <v>42036</v>
      </c>
      <c r="B124" s="11">
        <v>54.1</v>
      </c>
    </row>
    <row r="125" spans="1:2" x14ac:dyDescent="0.2">
      <c r="A125" s="2">
        <v>42064</v>
      </c>
      <c r="B125" s="11">
        <v>54.4</v>
      </c>
    </row>
    <row r="126" spans="1:2" x14ac:dyDescent="0.2">
      <c r="A126" s="2">
        <v>42095</v>
      </c>
      <c r="B126" s="11">
        <v>51.9</v>
      </c>
    </row>
    <row r="127" spans="1:2" x14ac:dyDescent="0.2">
      <c r="A127" s="2">
        <v>42125</v>
      </c>
      <c r="B127" s="11">
        <v>52.2</v>
      </c>
    </row>
    <row r="128" spans="1:2" x14ac:dyDescent="0.2">
      <c r="A128" s="2">
        <v>42156</v>
      </c>
      <c r="B128" s="11">
        <v>51.9</v>
      </c>
    </row>
    <row r="129" spans="1:2" x14ac:dyDescent="0.2">
      <c r="A129" s="2">
        <v>42186</v>
      </c>
      <c r="B129" s="11">
        <v>52.5</v>
      </c>
    </row>
    <row r="130" spans="1:2" x14ac:dyDescent="0.2">
      <c r="A130" s="2">
        <v>42217</v>
      </c>
      <c r="B130" s="11">
        <v>51.6</v>
      </c>
    </row>
    <row r="131" spans="1:2" x14ac:dyDescent="0.2">
      <c r="A131" s="2">
        <v>42248</v>
      </c>
      <c r="B131" s="11">
        <v>51.6</v>
      </c>
    </row>
    <row r="132" spans="1:2" x14ac:dyDescent="0.2">
      <c r="A132" s="2">
        <v>42278</v>
      </c>
      <c r="B132" s="11">
        <v>54.3</v>
      </c>
    </row>
    <row r="133" spans="1:2" x14ac:dyDescent="0.2">
      <c r="A133" s="2">
        <v>42309</v>
      </c>
      <c r="B133" s="11">
        <v>52.3</v>
      </c>
    </row>
    <row r="134" spans="1:2" x14ac:dyDescent="0.2">
      <c r="A134" s="2">
        <v>42339</v>
      </c>
      <c r="B134" s="11">
        <v>51</v>
      </c>
    </row>
    <row r="135" spans="1:2" x14ac:dyDescent="0.2">
      <c r="A135" s="2">
        <v>42370</v>
      </c>
      <c r="B135" s="11">
        <v>52.2</v>
      </c>
    </row>
    <row r="136" spans="1:2" x14ac:dyDescent="0.2">
      <c r="A136" s="2">
        <v>42401</v>
      </c>
      <c r="B136" s="11">
        <v>50.8</v>
      </c>
    </row>
    <row r="137" spans="1:2" x14ac:dyDescent="0.2">
      <c r="A137" s="2">
        <v>42430</v>
      </c>
      <c r="B137" s="11">
        <v>51.1</v>
      </c>
    </row>
    <row r="138" spans="1:2" x14ac:dyDescent="0.2">
      <c r="A138" s="2">
        <v>42461</v>
      </c>
      <c r="B138" s="11">
        <v>50</v>
      </c>
    </row>
    <row r="139" spans="1:2" x14ac:dyDescent="0.2">
      <c r="A139" s="2">
        <v>42491</v>
      </c>
      <c r="B139" s="11">
        <v>50.7</v>
      </c>
    </row>
    <row r="140" spans="1:2" x14ac:dyDescent="0.2">
      <c r="A140" s="2">
        <v>42522</v>
      </c>
      <c r="B140" s="11">
        <v>53.2</v>
      </c>
    </row>
    <row r="141" spans="1:2" x14ac:dyDescent="0.2">
      <c r="A141" s="2">
        <v>42552</v>
      </c>
      <c r="B141" s="11">
        <v>48.5</v>
      </c>
    </row>
    <row r="142" spans="1:2" x14ac:dyDescent="0.2">
      <c r="A142" s="2">
        <v>42583</v>
      </c>
      <c r="B142" s="11">
        <v>53.2</v>
      </c>
    </row>
    <row r="143" spans="1:2" x14ac:dyDescent="0.2">
      <c r="A143" s="2">
        <v>42614</v>
      </c>
      <c r="B143" s="11">
        <v>55.6</v>
      </c>
    </row>
    <row r="144" spans="1:2" x14ac:dyDescent="0.2">
      <c r="A144" s="2">
        <v>42644</v>
      </c>
      <c r="B144" s="11">
        <v>53.8</v>
      </c>
    </row>
    <row r="145" spans="1:2" x14ac:dyDescent="0.2">
      <c r="A145" s="2">
        <v>42675</v>
      </c>
      <c r="B145" s="11">
        <v>53.2</v>
      </c>
    </row>
    <row r="146" spans="1:2" x14ac:dyDescent="0.2">
      <c r="A146" s="2">
        <v>42705</v>
      </c>
      <c r="B146" s="11">
        <v>55.6</v>
      </c>
    </row>
    <row r="147" spans="1:2" x14ac:dyDescent="0.2">
      <c r="A147" s="2">
        <v>42736</v>
      </c>
      <c r="B147" s="11">
        <v>55.2</v>
      </c>
    </row>
    <row r="148" spans="1:2" x14ac:dyDescent="0.2">
      <c r="A148" s="2">
        <v>42767</v>
      </c>
      <c r="B148" s="11">
        <v>54.5</v>
      </c>
    </row>
    <row r="149" spans="1:2" x14ac:dyDescent="0.2">
      <c r="A149" s="2">
        <v>42795</v>
      </c>
      <c r="B149" s="11">
        <v>54.1</v>
      </c>
    </row>
    <row r="150" spans="1:2" x14ac:dyDescent="0.2">
      <c r="A150" s="2">
        <v>42826</v>
      </c>
      <c r="B150" s="11">
        <v>57.8</v>
      </c>
    </row>
    <row r="151" spans="1:2" x14ac:dyDescent="0.2">
      <c r="A151" s="2">
        <v>42856</v>
      </c>
      <c r="B151" s="11">
        <v>56.6</v>
      </c>
    </row>
    <row r="152" spans="1:2" x14ac:dyDescent="0.2">
      <c r="A152" s="2">
        <v>42887</v>
      </c>
      <c r="B152" s="11">
        <v>54.4</v>
      </c>
    </row>
    <row r="153" spans="1:2" x14ac:dyDescent="0.2">
      <c r="A153" s="2">
        <v>42917</v>
      </c>
      <c r="B153" s="11">
        <v>55.3</v>
      </c>
    </row>
    <row r="154" spans="1:2" x14ac:dyDescent="0.2">
      <c r="A154" s="2">
        <v>42948</v>
      </c>
      <c r="B154" s="11">
        <v>56.8</v>
      </c>
    </row>
    <row r="155" spans="1:2" x14ac:dyDescent="0.2">
      <c r="A155" s="2">
        <v>42979</v>
      </c>
      <c r="B155" s="11">
        <v>56</v>
      </c>
    </row>
    <row r="156" spans="1:2" x14ac:dyDescent="0.2">
      <c r="A156" s="2">
        <v>43009</v>
      </c>
      <c r="B156" s="11">
        <v>56.2</v>
      </c>
    </row>
    <row r="157" spans="1:2" x14ac:dyDescent="0.2">
      <c r="A157" s="2">
        <v>43040</v>
      </c>
      <c r="B157" s="11">
        <v>58.3</v>
      </c>
    </row>
    <row r="158" spans="1:2" x14ac:dyDescent="0.2">
      <c r="A158" s="2">
        <v>43070</v>
      </c>
      <c r="B158" s="11">
        <v>56</v>
      </c>
    </row>
    <row r="159" spans="1:2" x14ac:dyDescent="0.2">
      <c r="A159" s="2">
        <v>43101</v>
      </c>
      <c r="B159" s="11">
        <v>55</v>
      </c>
    </row>
    <row r="160" spans="1:2" x14ac:dyDescent="0.2">
      <c r="A160" s="2">
        <v>43132</v>
      </c>
      <c r="B160" s="11">
        <v>54.9</v>
      </c>
    </row>
    <row r="161" spans="1:2" x14ac:dyDescent="0.2">
      <c r="A161" s="2">
        <v>43160</v>
      </c>
      <c r="B161" s="11">
        <v>54.9</v>
      </c>
    </row>
    <row r="162" spans="1:2" x14ac:dyDescent="0.2">
      <c r="A162" s="2">
        <v>43191</v>
      </c>
      <c r="B162" s="11">
        <v>53.9</v>
      </c>
    </row>
    <row r="163" spans="1:2" x14ac:dyDescent="0.2">
      <c r="A163" s="2">
        <v>43221</v>
      </c>
      <c r="B163" s="11">
        <v>54.4</v>
      </c>
    </row>
    <row r="164" spans="1:2" x14ac:dyDescent="0.2">
      <c r="A164" s="2">
        <v>43252</v>
      </c>
      <c r="B164" s="11">
        <v>54.4</v>
      </c>
    </row>
    <row r="165" spans="1:2" x14ac:dyDescent="0.2">
      <c r="A165" s="2">
        <v>43282</v>
      </c>
      <c r="B165" s="11">
        <v>54</v>
      </c>
    </row>
    <row r="166" spans="1:2" x14ac:dyDescent="0.2">
      <c r="A166" s="2">
        <v>43313</v>
      </c>
      <c r="B166" s="11">
        <v>52.8</v>
      </c>
    </row>
    <row r="167" spans="1:2" x14ac:dyDescent="0.2">
      <c r="A167" s="2">
        <v>43344</v>
      </c>
      <c r="B167" s="11">
        <v>53.8</v>
      </c>
    </row>
    <row r="168" spans="1:2" x14ac:dyDescent="0.2">
      <c r="A168" s="2">
        <v>43374</v>
      </c>
      <c r="B168" s="11">
        <v>51.1</v>
      </c>
    </row>
    <row r="169" spans="1:2" x14ac:dyDescent="0.2">
      <c r="A169" s="2">
        <v>43405</v>
      </c>
      <c r="B169" s="11">
        <v>53.1</v>
      </c>
    </row>
    <row r="170" spans="1:2" x14ac:dyDescent="0.2">
      <c r="A170" s="2">
        <v>43435</v>
      </c>
      <c r="B170" s="11">
        <v>54.2</v>
      </c>
    </row>
    <row r="171" spans="1:2" x14ac:dyDescent="0.2">
      <c r="A171" s="2">
        <v>43466</v>
      </c>
      <c r="B171" s="11">
        <v>52.8</v>
      </c>
    </row>
    <row r="172" spans="1:2" x14ac:dyDescent="0.2">
      <c r="A172" s="2">
        <v>43497</v>
      </c>
      <c r="B172" s="11">
        <v>52</v>
      </c>
    </row>
    <row r="173" spans="1:2" x14ac:dyDescent="0.2">
      <c r="A173" s="2">
        <v>43525</v>
      </c>
      <c r="B173" s="11">
        <v>55.1</v>
      </c>
    </row>
    <row r="174" spans="1:2" x14ac:dyDescent="0.2">
      <c r="A174" s="2">
        <v>43556</v>
      </c>
      <c r="B174" s="11">
        <v>53.1</v>
      </c>
    </row>
    <row r="175" spans="1:2" x14ac:dyDescent="0.2">
      <c r="A175" s="2">
        <v>43586</v>
      </c>
      <c r="B175" s="11">
        <v>49.4</v>
      </c>
    </row>
    <row r="176" spans="1:2" x14ac:dyDescent="0.2">
      <c r="A176" s="2">
        <v>43617</v>
      </c>
      <c r="B176" s="11">
        <v>48</v>
      </c>
    </row>
    <row r="177" spans="1:2" x14ac:dyDescent="0.2">
      <c r="A177" s="2">
        <v>43647</v>
      </c>
      <c r="B177" s="11">
        <v>48</v>
      </c>
    </row>
    <row r="178" spans="1:2" x14ac:dyDescent="0.2">
      <c r="A178" s="2">
        <v>43678</v>
      </c>
      <c r="B178" s="11">
        <v>47.4</v>
      </c>
    </row>
    <row r="179" spans="1:2" x14ac:dyDescent="0.2">
      <c r="A179" s="2">
        <v>43709</v>
      </c>
      <c r="B179" s="11">
        <v>48.3</v>
      </c>
    </row>
    <row r="180" spans="1:2" x14ac:dyDescent="0.2">
      <c r="A180" s="2">
        <v>43739</v>
      </c>
      <c r="B180" s="11">
        <v>49.6</v>
      </c>
    </row>
    <row r="181" spans="1:2" x14ac:dyDescent="0.2">
      <c r="A181" s="2">
        <v>43770</v>
      </c>
      <c r="B181" s="11">
        <v>48.9</v>
      </c>
    </row>
    <row r="182" spans="1:2" x14ac:dyDescent="0.2">
      <c r="A182" s="2">
        <v>43800</v>
      </c>
      <c r="B182" s="11">
        <v>47.5</v>
      </c>
    </row>
    <row r="183" spans="1:2" x14ac:dyDescent="0.2">
      <c r="A183" s="2">
        <v>43831</v>
      </c>
      <c r="B183" s="11">
        <v>50</v>
      </c>
    </row>
    <row r="184" spans="1:2" x14ac:dyDescent="0.2">
      <c r="A184" s="2">
        <v>43862</v>
      </c>
      <c r="B184" s="11">
        <v>51.7</v>
      </c>
    </row>
    <row r="185" spans="1:2" x14ac:dyDescent="0.2">
      <c r="A185" s="2">
        <v>43891</v>
      </c>
      <c r="B185" s="11">
        <v>47.8</v>
      </c>
    </row>
    <row r="186" spans="1:2" x14ac:dyDescent="0.2">
      <c r="A186" s="2">
        <v>43922</v>
      </c>
      <c r="B186" s="11">
        <v>32.6</v>
      </c>
    </row>
    <row r="187" spans="1:2" x14ac:dyDescent="0.2">
      <c r="A187" s="2">
        <v>43952</v>
      </c>
      <c r="B187" s="11">
        <v>40.700000000000003</v>
      </c>
    </row>
    <row r="188" spans="1:2" x14ac:dyDescent="0.2">
      <c r="A188" s="2">
        <v>43983</v>
      </c>
      <c r="B188" s="11">
        <v>50.1</v>
      </c>
    </row>
    <row r="189" spans="1:2" x14ac:dyDescent="0.2">
      <c r="A189" s="2">
        <v>44013</v>
      </c>
      <c r="B189" s="11">
        <v>53.3</v>
      </c>
    </row>
    <row r="190" spans="1:2" x14ac:dyDescent="0.2">
      <c r="A190" s="2">
        <v>44044</v>
      </c>
      <c r="B190" s="11">
        <v>55.2</v>
      </c>
    </row>
    <row r="191" spans="1:2" x14ac:dyDescent="0.2">
      <c r="A191" s="2">
        <v>44075</v>
      </c>
      <c r="B191" s="11">
        <v>54.1</v>
      </c>
    </row>
    <row r="192" spans="1:2" x14ac:dyDescent="0.2">
      <c r="A192" s="2">
        <v>44105</v>
      </c>
      <c r="B192" s="11">
        <v>53.7</v>
      </c>
    </row>
    <row r="193" spans="1:2" x14ac:dyDescent="0.2">
      <c r="A193" s="2">
        <v>44136</v>
      </c>
      <c r="B193" s="11">
        <v>55.6</v>
      </c>
    </row>
    <row r="194" spans="1:2" x14ac:dyDescent="0.2">
      <c r="A194" s="2">
        <v>44166</v>
      </c>
      <c r="B194" s="11">
        <v>57.5</v>
      </c>
    </row>
    <row r="195" spans="1:2" x14ac:dyDescent="0.2">
      <c r="A195" s="2">
        <v>44197</v>
      </c>
      <c r="B195" s="11">
        <v>54.1</v>
      </c>
    </row>
    <row r="196" spans="1:2" x14ac:dyDescent="0.2">
      <c r="A196" s="2">
        <v>44228</v>
      </c>
      <c r="B196" s="11">
        <v>55.1</v>
      </c>
    </row>
    <row r="197" spans="1:2" x14ac:dyDescent="0.2">
      <c r="A197" s="2">
        <v>44256</v>
      </c>
      <c r="B197" s="11">
        <v>58.9</v>
      </c>
    </row>
    <row r="198" spans="1:2" x14ac:dyDescent="0.2">
      <c r="A198" s="2">
        <v>44287</v>
      </c>
      <c r="B198" s="11">
        <v>60.9</v>
      </c>
    </row>
    <row r="199" spans="1:2" x14ac:dyDescent="0.2">
      <c r="A199" s="2">
        <v>44317</v>
      </c>
      <c r="B199" s="11">
        <v>65.599999999999994</v>
      </c>
    </row>
    <row r="200" spans="1:2" x14ac:dyDescent="0.2">
      <c r="A200" s="2">
        <v>44348</v>
      </c>
      <c r="B200" s="11">
        <v>63.9</v>
      </c>
    </row>
    <row r="201" spans="1:2" x14ac:dyDescent="0.2">
      <c r="A201" s="2">
        <v>44378</v>
      </c>
      <c r="B201" s="11">
        <v>60.4</v>
      </c>
    </row>
    <row r="202" spans="1:2" x14ac:dyDescent="0.2">
      <c r="A202" s="2">
        <v>44409</v>
      </c>
      <c r="B202" s="11">
        <v>60.3</v>
      </c>
    </row>
    <row r="203" spans="1:2" x14ac:dyDescent="0.2">
      <c r="A203" s="2">
        <v>44440</v>
      </c>
      <c r="B203" s="11">
        <v>57.1</v>
      </c>
    </row>
    <row r="204" spans="1:2" x14ac:dyDescent="0.2">
      <c r="A204" s="2">
        <v>44470</v>
      </c>
      <c r="B204" s="11">
        <v>57.8</v>
      </c>
    </row>
    <row r="205" spans="1:2" x14ac:dyDescent="0.2">
      <c r="A205" s="2">
        <v>44501</v>
      </c>
      <c r="B205" s="11">
        <v>58.1</v>
      </c>
    </row>
    <row r="206" spans="1:2" x14ac:dyDescent="0.2">
      <c r="A206" s="2">
        <v>44531</v>
      </c>
      <c r="B206" s="11">
        <v>57.9</v>
      </c>
    </row>
  </sheetData>
  <conditionalFormatting sqref="B2:B206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182"/>
  <sheetViews>
    <sheetView zoomScale="170" zoomScaleNormal="170" workbookViewId="0">
      <pane ySplit="1" topLeftCell="A2" activePane="bottomLeft" state="frozen"/>
      <selection pane="bottomLeft" activeCell="J15" sqref="J15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15</v>
      </c>
    </row>
    <row r="2" spans="1:2" x14ac:dyDescent="0.2">
      <c r="A2" s="6">
        <v>39052</v>
      </c>
      <c r="B2" s="7">
        <v>55</v>
      </c>
    </row>
    <row r="3" spans="1:2" x14ac:dyDescent="0.2">
      <c r="A3" s="2">
        <v>39083</v>
      </c>
      <c r="B3" s="11">
        <v>53.5</v>
      </c>
    </row>
    <row r="4" spans="1:2" x14ac:dyDescent="0.2">
      <c r="A4" s="2">
        <v>39114</v>
      </c>
      <c r="B4" s="11">
        <v>54.2</v>
      </c>
    </row>
    <row r="5" spans="1:2" x14ac:dyDescent="0.2">
      <c r="A5" s="2">
        <v>39142</v>
      </c>
      <c r="B5" s="11">
        <v>53.8</v>
      </c>
    </row>
    <row r="6" spans="1:2" x14ac:dyDescent="0.2">
      <c r="A6" s="2">
        <v>39173</v>
      </c>
      <c r="B6" s="11">
        <v>53.9</v>
      </c>
    </row>
    <row r="7" spans="1:2" x14ac:dyDescent="0.2">
      <c r="A7" s="2">
        <v>39203</v>
      </c>
      <c r="B7" s="11">
        <v>55</v>
      </c>
    </row>
    <row r="8" spans="1:2" x14ac:dyDescent="0.2">
      <c r="A8" s="2">
        <v>39234</v>
      </c>
      <c r="B8" s="11">
        <v>54</v>
      </c>
    </row>
    <row r="9" spans="1:2" x14ac:dyDescent="0.2">
      <c r="A9" s="2">
        <v>39264</v>
      </c>
      <c r="B9" s="11">
        <v>53.3</v>
      </c>
    </row>
    <row r="10" spans="1:2" x14ac:dyDescent="0.2">
      <c r="A10" s="2">
        <v>39295</v>
      </c>
      <c r="B10" s="11">
        <v>53.6</v>
      </c>
    </row>
    <row r="11" spans="1:2" x14ac:dyDescent="0.2">
      <c r="A11" s="2">
        <v>39326</v>
      </c>
      <c r="B11" s="11">
        <v>52.4</v>
      </c>
    </row>
    <row r="12" spans="1:2" x14ac:dyDescent="0.2">
      <c r="A12" s="2">
        <v>39356</v>
      </c>
      <c r="B12" s="11">
        <v>51.3</v>
      </c>
    </row>
    <row r="13" spans="1:2" x14ac:dyDescent="0.2">
      <c r="A13" s="2">
        <v>39387</v>
      </c>
      <c r="B13" s="11">
        <v>51.3</v>
      </c>
    </row>
    <row r="14" spans="1:2" x14ac:dyDescent="0.2">
      <c r="A14" s="2">
        <v>39417</v>
      </c>
      <c r="B14" s="11">
        <v>50.7</v>
      </c>
    </row>
    <row r="15" spans="1:2" x14ac:dyDescent="0.2">
      <c r="A15" s="2">
        <v>39448</v>
      </c>
      <c r="B15" s="11">
        <v>50.8</v>
      </c>
    </row>
    <row r="16" spans="1:2" x14ac:dyDescent="0.2">
      <c r="A16" s="2">
        <v>39479</v>
      </c>
      <c r="B16" s="11">
        <v>50.6</v>
      </c>
    </row>
    <row r="17" spans="1:2" x14ac:dyDescent="0.2">
      <c r="A17" s="2">
        <v>39508</v>
      </c>
      <c r="B17" s="11">
        <v>49.4</v>
      </c>
    </row>
    <row r="18" spans="1:2" x14ac:dyDescent="0.2">
      <c r="A18" s="2">
        <v>39539</v>
      </c>
      <c r="B18" s="11">
        <v>48.2</v>
      </c>
    </row>
    <row r="19" spans="1:2" x14ac:dyDescent="0.2">
      <c r="A19" s="2">
        <v>39569</v>
      </c>
      <c r="B19" s="11">
        <v>48</v>
      </c>
    </row>
    <row r="20" spans="1:2" x14ac:dyDescent="0.2">
      <c r="A20" s="2">
        <v>39600</v>
      </c>
      <c r="B20" s="11">
        <v>46.9</v>
      </c>
    </row>
    <row r="21" spans="1:2" x14ac:dyDescent="0.2">
      <c r="A21" s="2">
        <v>39630</v>
      </c>
      <c r="B21" s="11">
        <v>45.3</v>
      </c>
    </row>
    <row r="22" spans="1:2" x14ac:dyDescent="0.2">
      <c r="A22" s="2">
        <v>39661</v>
      </c>
      <c r="B22" s="11">
        <v>47.1</v>
      </c>
    </row>
    <row r="23" spans="1:2" x14ac:dyDescent="0.2">
      <c r="A23" s="2">
        <v>39692</v>
      </c>
      <c r="B23" s="11">
        <v>44.4</v>
      </c>
    </row>
    <row r="24" spans="1:2" x14ac:dyDescent="0.2">
      <c r="A24" s="2">
        <v>39722</v>
      </c>
      <c r="B24" s="11">
        <v>39.700000000000003</v>
      </c>
    </row>
    <row r="25" spans="1:2" x14ac:dyDescent="0.2">
      <c r="A25" s="2">
        <v>39753</v>
      </c>
      <c r="B25" s="11">
        <v>34.9</v>
      </c>
    </row>
    <row r="26" spans="1:2" x14ac:dyDescent="0.2">
      <c r="A26" s="2">
        <v>39783</v>
      </c>
      <c r="B26" s="11">
        <v>35.5</v>
      </c>
    </row>
    <row r="27" spans="1:2" x14ac:dyDescent="0.2">
      <c r="A27" s="2">
        <v>39814</v>
      </c>
      <c r="B27" s="11">
        <v>36.1</v>
      </c>
    </row>
    <row r="28" spans="1:2" x14ac:dyDescent="0.2">
      <c r="A28" s="2">
        <v>39845</v>
      </c>
      <c r="B28" s="11">
        <v>35</v>
      </c>
    </row>
    <row r="29" spans="1:2" x14ac:dyDescent="0.2">
      <c r="A29" s="2">
        <v>39873</v>
      </c>
      <c r="B29" s="11">
        <v>34.6</v>
      </c>
    </row>
    <row r="30" spans="1:2" x14ac:dyDescent="0.2">
      <c r="A30" s="2">
        <v>39904</v>
      </c>
      <c r="B30" s="11">
        <v>37.200000000000003</v>
      </c>
    </row>
    <row r="31" spans="1:2" x14ac:dyDescent="0.2">
      <c r="A31" s="2">
        <v>39934</v>
      </c>
      <c r="B31" s="11">
        <v>41.1</v>
      </c>
    </row>
    <row r="32" spans="1:2" x14ac:dyDescent="0.2">
      <c r="A32" s="2">
        <v>39965</v>
      </c>
      <c r="B32" s="11">
        <v>42.7</v>
      </c>
    </row>
    <row r="33" spans="1:2" x14ac:dyDescent="0.2">
      <c r="A33" s="2">
        <v>39995</v>
      </c>
      <c r="B33" s="11">
        <v>45.4</v>
      </c>
    </row>
    <row r="34" spans="1:2" x14ac:dyDescent="0.2">
      <c r="A34" s="2">
        <v>40026</v>
      </c>
      <c r="B34" s="11">
        <v>44.2</v>
      </c>
    </row>
    <row r="35" spans="1:2" x14ac:dyDescent="0.2">
      <c r="A35" s="2">
        <v>40057</v>
      </c>
      <c r="B35" s="11">
        <v>47.6</v>
      </c>
    </row>
    <row r="36" spans="1:2" x14ac:dyDescent="0.2">
      <c r="A36" s="2">
        <v>40087</v>
      </c>
      <c r="B36" s="11">
        <v>49.2</v>
      </c>
    </row>
    <row r="37" spans="1:2" x14ac:dyDescent="0.2">
      <c r="A37" s="2">
        <v>40118</v>
      </c>
      <c r="B37" s="11">
        <v>50.1</v>
      </c>
    </row>
    <row r="38" spans="1:2" x14ac:dyDescent="0.2">
      <c r="A38" s="2">
        <v>40148</v>
      </c>
      <c r="B38" s="11">
        <v>50.8</v>
      </c>
    </row>
    <row r="39" spans="1:2" x14ac:dyDescent="0.2">
      <c r="A39" s="2">
        <v>40179</v>
      </c>
      <c r="B39" s="11">
        <v>51.7</v>
      </c>
    </row>
    <row r="40" spans="1:2" x14ac:dyDescent="0.2">
      <c r="A40" s="2">
        <v>40210</v>
      </c>
      <c r="B40" s="11">
        <v>51.6</v>
      </c>
    </row>
    <row r="41" spans="1:2" x14ac:dyDescent="0.2">
      <c r="A41" s="2">
        <v>40238</v>
      </c>
      <c r="B41" s="11">
        <v>53.7</v>
      </c>
    </row>
    <row r="42" spans="1:2" x14ac:dyDescent="0.2">
      <c r="A42" s="2">
        <v>40269</v>
      </c>
      <c r="B42" s="11">
        <v>54.3</v>
      </c>
    </row>
    <row r="43" spans="1:2" x14ac:dyDescent="0.2">
      <c r="A43" s="2">
        <v>40299</v>
      </c>
      <c r="B43" s="11">
        <v>54</v>
      </c>
    </row>
    <row r="44" spans="1:2" x14ac:dyDescent="0.2">
      <c r="A44" s="2">
        <v>40330</v>
      </c>
      <c r="B44" s="11">
        <v>54.3</v>
      </c>
    </row>
    <row r="45" spans="1:2" x14ac:dyDescent="0.2">
      <c r="A45" s="2">
        <v>40360</v>
      </c>
      <c r="B45" s="11">
        <v>54.4</v>
      </c>
    </row>
    <row r="46" spans="1:2" x14ac:dyDescent="0.2">
      <c r="A46" s="2">
        <v>40391</v>
      </c>
      <c r="B46" s="11">
        <v>52.8</v>
      </c>
    </row>
    <row r="47" spans="1:2" x14ac:dyDescent="0.2">
      <c r="A47" s="2">
        <v>40422</v>
      </c>
      <c r="B47" s="11">
        <v>52.6</v>
      </c>
    </row>
    <row r="48" spans="1:2" x14ac:dyDescent="0.2">
      <c r="A48" s="2">
        <v>40452</v>
      </c>
      <c r="B48" s="11">
        <v>53</v>
      </c>
    </row>
    <row r="49" spans="1:2" x14ac:dyDescent="0.2">
      <c r="A49" s="2">
        <v>40483</v>
      </c>
      <c r="B49" s="11">
        <v>52</v>
      </c>
    </row>
    <row r="50" spans="1:2" x14ac:dyDescent="0.2">
      <c r="A50" s="2">
        <v>40513</v>
      </c>
      <c r="B50" s="11">
        <v>54.7</v>
      </c>
    </row>
    <row r="51" spans="1:2" x14ac:dyDescent="0.2">
      <c r="A51" s="2">
        <v>40544</v>
      </c>
      <c r="B51" s="11">
        <v>56.6</v>
      </c>
    </row>
    <row r="52" spans="1:2" x14ac:dyDescent="0.2">
      <c r="A52" s="2">
        <v>40575</v>
      </c>
      <c r="B52" s="11">
        <v>59</v>
      </c>
    </row>
    <row r="53" spans="1:2" x14ac:dyDescent="0.2">
      <c r="A53" s="2">
        <v>40603</v>
      </c>
      <c r="B53" s="11">
        <v>56.2</v>
      </c>
    </row>
    <row r="54" spans="1:2" x14ac:dyDescent="0.2">
      <c r="A54" s="2">
        <v>40634</v>
      </c>
      <c r="B54" s="11">
        <v>55.5</v>
      </c>
    </row>
    <row r="55" spans="1:2" x14ac:dyDescent="0.2">
      <c r="A55" s="2">
        <v>40664</v>
      </c>
      <c r="B55" s="11">
        <v>52.8</v>
      </c>
    </row>
    <row r="56" spans="1:2" x14ac:dyDescent="0.2">
      <c r="A56" s="2">
        <v>40695</v>
      </c>
      <c r="B56" s="11">
        <v>49.9</v>
      </c>
    </row>
    <row r="57" spans="1:2" x14ac:dyDescent="0.2">
      <c r="A57" s="2">
        <v>40725</v>
      </c>
      <c r="B57" s="11">
        <v>50.1</v>
      </c>
    </row>
    <row r="58" spans="1:2" x14ac:dyDescent="0.2">
      <c r="A58" s="2">
        <v>40756</v>
      </c>
      <c r="B58" s="11">
        <v>47</v>
      </c>
    </row>
    <row r="59" spans="1:2" x14ac:dyDescent="0.2">
      <c r="A59" s="2">
        <v>40787</v>
      </c>
      <c r="B59" s="11">
        <v>48.3</v>
      </c>
    </row>
    <row r="60" spans="1:2" x14ac:dyDescent="0.2">
      <c r="A60" s="2">
        <v>40817</v>
      </c>
      <c r="B60" s="11">
        <v>43.3</v>
      </c>
    </row>
    <row r="61" spans="1:2" x14ac:dyDescent="0.2">
      <c r="A61" s="2">
        <v>40848</v>
      </c>
      <c r="B61" s="11">
        <v>44</v>
      </c>
    </row>
    <row r="62" spans="1:2" x14ac:dyDescent="0.2">
      <c r="A62" s="2">
        <v>40878</v>
      </c>
      <c r="B62" s="11">
        <v>44.3</v>
      </c>
    </row>
    <row r="63" spans="1:2" x14ac:dyDescent="0.2">
      <c r="A63" s="2">
        <v>40909</v>
      </c>
      <c r="B63" s="11">
        <v>46.8</v>
      </c>
    </row>
    <row r="64" spans="1:2" x14ac:dyDescent="0.2">
      <c r="A64" s="2">
        <v>40940</v>
      </c>
      <c r="B64" s="11">
        <v>47.8</v>
      </c>
    </row>
    <row r="65" spans="1:2" x14ac:dyDescent="0.2">
      <c r="A65" s="2">
        <v>40969</v>
      </c>
      <c r="B65" s="11">
        <v>47.9</v>
      </c>
    </row>
    <row r="66" spans="1:2" x14ac:dyDescent="0.2">
      <c r="A66" s="2">
        <v>41000</v>
      </c>
      <c r="B66" s="11">
        <v>43.8</v>
      </c>
    </row>
    <row r="67" spans="1:2" x14ac:dyDescent="0.2">
      <c r="A67" s="2">
        <v>41030</v>
      </c>
      <c r="B67" s="11">
        <v>44.8</v>
      </c>
    </row>
    <row r="68" spans="1:2" x14ac:dyDescent="0.2">
      <c r="A68" s="2">
        <v>41061</v>
      </c>
      <c r="B68" s="11">
        <v>44.6</v>
      </c>
    </row>
    <row r="69" spans="1:2" x14ac:dyDescent="0.2">
      <c r="A69" s="2">
        <v>41091</v>
      </c>
      <c r="B69" s="11">
        <v>44.3</v>
      </c>
    </row>
    <row r="70" spans="1:2" x14ac:dyDescent="0.2">
      <c r="A70" s="2">
        <v>41122</v>
      </c>
      <c r="B70" s="11">
        <v>43.6</v>
      </c>
    </row>
    <row r="71" spans="1:2" x14ac:dyDescent="0.2">
      <c r="A71" s="2">
        <v>41153</v>
      </c>
      <c r="B71" s="11">
        <v>45.7</v>
      </c>
    </row>
    <row r="72" spans="1:2" x14ac:dyDescent="0.2">
      <c r="A72" s="2">
        <v>41183</v>
      </c>
      <c r="B72" s="11">
        <v>45.5</v>
      </c>
    </row>
    <row r="73" spans="1:2" x14ac:dyDescent="0.2">
      <c r="A73" s="2">
        <v>41214</v>
      </c>
      <c r="B73" s="11">
        <v>45.1</v>
      </c>
    </row>
    <row r="74" spans="1:2" x14ac:dyDescent="0.2">
      <c r="A74" s="2">
        <v>41244</v>
      </c>
      <c r="B74" s="11">
        <v>46.7</v>
      </c>
    </row>
    <row r="75" spans="1:2" x14ac:dyDescent="0.2">
      <c r="A75" s="2">
        <v>41275</v>
      </c>
      <c r="B75" s="11">
        <v>47.8</v>
      </c>
    </row>
    <row r="76" spans="1:2" x14ac:dyDescent="0.2">
      <c r="A76" s="2">
        <v>41306</v>
      </c>
      <c r="B76" s="11">
        <v>45.8</v>
      </c>
    </row>
    <row r="77" spans="1:2" x14ac:dyDescent="0.2">
      <c r="A77" s="2">
        <v>41334</v>
      </c>
      <c r="B77" s="11">
        <v>44.5</v>
      </c>
    </row>
    <row r="78" spans="1:2" x14ac:dyDescent="0.2">
      <c r="A78" s="2">
        <v>41365</v>
      </c>
      <c r="B78" s="11">
        <v>45.5</v>
      </c>
    </row>
    <row r="79" spans="1:2" x14ac:dyDescent="0.2">
      <c r="A79" s="2">
        <v>41395</v>
      </c>
      <c r="B79" s="11">
        <v>47.3</v>
      </c>
    </row>
    <row r="80" spans="1:2" x14ac:dyDescent="0.2">
      <c r="A80" s="2">
        <v>41426</v>
      </c>
      <c r="B80" s="11">
        <v>49.1</v>
      </c>
    </row>
    <row r="81" spans="1:2" x14ac:dyDescent="0.2">
      <c r="A81" s="2">
        <v>41456</v>
      </c>
      <c r="B81" s="11">
        <v>50.4</v>
      </c>
    </row>
    <row r="82" spans="1:2" x14ac:dyDescent="0.2">
      <c r="A82" s="2">
        <v>41487</v>
      </c>
      <c r="B82" s="11">
        <v>51.3</v>
      </c>
    </row>
    <row r="83" spans="1:2" x14ac:dyDescent="0.2">
      <c r="A83" s="2">
        <v>41518</v>
      </c>
      <c r="B83" s="11">
        <v>50.8</v>
      </c>
    </row>
    <row r="84" spans="1:2" x14ac:dyDescent="0.2">
      <c r="A84" s="2">
        <v>41548</v>
      </c>
      <c r="B84" s="11">
        <v>50.7</v>
      </c>
    </row>
    <row r="85" spans="1:2" x14ac:dyDescent="0.2">
      <c r="A85" s="2">
        <v>41579</v>
      </c>
      <c r="B85" s="11">
        <v>51.4</v>
      </c>
    </row>
    <row r="86" spans="1:2" x14ac:dyDescent="0.2">
      <c r="A86" s="2">
        <v>41609</v>
      </c>
      <c r="B86" s="11">
        <v>53.3</v>
      </c>
    </row>
    <row r="87" spans="1:2" x14ac:dyDescent="0.2">
      <c r="A87" s="2">
        <v>41640</v>
      </c>
      <c r="B87" s="11">
        <v>53.1</v>
      </c>
    </row>
    <row r="88" spans="1:2" x14ac:dyDescent="0.2">
      <c r="A88" s="2">
        <v>41671</v>
      </c>
      <c r="B88" s="11">
        <v>52.3</v>
      </c>
    </row>
    <row r="89" spans="1:2" x14ac:dyDescent="0.2">
      <c r="A89" s="2">
        <v>41699</v>
      </c>
      <c r="B89" s="11">
        <v>52.4</v>
      </c>
    </row>
    <row r="90" spans="1:2" x14ac:dyDescent="0.2">
      <c r="A90" s="2">
        <v>41730</v>
      </c>
      <c r="B90" s="11">
        <v>54</v>
      </c>
    </row>
    <row r="91" spans="1:2" x14ac:dyDescent="0.2">
      <c r="A91" s="2">
        <v>41760</v>
      </c>
      <c r="B91" s="11">
        <v>53.2</v>
      </c>
    </row>
    <row r="92" spans="1:2" x14ac:dyDescent="0.2">
      <c r="A92" s="2">
        <v>41791</v>
      </c>
      <c r="B92" s="11">
        <v>52.6</v>
      </c>
    </row>
    <row r="93" spans="1:2" x14ac:dyDescent="0.2">
      <c r="A93" s="2">
        <v>41821</v>
      </c>
      <c r="B93" s="11">
        <v>51.9</v>
      </c>
    </row>
    <row r="94" spans="1:2" x14ac:dyDescent="0.2">
      <c r="A94" s="2">
        <v>41852</v>
      </c>
      <c r="B94" s="11">
        <v>49.8</v>
      </c>
    </row>
    <row r="95" spans="1:2" x14ac:dyDescent="0.2">
      <c r="A95" s="2">
        <v>41883</v>
      </c>
      <c r="B95" s="11">
        <v>50.7</v>
      </c>
    </row>
    <row r="96" spans="1:2" x14ac:dyDescent="0.2">
      <c r="A96" s="2">
        <v>41913</v>
      </c>
      <c r="B96" s="11">
        <v>49</v>
      </c>
    </row>
    <row r="97" spans="1:2" x14ac:dyDescent="0.2">
      <c r="A97" s="2">
        <v>41944</v>
      </c>
      <c r="B97" s="11">
        <v>49</v>
      </c>
    </row>
    <row r="98" spans="1:2" x14ac:dyDescent="0.2">
      <c r="A98" s="2">
        <v>41974</v>
      </c>
      <c r="B98" s="11">
        <v>48.4</v>
      </c>
    </row>
    <row r="99" spans="1:2" x14ac:dyDescent="0.2">
      <c r="A99" s="2">
        <v>42005</v>
      </c>
      <c r="B99" s="11">
        <v>49.9</v>
      </c>
    </row>
    <row r="100" spans="1:2" x14ac:dyDescent="0.2">
      <c r="A100" s="2">
        <v>42036</v>
      </c>
      <c r="B100" s="11">
        <v>51.9</v>
      </c>
    </row>
    <row r="101" spans="1:2" x14ac:dyDescent="0.2">
      <c r="A101" s="2">
        <v>42064</v>
      </c>
      <c r="B101" s="11">
        <v>53.3</v>
      </c>
    </row>
    <row r="102" spans="1:2" x14ac:dyDescent="0.2">
      <c r="A102" s="2">
        <v>42095</v>
      </c>
      <c r="B102" s="11">
        <v>53.8</v>
      </c>
    </row>
    <row r="103" spans="1:2" x14ac:dyDescent="0.2">
      <c r="A103" s="2">
        <v>42125</v>
      </c>
      <c r="B103" s="11">
        <v>54.8</v>
      </c>
    </row>
    <row r="104" spans="1:2" x14ac:dyDescent="0.2">
      <c r="A104" s="2">
        <v>42156</v>
      </c>
      <c r="B104" s="11">
        <v>54.1</v>
      </c>
    </row>
    <row r="105" spans="1:2" x14ac:dyDescent="0.2">
      <c r="A105" s="2">
        <v>42186</v>
      </c>
      <c r="B105" s="11">
        <v>55.3</v>
      </c>
    </row>
    <row r="106" spans="1:2" x14ac:dyDescent="0.2">
      <c r="A106" s="2">
        <v>42217</v>
      </c>
      <c r="B106" s="11">
        <v>53.8</v>
      </c>
    </row>
    <row r="107" spans="1:2" x14ac:dyDescent="0.2">
      <c r="A107" s="2">
        <v>42248</v>
      </c>
      <c r="B107" s="11">
        <v>52.7</v>
      </c>
    </row>
    <row r="108" spans="1:2" x14ac:dyDescent="0.2">
      <c r="A108" s="2">
        <v>42278</v>
      </c>
      <c r="B108" s="11">
        <v>54.1</v>
      </c>
    </row>
    <row r="109" spans="1:2" x14ac:dyDescent="0.2">
      <c r="A109" s="2">
        <v>42309</v>
      </c>
      <c r="B109" s="11">
        <v>54.9</v>
      </c>
    </row>
    <row r="110" spans="1:2" x14ac:dyDescent="0.2">
      <c r="A110" s="2">
        <v>42339</v>
      </c>
      <c r="B110" s="11">
        <v>55.6</v>
      </c>
    </row>
    <row r="111" spans="1:2" x14ac:dyDescent="0.2">
      <c r="A111" s="2">
        <v>42370</v>
      </c>
      <c r="B111" s="11">
        <v>53.2</v>
      </c>
    </row>
    <row r="112" spans="1:2" x14ac:dyDescent="0.2">
      <c r="A112" s="2">
        <v>42401</v>
      </c>
      <c r="B112" s="11">
        <v>52.2</v>
      </c>
    </row>
    <row r="113" spans="1:2" x14ac:dyDescent="0.2">
      <c r="A113" s="2">
        <v>42430</v>
      </c>
      <c r="B113" s="11">
        <v>53.5</v>
      </c>
    </row>
    <row r="114" spans="1:2" x14ac:dyDescent="0.2">
      <c r="A114" s="2">
        <v>42461</v>
      </c>
      <c r="B114" s="11">
        <v>53.9</v>
      </c>
    </row>
    <row r="115" spans="1:2" x14ac:dyDescent="0.2">
      <c r="A115" s="2">
        <v>42491</v>
      </c>
      <c r="B115" s="11">
        <v>52.4</v>
      </c>
    </row>
    <row r="116" spans="1:2" x14ac:dyDescent="0.2">
      <c r="A116" s="2">
        <v>42522</v>
      </c>
      <c r="B116" s="11">
        <v>53.5</v>
      </c>
    </row>
    <row r="117" spans="1:2" x14ac:dyDescent="0.2">
      <c r="A117" s="2">
        <v>42552</v>
      </c>
      <c r="B117" s="11">
        <v>51.2</v>
      </c>
    </row>
    <row r="118" spans="1:2" x14ac:dyDescent="0.2">
      <c r="A118" s="2">
        <v>42583</v>
      </c>
      <c r="B118" s="11">
        <v>49.8</v>
      </c>
    </row>
    <row r="119" spans="1:2" x14ac:dyDescent="0.2">
      <c r="A119" s="2">
        <v>42614</v>
      </c>
      <c r="B119" s="11">
        <v>51</v>
      </c>
    </row>
    <row r="120" spans="1:2" x14ac:dyDescent="0.2">
      <c r="A120" s="2">
        <v>42644</v>
      </c>
      <c r="B120" s="11">
        <v>50.9</v>
      </c>
    </row>
    <row r="121" spans="1:2" x14ac:dyDescent="0.2">
      <c r="A121" s="2">
        <v>42675</v>
      </c>
      <c r="B121" s="11">
        <v>52.2</v>
      </c>
    </row>
    <row r="122" spans="1:2" x14ac:dyDescent="0.2">
      <c r="A122" s="2">
        <v>42705</v>
      </c>
      <c r="B122" s="11">
        <v>53.2</v>
      </c>
    </row>
    <row r="123" spans="1:2" x14ac:dyDescent="0.2">
      <c r="A123" s="2">
        <v>42736</v>
      </c>
      <c r="B123" s="11">
        <v>53</v>
      </c>
    </row>
    <row r="124" spans="1:2" x14ac:dyDescent="0.2">
      <c r="A124" s="2">
        <v>42767</v>
      </c>
      <c r="B124" s="11">
        <v>55</v>
      </c>
    </row>
    <row r="125" spans="1:2" x14ac:dyDescent="0.2">
      <c r="A125" s="2">
        <v>42795</v>
      </c>
      <c r="B125" s="11">
        <v>55.7</v>
      </c>
    </row>
    <row r="126" spans="1:2" x14ac:dyDescent="0.2">
      <c r="A126" s="2">
        <v>42826</v>
      </c>
      <c r="B126" s="11">
        <v>56.2</v>
      </c>
    </row>
    <row r="127" spans="1:2" x14ac:dyDescent="0.2">
      <c r="A127" s="2">
        <v>42856</v>
      </c>
      <c r="B127" s="11">
        <v>55.1</v>
      </c>
    </row>
    <row r="128" spans="1:2" x14ac:dyDescent="0.2">
      <c r="A128" s="2">
        <v>42887</v>
      </c>
      <c r="B128" s="11">
        <v>55.2</v>
      </c>
    </row>
    <row r="129" spans="1:2" x14ac:dyDescent="0.2">
      <c r="A129" s="2">
        <v>42917</v>
      </c>
      <c r="B129" s="11">
        <v>55.1</v>
      </c>
    </row>
    <row r="130" spans="1:2" x14ac:dyDescent="0.2">
      <c r="A130" s="2">
        <v>42948</v>
      </c>
      <c r="B130" s="11">
        <v>56.3</v>
      </c>
    </row>
    <row r="131" spans="1:2" x14ac:dyDescent="0.2">
      <c r="A131" s="2">
        <v>42979</v>
      </c>
      <c r="B131" s="11">
        <v>56.3</v>
      </c>
    </row>
    <row r="132" spans="1:2" x14ac:dyDescent="0.2">
      <c r="A132" s="2">
        <v>43009</v>
      </c>
      <c r="B132" s="11">
        <v>57.8</v>
      </c>
    </row>
    <row r="133" spans="1:2" x14ac:dyDescent="0.2">
      <c r="A133" s="2">
        <v>43040</v>
      </c>
      <c r="B133" s="11">
        <v>58.3</v>
      </c>
    </row>
    <row r="134" spans="1:2" x14ac:dyDescent="0.2">
      <c r="A134" s="2">
        <v>43070</v>
      </c>
      <c r="B134" s="11">
        <v>57.4</v>
      </c>
    </row>
    <row r="135" spans="1:2" x14ac:dyDescent="0.2">
      <c r="A135" s="2">
        <v>43101</v>
      </c>
      <c r="B135" s="11">
        <v>59</v>
      </c>
    </row>
    <row r="136" spans="1:2" x14ac:dyDescent="0.2">
      <c r="A136" s="2">
        <v>43132</v>
      </c>
      <c r="B136" s="11">
        <v>56.8</v>
      </c>
    </row>
    <row r="137" spans="1:2" x14ac:dyDescent="0.2">
      <c r="A137" s="2">
        <v>43160</v>
      </c>
      <c r="B137" s="11">
        <v>55.1</v>
      </c>
    </row>
    <row r="138" spans="1:2" x14ac:dyDescent="0.2">
      <c r="A138" s="2">
        <v>43191</v>
      </c>
      <c r="B138" s="11">
        <v>53.5</v>
      </c>
    </row>
    <row r="139" spans="1:2" x14ac:dyDescent="0.2">
      <c r="A139" s="2">
        <v>43221</v>
      </c>
      <c r="B139" s="11">
        <v>52.7</v>
      </c>
    </row>
    <row r="140" spans="1:2" x14ac:dyDescent="0.2">
      <c r="A140" s="2">
        <v>43252</v>
      </c>
      <c r="B140" s="11">
        <v>53.3</v>
      </c>
    </row>
    <row r="141" spans="1:2" x14ac:dyDescent="0.2">
      <c r="A141" s="2">
        <v>43282</v>
      </c>
      <c r="B141" s="11">
        <v>51.5</v>
      </c>
    </row>
    <row r="142" spans="1:2" x14ac:dyDescent="0.2">
      <c r="A142" s="2">
        <v>43313</v>
      </c>
      <c r="B142" s="11">
        <v>50.1</v>
      </c>
    </row>
    <row r="143" spans="1:2" x14ac:dyDescent="0.2">
      <c r="A143" s="2">
        <v>43344</v>
      </c>
      <c r="B143" s="11">
        <v>50</v>
      </c>
    </row>
    <row r="144" spans="1:2" x14ac:dyDescent="0.2">
      <c r="A144" s="2">
        <v>43374</v>
      </c>
      <c r="B144" s="11">
        <v>49.2</v>
      </c>
    </row>
    <row r="145" spans="1:2" x14ac:dyDescent="0.2">
      <c r="A145" s="2">
        <v>43405</v>
      </c>
      <c r="B145" s="11">
        <v>48.6</v>
      </c>
    </row>
    <row r="146" spans="1:2" x14ac:dyDescent="0.2">
      <c r="A146" s="2">
        <v>43435</v>
      </c>
      <c r="B146" s="11">
        <v>49.2</v>
      </c>
    </row>
    <row r="147" spans="1:2" x14ac:dyDescent="0.2">
      <c r="A147" s="2">
        <v>43466</v>
      </c>
      <c r="B147" s="11">
        <v>47.8</v>
      </c>
    </row>
    <row r="148" spans="1:2" x14ac:dyDescent="0.2">
      <c r="A148" s="2">
        <v>43497</v>
      </c>
      <c r="B148" s="11">
        <v>47.7</v>
      </c>
    </row>
    <row r="149" spans="1:2" x14ac:dyDescent="0.2">
      <c r="A149" s="2">
        <v>43525</v>
      </c>
      <c r="B149" s="11">
        <v>47.4</v>
      </c>
    </row>
    <row r="150" spans="1:2" x14ac:dyDescent="0.2">
      <c r="A150" s="2">
        <v>43556</v>
      </c>
      <c r="B150" s="11">
        <v>49.1</v>
      </c>
    </row>
    <row r="151" spans="1:2" x14ac:dyDescent="0.2">
      <c r="A151" s="2">
        <v>43586</v>
      </c>
      <c r="B151" s="11">
        <v>49.7</v>
      </c>
    </row>
    <row r="152" spans="1:2" x14ac:dyDescent="0.2">
      <c r="A152" s="2">
        <v>43617</v>
      </c>
      <c r="B152" s="11">
        <v>48.4</v>
      </c>
    </row>
    <row r="153" spans="1:2" x14ac:dyDescent="0.2">
      <c r="A153" s="2">
        <v>43647</v>
      </c>
      <c r="B153" s="11">
        <v>48.5</v>
      </c>
    </row>
    <row r="154" spans="1:2" x14ac:dyDescent="0.2">
      <c r="A154" s="2">
        <v>43678</v>
      </c>
      <c r="B154" s="11">
        <v>48.7</v>
      </c>
    </row>
    <row r="155" spans="1:2" x14ac:dyDescent="0.2">
      <c r="A155" s="2">
        <v>43709</v>
      </c>
      <c r="B155" s="11">
        <v>47.8</v>
      </c>
    </row>
    <row r="156" spans="1:2" x14ac:dyDescent="0.2">
      <c r="A156" s="2">
        <v>43739</v>
      </c>
      <c r="B156" s="11">
        <v>47.7</v>
      </c>
    </row>
    <row r="157" spans="1:2" x14ac:dyDescent="0.2">
      <c r="A157" s="2">
        <v>43770</v>
      </c>
      <c r="B157" s="11">
        <v>47.6</v>
      </c>
    </row>
    <row r="158" spans="1:2" x14ac:dyDescent="0.2">
      <c r="A158" s="2">
        <v>43800</v>
      </c>
      <c r="B158" s="11">
        <v>46.2</v>
      </c>
    </row>
    <row r="159" spans="1:2" x14ac:dyDescent="0.2">
      <c r="A159" s="2">
        <v>43831</v>
      </c>
      <c r="B159" s="11">
        <v>48.9</v>
      </c>
    </row>
    <row r="160" spans="1:2" x14ac:dyDescent="0.2">
      <c r="A160" s="2">
        <v>43862</v>
      </c>
      <c r="B160" s="11">
        <v>48.7</v>
      </c>
    </row>
    <row r="161" spans="1:2" x14ac:dyDescent="0.2">
      <c r="A161" s="2">
        <v>43891</v>
      </c>
      <c r="B161" s="11">
        <v>40.299999999999997</v>
      </c>
    </row>
    <row r="162" spans="1:2" x14ac:dyDescent="0.2">
      <c r="A162" s="2">
        <v>43922</v>
      </c>
      <c r="B162" s="11">
        <v>31.1</v>
      </c>
    </row>
    <row r="163" spans="1:2" x14ac:dyDescent="0.2">
      <c r="A163" s="2">
        <v>43952</v>
      </c>
      <c r="B163" s="11">
        <v>45.4</v>
      </c>
    </row>
    <row r="164" spans="1:2" x14ac:dyDescent="0.2">
      <c r="A164" s="2">
        <v>43983</v>
      </c>
      <c r="B164" s="11">
        <v>47.5</v>
      </c>
    </row>
    <row r="165" spans="1:2" x14ac:dyDescent="0.2">
      <c r="A165" s="2">
        <v>44013</v>
      </c>
      <c r="B165" s="11">
        <v>51.9</v>
      </c>
    </row>
    <row r="166" spans="1:2" x14ac:dyDescent="0.2">
      <c r="A166" s="2">
        <v>44044</v>
      </c>
      <c r="B166" s="11">
        <v>53.1</v>
      </c>
    </row>
    <row r="167" spans="1:2" x14ac:dyDescent="0.2">
      <c r="A167" s="2">
        <v>44075</v>
      </c>
      <c r="B167" s="11">
        <v>53.2</v>
      </c>
    </row>
    <row r="168" spans="1:2" x14ac:dyDescent="0.2">
      <c r="A168" s="2">
        <v>44105</v>
      </c>
      <c r="B168" s="11">
        <v>53.8</v>
      </c>
    </row>
    <row r="169" spans="1:2" x14ac:dyDescent="0.2">
      <c r="A169" s="2">
        <v>44136</v>
      </c>
      <c r="B169" s="11">
        <v>51.5</v>
      </c>
    </row>
    <row r="170" spans="1:2" x14ac:dyDescent="0.2">
      <c r="A170" s="2">
        <v>44166</v>
      </c>
      <c r="B170" s="11">
        <v>52.8</v>
      </c>
    </row>
    <row r="171" spans="1:2" x14ac:dyDescent="0.2">
      <c r="A171" s="2">
        <v>44197</v>
      </c>
      <c r="B171" s="11">
        <v>55.1</v>
      </c>
    </row>
    <row r="172" spans="1:2" x14ac:dyDescent="0.2">
      <c r="A172" s="2">
        <v>44228</v>
      </c>
      <c r="B172" s="11">
        <v>56.9</v>
      </c>
    </row>
    <row r="173" spans="1:2" x14ac:dyDescent="0.2">
      <c r="A173" s="2">
        <v>44256</v>
      </c>
      <c r="B173" s="11">
        <v>59.8</v>
      </c>
    </row>
    <row r="174" spans="1:2" x14ac:dyDescent="0.2">
      <c r="A174" s="2">
        <v>44287</v>
      </c>
      <c r="B174" s="11">
        <v>60.7</v>
      </c>
    </row>
    <row r="175" spans="1:2" x14ac:dyDescent="0.2">
      <c r="A175" s="2">
        <v>44317</v>
      </c>
      <c r="B175" s="11">
        <v>62.3</v>
      </c>
    </row>
    <row r="176" spans="1:2" x14ac:dyDescent="0.2">
      <c r="A176" s="2">
        <v>44348</v>
      </c>
      <c r="B176" s="11">
        <v>62.2</v>
      </c>
    </row>
    <row r="177" spans="1:2" x14ac:dyDescent="0.2">
      <c r="A177" s="2">
        <v>44378</v>
      </c>
      <c r="B177" s="11">
        <v>60.3</v>
      </c>
    </row>
    <row r="178" spans="1:2" x14ac:dyDescent="0.2">
      <c r="A178" s="2">
        <v>44409</v>
      </c>
      <c r="B178" s="11">
        <v>60.9</v>
      </c>
    </row>
    <row r="179" spans="1:2" x14ac:dyDescent="0.2">
      <c r="A179" s="2">
        <v>44440</v>
      </c>
      <c r="B179" s="11">
        <v>59.7</v>
      </c>
    </row>
    <row r="180" spans="1:2" x14ac:dyDescent="0.2">
      <c r="A180" s="2">
        <v>44470</v>
      </c>
      <c r="B180" s="11">
        <v>61.1</v>
      </c>
    </row>
    <row r="181" spans="1:2" x14ac:dyDescent="0.2">
      <c r="A181" s="2">
        <v>44501</v>
      </c>
      <c r="B181" s="11">
        <v>62.8</v>
      </c>
    </row>
    <row r="182" spans="1:2" x14ac:dyDescent="0.2">
      <c r="A182" s="2">
        <v>44531</v>
      </c>
      <c r="B182" s="11">
        <v>62</v>
      </c>
    </row>
  </sheetData>
  <conditionalFormatting sqref="B2:B1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182"/>
  <sheetViews>
    <sheetView zoomScale="170" zoomScaleNormal="170" workbookViewId="0">
      <pane ySplit="1" topLeftCell="A2" activePane="bottomLeft" state="frozen"/>
      <selection pane="bottomLeft" activeCell="D168" sqref="D168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24</v>
      </c>
    </row>
    <row r="2" spans="1:2" x14ac:dyDescent="0.2">
      <c r="A2" s="6">
        <v>39052</v>
      </c>
      <c r="B2" s="7">
        <v>57.2</v>
      </c>
    </row>
    <row r="3" spans="1:2" x14ac:dyDescent="0.2">
      <c r="A3" s="2">
        <v>39083</v>
      </c>
      <c r="B3" s="11">
        <v>56.2</v>
      </c>
    </row>
    <row r="4" spans="1:2" x14ac:dyDescent="0.2">
      <c r="A4" s="2">
        <v>39114</v>
      </c>
      <c r="B4" s="11">
        <v>56.2</v>
      </c>
    </row>
    <row r="5" spans="1:2" x14ac:dyDescent="0.2">
      <c r="A5" s="2">
        <v>39142</v>
      </c>
      <c r="B5" s="11">
        <v>55.4</v>
      </c>
    </row>
    <row r="6" spans="1:2" x14ac:dyDescent="0.2">
      <c r="A6" s="2">
        <v>39173</v>
      </c>
      <c r="B6" s="11">
        <v>56</v>
      </c>
    </row>
    <row r="7" spans="1:2" x14ac:dyDescent="0.2">
      <c r="A7" s="2">
        <v>39203</v>
      </c>
      <c r="B7" s="11">
        <v>53.3</v>
      </c>
    </row>
    <row r="8" spans="1:2" x14ac:dyDescent="0.2">
      <c r="A8" s="2">
        <v>39234</v>
      </c>
      <c r="B8" s="11">
        <v>55.1</v>
      </c>
    </row>
    <row r="9" spans="1:2" x14ac:dyDescent="0.2">
      <c r="A9" s="2">
        <v>39264</v>
      </c>
      <c r="B9" s="11">
        <v>53.2</v>
      </c>
    </row>
    <row r="10" spans="1:2" x14ac:dyDescent="0.2">
      <c r="A10" s="2">
        <v>39295</v>
      </c>
      <c r="B10" s="11">
        <v>52.2</v>
      </c>
    </row>
    <row r="11" spans="1:2" x14ac:dyDescent="0.2">
      <c r="A11" s="2">
        <v>39326</v>
      </c>
      <c r="B11" s="11">
        <v>50.8</v>
      </c>
    </row>
    <row r="12" spans="1:2" x14ac:dyDescent="0.2">
      <c r="A12" s="2">
        <v>39356</v>
      </c>
      <c r="B12" s="11">
        <v>49.6</v>
      </c>
    </row>
    <row r="13" spans="1:2" x14ac:dyDescent="0.2">
      <c r="A13" s="2">
        <v>39387</v>
      </c>
      <c r="B13" s="11">
        <v>50.7</v>
      </c>
    </row>
    <row r="14" spans="1:2" x14ac:dyDescent="0.2">
      <c r="A14" s="2">
        <v>39417</v>
      </c>
      <c r="B14" s="11">
        <v>49.5</v>
      </c>
    </row>
    <row r="15" spans="1:2" x14ac:dyDescent="0.2">
      <c r="A15" s="2">
        <v>39448</v>
      </c>
      <c r="B15" s="11">
        <v>49.8</v>
      </c>
    </row>
    <row r="16" spans="1:2" x14ac:dyDescent="0.2">
      <c r="A16" s="2">
        <v>39479</v>
      </c>
      <c r="B16" s="11">
        <v>46.7</v>
      </c>
    </row>
    <row r="17" spans="1:2" x14ac:dyDescent="0.2">
      <c r="A17" s="2">
        <v>39508</v>
      </c>
      <c r="B17" s="11">
        <v>46.4</v>
      </c>
    </row>
    <row r="18" spans="1:2" x14ac:dyDescent="0.2">
      <c r="A18" s="2">
        <v>39539</v>
      </c>
      <c r="B18" s="11">
        <v>45.2</v>
      </c>
    </row>
    <row r="19" spans="1:2" x14ac:dyDescent="0.2">
      <c r="A19" s="2">
        <v>39569</v>
      </c>
      <c r="B19" s="11">
        <v>43.8</v>
      </c>
    </row>
    <row r="20" spans="1:2" x14ac:dyDescent="0.2">
      <c r="A20" s="2">
        <v>39600</v>
      </c>
      <c r="B20" s="11">
        <v>40.6</v>
      </c>
    </row>
    <row r="21" spans="1:2" x14ac:dyDescent="0.2">
      <c r="A21" s="2">
        <v>39630</v>
      </c>
      <c r="B21" s="11">
        <v>39.200000000000003</v>
      </c>
    </row>
    <row r="22" spans="1:2" x14ac:dyDescent="0.2">
      <c r="A22" s="2">
        <v>39661</v>
      </c>
      <c r="B22" s="11">
        <v>42.4</v>
      </c>
    </row>
    <row r="23" spans="1:2" x14ac:dyDescent="0.2">
      <c r="A23" s="2">
        <v>39692</v>
      </c>
      <c r="B23" s="11">
        <v>38.299999999999997</v>
      </c>
    </row>
    <row r="24" spans="1:2" x14ac:dyDescent="0.2">
      <c r="A24" s="2">
        <v>39722</v>
      </c>
      <c r="B24" s="11">
        <v>34.6</v>
      </c>
    </row>
    <row r="25" spans="1:2" x14ac:dyDescent="0.2">
      <c r="A25" s="2">
        <v>39753</v>
      </c>
      <c r="B25" s="11">
        <v>29.4</v>
      </c>
    </row>
    <row r="26" spans="1:2" x14ac:dyDescent="0.2">
      <c r="A26" s="2">
        <v>39783</v>
      </c>
      <c r="B26" s="11">
        <v>28.5</v>
      </c>
    </row>
    <row r="27" spans="1:2" x14ac:dyDescent="0.2">
      <c r="A27" s="2">
        <v>39814</v>
      </c>
      <c r="B27" s="11">
        <v>31.5</v>
      </c>
    </row>
    <row r="28" spans="1:2" x14ac:dyDescent="0.2">
      <c r="A28" s="2">
        <v>39845</v>
      </c>
      <c r="B28" s="11">
        <v>31.8</v>
      </c>
    </row>
    <row r="29" spans="1:2" x14ac:dyDescent="0.2">
      <c r="A29" s="2">
        <v>39873</v>
      </c>
      <c r="B29" s="11">
        <v>32.9</v>
      </c>
    </row>
    <row r="30" spans="1:2" x14ac:dyDescent="0.2">
      <c r="A30" s="2">
        <v>39904</v>
      </c>
      <c r="B30" s="11">
        <v>34.6</v>
      </c>
    </row>
    <row r="31" spans="1:2" x14ac:dyDescent="0.2">
      <c r="A31" s="2">
        <v>39934</v>
      </c>
      <c r="B31" s="11">
        <v>39.799999999999997</v>
      </c>
    </row>
    <row r="32" spans="1:2" x14ac:dyDescent="0.2">
      <c r="A32" s="2">
        <v>39965</v>
      </c>
      <c r="B32" s="11">
        <v>42.8</v>
      </c>
    </row>
    <row r="33" spans="1:2" x14ac:dyDescent="0.2">
      <c r="A33" s="2">
        <v>39995</v>
      </c>
      <c r="B33" s="11">
        <v>47.3</v>
      </c>
    </row>
    <row r="34" spans="1:2" x14ac:dyDescent="0.2">
      <c r="A34" s="2">
        <v>40026</v>
      </c>
      <c r="B34" s="11">
        <v>47.2</v>
      </c>
    </row>
    <row r="35" spans="1:2" x14ac:dyDescent="0.2">
      <c r="A35" s="2">
        <v>40057</v>
      </c>
      <c r="B35" s="11">
        <v>45.8</v>
      </c>
    </row>
    <row r="36" spans="1:2" x14ac:dyDescent="0.2">
      <c r="A36" s="2">
        <v>40087</v>
      </c>
      <c r="B36" s="11">
        <v>46.3</v>
      </c>
    </row>
    <row r="37" spans="1:2" x14ac:dyDescent="0.2">
      <c r="A37" s="2">
        <v>40118</v>
      </c>
      <c r="B37" s="11">
        <v>45.3</v>
      </c>
    </row>
    <row r="38" spans="1:2" x14ac:dyDescent="0.2">
      <c r="A38" s="2">
        <v>40148</v>
      </c>
      <c r="B38" s="11">
        <v>45.2</v>
      </c>
    </row>
    <row r="39" spans="1:2" x14ac:dyDescent="0.2">
      <c r="A39" s="2">
        <v>40179</v>
      </c>
      <c r="B39" s="11">
        <v>45.3</v>
      </c>
    </row>
    <row r="40" spans="1:2" x14ac:dyDescent="0.2">
      <c r="A40" s="2">
        <v>40210</v>
      </c>
      <c r="B40" s="11">
        <v>49.1</v>
      </c>
    </row>
    <row r="41" spans="1:2" x14ac:dyDescent="0.2">
      <c r="A41" s="2">
        <v>40238</v>
      </c>
      <c r="B41" s="11">
        <v>51.8</v>
      </c>
    </row>
    <row r="42" spans="1:2" x14ac:dyDescent="0.2">
      <c r="A42" s="2">
        <v>40269</v>
      </c>
      <c r="B42" s="11">
        <v>53.3</v>
      </c>
    </row>
    <row r="43" spans="1:2" x14ac:dyDescent="0.2">
      <c r="A43" s="2">
        <v>40299</v>
      </c>
      <c r="B43" s="11">
        <v>51.5</v>
      </c>
    </row>
    <row r="44" spans="1:2" x14ac:dyDescent="0.2">
      <c r="A44" s="2">
        <v>40330</v>
      </c>
      <c r="B44" s="11">
        <v>51.2</v>
      </c>
    </row>
    <row r="45" spans="1:2" x14ac:dyDescent="0.2">
      <c r="A45" s="2">
        <v>40360</v>
      </c>
      <c r="B45" s="11">
        <v>51.6</v>
      </c>
    </row>
    <row r="46" spans="1:2" x14ac:dyDescent="0.2">
      <c r="A46" s="2">
        <v>40391</v>
      </c>
      <c r="B46" s="11">
        <v>51.2</v>
      </c>
    </row>
    <row r="47" spans="1:2" x14ac:dyDescent="0.2">
      <c r="A47" s="2">
        <v>40422</v>
      </c>
      <c r="B47" s="11">
        <v>49.6</v>
      </c>
    </row>
    <row r="48" spans="1:2" x14ac:dyDescent="0.2">
      <c r="A48" s="2">
        <v>40452</v>
      </c>
      <c r="B48" s="11">
        <v>51.2</v>
      </c>
    </row>
    <row r="49" spans="1:2" x14ac:dyDescent="0.2">
      <c r="A49" s="2">
        <v>40483</v>
      </c>
      <c r="B49" s="11">
        <v>50</v>
      </c>
    </row>
    <row r="50" spans="1:2" x14ac:dyDescent="0.2">
      <c r="A50" s="2">
        <v>40513</v>
      </c>
      <c r="B50" s="11">
        <v>51.5</v>
      </c>
    </row>
    <row r="51" spans="1:2" x14ac:dyDescent="0.2">
      <c r="A51" s="2">
        <v>40544</v>
      </c>
      <c r="B51" s="11">
        <v>52</v>
      </c>
    </row>
    <row r="52" spans="1:2" x14ac:dyDescent="0.2">
      <c r="A52" s="2">
        <v>40575</v>
      </c>
      <c r="B52" s="11">
        <v>52.1</v>
      </c>
    </row>
    <row r="53" spans="1:2" x14ac:dyDescent="0.2">
      <c r="A53" s="2">
        <v>40603</v>
      </c>
      <c r="B53" s="11">
        <v>51.6</v>
      </c>
    </row>
    <row r="54" spans="1:2" x14ac:dyDescent="0.2">
      <c r="A54" s="2">
        <v>40634</v>
      </c>
      <c r="B54" s="11">
        <v>50.6</v>
      </c>
    </row>
    <row r="55" spans="1:2" x14ac:dyDescent="0.2">
      <c r="A55" s="2">
        <v>40664</v>
      </c>
      <c r="B55" s="11">
        <v>48.2</v>
      </c>
    </row>
    <row r="56" spans="1:2" x14ac:dyDescent="0.2">
      <c r="A56" s="2">
        <v>40695</v>
      </c>
      <c r="B56" s="11">
        <v>47.3</v>
      </c>
    </row>
    <row r="57" spans="1:2" x14ac:dyDescent="0.2">
      <c r="A57" s="2">
        <v>40725</v>
      </c>
      <c r="B57" s="11">
        <v>45.6</v>
      </c>
    </row>
    <row r="58" spans="1:2" x14ac:dyDescent="0.2">
      <c r="A58" s="2">
        <v>40756</v>
      </c>
      <c r="B58" s="11">
        <v>45.3</v>
      </c>
    </row>
    <row r="59" spans="1:2" x14ac:dyDescent="0.2">
      <c r="A59" s="2">
        <v>40787</v>
      </c>
      <c r="B59" s="11">
        <v>43.7</v>
      </c>
    </row>
    <row r="60" spans="1:2" x14ac:dyDescent="0.2">
      <c r="A60" s="2">
        <v>40817</v>
      </c>
      <c r="B60" s="11">
        <v>43.9</v>
      </c>
    </row>
    <row r="61" spans="1:2" x14ac:dyDescent="0.2">
      <c r="A61" s="2">
        <v>40848</v>
      </c>
      <c r="B61" s="11">
        <v>43.8</v>
      </c>
    </row>
    <row r="62" spans="1:2" x14ac:dyDescent="0.2">
      <c r="A62" s="2">
        <v>40878</v>
      </c>
      <c r="B62" s="11">
        <v>43.7</v>
      </c>
    </row>
    <row r="63" spans="1:2" x14ac:dyDescent="0.2">
      <c r="A63" s="2">
        <v>40909</v>
      </c>
      <c r="B63" s="11">
        <v>45.1</v>
      </c>
    </row>
    <row r="64" spans="1:2" x14ac:dyDescent="0.2">
      <c r="A64" s="2">
        <v>40940</v>
      </c>
      <c r="B64" s="11">
        <v>45</v>
      </c>
    </row>
    <row r="65" spans="1:2" x14ac:dyDescent="0.2">
      <c r="A65" s="2">
        <v>40969</v>
      </c>
      <c r="B65" s="11">
        <v>44.5</v>
      </c>
    </row>
    <row r="66" spans="1:2" x14ac:dyDescent="0.2">
      <c r="A66" s="2">
        <v>41000</v>
      </c>
      <c r="B66" s="11">
        <v>43.5</v>
      </c>
    </row>
    <row r="67" spans="1:2" x14ac:dyDescent="0.2">
      <c r="A67" s="2">
        <v>41030</v>
      </c>
      <c r="B67" s="11">
        <v>42</v>
      </c>
    </row>
    <row r="68" spans="1:2" x14ac:dyDescent="0.2">
      <c r="A68" s="2">
        <v>41061</v>
      </c>
      <c r="B68" s="11">
        <v>41.1</v>
      </c>
    </row>
    <row r="69" spans="1:2" x14ac:dyDescent="0.2">
      <c r="A69" s="2">
        <v>41091</v>
      </c>
      <c r="B69" s="11">
        <v>42.3</v>
      </c>
    </row>
    <row r="70" spans="1:2" x14ac:dyDescent="0.2">
      <c r="A70" s="2">
        <v>41122</v>
      </c>
      <c r="B70" s="11">
        <v>44</v>
      </c>
    </row>
    <row r="71" spans="1:2" x14ac:dyDescent="0.2">
      <c r="A71" s="2">
        <v>41153</v>
      </c>
      <c r="B71" s="11">
        <v>44.5</v>
      </c>
    </row>
    <row r="72" spans="1:2" x14ac:dyDescent="0.2">
      <c r="A72" s="2">
        <v>41183</v>
      </c>
      <c r="B72" s="11">
        <v>43.5</v>
      </c>
    </row>
    <row r="73" spans="1:2" x14ac:dyDescent="0.2">
      <c r="A73" s="2">
        <v>41214</v>
      </c>
      <c r="B73" s="11">
        <v>45.3</v>
      </c>
    </row>
    <row r="74" spans="1:2" x14ac:dyDescent="0.2">
      <c r="A74" s="2">
        <v>41244</v>
      </c>
      <c r="B74" s="11">
        <v>44.6</v>
      </c>
    </row>
    <row r="75" spans="1:2" x14ac:dyDescent="0.2">
      <c r="A75" s="2">
        <v>41275</v>
      </c>
      <c r="B75" s="11">
        <v>46.1</v>
      </c>
    </row>
    <row r="76" spans="1:2" x14ac:dyDescent="0.2">
      <c r="A76" s="2">
        <v>41306</v>
      </c>
      <c r="B76" s="11">
        <v>46.8</v>
      </c>
    </row>
    <row r="77" spans="1:2" x14ac:dyDescent="0.2">
      <c r="A77" s="2">
        <v>41334</v>
      </c>
      <c r="B77" s="11">
        <v>44.2</v>
      </c>
    </row>
    <row r="78" spans="1:2" x14ac:dyDescent="0.2">
      <c r="A78" s="2">
        <v>41365</v>
      </c>
      <c r="B78" s="11">
        <v>44.7</v>
      </c>
    </row>
    <row r="79" spans="1:2" x14ac:dyDescent="0.2">
      <c r="A79" s="2">
        <v>41395</v>
      </c>
      <c r="B79" s="11">
        <v>48.1</v>
      </c>
    </row>
    <row r="80" spans="1:2" x14ac:dyDescent="0.2">
      <c r="A80" s="2">
        <v>41426</v>
      </c>
      <c r="B80" s="11">
        <v>50</v>
      </c>
    </row>
    <row r="81" spans="1:2" x14ac:dyDescent="0.2">
      <c r="A81" s="2">
        <v>41456</v>
      </c>
      <c r="B81" s="11">
        <v>49.8</v>
      </c>
    </row>
    <row r="82" spans="1:2" x14ac:dyDescent="0.2">
      <c r="A82" s="2">
        <v>41487</v>
      </c>
      <c r="B82" s="11">
        <v>51.1</v>
      </c>
    </row>
    <row r="83" spans="1:2" x14ac:dyDescent="0.2">
      <c r="A83" s="2">
        <v>41518</v>
      </c>
      <c r="B83" s="11">
        <v>50.7</v>
      </c>
    </row>
    <row r="84" spans="1:2" x14ac:dyDescent="0.2">
      <c r="A84" s="2">
        <v>41548</v>
      </c>
      <c r="B84" s="11">
        <v>50.9</v>
      </c>
    </row>
    <row r="85" spans="1:2" x14ac:dyDescent="0.2">
      <c r="A85" s="2">
        <v>41579</v>
      </c>
      <c r="B85" s="11">
        <v>48.6</v>
      </c>
    </row>
    <row r="86" spans="1:2" x14ac:dyDescent="0.2">
      <c r="A86" s="2">
        <v>41609</v>
      </c>
      <c r="B86" s="11">
        <v>50.8</v>
      </c>
    </row>
    <row r="87" spans="1:2" x14ac:dyDescent="0.2">
      <c r="A87" s="2">
        <v>41640</v>
      </c>
      <c r="B87" s="11">
        <v>52.2</v>
      </c>
    </row>
    <row r="88" spans="1:2" x14ac:dyDescent="0.2">
      <c r="A88" s="2">
        <v>41671</v>
      </c>
      <c r="B88" s="11">
        <v>52.5</v>
      </c>
    </row>
    <row r="89" spans="1:2" x14ac:dyDescent="0.2">
      <c r="A89" s="2">
        <v>41699</v>
      </c>
      <c r="B89" s="11">
        <v>52.8</v>
      </c>
    </row>
    <row r="90" spans="1:2" x14ac:dyDescent="0.2">
      <c r="A90" s="2">
        <v>41730</v>
      </c>
      <c r="B90" s="11">
        <v>52.7</v>
      </c>
    </row>
    <row r="91" spans="1:2" x14ac:dyDescent="0.2">
      <c r="A91" s="2">
        <v>41760</v>
      </c>
      <c r="B91" s="11">
        <v>52.9</v>
      </c>
    </row>
    <row r="92" spans="1:2" x14ac:dyDescent="0.2">
      <c r="A92" s="2">
        <v>41791</v>
      </c>
      <c r="B92" s="11">
        <v>54.6</v>
      </c>
    </row>
    <row r="93" spans="1:2" x14ac:dyDescent="0.2">
      <c r="A93" s="2">
        <v>41821</v>
      </c>
      <c r="B93" s="11">
        <v>53.9</v>
      </c>
    </row>
    <row r="94" spans="1:2" x14ac:dyDescent="0.2">
      <c r="A94" s="2">
        <v>41852</v>
      </c>
      <c r="B94" s="11">
        <v>52.8</v>
      </c>
    </row>
    <row r="95" spans="1:2" x14ac:dyDescent="0.2">
      <c r="A95" s="2">
        <v>41883</v>
      </c>
      <c r="B95" s="11">
        <v>52.6</v>
      </c>
    </row>
    <row r="96" spans="1:2" x14ac:dyDescent="0.2">
      <c r="A96" s="2">
        <v>41913</v>
      </c>
      <c r="B96" s="11">
        <v>52.6</v>
      </c>
    </row>
    <row r="97" spans="1:2" x14ac:dyDescent="0.2">
      <c r="A97" s="2">
        <v>41944</v>
      </c>
      <c r="B97" s="11">
        <v>54.7</v>
      </c>
    </row>
    <row r="98" spans="1:2" x14ac:dyDescent="0.2">
      <c r="A98" s="2">
        <v>41974</v>
      </c>
      <c r="B98" s="11">
        <v>53.8</v>
      </c>
    </row>
    <row r="99" spans="1:2" x14ac:dyDescent="0.2">
      <c r="A99" s="2">
        <v>42005</v>
      </c>
      <c r="B99" s="11">
        <v>54.7</v>
      </c>
    </row>
    <row r="100" spans="1:2" x14ac:dyDescent="0.2">
      <c r="A100" s="2">
        <v>42036</v>
      </c>
      <c r="B100" s="11">
        <v>54.2</v>
      </c>
    </row>
    <row r="101" spans="1:2" x14ac:dyDescent="0.2">
      <c r="A101" s="2">
        <v>42064</v>
      </c>
      <c r="B101" s="11">
        <v>54.3</v>
      </c>
    </row>
    <row r="102" spans="1:2" x14ac:dyDescent="0.2">
      <c r="A102" s="2">
        <v>42095</v>
      </c>
      <c r="B102" s="11">
        <v>54.2</v>
      </c>
    </row>
    <row r="103" spans="1:2" x14ac:dyDescent="0.2">
      <c r="A103" s="2">
        <v>42125</v>
      </c>
      <c r="B103" s="11">
        <v>55.8</v>
      </c>
    </row>
    <row r="104" spans="1:2" x14ac:dyDescent="0.2">
      <c r="A104" s="2">
        <v>42156</v>
      </c>
      <c r="B104" s="11">
        <v>54.5</v>
      </c>
    </row>
    <row r="105" spans="1:2" x14ac:dyDescent="0.2">
      <c r="A105" s="2">
        <v>42186</v>
      </c>
      <c r="B105" s="11">
        <v>53.6</v>
      </c>
    </row>
    <row r="106" spans="1:2" x14ac:dyDescent="0.2">
      <c r="A106" s="2">
        <v>42217</v>
      </c>
      <c r="B106" s="11">
        <v>53.2</v>
      </c>
    </row>
    <row r="107" spans="1:2" x14ac:dyDescent="0.2">
      <c r="A107" s="2">
        <v>42248</v>
      </c>
      <c r="B107" s="11">
        <v>51.7</v>
      </c>
    </row>
    <row r="108" spans="1:2" x14ac:dyDescent="0.2">
      <c r="A108" s="2">
        <v>42278</v>
      </c>
      <c r="B108" s="11">
        <v>51.3</v>
      </c>
    </row>
    <row r="109" spans="1:2" x14ac:dyDescent="0.2">
      <c r="A109" s="2">
        <v>42309</v>
      </c>
      <c r="B109" s="11">
        <v>53.1</v>
      </c>
    </row>
    <row r="110" spans="1:2" x14ac:dyDescent="0.2">
      <c r="A110" s="2">
        <v>42339</v>
      </c>
      <c r="B110" s="11">
        <v>53</v>
      </c>
    </row>
    <row r="111" spans="1:2" x14ac:dyDescent="0.2">
      <c r="A111" s="2">
        <v>42370</v>
      </c>
      <c r="B111" s="11">
        <v>55.4</v>
      </c>
    </row>
    <row r="112" spans="1:2" x14ac:dyDescent="0.2">
      <c r="A112" s="2">
        <v>42401</v>
      </c>
      <c r="B112" s="11">
        <v>54.1</v>
      </c>
    </row>
    <row r="113" spans="1:2" x14ac:dyDescent="0.2">
      <c r="A113" s="2">
        <v>42430</v>
      </c>
      <c r="B113" s="11">
        <v>53.4</v>
      </c>
    </row>
    <row r="114" spans="1:2" x14ac:dyDescent="0.2">
      <c r="A114" s="2">
        <v>42461</v>
      </c>
      <c r="B114" s="11">
        <v>53.5</v>
      </c>
    </row>
    <row r="115" spans="1:2" x14ac:dyDescent="0.2">
      <c r="A115" s="2">
        <v>42491</v>
      </c>
      <c r="B115" s="11">
        <v>51.8</v>
      </c>
    </row>
    <row r="116" spans="1:2" x14ac:dyDescent="0.2">
      <c r="A116" s="2">
        <v>42522</v>
      </c>
      <c r="B116" s="11">
        <v>52.2</v>
      </c>
    </row>
    <row r="117" spans="1:2" x14ac:dyDescent="0.2">
      <c r="A117" s="2">
        <v>42552</v>
      </c>
      <c r="B117" s="11">
        <v>51</v>
      </c>
    </row>
    <row r="118" spans="1:2" x14ac:dyDescent="0.2">
      <c r="A118" s="2">
        <v>42583</v>
      </c>
      <c r="B118" s="11">
        <v>51</v>
      </c>
    </row>
    <row r="119" spans="1:2" x14ac:dyDescent="0.2">
      <c r="A119" s="2">
        <v>42614</v>
      </c>
      <c r="B119" s="11">
        <v>52.3</v>
      </c>
    </row>
    <row r="120" spans="1:2" x14ac:dyDescent="0.2">
      <c r="A120" s="2">
        <v>42644</v>
      </c>
      <c r="B120" s="11">
        <v>53.3</v>
      </c>
    </row>
    <row r="121" spans="1:2" x14ac:dyDescent="0.2">
      <c r="A121" s="2">
        <v>42675</v>
      </c>
      <c r="B121" s="11">
        <v>54.5</v>
      </c>
    </row>
    <row r="122" spans="1:2" x14ac:dyDescent="0.2">
      <c r="A122" s="2">
        <v>42705</v>
      </c>
      <c r="B122" s="11">
        <v>55.3</v>
      </c>
    </row>
    <row r="123" spans="1:2" x14ac:dyDescent="0.2">
      <c r="A123" s="2">
        <v>42736</v>
      </c>
      <c r="B123" s="11">
        <v>55.6</v>
      </c>
    </row>
    <row r="124" spans="1:2" x14ac:dyDescent="0.2">
      <c r="A124" s="2">
        <v>42767</v>
      </c>
      <c r="B124" s="11">
        <v>54.8</v>
      </c>
    </row>
    <row r="125" spans="1:2" x14ac:dyDescent="0.2">
      <c r="A125" s="2">
        <v>42795</v>
      </c>
      <c r="B125" s="11">
        <v>53.9</v>
      </c>
    </row>
    <row r="126" spans="1:2" x14ac:dyDescent="0.2">
      <c r="A126" s="2">
        <v>42826</v>
      </c>
      <c r="B126" s="11">
        <v>54.5</v>
      </c>
    </row>
    <row r="127" spans="1:2" x14ac:dyDescent="0.2">
      <c r="A127" s="2">
        <v>42856</v>
      </c>
      <c r="B127" s="11">
        <v>55.4</v>
      </c>
    </row>
    <row r="128" spans="1:2" x14ac:dyDescent="0.2">
      <c r="A128" s="2">
        <v>42887</v>
      </c>
      <c r="B128" s="11">
        <v>54.7</v>
      </c>
    </row>
    <row r="129" spans="1:2" x14ac:dyDescent="0.2">
      <c r="A129" s="2">
        <v>42917</v>
      </c>
      <c r="B129" s="11">
        <v>54</v>
      </c>
    </row>
    <row r="130" spans="1:2" x14ac:dyDescent="0.2">
      <c r="A130" s="2">
        <v>42948</v>
      </c>
      <c r="B130" s="11">
        <v>52.4</v>
      </c>
    </row>
    <row r="131" spans="1:2" x14ac:dyDescent="0.2">
      <c r="A131" s="2">
        <v>42979</v>
      </c>
      <c r="B131" s="11">
        <v>54.3</v>
      </c>
    </row>
    <row r="132" spans="1:2" x14ac:dyDescent="0.2">
      <c r="A132" s="2">
        <v>43009</v>
      </c>
      <c r="B132" s="11">
        <v>55.8</v>
      </c>
    </row>
    <row r="133" spans="1:2" x14ac:dyDescent="0.2">
      <c r="A133" s="2">
        <v>43040</v>
      </c>
      <c r="B133" s="11">
        <v>56.1</v>
      </c>
    </row>
    <row r="134" spans="1:2" x14ac:dyDescent="0.2">
      <c r="A134" s="2">
        <v>43070</v>
      </c>
      <c r="B134" s="11">
        <v>55.8</v>
      </c>
    </row>
    <row r="135" spans="1:2" x14ac:dyDescent="0.2">
      <c r="A135" s="2">
        <v>43101</v>
      </c>
      <c r="B135" s="11">
        <v>55.2</v>
      </c>
    </row>
    <row r="136" spans="1:2" x14ac:dyDescent="0.2">
      <c r="A136" s="2">
        <v>43132</v>
      </c>
      <c r="B136" s="11">
        <v>56</v>
      </c>
    </row>
    <row r="137" spans="1:2" x14ac:dyDescent="0.2">
      <c r="A137" s="2">
        <v>43160</v>
      </c>
      <c r="B137" s="11">
        <v>54.8</v>
      </c>
    </row>
    <row r="138" spans="1:2" x14ac:dyDescent="0.2">
      <c r="A138" s="2">
        <v>43191</v>
      </c>
      <c r="B138" s="11">
        <v>54.4</v>
      </c>
    </row>
    <row r="139" spans="1:2" x14ac:dyDescent="0.2">
      <c r="A139" s="2">
        <v>43221</v>
      </c>
      <c r="B139" s="11">
        <v>53.4</v>
      </c>
    </row>
    <row r="140" spans="1:2" x14ac:dyDescent="0.2">
      <c r="A140" s="2">
        <v>43252</v>
      </c>
      <c r="B140" s="11">
        <v>53.4</v>
      </c>
    </row>
    <row r="141" spans="1:2" x14ac:dyDescent="0.2">
      <c r="A141" s="2">
        <v>43282</v>
      </c>
      <c r="B141" s="11">
        <v>52.9</v>
      </c>
    </row>
    <row r="142" spans="1:2" x14ac:dyDescent="0.2">
      <c r="A142" s="2">
        <v>43313</v>
      </c>
      <c r="B142" s="11">
        <v>53</v>
      </c>
    </row>
    <row r="143" spans="1:2" x14ac:dyDescent="0.2">
      <c r="A143" s="2">
        <v>43344</v>
      </c>
      <c r="B143" s="11">
        <v>51.4</v>
      </c>
    </row>
    <row r="144" spans="1:2" x14ac:dyDescent="0.2">
      <c r="A144" s="2">
        <v>43374</v>
      </c>
      <c r="B144" s="11">
        <v>51.8</v>
      </c>
    </row>
    <row r="145" spans="1:2" x14ac:dyDescent="0.2">
      <c r="A145" s="2">
        <v>43405</v>
      </c>
      <c r="B145" s="11">
        <v>52.6</v>
      </c>
    </row>
    <row r="146" spans="1:2" x14ac:dyDescent="0.2">
      <c r="A146" s="2">
        <v>43435</v>
      </c>
      <c r="B146" s="11">
        <v>51.1</v>
      </c>
    </row>
    <row r="147" spans="1:2" x14ac:dyDescent="0.2">
      <c r="A147" s="2">
        <v>43466</v>
      </c>
      <c r="B147" s="11">
        <v>52.4</v>
      </c>
    </row>
    <row r="148" spans="1:2" x14ac:dyDescent="0.2">
      <c r="A148" s="2">
        <v>43497</v>
      </c>
      <c r="B148" s="11">
        <v>49.9</v>
      </c>
    </row>
    <row r="149" spans="1:2" x14ac:dyDescent="0.2">
      <c r="A149" s="2">
        <v>43525</v>
      </c>
      <c r="B149" s="11">
        <v>50.9</v>
      </c>
    </row>
    <row r="150" spans="1:2" x14ac:dyDescent="0.2">
      <c r="A150" s="2">
        <v>43556</v>
      </c>
      <c r="B150" s="11">
        <v>51.8</v>
      </c>
    </row>
    <row r="151" spans="1:2" x14ac:dyDescent="0.2">
      <c r="A151" s="2">
        <v>43586</v>
      </c>
      <c r="B151" s="11">
        <v>50.1</v>
      </c>
    </row>
    <row r="152" spans="1:2" x14ac:dyDescent="0.2">
      <c r="A152" s="2">
        <v>43617</v>
      </c>
      <c r="B152" s="11">
        <v>47.9</v>
      </c>
    </row>
    <row r="153" spans="1:2" x14ac:dyDescent="0.2">
      <c r="A153" s="2">
        <v>43647</v>
      </c>
      <c r="B153" s="11">
        <v>48.2</v>
      </c>
    </row>
    <row r="154" spans="1:2" x14ac:dyDescent="0.2">
      <c r="A154" s="2">
        <v>43678</v>
      </c>
      <c r="B154" s="11">
        <v>48.8</v>
      </c>
    </row>
    <row r="155" spans="1:2" x14ac:dyDescent="0.2">
      <c r="A155" s="2">
        <v>43709</v>
      </c>
      <c r="B155" s="11">
        <v>47.7</v>
      </c>
    </row>
    <row r="156" spans="1:2" x14ac:dyDescent="0.2">
      <c r="A156" s="2">
        <v>43739</v>
      </c>
      <c r="B156" s="11">
        <v>46.8</v>
      </c>
    </row>
    <row r="157" spans="1:2" x14ac:dyDescent="0.2">
      <c r="A157" s="2">
        <v>43770</v>
      </c>
      <c r="B157" s="11">
        <v>47.5</v>
      </c>
    </row>
    <row r="158" spans="1:2" x14ac:dyDescent="0.2">
      <c r="A158" s="2">
        <v>43800</v>
      </c>
      <c r="B158" s="11">
        <v>47.4</v>
      </c>
    </row>
    <row r="159" spans="1:2" x14ac:dyDescent="0.2">
      <c r="A159" s="2">
        <v>43831</v>
      </c>
      <c r="B159" s="11">
        <v>48.5</v>
      </c>
    </row>
    <row r="160" spans="1:2" x14ac:dyDescent="0.2">
      <c r="A160" s="2">
        <v>43862</v>
      </c>
      <c r="B160" s="11">
        <v>50.4</v>
      </c>
    </row>
    <row r="161" spans="1:2" x14ac:dyDescent="0.2">
      <c r="A161" s="2">
        <v>43891</v>
      </c>
      <c r="B161" s="11">
        <v>45.7</v>
      </c>
    </row>
    <row r="162" spans="1:2" x14ac:dyDescent="0.2">
      <c r="A162" s="2">
        <v>43922</v>
      </c>
      <c r="B162" s="11">
        <v>30.8</v>
      </c>
    </row>
    <row r="163" spans="1:2" x14ac:dyDescent="0.2">
      <c r="A163" s="2">
        <v>43952</v>
      </c>
      <c r="B163" s="11">
        <v>38.299999999999997</v>
      </c>
    </row>
    <row r="164" spans="1:2" x14ac:dyDescent="0.2">
      <c r="A164" s="2">
        <v>43983</v>
      </c>
      <c r="B164" s="11">
        <v>49</v>
      </c>
    </row>
    <row r="165" spans="1:2" x14ac:dyDescent="0.2">
      <c r="A165" s="2">
        <v>44013</v>
      </c>
      <c r="B165" s="11">
        <v>53.5</v>
      </c>
    </row>
    <row r="166" spans="1:2" x14ac:dyDescent="0.2">
      <c r="A166" s="2">
        <v>44044</v>
      </c>
      <c r="B166" s="11">
        <v>49.9</v>
      </c>
    </row>
    <row r="167" spans="1:2" x14ac:dyDescent="0.2">
      <c r="A167" s="2">
        <v>44075</v>
      </c>
      <c r="B167" s="11">
        <v>50.8</v>
      </c>
    </row>
    <row r="168" spans="1:2" x14ac:dyDescent="0.2">
      <c r="A168" s="2">
        <v>44105</v>
      </c>
      <c r="B168" s="11">
        <v>52.5</v>
      </c>
    </row>
    <row r="169" spans="1:2" x14ac:dyDescent="0.2">
      <c r="A169" s="2">
        <v>44136</v>
      </c>
      <c r="B169" s="11">
        <v>49.8</v>
      </c>
    </row>
    <row r="170" spans="1:2" x14ac:dyDescent="0.2">
      <c r="A170" s="2">
        <v>44166</v>
      </c>
      <c r="B170" s="11">
        <v>51</v>
      </c>
    </row>
    <row r="171" spans="1:2" x14ac:dyDescent="0.2">
      <c r="A171" s="2">
        <v>44197</v>
      </c>
      <c r="B171" s="11">
        <v>49.3</v>
      </c>
    </row>
    <row r="172" spans="1:2" x14ac:dyDescent="0.2">
      <c r="A172" s="2">
        <v>44228</v>
      </c>
      <c r="B172" s="11">
        <v>52.9</v>
      </c>
    </row>
    <row r="173" spans="1:2" x14ac:dyDescent="0.2">
      <c r="A173" s="2">
        <v>44256</v>
      </c>
      <c r="B173" s="11">
        <v>56.9</v>
      </c>
    </row>
    <row r="174" spans="1:2" x14ac:dyDescent="0.2">
      <c r="A174" s="2">
        <v>44287</v>
      </c>
      <c r="B174" s="11">
        <v>57.7</v>
      </c>
    </row>
    <row r="175" spans="1:2" x14ac:dyDescent="0.2">
      <c r="A175" s="2">
        <v>44317</v>
      </c>
      <c r="B175" s="11">
        <v>59.4</v>
      </c>
    </row>
    <row r="176" spans="1:2" x14ac:dyDescent="0.2">
      <c r="A176" s="2">
        <v>44348</v>
      </c>
      <c r="B176" s="11">
        <v>60.4</v>
      </c>
    </row>
    <row r="177" spans="1:2" x14ac:dyDescent="0.2">
      <c r="A177" s="2">
        <v>44378</v>
      </c>
      <c r="B177" s="11">
        <v>59</v>
      </c>
    </row>
    <row r="178" spans="1:2" x14ac:dyDescent="0.2">
      <c r="A178" s="2">
        <v>44409</v>
      </c>
      <c r="B178" s="11">
        <v>59.5</v>
      </c>
    </row>
    <row r="179" spans="1:2" x14ac:dyDescent="0.2">
      <c r="A179" s="2">
        <v>44440</v>
      </c>
      <c r="B179" s="11">
        <v>58.1</v>
      </c>
    </row>
    <row r="180" spans="1:2" x14ac:dyDescent="0.2">
      <c r="A180" s="2">
        <v>44470</v>
      </c>
      <c r="B180" s="11">
        <v>57.4</v>
      </c>
    </row>
    <row r="181" spans="1:2" x14ac:dyDescent="0.2">
      <c r="A181" s="2">
        <v>44501</v>
      </c>
      <c r="B181" s="11">
        <v>57.1</v>
      </c>
    </row>
    <row r="182" spans="1:2" x14ac:dyDescent="0.2">
      <c r="A182" s="2">
        <v>44531</v>
      </c>
      <c r="B182" s="11">
        <v>56.2</v>
      </c>
    </row>
  </sheetData>
  <conditionalFormatting sqref="B2:B1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136"/>
  <sheetViews>
    <sheetView zoomScale="170" zoomScaleNormal="170" workbookViewId="0">
      <pane ySplit="1" topLeftCell="A2" activePane="bottomLeft" state="frozen"/>
      <selection pane="bottomLeft" activeCell="G115" sqref="G115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2</v>
      </c>
    </row>
    <row r="2" spans="1:2" x14ac:dyDescent="0.2">
      <c r="A2" s="6">
        <v>40452</v>
      </c>
      <c r="B2" s="7">
        <v>49.5</v>
      </c>
    </row>
    <row r="3" spans="1:2" x14ac:dyDescent="0.2">
      <c r="A3" s="2">
        <v>40483</v>
      </c>
      <c r="B3" s="11">
        <v>49.9</v>
      </c>
    </row>
    <row r="4" spans="1:2" x14ac:dyDescent="0.2">
      <c r="A4" s="2">
        <v>40513</v>
      </c>
      <c r="B4" s="11">
        <v>52.4</v>
      </c>
    </row>
    <row r="5" spans="1:2" x14ac:dyDescent="0.2">
      <c r="A5" s="2">
        <v>40544</v>
      </c>
      <c r="B5" s="11">
        <v>53.1</v>
      </c>
    </row>
    <row r="6" spans="1:2" x14ac:dyDescent="0.2">
      <c r="A6" s="2">
        <v>40575</v>
      </c>
      <c r="B6" s="11">
        <v>54.6</v>
      </c>
    </row>
    <row r="7" spans="1:2" x14ac:dyDescent="0.2">
      <c r="A7" s="2">
        <v>40603</v>
      </c>
      <c r="B7" s="11">
        <v>53.2</v>
      </c>
    </row>
    <row r="8" spans="1:2" x14ac:dyDescent="0.2">
      <c r="A8" s="2">
        <v>40634</v>
      </c>
      <c r="B8" s="11">
        <v>52.5</v>
      </c>
    </row>
    <row r="9" spans="1:2" x14ac:dyDescent="0.2">
      <c r="A9" s="2">
        <v>40664</v>
      </c>
      <c r="B9" s="11">
        <v>53</v>
      </c>
    </row>
    <row r="10" spans="1:2" x14ac:dyDescent="0.2">
      <c r="A10" s="2">
        <v>40695</v>
      </c>
      <c r="B10" s="11">
        <v>49</v>
      </c>
    </row>
    <row r="11" spans="1:2" x14ac:dyDescent="0.2">
      <c r="A11" s="2">
        <v>40725</v>
      </c>
      <c r="B11" s="11">
        <v>47.8</v>
      </c>
    </row>
    <row r="12" spans="1:2" x14ac:dyDescent="0.2">
      <c r="A12" s="2">
        <v>40756</v>
      </c>
      <c r="B12" s="11">
        <v>46</v>
      </c>
    </row>
    <row r="13" spans="1:2" x14ac:dyDescent="0.2">
      <c r="A13" s="2">
        <v>40787</v>
      </c>
      <c r="B13" s="11">
        <v>45.5</v>
      </c>
    </row>
    <row r="14" spans="1:2" x14ac:dyDescent="0.2">
      <c r="A14" s="2">
        <v>40817</v>
      </c>
      <c r="B14" s="11">
        <v>46.5</v>
      </c>
    </row>
    <row r="15" spans="1:2" x14ac:dyDescent="0.2">
      <c r="A15" s="2">
        <v>40848</v>
      </c>
      <c r="B15" s="11">
        <v>48.7</v>
      </c>
    </row>
    <row r="16" spans="1:2" x14ac:dyDescent="0.2">
      <c r="A16" s="2">
        <v>40878</v>
      </c>
      <c r="B16" s="11">
        <v>49.3</v>
      </c>
    </row>
    <row r="17" spans="1:2" x14ac:dyDescent="0.2">
      <c r="A17" s="2">
        <v>40909</v>
      </c>
      <c r="B17" s="11">
        <v>50.6</v>
      </c>
    </row>
    <row r="18" spans="1:2" x14ac:dyDescent="0.2">
      <c r="A18" s="2">
        <v>40940</v>
      </c>
      <c r="B18" s="11">
        <v>51.4</v>
      </c>
    </row>
    <row r="19" spans="1:2" x14ac:dyDescent="0.2">
      <c r="A19" s="2">
        <v>40969</v>
      </c>
      <c r="B19" s="11">
        <v>51.1</v>
      </c>
    </row>
    <row r="20" spans="1:2" x14ac:dyDescent="0.2">
      <c r="A20" s="2">
        <v>41000</v>
      </c>
      <c r="B20" s="11">
        <v>49.3</v>
      </c>
    </row>
    <row r="21" spans="1:2" x14ac:dyDescent="0.2">
      <c r="A21" s="2">
        <v>41030</v>
      </c>
      <c r="B21" s="11">
        <v>49.3</v>
      </c>
    </row>
    <row r="22" spans="1:2" x14ac:dyDescent="0.2">
      <c r="A22" s="2">
        <v>41061</v>
      </c>
      <c r="B22" s="11">
        <v>48.5</v>
      </c>
    </row>
    <row r="23" spans="1:2" x14ac:dyDescent="0.2">
      <c r="A23" s="2">
        <v>41091</v>
      </c>
      <c r="B23" s="11">
        <v>48.7</v>
      </c>
    </row>
    <row r="24" spans="1:2" x14ac:dyDescent="0.2">
      <c r="A24" s="2">
        <v>41122</v>
      </c>
      <c r="B24" s="11">
        <v>49.3</v>
      </c>
    </row>
    <row r="25" spans="1:2" x14ac:dyDescent="0.2">
      <c r="A25" s="2">
        <v>41153</v>
      </c>
      <c r="B25" s="11">
        <v>49.8</v>
      </c>
    </row>
    <row r="26" spans="1:2" x14ac:dyDescent="0.2">
      <c r="A26" s="2">
        <v>41183</v>
      </c>
      <c r="B26" s="11">
        <v>50.2</v>
      </c>
    </row>
    <row r="27" spans="1:2" x14ac:dyDescent="0.2">
      <c r="A27" s="2">
        <v>41214</v>
      </c>
      <c r="B27" s="11">
        <v>52.2</v>
      </c>
    </row>
    <row r="28" spans="1:2" x14ac:dyDescent="0.2">
      <c r="A28" s="2">
        <v>41244</v>
      </c>
      <c r="B28" s="11">
        <v>51.1</v>
      </c>
    </row>
    <row r="29" spans="1:2" x14ac:dyDescent="0.2">
      <c r="A29" s="2">
        <v>41275</v>
      </c>
      <c r="B29" s="11">
        <v>53.2</v>
      </c>
    </row>
    <row r="30" spans="1:2" x14ac:dyDescent="0.2">
      <c r="A30" s="2">
        <v>41306</v>
      </c>
      <c r="B30" s="11">
        <v>52.5</v>
      </c>
    </row>
    <row r="31" spans="1:2" x14ac:dyDescent="0.2">
      <c r="A31" s="2">
        <v>41334</v>
      </c>
      <c r="B31" s="11">
        <v>51.8</v>
      </c>
    </row>
    <row r="32" spans="1:2" x14ac:dyDescent="0.2">
      <c r="A32" s="2">
        <v>41365</v>
      </c>
      <c r="B32" s="11">
        <v>50.8</v>
      </c>
    </row>
    <row r="33" spans="1:2" x14ac:dyDescent="0.2">
      <c r="A33" s="2">
        <v>41395</v>
      </c>
      <c r="B33" s="11">
        <v>50.4</v>
      </c>
    </row>
    <row r="34" spans="1:2" x14ac:dyDescent="0.2">
      <c r="A34" s="2">
        <v>41426</v>
      </c>
      <c r="B34" s="11">
        <v>50.4</v>
      </c>
    </row>
    <row r="35" spans="1:2" x14ac:dyDescent="0.2">
      <c r="A35" s="2">
        <v>41456</v>
      </c>
      <c r="B35" s="11">
        <v>48.5</v>
      </c>
    </row>
    <row r="36" spans="1:2" x14ac:dyDescent="0.2">
      <c r="A36" s="2">
        <v>41487</v>
      </c>
      <c r="B36" s="11">
        <v>49.4</v>
      </c>
    </row>
    <row r="37" spans="1:2" x14ac:dyDescent="0.2">
      <c r="A37" s="2">
        <v>41518</v>
      </c>
      <c r="B37" s="11">
        <v>49.9</v>
      </c>
    </row>
    <row r="38" spans="1:2" x14ac:dyDescent="0.2">
      <c r="A38" s="2">
        <v>41548</v>
      </c>
      <c r="B38" s="11">
        <v>50.2</v>
      </c>
    </row>
    <row r="39" spans="1:2" x14ac:dyDescent="0.2">
      <c r="A39" s="2">
        <v>41579</v>
      </c>
      <c r="B39" s="11">
        <v>49.7</v>
      </c>
    </row>
    <row r="40" spans="1:2" x14ac:dyDescent="0.2">
      <c r="A40" s="2">
        <v>41609</v>
      </c>
      <c r="B40" s="11">
        <v>50.5</v>
      </c>
    </row>
    <row r="41" spans="1:2" x14ac:dyDescent="0.2">
      <c r="A41" s="2">
        <v>41640</v>
      </c>
      <c r="B41" s="11">
        <v>51.7</v>
      </c>
    </row>
    <row r="42" spans="1:2" x14ac:dyDescent="0.2">
      <c r="A42" s="2">
        <v>41671</v>
      </c>
      <c r="B42" s="11">
        <v>50.4</v>
      </c>
    </row>
    <row r="43" spans="1:2" x14ac:dyDescent="0.2">
      <c r="A43" s="2">
        <v>41699</v>
      </c>
      <c r="B43" s="11">
        <v>50.6</v>
      </c>
    </row>
    <row r="44" spans="1:2" x14ac:dyDescent="0.2">
      <c r="A44" s="2">
        <v>41730</v>
      </c>
      <c r="B44" s="11">
        <v>49.3</v>
      </c>
    </row>
    <row r="45" spans="1:2" x14ac:dyDescent="0.2">
      <c r="A45" s="2">
        <v>41760</v>
      </c>
      <c r="B45" s="11">
        <v>48.8</v>
      </c>
    </row>
    <row r="46" spans="1:2" x14ac:dyDescent="0.2">
      <c r="A46" s="2">
        <v>41791</v>
      </c>
      <c r="B46" s="11">
        <v>48.7</v>
      </c>
    </row>
    <row r="47" spans="1:2" x14ac:dyDescent="0.2">
      <c r="A47" s="2">
        <v>41821</v>
      </c>
      <c r="B47" s="11">
        <v>49.1</v>
      </c>
    </row>
    <row r="48" spans="1:2" x14ac:dyDescent="0.2">
      <c r="A48" s="2">
        <v>41852</v>
      </c>
      <c r="B48" s="11">
        <v>50.2</v>
      </c>
    </row>
    <row r="49" spans="1:2" x14ac:dyDescent="0.2">
      <c r="A49" s="2">
        <v>41883</v>
      </c>
      <c r="B49" s="11">
        <v>49.3</v>
      </c>
    </row>
    <row r="50" spans="1:2" x14ac:dyDescent="0.2">
      <c r="A50" s="2">
        <v>41913</v>
      </c>
      <c r="B50" s="11">
        <v>49.1</v>
      </c>
    </row>
    <row r="51" spans="1:2" x14ac:dyDescent="0.2">
      <c r="A51" s="2">
        <v>41944</v>
      </c>
      <c r="B51" s="11">
        <v>48.7</v>
      </c>
    </row>
    <row r="52" spans="1:2" x14ac:dyDescent="0.2">
      <c r="A52" s="2">
        <v>41974</v>
      </c>
      <c r="B52" s="11">
        <v>50.2</v>
      </c>
    </row>
    <row r="53" spans="1:2" x14ac:dyDescent="0.2">
      <c r="A53" s="2">
        <v>42005</v>
      </c>
      <c r="B53" s="11">
        <v>50.7</v>
      </c>
    </row>
    <row r="54" spans="1:2" x14ac:dyDescent="0.2">
      <c r="A54" s="2">
        <v>42036</v>
      </c>
      <c r="B54" s="11">
        <v>49.6</v>
      </c>
    </row>
    <row r="55" spans="1:2" x14ac:dyDescent="0.2">
      <c r="A55" s="2">
        <v>42064</v>
      </c>
      <c r="B55" s="11">
        <v>46.2</v>
      </c>
    </row>
    <row r="56" spans="1:2" x14ac:dyDescent="0.2">
      <c r="A56" s="2">
        <v>42095</v>
      </c>
      <c r="B56" s="11">
        <v>46</v>
      </c>
    </row>
    <row r="57" spans="1:2" x14ac:dyDescent="0.2">
      <c r="A57" s="2">
        <v>42125</v>
      </c>
      <c r="B57" s="11">
        <v>45.9</v>
      </c>
    </row>
    <row r="58" spans="1:2" x14ac:dyDescent="0.2">
      <c r="A58" s="2">
        <v>42156</v>
      </c>
      <c r="B58" s="11">
        <v>46.5</v>
      </c>
    </row>
    <row r="59" spans="1:2" x14ac:dyDescent="0.2">
      <c r="A59" s="2">
        <v>42186</v>
      </c>
      <c r="B59" s="11">
        <v>47.2</v>
      </c>
    </row>
    <row r="60" spans="1:2" x14ac:dyDescent="0.2">
      <c r="A60" s="2">
        <v>42217</v>
      </c>
      <c r="B60" s="11">
        <v>45.8</v>
      </c>
    </row>
    <row r="61" spans="1:2" x14ac:dyDescent="0.2">
      <c r="A61" s="2">
        <v>42248</v>
      </c>
      <c r="B61" s="11">
        <v>47</v>
      </c>
    </row>
    <row r="62" spans="1:2" x14ac:dyDescent="0.2">
      <c r="A62" s="2">
        <v>42278</v>
      </c>
      <c r="B62" s="11">
        <v>44.1</v>
      </c>
    </row>
    <row r="63" spans="1:2" x14ac:dyDescent="0.2">
      <c r="A63" s="2">
        <v>42309</v>
      </c>
      <c r="B63" s="11">
        <v>43.8</v>
      </c>
    </row>
    <row r="64" spans="1:2" x14ac:dyDescent="0.2">
      <c r="A64" s="2">
        <v>42339</v>
      </c>
      <c r="B64" s="11">
        <v>45.6</v>
      </c>
    </row>
    <row r="65" spans="1:2" x14ac:dyDescent="0.2">
      <c r="A65" s="2">
        <v>42370</v>
      </c>
      <c r="B65" s="11">
        <v>47.4</v>
      </c>
    </row>
    <row r="66" spans="1:2" x14ac:dyDescent="0.2">
      <c r="A66" s="2">
        <v>42401</v>
      </c>
      <c r="B66" s="11">
        <v>44.5</v>
      </c>
    </row>
    <row r="67" spans="1:2" x14ac:dyDescent="0.2">
      <c r="A67" s="2">
        <v>42430</v>
      </c>
      <c r="B67" s="11">
        <v>46</v>
      </c>
    </row>
    <row r="68" spans="1:2" x14ac:dyDescent="0.2">
      <c r="A68" s="2">
        <v>42461</v>
      </c>
      <c r="B68" s="11">
        <v>42.6</v>
      </c>
    </row>
    <row r="69" spans="1:2" x14ac:dyDescent="0.2">
      <c r="A69" s="2">
        <v>42491</v>
      </c>
      <c r="B69" s="11">
        <v>41.6</v>
      </c>
    </row>
    <row r="70" spans="1:2" x14ac:dyDescent="0.2">
      <c r="A70" s="2">
        <v>42522</v>
      </c>
      <c r="B70" s="11">
        <v>43.2</v>
      </c>
    </row>
    <row r="71" spans="1:2" x14ac:dyDescent="0.2">
      <c r="A71" s="2">
        <v>42552</v>
      </c>
      <c r="B71" s="11">
        <v>46</v>
      </c>
    </row>
    <row r="72" spans="1:2" x14ac:dyDescent="0.2">
      <c r="A72" s="2">
        <v>42583</v>
      </c>
      <c r="B72" s="11">
        <v>45.7</v>
      </c>
    </row>
    <row r="73" spans="1:2" x14ac:dyDescent="0.2">
      <c r="A73" s="2">
        <v>42614</v>
      </c>
      <c r="B73" s="11">
        <v>46</v>
      </c>
    </row>
    <row r="74" spans="1:2" x14ac:dyDescent="0.2">
      <c r="A74" s="2">
        <v>42644</v>
      </c>
      <c r="B74" s="11">
        <v>46.3</v>
      </c>
    </row>
    <row r="75" spans="1:2" x14ac:dyDescent="0.2">
      <c r="A75" s="2">
        <v>42675</v>
      </c>
      <c r="B75" s="11">
        <v>46.2</v>
      </c>
    </row>
    <row r="76" spans="1:2" x14ac:dyDescent="0.2">
      <c r="A76" s="2">
        <v>42705</v>
      </c>
      <c r="B76" s="11">
        <v>45.2</v>
      </c>
    </row>
    <row r="77" spans="1:2" x14ac:dyDescent="0.2">
      <c r="A77" s="2">
        <v>42736</v>
      </c>
      <c r="B77" s="11">
        <v>44</v>
      </c>
    </row>
    <row r="78" spans="1:2" x14ac:dyDescent="0.2">
      <c r="A78" s="2">
        <v>42767</v>
      </c>
      <c r="B78" s="11">
        <v>46.9</v>
      </c>
    </row>
    <row r="79" spans="1:2" x14ac:dyDescent="0.2">
      <c r="A79" s="2">
        <v>42795</v>
      </c>
      <c r="B79" s="11">
        <v>49.6</v>
      </c>
    </row>
    <row r="80" spans="1:2" x14ac:dyDescent="0.2">
      <c r="A80" s="2">
        <v>42826</v>
      </c>
      <c r="B80" s="11">
        <v>50.1</v>
      </c>
    </row>
    <row r="81" spans="1:2" x14ac:dyDescent="0.2">
      <c r="A81" s="2">
        <v>42856</v>
      </c>
      <c r="B81" s="11">
        <v>52</v>
      </c>
    </row>
    <row r="82" spans="1:2" x14ac:dyDescent="0.2">
      <c r="A82" s="2">
        <v>42887</v>
      </c>
      <c r="B82" s="11">
        <v>50.5</v>
      </c>
    </row>
    <row r="83" spans="1:2" x14ac:dyDescent="0.2">
      <c r="A83" s="2">
        <v>42917</v>
      </c>
      <c r="B83" s="11">
        <v>50</v>
      </c>
    </row>
    <row r="84" spans="1:2" x14ac:dyDescent="0.2">
      <c r="A84" s="2">
        <v>42948</v>
      </c>
      <c r="B84" s="11">
        <v>50.9</v>
      </c>
    </row>
    <row r="85" spans="1:2" x14ac:dyDescent="0.2">
      <c r="A85" s="2">
        <v>42979</v>
      </c>
      <c r="B85" s="11">
        <v>50.9</v>
      </c>
    </row>
    <row r="86" spans="1:2" x14ac:dyDescent="0.2">
      <c r="A86" s="2">
        <v>43009</v>
      </c>
      <c r="B86" s="11">
        <v>51.2</v>
      </c>
    </row>
    <row r="87" spans="1:2" x14ac:dyDescent="0.2">
      <c r="A87" s="2">
        <v>43040</v>
      </c>
      <c r="B87" s="11">
        <v>53.5</v>
      </c>
    </row>
    <row r="88" spans="1:2" x14ac:dyDescent="0.2">
      <c r="A88" s="2">
        <v>43070</v>
      </c>
      <c r="B88" s="11">
        <v>52.4</v>
      </c>
    </row>
    <row r="89" spans="1:2" x14ac:dyDescent="0.2">
      <c r="A89" s="2">
        <v>43101</v>
      </c>
      <c r="B89" s="11">
        <v>51.2</v>
      </c>
    </row>
    <row r="90" spans="1:2" x14ac:dyDescent="0.2">
      <c r="A90" s="2">
        <v>43132</v>
      </c>
      <c r="B90" s="11">
        <v>53.2</v>
      </c>
    </row>
    <row r="91" spans="1:2" x14ac:dyDescent="0.2">
      <c r="A91" s="2">
        <v>43160</v>
      </c>
      <c r="B91" s="11">
        <v>53.4</v>
      </c>
    </row>
    <row r="92" spans="1:2" x14ac:dyDescent="0.2">
      <c r="A92" s="2">
        <v>43191</v>
      </c>
      <c r="B92" s="11">
        <v>52.3</v>
      </c>
    </row>
    <row r="93" spans="1:2" x14ac:dyDescent="0.2">
      <c r="A93" s="2">
        <v>43221</v>
      </c>
      <c r="B93" s="11">
        <v>50.7</v>
      </c>
    </row>
    <row r="94" spans="1:2" x14ac:dyDescent="0.2">
      <c r="A94" s="2">
        <v>43252</v>
      </c>
      <c r="B94" s="11">
        <v>49.8</v>
      </c>
    </row>
    <row r="95" spans="1:2" x14ac:dyDescent="0.2">
      <c r="A95" s="2">
        <v>43282</v>
      </c>
      <c r="B95" s="11">
        <v>50.5</v>
      </c>
    </row>
    <row r="96" spans="1:2" x14ac:dyDescent="0.2">
      <c r="A96" s="2">
        <v>43313</v>
      </c>
      <c r="B96" s="11">
        <v>51.1</v>
      </c>
    </row>
    <row r="97" spans="1:2" x14ac:dyDescent="0.2">
      <c r="A97" s="2">
        <v>43344</v>
      </c>
      <c r="B97" s="11">
        <v>50.9</v>
      </c>
    </row>
    <row r="98" spans="1:2" x14ac:dyDescent="0.2">
      <c r="A98" s="2">
        <v>43374</v>
      </c>
      <c r="B98" s="11">
        <v>51.1</v>
      </c>
    </row>
    <row r="99" spans="1:2" x14ac:dyDescent="0.2">
      <c r="A99" s="2">
        <v>43405</v>
      </c>
      <c r="B99" s="11">
        <v>52.7</v>
      </c>
    </row>
    <row r="100" spans="1:2" x14ac:dyDescent="0.2">
      <c r="A100" s="2">
        <v>43435</v>
      </c>
      <c r="B100" s="11">
        <v>52.6</v>
      </c>
    </row>
    <row r="101" spans="1:2" x14ac:dyDescent="0.2">
      <c r="A101" s="2">
        <v>43466</v>
      </c>
      <c r="B101" s="11">
        <v>52.7</v>
      </c>
    </row>
    <row r="102" spans="1:2" x14ac:dyDescent="0.2">
      <c r="A102" s="2">
        <v>43497</v>
      </c>
      <c r="B102" s="11">
        <v>53.4</v>
      </c>
    </row>
    <row r="103" spans="1:2" x14ac:dyDescent="0.2">
      <c r="A103" s="2">
        <v>43525</v>
      </c>
      <c r="B103" s="11">
        <v>52.8</v>
      </c>
    </row>
    <row r="104" spans="1:2" x14ac:dyDescent="0.2">
      <c r="A104" s="2">
        <v>43556</v>
      </c>
      <c r="B104" s="11">
        <v>51.5</v>
      </c>
    </row>
    <row r="105" spans="1:2" x14ac:dyDescent="0.2">
      <c r="A105" s="2">
        <v>43586</v>
      </c>
      <c r="B105" s="11">
        <v>50.2</v>
      </c>
    </row>
    <row r="106" spans="1:2" x14ac:dyDescent="0.2">
      <c r="A106" s="2">
        <v>43617</v>
      </c>
      <c r="B106" s="11">
        <v>51</v>
      </c>
    </row>
    <row r="107" spans="1:2" x14ac:dyDescent="0.2">
      <c r="A107" s="2">
        <v>43647</v>
      </c>
      <c r="B107" s="11">
        <v>49.9</v>
      </c>
    </row>
    <row r="108" spans="1:2" x14ac:dyDescent="0.2">
      <c r="A108" s="2">
        <v>43678</v>
      </c>
      <c r="B108" s="11">
        <v>52.5</v>
      </c>
    </row>
    <row r="109" spans="1:2" x14ac:dyDescent="0.2">
      <c r="A109" s="2">
        <v>43709</v>
      </c>
      <c r="B109" s="11">
        <v>53.4</v>
      </c>
    </row>
    <row r="110" spans="1:2" x14ac:dyDescent="0.2">
      <c r="A110" s="2">
        <v>43739</v>
      </c>
      <c r="B110" s="11">
        <v>52.2</v>
      </c>
    </row>
    <row r="111" spans="1:2" x14ac:dyDescent="0.2">
      <c r="A111" s="2">
        <v>43770</v>
      </c>
      <c r="B111" s="11">
        <v>52.9</v>
      </c>
    </row>
    <row r="112" spans="1:2" x14ac:dyDescent="0.2">
      <c r="A112" s="2">
        <v>43800</v>
      </c>
      <c r="B112" s="11">
        <v>50.2</v>
      </c>
    </row>
    <row r="113" spans="1:2" x14ac:dyDescent="0.2">
      <c r="A113" s="2">
        <v>43831</v>
      </c>
      <c r="B113" s="11">
        <v>51</v>
      </c>
    </row>
    <row r="114" spans="1:2" x14ac:dyDescent="0.2">
      <c r="A114" s="2">
        <v>43862</v>
      </c>
      <c r="B114" s="11">
        <v>52.3</v>
      </c>
    </row>
    <row r="115" spans="1:2" x14ac:dyDescent="0.2">
      <c r="A115" s="2">
        <v>43891</v>
      </c>
      <c r="B115" s="11">
        <v>48.4</v>
      </c>
    </row>
    <row r="116" spans="1:2" x14ac:dyDescent="0.2">
      <c r="A116" s="2">
        <v>43922</v>
      </c>
      <c r="B116" s="11">
        <v>36</v>
      </c>
    </row>
    <row r="117" spans="1:2" x14ac:dyDescent="0.2">
      <c r="A117" s="2">
        <v>43952</v>
      </c>
      <c r="B117" s="11">
        <v>38.299999999999997</v>
      </c>
    </row>
    <row r="118" spans="1:2" x14ac:dyDescent="0.2">
      <c r="A118" s="2">
        <v>43983</v>
      </c>
      <c r="B118" s="11">
        <v>51.6</v>
      </c>
    </row>
    <row r="119" spans="1:2" x14ac:dyDescent="0.2">
      <c r="A119" s="2">
        <v>44013</v>
      </c>
      <c r="B119" s="11">
        <v>58.2</v>
      </c>
    </row>
    <row r="120" spans="1:2" x14ac:dyDescent="0.2">
      <c r="A120" s="2">
        <v>44044</v>
      </c>
      <c r="B120" s="11">
        <v>64.7</v>
      </c>
    </row>
    <row r="121" spans="1:2" x14ac:dyDescent="0.2">
      <c r="A121" s="2">
        <v>44075</v>
      </c>
      <c r="B121" s="11">
        <v>64.900000000000006</v>
      </c>
    </row>
    <row r="122" spans="1:2" x14ac:dyDescent="0.2">
      <c r="A122" s="2">
        <v>44105</v>
      </c>
      <c r="B122" s="11">
        <v>66.7</v>
      </c>
    </row>
    <row r="123" spans="1:2" x14ac:dyDescent="0.2">
      <c r="A123" s="2">
        <v>44136</v>
      </c>
      <c r="B123" s="11">
        <v>64</v>
      </c>
    </row>
    <row r="124" spans="1:2" x14ac:dyDescent="0.2">
      <c r="A124" s="2">
        <v>44166</v>
      </c>
      <c r="B124" s="11">
        <v>61.5</v>
      </c>
    </row>
    <row r="125" spans="1:2" x14ac:dyDescent="0.2">
      <c r="A125" s="2">
        <v>44197</v>
      </c>
      <c r="B125" s="11">
        <v>56.5</v>
      </c>
    </row>
    <row r="126" spans="1:2" x14ac:dyDescent="0.2">
      <c r="A126" s="2">
        <v>44228</v>
      </c>
      <c r="B126" s="11">
        <v>58.4</v>
      </c>
    </row>
    <row r="127" spans="1:2" x14ac:dyDescent="0.2">
      <c r="A127" s="2">
        <v>44256</v>
      </c>
      <c r="B127" s="11">
        <v>52.8</v>
      </c>
    </row>
    <row r="128" spans="1:2" x14ac:dyDescent="0.2">
      <c r="A128" s="2">
        <v>44287</v>
      </c>
      <c r="B128" s="11">
        <v>52.3</v>
      </c>
    </row>
    <row r="129" spans="1:2" x14ac:dyDescent="0.2">
      <c r="A129" s="2">
        <v>44317</v>
      </c>
      <c r="B129" s="11">
        <v>53.7</v>
      </c>
    </row>
    <row r="130" spans="1:2" x14ac:dyDescent="0.2">
      <c r="A130" s="2">
        <v>44348</v>
      </c>
      <c r="B130" s="11">
        <v>56.4</v>
      </c>
    </row>
    <row r="131" spans="1:2" x14ac:dyDescent="0.2">
      <c r="A131" s="2">
        <v>44378</v>
      </c>
      <c r="B131" s="11">
        <v>56.7</v>
      </c>
    </row>
    <row r="132" spans="1:2" x14ac:dyDescent="0.2">
      <c r="A132" s="2">
        <v>44409</v>
      </c>
      <c r="B132" s="11">
        <v>53.6</v>
      </c>
    </row>
    <row r="133" spans="1:2" x14ac:dyDescent="0.2">
      <c r="A133" s="2">
        <v>44440</v>
      </c>
      <c r="B133" s="11">
        <v>54.4</v>
      </c>
    </row>
    <row r="134" spans="1:2" x14ac:dyDescent="0.2">
      <c r="A134" s="2">
        <v>44470</v>
      </c>
      <c r="B134" s="11">
        <v>51.7</v>
      </c>
    </row>
    <row r="135" spans="1:2" x14ac:dyDescent="0.2">
      <c r="A135" s="2">
        <v>44501</v>
      </c>
      <c r="B135" s="11">
        <v>49.8</v>
      </c>
    </row>
    <row r="136" spans="1:2" x14ac:dyDescent="0.2">
      <c r="A136" s="2">
        <v>44531</v>
      </c>
      <c r="B136" s="11">
        <v>49.8</v>
      </c>
    </row>
  </sheetData>
  <conditionalFormatting sqref="B2:B13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B130"/>
  <sheetViews>
    <sheetView zoomScale="170" zoomScaleNormal="170" workbookViewId="0">
      <pane ySplit="1" topLeftCell="A2" activePane="bottomLeft" state="frozen"/>
      <selection pane="bottomLeft" activeCell="J110" sqref="J110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17</v>
      </c>
    </row>
    <row r="2" spans="1:2" x14ac:dyDescent="0.2">
      <c r="A2" s="6">
        <v>40634</v>
      </c>
      <c r="B2" s="7">
        <v>56.1</v>
      </c>
    </row>
    <row r="3" spans="1:2" x14ac:dyDescent="0.2">
      <c r="A3" s="2">
        <v>40664</v>
      </c>
      <c r="B3" s="11">
        <v>54.5</v>
      </c>
    </row>
    <row r="4" spans="1:2" x14ac:dyDescent="0.2">
      <c r="A4" s="2">
        <v>40695</v>
      </c>
      <c r="B4" s="11">
        <v>55.1</v>
      </c>
    </row>
    <row r="5" spans="1:2" x14ac:dyDescent="0.2">
      <c r="A5" s="2">
        <v>40725</v>
      </c>
      <c r="B5" s="11">
        <v>54.8</v>
      </c>
    </row>
    <row r="6" spans="1:2" x14ac:dyDescent="0.2">
      <c r="A6" s="2">
        <v>40756</v>
      </c>
      <c r="B6" s="11">
        <v>51.7</v>
      </c>
    </row>
    <row r="7" spans="1:2" x14ac:dyDescent="0.2">
      <c r="A7" s="2">
        <v>40787</v>
      </c>
      <c r="B7" s="11">
        <v>53.2</v>
      </c>
    </row>
    <row r="8" spans="1:2" x14ac:dyDescent="0.2">
      <c r="A8" s="2">
        <v>40817</v>
      </c>
      <c r="B8" s="11">
        <v>54.8</v>
      </c>
    </row>
    <row r="9" spans="1:2" x14ac:dyDescent="0.2">
      <c r="A9" s="2">
        <v>40848</v>
      </c>
      <c r="B9" s="11">
        <v>53.9</v>
      </c>
    </row>
    <row r="10" spans="1:2" x14ac:dyDescent="0.2">
      <c r="A10" s="2">
        <v>40878</v>
      </c>
      <c r="B10" s="11">
        <v>53.1</v>
      </c>
    </row>
    <row r="11" spans="1:2" x14ac:dyDescent="0.2">
      <c r="A11" s="2">
        <v>40909</v>
      </c>
      <c r="B11" s="11">
        <v>52.2</v>
      </c>
    </row>
    <row r="12" spans="1:2" x14ac:dyDescent="0.2">
      <c r="A12" s="2">
        <v>40940</v>
      </c>
      <c r="B12" s="11">
        <v>53.7</v>
      </c>
    </row>
    <row r="13" spans="1:2" x14ac:dyDescent="0.2">
      <c r="A13" s="2">
        <v>40969</v>
      </c>
      <c r="B13" s="11">
        <v>53.8</v>
      </c>
    </row>
    <row r="14" spans="1:2" x14ac:dyDescent="0.2">
      <c r="A14" s="2">
        <v>41000</v>
      </c>
      <c r="B14" s="11">
        <v>56.3</v>
      </c>
    </row>
    <row r="15" spans="1:2" x14ac:dyDescent="0.2">
      <c r="A15" s="2">
        <v>41030</v>
      </c>
      <c r="B15" s="11">
        <v>55.2</v>
      </c>
    </row>
    <row r="16" spans="1:2" x14ac:dyDescent="0.2">
      <c r="A16" s="2">
        <v>41061</v>
      </c>
      <c r="B16" s="11">
        <v>55.9</v>
      </c>
    </row>
    <row r="17" spans="1:2" x14ac:dyDescent="0.2">
      <c r="A17" s="2">
        <v>41091</v>
      </c>
      <c r="B17" s="11">
        <v>55.2</v>
      </c>
    </row>
    <row r="18" spans="1:2" x14ac:dyDescent="0.2">
      <c r="A18" s="2">
        <v>41122</v>
      </c>
      <c r="B18" s="11">
        <v>55.1</v>
      </c>
    </row>
    <row r="19" spans="1:2" x14ac:dyDescent="0.2">
      <c r="A19" s="2">
        <v>41153</v>
      </c>
      <c r="B19" s="11">
        <v>54.4</v>
      </c>
    </row>
    <row r="20" spans="1:2" x14ac:dyDescent="0.2">
      <c r="A20" s="2">
        <v>41183</v>
      </c>
      <c r="B20" s="11">
        <v>55.5</v>
      </c>
    </row>
    <row r="21" spans="1:2" x14ac:dyDescent="0.2">
      <c r="A21" s="2">
        <v>41214</v>
      </c>
      <c r="B21" s="11">
        <v>55.6</v>
      </c>
    </row>
    <row r="22" spans="1:2" x14ac:dyDescent="0.2">
      <c r="A22" s="2">
        <v>41244</v>
      </c>
      <c r="B22" s="11">
        <v>57.1</v>
      </c>
    </row>
    <row r="23" spans="1:2" x14ac:dyDescent="0.2">
      <c r="A23" s="2">
        <v>41275</v>
      </c>
      <c r="B23" s="11">
        <v>55</v>
      </c>
    </row>
    <row r="24" spans="1:2" x14ac:dyDescent="0.2">
      <c r="A24" s="2">
        <v>41306</v>
      </c>
      <c r="B24" s="11">
        <v>53.4</v>
      </c>
    </row>
    <row r="25" spans="1:2" x14ac:dyDescent="0.2">
      <c r="A25" s="2">
        <v>41334</v>
      </c>
      <c r="B25" s="11">
        <v>52.2</v>
      </c>
    </row>
    <row r="26" spans="1:2" x14ac:dyDescent="0.2">
      <c r="A26" s="2">
        <v>41365</v>
      </c>
      <c r="B26" s="11">
        <v>51.7</v>
      </c>
    </row>
    <row r="27" spans="1:2" x14ac:dyDescent="0.2">
      <c r="A27" s="2">
        <v>41395</v>
      </c>
      <c r="B27" s="11">
        <v>51.8</v>
      </c>
    </row>
    <row r="28" spans="1:2" x14ac:dyDescent="0.2">
      <c r="A28" s="2">
        <v>41426</v>
      </c>
      <c r="B28" s="11">
        <v>51.3</v>
      </c>
    </row>
    <row r="29" spans="1:2" x14ac:dyDescent="0.2">
      <c r="A29" s="2">
        <v>41456</v>
      </c>
      <c r="B29" s="11">
        <v>49.7</v>
      </c>
    </row>
    <row r="30" spans="1:2" x14ac:dyDescent="0.2">
      <c r="A30" s="2">
        <v>41487</v>
      </c>
      <c r="B30" s="11">
        <v>50.8</v>
      </c>
    </row>
    <row r="31" spans="1:2" x14ac:dyDescent="0.2">
      <c r="A31" s="2">
        <v>41518</v>
      </c>
      <c r="B31" s="11">
        <v>50</v>
      </c>
    </row>
    <row r="32" spans="1:2" x14ac:dyDescent="0.2">
      <c r="A32" s="2">
        <v>41548</v>
      </c>
      <c r="B32" s="11">
        <v>50.2</v>
      </c>
    </row>
    <row r="33" spans="1:2" x14ac:dyDescent="0.2">
      <c r="A33" s="2">
        <v>41579</v>
      </c>
      <c r="B33" s="11">
        <v>51.9</v>
      </c>
    </row>
    <row r="34" spans="1:2" x14ac:dyDescent="0.2">
      <c r="A34" s="2">
        <v>41609</v>
      </c>
      <c r="B34" s="11">
        <v>52.6</v>
      </c>
    </row>
    <row r="35" spans="1:2" x14ac:dyDescent="0.2">
      <c r="A35" s="2">
        <v>41640</v>
      </c>
      <c r="B35" s="11">
        <v>54</v>
      </c>
    </row>
    <row r="36" spans="1:2" x14ac:dyDescent="0.2">
      <c r="A36" s="2">
        <v>41671</v>
      </c>
      <c r="B36" s="11">
        <v>52</v>
      </c>
    </row>
    <row r="37" spans="1:2" x14ac:dyDescent="0.2">
      <c r="A37" s="2">
        <v>41699</v>
      </c>
      <c r="B37" s="11">
        <v>51.7</v>
      </c>
    </row>
    <row r="38" spans="1:2" x14ac:dyDescent="0.2">
      <c r="A38" s="2">
        <v>41730</v>
      </c>
      <c r="B38" s="11">
        <v>51.8</v>
      </c>
    </row>
    <row r="39" spans="1:2" x14ac:dyDescent="0.2">
      <c r="A39" s="2">
        <v>41760</v>
      </c>
      <c r="B39" s="11">
        <v>51.9</v>
      </c>
    </row>
    <row r="40" spans="1:2" x14ac:dyDescent="0.2">
      <c r="A40" s="2">
        <v>41791</v>
      </c>
      <c r="B40" s="11">
        <v>51.8</v>
      </c>
    </row>
    <row r="41" spans="1:2" x14ac:dyDescent="0.2">
      <c r="A41" s="2">
        <v>41821</v>
      </c>
      <c r="B41" s="11">
        <v>51.5</v>
      </c>
    </row>
    <row r="42" spans="1:2" x14ac:dyDescent="0.2">
      <c r="A42" s="2">
        <v>41852</v>
      </c>
      <c r="B42" s="11">
        <v>52.1</v>
      </c>
    </row>
    <row r="43" spans="1:2" x14ac:dyDescent="0.2">
      <c r="A43" s="2">
        <v>41883</v>
      </c>
      <c r="B43" s="11">
        <v>52.6</v>
      </c>
    </row>
    <row r="44" spans="1:2" x14ac:dyDescent="0.2">
      <c r="A44" s="2">
        <v>41913</v>
      </c>
      <c r="B44" s="11">
        <v>53.3</v>
      </c>
    </row>
    <row r="45" spans="1:2" x14ac:dyDescent="0.2">
      <c r="A45" s="2">
        <v>41944</v>
      </c>
      <c r="B45" s="11">
        <v>54.3</v>
      </c>
    </row>
    <row r="46" spans="1:2" x14ac:dyDescent="0.2">
      <c r="A46" s="2">
        <v>41974</v>
      </c>
      <c r="B46" s="11">
        <v>55.3</v>
      </c>
    </row>
    <row r="47" spans="1:2" x14ac:dyDescent="0.2">
      <c r="A47" s="2">
        <v>42005</v>
      </c>
      <c r="B47" s="11">
        <v>55.6</v>
      </c>
    </row>
    <row r="48" spans="1:2" x14ac:dyDescent="0.2">
      <c r="A48" s="2">
        <v>42036</v>
      </c>
      <c r="B48" s="11">
        <v>54.4</v>
      </c>
    </row>
    <row r="49" spans="1:2" x14ac:dyDescent="0.2">
      <c r="A49" s="2">
        <v>42064</v>
      </c>
      <c r="B49" s="11">
        <v>53.8</v>
      </c>
    </row>
    <row r="50" spans="1:2" x14ac:dyDescent="0.2">
      <c r="A50" s="2">
        <v>42095</v>
      </c>
      <c r="B50" s="11">
        <v>53.8</v>
      </c>
    </row>
    <row r="51" spans="1:2" x14ac:dyDescent="0.2">
      <c r="A51" s="2">
        <v>42125</v>
      </c>
      <c r="B51" s="11">
        <v>53.3</v>
      </c>
    </row>
    <row r="52" spans="1:2" x14ac:dyDescent="0.2">
      <c r="A52" s="2">
        <v>42156</v>
      </c>
      <c r="B52" s="11">
        <v>52</v>
      </c>
    </row>
    <row r="53" spans="1:2" x14ac:dyDescent="0.2">
      <c r="A53" s="2">
        <v>42186</v>
      </c>
      <c r="B53" s="11">
        <v>52.9</v>
      </c>
    </row>
    <row r="54" spans="1:2" x14ac:dyDescent="0.2">
      <c r="A54" s="2">
        <v>42217</v>
      </c>
      <c r="B54" s="11">
        <v>52.4</v>
      </c>
    </row>
    <row r="55" spans="1:2" x14ac:dyDescent="0.2">
      <c r="A55" s="2">
        <v>42248</v>
      </c>
      <c r="B55" s="11">
        <v>52.1</v>
      </c>
    </row>
    <row r="56" spans="1:2" x14ac:dyDescent="0.2">
      <c r="A56" s="2">
        <v>42278</v>
      </c>
      <c r="B56" s="11">
        <v>53</v>
      </c>
    </row>
    <row r="57" spans="1:2" x14ac:dyDescent="0.2">
      <c r="A57" s="2">
        <v>42309</v>
      </c>
      <c r="B57" s="11">
        <v>53</v>
      </c>
    </row>
    <row r="58" spans="1:2" x14ac:dyDescent="0.2">
      <c r="A58" s="2">
        <v>42339</v>
      </c>
      <c r="B58" s="11">
        <v>52.4</v>
      </c>
    </row>
    <row r="59" spans="1:2" x14ac:dyDescent="0.2">
      <c r="A59" s="2">
        <v>42370</v>
      </c>
      <c r="B59" s="11">
        <v>52.2</v>
      </c>
    </row>
    <row r="60" spans="1:2" x14ac:dyDescent="0.2">
      <c r="A60" s="2">
        <v>42401</v>
      </c>
      <c r="B60" s="11">
        <v>53.1</v>
      </c>
    </row>
    <row r="61" spans="1:2" x14ac:dyDescent="0.2">
      <c r="A61" s="2">
        <v>42430</v>
      </c>
      <c r="B61" s="11">
        <v>53.2</v>
      </c>
    </row>
    <row r="62" spans="1:2" x14ac:dyDescent="0.2">
      <c r="A62" s="2">
        <v>42461</v>
      </c>
      <c r="B62" s="11">
        <v>52.4</v>
      </c>
    </row>
    <row r="63" spans="1:2" x14ac:dyDescent="0.2">
      <c r="A63" s="2">
        <v>42491</v>
      </c>
      <c r="B63" s="11">
        <v>53.6</v>
      </c>
    </row>
    <row r="64" spans="1:2" x14ac:dyDescent="0.2">
      <c r="A64" s="2">
        <v>42522</v>
      </c>
      <c r="B64" s="11">
        <v>51.1</v>
      </c>
    </row>
    <row r="65" spans="1:2" x14ac:dyDescent="0.2">
      <c r="A65" s="2">
        <v>42552</v>
      </c>
      <c r="B65" s="11">
        <v>50.6</v>
      </c>
    </row>
    <row r="66" spans="1:2" x14ac:dyDescent="0.2">
      <c r="A66" s="2">
        <v>42583</v>
      </c>
      <c r="B66" s="11">
        <v>50.9</v>
      </c>
    </row>
    <row r="67" spans="1:2" x14ac:dyDescent="0.2">
      <c r="A67" s="2">
        <v>42614</v>
      </c>
      <c r="B67" s="11">
        <v>51.9</v>
      </c>
    </row>
    <row r="68" spans="1:2" x14ac:dyDescent="0.2">
      <c r="A68" s="2">
        <v>42644</v>
      </c>
      <c r="B68" s="11">
        <v>51.8</v>
      </c>
    </row>
    <row r="69" spans="1:2" x14ac:dyDescent="0.2">
      <c r="A69" s="2">
        <v>42675</v>
      </c>
      <c r="B69" s="11">
        <v>51.1</v>
      </c>
    </row>
    <row r="70" spans="1:2" x14ac:dyDescent="0.2">
      <c r="A70" s="2">
        <v>42705</v>
      </c>
      <c r="B70" s="11">
        <v>50.2</v>
      </c>
    </row>
    <row r="71" spans="1:2" x14ac:dyDescent="0.2">
      <c r="A71" s="2">
        <v>42736</v>
      </c>
      <c r="B71" s="11">
        <v>50.8</v>
      </c>
    </row>
    <row r="72" spans="1:2" x14ac:dyDescent="0.2">
      <c r="A72" s="2">
        <v>42767</v>
      </c>
      <c r="B72" s="11">
        <v>50.6</v>
      </c>
    </row>
    <row r="73" spans="1:2" x14ac:dyDescent="0.2">
      <c r="A73" s="2">
        <v>42795</v>
      </c>
      <c r="B73" s="11">
        <v>51.5</v>
      </c>
    </row>
    <row r="74" spans="1:2" x14ac:dyDescent="0.2">
      <c r="A74" s="2">
        <v>42826</v>
      </c>
      <c r="B74" s="11">
        <v>50.7</v>
      </c>
    </row>
    <row r="75" spans="1:2" x14ac:dyDescent="0.2">
      <c r="A75" s="2">
        <v>42856</v>
      </c>
      <c r="B75" s="11">
        <v>51.2</v>
      </c>
    </row>
    <row r="76" spans="1:2" x14ac:dyDescent="0.2">
      <c r="A76" s="2">
        <v>42887</v>
      </c>
      <c r="B76" s="11">
        <v>52.3</v>
      </c>
    </row>
    <row r="77" spans="1:2" x14ac:dyDescent="0.2">
      <c r="A77" s="2">
        <v>42917</v>
      </c>
      <c r="B77" s="11">
        <v>51.2</v>
      </c>
    </row>
    <row r="78" spans="1:2" x14ac:dyDescent="0.2">
      <c r="A78" s="2">
        <v>42948</v>
      </c>
      <c r="B78" s="11">
        <v>52.2</v>
      </c>
    </row>
    <row r="79" spans="1:2" x14ac:dyDescent="0.2">
      <c r="A79" s="2">
        <v>42979</v>
      </c>
      <c r="B79" s="11">
        <v>52.8</v>
      </c>
    </row>
    <row r="80" spans="1:2" x14ac:dyDescent="0.2">
      <c r="A80" s="2">
        <v>43009</v>
      </c>
      <c r="B80" s="11">
        <v>49.2</v>
      </c>
    </row>
    <row r="81" spans="1:2" x14ac:dyDescent="0.2">
      <c r="A81" s="2">
        <v>43040</v>
      </c>
      <c r="B81" s="11">
        <v>52.4</v>
      </c>
    </row>
    <row r="82" spans="1:2" x14ac:dyDescent="0.2">
      <c r="A82" s="2">
        <v>43070</v>
      </c>
      <c r="B82" s="11">
        <v>51.7</v>
      </c>
    </row>
    <row r="83" spans="1:2" x14ac:dyDescent="0.2">
      <c r="A83" s="2">
        <v>43101</v>
      </c>
      <c r="B83" s="11">
        <v>52.6</v>
      </c>
    </row>
    <row r="84" spans="1:2" x14ac:dyDescent="0.2">
      <c r="A84" s="2">
        <v>43132</v>
      </c>
      <c r="B84" s="11">
        <v>51.6</v>
      </c>
    </row>
    <row r="85" spans="1:2" x14ac:dyDescent="0.2">
      <c r="A85" s="2">
        <v>43160</v>
      </c>
      <c r="B85" s="11">
        <v>52.4</v>
      </c>
    </row>
    <row r="86" spans="1:2" x14ac:dyDescent="0.2">
      <c r="A86" s="2">
        <v>43191</v>
      </c>
      <c r="B86" s="11">
        <v>51.6</v>
      </c>
    </row>
    <row r="87" spans="1:2" x14ac:dyDescent="0.2">
      <c r="A87" s="2">
        <v>43221</v>
      </c>
      <c r="B87" s="11">
        <v>51</v>
      </c>
    </row>
    <row r="88" spans="1:2" x14ac:dyDescent="0.2">
      <c r="A88" s="2">
        <v>43252</v>
      </c>
      <c r="B88" s="11">
        <v>52.1</v>
      </c>
    </row>
    <row r="89" spans="1:2" x14ac:dyDescent="0.2">
      <c r="A89" s="2">
        <v>43282</v>
      </c>
      <c r="B89" s="11">
        <v>52.1</v>
      </c>
    </row>
    <row r="90" spans="1:2" x14ac:dyDescent="0.2">
      <c r="A90" s="2">
        <v>43313</v>
      </c>
      <c r="B90" s="11">
        <v>50.7</v>
      </c>
    </row>
    <row r="91" spans="1:2" x14ac:dyDescent="0.2">
      <c r="A91" s="2">
        <v>43344</v>
      </c>
      <c r="B91" s="11">
        <v>51.7</v>
      </c>
    </row>
    <row r="92" spans="1:2" x14ac:dyDescent="0.2">
      <c r="A92" s="2">
        <v>43374</v>
      </c>
      <c r="B92" s="11">
        <v>50.7</v>
      </c>
    </row>
    <row r="93" spans="1:2" x14ac:dyDescent="0.2">
      <c r="A93" s="2">
        <v>43405</v>
      </c>
      <c r="B93" s="11">
        <v>49.7</v>
      </c>
    </row>
    <row r="94" spans="1:2" x14ac:dyDescent="0.2">
      <c r="A94" s="2">
        <v>43435</v>
      </c>
      <c r="B94" s="11">
        <v>49.7</v>
      </c>
    </row>
    <row r="95" spans="1:2" x14ac:dyDescent="0.2">
      <c r="A95" s="2">
        <v>43466</v>
      </c>
      <c r="B95" s="11">
        <v>50.9</v>
      </c>
    </row>
    <row r="96" spans="1:2" x14ac:dyDescent="0.2">
      <c r="A96" s="2">
        <v>43497</v>
      </c>
      <c r="B96" s="11">
        <v>52.6</v>
      </c>
    </row>
    <row r="97" spans="1:2" x14ac:dyDescent="0.2">
      <c r="A97" s="2">
        <v>43525</v>
      </c>
      <c r="B97" s="11">
        <v>49.8</v>
      </c>
    </row>
    <row r="98" spans="1:2" x14ac:dyDescent="0.2">
      <c r="A98" s="2">
        <v>43556</v>
      </c>
      <c r="B98" s="11">
        <v>50.1</v>
      </c>
    </row>
    <row r="99" spans="1:2" x14ac:dyDescent="0.2">
      <c r="A99" s="2">
        <v>43586</v>
      </c>
      <c r="B99" s="11">
        <v>50</v>
      </c>
    </row>
    <row r="100" spans="1:2" x14ac:dyDescent="0.2">
      <c r="A100" s="2">
        <v>43617</v>
      </c>
      <c r="B100" s="11">
        <v>49.2</v>
      </c>
    </row>
    <row r="101" spans="1:2" x14ac:dyDescent="0.2">
      <c r="A101" s="2">
        <v>43647</v>
      </c>
      <c r="B101" s="11">
        <v>49.8</v>
      </c>
    </row>
    <row r="102" spans="1:2" x14ac:dyDescent="0.2">
      <c r="A102" s="2">
        <v>43678</v>
      </c>
      <c r="B102" s="11">
        <v>49</v>
      </c>
    </row>
    <row r="103" spans="1:2" x14ac:dyDescent="0.2">
      <c r="A103" s="2">
        <v>43709</v>
      </c>
      <c r="B103" s="11">
        <v>49.1</v>
      </c>
    </row>
    <row r="104" spans="1:2" x14ac:dyDescent="0.2">
      <c r="A104" s="2">
        <v>43739</v>
      </c>
      <c r="B104" s="11">
        <v>50.4</v>
      </c>
    </row>
    <row r="105" spans="1:2" x14ac:dyDescent="0.2">
      <c r="A105" s="2">
        <v>43770</v>
      </c>
      <c r="B105" s="11">
        <v>48</v>
      </c>
    </row>
    <row r="106" spans="1:2" x14ac:dyDescent="0.2">
      <c r="A106" s="2">
        <v>43800</v>
      </c>
      <c r="B106" s="11">
        <v>47.1</v>
      </c>
    </row>
    <row r="107" spans="1:2" x14ac:dyDescent="0.2">
      <c r="A107" s="2">
        <v>43831</v>
      </c>
      <c r="B107" s="11">
        <v>49</v>
      </c>
    </row>
    <row r="108" spans="1:2" x14ac:dyDescent="0.2">
      <c r="A108" s="2">
        <v>43862</v>
      </c>
      <c r="B108" s="11">
        <v>50</v>
      </c>
    </row>
    <row r="109" spans="1:2" x14ac:dyDescent="0.2">
      <c r="A109" s="2">
        <v>43891</v>
      </c>
      <c r="B109" s="11">
        <v>46.9</v>
      </c>
    </row>
    <row r="110" spans="1:2" x14ac:dyDescent="0.2">
      <c r="A110" s="2">
        <v>43922</v>
      </c>
      <c r="B110" s="11">
        <v>35</v>
      </c>
    </row>
    <row r="111" spans="1:2" x14ac:dyDescent="0.2">
      <c r="A111" s="2">
        <v>43952</v>
      </c>
      <c r="B111" s="11">
        <v>38.299999999999997</v>
      </c>
    </row>
    <row r="112" spans="1:2" x14ac:dyDescent="0.2">
      <c r="A112" s="2">
        <v>43983</v>
      </c>
      <c r="B112" s="11">
        <v>38.6</v>
      </c>
    </row>
    <row r="113" spans="1:2" x14ac:dyDescent="0.2">
      <c r="A113" s="2">
        <v>44013</v>
      </c>
      <c r="B113" s="11">
        <v>40.4</v>
      </c>
    </row>
    <row r="114" spans="1:2" x14ac:dyDescent="0.2">
      <c r="A114" s="2">
        <v>44044</v>
      </c>
      <c r="B114" s="11">
        <v>41.3</v>
      </c>
    </row>
    <row r="115" spans="1:2" x14ac:dyDescent="0.2">
      <c r="A115" s="2">
        <v>44075</v>
      </c>
      <c r="B115" s="11">
        <v>42.1</v>
      </c>
    </row>
    <row r="116" spans="1:2" x14ac:dyDescent="0.2">
      <c r="A116" s="2">
        <v>44105</v>
      </c>
      <c r="B116" s="11">
        <v>43.6</v>
      </c>
    </row>
    <row r="117" spans="1:2" x14ac:dyDescent="0.2">
      <c r="A117" s="2">
        <v>44136</v>
      </c>
      <c r="B117" s="11">
        <v>43.7</v>
      </c>
    </row>
    <row r="118" spans="1:2" x14ac:dyDescent="0.2">
      <c r="A118" s="2">
        <v>44166</v>
      </c>
      <c r="B118" s="11">
        <v>42.4</v>
      </c>
    </row>
    <row r="119" spans="1:2" x14ac:dyDescent="0.2">
      <c r="A119" s="2">
        <v>44197</v>
      </c>
      <c r="B119" s="11">
        <v>43</v>
      </c>
    </row>
    <row r="120" spans="1:2" x14ac:dyDescent="0.2">
      <c r="A120" s="2">
        <v>44228</v>
      </c>
      <c r="B120" s="11">
        <v>44.2</v>
      </c>
    </row>
    <row r="121" spans="1:2" x14ac:dyDescent="0.2">
      <c r="A121" s="2">
        <v>44256</v>
      </c>
      <c r="B121" s="11">
        <v>45.6</v>
      </c>
    </row>
    <row r="122" spans="1:2" x14ac:dyDescent="0.2">
      <c r="A122" s="2">
        <v>44287</v>
      </c>
      <c r="B122" s="11">
        <v>48.4</v>
      </c>
    </row>
    <row r="123" spans="1:2" x14ac:dyDescent="0.2">
      <c r="A123" s="2">
        <v>44317</v>
      </c>
      <c r="B123" s="11">
        <v>47.6</v>
      </c>
    </row>
    <row r="124" spans="1:2" x14ac:dyDescent="0.2">
      <c r="A124" s="2">
        <v>44348</v>
      </c>
      <c r="B124" s="11">
        <v>48.8</v>
      </c>
    </row>
    <row r="125" spans="1:2" x14ac:dyDescent="0.2">
      <c r="A125" s="2">
        <v>44378</v>
      </c>
      <c r="B125" s="11">
        <v>49.6</v>
      </c>
    </row>
    <row r="126" spans="1:2" x14ac:dyDescent="0.2">
      <c r="A126" s="2">
        <v>44409</v>
      </c>
      <c r="B126" s="11">
        <v>47.1</v>
      </c>
    </row>
    <row r="127" spans="1:2" x14ac:dyDescent="0.2">
      <c r="A127" s="2">
        <v>44440</v>
      </c>
      <c r="B127" s="11">
        <v>48.6</v>
      </c>
    </row>
    <row r="128" spans="1:2" x14ac:dyDescent="0.2">
      <c r="A128" s="2">
        <v>44470</v>
      </c>
      <c r="B128" s="11">
        <v>49.3</v>
      </c>
    </row>
    <row r="129" spans="1:2" x14ac:dyDescent="0.2">
      <c r="A129" s="2">
        <v>44501</v>
      </c>
      <c r="B129" s="11">
        <v>49.4</v>
      </c>
    </row>
    <row r="130" spans="1:2" x14ac:dyDescent="0.2">
      <c r="A130" s="2">
        <v>44531</v>
      </c>
      <c r="B130" s="11">
        <v>49.4</v>
      </c>
    </row>
  </sheetData>
  <conditionalFormatting sqref="B2:B13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136"/>
  <sheetViews>
    <sheetView zoomScale="160" zoomScaleNormal="160" workbookViewId="0">
      <pane ySplit="1" topLeftCell="A2" activePane="bottomLeft" state="frozen"/>
      <selection pane="bottomLeft" activeCell="M117" sqref="M117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20</v>
      </c>
    </row>
    <row r="2" spans="1:2" x14ac:dyDescent="0.2">
      <c r="A2" s="6">
        <v>40452</v>
      </c>
      <c r="B2" s="7">
        <v>51.8</v>
      </c>
    </row>
    <row r="3" spans="1:2" x14ac:dyDescent="0.2">
      <c r="A3" s="2">
        <v>40483</v>
      </c>
      <c r="B3" s="11">
        <v>51.1</v>
      </c>
    </row>
    <row r="4" spans="1:2" x14ac:dyDescent="0.2">
      <c r="A4" s="2">
        <v>40513</v>
      </c>
      <c r="B4" s="11">
        <v>53.5</v>
      </c>
    </row>
    <row r="5" spans="1:2" x14ac:dyDescent="0.2">
      <c r="A5" s="2">
        <v>40544</v>
      </c>
      <c r="B5" s="11">
        <v>53.5</v>
      </c>
    </row>
    <row r="6" spans="1:2" x14ac:dyDescent="0.2">
      <c r="A6" s="2">
        <v>40575</v>
      </c>
      <c r="B6" s="11">
        <v>56.4</v>
      </c>
    </row>
    <row r="7" spans="1:2" x14ac:dyDescent="0.2">
      <c r="A7" s="2">
        <v>40603</v>
      </c>
      <c r="B7" s="11">
        <v>55.1</v>
      </c>
    </row>
    <row r="8" spans="1:2" x14ac:dyDescent="0.2">
      <c r="A8" s="2">
        <v>40634</v>
      </c>
      <c r="B8" s="11">
        <v>52.1</v>
      </c>
    </row>
    <row r="9" spans="1:2" x14ac:dyDescent="0.2">
      <c r="A9" s="2">
        <v>40664</v>
      </c>
      <c r="B9" s="11">
        <v>50.9</v>
      </c>
    </row>
    <row r="10" spans="1:2" x14ac:dyDescent="0.2">
      <c r="A10" s="2">
        <v>40695</v>
      </c>
      <c r="B10" s="11">
        <v>50.6</v>
      </c>
    </row>
    <row r="11" spans="1:2" x14ac:dyDescent="0.2">
      <c r="A11" s="2">
        <v>40725</v>
      </c>
      <c r="B11" s="11">
        <v>49.8</v>
      </c>
    </row>
    <row r="12" spans="1:2" x14ac:dyDescent="0.2">
      <c r="A12" s="2">
        <v>40756</v>
      </c>
      <c r="B12" s="11">
        <v>49.9</v>
      </c>
    </row>
    <row r="13" spans="1:2" x14ac:dyDescent="0.2">
      <c r="A13" s="2">
        <v>40787</v>
      </c>
      <c r="B13" s="11">
        <v>50</v>
      </c>
    </row>
    <row r="14" spans="1:2" x14ac:dyDescent="0.2">
      <c r="A14" s="2">
        <v>40817</v>
      </c>
      <c r="B14" s="11">
        <v>50.4</v>
      </c>
    </row>
    <row r="15" spans="1:2" x14ac:dyDescent="0.2">
      <c r="A15" s="2">
        <v>40848</v>
      </c>
      <c r="B15" s="11">
        <v>52.6</v>
      </c>
    </row>
    <row r="16" spans="1:2" x14ac:dyDescent="0.2">
      <c r="A16" s="2">
        <v>40878</v>
      </c>
      <c r="B16" s="11">
        <v>51.6</v>
      </c>
    </row>
    <row r="17" spans="1:2" x14ac:dyDescent="0.2">
      <c r="A17" s="2">
        <v>40909</v>
      </c>
      <c r="B17" s="11">
        <v>50.8</v>
      </c>
    </row>
    <row r="18" spans="1:2" x14ac:dyDescent="0.2">
      <c r="A18" s="2">
        <v>40940</v>
      </c>
      <c r="B18" s="11">
        <v>50.7</v>
      </c>
    </row>
    <row r="19" spans="1:2" x14ac:dyDescent="0.2">
      <c r="A19" s="2">
        <v>40969</v>
      </c>
      <c r="B19" s="11">
        <v>50.8</v>
      </c>
    </row>
    <row r="20" spans="1:2" x14ac:dyDescent="0.2">
      <c r="A20" s="2">
        <v>41000</v>
      </c>
      <c r="B20" s="11">
        <v>52.9</v>
      </c>
    </row>
    <row r="21" spans="1:2" x14ac:dyDescent="0.2">
      <c r="A21" s="2">
        <v>41030</v>
      </c>
      <c r="B21" s="11">
        <v>53.2</v>
      </c>
    </row>
    <row r="22" spans="1:2" x14ac:dyDescent="0.2">
      <c r="A22" s="2">
        <v>41061</v>
      </c>
      <c r="B22" s="11">
        <v>51</v>
      </c>
    </row>
    <row r="23" spans="1:2" x14ac:dyDescent="0.2">
      <c r="A23" s="2">
        <v>41091</v>
      </c>
      <c r="B23" s="11">
        <v>52</v>
      </c>
    </row>
    <row r="24" spans="1:2" x14ac:dyDescent="0.2">
      <c r="A24" s="2">
        <v>41122</v>
      </c>
      <c r="B24" s="11">
        <v>51</v>
      </c>
    </row>
    <row r="25" spans="1:2" x14ac:dyDescent="0.2">
      <c r="A25" s="2">
        <v>41153</v>
      </c>
      <c r="B25" s="11">
        <v>52.4</v>
      </c>
    </row>
    <row r="26" spans="1:2" x14ac:dyDescent="0.2">
      <c r="A26" s="2">
        <v>41183</v>
      </c>
      <c r="B26" s="11">
        <v>52.9</v>
      </c>
    </row>
    <row r="27" spans="1:2" x14ac:dyDescent="0.2">
      <c r="A27" s="2">
        <v>41214</v>
      </c>
      <c r="B27" s="11">
        <v>52.2</v>
      </c>
    </row>
    <row r="28" spans="1:2" x14ac:dyDescent="0.2">
      <c r="A28" s="2">
        <v>41244</v>
      </c>
      <c r="B28" s="11">
        <v>50</v>
      </c>
    </row>
    <row r="29" spans="1:2" x14ac:dyDescent="0.2">
      <c r="A29" s="2">
        <v>41275</v>
      </c>
      <c r="B29" s="11">
        <v>52</v>
      </c>
    </row>
    <row r="30" spans="1:2" x14ac:dyDescent="0.2">
      <c r="A30" s="2">
        <v>41306</v>
      </c>
      <c r="B30" s="11">
        <v>52</v>
      </c>
    </row>
    <row r="31" spans="1:2" x14ac:dyDescent="0.2">
      <c r="A31" s="2">
        <v>41334</v>
      </c>
      <c r="B31" s="11">
        <v>50.8</v>
      </c>
    </row>
    <row r="32" spans="1:2" x14ac:dyDescent="0.2">
      <c r="A32" s="2">
        <v>41365</v>
      </c>
      <c r="B32" s="11">
        <v>50.6</v>
      </c>
    </row>
    <row r="33" spans="1:2" x14ac:dyDescent="0.2">
      <c r="A33" s="2">
        <v>41395</v>
      </c>
      <c r="B33" s="11">
        <v>50.4</v>
      </c>
    </row>
    <row r="34" spans="1:2" x14ac:dyDescent="0.2">
      <c r="A34" s="2">
        <v>41426</v>
      </c>
      <c r="B34" s="11">
        <v>51.7</v>
      </c>
    </row>
    <row r="35" spans="1:2" x14ac:dyDescent="0.2">
      <c r="A35" s="2">
        <v>41456</v>
      </c>
      <c r="B35" s="11">
        <v>49.2</v>
      </c>
    </row>
    <row r="36" spans="1:2" x14ac:dyDescent="0.2">
      <c r="A36" s="2">
        <v>41487</v>
      </c>
      <c r="B36" s="11">
        <v>49.4</v>
      </c>
    </row>
    <row r="37" spans="1:2" x14ac:dyDescent="0.2">
      <c r="A37" s="2">
        <v>41518</v>
      </c>
      <c r="B37" s="11">
        <v>49.4</v>
      </c>
    </row>
    <row r="38" spans="1:2" x14ac:dyDescent="0.2">
      <c r="A38" s="2">
        <v>41548</v>
      </c>
      <c r="B38" s="11">
        <v>51.8</v>
      </c>
    </row>
    <row r="39" spans="1:2" x14ac:dyDescent="0.2">
      <c r="A39" s="2">
        <v>41579</v>
      </c>
      <c r="B39" s="11">
        <v>49.4</v>
      </c>
    </row>
    <row r="40" spans="1:2" x14ac:dyDescent="0.2">
      <c r="A40" s="2">
        <v>41609</v>
      </c>
      <c r="B40" s="11">
        <v>48.8</v>
      </c>
    </row>
    <row r="41" spans="1:2" x14ac:dyDescent="0.2">
      <c r="A41" s="2">
        <v>41640</v>
      </c>
      <c r="B41" s="11">
        <v>48</v>
      </c>
    </row>
    <row r="42" spans="1:2" x14ac:dyDescent="0.2">
      <c r="A42" s="2">
        <v>41671</v>
      </c>
      <c r="B42" s="11">
        <v>48.5</v>
      </c>
    </row>
    <row r="43" spans="1:2" x14ac:dyDescent="0.2">
      <c r="A43" s="2">
        <v>41699</v>
      </c>
      <c r="B43" s="11">
        <v>48.3</v>
      </c>
    </row>
    <row r="44" spans="1:2" x14ac:dyDescent="0.2">
      <c r="A44" s="2">
        <v>41730</v>
      </c>
      <c r="B44" s="11">
        <v>48.5</v>
      </c>
    </row>
    <row r="45" spans="1:2" x14ac:dyDescent="0.2">
      <c r="A45" s="2">
        <v>41760</v>
      </c>
      <c r="B45" s="11">
        <v>48.9</v>
      </c>
    </row>
    <row r="46" spans="1:2" x14ac:dyDescent="0.2">
      <c r="A46" s="2">
        <v>41791</v>
      </c>
      <c r="B46" s="11">
        <v>49.1</v>
      </c>
    </row>
    <row r="47" spans="1:2" x14ac:dyDescent="0.2">
      <c r="A47" s="2">
        <v>41821</v>
      </c>
      <c r="B47" s="11">
        <v>51</v>
      </c>
    </row>
    <row r="48" spans="1:2" x14ac:dyDescent="0.2">
      <c r="A48" s="2">
        <v>41852</v>
      </c>
      <c r="B48" s="11">
        <v>51</v>
      </c>
    </row>
    <row r="49" spans="1:2" x14ac:dyDescent="0.2">
      <c r="A49" s="2">
        <v>41883</v>
      </c>
      <c r="B49" s="11">
        <v>50.4</v>
      </c>
    </row>
    <row r="50" spans="1:2" x14ac:dyDescent="0.2">
      <c r="A50" s="2">
        <v>41913</v>
      </c>
      <c r="B50" s="11">
        <v>50.3</v>
      </c>
    </row>
    <row r="51" spans="1:2" x14ac:dyDescent="0.2">
      <c r="A51" s="2">
        <v>41944</v>
      </c>
      <c r="B51" s="11">
        <v>51.7</v>
      </c>
    </row>
    <row r="52" spans="1:2" x14ac:dyDescent="0.2">
      <c r="A52" s="2">
        <v>41974</v>
      </c>
      <c r="B52" s="11">
        <v>48.9</v>
      </c>
    </row>
    <row r="53" spans="1:2" x14ac:dyDescent="0.2">
      <c r="A53" s="2">
        <v>42005</v>
      </c>
      <c r="B53" s="11">
        <v>47.6</v>
      </c>
    </row>
    <row r="54" spans="1:2" x14ac:dyDescent="0.2">
      <c r="A54" s="2">
        <v>42036</v>
      </c>
      <c r="B54" s="11">
        <v>49.7</v>
      </c>
    </row>
    <row r="55" spans="1:2" x14ac:dyDescent="0.2">
      <c r="A55" s="2">
        <v>42064</v>
      </c>
      <c r="B55" s="11">
        <v>48.1</v>
      </c>
    </row>
    <row r="56" spans="1:2" x14ac:dyDescent="0.2">
      <c r="A56" s="2">
        <v>42095</v>
      </c>
      <c r="B56" s="11">
        <v>48.9</v>
      </c>
    </row>
    <row r="57" spans="1:2" x14ac:dyDescent="0.2">
      <c r="A57" s="2">
        <v>42125</v>
      </c>
      <c r="B57" s="11">
        <v>47.6</v>
      </c>
    </row>
    <row r="58" spans="1:2" x14ac:dyDescent="0.2">
      <c r="A58" s="2">
        <v>42156</v>
      </c>
      <c r="B58" s="11">
        <v>48.7</v>
      </c>
    </row>
    <row r="59" spans="1:2" x14ac:dyDescent="0.2">
      <c r="A59" s="2">
        <v>42186</v>
      </c>
      <c r="B59" s="11">
        <v>48.3</v>
      </c>
    </row>
    <row r="60" spans="1:2" x14ac:dyDescent="0.2">
      <c r="A60" s="2">
        <v>42217</v>
      </c>
      <c r="B60" s="11">
        <v>47.9</v>
      </c>
    </row>
    <row r="61" spans="1:2" x14ac:dyDescent="0.2">
      <c r="A61" s="2">
        <v>42248</v>
      </c>
      <c r="B61" s="11">
        <v>49.1</v>
      </c>
    </row>
    <row r="62" spans="1:2" x14ac:dyDescent="0.2">
      <c r="A62" s="2">
        <v>42278</v>
      </c>
      <c r="B62" s="11">
        <v>50.2</v>
      </c>
    </row>
    <row r="63" spans="1:2" x14ac:dyDescent="0.2">
      <c r="A63" s="2">
        <v>42309</v>
      </c>
      <c r="B63" s="11">
        <v>50.1</v>
      </c>
    </row>
    <row r="64" spans="1:2" x14ac:dyDescent="0.2">
      <c r="A64" s="2">
        <v>42339</v>
      </c>
      <c r="B64" s="11">
        <v>48.7</v>
      </c>
    </row>
    <row r="65" spans="1:2" x14ac:dyDescent="0.2">
      <c r="A65" s="2">
        <v>42370</v>
      </c>
      <c r="B65" s="11">
        <v>49.8</v>
      </c>
    </row>
    <row r="66" spans="1:2" x14ac:dyDescent="0.2">
      <c r="A66" s="2">
        <v>42401</v>
      </c>
      <c r="B66" s="11">
        <v>49.3</v>
      </c>
    </row>
    <row r="67" spans="1:2" x14ac:dyDescent="0.2">
      <c r="A67" s="2">
        <v>42430</v>
      </c>
      <c r="B67" s="11">
        <v>48.3</v>
      </c>
    </row>
    <row r="68" spans="1:2" x14ac:dyDescent="0.2">
      <c r="A68" s="2">
        <v>42461</v>
      </c>
      <c r="B68" s="11">
        <v>48</v>
      </c>
    </row>
    <row r="69" spans="1:2" x14ac:dyDescent="0.2">
      <c r="A69" s="2">
        <v>42491</v>
      </c>
      <c r="B69" s="11">
        <v>49.6</v>
      </c>
    </row>
    <row r="70" spans="1:2" x14ac:dyDescent="0.2">
      <c r="A70" s="2">
        <v>42522</v>
      </c>
      <c r="B70" s="11">
        <v>51.5</v>
      </c>
    </row>
    <row r="71" spans="1:2" x14ac:dyDescent="0.2">
      <c r="A71" s="2">
        <v>42552</v>
      </c>
      <c r="B71" s="11">
        <v>49.5</v>
      </c>
    </row>
    <row r="72" spans="1:2" x14ac:dyDescent="0.2">
      <c r="A72" s="2">
        <v>42583</v>
      </c>
      <c r="B72" s="11">
        <v>50.8</v>
      </c>
    </row>
    <row r="73" spans="1:2" x14ac:dyDescent="0.2">
      <c r="A73" s="2">
        <v>42614</v>
      </c>
      <c r="B73" s="11">
        <v>51.1</v>
      </c>
    </row>
    <row r="74" spans="1:2" x14ac:dyDescent="0.2">
      <c r="A74" s="2">
        <v>42644</v>
      </c>
      <c r="B74" s="11">
        <v>52.4</v>
      </c>
    </row>
    <row r="75" spans="1:2" x14ac:dyDescent="0.2">
      <c r="A75" s="2">
        <v>42675</v>
      </c>
      <c r="B75" s="11">
        <v>53.6</v>
      </c>
    </row>
    <row r="76" spans="1:2" x14ac:dyDescent="0.2">
      <c r="A76" s="2">
        <v>42705</v>
      </c>
      <c r="B76" s="11">
        <v>53.7</v>
      </c>
    </row>
    <row r="77" spans="1:2" x14ac:dyDescent="0.2">
      <c r="A77" s="2">
        <v>42736</v>
      </c>
      <c r="B77" s="11">
        <v>54.7</v>
      </c>
    </row>
    <row r="78" spans="1:2" x14ac:dyDescent="0.2">
      <c r="A78" s="2">
        <v>42767</v>
      </c>
      <c r="B78" s="11">
        <v>52.5</v>
      </c>
    </row>
    <row r="79" spans="1:2" x14ac:dyDescent="0.2">
      <c r="A79" s="2">
        <v>42795</v>
      </c>
      <c r="B79" s="11">
        <v>52.4</v>
      </c>
    </row>
    <row r="80" spans="1:2" x14ac:dyDescent="0.2">
      <c r="A80" s="2">
        <v>42826</v>
      </c>
      <c r="B80" s="11">
        <v>50.8</v>
      </c>
    </row>
    <row r="81" spans="1:2" x14ac:dyDescent="0.2">
      <c r="A81" s="2">
        <v>42856</v>
      </c>
      <c r="B81" s="11">
        <v>52.4</v>
      </c>
    </row>
    <row r="82" spans="1:2" x14ac:dyDescent="0.2">
      <c r="A82" s="2">
        <v>42887</v>
      </c>
      <c r="B82" s="11">
        <v>50.3</v>
      </c>
    </row>
    <row r="83" spans="1:2" x14ac:dyDescent="0.2">
      <c r="A83" s="2">
        <v>42917</v>
      </c>
      <c r="B83" s="11">
        <v>52.7</v>
      </c>
    </row>
    <row r="84" spans="1:2" x14ac:dyDescent="0.2">
      <c r="A84" s="2">
        <v>42948</v>
      </c>
      <c r="B84" s="11">
        <v>51.6</v>
      </c>
    </row>
    <row r="85" spans="1:2" x14ac:dyDescent="0.2">
      <c r="A85" s="2">
        <v>42979</v>
      </c>
      <c r="B85" s="11">
        <v>51.9</v>
      </c>
    </row>
    <row r="86" spans="1:2" x14ac:dyDescent="0.2">
      <c r="A86" s="2">
        <v>43009</v>
      </c>
      <c r="B86" s="11">
        <v>51.1</v>
      </c>
    </row>
    <row r="87" spans="1:2" x14ac:dyDescent="0.2">
      <c r="A87" s="2">
        <v>43040</v>
      </c>
      <c r="B87" s="11">
        <v>51.5</v>
      </c>
    </row>
    <row r="88" spans="1:2" x14ac:dyDescent="0.2">
      <c r="A88" s="2">
        <v>43070</v>
      </c>
      <c r="B88" s="11">
        <v>52</v>
      </c>
    </row>
    <row r="89" spans="1:2" x14ac:dyDescent="0.2">
      <c r="A89" s="2">
        <v>43101</v>
      </c>
      <c r="B89" s="11">
        <v>52.1</v>
      </c>
    </row>
    <row r="90" spans="1:2" x14ac:dyDescent="0.2">
      <c r="A90" s="2">
        <v>43132</v>
      </c>
      <c r="B90" s="11">
        <v>50.2</v>
      </c>
    </row>
    <row r="91" spans="1:2" x14ac:dyDescent="0.2">
      <c r="A91" s="2">
        <v>43160</v>
      </c>
      <c r="B91" s="11">
        <v>50.6</v>
      </c>
    </row>
    <row r="92" spans="1:2" x14ac:dyDescent="0.2">
      <c r="A92" s="2">
        <v>43191</v>
      </c>
      <c r="B92" s="11">
        <v>51.3</v>
      </c>
    </row>
    <row r="93" spans="1:2" x14ac:dyDescent="0.2">
      <c r="A93" s="2">
        <v>43221</v>
      </c>
      <c r="B93" s="11">
        <v>49.8</v>
      </c>
    </row>
    <row r="94" spans="1:2" x14ac:dyDescent="0.2">
      <c r="A94" s="2">
        <v>43252</v>
      </c>
      <c r="B94" s="11">
        <v>49.5</v>
      </c>
    </row>
    <row r="95" spans="1:2" x14ac:dyDescent="0.2">
      <c r="A95" s="2">
        <v>43282</v>
      </c>
      <c r="B95" s="11">
        <v>48.1</v>
      </c>
    </row>
    <row r="96" spans="1:2" x14ac:dyDescent="0.2">
      <c r="A96" s="2">
        <v>43313</v>
      </c>
      <c r="B96" s="11">
        <v>48.9</v>
      </c>
    </row>
    <row r="97" spans="1:2" x14ac:dyDescent="0.2">
      <c r="A97" s="2">
        <v>43344</v>
      </c>
      <c r="B97" s="11">
        <v>50</v>
      </c>
    </row>
    <row r="98" spans="1:2" x14ac:dyDescent="0.2">
      <c r="A98" s="2">
        <v>43374</v>
      </c>
      <c r="B98" s="11">
        <v>51.3</v>
      </c>
    </row>
    <row r="99" spans="1:2" x14ac:dyDescent="0.2">
      <c r="A99" s="2">
        <v>43405</v>
      </c>
      <c r="B99" s="11">
        <v>52.6</v>
      </c>
    </row>
    <row r="100" spans="1:2" x14ac:dyDescent="0.2">
      <c r="A100" s="2">
        <v>43435</v>
      </c>
      <c r="B100" s="11">
        <v>51.7</v>
      </c>
    </row>
    <row r="101" spans="1:2" x14ac:dyDescent="0.2">
      <c r="A101" s="2">
        <v>43466</v>
      </c>
      <c r="B101" s="11">
        <v>50.9</v>
      </c>
    </row>
    <row r="102" spans="1:2" x14ac:dyDescent="0.2">
      <c r="A102" s="2">
        <v>43497</v>
      </c>
      <c r="B102" s="11">
        <v>50.1</v>
      </c>
    </row>
    <row r="103" spans="1:2" x14ac:dyDescent="0.2">
      <c r="A103" s="2">
        <v>43525</v>
      </c>
      <c r="B103" s="11">
        <v>52.8</v>
      </c>
    </row>
    <row r="104" spans="1:2" x14ac:dyDescent="0.2">
      <c r="A104" s="2">
        <v>43556</v>
      </c>
      <c r="B104" s="11">
        <v>51.8</v>
      </c>
    </row>
    <row r="105" spans="1:2" x14ac:dyDescent="0.2">
      <c r="A105" s="2">
        <v>43586</v>
      </c>
      <c r="B105" s="11">
        <v>49.8</v>
      </c>
    </row>
    <row r="106" spans="1:2" x14ac:dyDescent="0.2">
      <c r="A106" s="2">
        <v>43617</v>
      </c>
      <c r="B106" s="11">
        <v>48.6</v>
      </c>
    </row>
    <row r="107" spans="1:2" x14ac:dyDescent="0.2">
      <c r="A107" s="2">
        <v>43647</v>
      </c>
      <c r="B107" s="11">
        <v>49.3</v>
      </c>
    </row>
    <row r="108" spans="1:2" x14ac:dyDescent="0.2">
      <c r="A108" s="2">
        <v>43678</v>
      </c>
      <c r="B108" s="11">
        <v>49.1</v>
      </c>
    </row>
    <row r="109" spans="1:2" x14ac:dyDescent="0.2">
      <c r="A109" s="2">
        <v>43709</v>
      </c>
      <c r="B109" s="11">
        <v>46.3</v>
      </c>
    </row>
    <row r="110" spans="1:2" x14ac:dyDescent="0.2">
      <c r="A110" s="2">
        <v>43739</v>
      </c>
      <c r="B110" s="11">
        <v>47.2</v>
      </c>
    </row>
    <row r="111" spans="1:2" x14ac:dyDescent="0.2">
      <c r="A111" s="2">
        <v>43770</v>
      </c>
      <c r="B111" s="11">
        <v>45.6</v>
      </c>
    </row>
    <row r="112" spans="1:2" x14ac:dyDescent="0.2">
      <c r="A112" s="2">
        <v>43800</v>
      </c>
      <c r="B112" s="11">
        <v>47.5</v>
      </c>
    </row>
    <row r="113" spans="1:2" x14ac:dyDescent="0.2">
      <c r="A113" s="2">
        <v>43831</v>
      </c>
      <c r="B113" s="11">
        <v>47.9</v>
      </c>
    </row>
    <row r="114" spans="1:2" x14ac:dyDescent="0.2">
      <c r="A114" s="2">
        <v>43862</v>
      </c>
      <c r="B114" s="11">
        <v>48.2</v>
      </c>
    </row>
    <row r="115" spans="1:2" x14ac:dyDescent="0.2">
      <c r="A115" s="2">
        <v>43891</v>
      </c>
      <c r="B115" s="11">
        <v>47.5</v>
      </c>
    </row>
    <row r="116" spans="1:2" x14ac:dyDescent="0.2">
      <c r="A116" s="2">
        <v>43922</v>
      </c>
      <c r="B116" s="11">
        <v>31.3</v>
      </c>
    </row>
    <row r="117" spans="1:2" x14ac:dyDescent="0.2">
      <c r="A117" s="2">
        <v>43952</v>
      </c>
      <c r="B117" s="11">
        <v>36.200000000000003</v>
      </c>
    </row>
    <row r="118" spans="1:2" x14ac:dyDescent="0.2">
      <c r="A118" s="2">
        <v>43983</v>
      </c>
      <c r="B118" s="11">
        <v>49.4</v>
      </c>
    </row>
    <row r="119" spans="1:2" x14ac:dyDescent="0.2">
      <c r="A119" s="2">
        <v>44013</v>
      </c>
      <c r="B119" s="11">
        <v>48.4</v>
      </c>
    </row>
    <row r="120" spans="1:2" x14ac:dyDescent="0.2">
      <c r="A120" s="2">
        <v>44044</v>
      </c>
      <c r="B120" s="11">
        <v>51.1</v>
      </c>
    </row>
    <row r="121" spans="1:2" x14ac:dyDescent="0.2">
      <c r="A121" s="2">
        <v>44075</v>
      </c>
      <c r="B121" s="11">
        <v>48.9</v>
      </c>
    </row>
    <row r="122" spans="1:2" x14ac:dyDescent="0.2">
      <c r="A122" s="2">
        <v>44105</v>
      </c>
      <c r="B122" s="11">
        <v>46.9</v>
      </c>
    </row>
    <row r="123" spans="1:2" x14ac:dyDescent="0.2">
      <c r="A123" s="2">
        <v>44136</v>
      </c>
      <c r="B123" s="11">
        <v>46.3</v>
      </c>
    </row>
    <row r="124" spans="1:2" x14ac:dyDescent="0.2">
      <c r="A124" s="2">
        <v>44166</v>
      </c>
      <c r="B124" s="11">
        <v>49.7</v>
      </c>
    </row>
    <row r="125" spans="1:2" x14ac:dyDescent="0.2">
      <c r="A125" s="2">
        <v>44197</v>
      </c>
      <c r="B125" s="11">
        <v>50.9</v>
      </c>
    </row>
    <row r="126" spans="1:2" x14ac:dyDescent="0.2">
      <c r="A126" s="2">
        <v>44228</v>
      </c>
      <c r="B126" s="11">
        <v>51.5</v>
      </c>
    </row>
    <row r="127" spans="1:2" x14ac:dyDescent="0.2">
      <c r="A127" s="2">
        <v>44256</v>
      </c>
      <c r="B127" s="11">
        <v>51.1</v>
      </c>
    </row>
    <row r="128" spans="1:2" x14ac:dyDescent="0.2">
      <c r="A128" s="2">
        <v>44287</v>
      </c>
      <c r="B128" s="11">
        <v>50.4</v>
      </c>
    </row>
    <row r="129" spans="1:2" x14ac:dyDescent="0.2">
      <c r="A129" s="2">
        <v>44317</v>
      </c>
      <c r="B129" s="11">
        <v>51.9</v>
      </c>
    </row>
    <row r="130" spans="1:2" x14ac:dyDescent="0.2">
      <c r="A130" s="2">
        <v>44348</v>
      </c>
      <c r="B130" s="11">
        <v>49.2</v>
      </c>
    </row>
    <row r="131" spans="1:2" x14ac:dyDescent="0.2">
      <c r="A131" s="2">
        <v>44378</v>
      </c>
      <c r="B131" s="11">
        <v>47.5</v>
      </c>
    </row>
    <row r="132" spans="1:2" x14ac:dyDescent="0.2">
      <c r="A132" s="2">
        <v>44409</v>
      </c>
      <c r="B132" s="11">
        <v>46.5</v>
      </c>
    </row>
    <row r="133" spans="1:2" x14ac:dyDescent="0.2">
      <c r="A133" s="2">
        <v>44440</v>
      </c>
      <c r="B133" s="11">
        <v>49.8</v>
      </c>
    </row>
    <row r="134" spans="1:2" x14ac:dyDescent="0.2">
      <c r="A134" s="2">
        <v>44470</v>
      </c>
      <c r="B134" s="11">
        <v>51.6</v>
      </c>
    </row>
    <row r="135" spans="1:2" x14ac:dyDescent="0.2">
      <c r="A135" s="2">
        <v>44501</v>
      </c>
      <c r="B135" s="11">
        <v>51.7</v>
      </c>
    </row>
    <row r="136" spans="1:2" x14ac:dyDescent="0.2">
      <c r="A136" s="2">
        <v>44531</v>
      </c>
      <c r="B136" s="11">
        <v>51.6</v>
      </c>
    </row>
  </sheetData>
  <conditionalFormatting sqref="B2:B13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B136"/>
  <sheetViews>
    <sheetView zoomScale="160" zoomScaleNormal="160" workbookViewId="0">
      <pane ySplit="1" topLeftCell="A2" activePane="bottomLeft" state="frozen"/>
      <selection pane="bottomLeft" activeCell="J37" sqref="J37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12</v>
      </c>
    </row>
    <row r="2" spans="1:2" x14ac:dyDescent="0.2">
      <c r="A2" s="6">
        <v>40452</v>
      </c>
      <c r="B2" s="7">
        <v>57.2</v>
      </c>
    </row>
    <row r="3" spans="1:2" x14ac:dyDescent="0.2">
      <c r="A3" s="2">
        <v>40483</v>
      </c>
      <c r="B3" s="11">
        <v>58.4</v>
      </c>
    </row>
    <row r="4" spans="1:2" x14ac:dyDescent="0.2">
      <c r="A4" s="2">
        <v>40513</v>
      </c>
      <c r="B4" s="11">
        <v>56.7</v>
      </c>
    </row>
    <row r="5" spans="1:2" x14ac:dyDescent="0.2">
      <c r="A5" s="2">
        <v>40544</v>
      </c>
      <c r="B5" s="11">
        <v>56.8</v>
      </c>
    </row>
    <row r="6" spans="1:2" x14ac:dyDescent="0.2">
      <c r="A6" s="2">
        <v>40575</v>
      </c>
      <c r="B6" s="11">
        <v>57.9</v>
      </c>
    </row>
    <row r="7" spans="1:2" x14ac:dyDescent="0.2">
      <c r="A7" s="2">
        <v>40603</v>
      </c>
      <c r="B7" s="11">
        <v>57.9</v>
      </c>
    </row>
    <row r="8" spans="1:2" x14ac:dyDescent="0.2">
      <c r="A8" s="2">
        <v>40634</v>
      </c>
      <c r="B8" s="11">
        <v>58</v>
      </c>
    </row>
    <row r="9" spans="1:2" x14ac:dyDescent="0.2">
      <c r="A9" s="2">
        <v>40664</v>
      </c>
      <c r="B9" s="11">
        <v>57.5</v>
      </c>
    </row>
    <row r="10" spans="1:2" x14ac:dyDescent="0.2">
      <c r="A10" s="2">
        <v>40695</v>
      </c>
      <c r="B10" s="11">
        <v>55.3</v>
      </c>
    </row>
    <row r="11" spans="1:2" x14ac:dyDescent="0.2">
      <c r="A11" s="2">
        <v>40725</v>
      </c>
      <c r="B11" s="11">
        <v>56.3</v>
      </c>
    </row>
    <row r="12" spans="1:2" x14ac:dyDescent="0.2">
      <c r="A12" s="2">
        <v>40756</v>
      </c>
      <c r="B12" s="11">
        <v>52.6</v>
      </c>
    </row>
    <row r="13" spans="1:2" x14ac:dyDescent="0.2">
      <c r="A13" s="2">
        <v>40787</v>
      </c>
      <c r="B13" s="11">
        <v>50.4</v>
      </c>
    </row>
    <row r="14" spans="1:2" x14ac:dyDescent="0.2">
      <c r="A14" s="2">
        <v>40817</v>
      </c>
      <c r="B14" s="11">
        <v>51</v>
      </c>
    </row>
    <row r="15" spans="1:2" x14ac:dyDescent="0.2">
      <c r="A15" s="2">
        <v>40848</v>
      </c>
      <c r="B15" s="11">
        <v>52</v>
      </c>
    </row>
    <row r="16" spans="1:2" x14ac:dyDescent="0.2">
      <c r="A16" s="2">
        <v>40878</v>
      </c>
      <c r="B16" s="11">
        <v>57</v>
      </c>
    </row>
    <row r="17" spans="1:2" x14ac:dyDescent="0.2">
      <c r="A17" s="2">
        <v>40909</v>
      </c>
      <c r="B17" s="11">
        <v>57.5</v>
      </c>
    </row>
    <row r="18" spans="1:2" x14ac:dyDescent="0.2">
      <c r="A18" s="2">
        <v>40940</v>
      </c>
      <c r="B18" s="11">
        <v>56.6</v>
      </c>
    </row>
    <row r="19" spans="1:2" x14ac:dyDescent="0.2">
      <c r="A19" s="2">
        <v>40969</v>
      </c>
      <c r="B19" s="11">
        <v>54.7</v>
      </c>
    </row>
    <row r="20" spans="1:2" x14ac:dyDescent="0.2">
      <c r="A20" s="2">
        <v>41000</v>
      </c>
      <c r="B20" s="11">
        <v>54.9</v>
      </c>
    </row>
    <row r="21" spans="1:2" x14ac:dyDescent="0.2">
      <c r="A21" s="2">
        <v>41030</v>
      </c>
      <c r="B21" s="11">
        <v>54.8</v>
      </c>
    </row>
    <row r="22" spans="1:2" x14ac:dyDescent="0.2">
      <c r="A22" s="2">
        <v>41061</v>
      </c>
      <c r="B22" s="11">
        <v>55</v>
      </c>
    </row>
    <row r="23" spans="1:2" x14ac:dyDescent="0.2">
      <c r="A23" s="2">
        <v>41091</v>
      </c>
      <c r="B23" s="11">
        <v>52.9</v>
      </c>
    </row>
    <row r="24" spans="1:2" x14ac:dyDescent="0.2">
      <c r="A24" s="2">
        <v>41122</v>
      </c>
      <c r="B24" s="11">
        <v>52.8</v>
      </c>
    </row>
    <row r="25" spans="1:2" x14ac:dyDescent="0.2">
      <c r="A25" s="2">
        <v>41153</v>
      </c>
      <c r="B25" s="11">
        <v>52.8</v>
      </c>
    </row>
    <row r="26" spans="1:2" x14ac:dyDescent="0.2">
      <c r="A26" s="2">
        <v>41183</v>
      </c>
      <c r="B26" s="11">
        <v>52.9</v>
      </c>
    </row>
    <row r="27" spans="1:2" x14ac:dyDescent="0.2">
      <c r="A27" s="2">
        <v>41214</v>
      </c>
      <c r="B27" s="11">
        <v>53.7</v>
      </c>
    </row>
    <row r="28" spans="1:2" x14ac:dyDescent="0.2">
      <c r="A28" s="2">
        <v>41244</v>
      </c>
      <c r="B28" s="11">
        <v>54.7</v>
      </c>
    </row>
    <row r="29" spans="1:2" x14ac:dyDescent="0.2">
      <c r="A29" s="2">
        <v>41275</v>
      </c>
      <c r="B29" s="11">
        <v>53.2</v>
      </c>
    </row>
    <row r="30" spans="1:2" x14ac:dyDescent="0.2">
      <c r="A30" s="2">
        <v>41306</v>
      </c>
      <c r="B30" s="11">
        <v>54.2</v>
      </c>
    </row>
    <row r="31" spans="1:2" x14ac:dyDescent="0.2">
      <c r="A31" s="2">
        <v>41334</v>
      </c>
      <c r="B31" s="11">
        <v>52</v>
      </c>
    </row>
    <row r="32" spans="1:2" x14ac:dyDescent="0.2">
      <c r="A32" s="2">
        <v>41365</v>
      </c>
      <c r="B32" s="11">
        <v>51</v>
      </c>
    </row>
    <row r="33" spans="1:2" x14ac:dyDescent="0.2">
      <c r="A33" s="2">
        <v>41395</v>
      </c>
      <c r="B33" s="11">
        <v>50.1</v>
      </c>
    </row>
    <row r="34" spans="1:2" x14ac:dyDescent="0.2">
      <c r="A34" s="2">
        <v>41426</v>
      </c>
      <c r="B34" s="11">
        <v>50.3</v>
      </c>
    </row>
    <row r="35" spans="1:2" x14ac:dyDescent="0.2">
      <c r="A35" s="2">
        <v>41456</v>
      </c>
      <c r="B35" s="11">
        <v>50.1</v>
      </c>
    </row>
    <row r="36" spans="1:2" x14ac:dyDescent="0.2">
      <c r="A36" s="2">
        <v>41487</v>
      </c>
      <c r="B36" s="11">
        <v>48.5</v>
      </c>
    </row>
    <row r="37" spans="1:2" x14ac:dyDescent="0.2">
      <c r="A37" s="2">
        <v>41518</v>
      </c>
      <c r="B37" s="11">
        <v>49.6</v>
      </c>
    </row>
    <row r="38" spans="1:2" x14ac:dyDescent="0.2">
      <c r="A38" s="2">
        <v>41548</v>
      </c>
      <c r="B38" s="11">
        <v>49.6</v>
      </c>
    </row>
    <row r="39" spans="1:2" x14ac:dyDescent="0.2">
      <c r="A39" s="2">
        <v>41579</v>
      </c>
      <c r="B39" s="11">
        <v>51.3</v>
      </c>
    </row>
    <row r="40" spans="1:2" x14ac:dyDescent="0.2">
      <c r="A40" s="2">
        <v>41609</v>
      </c>
      <c r="B40" s="11">
        <v>50.7</v>
      </c>
    </row>
    <row r="41" spans="1:2" x14ac:dyDescent="0.2">
      <c r="A41" s="2">
        <v>41640</v>
      </c>
      <c r="B41" s="11">
        <v>51.4</v>
      </c>
    </row>
    <row r="42" spans="1:2" x14ac:dyDescent="0.2">
      <c r="A42" s="2">
        <v>41671</v>
      </c>
      <c r="B42" s="11">
        <v>52.5</v>
      </c>
    </row>
    <row r="43" spans="1:2" x14ac:dyDescent="0.2">
      <c r="A43" s="2">
        <v>41699</v>
      </c>
      <c r="B43" s="11">
        <v>51.3</v>
      </c>
    </row>
    <row r="44" spans="1:2" x14ac:dyDescent="0.2">
      <c r="A44" s="2">
        <v>41730</v>
      </c>
      <c r="B44" s="11">
        <v>51.3</v>
      </c>
    </row>
    <row r="45" spans="1:2" x14ac:dyDescent="0.2">
      <c r="A45" s="2">
        <v>41760</v>
      </c>
      <c r="B45" s="11">
        <v>51.4</v>
      </c>
    </row>
    <row r="46" spans="1:2" x14ac:dyDescent="0.2">
      <c r="A46" s="2">
        <v>41791</v>
      </c>
      <c r="B46" s="11">
        <v>51.5</v>
      </c>
    </row>
    <row r="47" spans="1:2" x14ac:dyDescent="0.2">
      <c r="A47" s="2">
        <v>41821</v>
      </c>
      <c r="B47" s="11">
        <v>53</v>
      </c>
    </row>
    <row r="48" spans="1:2" x14ac:dyDescent="0.2">
      <c r="A48" s="2">
        <v>41852</v>
      </c>
      <c r="B48" s="11">
        <v>52.4</v>
      </c>
    </row>
    <row r="49" spans="1:2" x14ac:dyDescent="0.2">
      <c r="A49" s="2">
        <v>41883</v>
      </c>
      <c r="B49" s="11">
        <v>51</v>
      </c>
    </row>
    <row r="50" spans="1:2" x14ac:dyDescent="0.2">
      <c r="A50" s="2">
        <v>41913</v>
      </c>
      <c r="B50" s="11">
        <v>51.6</v>
      </c>
    </row>
    <row r="51" spans="1:2" x14ac:dyDescent="0.2">
      <c r="A51" s="2">
        <v>41944</v>
      </c>
      <c r="B51" s="11">
        <v>53.3</v>
      </c>
    </row>
    <row r="52" spans="1:2" x14ac:dyDescent="0.2">
      <c r="A52" s="2">
        <v>41974</v>
      </c>
      <c r="B52" s="11">
        <v>54.5</v>
      </c>
    </row>
    <row r="53" spans="1:2" x14ac:dyDescent="0.2">
      <c r="A53" s="2">
        <v>42005</v>
      </c>
      <c r="B53" s="11">
        <v>52.9</v>
      </c>
    </row>
    <row r="54" spans="1:2" x14ac:dyDescent="0.2">
      <c r="A54" s="2">
        <v>42036</v>
      </c>
      <c r="B54" s="11">
        <v>51.2</v>
      </c>
    </row>
    <row r="55" spans="1:2" x14ac:dyDescent="0.2">
      <c r="A55" s="2">
        <v>42064</v>
      </c>
      <c r="B55" s="11">
        <v>52.1</v>
      </c>
    </row>
    <row r="56" spans="1:2" x14ac:dyDescent="0.2">
      <c r="A56" s="2">
        <v>42095</v>
      </c>
      <c r="B56" s="11">
        <v>51.3</v>
      </c>
    </row>
    <row r="57" spans="1:2" x14ac:dyDescent="0.2">
      <c r="A57" s="2">
        <v>42125</v>
      </c>
      <c r="B57" s="11">
        <v>52.6</v>
      </c>
    </row>
    <row r="58" spans="1:2" x14ac:dyDescent="0.2">
      <c r="A58" s="2">
        <v>42156</v>
      </c>
      <c r="B58" s="11">
        <v>51.3</v>
      </c>
    </row>
    <row r="59" spans="1:2" x14ac:dyDescent="0.2">
      <c r="A59" s="2">
        <v>42186</v>
      </c>
      <c r="B59" s="11">
        <v>52.7</v>
      </c>
    </row>
    <row r="60" spans="1:2" x14ac:dyDescent="0.2">
      <c r="A60" s="2">
        <v>42217</v>
      </c>
      <c r="B60" s="11">
        <v>52.3</v>
      </c>
    </row>
    <row r="61" spans="1:2" x14ac:dyDescent="0.2">
      <c r="A61" s="2">
        <v>42248</v>
      </c>
      <c r="B61" s="11">
        <v>51.2</v>
      </c>
    </row>
    <row r="62" spans="1:2" x14ac:dyDescent="0.2">
      <c r="A62" s="2">
        <v>42278</v>
      </c>
      <c r="B62" s="11">
        <v>50.7</v>
      </c>
    </row>
    <row r="63" spans="1:2" x14ac:dyDescent="0.2">
      <c r="A63" s="2">
        <v>42309</v>
      </c>
      <c r="B63" s="11">
        <v>50.3</v>
      </c>
    </row>
    <row r="64" spans="1:2" x14ac:dyDescent="0.2">
      <c r="A64" s="2">
        <v>42339</v>
      </c>
      <c r="B64" s="11">
        <v>49.1</v>
      </c>
    </row>
    <row r="65" spans="1:2" x14ac:dyDescent="0.2">
      <c r="A65" s="2">
        <v>42370</v>
      </c>
      <c r="B65" s="11">
        <v>51.1</v>
      </c>
    </row>
    <row r="66" spans="1:2" x14ac:dyDescent="0.2">
      <c r="A66" s="2">
        <v>42401</v>
      </c>
      <c r="B66" s="11">
        <v>51.1</v>
      </c>
    </row>
    <row r="67" spans="1:2" x14ac:dyDescent="0.2">
      <c r="A67" s="2">
        <v>42430</v>
      </c>
      <c r="B67" s="11">
        <v>52.4</v>
      </c>
    </row>
    <row r="68" spans="1:2" x14ac:dyDescent="0.2">
      <c r="A68" s="2">
        <v>42461</v>
      </c>
      <c r="B68" s="11">
        <v>50.5</v>
      </c>
    </row>
    <row r="69" spans="1:2" x14ac:dyDescent="0.2">
      <c r="A69" s="2">
        <v>42491</v>
      </c>
      <c r="B69" s="11">
        <v>50.7</v>
      </c>
    </row>
    <row r="70" spans="1:2" x14ac:dyDescent="0.2">
      <c r="A70" s="2">
        <v>42522</v>
      </c>
      <c r="B70" s="11">
        <v>51.7</v>
      </c>
    </row>
    <row r="71" spans="1:2" x14ac:dyDescent="0.2">
      <c r="A71" s="2">
        <v>42552</v>
      </c>
      <c r="B71" s="11">
        <v>51.8</v>
      </c>
    </row>
    <row r="72" spans="1:2" x14ac:dyDescent="0.2">
      <c r="A72" s="2">
        <v>42583</v>
      </c>
      <c r="B72" s="11">
        <v>52.6</v>
      </c>
    </row>
    <row r="73" spans="1:2" x14ac:dyDescent="0.2">
      <c r="A73" s="2">
        <v>42614</v>
      </c>
      <c r="B73" s="11">
        <v>52.1</v>
      </c>
    </row>
    <row r="74" spans="1:2" x14ac:dyDescent="0.2">
      <c r="A74" s="2">
        <v>42644</v>
      </c>
      <c r="B74" s="11">
        <v>54.4</v>
      </c>
    </row>
    <row r="75" spans="1:2" x14ac:dyDescent="0.2">
      <c r="A75" s="2">
        <v>42675</v>
      </c>
      <c r="B75" s="11">
        <v>52.3</v>
      </c>
    </row>
    <row r="76" spans="1:2" x14ac:dyDescent="0.2">
      <c r="A76" s="2">
        <v>42705</v>
      </c>
      <c r="B76" s="11">
        <v>49.6</v>
      </c>
    </row>
    <row r="77" spans="1:2" x14ac:dyDescent="0.2">
      <c r="A77" s="2">
        <v>42736</v>
      </c>
      <c r="B77" s="11">
        <v>50.4</v>
      </c>
    </row>
    <row r="78" spans="1:2" x14ac:dyDescent="0.2">
      <c r="A78" s="2">
        <v>42767</v>
      </c>
      <c r="B78" s="11">
        <v>50.7</v>
      </c>
    </row>
    <row r="79" spans="1:2" x14ac:dyDescent="0.2">
      <c r="A79" s="2">
        <v>42795</v>
      </c>
      <c r="B79" s="11">
        <v>52.5</v>
      </c>
    </row>
    <row r="80" spans="1:2" x14ac:dyDescent="0.2">
      <c r="A80" s="2">
        <v>42826</v>
      </c>
      <c r="B80" s="11">
        <v>52.5</v>
      </c>
    </row>
    <row r="81" spans="1:2" x14ac:dyDescent="0.2">
      <c r="A81" s="2">
        <v>42856</v>
      </c>
      <c r="B81" s="11">
        <v>51.6</v>
      </c>
    </row>
    <row r="82" spans="1:2" x14ac:dyDescent="0.2">
      <c r="A82" s="2">
        <v>42887</v>
      </c>
      <c r="B82" s="11">
        <v>50.9</v>
      </c>
    </row>
    <row r="83" spans="1:2" x14ac:dyDescent="0.2">
      <c r="A83" s="2">
        <v>42917</v>
      </c>
      <c r="B83" s="11">
        <v>47.9</v>
      </c>
    </row>
    <row r="84" spans="1:2" x14ac:dyDescent="0.2">
      <c r="A84" s="2">
        <v>42948</v>
      </c>
      <c r="B84" s="11">
        <v>51.2</v>
      </c>
    </row>
    <row r="85" spans="1:2" x14ac:dyDescent="0.2">
      <c r="A85" s="2">
        <v>42979</v>
      </c>
      <c r="B85" s="11">
        <v>51.2</v>
      </c>
    </row>
    <row r="86" spans="1:2" x14ac:dyDescent="0.2">
      <c r="A86" s="2">
        <v>43009</v>
      </c>
      <c r="B86" s="11">
        <v>50.3</v>
      </c>
    </row>
    <row r="87" spans="1:2" x14ac:dyDescent="0.2">
      <c r="A87" s="2">
        <v>43040</v>
      </c>
      <c r="B87" s="11">
        <v>52.6</v>
      </c>
    </row>
    <row r="88" spans="1:2" x14ac:dyDescent="0.2">
      <c r="A88" s="2">
        <v>43070</v>
      </c>
      <c r="B88" s="11">
        <v>54.7</v>
      </c>
    </row>
    <row r="89" spans="1:2" x14ac:dyDescent="0.2">
      <c r="A89" s="2">
        <v>43101</v>
      </c>
      <c r="B89" s="11">
        <v>52.4</v>
      </c>
    </row>
    <row r="90" spans="1:2" x14ac:dyDescent="0.2">
      <c r="A90" s="2">
        <v>43132</v>
      </c>
      <c r="B90" s="11">
        <v>52.1</v>
      </c>
    </row>
    <row r="91" spans="1:2" x14ac:dyDescent="0.2">
      <c r="A91" s="2">
        <v>43160</v>
      </c>
      <c r="B91" s="11">
        <v>51</v>
      </c>
    </row>
    <row r="92" spans="1:2" x14ac:dyDescent="0.2">
      <c r="A92" s="2">
        <v>43191</v>
      </c>
      <c r="B92" s="11">
        <v>51.6</v>
      </c>
    </row>
    <row r="93" spans="1:2" x14ac:dyDescent="0.2">
      <c r="A93" s="2">
        <v>43221</v>
      </c>
      <c r="B93" s="11">
        <v>51.2</v>
      </c>
    </row>
    <row r="94" spans="1:2" x14ac:dyDescent="0.2">
      <c r="A94" s="2">
        <v>43252</v>
      </c>
      <c r="B94" s="11">
        <v>53.1</v>
      </c>
    </row>
    <row r="95" spans="1:2" x14ac:dyDescent="0.2">
      <c r="A95" s="2">
        <v>43282</v>
      </c>
      <c r="B95" s="11">
        <v>52.3</v>
      </c>
    </row>
    <row r="96" spans="1:2" x14ac:dyDescent="0.2">
      <c r="A96" s="2">
        <v>43313</v>
      </c>
      <c r="B96" s="11">
        <v>51.7</v>
      </c>
    </row>
    <row r="97" spans="1:2" x14ac:dyDescent="0.2">
      <c r="A97" s="2">
        <v>43344</v>
      </c>
      <c r="B97" s="11">
        <v>52.2</v>
      </c>
    </row>
    <row r="98" spans="1:2" x14ac:dyDescent="0.2">
      <c r="A98" s="2">
        <v>43374</v>
      </c>
      <c r="B98" s="11">
        <v>53.1</v>
      </c>
    </row>
    <row r="99" spans="1:2" x14ac:dyDescent="0.2">
      <c r="A99" s="2">
        <v>43405</v>
      </c>
      <c r="B99" s="11">
        <v>54</v>
      </c>
    </row>
    <row r="100" spans="1:2" x14ac:dyDescent="0.2">
      <c r="A100" s="2">
        <v>43435</v>
      </c>
      <c r="B100" s="11">
        <v>53.2</v>
      </c>
    </row>
    <row r="101" spans="1:2" x14ac:dyDescent="0.2">
      <c r="A101" s="2">
        <v>43466</v>
      </c>
      <c r="B101" s="11">
        <v>53.9</v>
      </c>
    </row>
    <row r="102" spans="1:2" x14ac:dyDescent="0.2">
      <c r="A102" s="2">
        <v>43497</v>
      </c>
      <c r="B102" s="11">
        <v>54.3</v>
      </c>
    </row>
    <row r="103" spans="1:2" x14ac:dyDescent="0.2">
      <c r="A103" s="2">
        <v>43525</v>
      </c>
      <c r="B103" s="11">
        <v>52.6</v>
      </c>
    </row>
    <row r="104" spans="1:2" x14ac:dyDescent="0.2">
      <c r="A104" s="2">
        <v>43556</v>
      </c>
      <c r="B104" s="11">
        <v>51.8</v>
      </c>
    </row>
    <row r="105" spans="1:2" x14ac:dyDescent="0.2">
      <c r="A105" s="2">
        <v>43586</v>
      </c>
      <c r="B105" s="11">
        <v>52.7</v>
      </c>
    </row>
    <row r="106" spans="1:2" x14ac:dyDescent="0.2">
      <c r="A106" s="2">
        <v>43617</v>
      </c>
      <c r="B106" s="11">
        <v>52.1</v>
      </c>
    </row>
    <row r="107" spans="1:2" x14ac:dyDescent="0.2">
      <c r="A107" s="2">
        <v>43647</v>
      </c>
      <c r="B107" s="11">
        <v>52.5</v>
      </c>
    </row>
    <row r="108" spans="1:2" x14ac:dyDescent="0.2">
      <c r="A108" s="2">
        <v>43678</v>
      </c>
      <c r="B108" s="11">
        <v>51.4</v>
      </c>
    </row>
    <row r="109" spans="1:2" x14ac:dyDescent="0.2">
      <c r="A109" s="2">
        <v>43709</v>
      </c>
      <c r="B109" s="11">
        <v>51.4</v>
      </c>
    </row>
    <row r="110" spans="1:2" x14ac:dyDescent="0.2">
      <c r="A110" s="2">
        <v>43739</v>
      </c>
      <c r="B110" s="11">
        <v>50.6</v>
      </c>
    </row>
    <row r="111" spans="1:2" x14ac:dyDescent="0.2">
      <c r="A111" s="2">
        <v>43770</v>
      </c>
      <c r="B111" s="11">
        <v>51.2</v>
      </c>
    </row>
    <row r="112" spans="1:2" x14ac:dyDescent="0.2">
      <c r="A112" s="2">
        <v>43800</v>
      </c>
      <c r="B112" s="11">
        <v>52.7</v>
      </c>
    </row>
    <row r="113" spans="1:2" x14ac:dyDescent="0.2">
      <c r="A113" s="2">
        <v>43831</v>
      </c>
      <c r="B113" s="11">
        <v>55.3</v>
      </c>
    </row>
    <row r="114" spans="1:2" x14ac:dyDescent="0.2">
      <c r="A114" s="2">
        <v>43862</v>
      </c>
      <c r="B114" s="11">
        <v>54.5</v>
      </c>
    </row>
    <row r="115" spans="1:2" x14ac:dyDescent="0.2">
      <c r="A115" s="2">
        <v>43891</v>
      </c>
      <c r="B115" s="11">
        <v>51.8</v>
      </c>
    </row>
    <row r="116" spans="1:2" x14ac:dyDescent="0.2">
      <c r="A116" s="2">
        <v>43922</v>
      </c>
      <c r="B116" s="11">
        <v>27.4</v>
      </c>
    </row>
    <row r="117" spans="1:2" x14ac:dyDescent="0.2">
      <c r="A117" s="2">
        <v>43952</v>
      </c>
      <c r="B117" s="11">
        <v>30.8</v>
      </c>
    </row>
    <row r="118" spans="1:2" x14ac:dyDescent="0.2">
      <c r="A118" s="2">
        <v>43983</v>
      </c>
      <c r="B118" s="11">
        <v>47.2</v>
      </c>
    </row>
    <row r="119" spans="1:2" x14ac:dyDescent="0.2">
      <c r="A119" s="2">
        <v>44013</v>
      </c>
      <c r="B119" s="11">
        <v>46</v>
      </c>
    </row>
    <row r="120" spans="1:2" x14ac:dyDescent="0.2">
      <c r="A120" s="2">
        <v>44044</v>
      </c>
      <c r="B120" s="11">
        <v>52</v>
      </c>
    </row>
    <row r="121" spans="1:2" x14ac:dyDescent="0.2">
      <c r="A121" s="2">
        <v>44075</v>
      </c>
      <c r="B121" s="11">
        <v>56.8</v>
      </c>
    </row>
    <row r="122" spans="1:2" x14ac:dyDescent="0.2">
      <c r="A122" s="2">
        <v>44105</v>
      </c>
      <c r="B122" s="11">
        <v>58.9</v>
      </c>
    </row>
    <row r="123" spans="1:2" x14ac:dyDescent="0.2">
      <c r="A123" s="2">
        <v>44136</v>
      </c>
      <c r="B123" s="11">
        <v>56.3</v>
      </c>
    </row>
    <row r="124" spans="1:2" x14ac:dyDescent="0.2">
      <c r="A124" s="2">
        <v>44166</v>
      </c>
      <c r="B124" s="11">
        <v>56.4</v>
      </c>
    </row>
    <row r="125" spans="1:2" x14ac:dyDescent="0.2">
      <c r="A125" s="2">
        <v>44197</v>
      </c>
      <c r="B125" s="11">
        <v>57.7</v>
      </c>
    </row>
    <row r="126" spans="1:2" x14ac:dyDescent="0.2">
      <c r="A126" s="2">
        <v>44228</v>
      </c>
      <c r="B126" s="11">
        <v>57.5</v>
      </c>
    </row>
    <row r="127" spans="1:2" x14ac:dyDescent="0.2">
      <c r="A127" s="2">
        <v>44256</v>
      </c>
      <c r="B127" s="11">
        <v>55.4</v>
      </c>
    </row>
    <row r="128" spans="1:2" x14ac:dyDescent="0.2">
      <c r="A128" s="2">
        <v>44287</v>
      </c>
      <c r="B128" s="11">
        <v>55.5</v>
      </c>
    </row>
    <row r="129" spans="1:2" x14ac:dyDescent="0.2">
      <c r="A129" s="2">
        <v>44317</v>
      </c>
      <c r="B129" s="11">
        <v>50.8</v>
      </c>
    </row>
    <row r="130" spans="1:2" x14ac:dyDescent="0.2">
      <c r="A130" s="2">
        <v>44348</v>
      </c>
      <c r="B130" s="11">
        <v>48.1</v>
      </c>
    </row>
    <row r="131" spans="1:2" x14ac:dyDescent="0.2">
      <c r="A131" s="2">
        <v>44378</v>
      </c>
      <c r="B131" s="11">
        <v>55.3</v>
      </c>
    </row>
    <row r="132" spans="1:2" x14ac:dyDescent="0.2">
      <c r="A132" s="2">
        <v>44409</v>
      </c>
      <c r="B132" s="11">
        <v>52.3</v>
      </c>
    </row>
    <row r="133" spans="1:2" x14ac:dyDescent="0.2">
      <c r="A133" s="2">
        <v>44440</v>
      </c>
      <c r="B133" s="11">
        <v>53.7</v>
      </c>
    </row>
    <row r="134" spans="1:2" x14ac:dyDescent="0.2">
      <c r="A134" s="2">
        <v>44470</v>
      </c>
      <c r="B134" s="11">
        <v>55.9</v>
      </c>
    </row>
    <row r="135" spans="1:2" x14ac:dyDescent="0.2">
      <c r="A135" s="2">
        <v>44501</v>
      </c>
      <c r="B135" s="11">
        <v>57.6</v>
      </c>
    </row>
    <row r="136" spans="1:2" x14ac:dyDescent="0.2">
      <c r="A136" s="2">
        <v>44531</v>
      </c>
      <c r="B136" s="11">
        <v>55.5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B130"/>
  <sheetViews>
    <sheetView zoomScale="180" zoomScaleNormal="180" workbookViewId="0">
      <pane ySplit="1" topLeftCell="A82" activePane="bottomLeft" state="frozen"/>
      <selection pane="bottomLeft" activeCell="E113" sqref="E113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3</v>
      </c>
    </row>
    <row r="2" spans="1:2" x14ac:dyDescent="0.2">
      <c r="A2" s="6">
        <v>40634</v>
      </c>
      <c r="B2" s="7" t="s">
        <v>32</v>
      </c>
    </row>
    <row r="3" spans="1:2" x14ac:dyDescent="0.2">
      <c r="A3" s="2">
        <v>40664</v>
      </c>
      <c r="B3" s="11">
        <v>54.8</v>
      </c>
    </row>
    <row r="4" spans="1:2" x14ac:dyDescent="0.2">
      <c r="A4" s="2">
        <v>40695</v>
      </c>
      <c r="B4" s="11">
        <v>52.8</v>
      </c>
    </row>
    <row r="5" spans="1:2" x14ac:dyDescent="0.2">
      <c r="A5" s="2">
        <v>40725</v>
      </c>
      <c r="B5" s="11">
        <v>53.1</v>
      </c>
    </row>
    <row r="6" spans="1:2" x14ac:dyDescent="0.2">
      <c r="A6" s="2">
        <v>40756</v>
      </c>
      <c r="B6" s="11">
        <v>54.9</v>
      </c>
    </row>
    <row r="7" spans="1:2" x14ac:dyDescent="0.2">
      <c r="A7" s="2">
        <v>40787</v>
      </c>
      <c r="B7" s="11">
        <v>55</v>
      </c>
    </row>
    <row r="8" spans="1:2" x14ac:dyDescent="0.2">
      <c r="A8" s="2">
        <v>40817</v>
      </c>
      <c r="B8" s="11">
        <v>53.7</v>
      </c>
    </row>
    <row r="9" spans="1:2" x14ac:dyDescent="0.2">
      <c r="A9" s="2">
        <v>40848</v>
      </c>
      <c r="B9" s="11">
        <v>53.3</v>
      </c>
    </row>
    <row r="10" spans="1:2" x14ac:dyDescent="0.2">
      <c r="A10" s="2">
        <v>40878</v>
      </c>
      <c r="B10" s="11">
        <v>54</v>
      </c>
    </row>
    <row r="11" spans="1:2" x14ac:dyDescent="0.2">
      <c r="A11" s="2">
        <v>40909</v>
      </c>
      <c r="B11" s="11">
        <v>50.6</v>
      </c>
    </row>
    <row r="12" spans="1:2" x14ac:dyDescent="0.2">
      <c r="A12" s="2">
        <v>40940</v>
      </c>
      <c r="B12" s="11">
        <v>51.8</v>
      </c>
    </row>
    <row r="13" spans="1:2" x14ac:dyDescent="0.2">
      <c r="A13" s="2">
        <v>40969</v>
      </c>
      <c r="B13" s="11">
        <v>52.4</v>
      </c>
    </row>
    <row r="14" spans="1:2" x14ac:dyDescent="0.2">
      <c r="A14" s="2">
        <v>41000</v>
      </c>
      <c r="B14" s="11">
        <v>53.3</v>
      </c>
    </row>
    <row r="15" spans="1:2" x14ac:dyDescent="0.2">
      <c r="A15" s="2">
        <v>41030</v>
      </c>
      <c r="B15" s="11">
        <v>54.7</v>
      </c>
    </row>
    <row r="16" spans="1:2" x14ac:dyDescent="0.2">
      <c r="A16" s="2">
        <v>41061</v>
      </c>
      <c r="B16" s="11">
        <v>54.8</v>
      </c>
    </row>
    <row r="17" spans="1:2" x14ac:dyDescent="0.2">
      <c r="A17" s="2">
        <v>41091</v>
      </c>
      <c r="B17" s="11">
        <v>53</v>
      </c>
    </row>
    <row r="18" spans="1:2" x14ac:dyDescent="0.2">
      <c r="A18" s="2">
        <v>41122</v>
      </c>
      <c r="B18" s="11">
        <v>53</v>
      </c>
    </row>
    <row r="19" spans="1:2" x14ac:dyDescent="0.2">
      <c r="A19" s="2">
        <v>41153</v>
      </c>
      <c r="B19" s="11">
        <v>52.4</v>
      </c>
    </row>
    <row r="20" spans="1:2" x14ac:dyDescent="0.2">
      <c r="A20" s="2">
        <v>41183</v>
      </c>
      <c r="B20" s="11">
        <v>51.4</v>
      </c>
    </row>
    <row r="21" spans="1:2" x14ac:dyDescent="0.2">
      <c r="A21" s="2">
        <v>41214</v>
      </c>
      <c r="B21" s="11">
        <v>50.4</v>
      </c>
    </row>
    <row r="22" spans="1:2" x14ac:dyDescent="0.2">
      <c r="A22" s="2">
        <v>41244</v>
      </c>
      <c r="B22" s="11">
        <v>50.4</v>
      </c>
    </row>
    <row r="23" spans="1:2" x14ac:dyDescent="0.2">
      <c r="A23" s="2">
        <v>41275</v>
      </c>
      <c r="B23" s="11">
        <v>50.5</v>
      </c>
    </row>
    <row r="24" spans="1:2" x14ac:dyDescent="0.2">
      <c r="A24" s="2">
        <v>41306</v>
      </c>
      <c r="B24" s="11">
        <v>51.7</v>
      </c>
    </row>
    <row r="25" spans="1:2" x14ac:dyDescent="0.2">
      <c r="A25" s="2">
        <v>41334</v>
      </c>
      <c r="B25" s="11">
        <v>49.3</v>
      </c>
    </row>
    <row r="26" spans="1:2" x14ac:dyDescent="0.2">
      <c r="A26" s="2">
        <v>41365</v>
      </c>
      <c r="B26" s="11">
        <v>50.1</v>
      </c>
    </row>
    <row r="27" spans="1:2" x14ac:dyDescent="0.2">
      <c r="A27" s="2">
        <v>41395</v>
      </c>
      <c r="B27" s="11">
        <v>53.2</v>
      </c>
    </row>
    <row r="28" spans="1:2" x14ac:dyDescent="0.2">
      <c r="A28" s="2">
        <v>41426</v>
      </c>
      <c r="B28" s="11">
        <v>52.4</v>
      </c>
    </row>
    <row r="29" spans="1:2" x14ac:dyDescent="0.2">
      <c r="A29" s="2">
        <v>41456</v>
      </c>
      <c r="B29" s="11">
        <v>52</v>
      </c>
    </row>
    <row r="30" spans="1:2" x14ac:dyDescent="0.2">
      <c r="A30" s="2">
        <v>41487</v>
      </c>
      <c r="B30" s="11">
        <v>52.1</v>
      </c>
    </row>
    <row r="31" spans="1:2" x14ac:dyDescent="0.2">
      <c r="A31" s="2">
        <v>41518</v>
      </c>
      <c r="B31" s="11">
        <v>54.2</v>
      </c>
    </row>
    <row r="32" spans="1:2" x14ac:dyDescent="0.2">
      <c r="A32" s="2">
        <v>41548</v>
      </c>
      <c r="B32" s="11">
        <v>55.6</v>
      </c>
    </row>
    <row r="33" spans="1:2" x14ac:dyDescent="0.2">
      <c r="A33" s="2">
        <v>41579</v>
      </c>
      <c r="B33" s="11">
        <v>55.3</v>
      </c>
    </row>
    <row r="34" spans="1:2" x14ac:dyDescent="0.2">
      <c r="A34" s="2">
        <v>41609</v>
      </c>
      <c r="B34" s="11">
        <v>53.5</v>
      </c>
    </row>
    <row r="35" spans="1:2" x14ac:dyDescent="0.2">
      <c r="A35" s="2">
        <v>41640</v>
      </c>
      <c r="B35" s="11">
        <v>51.7</v>
      </c>
    </row>
    <row r="36" spans="1:2" x14ac:dyDescent="0.2">
      <c r="A36" s="2">
        <v>41671</v>
      </c>
      <c r="B36" s="11">
        <v>52.9</v>
      </c>
    </row>
    <row r="37" spans="1:2" x14ac:dyDescent="0.2">
      <c r="A37" s="2">
        <v>41699</v>
      </c>
      <c r="B37" s="11">
        <v>53.3</v>
      </c>
    </row>
    <row r="38" spans="1:2" x14ac:dyDescent="0.2">
      <c r="A38" s="2">
        <v>41730</v>
      </c>
      <c r="B38" s="11">
        <v>52.9</v>
      </c>
    </row>
    <row r="39" spans="1:2" x14ac:dyDescent="0.2">
      <c r="A39" s="2">
        <v>41760</v>
      </c>
      <c r="B39" s="11">
        <v>52.2</v>
      </c>
    </row>
    <row r="40" spans="1:2" x14ac:dyDescent="0.2">
      <c r="A40" s="2">
        <v>41791</v>
      </c>
      <c r="B40" s="11">
        <v>53.5</v>
      </c>
    </row>
    <row r="41" spans="1:2" x14ac:dyDescent="0.2">
      <c r="A41" s="2">
        <v>41821</v>
      </c>
      <c r="B41" s="11">
        <v>54.3</v>
      </c>
    </row>
    <row r="42" spans="1:2" x14ac:dyDescent="0.2">
      <c r="A42" s="2">
        <v>41852</v>
      </c>
      <c r="B42" s="11">
        <v>54.8</v>
      </c>
    </row>
    <row r="43" spans="1:2" x14ac:dyDescent="0.2">
      <c r="A43" s="2">
        <v>41883</v>
      </c>
      <c r="B43" s="11">
        <v>53.5</v>
      </c>
    </row>
    <row r="44" spans="1:2" x14ac:dyDescent="0.2">
      <c r="A44" s="2">
        <v>41913</v>
      </c>
      <c r="B44" s="11">
        <v>55.3</v>
      </c>
    </row>
    <row r="45" spans="1:2" x14ac:dyDescent="0.2">
      <c r="A45" s="2">
        <v>41944</v>
      </c>
      <c r="B45" s="11">
        <v>55.3</v>
      </c>
    </row>
    <row r="46" spans="1:2" x14ac:dyDescent="0.2">
      <c r="A46" s="2">
        <v>41974</v>
      </c>
      <c r="B46" s="11">
        <v>53.9</v>
      </c>
    </row>
    <row r="47" spans="1:2" x14ac:dyDescent="0.2">
      <c r="A47" s="2">
        <v>42005</v>
      </c>
      <c r="B47" s="11">
        <v>51</v>
      </c>
    </row>
    <row r="48" spans="1:2" x14ac:dyDescent="0.2">
      <c r="A48" s="2">
        <v>42036</v>
      </c>
      <c r="B48" s="11">
        <v>48.7</v>
      </c>
    </row>
    <row r="49" spans="1:2" x14ac:dyDescent="0.2">
      <c r="A49" s="2">
        <v>42064</v>
      </c>
      <c r="B49" s="11">
        <v>48.9</v>
      </c>
    </row>
    <row r="50" spans="1:2" x14ac:dyDescent="0.2">
      <c r="A50" s="2">
        <v>42095</v>
      </c>
      <c r="B50" s="11">
        <v>49</v>
      </c>
    </row>
    <row r="51" spans="1:2" x14ac:dyDescent="0.2">
      <c r="A51" s="2">
        <v>42125</v>
      </c>
      <c r="B51" s="11">
        <v>49.8</v>
      </c>
    </row>
    <row r="52" spans="1:2" x14ac:dyDescent="0.2">
      <c r="A52" s="2">
        <v>42156</v>
      </c>
      <c r="B52" s="11">
        <v>51.3</v>
      </c>
    </row>
    <row r="53" spans="1:2" x14ac:dyDescent="0.2">
      <c r="A53" s="2">
        <v>42186</v>
      </c>
      <c r="B53" s="11">
        <v>50.8</v>
      </c>
    </row>
    <row r="54" spans="1:2" x14ac:dyDescent="0.2">
      <c r="A54" s="2">
        <v>42217</v>
      </c>
      <c r="B54" s="11">
        <v>49.4</v>
      </c>
    </row>
    <row r="55" spans="1:2" x14ac:dyDescent="0.2">
      <c r="A55" s="2">
        <v>42248</v>
      </c>
      <c r="B55" s="11">
        <v>48.6</v>
      </c>
    </row>
    <row r="56" spans="1:2" x14ac:dyDescent="0.2">
      <c r="A56" s="2">
        <v>42278</v>
      </c>
      <c r="B56" s="11">
        <v>48</v>
      </c>
    </row>
    <row r="57" spans="1:2" x14ac:dyDescent="0.2">
      <c r="A57" s="2">
        <v>42309</v>
      </c>
      <c r="B57" s="11">
        <v>48.6</v>
      </c>
    </row>
    <row r="58" spans="1:2" x14ac:dyDescent="0.2">
      <c r="A58" s="2">
        <v>42339</v>
      </c>
      <c r="B58" s="11">
        <v>47.5</v>
      </c>
    </row>
    <row r="59" spans="1:2" x14ac:dyDescent="0.2">
      <c r="A59" s="2">
        <v>42370</v>
      </c>
      <c r="B59" s="11">
        <v>49.3</v>
      </c>
    </row>
    <row r="60" spans="1:2" x14ac:dyDescent="0.2">
      <c r="A60" s="2">
        <v>42401</v>
      </c>
      <c r="B60" s="11">
        <v>49.4</v>
      </c>
    </row>
    <row r="61" spans="1:2" x14ac:dyDescent="0.2">
      <c r="A61" s="2">
        <v>42430</v>
      </c>
      <c r="B61" s="11">
        <v>51.5</v>
      </c>
    </row>
    <row r="62" spans="1:2" x14ac:dyDescent="0.2">
      <c r="A62" s="2">
        <v>42461</v>
      </c>
      <c r="B62" s="11">
        <v>52.2</v>
      </c>
    </row>
    <row r="63" spans="1:2" x14ac:dyDescent="0.2">
      <c r="A63" s="2">
        <v>42491</v>
      </c>
      <c r="B63" s="11">
        <v>52.1</v>
      </c>
    </row>
    <row r="64" spans="1:2" x14ac:dyDescent="0.2">
      <c r="A64" s="2">
        <v>42522</v>
      </c>
      <c r="B64" s="11">
        <v>51.8</v>
      </c>
    </row>
    <row r="65" spans="1:2" x14ac:dyDescent="0.2">
      <c r="A65" s="2">
        <v>42552</v>
      </c>
      <c r="B65" s="11">
        <v>51.9</v>
      </c>
    </row>
    <row r="66" spans="1:2" x14ac:dyDescent="0.2">
      <c r="A66" s="2">
        <v>42583</v>
      </c>
      <c r="B66" s="11">
        <v>51.1</v>
      </c>
    </row>
    <row r="67" spans="1:2" x14ac:dyDescent="0.2">
      <c r="A67" s="2">
        <v>42614</v>
      </c>
      <c r="B67" s="11">
        <v>50.3</v>
      </c>
    </row>
    <row r="68" spans="1:2" x14ac:dyDescent="0.2">
      <c r="A68" s="2">
        <v>42644</v>
      </c>
      <c r="B68" s="11">
        <v>51.1</v>
      </c>
    </row>
    <row r="69" spans="1:2" x14ac:dyDescent="0.2">
      <c r="A69" s="2">
        <v>42675</v>
      </c>
      <c r="B69" s="11">
        <v>51.5</v>
      </c>
    </row>
    <row r="70" spans="1:2" x14ac:dyDescent="0.2">
      <c r="A70" s="2">
        <v>42705</v>
      </c>
      <c r="B70" s="11">
        <v>51.8</v>
      </c>
    </row>
    <row r="71" spans="1:2" x14ac:dyDescent="0.2">
      <c r="A71" s="2">
        <v>42736</v>
      </c>
      <c r="B71" s="11">
        <v>53.5</v>
      </c>
    </row>
    <row r="72" spans="1:2" x14ac:dyDescent="0.2">
      <c r="A72" s="2">
        <v>42767</v>
      </c>
      <c r="B72" s="11">
        <v>54.7</v>
      </c>
    </row>
    <row r="73" spans="1:2" x14ac:dyDescent="0.2">
      <c r="A73" s="2">
        <v>42795</v>
      </c>
      <c r="B73" s="11">
        <v>55.5</v>
      </c>
    </row>
    <row r="74" spans="1:2" x14ac:dyDescent="0.2">
      <c r="A74" s="2">
        <v>42826</v>
      </c>
      <c r="B74" s="11">
        <v>55.9</v>
      </c>
    </row>
    <row r="75" spans="1:2" x14ac:dyDescent="0.2">
      <c r="A75" s="2">
        <v>42856</v>
      </c>
      <c r="B75" s="11">
        <v>55.1</v>
      </c>
    </row>
    <row r="76" spans="1:2" x14ac:dyDescent="0.2">
      <c r="A76" s="2">
        <v>42887</v>
      </c>
      <c r="B76" s="11">
        <v>54.7</v>
      </c>
    </row>
    <row r="77" spans="1:2" x14ac:dyDescent="0.2">
      <c r="A77" s="2">
        <v>42917</v>
      </c>
      <c r="B77" s="11">
        <v>55.5</v>
      </c>
    </row>
    <row r="78" spans="1:2" x14ac:dyDescent="0.2">
      <c r="A78" s="2">
        <v>42948</v>
      </c>
      <c r="B78" s="11">
        <v>54.6</v>
      </c>
    </row>
    <row r="79" spans="1:2" x14ac:dyDescent="0.2">
      <c r="A79" s="2">
        <v>42979</v>
      </c>
      <c r="B79" s="11">
        <v>55</v>
      </c>
    </row>
    <row r="80" spans="1:2" x14ac:dyDescent="0.2">
      <c r="A80" s="2">
        <v>43009</v>
      </c>
      <c r="B80" s="11">
        <v>54.3</v>
      </c>
    </row>
    <row r="81" spans="1:2" x14ac:dyDescent="0.2">
      <c r="A81" s="2">
        <v>43040</v>
      </c>
      <c r="B81" s="11">
        <v>54.4</v>
      </c>
    </row>
    <row r="82" spans="1:2" x14ac:dyDescent="0.2">
      <c r="A82" s="2">
        <v>43070</v>
      </c>
      <c r="B82" s="11">
        <v>54.7</v>
      </c>
    </row>
    <row r="83" spans="1:2" x14ac:dyDescent="0.2">
      <c r="A83" s="2">
        <v>43101</v>
      </c>
      <c r="B83" s="11">
        <v>55.9</v>
      </c>
    </row>
    <row r="84" spans="1:2" x14ac:dyDescent="0.2">
      <c r="A84" s="2">
        <v>43132</v>
      </c>
      <c r="B84" s="11">
        <v>55.6</v>
      </c>
    </row>
    <row r="85" spans="1:2" x14ac:dyDescent="0.2">
      <c r="A85" s="2">
        <v>43160</v>
      </c>
      <c r="B85" s="11">
        <v>55.7</v>
      </c>
    </row>
    <row r="86" spans="1:2" x14ac:dyDescent="0.2">
      <c r="A86" s="2">
        <v>43191</v>
      </c>
      <c r="B86" s="11">
        <v>55.5</v>
      </c>
    </row>
    <row r="87" spans="1:2" x14ac:dyDescent="0.2">
      <c r="A87" s="2">
        <v>43221</v>
      </c>
      <c r="B87" s="11">
        <v>56.2</v>
      </c>
    </row>
    <row r="88" spans="1:2" x14ac:dyDescent="0.2">
      <c r="A88" s="2">
        <v>43252</v>
      </c>
      <c r="B88" s="11">
        <v>57.1</v>
      </c>
    </row>
    <row r="89" spans="1:2" x14ac:dyDescent="0.2">
      <c r="A89" s="2">
        <v>43282</v>
      </c>
      <c r="B89" s="11">
        <v>56.9</v>
      </c>
    </row>
    <row r="90" spans="1:2" x14ac:dyDescent="0.2">
      <c r="A90" s="2">
        <v>43313</v>
      </c>
      <c r="B90" s="11">
        <v>56.8</v>
      </c>
    </row>
    <row r="91" spans="1:2" x14ac:dyDescent="0.2">
      <c r="A91" s="2">
        <v>43344</v>
      </c>
      <c r="B91" s="11">
        <v>54.8</v>
      </c>
    </row>
    <row r="92" spans="1:2" x14ac:dyDescent="0.2">
      <c r="A92" s="2">
        <v>43374</v>
      </c>
      <c r="B92" s="11">
        <v>53.9</v>
      </c>
    </row>
    <row r="93" spans="1:2" x14ac:dyDescent="0.2">
      <c r="A93" s="2">
        <v>43405</v>
      </c>
      <c r="B93" s="11">
        <v>54.9</v>
      </c>
    </row>
    <row r="94" spans="1:2" x14ac:dyDescent="0.2">
      <c r="A94" s="2">
        <v>43435</v>
      </c>
      <c r="B94" s="11">
        <v>53.6</v>
      </c>
    </row>
    <row r="95" spans="1:2" x14ac:dyDescent="0.2">
      <c r="A95" s="2">
        <v>43466</v>
      </c>
      <c r="B95" s="11">
        <v>53</v>
      </c>
    </row>
    <row r="96" spans="1:2" x14ac:dyDescent="0.2">
      <c r="A96" s="2">
        <v>43497</v>
      </c>
      <c r="B96" s="11">
        <v>52.6</v>
      </c>
    </row>
    <row r="97" spans="1:2" x14ac:dyDescent="0.2">
      <c r="A97" s="2">
        <v>43525</v>
      </c>
      <c r="B97" s="11">
        <v>50.5</v>
      </c>
    </row>
    <row r="98" spans="1:2" x14ac:dyDescent="0.2">
      <c r="A98" s="2">
        <v>43556</v>
      </c>
      <c r="B98" s="11">
        <v>49.7</v>
      </c>
    </row>
    <row r="99" spans="1:2" x14ac:dyDescent="0.2">
      <c r="A99" s="2">
        <v>43586</v>
      </c>
      <c r="B99" s="11">
        <v>49.1</v>
      </c>
    </row>
    <row r="100" spans="1:2" x14ac:dyDescent="0.2">
      <c r="A100" s="2">
        <v>43617</v>
      </c>
      <c r="B100" s="11">
        <v>49.2</v>
      </c>
    </row>
    <row r="101" spans="1:2" x14ac:dyDescent="0.2">
      <c r="A101" s="2">
        <v>43647</v>
      </c>
      <c r="B101" s="11">
        <v>50.2</v>
      </c>
    </row>
    <row r="102" spans="1:2" x14ac:dyDescent="0.2">
      <c r="A102" s="2">
        <v>43678</v>
      </c>
      <c r="B102" s="11">
        <v>49.1</v>
      </c>
    </row>
    <row r="103" spans="1:2" x14ac:dyDescent="0.2">
      <c r="A103" s="2">
        <v>43709</v>
      </c>
      <c r="B103" s="11">
        <v>51</v>
      </c>
    </row>
    <row r="104" spans="1:2" x14ac:dyDescent="0.2">
      <c r="A104" s="2">
        <v>43739</v>
      </c>
      <c r="B104" s="11">
        <v>51.2</v>
      </c>
    </row>
    <row r="105" spans="1:2" x14ac:dyDescent="0.2">
      <c r="A105" s="2">
        <v>43770</v>
      </c>
      <c r="B105" s="11">
        <v>51.4</v>
      </c>
    </row>
    <row r="106" spans="1:2" x14ac:dyDescent="0.2">
      <c r="A106" s="2">
        <v>43800</v>
      </c>
      <c r="B106" s="11">
        <v>50.4</v>
      </c>
    </row>
    <row r="107" spans="1:2" x14ac:dyDescent="0.2">
      <c r="A107" s="2">
        <v>43831</v>
      </c>
      <c r="B107" s="11">
        <v>50.6</v>
      </c>
    </row>
    <row r="108" spans="1:2" x14ac:dyDescent="0.2">
      <c r="A108" s="2">
        <v>43862</v>
      </c>
      <c r="B108" s="11">
        <v>51.8</v>
      </c>
    </row>
    <row r="109" spans="1:2" x14ac:dyDescent="0.2">
      <c r="A109" s="2">
        <v>43891</v>
      </c>
      <c r="B109" s="11">
        <v>46.1</v>
      </c>
    </row>
    <row r="110" spans="1:2" x14ac:dyDescent="0.2">
      <c r="A110" s="2">
        <v>43922</v>
      </c>
      <c r="B110" s="11">
        <v>33</v>
      </c>
    </row>
    <row r="111" spans="1:2" x14ac:dyDescent="0.2">
      <c r="A111" s="2">
        <v>43952</v>
      </c>
      <c r="B111" s="11">
        <v>40.6</v>
      </c>
    </row>
    <row r="112" spans="1:2" x14ac:dyDescent="0.2">
      <c r="A112" s="2">
        <v>43983</v>
      </c>
      <c r="B112" s="11">
        <v>47.8</v>
      </c>
    </row>
    <row r="113" spans="1:2" x14ac:dyDescent="0.2">
      <c r="A113" s="2">
        <v>44013</v>
      </c>
      <c r="B113" s="11">
        <v>52.9</v>
      </c>
    </row>
    <row r="114" spans="1:2" x14ac:dyDescent="0.2">
      <c r="A114" s="2">
        <v>44044</v>
      </c>
      <c r="B114" s="11">
        <v>55.1</v>
      </c>
    </row>
    <row r="115" spans="1:2" x14ac:dyDescent="0.2">
      <c r="A115" s="2">
        <v>44075</v>
      </c>
      <c r="B115" s="11">
        <v>56</v>
      </c>
    </row>
    <row r="116" spans="1:2" x14ac:dyDescent="0.2">
      <c r="A116" s="2">
        <v>44105</v>
      </c>
      <c r="B116" s="11">
        <v>55.5</v>
      </c>
    </row>
    <row r="117" spans="1:2" x14ac:dyDescent="0.2">
      <c r="A117" s="2">
        <v>44136</v>
      </c>
      <c r="B117" s="11">
        <v>55.8</v>
      </c>
    </row>
    <row r="118" spans="1:2" x14ac:dyDescent="0.2">
      <c r="A118" s="2">
        <v>44166</v>
      </c>
      <c r="B118" s="11">
        <v>57.9</v>
      </c>
    </row>
    <row r="119" spans="1:2" x14ac:dyDescent="0.2">
      <c r="A119" s="2">
        <v>44197</v>
      </c>
      <c r="B119" s="11">
        <v>54.4</v>
      </c>
    </row>
    <row r="120" spans="1:2" x14ac:dyDescent="0.2">
      <c r="A120" s="2">
        <v>44228</v>
      </c>
      <c r="B120" s="11">
        <v>54.8</v>
      </c>
    </row>
    <row r="121" spans="1:2" x14ac:dyDescent="0.2">
      <c r="A121" s="2">
        <v>44256</v>
      </c>
      <c r="B121" s="11">
        <v>58.5</v>
      </c>
    </row>
    <row r="122" spans="1:2" x14ac:dyDescent="0.2">
      <c r="A122" s="2">
        <v>44287</v>
      </c>
      <c r="B122" s="11">
        <v>57.2</v>
      </c>
    </row>
    <row r="123" spans="1:2" x14ac:dyDescent="0.2">
      <c r="A123" s="2">
        <v>44317</v>
      </c>
      <c r="B123" s="11">
        <v>57</v>
      </c>
    </row>
    <row r="124" spans="1:2" x14ac:dyDescent="0.2">
      <c r="A124" s="2">
        <v>44348</v>
      </c>
      <c r="B124" s="11">
        <v>56.5</v>
      </c>
    </row>
    <row r="125" spans="1:2" x14ac:dyDescent="0.2">
      <c r="A125" s="2">
        <v>44378</v>
      </c>
      <c r="B125" s="11">
        <v>56.2</v>
      </c>
    </row>
    <row r="126" spans="1:2" x14ac:dyDescent="0.2">
      <c r="A126" s="2">
        <v>44409</v>
      </c>
      <c r="B126" s="11">
        <v>57.2</v>
      </c>
    </row>
    <row r="127" spans="1:2" x14ac:dyDescent="0.2">
      <c r="A127" s="2">
        <v>44440</v>
      </c>
      <c r="B127" s="11">
        <v>57</v>
      </c>
    </row>
    <row r="128" spans="1:2" x14ac:dyDescent="0.2">
      <c r="A128" s="2">
        <v>44470</v>
      </c>
      <c r="B128" s="11">
        <v>57.7</v>
      </c>
    </row>
    <row r="129" spans="1:2" x14ac:dyDescent="0.2">
      <c r="A129" s="2">
        <v>44501</v>
      </c>
      <c r="B129" s="11">
        <v>57.2</v>
      </c>
    </row>
    <row r="130" spans="1:2" x14ac:dyDescent="0.2">
      <c r="A130" s="2">
        <v>44531</v>
      </c>
      <c r="B130" s="11">
        <v>55.5</v>
      </c>
    </row>
  </sheetData>
  <conditionalFormatting sqref="B2:B13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B164"/>
  <sheetViews>
    <sheetView zoomScale="180" zoomScaleNormal="180" workbookViewId="0">
      <pane ySplit="1" topLeftCell="A2" activePane="bottomLeft" state="frozen"/>
      <selection pane="bottomLeft" activeCell="R157" sqref="R157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1</v>
      </c>
    </row>
    <row r="2" spans="1:2" x14ac:dyDescent="0.2">
      <c r="A2" s="6">
        <v>39569</v>
      </c>
      <c r="B2" s="7">
        <v>51.4</v>
      </c>
    </row>
    <row r="3" spans="1:2" x14ac:dyDescent="0.2">
      <c r="A3" s="2">
        <v>39600</v>
      </c>
      <c r="B3" s="11">
        <v>51.2</v>
      </c>
    </row>
    <row r="4" spans="1:2" x14ac:dyDescent="0.2">
      <c r="A4" s="2">
        <v>39630</v>
      </c>
      <c r="B4" s="11">
        <v>52.7</v>
      </c>
    </row>
    <row r="5" spans="1:2" x14ac:dyDescent="0.2">
      <c r="A5" s="2">
        <v>39661</v>
      </c>
      <c r="B5" s="11">
        <v>51.2</v>
      </c>
    </row>
    <row r="6" spans="1:2" x14ac:dyDescent="0.2">
      <c r="A6" s="2">
        <v>39692</v>
      </c>
      <c r="B6" s="11">
        <v>47</v>
      </c>
    </row>
    <row r="7" spans="1:2" x14ac:dyDescent="0.2">
      <c r="A7" s="2">
        <v>39722</v>
      </c>
      <c r="B7" s="11">
        <v>46.9</v>
      </c>
    </row>
    <row r="8" spans="1:2" x14ac:dyDescent="0.2">
      <c r="A8" s="2">
        <v>39753</v>
      </c>
      <c r="B8" s="11">
        <v>40.4</v>
      </c>
    </row>
    <row r="9" spans="1:2" x14ac:dyDescent="0.2">
      <c r="A9" s="2">
        <v>39783</v>
      </c>
      <c r="B9" s="11">
        <v>33.700000000000003</v>
      </c>
    </row>
    <row r="10" spans="1:2" x14ac:dyDescent="0.2">
      <c r="A10" s="2">
        <v>39814</v>
      </c>
      <c r="B10" s="11">
        <v>36.6</v>
      </c>
    </row>
    <row r="11" spans="1:2" x14ac:dyDescent="0.2">
      <c r="A11" s="2">
        <v>39845</v>
      </c>
      <c r="B11" s="11">
        <v>31.7</v>
      </c>
    </row>
    <row r="12" spans="1:2" x14ac:dyDescent="0.2">
      <c r="A12" s="2">
        <v>39873</v>
      </c>
      <c r="B12" s="11">
        <v>33.4</v>
      </c>
    </row>
    <row r="13" spans="1:2" x14ac:dyDescent="0.2">
      <c r="A13" s="2">
        <v>39904</v>
      </c>
      <c r="B13" s="11">
        <v>30.1</v>
      </c>
    </row>
    <row r="14" spans="1:2" x14ac:dyDescent="0.2">
      <c r="A14" s="2">
        <v>39934</v>
      </c>
      <c r="B14" s="11">
        <v>37.5</v>
      </c>
    </row>
    <row r="15" spans="1:2" x14ac:dyDescent="0.2">
      <c r="A15" s="2">
        <v>39965</v>
      </c>
      <c r="B15" s="11">
        <v>38.4</v>
      </c>
    </row>
    <row r="16" spans="1:2" x14ac:dyDescent="0.2">
      <c r="A16" s="2">
        <v>39995</v>
      </c>
      <c r="B16" s="11">
        <v>44.5</v>
      </c>
    </row>
    <row r="17" spans="1:2" x14ac:dyDescent="0.2">
      <c r="A17" s="2">
        <v>40026</v>
      </c>
      <c r="B17" s="11">
        <v>51.7</v>
      </c>
    </row>
    <row r="18" spans="1:2" x14ac:dyDescent="0.2">
      <c r="A18" s="2">
        <v>40057</v>
      </c>
      <c r="B18" s="11">
        <v>52</v>
      </c>
    </row>
    <row r="19" spans="1:2" x14ac:dyDescent="0.2">
      <c r="A19" s="2">
        <v>40087</v>
      </c>
      <c r="B19" s="11">
        <v>51.7</v>
      </c>
    </row>
    <row r="20" spans="1:2" x14ac:dyDescent="0.2">
      <c r="A20" s="2">
        <v>40118</v>
      </c>
      <c r="B20" s="11">
        <v>51.2</v>
      </c>
    </row>
    <row r="21" spans="1:2" x14ac:dyDescent="0.2">
      <c r="A21" s="2">
        <v>40148</v>
      </c>
      <c r="B21" s="11">
        <v>48.5</v>
      </c>
    </row>
    <row r="22" spans="1:2" x14ac:dyDescent="0.2">
      <c r="A22" s="2">
        <v>40179</v>
      </c>
      <c r="B22" s="11">
        <v>51</v>
      </c>
    </row>
    <row r="23" spans="1:2" x14ac:dyDescent="0.2">
      <c r="A23" s="2">
        <v>40210</v>
      </c>
      <c r="B23" s="11">
        <v>53.8</v>
      </c>
    </row>
    <row r="24" spans="1:2" x14ac:dyDescent="0.2">
      <c r="A24" s="2">
        <v>40238</v>
      </c>
      <c r="B24" s="11">
        <v>50.2</v>
      </c>
    </row>
    <row r="25" spans="1:2" x14ac:dyDescent="0.2">
      <c r="A25" s="2">
        <v>40269</v>
      </c>
      <c r="B25" s="11">
        <v>59.8</v>
      </c>
    </row>
    <row r="26" spans="1:2" x14ac:dyDescent="0.2">
      <c r="A26" s="2">
        <v>40299</v>
      </c>
      <c r="B26" s="11">
        <v>56.3</v>
      </c>
    </row>
    <row r="27" spans="1:2" x14ac:dyDescent="0.2">
      <c r="A27" s="2">
        <v>40330</v>
      </c>
      <c r="B27" s="11">
        <v>52.9</v>
      </c>
    </row>
    <row r="28" spans="1:2" x14ac:dyDescent="0.2">
      <c r="A28" s="2">
        <v>40360</v>
      </c>
      <c r="B28" s="11">
        <v>54.4</v>
      </c>
    </row>
    <row r="29" spans="1:2" x14ac:dyDescent="0.2">
      <c r="A29" s="2">
        <v>40391</v>
      </c>
      <c r="B29" s="11">
        <v>51.7</v>
      </c>
    </row>
    <row r="30" spans="1:2" x14ac:dyDescent="0.2">
      <c r="A30" s="2">
        <v>40422</v>
      </c>
      <c r="B30" s="11">
        <v>47.3</v>
      </c>
    </row>
    <row r="31" spans="1:2" x14ac:dyDescent="0.2">
      <c r="A31" s="2">
        <v>40452</v>
      </c>
      <c r="B31" s="11">
        <v>49.4</v>
      </c>
    </row>
    <row r="32" spans="1:2" x14ac:dyDescent="0.2">
      <c r="A32" s="2">
        <v>40483</v>
      </c>
      <c r="B32" s="11">
        <v>47.6</v>
      </c>
    </row>
    <row r="33" spans="1:2" x14ac:dyDescent="0.2">
      <c r="A33" s="2">
        <v>40513</v>
      </c>
      <c r="B33" s="11">
        <v>46.3</v>
      </c>
    </row>
    <row r="34" spans="1:2" x14ac:dyDescent="0.2">
      <c r="A34" s="2">
        <v>40544</v>
      </c>
      <c r="B34" s="11">
        <v>46.7</v>
      </c>
    </row>
    <row r="35" spans="1:2" x14ac:dyDescent="0.2">
      <c r="A35" s="2">
        <v>40575</v>
      </c>
      <c r="B35" s="11">
        <v>51.1</v>
      </c>
    </row>
    <row r="36" spans="1:2" x14ac:dyDescent="0.2">
      <c r="A36" s="2">
        <v>40603</v>
      </c>
      <c r="B36" s="11">
        <v>47.9</v>
      </c>
    </row>
    <row r="37" spans="1:2" x14ac:dyDescent="0.2">
      <c r="A37" s="2">
        <v>40634</v>
      </c>
      <c r="B37" s="11">
        <v>48.4</v>
      </c>
    </row>
    <row r="38" spans="1:2" x14ac:dyDescent="0.2">
      <c r="A38" s="2">
        <v>40664</v>
      </c>
      <c r="B38" s="11">
        <v>47.7</v>
      </c>
    </row>
    <row r="39" spans="1:2" x14ac:dyDescent="0.2">
      <c r="A39" s="2">
        <v>40695</v>
      </c>
      <c r="B39" s="11">
        <v>52.9</v>
      </c>
    </row>
    <row r="40" spans="1:2" x14ac:dyDescent="0.2">
      <c r="A40" s="2">
        <v>40725</v>
      </c>
      <c r="B40" s="11">
        <v>43.4</v>
      </c>
    </row>
    <row r="41" spans="1:2" x14ac:dyDescent="0.2">
      <c r="A41" s="2">
        <v>40756</v>
      </c>
      <c r="B41" s="11">
        <v>43.3</v>
      </c>
    </row>
    <row r="42" spans="1:2" x14ac:dyDescent="0.2">
      <c r="A42" s="2">
        <v>40787</v>
      </c>
      <c r="B42" s="11">
        <v>42.3</v>
      </c>
    </row>
    <row r="43" spans="1:2" x14ac:dyDescent="0.2">
      <c r="A43" s="2">
        <v>40817</v>
      </c>
      <c r="B43" s="11">
        <v>47.4</v>
      </c>
    </row>
    <row r="44" spans="1:2" x14ac:dyDescent="0.2">
      <c r="A44" s="2">
        <v>40848</v>
      </c>
      <c r="B44" s="11">
        <v>47.8</v>
      </c>
    </row>
    <row r="45" spans="1:2" x14ac:dyDescent="0.2">
      <c r="A45" s="2">
        <v>40878</v>
      </c>
      <c r="B45" s="11">
        <v>50.2</v>
      </c>
    </row>
    <row r="46" spans="1:2" x14ac:dyDescent="0.2">
      <c r="A46" s="2">
        <v>40909</v>
      </c>
      <c r="B46" s="11">
        <v>51.6</v>
      </c>
    </row>
    <row r="47" spans="1:2" x14ac:dyDescent="0.2">
      <c r="A47" s="2">
        <v>40940</v>
      </c>
      <c r="B47" s="11">
        <v>51.3</v>
      </c>
    </row>
    <row r="48" spans="1:2" x14ac:dyDescent="0.2">
      <c r="A48" s="2">
        <v>40969</v>
      </c>
      <c r="B48" s="11">
        <v>49.5</v>
      </c>
    </row>
    <row r="49" spans="1:2" x14ac:dyDescent="0.2">
      <c r="A49" s="2">
        <v>41000</v>
      </c>
      <c r="B49" s="11">
        <v>43.9</v>
      </c>
    </row>
    <row r="50" spans="1:2" x14ac:dyDescent="0.2">
      <c r="A50" s="2">
        <v>41030</v>
      </c>
      <c r="B50" s="11">
        <v>42.4</v>
      </c>
    </row>
    <row r="51" spans="1:2" x14ac:dyDescent="0.2">
      <c r="A51" s="2">
        <v>41061</v>
      </c>
      <c r="B51" s="11">
        <v>47.2</v>
      </c>
    </row>
    <row r="52" spans="1:2" x14ac:dyDescent="0.2">
      <c r="A52" s="2">
        <v>41091</v>
      </c>
      <c r="B52" s="11">
        <v>40.299999999999997</v>
      </c>
    </row>
    <row r="53" spans="1:2" x14ac:dyDescent="0.2">
      <c r="A53" s="2">
        <v>41122</v>
      </c>
      <c r="B53" s="11">
        <v>45.3</v>
      </c>
    </row>
    <row r="54" spans="1:2" x14ac:dyDescent="0.2">
      <c r="A54" s="2">
        <v>41153</v>
      </c>
      <c r="B54" s="11">
        <v>44.1</v>
      </c>
    </row>
    <row r="55" spans="1:2" x14ac:dyDescent="0.2">
      <c r="A55" s="2">
        <v>41183</v>
      </c>
      <c r="B55" s="11">
        <v>45.2</v>
      </c>
    </row>
    <row r="56" spans="1:2" x14ac:dyDescent="0.2">
      <c r="A56" s="2">
        <v>41214</v>
      </c>
      <c r="B56" s="11">
        <v>43.6</v>
      </c>
    </row>
    <row r="57" spans="1:2" x14ac:dyDescent="0.2">
      <c r="A57" s="2">
        <v>41244</v>
      </c>
      <c r="B57" s="11">
        <v>44.3</v>
      </c>
    </row>
    <row r="58" spans="1:2" x14ac:dyDescent="0.2">
      <c r="A58" s="2">
        <v>41275</v>
      </c>
      <c r="B58" s="11">
        <v>40.200000000000003</v>
      </c>
    </row>
    <row r="59" spans="1:2" x14ac:dyDescent="0.2">
      <c r="A59" s="2">
        <v>41306</v>
      </c>
      <c r="B59" s="11">
        <v>45.6</v>
      </c>
    </row>
    <row r="60" spans="1:2" x14ac:dyDescent="0.2">
      <c r="A60" s="2">
        <v>41334</v>
      </c>
      <c r="B60" s="11">
        <v>44.4</v>
      </c>
    </row>
    <row r="61" spans="1:2" x14ac:dyDescent="0.2">
      <c r="A61" s="2">
        <v>41365</v>
      </c>
      <c r="B61" s="11">
        <v>36.700000000000003</v>
      </c>
    </row>
    <row r="62" spans="1:2" x14ac:dyDescent="0.2">
      <c r="A62" s="2">
        <v>41395</v>
      </c>
      <c r="B62" s="11">
        <v>43.8</v>
      </c>
    </row>
    <row r="63" spans="1:2" x14ac:dyDescent="0.2">
      <c r="A63" s="2">
        <v>41426</v>
      </c>
      <c r="B63" s="11">
        <v>49.6</v>
      </c>
    </row>
    <row r="64" spans="1:2" x14ac:dyDescent="0.2">
      <c r="A64" s="2">
        <v>41456</v>
      </c>
      <c r="B64" s="11">
        <v>42</v>
      </c>
    </row>
    <row r="65" spans="1:2" x14ac:dyDescent="0.2">
      <c r="A65" s="2">
        <v>41487</v>
      </c>
      <c r="B65" s="11">
        <v>46.4</v>
      </c>
    </row>
    <row r="66" spans="1:2" x14ac:dyDescent="0.2">
      <c r="A66" s="2">
        <v>41518</v>
      </c>
      <c r="B66" s="11">
        <v>51.7</v>
      </c>
    </row>
    <row r="67" spans="1:2" x14ac:dyDescent="0.2">
      <c r="A67" s="2">
        <v>41548</v>
      </c>
      <c r="B67" s="11">
        <v>53.2</v>
      </c>
    </row>
    <row r="68" spans="1:2" x14ac:dyDescent="0.2">
      <c r="A68" s="2">
        <v>41579</v>
      </c>
      <c r="B68" s="11">
        <v>47.7</v>
      </c>
    </row>
    <row r="69" spans="1:2" x14ac:dyDescent="0.2">
      <c r="A69" s="2">
        <v>41609</v>
      </c>
      <c r="B69" s="11">
        <v>47.6</v>
      </c>
    </row>
    <row r="70" spans="1:2" x14ac:dyDescent="0.2">
      <c r="A70" s="2">
        <v>41640</v>
      </c>
      <c r="B70" s="11">
        <v>46.7</v>
      </c>
    </row>
    <row r="71" spans="1:2" x14ac:dyDescent="0.2">
      <c r="A71" s="2">
        <v>41671</v>
      </c>
      <c r="B71" s="11">
        <v>48.6</v>
      </c>
    </row>
    <row r="72" spans="1:2" x14ac:dyDescent="0.2">
      <c r="A72" s="2">
        <v>41699</v>
      </c>
      <c r="B72" s="11">
        <v>49.7</v>
      </c>
    </row>
    <row r="73" spans="1:2" x14ac:dyDescent="0.2">
      <c r="A73" s="2">
        <v>41730</v>
      </c>
      <c r="B73" s="11">
        <v>44.8</v>
      </c>
    </row>
    <row r="74" spans="1:2" x14ac:dyDescent="0.2">
      <c r="A74" s="2">
        <v>41760</v>
      </c>
      <c r="B74" s="11">
        <v>49.2</v>
      </c>
    </row>
    <row r="75" spans="1:2" x14ac:dyDescent="0.2">
      <c r="A75" s="2">
        <v>41791</v>
      </c>
      <c r="B75" s="11">
        <v>48.9</v>
      </c>
    </row>
    <row r="76" spans="1:2" x14ac:dyDescent="0.2">
      <c r="A76" s="2">
        <v>41821</v>
      </c>
      <c r="B76" s="11">
        <v>50.7</v>
      </c>
    </row>
    <row r="77" spans="1:2" x14ac:dyDescent="0.2">
      <c r="A77" s="2">
        <v>41852</v>
      </c>
      <c r="B77" s="11">
        <v>47.3</v>
      </c>
    </row>
    <row r="78" spans="1:2" x14ac:dyDescent="0.2">
      <c r="A78" s="2">
        <v>41883</v>
      </c>
      <c r="B78" s="11">
        <v>46.5</v>
      </c>
    </row>
    <row r="79" spans="1:2" x14ac:dyDescent="0.2">
      <c r="A79" s="2">
        <v>41913</v>
      </c>
      <c r="B79" s="11">
        <v>49.42</v>
      </c>
    </row>
    <row r="80" spans="1:2" x14ac:dyDescent="0.2">
      <c r="A80" s="2">
        <v>41944</v>
      </c>
      <c r="B80" s="11">
        <v>50.1</v>
      </c>
    </row>
    <row r="81" spans="1:2" x14ac:dyDescent="0.2">
      <c r="A81" s="2">
        <v>41974</v>
      </c>
      <c r="B81" s="11">
        <v>46.9</v>
      </c>
    </row>
    <row r="82" spans="1:2" x14ac:dyDescent="0.2">
      <c r="A82" s="2">
        <v>42005</v>
      </c>
      <c r="B82" s="11">
        <v>49</v>
      </c>
    </row>
    <row r="83" spans="1:2" x14ac:dyDescent="0.2">
      <c r="A83" s="2">
        <v>42036</v>
      </c>
      <c r="B83" s="11">
        <v>45.4</v>
      </c>
    </row>
    <row r="84" spans="1:2" x14ac:dyDescent="0.2">
      <c r="A84" s="2">
        <v>42064</v>
      </c>
      <c r="B84" s="11">
        <v>46.3</v>
      </c>
    </row>
    <row r="85" spans="1:2" x14ac:dyDescent="0.2">
      <c r="A85" s="2">
        <v>42095</v>
      </c>
      <c r="B85" s="11">
        <v>48</v>
      </c>
    </row>
    <row r="86" spans="1:2" x14ac:dyDescent="0.2">
      <c r="A86" s="2">
        <v>42125</v>
      </c>
      <c r="B86" s="11">
        <v>52.29</v>
      </c>
    </row>
    <row r="87" spans="1:2" x14ac:dyDescent="0.2">
      <c r="A87" s="2">
        <v>42156</v>
      </c>
      <c r="B87" s="11">
        <v>44.2</v>
      </c>
    </row>
    <row r="88" spans="1:2" x14ac:dyDescent="0.2">
      <c r="A88" s="2">
        <v>42186</v>
      </c>
      <c r="B88" s="11">
        <v>50.4</v>
      </c>
    </row>
    <row r="89" spans="1:2" x14ac:dyDescent="0.2">
      <c r="A89" s="2">
        <v>42217</v>
      </c>
      <c r="B89" s="11">
        <v>51.7</v>
      </c>
    </row>
    <row r="90" spans="1:2" x14ac:dyDescent="0.2">
      <c r="A90" s="2">
        <v>42248</v>
      </c>
      <c r="B90" s="11">
        <v>52.1</v>
      </c>
    </row>
    <row r="91" spans="1:2" x14ac:dyDescent="0.2">
      <c r="A91" s="2">
        <v>42278</v>
      </c>
      <c r="B91" s="11">
        <v>50.2</v>
      </c>
    </row>
    <row r="92" spans="1:2" x14ac:dyDescent="0.2">
      <c r="A92" s="2">
        <v>42309</v>
      </c>
      <c r="B92" s="11">
        <v>52.5</v>
      </c>
    </row>
    <row r="93" spans="1:2" x14ac:dyDescent="0.2">
      <c r="A93" s="2">
        <v>42339</v>
      </c>
      <c r="B93" s="11">
        <v>51.9</v>
      </c>
    </row>
    <row r="94" spans="1:2" x14ac:dyDescent="0.2">
      <c r="A94" s="2">
        <v>42370</v>
      </c>
      <c r="B94" s="11">
        <v>51.5</v>
      </c>
    </row>
    <row r="95" spans="1:2" x14ac:dyDescent="0.2">
      <c r="A95" s="2">
        <v>42401</v>
      </c>
      <c r="B95" s="11">
        <v>53.5</v>
      </c>
    </row>
    <row r="96" spans="1:2" x14ac:dyDescent="0.2">
      <c r="A96" s="2">
        <v>42430</v>
      </c>
      <c r="B96" s="11">
        <v>58.1</v>
      </c>
    </row>
    <row r="97" spans="1:2" x14ac:dyDescent="0.2">
      <c r="A97" s="2">
        <v>42461</v>
      </c>
      <c r="B97" s="11">
        <v>53.4</v>
      </c>
    </row>
    <row r="98" spans="1:2" x14ac:dyDescent="0.2">
      <c r="A98" s="2">
        <v>42491</v>
      </c>
      <c r="B98" s="11">
        <v>51</v>
      </c>
    </row>
    <row r="99" spans="1:2" x14ac:dyDescent="0.2">
      <c r="A99" s="2">
        <v>42522</v>
      </c>
      <c r="B99" s="11">
        <v>51.8</v>
      </c>
    </row>
    <row r="100" spans="1:2" x14ac:dyDescent="0.2">
      <c r="A100" s="2">
        <v>42552</v>
      </c>
      <c r="B100" s="11">
        <v>56.4</v>
      </c>
    </row>
    <row r="101" spans="1:2" x14ac:dyDescent="0.2">
      <c r="A101" s="2">
        <v>42583</v>
      </c>
      <c r="B101" s="11">
        <v>46.9</v>
      </c>
    </row>
    <row r="102" spans="1:2" x14ac:dyDescent="0.2">
      <c r="A102" s="2">
        <v>42614</v>
      </c>
      <c r="B102" s="11">
        <v>49.8</v>
      </c>
    </row>
    <row r="103" spans="1:2" x14ac:dyDescent="0.2">
      <c r="A103" s="2">
        <v>42644</v>
      </c>
      <c r="B103" s="11">
        <v>50.9</v>
      </c>
    </row>
    <row r="104" spans="1:2" x14ac:dyDescent="0.2">
      <c r="A104" s="2">
        <v>42675</v>
      </c>
      <c r="B104" s="11">
        <v>54.2</v>
      </c>
    </row>
    <row r="105" spans="1:2" x14ac:dyDescent="0.2">
      <c r="A105" s="2">
        <v>42705</v>
      </c>
      <c r="B105" s="11">
        <v>55.4</v>
      </c>
    </row>
    <row r="106" spans="1:2" x14ac:dyDescent="0.2">
      <c r="A106" s="2">
        <v>42736</v>
      </c>
      <c r="B106" s="11">
        <v>51.2</v>
      </c>
    </row>
    <row r="107" spans="1:2" x14ac:dyDescent="0.2">
      <c r="A107" s="2">
        <v>42767</v>
      </c>
      <c r="B107" s="11">
        <v>59.3</v>
      </c>
    </row>
    <row r="108" spans="1:2" x14ac:dyDescent="0.2">
      <c r="A108" s="2">
        <v>42795</v>
      </c>
      <c r="B108" s="11">
        <v>57.5</v>
      </c>
    </row>
    <row r="109" spans="1:2" x14ac:dyDescent="0.2">
      <c r="A109" s="2">
        <v>42826</v>
      </c>
      <c r="B109" s="11">
        <v>59.2</v>
      </c>
    </row>
    <row r="110" spans="1:2" x14ac:dyDescent="0.2">
      <c r="A110" s="2">
        <v>42856</v>
      </c>
      <c r="B110" s="11">
        <v>54.8</v>
      </c>
    </row>
    <row r="111" spans="1:2" x14ac:dyDescent="0.2">
      <c r="A111" s="2">
        <v>42887</v>
      </c>
      <c r="B111" s="11">
        <v>55</v>
      </c>
    </row>
    <row r="112" spans="1:2" x14ac:dyDescent="0.2">
      <c r="A112" s="2">
        <v>42917</v>
      </c>
      <c r="B112" s="11">
        <v>56</v>
      </c>
    </row>
    <row r="113" spans="1:2" x14ac:dyDescent="0.2">
      <c r="A113" s="2">
        <v>42948</v>
      </c>
      <c r="B113" s="11">
        <v>59.8</v>
      </c>
    </row>
    <row r="114" spans="1:2" x14ac:dyDescent="0.2">
      <c r="A114" s="2">
        <v>42979</v>
      </c>
      <c r="B114" s="11">
        <v>54.2</v>
      </c>
    </row>
    <row r="115" spans="1:2" x14ac:dyDescent="0.2">
      <c r="A115" s="2">
        <v>43009</v>
      </c>
      <c r="B115" s="11">
        <v>51.1</v>
      </c>
    </row>
    <row r="116" spans="1:2" x14ac:dyDescent="0.2">
      <c r="A116" s="2">
        <v>43040</v>
      </c>
      <c r="B116" s="11">
        <v>57.3</v>
      </c>
    </row>
    <row r="117" spans="1:2" x14ac:dyDescent="0.2">
      <c r="A117" s="2">
        <v>43070</v>
      </c>
      <c r="B117" s="11">
        <v>56.2</v>
      </c>
    </row>
    <row r="118" spans="1:2" x14ac:dyDescent="0.2">
      <c r="A118" s="2">
        <v>43101</v>
      </c>
      <c r="B118" s="11">
        <v>58.7</v>
      </c>
    </row>
    <row r="119" spans="1:2" x14ac:dyDescent="0.2">
      <c r="A119" s="2">
        <v>43132</v>
      </c>
      <c r="B119" s="11">
        <v>57.5</v>
      </c>
    </row>
    <row r="120" spans="1:2" x14ac:dyDescent="0.2">
      <c r="A120" s="2">
        <v>43160</v>
      </c>
      <c r="B120" s="11">
        <v>63.1</v>
      </c>
    </row>
    <row r="121" spans="1:2" x14ac:dyDescent="0.2">
      <c r="A121" s="2">
        <v>43191</v>
      </c>
      <c r="B121" s="11">
        <v>58.3</v>
      </c>
    </row>
    <row r="122" spans="1:2" x14ac:dyDescent="0.2">
      <c r="A122" s="2">
        <v>43221</v>
      </c>
      <c r="B122" s="11">
        <v>57.5</v>
      </c>
    </row>
    <row r="123" spans="1:2" x14ac:dyDescent="0.2">
      <c r="A123" s="2">
        <v>43252</v>
      </c>
      <c r="B123" s="11">
        <v>57.4</v>
      </c>
    </row>
    <row r="124" spans="1:2" x14ac:dyDescent="0.2">
      <c r="A124" s="2">
        <v>43282</v>
      </c>
      <c r="B124" s="11">
        <v>52</v>
      </c>
    </row>
    <row r="125" spans="1:2" x14ac:dyDescent="0.2">
      <c r="A125" s="2">
        <v>43313</v>
      </c>
      <c r="B125" s="11">
        <v>56.7</v>
      </c>
    </row>
    <row r="126" spans="1:2" x14ac:dyDescent="0.2">
      <c r="A126" s="2">
        <v>43344</v>
      </c>
      <c r="B126" s="11">
        <v>59</v>
      </c>
    </row>
    <row r="127" spans="1:2" x14ac:dyDescent="0.2">
      <c r="A127" s="2">
        <v>43374</v>
      </c>
      <c r="B127" s="11">
        <v>58.3</v>
      </c>
    </row>
    <row r="128" spans="1:2" x14ac:dyDescent="0.2">
      <c r="A128" s="2">
        <v>43405</v>
      </c>
      <c r="B128" s="11">
        <v>51.3</v>
      </c>
    </row>
    <row r="129" spans="1:2" x14ac:dyDescent="0.2">
      <c r="A129" s="2">
        <v>43435</v>
      </c>
      <c r="B129" s="11">
        <v>49.5</v>
      </c>
    </row>
    <row r="130" spans="1:2" x14ac:dyDescent="0.2">
      <c r="A130" s="2">
        <v>43466</v>
      </c>
      <c r="B130" s="11">
        <v>52.5</v>
      </c>
    </row>
    <row r="131" spans="1:2" x14ac:dyDescent="0.2">
      <c r="A131" s="2">
        <v>43497</v>
      </c>
      <c r="B131" s="11">
        <v>54</v>
      </c>
    </row>
    <row r="132" spans="1:2" x14ac:dyDescent="0.2">
      <c r="A132" s="2">
        <v>43525</v>
      </c>
      <c r="B132" s="11">
        <v>51</v>
      </c>
    </row>
    <row r="133" spans="1:2" x14ac:dyDescent="0.2">
      <c r="A133" s="2">
        <v>43556</v>
      </c>
      <c r="B133" s="11">
        <v>54.8</v>
      </c>
    </row>
    <row r="134" spans="1:2" x14ac:dyDescent="0.2">
      <c r="A134" s="2">
        <v>43586</v>
      </c>
      <c r="B134" s="11">
        <v>52.7</v>
      </c>
    </row>
    <row r="135" spans="1:2" x14ac:dyDescent="0.2">
      <c r="A135" s="2">
        <v>43617</v>
      </c>
      <c r="B135" s="11">
        <v>49.4</v>
      </c>
    </row>
    <row r="136" spans="1:2" x14ac:dyDescent="0.2">
      <c r="A136" s="2">
        <v>43647</v>
      </c>
      <c r="B136" s="11">
        <v>51.3</v>
      </c>
    </row>
    <row r="137" spans="1:2" x14ac:dyDescent="0.2">
      <c r="A137" s="2">
        <v>43678</v>
      </c>
      <c r="B137" s="11">
        <v>53.1</v>
      </c>
    </row>
    <row r="138" spans="1:2" x14ac:dyDescent="0.2">
      <c r="A138" s="2">
        <v>43709</v>
      </c>
      <c r="B138" s="11">
        <v>54.7</v>
      </c>
    </row>
    <row r="139" spans="1:2" x14ac:dyDescent="0.2">
      <c r="A139" s="2">
        <v>43739</v>
      </c>
      <c r="B139" s="11">
        <v>51.6</v>
      </c>
    </row>
    <row r="140" spans="1:2" x14ac:dyDescent="0.2">
      <c r="A140" s="2">
        <v>43770</v>
      </c>
      <c r="B140" s="11">
        <v>48.1</v>
      </c>
    </row>
    <row r="141" spans="1:2" x14ac:dyDescent="0.2">
      <c r="A141" s="2">
        <v>43800</v>
      </c>
      <c r="B141" s="11">
        <v>48.3</v>
      </c>
    </row>
    <row r="142" spans="1:2" x14ac:dyDescent="0.2">
      <c r="A142" s="2">
        <v>43831</v>
      </c>
      <c r="B142" s="11">
        <v>45.4</v>
      </c>
    </row>
    <row r="143" spans="1:2" x14ac:dyDescent="0.2">
      <c r="A143" s="2">
        <v>43862</v>
      </c>
      <c r="B143" s="11">
        <v>44.3</v>
      </c>
    </row>
    <row r="144" spans="1:2" x14ac:dyDescent="0.2">
      <c r="A144" s="2">
        <v>43891</v>
      </c>
      <c r="B144" s="11">
        <v>53.7</v>
      </c>
    </row>
    <row r="145" spans="1:2" x14ac:dyDescent="0.2">
      <c r="A145" s="2">
        <v>43922</v>
      </c>
      <c r="B145" s="11">
        <v>35.799999999999997</v>
      </c>
    </row>
    <row r="146" spans="1:2" x14ac:dyDescent="0.2">
      <c r="A146" s="2">
        <v>43952</v>
      </c>
      <c r="B146" s="11">
        <v>41.6</v>
      </c>
    </row>
    <row r="147" spans="1:2" x14ac:dyDescent="0.2">
      <c r="A147" s="2">
        <v>43983</v>
      </c>
      <c r="B147" s="11">
        <v>51.5</v>
      </c>
    </row>
    <row r="148" spans="1:2" x14ac:dyDescent="0.2">
      <c r="A148" s="2">
        <v>44013</v>
      </c>
      <c r="B148" s="11">
        <v>53.5</v>
      </c>
    </row>
    <row r="149" spans="1:2" x14ac:dyDescent="0.2">
      <c r="A149" s="2">
        <v>44044</v>
      </c>
      <c r="B149" s="11">
        <v>49.3</v>
      </c>
    </row>
    <row r="150" spans="1:2" x14ac:dyDescent="0.2">
      <c r="A150" s="2">
        <v>44075</v>
      </c>
      <c r="B150" s="11">
        <v>46.7</v>
      </c>
    </row>
    <row r="151" spans="1:2" x14ac:dyDescent="0.2">
      <c r="A151" s="2">
        <v>44105</v>
      </c>
      <c r="B151" s="11">
        <v>56.3</v>
      </c>
    </row>
    <row r="152" spans="1:2" x14ac:dyDescent="0.2">
      <c r="A152" s="2">
        <v>44136</v>
      </c>
      <c r="B152" s="11">
        <v>52.1</v>
      </c>
    </row>
    <row r="153" spans="1:2" x14ac:dyDescent="0.2">
      <c r="A153" s="2">
        <v>44166</v>
      </c>
      <c r="B153" s="11">
        <v>55.3</v>
      </c>
    </row>
    <row r="154" spans="1:2" x14ac:dyDescent="0.2">
      <c r="A154" s="2">
        <v>44197</v>
      </c>
      <c r="B154" s="11">
        <v>55.3</v>
      </c>
    </row>
    <row r="155" spans="1:2" x14ac:dyDescent="0.2">
      <c r="A155" s="2">
        <v>44228</v>
      </c>
      <c r="B155" s="11">
        <v>58.8</v>
      </c>
    </row>
    <row r="156" spans="1:2" x14ac:dyDescent="0.2">
      <c r="A156" s="2">
        <v>44256</v>
      </c>
      <c r="B156" s="11">
        <v>59.9</v>
      </c>
    </row>
    <row r="157" spans="1:2" x14ac:dyDescent="0.2">
      <c r="A157" s="2">
        <v>44287</v>
      </c>
      <c r="B157" s="11">
        <v>61.7</v>
      </c>
    </row>
    <row r="158" spans="1:2" x14ac:dyDescent="0.2">
      <c r="A158" s="2">
        <v>44317</v>
      </c>
      <c r="B158" s="11">
        <v>61.8</v>
      </c>
    </row>
    <row r="159" spans="1:2" x14ac:dyDescent="0.2">
      <c r="A159" s="2">
        <v>44348</v>
      </c>
      <c r="B159" s="11">
        <v>63.2</v>
      </c>
    </row>
    <row r="160" spans="1:2" x14ac:dyDescent="0.2">
      <c r="A160" s="2">
        <v>44378</v>
      </c>
      <c r="B160" s="11">
        <v>60.8</v>
      </c>
    </row>
    <row r="161" spans="1:2" x14ac:dyDescent="0.2">
      <c r="A161" s="2">
        <v>44409</v>
      </c>
      <c r="B161" s="11">
        <v>51.6</v>
      </c>
    </row>
    <row r="162" spans="1:2" x14ac:dyDescent="0.2">
      <c r="A162" s="2">
        <v>44440</v>
      </c>
      <c r="B162" s="11">
        <v>51.2</v>
      </c>
    </row>
    <row r="163" spans="1:2" x14ac:dyDescent="0.2">
      <c r="A163" s="2">
        <v>44470</v>
      </c>
      <c r="B163" s="11">
        <v>50.4</v>
      </c>
    </row>
    <row r="164" spans="1:2" x14ac:dyDescent="0.2">
      <c r="A164" s="2">
        <v>44501</v>
      </c>
      <c r="B164" s="11">
        <v>54.8</v>
      </c>
    </row>
  </sheetData>
  <conditionalFormatting sqref="B2:B16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B130"/>
  <sheetViews>
    <sheetView zoomScale="190" zoomScaleNormal="190" workbookViewId="0">
      <pane ySplit="1" topLeftCell="A2" activePane="bottomLeft" state="frozen"/>
      <selection pane="bottomLeft" activeCell="J103" sqref="J103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13</v>
      </c>
    </row>
    <row r="2" spans="1:2" x14ac:dyDescent="0.2">
      <c r="A2" s="6">
        <v>40634</v>
      </c>
      <c r="B2" s="7">
        <v>48.1</v>
      </c>
    </row>
    <row r="3" spans="1:2" x14ac:dyDescent="0.2">
      <c r="A3" s="2">
        <v>40664</v>
      </c>
      <c r="B3" s="11">
        <v>48</v>
      </c>
    </row>
    <row r="4" spans="1:2" x14ac:dyDescent="0.2">
      <c r="A4" s="2">
        <v>40695</v>
      </c>
      <c r="B4" s="11">
        <v>50.5</v>
      </c>
    </row>
    <row r="5" spans="1:2" x14ac:dyDescent="0.2">
      <c r="A5" s="2">
        <v>40725</v>
      </c>
      <c r="B5" s="11">
        <v>51</v>
      </c>
    </row>
    <row r="6" spans="1:2" x14ac:dyDescent="0.2">
      <c r="A6" s="2">
        <v>40756</v>
      </c>
      <c r="B6" s="11">
        <v>50.9</v>
      </c>
    </row>
    <row r="7" spans="1:2" x14ac:dyDescent="0.2">
      <c r="A7" s="2">
        <v>40787</v>
      </c>
      <c r="B7" s="11">
        <v>49.8</v>
      </c>
    </row>
    <row r="8" spans="1:2" x14ac:dyDescent="0.2">
      <c r="A8" s="2">
        <v>40817</v>
      </c>
      <c r="B8" s="11">
        <v>51.3</v>
      </c>
    </row>
    <row r="9" spans="1:2" x14ac:dyDescent="0.2">
      <c r="A9" s="2">
        <v>40848</v>
      </c>
      <c r="B9" s="11">
        <v>50.1</v>
      </c>
    </row>
    <row r="10" spans="1:2" x14ac:dyDescent="0.2">
      <c r="A10" s="2">
        <v>40878</v>
      </c>
      <c r="B10" s="11">
        <v>48.1</v>
      </c>
    </row>
    <row r="11" spans="1:2" x14ac:dyDescent="0.2">
      <c r="A11" s="2">
        <v>40909</v>
      </c>
      <c r="B11" s="11">
        <v>48.5</v>
      </c>
    </row>
    <row r="12" spans="1:2" x14ac:dyDescent="0.2">
      <c r="A12" s="2">
        <v>40940</v>
      </c>
      <c r="B12" s="11">
        <v>50.6</v>
      </c>
    </row>
    <row r="13" spans="1:2" x14ac:dyDescent="0.2">
      <c r="A13" s="2">
        <v>40969</v>
      </c>
      <c r="B13" s="11">
        <v>50.8</v>
      </c>
    </row>
    <row r="14" spans="1:2" x14ac:dyDescent="0.2">
      <c r="A14" s="2">
        <v>41000</v>
      </c>
      <c r="B14" s="11">
        <v>50.5</v>
      </c>
    </row>
    <row r="15" spans="1:2" x14ac:dyDescent="0.2">
      <c r="A15" s="2">
        <v>41030</v>
      </c>
      <c r="B15" s="11">
        <v>48.1</v>
      </c>
    </row>
    <row r="16" spans="1:2" x14ac:dyDescent="0.2">
      <c r="A16" s="2">
        <v>41061</v>
      </c>
      <c r="B16" s="11">
        <v>50.2</v>
      </c>
    </row>
    <row r="17" spans="1:2" x14ac:dyDescent="0.2">
      <c r="A17" s="2">
        <v>41091</v>
      </c>
      <c r="B17" s="11">
        <v>51.3</v>
      </c>
    </row>
    <row r="18" spans="1:2" x14ac:dyDescent="0.2">
      <c r="A18" s="2">
        <v>41122</v>
      </c>
      <c r="B18" s="11">
        <v>51.4</v>
      </c>
    </row>
    <row r="19" spans="1:2" x14ac:dyDescent="0.2">
      <c r="A19" s="2">
        <v>41153</v>
      </c>
      <c r="B19" s="11">
        <v>51.6</v>
      </c>
    </row>
    <row r="20" spans="1:2" x14ac:dyDescent="0.2">
      <c r="A20" s="2">
        <v>41183</v>
      </c>
      <c r="B20" s="11">
        <v>50.5</v>
      </c>
    </row>
    <row r="21" spans="1:2" x14ac:dyDescent="0.2">
      <c r="A21" s="2">
        <v>41214</v>
      </c>
      <c r="B21" s="11">
        <v>51.9</v>
      </c>
    </row>
    <row r="22" spans="1:2" x14ac:dyDescent="0.2">
      <c r="A22" s="2">
        <v>41244</v>
      </c>
      <c r="B22" s="11">
        <v>51.5</v>
      </c>
    </row>
    <row r="23" spans="1:2" x14ac:dyDescent="0.2">
      <c r="A23" s="2">
        <v>41275</v>
      </c>
      <c r="B23" s="11">
        <v>49.7</v>
      </c>
    </row>
    <row r="24" spans="1:2" x14ac:dyDescent="0.2">
      <c r="A24" s="2">
        <v>41306</v>
      </c>
      <c r="B24" s="11">
        <v>50.5</v>
      </c>
    </row>
    <row r="25" spans="1:2" x14ac:dyDescent="0.2">
      <c r="A25" s="2">
        <v>41334</v>
      </c>
      <c r="B25" s="11">
        <v>51.3</v>
      </c>
    </row>
    <row r="26" spans="1:2" x14ac:dyDescent="0.2">
      <c r="A26" s="2">
        <v>41365</v>
      </c>
      <c r="B26" s="11">
        <v>51.7</v>
      </c>
    </row>
    <row r="27" spans="1:2" x14ac:dyDescent="0.2">
      <c r="A27" s="2">
        <v>41395</v>
      </c>
      <c r="B27" s="11">
        <v>51.6</v>
      </c>
    </row>
    <row r="28" spans="1:2" x14ac:dyDescent="0.2">
      <c r="A28" s="2">
        <v>41426</v>
      </c>
      <c r="B28" s="11">
        <v>51</v>
      </c>
    </row>
    <row r="29" spans="1:2" x14ac:dyDescent="0.2">
      <c r="A29" s="2">
        <v>41456</v>
      </c>
      <c r="B29" s="11">
        <v>50.7</v>
      </c>
    </row>
    <row r="30" spans="1:2" x14ac:dyDescent="0.2">
      <c r="A30" s="2">
        <v>41487</v>
      </c>
      <c r="B30" s="11">
        <v>48.5</v>
      </c>
    </row>
    <row r="31" spans="1:2" x14ac:dyDescent="0.2">
      <c r="A31" s="2">
        <v>41518</v>
      </c>
      <c r="B31" s="11">
        <v>50.2</v>
      </c>
    </row>
    <row r="32" spans="1:2" x14ac:dyDescent="0.2">
      <c r="A32" s="2">
        <v>41548</v>
      </c>
      <c r="B32" s="11">
        <v>50.9</v>
      </c>
    </row>
    <row r="33" spans="1:2" x14ac:dyDescent="0.2">
      <c r="A33" s="2">
        <v>41579</v>
      </c>
      <c r="B33" s="11">
        <v>50.3</v>
      </c>
    </row>
    <row r="34" spans="1:2" x14ac:dyDescent="0.2">
      <c r="A34" s="2">
        <v>41609</v>
      </c>
      <c r="B34" s="11">
        <v>50.9</v>
      </c>
    </row>
    <row r="35" spans="1:2" x14ac:dyDescent="0.2">
      <c r="A35" s="2">
        <v>41640</v>
      </c>
      <c r="B35" s="11">
        <v>51</v>
      </c>
    </row>
    <row r="36" spans="1:2" x14ac:dyDescent="0.2">
      <c r="A36" s="2">
        <v>41671</v>
      </c>
      <c r="B36" s="11">
        <v>50.5</v>
      </c>
    </row>
    <row r="37" spans="1:2" x14ac:dyDescent="0.2">
      <c r="A37" s="2">
        <v>41699</v>
      </c>
      <c r="B37" s="11">
        <v>50.1</v>
      </c>
    </row>
    <row r="38" spans="1:2" x14ac:dyDescent="0.2">
      <c r="A38" s="2">
        <v>41730</v>
      </c>
      <c r="B38" s="11">
        <v>51.1</v>
      </c>
    </row>
    <row r="39" spans="1:2" x14ac:dyDescent="0.2">
      <c r="A39" s="2">
        <v>41760</v>
      </c>
      <c r="B39" s="11">
        <v>52.4</v>
      </c>
    </row>
    <row r="40" spans="1:2" x14ac:dyDescent="0.2">
      <c r="A40" s="2">
        <v>41791</v>
      </c>
      <c r="B40" s="11">
        <v>52.7</v>
      </c>
    </row>
    <row r="41" spans="1:2" x14ac:dyDescent="0.2">
      <c r="A41" s="2">
        <v>41821</v>
      </c>
      <c r="B41" s="11">
        <v>52.4</v>
      </c>
    </row>
    <row r="42" spans="1:2" x14ac:dyDescent="0.2">
      <c r="A42" s="2">
        <v>41852</v>
      </c>
      <c r="B42" s="11">
        <v>49.5</v>
      </c>
    </row>
    <row r="43" spans="1:2" x14ac:dyDescent="0.2">
      <c r="A43" s="2">
        <v>41883</v>
      </c>
      <c r="B43" s="11">
        <v>50.7</v>
      </c>
    </row>
    <row r="44" spans="1:2" x14ac:dyDescent="0.2">
      <c r="A44" s="2">
        <v>41913</v>
      </c>
      <c r="B44" s="11">
        <v>49.2</v>
      </c>
    </row>
    <row r="45" spans="1:2" x14ac:dyDescent="0.2">
      <c r="A45" s="2">
        <v>41944</v>
      </c>
      <c r="B45" s="11">
        <v>48</v>
      </c>
    </row>
    <row r="46" spans="1:2" x14ac:dyDescent="0.2">
      <c r="A46" s="2">
        <v>41974</v>
      </c>
      <c r="B46" s="11">
        <v>47.6</v>
      </c>
    </row>
    <row r="47" spans="1:2" x14ac:dyDescent="0.2">
      <c r="A47" s="2">
        <v>42005</v>
      </c>
      <c r="B47" s="11">
        <v>48.5</v>
      </c>
    </row>
    <row r="48" spans="1:2" x14ac:dyDescent="0.2">
      <c r="A48" s="2">
        <v>42036</v>
      </c>
      <c r="B48" s="11">
        <v>47.5</v>
      </c>
    </row>
    <row r="49" spans="1:2" x14ac:dyDescent="0.2">
      <c r="A49" s="2">
        <v>42064</v>
      </c>
      <c r="B49" s="11">
        <v>46.4</v>
      </c>
    </row>
    <row r="50" spans="1:2" x14ac:dyDescent="0.2">
      <c r="A50" s="2">
        <v>42095</v>
      </c>
      <c r="B50" s="11">
        <v>46.7</v>
      </c>
    </row>
    <row r="51" spans="1:2" x14ac:dyDescent="0.2">
      <c r="A51" s="2">
        <v>42125</v>
      </c>
      <c r="B51" s="11">
        <v>47.1</v>
      </c>
    </row>
    <row r="52" spans="1:2" x14ac:dyDescent="0.2">
      <c r="A52" s="2">
        <v>42156</v>
      </c>
      <c r="B52" s="11">
        <v>47.8</v>
      </c>
    </row>
    <row r="53" spans="1:2" x14ac:dyDescent="0.2">
      <c r="A53" s="2">
        <v>42186</v>
      </c>
      <c r="B53" s="11">
        <v>47.3</v>
      </c>
    </row>
    <row r="54" spans="1:2" x14ac:dyDescent="0.2">
      <c r="A54" s="2">
        <v>42217</v>
      </c>
      <c r="B54" s="11">
        <v>48.4</v>
      </c>
    </row>
    <row r="55" spans="1:2" x14ac:dyDescent="0.2">
      <c r="A55" s="2">
        <v>42248</v>
      </c>
      <c r="B55" s="11">
        <v>47.4</v>
      </c>
    </row>
    <row r="56" spans="1:2" x14ac:dyDescent="0.2">
      <c r="A56" s="2">
        <v>42278</v>
      </c>
      <c r="B56" s="11">
        <v>47.8</v>
      </c>
    </row>
    <row r="57" spans="1:2" x14ac:dyDescent="0.2">
      <c r="A57" s="2">
        <v>42309</v>
      </c>
      <c r="B57" s="11">
        <v>46.9</v>
      </c>
    </row>
    <row r="58" spans="1:2" x14ac:dyDescent="0.2">
      <c r="A58" s="2">
        <v>42339</v>
      </c>
      <c r="B58" s="11">
        <v>47.8</v>
      </c>
    </row>
    <row r="59" spans="1:2" x14ac:dyDescent="0.2">
      <c r="A59" s="2">
        <v>42370</v>
      </c>
      <c r="B59" s="11">
        <v>48.9</v>
      </c>
    </row>
    <row r="60" spans="1:2" x14ac:dyDescent="0.2">
      <c r="A60" s="2">
        <v>42401</v>
      </c>
      <c r="B60" s="11">
        <v>48.7</v>
      </c>
    </row>
    <row r="61" spans="1:2" x14ac:dyDescent="0.2">
      <c r="A61" s="2">
        <v>42430</v>
      </c>
      <c r="B61" s="11">
        <v>50.6</v>
      </c>
    </row>
    <row r="62" spans="1:2" x14ac:dyDescent="0.2">
      <c r="A62" s="2">
        <v>42461</v>
      </c>
      <c r="B62" s="11">
        <v>50.9</v>
      </c>
    </row>
    <row r="63" spans="1:2" x14ac:dyDescent="0.2">
      <c r="A63" s="2">
        <v>42491</v>
      </c>
      <c r="B63" s="11">
        <v>50.6</v>
      </c>
    </row>
    <row r="64" spans="1:2" x14ac:dyDescent="0.2">
      <c r="A64" s="2">
        <v>42522</v>
      </c>
      <c r="B64" s="11">
        <v>51.9</v>
      </c>
    </row>
    <row r="65" spans="1:2" x14ac:dyDescent="0.2">
      <c r="A65" s="2">
        <v>42552</v>
      </c>
      <c r="B65" s="11">
        <v>48.4</v>
      </c>
    </row>
    <row r="66" spans="1:2" x14ac:dyDescent="0.2">
      <c r="A66" s="2">
        <v>42583</v>
      </c>
      <c r="B66" s="11">
        <v>50.4</v>
      </c>
    </row>
    <row r="67" spans="1:2" x14ac:dyDescent="0.2">
      <c r="A67" s="2">
        <v>42614</v>
      </c>
      <c r="B67" s="11">
        <v>50.9</v>
      </c>
    </row>
    <row r="68" spans="1:2" x14ac:dyDescent="0.2">
      <c r="A68" s="2">
        <v>42644</v>
      </c>
      <c r="B68" s="11">
        <v>48.7</v>
      </c>
    </row>
    <row r="69" spans="1:2" x14ac:dyDescent="0.2">
      <c r="A69" s="2">
        <v>42675</v>
      </c>
      <c r="B69" s="11">
        <v>49.7</v>
      </c>
    </row>
    <row r="70" spans="1:2" x14ac:dyDescent="0.2">
      <c r="A70" s="2">
        <v>42705</v>
      </c>
      <c r="B70" s="11">
        <v>49</v>
      </c>
    </row>
    <row r="71" spans="1:2" x14ac:dyDescent="0.2">
      <c r="A71" s="2">
        <v>42736</v>
      </c>
      <c r="B71" s="11">
        <v>50.4</v>
      </c>
    </row>
    <row r="72" spans="1:2" x14ac:dyDescent="0.2">
      <c r="A72" s="2">
        <v>42767</v>
      </c>
      <c r="B72" s="11">
        <v>49.3</v>
      </c>
    </row>
    <row r="73" spans="1:2" x14ac:dyDescent="0.2">
      <c r="A73" s="2">
        <v>42795</v>
      </c>
      <c r="B73" s="11">
        <v>50.5</v>
      </c>
    </row>
    <row r="74" spans="1:2" x14ac:dyDescent="0.2">
      <c r="A74" s="2">
        <v>42826</v>
      </c>
      <c r="B74" s="11">
        <v>51.2</v>
      </c>
    </row>
    <row r="75" spans="1:2" x14ac:dyDescent="0.2">
      <c r="A75" s="2">
        <v>42856</v>
      </c>
      <c r="B75" s="11">
        <v>50.6</v>
      </c>
    </row>
    <row r="76" spans="1:2" x14ac:dyDescent="0.2">
      <c r="A76" s="2">
        <v>42887</v>
      </c>
      <c r="B76" s="11">
        <v>49.5</v>
      </c>
    </row>
    <row r="77" spans="1:2" x14ac:dyDescent="0.2">
      <c r="A77" s="2">
        <v>42917</v>
      </c>
      <c r="B77" s="11">
        <v>48.6</v>
      </c>
    </row>
    <row r="78" spans="1:2" x14ac:dyDescent="0.2">
      <c r="A78" s="2">
        <v>42948</v>
      </c>
      <c r="B78" s="11">
        <v>50.7</v>
      </c>
    </row>
    <row r="79" spans="1:2" x14ac:dyDescent="0.2">
      <c r="A79" s="2">
        <v>42979</v>
      </c>
      <c r="B79" s="11">
        <v>50.4</v>
      </c>
    </row>
    <row r="80" spans="1:2" x14ac:dyDescent="0.2">
      <c r="A80" s="2">
        <v>43009</v>
      </c>
      <c r="B80" s="11">
        <v>50.1</v>
      </c>
    </row>
    <row r="81" spans="1:2" x14ac:dyDescent="0.2">
      <c r="A81" s="2">
        <v>43040</v>
      </c>
      <c r="B81" s="11">
        <v>50.4</v>
      </c>
    </row>
    <row r="82" spans="1:2" x14ac:dyDescent="0.2">
      <c r="A82" s="2">
        <v>43070</v>
      </c>
      <c r="B82" s="11">
        <v>49.3</v>
      </c>
    </row>
    <row r="83" spans="1:2" x14ac:dyDescent="0.2">
      <c r="A83" s="2">
        <v>43101</v>
      </c>
      <c r="B83" s="11">
        <v>49.9</v>
      </c>
    </row>
    <row r="84" spans="1:2" x14ac:dyDescent="0.2">
      <c r="A84" s="2">
        <v>43132</v>
      </c>
      <c r="B84" s="11">
        <v>51.4</v>
      </c>
    </row>
    <row r="85" spans="1:2" x14ac:dyDescent="0.2">
      <c r="A85" s="2">
        <v>43160</v>
      </c>
      <c r="B85" s="11">
        <v>50.7</v>
      </c>
    </row>
    <row r="86" spans="1:2" x14ac:dyDescent="0.2">
      <c r="A86" s="2">
        <v>43191</v>
      </c>
      <c r="B86" s="11">
        <v>51.6</v>
      </c>
    </row>
    <row r="87" spans="1:2" x14ac:dyDescent="0.2">
      <c r="A87" s="2">
        <v>43221</v>
      </c>
      <c r="B87" s="11">
        <v>51.7</v>
      </c>
    </row>
    <row r="88" spans="1:2" x14ac:dyDescent="0.2">
      <c r="A88" s="2">
        <v>43252</v>
      </c>
      <c r="B88" s="11">
        <v>50.3</v>
      </c>
    </row>
    <row r="89" spans="1:2" x14ac:dyDescent="0.2">
      <c r="A89" s="2">
        <v>43282</v>
      </c>
      <c r="B89" s="11">
        <v>50.5</v>
      </c>
    </row>
    <row r="90" spans="1:2" x14ac:dyDescent="0.2">
      <c r="A90" s="2">
        <v>43313</v>
      </c>
      <c r="B90" s="11">
        <v>51.9</v>
      </c>
    </row>
    <row r="91" spans="1:2" x14ac:dyDescent="0.2">
      <c r="A91" s="2">
        <v>43344</v>
      </c>
      <c r="B91" s="11">
        <v>50.7</v>
      </c>
    </row>
    <row r="92" spans="1:2" x14ac:dyDescent="0.2">
      <c r="A92" s="2">
        <v>43374</v>
      </c>
      <c r="B92" s="11">
        <v>50.5</v>
      </c>
    </row>
    <row r="93" spans="1:2" x14ac:dyDescent="0.2">
      <c r="A93" s="2">
        <v>43405</v>
      </c>
      <c r="B93" s="11">
        <v>50.4</v>
      </c>
    </row>
    <row r="94" spans="1:2" x14ac:dyDescent="0.2">
      <c r="A94" s="2">
        <v>43435</v>
      </c>
      <c r="B94" s="11">
        <v>51.2</v>
      </c>
    </row>
    <row r="95" spans="1:2" x14ac:dyDescent="0.2">
      <c r="A95" s="2">
        <v>43466</v>
      </c>
      <c r="B95" s="11">
        <v>49.9</v>
      </c>
    </row>
    <row r="96" spans="1:2" x14ac:dyDescent="0.2">
      <c r="A96" s="2">
        <v>43497</v>
      </c>
      <c r="B96" s="11">
        <v>50.1</v>
      </c>
    </row>
    <row r="97" spans="1:2" x14ac:dyDescent="0.2">
      <c r="A97" s="2">
        <v>43525</v>
      </c>
      <c r="B97" s="11">
        <v>51.2</v>
      </c>
    </row>
    <row r="98" spans="1:2" x14ac:dyDescent="0.2">
      <c r="A98" s="2">
        <v>43556</v>
      </c>
      <c r="B98" s="11">
        <v>50.4</v>
      </c>
    </row>
    <row r="99" spans="1:2" x14ac:dyDescent="0.2">
      <c r="A99" s="2">
        <v>43586</v>
      </c>
      <c r="B99" s="11">
        <v>51.6</v>
      </c>
    </row>
    <row r="100" spans="1:2" x14ac:dyDescent="0.2">
      <c r="A100" s="2">
        <v>43617</v>
      </c>
      <c r="B100" s="11">
        <v>50.6</v>
      </c>
    </row>
    <row r="101" spans="1:2" x14ac:dyDescent="0.2">
      <c r="A101" s="2">
        <v>43647</v>
      </c>
      <c r="B101" s="11">
        <v>49.6</v>
      </c>
    </row>
    <row r="102" spans="1:2" x14ac:dyDescent="0.2">
      <c r="A102" s="2">
        <v>43678</v>
      </c>
      <c r="B102" s="11">
        <v>49</v>
      </c>
    </row>
    <row r="103" spans="1:2" x14ac:dyDescent="0.2">
      <c r="A103" s="2">
        <v>43709</v>
      </c>
      <c r="B103" s="11">
        <v>49.1</v>
      </c>
    </row>
    <row r="104" spans="1:2" x14ac:dyDescent="0.2">
      <c r="A104" s="2">
        <v>43739</v>
      </c>
      <c r="B104" s="11">
        <v>47.7</v>
      </c>
    </row>
    <row r="105" spans="1:2" x14ac:dyDescent="0.2">
      <c r="A105" s="2">
        <v>43770</v>
      </c>
      <c r="B105" s="11">
        <v>48.2</v>
      </c>
    </row>
    <row r="106" spans="1:2" x14ac:dyDescent="0.2">
      <c r="A106" s="2">
        <v>43800</v>
      </c>
      <c r="B106" s="11">
        <v>49.5</v>
      </c>
    </row>
    <row r="107" spans="1:2" x14ac:dyDescent="0.2">
      <c r="A107" s="2">
        <v>43831</v>
      </c>
      <c r="B107" s="11">
        <v>49.3</v>
      </c>
    </row>
    <row r="108" spans="1:2" x14ac:dyDescent="0.2">
      <c r="A108" s="2">
        <v>43862</v>
      </c>
      <c r="B108" s="11">
        <v>51.9</v>
      </c>
    </row>
    <row r="109" spans="1:2" x14ac:dyDescent="0.2">
      <c r="A109" s="2">
        <v>43891</v>
      </c>
      <c r="B109" s="11">
        <v>45.3</v>
      </c>
    </row>
    <row r="110" spans="1:2" x14ac:dyDescent="0.2">
      <c r="A110" s="2">
        <v>43922</v>
      </c>
      <c r="B110" s="11">
        <v>27.5</v>
      </c>
    </row>
    <row r="111" spans="1:2" x14ac:dyDescent="0.2">
      <c r="A111" s="2">
        <v>43952</v>
      </c>
      <c r="B111" s="11">
        <v>28.6</v>
      </c>
    </row>
    <row r="112" spans="1:2" x14ac:dyDescent="0.2">
      <c r="A112" s="2">
        <v>43983</v>
      </c>
      <c r="B112" s="11">
        <v>39.1</v>
      </c>
    </row>
    <row r="113" spans="1:2" x14ac:dyDescent="0.2">
      <c r="A113" s="2">
        <v>44013</v>
      </c>
      <c r="B113" s="11">
        <v>46.9</v>
      </c>
    </row>
    <row r="114" spans="1:2" x14ac:dyDescent="0.2">
      <c r="A114" s="2">
        <v>44044</v>
      </c>
      <c r="B114" s="11">
        <v>50.8</v>
      </c>
    </row>
    <row r="115" spans="1:2" x14ac:dyDescent="0.2">
      <c r="A115" s="2">
        <v>44075</v>
      </c>
      <c r="B115" s="11">
        <v>47.2</v>
      </c>
    </row>
    <row r="116" spans="1:2" x14ac:dyDescent="0.2">
      <c r="A116" s="2">
        <v>44105</v>
      </c>
      <c r="B116" s="11">
        <v>47.8</v>
      </c>
    </row>
    <row r="117" spans="1:2" x14ac:dyDescent="0.2">
      <c r="A117" s="2">
        <v>44136</v>
      </c>
      <c r="B117" s="11">
        <v>50.6</v>
      </c>
    </row>
    <row r="118" spans="1:2" x14ac:dyDescent="0.2">
      <c r="A118" s="2">
        <v>44166</v>
      </c>
      <c r="B118" s="11">
        <v>51.3</v>
      </c>
    </row>
    <row r="119" spans="1:2" x14ac:dyDescent="0.2">
      <c r="A119" s="2">
        <v>44197</v>
      </c>
      <c r="B119" s="11">
        <v>52.2</v>
      </c>
    </row>
    <row r="120" spans="1:2" x14ac:dyDescent="0.2">
      <c r="A120" s="2">
        <v>44228</v>
      </c>
      <c r="B120" s="11">
        <v>50.9</v>
      </c>
    </row>
    <row r="121" spans="1:2" x14ac:dyDescent="0.2">
      <c r="A121" s="2">
        <v>44256</v>
      </c>
      <c r="B121" s="11">
        <v>53.2</v>
      </c>
    </row>
    <row r="122" spans="1:2" x14ac:dyDescent="0.2">
      <c r="A122" s="2">
        <v>44287</v>
      </c>
      <c r="B122" s="11">
        <v>54.6</v>
      </c>
    </row>
    <row r="123" spans="1:2" x14ac:dyDescent="0.2">
      <c r="A123" s="2">
        <v>44317</v>
      </c>
      <c r="B123" s="11">
        <v>55.3</v>
      </c>
    </row>
    <row r="124" spans="1:2" x14ac:dyDescent="0.2">
      <c r="A124" s="2">
        <v>44348</v>
      </c>
      <c r="B124" s="11">
        <v>53.5</v>
      </c>
    </row>
    <row r="125" spans="1:2" x14ac:dyDescent="0.2">
      <c r="A125" s="2">
        <v>44378</v>
      </c>
      <c r="B125" s="11">
        <v>40.1</v>
      </c>
    </row>
    <row r="126" spans="1:2" x14ac:dyDescent="0.2">
      <c r="A126" s="2">
        <v>44409</v>
      </c>
      <c r="B126" s="11">
        <v>43.7</v>
      </c>
    </row>
    <row r="127" spans="1:2" x14ac:dyDescent="0.2">
      <c r="A127" s="2">
        <v>44440</v>
      </c>
      <c r="B127" s="11">
        <v>52.2</v>
      </c>
    </row>
    <row r="128" spans="1:2" x14ac:dyDescent="0.2">
      <c r="A128" s="2">
        <v>44470</v>
      </c>
      <c r="B128" s="11">
        <v>57.2</v>
      </c>
    </row>
    <row r="129" spans="1:2" x14ac:dyDescent="0.2">
      <c r="A129" s="2">
        <v>44501</v>
      </c>
      <c r="B129" s="11">
        <v>53.9</v>
      </c>
    </row>
    <row r="130" spans="1:2" x14ac:dyDescent="0.2">
      <c r="A130" s="2">
        <v>44531</v>
      </c>
      <c r="B130" s="11">
        <v>53.5</v>
      </c>
    </row>
  </sheetData>
  <conditionalFormatting sqref="B2:B13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B134"/>
  <sheetViews>
    <sheetView zoomScale="160" zoomScaleNormal="160" workbookViewId="0">
      <pane ySplit="1" topLeftCell="A2" activePane="bottomLeft" state="frozen"/>
      <selection pane="bottomLeft" activeCell="C1" sqref="C1:C1048576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23</v>
      </c>
    </row>
    <row r="2" spans="1:2" x14ac:dyDescent="0.2">
      <c r="A2" s="6">
        <v>40513</v>
      </c>
      <c r="B2" s="7">
        <v>53.9</v>
      </c>
    </row>
    <row r="3" spans="1:2" x14ac:dyDescent="0.2">
      <c r="A3" s="2">
        <v>40544</v>
      </c>
      <c r="B3" s="11">
        <v>53.5</v>
      </c>
    </row>
    <row r="4" spans="1:2" x14ac:dyDescent="0.2">
      <c r="A4" s="2">
        <v>40575</v>
      </c>
      <c r="B4" s="11">
        <v>53.4</v>
      </c>
    </row>
    <row r="5" spans="1:2" x14ac:dyDescent="0.2">
      <c r="A5" s="2">
        <v>40603</v>
      </c>
      <c r="B5" s="11">
        <v>52.8</v>
      </c>
    </row>
    <row r="6" spans="1:2" x14ac:dyDescent="0.2">
      <c r="A6" s="2">
        <v>40634</v>
      </c>
      <c r="B6" s="11">
        <v>51.7</v>
      </c>
    </row>
    <row r="7" spans="1:2" x14ac:dyDescent="0.2">
      <c r="A7" s="2">
        <v>40664</v>
      </c>
      <c r="B7" s="11">
        <v>51.2</v>
      </c>
    </row>
    <row r="8" spans="1:2" x14ac:dyDescent="0.2">
      <c r="A8" s="2">
        <v>40695</v>
      </c>
      <c r="B8" s="11">
        <v>51.2</v>
      </c>
    </row>
    <row r="9" spans="1:2" x14ac:dyDescent="0.2">
      <c r="A9" s="2">
        <v>40725</v>
      </c>
      <c r="B9" s="11">
        <v>51.1</v>
      </c>
    </row>
    <row r="10" spans="1:2" x14ac:dyDescent="0.2">
      <c r="A10" s="2">
        <v>40756</v>
      </c>
      <c r="B10" s="11">
        <v>51.3</v>
      </c>
    </row>
    <row r="11" spans="1:2" x14ac:dyDescent="0.2">
      <c r="A11" s="2">
        <v>40787</v>
      </c>
      <c r="B11" s="11">
        <v>49.7</v>
      </c>
    </row>
    <row r="12" spans="1:2" x14ac:dyDescent="0.2">
      <c r="A12" s="2">
        <v>40817</v>
      </c>
      <c r="B12" s="11">
        <v>47.4</v>
      </c>
    </row>
    <row r="13" spans="1:2" x14ac:dyDescent="0.2">
      <c r="A13" s="2">
        <v>40848</v>
      </c>
      <c r="B13" s="11">
        <v>48</v>
      </c>
    </row>
    <row r="14" spans="1:2" x14ac:dyDescent="0.2">
      <c r="A14" s="2">
        <v>40878</v>
      </c>
      <c r="B14" s="11">
        <v>47.1</v>
      </c>
    </row>
    <row r="15" spans="1:2" x14ac:dyDescent="0.2">
      <c r="A15" s="2">
        <v>40909</v>
      </c>
      <c r="B15" s="11">
        <v>49.2</v>
      </c>
    </row>
    <row r="16" spans="1:2" x14ac:dyDescent="0.2">
      <c r="A16" s="2">
        <v>40940</v>
      </c>
      <c r="B16" s="11">
        <v>50.7</v>
      </c>
    </row>
    <row r="17" spans="1:2" x14ac:dyDescent="0.2">
      <c r="A17" s="2">
        <v>40969</v>
      </c>
      <c r="B17" s="11">
        <v>52</v>
      </c>
    </row>
    <row r="18" spans="1:2" x14ac:dyDescent="0.2">
      <c r="A18" s="2">
        <v>41000</v>
      </c>
      <c r="B18" s="11">
        <v>51.9</v>
      </c>
    </row>
    <row r="19" spans="1:2" x14ac:dyDescent="0.2">
      <c r="A19" s="2">
        <v>41030</v>
      </c>
      <c r="B19" s="11">
        <v>51</v>
      </c>
    </row>
    <row r="20" spans="1:2" x14ac:dyDescent="0.2">
      <c r="A20" s="2">
        <v>41061</v>
      </c>
      <c r="B20" s="11">
        <v>49.4</v>
      </c>
    </row>
    <row r="21" spans="1:2" x14ac:dyDescent="0.2">
      <c r="A21" s="2">
        <v>41091</v>
      </c>
      <c r="B21" s="11">
        <v>47.2</v>
      </c>
    </row>
    <row r="22" spans="1:2" x14ac:dyDescent="0.2">
      <c r="A22" s="2">
        <v>41122</v>
      </c>
      <c r="B22" s="11">
        <v>47.5</v>
      </c>
    </row>
    <row r="23" spans="1:2" x14ac:dyDescent="0.2">
      <c r="A23" s="2">
        <v>41153</v>
      </c>
      <c r="B23" s="11">
        <v>45.7</v>
      </c>
    </row>
    <row r="24" spans="1:2" x14ac:dyDescent="0.2">
      <c r="A24" s="2">
        <v>41183</v>
      </c>
      <c r="B24" s="11">
        <v>47.4</v>
      </c>
    </row>
    <row r="25" spans="1:2" x14ac:dyDescent="0.2">
      <c r="A25" s="2">
        <v>41214</v>
      </c>
      <c r="B25" s="11">
        <v>48.2</v>
      </c>
    </row>
    <row r="26" spans="1:2" x14ac:dyDescent="0.2">
      <c r="A26" s="2">
        <v>41244</v>
      </c>
      <c r="B26" s="11">
        <v>50.1</v>
      </c>
    </row>
    <row r="27" spans="1:2" x14ac:dyDescent="0.2">
      <c r="A27" s="2">
        <v>41275</v>
      </c>
      <c r="B27" s="11">
        <v>49.9</v>
      </c>
    </row>
    <row r="28" spans="1:2" x14ac:dyDescent="0.2">
      <c r="A28" s="2">
        <v>41306</v>
      </c>
      <c r="B28" s="11">
        <v>50.9</v>
      </c>
    </row>
    <row r="29" spans="1:2" x14ac:dyDescent="0.2">
      <c r="A29" s="2">
        <v>41334</v>
      </c>
      <c r="B29" s="11">
        <v>52</v>
      </c>
    </row>
    <row r="30" spans="1:2" x14ac:dyDescent="0.2">
      <c r="A30" s="2">
        <v>41365</v>
      </c>
      <c r="B30" s="11">
        <v>52.6</v>
      </c>
    </row>
    <row r="31" spans="1:2" x14ac:dyDescent="0.2">
      <c r="A31" s="2">
        <v>41395</v>
      </c>
      <c r="B31" s="11">
        <v>51.1</v>
      </c>
    </row>
    <row r="32" spans="1:2" x14ac:dyDescent="0.2">
      <c r="A32" s="2">
        <v>41426</v>
      </c>
      <c r="B32" s="11">
        <v>49.4</v>
      </c>
    </row>
    <row r="33" spans="1:2" x14ac:dyDescent="0.2">
      <c r="A33" s="2">
        <v>41456</v>
      </c>
      <c r="B33" s="11">
        <v>47.2</v>
      </c>
    </row>
    <row r="34" spans="1:2" x14ac:dyDescent="0.2">
      <c r="A34" s="2">
        <v>41487</v>
      </c>
      <c r="B34" s="11">
        <v>47.5</v>
      </c>
    </row>
    <row r="35" spans="1:2" x14ac:dyDescent="0.2">
      <c r="A35" s="2">
        <v>41518</v>
      </c>
      <c r="B35" s="11">
        <v>49.7</v>
      </c>
    </row>
    <row r="36" spans="1:2" x14ac:dyDescent="0.2">
      <c r="A36" s="2">
        <v>41548</v>
      </c>
      <c r="B36" s="11">
        <v>50.2</v>
      </c>
    </row>
    <row r="37" spans="1:2" x14ac:dyDescent="0.2">
      <c r="A37" s="2">
        <v>41579</v>
      </c>
      <c r="B37" s="11">
        <v>50.4</v>
      </c>
    </row>
    <row r="38" spans="1:2" x14ac:dyDescent="0.2">
      <c r="A38" s="2">
        <v>41609</v>
      </c>
      <c r="B38" s="11">
        <v>50.8</v>
      </c>
    </row>
    <row r="39" spans="1:2" x14ac:dyDescent="0.2">
      <c r="A39" s="2">
        <v>41640</v>
      </c>
      <c r="B39" s="11">
        <v>50.9</v>
      </c>
    </row>
    <row r="40" spans="1:2" x14ac:dyDescent="0.2">
      <c r="A40" s="2">
        <v>41671</v>
      </c>
      <c r="B40" s="11">
        <v>49.8</v>
      </c>
    </row>
    <row r="41" spans="1:2" x14ac:dyDescent="0.2">
      <c r="A41" s="2">
        <v>41699</v>
      </c>
      <c r="B41" s="11">
        <v>50.4</v>
      </c>
    </row>
    <row r="42" spans="1:2" x14ac:dyDescent="0.2">
      <c r="A42" s="2">
        <v>41730</v>
      </c>
      <c r="B42" s="11">
        <v>50.2</v>
      </c>
    </row>
    <row r="43" spans="1:2" x14ac:dyDescent="0.2">
      <c r="A43" s="2">
        <v>41760</v>
      </c>
      <c r="B43" s="11">
        <v>49.5</v>
      </c>
    </row>
    <row r="44" spans="1:2" x14ac:dyDescent="0.2">
      <c r="A44" s="2">
        <v>41791</v>
      </c>
      <c r="B44" s="11">
        <v>48.4</v>
      </c>
    </row>
    <row r="45" spans="1:2" x14ac:dyDescent="0.2">
      <c r="A45" s="2">
        <v>41821</v>
      </c>
      <c r="B45" s="11">
        <v>48.506666666666703</v>
      </c>
    </row>
    <row r="46" spans="1:2" x14ac:dyDescent="0.2">
      <c r="A46" s="2">
        <v>41852</v>
      </c>
      <c r="B46" s="11">
        <v>50.3</v>
      </c>
    </row>
    <row r="47" spans="1:2" x14ac:dyDescent="0.2">
      <c r="A47" s="2">
        <v>41883</v>
      </c>
      <c r="B47" s="11">
        <v>48.8</v>
      </c>
    </row>
    <row r="48" spans="1:2" x14ac:dyDescent="0.2">
      <c r="A48" s="2">
        <v>41913</v>
      </c>
      <c r="B48" s="11">
        <v>48.7</v>
      </c>
    </row>
    <row r="49" spans="1:2" x14ac:dyDescent="0.2">
      <c r="A49" s="2">
        <v>41944</v>
      </c>
      <c r="B49" s="11">
        <v>49</v>
      </c>
    </row>
    <row r="50" spans="1:2" x14ac:dyDescent="0.2">
      <c r="A50" s="2">
        <v>41974</v>
      </c>
      <c r="B50" s="11">
        <v>49.9</v>
      </c>
    </row>
    <row r="51" spans="1:2" x14ac:dyDescent="0.2">
      <c r="A51" s="2">
        <v>42005</v>
      </c>
      <c r="B51" s="11">
        <v>51.1</v>
      </c>
    </row>
    <row r="52" spans="1:2" x14ac:dyDescent="0.2">
      <c r="A52" s="2">
        <v>42036</v>
      </c>
      <c r="B52" s="11">
        <v>51.1</v>
      </c>
    </row>
    <row r="53" spans="1:2" x14ac:dyDescent="0.2">
      <c r="A53" s="2">
        <v>42064</v>
      </c>
      <c r="B53" s="11">
        <v>49.2</v>
      </c>
    </row>
    <row r="54" spans="1:2" x14ac:dyDescent="0.2">
      <c r="A54" s="2">
        <v>42095</v>
      </c>
      <c r="B54" s="11">
        <v>48.8</v>
      </c>
    </row>
    <row r="55" spans="1:2" x14ac:dyDescent="0.2">
      <c r="A55" s="2">
        <v>42125</v>
      </c>
      <c r="B55" s="11">
        <v>47.8</v>
      </c>
    </row>
    <row r="56" spans="1:2" x14ac:dyDescent="0.2">
      <c r="A56" s="2">
        <v>42156</v>
      </c>
      <c r="B56" s="11">
        <v>46.1</v>
      </c>
    </row>
    <row r="57" spans="1:2" x14ac:dyDescent="0.2">
      <c r="A57" s="2">
        <v>42186</v>
      </c>
      <c r="B57" s="11">
        <v>47.6</v>
      </c>
    </row>
    <row r="58" spans="1:2" x14ac:dyDescent="0.2">
      <c r="A58" s="2">
        <v>42217</v>
      </c>
      <c r="B58" s="11">
        <v>47.9</v>
      </c>
    </row>
    <row r="59" spans="1:2" x14ac:dyDescent="0.2">
      <c r="A59" s="2">
        <v>42248</v>
      </c>
      <c r="B59" s="11">
        <v>49.2</v>
      </c>
    </row>
    <row r="60" spans="1:2" x14ac:dyDescent="0.2">
      <c r="A60" s="2">
        <v>42278</v>
      </c>
      <c r="B60" s="11">
        <v>49.1</v>
      </c>
    </row>
    <row r="61" spans="1:2" x14ac:dyDescent="0.2">
      <c r="A61" s="2">
        <v>42309</v>
      </c>
      <c r="B61" s="11">
        <v>49.1</v>
      </c>
    </row>
    <row r="62" spans="1:2" x14ac:dyDescent="0.2">
      <c r="A62" s="2">
        <v>42339</v>
      </c>
      <c r="B62" s="11">
        <v>50.7</v>
      </c>
    </row>
    <row r="63" spans="1:2" x14ac:dyDescent="0.2">
      <c r="A63" s="2">
        <v>42370</v>
      </c>
      <c r="B63" s="11">
        <v>49.5</v>
      </c>
    </row>
    <row r="64" spans="1:2" x14ac:dyDescent="0.2">
      <c r="A64" s="2">
        <v>42401</v>
      </c>
      <c r="B64" s="11">
        <v>48.7</v>
      </c>
    </row>
    <row r="65" spans="1:2" x14ac:dyDescent="0.2">
      <c r="A65" s="2">
        <v>42430</v>
      </c>
      <c r="B65" s="11">
        <v>49.5</v>
      </c>
    </row>
    <row r="66" spans="1:2" x14ac:dyDescent="0.2">
      <c r="A66" s="2">
        <v>42461</v>
      </c>
      <c r="B66" s="11">
        <v>50</v>
      </c>
    </row>
    <row r="67" spans="1:2" x14ac:dyDescent="0.2">
      <c r="A67" s="2">
        <v>42491</v>
      </c>
      <c r="B67" s="11">
        <v>50.1</v>
      </c>
    </row>
    <row r="68" spans="1:2" x14ac:dyDescent="0.2">
      <c r="A68" s="2">
        <v>42522</v>
      </c>
      <c r="B68" s="11">
        <v>50.5</v>
      </c>
    </row>
    <row r="69" spans="1:2" x14ac:dyDescent="0.2">
      <c r="A69" s="2">
        <v>42552</v>
      </c>
      <c r="B69" s="11">
        <v>50.1</v>
      </c>
    </row>
    <row r="70" spans="1:2" x14ac:dyDescent="0.2">
      <c r="A70" s="2">
        <v>42583</v>
      </c>
      <c r="B70" s="11">
        <v>48.6</v>
      </c>
    </row>
    <row r="71" spans="1:2" x14ac:dyDescent="0.2">
      <c r="A71" s="2">
        <v>42614</v>
      </c>
      <c r="B71" s="11">
        <v>47.6</v>
      </c>
    </row>
    <row r="72" spans="1:2" x14ac:dyDescent="0.2">
      <c r="A72" s="2">
        <v>42644</v>
      </c>
      <c r="B72" s="11">
        <v>48</v>
      </c>
    </row>
    <row r="73" spans="1:2" x14ac:dyDescent="0.2">
      <c r="A73" s="2">
        <v>42675</v>
      </c>
      <c r="B73" s="11">
        <v>48</v>
      </c>
    </row>
    <row r="74" spans="1:2" x14ac:dyDescent="0.2">
      <c r="A74" s="2">
        <v>42705</v>
      </c>
      <c r="B74" s="11">
        <v>49.4</v>
      </c>
    </row>
    <row r="75" spans="1:2" x14ac:dyDescent="0.2">
      <c r="A75" s="2">
        <v>42736</v>
      </c>
      <c r="B75" s="11">
        <v>49</v>
      </c>
    </row>
    <row r="76" spans="1:2" x14ac:dyDescent="0.2">
      <c r="A76" s="2">
        <v>42767</v>
      </c>
      <c r="B76" s="11">
        <v>49.2</v>
      </c>
    </row>
    <row r="77" spans="1:2" x14ac:dyDescent="0.2">
      <c r="A77" s="2">
        <v>42795</v>
      </c>
      <c r="B77" s="11">
        <v>48.4</v>
      </c>
    </row>
    <row r="78" spans="1:2" x14ac:dyDescent="0.2">
      <c r="A78" s="2">
        <v>42826</v>
      </c>
      <c r="B78" s="11">
        <v>49.4</v>
      </c>
    </row>
    <row r="79" spans="1:2" x14ac:dyDescent="0.2">
      <c r="A79" s="2">
        <v>42856</v>
      </c>
      <c r="B79" s="11">
        <v>49.2</v>
      </c>
    </row>
    <row r="80" spans="1:2" x14ac:dyDescent="0.2">
      <c r="A80" s="2">
        <v>42887</v>
      </c>
      <c r="B80" s="11">
        <v>50.1</v>
      </c>
    </row>
    <row r="81" spans="1:2" x14ac:dyDescent="0.2">
      <c r="A81" s="2">
        <v>42917</v>
      </c>
      <c r="B81" s="11">
        <v>49.1</v>
      </c>
    </row>
    <row r="82" spans="1:2" x14ac:dyDescent="0.2">
      <c r="A82" s="2">
        <v>42948</v>
      </c>
      <c r="B82" s="11">
        <v>49.9</v>
      </c>
    </row>
    <row r="83" spans="1:2" x14ac:dyDescent="0.2">
      <c r="A83" s="2">
        <v>42979</v>
      </c>
      <c r="B83" s="11">
        <v>50.6</v>
      </c>
    </row>
    <row r="84" spans="1:2" x14ac:dyDescent="0.2">
      <c r="A84" s="2">
        <v>43009</v>
      </c>
      <c r="B84" s="11">
        <v>50.2</v>
      </c>
    </row>
    <row r="85" spans="1:2" x14ac:dyDescent="0.2">
      <c r="A85" s="2">
        <v>43040</v>
      </c>
      <c r="B85" s="11">
        <v>51.2</v>
      </c>
    </row>
    <row r="86" spans="1:2" x14ac:dyDescent="0.2">
      <c r="A86" s="2">
        <v>43070</v>
      </c>
      <c r="B86" s="11">
        <v>49.9</v>
      </c>
    </row>
    <row r="87" spans="1:2" x14ac:dyDescent="0.2">
      <c r="A87" s="2">
        <v>43101</v>
      </c>
      <c r="B87" s="11">
        <v>50.7</v>
      </c>
    </row>
    <row r="88" spans="1:2" x14ac:dyDescent="0.2">
      <c r="A88" s="2">
        <v>43132</v>
      </c>
      <c r="B88" s="11">
        <v>50.3</v>
      </c>
    </row>
    <row r="89" spans="1:2" x14ac:dyDescent="0.2">
      <c r="A89" s="2">
        <v>43160</v>
      </c>
      <c r="B89" s="11">
        <v>49.1</v>
      </c>
    </row>
    <row r="90" spans="1:2" x14ac:dyDescent="0.2">
      <c r="A90" s="2">
        <v>43191</v>
      </c>
      <c r="B90" s="11">
        <v>48.4</v>
      </c>
    </row>
    <row r="91" spans="1:2" x14ac:dyDescent="0.2">
      <c r="A91" s="2">
        <v>43221</v>
      </c>
      <c r="B91" s="11">
        <v>48.9</v>
      </c>
    </row>
    <row r="92" spans="1:2" x14ac:dyDescent="0.2">
      <c r="A92" s="2">
        <v>43252</v>
      </c>
      <c r="B92" s="11">
        <v>49.8</v>
      </c>
    </row>
    <row r="93" spans="1:2" x14ac:dyDescent="0.2">
      <c r="A93" s="2">
        <v>43282</v>
      </c>
      <c r="B93" s="11">
        <v>48.3</v>
      </c>
    </row>
    <row r="94" spans="1:2" x14ac:dyDescent="0.2">
      <c r="A94" s="2">
        <v>43313</v>
      </c>
      <c r="B94" s="11">
        <v>49.9</v>
      </c>
    </row>
    <row r="95" spans="1:2" x14ac:dyDescent="0.2">
      <c r="A95" s="2">
        <v>43344</v>
      </c>
      <c r="B95" s="11">
        <v>51.3</v>
      </c>
    </row>
    <row r="96" spans="1:2" x14ac:dyDescent="0.2">
      <c r="A96" s="2">
        <v>43374</v>
      </c>
      <c r="B96" s="11">
        <v>51</v>
      </c>
    </row>
    <row r="97" spans="1:2" x14ac:dyDescent="0.2">
      <c r="A97" s="2">
        <v>43405</v>
      </c>
      <c r="B97" s="11">
        <v>48.6</v>
      </c>
    </row>
    <row r="98" spans="1:2" x14ac:dyDescent="0.2">
      <c r="A98" s="2">
        <v>43435</v>
      </c>
      <c r="B98" s="11">
        <v>49.8</v>
      </c>
    </row>
    <row r="99" spans="1:2" x14ac:dyDescent="0.2">
      <c r="A99" s="2">
        <v>43466</v>
      </c>
      <c r="B99" s="11">
        <v>48.3</v>
      </c>
    </row>
    <row r="100" spans="1:2" x14ac:dyDescent="0.2">
      <c r="A100" s="2">
        <v>43497</v>
      </c>
      <c r="B100" s="11">
        <v>47.2</v>
      </c>
    </row>
    <row r="101" spans="1:2" x14ac:dyDescent="0.2">
      <c r="A101" s="2">
        <v>43525</v>
      </c>
      <c r="B101" s="11">
        <v>48.8</v>
      </c>
    </row>
    <row r="102" spans="1:2" x14ac:dyDescent="0.2">
      <c r="A102" s="2">
        <v>43556</v>
      </c>
      <c r="B102" s="11">
        <v>50.2</v>
      </c>
    </row>
    <row r="103" spans="1:2" x14ac:dyDescent="0.2">
      <c r="A103" s="2">
        <v>43586</v>
      </c>
      <c r="B103" s="11">
        <v>48.4</v>
      </c>
    </row>
    <row r="104" spans="1:2" x14ac:dyDescent="0.2">
      <c r="A104" s="2">
        <v>43617</v>
      </c>
      <c r="B104" s="11">
        <v>47.5</v>
      </c>
    </row>
    <row r="105" spans="1:2" x14ac:dyDescent="0.2">
      <c r="A105" s="2">
        <v>43647</v>
      </c>
      <c r="B105" s="11">
        <v>47.3</v>
      </c>
    </row>
    <row r="106" spans="1:2" x14ac:dyDescent="0.2">
      <c r="A106" s="2">
        <v>43678</v>
      </c>
      <c r="B106" s="11">
        <v>49</v>
      </c>
    </row>
    <row r="107" spans="1:2" x14ac:dyDescent="0.2">
      <c r="A107" s="2">
        <v>43709</v>
      </c>
      <c r="B107" s="11">
        <v>48</v>
      </c>
    </row>
    <row r="108" spans="1:2" x14ac:dyDescent="0.2">
      <c r="A108" s="2">
        <v>43739</v>
      </c>
      <c r="B108" s="11">
        <v>48.4</v>
      </c>
    </row>
    <row r="109" spans="1:2" x14ac:dyDescent="0.2">
      <c r="A109" s="2">
        <v>43770</v>
      </c>
      <c r="B109" s="11">
        <v>49.4</v>
      </c>
    </row>
    <row r="110" spans="1:2" x14ac:dyDescent="0.2">
      <c r="A110" s="2">
        <v>43800</v>
      </c>
      <c r="B110" s="11">
        <v>50.1</v>
      </c>
    </row>
    <row r="111" spans="1:2" x14ac:dyDescent="0.2">
      <c r="A111" s="2">
        <v>43831</v>
      </c>
      <c r="B111" s="11">
        <v>49.8</v>
      </c>
    </row>
    <row r="112" spans="1:2" x14ac:dyDescent="0.2">
      <c r="A112" s="2">
        <v>43862</v>
      </c>
      <c r="B112" s="11">
        <v>48.7</v>
      </c>
    </row>
    <row r="113" spans="1:2" x14ac:dyDescent="0.2">
      <c r="A113" s="2">
        <v>43891</v>
      </c>
      <c r="B113" s="11">
        <v>44.2</v>
      </c>
    </row>
    <row r="114" spans="1:2" x14ac:dyDescent="0.2">
      <c r="A114" s="2">
        <v>43922</v>
      </c>
      <c r="B114" s="11">
        <v>41.6</v>
      </c>
    </row>
    <row r="115" spans="1:2" x14ac:dyDescent="0.2">
      <c r="A115" s="2">
        <v>43952</v>
      </c>
      <c r="B115" s="11">
        <v>41.3</v>
      </c>
    </row>
    <row r="116" spans="1:2" x14ac:dyDescent="0.2">
      <c r="A116" s="2">
        <v>43983</v>
      </c>
      <c r="B116" s="11">
        <v>43.4</v>
      </c>
    </row>
    <row r="117" spans="1:2" x14ac:dyDescent="0.2">
      <c r="A117" s="2">
        <v>44013</v>
      </c>
      <c r="B117" s="11">
        <v>46.9</v>
      </c>
    </row>
    <row r="118" spans="1:2" x14ac:dyDescent="0.2">
      <c r="A118" s="2">
        <v>44044</v>
      </c>
      <c r="B118" s="11">
        <v>48.5</v>
      </c>
    </row>
    <row r="119" spans="1:2" x14ac:dyDescent="0.2">
      <c r="A119" s="2">
        <v>44075</v>
      </c>
      <c r="B119" s="11">
        <v>49.8</v>
      </c>
    </row>
    <row r="120" spans="1:2" x14ac:dyDescent="0.2">
      <c r="A120" s="2">
        <v>44105</v>
      </c>
      <c r="B120" s="11">
        <v>51.2</v>
      </c>
    </row>
    <row r="121" spans="1:2" x14ac:dyDescent="0.2">
      <c r="A121" s="2">
        <v>44136</v>
      </c>
      <c r="B121" s="11">
        <v>52.9</v>
      </c>
    </row>
    <row r="122" spans="1:2" x14ac:dyDescent="0.2">
      <c r="A122" s="2">
        <v>44166</v>
      </c>
      <c r="B122" s="11">
        <v>52.9</v>
      </c>
    </row>
    <row r="123" spans="1:2" x14ac:dyDescent="0.2">
      <c r="A123" s="2">
        <v>44197</v>
      </c>
      <c r="B123" s="11">
        <v>53.2</v>
      </c>
    </row>
    <row r="124" spans="1:2" x14ac:dyDescent="0.2">
      <c r="A124" s="2">
        <v>44228</v>
      </c>
      <c r="B124" s="11">
        <v>55.3</v>
      </c>
    </row>
    <row r="125" spans="1:2" x14ac:dyDescent="0.2">
      <c r="A125" s="2">
        <v>44256</v>
      </c>
      <c r="B125" s="11">
        <v>55.3</v>
      </c>
    </row>
    <row r="126" spans="1:2" x14ac:dyDescent="0.2">
      <c r="A126" s="2">
        <v>44287</v>
      </c>
      <c r="B126" s="11">
        <v>54.6</v>
      </c>
    </row>
    <row r="127" spans="1:2" x14ac:dyDescent="0.2">
      <c r="A127" s="2">
        <v>44317</v>
      </c>
      <c r="B127" s="11">
        <v>53.7</v>
      </c>
    </row>
    <row r="128" spans="1:2" x14ac:dyDescent="0.2">
      <c r="A128" s="2">
        <v>44348</v>
      </c>
      <c r="B128" s="11">
        <v>53.9</v>
      </c>
    </row>
    <row r="129" spans="1:2" x14ac:dyDescent="0.2">
      <c r="A129" s="2">
        <v>44378</v>
      </c>
      <c r="B129" s="11">
        <v>53</v>
      </c>
    </row>
    <row r="130" spans="1:2" x14ac:dyDescent="0.2">
      <c r="A130" s="2">
        <v>44409</v>
      </c>
      <c r="B130" s="11">
        <v>51.2</v>
      </c>
    </row>
    <row r="131" spans="1:2" x14ac:dyDescent="0.2">
      <c r="A131" s="2">
        <v>44440</v>
      </c>
      <c r="B131" s="11">
        <v>52.4</v>
      </c>
    </row>
    <row r="132" spans="1:2" x14ac:dyDescent="0.2">
      <c r="A132" s="2">
        <v>44470</v>
      </c>
      <c r="B132" s="11">
        <v>50.2</v>
      </c>
    </row>
    <row r="133" spans="1:2" x14ac:dyDescent="0.2">
      <c r="A133" s="2">
        <v>44501</v>
      </c>
      <c r="B133" s="11">
        <v>50.9</v>
      </c>
    </row>
    <row r="134" spans="1:2" x14ac:dyDescent="0.2">
      <c r="A134" s="2">
        <v>44531</v>
      </c>
      <c r="B134" s="11">
        <v>51.9</v>
      </c>
    </row>
  </sheetData>
  <conditionalFormatting sqref="B2:B13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B136"/>
  <sheetViews>
    <sheetView zoomScale="170" zoomScaleNormal="170" workbookViewId="0">
      <pane ySplit="1" topLeftCell="A2" activePane="bottomLeft" state="frozen"/>
      <selection pane="bottomLeft" activeCell="C1" sqref="C1:C1048576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25</v>
      </c>
    </row>
    <row r="2" spans="1:2" x14ac:dyDescent="0.2">
      <c r="A2" s="6">
        <v>40452</v>
      </c>
      <c r="B2" s="7">
        <v>48.6</v>
      </c>
    </row>
    <row r="3" spans="1:2" x14ac:dyDescent="0.2">
      <c r="A3" s="2">
        <v>40483</v>
      </c>
      <c r="B3" s="11">
        <v>51.7</v>
      </c>
    </row>
    <row r="4" spans="1:2" x14ac:dyDescent="0.2">
      <c r="A4" s="2">
        <v>40513</v>
      </c>
      <c r="B4" s="11">
        <v>51.7</v>
      </c>
    </row>
    <row r="5" spans="1:2" x14ac:dyDescent="0.2">
      <c r="A5" s="2">
        <v>40544</v>
      </c>
      <c r="B5" s="11">
        <v>54.6</v>
      </c>
    </row>
    <row r="6" spans="1:2" x14ac:dyDescent="0.2">
      <c r="A6" s="2">
        <v>40575</v>
      </c>
      <c r="B6" s="11">
        <v>55.8</v>
      </c>
    </row>
    <row r="7" spans="1:2" x14ac:dyDescent="0.2">
      <c r="A7" s="2">
        <v>40603</v>
      </c>
      <c r="B7" s="11">
        <v>55.6</v>
      </c>
    </row>
    <row r="8" spans="1:2" x14ac:dyDescent="0.2">
      <c r="A8" s="2">
        <v>40634</v>
      </c>
      <c r="B8" s="11">
        <v>58.2</v>
      </c>
    </row>
    <row r="9" spans="1:2" x14ac:dyDescent="0.2">
      <c r="A9" s="2">
        <v>40664</v>
      </c>
      <c r="B9" s="11">
        <v>54.9</v>
      </c>
    </row>
    <row r="10" spans="1:2" x14ac:dyDescent="0.2">
      <c r="A10" s="2">
        <v>40695</v>
      </c>
      <c r="B10" s="11">
        <v>49.9</v>
      </c>
    </row>
    <row r="11" spans="1:2" x14ac:dyDescent="0.2">
      <c r="A11" s="2">
        <v>40725</v>
      </c>
      <c r="B11" s="11">
        <v>46.1</v>
      </c>
    </row>
    <row r="12" spans="1:2" x14ac:dyDescent="0.2">
      <c r="A12" s="2">
        <v>40756</v>
      </c>
      <c r="B12" s="11">
        <v>45.2</v>
      </c>
    </row>
    <row r="13" spans="1:2" x14ac:dyDescent="0.2">
      <c r="A13" s="2">
        <v>40787</v>
      </c>
      <c r="B13" s="11">
        <v>44.5</v>
      </c>
    </row>
    <row r="14" spans="1:2" x14ac:dyDescent="0.2">
      <c r="A14" s="2">
        <v>40817</v>
      </c>
      <c r="B14" s="11">
        <v>48</v>
      </c>
    </row>
    <row r="15" spans="1:2" x14ac:dyDescent="0.2">
      <c r="A15" s="2">
        <v>40848</v>
      </c>
      <c r="B15" s="11">
        <v>47.1</v>
      </c>
    </row>
    <row r="16" spans="1:2" x14ac:dyDescent="0.2">
      <c r="A16" s="2">
        <v>40878</v>
      </c>
      <c r="B16" s="11">
        <v>47.1</v>
      </c>
    </row>
    <row r="17" spans="1:2" x14ac:dyDescent="0.2">
      <c r="A17" s="2">
        <v>40909</v>
      </c>
      <c r="B17" s="11">
        <v>47.1</v>
      </c>
    </row>
    <row r="18" spans="1:2" x14ac:dyDescent="0.2">
      <c r="A18" s="2">
        <v>40940</v>
      </c>
      <c r="B18" s="11">
        <v>48.9</v>
      </c>
    </row>
    <row r="19" spans="1:2" x14ac:dyDescent="0.2">
      <c r="A19" s="2">
        <v>40969</v>
      </c>
      <c r="B19" s="11">
        <v>52.7</v>
      </c>
    </row>
    <row r="20" spans="1:2" x14ac:dyDescent="0.2">
      <c r="A20" s="2">
        <v>41000</v>
      </c>
      <c r="B20" s="11">
        <v>54.1</v>
      </c>
    </row>
    <row r="21" spans="1:2" x14ac:dyDescent="0.2">
      <c r="A21" s="2">
        <v>41030</v>
      </c>
      <c r="B21" s="11">
        <v>51.2</v>
      </c>
    </row>
    <row r="22" spans="1:2" x14ac:dyDescent="0.2">
      <c r="A22" s="2">
        <v>41061</v>
      </c>
      <c r="B22" s="11">
        <v>50.5</v>
      </c>
    </row>
    <row r="23" spans="1:2" x14ac:dyDescent="0.2">
      <c r="A23" s="2">
        <v>41091</v>
      </c>
      <c r="B23" s="11">
        <v>49.2</v>
      </c>
    </row>
    <row r="24" spans="1:2" x14ac:dyDescent="0.2">
      <c r="A24" s="2">
        <v>41122</v>
      </c>
      <c r="B24" s="11">
        <v>47.5</v>
      </c>
    </row>
    <row r="25" spans="1:2" x14ac:dyDescent="0.2">
      <c r="A25" s="2">
        <v>41153</v>
      </c>
      <c r="B25" s="11">
        <v>46.1</v>
      </c>
    </row>
    <row r="26" spans="1:2" x14ac:dyDescent="0.2">
      <c r="A26" s="2">
        <v>41183</v>
      </c>
      <c r="B26" s="11">
        <v>45.6</v>
      </c>
    </row>
    <row r="27" spans="1:2" x14ac:dyDescent="0.2">
      <c r="A27" s="2">
        <v>41214</v>
      </c>
      <c r="B27" s="11">
        <v>47.8</v>
      </c>
    </row>
    <row r="28" spans="1:2" x14ac:dyDescent="0.2">
      <c r="A28" s="2">
        <v>41244</v>
      </c>
      <c r="B28" s="11">
        <v>47.4</v>
      </c>
    </row>
    <row r="29" spans="1:2" x14ac:dyDescent="0.2">
      <c r="A29" s="2">
        <v>41275</v>
      </c>
      <c r="B29" s="11">
        <v>51.5</v>
      </c>
    </row>
    <row r="30" spans="1:2" x14ac:dyDescent="0.2">
      <c r="A30" s="2">
        <v>41306</v>
      </c>
      <c r="B30" s="11">
        <v>51.5</v>
      </c>
    </row>
    <row r="31" spans="1:2" x14ac:dyDescent="0.2">
      <c r="A31" s="2">
        <v>41334</v>
      </c>
      <c r="B31" s="11">
        <v>50.2</v>
      </c>
    </row>
    <row r="32" spans="1:2" x14ac:dyDescent="0.2">
      <c r="A32" s="2">
        <v>41365</v>
      </c>
      <c r="B32" s="11">
        <v>51.2</v>
      </c>
    </row>
    <row r="33" spans="1:2" x14ac:dyDescent="0.2">
      <c r="A33" s="2">
        <v>41395</v>
      </c>
      <c r="B33" s="11">
        <v>50.7</v>
      </c>
    </row>
    <row r="34" spans="1:2" x14ac:dyDescent="0.2">
      <c r="A34" s="2">
        <v>41426</v>
      </c>
      <c r="B34" s="11">
        <v>47.1</v>
      </c>
    </row>
    <row r="35" spans="1:2" x14ac:dyDescent="0.2">
      <c r="A35" s="2">
        <v>41456</v>
      </c>
      <c r="B35" s="11">
        <v>49.5</v>
      </c>
    </row>
    <row r="36" spans="1:2" x14ac:dyDescent="0.2">
      <c r="A36" s="2">
        <v>41487</v>
      </c>
      <c r="B36" s="11">
        <v>48.6</v>
      </c>
    </row>
    <row r="37" spans="1:2" x14ac:dyDescent="0.2">
      <c r="A37" s="2">
        <v>41518</v>
      </c>
      <c r="B37" s="11">
        <v>50</v>
      </c>
    </row>
    <row r="38" spans="1:2" x14ac:dyDescent="0.2">
      <c r="A38" s="2">
        <v>41548</v>
      </c>
      <c r="B38" s="11">
        <v>52</v>
      </c>
    </row>
    <row r="39" spans="1:2" x14ac:dyDescent="0.2">
      <c r="A39" s="2">
        <v>41579</v>
      </c>
      <c r="B39" s="11">
        <v>53</v>
      </c>
    </row>
    <row r="40" spans="1:2" x14ac:dyDescent="0.2">
      <c r="A40" s="2">
        <v>41609</v>
      </c>
      <c r="B40" s="11">
        <v>53.4</v>
      </c>
    </row>
    <row r="41" spans="1:2" x14ac:dyDescent="0.2">
      <c r="A41" s="2">
        <v>41640</v>
      </c>
      <c r="B41" s="11">
        <v>55.5</v>
      </c>
    </row>
    <row r="42" spans="1:2" x14ac:dyDescent="0.2">
      <c r="A42" s="2">
        <v>41671</v>
      </c>
      <c r="B42" s="11">
        <v>54.7</v>
      </c>
    </row>
    <row r="43" spans="1:2" x14ac:dyDescent="0.2">
      <c r="A43" s="2">
        <v>41699</v>
      </c>
      <c r="B43" s="11">
        <v>52.7</v>
      </c>
    </row>
    <row r="44" spans="1:2" x14ac:dyDescent="0.2">
      <c r="A44" s="2">
        <v>41730</v>
      </c>
      <c r="B44" s="11">
        <v>52.3</v>
      </c>
    </row>
    <row r="45" spans="1:2" x14ac:dyDescent="0.2">
      <c r="A45" s="2">
        <v>41760</v>
      </c>
      <c r="B45" s="11">
        <v>52.4</v>
      </c>
    </row>
    <row r="46" spans="1:2" x14ac:dyDescent="0.2">
      <c r="A46" s="2">
        <v>41791</v>
      </c>
      <c r="B46" s="11">
        <v>54</v>
      </c>
    </row>
    <row r="47" spans="1:2" x14ac:dyDescent="0.2">
      <c r="A47" s="2">
        <v>41821</v>
      </c>
      <c r="B47" s="11">
        <v>55.8</v>
      </c>
    </row>
    <row r="48" spans="1:2" x14ac:dyDescent="0.2">
      <c r="A48" s="2">
        <v>41852</v>
      </c>
      <c r="B48" s="11">
        <v>56.1</v>
      </c>
    </row>
    <row r="49" spans="1:2" x14ac:dyDescent="0.2">
      <c r="A49" s="2">
        <v>41883</v>
      </c>
      <c r="B49" s="11">
        <v>53.3</v>
      </c>
    </row>
    <row r="50" spans="1:2" x14ac:dyDescent="0.2">
      <c r="A50" s="2">
        <v>41913</v>
      </c>
      <c r="B50" s="11">
        <v>52</v>
      </c>
    </row>
    <row r="51" spans="1:2" x14ac:dyDescent="0.2">
      <c r="A51" s="2">
        <v>41944</v>
      </c>
      <c r="B51" s="11">
        <v>51.4</v>
      </c>
    </row>
    <row r="52" spans="1:2" x14ac:dyDescent="0.2">
      <c r="A52" s="2">
        <v>41974</v>
      </c>
      <c r="B52" s="11">
        <v>50</v>
      </c>
    </row>
    <row r="53" spans="1:2" x14ac:dyDescent="0.2">
      <c r="A53" s="2">
        <v>42005</v>
      </c>
      <c r="B53" s="11">
        <v>51.7</v>
      </c>
    </row>
    <row r="54" spans="1:2" x14ac:dyDescent="0.2">
      <c r="A54" s="2">
        <v>42036</v>
      </c>
      <c r="B54" s="11">
        <v>52.1</v>
      </c>
    </row>
    <row r="55" spans="1:2" x14ac:dyDescent="0.2">
      <c r="A55" s="2">
        <v>42064</v>
      </c>
      <c r="B55" s="11">
        <v>51</v>
      </c>
    </row>
    <row r="56" spans="1:2" x14ac:dyDescent="0.2">
      <c r="A56" s="2">
        <v>42095</v>
      </c>
      <c r="B56" s="11">
        <v>49.2</v>
      </c>
    </row>
    <row r="57" spans="1:2" x14ac:dyDescent="0.2">
      <c r="A57" s="2">
        <v>42125</v>
      </c>
      <c r="B57" s="11">
        <v>49.3</v>
      </c>
    </row>
    <row r="58" spans="1:2" x14ac:dyDescent="0.2">
      <c r="A58" s="2">
        <v>42156</v>
      </c>
      <c r="B58" s="11">
        <v>46.3</v>
      </c>
    </row>
    <row r="59" spans="1:2" x14ac:dyDescent="0.2">
      <c r="A59" s="2">
        <v>42186</v>
      </c>
      <c r="B59" s="11">
        <v>47.1</v>
      </c>
    </row>
    <row r="60" spans="1:2" x14ac:dyDescent="0.2">
      <c r="A60" s="2">
        <v>42217</v>
      </c>
      <c r="B60" s="11">
        <v>46.1</v>
      </c>
    </row>
    <row r="61" spans="1:2" x14ac:dyDescent="0.2">
      <c r="A61" s="2">
        <v>42248</v>
      </c>
      <c r="B61" s="11">
        <v>46.9</v>
      </c>
    </row>
    <row r="62" spans="1:2" x14ac:dyDescent="0.2">
      <c r="A62" s="2">
        <v>42278</v>
      </c>
      <c r="B62" s="11">
        <v>47.8</v>
      </c>
    </row>
    <row r="63" spans="1:2" x14ac:dyDescent="0.2">
      <c r="A63" s="2">
        <v>42309</v>
      </c>
      <c r="B63" s="11">
        <v>49.5</v>
      </c>
    </row>
    <row r="64" spans="1:2" x14ac:dyDescent="0.2">
      <c r="A64" s="2">
        <v>42339</v>
      </c>
      <c r="B64" s="11">
        <v>51.7</v>
      </c>
    </row>
    <row r="65" spans="1:2" x14ac:dyDescent="0.2">
      <c r="A65" s="2">
        <v>42370</v>
      </c>
      <c r="B65" s="11">
        <v>50.6</v>
      </c>
    </row>
    <row r="66" spans="1:2" x14ac:dyDescent="0.2">
      <c r="A66" s="2">
        <v>42401</v>
      </c>
      <c r="B66" s="11">
        <v>49.4</v>
      </c>
    </row>
    <row r="67" spans="1:2" x14ac:dyDescent="0.2">
      <c r="A67" s="2">
        <v>42430</v>
      </c>
      <c r="B67" s="11">
        <v>51.1</v>
      </c>
    </row>
    <row r="68" spans="1:2" x14ac:dyDescent="0.2">
      <c r="A68" s="2">
        <v>42461</v>
      </c>
      <c r="B68" s="11">
        <v>49.7</v>
      </c>
    </row>
    <row r="69" spans="1:2" x14ac:dyDescent="0.2">
      <c r="A69" s="2">
        <v>42491</v>
      </c>
      <c r="B69" s="11">
        <v>48.5</v>
      </c>
    </row>
    <row r="70" spans="1:2" x14ac:dyDescent="0.2">
      <c r="A70" s="2">
        <v>42522</v>
      </c>
      <c r="B70" s="11">
        <v>50.5</v>
      </c>
    </row>
    <row r="71" spans="1:2" x14ac:dyDescent="0.2">
      <c r="A71" s="2">
        <v>42552</v>
      </c>
      <c r="B71" s="11">
        <v>51</v>
      </c>
    </row>
    <row r="72" spans="1:2" x14ac:dyDescent="0.2">
      <c r="A72" s="2">
        <v>42583</v>
      </c>
      <c r="B72" s="11">
        <v>51.8</v>
      </c>
    </row>
    <row r="73" spans="1:2" x14ac:dyDescent="0.2">
      <c r="A73" s="2">
        <v>42614</v>
      </c>
      <c r="B73" s="11">
        <v>52.2</v>
      </c>
    </row>
    <row r="74" spans="1:2" x14ac:dyDescent="0.2">
      <c r="A74" s="2">
        <v>42644</v>
      </c>
      <c r="B74" s="11">
        <v>52.7</v>
      </c>
    </row>
    <row r="75" spans="1:2" x14ac:dyDescent="0.2">
      <c r="A75" s="2">
        <v>42675</v>
      </c>
      <c r="B75" s="11">
        <v>54.7</v>
      </c>
    </row>
    <row r="76" spans="1:2" x14ac:dyDescent="0.2">
      <c r="A76" s="2">
        <v>42705</v>
      </c>
      <c r="B76" s="11">
        <v>56.2</v>
      </c>
    </row>
    <row r="77" spans="1:2" x14ac:dyDescent="0.2">
      <c r="A77" s="2">
        <v>42736</v>
      </c>
      <c r="B77" s="11">
        <v>55.6</v>
      </c>
    </row>
    <row r="78" spans="1:2" x14ac:dyDescent="0.2">
      <c r="A78" s="2">
        <v>42767</v>
      </c>
      <c r="B78" s="11">
        <v>54.5</v>
      </c>
    </row>
    <row r="79" spans="1:2" x14ac:dyDescent="0.2">
      <c r="A79" s="2">
        <v>42795</v>
      </c>
      <c r="B79" s="11">
        <v>56.2</v>
      </c>
    </row>
    <row r="80" spans="1:2" x14ac:dyDescent="0.2">
      <c r="A80" s="2">
        <v>42826</v>
      </c>
      <c r="B80" s="11">
        <v>54.4</v>
      </c>
    </row>
    <row r="81" spans="1:2" x14ac:dyDescent="0.2">
      <c r="A81" s="2">
        <v>42856</v>
      </c>
      <c r="B81" s="11">
        <v>53.1</v>
      </c>
    </row>
    <row r="82" spans="1:2" x14ac:dyDescent="0.2">
      <c r="A82" s="2">
        <v>42887</v>
      </c>
      <c r="B82" s="11">
        <v>53.3</v>
      </c>
    </row>
    <row r="83" spans="1:2" x14ac:dyDescent="0.2">
      <c r="A83" s="2">
        <v>42917</v>
      </c>
      <c r="B83" s="11">
        <v>53.6</v>
      </c>
    </row>
    <row r="84" spans="1:2" x14ac:dyDescent="0.2">
      <c r="A84" s="2">
        <v>42948</v>
      </c>
      <c r="B84" s="11">
        <v>54.3</v>
      </c>
    </row>
    <row r="85" spans="1:2" x14ac:dyDescent="0.2">
      <c r="A85" s="2">
        <v>42979</v>
      </c>
      <c r="B85" s="11">
        <v>54.2</v>
      </c>
    </row>
    <row r="86" spans="1:2" x14ac:dyDescent="0.2">
      <c r="A86" s="2">
        <v>43009</v>
      </c>
      <c r="B86" s="11">
        <v>53.6</v>
      </c>
    </row>
    <row r="87" spans="1:2" x14ac:dyDescent="0.2">
      <c r="A87" s="2">
        <v>43040</v>
      </c>
      <c r="B87" s="11">
        <v>56.3</v>
      </c>
    </row>
    <row r="88" spans="1:2" x14ac:dyDescent="0.2">
      <c r="A88" s="2">
        <v>43070</v>
      </c>
      <c r="B88" s="11">
        <v>56.6</v>
      </c>
    </row>
    <row r="89" spans="1:2" x14ac:dyDescent="0.2">
      <c r="A89" s="2">
        <v>43101</v>
      </c>
      <c r="B89" s="11">
        <v>56.9</v>
      </c>
    </row>
    <row r="90" spans="1:2" x14ac:dyDescent="0.2">
      <c r="A90" s="2">
        <v>43132</v>
      </c>
      <c r="B90" s="11">
        <v>56</v>
      </c>
    </row>
    <row r="91" spans="1:2" x14ac:dyDescent="0.2">
      <c r="A91" s="2">
        <v>43160</v>
      </c>
      <c r="B91" s="11">
        <v>55.3</v>
      </c>
    </row>
    <row r="92" spans="1:2" x14ac:dyDescent="0.2">
      <c r="A92" s="2">
        <v>43191</v>
      </c>
      <c r="B92" s="11">
        <v>54.8</v>
      </c>
    </row>
    <row r="93" spans="1:2" x14ac:dyDescent="0.2">
      <c r="A93" s="2">
        <v>43221</v>
      </c>
      <c r="B93" s="11">
        <v>53.4</v>
      </c>
    </row>
    <row r="94" spans="1:2" x14ac:dyDescent="0.2">
      <c r="A94" s="2">
        <v>43252</v>
      </c>
      <c r="B94" s="11">
        <v>54.5</v>
      </c>
    </row>
    <row r="95" spans="1:2" x14ac:dyDescent="0.2">
      <c r="A95" s="2">
        <v>43282</v>
      </c>
      <c r="B95" s="11">
        <v>53.1</v>
      </c>
    </row>
    <row r="96" spans="1:2" x14ac:dyDescent="0.2">
      <c r="A96" s="2">
        <v>43313</v>
      </c>
      <c r="B96" s="11">
        <v>53</v>
      </c>
    </row>
    <row r="97" spans="1:2" x14ac:dyDescent="0.2">
      <c r="A97" s="2">
        <v>43344</v>
      </c>
      <c r="B97" s="11">
        <v>50.8</v>
      </c>
    </row>
    <row r="98" spans="1:2" x14ac:dyDescent="0.2">
      <c r="A98" s="2">
        <v>43374</v>
      </c>
      <c r="B98" s="11">
        <v>48.7</v>
      </c>
    </row>
    <row r="99" spans="1:2" x14ac:dyDescent="0.2">
      <c r="A99" s="2">
        <v>43405</v>
      </c>
      <c r="B99" s="11">
        <v>48.4</v>
      </c>
    </row>
    <row r="100" spans="1:2" x14ac:dyDescent="0.2">
      <c r="A100" s="2">
        <v>43435</v>
      </c>
      <c r="B100" s="11">
        <v>47.7</v>
      </c>
    </row>
    <row r="101" spans="1:2" x14ac:dyDescent="0.2">
      <c r="A101" s="2">
        <v>43466</v>
      </c>
      <c r="B101" s="11">
        <v>47.5</v>
      </c>
    </row>
    <row r="102" spans="1:2" x14ac:dyDescent="0.2">
      <c r="A102" s="2">
        <v>43497</v>
      </c>
      <c r="B102" s="11">
        <v>46.3</v>
      </c>
    </row>
    <row r="103" spans="1:2" x14ac:dyDescent="0.2">
      <c r="A103" s="2">
        <v>43525</v>
      </c>
      <c r="B103" s="11">
        <v>49</v>
      </c>
    </row>
    <row r="104" spans="1:2" x14ac:dyDescent="0.2">
      <c r="A104" s="2">
        <v>43556</v>
      </c>
      <c r="B104" s="11">
        <v>48.2</v>
      </c>
    </row>
    <row r="105" spans="1:2" x14ac:dyDescent="0.2">
      <c r="A105" s="2">
        <v>43586</v>
      </c>
      <c r="B105" s="11">
        <v>48.4</v>
      </c>
    </row>
    <row r="106" spans="1:2" x14ac:dyDescent="0.2">
      <c r="A106" s="2">
        <v>43617</v>
      </c>
      <c r="B106" s="11">
        <v>45.5</v>
      </c>
    </row>
    <row r="107" spans="1:2" x14ac:dyDescent="0.2">
      <c r="A107" s="2">
        <v>43647</v>
      </c>
      <c r="B107" s="11">
        <v>48.1</v>
      </c>
    </row>
    <row r="108" spans="1:2" x14ac:dyDescent="0.2">
      <c r="A108" s="2">
        <v>43678</v>
      </c>
      <c r="B108" s="11">
        <v>47.9</v>
      </c>
    </row>
    <row r="109" spans="1:2" x14ac:dyDescent="0.2">
      <c r="A109" s="2">
        <v>43709</v>
      </c>
      <c r="B109" s="11">
        <v>50</v>
      </c>
    </row>
    <row r="110" spans="1:2" x14ac:dyDescent="0.2">
      <c r="A110" s="2">
        <v>43739</v>
      </c>
      <c r="B110" s="11">
        <v>49.8</v>
      </c>
    </row>
    <row r="111" spans="1:2" x14ac:dyDescent="0.2">
      <c r="A111" s="2">
        <v>43770</v>
      </c>
      <c r="B111" s="11">
        <v>49.8</v>
      </c>
    </row>
    <row r="112" spans="1:2" x14ac:dyDescent="0.2">
      <c r="A112" s="2">
        <v>43800</v>
      </c>
      <c r="B112" s="11">
        <v>50.8</v>
      </c>
    </row>
    <row r="113" spans="1:2" x14ac:dyDescent="0.2">
      <c r="A113" s="2">
        <v>43831</v>
      </c>
      <c r="B113" s="11">
        <v>51.8</v>
      </c>
    </row>
    <row r="114" spans="1:2" x14ac:dyDescent="0.2">
      <c r="A114" s="2">
        <v>43862</v>
      </c>
      <c r="B114" s="11">
        <v>49.9</v>
      </c>
    </row>
    <row r="115" spans="1:2" x14ac:dyDescent="0.2">
      <c r="A115" s="2">
        <v>43891</v>
      </c>
      <c r="B115" s="11">
        <v>50.4</v>
      </c>
    </row>
    <row r="116" spans="1:2" x14ac:dyDescent="0.2">
      <c r="A116" s="2">
        <v>43922</v>
      </c>
      <c r="B116" s="11">
        <v>42.2</v>
      </c>
    </row>
    <row r="117" spans="1:2" x14ac:dyDescent="0.2">
      <c r="A117" s="2">
        <v>43952</v>
      </c>
      <c r="B117" s="11">
        <v>41.9</v>
      </c>
    </row>
    <row r="118" spans="1:2" x14ac:dyDescent="0.2">
      <c r="A118" s="2">
        <v>43983</v>
      </c>
      <c r="B118" s="11">
        <v>46.2</v>
      </c>
    </row>
    <row r="119" spans="1:2" x14ac:dyDescent="0.2">
      <c r="A119" s="2">
        <v>44013</v>
      </c>
      <c r="B119" s="11">
        <v>50.6</v>
      </c>
    </row>
    <row r="120" spans="1:2" x14ac:dyDescent="0.2">
      <c r="A120" s="2">
        <v>44044</v>
      </c>
      <c r="B120" s="11">
        <v>52.2</v>
      </c>
    </row>
    <row r="121" spans="1:2" x14ac:dyDescent="0.2">
      <c r="A121" s="2">
        <v>44075</v>
      </c>
      <c r="B121" s="11">
        <v>55.2</v>
      </c>
    </row>
    <row r="122" spans="1:2" x14ac:dyDescent="0.2">
      <c r="A122" s="2">
        <v>44105</v>
      </c>
      <c r="B122" s="11">
        <v>55.1</v>
      </c>
    </row>
    <row r="123" spans="1:2" x14ac:dyDescent="0.2">
      <c r="A123" s="2">
        <v>44136</v>
      </c>
      <c r="B123" s="11">
        <v>56.9</v>
      </c>
    </row>
    <row r="124" spans="1:2" x14ac:dyDescent="0.2">
      <c r="A124" s="2">
        <v>44166</v>
      </c>
      <c r="B124" s="11">
        <v>59.4</v>
      </c>
    </row>
    <row r="125" spans="1:2" x14ac:dyDescent="0.2">
      <c r="A125" s="2">
        <v>44197</v>
      </c>
      <c r="B125" s="11">
        <v>60.2</v>
      </c>
    </row>
    <row r="126" spans="1:2" x14ac:dyDescent="0.2">
      <c r="A126" s="2">
        <v>44228</v>
      </c>
      <c r="B126" s="11">
        <v>60.4</v>
      </c>
    </row>
    <row r="127" spans="1:2" x14ac:dyDescent="0.2">
      <c r="A127" s="2">
        <v>44256</v>
      </c>
      <c r="B127" s="11">
        <v>60.8</v>
      </c>
    </row>
    <row r="128" spans="1:2" x14ac:dyDescent="0.2">
      <c r="A128" s="2">
        <v>44287</v>
      </c>
      <c r="B128" s="11">
        <v>62.4</v>
      </c>
    </row>
    <row r="129" spans="1:2" x14ac:dyDescent="0.2">
      <c r="A129" s="2">
        <v>44317</v>
      </c>
      <c r="B129" s="11">
        <v>62</v>
      </c>
    </row>
    <row r="130" spans="1:2" x14ac:dyDescent="0.2">
      <c r="A130" s="2">
        <v>44348</v>
      </c>
      <c r="B130" s="11">
        <v>57.6</v>
      </c>
    </row>
    <row r="131" spans="1:2" x14ac:dyDescent="0.2">
      <c r="A131" s="2">
        <v>44378</v>
      </c>
      <c r="B131" s="11">
        <v>59.7</v>
      </c>
    </row>
    <row r="132" spans="1:2" x14ac:dyDescent="0.2">
      <c r="A132" s="2">
        <v>44409</v>
      </c>
      <c r="B132" s="11">
        <v>58.5</v>
      </c>
    </row>
    <row r="133" spans="1:2" x14ac:dyDescent="0.2">
      <c r="A133" s="2">
        <v>44440</v>
      </c>
      <c r="B133" s="11">
        <v>54.7</v>
      </c>
    </row>
    <row r="134" spans="1:2" x14ac:dyDescent="0.2">
      <c r="A134" s="2">
        <v>44470</v>
      </c>
      <c r="B134" s="11">
        <v>55.2</v>
      </c>
    </row>
    <row r="135" spans="1:2" x14ac:dyDescent="0.2">
      <c r="A135" s="2">
        <v>44501</v>
      </c>
      <c r="B135" s="11">
        <v>54.9</v>
      </c>
    </row>
    <row r="136" spans="1:2" x14ac:dyDescent="0.2">
      <c r="A136" s="2">
        <v>44531</v>
      </c>
      <c r="B136" s="11">
        <v>55.5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B136"/>
  <sheetViews>
    <sheetView zoomScale="170" zoomScaleNormal="170" workbookViewId="0">
      <pane ySplit="1" topLeftCell="A2" activePane="bottomLeft" state="frozen"/>
      <selection pane="bottomLeft" activeCell="J30" sqref="J30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10</v>
      </c>
    </row>
    <row r="2" spans="1:2" x14ac:dyDescent="0.2">
      <c r="A2" s="6">
        <v>40482</v>
      </c>
      <c r="B2" s="7">
        <v>43.6</v>
      </c>
    </row>
    <row r="3" spans="1:2" x14ac:dyDescent="0.2">
      <c r="A3" s="2">
        <v>40483</v>
      </c>
      <c r="B3" s="11">
        <v>43.9</v>
      </c>
    </row>
    <row r="4" spans="1:2" x14ac:dyDescent="0.2">
      <c r="A4" s="2">
        <v>40513</v>
      </c>
      <c r="B4" s="11">
        <v>43.1</v>
      </c>
    </row>
    <row r="5" spans="1:2" x14ac:dyDescent="0.2">
      <c r="A5" s="2">
        <v>40544</v>
      </c>
      <c r="B5" s="11">
        <v>42.8</v>
      </c>
    </row>
    <row r="6" spans="1:2" x14ac:dyDescent="0.2">
      <c r="A6" s="2">
        <v>40575</v>
      </c>
      <c r="B6" s="11">
        <v>43.8</v>
      </c>
    </row>
    <row r="7" spans="1:2" x14ac:dyDescent="0.2">
      <c r="A7" s="2">
        <v>40603</v>
      </c>
      <c r="B7" s="11">
        <v>45.4</v>
      </c>
    </row>
    <row r="8" spans="1:2" x14ac:dyDescent="0.2">
      <c r="A8" s="2">
        <v>40634</v>
      </c>
      <c r="B8" s="11">
        <v>46.8</v>
      </c>
    </row>
    <row r="9" spans="1:2" x14ac:dyDescent="0.2">
      <c r="A9" s="2">
        <v>40664</v>
      </c>
      <c r="B9" s="11">
        <v>44.5</v>
      </c>
    </row>
    <row r="10" spans="1:2" x14ac:dyDescent="0.2">
      <c r="A10" s="2">
        <v>40695</v>
      </c>
      <c r="B10" s="11">
        <v>45.5</v>
      </c>
    </row>
    <row r="11" spans="1:2" x14ac:dyDescent="0.2">
      <c r="A11" s="2">
        <v>40725</v>
      </c>
      <c r="B11" s="11">
        <v>45.2</v>
      </c>
    </row>
    <row r="12" spans="1:2" x14ac:dyDescent="0.2">
      <c r="A12" s="2">
        <v>40756</v>
      </c>
      <c r="B12" s="11">
        <v>43.3</v>
      </c>
    </row>
    <row r="13" spans="1:2" x14ac:dyDescent="0.2">
      <c r="A13" s="2">
        <v>40787</v>
      </c>
      <c r="B13" s="11">
        <v>43.2</v>
      </c>
    </row>
    <row r="14" spans="1:2" x14ac:dyDescent="0.2">
      <c r="A14" s="2">
        <v>40817</v>
      </c>
      <c r="B14" s="11">
        <v>40.5</v>
      </c>
    </row>
    <row r="15" spans="1:2" x14ac:dyDescent="0.2">
      <c r="A15" s="2">
        <v>40848</v>
      </c>
      <c r="B15" s="11">
        <v>40.9</v>
      </c>
    </row>
    <row r="16" spans="1:2" x14ac:dyDescent="0.2">
      <c r="A16" s="2">
        <v>40878</v>
      </c>
      <c r="B16" s="11">
        <v>42</v>
      </c>
    </row>
    <row r="17" spans="1:2" x14ac:dyDescent="0.2">
      <c r="A17" s="2">
        <v>40909</v>
      </c>
      <c r="B17" s="11">
        <v>41</v>
      </c>
    </row>
    <row r="18" spans="1:2" x14ac:dyDescent="0.2">
      <c r="A18" s="2">
        <v>40940</v>
      </c>
      <c r="B18" s="11">
        <v>37.700000000000003</v>
      </c>
    </row>
    <row r="19" spans="1:2" x14ac:dyDescent="0.2">
      <c r="A19" s="2">
        <v>40969</v>
      </c>
      <c r="B19" s="11">
        <v>41.3</v>
      </c>
    </row>
    <row r="20" spans="1:2" x14ac:dyDescent="0.2">
      <c r="A20" s="2">
        <v>41000</v>
      </c>
      <c r="B20" s="11">
        <v>40.700000000000003</v>
      </c>
    </row>
    <row r="21" spans="1:2" x14ac:dyDescent="0.2">
      <c r="A21" s="2">
        <v>41030</v>
      </c>
      <c r="B21" s="11">
        <v>43.1</v>
      </c>
    </row>
    <row r="22" spans="1:2" x14ac:dyDescent="0.2">
      <c r="A22" s="2">
        <v>41061</v>
      </c>
      <c r="B22" s="11">
        <v>40.1</v>
      </c>
    </row>
    <row r="23" spans="1:2" x14ac:dyDescent="0.2">
      <c r="A23" s="2">
        <v>41091</v>
      </c>
      <c r="B23" s="11">
        <v>41.9</v>
      </c>
    </row>
    <row r="24" spans="1:2" x14ac:dyDescent="0.2">
      <c r="A24" s="2">
        <v>41122</v>
      </c>
      <c r="B24" s="11">
        <v>42.1</v>
      </c>
    </row>
    <row r="25" spans="1:2" x14ac:dyDescent="0.2">
      <c r="A25" s="2">
        <v>41153</v>
      </c>
      <c r="B25" s="11">
        <v>42.2</v>
      </c>
    </row>
    <row r="26" spans="1:2" x14ac:dyDescent="0.2">
      <c r="A26" s="2">
        <v>41183</v>
      </c>
      <c r="B26" s="11">
        <v>41</v>
      </c>
    </row>
    <row r="27" spans="1:2" x14ac:dyDescent="0.2">
      <c r="A27" s="2">
        <v>41214</v>
      </c>
      <c r="B27" s="11">
        <v>41.8</v>
      </c>
    </row>
    <row r="28" spans="1:2" x14ac:dyDescent="0.2">
      <c r="A28" s="2">
        <v>41244</v>
      </c>
      <c r="B28" s="11">
        <v>41.4</v>
      </c>
    </row>
    <row r="29" spans="1:2" x14ac:dyDescent="0.2">
      <c r="A29" s="2">
        <v>41275</v>
      </c>
      <c r="B29" s="11">
        <v>41.7</v>
      </c>
    </row>
    <row r="30" spans="1:2" x14ac:dyDescent="0.2">
      <c r="A30" s="2">
        <v>41306</v>
      </c>
      <c r="B30" s="11">
        <v>43</v>
      </c>
    </row>
    <row r="31" spans="1:2" x14ac:dyDescent="0.2">
      <c r="A31" s="2">
        <v>41334</v>
      </c>
      <c r="B31" s="11">
        <v>42.1</v>
      </c>
    </row>
    <row r="32" spans="1:2" x14ac:dyDescent="0.2">
      <c r="A32" s="2">
        <v>41365</v>
      </c>
      <c r="B32" s="11">
        <v>45</v>
      </c>
    </row>
    <row r="33" spans="1:2" x14ac:dyDescent="0.2">
      <c r="A33" s="2">
        <v>41395</v>
      </c>
      <c r="B33" s="11">
        <v>45.3</v>
      </c>
    </row>
    <row r="34" spans="1:2" x14ac:dyDescent="0.2">
      <c r="A34" s="2">
        <v>41426</v>
      </c>
      <c r="B34" s="11">
        <v>45.4</v>
      </c>
    </row>
    <row r="35" spans="1:2" x14ac:dyDescent="0.2">
      <c r="A35" s="2">
        <v>41456</v>
      </c>
      <c r="B35" s="11">
        <v>47</v>
      </c>
    </row>
    <row r="36" spans="1:2" x14ac:dyDescent="0.2">
      <c r="A36" s="2">
        <v>41487</v>
      </c>
      <c r="B36" s="11">
        <v>48.7</v>
      </c>
    </row>
    <row r="37" spans="1:2" x14ac:dyDescent="0.2">
      <c r="A37" s="2">
        <v>41518</v>
      </c>
      <c r="B37" s="11">
        <v>47.5</v>
      </c>
    </row>
    <row r="38" spans="1:2" x14ac:dyDescent="0.2">
      <c r="A38" s="2">
        <v>41548</v>
      </c>
      <c r="B38" s="11">
        <v>47.3</v>
      </c>
    </row>
    <row r="39" spans="1:2" x14ac:dyDescent="0.2">
      <c r="A39" s="2">
        <v>41579</v>
      </c>
      <c r="B39" s="11">
        <v>49.2</v>
      </c>
    </row>
    <row r="40" spans="1:2" x14ac:dyDescent="0.2">
      <c r="A40" s="2">
        <v>41609</v>
      </c>
      <c r="B40" s="11">
        <v>49.6</v>
      </c>
    </row>
    <row r="41" spans="1:2" x14ac:dyDescent="0.2">
      <c r="A41" s="2">
        <v>41640</v>
      </c>
      <c r="B41" s="11">
        <v>51.2</v>
      </c>
    </row>
    <row r="42" spans="1:2" x14ac:dyDescent="0.2">
      <c r="A42" s="2">
        <v>41671</v>
      </c>
      <c r="B42" s="11">
        <v>51.3</v>
      </c>
    </row>
    <row r="43" spans="1:2" x14ac:dyDescent="0.2">
      <c r="A43" s="2">
        <v>41699</v>
      </c>
      <c r="B43" s="11">
        <v>49.7</v>
      </c>
    </row>
    <row r="44" spans="1:2" x14ac:dyDescent="0.2">
      <c r="A44" s="2">
        <v>41730</v>
      </c>
      <c r="B44" s="11">
        <v>51.1</v>
      </c>
    </row>
    <row r="45" spans="1:2" x14ac:dyDescent="0.2">
      <c r="A45" s="2">
        <v>41760</v>
      </c>
      <c r="B45" s="11">
        <v>51</v>
      </c>
    </row>
    <row r="46" spans="1:2" x14ac:dyDescent="0.2">
      <c r="A46" s="2">
        <v>41791</v>
      </c>
      <c r="B46" s="11">
        <v>49.4</v>
      </c>
    </row>
    <row r="47" spans="1:2" x14ac:dyDescent="0.2">
      <c r="A47" s="2">
        <v>41821</v>
      </c>
      <c r="B47" s="11">
        <v>48.7</v>
      </c>
    </row>
    <row r="48" spans="1:2" x14ac:dyDescent="0.2">
      <c r="A48" s="2">
        <v>41852</v>
      </c>
      <c r="B48" s="11">
        <v>50.1</v>
      </c>
    </row>
    <row r="49" spans="1:2" x14ac:dyDescent="0.2">
      <c r="A49" s="2">
        <v>41883</v>
      </c>
      <c r="B49" s="11">
        <v>48.4</v>
      </c>
    </row>
    <row r="50" spans="1:2" x14ac:dyDescent="0.2">
      <c r="A50" s="2">
        <v>41913</v>
      </c>
      <c r="B50" s="11">
        <v>48.8</v>
      </c>
    </row>
    <row r="51" spans="1:2" x14ac:dyDescent="0.2">
      <c r="A51" s="2">
        <v>41944</v>
      </c>
      <c r="B51" s="11">
        <v>49.1</v>
      </c>
    </row>
    <row r="52" spans="1:2" x14ac:dyDescent="0.2">
      <c r="A52" s="2">
        <v>41974</v>
      </c>
      <c r="B52" s="11">
        <v>49.4</v>
      </c>
    </row>
    <row r="53" spans="1:2" x14ac:dyDescent="0.2">
      <c r="A53" s="2">
        <v>42005</v>
      </c>
      <c r="B53" s="11">
        <v>48.3</v>
      </c>
    </row>
    <row r="54" spans="1:2" x14ac:dyDescent="0.2">
      <c r="A54" s="2">
        <v>42036</v>
      </c>
      <c r="B54" s="11">
        <v>48.4</v>
      </c>
    </row>
    <row r="55" spans="1:2" x14ac:dyDescent="0.2">
      <c r="A55" s="2">
        <v>42064</v>
      </c>
      <c r="B55" s="11">
        <v>48.9</v>
      </c>
    </row>
    <row r="56" spans="1:2" x14ac:dyDescent="0.2">
      <c r="A56" s="2">
        <v>42095</v>
      </c>
      <c r="B56" s="11">
        <v>46.5</v>
      </c>
    </row>
    <row r="57" spans="1:2" x14ac:dyDescent="0.2">
      <c r="A57" s="2">
        <v>42125</v>
      </c>
      <c r="B57" s="11">
        <v>48</v>
      </c>
    </row>
    <row r="58" spans="1:2" x14ac:dyDescent="0.2">
      <c r="A58" s="2">
        <v>42156</v>
      </c>
      <c r="B58" s="11">
        <v>46.9</v>
      </c>
    </row>
    <row r="59" spans="1:2" x14ac:dyDescent="0.2">
      <c r="A59" s="2">
        <v>42186</v>
      </c>
      <c r="B59" s="11">
        <v>30.2</v>
      </c>
    </row>
    <row r="60" spans="1:2" x14ac:dyDescent="0.2">
      <c r="A60" s="2">
        <v>42217</v>
      </c>
      <c r="B60" s="11">
        <v>39.1</v>
      </c>
    </row>
    <row r="61" spans="1:2" x14ac:dyDescent="0.2">
      <c r="A61" s="2">
        <v>42248</v>
      </c>
      <c r="B61" s="11">
        <v>43.3</v>
      </c>
    </row>
    <row r="62" spans="1:2" x14ac:dyDescent="0.2">
      <c r="A62" s="2">
        <v>42278</v>
      </c>
      <c r="B62" s="11">
        <v>47.3</v>
      </c>
    </row>
    <row r="63" spans="1:2" x14ac:dyDescent="0.2">
      <c r="A63" s="2">
        <v>42309</v>
      </c>
      <c r="B63" s="11">
        <v>48.1</v>
      </c>
    </row>
    <row r="64" spans="1:2" x14ac:dyDescent="0.2">
      <c r="A64" s="2">
        <v>42339</v>
      </c>
      <c r="B64" s="11">
        <v>50.2</v>
      </c>
    </row>
    <row r="65" spans="1:2" x14ac:dyDescent="0.2">
      <c r="A65" s="2">
        <v>42370</v>
      </c>
      <c r="B65" s="11">
        <v>50</v>
      </c>
    </row>
    <row r="66" spans="1:2" x14ac:dyDescent="0.2">
      <c r="A66" s="2">
        <v>42401</v>
      </c>
      <c r="B66" s="11">
        <v>48.4</v>
      </c>
    </row>
    <row r="67" spans="1:2" x14ac:dyDescent="0.2">
      <c r="A67" s="2">
        <v>42430</v>
      </c>
      <c r="B67" s="11">
        <v>49</v>
      </c>
    </row>
    <row r="68" spans="1:2" x14ac:dyDescent="0.2">
      <c r="A68" s="2">
        <v>42461</v>
      </c>
      <c r="B68" s="11">
        <v>49.7</v>
      </c>
    </row>
    <row r="69" spans="1:2" x14ac:dyDescent="0.2">
      <c r="A69" s="2">
        <v>42491</v>
      </c>
      <c r="B69" s="11">
        <v>48.4</v>
      </c>
    </row>
    <row r="70" spans="1:2" x14ac:dyDescent="0.2">
      <c r="A70" s="2">
        <v>42522</v>
      </c>
      <c r="B70" s="11">
        <v>50.4</v>
      </c>
    </row>
    <row r="71" spans="1:2" x14ac:dyDescent="0.2">
      <c r="A71" s="2">
        <v>42552</v>
      </c>
      <c r="B71" s="11">
        <v>48.7</v>
      </c>
    </row>
    <row r="72" spans="1:2" x14ac:dyDescent="0.2">
      <c r="A72" s="2">
        <v>42583</v>
      </c>
      <c r="B72" s="11">
        <v>50.4</v>
      </c>
    </row>
    <row r="73" spans="1:2" x14ac:dyDescent="0.2">
      <c r="A73" s="2">
        <v>42614</v>
      </c>
      <c r="B73" s="11">
        <v>49.2</v>
      </c>
    </row>
    <row r="74" spans="1:2" x14ac:dyDescent="0.2">
      <c r="A74" s="2">
        <v>42644</v>
      </c>
      <c r="B74" s="11">
        <v>48.6</v>
      </c>
    </row>
    <row r="75" spans="1:2" x14ac:dyDescent="0.2">
      <c r="A75" s="2">
        <v>42675</v>
      </c>
      <c r="B75" s="11">
        <v>48.3</v>
      </c>
    </row>
    <row r="76" spans="1:2" x14ac:dyDescent="0.2">
      <c r="A76" s="2">
        <v>42705</v>
      </c>
      <c r="B76" s="11">
        <v>49.3</v>
      </c>
    </row>
    <row r="77" spans="1:2" x14ac:dyDescent="0.2">
      <c r="A77" s="2">
        <v>42736</v>
      </c>
      <c r="B77" s="11">
        <v>46.6</v>
      </c>
    </row>
    <row r="78" spans="1:2" x14ac:dyDescent="0.2">
      <c r="A78" s="2">
        <v>42767</v>
      </c>
      <c r="B78" s="11">
        <v>47.7</v>
      </c>
    </row>
    <row r="79" spans="1:2" x14ac:dyDescent="0.2">
      <c r="A79" s="2">
        <v>42795</v>
      </c>
      <c r="B79" s="11">
        <v>46.7</v>
      </c>
    </row>
    <row r="80" spans="1:2" x14ac:dyDescent="0.2">
      <c r="A80" s="2">
        <v>42826</v>
      </c>
      <c r="B80" s="11">
        <v>48.2</v>
      </c>
    </row>
    <row r="81" spans="1:2" x14ac:dyDescent="0.2">
      <c r="A81" s="2">
        <v>42856</v>
      </c>
      <c r="B81" s="11">
        <v>49.6</v>
      </c>
    </row>
    <row r="82" spans="1:2" x14ac:dyDescent="0.2">
      <c r="A82" s="2">
        <v>42887</v>
      </c>
      <c r="B82" s="11">
        <v>50.5</v>
      </c>
    </row>
    <row r="83" spans="1:2" x14ac:dyDescent="0.2">
      <c r="A83" s="2">
        <v>42917</v>
      </c>
      <c r="B83" s="11">
        <v>50.5</v>
      </c>
    </row>
    <row r="84" spans="1:2" x14ac:dyDescent="0.2">
      <c r="A84" s="2">
        <v>42948</v>
      </c>
      <c r="B84" s="11">
        <v>52.2</v>
      </c>
    </row>
    <row r="85" spans="1:2" x14ac:dyDescent="0.2">
      <c r="A85" s="2">
        <v>42979</v>
      </c>
      <c r="B85" s="11">
        <v>52.8</v>
      </c>
    </row>
    <row r="86" spans="1:2" x14ac:dyDescent="0.2">
      <c r="A86" s="2">
        <v>43009</v>
      </c>
      <c r="B86" s="11">
        <v>52.1</v>
      </c>
    </row>
    <row r="87" spans="1:2" x14ac:dyDescent="0.2">
      <c r="A87" s="2">
        <v>43040</v>
      </c>
      <c r="B87" s="11">
        <v>52.2</v>
      </c>
    </row>
    <row r="88" spans="1:2" x14ac:dyDescent="0.2">
      <c r="A88" s="2">
        <v>43070</v>
      </c>
      <c r="B88" s="11">
        <v>53.1</v>
      </c>
    </row>
    <row r="89" spans="1:2" x14ac:dyDescent="0.2">
      <c r="A89" s="2">
        <v>43101</v>
      </c>
      <c r="B89" s="11">
        <v>55.2</v>
      </c>
    </row>
    <row r="90" spans="1:2" x14ac:dyDescent="0.2">
      <c r="A90" s="2">
        <v>43132</v>
      </c>
      <c r="B90" s="11">
        <v>56.1</v>
      </c>
    </row>
    <row r="91" spans="1:2" x14ac:dyDescent="0.2">
      <c r="A91" s="2">
        <v>43160</v>
      </c>
      <c r="B91" s="11">
        <v>55</v>
      </c>
    </row>
    <row r="92" spans="1:2" x14ac:dyDescent="0.2">
      <c r="A92" s="2">
        <v>43191</v>
      </c>
      <c r="B92" s="11">
        <v>52.9</v>
      </c>
    </row>
    <row r="93" spans="1:2" x14ac:dyDescent="0.2">
      <c r="A93" s="2">
        <v>43221</v>
      </c>
      <c r="B93" s="11">
        <v>54.2</v>
      </c>
    </row>
    <row r="94" spans="1:2" x14ac:dyDescent="0.2">
      <c r="A94" s="2">
        <v>43252</v>
      </c>
      <c r="B94" s="11">
        <v>53.5</v>
      </c>
    </row>
    <row r="95" spans="1:2" x14ac:dyDescent="0.2">
      <c r="A95" s="2">
        <v>43282</v>
      </c>
      <c r="B95" s="11">
        <v>53.5</v>
      </c>
    </row>
    <row r="96" spans="1:2" x14ac:dyDescent="0.2">
      <c r="A96" s="2">
        <v>43313</v>
      </c>
      <c r="B96" s="11">
        <v>53.9</v>
      </c>
    </row>
    <row r="97" spans="1:2" x14ac:dyDescent="0.2">
      <c r="A97" s="2">
        <v>43344</v>
      </c>
      <c r="B97" s="11">
        <v>53.6</v>
      </c>
    </row>
    <row r="98" spans="1:2" x14ac:dyDescent="0.2">
      <c r="A98" s="2">
        <v>43374</v>
      </c>
      <c r="B98" s="11">
        <v>53.1</v>
      </c>
    </row>
    <row r="99" spans="1:2" x14ac:dyDescent="0.2">
      <c r="A99" s="2">
        <v>43405</v>
      </c>
      <c r="B99" s="11">
        <v>54</v>
      </c>
    </row>
    <row r="100" spans="1:2" x14ac:dyDescent="0.2">
      <c r="A100" s="2">
        <v>43435</v>
      </c>
      <c r="B100" s="11">
        <v>53.8</v>
      </c>
    </row>
    <row r="101" spans="1:2" x14ac:dyDescent="0.2">
      <c r="A101" s="2">
        <v>43466</v>
      </c>
      <c r="B101" s="11">
        <v>53.7</v>
      </c>
    </row>
    <row r="102" spans="1:2" x14ac:dyDescent="0.2">
      <c r="A102" s="2">
        <v>43497</v>
      </c>
      <c r="B102" s="11">
        <v>54.2</v>
      </c>
    </row>
    <row r="103" spans="1:2" x14ac:dyDescent="0.2">
      <c r="A103" s="2">
        <v>43525</v>
      </c>
      <c r="B103" s="11">
        <v>54.7</v>
      </c>
    </row>
    <row r="104" spans="1:2" x14ac:dyDescent="0.2">
      <c r="A104" s="2">
        <v>43556</v>
      </c>
      <c r="B104" s="11">
        <v>56.6</v>
      </c>
    </row>
    <row r="105" spans="1:2" x14ac:dyDescent="0.2">
      <c r="A105" s="2">
        <v>43586</v>
      </c>
      <c r="B105" s="11">
        <v>54.2</v>
      </c>
    </row>
    <row r="106" spans="1:2" x14ac:dyDescent="0.2">
      <c r="A106" s="2">
        <v>43617</v>
      </c>
      <c r="B106" s="11">
        <v>52.4</v>
      </c>
    </row>
    <row r="107" spans="1:2" x14ac:dyDescent="0.2">
      <c r="A107" s="2">
        <v>43647</v>
      </c>
      <c r="B107" s="11">
        <v>54.6</v>
      </c>
    </row>
    <row r="108" spans="1:2" x14ac:dyDescent="0.2">
      <c r="A108" s="2">
        <v>43678</v>
      </c>
      <c r="B108" s="11">
        <v>54.9</v>
      </c>
    </row>
    <row r="109" spans="1:2" x14ac:dyDescent="0.2">
      <c r="A109" s="2">
        <v>43709</v>
      </c>
      <c r="B109" s="11">
        <v>53.6</v>
      </c>
    </row>
    <row r="110" spans="1:2" x14ac:dyDescent="0.2">
      <c r="A110" s="2">
        <v>43739</v>
      </c>
      <c r="B110" s="11">
        <v>53.5</v>
      </c>
    </row>
    <row r="111" spans="1:2" x14ac:dyDescent="0.2">
      <c r="A111" s="2">
        <v>43770</v>
      </c>
      <c r="B111" s="11">
        <v>54.1</v>
      </c>
    </row>
    <row r="112" spans="1:2" x14ac:dyDescent="0.2">
      <c r="A112" s="2">
        <v>43800</v>
      </c>
      <c r="B112" s="11">
        <v>53.9</v>
      </c>
    </row>
    <row r="113" spans="1:2" x14ac:dyDescent="0.2">
      <c r="A113" s="2">
        <v>43831</v>
      </c>
      <c r="B113" s="11">
        <v>54.4</v>
      </c>
    </row>
    <row r="114" spans="1:2" x14ac:dyDescent="0.2">
      <c r="A114" s="2">
        <v>43862</v>
      </c>
      <c r="B114" s="11">
        <v>56.2</v>
      </c>
    </row>
    <row r="115" spans="1:2" x14ac:dyDescent="0.2">
      <c r="A115" s="2">
        <v>43891</v>
      </c>
      <c r="B115" s="11">
        <v>42.5</v>
      </c>
    </row>
    <row r="116" spans="1:2" x14ac:dyDescent="0.2">
      <c r="A116" s="2">
        <v>43922</v>
      </c>
      <c r="B116" s="11">
        <v>29.5</v>
      </c>
    </row>
    <row r="117" spans="1:2" x14ac:dyDescent="0.2">
      <c r="A117" s="2">
        <v>43952</v>
      </c>
      <c r="B117" s="11">
        <v>41.1</v>
      </c>
    </row>
    <row r="118" spans="1:2" x14ac:dyDescent="0.2">
      <c r="A118" s="2">
        <v>43983</v>
      </c>
      <c r="B118" s="11">
        <v>49.4</v>
      </c>
    </row>
    <row r="119" spans="1:2" x14ac:dyDescent="0.2">
      <c r="A119" s="2">
        <v>44013</v>
      </c>
      <c r="B119" s="11">
        <v>48.6</v>
      </c>
    </row>
    <row r="120" spans="1:2" x14ac:dyDescent="0.2">
      <c r="A120" s="2">
        <v>44044</v>
      </c>
      <c r="B120" s="11">
        <v>49.4</v>
      </c>
    </row>
    <row r="121" spans="1:2" x14ac:dyDescent="0.2">
      <c r="A121" s="2">
        <v>44075</v>
      </c>
      <c r="B121" s="11">
        <v>50</v>
      </c>
    </row>
    <row r="122" spans="1:2" x14ac:dyDescent="0.2">
      <c r="A122" s="2">
        <v>44105</v>
      </c>
      <c r="B122" s="11">
        <v>48.7</v>
      </c>
    </row>
    <row r="123" spans="1:2" x14ac:dyDescent="0.2">
      <c r="A123" s="2">
        <v>44136</v>
      </c>
      <c r="B123" s="11">
        <v>42.3</v>
      </c>
    </row>
    <row r="124" spans="1:2" x14ac:dyDescent="0.2">
      <c r="A124" s="2">
        <v>44166</v>
      </c>
      <c r="B124" s="11">
        <v>46.9</v>
      </c>
    </row>
    <row r="125" spans="1:2" x14ac:dyDescent="0.2">
      <c r="A125" s="2">
        <v>44197</v>
      </c>
      <c r="B125" s="11">
        <v>50</v>
      </c>
    </row>
    <row r="126" spans="1:2" x14ac:dyDescent="0.2">
      <c r="A126" s="2">
        <v>44228</v>
      </c>
      <c r="B126" s="11">
        <v>49.4</v>
      </c>
    </row>
    <row r="127" spans="1:2" x14ac:dyDescent="0.2">
      <c r="A127" s="2">
        <v>44256</v>
      </c>
      <c r="B127" s="11">
        <v>51.8</v>
      </c>
    </row>
    <row r="128" spans="1:2" x14ac:dyDescent="0.2">
      <c r="A128" s="2">
        <v>44287</v>
      </c>
      <c r="B128" s="11">
        <v>54.4</v>
      </c>
    </row>
    <row r="129" spans="1:2" x14ac:dyDescent="0.2">
      <c r="A129" s="2">
        <v>44317</v>
      </c>
      <c r="B129" s="11">
        <v>58</v>
      </c>
    </row>
    <row r="130" spans="1:2" x14ac:dyDescent="0.2">
      <c r="A130" s="2">
        <v>44348</v>
      </c>
      <c r="B130" s="11">
        <v>58.6</v>
      </c>
    </row>
    <row r="131" spans="1:2" x14ac:dyDescent="0.2">
      <c r="A131" s="2">
        <v>44378</v>
      </c>
      <c r="B131" s="11">
        <v>57.4</v>
      </c>
    </row>
    <row r="132" spans="1:2" x14ac:dyDescent="0.2">
      <c r="A132" s="2">
        <v>44409</v>
      </c>
      <c r="B132" s="11">
        <v>59.3</v>
      </c>
    </row>
    <row r="133" spans="1:2" x14ac:dyDescent="0.2">
      <c r="A133" s="2">
        <v>44440</v>
      </c>
      <c r="B133" s="11">
        <v>58.4</v>
      </c>
    </row>
    <row r="134" spans="1:2" x14ac:dyDescent="0.2">
      <c r="A134" s="2">
        <v>44470</v>
      </c>
      <c r="B134" s="11">
        <v>58.9</v>
      </c>
    </row>
    <row r="135" spans="1:2" x14ac:dyDescent="0.2">
      <c r="A135" s="2">
        <v>44501</v>
      </c>
      <c r="B135" s="11">
        <v>58.8</v>
      </c>
    </row>
    <row r="136" spans="1:2" x14ac:dyDescent="0.2">
      <c r="A136" s="2">
        <v>44531</v>
      </c>
      <c r="B136" s="11">
        <v>59</v>
      </c>
    </row>
  </sheetData>
  <conditionalFormatting sqref="B2:B13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B136"/>
  <sheetViews>
    <sheetView zoomScale="160" zoomScaleNormal="160" workbookViewId="0">
      <pane ySplit="1" topLeftCell="A2" activePane="bottomLeft" state="frozen"/>
      <selection pane="bottomLeft" activeCell="X129" sqref="X129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14</v>
      </c>
    </row>
    <row r="2" spans="1:2" x14ac:dyDescent="0.2">
      <c r="A2" s="6">
        <v>40452</v>
      </c>
      <c r="B2" s="7">
        <v>50.9</v>
      </c>
    </row>
    <row r="3" spans="1:2" x14ac:dyDescent="0.2">
      <c r="A3" s="2">
        <v>40483</v>
      </c>
      <c r="B3" s="11">
        <v>51.2</v>
      </c>
    </row>
    <row r="4" spans="1:2" x14ac:dyDescent="0.2">
      <c r="A4" s="2">
        <v>40513</v>
      </c>
      <c r="B4" s="11">
        <v>52.2</v>
      </c>
    </row>
    <row r="5" spans="1:2" x14ac:dyDescent="0.2">
      <c r="A5" s="2">
        <v>40544</v>
      </c>
      <c r="B5" s="11">
        <v>55.8</v>
      </c>
    </row>
    <row r="6" spans="1:2" x14ac:dyDescent="0.2">
      <c r="A6" s="2">
        <v>40575</v>
      </c>
      <c r="B6" s="11">
        <v>56.7</v>
      </c>
    </row>
    <row r="7" spans="1:2" x14ac:dyDescent="0.2">
      <c r="A7" s="2">
        <v>40603</v>
      </c>
      <c r="B7" s="11">
        <v>55.7</v>
      </c>
    </row>
    <row r="8" spans="1:2" x14ac:dyDescent="0.2">
      <c r="A8" s="2">
        <v>40634</v>
      </c>
      <c r="B8" s="11">
        <v>56</v>
      </c>
    </row>
    <row r="9" spans="1:2" x14ac:dyDescent="0.2">
      <c r="A9" s="2">
        <v>40664</v>
      </c>
      <c r="B9" s="11">
        <v>51.8</v>
      </c>
    </row>
    <row r="10" spans="1:2" x14ac:dyDescent="0.2">
      <c r="A10" s="2">
        <v>40695</v>
      </c>
      <c r="B10" s="11">
        <v>49.8</v>
      </c>
    </row>
    <row r="11" spans="1:2" x14ac:dyDescent="0.2">
      <c r="A11" s="2">
        <v>40725</v>
      </c>
      <c r="B11" s="11">
        <v>48.2</v>
      </c>
    </row>
    <row r="12" spans="1:2" x14ac:dyDescent="0.2">
      <c r="A12" s="2">
        <v>40756</v>
      </c>
      <c r="B12" s="11">
        <v>49.7</v>
      </c>
    </row>
    <row r="13" spans="1:2" x14ac:dyDescent="0.2">
      <c r="A13" s="2">
        <v>40787</v>
      </c>
      <c r="B13" s="11">
        <v>47.3</v>
      </c>
    </row>
    <row r="14" spans="1:2" x14ac:dyDescent="0.2">
      <c r="A14" s="2">
        <v>40817</v>
      </c>
      <c r="B14" s="11">
        <v>50.1</v>
      </c>
    </row>
    <row r="15" spans="1:2" x14ac:dyDescent="0.2">
      <c r="A15" s="2">
        <v>40848</v>
      </c>
      <c r="B15" s="11">
        <v>48.5</v>
      </c>
    </row>
    <row r="16" spans="1:2" x14ac:dyDescent="0.2">
      <c r="A16" s="2">
        <v>40878</v>
      </c>
      <c r="B16" s="11">
        <v>49.8</v>
      </c>
    </row>
    <row r="17" spans="1:2" x14ac:dyDescent="0.2">
      <c r="A17" s="2">
        <v>40909</v>
      </c>
      <c r="B17" s="11">
        <v>49.3</v>
      </c>
    </row>
    <row r="18" spans="1:2" x14ac:dyDescent="0.2">
      <c r="A18" s="2">
        <v>40940</v>
      </c>
      <c r="B18" s="11">
        <v>49.7</v>
      </c>
    </row>
    <row r="19" spans="1:2" x14ac:dyDescent="0.2">
      <c r="A19" s="2">
        <v>40969</v>
      </c>
      <c r="B19" s="11">
        <v>51.5</v>
      </c>
    </row>
    <row r="20" spans="1:2" x14ac:dyDescent="0.2">
      <c r="A20" s="2">
        <v>41000</v>
      </c>
      <c r="B20" s="11">
        <v>50.1</v>
      </c>
    </row>
    <row r="21" spans="1:2" x14ac:dyDescent="0.2">
      <c r="A21" s="2">
        <v>41030</v>
      </c>
      <c r="B21" s="11">
        <v>51.2</v>
      </c>
    </row>
    <row r="22" spans="1:2" x14ac:dyDescent="0.2">
      <c r="A22" s="2">
        <v>41061</v>
      </c>
      <c r="B22" s="11">
        <v>53.1</v>
      </c>
    </row>
    <row r="23" spans="1:2" x14ac:dyDescent="0.2">
      <c r="A23" s="2">
        <v>41091</v>
      </c>
      <c r="B23" s="11">
        <v>53.9</v>
      </c>
    </row>
    <row r="24" spans="1:2" x14ac:dyDescent="0.2">
      <c r="A24" s="2">
        <v>41122</v>
      </c>
      <c r="B24" s="11">
        <v>50.9</v>
      </c>
    </row>
    <row r="25" spans="1:2" x14ac:dyDescent="0.2">
      <c r="A25" s="2">
        <v>41153</v>
      </c>
      <c r="B25" s="11">
        <v>51.8</v>
      </c>
    </row>
    <row r="26" spans="1:2" x14ac:dyDescent="0.2">
      <c r="A26" s="2">
        <v>41183</v>
      </c>
      <c r="B26" s="11">
        <v>52.1</v>
      </c>
    </row>
    <row r="27" spans="1:2" x14ac:dyDescent="0.2">
      <c r="A27" s="2">
        <v>41214</v>
      </c>
      <c r="B27" s="11">
        <v>52.4</v>
      </c>
    </row>
    <row r="28" spans="1:2" x14ac:dyDescent="0.2">
      <c r="A28" s="2">
        <v>41244</v>
      </c>
      <c r="B28" s="11">
        <v>51.4</v>
      </c>
    </row>
    <row r="29" spans="1:2" x14ac:dyDescent="0.2">
      <c r="A29" s="2">
        <v>41275</v>
      </c>
      <c r="B29" s="11">
        <v>50.3</v>
      </c>
    </row>
    <row r="30" spans="1:2" x14ac:dyDescent="0.2">
      <c r="A30" s="2">
        <v>41306</v>
      </c>
      <c r="B30" s="11">
        <v>51.5</v>
      </c>
    </row>
    <row r="31" spans="1:2" x14ac:dyDescent="0.2">
      <c r="A31" s="2">
        <v>41334</v>
      </c>
      <c r="B31" s="11">
        <v>48.6</v>
      </c>
    </row>
    <row r="32" spans="1:2" x14ac:dyDescent="0.2">
      <c r="A32" s="2">
        <v>41365</v>
      </c>
      <c r="B32" s="11">
        <v>48</v>
      </c>
    </row>
    <row r="33" spans="1:2" x14ac:dyDescent="0.2">
      <c r="A33" s="2">
        <v>41395</v>
      </c>
      <c r="B33" s="11">
        <v>49.7</v>
      </c>
    </row>
    <row r="34" spans="1:2" x14ac:dyDescent="0.2">
      <c r="A34" s="2">
        <v>41426</v>
      </c>
      <c r="B34" s="11">
        <v>50.3</v>
      </c>
    </row>
    <row r="35" spans="1:2" x14ac:dyDescent="0.2">
      <c r="A35" s="2">
        <v>41456</v>
      </c>
      <c r="B35" s="11">
        <v>51</v>
      </c>
    </row>
    <row r="36" spans="1:2" x14ac:dyDescent="0.2">
      <c r="A36" s="2">
        <v>41487</v>
      </c>
      <c r="B36" s="11">
        <v>52</v>
      </c>
    </row>
    <row r="37" spans="1:2" x14ac:dyDescent="0.2">
      <c r="A37" s="2">
        <v>41518</v>
      </c>
      <c r="B37" s="11">
        <v>52.7</v>
      </c>
    </row>
    <row r="38" spans="1:2" x14ac:dyDescent="0.2">
      <c r="A38" s="2">
        <v>41548</v>
      </c>
      <c r="B38" s="11">
        <v>54.9</v>
      </c>
    </row>
    <row r="39" spans="1:2" x14ac:dyDescent="0.2">
      <c r="A39" s="2">
        <v>41579</v>
      </c>
      <c r="B39" s="11">
        <v>52.4</v>
      </c>
    </row>
    <row r="40" spans="1:2" x14ac:dyDescent="0.2">
      <c r="A40" s="2">
        <v>41609</v>
      </c>
      <c r="B40" s="11">
        <v>53.5</v>
      </c>
    </row>
    <row r="41" spans="1:2" x14ac:dyDescent="0.2">
      <c r="A41" s="2">
        <v>41640</v>
      </c>
      <c r="B41" s="11">
        <v>52.8</v>
      </c>
    </row>
    <row r="42" spans="1:2" x14ac:dyDescent="0.2">
      <c r="A42" s="2">
        <v>41671</v>
      </c>
      <c r="B42" s="11">
        <v>52.9</v>
      </c>
    </row>
    <row r="43" spans="1:2" x14ac:dyDescent="0.2">
      <c r="A43" s="2">
        <v>41699</v>
      </c>
      <c r="B43" s="11">
        <v>55.5</v>
      </c>
    </row>
    <row r="44" spans="1:2" x14ac:dyDescent="0.2">
      <c r="A44" s="2">
        <v>41730</v>
      </c>
      <c r="B44" s="11">
        <v>56.1</v>
      </c>
    </row>
    <row r="45" spans="1:2" x14ac:dyDescent="0.2">
      <c r="A45" s="2">
        <v>41760</v>
      </c>
      <c r="B45" s="11">
        <v>55</v>
      </c>
    </row>
    <row r="46" spans="1:2" x14ac:dyDescent="0.2">
      <c r="A46" s="2">
        <v>41791</v>
      </c>
      <c r="B46" s="11">
        <v>55.3</v>
      </c>
    </row>
    <row r="47" spans="1:2" x14ac:dyDescent="0.2">
      <c r="A47" s="2">
        <v>41821</v>
      </c>
      <c r="B47" s="11">
        <v>55.4</v>
      </c>
    </row>
    <row r="48" spans="1:2" x14ac:dyDescent="0.2">
      <c r="A48" s="2">
        <v>41852</v>
      </c>
      <c r="B48" s="11">
        <v>57.3</v>
      </c>
    </row>
    <row r="49" spans="1:2" x14ac:dyDescent="0.2">
      <c r="A49" s="2">
        <v>41883</v>
      </c>
      <c r="B49" s="11">
        <v>55.7</v>
      </c>
    </row>
    <row r="50" spans="1:2" x14ac:dyDescent="0.2">
      <c r="A50" s="2">
        <v>41913</v>
      </c>
      <c r="B50" s="11">
        <v>56.6</v>
      </c>
    </row>
    <row r="51" spans="1:2" x14ac:dyDescent="0.2">
      <c r="A51" s="2">
        <v>41944</v>
      </c>
      <c r="B51" s="11">
        <v>56.2</v>
      </c>
    </row>
    <row r="52" spans="1:2" x14ac:dyDescent="0.2">
      <c r="A52" s="2">
        <v>41974</v>
      </c>
      <c r="B52" s="11">
        <v>56.9</v>
      </c>
    </row>
    <row r="53" spans="1:2" x14ac:dyDescent="0.2">
      <c r="A53" s="2">
        <v>42005</v>
      </c>
      <c r="B53" s="11">
        <v>55.1</v>
      </c>
    </row>
    <row r="54" spans="1:2" x14ac:dyDescent="0.2">
      <c r="A54" s="2">
        <v>42036</v>
      </c>
      <c r="B54" s="11">
        <v>57.5</v>
      </c>
    </row>
    <row r="55" spans="1:2" x14ac:dyDescent="0.2">
      <c r="A55" s="2">
        <v>42064</v>
      </c>
      <c r="B55" s="11">
        <v>56.8</v>
      </c>
    </row>
    <row r="56" spans="1:2" x14ac:dyDescent="0.2">
      <c r="A56" s="2">
        <v>42095</v>
      </c>
      <c r="B56" s="11">
        <v>55.8</v>
      </c>
    </row>
    <row r="57" spans="1:2" x14ac:dyDescent="0.2">
      <c r="A57" s="2">
        <v>42125</v>
      </c>
      <c r="B57" s="11">
        <v>57.1</v>
      </c>
    </row>
    <row r="58" spans="1:2" x14ac:dyDescent="0.2">
      <c r="A58" s="2">
        <v>42156</v>
      </c>
      <c r="B58" s="11">
        <v>54.6</v>
      </c>
    </row>
    <row r="59" spans="1:2" x14ac:dyDescent="0.2">
      <c r="A59" s="2">
        <v>42186</v>
      </c>
      <c r="B59" s="11">
        <v>56.7</v>
      </c>
    </row>
    <row r="60" spans="1:2" x14ac:dyDescent="0.2">
      <c r="A60" s="2">
        <v>42217</v>
      </c>
      <c r="B60" s="11">
        <v>53.6</v>
      </c>
    </row>
    <row r="61" spans="1:2" x14ac:dyDescent="0.2">
      <c r="A61" s="2">
        <v>42248</v>
      </c>
      <c r="B61" s="11">
        <v>53.8</v>
      </c>
    </row>
    <row r="62" spans="1:2" x14ac:dyDescent="0.2">
      <c r="A62" s="2">
        <v>42278</v>
      </c>
      <c r="B62" s="11">
        <v>53.6</v>
      </c>
    </row>
    <row r="63" spans="1:2" x14ac:dyDescent="0.2">
      <c r="A63" s="2">
        <v>42309</v>
      </c>
      <c r="B63" s="11">
        <v>53.3</v>
      </c>
    </row>
    <row r="64" spans="1:2" x14ac:dyDescent="0.2">
      <c r="A64" s="2">
        <v>42339</v>
      </c>
      <c r="B64" s="11">
        <v>54.2</v>
      </c>
    </row>
    <row r="65" spans="1:2" x14ac:dyDescent="0.2">
      <c r="A65" s="2">
        <v>42370</v>
      </c>
      <c r="B65" s="11">
        <v>54.3</v>
      </c>
    </row>
    <row r="66" spans="1:2" x14ac:dyDescent="0.2">
      <c r="A66" s="2">
        <v>42401</v>
      </c>
      <c r="B66" s="11">
        <v>52.9</v>
      </c>
    </row>
    <row r="67" spans="1:2" x14ac:dyDescent="0.2">
      <c r="A67" s="2">
        <v>42430</v>
      </c>
      <c r="B67" s="11">
        <v>54.9</v>
      </c>
    </row>
    <row r="68" spans="1:2" x14ac:dyDescent="0.2">
      <c r="A68" s="2">
        <v>42461</v>
      </c>
      <c r="B68" s="11">
        <v>52.6</v>
      </c>
    </row>
    <row r="69" spans="1:2" x14ac:dyDescent="0.2">
      <c r="A69" s="2">
        <v>42491</v>
      </c>
      <c r="B69" s="11">
        <v>51.5</v>
      </c>
    </row>
    <row r="70" spans="1:2" x14ac:dyDescent="0.2">
      <c r="A70" s="2">
        <v>42522</v>
      </c>
      <c r="B70" s="11">
        <v>53</v>
      </c>
    </row>
    <row r="71" spans="1:2" x14ac:dyDescent="0.2">
      <c r="A71" s="2">
        <v>42552</v>
      </c>
      <c r="B71" s="11">
        <v>50.2</v>
      </c>
    </row>
    <row r="72" spans="1:2" x14ac:dyDescent="0.2">
      <c r="A72" s="2">
        <v>42583</v>
      </c>
      <c r="B72" s="11">
        <v>51.7</v>
      </c>
    </row>
    <row r="73" spans="1:2" x14ac:dyDescent="0.2">
      <c r="A73" s="2">
        <v>42614</v>
      </c>
      <c r="B73" s="11">
        <v>51.3</v>
      </c>
    </row>
    <row r="74" spans="1:2" x14ac:dyDescent="0.2">
      <c r="A74" s="2">
        <v>42644</v>
      </c>
      <c r="B74" s="11">
        <v>52.1</v>
      </c>
    </row>
    <row r="75" spans="1:2" x14ac:dyDescent="0.2">
      <c r="A75" s="2">
        <v>42675</v>
      </c>
      <c r="B75" s="11">
        <v>53.7</v>
      </c>
    </row>
    <row r="76" spans="1:2" x14ac:dyDescent="0.2">
      <c r="A76" s="2">
        <v>42705</v>
      </c>
      <c r="B76" s="11">
        <v>55.7</v>
      </c>
    </row>
    <row r="77" spans="1:2" x14ac:dyDescent="0.2">
      <c r="A77" s="2">
        <v>42736</v>
      </c>
      <c r="B77" s="11">
        <v>55.5</v>
      </c>
    </row>
    <row r="78" spans="1:2" x14ac:dyDescent="0.2">
      <c r="A78" s="2">
        <v>42767</v>
      </c>
      <c r="B78" s="11">
        <v>53.8</v>
      </c>
    </row>
    <row r="79" spans="1:2" x14ac:dyDescent="0.2">
      <c r="A79" s="2">
        <v>42795</v>
      </c>
      <c r="B79" s="11">
        <v>53.6</v>
      </c>
    </row>
    <row r="80" spans="1:2" x14ac:dyDescent="0.2">
      <c r="A80" s="2">
        <v>42826</v>
      </c>
      <c r="B80" s="11">
        <v>55</v>
      </c>
    </row>
    <row r="81" spans="1:2" x14ac:dyDescent="0.2">
      <c r="A81" s="2">
        <v>42856</v>
      </c>
      <c r="B81" s="11">
        <v>55.9</v>
      </c>
    </row>
    <row r="82" spans="1:2" x14ac:dyDescent="0.2">
      <c r="A82" s="2">
        <v>42887</v>
      </c>
      <c r="B82" s="11">
        <v>56</v>
      </c>
    </row>
    <row r="83" spans="1:2" x14ac:dyDescent="0.2">
      <c r="A83" s="2">
        <v>42917</v>
      </c>
      <c r="B83" s="11">
        <v>54.6</v>
      </c>
    </row>
    <row r="84" spans="1:2" x14ac:dyDescent="0.2">
      <c r="A84" s="2">
        <v>42948</v>
      </c>
      <c r="B84" s="11">
        <v>56.1</v>
      </c>
    </row>
    <row r="85" spans="1:2" x14ac:dyDescent="0.2">
      <c r="A85" s="2">
        <v>42979</v>
      </c>
      <c r="B85" s="11">
        <v>55.4</v>
      </c>
    </row>
    <row r="86" spans="1:2" x14ac:dyDescent="0.2">
      <c r="A86" s="2">
        <v>43009</v>
      </c>
      <c r="B86" s="11">
        <v>54.4</v>
      </c>
    </row>
    <row r="87" spans="1:2" x14ac:dyDescent="0.2">
      <c r="A87" s="2">
        <v>43040</v>
      </c>
      <c r="B87" s="11">
        <v>58.1</v>
      </c>
    </row>
    <row r="88" spans="1:2" x14ac:dyDescent="0.2">
      <c r="A88" s="2">
        <v>43070</v>
      </c>
      <c r="B88" s="11">
        <v>59.1</v>
      </c>
    </row>
    <row r="89" spans="1:2" x14ac:dyDescent="0.2">
      <c r="A89" s="2">
        <v>43101</v>
      </c>
      <c r="B89" s="11">
        <v>57.6</v>
      </c>
    </row>
    <row r="90" spans="1:2" x14ac:dyDescent="0.2">
      <c r="A90" s="2">
        <v>43132</v>
      </c>
      <c r="B90" s="11">
        <v>56.2</v>
      </c>
    </row>
    <row r="91" spans="1:2" x14ac:dyDescent="0.2">
      <c r="A91" s="2">
        <v>43160</v>
      </c>
      <c r="B91" s="11">
        <v>54.1</v>
      </c>
    </row>
    <row r="92" spans="1:2" x14ac:dyDescent="0.2">
      <c r="A92" s="2">
        <v>43191</v>
      </c>
      <c r="B92" s="11">
        <v>55.3</v>
      </c>
    </row>
    <row r="93" spans="1:2" x14ac:dyDescent="0.2">
      <c r="A93" s="2">
        <v>43221</v>
      </c>
      <c r="B93" s="11">
        <v>55.4</v>
      </c>
    </row>
    <row r="94" spans="1:2" x14ac:dyDescent="0.2">
      <c r="A94" s="2">
        <v>43252</v>
      </c>
      <c r="B94" s="11">
        <v>56.6</v>
      </c>
    </row>
    <row r="95" spans="1:2" x14ac:dyDescent="0.2">
      <c r="A95" s="2">
        <v>43282</v>
      </c>
      <c r="B95" s="11">
        <v>56.3</v>
      </c>
    </row>
    <row r="96" spans="1:2" x14ac:dyDescent="0.2">
      <c r="A96" s="2">
        <v>43313</v>
      </c>
      <c r="B96" s="11">
        <v>57.5</v>
      </c>
    </row>
    <row r="97" spans="1:2" x14ac:dyDescent="0.2">
      <c r="A97" s="2">
        <v>43344</v>
      </c>
      <c r="B97" s="11">
        <v>56.3</v>
      </c>
    </row>
    <row r="98" spans="1:2" x14ac:dyDescent="0.2">
      <c r="A98" s="2">
        <v>43374</v>
      </c>
      <c r="B98" s="11">
        <v>54.9</v>
      </c>
    </row>
    <row r="99" spans="1:2" x14ac:dyDescent="0.2">
      <c r="A99" s="2">
        <v>43405</v>
      </c>
      <c r="B99" s="11">
        <v>55.4</v>
      </c>
    </row>
    <row r="100" spans="1:2" x14ac:dyDescent="0.2">
      <c r="A100" s="2">
        <v>43435</v>
      </c>
      <c r="B100" s="11">
        <v>54.5</v>
      </c>
    </row>
    <row r="101" spans="1:2" x14ac:dyDescent="0.2">
      <c r="A101" s="2">
        <v>43466</v>
      </c>
      <c r="B101" s="11">
        <v>52.6</v>
      </c>
    </row>
    <row r="102" spans="1:2" x14ac:dyDescent="0.2">
      <c r="A102" s="2">
        <v>43497</v>
      </c>
      <c r="B102" s="11">
        <v>54</v>
      </c>
    </row>
    <row r="103" spans="1:2" x14ac:dyDescent="0.2">
      <c r="A103" s="2">
        <v>43525</v>
      </c>
      <c r="B103" s="11">
        <v>53.9</v>
      </c>
    </row>
    <row r="104" spans="1:2" x14ac:dyDescent="0.2">
      <c r="A104" s="2">
        <v>43556</v>
      </c>
      <c r="B104" s="11">
        <v>52.5</v>
      </c>
    </row>
    <row r="105" spans="1:2" x14ac:dyDescent="0.2">
      <c r="A105" s="2">
        <v>43586</v>
      </c>
      <c r="B105" s="11">
        <v>50.4</v>
      </c>
    </row>
    <row r="106" spans="1:2" x14ac:dyDescent="0.2">
      <c r="A106" s="2">
        <v>43617</v>
      </c>
      <c r="B106" s="11">
        <v>49.8</v>
      </c>
    </row>
    <row r="107" spans="1:2" x14ac:dyDescent="0.2">
      <c r="A107" s="2">
        <v>43647</v>
      </c>
      <c r="B107" s="11">
        <v>48.7</v>
      </c>
    </row>
    <row r="108" spans="1:2" x14ac:dyDescent="0.2">
      <c r="A108" s="2">
        <v>43678</v>
      </c>
      <c r="B108" s="11">
        <v>48.6</v>
      </c>
    </row>
    <row r="109" spans="1:2" x14ac:dyDescent="0.2">
      <c r="A109" s="2">
        <v>43709</v>
      </c>
      <c r="B109" s="11">
        <v>48.7</v>
      </c>
    </row>
    <row r="110" spans="1:2" x14ac:dyDescent="0.2">
      <c r="A110" s="2">
        <v>43739</v>
      </c>
      <c r="B110" s="11">
        <v>50.7</v>
      </c>
    </row>
    <row r="111" spans="1:2" x14ac:dyDescent="0.2">
      <c r="A111" s="2">
        <v>43770</v>
      </c>
      <c r="B111" s="11">
        <v>49.7</v>
      </c>
    </row>
    <row r="112" spans="1:2" x14ac:dyDescent="0.2">
      <c r="A112" s="2">
        <v>43800</v>
      </c>
      <c r="B112" s="11">
        <v>49.5</v>
      </c>
    </row>
    <row r="113" spans="1:2" x14ac:dyDescent="0.2">
      <c r="A113" s="2">
        <v>43831</v>
      </c>
      <c r="B113" s="11">
        <v>51.4</v>
      </c>
    </row>
    <row r="114" spans="1:2" x14ac:dyDescent="0.2">
      <c r="A114" s="2">
        <v>43862</v>
      </c>
      <c r="B114" s="11">
        <v>51.2</v>
      </c>
    </row>
    <row r="115" spans="1:2" x14ac:dyDescent="0.2">
      <c r="A115" s="2">
        <v>43891</v>
      </c>
      <c r="B115" s="11">
        <v>45.1</v>
      </c>
    </row>
    <row r="116" spans="1:2" x14ac:dyDescent="0.2">
      <c r="A116" s="2">
        <v>43922</v>
      </c>
      <c r="B116" s="11">
        <v>36</v>
      </c>
    </row>
    <row r="117" spans="1:2" x14ac:dyDescent="0.2">
      <c r="A117" s="2">
        <v>43952</v>
      </c>
      <c r="B117" s="11">
        <v>39.200000000000003</v>
      </c>
    </row>
    <row r="118" spans="1:2" x14ac:dyDescent="0.2">
      <c r="A118" s="2">
        <v>43983</v>
      </c>
      <c r="B118" s="11">
        <v>51</v>
      </c>
    </row>
    <row r="119" spans="1:2" x14ac:dyDescent="0.2">
      <c r="A119" s="2">
        <v>44013</v>
      </c>
      <c r="B119" s="11">
        <v>57.3</v>
      </c>
    </row>
    <row r="120" spans="1:2" x14ac:dyDescent="0.2">
      <c r="A120" s="2">
        <v>44044</v>
      </c>
      <c r="B120" s="11">
        <v>52.3</v>
      </c>
    </row>
    <row r="121" spans="1:2" x14ac:dyDescent="0.2">
      <c r="A121" s="2">
        <v>44075</v>
      </c>
      <c r="B121" s="11">
        <v>50</v>
      </c>
    </row>
    <row r="122" spans="1:2" x14ac:dyDescent="0.2">
      <c r="A122" s="2">
        <v>44105</v>
      </c>
      <c r="B122" s="11">
        <v>50.3</v>
      </c>
    </row>
    <row r="123" spans="1:2" x14ac:dyDescent="0.2">
      <c r="A123" s="2">
        <v>44136</v>
      </c>
      <c r="B123" s="11">
        <v>52.2</v>
      </c>
    </row>
    <row r="124" spans="1:2" x14ac:dyDescent="0.2">
      <c r="A124" s="2">
        <v>44166</v>
      </c>
      <c r="B124" s="11">
        <v>57.2</v>
      </c>
    </row>
    <row r="125" spans="1:2" x14ac:dyDescent="0.2">
      <c r="A125" s="2">
        <v>44197</v>
      </c>
      <c r="B125" s="11">
        <v>51.8</v>
      </c>
    </row>
    <row r="126" spans="1:2" x14ac:dyDescent="0.2">
      <c r="A126" s="2">
        <v>44228</v>
      </c>
      <c r="B126" s="11">
        <v>52</v>
      </c>
    </row>
    <row r="127" spans="1:2" x14ac:dyDescent="0.2">
      <c r="A127" s="2">
        <v>44256</v>
      </c>
      <c r="B127" s="11">
        <v>57.1</v>
      </c>
    </row>
    <row r="128" spans="1:2" x14ac:dyDescent="0.2">
      <c r="A128" s="2">
        <v>44287</v>
      </c>
      <c r="B128" s="11">
        <v>60.8</v>
      </c>
    </row>
    <row r="129" spans="1:2" x14ac:dyDescent="0.2">
      <c r="A129" s="2">
        <v>44317</v>
      </c>
      <c r="B129" s="11">
        <v>64.099999999999994</v>
      </c>
    </row>
    <row r="130" spans="1:2" x14ac:dyDescent="0.2">
      <c r="A130" s="2">
        <v>44348</v>
      </c>
      <c r="B130" s="11">
        <v>64</v>
      </c>
    </row>
    <row r="131" spans="1:2" x14ac:dyDescent="0.2">
      <c r="A131" s="2">
        <v>44378</v>
      </c>
      <c r="B131" s="11">
        <v>63.3</v>
      </c>
    </row>
    <row r="132" spans="1:2" x14ac:dyDescent="0.2">
      <c r="A132" s="2">
        <v>44409</v>
      </c>
      <c r="B132" s="11">
        <v>62.8</v>
      </c>
    </row>
    <row r="133" spans="1:2" x14ac:dyDescent="0.2">
      <c r="A133" s="2">
        <v>44440</v>
      </c>
      <c r="B133" s="11">
        <v>60.3</v>
      </c>
    </row>
    <row r="134" spans="1:2" x14ac:dyDescent="0.2">
      <c r="A134" s="2">
        <v>44470</v>
      </c>
      <c r="B134" s="11">
        <v>62.1</v>
      </c>
    </row>
    <row r="135" spans="1:2" x14ac:dyDescent="0.2">
      <c r="A135" s="2">
        <v>44501</v>
      </c>
      <c r="B135" s="11">
        <v>59.9</v>
      </c>
    </row>
    <row r="136" spans="1:2" x14ac:dyDescent="0.2">
      <c r="A136" s="2">
        <v>44531</v>
      </c>
      <c r="B136" s="11">
        <v>58.3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B136"/>
  <sheetViews>
    <sheetView zoomScale="160" zoomScaleNormal="160" workbookViewId="0">
      <pane ySplit="1" topLeftCell="A2" activePane="bottomLeft" state="frozen"/>
      <selection pane="bottomLeft" activeCell="V129" sqref="V129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27</v>
      </c>
    </row>
    <row r="2" spans="1:2" x14ac:dyDescent="0.2">
      <c r="A2" s="6">
        <v>40452</v>
      </c>
      <c r="B2" s="7" t="s">
        <v>31</v>
      </c>
    </row>
    <row r="3" spans="1:2" x14ac:dyDescent="0.2">
      <c r="A3" s="2">
        <v>40483</v>
      </c>
      <c r="B3" s="11">
        <v>56.4</v>
      </c>
    </row>
    <row r="4" spans="1:2" x14ac:dyDescent="0.2">
      <c r="A4" s="2">
        <v>40513</v>
      </c>
      <c r="B4" s="11">
        <v>56.4</v>
      </c>
    </row>
    <row r="5" spans="1:2" x14ac:dyDescent="0.2">
      <c r="A5" s="2">
        <v>40544</v>
      </c>
      <c r="B5" s="11">
        <v>57.2</v>
      </c>
    </row>
    <row r="6" spans="1:2" x14ac:dyDescent="0.2">
      <c r="A6" s="2">
        <v>40575</v>
      </c>
      <c r="B6" s="11">
        <v>58.5</v>
      </c>
    </row>
    <row r="7" spans="1:2" x14ac:dyDescent="0.2">
      <c r="A7" s="2">
        <v>40603</v>
      </c>
      <c r="B7" s="11">
        <v>56.1</v>
      </c>
    </row>
    <row r="8" spans="1:2" x14ac:dyDescent="0.2">
      <c r="A8" s="2">
        <v>40634</v>
      </c>
      <c r="B8" s="11">
        <v>52.7</v>
      </c>
    </row>
    <row r="9" spans="1:2" x14ac:dyDescent="0.2">
      <c r="A9" s="2">
        <v>40664</v>
      </c>
      <c r="B9" s="11">
        <v>50.6</v>
      </c>
    </row>
    <row r="10" spans="1:2" x14ac:dyDescent="0.2">
      <c r="A10" s="2">
        <v>40695</v>
      </c>
      <c r="B10" s="11">
        <v>52.3</v>
      </c>
    </row>
    <row r="11" spans="1:2" x14ac:dyDescent="0.2">
      <c r="A11" s="2">
        <v>40725</v>
      </c>
      <c r="B11" s="11">
        <v>52.3</v>
      </c>
    </row>
    <row r="12" spans="1:2" x14ac:dyDescent="0.2">
      <c r="A12" s="2">
        <v>40756</v>
      </c>
      <c r="B12" s="11">
        <v>49.8</v>
      </c>
    </row>
    <row r="13" spans="1:2" x14ac:dyDescent="0.2">
      <c r="A13" s="2">
        <v>40787</v>
      </c>
      <c r="B13" s="11">
        <v>51.5</v>
      </c>
    </row>
    <row r="14" spans="1:2" x14ac:dyDescent="0.2">
      <c r="A14" s="2">
        <v>40817</v>
      </c>
      <c r="B14" s="11">
        <v>53.3</v>
      </c>
    </row>
    <row r="15" spans="1:2" x14ac:dyDescent="0.2">
      <c r="A15" s="2">
        <v>40848</v>
      </c>
      <c r="B15" s="11">
        <v>52.3</v>
      </c>
    </row>
    <row r="16" spans="1:2" x14ac:dyDescent="0.2">
      <c r="A16" s="2">
        <v>40878</v>
      </c>
      <c r="B16" s="11">
        <v>52</v>
      </c>
    </row>
    <row r="17" spans="1:2" x14ac:dyDescent="0.2">
      <c r="A17" s="2">
        <v>40909</v>
      </c>
      <c r="B17" s="11">
        <v>51.7</v>
      </c>
    </row>
    <row r="18" spans="1:2" x14ac:dyDescent="0.2">
      <c r="A18" s="2">
        <v>40940</v>
      </c>
      <c r="B18" s="11">
        <v>49.6</v>
      </c>
    </row>
    <row r="19" spans="1:2" x14ac:dyDescent="0.2">
      <c r="A19" s="2">
        <v>40969</v>
      </c>
      <c r="B19" s="11">
        <v>49.6</v>
      </c>
    </row>
    <row r="20" spans="1:2" x14ac:dyDescent="0.2">
      <c r="A20" s="2">
        <v>41000</v>
      </c>
      <c r="B20" s="11">
        <v>52.3</v>
      </c>
    </row>
    <row r="21" spans="1:2" x14ac:dyDescent="0.2">
      <c r="A21" s="2">
        <v>41030</v>
      </c>
      <c r="B21" s="11">
        <v>50.2</v>
      </c>
    </row>
    <row r="22" spans="1:2" x14ac:dyDescent="0.2">
      <c r="A22" s="2">
        <v>41061</v>
      </c>
      <c r="B22" s="11">
        <v>51.4</v>
      </c>
    </row>
    <row r="23" spans="1:2" x14ac:dyDescent="0.2">
      <c r="A23" s="2">
        <v>41091</v>
      </c>
      <c r="B23" s="11">
        <v>49.4</v>
      </c>
    </row>
    <row r="24" spans="1:2" x14ac:dyDescent="0.2">
      <c r="A24" s="2">
        <v>41122</v>
      </c>
      <c r="B24" s="11">
        <v>50</v>
      </c>
    </row>
    <row r="25" spans="1:2" x14ac:dyDescent="0.2">
      <c r="A25" s="2">
        <v>41153</v>
      </c>
      <c r="B25" s="11">
        <v>52.2</v>
      </c>
    </row>
    <row r="26" spans="1:2" x14ac:dyDescent="0.2">
      <c r="A26" s="2">
        <v>41183</v>
      </c>
      <c r="B26" s="11">
        <v>52.5</v>
      </c>
    </row>
    <row r="27" spans="1:2" x14ac:dyDescent="0.2">
      <c r="A27" s="2">
        <v>41214</v>
      </c>
      <c r="B27" s="11">
        <v>51.6</v>
      </c>
    </row>
    <row r="28" spans="1:2" x14ac:dyDescent="0.2">
      <c r="A28" s="2">
        <v>41244</v>
      </c>
      <c r="B28" s="11">
        <v>53.1</v>
      </c>
    </row>
    <row r="29" spans="1:2" x14ac:dyDescent="0.2">
      <c r="A29" s="2">
        <v>41275</v>
      </c>
      <c r="B29" s="11">
        <v>54</v>
      </c>
    </row>
    <row r="30" spans="1:2" x14ac:dyDescent="0.2">
      <c r="A30" s="2">
        <v>41306</v>
      </c>
      <c r="B30" s="11">
        <v>53.5</v>
      </c>
    </row>
    <row r="31" spans="1:2" x14ac:dyDescent="0.2">
      <c r="A31" s="2">
        <v>41334</v>
      </c>
      <c r="B31" s="11">
        <v>52.3</v>
      </c>
    </row>
    <row r="32" spans="1:2" x14ac:dyDescent="0.2">
      <c r="A32" s="2">
        <v>41365</v>
      </c>
      <c r="B32" s="11">
        <v>51.3</v>
      </c>
    </row>
    <row r="33" spans="1:2" x14ac:dyDescent="0.2">
      <c r="A33" s="2">
        <v>41395</v>
      </c>
      <c r="B33" s="11">
        <v>51.1</v>
      </c>
    </row>
    <row r="34" spans="1:2" x14ac:dyDescent="0.2">
      <c r="A34" s="2">
        <v>41426</v>
      </c>
      <c r="B34" s="11">
        <v>51.2</v>
      </c>
    </row>
    <row r="35" spans="1:2" x14ac:dyDescent="0.2">
      <c r="A35" s="2">
        <v>41456</v>
      </c>
      <c r="B35" s="11">
        <v>49.8</v>
      </c>
    </row>
    <row r="36" spans="1:2" x14ac:dyDescent="0.2">
      <c r="A36" s="2">
        <v>41487</v>
      </c>
      <c r="B36" s="11">
        <v>50.9</v>
      </c>
    </row>
    <row r="37" spans="1:2" x14ac:dyDescent="0.2">
      <c r="A37" s="2">
        <v>41518</v>
      </c>
      <c r="B37" s="11">
        <v>54</v>
      </c>
    </row>
    <row r="38" spans="1:2" x14ac:dyDescent="0.2">
      <c r="A38" s="2">
        <v>41548</v>
      </c>
      <c r="B38" s="11">
        <v>53.3</v>
      </c>
    </row>
    <row r="39" spans="1:2" x14ac:dyDescent="0.2">
      <c r="A39" s="2">
        <v>41579</v>
      </c>
      <c r="B39" s="11">
        <v>55</v>
      </c>
    </row>
    <row r="40" spans="1:2" x14ac:dyDescent="0.2">
      <c r="A40" s="2">
        <v>41609</v>
      </c>
      <c r="B40" s="11">
        <v>53.5</v>
      </c>
    </row>
    <row r="41" spans="1:2" x14ac:dyDescent="0.2">
      <c r="A41" s="2">
        <v>41640</v>
      </c>
      <c r="B41" s="11">
        <v>52.7</v>
      </c>
    </row>
    <row r="42" spans="1:2" x14ac:dyDescent="0.2">
      <c r="A42" s="2">
        <v>41671</v>
      </c>
      <c r="B42" s="11">
        <v>53.4</v>
      </c>
    </row>
    <row r="43" spans="1:2" x14ac:dyDescent="0.2">
      <c r="A43" s="2">
        <v>41699</v>
      </c>
      <c r="B43" s="11">
        <v>51.7</v>
      </c>
    </row>
    <row r="44" spans="1:2" x14ac:dyDescent="0.2">
      <c r="A44" s="2">
        <v>41730</v>
      </c>
      <c r="B44" s="11">
        <v>51.1</v>
      </c>
    </row>
    <row r="45" spans="1:2" x14ac:dyDescent="0.2">
      <c r="A45" s="2">
        <v>41760</v>
      </c>
      <c r="B45" s="11">
        <v>50.1</v>
      </c>
    </row>
    <row r="46" spans="1:2" x14ac:dyDescent="0.2">
      <c r="A46" s="2">
        <v>41791</v>
      </c>
      <c r="B46" s="11">
        <v>48.8</v>
      </c>
    </row>
    <row r="47" spans="1:2" x14ac:dyDescent="0.2">
      <c r="A47" s="2">
        <v>41821</v>
      </c>
      <c r="B47" s="11">
        <v>48.5</v>
      </c>
    </row>
    <row r="48" spans="1:2" x14ac:dyDescent="0.2">
      <c r="A48" s="2">
        <v>41852</v>
      </c>
      <c r="B48" s="11">
        <v>50</v>
      </c>
    </row>
    <row r="49" spans="1:2" x14ac:dyDescent="0.2">
      <c r="A49" s="2">
        <v>41883</v>
      </c>
      <c r="B49" s="11">
        <v>50.4</v>
      </c>
    </row>
    <row r="50" spans="1:2" x14ac:dyDescent="0.2">
      <c r="A50" s="2">
        <v>41913</v>
      </c>
      <c r="B50" s="11">
        <v>51.5</v>
      </c>
    </row>
    <row r="51" spans="1:2" x14ac:dyDescent="0.2">
      <c r="A51" s="2">
        <v>41944</v>
      </c>
      <c r="B51" s="11">
        <v>52.2</v>
      </c>
    </row>
    <row r="52" spans="1:2" x14ac:dyDescent="0.2">
      <c r="A52" s="2">
        <v>41974</v>
      </c>
      <c r="B52" s="11">
        <v>51.4</v>
      </c>
    </row>
    <row r="53" spans="1:2" x14ac:dyDescent="0.2">
      <c r="A53" s="2">
        <v>42005</v>
      </c>
      <c r="B53" s="11">
        <v>49.8</v>
      </c>
    </row>
    <row r="54" spans="1:2" x14ac:dyDescent="0.2">
      <c r="A54" s="2">
        <v>42036</v>
      </c>
      <c r="B54" s="11">
        <v>49.6</v>
      </c>
    </row>
    <row r="55" spans="1:2" x14ac:dyDescent="0.2">
      <c r="A55" s="2">
        <v>42064</v>
      </c>
      <c r="B55" s="11">
        <v>48</v>
      </c>
    </row>
    <row r="56" spans="1:2" x14ac:dyDescent="0.2">
      <c r="A56" s="2">
        <v>42095</v>
      </c>
      <c r="B56" s="11">
        <v>48.5</v>
      </c>
    </row>
    <row r="57" spans="1:2" x14ac:dyDescent="0.2">
      <c r="A57" s="2">
        <v>42125</v>
      </c>
      <c r="B57" s="11">
        <v>50.2</v>
      </c>
    </row>
    <row r="58" spans="1:2" x14ac:dyDescent="0.2">
      <c r="A58" s="2">
        <v>42156</v>
      </c>
      <c r="B58" s="11">
        <v>49</v>
      </c>
    </row>
    <row r="59" spans="1:2" x14ac:dyDescent="0.2">
      <c r="A59" s="2">
        <v>42186</v>
      </c>
      <c r="B59" s="11">
        <v>50.1</v>
      </c>
    </row>
    <row r="60" spans="1:2" x14ac:dyDescent="0.2">
      <c r="A60" s="2">
        <v>42217</v>
      </c>
      <c r="B60" s="11">
        <v>49.3</v>
      </c>
    </row>
    <row r="61" spans="1:2" x14ac:dyDescent="0.2">
      <c r="A61" s="2">
        <v>42248</v>
      </c>
      <c r="B61" s="11">
        <v>48.8</v>
      </c>
    </row>
    <row r="62" spans="1:2" x14ac:dyDescent="0.2">
      <c r="A62" s="2">
        <v>42278</v>
      </c>
      <c r="B62" s="11">
        <v>49.5</v>
      </c>
    </row>
    <row r="63" spans="1:2" x14ac:dyDescent="0.2">
      <c r="A63" s="2">
        <v>42309</v>
      </c>
      <c r="B63" s="11">
        <v>50.9</v>
      </c>
    </row>
    <row r="64" spans="1:2" x14ac:dyDescent="0.2">
      <c r="A64" s="2">
        <v>42339</v>
      </c>
      <c r="B64" s="11">
        <v>52.2</v>
      </c>
    </row>
    <row r="65" spans="1:2" x14ac:dyDescent="0.2">
      <c r="A65" s="2">
        <v>42370</v>
      </c>
      <c r="B65" s="11">
        <v>50.9</v>
      </c>
    </row>
    <row r="66" spans="1:2" x14ac:dyDescent="0.2">
      <c r="A66" s="2">
        <v>42401</v>
      </c>
      <c r="B66" s="11">
        <v>50.3</v>
      </c>
    </row>
    <row r="67" spans="1:2" x14ac:dyDescent="0.2">
      <c r="A67" s="2">
        <v>42430</v>
      </c>
      <c r="B67" s="11">
        <v>49.2</v>
      </c>
    </row>
    <row r="68" spans="1:2" x14ac:dyDescent="0.2">
      <c r="A68" s="2">
        <v>42461</v>
      </c>
      <c r="B68" s="11">
        <v>48.9</v>
      </c>
    </row>
    <row r="69" spans="1:2" x14ac:dyDescent="0.2">
      <c r="A69" s="2">
        <v>42491</v>
      </c>
      <c r="B69" s="11">
        <v>49.4</v>
      </c>
    </row>
    <row r="70" spans="1:2" x14ac:dyDescent="0.2">
      <c r="A70" s="2">
        <v>42522</v>
      </c>
      <c r="B70" s="11">
        <v>47.4</v>
      </c>
    </row>
    <row r="71" spans="1:2" x14ac:dyDescent="0.2">
      <c r="A71" s="2">
        <v>42552</v>
      </c>
      <c r="B71" s="11">
        <v>47.6</v>
      </c>
    </row>
    <row r="72" spans="1:2" x14ac:dyDescent="0.2">
      <c r="A72" s="2">
        <v>42583</v>
      </c>
      <c r="B72" s="11">
        <v>47</v>
      </c>
    </row>
    <row r="73" spans="1:2" x14ac:dyDescent="0.2">
      <c r="A73" s="2">
        <v>42614</v>
      </c>
      <c r="B73" s="11">
        <v>48.3</v>
      </c>
    </row>
    <row r="74" spans="1:2" x14ac:dyDescent="0.2">
      <c r="A74" s="2">
        <v>42644</v>
      </c>
      <c r="B74" s="11">
        <v>49.8</v>
      </c>
    </row>
    <row r="75" spans="1:2" x14ac:dyDescent="0.2">
      <c r="A75" s="2">
        <v>42675</v>
      </c>
      <c r="B75" s="11">
        <v>48.8</v>
      </c>
    </row>
    <row r="76" spans="1:2" x14ac:dyDescent="0.2">
      <c r="A76" s="2">
        <v>42705</v>
      </c>
      <c r="B76" s="11">
        <v>47.7</v>
      </c>
    </row>
    <row r="77" spans="1:2" x14ac:dyDescent="0.2">
      <c r="A77" s="2">
        <v>42736</v>
      </c>
      <c r="B77" s="11">
        <v>48.7</v>
      </c>
    </row>
    <row r="78" spans="1:2" x14ac:dyDescent="0.2">
      <c r="A78" s="2">
        <v>42767</v>
      </c>
      <c r="B78" s="11">
        <v>49.7</v>
      </c>
    </row>
    <row r="79" spans="1:2" x14ac:dyDescent="0.2">
      <c r="A79" s="2">
        <v>42795</v>
      </c>
      <c r="B79" s="11">
        <v>52.3</v>
      </c>
    </row>
    <row r="80" spans="1:2" x14ac:dyDescent="0.2">
      <c r="A80" s="2">
        <v>42826</v>
      </c>
      <c r="B80" s="11">
        <v>51.7</v>
      </c>
    </row>
    <row r="81" spans="1:2" x14ac:dyDescent="0.2">
      <c r="A81" s="2">
        <v>42856</v>
      </c>
      <c r="B81" s="11">
        <v>53.5</v>
      </c>
    </row>
    <row r="82" spans="1:2" x14ac:dyDescent="0.2">
      <c r="A82" s="2">
        <v>42887</v>
      </c>
      <c r="B82" s="11">
        <v>54.7</v>
      </c>
    </row>
    <row r="83" spans="1:2" x14ac:dyDescent="0.2">
      <c r="A83" s="2">
        <v>42917</v>
      </c>
      <c r="B83" s="11">
        <v>53.6</v>
      </c>
    </row>
    <row r="84" spans="1:2" x14ac:dyDescent="0.2">
      <c r="A84" s="2">
        <v>42948</v>
      </c>
      <c r="B84" s="11">
        <v>55.3</v>
      </c>
    </row>
    <row r="85" spans="1:2" x14ac:dyDescent="0.2">
      <c r="A85" s="2">
        <v>42979</v>
      </c>
      <c r="B85" s="11">
        <v>53.5</v>
      </c>
    </row>
    <row r="86" spans="1:2" x14ac:dyDescent="0.2">
      <c r="A86" s="2">
        <v>43009</v>
      </c>
      <c r="B86" s="11">
        <v>52.8</v>
      </c>
    </row>
    <row r="87" spans="1:2" x14ac:dyDescent="0.2">
      <c r="A87" s="2">
        <v>43040</v>
      </c>
      <c r="B87" s="11">
        <v>52.9</v>
      </c>
    </row>
    <row r="88" spans="1:2" x14ac:dyDescent="0.2">
      <c r="A88" s="2">
        <v>43070</v>
      </c>
      <c r="B88" s="11">
        <v>54.9</v>
      </c>
    </row>
    <row r="89" spans="1:2" x14ac:dyDescent="0.2">
      <c r="A89" s="2">
        <v>43101</v>
      </c>
      <c r="B89" s="11">
        <v>55.7</v>
      </c>
    </row>
    <row r="90" spans="1:2" x14ac:dyDescent="0.2">
      <c r="A90" s="2">
        <v>43132</v>
      </c>
      <c r="B90" s="11">
        <v>55.6</v>
      </c>
    </row>
    <row r="91" spans="1:2" x14ac:dyDescent="0.2">
      <c r="A91" s="2">
        <v>43160</v>
      </c>
      <c r="B91" s="11">
        <v>51.8</v>
      </c>
    </row>
    <row r="92" spans="1:2" x14ac:dyDescent="0.2">
      <c r="A92" s="2">
        <v>43191</v>
      </c>
      <c r="B92" s="11">
        <v>48.9</v>
      </c>
    </row>
    <row r="93" spans="1:2" x14ac:dyDescent="0.2">
      <c r="A93" s="2">
        <v>43221</v>
      </c>
      <c r="B93" s="11">
        <v>46.4</v>
      </c>
    </row>
    <row r="94" spans="1:2" x14ac:dyDescent="0.2">
      <c r="A94" s="2">
        <v>43252</v>
      </c>
      <c r="B94" s="11">
        <v>46.8</v>
      </c>
    </row>
    <row r="95" spans="1:2" x14ac:dyDescent="0.2">
      <c r="A95" s="2">
        <v>43282</v>
      </c>
      <c r="B95" s="11">
        <v>49</v>
      </c>
    </row>
    <row r="96" spans="1:2" x14ac:dyDescent="0.2">
      <c r="A96" s="2">
        <v>43313</v>
      </c>
      <c r="B96" s="11">
        <v>46.4</v>
      </c>
    </row>
    <row r="97" spans="1:2" x14ac:dyDescent="0.2">
      <c r="A97" s="2">
        <v>43344</v>
      </c>
      <c r="B97" s="11">
        <v>42.7</v>
      </c>
    </row>
    <row r="98" spans="1:2" x14ac:dyDescent="0.2">
      <c r="A98" s="2">
        <v>43374</v>
      </c>
      <c r="B98" s="11">
        <v>44.3</v>
      </c>
    </row>
    <row r="99" spans="1:2" x14ac:dyDescent="0.2">
      <c r="A99" s="2">
        <v>43405</v>
      </c>
      <c r="B99" s="11">
        <v>44.7</v>
      </c>
    </row>
    <row r="100" spans="1:2" x14ac:dyDescent="0.2">
      <c r="A100" s="2">
        <v>43435</v>
      </c>
      <c r="B100" s="11">
        <v>44.2</v>
      </c>
    </row>
    <row r="101" spans="1:2" x14ac:dyDescent="0.2">
      <c r="A101" s="2">
        <v>43466</v>
      </c>
      <c r="B101" s="11">
        <v>44.2</v>
      </c>
    </row>
    <row r="102" spans="1:2" x14ac:dyDescent="0.2">
      <c r="A102" s="2">
        <v>43497</v>
      </c>
      <c r="B102" s="11">
        <v>46.4</v>
      </c>
    </row>
    <row r="103" spans="1:2" x14ac:dyDescent="0.2">
      <c r="A103" s="2">
        <v>43525</v>
      </c>
      <c r="B103" s="11">
        <v>47.2</v>
      </c>
    </row>
    <row r="104" spans="1:2" x14ac:dyDescent="0.2">
      <c r="A104" s="2">
        <v>43556</v>
      </c>
      <c r="B104" s="11">
        <v>46.8</v>
      </c>
    </row>
    <row r="105" spans="1:2" x14ac:dyDescent="0.2">
      <c r="A105" s="2">
        <v>43586</v>
      </c>
      <c r="B105" s="11">
        <v>45.3</v>
      </c>
    </row>
    <row r="106" spans="1:2" x14ac:dyDescent="0.2">
      <c r="A106" s="2">
        <v>43617</v>
      </c>
      <c r="B106" s="11">
        <v>47.9</v>
      </c>
    </row>
    <row r="107" spans="1:2" x14ac:dyDescent="0.2">
      <c r="A107" s="2">
        <v>43647</v>
      </c>
      <c r="B107" s="11">
        <v>46.7</v>
      </c>
    </row>
    <row r="108" spans="1:2" x14ac:dyDescent="0.2">
      <c r="A108" s="2">
        <v>43678</v>
      </c>
      <c r="B108" s="11">
        <v>48</v>
      </c>
    </row>
    <row r="109" spans="1:2" x14ac:dyDescent="0.2">
      <c r="A109" s="2">
        <v>43709</v>
      </c>
      <c r="B109" s="11">
        <v>50</v>
      </c>
    </row>
    <row r="110" spans="1:2" x14ac:dyDescent="0.2">
      <c r="A110" s="2">
        <v>43739</v>
      </c>
      <c r="B110" s="11">
        <v>49</v>
      </c>
    </row>
    <row r="111" spans="1:2" x14ac:dyDescent="0.2">
      <c r="A111" s="2">
        <v>43770</v>
      </c>
      <c r="B111" s="11">
        <v>49.5</v>
      </c>
    </row>
    <row r="112" spans="1:2" x14ac:dyDescent="0.2">
      <c r="A112" s="2">
        <v>43800</v>
      </c>
      <c r="B112" s="11">
        <v>49.5</v>
      </c>
    </row>
    <row r="113" spans="1:2" x14ac:dyDescent="0.2">
      <c r="A113" s="2">
        <v>43831</v>
      </c>
      <c r="B113" s="11">
        <v>51.3</v>
      </c>
    </row>
    <row r="114" spans="1:2" x14ac:dyDescent="0.2">
      <c r="A114" s="2">
        <v>43862</v>
      </c>
      <c r="B114" s="11">
        <v>52.4</v>
      </c>
    </row>
    <row r="115" spans="1:2" x14ac:dyDescent="0.2">
      <c r="A115" s="2">
        <v>43891</v>
      </c>
      <c r="B115" s="11">
        <v>48.1</v>
      </c>
    </row>
    <row r="116" spans="1:2" x14ac:dyDescent="0.2">
      <c r="A116" s="2">
        <v>43922</v>
      </c>
      <c r="B116" s="11">
        <v>33.4</v>
      </c>
    </row>
    <row r="117" spans="1:2" x14ac:dyDescent="0.2">
      <c r="A117" s="2">
        <v>43952</v>
      </c>
      <c r="B117" s="11">
        <v>40.9</v>
      </c>
    </row>
    <row r="118" spans="1:2" x14ac:dyDescent="0.2">
      <c r="A118" s="2">
        <v>43983</v>
      </c>
      <c r="B118" s="11">
        <v>53.9</v>
      </c>
    </row>
    <row r="119" spans="1:2" x14ac:dyDescent="0.2">
      <c r="A119" s="2">
        <v>44013</v>
      </c>
      <c r="B119" s="11">
        <v>56.9</v>
      </c>
    </row>
    <row r="120" spans="1:2" x14ac:dyDescent="0.2">
      <c r="A120" s="2">
        <v>44044</v>
      </c>
      <c r="B120" s="11">
        <v>54.3</v>
      </c>
    </row>
    <row r="121" spans="1:2" x14ac:dyDescent="0.2">
      <c r="A121" s="2">
        <v>44075</v>
      </c>
      <c r="B121" s="11">
        <v>52.8</v>
      </c>
    </row>
    <row r="122" spans="1:2" x14ac:dyDescent="0.2">
      <c r="A122" s="2">
        <v>44105</v>
      </c>
      <c r="B122" s="11">
        <v>53.9</v>
      </c>
    </row>
    <row r="123" spans="1:2" x14ac:dyDescent="0.2">
      <c r="A123" s="2">
        <v>44136</v>
      </c>
      <c r="B123" s="11">
        <v>51.4</v>
      </c>
    </row>
    <row r="124" spans="1:2" x14ac:dyDescent="0.2">
      <c r="A124" s="2">
        <v>44166</v>
      </c>
      <c r="B124" s="11">
        <v>50.8</v>
      </c>
    </row>
    <row r="125" spans="1:2" x14ac:dyDescent="0.2">
      <c r="A125" s="2">
        <v>44197</v>
      </c>
      <c r="B125" s="11">
        <v>54.4</v>
      </c>
    </row>
    <row r="126" spans="1:2" x14ac:dyDescent="0.2">
      <c r="A126" s="2">
        <v>44228</v>
      </c>
      <c r="B126" s="11">
        <v>51.7</v>
      </c>
    </row>
    <row r="127" spans="1:2" x14ac:dyDescent="0.2">
      <c r="A127" s="2">
        <v>44256</v>
      </c>
      <c r="B127" s="11">
        <v>52.6</v>
      </c>
    </row>
    <row r="128" spans="1:2" x14ac:dyDescent="0.2">
      <c r="A128" s="2">
        <v>44287</v>
      </c>
      <c r="B128" s="11">
        <v>50.4</v>
      </c>
    </row>
    <row r="129" spans="1:2" x14ac:dyDescent="0.2">
      <c r="A129" s="2">
        <v>44317</v>
      </c>
      <c r="B129" s="11">
        <v>49.3</v>
      </c>
    </row>
    <row r="130" spans="1:2" x14ac:dyDescent="0.2">
      <c r="A130" s="2">
        <v>44348</v>
      </c>
      <c r="B130" s="11">
        <v>51.3</v>
      </c>
    </row>
    <row r="131" spans="1:2" x14ac:dyDescent="0.2">
      <c r="A131" s="2">
        <v>44378</v>
      </c>
      <c r="B131" s="11">
        <v>54</v>
      </c>
    </row>
    <row r="132" spans="1:2" x14ac:dyDescent="0.2">
      <c r="A132" s="2">
        <v>44409</v>
      </c>
      <c r="B132" s="11">
        <v>54.1</v>
      </c>
    </row>
    <row r="133" spans="1:2" x14ac:dyDescent="0.2">
      <c r="A133" s="2">
        <v>44440</v>
      </c>
      <c r="B133" s="11">
        <v>52.5</v>
      </c>
    </row>
    <row r="134" spans="1:2" x14ac:dyDescent="0.2">
      <c r="A134" s="2">
        <v>44470</v>
      </c>
      <c r="B134" s="11">
        <v>51.2</v>
      </c>
    </row>
    <row r="135" spans="1:2" x14ac:dyDescent="0.2">
      <c r="A135" s="2">
        <v>44501</v>
      </c>
      <c r="B135" s="11">
        <v>52</v>
      </c>
    </row>
    <row r="136" spans="1:2" x14ac:dyDescent="0.2">
      <c r="A136" s="2">
        <v>44531</v>
      </c>
      <c r="B136" s="11">
        <v>52.1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B136"/>
  <sheetViews>
    <sheetView zoomScale="160" zoomScaleNormal="160" workbookViewId="0">
      <pane ySplit="1" topLeftCell="A2" activePane="bottomLeft" state="frozen"/>
      <selection pane="bottomLeft" activeCell="L30" sqref="L30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4</v>
      </c>
    </row>
    <row r="2" spans="1:2" x14ac:dyDescent="0.2">
      <c r="A2" s="6">
        <v>40452</v>
      </c>
      <c r="B2" s="7">
        <v>57.2</v>
      </c>
    </row>
    <row r="3" spans="1:2" x14ac:dyDescent="0.2">
      <c r="A3" s="2">
        <v>40483</v>
      </c>
      <c r="B3" s="11">
        <v>57.3</v>
      </c>
    </row>
    <row r="4" spans="1:2" x14ac:dyDescent="0.2">
      <c r="A4" s="2">
        <v>40513</v>
      </c>
      <c r="B4" s="11">
        <v>58.4</v>
      </c>
    </row>
    <row r="5" spans="1:2" x14ac:dyDescent="0.2">
      <c r="A5" s="2">
        <v>40544</v>
      </c>
      <c r="B5" s="11">
        <v>60.5</v>
      </c>
    </row>
    <row r="6" spans="1:2" x14ac:dyDescent="0.2">
      <c r="A6" s="2">
        <v>40575</v>
      </c>
      <c r="B6" s="11">
        <v>59.8</v>
      </c>
    </row>
    <row r="7" spans="1:2" x14ac:dyDescent="0.2">
      <c r="A7" s="2">
        <v>40603</v>
      </c>
      <c r="B7" s="11">
        <v>58.6</v>
      </c>
    </row>
    <row r="8" spans="1:2" x14ac:dyDescent="0.2">
      <c r="A8" s="2">
        <v>40634</v>
      </c>
      <c r="B8" s="11">
        <v>59</v>
      </c>
    </row>
    <row r="9" spans="1:2" x14ac:dyDescent="0.2">
      <c r="A9" s="2">
        <v>40664</v>
      </c>
      <c r="B9" s="11">
        <v>55.9</v>
      </c>
    </row>
    <row r="10" spans="1:2" x14ac:dyDescent="0.2">
      <c r="A10" s="2">
        <v>40695</v>
      </c>
      <c r="B10" s="11">
        <v>55.1</v>
      </c>
    </row>
    <row r="11" spans="1:2" x14ac:dyDescent="0.2">
      <c r="A11" s="2">
        <v>40725</v>
      </c>
      <c r="B11" s="11">
        <v>53.4</v>
      </c>
    </row>
    <row r="12" spans="1:2" x14ac:dyDescent="0.2">
      <c r="A12" s="2">
        <v>40756</v>
      </c>
      <c r="B12" s="11">
        <v>53.4</v>
      </c>
    </row>
    <row r="13" spans="1:2" x14ac:dyDescent="0.2">
      <c r="A13" s="2">
        <v>40787</v>
      </c>
      <c r="B13" s="11">
        <v>52.3</v>
      </c>
    </row>
    <row r="14" spans="1:2" x14ac:dyDescent="0.2">
      <c r="A14" s="2">
        <v>40817</v>
      </c>
      <c r="B14" s="11">
        <v>51.7</v>
      </c>
    </row>
    <row r="15" spans="1:2" x14ac:dyDescent="0.2">
      <c r="A15" s="2">
        <v>40848</v>
      </c>
      <c r="B15" s="11">
        <v>48.6</v>
      </c>
    </row>
    <row r="16" spans="1:2" x14ac:dyDescent="0.2">
      <c r="A16" s="2">
        <v>40878</v>
      </c>
      <c r="B16" s="11">
        <v>49.2</v>
      </c>
    </row>
    <row r="17" spans="1:2" x14ac:dyDescent="0.2">
      <c r="A17" s="2">
        <v>40909</v>
      </c>
      <c r="B17" s="11">
        <v>48.8</v>
      </c>
    </row>
    <row r="18" spans="1:2" x14ac:dyDescent="0.2">
      <c r="A18" s="2">
        <v>40940</v>
      </c>
      <c r="B18" s="11">
        <v>50.5</v>
      </c>
    </row>
    <row r="19" spans="1:2" x14ac:dyDescent="0.2">
      <c r="A19" s="2">
        <v>40969</v>
      </c>
      <c r="B19" s="11">
        <v>52.1</v>
      </c>
    </row>
    <row r="20" spans="1:2" x14ac:dyDescent="0.2">
      <c r="A20" s="2">
        <v>41000</v>
      </c>
      <c r="B20" s="11">
        <v>49.7</v>
      </c>
    </row>
    <row r="21" spans="1:2" x14ac:dyDescent="0.2">
      <c r="A21" s="2">
        <v>41030</v>
      </c>
      <c r="B21" s="11">
        <v>47.6</v>
      </c>
    </row>
    <row r="22" spans="1:2" x14ac:dyDescent="0.2">
      <c r="A22" s="2">
        <v>41061</v>
      </c>
      <c r="B22" s="11">
        <v>49.4</v>
      </c>
    </row>
    <row r="23" spans="1:2" x14ac:dyDescent="0.2">
      <c r="A23" s="2">
        <v>41091</v>
      </c>
      <c r="B23" s="11">
        <v>49.5</v>
      </c>
    </row>
    <row r="24" spans="1:2" x14ac:dyDescent="0.2">
      <c r="A24" s="2">
        <v>41122</v>
      </c>
      <c r="B24" s="11">
        <v>48.7</v>
      </c>
    </row>
    <row r="25" spans="1:2" x14ac:dyDescent="0.2">
      <c r="A25" s="2">
        <v>41153</v>
      </c>
      <c r="B25" s="11">
        <v>48</v>
      </c>
    </row>
    <row r="26" spans="1:2" x14ac:dyDescent="0.2">
      <c r="A26" s="2">
        <v>41183</v>
      </c>
      <c r="B26" s="11">
        <v>47.2</v>
      </c>
    </row>
    <row r="27" spans="1:2" x14ac:dyDescent="0.2">
      <c r="A27" s="2">
        <v>41214</v>
      </c>
      <c r="B27" s="11">
        <v>48.2</v>
      </c>
    </row>
    <row r="28" spans="1:2" x14ac:dyDescent="0.2">
      <c r="A28" s="2">
        <v>41244</v>
      </c>
      <c r="B28" s="11">
        <v>46</v>
      </c>
    </row>
    <row r="29" spans="1:2" x14ac:dyDescent="0.2">
      <c r="A29" s="2">
        <v>41275</v>
      </c>
      <c r="B29" s="11">
        <v>48.3</v>
      </c>
    </row>
    <row r="30" spans="1:2" x14ac:dyDescent="0.2">
      <c r="A30" s="2">
        <v>41306</v>
      </c>
      <c r="B30" s="11">
        <v>49.9</v>
      </c>
    </row>
    <row r="31" spans="1:2" x14ac:dyDescent="0.2">
      <c r="A31" s="2">
        <v>41334</v>
      </c>
      <c r="B31" s="11">
        <v>49.1</v>
      </c>
    </row>
    <row r="32" spans="1:2" x14ac:dyDescent="0.2">
      <c r="A32" s="2">
        <v>41365</v>
      </c>
      <c r="B32" s="11">
        <v>49.5</v>
      </c>
    </row>
    <row r="33" spans="1:2" x14ac:dyDescent="0.2">
      <c r="A33" s="2">
        <v>41395</v>
      </c>
      <c r="B33" s="11">
        <v>50.1</v>
      </c>
    </row>
    <row r="34" spans="1:2" x14ac:dyDescent="0.2">
      <c r="A34" s="2">
        <v>41426</v>
      </c>
      <c r="B34" s="11">
        <v>51</v>
      </c>
    </row>
    <row r="35" spans="1:2" x14ac:dyDescent="0.2">
      <c r="A35" s="2">
        <v>41456</v>
      </c>
      <c r="B35" s="11">
        <v>52</v>
      </c>
    </row>
    <row r="36" spans="1:2" x14ac:dyDescent="0.2">
      <c r="A36" s="2">
        <v>41487</v>
      </c>
      <c r="B36" s="11">
        <v>53.9</v>
      </c>
    </row>
    <row r="37" spans="1:2" x14ac:dyDescent="0.2">
      <c r="A37" s="2">
        <v>41518</v>
      </c>
      <c r="B37" s="11">
        <v>53.4</v>
      </c>
    </row>
    <row r="38" spans="1:2" x14ac:dyDescent="0.2">
      <c r="A38" s="2">
        <v>41548</v>
      </c>
      <c r="B38" s="11">
        <v>54.5</v>
      </c>
    </row>
    <row r="39" spans="1:2" x14ac:dyDescent="0.2">
      <c r="A39" s="2">
        <v>41579</v>
      </c>
      <c r="B39" s="11">
        <v>55.4</v>
      </c>
    </row>
    <row r="40" spans="1:2" x14ac:dyDescent="0.2">
      <c r="A40" s="2">
        <v>41609</v>
      </c>
      <c r="B40" s="11">
        <v>54.9</v>
      </c>
    </row>
    <row r="41" spans="1:2" x14ac:dyDescent="0.2">
      <c r="A41" s="2">
        <v>41640</v>
      </c>
      <c r="B41" s="11">
        <v>55.9</v>
      </c>
    </row>
    <row r="42" spans="1:2" x14ac:dyDescent="0.2">
      <c r="A42" s="2">
        <v>41671</v>
      </c>
      <c r="B42" s="11">
        <v>56.5</v>
      </c>
    </row>
    <row r="43" spans="1:2" x14ac:dyDescent="0.2">
      <c r="A43" s="2">
        <v>41699</v>
      </c>
      <c r="B43" s="11">
        <v>55.5</v>
      </c>
    </row>
    <row r="44" spans="1:2" x14ac:dyDescent="0.2">
      <c r="A44" s="2">
        <v>41730</v>
      </c>
      <c r="B44" s="11">
        <v>56.5</v>
      </c>
    </row>
    <row r="45" spans="1:2" x14ac:dyDescent="0.2">
      <c r="A45" s="2">
        <v>41760</v>
      </c>
      <c r="B45" s="11">
        <v>57.3</v>
      </c>
    </row>
    <row r="46" spans="1:2" x14ac:dyDescent="0.2">
      <c r="A46" s="2">
        <v>41791</v>
      </c>
      <c r="B46" s="11">
        <v>54.7</v>
      </c>
    </row>
    <row r="47" spans="1:2" x14ac:dyDescent="0.2">
      <c r="A47" s="2">
        <v>41821</v>
      </c>
      <c r="B47" s="11">
        <v>56.463888888888903</v>
      </c>
    </row>
    <row r="48" spans="1:2" x14ac:dyDescent="0.2">
      <c r="A48" s="2">
        <v>41852</v>
      </c>
      <c r="B48" s="11">
        <v>54.3</v>
      </c>
    </row>
    <row r="49" spans="1:2" x14ac:dyDescent="0.2">
      <c r="A49" s="2">
        <v>41883</v>
      </c>
      <c r="B49" s="11">
        <v>55.6</v>
      </c>
    </row>
    <row r="50" spans="1:2" x14ac:dyDescent="0.2">
      <c r="A50" s="2">
        <v>41913</v>
      </c>
      <c r="B50" s="11">
        <v>54.4</v>
      </c>
    </row>
    <row r="51" spans="1:2" x14ac:dyDescent="0.2">
      <c r="A51" s="2">
        <v>41944</v>
      </c>
      <c r="B51" s="11">
        <v>55.6</v>
      </c>
    </row>
    <row r="52" spans="1:2" x14ac:dyDescent="0.2">
      <c r="A52" s="2">
        <v>41974</v>
      </c>
      <c r="B52" s="11">
        <v>53.3</v>
      </c>
    </row>
    <row r="53" spans="1:2" x14ac:dyDescent="0.2">
      <c r="A53" s="2">
        <v>42005</v>
      </c>
      <c r="B53" s="11">
        <v>56.1</v>
      </c>
    </row>
    <row r="54" spans="1:2" x14ac:dyDescent="0.2">
      <c r="A54" s="2">
        <v>42036</v>
      </c>
      <c r="B54" s="11">
        <v>55.6</v>
      </c>
    </row>
    <row r="55" spans="1:2" x14ac:dyDescent="0.2">
      <c r="A55" s="2">
        <v>42064</v>
      </c>
      <c r="B55" s="11">
        <v>56.1</v>
      </c>
    </row>
    <row r="56" spans="1:2" x14ac:dyDescent="0.2">
      <c r="A56" s="2">
        <v>42095</v>
      </c>
      <c r="B56" s="11">
        <v>54.7</v>
      </c>
    </row>
    <row r="57" spans="1:2" x14ac:dyDescent="0.2">
      <c r="A57" s="2">
        <v>42125</v>
      </c>
      <c r="B57" s="11">
        <v>55.5</v>
      </c>
    </row>
    <row r="58" spans="1:2" x14ac:dyDescent="0.2">
      <c r="A58" s="2">
        <v>42156</v>
      </c>
      <c r="B58" s="11">
        <v>56.9</v>
      </c>
    </row>
    <row r="59" spans="1:2" x14ac:dyDescent="0.2">
      <c r="A59" s="2">
        <v>42186</v>
      </c>
      <c r="B59" s="11">
        <v>57.5</v>
      </c>
    </row>
    <row r="60" spans="1:2" x14ac:dyDescent="0.2">
      <c r="A60" s="2">
        <v>42217</v>
      </c>
      <c r="B60" s="11">
        <v>56.6</v>
      </c>
    </row>
    <row r="61" spans="1:2" x14ac:dyDescent="0.2">
      <c r="A61" s="2">
        <v>42248</v>
      </c>
      <c r="B61" s="11">
        <v>55.5</v>
      </c>
    </row>
    <row r="62" spans="1:2" x14ac:dyDescent="0.2">
      <c r="A62" s="2">
        <v>42278</v>
      </c>
      <c r="B62" s="11">
        <v>54</v>
      </c>
    </row>
    <row r="63" spans="1:2" x14ac:dyDescent="0.2">
      <c r="A63" s="2">
        <v>42309</v>
      </c>
      <c r="B63" s="11">
        <v>54.2</v>
      </c>
    </row>
    <row r="64" spans="1:2" x14ac:dyDescent="0.2">
      <c r="A64" s="2">
        <v>42339</v>
      </c>
      <c r="B64" s="11">
        <v>55.6</v>
      </c>
    </row>
    <row r="65" spans="1:2" x14ac:dyDescent="0.2">
      <c r="A65" s="2">
        <v>42370</v>
      </c>
      <c r="B65" s="11">
        <v>56.9</v>
      </c>
    </row>
    <row r="66" spans="1:2" x14ac:dyDescent="0.2">
      <c r="A66" s="2">
        <v>42401</v>
      </c>
      <c r="B66" s="11">
        <v>55.5</v>
      </c>
    </row>
    <row r="67" spans="1:2" x14ac:dyDescent="0.2">
      <c r="A67" s="2">
        <v>42430</v>
      </c>
      <c r="B67" s="11">
        <v>54.3</v>
      </c>
    </row>
    <row r="68" spans="1:2" x14ac:dyDescent="0.2">
      <c r="A68" s="2">
        <v>42461</v>
      </c>
      <c r="B68" s="11">
        <v>53.6</v>
      </c>
    </row>
    <row r="69" spans="1:2" x14ac:dyDescent="0.2">
      <c r="A69" s="2">
        <v>42491</v>
      </c>
      <c r="B69" s="11">
        <v>53.3</v>
      </c>
    </row>
    <row r="70" spans="1:2" x14ac:dyDescent="0.2">
      <c r="A70" s="2">
        <v>42522</v>
      </c>
      <c r="B70" s="11">
        <v>51.8</v>
      </c>
    </row>
    <row r="71" spans="1:2" x14ac:dyDescent="0.2">
      <c r="A71" s="2">
        <v>42552</v>
      </c>
      <c r="B71" s="11">
        <v>49.3</v>
      </c>
    </row>
    <row r="72" spans="1:2" x14ac:dyDescent="0.2">
      <c r="A72" s="2">
        <v>42583</v>
      </c>
      <c r="B72" s="11">
        <v>50.1</v>
      </c>
    </row>
    <row r="73" spans="1:2" x14ac:dyDescent="0.2">
      <c r="A73" s="2">
        <v>42614</v>
      </c>
      <c r="B73" s="11">
        <v>52</v>
      </c>
    </row>
    <row r="74" spans="1:2" x14ac:dyDescent="0.2">
      <c r="A74" s="2">
        <v>42644</v>
      </c>
      <c r="B74" s="11">
        <v>53.3</v>
      </c>
    </row>
    <row r="75" spans="1:2" x14ac:dyDescent="0.2">
      <c r="A75" s="2">
        <v>42675</v>
      </c>
      <c r="B75" s="11">
        <v>52.2</v>
      </c>
    </row>
    <row r="76" spans="1:2" x14ac:dyDescent="0.2">
      <c r="A76" s="2">
        <v>42705</v>
      </c>
      <c r="B76" s="11">
        <v>53.8</v>
      </c>
    </row>
    <row r="77" spans="1:2" x14ac:dyDescent="0.2">
      <c r="A77" s="2">
        <v>42736</v>
      </c>
      <c r="B77" s="11">
        <v>55.7</v>
      </c>
    </row>
    <row r="78" spans="1:2" x14ac:dyDescent="0.2">
      <c r="A78" s="2">
        <v>42767</v>
      </c>
      <c r="B78" s="11">
        <v>57.6</v>
      </c>
    </row>
    <row r="79" spans="1:2" x14ac:dyDescent="0.2">
      <c r="A79" s="2">
        <v>42795</v>
      </c>
      <c r="B79" s="11">
        <v>57.5</v>
      </c>
    </row>
    <row r="80" spans="1:2" x14ac:dyDescent="0.2">
      <c r="A80" s="2">
        <v>42826</v>
      </c>
      <c r="B80" s="11">
        <v>57.5</v>
      </c>
    </row>
    <row r="81" spans="1:2" x14ac:dyDescent="0.2">
      <c r="A81" s="2">
        <v>42856</v>
      </c>
      <c r="B81" s="11">
        <v>56.4</v>
      </c>
    </row>
    <row r="82" spans="1:2" x14ac:dyDescent="0.2">
      <c r="A82" s="2">
        <v>42887</v>
      </c>
      <c r="B82" s="11">
        <v>56.4</v>
      </c>
    </row>
    <row r="83" spans="1:2" x14ac:dyDescent="0.2">
      <c r="A83" s="2">
        <v>42917</v>
      </c>
      <c r="B83" s="11">
        <v>55.3</v>
      </c>
    </row>
    <row r="84" spans="1:2" x14ac:dyDescent="0.2">
      <c r="A84" s="2">
        <v>42948</v>
      </c>
      <c r="B84" s="11">
        <v>54.9</v>
      </c>
    </row>
    <row r="85" spans="1:2" x14ac:dyDescent="0.2">
      <c r="A85" s="2">
        <v>42979</v>
      </c>
      <c r="B85" s="11">
        <v>56.6</v>
      </c>
    </row>
    <row r="86" spans="1:2" x14ac:dyDescent="0.2">
      <c r="A86" s="2">
        <v>43009</v>
      </c>
      <c r="B86" s="11">
        <v>58.5</v>
      </c>
    </row>
    <row r="87" spans="1:2" x14ac:dyDescent="0.2">
      <c r="A87" s="2">
        <v>43040</v>
      </c>
      <c r="B87" s="11">
        <v>58.7</v>
      </c>
    </row>
    <row r="88" spans="1:2" x14ac:dyDescent="0.2">
      <c r="A88" s="2">
        <v>43070</v>
      </c>
      <c r="B88" s="11">
        <v>59.8</v>
      </c>
    </row>
    <row r="89" spans="1:2" x14ac:dyDescent="0.2">
      <c r="A89" s="2">
        <v>43101</v>
      </c>
      <c r="B89" s="11">
        <v>59.8</v>
      </c>
    </row>
    <row r="90" spans="1:2" x14ac:dyDescent="0.2">
      <c r="A90" s="2">
        <v>43132</v>
      </c>
      <c r="B90" s="11">
        <v>58.8</v>
      </c>
    </row>
    <row r="91" spans="1:2" x14ac:dyDescent="0.2">
      <c r="A91" s="2">
        <v>43160</v>
      </c>
      <c r="B91" s="11">
        <v>57.3</v>
      </c>
    </row>
    <row r="92" spans="1:2" x14ac:dyDescent="0.2">
      <c r="A92" s="2">
        <v>43191</v>
      </c>
      <c r="B92" s="11">
        <v>57.2</v>
      </c>
    </row>
    <row r="93" spans="1:2" x14ac:dyDescent="0.2">
      <c r="A93" s="2">
        <v>43221</v>
      </c>
      <c r="B93" s="11">
        <v>56.5</v>
      </c>
    </row>
    <row r="94" spans="1:2" x14ac:dyDescent="0.2">
      <c r="A94" s="2">
        <v>43252</v>
      </c>
      <c r="B94" s="11">
        <v>56.8</v>
      </c>
    </row>
    <row r="95" spans="1:2" x14ac:dyDescent="0.2">
      <c r="A95" s="2">
        <v>43282</v>
      </c>
      <c r="B95" s="11">
        <v>55.4</v>
      </c>
    </row>
    <row r="96" spans="1:2" x14ac:dyDescent="0.2">
      <c r="A96" s="2">
        <v>43313</v>
      </c>
      <c r="B96" s="11">
        <v>54.9</v>
      </c>
    </row>
    <row r="97" spans="1:2" x14ac:dyDescent="0.2">
      <c r="A97" s="2">
        <v>43344</v>
      </c>
      <c r="B97" s="11">
        <v>53.4</v>
      </c>
    </row>
    <row r="98" spans="1:2" x14ac:dyDescent="0.2">
      <c r="A98" s="2">
        <v>43374</v>
      </c>
      <c r="B98" s="11">
        <v>52.5</v>
      </c>
    </row>
    <row r="99" spans="1:2" x14ac:dyDescent="0.2">
      <c r="A99" s="2">
        <v>43405</v>
      </c>
      <c r="B99" s="11">
        <v>51.8</v>
      </c>
    </row>
    <row r="100" spans="1:2" x14ac:dyDescent="0.2">
      <c r="A100" s="2">
        <v>43435</v>
      </c>
      <c r="B100" s="11">
        <v>49.7</v>
      </c>
    </row>
    <row r="101" spans="1:2" x14ac:dyDescent="0.2">
      <c r="A101" s="2">
        <v>43466</v>
      </c>
      <c r="B101" s="11">
        <v>49</v>
      </c>
    </row>
    <row r="102" spans="1:2" x14ac:dyDescent="0.2">
      <c r="A102" s="2">
        <v>43497</v>
      </c>
      <c r="B102" s="11">
        <v>48.6</v>
      </c>
    </row>
    <row r="103" spans="1:2" x14ac:dyDescent="0.2">
      <c r="A103" s="2">
        <v>43525</v>
      </c>
      <c r="B103" s="11">
        <v>47.3</v>
      </c>
    </row>
    <row r="104" spans="1:2" x14ac:dyDescent="0.2">
      <c r="A104" s="2">
        <v>43556</v>
      </c>
      <c r="B104" s="11">
        <v>46.6</v>
      </c>
    </row>
    <row r="105" spans="1:2" x14ac:dyDescent="0.2">
      <c r="A105" s="2">
        <v>43586</v>
      </c>
      <c r="B105" s="11">
        <v>46.6</v>
      </c>
    </row>
    <row r="106" spans="1:2" x14ac:dyDescent="0.2">
      <c r="A106" s="2">
        <v>43617</v>
      </c>
      <c r="B106" s="11">
        <v>45.9</v>
      </c>
    </row>
    <row r="107" spans="1:2" x14ac:dyDescent="0.2">
      <c r="A107" s="2">
        <v>43647</v>
      </c>
      <c r="B107" s="11">
        <v>43.1</v>
      </c>
    </row>
    <row r="108" spans="1:2" x14ac:dyDescent="0.2">
      <c r="A108" s="2">
        <v>43678</v>
      </c>
      <c r="B108" s="11">
        <v>44.9</v>
      </c>
    </row>
    <row r="109" spans="1:2" x14ac:dyDescent="0.2">
      <c r="A109" s="2">
        <v>43709</v>
      </c>
      <c r="B109" s="11">
        <v>44.9</v>
      </c>
    </row>
    <row r="110" spans="1:2" x14ac:dyDescent="0.2">
      <c r="A110" s="2">
        <v>43739</v>
      </c>
      <c r="B110" s="11">
        <v>45</v>
      </c>
    </row>
    <row r="111" spans="1:2" x14ac:dyDescent="0.2">
      <c r="A111" s="2">
        <v>43770</v>
      </c>
      <c r="B111" s="11">
        <v>43.5</v>
      </c>
    </row>
    <row r="112" spans="1:2" x14ac:dyDescent="0.2">
      <c r="A112" s="2">
        <v>43800</v>
      </c>
      <c r="B112" s="11">
        <v>43.6</v>
      </c>
    </row>
    <row r="113" spans="1:2" x14ac:dyDescent="0.2">
      <c r="A113" s="2">
        <v>43831</v>
      </c>
      <c r="B113" s="11">
        <v>45.2</v>
      </c>
    </row>
    <row r="114" spans="1:2" x14ac:dyDescent="0.2">
      <c r="A114" s="2">
        <v>43862</v>
      </c>
      <c r="B114" s="11">
        <v>46.5</v>
      </c>
    </row>
    <row r="115" spans="1:2" x14ac:dyDescent="0.2">
      <c r="A115" s="2">
        <v>43891</v>
      </c>
      <c r="B115" s="11">
        <v>41.3</v>
      </c>
    </row>
    <row r="116" spans="1:2" x14ac:dyDescent="0.2">
      <c r="A116" s="2">
        <v>43922</v>
      </c>
      <c r="B116" s="11">
        <v>35.1</v>
      </c>
    </row>
    <row r="117" spans="1:2" x14ac:dyDescent="0.2">
      <c r="A117" s="2">
        <v>43952</v>
      </c>
      <c r="B117" s="11">
        <v>39.6</v>
      </c>
    </row>
    <row r="118" spans="1:2" x14ac:dyDescent="0.2">
      <c r="A118" s="2">
        <v>43983</v>
      </c>
      <c r="B118" s="11">
        <v>44.9</v>
      </c>
    </row>
    <row r="119" spans="1:2" x14ac:dyDescent="0.2">
      <c r="A119" s="2">
        <v>44013</v>
      </c>
      <c r="B119" s="11">
        <v>47</v>
      </c>
    </row>
    <row r="120" spans="1:2" x14ac:dyDescent="0.2">
      <c r="A120" s="2">
        <v>44044</v>
      </c>
      <c r="B120" s="11">
        <v>49.1</v>
      </c>
    </row>
    <row r="121" spans="1:2" x14ac:dyDescent="0.2">
      <c r="A121" s="2">
        <v>44075</v>
      </c>
      <c r="B121" s="11">
        <v>50.7</v>
      </c>
    </row>
    <row r="122" spans="1:2" x14ac:dyDescent="0.2">
      <c r="A122" s="2">
        <v>44105</v>
      </c>
      <c r="B122" s="11">
        <v>51.9</v>
      </c>
    </row>
    <row r="123" spans="1:2" x14ac:dyDescent="0.2">
      <c r="A123" s="2">
        <v>44136</v>
      </c>
      <c r="B123" s="11">
        <v>53.9</v>
      </c>
    </row>
    <row r="124" spans="1:2" x14ac:dyDescent="0.2">
      <c r="A124" s="2">
        <v>44166</v>
      </c>
      <c r="B124" s="11">
        <v>57</v>
      </c>
    </row>
    <row r="125" spans="1:2" x14ac:dyDescent="0.2">
      <c r="A125" s="2">
        <v>44197</v>
      </c>
      <c r="B125" s="11">
        <v>57</v>
      </c>
    </row>
    <row r="126" spans="1:2" x14ac:dyDescent="0.2">
      <c r="A126" s="2">
        <v>44228</v>
      </c>
      <c r="B126" s="11">
        <v>56.5</v>
      </c>
    </row>
    <row r="127" spans="1:2" x14ac:dyDescent="0.2">
      <c r="A127" s="2">
        <v>44256</v>
      </c>
      <c r="B127" s="11">
        <v>58</v>
      </c>
    </row>
    <row r="128" spans="1:2" x14ac:dyDescent="0.2">
      <c r="A128" s="2">
        <v>44287</v>
      </c>
      <c r="B128" s="11">
        <v>58.9</v>
      </c>
    </row>
    <row r="129" spans="1:2" x14ac:dyDescent="0.2">
      <c r="A129" s="2">
        <v>44317</v>
      </c>
      <c r="B129" s="11">
        <v>61.8</v>
      </c>
    </row>
    <row r="130" spans="1:2" x14ac:dyDescent="0.2">
      <c r="A130" s="2">
        <v>44348</v>
      </c>
      <c r="B130" s="11">
        <v>62.7</v>
      </c>
    </row>
    <row r="131" spans="1:2" x14ac:dyDescent="0.2">
      <c r="A131" s="2">
        <v>44378</v>
      </c>
      <c r="B131" s="11">
        <v>62</v>
      </c>
    </row>
    <row r="132" spans="1:2" x14ac:dyDescent="0.2">
      <c r="A132" s="2">
        <v>44409</v>
      </c>
      <c r="B132" s="11">
        <v>61</v>
      </c>
    </row>
    <row r="133" spans="1:2" x14ac:dyDescent="0.2">
      <c r="A133" s="2">
        <v>44440</v>
      </c>
      <c r="B133" s="11">
        <v>58</v>
      </c>
    </row>
    <row r="134" spans="1:2" x14ac:dyDescent="0.2">
      <c r="A134" s="2">
        <v>44470</v>
      </c>
      <c r="B134" s="11">
        <v>55.1</v>
      </c>
    </row>
    <row r="135" spans="1:2" x14ac:dyDescent="0.2">
      <c r="A135" s="2">
        <v>44501</v>
      </c>
      <c r="B135" s="11">
        <v>57.1</v>
      </c>
    </row>
    <row r="136" spans="1:2" x14ac:dyDescent="0.2">
      <c r="A136" s="2">
        <v>44531</v>
      </c>
      <c r="B136" s="11">
        <v>59.1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B136"/>
  <sheetViews>
    <sheetView zoomScale="170" zoomScaleNormal="170" workbookViewId="0">
      <pane ySplit="1" topLeftCell="A2" activePane="bottomLeft" state="frozen"/>
      <selection pane="bottomLeft" activeCell="L30" sqref="L30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19</v>
      </c>
    </row>
    <row r="2" spans="1:2" x14ac:dyDescent="0.2">
      <c r="A2" s="6">
        <v>40452</v>
      </c>
      <c r="B2" s="7">
        <v>55.6</v>
      </c>
    </row>
    <row r="3" spans="1:2" x14ac:dyDescent="0.2">
      <c r="A3" s="2">
        <v>40483</v>
      </c>
      <c r="B3" s="11">
        <v>55.9</v>
      </c>
    </row>
    <row r="4" spans="1:2" x14ac:dyDescent="0.2">
      <c r="A4" s="2">
        <v>40513</v>
      </c>
      <c r="B4" s="11">
        <v>56.3</v>
      </c>
    </row>
    <row r="5" spans="1:2" x14ac:dyDescent="0.2">
      <c r="A5" s="2">
        <v>40544</v>
      </c>
      <c r="B5" s="11">
        <v>55.6</v>
      </c>
    </row>
    <row r="6" spans="1:2" x14ac:dyDescent="0.2">
      <c r="A6" s="2">
        <v>40575</v>
      </c>
      <c r="B6" s="11">
        <v>53.8</v>
      </c>
    </row>
    <row r="7" spans="1:2" x14ac:dyDescent="0.2">
      <c r="A7" s="2">
        <v>40603</v>
      </c>
      <c r="B7" s="11">
        <v>54.8</v>
      </c>
    </row>
    <row r="8" spans="1:2" x14ac:dyDescent="0.2">
      <c r="A8" s="2">
        <v>40634</v>
      </c>
      <c r="B8" s="11">
        <v>54.4</v>
      </c>
    </row>
    <row r="9" spans="1:2" x14ac:dyDescent="0.2">
      <c r="A9" s="2">
        <v>40664</v>
      </c>
      <c r="B9" s="11">
        <v>52.6</v>
      </c>
    </row>
    <row r="10" spans="1:2" x14ac:dyDescent="0.2">
      <c r="A10" s="2">
        <v>40695</v>
      </c>
      <c r="B10" s="11">
        <v>51.2</v>
      </c>
    </row>
    <row r="11" spans="1:2" x14ac:dyDescent="0.2">
      <c r="A11" s="2">
        <v>40725</v>
      </c>
      <c r="B11" s="11">
        <v>52.9</v>
      </c>
    </row>
    <row r="12" spans="1:2" x14ac:dyDescent="0.2">
      <c r="A12" s="2">
        <v>40756</v>
      </c>
      <c r="B12" s="11">
        <v>51.8</v>
      </c>
    </row>
    <row r="13" spans="1:2" x14ac:dyDescent="0.2">
      <c r="A13" s="2">
        <v>40787</v>
      </c>
      <c r="B13" s="11">
        <v>50.2</v>
      </c>
    </row>
    <row r="14" spans="1:2" x14ac:dyDescent="0.2">
      <c r="A14" s="2">
        <v>40817</v>
      </c>
      <c r="B14" s="11">
        <v>51.7</v>
      </c>
    </row>
    <row r="15" spans="1:2" x14ac:dyDescent="0.2">
      <c r="A15" s="2">
        <v>40848</v>
      </c>
      <c r="B15" s="11">
        <v>49.5</v>
      </c>
    </row>
    <row r="16" spans="1:2" x14ac:dyDescent="0.2">
      <c r="A16" s="2">
        <v>40878</v>
      </c>
      <c r="B16" s="11">
        <v>48.8</v>
      </c>
    </row>
    <row r="17" spans="1:2" x14ac:dyDescent="0.2">
      <c r="A17" s="2">
        <v>40909</v>
      </c>
      <c r="B17" s="11">
        <v>52.2</v>
      </c>
    </row>
    <row r="18" spans="1:2" x14ac:dyDescent="0.2">
      <c r="A18" s="2">
        <v>40940</v>
      </c>
      <c r="B18" s="11">
        <v>50</v>
      </c>
    </row>
    <row r="19" spans="1:2" x14ac:dyDescent="0.2">
      <c r="A19" s="2">
        <v>40969</v>
      </c>
      <c r="B19" s="11">
        <v>50.1</v>
      </c>
    </row>
    <row r="20" spans="1:2" x14ac:dyDescent="0.2">
      <c r="A20" s="2">
        <v>41000</v>
      </c>
      <c r="B20" s="11">
        <v>49.2</v>
      </c>
    </row>
    <row r="21" spans="1:2" x14ac:dyDescent="0.2">
      <c r="A21" s="2">
        <v>41030</v>
      </c>
      <c r="B21" s="11">
        <v>48.9</v>
      </c>
    </row>
    <row r="22" spans="1:2" x14ac:dyDescent="0.2">
      <c r="A22" s="2">
        <v>41061</v>
      </c>
      <c r="B22" s="11">
        <v>48</v>
      </c>
    </row>
    <row r="23" spans="1:2" x14ac:dyDescent="0.2">
      <c r="A23" s="2">
        <v>41091</v>
      </c>
      <c r="B23" s="11">
        <v>49.7</v>
      </c>
    </row>
    <row r="24" spans="1:2" x14ac:dyDescent="0.2">
      <c r="A24" s="2">
        <v>41122</v>
      </c>
      <c r="B24" s="11">
        <v>48.3</v>
      </c>
    </row>
    <row r="25" spans="1:2" x14ac:dyDescent="0.2">
      <c r="A25" s="2">
        <v>41153</v>
      </c>
      <c r="B25" s="11">
        <v>47</v>
      </c>
    </row>
    <row r="26" spans="1:2" x14ac:dyDescent="0.2">
      <c r="A26" s="2">
        <v>41183</v>
      </c>
      <c r="B26" s="11">
        <v>47.3</v>
      </c>
    </row>
    <row r="27" spans="1:2" x14ac:dyDescent="0.2">
      <c r="A27" s="2">
        <v>41214</v>
      </c>
      <c r="B27" s="11">
        <v>48.2</v>
      </c>
    </row>
    <row r="28" spans="1:2" x14ac:dyDescent="0.2">
      <c r="A28" s="2">
        <v>41244</v>
      </c>
      <c r="B28" s="11">
        <v>48.3</v>
      </c>
    </row>
    <row r="29" spans="1:2" x14ac:dyDescent="0.2">
      <c r="A29" s="2">
        <v>41275</v>
      </c>
      <c r="B29" s="11">
        <v>48.6</v>
      </c>
    </row>
    <row r="30" spans="1:2" x14ac:dyDescent="0.2">
      <c r="A30" s="2">
        <v>41306</v>
      </c>
      <c r="B30" s="11">
        <v>48.9</v>
      </c>
    </row>
    <row r="31" spans="1:2" x14ac:dyDescent="0.2">
      <c r="A31" s="2">
        <v>41334</v>
      </c>
      <c r="B31" s="11">
        <v>48</v>
      </c>
    </row>
    <row r="32" spans="1:2" x14ac:dyDescent="0.2">
      <c r="A32" s="2">
        <v>41365</v>
      </c>
      <c r="B32" s="11">
        <v>48</v>
      </c>
    </row>
    <row r="33" spans="1:2" x14ac:dyDescent="0.2">
      <c r="A33" s="2">
        <v>41395</v>
      </c>
      <c r="B33" s="11">
        <v>46.9</v>
      </c>
    </row>
    <row r="34" spans="1:2" x14ac:dyDescent="0.2">
      <c r="A34" s="2">
        <v>41426</v>
      </c>
      <c r="B34" s="11">
        <v>48</v>
      </c>
    </row>
    <row r="35" spans="1:2" x14ac:dyDescent="0.2">
      <c r="A35" s="2">
        <v>41456</v>
      </c>
      <c r="B35" s="11">
        <v>49.3</v>
      </c>
    </row>
    <row r="36" spans="1:2" x14ac:dyDescent="0.2">
      <c r="A36" s="2">
        <v>41487</v>
      </c>
      <c r="B36" s="11">
        <v>51.1</v>
      </c>
    </row>
    <row r="37" spans="1:2" x14ac:dyDescent="0.2">
      <c r="A37" s="2">
        <v>41518</v>
      </c>
      <c r="B37" s="11">
        <v>52.6</v>
      </c>
    </row>
    <row r="38" spans="1:2" x14ac:dyDescent="0.2">
      <c r="A38" s="2">
        <v>41548</v>
      </c>
      <c r="B38" s="11">
        <v>53.4</v>
      </c>
    </row>
    <row r="39" spans="1:2" x14ac:dyDescent="0.2">
      <c r="A39" s="2">
        <v>41579</v>
      </c>
      <c r="B39" s="11">
        <v>54.4</v>
      </c>
    </row>
    <row r="40" spans="1:2" x14ac:dyDescent="0.2">
      <c r="A40" s="2">
        <v>41609</v>
      </c>
      <c r="B40" s="11">
        <v>53.2</v>
      </c>
    </row>
    <row r="41" spans="1:2" x14ac:dyDescent="0.2">
      <c r="A41" s="2">
        <v>41640</v>
      </c>
      <c r="B41" s="11">
        <v>55.4</v>
      </c>
    </row>
    <row r="42" spans="1:2" x14ac:dyDescent="0.2">
      <c r="A42" s="2">
        <v>41671</v>
      </c>
      <c r="B42" s="11">
        <v>55.9</v>
      </c>
    </row>
    <row r="43" spans="1:2" x14ac:dyDescent="0.2">
      <c r="A43" s="2">
        <v>41699</v>
      </c>
      <c r="B43" s="11">
        <v>54</v>
      </c>
    </row>
    <row r="44" spans="1:2" x14ac:dyDescent="0.2">
      <c r="A44" s="2">
        <v>41730</v>
      </c>
      <c r="B44" s="11">
        <v>51.1</v>
      </c>
    </row>
    <row r="45" spans="1:2" x14ac:dyDescent="0.2">
      <c r="A45" s="2">
        <v>41760</v>
      </c>
      <c r="B45" s="11">
        <v>50.8</v>
      </c>
    </row>
    <row r="46" spans="1:2" x14ac:dyDescent="0.2">
      <c r="A46" s="2">
        <v>41791</v>
      </c>
      <c r="B46" s="11">
        <v>50.3</v>
      </c>
    </row>
    <row r="47" spans="1:2" x14ac:dyDescent="0.2">
      <c r="A47" s="2">
        <v>41821</v>
      </c>
      <c r="B47" s="11">
        <v>49.4</v>
      </c>
    </row>
    <row r="48" spans="1:2" x14ac:dyDescent="0.2">
      <c r="A48" s="2">
        <v>41852</v>
      </c>
      <c r="B48" s="11">
        <v>49</v>
      </c>
    </row>
    <row r="49" spans="1:2" x14ac:dyDescent="0.2">
      <c r="A49" s="2">
        <v>41883</v>
      </c>
      <c r="B49" s="11">
        <v>49.5</v>
      </c>
    </row>
    <row r="50" spans="1:2" x14ac:dyDescent="0.2">
      <c r="A50" s="2">
        <v>41913</v>
      </c>
      <c r="B50" s="11">
        <v>51.2</v>
      </c>
    </row>
    <row r="51" spans="1:2" x14ac:dyDescent="0.2">
      <c r="A51" s="2">
        <v>41944</v>
      </c>
      <c r="B51" s="11">
        <v>53.2</v>
      </c>
    </row>
    <row r="52" spans="1:2" x14ac:dyDescent="0.2">
      <c r="A52" s="2">
        <v>41974</v>
      </c>
      <c r="B52" s="11">
        <v>52.8</v>
      </c>
    </row>
    <row r="53" spans="1:2" x14ac:dyDescent="0.2">
      <c r="A53" s="2">
        <v>42005</v>
      </c>
      <c r="B53" s="11">
        <v>55.2</v>
      </c>
    </row>
    <row r="54" spans="1:2" x14ac:dyDescent="0.2">
      <c r="A54" s="2">
        <v>42036</v>
      </c>
      <c r="B54" s="11">
        <v>55.1</v>
      </c>
    </row>
    <row r="55" spans="1:2" x14ac:dyDescent="0.2">
      <c r="A55" s="2">
        <v>42064</v>
      </c>
      <c r="B55" s="11">
        <v>54.8</v>
      </c>
    </row>
    <row r="56" spans="1:2" x14ac:dyDescent="0.2">
      <c r="A56" s="2">
        <v>42095</v>
      </c>
      <c r="B56" s="11">
        <v>54</v>
      </c>
    </row>
    <row r="57" spans="1:2" x14ac:dyDescent="0.2">
      <c r="A57" s="2">
        <v>42125</v>
      </c>
      <c r="B57" s="11">
        <v>52.4</v>
      </c>
    </row>
    <row r="58" spans="1:2" x14ac:dyDescent="0.2">
      <c r="A58" s="2">
        <v>42156</v>
      </c>
      <c r="B58" s="11">
        <v>54.3</v>
      </c>
    </row>
    <row r="59" spans="1:2" x14ac:dyDescent="0.2">
      <c r="A59" s="2">
        <v>42186</v>
      </c>
      <c r="B59" s="11">
        <v>54.5</v>
      </c>
    </row>
    <row r="60" spans="1:2" x14ac:dyDescent="0.2">
      <c r="A60" s="2">
        <v>42217</v>
      </c>
      <c r="B60" s="11">
        <v>51.1</v>
      </c>
    </row>
    <row r="61" spans="1:2" x14ac:dyDescent="0.2">
      <c r="A61" s="2">
        <v>42248</v>
      </c>
      <c r="B61" s="11">
        <v>50.9</v>
      </c>
    </row>
    <row r="62" spans="1:2" x14ac:dyDescent="0.2">
      <c r="A62" s="2">
        <v>42278</v>
      </c>
      <c r="B62" s="11">
        <v>52.2</v>
      </c>
    </row>
    <row r="63" spans="1:2" x14ac:dyDescent="0.2">
      <c r="A63" s="2">
        <v>42309</v>
      </c>
      <c r="B63" s="11">
        <v>52.1</v>
      </c>
    </row>
    <row r="64" spans="1:2" x14ac:dyDescent="0.2">
      <c r="A64" s="2">
        <v>42339</v>
      </c>
      <c r="B64" s="11">
        <v>52.1</v>
      </c>
    </row>
    <row r="65" spans="1:2" x14ac:dyDescent="0.2">
      <c r="A65" s="2">
        <v>42370</v>
      </c>
      <c r="B65" s="11">
        <v>50.9</v>
      </c>
    </row>
    <row r="66" spans="1:2" x14ac:dyDescent="0.2">
      <c r="A66" s="2">
        <v>42401</v>
      </c>
      <c r="B66" s="11">
        <v>52.8</v>
      </c>
    </row>
    <row r="67" spans="1:2" x14ac:dyDescent="0.2">
      <c r="A67" s="2">
        <v>42430</v>
      </c>
      <c r="B67" s="11">
        <v>53.8</v>
      </c>
    </row>
    <row r="68" spans="1:2" x14ac:dyDescent="0.2">
      <c r="A68" s="2">
        <v>42461</v>
      </c>
      <c r="B68" s="11">
        <v>51</v>
      </c>
    </row>
    <row r="69" spans="1:2" x14ac:dyDescent="0.2">
      <c r="A69" s="2">
        <v>42491</v>
      </c>
      <c r="B69" s="11">
        <v>52.1</v>
      </c>
    </row>
    <row r="70" spans="1:2" x14ac:dyDescent="0.2">
      <c r="A70" s="2">
        <v>42522</v>
      </c>
      <c r="B70" s="11">
        <v>51.8</v>
      </c>
    </row>
    <row r="71" spans="1:2" x14ac:dyDescent="0.2">
      <c r="A71" s="2">
        <v>42552</v>
      </c>
      <c r="B71" s="11">
        <v>50.3</v>
      </c>
    </row>
    <row r="72" spans="1:2" x14ac:dyDescent="0.2">
      <c r="A72" s="2">
        <v>42583</v>
      </c>
      <c r="B72" s="11">
        <v>51.5</v>
      </c>
    </row>
    <row r="73" spans="1:2" x14ac:dyDescent="0.2">
      <c r="A73" s="2">
        <v>42614</v>
      </c>
      <c r="B73" s="11">
        <v>52.2</v>
      </c>
    </row>
    <row r="74" spans="1:2" x14ac:dyDescent="0.2">
      <c r="A74" s="2">
        <v>42644</v>
      </c>
      <c r="B74" s="11">
        <v>50.2</v>
      </c>
    </row>
    <row r="75" spans="1:2" x14ac:dyDescent="0.2">
      <c r="A75" s="2">
        <v>42675</v>
      </c>
      <c r="B75" s="11">
        <v>51.9</v>
      </c>
    </row>
    <row r="76" spans="1:2" x14ac:dyDescent="0.2">
      <c r="A76" s="2">
        <v>42705</v>
      </c>
      <c r="B76" s="11">
        <v>54.3</v>
      </c>
    </row>
    <row r="77" spans="1:2" x14ac:dyDescent="0.2">
      <c r="A77" s="2">
        <v>42736</v>
      </c>
      <c r="B77" s="11">
        <v>54.8</v>
      </c>
    </row>
    <row r="78" spans="1:2" x14ac:dyDescent="0.2">
      <c r="A78" s="2">
        <v>42767</v>
      </c>
      <c r="B78" s="11">
        <v>54.2</v>
      </c>
    </row>
    <row r="79" spans="1:2" x14ac:dyDescent="0.2">
      <c r="A79" s="2">
        <v>42795</v>
      </c>
      <c r="B79" s="11">
        <v>53.5</v>
      </c>
    </row>
    <row r="80" spans="1:2" x14ac:dyDescent="0.2">
      <c r="A80" s="2">
        <v>42826</v>
      </c>
      <c r="B80" s="11">
        <v>54.1</v>
      </c>
    </row>
    <row r="81" spans="1:2" x14ac:dyDescent="0.2">
      <c r="A81" s="2">
        <v>42856</v>
      </c>
      <c r="B81" s="11">
        <v>52.7</v>
      </c>
    </row>
    <row r="82" spans="1:2" x14ac:dyDescent="0.2">
      <c r="A82" s="2">
        <v>42887</v>
      </c>
      <c r="B82" s="11">
        <v>53.1</v>
      </c>
    </row>
    <row r="83" spans="1:2" x14ac:dyDescent="0.2">
      <c r="A83" s="2">
        <v>42917</v>
      </c>
      <c r="B83" s="11">
        <v>52.3</v>
      </c>
    </row>
    <row r="84" spans="1:2" x14ac:dyDescent="0.2">
      <c r="A84" s="2">
        <v>42948</v>
      </c>
      <c r="B84" s="11">
        <v>52.5</v>
      </c>
    </row>
    <row r="85" spans="1:2" x14ac:dyDescent="0.2">
      <c r="A85" s="2">
        <v>42979</v>
      </c>
      <c r="B85" s="11">
        <v>53.7</v>
      </c>
    </row>
    <row r="86" spans="1:2" x14ac:dyDescent="0.2">
      <c r="A86" s="2">
        <v>43009</v>
      </c>
      <c r="B86" s="11">
        <v>53.4</v>
      </c>
    </row>
    <row r="87" spans="1:2" x14ac:dyDescent="0.2">
      <c r="A87" s="2">
        <v>43040</v>
      </c>
      <c r="B87" s="11">
        <v>54.2</v>
      </c>
    </row>
    <row r="88" spans="1:2" x14ac:dyDescent="0.2">
      <c r="A88" s="2">
        <v>43070</v>
      </c>
      <c r="B88" s="11">
        <v>55</v>
      </c>
    </row>
    <row r="89" spans="1:2" x14ac:dyDescent="0.2">
      <c r="A89" s="2">
        <v>43101</v>
      </c>
      <c r="B89" s="11">
        <v>54.6</v>
      </c>
    </row>
    <row r="90" spans="1:2" x14ac:dyDescent="0.2">
      <c r="A90" s="2">
        <v>43132</v>
      </c>
      <c r="B90" s="11">
        <v>53.7</v>
      </c>
    </row>
    <row r="91" spans="1:2" x14ac:dyDescent="0.2">
      <c r="A91" s="2">
        <v>43160</v>
      </c>
      <c r="B91" s="11">
        <v>53.7</v>
      </c>
    </row>
    <row r="92" spans="1:2" x14ac:dyDescent="0.2">
      <c r="A92" s="2">
        <v>43191</v>
      </c>
      <c r="B92" s="11">
        <v>53.9</v>
      </c>
    </row>
    <row r="93" spans="1:2" x14ac:dyDescent="0.2">
      <c r="A93" s="2">
        <v>43221</v>
      </c>
      <c r="B93" s="11">
        <v>53.3</v>
      </c>
    </row>
    <row r="94" spans="1:2" x14ac:dyDescent="0.2">
      <c r="A94" s="2">
        <v>43252</v>
      </c>
      <c r="B94" s="11">
        <v>54.2</v>
      </c>
    </row>
    <row r="95" spans="1:2" x14ac:dyDescent="0.2">
      <c r="A95" s="2">
        <v>43282</v>
      </c>
      <c r="B95" s="11">
        <v>52.9</v>
      </c>
    </row>
    <row r="96" spans="1:2" x14ac:dyDescent="0.2">
      <c r="A96" s="2">
        <v>43313</v>
      </c>
      <c r="B96" s="11">
        <v>51.4</v>
      </c>
    </row>
    <row r="97" spans="1:2" x14ac:dyDescent="0.2">
      <c r="A97" s="2">
        <v>43344</v>
      </c>
      <c r="B97" s="11">
        <v>50.5</v>
      </c>
    </row>
    <row r="98" spans="1:2" x14ac:dyDescent="0.2">
      <c r="A98" s="2">
        <v>43374</v>
      </c>
      <c r="B98" s="11">
        <v>50.4</v>
      </c>
    </row>
    <row r="99" spans="1:2" x14ac:dyDescent="0.2">
      <c r="A99" s="2">
        <v>43405</v>
      </c>
      <c r="B99" s="11">
        <v>49.5</v>
      </c>
    </row>
    <row r="100" spans="1:2" x14ac:dyDescent="0.2">
      <c r="A100" s="2">
        <v>43435</v>
      </c>
      <c r="B100" s="11">
        <v>47.6</v>
      </c>
    </row>
    <row r="101" spans="1:2" x14ac:dyDescent="0.2">
      <c r="A101" s="2">
        <v>43466</v>
      </c>
      <c r="B101" s="11">
        <v>48.2</v>
      </c>
    </row>
    <row r="102" spans="1:2" x14ac:dyDescent="0.2">
      <c r="A102" s="2">
        <v>43497</v>
      </c>
      <c r="B102" s="11">
        <v>47.6</v>
      </c>
    </row>
    <row r="103" spans="1:2" x14ac:dyDescent="0.2">
      <c r="A103" s="2">
        <v>43525</v>
      </c>
      <c r="B103" s="11">
        <v>48.7</v>
      </c>
    </row>
    <row r="104" spans="1:2" x14ac:dyDescent="0.2">
      <c r="A104" s="2">
        <v>43556</v>
      </c>
      <c r="B104" s="11">
        <v>49</v>
      </c>
    </row>
    <row r="105" spans="1:2" x14ac:dyDescent="0.2">
      <c r="A105" s="2">
        <v>43586</v>
      </c>
      <c r="B105" s="11">
        <v>48.8</v>
      </c>
    </row>
    <row r="106" spans="1:2" x14ac:dyDescent="0.2">
      <c r="A106" s="2">
        <v>43617</v>
      </c>
      <c r="B106" s="11">
        <v>48.4</v>
      </c>
    </row>
    <row r="107" spans="1:2" x14ac:dyDescent="0.2">
      <c r="A107" s="2">
        <v>43647</v>
      </c>
      <c r="B107" s="11">
        <v>47.4</v>
      </c>
    </row>
    <row r="108" spans="1:2" x14ac:dyDescent="0.2">
      <c r="A108" s="2">
        <v>43678</v>
      </c>
      <c r="B108" s="11">
        <v>48.8</v>
      </c>
    </row>
    <row r="109" spans="1:2" x14ac:dyDescent="0.2">
      <c r="A109" s="2">
        <v>43709</v>
      </c>
      <c r="B109" s="11">
        <v>47.8</v>
      </c>
    </row>
    <row r="110" spans="1:2" x14ac:dyDescent="0.2">
      <c r="A110" s="2">
        <v>43739</v>
      </c>
      <c r="B110" s="11">
        <v>45.6</v>
      </c>
    </row>
    <row r="111" spans="1:2" x14ac:dyDescent="0.2">
      <c r="A111" s="2">
        <v>43770</v>
      </c>
      <c r="B111" s="11">
        <v>46.7</v>
      </c>
    </row>
    <row r="112" spans="1:2" x14ac:dyDescent="0.2">
      <c r="A112" s="2">
        <v>43800</v>
      </c>
      <c r="B112" s="11">
        <v>48</v>
      </c>
    </row>
    <row r="113" spans="1:2" x14ac:dyDescent="0.2">
      <c r="A113" s="2">
        <v>43831</v>
      </c>
      <c r="B113" s="11">
        <v>47.4</v>
      </c>
    </row>
    <row r="114" spans="1:2" x14ac:dyDescent="0.2">
      <c r="A114" s="2">
        <v>43862</v>
      </c>
      <c r="B114" s="11">
        <v>48.2</v>
      </c>
    </row>
    <row r="115" spans="1:2" x14ac:dyDescent="0.2">
      <c r="A115" s="2">
        <v>43891</v>
      </c>
      <c r="B115" s="11">
        <v>42.4</v>
      </c>
    </row>
    <row r="116" spans="1:2" x14ac:dyDescent="0.2">
      <c r="A116" s="2">
        <v>43922</v>
      </c>
      <c r="B116" s="11">
        <v>31.9</v>
      </c>
    </row>
    <row r="117" spans="1:2" x14ac:dyDescent="0.2">
      <c r="A117" s="2">
        <v>43952</v>
      </c>
      <c r="B117" s="11">
        <v>40.6</v>
      </c>
    </row>
    <row r="118" spans="1:2" x14ac:dyDescent="0.2">
      <c r="A118" s="2">
        <v>43983</v>
      </c>
      <c r="B118" s="11">
        <v>47.2</v>
      </c>
    </row>
    <row r="119" spans="1:2" x14ac:dyDescent="0.2">
      <c r="A119" s="2">
        <v>44013</v>
      </c>
      <c r="B119" s="11">
        <v>52.8</v>
      </c>
    </row>
    <row r="120" spans="1:2" x14ac:dyDescent="0.2">
      <c r="A120" s="2">
        <v>44044</v>
      </c>
      <c r="B120" s="11">
        <v>50.6</v>
      </c>
    </row>
    <row r="121" spans="1:2" x14ac:dyDescent="0.2">
      <c r="A121" s="2">
        <v>44075</v>
      </c>
      <c r="B121" s="11">
        <v>50.8</v>
      </c>
    </row>
    <row r="122" spans="1:2" x14ac:dyDescent="0.2">
      <c r="A122" s="2">
        <v>44105</v>
      </c>
      <c r="B122" s="11">
        <v>50.8</v>
      </c>
    </row>
    <row r="123" spans="1:2" x14ac:dyDescent="0.2">
      <c r="A123" s="2">
        <v>44136</v>
      </c>
      <c r="B123" s="11">
        <v>50.8</v>
      </c>
    </row>
    <row r="124" spans="1:2" x14ac:dyDescent="0.2">
      <c r="A124" s="2">
        <v>44166</v>
      </c>
      <c r="B124" s="11">
        <v>51.7</v>
      </c>
    </row>
    <row r="125" spans="1:2" x14ac:dyDescent="0.2">
      <c r="A125" s="2">
        <v>44197</v>
      </c>
      <c r="B125" s="11">
        <v>51.9</v>
      </c>
    </row>
    <row r="126" spans="1:2" x14ac:dyDescent="0.2">
      <c r="A126" s="2">
        <v>44228</v>
      </c>
      <c r="B126" s="11">
        <v>53.4</v>
      </c>
    </row>
    <row r="127" spans="1:2" x14ac:dyDescent="0.2">
      <c r="A127" s="2">
        <v>44256</v>
      </c>
      <c r="B127" s="11">
        <v>54.3</v>
      </c>
    </row>
    <row r="128" spans="1:2" x14ac:dyDescent="0.2">
      <c r="A128" s="2">
        <v>44287</v>
      </c>
      <c r="B128" s="11">
        <v>53.7</v>
      </c>
    </row>
    <row r="129" spans="1:2" x14ac:dyDescent="0.2">
      <c r="A129" s="2">
        <v>44317</v>
      </c>
      <c r="B129" s="11">
        <v>57.2</v>
      </c>
    </row>
    <row r="130" spans="1:2" x14ac:dyDescent="0.2">
      <c r="A130" s="2">
        <v>44348</v>
      </c>
      <c r="B130" s="11">
        <v>59.4</v>
      </c>
    </row>
    <row r="131" spans="1:2" x14ac:dyDescent="0.2">
      <c r="A131" s="2">
        <v>44378</v>
      </c>
      <c r="B131" s="11">
        <v>57.6</v>
      </c>
    </row>
    <row r="132" spans="1:2" x14ac:dyDescent="0.2">
      <c r="A132" s="2">
        <v>44409</v>
      </c>
      <c r="B132" s="11">
        <v>56</v>
      </c>
    </row>
    <row r="133" spans="1:2" x14ac:dyDescent="0.2">
      <c r="A133" s="2">
        <v>44440</v>
      </c>
      <c r="B133" s="11">
        <v>53.4</v>
      </c>
    </row>
    <row r="134" spans="1:2" x14ac:dyDescent="0.2">
      <c r="A134" s="2">
        <v>44470</v>
      </c>
      <c r="B134" s="11">
        <v>53.8</v>
      </c>
    </row>
    <row r="135" spans="1:2" x14ac:dyDescent="0.2">
      <c r="A135" s="2">
        <v>44501</v>
      </c>
      <c r="B135" s="11">
        <v>54.4</v>
      </c>
    </row>
    <row r="136" spans="1:2" x14ac:dyDescent="0.2">
      <c r="A136" s="2">
        <v>44531</v>
      </c>
      <c r="B136" s="11">
        <v>56.1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B337"/>
  <sheetViews>
    <sheetView zoomScale="170" zoomScaleNormal="170" workbookViewId="0">
      <pane ySplit="1" topLeftCell="A2" activePane="bottomLeft" state="frozen"/>
      <selection pane="bottomLeft" activeCell="F321" sqref="F321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5</v>
      </c>
    </row>
    <row r="2" spans="1:2" x14ac:dyDescent="0.2">
      <c r="A2" s="6">
        <v>34335</v>
      </c>
      <c r="B2" s="7">
        <v>62.8</v>
      </c>
    </row>
    <row r="3" spans="1:2" x14ac:dyDescent="0.2">
      <c r="A3" s="2">
        <v>34366</v>
      </c>
      <c r="B3" s="11">
        <v>67.53</v>
      </c>
    </row>
    <row r="4" spans="1:2" x14ac:dyDescent="0.2">
      <c r="A4" s="2">
        <v>34394</v>
      </c>
      <c r="B4" s="11">
        <v>61.89</v>
      </c>
    </row>
    <row r="5" spans="1:2" x14ac:dyDescent="0.2">
      <c r="A5" s="2">
        <v>34425</v>
      </c>
      <c r="B5" s="11">
        <v>60.57</v>
      </c>
    </row>
    <row r="6" spans="1:2" x14ac:dyDescent="0.2">
      <c r="A6" s="2">
        <v>34455</v>
      </c>
      <c r="B6" s="11">
        <v>63.1</v>
      </c>
    </row>
    <row r="7" spans="1:2" x14ac:dyDescent="0.2">
      <c r="A7" s="2">
        <v>34486</v>
      </c>
      <c r="B7" s="11">
        <v>62.94</v>
      </c>
    </row>
    <row r="8" spans="1:2" x14ac:dyDescent="0.2">
      <c r="A8" s="2">
        <v>34516</v>
      </c>
      <c r="B8" s="11">
        <v>63.1</v>
      </c>
    </row>
    <row r="9" spans="1:2" x14ac:dyDescent="0.2">
      <c r="A9" s="2">
        <v>34547</v>
      </c>
      <c r="B9" s="11">
        <v>59.49</v>
      </c>
    </row>
    <row r="10" spans="1:2" x14ac:dyDescent="0.2">
      <c r="A10" s="2">
        <v>34578</v>
      </c>
      <c r="B10" s="11">
        <v>59.36</v>
      </c>
    </row>
    <row r="11" spans="1:2" x14ac:dyDescent="0.2">
      <c r="A11" s="2">
        <v>34608</v>
      </c>
      <c r="B11" s="11">
        <v>61.33</v>
      </c>
    </row>
    <row r="12" spans="1:2" x14ac:dyDescent="0.2">
      <c r="A12" s="2">
        <v>34639</v>
      </c>
      <c r="B12" s="11">
        <v>60.53</v>
      </c>
    </row>
    <row r="13" spans="1:2" x14ac:dyDescent="0.2">
      <c r="A13" s="2">
        <v>34669</v>
      </c>
      <c r="B13" s="11">
        <v>62.29</v>
      </c>
    </row>
    <row r="14" spans="1:2" x14ac:dyDescent="0.2">
      <c r="A14" s="2">
        <v>34700</v>
      </c>
      <c r="B14" s="11">
        <v>62.95</v>
      </c>
    </row>
    <row r="15" spans="1:2" x14ac:dyDescent="0.2">
      <c r="A15" s="2">
        <v>34731</v>
      </c>
      <c r="B15" s="11">
        <v>63.78</v>
      </c>
    </row>
    <row r="16" spans="1:2" x14ac:dyDescent="0.2">
      <c r="A16" s="2">
        <v>34759</v>
      </c>
      <c r="B16" s="11">
        <v>61.91</v>
      </c>
    </row>
    <row r="17" spans="1:2" x14ac:dyDescent="0.2">
      <c r="A17" s="2">
        <v>34790</v>
      </c>
      <c r="B17" s="11">
        <v>59.68</v>
      </c>
    </row>
    <row r="18" spans="1:2" x14ac:dyDescent="0.2">
      <c r="A18" s="2">
        <v>34820</v>
      </c>
      <c r="B18" s="11">
        <v>58.91</v>
      </c>
    </row>
    <row r="19" spans="1:2" x14ac:dyDescent="0.2">
      <c r="A19" s="2">
        <v>34851</v>
      </c>
      <c r="B19" s="11">
        <v>58.16</v>
      </c>
    </row>
    <row r="20" spans="1:2" x14ac:dyDescent="0.2">
      <c r="A20" s="2">
        <v>34881</v>
      </c>
      <c r="B20" s="11">
        <v>65.400000000000006</v>
      </c>
    </row>
    <row r="21" spans="1:2" x14ac:dyDescent="0.2">
      <c r="A21" s="2">
        <v>34912</v>
      </c>
      <c r="B21" s="11">
        <v>56.52</v>
      </c>
    </row>
    <row r="22" spans="1:2" x14ac:dyDescent="0.2">
      <c r="A22" s="2">
        <v>34943</v>
      </c>
      <c r="B22" s="11">
        <v>55.66</v>
      </c>
    </row>
    <row r="23" spans="1:2" x14ac:dyDescent="0.2">
      <c r="A23" s="2">
        <v>34973</v>
      </c>
      <c r="B23" s="11">
        <v>53.13</v>
      </c>
    </row>
    <row r="24" spans="1:2" x14ac:dyDescent="0.2">
      <c r="A24" s="2">
        <v>35004</v>
      </c>
      <c r="B24" s="11">
        <v>55.08</v>
      </c>
    </row>
    <row r="25" spans="1:2" x14ac:dyDescent="0.2">
      <c r="A25" s="2">
        <v>35034</v>
      </c>
      <c r="B25" s="11">
        <v>54.03</v>
      </c>
    </row>
    <row r="26" spans="1:2" x14ac:dyDescent="0.2">
      <c r="A26" s="2">
        <v>35065</v>
      </c>
      <c r="B26" s="11">
        <v>50.16</v>
      </c>
    </row>
    <row r="27" spans="1:2" x14ac:dyDescent="0.2">
      <c r="A27" s="2">
        <v>35096</v>
      </c>
      <c r="B27" s="11">
        <v>46.38</v>
      </c>
    </row>
    <row r="28" spans="1:2" x14ac:dyDescent="0.2">
      <c r="A28" s="2">
        <v>35125</v>
      </c>
      <c r="B28" s="11">
        <v>52.65</v>
      </c>
    </row>
    <row r="29" spans="1:2" x14ac:dyDescent="0.2">
      <c r="A29" s="2">
        <v>35156</v>
      </c>
      <c r="B29" s="11">
        <v>54.64</v>
      </c>
    </row>
    <row r="30" spans="1:2" x14ac:dyDescent="0.2">
      <c r="A30" s="2">
        <v>35186</v>
      </c>
      <c r="B30" s="11">
        <v>48.99</v>
      </c>
    </row>
    <row r="31" spans="1:2" x14ac:dyDescent="0.2">
      <c r="A31" s="2">
        <v>35217</v>
      </c>
      <c r="B31" s="11">
        <v>50.64</v>
      </c>
    </row>
    <row r="32" spans="1:2" x14ac:dyDescent="0.2">
      <c r="A32" s="2">
        <v>35247</v>
      </c>
      <c r="B32" s="11">
        <v>54.72</v>
      </c>
    </row>
    <row r="33" spans="1:2" x14ac:dyDescent="0.2">
      <c r="A33" s="2">
        <v>35278</v>
      </c>
      <c r="B33" s="11">
        <v>56.46</v>
      </c>
    </row>
    <row r="34" spans="1:2" x14ac:dyDescent="0.2">
      <c r="A34" s="2">
        <v>35309</v>
      </c>
      <c r="B34" s="11">
        <v>59.28</v>
      </c>
    </row>
    <row r="35" spans="1:2" x14ac:dyDescent="0.2">
      <c r="A35" s="2">
        <v>35339</v>
      </c>
      <c r="B35" s="11">
        <v>57.49</v>
      </c>
    </row>
    <row r="36" spans="1:2" x14ac:dyDescent="0.2">
      <c r="A36" s="2">
        <v>35370</v>
      </c>
      <c r="B36" s="11">
        <v>61.57</v>
      </c>
    </row>
    <row r="37" spans="1:2" x14ac:dyDescent="0.2">
      <c r="A37" s="2">
        <v>35400</v>
      </c>
      <c r="B37" s="11">
        <v>60.71</v>
      </c>
    </row>
    <row r="38" spans="1:2" x14ac:dyDescent="0.2">
      <c r="A38" s="2">
        <v>35431</v>
      </c>
      <c r="B38" s="11">
        <v>62.72</v>
      </c>
    </row>
    <row r="39" spans="1:2" x14ac:dyDescent="0.2">
      <c r="A39" s="2">
        <v>35462</v>
      </c>
      <c r="B39" s="11">
        <v>57.65</v>
      </c>
    </row>
    <row r="40" spans="1:2" x14ac:dyDescent="0.2">
      <c r="A40" s="2">
        <v>35490</v>
      </c>
      <c r="B40" s="11">
        <v>60.39</v>
      </c>
    </row>
    <row r="41" spans="1:2" x14ac:dyDescent="0.2">
      <c r="A41" s="2">
        <v>35521</v>
      </c>
      <c r="B41" s="11">
        <v>60.87</v>
      </c>
    </row>
    <row r="42" spans="1:2" x14ac:dyDescent="0.2">
      <c r="A42" s="2">
        <v>35551</v>
      </c>
      <c r="B42" s="11">
        <v>64.19</v>
      </c>
    </row>
    <row r="43" spans="1:2" x14ac:dyDescent="0.2">
      <c r="A43" s="2">
        <v>35582</v>
      </c>
      <c r="B43" s="11">
        <v>63.39</v>
      </c>
    </row>
    <row r="44" spans="1:2" x14ac:dyDescent="0.2">
      <c r="A44" s="2">
        <v>35612</v>
      </c>
      <c r="B44" s="11">
        <v>54.92</v>
      </c>
    </row>
    <row r="45" spans="1:2" x14ac:dyDescent="0.2">
      <c r="A45" s="2">
        <v>35643</v>
      </c>
      <c r="B45" s="11">
        <v>61.25</v>
      </c>
    </row>
    <row r="46" spans="1:2" x14ac:dyDescent="0.2">
      <c r="A46" s="2">
        <v>35674</v>
      </c>
      <c r="B46" s="11">
        <v>61.84</v>
      </c>
    </row>
    <row r="47" spans="1:2" x14ac:dyDescent="0.2">
      <c r="A47" s="2">
        <v>35704</v>
      </c>
      <c r="B47" s="11">
        <v>58.84</v>
      </c>
    </row>
    <row r="48" spans="1:2" x14ac:dyDescent="0.2">
      <c r="A48" s="2">
        <v>35735</v>
      </c>
      <c r="B48" s="11">
        <v>56.3</v>
      </c>
    </row>
    <row r="49" spans="1:2" x14ac:dyDescent="0.2">
      <c r="A49" s="2">
        <v>35765</v>
      </c>
      <c r="B49" s="11">
        <v>56.74</v>
      </c>
    </row>
    <row r="50" spans="1:2" x14ac:dyDescent="0.2">
      <c r="A50" s="2">
        <v>35796</v>
      </c>
      <c r="B50" s="11">
        <v>55.77</v>
      </c>
    </row>
    <row r="51" spans="1:2" x14ac:dyDescent="0.2">
      <c r="A51" s="2">
        <v>35827</v>
      </c>
      <c r="B51" s="11">
        <v>55.65</v>
      </c>
    </row>
    <row r="52" spans="1:2" x14ac:dyDescent="0.2">
      <c r="A52" s="2">
        <v>35855</v>
      </c>
      <c r="B52" s="11">
        <v>58.86</v>
      </c>
    </row>
    <row r="53" spans="1:2" x14ac:dyDescent="0.2">
      <c r="A53" s="2">
        <v>35886</v>
      </c>
      <c r="B53" s="11">
        <v>58.81</v>
      </c>
    </row>
    <row r="54" spans="1:2" x14ac:dyDescent="0.2">
      <c r="A54" s="2">
        <v>35916</v>
      </c>
      <c r="B54" s="11">
        <v>60.33</v>
      </c>
    </row>
    <row r="55" spans="1:2" x14ac:dyDescent="0.2">
      <c r="A55" s="2">
        <v>35947</v>
      </c>
      <c r="B55" s="11">
        <v>57.46</v>
      </c>
    </row>
    <row r="56" spans="1:2" x14ac:dyDescent="0.2">
      <c r="A56" s="2">
        <v>35977</v>
      </c>
      <c r="B56" s="11">
        <v>50.71</v>
      </c>
    </row>
    <row r="57" spans="1:2" x14ac:dyDescent="0.2">
      <c r="A57" s="2">
        <v>36008</v>
      </c>
      <c r="B57" s="11">
        <v>62.84</v>
      </c>
    </row>
    <row r="58" spans="1:2" x14ac:dyDescent="0.2">
      <c r="A58" s="2">
        <v>36039</v>
      </c>
      <c r="B58" s="11">
        <v>51.54</v>
      </c>
    </row>
    <row r="59" spans="1:2" x14ac:dyDescent="0.2">
      <c r="A59" s="2">
        <v>36069</v>
      </c>
      <c r="B59" s="11">
        <v>54.96</v>
      </c>
    </row>
    <row r="60" spans="1:2" x14ac:dyDescent="0.2">
      <c r="A60" s="2">
        <v>36100</v>
      </c>
      <c r="B60" s="11">
        <v>48.18</v>
      </c>
    </row>
    <row r="61" spans="1:2" x14ac:dyDescent="0.2">
      <c r="A61" s="2">
        <v>36130</v>
      </c>
      <c r="B61" s="11">
        <v>49.94</v>
      </c>
    </row>
    <row r="62" spans="1:2" x14ac:dyDescent="0.2">
      <c r="A62" s="2">
        <v>36161</v>
      </c>
      <c r="B62" s="11">
        <v>53.69</v>
      </c>
    </row>
    <row r="63" spans="1:2" x14ac:dyDescent="0.2">
      <c r="A63" s="2">
        <v>36192</v>
      </c>
      <c r="B63" s="11">
        <v>55.51</v>
      </c>
    </row>
    <row r="64" spans="1:2" x14ac:dyDescent="0.2">
      <c r="A64" s="2">
        <v>36220</v>
      </c>
      <c r="B64" s="11">
        <v>45.32</v>
      </c>
    </row>
    <row r="65" spans="1:2" x14ac:dyDescent="0.2">
      <c r="A65" s="2">
        <v>36251</v>
      </c>
      <c r="B65" s="11">
        <v>50.98</v>
      </c>
    </row>
    <row r="66" spans="1:2" x14ac:dyDescent="0.2">
      <c r="A66" s="2">
        <v>36281</v>
      </c>
      <c r="B66" s="11">
        <v>48.33</v>
      </c>
    </row>
    <row r="67" spans="1:2" x14ac:dyDescent="0.2">
      <c r="A67" s="2">
        <v>36312</v>
      </c>
      <c r="B67" s="11">
        <v>51.51</v>
      </c>
    </row>
    <row r="68" spans="1:2" x14ac:dyDescent="0.2">
      <c r="A68" s="2">
        <v>36342</v>
      </c>
      <c r="B68" s="11">
        <v>53.07</v>
      </c>
    </row>
    <row r="69" spans="1:2" x14ac:dyDescent="0.2">
      <c r="A69" s="2">
        <v>36373</v>
      </c>
      <c r="B69" s="11">
        <v>49.58</v>
      </c>
    </row>
    <row r="70" spans="1:2" x14ac:dyDescent="0.2">
      <c r="A70" s="2">
        <v>36404</v>
      </c>
      <c r="B70" s="11">
        <v>52.05</v>
      </c>
    </row>
    <row r="71" spans="1:2" x14ac:dyDescent="0.2">
      <c r="A71" s="2">
        <v>36434</v>
      </c>
      <c r="B71" s="11">
        <v>69.790000000000006</v>
      </c>
    </row>
    <row r="72" spans="1:2" x14ac:dyDescent="0.2">
      <c r="A72" s="2">
        <v>36465</v>
      </c>
      <c r="B72" s="11">
        <v>64.63</v>
      </c>
    </row>
    <row r="73" spans="1:2" x14ac:dyDescent="0.2">
      <c r="A73" s="2">
        <v>36495</v>
      </c>
      <c r="B73" s="11">
        <v>46.56</v>
      </c>
    </row>
    <row r="74" spans="1:2" x14ac:dyDescent="0.2">
      <c r="A74" s="2">
        <v>36526</v>
      </c>
      <c r="B74" s="11">
        <v>56.5</v>
      </c>
    </row>
    <row r="75" spans="1:2" x14ac:dyDescent="0.2">
      <c r="A75" s="2">
        <v>36557</v>
      </c>
      <c r="B75" s="11">
        <v>60.09</v>
      </c>
    </row>
    <row r="76" spans="1:2" x14ac:dyDescent="0.2">
      <c r="A76" s="2">
        <v>36586</v>
      </c>
      <c r="B76" s="11">
        <v>58.03</v>
      </c>
    </row>
    <row r="77" spans="1:2" x14ac:dyDescent="0.2">
      <c r="A77" s="2">
        <v>36617</v>
      </c>
      <c r="B77" s="11">
        <v>54.9</v>
      </c>
    </row>
    <row r="78" spans="1:2" x14ac:dyDescent="0.2">
      <c r="A78" s="2">
        <v>36647</v>
      </c>
      <c r="B78" s="11">
        <v>55.18</v>
      </c>
    </row>
    <row r="79" spans="1:2" x14ac:dyDescent="0.2">
      <c r="A79" s="2">
        <v>36678</v>
      </c>
      <c r="B79" s="11">
        <v>53.67</v>
      </c>
    </row>
    <row r="80" spans="1:2" x14ac:dyDescent="0.2">
      <c r="A80" s="2">
        <v>36708</v>
      </c>
      <c r="B80" s="11">
        <v>64.069999999999993</v>
      </c>
    </row>
    <row r="81" spans="1:2" x14ac:dyDescent="0.2">
      <c r="A81" s="2">
        <v>36739</v>
      </c>
      <c r="B81" s="11">
        <v>56.81</v>
      </c>
    </row>
    <row r="82" spans="1:2" x14ac:dyDescent="0.2">
      <c r="A82" s="2">
        <v>36770</v>
      </c>
      <c r="B82" s="11">
        <v>56.21</v>
      </c>
    </row>
    <row r="83" spans="1:2" x14ac:dyDescent="0.2">
      <c r="A83" s="2">
        <v>36800</v>
      </c>
      <c r="B83" s="11">
        <v>59.71</v>
      </c>
    </row>
    <row r="84" spans="1:2" x14ac:dyDescent="0.2">
      <c r="A84" s="2">
        <v>36831</v>
      </c>
      <c r="B84" s="11">
        <v>54.29</v>
      </c>
    </row>
    <row r="85" spans="1:2" x14ac:dyDescent="0.2">
      <c r="A85" s="2">
        <v>36861</v>
      </c>
      <c r="B85" s="11">
        <v>55.54</v>
      </c>
    </row>
    <row r="86" spans="1:2" x14ac:dyDescent="0.2">
      <c r="A86" s="2">
        <v>36892</v>
      </c>
      <c r="B86" s="11">
        <v>52.88</v>
      </c>
    </row>
    <row r="87" spans="1:2" x14ac:dyDescent="0.2">
      <c r="A87" s="2">
        <v>36923</v>
      </c>
      <c r="B87" s="11">
        <v>51.59</v>
      </c>
    </row>
    <row r="88" spans="1:2" x14ac:dyDescent="0.2">
      <c r="A88" s="2">
        <v>36951</v>
      </c>
      <c r="B88" s="11">
        <v>52.49</v>
      </c>
    </row>
    <row r="89" spans="1:2" x14ac:dyDescent="0.2">
      <c r="A89" s="2">
        <v>36982</v>
      </c>
      <c r="B89" s="11">
        <v>49.61</v>
      </c>
    </row>
    <row r="90" spans="1:2" x14ac:dyDescent="0.2">
      <c r="A90" s="2">
        <v>37012</v>
      </c>
      <c r="B90" s="11">
        <v>52.89</v>
      </c>
    </row>
    <row r="91" spans="1:2" x14ac:dyDescent="0.2">
      <c r="A91" s="2">
        <v>37043</v>
      </c>
      <c r="B91" s="11">
        <v>53.97</v>
      </c>
    </row>
    <row r="92" spans="1:2" x14ac:dyDescent="0.2">
      <c r="A92" s="2">
        <v>37073</v>
      </c>
      <c r="B92" s="11">
        <v>50.42</v>
      </c>
    </row>
    <row r="93" spans="1:2" x14ac:dyDescent="0.2">
      <c r="A93" s="2">
        <v>37104</v>
      </c>
      <c r="B93" s="11">
        <v>53.21</v>
      </c>
    </row>
    <row r="94" spans="1:2" x14ac:dyDescent="0.2">
      <c r="A94" s="2">
        <v>37135</v>
      </c>
      <c r="B94" s="11">
        <v>47.75</v>
      </c>
    </row>
    <row r="95" spans="1:2" x14ac:dyDescent="0.2">
      <c r="A95" s="2">
        <v>37165</v>
      </c>
      <c r="B95" s="11">
        <v>46.09</v>
      </c>
    </row>
    <row r="96" spans="1:2" x14ac:dyDescent="0.2">
      <c r="A96" s="2">
        <v>37196</v>
      </c>
      <c r="B96" s="11">
        <v>50.81</v>
      </c>
    </row>
    <row r="97" spans="1:2" x14ac:dyDescent="0.2">
      <c r="A97" s="2">
        <v>37226</v>
      </c>
      <c r="B97" s="11">
        <v>46.1</v>
      </c>
    </row>
    <row r="98" spans="1:2" x14ac:dyDescent="0.2">
      <c r="A98" s="2">
        <v>37257</v>
      </c>
      <c r="B98" s="11">
        <v>52.42</v>
      </c>
    </row>
    <row r="99" spans="1:2" x14ac:dyDescent="0.2">
      <c r="A99" s="2">
        <v>37288</v>
      </c>
      <c r="B99" s="11">
        <v>53.28</v>
      </c>
    </row>
    <row r="100" spans="1:2" x14ac:dyDescent="0.2">
      <c r="A100" s="2">
        <v>37316</v>
      </c>
      <c r="B100" s="11">
        <v>53.02</v>
      </c>
    </row>
    <row r="101" spans="1:2" x14ac:dyDescent="0.2">
      <c r="A101" s="2">
        <v>37347</v>
      </c>
      <c r="B101" s="11">
        <v>55.71</v>
      </c>
    </row>
    <row r="102" spans="1:2" x14ac:dyDescent="0.2">
      <c r="A102" s="2">
        <v>37377</v>
      </c>
      <c r="B102" s="11">
        <v>52.26</v>
      </c>
    </row>
    <row r="103" spans="1:2" x14ac:dyDescent="0.2">
      <c r="A103" s="2">
        <v>37408</v>
      </c>
      <c r="B103" s="11">
        <v>53.98</v>
      </c>
    </row>
    <row r="104" spans="1:2" x14ac:dyDescent="0.2">
      <c r="A104" s="2">
        <v>37438</v>
      </c>
      <c r="B104" s="11">
        <v>54.33</v>
      </c>
    </row>
    <row r="105" spans="1:2" x14ac:dyDescent="0.2">
      <c r="A105" s="2">
        <v>37469</v>
      </c>
      <c r="B105" s="11">
        <v>53.11</v>
      </c>
    </row>
    <row r="106" spans="1:2" x14ac:dyDescent="0.2">
      <c r="A106" s="2">
        <v>37500</v>
      </c>
      <c r="B106" s="11">
        <v>52.08</v>
      </c>
    </row>
    <row r="107" spans="1:2" x14ac:dyDescent="0.2">
      <c r="A107" s="2">
        <v>37530</v>
      </c>
      <c r="B107" s="11">
        <v>47.57</v>
      </c>
    </row>
    <row r="108" spans="1:2" x14ac:dyDescent="0.2">
      <c r="A108" s="4">
        <v>37561</v>
      </c>
      <c r="B108" s="5">
        <v>47.96</v>
      </c>
    </row>
    <row r="109" spans="1:2" x14ac:dyDescent="0.2">
      <c r="A109" s="2">
        <v>37591</v>
      </c>
      <c r="B109" s="11">
        <v>48.71</v>
      </c>
    </row>
    <row r="110" spans="1:2" x14ac:dyDescent="0.2">
      <c r="A110" s="2">
        <v>37622</v>
      </c>
      <c r="B110" s="11">
        <v>46.3</v>
      </c>
    </row>
    <row r="111" spans="1:2" x14ac:dyDescent="0.2">
      <c r="A111" s="2">
        <v>37653</v>
      </c>
      <c r="B111" s="11">
        <v>46.27</v>
      </c>
    </row>
    <row r="112" spans="1:2" x14ac:dyDescent="0.2">
      <c r="A112" s="2">
        <v>37681</v>
      </c>
      <c r="B112" s="11">
        <v>49.92</v>
      </c>
    </row>
    <row r="113" spans="1:2" x14ac:dyDescent="0.2">
      <c r="A113" s="2">
        <v>37712</v>
      </c>
      <c r="B113" s="11">
        <v>52.91</v>
      </c>
    </row>
    <row r="114" spans="1:2" x14ac:dyDescent="0.2">
      <c r="A114" s="2">
        <v>37742</v>
      </c>
      <c r="B114" s="11">
        <v>50.11</v>
      </c>
    </row>
    <row r="115" spans="1:2" x14ac:dyDescent="0.2">
      <c r="A115" s="2">
        <v>37773</v>
      </c>
      <c r="B115" s="11">
        <v>47.14</v>
      </c>
    </row>
    <row r="116" spans="1:2" x14ac:dyDescent="0.2">
      <c r="A116" s="2">
        <v>37803</v>
      </c>
      <c r="B116" s="11">
        <v>49.65</v>
      </c>
    </row>
    <row r="117" spans="1:2" x14ac:dyDescent="0.2">
      <c r="A117" s="2">
        <v>37834</v>
      </c>
      <c r="B117" s="11">
        <v>49.78</v>
      </c>
    </row>
    <row r="118" spans="1:2" x14ac:dyDescent="0.2">
      <c r="A118" s="2">
        <v>37865</v>
      </c>
      <c r="B118" s="11">
        <v>59.65</v>
      </c>
    </row>
    <row r="119" spans="1:2" x14ac:dyDescent="0.2">
      <c r="A119" s="2">
        <v>37895</v>
      </c>
      <c r="B119" s="11">
        <v>54.14</v>
      </c>
    </row>
    <row r="120" spans="1:2" x14ac:dyDescent="0.2">
      <c r="A120" s="2">
        <v>37926</v>
      </c>
      <c r="B120" s="11">
        <v>57.7</v>
      </c>
    </row>
    <row r="121" spans="1:2" x14ac:dyDescent="0.2">
      <c r="A121" s="2">
        <v>37956</v>
      </c>
      <c r="B121" s="11">
        <v>60.4</v>
      </c>
    </row>
    <row r="122" spans="1:2" x14ac:dyDescent="0.2">
      <c r="A122" s="2">
        <v>37987</v>
      </c>
      <c r="B122" s="11">
        <v>46.37</v>
      </c>
    </row>
    <row r="123" spans="1:2" x14ac:dyDescent="0.2">
      <c r="A123" s="2">
        <v>38018</v>
      </c>
      <c r="B123" s="11">
        <v>56.97</v>
      </c>
    </row>
    <row r="124" spans="1:2" x14ac:dyDescent="0.2">
      <c r="A124" s="2">
        <v>38047</v>
      </c>
      <c r="B124" s="11">
        <v>58.99</v>
      </c>
    </row>
    <row r="125" spans="1:2" x14ac:dyDescent="0.2">
      <c r="A125" s="2">
        <v>38078</v>
      </c>
      <c r="B125" s="11">
        <v>59.16</v>
      </c>
    </row>
    <row r="126" spans="1:2" x14ac:dyDescent="0.2">
      <c r="A126" s="2">
        <v>38108</v>
      </c>
      <c r="B126" s="11">
        <v>61.27</v>
      </c>
    </row>
    <row r="127" spans="1:2" x14ac:dyDescent="0.2">
      <c r="A127" s="2">
        <v>38139</v>
      </c>
      <c r="B127" s="11">
        <v>51.93</v>
      </c>
    </row>
    <row r="128" spans="1:2" x14ac:dyDescent="0.2">
      <c r="A128" s="2">
        <v>38169</v>
      </c>
      <c r="B128" s="11">
        <v>56.18</v>
      </c>
    </row>
    <row r="129" spans="1:2" x14ac:dyDescent="0.2">
      <c r="A129" s="2">
        <v>38200</v>
      </c>
      <c r="B129" s="11">
        <v>62.38</v>
      </c>
    </row>
    <row r="130" spans="1:2" x14ac:dyDescent="0.2">
      <c r="A130" s="2">
        <v>38231</v>
      </c>
      <c r="B130" s="11">
        <v>57.36</v>
      </c>
    </row>
    <row r="131" spans="1:2" x14ac:dyDescent="0.2">
      <c r="A131" s="2">
        <v>38261</v>
      </c>
      <c r="B131" s="11">
        <v>56.87</v>
      </c>
    </row>
    <row r="132" spans="1:2" x14ac:dyDescent="0.2">
      <c r="A132" s="2">
        <v>38292</v>
      </c>
      <c r="B132" s="11">
        <v>54.39</v>
      </c>
    </row>
    <row r="133" spans="1:2" x14ac:dyDescent="0.2">
      <c r="A133" s="2">
        <v>38322</v>
      </c>
      <c r="B133" s="11">
        <v>57.58</v>
      </c>
    </row>
    <row r="134" spans="1:2" x14ac:dyDescent="0.2">
      <c r="A134" s="2">
        <v>38353</v>
      </c>
      <c r="B134" s="11">
        <v>59.37</v>
      </c>
    </row>
    <row r="135" spans="1:2" x14ac:dyDescent="0.2">
      <c r="A135" s="2">
        <v>38384</v>
      </c>
      <c r="B135" s="11">
        <v>55.3</v>
      </c>
    </row>
    <row r="136" spans="1:2" x14ac:dyDescent="0.2">
      <c r="A136" s="2">
        <v>38412</v>
      </c>
      <c r="B136" s="11">
        <v>56.66</v>
      </c>
    </row>
    <row r="137" spans="1:2" x14ac:dyDescent="0.2">
      <c r="A137" s="2">
        <v>38443</v>
      </c>
      <c r="B137" s="11">
        <v>52.88</v>
      </c>
    </row>
    <row r="138" spans="1:2" x14ac:dyDescent="0.2">
      <c r="A138" s="2">
        <v>38473</v>
      </c>
      <c r="B138" s="11">
        <v>53.51</v>
      </c>
    </row>
    <row r="139" spans="1:2" x14ac:dyDescent="0.2">
      <c r="A139" s="2">
        <v>38504</v>
      </c>
      <c r="B139" s="11">
        <v>58.58</v>
      </c>
    </row>
    <row r="140" spans="1:2" x14ac:dyDescent="0.2">
      <c r="A140" s="2">
        <v>38534</v>
      </c>
      <c r="B140" s="11">
        <v>56.43</v>
      </c>
    </row>
    <row r="141" spans="1:2" x14ac:dyDescent="0.2">
      <c r="A141" s="2">
        <v>38565</v>
      </c>
      <c r="B141" s="11">
        <v>56.34</v>
      </c>
    </row>
    <row r="142" spans="1:2" x14ac:dyDescent="0.2">
      <c r="A142" s="2">
        <v>38596</v>
      </c>
      <c r="B142" s="11">
        <v>61.16</v>
      </c>
    </row>
    <row r="143" spans="1:2" x14ac:dyDescent="0.2">
      <c r="A143" s="2">
        <v>38626</v>
      </c>
      <c r="B143" s="11">
        <v>68.930000000000007</v>
      </c>
    </row>
    <row r="144" spans="1:2" x14ac:dyDescent="0.2">
      <c r="A144" s="2">
        <v>38657</v>
      </c>
      <c r="B144" s="11">
        <v>57.53</v>
      </c>
    </row>
    <row r="145" spans="1:2" x14ac:dyDescent="0.2">
      <c r="A145" s="2">
        <v>38687</v>
      </c>
      <c r="B145" s="11">
        <v>59.8</v>
      </c>
    </row>
    <row r="146" spans="1:2" x14ac:dyDescent="0.2">
      <c r="A146" s="2">
        <v>38718</v>
      </c>
      <c r="B146" s="11">
        <v>58.97</v>
      </c>
    </row>
    <row r="147" spans="1:2" x14ac:dyDescent="0.2">
      <c r="A147" s="2">
        <v>38749</v>
      </c>
      <c r="B147" s="11">
        <v>60.32</v>
      </c>
    </row>
    <row r="148" spans="1:2" x14ac:dyDescent="0.2">
      <c r="A148" s="2">
        <v>38777</v>
      </c>
      <c r="B148" s="11">
        <v>52.93</v>
      </c>
    </row>
    <row r="149" spans="1:2" x14ac:dyDescent="0.2">
      <c r="A149" s="2">
        <v>38808</v>
      </c>
      <c r="B149" s="11">
        <v>55.97</v>
      </c>
    </row>
    <row r="150" spans="1:2" x14ac:dyDescent="0.2">
      <c r="A150" s="2">
        <v>38838</v>
      </c>
      <c r="B150" s="11">
        <v>56.87</v>
      </c>
    </row>
    <row r="151" spans="1:2" x14ac:dyDescent="0.2">
      <c r="A151" s="2">
        <v>38869</v>
      </c>
      <c r="B151" s="11">
        <v>56.69</v>
      </c>
    </row>
    <row r="152" spans="1:2" x14ac:dyDescent="0.2">
      <c r="A152" s="2">
        <v>38899</v>
      </c>
      <c r="B152" s="11">
        <v>58.32</v>
      </c>
    </row>
    <row r="153" spans="1:2" x14ac:dyDescent="0.2">
      <c r="A153" s="2">
        <v>38930</v>
      </c>
      <c r="B153" s="11">
        <v>63.49</v>
      </c>
    </row>
    <row r="154" spans="1:2" x14ac:dyDescent="0.2">
      <c r="A154" s="2">
        <v>38961</v>
      </c>
      <c r="B154" s="11">
        <v>62.87</v>
      </c>
    </row>
    <row r="155" spans="1:2" x14ac:dyDescent="0.2">
      <c r="A155" s="2">
        <v>38991</v>
      </c>
      <c r="B155" s="11">
        <v>62.65</v>
      </c>
    </row>
    <row r="156" spans="1:2" x14ac:dyDescent="0.2">
      <c r="A156" s="2">
        <v>39022</v>
      </c>
      <c r="B156" s="11">
        <v>66.77</v>
      </c>
    </row>
    <row r="157" spans="1:2" x14ac:dyDescent="0.2">
      <c r="A157" s="2">
        <v>39052</v>
      </c>
      <c r="B157" s="11">
        <v>62.5</v>
      </c>
    </row>
    <row r="158" spans="1:2" x14ac:dyDescent="0.2">
      <c r="A158" s="2">
        <v>39083</v>
      </c>
      <c r="B158" s="11">
        <v>55.72</v>
      </c>
    </row>
    <row r="159" spans="1:2" x14ac:dyDescent="0.2">
      <c r="A159" s="2">
        <v>39114</v>
      </c>
      <c r="B159" s="11">
        <v>60.51</v>
      </c>
    </row>
    <row r="160" spans="1:2" x14ac:dyDescent="0.2">
      <c r="A160" s="2">
        <v>39142</v>
      </c>
      <c r="B160" s="11">
        <v>65.52</v>
      </c>
    </row>
    <row r="161" spans="1:2" x14ac:dyDescent="0.2">
      <c r="A161" s="2">
        <v>39173</v>
      </c>
      <c r="B161" s="11">
        <v>63.43</v>
      </c>
    </row>
    <row r="162" spans="1:2" x14ac:dyDescent="0.2">
      <c r="A162" s="2">
        <v>39203</v>
      </c>
      <c r="B162" s="11">
        <v>62.81</v>
      </c>
    </row>
    <row r="163" spans="1:2" x14ac:dyDescent="0.2">
      <c r="A163" s="2">
        <v>39234</v>
      </c>
      <c r="B163" s="11">
        <v>59.06</v>
      </c>
    </row>
    <row r="164" spans="1:2" x14ac:dyDescent="0.2">
      <c r="A164" s="2">
        <v>39264</v>
      </c>
      <c r="B164" s="11">
        <v>63.94</v>
      </c>
    </row>
    <row r="165" spans="1:2" x14ac:dyDescent="0.2">
      <c r="A165" s="2">
        <v>39295</v>
      </c>
      <c r="B165" s="11">
        <v>55.08</v>
      </c>
    </row>
    <row r="166" spans="1:2" x14ac:dyDescent="0.2">
      <c r="A166" s="2">
        <v>39326</v>
      </c>
      <c r="B166" s="11">
        <v>57.16</v>
      </c>
    </row>
    <row r="167" spans="1:2" x14ac:dyDescent="0.2">
      <c r="A167" s="2">
        <v>39356</v>
      </c>
      <c r="B167" s="11">
        <v>59.94</v>
      </c>
    </row>
    <row r="168" spans="1:2" x14ac:dyDescent="0.2">
      <c r="A168" s="2">
        <v>39387</v>
      </c>
      <c r="B168" s="11">
        <v>57.03</v>
      </c>
    </row>
    <row r="169" spans="1:2" x14ac:dyDescent="0.2">
      <c r="A169" s="2">
        <v>39417</v>
      </c>
      <c r="B169" s="11">
        <v>55.62</v>
      </c>
    </row>
    <row r="170" spans="1:2" x14ac:dyDescent="0.2">
      <c r="A170" s="2">
        <v>39448</v>
      </c>
      <c r="B170" s="11">
        <v>56.34</v>
      </c>
    </row>
    <row r="171" spans="1:2" x14ac:dyDescent="0.2">
      <c r="A171" s="2">
        <v>39479</v>
      </c>
      <c r="B171" s="11">
        <v>64.819999999999993</v>
      </c>
    </row>
    <row r="172" spans="1:2" x14ac:dyDescent="0.2">
      <c r="A172" s="2">
        <v>39508</v>
      </c>
      <c r="B172" s="11">
        <v>57.03</v>
      </c>
    </row>
    <row r="173" spans="1:2" x14ac:dyDescent="0.2">
      <c r="A173" s="2">
        <v>39539</v>
      </c>
      <c r="B173" s="11">
        <v>44.91</v>
      </c>
    </row>
    <row r="174" spans="1:2" x14ac:dyDescent="0.2">
      <c r="A174" s="2">
        <v>39569</v>
      </c>
      <c r="B174" s="11">
        <v>66.78</v>
      </c>
    </row>
    <row r="175" spans="1:2" x14ac:dyDescent="0.2">
      <c r="A175" s="2">
        <v>39600</v>
      </c>
      <c r="B175" s="11">
        <v>62.6</v>
      </c>
    </row>
    <row r="176" spans="1:2" x14ac:dyDescent="0.2">
      <c r="A176" s="2">
        <v>39630</v>
      </c>
      <c r="B176" s="11">
        <v>38.909999999999997</v>
      </c>
    </row>
    <row r="177" spans="1:2" x14ac:dyDescent="0.2">
      <c r="A177" s="2">
        <v>39661</v>
      </c>
      <c r="B177" s="11">
        <v>48.73</v>
      </c>
    </row>
    <row r="178" spans="1:2" x14ac:dyDescent="0.2">
      <c r="A178" s="2">
        <v>39692</v>
      </c>
      <c r="B178" s="11">
        <v>52.91</v>
      </c>
    </row>
    <row r="179" spans="1:2" x14ac:dyDescent="0.2">
      <c r="A179" s="2">
        <v>39722</v>
      </c>
      <c r="B179" s="11">
        <v>40.79</v>
      </c>
    </row>
    <row r="180" spans="1:2" x14ac:dyDescent="0.2">
      <c r="A180" s="2">
        <v>39753</v>
      </c>
      <c r="B180" s="11">
        <v>45.47</v>
      </c>
    </row>
    <row r="181" spans="1:2" x14ac:dyDescent="0.2">
      <c r="A181" s="2">
        <v>39783</v>
      </c>
      <c r="B181" s="11">
        <v>40.299999999999997</v>
      </c>
    </row>
    <row r="182" spans="1:2" x14ac:dyDescent="0.2">
      <c r="A182" s="2">
        <v>39814</v>
      </c>
      <c r="B182" s="11">
        <v>25.32</v>
      </c>
    </row>
    <row r="183" spans="1:2" x14ac:dyDescent="0.2">
      <c r="A183" s="2">
        <v>39845</v>
      </c>
      <c r="B183" s="11">
        <v>25.02</v>
      </c>
    </row>
    <row r="184" spans="1:2" x14ac:dyDescent="0.2">
      <c r="A184" s="2">
        <v>39873</v>
      </c>
      <c r="B184" s="11">
        <v>30.56</v>
      </c>
    </row>
    <row r="185" spans="1:2" x14ac:dyDescent="0.2">
      <c r="A185" s="2">
        <v>39904</v>
      </c>
      <c r="B185" s="11">
        <v>34.450000000000003</v>
      </c>
    </row>
    <row r="186" spans="1:2" x14ac:dyDescent="0.2">
      <c r="A186" s="2">
        <v>39934</v>
      </c>
      <c r="B186" s="11">
        <v>27.75</v>
      </c>
    </row>
    <row r="187" spans="1:2" x14ac:dyDescent="0.2">
      <c r="A187" s="2">
        <v>39965</v>
      </c>
      <c r="B187" s="11">
        <v>42</v>
      </c>
    </row>
    <row r="188" spans="1:2" x14ac:dyDescent="0.2">
      <c r="A188" s="2">
        <v>39995</v>
      </c>
      <c r="B188" s="11">
        <v>47.7</v>
      </c>
    </row>
    <row r="189" spans="1:2" x14ac:dyDescent="0.2">
      <c r="A189" s="2">
        <v>40026</v>
      </c>
      <c r="B189" s="11">
        <v>42.59</v>
      </c>
    </row>
    <row r="190" spans="1:2" x14ac:dyDescent="0.2">
      <c r="A190" s="2">
        <v>40057</v>
      </c>
      <c r="B190" s="11">
        <v>42.73</v>
      </c>
    </row>
    <row r="191" spans="1:2" x14ac:dyDescent="0.2">
      <c r="A191" s="2">
        <v>40087</v>
      </c>
      <c r="B191" s="11">
        <v>49.89</v>
      </c>
    </row>
    <row r="192" spans="1:2" x14ac:dyDescent="0.2">
      <c r="A192" s="2">
        <v>40118</v>
      </c>
      <c r="B192" s="11">
        <v>50.67</v>
      </c>
    </row>
    <row r="193" spans="1:2" x14ac:dyDescent="0.2">
      <c r="A193" s="2">
        <v>40148</v>
      </c>
      <c r="B193" s="11">
        <v>49.48</v>
      </c>
    </row>
    <row r="194" spans="1:2" x14ac:dyDescent="0.2">
      <c r="A194" s="2">
        <v>40179</v>
      </c>
      <c r="B194" s="11">
        <v>50.96</v>
      </c>
    </row>
    <row r="195" spans="1:2" x14ac:dyDescent="0.2">
      <c r="A195" s="2">
        <v>40210</v>
      </c>
      <c r="B195" s="11">
        <v>48.93</v>
      </c>
    </row>
    <row r="196" spans="1:2" x14ac:dyDescent="0.2">
      <c r="A196" s="2">
        <v>40238</v>
      </c>
      <c r="B196" s="11">
        <v>51.66</v>
      </c>
    </row>
    <row r="197" spans="1:2" x14ac:dyDescent="0.2">
      <c r="A197" s="2">
        <v>40269</v>
      </c>
      <c r="B197" s="11">
        <v>49.02</v>
      </c>
    </row>
    <row r="198" spans="1:2" x14ac:dyDescent="0.2">
      <c r="A198" s="2">
        <v>40299</v>
      </c>
      <c r="B198" s="11">
        <v>51.33</v>
      </c>
    </row>
    <row r="199" spans="1:2" x14ac:dyDescent="0.2">
      <c r="A199" s="2">
        <v>40330</v>
      </c>
      <c r="B199" s="11">
        <v>50.2</v>
      </c>
    </row>
    <row r="200" spans="1:2" x14ac:dyDescent="0.2">
      <c r="A200" s="2">
        <v>40360</v>
      </c>
      <c r="B200" s="11">
        <v>54.3</v>
      </c>
    </row>
    <row r="201" spans="1:2" x14ac:dyDescent="0.2">
      <c r="A201" s="2">
        <v>40391</v>
      </c>
      <c r="B201" s="11">
        <v>54.73</v>
      </c>
    </row>
    <row r="202" spans="1:2" x14ac:dyDescent="0.2">
      <c r="A202" s="2">
        <v>40422</v>
      </c>
      <c r="B202" s="11">
        <v>56.27</v>
      </c>
    </row>
    <row r="203" spans="1:2" x14ac:dyDescent="0.2">
      <c r="A203" s="2">
        <v>40452</v>
      </c>
      <c r="B203" s="11">
        <v>56.89</v>
      </c>
    </row>
    <row r="204" spans="1:2" x14ac:dyDescent="0.2">
      <c r="A204" s="2">
        <v>40483</v>
      </c>
      <c r="B204" s="11">
        <v>55.8</v>
      </c>
    </row>
    <row r="205" spans="1:2" x14ac:dyDescent="0.2">
      <c r="A205" s="2">
        <v>40513</v>
      </c>
      <c r="B205" s="11">
        <v>62.4</v>
      </c>
    </row>
    <row r="206" spans="1:2" x14ac:dyDescent="0.2">
      <c r="A206" s="2">
        <v>40544</v>
      </c>
      <c r="B206" s="11">
        <v>57.21</v>
      </c>
    </row>
    <row r="207" spans="1:2" x14ac:dyDescent="0.2">
      <c r="A207" s="2">
        <v>40575</v>
      </c>
      <c r="B207" s="11">
        <v>60.78</v>
      </c>
    </row>
    <row r="208" spans="1:2" x14ac:dyDescent="0.2">
      <c r="A208" s="2">
        <v>40603</v>
      </c>
      <c r="B208" s="11">
        <v>62.07</v>
      </c>
    </row>
    <row r="209" spans="1:2" x14ac:dyDescent="0.2">
      <c r="A209" s="2">
        <v>40634</v>
      </c>
      <c r="B209" s="11">
        <v>63.05</v>
      </c>
    </row>
    <row r="210" spans="1:2" x14ac:dyDescent="0.2">
      <c r="A210" s="2">
        <v>40664</v>
      </c>
      <c r="B210" s="11">
        <v>58.59</v>
      </c>
    </row>
    <row r="211" spans="1:2" x14ac:dyDescent="0.2">
      <c r="A211" s="2">
        <v>40695</v>
      </c>
      <c r="B211" s="11">
        <v>58.05</v>
      </c>
    </row>
    <row r="212" spans="1:2" x14ac:dyDescent="0.2">
      <c r="A212" s="2">
        <v>40725</v>
      </c>
      <c r="B212" s="11">
        <v>58.37</v>
      </c>
    </row>
    <row r="213" spans="1:2" x14ac:dyDescent="0.2">
      <c r="A213" s="2">
        <v>40756</v>
      </c>
      <c r="B213" s="11">
        <v>55.07</v>
      </c>
    </row>
    <row r="214" spans="1:2" x14ac:dyDescent="0.2">
      <c r="A214" s="2">
        <v>40787</v>
      </c>
      <c r="B214" s="11">
        <v>64.400000000000006</v>
      </c>
    </row>
    <row r="215" spans="1:2" x14ac:dyDescent="0.2">
      <c r="A215" s="2">
        <v>40817</v>
      </c>
      <c r="B215" s="11">
        <v>43.91</v>
      </c>
    </row>
    <row r="216" spans="1:2" x14ac:dyDescent="0.2">
      <c r="A216" s="2">
        <v>40848</v>
      </c>
      <c r="B216" s="11">
        <v>47.79</v>
      </c>
    </row>
    <row r="217" spans="1:2" x14ac:dyDescent="0.2">
      <c r="A217" s="2">
        <v>40878</v>
      </c>
      <c r="B217" s="11">
        <v>58.44</v>
      </c>
    </row>
    <row r="218" spans="1:2" x14ac:dyDescent="0.2">
      <c r="A218" s="2">
        <v>40909</v>
      </c>
      <c r="B218" s="11">
        <v>52.12</v>
      </c>
    </row>
    <row r="219" spans="1:2" x14ac:dyDescent="0.2">
      <c r="A219" s="2">
        <v>40940</v>
      </c>
      <c r="B219" s="11">
        <v>53.88</v>
      </c>
    </row>
    <row r="220" spans="1:2" x14ac:dyDescent="0.2">
      <c r="A220" s="2">
        <v>40969</v>
      </c>
      <c r="B220" s="11">
        <v>50.34</v>
      </c>
    </row>
    <row r="221" spans="1:2" x14ac:dyDescent="0.2">
      <c r="A221" s="2">
        <v>41000</v>
      </c>
      <c r="B221" s="11">
        <v>63.6</v>
      </c>
    </row>
    <row r="222" spans="1:2" x14ac:dyDescent="0.2">
      <c r="A222" s="2">
        <v>41030</v>
      </c>
      <c r="B222" s="11">
        <v>51.42</v>
      </c>
    </row>
    <row r="223" spans="1:2" x14ac:dyDescent="0.2">
      <c r="A223" s="2">
        <v>41061</v>
      </c>
      <c r="B223" s="11">
        <v>52.69</v>
      </c>
    </row>
    <row r="224" spans="1:2" x14ac:dyDescent="0.2">
      <c r="A224" s="2">
        <v>41091</v>
      </c>
      <c r="B224" s="11">
        <v>47.21</v>
      </c>
    </row>
    <row r="225" spans="1:2" x14ac:dyDescent="0.2">
      <c r="A225" s="2">
        <v>41122</v>
      </c>
      <c r="B225" s="11">
        <v>51.06</v>
      </c>
    </row>
    <row r="226" spans="1:2" x14ac:dyDescent="0.2">
      <c r="A226" s="2">
        <v>41153</v>
      </c>
      <c r="B226" s="11">
        <v>52.09</v>
      </c>
    </row>
    <row r="227" spans="1:2" x14ac:dyDescent="0.2">
      <c r="A227" s="2">
        <v>41183</v>
      </c>
      <c r="B227" s="11">
        <v>57.41</v>
      </c>
    </row>
    <row r="228" spans="1:2" x14ac:dyDescent="0.2">
      <c r="A228" s="2">
        <v>41214</v>
      </c>
      <c r="B228" s="11">
        <v>56.29</v>
      </c>
    </row>
    <row r="229" spans="1:2" x14ac:dyDescent="0.2">
      <c r="A229" s="2">
        <v>41244</v>
      </c>
      <c r="B229" s="11">
        <v>57.62</v>
      </c>
    </row>
    <row r="230" spans="1:2" x14ac:dyDescent="0.2">
      <c r="A230" s="2">
        <v>41275</v>
      </c>
      <c r="B230" s="11">
        <v>55.27</v>
      </c>
    </row>
    <row r="231" spans="1:2" x14ac:dyDescent="0.2">
      <c r="A231" s="2">
        <v>41306</v>
      </c>
      <c r="B231" s="11">
        <v>61.23</v>
      </c>
    </row>
    <row r="232" spans="1:2" x14ac:dyDescent="0.2">
      <c r="A232" s="2">
        <v>41334</v>
      </c>
      <c r="B232" s="11">
        <v>49.81</v>
      </c>
    </row>
    <row r="233" spans="1:2" x14ac:dyDescent="0.2">
      <c r="A233" s="2">
        <v>41365</v>
      </c>
      <c r="B233" s="11">
        <v>49.29</v>
      </c>
    </row>
    <row r="234" spans="1:2" x14ac:dyDescent="0.2">
      <c r="A234" s="2">
        <v>41395</v>
      </c>
      <c r="B234" s="11">
        <v>54.75</v>
      </c>
    </row>
    <row r="235" spans="1:2" x14ac:dyDescent="0.2">
      <c r="A235" s="2">
        <v>41426</v>
      </c>
      <c r="B235" s="11">
        <v>57.73</v>
      </c>
    </row>
    <row r="236" spans="1:2" x14ac:dyDescent="0.2">
      <c r="A236" s="2">
        <v>41456</v>
      </c>
      <c r="B236" s="11">
        <v>59.18</v>
      </c>
    </row>
    <row r="237" spans="1:2" x14ac:dyDescent="0.2">
      <c r="A237" s="2">
        <v>41487</v>
      </c>
      <c r="B237" s="11">
        <v>60.29</v>
      </c>
    </row>
    <row r="238" spans="1:2" x14ac:dyDescent="0.2">
      <c r="A238" s="2">
        <v>41518</v>
      </c>
      <c r="B238" s="11">
        <v>55.74</v>
      </c>
    </row>
    <row r="239" spans="1:2" x14ac:dyDescent="0.2">
      <c r="A239" s="2">
        <v>41548</v>
      </c>
      <c r="B239" s="11">
        <v>55.71</v>
      </c>
    </row>
    <row r="240" spans="1:2" x14ac:dyDescent="0.2">
      <c r="A240" s="2">
        <v>41579</v>
      </c>
      <c r="B240" s="11">
        <v>57.85</v>
      </c>
    </row>
    <row r="241" spans="1:2" x14ac:dyDescent="0.2">
      <c r="A241" s="2">
        <v>41609</v>
      </c>
      <c r="B241" s="11">
        <v>53.45</v>
      </c>
    </row>
    <row r="242" spans="1:2" x14ac:dyDescent="0.2">
      <c r="A242" s="2">
        <v>41640</v>
      </c>
      <c r="B242" s="11">
        <v>55.6</v>
      </c>
    </row>
    <row r="243" spans="1:2" x14ac:dyDescent="0.2">
      <c r="A243" s="2">
        <v>41671</v>
      </c>
      <c r="B243" s="11">
        <v>56.77</v>
      </c>
    </row>
    <row r="244" spans="1:2" x14ac:dyDescent="0.2">
      <c r="A244" s="2">
        <v>41699</v>
      </c>
      <c r="B244" s="11">
        <v>60.3</v>
      </c>
    </row>
    <row r="245" spans="1:2" x14ac:dyDescent="0.2">
      <c r="A245" s="2">
        <v>41730</v>
      </c>
      <c r="B245" s="11">
        <v>60.5</v>
      </c>
    </row>
    <row r="246" spans="1:2" x14ac:dyDescent="0.2">
      <c r="A246" s="2">
        <v>41760</v>
      </c>
      <c r="B246" s="11">
        <v>58.71</v>
      </c>
    </row>
    <row r="247" spans="1:2" x14ac:dyDescent="0.2">
      <c r="A247" s="2">
        <v>41791</v>
      </c>
      <c r="B247" s="11">
        <v>51.76</v>
      </c>
    </row>
    <row r="248" spans="1:2" x14ac:dyDescent="0.2">
      <c r="A248" s="2">
        <v>41821</v>
      </c>
      <c r="B248" s="11">
        <v>49.75</v>
      </c>
    </row>
    <row r="249" spans="1:2" x14ac:dyDescent="0.2">
      <c r="A249" s="2">
        <v>41852</v>
      </c>
      <c r="B249" s="11">
        <v>48.13</v>
      </c>
    </row>
    <row r="250" spans="1:2" x14ac:dyDescent="0.2">
      <c r="A250" s="2">
        <v>41883</v>
      </c>
      <c r="B250" s="11">
        <v>51.33</v>
      </c>
    </row>
    <row r="251" spans="1:2" x14ac:dyDescent="0.2">
      <c r="A251" s="2">
        <v>41913</v>
      </c>
      <c r="B251" s="11">
        <v>54.04</v>
      </c>
    </row>
    <row r="252" spans="1:2" x14ac:dyDescent="0.2">
      <c r="A252" s="2">
        <v>41944</v>
      </c>
      <c r="B252" s="11">
        <v>51.5</v>
      </c>
    </row>
    <row r="253" spans="1:2" x14ac:dyDescent="0.2">
      <c r="A253" s="2">
        <v>41974</v>
      </c>
      <c r="B253" s="11">
        <v>53.85</v>
      </c>
    </row>
    <row r="254" spans="1:2" x14ac:dyDescent="0.2">
      <c r="A254" s="2">
        <v>42005</v>
      </c>
      <c r="B254" s="11">
        <v>55.25</v>
      </c>
    </row>
    <row r="255" spans="1:2" x14ac:dyDescent="0.2">
      <c r="A255" s="2">
        <v>42036</v>
      </c>
      <c r="B255" s="11">
        <v>57.96</v>
      </c>
    </row>
    <row r="256" spans="1:2" x14ac:dyDescent="0.2">
      <c r="A256" s="2">
        <v>42064</v>
      </c>
      <c r="B256" s="11">
        <v>58.54</v>
      </c>
    </row>
    <row r="257" spans="1:2" x14ac:dyDescent="0.2">
      <c r="A257" s="2">
        <v>42095</v>
      </c>
      <c r="B257" s="11">
        <v>53.3</v>
      </c>
    </row>
    <row r="258" spans="1:2" x14ac:dyDescent="0.2">
      <c r="A258" s="2">
        <v>42125</v>
      </c>
      <c r="B258" s="11">
        <v>52.73</v>
      </c>
    </row>
    <row r="259" spans="1:2" x14ac:dyDescent="0.2">
      <c r="A259" s="2">
        <v>42156</v>
      </c>
      <c r="B259" s="11">
        <v>54.46</v>
      </c>
    </row>
    <row r="260" spans="1:2" x14ac:dyDescent="0.2">
      <c r="A260" s="2">
        <v>42186</v>
      </c>
      <c r="B260" s="11">
        <v>52.31</v>
      </c>
    </row>
    <row r="261" spans="1:2" x14ac:dyDescent="0.2">
      <c r="A261" s="2">
        <v>42217</v>
      </c>
      <c r="B261" s="11">
        <v>62.51</v>
      </c>
    </row>
    <row r="262" spans="1:2" x14ac:dyDescent="0.2">
      <c r="A262" s="2">
        <v>42248</v>
      </c>
      <c r="B262" s="11">
        <v>69.37</v>
      </c>
    </row>
    <row r="263" spans="1:2" x14ac:dyDescent="0.2">
      <c r="A263" s="2">
        <v>42278</v>
      </c>
      <c r="B263" s="11">
        <v>55.62</v>
      </c>
    </row>
    <row r="264" spans="1:2" x14ac:dyDescent="0.2">
      <c r="A264" s="2">
        <v>42309</v>
      </c>
      <c r="B264" s="11">
        <v>61.47</v>
      </c>
    </row>
    <row r="265" spans="1:2" x14ac:dyDescent="0.2">
      <c r="A265" s="2">
        <v>42339</v>
      </c>
      <c r="B265" s="11">
        <v>54.76</v>
      </c>
    </row>
    <row r="266" spans="1:2" x14ac:dyDescent="0.2">
      <c r="A266" s="2">
        <v>42370</v>
      </c>
      <c r="B266" s="11">
        <v>54.46</v>
      </c>
    </row>
    <row r="267" spans="1:2" x14ac:dyDescent="0.2">
      <c r="A267" s="2">
        <v>42401</v>
      </c>
      <c r="B267" s="11">
        <v>50.93</v>
      </c>
    </row>
    <row r="268" spans="1:2" x14ac:dyDescent="0.2">
      <c r="A268" s="2">
        <v>42430</v>
      </c>
      <c r="B268" s="11">
        <v>55.11</v>
      </c>
    </row>
    <row r="269" spans="1:2" x14ac:dyDescent="0.2">
      <c r="A269" s="2">
        <v>42461</v>
      </c>
      <c r="B269" s="11">
        <v>63.28</v>
      </c>
    </row>
    <row r="270" spans="1:2" x14ac:dyDescent="0.2">
      <c r="A270" s="2">
        <v>42491</v>
      </c>
      <c r="B270" s="11">
        <v>61.65</v>
      </c>
    </row>
    <row r="271" spans="1:2" x14ac:dyDescent="0.2">
      <c r="A271" s="2">
        <v>42522</v>
      </c>
      <c r="B271" s="11">
        <v>59.75</v>
      </c>
    </row>
    <row r="272" spans="1:2" x14ac:dyDescent="0.2">
      <c r="A272" s="2">
        <v>42552</v>
      </c>
      <c r="B272" s="11">
        <v>59.53</v>
      </c>
    </row>
    <row r="273" spans="1:2" x14ac:dyDescent="0.2">
      <c r="A273" s="2">
        <v>42583</v>
      </c>
      <c r="B273" s="11">
        <v>53.62</v>
      </c>
    </row>
    <row r="274" spans="1:2" x14ac:dyDescent="0.2">
      <c r="A274" s="2">
        <v>42614</v>
      </c>
      <c r="B274" s="11">
        <v>58.98</v>
      </c>
    </row>
    <row r="275" spans="1:2" x14ac:dyDescent="0.2">
      <c r="A275" s="2">
        <v>42644</v>
      </c>
      <c r="B275" s="11">
        <v>57.31</v>
      </c>
    </row>
    <row r="276" spans="1:2" x14ac:dyDescent="0.2">
      <c r="A276" s="2">
        <v>42675</v>
      </c>
      <c r="B276" s="11">
        <v>57.22</v>
      </c>
    </row>
    <row r="277" spans="1:2" x14ac:dyDescent="0.2">
      <c r="A277" s="2">
        <v>42705</v>
      </c>
      <c r="B277" s="11">
        <v>62.52</v>
      </c>
    </row>
    <row r="278" spans="1:2" x14ac:dyDescent="0.2">
      <c r="A278" s="2">
        <v>42736</v>
      </c>
      <c r="B278" s="11">
        <v>57.57</v>
      </c>
    </row>
    <row r="279" spans="1:2" x14ac:dyDescent="0.2">
      <c r="A279" s="2">
        <v>42767</v>
      </c>
      <c r="B279" s="11">
        <v>56.51</v>
      </c>
    </row>
    <row r="280" spans="1:2" x14ac:dyDescent="0.2">
      <c r="A280" s="2">
        <v>42795</v>
      </c>
      <c r="B280" s="11">
        <v>56.62</v>
      </c>
    </row>
    <row r="281" spans="1:2" x14ac:dyDescent="0.2">
      <c r="A281" s="2">
        <v>42826</v>
      </c>
      <c r="B281" s="11">
        <v>49.11</v>
      </c>
    </row>
    <row r="282" spans="1:2" x14ac:dyDescent="0.2">
      <c r="A282" s="2">
        <v>42856</v>
      </c>
      <c r="B282" s="11">
        <v>57.99</v>
      </c>
    </row>
    <row r="283" spans="1:2" x14ac:dyDescent="0.2">
      <c r="A283" s="2">
        <v>42887</v>
      </c>
      <c r="B283" s="11">
        <v>63.61</v>
      </c>
    </row>
    <row r="284" spans="1:2" x14ac:dyDescent="0.2">
      <c r="A284" s="2">
        <v>42917</v>
      </c>
      <c r="B284" s="11">
        <v>63.72</v>
      </c>
    </row>
    <row r="285" spans="1:2" x14ac:dyDescent="0.2">
      <c r="A285" s="2">
        <v>42948</v>
      </c>
      <c r="B285" s="11">
        <v>60.57</v>
      </c>
    </row>
    <row r="286" spans="1:2" x14ac:dyDescent="0.2">
      <c r="A286" s="2">
        <v>42979</v>
      </c>
      <c r="B286" s="11">
        <v>61.78</v>
      </c>
    </row>
    <row r="287" spans="1:2" x14ac:dyDescent="0.2">
      <c r="A287" s="2">
        <v>43009</v>
      </c>
      <c r="B287" s="11">
        <v>58.57</v>
      </c>
    </row>
    <row r="288" spans="1:2" x14ac:dyDescent="0.2">
      <c r="A288" s="2">
        <v>43040</v>
      </c>
      <c r="B288" s="11">
        <v>58.31</v>
      </c>
    </row>
    <row r="289" spans="1:2" x14ac:dyDescent="0.2">
      <c r="A289" s="2">
        <v>43070</v>
      </c>
      <c r="B289" s="11">
        <v>61.04</v>
      </c>
    </row>
    <row r="290" spans="1:2" x14ac:dyDescent="0.2">
      <c r="A290" s="2">
        <v>43101</v>
      </c>
      <c r="B290" s="11">
        <v>66.650000000000006</v>
      </c>
    </row>
    <row r="291" spans="1:2" x14ac:dyDescent="0.2">
      <c r="A291" s="2">
        <v>43132</v>
      </c>
      <c r="B291" s="11">
        <v>70.75</v>
      </c>
    </row>
    <row r="292" spans="1:2" x14ac:dyDescent="0.2">
      <c r="A292" s="2">
        <v>43160</v>
      </c>
      <c r="B292" s="11">
        <v>61.05</v>
      </c>
    </row>
    <row r="293" spans="1:2" x14ac:dyDescent="0.2">
      <c r="A293" s="2">
        <v>43191</v>
      </c>
      <c r="B293" s="11">
        <v>54.24</v>
      </c>
    </row>
    <row r="294" spans="1:2" x14ac:dyDescent="0.2">
      <c r="A294" s="2">
        <v>43221</v>
      </c>
      <c r="B294" s="11">
        <v>47.78</v>
      </c>
    </row>
    <row r="295" spans="1:2" x14ac:dyDescent="0.2">
      <c r="A295" s="2">
        <v>43252</v>
      </c>
      <c r="B295" s="11">
        <v>49.8</v>
      </c>
    </row>
    <row r="296" spans="1:2" x14ac:dyDescent="0.2">
      <c r="A296" s="2">
        <v>43282</v>
      </c>
      <c r="B296" s="11">
        <v>55.7</v>
      </c>
    </row>
    <row r="297" spans="1:2" x14ac:dyDescent="0.2">
      <c r="A297" s="2">
        <v>43313</v>
      </c>
      <c r="B297" s="11">
        <v>59.15</v>
      </c>
    </row>
    <row r="298" spans="1:2" x14ac:dyDescent="0.2">
      <c r="A298" s="2">
        <v>43344</v>
      </c>
      <c r="B298" s="11">
        <v>53.7</v>
      </c>
    </row>
    <row r="299" spans="1:2" x14ac:dyDescent="0.2">
      <c r="A299" s="2">
        <v>43374</v>
      </c>
      <c r="B299" s="11">
        <v>66.8</v>
      </c>
    </row>
    <row r="300" spans="1:2" x14ac:dyDescent="0.2">
      <c r="A300" s="2">
        <v>43405</v>
      </c>
      <c r="B300" s="11">
        <v>58.2</v>
      </c>
    </row>
    <row r="301" spans="1:2" x14ac:dyDescent="0.2">
      <c r="A301" s="2">
        <v>43435</v>
      </c>
      <c r="B301" s="11">
        <v>57.5</v>
      </c>
    </row>
    <row r="302" spans="1:2" x14ac:dyDescent="0.2">
      <c r="A302" s="2">
        <v>43466</v>
      </c>
      <c r="B302" s="11">
        <v>51.1</v>
      </c>
    </row>
    <row r="303" spans="1:2" x14ac:dyDescent="0.2">
      <c r="A303" s="2">
        <v>43497</v>
      </c>
      <c r="B303" s="11">
        <v>61.6</v>
      </c>
    </row>
    <row r="304" spans="1:2" x14ac:dyDescent="0.2">
      <c r="A304" s="2">
        <v>43525</v>
      </c>
      <c r="B304" s="11">
        <v>56.6</v>
      </c>
    </row>
    <row r="305" spans="1:2" x14ac:dyDescent="0.2">
      <c r="A305" s="2">
        <v>43556</v>
      </c>
      <c r="B305" s="11">
        <v>59.6</v>
      </c>
    </row>
    <row r="306" spans="1:2" x14ac:dyDescent="0.2">
      <c r="A306" s="2">
        <v>43586</v>
      </c>
      <c r="B306" s="11">
        <v>47.6</v>
      </c>
    </row>
    <row r="307" spans="1:2" x14ac:dyDescent="0.2">
      <c r="A307" s="2">
        <v>43617</v>
      </c>
      <c r="B307" s="11">
        <v>45</v>
      </c>
    </row>
    <row r="308" spans="1:2" x14ac:dyDescent="0.2">
      <c r="A308" s="2">
        <v>43647</v>
      </c>
      <c r="B308" s="11">
        <v>49.5</v>
      </c>
    </row>
    <row r="309" spans="1:2" x14ac:dyDescent="0.2">
      <c r="A309" s="2">
        <v>43678</v>
      </c>
      <c r="B309" s="11">
        <v>48.7</v>
      </c>
    </row>
    <row r="310" spans="1:2" x14ac:dyDescent="0.2">
      <c r="A310" s="2">
        <v>43709</v>
      </c>
      <c r="B310" s="11">
        <v>50.2</v>
      </c>
    </row>
    <row r="311" spans="1:2" x14ac:dyDescent="0.2">
      <c r="A311" s="2">
        <v>43739</v>
      </c>
      <c r="B311" s="11">
        <v>49.5</v>
      </c>
    </row>
    <row r="312" spans="1:2" x14ac:dyDescent="0.2">
      <c r="A312" s="2">
        <v>43770</v>
      </c>
      <c r="B312" s="11">
        <v>53</v>
      </c>
    </row>
    <row r="313" spans="1:2" x14ac:dyDescent="0.2">
      <c r="A313" s="2">
        <v>43800</v>
      </c>
      <c r="B313" s="11">
        <v>50.7</v>
      </c>
    </row>
    <row r="314" spans="1:2" x14ac:dyDescent="0.2">
      <c r="A314" s="2">
        <v>43831</v>
      </c>
      <c r="B314" s="11">
        <v>53.2</v>
      </c>
    </row>
    <row r="315" spans="1:2" x14ac:dyDescent="0.2">
      <c r="A315" s="2">
        <v>43862</v>
      </c>
      <c r="B315" s="11">
        <v>49.2</v>
      </c>
    </row>
    <row r="316" spans="1:2" x14ac:dyDescent="0.2">
      <c r="A316" s="2">
        <v>43891</v>
      </c>
      <c r="B316" s="11">
        <v>46.8</v>
      </c>
    </row>
    <row r="317" spans="1:2" x14ac:dyDescent="0.2">
      <c r="A317" s="2">
        <v>43922</v>
      </c>
      <c r="B317" s="11">
        <v>38.6</v>
      </c>
    </row>
    <row r="318" spans="1:2" x14ac:dyDescent="0.2">
      <c r="A318" s="2">
        <v>43952</v>
      </c>
      <c r="B318" s="11">
        <v>54</v>
      </c>
    </row>
    <row r="319" spans="1:2" x14ac:dyDescent="0.2">
      <c r="A319" s="2">
        <v>43983</v>
      </c>
      <c r="B319" s="11">
        <v>52.2</v>
      </c>
    </row>
    <row r="320" spans="1:2" x14ac:dyDescent="0.2">
      <c r="A320" s="2">
        <v>44013</v>
      </c>
      <c r="B320" s="11">
        <v>57.4</v>
      </c>
    </row>
    <row r="321" spans="1:2" x14ac:dyDescent="0.2">
      <c r="A321" s="2">
        <v>44044</v>
      </c>
      <c r="B321" s="11">
        <v>52.3</v>
      </c>
    </row>
    <row r="322" spans="1:2" x14ac:dyDescent="0.2">
      <c r="A322" s="2">
        <v>44075</v>
      </c>
      <c r="B322" s="11">
        <v>54.4</v>
      </c>
    </row>
    <row r="323" spans="1:2" x14ac:dyDescent="0.2">
      <c r="A323" s="2">
        <v>44105</v>
      </c>
      <c r="B323" s="11">
        <v>61.8</v>
      </c>
    </row>
    <row r="324" spans="1:2" x14ac:dyDescent="0.2">
      <c r="A324" s="2">
        <v>44136</v>
      </c>
      <c r="B324" s="11">
        <v>47.7</v>
      </c>
    </row>
    <row r="325" spans="1:2" x14ac:dyDescent="0.2">
      <c r="A325" s="2">
        <v>44166</v>
      </c>
      <c r="B325" s="11">
        <v>41.9</v>
      </c>
    </row>
    <row r="326" spans="1:2" x14ac:dyDescent="0.2">
      <c r="A326" s="2">
        <v>44197</v>
      </c>
      <c r="B326" s="11">
        <v>42.1</v>
      </c>
    </row>
    <row r="327" spans="1:2" x14ac:dyDescent="0.2">
      <c r="A327" s="2">
        <v>44228</v>
      </c>
      <c r="B327" s="11">
        <v>40.799999999999997</v>
      </c>
    </row>
    <row r="328" spans="1:2" x14ac:dyDescent="0.2">
      <c r="A328" s="2">
        <v>44256</v>
      </c>
      <c r="B328" s="11">
        <v>67.599999999999994</v>
      </c>
    </row>
    <row r="329" spans="1:2" x14ac:dyDescent="0.2">
      <c r="A329" s="2">
        <v>44287</v>
      </c>
      <c r="B329" s="11">
        <v>72</v>
      </c>
    </row>
    <row r="330" spans="1:2" x14ac:dyDescent="0.2">
      <c r="A330" s="2">
        <v>44317</v>
      </c>
      <c r="B330" s="11">
        <v>67.7</v>
      </c>
    </row>
    <row r="331" spans="1:2" x14ac:dyDescent="0.2">
      <c r="A331" s="2">
        <v>44348</v>
      </c>
      <c r="B331" s="11">
        <v>62.1</v>
      </c>
    </row>
    <row r="332" spans="1:2" x14ac:dyDescent="0.2">
      <c r="A332" s="2">
        <v>44378</v>
      </c>
      <c r="B332" s="11">
        <v>69.8</v>
      </c>
    </row>
    <row r="333" spans="1:2" x14ac:dyDescent="0.2">
      <c r="A333" s="2">
        <v>44409</v>
      </c>
      <c r="B333" s="11">
        <v>67.3</v>
      </c>
    </row>
    <row r="334" spans="1:2" x14ac:dyDescent="0.2">
      <c r="A334" s="2">
        <v>44440</v>
      </c>
      <c r="B334" s="11">
        <v>65.2</v>
      </c>
    </row>
    <row r="335" spans="1:2" x14ac:dyDescent="0.2">
      <c r="A335" s="2">
        <v>44470</v>
      </c>
      <c r="B335" s="11">
        <v>71.900000000000006</v>
      </c>
    </row>
    <row r="336" spans="1:2" x14ac:dyDescent="0.2">
      <c r="A336" s="2">
        <v>44501</v>
      </c>
      <c r="B336" s="11">
        <v>68.2</v>
      </c>
    </row>
    <row r="337" spans="1:2" x14ac:dyDescent="0.2">
      <c r="A337" s="2">
        <v>44531</v>
      </c>
      <c r="B337" s="11">
        <v>64.400000000000006</v>
      </c>
    </row>
  </sheetData>
  <conditionalFormatting sqref="B194:B3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115"/>
  <sheetViews>
    <sheetView zoomScale="170" zoomScaleNormal="170" workbookViewId="0">
      <pane ySplit="1" topLeftCell="A2" activePane="bottomLeft" state="frozen"/>
      <selection pane="bottomLeft" activeCell="I28" sqref="I28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30</v>
      </c>
    </row>
    <row r="2" spans="1:2" x14ac:dyDescent="0.2">
      <c r="A2" s="6">
        <v>41091</v>
      </c>
      <c r="B2" s="7">
        <v>43.6</v>
      </c>
    </row>
    <row r="3" spans="1:2" x14ac:dyDescent="0.2">
      <c r="A3" s="2">
        <v>41122</v>
      </c>
      <c r="B3" s="11">
        <v>47.9</v>
      </c>
    </row>
    <row r="4" spans="1:2" x14ac:dyDescent="0.2">
      <c r="A4" s="2">
        <v>41153</v>
      </c>
      <c r="B4" s="11">
        <v>49.2</v>
      </c>
    </row>
    <row r="5" spans="1:2" x14ac:dyDescent="0.2">
      <c r="A5" s="2">
        <v>41183</v>
      </c>
      <c r="B5" s="11">
        <v>48.7</v>
      </c>
    </row>
    <row r="6" spans="1:2" x14ac:dyDescent="0.2">
      <c r="A6" s="2">
        <v>41214</v>
      </c>
      <c r="B6" s="11">
        <v>50.5</v>
      </c>
    </row>
    <row r="7" spans="1:2" x14ac:dyDescent="0.2">
      <c r="A7" s="2">
        <v>41244</v>
      </c>
      <c r="B7" s="11">
        <v>49.3</v>
      </c>
    </row>
    <row r="8" spans="1:2" x14ac:dyDescent="0.2">
      <c r="A8" s="2">
        <v>41275</v>
      </c>
      <c r="B8" s="11">
        <v>50.1</v>
      </c>
    </row>
    <row r="9" spans="1:2" x14ac:dyDescent="0.2">
      <c r="A9" s="2">
        <v>41306</v>
      </c>
      <c r="B9" s="11">
        <v>48.3</v>
      </c>
    </row>
    <row r="10" spans="1:2" x14ac:dyDescent="0.2">
      <c r="A10" s="2">
        <v>41334</v>
      </c>
      <c r="B10" s="11">
        <v>48.8</v>
      </c>
    </row>
    <row r="11" spans="1:2" x14ac:dyDescent="0.2">
      <c r="A11" s="2">
        <v>41365</v>
      </c>
      <c r="B11" s="11">
        <v>51</v>
      </c>
    </row>
    <row r="12" spans="1:2" x14ac:dyDescent="0.2">
      <c r="A12" s="2">
        <v>41395</v>
      </c>
      <c r="B12" s="11">
        <v>48.8</v>
      </c>
    </row>
    <row r="13" spans="1:2" x14ac:dyDescent="0.2">
      <c r="A13" s="2">
        <v>41426</v>
      </c>
      <c r="B13" s="11">
        <v>51</v>
      </c>
    </row>
    <row r="14" spans="1:2" x14ac:dyDescent="0.2">
      <c r="A14" s="2">
        <v>41456</v>
      </c>
      <c r="B14" s="11">
        <v>46.4</v>
      </c>
    </row>
    <row r="15" spans="1:2" x14ac:dyDescent="0.2">
      <c r="A15" s="2">
        <v>41487</v>
      </c>
      <c r="B15" s="11">
        <v>48.5</v>
      </c>
    </row>
    <row r="16" spans="1:2" x14ac:dyDescent="0.2">
      <c r="A16" s="2">
        <v>41518</v>
      </c>
      <c r="B16" s="11">
        <v>51.5</v>
      </c>
    </row>
    <row r="17" spans="1:2" x14ac:dyDescent="0.2">
      <c r="A17" s="2">
        <v>41548</v>
      </c>
      <c r="B17" s="11">
        <v>51.5</v>
      </c>
    </row>
    <row r="18" spans="1:2" x14ac:dyDescent="0.2">
      <c r="A18" s="2">
        <v>41579</v>
      </c>
      <c r="B18" s="11">
        <v>50.3</v>
      </c>
    </row>
    <row r="19" spans="1:2" x14ac:dyDescent="0.2">
      <c r="A19" s="2">
        <v>41609</v>
      </c>
      <c r="B19" s="11">
        <v>51.8</v>
      </c>
    </row>
    <row r="20" spans="1:2" x14ac:dyDescent="0.2">
      <c r="A20" s="2">
        <v>41640</v>
      </c>
      <c r="B20" s="11">
        <v>52.1</v>
      </c>
    </row>
    <row r="21" spans="1:2" x14ac:dyDescent="0.2">
      <c r="A21" s="2">
        <v>41671</v>
      </c>
      <c r="B21" s="11">
        <v>51</v>
      </c>
    </row>
    <row r="22" spans="1:2" x14ac:dyDescent="0.2">
      <c r="A22" s="2">
        <v>41699</v>
      </c>
      <c r="B22" s="11">
        <v>51.3</v>
      </c>
    </row>
    <row r="23" spans="1:2" x14ac:dyDescent="0.2">
      <c r="A23" s="2">
        <v>41730</v>
      </c>
      <c r="B23" s="11">
        <v>53.1</v>
      </c>
    </row>
    <row r="24" spans="1:2" x14ac:dyDescent="0.2">
      <c r="A24" s="2">
        <v>41760</v>
      </c>
      <c r="B24" s="11">
        <v>52.5</v>
      </c>
    </row>
    <row r="25" spans="1:2" x14ac:dyDescent="0.2">
      <c r="A25" s="2">
        <v>41791</v>
      </c>
      <c r="B25" s="11">
        <v>52.3</v>
      </c>
    </row>
    <row r="26" spans="1:2" x14ac:dyDescent="0.2">
      <c r="A26" s="2">
        <v>41821</v>
      </c>
      <c r="B26" s="11">
        <v>51.7</v>
      </c>
    </row>
    <row r="27" spans="1:2" x14ac:dyDescent="0.2">
      <c r="A27" s="2">
        <v>41852</v>
      </c>
      <c r="B27" s="11">
        <v>50.3</v>
      </c>
    </row>
    <row r="28" spans="1:2" x14ac:dyDescent="0.2">
      <c r="A28" s="2">
        <v>41883</v>
      </c>
      <c r="B28" s="11">
        <v>51.7</v>
      </c>
    </row>
    <row r="29" spans="1:2" x14ac:dyDescent="0.2">
      <c r="A29" s="2">
        <v>41913</v>
      </c>
      <c r="B29" s="11">
        <v>51</v>
      </c>
    </row>
    <row r="30" spans="1:2" x14ac:dyDescent="0.2">
      <c r="A30" s="2">
        <v>41944</v>
      </c>
      <c r="B30" s="11">
        <v>52.7</v>
      </c>
    </row>
    <row r="31" spans="1:2" x14ac:dyDescent="0.2">
      <c r="A31" s="2">
        <v>41974</v>
      </c>
      <c r="B31" s="11">
        <v>51.5</v>
      </c>
    </row>
    <row r="32" spans="1:2" x14ac:dyDescent="0.2">
      <c r="A32" s="2">
        <v>42005</v>
      </c>
      <c r="B32" s="11">
        <v>51.5</v>
      </c>
    </row>
    <row r="33" spans="1:2" x14ac:dyDescent="0.2">
      <c r="A33" s="2">
        <v>42036</v>
      </c>
      <c r="B33" s="11">
        <v>51.7</v>
      </c>
    </row>
    <row r="34" spans="1:2" x14ac:dyDescent="0.2">
      <c r="A34" s="2">
        <v>42064</v>
      </c>
      <c r="B34" s="11">
        <v>50.7</v>
      </c>
    </row>
    <row r="35" spans="1:2" x14ac:dyDescent="0.2">
      <c r="A35" s="2">
        <v>42095</v>
      </c>
      <c r="B35" s="11">
        <v>53.5</v>
      </c>
    </row>
    <row r="36" spans="1:2" x14ac:dyDescent="0.2">
      <c r="A36" s="2">
        <v>42125</v>
      </c>
      <c r="B36" s="11">
        <v>54.8</v>
      </c>
    </row>
    <row r="37" spans="1:2" x14ac:dyDescent="0.2">
      <c r="A37" s="2">
        <v>42156</v>
      </c>
      <c r="B37" s="11">
        <v>52.2</v>
      </c>
    </row>
    <row r="38" spans="1:2" x14ac:dyDescent="0.2">
      <c r="A38" s="2">
        <v>42186</v>
      </c>
      <c r="B38" s="11">
        <v>52.6</v>
      </c>
    </row>
    <row r="39" spans="1:2" x14ac:dyDescent="0.2">
      <c r="A39" s="2">
        <v>42217</v>
      </c>
      <c r="B39" s="11">
        <v>51.3</v>
      </c>
    </row>
    <row r="40" spans="1:2" x14ac:dyDescent="0.2">
      <c r="A40" s="2">
        <v>42248</v>
      </c>
      <c r="B40" s="11">
        <v>49.5</v>
      </c>
    </row>
    <row r="41" spans="1:2" x14ac:dyDescent="0.2">
      <c r="A41" s="2">
        <v>42278</v>
      </c>
      <c r="B41" s="11">
        <v>50.1</v>
      </c>
    </row>
    <row r="42" spans="1:2" x14ac:dyDescent="0.2">
      <c r="A42" s="2">
        <v>42309</v>
      </c>
      <c r="B42" s="11">
        <v>49.4</v>
      </c>
    </row>
    <row r="43" spans="1:2" x14ac:dyDescent="0.2">
      <c r="A43" s="2">
        <v>42339</v>
      </c>
      <c r="B43" s="11">
        <v>51.3</v>
      </c>
    </row>
    <row r="44" spans="1:2" x14ac:dyDescent="0.2">
      <c r="A44" s="2">
        <v>42370</v>
      </c>
      <c r="B44" s="11">
        <v>51.5</v>
      </c>
    </row>
    <row r="45" spans="1:2" x14ac:dyDescent="0.2">
      <c r="A45" s="2">
        <v>42401</v>
      </c>
      <c r="B45" s="11">
        <v>50.3</v>
      </c>
    </row>
    <row r="46" spans="1:2" x14ac:dyDescent="0.2">
      <c r="A46" s="2">
        <v>42430</v>
      </c>
      <c r="B46" s="11">
        <v>50.7</v>
      </c>
    </row>
    <row r="47" spans="1:2" x14ac:dyDescent="0.2">
      <c r="A47" s="2">
        <v>42461</v>
      </c>
      <c r="B47" s="11">
        <v>52.3</v>
      </c>
    </row>
    <row r="48" spans="1:2" x14ac:dyDescent="0.2">
      <c r="A48" s="2">
        <v>42491</v>
      </c>
      <c r="B48" s="11">
        <v>52.7</v>
      </c>
    </row>
    <row r="49" spans="1:2" x14ac:dyDescent="0.2">
      <c r="A49" s="2">
        <v>42522</v>
      </c>
      <c r="B49" s="11">
        <v>52.6</v>
      </c>
    </row>
    <row r="50" spans="1:2" x14ac:dyDescent="0.2">
      <c r="A50" s="2">
        <v>42552</v>
      </c>
      <c r="B50" s="11">
        <v>51.9</v>
      </c>
    </row>
    <row r="51" spans="1:2" x14ac:dyDescent="0.2">
      <c r="A51" s="2">
        <v>42583</v>
      </c>
      <c r="B51" s="11">
        <v>52.2</v>
      </c>
    </row>
    <row r="52" spans="1:2" x14ac:dyDescent="0.2">
      <c r="A52" s="2">
        <v>42614</v>
      </c>
      <c r="B52" s="11">
        <v>52.9</v>
      </c>
    </row>
    <row r="53" spans="1:2" x14ac:dyDescent="0.2">
      <c r="A53" s="2">
        <v>42644</v>
      </c>
      <c r="B53" s="11">
        <v>51.7</v>
      </c>
    </row>
    <row r="54" spans="1:2" x14ac:dyDescent="0.2">
      <c r="A54" s="2">
        <v>42675</v>
      </c>
      <c r="B54" s="11">
        <v>54</v>
      </c>
    </row>
    <row r="55" spans="1:2" x14ac:dyDescent="0.2">
      <c r="A55" s="2">
        <v>42705</v>
      </c>
      <c r="B55" s="11">
        <v>52.4</v>
      </c>
    </row>
    <row r="56" spans="1:2" x14ac:dyDescent="0.2">
      <c r="A56" s="2">
        <v>42736</v>
      </c>
      <c r="B56" s="11">
        <v>51.9</v>
      </c>
    </row>
    <row r="57" spans="1:2" x14ac:dyDescent="0.2">
      <c r="A57" s="2">
        <v>42767</v>
      </c>
      <c r="B57" s="11">
        <v>54.2</v>
      </c>
    </row>
    <row r="58" spans="1:2" x14ac:dyDescent="0.2">
      <c r="A58" s="2">
        <v>42795</v>
      </c>
      <c r="B58" s="11">
        <v>54.6</v>
      </c>
    </row>
    <row r="59" spans="1:2" x14ac:dyDescent="0.2">
      <c r="A59" s="2">
        <v>42826</v>
      </c>
      <c r="B59" s="11">
        <v>54.1</v>
      </c>
    </row>
    <row r="60" spans="1:2" x14ac:dyDescent="0.2">
      <c r="A60" s="2">
        <v>42856</v>
      </c>
      <c r="B60" s="11">
        <v>51.6</v>
      </c>
    </row>
    <row r="61" spans="1:2" x14ac:dyDescent="0.2">
      <c r="A61" s="2">
        <v>42887</v>
      </c>
      <c r="B61" s="11">
        <v>52.5</v>
      </c>
    </row>
    <row r="62" spans="1:2" x14ac:dyDescent="0.2">
      <c r="A62" s="2">
        <v>42917</v>
      </c>
      <c r="B62" s="11">
        <v>51.7</v>
      </c>
    </row>
    <row r="63" spans="1:2" x14ac:dyDescent="0.2">
      <c r="A63" s="2">
        <v>42948</v>
      </c>
      <c r="B63" s="11">
        <v>51.8</v>
      </c>
    </row>
    <row r="64" spans="1:2" x14ac:dyDescent="0.2">
      <c r="A64" s="2">
        <v>42979</v>
      </c>
      <c r="B64" s="11">
        <v>53.3</v>
      </c>
    </row>
    <row r="65" spans="1:2" x14ac:dyDescent="0.2">
      <c r="A65" s="2">
        <v>43009</v>
      </c>
      <c r="B65" s="11">
        <v>51.6</v>
      </c>
    </row>
    <row r="66" spans="1:2" x14ac:dyDescent="0.2">
      <c r="A66" s="2">
        <v>43040</v>
      </c>
      <c r="B66" s="11">
        <v>51.4</v>
      </c>
    </row>
    <row r="67" spans="1:2" x14ac:dyDescent="0.2">
      <c r="A67" s="2">
        <v>43070</v>
      </c>
      <c r="B67" s="11">
        <v>52.5</v>
      </c>
    </row>
    <row r="68" spans="1:2" x14ac:dyDescent="0.2">
      <c r="A68" s="2">
        <v>43101</v>
      </c>
      <c r="B68" s="11">
        <v>53.4</v>
      </c>
    </row>
    <row r="69" spans="1:2" x14ac:dyDescent="0.2">
      <c r="A69" s="2">
        <v>43132</v>
      </c>
      <c r="B69" s="11">
        <v>53.5</v>
      </c>
    </row>
    <row r="70" spans="1:2" x14ac:dyDescent="0.2">
      <c r="A70" s="2">
        <v>43160</v>
      </c>
      <c r="B70" s="11">
        <v>51.6</v>
      </c>
    </row>
    <row r="71" spans="1:2" x14ac:dyDescent="0.2">
      <c r="A71" s="2">
        <v>43191</v>
      </c>
      <c r="B71" s="11">
        <v>52.9</v>
      </c>
    </row>
    <row r="72" spans="1:2" x14ac:dyDescent="0.2">
      <c r="A72" s="2">
        <v>43221</v>
      </c>
      <c r="B72" s="11">
        <v>53.9</v>
      </c>
    </row>
    <row r="73" spans="1:2" x14ac:dyDescent="0.2">
      <c r="A73" s="2">
        <v>43252</v>
      </c>
      <c r="B73" s="11">
        <v>55.7</v>
      </c>
    </row>
    <row r="74" spans="1:2" x14ac:dyDescent="0.2">
      <c r="A74" s="2">
        <v>43282</v>
      </c>
      <c r="B74" s="11">
        <v>54.9</v>
      </c>
    </row>
    <row r="75" spans="1:2" x14ac:dyDescent="0.2">
      <c r="A75" s="2">
        <v>43313</v>
      </c>
      <c r="B75" s="11">
        <v>53.7</v>
      </c>
    </row>
    <row r="76" spans="1:2" x14ac:dyDescent="0.2">
      <c r="A76" s="2">
        <v>43344</v>
      </c>
      <c r="B76" s="11">
        <v>51.5</v>
      </c>
    </row>
    <row r="77" spans="1:2" x14ac:dyDescent="0.2">
      <c r="A77" s="2">
        <v>43374</v>
      </c>
      <c r="B77" s="11">
        <v>53.9</v>
      </c>
    </row>
    <row r="78" spans="1:2" x14ac:dyDescent="0.2">
      <c r="A78" s="2">
        <v>43405</v>
      </c>
      <c r="B78" s="11">
        <v>56.5</v>
      </c>
    </row>
    <row r="79" spans="1:2" x14ac:dyDescent="0.2">
      <c r="A79" s="2">
        <v>43435</v>
      </c>
      <c r="B79" s="11">
        <v>53.8</v>
      </c>
    </row>
    <row r="80" spans="1:2" x14ac:dyDescent="0.2">
      <c r="A80" s="2">
        <v>43466</v>
      </c>
      <c r="B80" s="11">
        <v>51.9</v>
      </c>
    </row>
    <row r="81" spans="1:2" x14ac:dyDescent="0.2">
      <c r="A81" s="2">
        <v>43497</v>
      </c>
      <c r="B81" s="11">
        <v>51.2</v>
      </c>
    </row>
    <row r="82" spans="1:2" x14ac:dyDescent="0.2">
      <c r="A82" s="2">
        <v>43525</v>
      </c>
      <c r="B82" s="11">
        <v>51.9</v>
      </c>
    </row>
    <row r="83" spans="1:2" x14ac:dyDescent="0.2">
      <c r="A83" s="2">
        <v>43556</v>
      </c>
      <c r="B83" s="11">
        <v>52.5</v>
      </c>
    </row>
    <row r="84" spans="1:2" x14ac:dyDescent="0.2">
      <c r="A84" s="2">
        <v>43586</v>
      </c>
      <c r="B84" s="11">
        <v>52</v>
      </c>
    </row>
    <row r="85" spans="1:2" x14ac:dyDescent="0.2">
      <c r="A85" s="2">
        <v>43617</v>
      </c>
      <c r="B85" s="11">
        <v>52.5</v>
      </c>
    </row>
    <row r="86" spans="1:2" x14ac:dyDescent="0.2">
      <c r="A86" s="2">
        <v>43647</v>
      </c>
      <c r="B86" s="11">
        <v>52.6</v>
      </c>
    </row>
    <row r="87" spans="1:2" x14ac:dyDescent="0.2">
      <c r="A87" s="2">
        <v>43678</v>
      </c>
      <c r="B87" s="11">
        <v>51.4</v>
      </c>
    </row>
    <row r="88" spans="1:2" x14ac:dyDescent="0.2">
      <c r="A88" s="2">
        <v>43709</v>
      </c>
      <c r="B88" s="11">
        <v>50.5</v>
      </c>
    </row>
    <row r="89" spans="1:2" x14ac:dyDescent="0.2">
      <c r="A89" s="2">
        <v>43739</v>
      </c>
      <c r="B89" s="11">
        <v>50</v>
      </c>
    </row>
    <row r="90" spans="1:2" x14ac:dyDescent="0.2">
      <c r="A90" s="2">
        <v>43770</v>
      </c>
      <c r="B90" s="11">
        <v>51</v>
      </c>
    </row>
    <row r="91" spans="1:2" x14ac:dyDescent="0.2">
      <c r="A91" s="2">
        <v>43800</v>
      </c>
      <c r="B91" s="11">
        <v>50.8</v>
      </c>
    </row>
    <row r="92" spans="1:2" x14ac:dyDescent="0.2">
      <c r="A92" s="2">
        <v>43831</v>
      </c>
      <c r="B92" s="11">
        <v>50.6</v>
      </c>
    </row>
    <row r="93" spans="1:2" x14ac:dyDescent="0.2">
      <c r="A93" s="2">
        <v>43862</v>
      </c>
      <c r="B93" s="11">
        <v>49</v>
      </c>
    </row>
    <row r="94" spans="1:2" x14ac:dyDescent="0.2">
      <c r="A94" s="2">
        <v>43891</v>
      </c>
      <c r="B94" s="11">
        <v>41.9</v>
      </c>
    </row>
    <row r="95" spans="1:2" x14ac:dyDescent="0.2">
      <c r="A95" s="2">
        <v>43922</v>
      </c>
      <c r="B95" s="11">
        <v>32.700000000000003</v>
      </c>
    </row>
    <row r="96" spans="1:2" x14ac:dyDescent="0.2">
      <c r="A96" s="2">
        <v>43952</v>
      </c>
      <c r="B96" s="11">
        <v>42.7</v>
      </c>
    </row>
    <row r="97" spans="1:2" x14ac:dyDescent="0.2">
      <c r="A97" s="2">
        <v>43983</v>
      </c>
      <c r="B97" s="11">
        <v>51.1</v>
      </c>
    </row>
    <row r="98" spans="1:2" x14ac:dyDescent="0.2">
      <c r="A98" s="2">
        <v>44013</v>
      </c>
      <c r="B98" s="11">
        <v>47.6</v>
      </c>
    </row>
    <row r="99" spans="1:2" x14ac:dyDescent="0.2">
      <c r="A99" s="2">
        <v>44044</v>
      </c>
      <c r="B99" s="11">
        <v>45.7</v>
      </c>
    </row>
    <row r="100" spans="1:2" x14ac:dyDescent="0.2">
      <c r="A100" s="2">
        <v>44075</v>
      </c>
      <c r="B100" s="11">
        <v>52.2</v>
      </c>
    </row>
    <row r="101" spans="1:2" x14ac:dyDescent="0.2">
      <c r="A101" s="2">
        <v>44105</v>
      </c>
      <c r="B101" s="11">
        <v>51.8</v>
      </c>
    </row>
    <row r="102" spans="1:2" x14ac:dyDescent="0.2">
      <c r="A102" s="2">
        <v>44136</v>
      </c>
      <c r="B102" s="11">
        <v>49.9</v>
      </c>
    </row>
    <row r="103" spans="1:2" x14ac:dyDescent="0.2">
      <c r="A103" s="2">
        <v>44166</v>
      </c>
      <c r="B103" s="11">
        <v>51.7</v>
      </c>
    </row>
    <row r="104" spans="1:2" x14ac:dyDescent="0.2">
      <c r="A104" s="2">
        <v>44197</v>
      </c>
      <c r="B104" s="11">
        <v>51.3</v>
      </c>
    </row>
    <row r="105" spans="1:2" x14ac:dyDescent="0.2">
      <c r="A105" s="2">
        <v>44228</v>
      </c>
      <c r="B105" s="11">
        <v>51.6</v>
      </c>
    </row>
    <row r="106" spans="1:2" x14ac:dyDescent="0.2">
      <c r="A106" s="2">
        <v>44256</v>
      </c>
      <c r="B106" s="11">
        <v>53.6</v>
      </c>
    </row>
    <row r="107" spans="1:2" x14ac:dyDescent="0.2">
      <c r="A107" s="2">
        <v>44287</v>
      </c>
      <c r="B107" s="11">
        <v>54.7</v>
      </c>
    </row>
    <row r="108" spans="1:2" x14ac:dyDescent="0.2">
      <c r="A108" s="2">
        <v>44317</v>
      </c>
      <c r="B108" s="11">
        <v>53.1</v>
      </c>
    </row>
    <row r="109" spans="1:2" x14ac:dyDescent="0.2">
      <c r="A109" s="2">
        <v>44348</v>
      </c>
      <c r="B109" s="11">
        <v>44.1</v>
      </c>
    </row>
    <row r="110" spans="1:2" x14ac:dyDescent="0.2">
      <c r="A110" s="2">
        <v>44378</v>
      </c>
      <c r="B110" s="11">
        <v>45.1</v>
      </c>
    </row>
    <row r="111" spans="1:2" x14ac:dyDescent="0.2">
      <c r="A111" s="2">
        <v>44409</v>
      </c>
      <c r="B111" s="11">
        <v>40.200000000000003</v>
      </c>
    </row>
    <row r="112" spans="1:2" x14ac:dyDescent="0.2">
      <c r="A112" s="2">
        <v>44440</v>
      </c>
      <c r="B112" s="11">
        <v>40.200000000000003</v>
      </c>
    </row>
    <row r="113" spans="1:2" x14ac:dyDescent="0.2">
      <c r="A113" s="2">
        <v>44470</v>
      </c>
      <c r="B113" s="11">
        <v>52.1</v>
      </c>
    </row>
    <row r="114" spans="1:2" x14ac:dyDescent="0.2">
      <c r="A114" s="2">
        <v>44501</v>
      </c>
      <c r="B114" s="11">
        <v>52.2</v>
      </c>
    </row>
    <row r="115" spans="1:2" x14ac:dyDescent="0.2">
      <c r="A115" s="2">
        <v>44531</v>
      </c>
      <c r="B115" s="11">
        <v>52.5</v>
      </c>
    </row>
  </sheetData>
  <conditionalFormatting sqref="B2:B1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B67"/>
  <sheetViews>
    <sheetView zoomScale="160" zoomScaleNormal="160" workbookViewId="0">
      <pane ySplit="1" topLeftCell="A2" activePane="bottomLeft" state="frozen"/>
      <selection pane="bottomLeft" activeCell="P46" sqref="P46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26</v>
      </c>
    </row>
    <row r="2" spans="1:2" x14ac:dyDescent="0.2">
      <c r="A2" s="6">
        <v>42552</v>
      </c>
      <c r="B2" s="7">
        <v>49.3</v>
      </c>
    </row>
    <row r="3" spans="1:2" x14ac:dyDescent="0.2">
      <c r="A3" s="2">
        <v>42583</v>
      </c>
      <c r="B3" s="11">
        <v>49.8</v>
      </c>
    </row>
    <row r="4" spans="1:2" x14ac:dyDescent="0.2">
      <c r="A4" s="2">
        <v>42614</v>
      </c>
      <c r="B4" s="11">
        <v>48.8</v>
      </c>
    </row>
    <row r="5" spans="1:2" x14ac:dyDescent="0.2">
      <c r="A5" s="2">
        <v>42644</v>
      </c>
      <c r="B5" s="11">
        <v>48.8</v>
      </c>
    </row>
    <row r="6" spans="1:2" x14ac:dyDescent="0.2">
      <c r="A6" s="2">
        <v>42675</v>
      </c>
      <c r="B6" s="11">
        <v>48.2</v>
      </c>
    </row>
    <row r="7" spans="1:2" x14ac:dyDescent="0.2">
      <c r="A7" s="2">
        <v>42705</v>
      </c>
      <c r="B7" s="11">
        <v>50.6</v>
      </c>
    </row>
    <row r="8" spans="1:2" x14ac:dyDescent="0.2">
      <c r="A8" s="2">
        <v>42736</v>
      </c>
      <c r="B8" s="11">
        <v>50.6</v>
      </c>
    </row>
    <row r="9" spans="1:2" x14ac:dyDescent="0.2">
      <c r="A9" s="2">
        <v>42767</v>
      </c>
      <c r="B9" s="11">
        <v>50.6</v>
      </c>
    </row>
    <row r="10" spans="1:2" x14ac:dyDescent="0.2">
      <c r="A10" s="2">
        <v>42795</v>
      </c>
      <c r="B10" s="11">
        <v>50.2</v>
      </c>
    </row>
    <row r="11" spans="1:2" x14ac:dyDescent="0.2">
      <c r="A11" s="2">
        <v>42826</v>
      </c>
      <c r="B11" s="11">
        <v>49.8</v>
      </c>
    </row>
    <row r="12" spans="1:2" x14ac:dyDescent="0.2">
      <c r="A12" s="2">
        <v>42856</v>
      </c>
      <c r="B12" s="11">
        <v>49.7</v>
      </c>
    </row>
    <row r="13" spans="1:2" x14ac:dyDescent="0.2">
      <c r="A13" s="2">
        <v>42887</v>
      </c>
      <c r="B13" s="11">
        <v>50.4</v>
      </c>
    </row>
    <row r="14" spans="1:2" x14ac:dyDescent="0.2">
      <c r="A14" s="2">
        <v>42917</v>
      </c>
      <c r="B14" s="11">
        <v>49.6</v>
      </c>
    </row>
    <row r="15" spans="1:2" x14ac:dyDescent="0.2">
      <c r="A15" s="2">
        <v>42948</v>
      </c>
      <c r="B15" s="11">
        <v>49.5</v>
      </c>
    </row>
    <row r="16" spans="1:2" x14ac:dyDescent="0.2">
      <c r="A16" s="2">
        <v>42979</v>
      </c>
      <c r="B16" s="11">
        <v>50.3</v>
      </c>
    </row>
    <row r="17" spans="1:2" x14ac:dyDescent="0.2">
      <c r="A17" s="2">
        <v>43009</v>
      </c>
      <c r="B17" s="11">
        <v>49.8</v>
      </c>
    </row>
    <row r="18" spans="1:2" x14ac:dyDescent="0.2">
      <c r="A18" s="2">
        <v>43040</v>
      </c>
      <c r="B18" s="11">
        <v>50</v>
      </c>
    </row>
    <row r="19" spans="1:2" x14ac:dyDescent="0.2">
      <c r="A19" s="2">
        <v>43070</v>
      </c>
      <c r="B19" s="11">
        <v>50.4</v>
      </c>
    </row>
    <row r="20" spans="1:2" x14ac:dyDescent="0.2">
      <c r="A20" s="2">
        <v>43101</v>
      </c>
      <c r="B20" s="11">
        <v>50.6</v>
      </c>
    </row>
    <row r="21" spans="1:2" x14ac:dyDescent="0.2">
      <c r="A21" s="2">
        <v>43132</v>
      </c>
      <c r="B21" s="11">
        <v>50.9</v>
      </c>
    </row>
    <row r="22" spans="1:2" x14ac:dyDescent="0.2">
      <c r="A22" s="2">
        <v>43160</v>
      </c>
      <c r="B22" s="11">
        <v>49.1</v>
      </c>
    </row>
    <row r="23" spans="1:2" x14ac:dyDescent="0.2">
      <c r="A23" s="2">
        <v>43191</v>
      </c>
      <c r="B23" s="11">
        <v>49.5</v>
      </c>
    </row>
    <row r="24" spans="1:2" x14ac:dyDescent="0.2">
      <c r="A24" s="2">
        <v>43221</v>
      </c>
      <c r="B24" s="11">
        <v>51.1</v>
      </c>
    </row>
    <row r="25" spans="1:2" x14ac:dyDescent="0.2">
      <c r="A25" s="2">
        <v>43252</v>
      </c>
      <c r="B25" s="11">
        <v>50.2</v>
      </c>
    </row>
    <row r="26" spans="1:2" x14ac:dyDescent="0.2">
      <c r="A26" s="2">
        <v>43282</v>
      </c>
      <c r="B26" s="11">
        <v>50.1</v>
      </c>
    </row>
    <row r="27" spans="1:2" x14ac:dyDescent="0.2">
      <c r="A27" s="2">
        <v>43313</v>
      </c>
      <c r="B27" s="11">
        <v>49.9</v>
      </c>
    </row>
    <row r="28" spans="1:2" x14ac:dyDescent="0.2">
      <c r="A28" s="2">
        <v>43344</v>
      </c>
      <c r="B28" s="11">
        <v>50</v>
      </c>
    </row>
    <row r="29" spans="1:2" x14ac:dyDescent="0.2">
      <c r="A29" s="2">
        <v>43374</v>
      </c>
      <c r="B29" s="11">
        <v>48.9</v>
      </c>
    </row>
    <row r="30" spans="1:2" x14ac:dyDescent="0.2">
      <c r="A30" s="2">
        <v>43405</v>
      </c>
      <c r="B30" s="11">
        <v>49.8</v>
      </c>
    </row>
    <row r="31" spans="1:2" x14ac:dyDescent="0.2">
      <c r="A31" s="2">
        <v>43435</v>
      </c>
      <c r="B31" s="11">
        <v>50.3</v>
      </c>
    </row>
    <row r="32" spans="1:2" x14ac:dyDescent="0.2">
      <c r="A32" s="2">
        <v>43466</v>
      </c>
      <c r="B32" s="11">
        <v>50.2</v>
      </c>
    </row>
    <row r="33" spans="1:2" x14ac:dyDescent="0.2">
      <c r="A33" s="2">
        <v>43497</v>
      </c>
      <c r="B33" s="11">
        <v>49.9</v>
      </c>
    </row>
    <row r="34" spans="1:2" x14ac:dyDescent="0.2">
      <c r="A34" s="2">
        <v>43525</v>
      </c>
      <c r="B34" s="11">
        <v>50.3</v>
      </c>
    </row>
    <row r="35" spans="1:2" x14ac:dyDescent="0.2">
      <c r="A35" s="2">
        <v>43556</v>
      </c>
      <c r="B35" s="11">
        <v>51</v>
      </c>
    </row>
    <row r="36" spans="1:2" x14ac:dyDescent="0.2">
      <c r="A36" s="2">
        <v>43586</v>
      </c>
      <c r="B36" s="11">
        <v>50.7</v>
      </c>
    </row>
    <row r="37" spans="1:2" x14ac:dyDescent="0.2">
      <c r="A37" s="2">
        <v>43617</v>
      </c>
      <c r="B37" s="11">
        <v>50.6</v>
      </c>
    </row>
    <row r="38" spans="1:2" x14ac:dyDescent="0.2">
      <c r="A38" s="2">
        <v>43647</v>
      </c>
      <c r="B38" s="11">
        <v>50.3</v>
      </c>
    </row>
    <row r="39" spans="1:2" x14ac:dyDescent="0.2">
      <c r="A39" s="2">
        <v>43678</v>
      </c>
      <c r="B39" s="11">
        <v>50</v>
      </c>
    </row>
    <row r="40" spans="1:2" x14ac:dyDescent="0.2">
      <c r="A40" s="2">
        <v>43709</v>
      </c>
      <c r="B40" s="11">
        <v>50.6</v>
      </c>
    </row>
    <row r="41" spans="1:2" x14ac:dyDescent="0.2">
      <c r="A41" s="2">
        <v>43739</v>
      </c>
      <c r="B41" s="11">
        <v>50</v>
      </c>
    </row>
    <row r="42" spans="1:2" x14ac:dyDescent="0.2">
      <c r="A42" s="2">
        <v>43770</v>
      </c>
      <c r="B42" s="11">
        <v>49.3</v>
      </c>
    </row>
    <row r="43" spans="1:2" x14ac:dyDescent="0.2">
      <c r="A43" s="2">
        <v>43800</v>
      </c>
      <c r="B43" s="11">
        <v>50.1</v>
      </c>
    </row>
    <row r="44" spans="1:2" x14ac:dyDescent="0.2">
      <c r="A44" s="2">
        <v>43831</v>
      </c>
      <c r="B44" s="11">
        <v>49.9</v>
      </c>
    </row>
    <row r="45" spans="1:2" x14ac:dyDescent="0.2">
      <c r="A45" s="2">
        <v>43862</v>
      </c>
      <c r="B45" s="11">
        <v>49.5</v>
      </c>
    </row>
    <row r="46" spans="1:2" x14ac:dyDescent="0.2">
      <c r="A46" s="2">
        <v>43891</v>
      </c>
      <c r="B46" s="11">
        <v>46.7</v>
      </c>
    </row>
    <row r="47" spans="1:2" x14ac:dyDescent="0.2">
      <c r="A47" s="2">
        <v>43922</v>
      </c>
      <c r="B47" s="11">
        <v>36.799999999999997</v>
      </c>
    </row>
    <row r="48" spans="1:2" x14ac:dyDescent="0.2">
      <c r="A48" s="2">
        <v>43952</v>
      </c>
      <c r="B48" s="11">
        <v>41.6</v>
      </c>
    </row>
    <row r="49" spans="1:2" x14ac:dyDescent="0.2">
      <c r="A49" s="2">
        <v>43983</v>
      </c>
      <c r="B49" s="11">
        <v>43.5</v>
      </c>
    </row>
    <row r="50" spans="1:2" x14ac:dyDescent="0.2">
      <c r="A50" s="2">
        <v>44013</v>
      </c>
      <c r="B50" s="11">
        <v>45.9</v>
      </c>
    </row>
    <row r="51" spans="1:2" x14ac:dyDescent="0.2">
      <c r="A51" s="2">
        <v>44044</v>
      </c>
      <c r="B51" s="11">
        <v>49.7</v>
      </c>
    </row>
    <row r="52" spans="1:2" x14ac:dyDescent="0.2">
      <c r="A52" s="2">
        <v>44075</v>
      </c>
      <c r="B52" s="11">
        <v>49.9</v>
      </c>
    </row>
    <row r="53" spans="1:2" x14ac:dyDescent="0.2">
      <c r="A53" s="2">
        <v>44105</v>
      </c>
      <c r="B53" s="11">
        <v>50.8</v>
      </c>
    </row>
    <row r="54" spans="1:2" x14ac:dyDescent="0.2">
      <c r="A54" s="2">
        <v>44136</v>
      </c>
      <c r="B54" s="11">
        <v>50.4</v>
      </c>
    </row>
    <row r="55" spans="1:2" x14ac:dyDescent="0.2">
      <c r="A55" s="2">
        <v>44166</v>
      </c>
      <c r="B55" s="11">
        <v>50.8</v>
      </c>
    </row>
    <row r="56" spans="1:2" x14ac:dyDescent="0.2">
      <c r="A56" s="2">
        <v>44197</v>
      </c>
      <c r="B56" s="11">
        <v>49</v>
      </c>
    </row>
    <row r="57" spans="1:2" x14ac:dyDescent="0.2">
      <c r="A57" s="2">
        <v>44228</v>
      </c>
      <c r="B57" s="11">
        <v>47.2</v>
      </c>
    </row>
    <row r="58" spans="1:2" x14ac:dyDescent="0.2">
      <c r="A58" s="2">
        <v>44256</v>
      </c>
      <c r="B58" s="11">
        <v>48.8</v>
      </c>
    </row>
    <row r="59" spans="1:2" x14ac:dyDescent="0.2">
      <c r="A59" s="2">
        <v>44287</v>
      </c>
      <c r="B59" s="11">
        <v>50.7</v>
      </c>
    </row>
    <row r="60" spans="1:2" x14ac:dyDescent="0.2">
      <c r="A60" s="2">
        <v>44317</v>
      </c>
      <c r="B60" s="11">
        <v>47.8</v>
      </c>
    </row>
    <row r="61" spans="1:2" x14ac:dyDescent="0.2">
      <c r="A61" s="2">
        <v>44348</v>
      </c>
      <c r="B61" s="11">
        <v>49.5</v>
      </c>
    </row>
    <row r="62" spans="1:2" x14ac:dyDescent="0.2">
      <c r="A62" s="2">
        <v>44378</v>
      </c>
      <c r="B62" s="11">
        <v>48.7</v>
      </c>
    </row>
    <row r="63" spans="1:2" x14ac:dyDescent="0.2">
      <c r="A63" s="2">
        <v>44409</v>
      </c>
      <c r="B63" s="11">
        <v>48.3</v>
      </c>
    </row>
    <row r="64" spans="1:2" x14ac:dyDescent="0.2">
      <c r="A64" s="2">
        <v>44440</v>
      </c>
      <c r="B64" s="11">
        <v>48.9</v>
      </c>
    </row>
    <row r="65" spans="1:2" x14ac:dyDescent="0.2">
      <c r="A65" s="2">
        <v>44470</v>
      </c>
      <c r="B65" s="11">
        <v>50.9</v>
      </c>
    </row>
    <row r="66" spans="1:2" x14ac:dyDescent="0.2">
      <c r="A66" s="2">
        <v>44501</v>
      </c>
      <c r="B66" s="11">
        <v>50.6</v>
      </c>
    </row>
    <row r="67" spans="1:2" x14ac:dyDescent="0.2">
      <c r="A67" s="2">
        <v>44531</v>
      </c>
      <c r="B67" s="11">
        <v>49.5</v>
      </c>
    </row>
  </sheetData>
  <conditionalFormatting sqref="B2:B6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B264"/>
  <sheetViews>
    <sheetView zoomScale="170" zoomScaleNormal="170" workbookViewId="0">
      <pane ySplit="1" topLeftCell="A2" activePane="bottomLeft" state="frozen"/>
      <selection pane="bottomLeft" activeCell="T262" sqref="T262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22</v>
      </c>
    </row>
    <row r="2" spans="1:2" x14ac:dyDescent="0.2">
      <c r="A2" s="6">
        <v>36526</v>
      </c>
      <c r="B2" s="7">
        <v>56.66</v>
      </c>
    </row>
    <row r="3" spans="1:2" x14ac:dyDescent="0.2">
      <c r="A3" s="2">
        <v>36557</v>
      </c>
      <c r="B3" s="11">
        <v>57.26</v>
      </c>
    </row>
    <row r="4" spans="1:2" x14ac:dyDescent="0.2">
      <c r="A4" s="2">
        <v>36586</v>
      </c>
      <c r="B4" s="11">
        <v>49.83</v>
      </c>
    </row>
    <row r="5" spans="1:2" x14ac:dyDescent="0.2">
      <c r="A5" s="2">
        <v>36617</v>
      </c>
      <c r="B5" s="11">
        <v>52.72</v>
      </c>
    </row>
    <row r="6" spans="1:2" x14ac:dyDescent="0.2">
      <c r="A6" s="2">
        <v>36647</v>
      </c>
      <c r="B6" s="11">
        <v>50.05</v>
      </c>
    </row>
    <row r="7" spans="1:2" x14ac:dyDescent="0.2">
      <c r="A7" s="2">
        <v>36678</v>
      </c>
      <c r="B7" s="11">
        <v>49.65</v>
      </c>
    </row>
    <row r="8" spans="1:2" x14ac:dyDescent="0.2">
      <c r="A8" s="2">
        <v>36708</v>
      </c>
      <c r="B8" s="11">
        <v>49.18</v>
      </c>
    </row>
    <row r="9" spans="1:2" x14ac:dyDescent="0.2">
      <c r="A9" s="2">
        <v>36739</v>
      </c>
      <c r="B9" s="11">
        <v>51.48</v>
      </c>
    </row>
    <row r="10" spans="1:2" x14ac:dyDescent="0.2">
      <c r="A10" s="2">
        <v>36770</v>
      </c>
      <c r="B10" s="11">
        <v>53.75</v>
      </c>
    </row>
    <row r="11" spans="1:2" x14ac:dyDescent="0.2">
      <c r="A11" s="2">
        <v>36800</v>
      </c>
      <c r="B11" s="11">
        <v>56.34</v>
      </c>
    </row>
    <row r="12" spans="1:2" x14ac:dyDescent="0.2">
      <c r="A12" s="2">
        <v>36831</v>
      </c>
      <c r="B12" s="11">
        <v>51.73</v>
      </c>
    </row>
    <row r="13" spans="1:2" x14ac:dyDescent="0.2">
      <c r="A13" s="2">
        <v>36861</v>
      </c>
      <c r="B13" s="11">
        <v>50.48</v>
      </c>
    </row>
    <row r="14" spans="1:2" x14ac:dyDescent="0.2">
      <c r="A14" s="2">
        <v>36892</v>
      </c>
      <c r="B14" s="11">
        <v>49.29</v>
      </c>
    </row>
    <row r="15" spans="1:2" x14ac:dyDescent="0.2">
      <c r="A15" s="2">
        <v>36923</v>
      </c>
      <c r="B15" s="11">
        <v>53.48</v>
      </c>
    </row>
    <row r="16" spans="1:2" x14ac:dyDescent="0.2">
      <c r="A16" s="2">
        <v>36951</v>
      </c>
      <c r="B16" s="11">
        <v>53.61</v>
      </c>
    </row>
    <row r="17" spans="1:2" x14ac:dyDescent="0.2">
      <c r="A17" s="2">
        <v>36982</v>
      </c>
      <c r="B17" s="11">
        <v>52.38</v>
      </c>
    </row>
    <row r="18" spans="1:2" x14ac:dyDescent="0.2">
      <c r="A18" s="2">
        <v>37012</v>
      </c>
      <c r="B18" s="11">
        <v>55.01</v>
      </c>
    </row>
    <row r="19" spans="1:2" x14ac:dyDescent="0.2">
      <c r="A19" s="2">
        <v>37043</v>
      </c>
      <c r="B19" s="11">
        <v>56.17</v>
      </c>
    </row>
    <row r="20" spans="1:2" x14ac:dyDescent="0.2">
      <c r="A20" s="2">
        <v>37073</v>
      </c>
      <c r="B20" s="11">
        <v>51.34</v>
      </c>
    </row>
    <row r="21" spans="1:2" x14ac:dyDescent="0.2">
      <c r="A21" s="2">
        <v>37104</v>
      </c>
      <c r="B21" s="11">
        <v>51.22</v>
      </c>
    </row>
    <row r="22" spans="1:2" x14ac:dyDescent="0.2">
      <c r="A22" s="2">
        <v>37135</v>
      </c>
      <c r="B22" s="11">
        <v>48.76</v>
      </c>
    </row>
    <row r="23" spans="1:2" x14ac:dyDescent="0.2">
      <c r="A23" s="2">
        <v>37165</v>
      </c>
      <c r="B23" s="11">
        <v>50.25</v>
      </c>
    </row>
    <row r="24" spans="1:2" x14ac:dyDescent="0.2">
      <c r="A24" s="2">
        <v>37196</v>
      </c>
      <c r="B24" s="11">
        <v>54.35</v>
      </c>
    </row>
    <row r="25" spans="1:2" x14ac:dyDescent="0.2">
      <c r="A25" s="2">
        <v>37226</v>
      </c>
      <c r="B25" s="11">
        <v>55.35</v>
      </c>
    </row>
    <row r="26" spans="1:2" x14ac:dyDescent="0.2">
      <c r="A26" s="2">
        <v>37257</v>
      </c>
      <c r="B26" s="11">
        <v>55.53</v>
      </c>
    </row>
    <row r="27" spans="1:2" x14ac:dyDescent="0.2">
      <c r="A27" s="2">
        <v>37288</v>
      </c>
      <c r="B27" s="11">
        <v>53.87</v>
      </c>
    </row>
    <row r="28" spans="1:2" x14ac:dyDescent="0.2">
      <c r="A28" s="2">
        <v>37316</v>
      </c>
      <c r="B28" s="11">
        <v>53.63</v>
      </c>
    </row>
    <row r="29" spans="1:2" x14ac:dyDescent="0.2">
      <c r="A29" s="2">
        <v>37347</v>
      </c>
      <c r="B29" s="11">
        <v>60.87</v>
      </c>
    </row>
    <row r="30" spans="1:2" x14ac:dyDescent="0.2">
      <c r="A30" s="2">
        <v>37377</v>
      </c>
      <c r="B30" s="11">
        <v>58.74</v>
      </c>
    </row>
    <row r="31" spans="1:2" x14ac:dyDescent="0.2">
      <c r="A31" s="2">
        <v>37408</v>
      </c>
      <c r="B31" s="11">
        <v>56.43</v>
      </c>
    </row>
    <row r="32" spans="1:2" x14ac:dyDescent="0.2">
      <c r="A32" s="2">
        <v>37438</v>
      </c>
      <c r="B32" s="11">
        <v>54.63</v>
      </c>
    </row>
    <row r="33" spans="1:2" x14ac:dyDescent="0.2">
      <c r="A33" s="2">
        <v>37469</v>
      </c>
      <c r="B33" s="11">
        <v>55.58</v>
      </c>
    </row>
    <row r="34" spans="1:2" x14ac:dyDescent="0.2">
      <c r="A34" s="2">
        <v>37500</v>
      </c>
      <c r="B34" s="11">
        <v>57.74</v>
      </c>
    </row>
    <row r="35" spans="1:2" x14ac:dyDescent="0.2">
      <c r="A35" s="2">
        <v>37530</v>
      </c>
      <c r="B35" s="11">
        <v>56.38</v>
      </c>
    </row>
    <row r="36" spans="1:2" x14ac:dyDescent="0.2">
      <c r="A36" s="2">
        <v>37561</v>
      </c>
      <c r="B36" s="11">
        <v>54.54</v>
      </c>
    </row>
    <row r="37" spans="1:2" x14ac:dyDescent="0.2">
      <c r="A37" s="2">
        <v>37591</v>
      </c>
      <c r="B37" s="11">
        <v>55.28</v>
      </c>
    </row>
    <row r="38" spans="1:2" x14ac:dyDescent="0.2">
      <c r="A38" s="2">
        <v>37622</v>
      </c>
      <c r="B38" s="11">
        <v>56.84</v>
      </c>
    </row>
    <row r="39" spans="1:2" x14ac:dyDescent="0.2">
      <c r="A39" s="2">
        <v>37653</v>
      </c>
      <c r="B39" s="11">
        <v>52.39</v>
      </c>
    </row>
    <row r="40" spans="1:2" x14ac:dyDescent="0.2">
      <c r="A40" s="2">
        <v>37681</v>
      </c>
      <c r="B40" s="11">
        <v>49.15</v>
      </c>
    </row>
    <row r="41" spans="1:2" x14ac:dyDescent="0.2">
      <c r="A41" s="2">
        <v>37712</v>
      </c>
      <c r="B41" s="11">
        <v>48.99</v>
      </c>
    </row>
    <row r="42" spans="1:2" x14ac:dyDescent="0.2">
      <c r="A42" s="2">
        <v>37742</v>
      </c>
      <c r="B42" s="11">
        <v>46.13</v>
      </c>
    </row>
    <row r="43" spans="1:2" x14ac:dyDescent="0.2">
      <c r="A43" s="2">
        <v>37773</v>
      </c>
      <c r="B43" s="11">
        <v>45.22</v>
      </c>
    </row>
    <row r="44" spans="1:2" x14ac:dyDescent="0.2">
      <c r="A44" s="2">
        <v>37803</v>
      </c>
      <c r="B44" s="11">
        <v>47.89</v>
      </c>
    </row>
    <row r="45" spans="1:2" x14ac:dyDescent="0.2">
      <c r="A45" s="2">
        <v>37834</v>
      </c>
      <c r="B45" s="11">
        <v>48.44</v>
      </c>
    </row>
    <row r="46" spans="1:2" x14ac:dyDescent="0.2">
      <c r="A46" s="2">
        <v>37865</v>
      </c>
      <c r="B46" s="11">
        <v>45.46</v>
      </c>
    </row>
    <row r="47" spans="1:2" x14ac:dyDescent="0.2">
      <c r="A47" s="2">
        <v>37895</v>
      </c>
      <c r="B47" s="11">
        <v>47.73</v>
      </c>
    </row>
    <row r="48" spans="1:2" x14ac:dyDescent="0.2">
      <c r="A48" s="2">
        <v>37926</v>
      </c>
      <c r="B48" s="11">
        <v>53.1</v>
      </c>
    </row>
    <row r="49" spans="1:2" x14ac:dyDescent="0.2">
      <c r="A49" s="2">
        <v>37956</v>
      </c>
      <c r="B49" s="11">
        <v>51.55</v>
      </c>
    </row>
    <row r="50" spans="1:2" x14ac:dyDescent="0.2">
      <c r="A50" s="2">
        <v>37987</v>
      </c>
      <c r="B50" s="11">
        <v>54.61</v>
      </c>
    </row>
    <row r="51" spans="1:2" x14ac:dyDescent="0.2">
      <c r="A51" s="2">
        <v>38018</v>
      </c>
      <c r="B51" s="11">
        <v>54.29</v>
      </c>
    </row>
    <row r="52" spans="1:2" x14ac:dyDescent="0.2">
      <c r="A52" s="2">
        <v>38047</v>
      </c>
      <c r="B52" s="11">
        <v>55.84</v>
      </c>
    </row>
    <row r="53" spans="1:2" x14ac:dyDescent="0.2">
      <c r="A53" s="2">
        <v>38078</v>
      </c>
      <c r="B53" s="11">
        <v>56.95</v>
      </c>
    </row>
    <row r="54" spans="1:2" x14ac:dyDescent="0.2">
      <c r="A54" s="2">
        <v>38108</v>
      </c>
      <c r="B54" s="11">
        <v>56.6</v>
      </c>
    </row>
    <row r="55" spans="1:2" x14ac:dyDescent="0.2">
      <c r="A55" s="2">
        <v>38139</v>
      </c>
      <c r="B55" s="11">
        <v>56.83</v>
      </c>
    </row>
    <row r="56" spans="1:2" x14ac:dyDescent="0.2">
      <c r="A56" s="2">
        <v>38169</v>
      </c>
      <c r="B56" s="11">
        <v>55.54</v>
      </c>
    </row>
    <row r="57" spans="1:2" x14ac:dyDescent="0.2">
      <c r="A57" s="2">
        <v>38200</v>
      </c>
      <c r="B57" s="11">
        <v>57.5</v>
      </c>
    </row>
    <row r="58" spans="1:2" x14ac:dyDescent="0.2">
      <c r="A58" s="2">
        <v>38231</v>
      </c>
      <c r="B58" s="11">
        <v>57.5</v>
      </c>
    </row>
    <row r="59" spans="1:2" x14ac:dyDescent="0.2">
      <c r="A59" s="2">
        <v>38261</v>
      </c>
      <c r="B59" s="11">
        <v>55.37</v>
      </c>
    </row>
    <row r="60" spans="1:2" x14ac:dyDescent="0.2">
      <c r="A60" s="2">
        <v>38292</v>
      </c>
      <c r="B60" s="11">
        <v>54.08</v>
      </c>
    </row>
    <row r="61" spans="1:2" x14ac:dyDescent="0.2">
      <c r="A61" s="2">
        <v>38322</v>
      </c>
      <c r="B61" s="11">
        <v>54.34</v>
      </c>
    </row>
    <row r="62" spans="1:2" x14ac:dyDescent="0.2">
      <c r="A62" s="2">
        <v>38353</v>
      </c>
      <c r="B62" s="11">
        <v>51.54</v>
      </c>
    </row>
    <row r="63" spans="1:2" x14ac:dyDescent="0.2">
      <c r="A63" s="2">
        <v>38384</v>
      </c>
      <c r="B63" s="11">
        <v>55.55</v>
      </c>
    </row>
    <row r="64" spans="1:2" x14ac:dyDescent="0.2">
      <c r="A64" s="2">
        <v>38412</v>
      </c>
      <c r="B64" s="11">
        <v>57.65</v>
      </c>
    </row>
    <row r="65" spans="1:2" x14ac:dyDescent="0.2">
      <c r="A65" s="2">
        <v>38443</v>
      </c>
      <c r="B65" s="11">
        <v>54.64</v>
      </c>
    </row>
    <row r="66" spans="1:2" x14ac:dyDescent="0.2">
      <c r="A66" s="2">
        <v>38473</v>
      </c>
      <c r="B66" s="11">
        <v>53.75</v>
      </c>
    </row>
    <row r="67" spans="1:2" x14ac:dyDescent="0.2">
      <c r="A67" s="2">
        <v>38504</v>
      </c>
      <c r="B67" s="11">
        <v>57.12</v>
      </c>
    </row>
    <row r="68" spans="1:2" x14ac:dyDescent="0.2">
      <c r="A68" s="2">
        <v>38534</v>
      </c>
      <c r="B68" s="11">
        <v>57.43</v>
      </c>
    </row>
    <row r="69" spans="1:2" x14ac:dyDescent="0.2">
      <c r="A69" s="2">
        <v>38565</v>
      </c>
      <c r="B69" s="11">
        <v>55.2</v>
      </c>
    </row>
    <row r="70" spans="1:2" x14ac:dyDescent="0.2">
      <c r="A70" s="2">
        <v>38596</v>
      </c>
      <c r="B70" s="11">
        <v>54.96</v>
      </c>
    </row>
    <row r="71" spans="1:2" x14ac:dyDescent="0.2">
      <c r="A71" s="2">
        <v>38626</v>
      </c>
      <c r="B71" s="11">
        <v>52.77</v>
      </c>
    </row>
    <row r="72" spans="1:2" x14ac:dyDescent="0.2">
      <c r="A72" s="2">
        <v>38657</v>
      </c>
      <c r="B72" s="11">
        <v>52.02</v>
      </c>
    </row>
    <row r="73" spans="1:2" x14ac:dyDescent="0.2">
      <c r="A73" s="2">
        <v>38687</v>
      </c>
      <c r="B73" s="11">
        <v>53.31</v>
      </c>
    </row>
    <row r="74" spans="1:2" x14ac:dyDescent="0.2">
      <c r="A74" s="2">
        <v>38718</v>
      </c>
      <c r="B74" s="11">
        <v>49.78</v>
      </c>
    </row>
    <row r="75" spans="1:2" x14ac:dyDescent="0.2">
      <c r="A75" s="2">
        <v>38749</v>
      </c>
      <c r="B75" s="11">
        <v>50.11</v>
      </c>
    </row>
    <row r="76" spans="1:2" x14ac:dyDescent="0.2">
      <c r="A76" s="2">
        <v>38777</v>
      </c>
      <c r="B76" s="11">
        <v>52.17</v>
      </c>
    </row>
    <row r="77" spans="1:2" x14ac:dyDescent="0.2">
      <c r="A77" s="2">
        <v>38808</v>
      </c>
      <c r="B77" s="11">
        <v>54.63</v>
      </c>
    </row>
    <row r="78" spans="1:2" x14ac:dyDescent="0.2">
      <c r="A78" s="2">
        <v>38838</v>
      </c>
      <c r="B78" s="11">
        <v>57</v>
      </c>
    </row>
    <row r="79" spans="1:2" x14ac:dyDescent="0.2">
      <c r="A79" s="2">
        <v>38869</v>
      </c>
      <c r="B79" s="11">
        <v>58.8</v>
      </c>
    </row>
    <row r="80" spans="1:2" x14ac:dyDescent="0.2">
      <c r="A80" s="2">
        <v>38899</v>
      </c>
      <c r="B80" s="11">
        <v>60.27</v>
      </c>
    </row>
    <row r="81" spans="1:2" x14ac:dyDescent="0.2">
      <c r="A81" s="2">
        <v>38930</v>
      </c>
      <c r="B81" s="11">
        <v>58.68</v>
      </c>
    </row>
    <row r="82" spans="1:2" x14ac:dyDescent="0.2">
      <c r="A82" s="2">
        <v>38961</v>
      </c>
      <c r="B82" s="11">
        <v>56.6</v>
      </c>
    </row>
    <row r="83" spans="1:2" x14ac:dyDescent="0.2">
      <c r="A83" s="2">
        <v>38991</v>
      </c>
      <c r="B83" s="11">
        <v>56.73</v>
      </c>
    </row>
    <row r="84" spans="1:2" x14ac:dyDescent="0.2">
      <c r="A84" s="2">
        <v>39022</v>
      </c>
      <c r="B84" s="11">
        <v>56.34</v>
      </c>
    </row>
    <row r="85" spans="1:2" x14ac:dyDescent="0.2">
      <c r="A85" s="2">
        <v>39052</v>
      </c>
      <c r="B85" s="11">
        <v>55.49</v>
      </c>
    </row>
    <row r="86" spans="1:2" x14ac:dyDescent="0.2">
      <c r="A86" s="2">
        <v>39083</v>
      </c>
      <c r="B86" s="11">
        <v>57.79</v>
      </c>
    </row>
    <row r="87" spans="1:2" x14ac:dyDescent="0.2">
      <c r="A87" s="2">
        <v>39114</v>
      </c>
      <c r="B87" s="11">
        <v>60.18</v>
      </c>
    </row>
    <row r="88" spans="1:2" x14ac:dyDescent="0.2">
      <c r="A88" s="2">
        <v>39142</v>
      </c>
      <c r="B88" s="11">
        <v>60.35</v>
      </c>
    </row>
    <row r="89" spans="1:2" x14ac:dyDescent="0.2">
      <c r="A89" s="2">
        <v>39173</v>
      </c>
      <c r="B89" s="11">
        <v>57.89</v>
      </c>
    </row>
    <row r="90" spans="1:2" x14ac:dyDescent="0.2">
      <c r="A90" s="2">
        <v>39203</v>
      </c>
      <c r="B90" s="11">
        <v>56.91</v>
      </c>
    </row>
    <row r="91" spans="1:2" x14ac:dyDescent="0.2">
      <c r="A91" s="2">
        <v>39234</v>
      </c>
      <c r="B91" s="11">
        <v>56.33</v>
      </c>
    </row>
    <row r="92" spans="1:2" x14ac:dyDescent="0.2">
      <c r="A92" s="2">
        <v>39264</v>
      </c>
      <c r="B92" s="11">
        <v>57.52</v>
      </c>
    </row>
    <row r="93" spans="1:2" x14ac:dyDescent="0.2">
      <c r="A93" s="2">
        <v>39295</v>
      </c>
      <c r="B93" s="11">
        <v>54.42</v>
      </c>
    </row>
    <row r="94" spans="1:2" x14ac:dyDescent="0.2">
      <c r="A94" s="2">
        <v>39326</v>
      </c>
      <c r="B94" s="11">
        <v>51.63</v>
      </c>
    </row>
    <row r="95" spans="1:2" x14ac:dyDescent="0.2">
      <c r="A95" s="2">
        <v>39356</v>
      </c>
      <c r="B95" s="11">
        <v>54.4</v>
      </c>
    </row>
    <row r="96" spans="1:2" x14ac:dyDescent="0.2">
      <c r="A96" s="2">
        <v>39387</v>
      </c>
      <c r="B96" s="11">
        <v>53.96</v>
      </c>
    </row>
    <row r="97" spans="1:2" x14ac:dyDescent="0.2">
      <c r="A97" s="2">
        <v>39417</v>
      </c>
      <c r="B97" s="11">
        <v>53.23</v>
      </c>
    </row>
    <row r="98" spans="1:2" x14ac:dyDescent="0.2">
      <c r="A98" s="2">
        <v>39448</v>
      </c>
      <c r="B98" s="11">
        <v>51.3</v>
      </c>
    </row>
    <row r="99" spans="1:2" x14ac:dyDescent="0.2">
      <c r="A99" s="2">
        <v>39479</v>
      </c>
      <c r="B99" s="11">
        <v>45.75</v>
      </c>
    </row>
    <row r="100" spans="1:2" x14ac:dyDescent="0.2">
      <c r="A100" s="2">
        <v>39508</v>
      </c>
      <c r="B100" s="11">
        <v>44.21</v>
      </c>
    </row>
    <row r="101" spans="1:2" x14ac:dyDescent="0.2">
      <c r="A101" s="2">
        <v>39539</v>
      </c>
      <c r="B101" s="11">
        <v>53.72</v>
      </c>
    </row>
    <row r="102" spans="1:2" x14ac:dyDescent="0.2">
      <c r="A102" s="2">
        <v>39569</v>
      </c>
      <c r="B102" s="11">
        <v>48.8</v>
      </c>
    </row>
    <row r="103" spans="1:2" x14ac:dyDescent="0.2">
      <c r="A103" s="2">
        <v>39600</v>
      </c>
      <c r="B103" s="11">
        <v>45.37</v>
      </c>
    </row>
    <row r="104" spans="1:2" x14ac:dyDescent="0.2">
      <c r="A104" s="2">
        <v>39630</v>
      </c>
      <c r="B104" s="11">
        <v>44.8</v>
      </c>
    </row>
    <row r="105" spans="1:2" x14ac:dyDescent="0.2">
      <c r="A105" s="2">
        <v>39661</v>
      </c>
      <c r="B105" s="11">
        <v>48.3</v>
      </c>
    </row>
    <row r="106" spans="1:2" x14ac:dyDescent="0.2">
      <c r="A106" s="2">
        <v>39692</v>
      </c>
      <c r="B106" s="11">
        <v>47.07</v>
      </c>
    </row>
    <row r="107" spans="1:2" x14ac:dyDescent="0.2">
      <c r="A107" s="2">
        <v>39722</v>
      </c>
      <c r="B107" s="11">
        <v>45.16</v>
      </c>
    </row>
    <row r="108" spans="1:2" x14ac:dyDescent="0.2">
      <c r="A108" s="2">
        <v>39753</v>
      </c>
      <c r="B108" s="11">
        <v>38.97</v>
      </c>
    </row>
    <row r="109" spans="1:2" x14ac:dyDescent="0.2">
      <c r="A109" s="2">
        <v>39783</v>
      </c>
      <c r="B109" s="11">
        <v>40.24</v>
      </c>
    </row>
    <row r="110" spans="1:2" x14ac:dyDescent="0.2">
      <c r="A110" s="2">
        <v>39814</v>
      </c>
      <c r="B110" s="11">
        <v>39.9</v>
      </c>
    </row>
    <row r="111" spans="1:2" x14ac:dyDescent="0.2">
      <c r="A111" s="2">
        <v>39845</v>
      </c>
      <c r="B111" s="11">
        <v>37.590000000000003</v>
      </c>
    </row>
    <row r="112" spans="1:2" x14ac:dyDescent="0.2">
      <c r="A112" s="2">
        <v>39873</v>
      </c>
      <c r="B112" s="11">
        <v>35.76</v>
      </c>
    </row>
    <row r="113" spans="1:2" x14ac:dyDescent="0.2">
      <c r="A113" s="2">
        <v>39904</v>
      </c>
      <c r="B113" s="11">
        <v>35.090000000000003</v>
      </c>
    </row>
    <row r="114" spans="1:2" x14ac:dyDescent="0.2">
      <c r="A114" s="2">
        <v>39934</v>
      </c>
      <c r="B114" s="11">
        <v>37.520000000000003</v>
      </c>
    </row>
    <row r="115" spans="1:2" x14ac:dyDescent="0.2">
      <c r="A115" s="2">
        <v>39965</v>
      </c>
      <c r="B115" s="11">
        <v>39.700000000000003</v>
      </c>
    </row>
    <row r="116" spans="1:2" x14ac:dyDescent="0.2">
      <c r="A116" s="2">
        <v>39995</v>
      </c>
      <c r="B116" s="11">
        <v>39.43</v>
      </c>
    </row>
    <row r="117" spans="1:2" x14ac:dyDescent="0.2">
      <c r="A117" s="2">
        <v>40026</v>
      </c>
      <c r="B117" s="11">
        <v>40.659999999999997</v>
      </c>
    </row>
    <row r="118" spans="1:2" x14ac:dyDescent="0.2">
      <c r="A118" s="2">
        <v>40057</v>
      </c>
      <c r="B118" s="11">
        <v>47.46</v>
      </c>
    </row>
    <row r="119" spans="1:2" x14ac:dyDescent="0.2">
      <c r="A119" s="2">
        <v>40087</v>
      </c>
      <c r="B119" s="11">
        <v>47.74</v>
      </c>
    </row>
    <row r="120" spans="1:2" x14ac:dyDescent="0.2">
      <c r="A120" s="2">
        <v>40118</v>
      </c>
      <c r="B120" s="11">
        <v>49.48</v>
      </c>
    </row>
    <row r="121" spans="1:2" x14ac:dyDescent="0.2">
      <c r="A121" s="2">
        <v>40148</v>
      </c>
      <c r="B121" s="11">
        <v>52.58</v>
      </c>
    </row>
    <row r="122" spans="1:2" x14ac:dyDescent="0.2">
      <c r="A122" s="2">
        <v>40179</v>
      </c>
      <c r="B122" s="11">
        <v>52.14</v>
      </c>
    </row>
    <row r="123" spans="1:2" x14ac:dyDescent="0.2">
      <c r="A123" s="2">
        <v>40210</v>
      </c>
      <c r="B123" s="11">
        <v>55.72</v>
      </c>
    </row>
    <row r="124" spans="1:2" x14ac:dyDescent="0.2">
      <c r="A124" s="2">
        <v>40238</v>
      </c>
      <c r="B124" s="11">
        <v>53.65</v>
      </c>
    </row>
    <row r="125" spans="1:2" x14ac:dyDescent="0.2">
      <c r="A125" s="2">
        <v>40269</v>
      </c>
      <c r="B125" s="11">
        <v>53.24</v>
      </c>
    </row>
    <row r="126" spans="1:2" x14ac:dyDescent="0.2">
      <c r="A126" s="2">
        <v>40299</v>
      </c>
      <c r="B126" s="11">
        <v>51.19</v>
      </c>
    </row>
    <row r="127" spans="1:2" x14ac:dyDescent="0.2">
      <c r="A127" s="2">
        <v>40330</v>
      </c>
      <c r="B127" s="11">
        <v>50.84</v>
      </c>
    </row>
    <row r="128" spans="1:2" x14ac:dyDescent="0.2">
      <c r="A128" s="2">
        <v>40360</v>
      </c>
      <c r="B128" s="11">
        <v>52.65</v>
      </c>
    </row>
    <row r="129" spans="1:2" x14ac:dyDescent="0.2">
      <c r="A129" s="2">
        <v>40391</v>
      </c>
      <c r="B129" s="11">
        <v>51.95</v>
      </c>
    </row>
    <row r="130" spans="1:2" x14ac:dyDescent="0.2">
      <c r="A130" s="2">
        <v>40422</v>
      </c>
      <c r="B130" s="11">
        <v>50.14</v>
      </c>
    </row>
    <row r="131" spans="1:2" x14ac:dyDescent="0.2">
      <c r="A131" s="2">
        <v>40452</v>
      </c>
      <c r="B131" s="11">
        <v>51.35</v>
      </c>
    </row>
    <row r="132" spans="1:2" x14ac:dyDescent="0.2">
      <c r="A132" s="2">
        <v>40483</v>
      </c>
      <c r="B132" s="11">
        <v>52.54</v>
      </c>
    </row>
    <row r="133" spans="1:2" x14ac:dyDescent="0.2">
      <c r="A133" s="2">
        <v>40513</v>
      </c>
      <c r="B133" s="11">
        <v>52.81</v>
      </c>
    </row>
    <row r="134" spans="1:2" x14ac:dyDescent="0.2">
      <c r="A134" s="2">
        <v>40544</v>
      </c>
      <c r="B134" s="11">
        <v>53.56</v>
      </c>
    </row>
    <row r="135" spans="1:2" x14ac:dyDescent="0.2">
      <c r="A135" s="2">
        <v>40575</v>
      </c>
      <c r="B135" s="11">
        <v>51.49</v>
      </c>
    </row>
    <row r="136" spans="1:2" x14ac:dyDescent="0.2">
      <c r="A136" s="2">
        <v>40603</v>
      </c>
      <c r="B136" s="11">
        <v>54.71</v>
      </c>
    </row>
    <row r="137" spans="1:2" x14ac:dyDescent="0.2">
      <c r="A137" s="2">
        <v>40634</v>
      </c>
      <c r="B137" s="11">
        <v>54.16</v>
      </c>
    </row>
    <row r="138" spans="1:2" x14ac:dyDescent="0.2">
      <c r="A138" s="2">
        <v>40664</v>
      </c>
      <c r="B138" s="11">
        <v>54.1</v>
      </c>
    </row>
    <row r="139" spans="1:2" x14ac:dyDescent="0.2">
      <c r="A139" s="2">
        <v>40695</v>
      </c>
      <c r="B139" s="11">
        <v>55.16</v>
      </c>
    </row>
    <row r="140" spans="1:2" x14ac:dyDescent="0.2">
      <c r="A140" s="2">
        <v>40725</v>
      </c>
      <c r="B140" s="11">
        <v>46.16</v>
      </c>
    </row>
    <row r="141" spans="1:2" x14ac:dyDescent="0.2">
      <c r="A141" s="2">
        <v>40756</v>
      </c>
      <c r="B141" s="11">
        <v>47.73</v>
      </c>
    </row>
    <row r="142" spans="1:2" x14ac:dyDescent="0.2">
      <c r="A142" s="2">
        <v>40787</v>
      </c>
      <c r="B142" s="11">
        <v>52.45</v>
      </c>
    </row>
    <row r="143" spans="1:2" x14ac:dyDescent="0.2">
      <c r="A143" s="2">
        <v>40817</v>
      </c>
      <c r="B143" s="11">
        <v>52.18</v>
      </c>
    </row>
    <row r="144" spans="1:2" x14ac:dyDescent="0.2">
      <c r="A144" s="2">
        <v>40848</v>
      </c>
      <c r="B144" s="11">
        <v>51.66</v>
      </c>
    </row>
    <row r="145" spans="1:2" x14ac:dyDescent="0.2">
      <c r="A145" s="2">
        <v>40878</v>
      </c>
      <c r="B145" s="11">
        <v>51.4</v>
      </c>
    </row>
    <row r="146" spans="1:2" x14ac:dyDescent="0.2">
      <c r="A146" s="2">
        <v>40909</v>
      </c>
      <c r="B146" s="11">
        <v>52.94</v>
      </c>
    </row>
    <row r="147" spans="1:2" x14ac:dyDescent="0.2">
      <c r="A147" s="2">
        <v>40940</v>
      </c>
      <c r="B147" s="11">
        <v>53.51</v>
      </c>
    </row>
    <row r="148" spans="1:2" x14ac:dyDescent="0.2">
      <c r="A148" s="2">
        <v>40969</v>
      </c>
      <c r="B148" s="11">
        <v>53.51</v>
      </c>
    </row>
    <row r="149" spans="1:2" x14ac:dyDescent="0.2">
      <c r="A149" s="2">
        <v>41000</v>
      </c>
      <c r="B149" s="11">
        <v>52.19</v>
      </c>
    </row>
    <row r="150" spans="1:2" x14ac:dyDescent="0.2">
      <c r="A150" s="2">
        <v>41030</v>
      </c>
      <c r="B150" s="11">
        <v>52.57</v>
      </c>
    </row>
    <row r="151" spans="1:2" x14ac:dyDescent="0.2">
      <c r="A151" s="2">
        <v>41061</v>
      </c>
      <c r="B151" s="11">
        <v>49.09</v>
      </c>
    </row>
    <row r="152" spans="1:2" x14ac:dyDescent="0.2">
      <c r="A152" s="2">
        <v>41091</v>
      </c>
      <c r="B152" s="11">
        <v>51.13</v>
      </c>
    </row>
    <row r="153" spans="1:2" x14ac:dyDescent="0.2">
      <c r="A153" s="2">
        <v>41122</v>
      </c>
      <c r="B153" s="11">
        <v>49.56</v>
      </c>
    </row>
    <row r="154" spans="1:2" x14ac:dyDescent="0.2">
      <c r="A154" s="2">
        <v>41153</v>
      </c>
      <c r="B154" s="11">
        <v>48.42</v>
      </c>
    </row>
    <row r="155" spans="1:2" x14ac:dyDescent="0.2">
      <c r="A155" s="2">
        <v>41183</v>
      </c>
      <c r="B155" s="11">
        <v>48.23</v>
      </c>
    </row>
    <row r="156" spans="1:2" x14ac:dyDescent="0.2">
      <c r="A156" s="2">
        <v>41214</v>
      </c>
      <c r="B156" s="11">
        <v>49.15</v>
      </c>
    </row>
    <row r="157" spans="1:2" x14ac:dyDescent="0.2">
      <c r="A157" s="2">
        <v>41244</v>
      </c>
      <c r="B157" s="11">
        <v>48.92</v>
      </c>
    </row>
    <row r="158" spans="1:2" x14ac:dyDescent="0.2">
      <c r="A158" s="2">
        <v>41275</v>
      </c>
      <c r="B158" s="11">
        <v>49.08</v>
      </c>
    </row>
    <row r="159" spans="1:2" x14ac:dyDescent="0.2">
      <c r="A159" s="2">
        <v>41306</v>
      </c>
      <c r="B159" s="11">
        <v>51.42</v>
      </c>
    </row>
    <row r="160" spans="1:2" x14ac:dyDescent="0.2">
      <c r="A160" s="2">
        <v>41334</v>
      </c>
      <c r="B160" s="11">
        <v>49.04</v>
      </c>
    </row>
    <row r="161" spans="1:2" x14ac:dyDescent="0.2">
      <c r="A161" s="2">
        <v>41365</v>
      </c>
      <c r="B161" s="11">
        <v>49.8</v>
      </c>
    </row>
    <row r="162" spans="1:2" x14ac:dyDescent="0.2">
      <c r="A162" s="2">
        <v>41395</v>
      </c>
      <c r="B162" s="11">
        <v>50.21</v>
      </c>
    </row>
    <row r="163" spans="1:2" x14ac:dyDescent="0.2">
      <c r="A163" s="2">
        <v>41426</v>
      </c>
      <c r="B163" s="11">
        <v>51.96</v>
      </c>
    </row>
    <row r="164" spans="1:2" x14ac:dyDescent="0.2">
      <c r="A164" s="2">
        <v>41456</v>
      </c>
      <c r="B164" s="11">
        <v>52.15</v>
      </c>
    </row>
    <row r="165" spans="1:2" x14ac:dyDescent="0.2">
      <c r="A165" s="2">
        <v>41487</v>
      </c>
      <c r="B165" s="11">
        <v>55.26</v>
      </c>
    </row>
    <row r="166" spans="1:2" x14ac:dyDescent="0.2">
      <c r="A166" s="2">
        <v>41518</v>
      </c>
      <c r="B166" s="11">
        <v>49.43</v>
      </c>
    </row>
    <row r="167" spans="1:2" x14ac:dyDescent="0.2">
      <c r="A167" s="2">
        <v>41548</v>
      </c>
      <c r="B167" s="11">
        <v>51.43</v>
      </c>
    </row>
    <row r="168" spans="1:2" x14ac:dyDescent="0.2">
      <c r="A168" s="2">
        <v>41579</v>
      </c>
      <c r="B168" s="11">
        <v>52</v>
      </c>
    </row>
    <row r="169" spans="1:2" x14ac:dyDescent="0.2">
      <c r="A169" s="2">
        <v>41609</v>
      </c>
      <c r="B169" s="11">
        <v>51</v>
      </c>
    </row>
    <row r="170" spans="1:2" x14ac:dyDescent="0.2">
      <c r="A170" s="2">
        <v>41640</v>
      </c>
      <c r="B170" s="11">
        <v>49.96</v>
      </c>
    </row>
    <row r="171" spans="1:2" x14ac:dyDescent="0.2">
      <c r="A171" s="2">
        <v>41671</v>
      </c>
      <c r="B171" s="11">
        <v>50.69</v>
      </c>
    </row>
    <row r="172" spans="1:2" x14ac:dyDescent="0.2">
      <c r="A172" s="2">
        <v>41699</v>
      </c>
      <c r="B172" s="11">
        <v>50.29</v>
      </c>
    </row>
    <row r="173" spans="1:2" x14ac:dyDescent="0.2">
      <c r="A173" s="2">
        <v>41730</v>
      </c>
      <c r="B173" s="11">
        <v>47.3</v>
      </c>
    </row>
    <row r="174" spans="1:2" x14ac:dyDescent="0.2">
      <c r="A174" s="2">
        <v>41760</v>
      </c>
      <c r="B174" s="11">
        <v>44.41</v>
      </c>
    </row>
    <row r="175" spans="1:2" x14ac:dyDescent="0.2">
      <c r="A175" s="2">
        <v>41791</v>
      </c>
      <c r="B175" s="11">
        <v>46.59</v>
      </c>
    </row>
    <row r="176" spans="1:2" x14ac:dyDescent="0.2">
      <c r="A176" s="2">
        <v>41821</v>
      </c>
      <c r="B176" s="11">
        <v>45.45</v>
      </c>
    </row>
    <row r="177" spans="1:2" x14ac:dyDescent="0.2">
      <c r="A177" s="2">
        <v>41852</v>
      </c>
      <c r="B177" s="11">
        <v>49</v>
      </c>
    </row>
    <row r="178" spans="1:2" x14ac:dyDescent="0.2">
      <c r="A178" s="2">
        <v>41883</v>
      </c>
      <c r="B178" s="11">
        <v>50.35</v>
      </c>
    </row>
    <row r="179" spans="1:2" x14ac:dyDescent="0.2">
      <c r="A179" s="2">
        <v>41913</v>
      </c>
      <c r="B179" s="11">
        <v>50.13</v>
      </c>
    </row>
    <row r="180" spans="1:2" x14ac:dyDescent="0.2">
      <c r="A180" s="2">
        <v>41944</v>
      </c>
      <c r="B180" s="11">
        <v>53.12</v>
      </c>
    </row>
    <row r="181" spans="1:2" x14ac:dyDescent="0.2">
      <c r="A181" s="2">
        <v>41974</v>
      </c>
      <c r="B181" s="11">
        <v>51.1</v>
      </c>
    </row>
    <row r="182" spans="1:2" x14ac:dyDescent="0.2">
      <c r="A182" s="2">
        <v>42005</v>
      </c>
      <c r="B182" s="11">
        <v>53.24</v>
      </c>
    </row>
    <row r="183" spans="1:2" x14ac:dyDescent="0.2">
      <c r="A183" s="2">
        <v>42036</v>
      </c>
      <c r="B183" s="11">
        <v>47.66</v>
      </c>
    </row>
    <row r="184" spans="1:2" x14ac:dyDescent="0.2">
      <c r="A184" s="2">
        <v>42064</v>
      </c>
      <c r="B184" s="11">
        <v>47.88</v>
      </c>
    </row>
    <row r="185" spans="1:2" x14ac:dyDescent="0.2">
      <c r="A185" s="2">
        <v>42095</v>
      </c>
      <c r="B185" s="11">
        <v>44.92</v>
      </c>
    </row>
    <row r="186" spans="1:2" x14ac:dyDescent="0.2">
      <c r="A186" s="2">
        <v>42125</v>
      </c>
      <c r="B186" s="11">
        <v>50.52</v>
      </c>
    </row>
    <row r="187" spans="1:2" x14ac:dyDescent="0.2">
      <c r="A187" s="2">
        <v>42156</v>
      </c>
      <c r="B187" s="11">
        <v>50.31</v>
      </c>
    </row>
    <row r="188" spans="1:2" x14ac:dyDescent="0.2">
      <c r="A188" s="2">
        <v>42186</v>
      </c>
      <c r="B188" s="11">
        <v>50.25</v>
      </c>
    </row>
    <row r="189" spans="1:2" x14ac:dyDescent="0.2">
      <c r="A189" s="2">
        <v>42217</v>
      </c>
      <c r="B189" s="11">
        <v>50.52</v>
      </c>
    </row>
    <row r="190" spans="1:2" x14ac:dyDescent="0.2">
      <c r="A190" s="2">
        <v>42248</v>
      </c>
      <c r="B190" s="11">
        <v>50.14</v>
      </c>
    </row>
    <row r="191" spans="1:2" x14ac:dyDescent="0.2">
      <c r="A191" s="2">
        <v>42278</v>
      </c>
      <c r="B191" s="11">
        <v>48.74</v>
      </c>
    </row>
    <row r="192" spans="1:2" x14ac:dyDescent="0.2">
      <c r="A192" s="2">
        <v>42309</v>
      </c>
      <c r="B192" s="11">
        <v>44.73</v>
      </c>
    </row>
    <row r="193" spans="1:2" x14ac:dyDescent="0.2">
      <c r="A193" s="2">
        <v>42339</v>
      </c>
      <c r="B193" s="11">
        <v>47.2</v>
      </c>
    </row>
    <row r="194" spans="1:2" x14ac:dyDescent="0.2">
      <c r="A194" s="2">
        <v>42370</v>
      </c>
      <c r="B194" s="11">
        <v>43.27</v>
      </c>
    </row>
    <row r="195" spans="1:2" x14ac:dyDescent="0.2">
      <c r="A195" s="2">
        <v>42401</v>
      </c>
      <c r="B195" s="11">
        <v>46.84</v>
      </c>
    </row>
    <row r="196" spans="1:2" x14ac:dyDescent="0.2">
      <c r="A196" s="2">
        <v>42430</v>
      </c>
      <c r="B196" s="11">
        <v>49.54</v>
      </c>
    </row>
    <row r="197" spans="1:2" x14ac:dyDescent="0.2">
      <c r="A197" s="2">
        <v>42461</v>
      </c>
      <c r="B197" s="11">
        <v>53.33</v>
      </c>
    </row>
    <row r="198" spans="1:2" x14ac:dyDescent="0.2">
      <c r="A198" s="2">
        <v>42491</v>
      </c>
      <c r="B198" s="11">
        <v>50.72</v>
      </c>
    </row>
    <row r="199" spans="1:2" x14ac:dyDescent="0.2">
      <c r="A199" s="2">
        <v>42522</v>
      </c>
      <c r="B199" s="11">
        <v>52.14</v>
      </c>
    </row>
    <row r="200" spans="1:2" x14ac:dyDescent="0.2">
      <c r="A200" s="2">
        <v>42552</v>
      </c>
      <c r="B200" s="11">
        <v>51.25</v>
      </c>
    </row>
    <row r="201" spans="1:2" x14ac:dyDescent="0.2">
      <c r="A201" s="2">
        <v>42583</v>
      </c>
      <c r="B201" s="11">
        <v>47.94</v>
      </c>
    </row>
    <row r="202" spans="1:2" x14ac:dyDescent="0.2">
      <c r="A202" s="2">
        <v>42614</v>
      </c>
      <c r="B202" s="11">
        <v>49.85</v>
      </c>
    </row>
    <row r="203" spans="1:2" x14ac:dyDescent="0.2">
      <c r="A203" s="2">
        <v>42644</v>
      </c>
      <c r="B203" s="11">
        <v>46.47</v>
      </c>
    </row>
    <row r="204" spans="1:2" x14ac:dyDescent="0.2">
      <c r="A204" s="2">
        <v>42675</v>
      </c>
      <c r="B204" s="11">
        <v>49.22</v>
      </c>
    </row>
    <row r="205" spans="1:2" x14ac:dyDescent="0.2">
      <c r="A205" s="2">
        <v>42705</v>
      </c>
      <c r="B205" s="11">
        <v>48.56</v>
      </c>
    </row>
    <row r="206" spans="1:2" x14ac:dyDescent="0.2">
      <c r="A206" s="2">
        <v>42736</v>
      </c>
      <c r="B206" s="11">
        <v>50.08</v>
      </c>
    </row>
    <row r="207" spans="1:2" x14ac:dyDescent="0.2">
      <c r="A207" s="2">
        <v>42767</v>
      </c>
      <c r="B207" s="11">
        <v>51.22</v>
      </c>
    </row>
    <row r="208" spans="1:2" x14ac:dyDescent="0.2">
      <c r="A208" s="2">
        <v>42795</v>
      </c>
      <c r="B208" s="11">
        <v>50.81</v>
      </c>
    </row>
    <row r="209" spans="1:2" x14ac:dyDescent="0.2">
      <c r="A209" s="2">
        <v>42826</v>
      </c>
      <c r="B209" s="11">
        <v>43.53</v>
      </c>
    </row>
    <row r="210" spans="1:2" x14ac:dyDescent="0.2">
      <c r="A210" s="2">
        <v>42856</v>
      </c>
      <c r="B210" s="11">
        <v>50.11</v>
      </c>
    </row>
    <row r="211" spans="1:2" x14ac:dyDescent="0.2">
      <c r="A211" s="2">
        <v>42887</v>
      </c>
      <c r="B211" s="11">
        <v>45.98</v>
      </c>
    </row>
    <row r="212" spans="1:2" x14ac:dyDescent="0.2">
      <c r="A212" s="2">
        <v>42917</v>
      </c>
      <c r="B212" s="11">
        <v>42.1</v>
      </c>
    </row>
    <row r="213" spans="1:2" x14ac:dyDescent="0.2">
      <c r="A213" s="2">
        <v>42948</v>
      </c>
      <c r="B213" s="11">
        <v>46.1</v>
      </c>
    </row>
    <row r="214" spans="1:2" x14ac:dyDescent="0.2">
      <c r="A214" s="2">
        <v>42979</v>
      </c>
      <c r="B214" s="11">
        <v>46.4</v>
      </c>
    </row>
    <row r="215" spans="1:2" x14ac:dyDescent="0.2">
      <c r="A215" s="2">
        <v>43009</v>
      </c>
      <c r="B215" s="11">
        <v>48.4</v>
      </c>
    </row>
    <row r="216" spans="1:2" x14ac:dyDescent="0.2">
      <c r="A216" s="2">
        <v>43040</v>
      </c>
      <c r="B216" s="11">
        <v>48.9</v>
      </c>
    </row>
    <row r="217" spans="1:2" x14ac:dyDescent="0.2">
      <c r="A217" s="2">
        <v>43070</v>
      </c>
      <c r="B217" s="11">
        <v>45.9</v>
      </c>
    </row>
    <row r="218" spans="1:2" x14ac:dyDescent="0.2">
      <c r="A218" s="2">
        <v>43101</v>
      </c>
      <c r="B218" s="11">
        <v>49.2</v>
      </c>
    </row>
    <row r="219" spans="1:2" x14ac:dyDescent="0.2">
      <c r="A219" s="2">
        <v>43132</v>
      </c>
      <c r="B219" s="11">
        <v>50</v>
      </c>
    </row>
    <row r="220" spans="1:2" x14ac:dyDescent="0.2">
      <c r="A220" s="2">
        <v>43160</v>
      </c>
      <c r="B220" s="11">
        <v>46.7</v>
      </c>
    </row>
    <row r="221" spans="1:2" x14ac:dyDescent="0.2">
      <c r="A221" s="2">
        <v>43191</v>
      </c>
      <c r="B221" s="11">
        <v>49.1</v>
      </c>
    </row>
    <row r="222" spans="1:2" x14ac:dyDescent="0.2">
      <c r="A222" s="2">
        <v>43221</v>
      </c>
      <c r="B222" s="11">
        <v>49.4</v>
      </c>
    </row>
    <row r="223" spans="1:2" x14ac:dyDescent="0.2">
      <c r="A223" s="2">
        <v>43252</v>
      </c>
      <c r="B223" s="11">
        <v>48</v>
      </c>
    </row>
    <row r="224" spans="1:2" x14ac:dyDescent="0.2">
      <c r="A224" s="2">
        <v>43282</v>
      </c>
      <c r="B224" s="11">
        <v>49.9</v>
      </c>
    </row>
    <row r="225" spans="1:2" x14ac:dyDescent="0.2">
      <c r="A225" s="2">
        <v>43313</v>
      </c>
      <c r="B225" s="11">
        <v>45.2</v>
      </c>
    </row>
    <row r="226" spans="1:2" x14ac:dyDescent="0.2">
      <c r="A226" s="2">
        <v>43344</v>
      </c>
      <c r="B226" s="11">
        <v>44.5</v>
      </c>
    </row>
    <row r="227" spans="1:2" x14ac:dyDescent="0.2">
      <c r="A227" s="2">
        <v>43374</v>
      </c>
      <c r="B227" s="11">
        <v>42.4</v>
      </c>
    </row>
    <row r="228" spans="1:2" x14ac:dyDescent="0.2">
      <c r="A228" s="2">
        <v>43405</v>
      </c>
      <c r="B228" s="11">
        <v>49.5</v>
      </c>
    </row>
    <row r="229" spans="1:2" x14ac:dyDescent="0.2">
      <c r="A229" s="2">
        <v>43435</v>
      </c>
      <c r="B229" s="11">
        <v>50.7</v>
      </c>
    </row>
    <row r="230" spans="1:2" x14ac:dyDescent="0.2">
      <c r="A230" s="2">
        <v>43466</v>
      </c>
      <c r="B230" s="11">
        <v>49.9</v>
      </c>
    </row>
    <row r="231" spans="1:2" x14ac:dyDescent="0.2">
      <c r="A231" s="2">
        <v>43497</v>
      </c>
      <c r="B231" s="11">
        <v>46.2</v>
      </c>
    </row>
    <row r="232" spans="1:2" x14ac:dyDescent="0.2">
      <c r="A232" s="2">
        <v>43525</v>
      </c>
      <c r="B232" s="11">
        <v>45</v>
      </c>
    </row>
    <row r="233" spans="1:2" x14ac:dyDescent="0.2">
      <c r="A233" s="2">
        <v>43556</v>
      </c>
      <c r="B233" s="11">
        <v>47.2</v>
      </c>
    </row>
    <row r="234" spans="1:2" x14ac:dyDescent="0.2">
      <c r="A234" s="2">
        <v>43586</v>
      </c>
      <c r="B234" s="11">
        <v>45.4</v>
      </c>
    </row>
    <row r="235" spans="1:2" x14ac:dyDescent="0.2">
      <c r="A235" s="2">
        <v>43617</v>
      </c>
      <c r="B235" s="11">
        <v>46.2</v>
      </c>
    </row>
    <row r="236" spans="1:2" x14ac:dyDescent="0.2">
      <c r="A236" s="2">
        <v>43647</v>
      </c>
      <c r="B236" s="11">
        <v>52.1</v>
      </c>
    </row>
    <row r="237" spans="1:2" x14ac:dyDescent="0.2">
      <c r="A237" s="2">
        <v>43678</v>
      </c>
      <c r="B237" s="11">
        <v>45.7</v>
      </c>
    </row>
    <row r="238" spans="1:2" x14ac:dyDescent="0.2">
      <c r="A238" s="2">
        <v>43709</v>
      </c>
      <c r="B238" s="11">
        <v>41.6</v>
      </c>
    </row>
    <row r="239" spans="1:2" x14ac:dyDescent="0.2">
      <c r="A239" s="2">
        <v>43739</v>
      </c>
      <c r="B239" s="11">
        <v>48.1</v>
      </c>
    </row>
    <row r="240" spans="1:2" x14ac:dyDescent="0.2">
      <c r="A240" s="2">
        <v>43770</v>
      </c>
      <c r="B240" s="11">
        <v>47.7</v>
      </c>
    </row>
    <row r="241" spans="1:2" x14ac:dyDescent="0.2">
      <c r="A241" s="2">
        <v>43800</v>
      </c>
      <c r="B241" s="11">
        <v>47.1</v>
      </c>
    </row>
    <row r="242" spans="1:2" x14ac:dyDescent="0.2">
      <c r="A242" s="2">
        <v>43831</v>
      </c>
      <c r="B242" s="11">
        <v>45.2</v>
      </c>
    </row>
    <row r="243" spans="1:2" x14ac:dyDescent="0.2">
      <c r="A243" s="2">
        <v>43862</v>
      </c>
      <c r="B243" s="11">
        <v>44.3</v>
      </c>
    </row>
    <row r="244" spans="1:2" x14ac:dyDescent="0.2">
      <c r="A244" s="2">
        <v>43891</v>
      </c>
      <c r="B244" s="11">
        <v>48.1</v>
      </c>
    </row>
    <row r="245" spans="1:2" x14ac:dyDescent="0.2">
      <c r="A245" s="2">
        <v>43922</v>
      </c>
      <c r="B245" s="11">
        <v>46.1</v>
      </c>
    </row>
    <row r="246" spans="1:2" x14ac:dyDescent="0.2">
      <c r="A246" s="2">
        <v>43952</v>
      </c>
      <c r="B246" s="11">
        <v>50.2</v>
      </c>
    </row>
    <row r="247" spans="1:2" x14ac:dyDescent="0.2">
      <c r="A247" s="2">
        <v>43983</v>
      </c>
      <c r="B247" s="11">
        <v>53.9</v>
      </c>
    </row>
    <row r="248" spans="1:2" x14ac:dyDescent="0.2">
      <c r="A248" s="2">
        <v>44013</v>
      </c>
      <c r="B248" s="11">
        <v>51.2</v>
      </c>
    </row>
    <row r="249" spans="1:2" x14ac:dyDescent="0.2">
      <c r="A249" s="2">
        <v>44044</v>
      </c>
      <c r="B249" s="11">
        <v>57.3</v>
      </c>
    </row>
    <row r="250" spans="1:2" x14ac:dyDescent="0.2">
      <c r="A250" s="2">
        <v>44075</v>
      </c>
      <c r="B250" s="11">
        <v>58.3</v>
      </c>
    </row>
    <row r="251" spans="1:2" x14ac:dyDescent="0.2">
      <c r="A251" s="2">
        <v>44105</v>
      </c>
      <c r="B251" s="11">
        <v>60.9</v>
      </c>
    </row>
    <row r="252" spans="1:2" x14ac:dyDescent="0.2">
      <c r="A252" s="2">
        <v>44136</v>
      </c>
      <c r="B252" s="11">
        <v>52.6</v>
      </c>
    </row>
    <row r="253" spans="1:2" x14ac:dyDescent="0.2">
      <c r="A253" s="2">
        <v>44166</v>
      </c>
      <c r="B253" s="11">
        <v>50.3</v>
      </c>
    </row>
    <row r="254" spans="1:2" x14ac:dyDescent="0.2">
      <c r="A254" s="2">
        <v>44197</v>
      </c>
      <c r="B254" s="11">
        <v>50.3</v>
      </c>
    </row>
    <row r="255" spans="1:2" x14ac:dyDescent="0.2">
      <c r="A255" s="2">
        <v>44228</v>
      </c>
      <c r="B255" s="11">
        <v>53</v>
      </c>
    </row>
    <row r="256" spans="1:2" x14ac:dyDescent="0.2">
      <c r="A256" s="2">
        <v>44256</v>
      </c>
      <c r="B256" s="11">
        <v>57.4</v>
      </c>
    </row>
    <row r="257" spans="1:2" x14ac:dyDescent="0.2">
      <c r="A257" s="2">
        <v>44287</v>
      </c>
      <c r="B257" s="11">
        <v>56.2</v>
      </c>
    </row>
    <row r="258" spans="1:2" x14ac:dyDescent="0.2">
      <c r="A258" s="2">
        <v>44317</v>
      </c>
      <c r="B258" s="11">
        <v>57.8</v>
      </c>
    </row>
    <row r="259" spans="1:2" x14ac:dyDescent="0.2">
      <c r="A259" s="2">
        <v>44348</v>
      </c>
      <c r="B259" s="11">
        <v>57.4</v>
      </c>
    </row>
    <row r="260" spans="1:2" x14ac:dyDescent="0.2">
      <c r="A260" s="2">
        <v>44378</v>
      </c>
      <c r="B260" s="11">
        <v>43.5</v>
      </c>
    </row>
    <row r="261" spans="1:2" x14ac:dyDescent="0.2">
      <c r="A261" s="2">
        <v>44409</v>
      </c>
      <c r="B261" s="11">
        <v>57.9</v>
      </c>
    </row>
    <row r="262" spans="1:2" x14ac:dyDescent="0.2">
      <c r="A262" s="2">
        <v>44440</v>
      </c>
      <c r="B262" s="11">
        <v>54.7</v>
      </c>
    </row>
    <row r="263" spans="1:2" x14ac:dyDescent="0.2">
      <c r="A263" s="2">
        <v>44470</v>
      </c>
      <c r="B263" s="11">
        <v>53.6</v>
      </c>
    </row>
    <row r="264" spans="1:2" x14ac:dyDescent="0.2">
      <c r="A264" s="2">
        <v>44501</v>
      </c>
      <c r="B264" s="11">
        <v>57.2</v>
      </c>
    </row>
  </sheetData>
  <conditionalFormatting sqref="B122:B26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B115"/>
  <sheetViews>
    <sheetView zoomScale="170" zoomScaleNormal="170" workbookViewId="0">
      <pane ySplit="1" topLeftCell="A2" activePane="bottomLeft" state="frozen"/>
      <selection pane="bottomLeft" activeCell="K91" sqref="K91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11</v>
      </c>
    </row>
    <row r="2" spans="1:2" x14ac:dyDescent="0.2">
      <c r="A2" s="6">
        <v>41061</v>
      </c>
      <c r="B2" s="7">
        <v>49.8</v>
      </c>
    </row>
    <row r="3" spans="1:2" x14ac:dyDescent="0.2">
      <c r="A3" s="2">
        <v>41091</v>
      </c>
      <c r="B3" s="11">
        <v>50.3</v>
      </c>
    </row>
    <row r="4" spans="1:2" x14ac:dyDescent="0.2">
      <c r="A4" s="2">
        <v>41122</v>
      </c>
      <c r="B4" s="11">
        <v>50.5</v>
      </c>
    </row>
    <row r="5" spans="1:2" x14ac:dyDescent="0.2">
      <c r="A5" s="2">
        <v>41153</v>
      </c>
      <c r="B5" s="11">
        <v>49.6</v>
      </c>
    </row>
    <row r="6" spans="1:2" x14ac:dyDescent="0.2">
      <c r="A6" s="2">
        <v>41183</v>
      </c>
      <c r="B6" s="11">
        <v>50.5</v>
      </c>
    </row>
    <row r="7" spans="1:2" x14ac:dyDescent="0.2">
      <c r="A7" s="2">
        <v>41214</v>
      </c>
      <c r="B7" s="11">
        <v>52.2</v>
      </c>
    </row>
    <row r="8" spans="1:2" x14ac:dyDescent="0.2">
      <c r="A8" s="2">
        <v>41244</v>
      </c>
      <c r="B8" s="11">
        <v>51.7</v>
      </c>
    </row>
    <row r="9" spans="1:2" x14ac:dyDescent="0.2">
      <c r="A9" s="2">
        <v>41275</v>
      </c>
      <c r="B9" s="11">
        <v>52.5</v>
      </c>
    </row>
    <row r="10" spans="1:2" x14ac:dyDescent="0.2">
      <c r="A10" s="2">
        <v>41306</v>
      </c>
      <c r="B10" s="11">
        <v>51.2</v>
      </c>
    </row>
    <row r="11" spans="1:2" x14ac:dyDescent="0.2">
      <c r="A11" s="2">
        <v>41334</v>
      </c>
      <c r="B11" s="11">
        <v>50.5</v>
      </c>
    </row>
    <row r="12" spans="1:2" x14ac:dyDescent="0.2">
      <c r="A12" s="2">
        <v>41365</v>
      </c>
      <c r="B12" s="11">
        <v>49.9</v>
      </c>
    </row>
    <row r="13" spans="1:2" x14ac:dyDescent="0.2">
      <c r="A13" s="2">
        <v>41395</v>
      </c>
      <c r="B13" s="11">
        <v>49.8</v>
      </c>
    </row>
    <row r="14" spans="1:2" x14ac:dyDescent="0.2">
      <c r="A14" s="2">
        <v>41426</v>
      </c>
      <c r="B14" s="11">
        <v>48.7</v>
      </c>
    </row>
    <row r="15" spans="1:2" x14ac:dyDescent="0.2">
      <c r="A15" s="2">
        <v>41456</v>
      </c>
      <c r="B15" s="11">
        <v>49.7</v>
      </c>
    </row>
    <row r="16" spans="1:2" x14ac:dyDescent="0.2">
      <c r="A16" s="2">
        <v>41487</v>
      </c>
      <c r="B16" s="11">
        <v>49.7</v>
      </c>
    </row>
    <row r="17" spans="1:2" x14ac:dyDescent="0.2">
      <c r="A17" s="2">
        <v>41518</v>
      </c>
      <c r="B17" s="11">
        <v>50</v>
      </c>
    </row>
    <row r="18" spans="1:2" x14ac:dyDescent="0.2">
      <c r="A18" s="2">
        <v>41548</v>
      </c>
      <c r="B18" s="11">
        <v>50.1</v>
      </c>
    </row>
    <row r="19" spans="1:2" x14ac:dyDescent="0.2">
      <c r="A19" s="2">
        <v>41579</v>
      </c>
      <c r="B19" s="11">
        <v>52.1</v>
      </c>
    </row>
    <row r="20" spans="1:2" x14ac:dyDescent="0.2">
      <c r="A20" s="2">
        <v>41609</v>
      </c>
      <c r="B20" s="11">
        <v>51.2</v>
      </c>
    </row>
    <row r="21" spans="1:2" x14ac:dyDescent="0.2">
      <c r="A21" s="2">
        <v>41640</v>
      </c>
      <c r="B21" s="11">
        <v>52.7</v>
      </c>
    </row>
    <row r="22" spans="1:2" x14ac:dyDescent="0.2">
      <c r="A22" s="2">
        <v>41671</v>
      </c>
      <c r="B22" s="11">
        <v>53.3</v>
      </c>
    </row>
    <row r="23" spans="1:2" x14ac:dyDescent="0.2">
      <c r="A23" s="2">
        <v>41699</v>
      </c>
      <c r="B23" s="11">
        <v>49.9</v>
      </c>
    </row>
    <row r="24" spans="1:2" x14ac:dyDescent="0.2">
      <c r="A24" s="2">
        <v>41730</v>
      </c>
      <c r="B24" s="11">
        <v>49.7</v>
      </c>
    </row>
    <row r="25" spans="1:2" x14ac:dyDescent="0.2">
      <c r="A25" s="2">
        <v>41760</v>
      </c>
      <c r="B25" s="11">
        <v>49.1</v>
      </c>
    </row>
    <row r="26" spans="1:2" x14ac:dyDescent="0.2">
      <c r="A26" s="2">
        <v>41791</v>
      </c>
      <c r="B26" s="11">
        <v>50.1</v>
      </c>
    </row>
    <row r="27" spans="1:2" x14ac:dyDescent="0.2">
      <c r="A27" s="2">
        <v>41821</v>
      </c>
      <c r="B27" s="11">
        <v>50.4</v>
      </c>
    </row>
    <row r="28" spans="1:2" x14ac:dyDescent="0.2">
      <c r="A28" s="2">
        <v>41852</v>
      </c>
      <c r="B28" s="11">
        <v>49.6</v>
      </c>
    </row>
    <row r="29" spans="1:2" x14ac:dyDescent="0.2">
      <c r="A29" s="2">
        <v>41883</v>
      </c>
      <c r="B29" s="11">
        <v>49.8</v>
      </c>
    </row>
    <row r="30" spans="1:2" x14ac:dyDescent="0.2">
      <c r="A30" s="2">
        <v>41913</v>
      </c>
      <c r="B30" s="11">
        <v>47.7</v>
      </c>
    </row>
    <row r="31" spans="1:2" x14ac:dyDescent="0.2">
      <c r="A31" s="2">
        <v>41944</v>
      </c>
      <c r="B31" s="11">
        <v>48.8</v>
      </c>
    </row>
    <row r="32" spans="1:2" x14ac:dyDescent="0.2">
      <c r="A32" s="2">
        <v>41974</v>
      </c>
      <c r="B32" s="11">
        <v>50.3</v>
      </c>
    </row>
    <row r="33" spans="1:2" x14ac:dyDescent="0.2">
      <c r="A33" s="2">
        <v>42005</v>
      </c>
      <c r="B33" s="11">
        <v>49.4</v>
      </c>
    </row>
    <row r="34" spans="1:2" x14ac:dyDescent="0.2">
      <c r="A34" s="2">
        <v>42036</v>
      </c>
      <c r="B34" s="11">
        <v>50.7</v>
      </c>
    </row>
    <row r="35" spans="1:2" x14ac:dyDescent="0.2">
      <c r="A35" s="2">
        <v>42064</v>
      </c>
      <c r="B35" s="11">
        <v>49.6</v>
      </c>
    </row>
    <row r="36" spans="1:2" x14ac:dyDescent="0.2">
      <c r="A36" s="2">
        <v>42095</v>
      </c>
      <c r="B36" s="11">
        <v>48.6</v>
      </c>
    </row>
    <row r="37" spans="1:2" x14ac:dyDescent="0.2">
      <c r="A37" s="2">
        <v>42125</v>
      </c>
      <c r="B37" s="11">
        <v>47.6</v>
      </c>
    </row>
    <row r="38" spans="1:2" x14ac:dyDescent="0.2">
      <c r="A38" s="2">
        <v>42156</v>
      </c>
      <c r="B38" s="11">
        <v>49.2</v>
      </c>
    </row>
    <row r="39" spans="1:2" x14ac:dyDescent="0.2">
      <c r="A39" s="2">
        <v>42186</v>
      </c>
      <c r="B39" s="11">
        <v>48.2</v>
      </c>
    </row>
    <row r="40" spans="1:2" x14ac:dyDescent="0.2">
      <c r="A40" s="2">
        <v>42217</v>
      </c>
      <c r="B40" s="11">
        <v>44.4</v>
      </c>
    </row>
    <row r="41" spans="1:2" x14ac:dyDescent="0.2">
      <c r="A41" s="2">
        <v>42248</v>
      </c>
      <c r="B41" s="11">
        <v>45.7</v>
      </c>
    </row>
    <row r="42" spans="1:2" x14ac:dyDescent="0.2">
      <c r="A42" s="2">
        <v>42278</v>
      </c>
      <c r="B42" s="11">
        <v>46.6</v>
      </c>
    </row>
    <row r="43" spans="1:2" x14ac:dyDescent="0.2">
      <c r="A43" s="2">
        <v>42309</v>
      </c>
      <c r="B43" s="11">
        <v>46.6</v>
      </c>
    </row>
    <row r="44" spans="1:2" x14ac:dyDescent="0.2">
      <c r="A44" s="2">
        <v>42339</v>
      </c>
      <c r="B44" s="11">
        <v>46.4</v>
      </c>
    </row>
    <row r="45" spans="1:2" x14ac:dyDescent="0.2">
      <c r="A45" s="2">
        <v>42370</v>
      </c>
      <c r="B45" s="11">
        <v>46.1</v>
      </c>
    </row>
    <row r="46" spans="1:2" x14ac:dyDescent="0.2">
      <c r="A46" s="2">
        <v>42401</v>
      </c>
      <c r="B46" s="11">
        <v>46.4</v>
      </c>
    </row>
    <row r="47" spans="1:2" x14ac:dyDescent="0.2">
      <c r="A47" s="2">
        <v>42430</v>
      </c>
      <c r="B47" s="11">
        <v>45.5</v>
      </c>
    </row>
    <row r="48" spans="1:2" x14ac:dyDescent="0.2">
      <c r="A48" s="2">
        <v>42461</v>
      </c>
      <c r="B48" s="11">
        <v>45.3</v>
      </c>
    </row>
    <row r="49" spans="1:2" x14ac:dyDescent="0.2">
      <c r="A49" s="2">
        <v>42491</v>
      </c>
      <c r="B49" s="11">
        <v>47.2</v>
      </c>
    </row>
    <row r="50" spans="1:2" x14ac:dyDescent="0.2">
      <c r="A50" s="2">
        <v>42522</v>
      </c>
      <c r="B50" s="11">
        <v>45.4</v>
      </c>
    </row>
    <row r="51" spans="1:2" x14ac:dyDescent="0.2">
      <c r="A51" s="2">
        <v>42552</v>
      </c>
      <c r="B51" s="11">
        <v>47.2</v>
      </c>
    </row>
    <row r="52" spans="1:2" x14ac:dyDescent="0.2">
      <c r="A52" s="2">
        <v>42583</v>
      </c>
      <c r="B52" s="11">
        <v>49</v>
      </c>
    </row>
    <row r="53" spans="1:2" x14ac:dyDescent="0.2">
      <c r="A53" s="2">
        <v>42614</v>
      </c>
      <c r="B53" s="11">
        <v>49.3</v>
      </c>
    </row>
    <row r="54" spans="1:2" x14ac:dyDescent="0.2">
      <c r="A54" s="2">
        <v>42644</v>
      </c>
      <c r="B54" s="11">
        <v>48.2</v>
      </c>
    </row>
    <row r="55" spans="1:2" x14ac:dyDescent="0.2">
      <c r="A55" s="2">
        <v>42675</v>
      </c>
      <c r="B55" s="11">
        <v>49.5</v>
      </c>
    </row>
    <row r="56" spans="1:2" x14ac:dyDescent="0.2">
      <c r="A56" s="2">
        <v>42705</v>
      </c>
      <c r="B56" s="11">
        <v>50.3</v>
      </c>
    </row>
    <row r="57" spans="1:2" x14ac:dyDescent="0.2">
      <c r="A57" s="2">
        <v>42736</v>
      </c>
      <c r="B57" s="11">
        <v>49.9</v>
      </c>
    </row>
    <row r="58" spans="1:2" x14ac:dyDescent="0.2">
      <c r="A58" s="2">
        <v>42767</v>
      </c>
      <c r="B58" s="11">
        <v>49.6</v>
      </c>
    </row>
    <row r="59" spans="1:2" x14ac:dyDescent="0.2">
      <c r="A59" s="2">
        <v>42795</v>
      </c>
      <c r="B59" s="11">
        <v>49.9</v>
      </c>
    </row>
    <row r="60" spans="1:2" x14ac:dyDescent="0.2">
      <c r="A60" s="2">
        <v>42826</v>
      </c>
      <c r="B60" s="11">
        <v>51.1</v>
      </c>
    </row>
    <row r="61" spans="1:2" x14ac:dyDescent="0.2">
      <c r="A61" s="2">
        <v>42856</v>
      </c>
      <c r="B61" s="11">
        <v>50.5</v>
      </c>
    </row>
    <row r="62" spans="1:2" x14ac:dyDescent="0.2">
      <c r="A62" s="2">
        <v>42887</v>
      </c>
      <c r="B62" s="11">
        <v>51.1</v>
      </c>
    </row>
    <row r="63" spans="1:2" x14ac:dyDescent="0.2">
      <c r="A63" s="2">
        <v>42917</v>
      </c>
      <c r="B63" s="11">
        <v>51.3</v>
      </c>
    </row>
    <row r="64" spans="1:2" x14ac:dyDescent="0.2">
      <c r="A64" s="2">
        <v>42948</v>
      </c>
      <c r="B64" s="11">
        <v>49.7</v>
      </c>
    </row>
    <row r="65" spans="1:2" x14ac:dyDescent="0.2">
      <c r="A65" s="2">
        <v>42979</v>
      </c>
      <c r="B65" s="11">
        <v>51.2</v>
      </c>
    </row>
    <row r="66" spans="1:2" x14ac:dyDescent="0.2">
      <c r="A66" s="2">
        <v>43009</v>
      </c>
      <c r="B66" s="11">
        <v>50.3</v>
      </c>
    </row>
    <row r="67" spans="1:2" x14ac:dyDescent="0.2">
      <c r="A67" s="2">
        <v>43040</v>
      </c>
      <c r="B67" s="11">
        <v>50.7</v>
      </c>
    </row>
    <row r="68" spans="1:2" x14ac:dyDescent="0.2">
      <c r="A68" s="2">
        <v>43070</v>
      </c>
      <c r="B68" s="11">
        <v>51.5</v>
      </c>
    </row>
    <row r="69" spans="1:2" x14ac:dyDescent="0.2">
      <c r="A69" s="2">
        <v>43101</v>
      </c>
      <c r="B69" s="11">
        <v>51.1</v>
      </c>
    </row>
    <row r="70" spans="1:2" x14ac:dyDescent="0.2">
      <c r="A70" s="2">
        <v>43132</v>
      </c>
      <c r="B70" s="11">
        <v>51.7</v>
      </c>
    </row>
    <row r="71" spans="1:2" x14ac:dyDescent="0.2">
      <c r="A71" s="2">
        <v>43160</v>
      </c>
      <c r="B71" s="11">
        <v>50.6</v>
      </c>
    </row>
    <row r="72" spans="1:2" x14ac:dyDescent="0.2">
      <c r="A72" s="2">
        <v>43191</v>
      </c>
      <c r="B72" s="11">
        <v>49.1</v>
      </c>
    </row>
    <row r="73" spans="1:2" x14ac:dyDescent="0.2">
      <c r="A73" s="2">
        <v>43221</v>
      </c>
      <c r="B73" s="11">
        <v>47.8</v>
      </c>
    </row>
    <row r="74" spans="1:2" x14ac:dyDescent="0.2">
      <c r="A74" s="2">
        <v>43252</v>
      </c>
      <c r="B74" s="11">
        <v>47.7</v>
      </c>
    </row>
    <row r="75" spans="1:2" x14ac:dyDescent="0.2">
      <c r="A75" s="2">
        <v>43282</v>
      </c>
      <c r="B75" s="11">
        <v>48.2</v>
      </c>
    </row>
    <row r="76" spans="1:2" x14ac:dyDescent="0.2">
      <c r="A76" s="2">
        <v>43313</v>
      </c>
      <c r="B76" s="11">
        <v>48.5</v>
      </c>
    </row>
    <row r="77" spans="1:2" x14ac:dyDescent="0.2">
      <c r="A77" s="2">
        <v>43344</v>
      </c>
      <c r="B77" s="11">
        <v>47.9</v>
      </c>
    </row>
    <row r="78" spans="1:2" x14ac:dyDescent="0.2">
      <c r="A78" s="2">
        <v>43374</v>
      </c>
      <c r="B78" s="11">
        <v>48.6</v>
      </c>
    </row>
    <row r="79" spans="1:2" x14ac:dyDescent="0.2">
      <c r="A79" s="2">
        <v>43405</v>
      </c>
      <c r="B79" s="11">
        <v>47.1</v>
      </c>
    </row>
    <row r="80" spans="1:2" x14ac:dyDescent="0.2">
      <c r="A80" s="2">
        <v>43435</v>
      </c>
      <c r="B80" s="11">
        <v>48</v>
      </c>
    </row>
    <row r="81" spans="1:2" x14ac:dyDescent="0.2">
      <c r="A81" s="2">
        <v>43466</v>
      </c>
      <c r="B81" s="11">
        <v>48.2</v>
      </c>
    </row>
    <row r="82" spans="1:2" x14ac:dyDescent="0.2">
      <c r="A82" s="2">
        <v>43497</v>
      </c>
      <c r="B82" s="11">
        <v>48.4</v>
      </c>
    </row>
    <row r="83" spans="1:2" x14ac:dyDescent="0.2">
      <c r="A83" s="2">
        <v>43525</v>
      </c>
      <c r="B83" s="11">
        <v>48</v>
      </c>
    </row>
    <row r="84" spans="1:2" x14ac:dyDescent="0.2">
      <c r="A84" s="2">
        <v>43556</v>
      </c>
      <c r="B84" s="11">
        <v>48.4</v>
      </c>
    </row>
    <row r="85" spans="1:2" x14ac:dyDescent="0.2">
      <c r="A85" s="2">
        <v>43586</v>
      </c>
      <c r="B85" s="11">
        <v>46.9</v>
      </c>
    </row>
    <row r="86" spans="1:2" x14ac:dyDescent="0.2">
      <c r="A86" s="2">
        <v>43617</v>
      </c>
      <c r="B86" s="11">
        <v>47.9</v>
      </c>
    </row>
    <row r="87" spans="1:2" x14ac:dyDescent="0.2">
      <c r="A87" s="2">
        <v>43647</v>
      </c>
      <c r="B87" s="11">
        <v>43.8</v>
      </c>
    </row>
    <row r="88" spans="1:2" x14ac:dyDescent="0.2">
      <c r="A88" s="2">
        <v>43678</v>
      </c>
      <c r="B88" s="11">
        <v>40.799999999999997</v>
      </c>
    </row>
    <row r="89" spans="1:2" x14ac:dyDescent="0.2">
      <c r="A89" s="2">
        <v>43709</v>
      </c>
      <c r="B89" s="11">
        <v>41.5</v>
      </c>
    </row>
    <row r="90" spans="1:2" x14ac:dyDescent="0.2">
      <c r="A90" s="2">
        <v>43739</v>
      </c>
      <c r="B90" s="11">
        <v>39.299999999999997</v>
      </c>
    </row>
    <row r="91" spans="1:2" x14ac:dyDescent="0.2">
      <c r="A91" s="2">
        <v>43770</v>
      </c>
      <c r="B91" s="11">
        <v>38.5</v>
      </c>
    </row>
    <row r="92" spans="1:2" x14ac:dyDescent="0.2">
      <c r="A92" s="2">
        <v>43800</v>
      </c>
      <c r="B92" s="11">
        <v>42.1</v>
      </c>
    </row>
    <row r="93" spans="1:2" x14ac:dyDescent="0.2">
      <c r="A93" s="2">
        <v>43831</v>
      </c>
      <c r="B93" s="11">
        <v>46.8</v>
      </c>
    </row>
    <row r="94" spans="1:2" x14ac:dyDescent="0.2">
      <c r="A94" s="2">
        <v>43862</v>
      </c>
      <c r="B94" s="11">
        <v>33.1</v>
      </c>
    </row>
    <row r="95" spans="1:2" x14ac:dyDescent="0.2">
      <c r="A95" s="2">
        <v>43891</v>
      </c>
      <c r="B95" s="11">
        <v>34.9</v>
      </c>
    </row>
    <row r="96" spans="1:2" x14ac:dyDescent="0.2">
      <c r="A96" s="2">
        <v>43922</v>
      </c>
      <c r="B96" s="11">
        <v>36.9</v>
      </c>
    </row>
    <row r="97" spans="1:2" x14ac:dyDescent="0.2">
      <c r="A97" s="2">
        <v>43952</v>
      </c>
      <c r="B97" s="11">
        <v>43.9</v>
      </c>
    </row>
    <row r="98" spans="1:2" x14ac:dyDescent="0.2">
      <c r="A98" s="2">
        <v>43983</v>
      </c>
      <c r="B98" s="11">
        <v>49.6</v>
      </c>
    </row>
    <row r="99" spans="1:2" x14ac:dyDescent="0.2">
      <c r="A99" s="2">
        <v>44013</v>
      </c>
      <c r="B99" s="11">
        <v>44.5</v>
      </c>
    </row>
    <row r="100" spans="1:2" x14ac:dyDescent="0.2">
      <c r="A100" s="2">
        <v>44044</v>
      </c>
      <c r="B100" s="11">
        <v>44</v>
      </c>
    </row>
    <row r="101" spans="1:2" x14ac:dyDescent="0.2">
      <c r="A101" s="2">
        <v>44075</v>
      </c>
      <c r="B101" s="11">
        <v>47.7</v>
      </c>
    </row>
    <row r="102" spans="1:2" x14ac:dyDescent="0.2">
      <c r="A102" s="2">
        <v>44105</v>
      </c>
      <c r="B102" s="11">
        <v>49.8</v>
      </c>
    </row>
    <row r="103" spans="1:2" x14ac:dyDescent="0.2">
      <c r="A103" s="2">
        <v>44136</v>
      </c>
      <c r="B103" s="11">
        <v>50.1</v>
      </c>
    </row>
    <row r="104" spans="1:2" x14ac:dyDescent="0.2">
      <c r="A104" s="2">
        <v>44166</v>
      </c>
      <c r="B104" s="11">
        <v>43.5</v>
      </c>
    </row>
    <row r="105" spans="1:2" x14ac:dyDescent="0.2">
      <c r="A105" s="2">
        <v>44197</v>
      </c>
      <c r="B105" s="11">
        <v>47.8</v>
      </c>
    </row>
    <row r="106" spans="1:2" x14ac:dyDescent="0.2">
      <c r="A106" s="2">
        <v>44228</v>
      </c>
      <c r="B106" s="11">
        <v>50.2</v>
      </c>
    </row>
    <row r="107" spans="1:2" x14ac:dyDescent="0.2">
      <c r="A107" s="2">
        <v>44256</v>
      </c>
      <c r="B107" s="11">
        <v>50.5</v>
      </c>
    </row>
    <row r="108" spans="1:2" x14ac:dyDescent="0.2">
      <c r="A108" s="2">
        <v>44287</v>
      </c>
      <c r="B108" s="11">
        <v>50.3</v>
      </c>
    </row>
    <row r="109" spans="1:2" x14ac:dyDescent="0.2">
      <c r="A109" s="2">
        <v>44317</v>
      </c>
      <c r="B109" s="11">
        <v>52.5</v>
      </c>
    </row>
    <row r="110" spans="1:2" x14ac:dyDescent="0.2">
      <c r="A110" s="2">
        <v>44348</v>
      </c>
      <c r="B110" s="11">
        <v>51.4</v>
      </c>
    </row>
    <row r="111" spans="1:2" x14ac:dyDescent="0.2">
      <c r="A111" s="2">
        <v>44378</v>
      </c>
      <c r="B111" s="11">
        <v>51.3</v>
      </c>
    </row>
    <row r="112" spans="1:2" x14ac:dyDescent="0.2">
      <c r="A112" s="2">
        <v>44409</v>
      </c>
      <c r="B112" s="11">
        <v>53.3</v>
      </c>
    </row>
    <row r="113" spans="1:2" x14ac:dyDescent="0.2">
      <c r="A113" s="2">
        <v>44440</v>
      </c>
      <c r="B113" s="11">
        <v>51.7</v>
      </c>
    </row>
    <row r="114" spans="1:2" x14ac:dyDescent="0.2">
      <c r="A114" s="2">
        <v>44470</v>
      </c>
      <c r="B114" s="11">
        <v>50.8</v>
      </c>
    </row>
    <row r="115" spans="1:2" x14ac:dyDescent="0.2">
      <c r="A115" s="2">
        <v>44501</v>
      </c>
      <c r="B115" s="11">
        <v>52.6</v>
      </c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82"/>
  <sheetViews>
    <sheetView zoomScale="160" zoomScaleNormal="160" workbookViewId="0">
      <pane ySplit="1" topLeftCell="A2" activePane="bottomLeft" state="frozen"/>
      <selection pane="bottomLeft" activeCell="N20" sqref="N20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21</v>
      </c>
    </row>
    <row r="2" spans="1:2" x14ac:dyDescent="0.2">
      <c r="A2" s="6">
        <v>42095</v>
      </c>
      <c r="B2" s="7">
        <v>60.1</v>
      </c>
    </row>
    <row r="3" spans="1:2" x14ac:dyDescent="0.2">
      <c r="A3" s="2">
        <v>42125</v>
      </c>
      <c r="B3" s="11">
        <v>57</v>
      </c>
    </row>
    <row r="4" spans="1:2" x14ac:dyDescent="0.2">
      <c r="A4" s="2">
        <v>42156</v>
      </c>
      <c r="B4" s="11">
        <v>56.1</v>
      </c>
    </row>
    <row r="5" spans="1:2" x14ac:dyDescent="0.2">
      <c r="A5" s="2">
        <v>42186</v>
      </c>
      <c r="B5" s="11">
        <v>57.7</v>
      </c>
    </row>
    <row r="6" spans="1:2" x14ac:dyDescent="0.2">
      <c r="A6" s="2">
        <v>42217</v>
      </c>
      <c r="B6" s="11">
        <v>58.7</v>
      </c>
    </row>
    <row r="7" spans="1:2" x14ac:dyDescent="0.2">
      <c r="A7" s="2">
        <v>42248</v>
      </c>
      <c r="B7" s="11">
        <v>56.5</v>
      </c>
    </row>
    <row r="8" spans="1:2" x14ac:dyDescent="0.2">
      <c r="A8" s="2">
        <v>42278</v>
      </c>
      <c r="B8" s="11">
        <v>55.7</v>
      </c>
    </row>
    <row r="9" spans="1:2" x14ac:dyDescent="0.2">
      <c r="A9" s="2">
        <v>42309</v>
      </c>
      <c r="B9" s="11">
        <v>56.3</v>
      </c>
    </row>
    <row r="10" spans="1:2" x14ac:dyDescent="0.2">
      <c r="A10" s="2">
        <v>42339</v>
      </c>
      <c r="B10" s="11">
        <v>54.4</v>
      </c>
    </row>
    <row r="11" spans="1:2" x14ac:dyDescent="0.2">
      <c r="A11" s="2">
        <v>42370</v>
      </c>
      <c r="B11" s="11">
        <v>53.9</v>
      </c>
    </row>
    <row r="12" spans="1:2" x14ac:dyDescent="0.2">
      <c r="A12" s="2">
        <v>42401</v>
      </c>
      <c r="B12" s="11">
        <v>54.4</v>
      </c>
    </row>
    <row r="13" spans="1:2" x14ac:dyDescent="0.2">
      <c r="A13" s="2">
        <v>42430</v>
      </c>
      <c r="B13" s="11">
        <v>54.5</v>
      </c>
    </row>
    <row r="14" spans="1:2" x14ac:dyDescent="0.2">
      <c r="A14" s="2">
        <v>42461</v>
      </c>
      <c r="B14" s="11">
        <v>54.2</v>
      </c>
    </row>
    <row r="15" spans="1:2" x14ac:dyDescent="0.2">
      <c r="A15" s="2">
        <v>42491</v>
      </c>
      <c r="B15" s="11">
        <v>54.8</v>
      </c>
    </row>
    <row r="16" spans="1:2" x14ac:dyDescent="0.2">
      <c r="A16" s="2">
        <v>42522</v>
      </c>
      <c r="B16" s="11">
        <v>54.4</v>
      </c>
    </row>
    <row r="17" spans="1:2" x14ac:dyDescent="0.2">
      <c r="A17" s="2">
        <v>42552</v>
      </c>
      <c r="B17" s="11">
        <v>56</v>
      </c>
    </row>
    <row r="18" spans="1:2" x14ac:dyDescent="0.2">
      <c r="A18" s="2">
        <v>42583</v>
      </c>
      <c r="B18" s="11">
        <v>56.6</v>
      </c>
    </row>
    <row r="19" spans="1:2" x14ac:dyDescent="0.2">
      <c r="A19" s="2">
        <v>42614</v>
      </c>
      <c r="B19" s="11">
        <v>55.3</v>
      </c>
    </row>
    <row r="20" spans="1:2" x14ac:dyDescent="0.2">
      <c r="A20" s="2">
        <v>42644</v>
      </c>
      <c r="B20" s="11">
        <v>53.2</v>
      </c>
    </row>
    <row r="21" spans="1:2" x14ac:dyDescent="0.2">
      <c r="A21" s="2">
        <v>42675</v>
      </c>
      <c r="B21" s="11">
        <v>55</v>
      </c>
    </row>
    <row r="22" spans="1:2" x14ac:dyDescent="0.2">
      <c r="A22" s="2">
        <v>42705</v>
      </c>
      <c r="B22" s="11">
        <v>55.5</v>
      </c>
    </row>
    <row r="23" spans="1:2" x14ac:dyDescent="0.2">
      <c r="A23" s="2">
        <v>42736</v>
      </c>
      <c r="B23" s="11">
        <v>56.7</v>
      </c>
    </row>
    <row r="24" spans="1:2" x14ac:dyDescent="0.2">
      <c r="A24" s="2">
        <v>42767</v>
      </c>
      <c r="B24" s="11">
        <v>57</v>
      </c>
    </row>
    <row r="25" spans="1:2" x14ac:dyDescent="0.2">
      <c r="A25" s="2">
        <v>42795</v>
      </c>
      <c r="B25" s="11">
        <v>56.4</v>
      </c>
    </row>
    <row r="26" spans="1:2" x14ac:dyDescent="0.2">
      <c r="A26" s="2">
        <v>42826</v>
      </c>
      <c r="B26" s="11">
        <v>56.5</v>
      </c>
    </row>
    <row r="27" spans="1:2" x14ac:dyDescent="0.2">
      <c r="A27" s="2">
        <v>42856</v>
      </c>
      <c r="B27" s="11">
        <v>55.3</v>
      </c>
    </row>
    <row r="28" spans="1:2" x14ac:dyDescent="0.2">
      <c r="A28" s="2">
        <v>42887</v>
      </c>
      <c r="B28" s="11">
        <v>54.3</v>
      </c>
    </row>
    <row r="29" spans="1:2" x14ac:dyDescent="0.2">
      <c r="A29" s="2">
        <v>42917</v>
      </c>
      <c r="B29" s="11">
        <v>55.7</v>
      </c>
    </row>
    <row r="30" spans="1:2" x14ac:dyDescent="0.2">
      <c r="A30" s="2">
        <v>42948</v>
      </c>
      <c r="B30" s="11">
        <v>55.8</v>
      </c>
    </row>
    <row r="31" spans="1:2" x14ac:dyDescent="0.2">
      <c r="A31" s="2">
        <v>42979</v>
      </c>
      <c r="B31" s="11">
        <v>55.5</v>
      </c>
    </row>
    <row r="32" spans="1:2" x14ac:dyDescent="0.2">
      <c r="A32" s="2">
        <v>43009</v>
      </c>
      <c r="B32" s="11">
        <v>55.6</v>
      </c>
    </row>
    <row r="33" spans="1:2" x14ac:dyDescent="0.2">
      <c r="A33" s="2">
        <v>43040</v>
      </c>
      <c r="B33" s="11">
        <v>57.5</v>
      </c>
    </row>
    <row r="34" spans="1:2" x14ac:dyDescent="0.2">
      <c r="A34" s="2">
        <v>43070</v>
      </c>
      <c r="B34" s="11">
        <v>57.3</v>
      </c>
    </row>
    <row r="35" spans="1:2" x14ac:dyDescent="0.2">
      <c r="A35" s="2">
        <v>43101</v>
      </c>
      <c r="B35" s="11">
        <v>53</v>
      </c>
    </row>
    <row r="36" spans="1:2" x14ac:dyDescent="0.2">
      <c r="A36" s="2">
        <v>43132</v>
      </c>
      <c r="B36" s="11">
        <v>53.2</v>
      </c>
    </row>
    <row r="37" spans="1:2" x14ac:dyDescent="0.2">
      <c r="A37" s="2">
        <v>43160</v>
      </c>
      <c r="B37" s="11">
        <v>52.8</v>
      </c>
    </row>
    <row r="38" spans="1:2" x14ac:dyDescent="0.2">
      <c r="A38" s="2">
        <v>43191</v>
      </c>
      <c r="B38" s="11">
        <v>51.4</v>
      </c>
    </row>
    <row r="39" spans="1:2" x14ac:dyDescent="0.2">
      <c r="A39" s="2">
        <v>43221</v>
      </c>
      <c r="B39" s="11">
        <v>53.2</v>
      </c>
    </row>
    <row r="40" spans="1:2" x14ac:dyDescent="0.2">
      <c r="A40" s="2">
        <v>43252</v>
      </c>
      <c r="B40" s="11">
        <v>55</v>
      </c>
    </row>
    <row r="41" spans="1:2" x14ac:dyDescent="0.2">
      <c r="A41" s="2">
        <v>43282</v>
      </c>
      <c r="B41" s="11">
        <v>54.9</v>
      </c>
    </row>
    <row r="42" spans="1:2" x14ac:dyDescent="0.2">
      <c r="A42" s="2">
        <v>43313</v>
      </c>
      <c r="B42" s="11">
        <v>55.1</v>
      </c>
    </row>
    <row r="43" spans="1:2" x14ac:dyDescent="0.2">
      <c r="A43" s="2">
        <v>43344</v>
      </c>
      <c r="B43" s="11">
        <v>53.4</v>
      </c>
    </row>
    <row r="44" spans="1:2" x14ac:dyDescent="0.2">
      <c r="A44" s="2">
        <v>43374</v>
      </c>
      <c r="B44" s="11">
        <v>53.8</v>
      </c>
    </row>
    <row r="45" spans="1:2" x14ac:dyDescent="0.2">
      <c r="A45" s="2">
        <v>43405</v>
      </c>
      <c r="B45" s="11">
        <v>55.2</v>
      </c>
    </row>
    <row r="46" spans="1:2" x14ac:dyDescent="0.2">
      <c r="A46" s="2">
        <v>43435</v>
      </c>
      <c r="B46" s="11">
        <v>54.5</v>
      </c>
    </row>
    <row r="47" spans="1:2" x14ac:dyDescent="0.2">
      <c r="A47" s="2">
        <v>43466</v>
      </c>
      <c r="B47" s="11">
        <v>56.2</v>
      </c>
    </row>
    <row r="48" spans="1:2" x14ac:dyDescent="0.2">
      <c r="A48" s="2">
        <v>43497</v>
      </c>
      <c r="B48" s="11">
        <v>56.6</v>
      </c>
    </row>
    <row r="49" spans="1:2" x14ac:dyDescent="0.2">
      <c r="A49" s="2">
        <v>43525</v>
      </c>
      <c r="B49" s="11">
        <v>56.8</v>
      </c>
    </row>
    <row r="50" spans="1:2" x14ac:dyDescent="0.2">
      <c r="A50" s="2">
        <v>43556</v>
      </c>
      <c r="B50" s="11">
        <v>57.3</v>
      </c>
    </row>
    <row r="51" spans="1:2" x14ac:dyDescent="0.2">
      <c r="A51" s="2">
        <v>43586</v>
      </c>
      <c r="B51" s="11">
        <v>57.3</v>
      </c>
    </row>
    <row r="52" spans="1:2" x14ac:dyDescent="0.2">
      <c r="A52" s="2">
        <v>43617</v>
      </c>
      <c r="B52" s="11">
        <v>57.4</v>
      </c>
    </row>
    <row r="53" spans="1:2" x14ac:dyDescent="0.2">
      <c r="A53" s="2">
        <v>43647</v>
      </c>
      <c r="B53" s="11">
        <v>56.6</v>
      </c>
    </row>
    <row r="54" spans="1:2" x14ac:dyDescent="0.2">
      <c r="A54" s="2">
        <v>43678</v>
      </c>
      <c r="B54" s="11">
        <v>57</v>
      </c>
    </row>
    <row r="55" spans="1:2" x14ac:dyDescent="0.2">
      <c r="A55" s="2">
        <v>43709</v>
      </c>
      <c r="B55" s="11">
        <v>57.3</v>
      </c>
    </row>
    <row r="56" spans="1:2" x14ac:dyDescent="0.2">
      <c r="A56" s="2">
        <v>43739</v>
      </c>
      <c r="B56" s="11">
        <v>57.8</v>
      </c>
    </row>
    <row r="57" spans="1:2" x14ac:dyDescent="0.2">
      <c r="A57" s="2">
        <v>43770</v>
      </c>
      <c r="B57" s="11">
        <v>58.3</v>
      </c>
    </row>
    <row r="58" spans="1:2" x14ac:dyDescent="0.2">
      <c r="A58" s="2">
        <v>43800</v>
      </c>
      <c r="B58" s="11">
        <v>56.9</v>
      </c>
    </row>
    <row r="59" spans="1:2" x14ac:dyDescent="0.2">
      <c r="A59" s="2">
        <v>43831</v>
      </c>
      <c r="B59" s="11">
        <v>54.9</v>
      </c>
    </row>
    <row r="60" spans="1:2" x14ac:dyDescent="0.2">
      <c r="A60" s="2">
        <v>43862</v>
      </c>
      <c r="B60" s="11">
        <v>52.5</v>
      </c>
    </row>
    <row r="61" spans="1:2" x14ac:dyDescent="0.2">
      <c r="A61" s="2">
        <v>43891</v>
      </c>
      <c r="B61" s="11">
        <v>42.4</v>
      </c>
    </row>
    <row r="62" spans="1:2" x14ac:dyDescent="0.2">
      <c r="A62" s="2">
        <v>43922</v>
      </c>
      <c r="B62" s="11">
        <v>44.4</v>
      </c>
    </row>
    <row r="63" spans="1:2" x14ac:dyDescent="0.2">
      <c r="A63" s="2">
        <v>43952</v>
      </c>
      <c r="B63" s="11">
        <v>48.1</v>
      </c>
    </row>
    <row r="64" spans="1:2" x14ac:dyDescent="0.2">
      <c r="A64" s="2">
        <v>43983</v>
      </c>
      <c r="B64" s="11">
        <v>47.7</v>
      </c>
    </row>
    <row r="65" spans="1:2" x14ac:dyDescent="0.2">
      <c r="A65" s="2">
        <v>44013</v>
      </c>
      <c r="B65" s="11">
        <v>48.8</v>
      </c>
    </row>
    <row r="66" spans="1:2" x14ac:dyDescent="0.2">
      <c r="A66" s="2">
        <v>44044</v>
      </c>
      <c r="B66" s="11">
        <v>50</v>
      </c>
    </row>
    <row r="67" spans="1:2" x14ac:dyDescent="0.2">
      <c r="A67" s="2">
        <v>44075</v>
      </c>
      <c r="B67" s="11">
        <v>50.7</v>
      </c>
    </row>
    <row r="68" spans="1:2" x14ac:dyDescent="0.2">
      <c r="A68" s="2">
        <v>44105</v>
      </c>
      <c r="B68" s="11">
        <v>51</v>
      </c>
    </row>
    <row r="69" spans="1:2" x14ac:dyDescent="0.2">
      <c r="A69" s="2">
        <v>44136</v>
      </c>
      <c r="B69" s="11">
        <v>54.7</v>
      </c>
    </row>
    <row r="70" spans="1:2" x14ac:dyDescent="0.2">
      <c r="A70" s="2">
        <v>44166</v>
      </c>
      <c r="B70" s="11">
        <v>57</v>
      </c>
    </row>
    <row r="71" spans="1:2" x14ac:dyDescent="0.2">
      <c r="A71" s="2">
        <v>44197</v>
      </c>
      <c r="B71" s="11">
        <v>57.1</v>
      </c>
    </row>
    <row r="72" spans="1:2" x14ac:dyDescent="0.2">
      <c r="A72" s="2">
        <v>44228</v>
      </c>
      <c r="B72" s="11">
        <v>53.9</v>
      </c>
    </row>
    <row r="73" spans="1:2" x14ac:dyDescent="0.2">
      <c r="A73" s="2">
        <v>44256</v>
      </c>
      <c r="B73" s="11">
        <v>53.3</v>
      </c>
    </row>
    <row r="74" spans="1:2" x14ac:dyDescent="0.2">
      <c r="A74" s="2">
        <v>44287</v>
      </c>
      <c r="B74" s="11">
        <v>55.2</v>
      </c>
    </row>
    <row r="75" spans="1:2" x14ac:dyDescent="0.2">
      <c r="A75" s="2">
        <v>44317</v>
      </c>
      <c r="B75" s="11">
        <v>56.4</v>
      </c>
    </row>
    <row r="76" spans="1:2" x14ac:dyDescent="0.2">
      <c r="A76" s="2">
        <v>44348</v>
      </c>
      <c r="B76" s="11">
        <v>56.4</v>
      </c>
    </row>
    <row r="77" spans="1:2" x14ac:dyDescent="0.2">
      <c r="A77" s="2">
        <v>44378</v>
      </c>
      <c r="B77" s="11">
        <v>55.8</v>
      </c>
    </row>
    <row r="78" spans="1:2" x14ac:dyDescent="0.2">
      <c r="A78" s="2">
        <v>44409</v>
      </c>
      <c r="B78" s="11">
        <v>54.1</v>
      </c>
    </row>
    <row r="79" spans="1:2" x14ac:dyDescent="0.2">
      <c r="A79" s="2">
        <v>44440</v>
      </c>
      <c r="B79" s="11">
        <v>58.6</v>
      </c>
    </row>
    <row r="80" spans="1:2" x14ac:dyDescent="0.2">
      <c r="A80" s="2">
        <v>44470</v>
      </c>
      <c r="B80" s="11">
        <v>57.7</v>
      </c>
    </row>
    <row r="81" spans="1:2" x14ac:dyDescent="0.2">
      <c r="A81" s="2">
        <v>44501</v>
      </c>
      <c r="B81" s="11">
        <v>56.9</v>
      </c>
    </row>
    <row r="82" spans="1:2" x14ac:dyDescent="0.2">
      <c r="A82" s="2">
        <v>44531</v>
      </c>
      <c r="B82" s="11">
        <v>53.9</v>
      </c>
    </row>
  </sheetData>
  <conditionalFormatting sqref="B2:B82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B233"/>
  <sheetViews>
    <sheetView zoomScale="180" zoomScaleNormal="180" workbookViewId="0">
      <pane ySplit="1" topLeftCell="A2" activePane="bottomLeft" state="frozen"/>
      <selection pane="bottomLeft" activeCell="I208" sqref="I208"/>
    </sheetView>
  </sheetViews>
  <sheetFormatPr baseColWidth="10" defaultColWidth="9.1640625" defaultRowHeight="15" x14ac:dyDescent="0.2"/>
  <cols>
    <col min="1" max="1" width="13.5" style="1" customWidth="1"/>
    <col min="2" max="2" width="11.33203125" style="1" customWidth="1"/>
    <col min="3" max="3" width="9.1640625" style="1" customWidth="1"/>
    <col min="4" max="16384" width="9.1640625" style="1"/>
  </cols>
  <sheetData>
    <row r="1" spans="1:2" ht="16" customHeight="1" thickBot="1" x14ac:dyDescent="0.25">
      <c r="A1" s="9" t="s">
        <v>0</v>
      </c>
      <c r="B1" s="10" t="s">
        <v>18</v>
      </c>
    </row>
    <row r="2" spans="1:2" x14ac:dyDescent="0.2">
      <c r="A2" s="6">
        <v>37469</v>
      </c>
      <c r="B2" s="8">
        <v>56.907262129678003</v>
      </c>
    </row>
    <row r="3" spans="1:2" x14ac:dyDescent="0.2">
      <c r="A3" s="2">
        <v>37500</v>
      </c>
      <c r="B3" s="3">
        <v>58.558944963243398</v>
      </c>
    </row>
    <row r="4" spans="1:2" x14ac:dyDescent="0.2">
      <c r="A4" s="2">
        <v>37530</v>
      </c>
      <c r="B4" s="3">
        <v>57.946692398866297</v>
      </c>
    </row>
    <row r="5" spans="1:2" x14ac:dyDescent="0.2">
      <c r="A5" s="2">
        <v>37561</v>
      </c>
      <c r="B5" s="3">
        <v>57.045752075729702</v>
      </c>
    </row>
    <row r="6" spans="1:2" x14ac:dyDescent="0.2">
      <c r="A6" s="2">
        <v>37591</v>
      </c>
      <c r="B6" s="3">
        <v>57.162855142389098</v>
      </c>
    </row>
    <row r="7" spans="1:2" x14ac:dyDescent="0.2">
      <c r="A7" s="2">
        <v>37622</v>
      </c>
      <c r="B7" s="3">
        <v>56.037312647284203</v>
      </c>
    </row>
    <row r="8" spans="1:2" x14ac:dyDescent="0.2">
      <c r="A8" s="2">
        <v>37653</v>
      </c>
      <c r="B8" s="3">
        <v>54.453721410704397</v>
      </c>
    </row>
    <row r="9" spans="1:2" x14ac:dyDescent="0.2">
      <c r="A9" s="2">
        <v>37681</v>
      </c>
      <c r="B9" s="3">
        <v>52.803630209600101</v>
      </c>
    </row>
    <row r="10" spans="1:2" x14ac:dyDescent="0.2">
      <c r="A10" s="2">
        <v>37712</v>
      </c>
      <c r="B10" s="3">
        <v>53.3207423548318</v>
      </c>
    </row>
    <row r="11" spans="1:2" x14ac:dyDescent="0.2">
      <c r="A11" s="2">
        <v>37742</v>
      </c>
      <c r="B11" s="3">
        <v>51.856412409729302</v>
      </c>
    </row>
    <row r="12" spans="1:2" x14ac:dyDescent="0.2">
      <c r="A12" s="2">
        <v>37773</v>
      </c>
      <c r="B12" s="3">
        <v>53.437648762611197</v>
      </c>
    </row>
    <row r="13" spans="1:2" x14ac:dyDescent="0.2">
      <c r="A13" s="2">
        <v>37803</v>
      </c>
      <c r="B13" s="3">
        <v>53.0699070792162</v>
      </c>
    </row>
    <row r="14" spans="1:2" x14ac:dyDescent="0.2">
      <c r="A14" s="2">
        <v>37834</v>
      </c>
      <c r="B14" s="3">
        <v>50.568235899885103</v>
      </c>
    </row>
    <row r="15" spans="1:2" x14ac:dyDescent="0.2">
      <c r="A15" s="2">
        <v>37865</v>
      </c>
      <c r="B15" s="3">
        <v>57.843029176009402</v>
      </c>
    </row>
    <row r="16" spans="1:2" x14ac:dyDescent="0.2">
      <c r="A16" s="2">
        <v>37895</v>
      </c>
      <c r="B16" s="3">
        <v>60.866406299467698</v>
      </c>
    </row>
    <row r="17" spans="1:2" x14ac:dyDescent="0.2">
      <c r="A17" s="2">
        <v>37926</v>
      </c>
      <c r="B17" s="3">
        <v>56.386882357350899</v>
      </c>
    </row>
    <row r="18" spans="1:2" x14ac:dyDescent="0.2">
      <c r="A18" s="2">
        <v>37956</v>
      </c>
      <c r="B18" s="3">
        <v>54.845751644085702</v>
      </c>
    </row>
    <row r="19" spans="1:2" x14ac:dyDescent="0.2">
      <c r="A19" s="2">
        <v>37987</v>
      </c>
      <c r="B19" s="3">
        <v>55.793919717969402</v>
      </c>
    </row>
    <row r="20" spans="1:2" x14ac:dyDescent="0.2">
      <c r="A20" s="2">
        <v>38018</v>
      </c>
      <c r="B20" s="3">
        <v>56.800472168487701</v>
      </c>
    </row>
    <row r="21" spans="1:2" x14ac:dyDescent="0.2">
      <c r="A21" s="2">
        <v>38047</v>
      </c>
      <c r="B21" s="3">
        <v>59.0129037737941</v>
      </c>
    </row>
    <row r="22" spans="1:2" x14ac:dyDescent="0.2">
      <c r="A22" s="2">
        <v>38078</v>
      </c>
      <c r="B22" s="3">
        <v>58.741686967726302</v>
      </c>
    </row>
    <row r="23" spans="1:2" x14ac:dyDescent="0.2">
      <c r="A23" s="2">
        <v>38108</v>
      </c>
      <c r="B23" s="3">
        <v>56.1940744843941</v>
      </c>
    </row>
    <row r="24" spans="1:2" x14ac:dyDescent="0.2">
      <c r="A24" s="2">
        <v>38139</v>
      </c>
      <c r="B24" s="3">
        <v>62.772774028058897</v>
      </c>
    </row>
    <row r="25" spans="1:2" x14ac:dyDescent="0.2">
      <c r="A25" s="2">
        <v>38169</v>
      </c>
      <c r="B25" s="3">
        <v>58.771020874084499</v>
      </c>
    </row>
    <row r="26" spans="1:2" x14ac:dyDescent="0.2">
      <c r="A26" s="2">
        <v>38200</v>
      </c>
      <c r="B26" s="3">
        <v>57.427085291237098</v>
      </c>
    </row>
    <row r="27" spans="1:2" x14ac:dyDescent="0.2">
      <c r="A27" s="2">
        <v>38231</v>
      </c>
      <c r="B27" s="3">
        <v>55.049322078869203</v>
      </c>
    </row>
    <row r="28" spans="1:2" x14ac:dyDescent="0.2">
      <c r="A28" s="2">
        <v>38261</v>
      </c>
      <c r="B28" s="3">
        <v>52.917155117700901</v>
      </c>
    </row>
    <row r="29" spans="1:2" x14ac:dyDescent="0.2">
      <c r="A29" s="2">
        <v>38292</v>
      </c>
      <c r="B29" s="3">
        <v>57.866935416672398</v>
      </c>
    </row>
    <row r="30" spans="1:2" x14ac:dyDescent="0.2">
      <c r="A30" s="2">
        <v>38322</v>
      </c>
      <c r="B30" s="3">
        <v>58.981422607151899</v>
      </c>
    </row>
    <row r="31" spans="1:2" x14ac:dyDescent="0.2">
      <c r="A31" s="2">
        <v>38353</v>
      </c>
      <c r="B31" s="3">
        <v>57.034440617633997</v>
      </c>
    </row>
    <row r="32" spans="1:2" x14ac:dyDescent="0.2">
      <c r="A32" s="2">
        <v>38384</v>
      </c>
      <c r="B32" s="3">
        <v>56.255983584510801</v>
      </c>
    </row>
    <row r="33" spans="1:2" x14ac:dyDescent="0.2">
      <c r="A33" s="2">
        <v>38412</v>
      </c>
      <c r="B33" s="3">
        <v>51.639603525794001</v>
      </c>
    </row>
    <row r="34" spans="1:2" x14ac:dyDescent="0.2">
      <c r="A34" s="2">
        <v>38443</v>
      </c>
      <c r="B34" s="3">
        <v>51.5818588801095</v>
      </c>
    </row>
    <row r="35" spans="1:2" x14ac:dyDescent="0.2">
      <c r="A35" s="2">
        <v>38473</v>
      </c>
      <c r="B35" s="3">
        <v>51.297542414814103</v>
      </c>
    </row>
    <row r="36" spans="1:2" x14ac:dyDescent="0.2">
      <c r="A36" s="2">
        <v>38504</v>
      </c>
      <c r="B36" s="3">
        <v>52.9270116328412</v>
      </c>
    </row>
    <row r="37" spans="1:2" x14ac:dyDescent="0.2">
      <c r="A37" s="2">
        <v>38534</v>
      </c>
      <c r="B37" s="3">
        <v>49.237862406275802</v>
      </c>
    </row>
    <row r="38" spans="1:2" x14ac:dyDescent="0.2">
      <c r="A38" s="2">
        <v>38565</v>
      </c>
      <c r="B38" s="3">
        <v>51.811669856587201</v>
      </c>
    </row>
    <row r="39" spans="1:2" x14ac:dyDescent="0.2">
      <c r="A39" s="2">
        <v>38596</v>
      </c>
      <c r="B39" s="3">
        <v>50.571930732839697</v>
      </c>
    </row>
    <row r="40" spans="1:2" x14ac:dyDescent="0.2">
      <c r="A40" s="2">
        <v>38626</v>
      </c>
      <c r="B40" s="3">
        <v>45.895480732884501</v>
      </c>
    </row>
    <row r="41" spans="1:2" x14ac:dyDescent="0.2">
      <c r="A41" s="2">
        <v>38657</v>
      </c>
      <c r="B41" s="3">
        <v>44.270599524960801</v>
      </c>
    </row>
    <row r="42" spans="1:2" x14ac:dyDescent="0.2">
      <c r="A42" s="2">
        <v>38687</v>
      </c>
      <c r="B42" s="3">
        <v>48.479025467498097</v>
      </c>
    </row>
    <row r="43" spans="1:2" x14ac:dyDescent="0.2">
      <c r="A43" s="2">
        <v>38718</v>
      </c>
      <c r="B43" s="3">
        <v>48.585345068779702</v>
      </c>
    </row>
    <row r="44" spans="1:2" x14ac:dyDescent="0.2">
      <c r="A44" s="2">
        <v>38749</v>
      </c>
      <c r="B44" s="3">
        <v>52.190552419279399</v>
      </c>
    </row>
    <row r="45" spans="1:2" x14ac:dyDescent="0.2">
      <c r="A45" s="2">
        <v>38777</v>
      </c>
      <c r="B45" s="3">
        <v>53.543058814971403</v>
      </c>
    </row>
    <row r="46" spans="1:2" x14ac:dyDescent="0.2">
      <c r="A46" s="2">
        <v>38808</v>
      </c>
      <c r="B46" s="3">
        <v>52.014251258866402</v>
      </c>
    </row>
    <row r="47" spans="1:2" x14ac:dyDescent="0.2">
      <c r="A47" s="2">
        <v>38838</v>
      </c>
      <c r="B47" s="3">
        <v>57.202432453847202</v>
      </c>
    </row>
    <row r="48" spans="1:2" x14ac:dyDescent="0.2">
      <c r="A48" s="2">
        <v>38869</v>
      </c>
      <c r="B48" s="3">
        <v>53.844737402000803</v>
      </c>
    </row>
    <row r="49" spans="1:2" x14ac:dyDescent="0.2">
      <c r="A49" s="2">
        <v>38899</v>
      </c>
      <c r="B49" s="3">
        <v>53.378118046287</v>
      </c>
    </row>
    <row r="50" spans="1:2" x14ac:dyDescent="0.2">
      <c r="A50" s="2">
        <v>38930</v>
      </c>
      <c r="B50" s="3">
        <v>52.497099283063399</v>
      </c>
    </row>
    <row r="51" spans="1:2" x14ac:dyDescent="0.2">
      <c r="A51" s="2">
        <v>38961</v>
      </c>
      <c r="B51" s="3">
        <v>51.262659151328798</v>
      </c>
    </row>
    <row r="52" spans="1:2" x14ac:dyDescent="0.2">
      <c r="A52" s="2">
        <v>38991</v>
      </c>
      <c r="B52" s="3">
        <v>56.532079990323197</v>
      </c>
    </row>
    <row r="53" spans="1:2" x14ac:dyDescent="0.2">
      <c r="A53" s="2">
        <v>39022</v>
      </c>
      <c r="B53" s="3">
        <v>54.819585258175898</v>
      </c>
    </row>
    <row r="54" spans="1:2" x14ac:dyDescent="0.2">
      <c r="A54" s="2">
        <v>39052</v>
      </c>
      <c r="B54" s="3">
        <v>54.238666923849898</v>
      </c>
    </row>
    <row r="55" spans="1:2" x14ac:dyDescent="0.2">
      <c r="A55" s="2">
        <v>39083</v>
      </c>
      <c r="B55" s="3">
        <v>56.036031351097698</v>
      </c>
    </row>
    <row r="56" spans="1:2" x14ac:dyDescent="0.2">
      <c r="A56" s="2">
        <v>39114</v>
      </c>
      <c r="B56" s="3">
        <v>54.742775705584201</v>
      </c>
    </row>
    <row r="57" spans="1:2" x14ac:dyDescent="0.2">
      <c r="A57" s="2">
        <v>39142</v>
      </c>
      <c r="B57" s="3">
        <v>57.570250699095702</v>
      </c>
    </row>
    <row r="58" spans="1:2" x14ac:dyDescent="0.2">
      <c r="A58" s="2">
        <v>39173</v>
      </c>
      <c r="B58" s="3">
        <v>53.260616311208402</v>
      </c>
    </row>
    <row r="59" spans="1:2" x14ac:dyDescent="0.2">
      <c r="A59" s="2">
        <v>39203</v>
      </c>
      <c r="B59" s="3">
        <v>55.407160874264001</v>
      </c>
    </row>
    <row r="60" spans="1:2" x14ac:dyDescent="0.2">
      <c r="A60" s="2">
        <v>39234</v>
      </c>
      <c r="B60" s="3">
        <v>51.416409801705001</v>
      </c>
    </row>
    <row r="61" spans="1:2" x14ac:dyDescent="0.2">
      <c r="A61" s="2">
        <v>39264</v>
      </c>
      <c r="B61" s="3">
        <v>54.021529677242</v>
      </c>
    </row>
    <row r="62" spans="1:2" x14ac:dyDescent="0.2">
      <c r="A62" s="2">
        <v>39295</v>
      </c>
      <c r="B62" s="3">
        <v>56.598811050608198</v>
      </c>
    </row>
    <row r="63" spans="1:2" x14ac:dyDescent="0.2">
      <c r="A63" s="2">
        <v>39326</v>
      </c>
      <c r="B63" s="3">
        <v>54.2282350566784</v>
      </c>
    </row>
    <row r="64" spans="1:2" x14ac:dyDescent="0.2">
      <c r="A64" s="2">
        <v>39356</v>
      </c>
      <c r="B64" s="3">
        <v>57.433784173576299</v>
      </c>
    </row>
    <row r="65" spans="1:2" x14ac:dyDescent="0.2">
      <c r="A65" s="2">
        <v>39387</v>
      </c>
      <c r="B65" s="3">
        <v>57.155724465306697</v>
      </c>
    </row>
    <row r="66" spans="1:2" x14ac:dyDescent="0.2">
      <c r="A66" s="2">
        <v>39417</v>
      </c>
      <c r="B66" s="3">
        <v>53.153499590717303</v>
      </c>
    </row>
    <row r="67" spans="1:2" x14ac:dyDescent="0.2">
      <c r="A67" s="2">
        <v>39448</v>
      </c>
      <c r="B67" s="3">
        <v>53.080817306480398</v>
      </c>
    </row>
    <row r="68" spans="1:2" x14ac:dyDescent="0.2">
      <c r="A68" s="2">
        <v>39479</v>
      </c>
      <c r="B68" s="3">
        <v>52.568361901912901</v>
      </c>
    </row>
    <row r="69" spans="1:2" x14ac:dyDescent="0.2">
      <c r="A69" s="2">
        <v>39508</v>
      </c>
      <c r="B69" s="3">
        <v>48.114001410038803</v>
      </c>
    </row>
    <row r="70" spans="1:2" x14ac:dyDescent="0.2">
      <c r="A70" s="2">
        <v>39539</v>
      </c>
      <c r="B70" s="3">
        <v>50.379620041373897</v>
      </c>
    </row>
    <row r="71" spans="1:2" x14ac:dyDescent="0.2">
      <c r="A71" s="2">
        <v>39569</v>
      </c>
      <c r="B71" s="3">
        <v>48.254867105237302</v>
      </c>
    </row>
    <row r="72" spans="1:2" x14ac:dyDescent="0.2">
      <c r="A72" s="2">
        <v>39600</v>
      </c>
      <c r="B72" s="3">
        <v>44.324455950641003</v>
      </c>
    </row>
    <row r="73" spans="1:2" x14ac:dyDescent="0.2">
      <c r="A73" s="2">
        <v>39630</v>
      </c>
      <c r="B73" s="3">
        <v>48.173562781692198</v>
      </c>
    </row>
    <row r="74" spans="1:2" x14ac:dyDescent="0.2">
      <c r="A74" s="2">
        <v>39661</v>
      </c>
      <c r="B74" s="3">
        <v>46.094212934239899</v>
      </c>
    </row>
    <row r="75" spans="1:2" x14ac:dyDescent="0.2">
      <c r="A75" s="2">
        <v>39692</v>
      </c>
      <c r="B75" s="3">
        <v>46.816302534574902</v>
      </c>
    </row>
    <row r="76" spans="1:2" x14ac:dyDescent="0.2">
      <c r="A76" s="2">
        <v>39722</v>
      </c>
      <c r="B76" s="3">
        <v>44.045668643393597</v>
      </c>
    </row>
    <row r="77" spans="1:2" x14ac:dyDescent="0.2">
      <c r="A77" s="2">
        <v>39753</v>
      </c>
      <c r="B77" s="3">
        <v>36.083796175526899</v>
      </c>
    </row>
    <row r="78" spans="1:2" x14ac:dyDescent="0.2">
      <c r="A78" s="2">
        <v>39783</v>
      </c>
      <c r="B78" s="3">
        <v>42.435398240949702</v>
      </c>
    </row>
    <row r="79" spans="1:2" x14ac:dyDescent="0.2">
      <c r="A79" s="2">
        <v>39814</v>
      </c>
      <c r="B79" s="3">
        <v>42.236706316594997</v>
      </c>
    </row>
    <row r="80" spans="1:2" x14ac:dyDescent="0.2">
      <c r="A80" s="2">
        <v>39845</v>
      </c>
      <c r="B80" s="3">
        <v>38.936383749853697</v>
      </c>
    </row>
    <row r="81" spans="1:2" x14ac:dyDescent="0.2">
      <c r="A81" s="2">
        <v>39873</v>
      </c>
      <c r="B81" s="3">
        <v>41.563078337337402</v>
      </c>
    </row>
    <row r="82" spans="1:2" x14ac:dyDescent="0.2">
      <c r="A82" s="2">
        <v>39904</v>
      </c>
      <c r="B82" s="3">
        <v>43.348295431938503</v>
      </c>
    </row>
    <row r="83" spans="1:2" x14ac:dyDescent="0.2">
      <c r="A83" s="2">
        <v>39934</v>
      </c>
      <c r="B83" s="3">
        <v>41.874722452342098</v>
      </c>
    </row>
    <row r="84" spans="1:2" x14ac:dyDescent="0.2">
      <c r="A84" s="2">
        <v>39965</v>
      </c>
      <c r="B84" s="3">
        <v>45.561029356135201</v>
      </c>
    </row>
    <row r="85" spans="1:2" x14ac:dyDescent="0.2">
      <c r="A85" s="2">
        <v>39995</v>
      </c>
      <c r="B85" s="3">
        <v>49.734183405407201</v>
      </c>
    </row>
    <row r="86" spans="1:2" x14ac:dyDescent="0.2">
      <c r="A86" s="2">
        <v>40026</v>
      </c>
      <c r="B86" s="3">
        <v>49.642350273864402</v>
      </c>
    </row>
    <row r="87" spans="1:2" x14ac:dyDescent="0.2">
      <c r="A87" s="2">
        <v>40057</v>
      </c>
      <c r="B87" s="3">
        <v>52.680029270514602</v>
      </c>
    </row>
    <row r="88" spans="1:2" x14ac:dyDescent="0.2">
      <c r="A88" s="2">
        <v>40087</v>
      </c>
      <c r="B88" s="3">
        <v>51.7262292777555</v>
      </c>
    </row>
    <row r="89" spans="1:2" x14ac:dyDescent="0.2">
      <c r="A89" s="2">
        <v>40118</v>
      </c>
      <c r="B89" s="3">
        <v>53.326198285872401</v>
      </c>
    </row>
    <row r="90" spans="1:2" x14ac:dyDescent="0.2">
      <c r="A90" s="2">
        <v>40148</v>
      </c>
      <c r="B90" s="3">
        <v>53.1454156225943</v>
      </c>
    </row>
    <row r="91" spans="1:2" x14ac:dyDescent="0.2">
      <c r="A91" s="2">
        <v>40179</v>
      </c>
      <c r="B91" s="3">
        <v>51.823641067846701</v>
      </c>
    </row>
    <row r="92" spans="1:2" x14ac:dyDescent="0.2">
      <c r="A92" s="2">
        <v>40210</v>
      </c>
      <c r="B92" s="3">
        <v>52.533413447435898</v>
      </c>
    </row>
    <row r="93" spans="1:2" x14ac:dyDescent="0.2">
      <c r="A93" s="2">
        <v>40238</v>
      </c>
      <c r="B93" s="3">
        <v>55.832523203119003</v>
      </c>
    </row>
    <row r="94" spans="1:2" x14ac:dyDescent="0.2">
      <c r="A94" s="2">
        <v>40269</v>
      </c>
      <c r="B94" s="3">
        <v>58.4019949666218</v>
      </c>
    </row>
    <row r="95" spans="1:2" x14ac:dyDescent="0.2">
      <c r="A95" s="2">
        <v>40299</v>
      </c>
      <c r="B95" s="3">
        <v>51.8006228698843</v>
      </c>
    </row>
    <row r="96" spans="1:2" x14ac:dyDescent="0.2">
      <c r="A96" s="2">
        <v>40330</v>
      </c>
      <c r="B96" s="3">
        <v>54.885916458142702</v>
      </c>
    </row>
    <row r="97" spans="1:2" x14ac:dyDescent="0.2">
      <c r="A97" s="2">
        <v>40360</v>
      </c>
      <c r="B97" s="3">
        <v>50.256943813857902</v>
      </c>
    </row>
    <row r="98" spans="1:2" x14ac:dyDescent="0.2">
      <c r="A98" s="2">
        <v>40391</v>
      </c>
      <c r="B98" s="3">
        <v>50.288913340954501</v>
      </c>
    </row>
    <row r="99" spans="1:2" x14ac:dyDescent="0.2">
      <c r="A99" s="2">
        <v>40422</v>
      </c>
      <c r="B99" s="3">
        <v>50.989279973423798</v>
      </c>
    </row>
    <row r="100" spans="1:2" x14ac:dyDescent="0.2">
      <c r="A100" s="2">
        <v>40452</v>
      </c>
      <c r="B100" s="3">
        <v>51.425226109909701</v>
      </c>
    </row>
    <row r="101" spans="1:2" x14ac:dyDescent="0.2">
      <c r="A101" s="2">
        <v>40483</v>
      </c>
      <c r="B101" s="3">
        <v>54.9544836853158</v>
      </c>
    </row>
    <row r="102" spans="1:2" x14ac:dyDescent="0.2">
      <c r="A102" s="2">
        <v>40513</v>
      </c>
      <c r="B102" s="3">
        <v>53.213836822334102</v>
      </c>
    </row>
    <row r="103" spans="1:2" x14ac:dyDescent="0.2">
      <c r="A103" s="2">
        <v>40544</v>
      </c>
      <c r="B103" s="3">
        <v>52.941418710448602</v>
      </c>
    </row>
    <row r="104" spans="1:2" x14ac:dyDescent="0.2">
      <c r="A104" s="2">
        <v>40575</v>
      </c>
      <c r="B104" s="3">
        <v>51.296148060149903</v>
      </c>
    </row>
    <row r="105" spans="1:2" x14ac:dyDescent="0.2">
      <c r="A105" s="2">
        <v>40603</v>
      </c>
      <c r="B105" s="3">
        <v>49.030116711296003</v>
      </c>
    </row>
    <row r="106" spans="1:2" x14ac:dyDescent="0.2">
      <c r="A106" s="2">
        <v>40634</v>
      </c>
      <c r="B106" s="3">
        <v>53.0485447056205</v>
      </c>
    </row>
    <row r="107" spans="1:2" x14ac:dyDescent="0.2">
      <c r="A107" s="2">
        <v>40664</v>
      </c>
      <c r="B107" s="3">
        <v>52.890127153315902</v>
      </c>
    </row>
    <row r="108" spans="1:2" x14ac:dyDescent="0.2">
      <c r="A108" s="2">
        <v>40695</v>
      </c>
      <c r="B108" s="3">
        <v>54.276686305751802</v>
      </c>
    </row>
    <row r="109" spans="1:2" x14ac:dyDescent="0.2">
      <c r="A109" s="2">
        <v>40725</v>
      </c>
      <c r="B109" s="3">
        <v>52.914785131054401</v>
      </c>
    </row>
    <row r="110" spans="1:2" x14ac:dyDescent="0.2">
      <c r="A110" s="2">
        <v>40756</v>
      </c>
      <c r="B110" s="3">
        <v>53.276022834882099</v>
      </c>
    </row>
    <row r="111" spans="1:2" x14ac:dyDescent="0.2">
      <c r="A111" s="2">
        <v>40787</v>
      </c>
      <c r="B111" s="3">
        <v>51.1649272067922</v>
      </c>
    </row>
    <row r="112" spans="1:2" x14ac:dyDescent="0.2">
      <c r="A112" s="2">
        <v>40817</v>
      </c>
      <c r="B112" s="3">
        <v>47.055625036655101</v>
      </c>
    </row>
    <row r="113" spans="1:2" x14ac:dyDescent="0.2">
      <c r="A113" s="2">
        <v>40848</v>
      </c>
      <c r="B113" s="3">
        <v>47.8189290340678</v>
      </c>
    </row>
    <row r="114" spans="1:2" x14ac:dyDescent="0.2">
      <c r="A114" s="2">
        <v>40878</v>
      </c>
      <c r="B114" s="3">
        <v>52.079468638644201</v>
      </c>
    </row>
    <row r="115" spans="1:2" x14ac:dyDescent="0.2">
      <c r="A115" s="2">
        <v>40909</v>
      </c>
      <c r="B115" s="3">
        <v>50.6209489737154</v>
      </c>
    </row>
    <row r="116" spans="1:2" x14ac:dyDescent="0.2">
      <c r="A116" s="2">
        <v>40940</v>
      </c>
      <c r="B116" s="3">
        <v>55.936808068004602</v>
      </c>
    </row>
    <row r="117" spans="1:2" x14ac:dyDescent="0.2">
      <c r="A117" s="2">
        <v>40969</v>
      </c>
      <c r="B117" s="3">
        <v>53.627871720274001</v>
      </c>
    </row>
    <row r="118" spans="1:2" x14ac:dyDescent="0.2">
      <c r="A118" s="2">
        <v>41000</v>
      </c>
      <c r="B118" s="3">
        <v>48.512504850892803</v>
      </c>
    </row>
    <row r="119" spans="1:2" x14ac:dyDescent="0.2">
      <c r="A119" s="2">
        <v>41030</v>
      </c>
      <c r="B119" s="3">
        <v>54.185789788296702</v>
      </c>
    </row>
    <row r="120" spans="1:2" x14ac:dyDescent="0.2">
      <c r="A120" s="2">
        <v>41061</v>
      </c>
      <c r="B120" s="3">
        <v>50.472370512699001</v>
      </c>
    </row>
    <row r="121" spans="1:2" x14ac:dyDescent="0.2">
      <c r="A121" s="2">
        <v>41091</v>
      </c>
      <c r="B121" s="3">
        <v>49.600935432835399</v>
      </c>
    </row>
    <row r="122" spans="1:2" x14ac:dyDescent="0.2">
      <c r="A122" s="2">
        <v>41122</v>
      </c>
      <c r="B122" s="3">
        <v>47.429094831237798</v>
      </c>
    </row>
    <row r="123" spans="1:2" x14ac:dyDescent="0.2">
      <c r="A123" s="2">
        <v>41153</v>
      </c>
      <c r="B123" s="3">
        <v>48.448709339422898</v>
      </c>
    </row>
    <row r="124" spans="1:2" x14ac:dyDescent="0.2">
      <c r="A124" s="2">
        <v>41183</v>
      </c>
      <c r="B124" s="3">
        <v>51.316273938764503</v>
      </c>
    </row>
    <row r="125" spans="1:2" x14ac:dyDescent="0.2">
      <c r="A125" s="2">
        <v>41214</v>
      </c>
      <c r="B125" s="3">
        <v>50.803170950440403</v>
      </c>
    </row>
    <row r="126" spans="1:2" x14ac:dyDescent="0.2">
      <c r="A126" s="2">
        <v>41244</v>
      </c>
      <c r="B126" s="3">
        <v>50.176098211716898</v>
      </c>
    </row>
    <row r="127" spans="1:2" x14ac:dyDescent="0.2">
      <c r="A127" s="2">
        <v>41275</v>
      </c>
      <c r="B127" s="3">
        <v>55.650680223541102</v>
      </c>
    </row>
    <row r="128" spans="1:2" x14ac:dyDescent="0.2">
      <c r="A128" s="2">
        <v>41306</v>
      </c>
      <c r="B128" s="3">
        <v>55.210349982691298</v>
      </c>
    </row>
    <row r="129" spans="1:2" x14ac:dyDescent="0.2">
      <c r="A129" s="2">
        <v>41334</v>
      </c>
      <c r="B129" s="3">
        <v>52.7071688076255</v>
      </c>
    </row>
    <row r="130" spans="1:2" x14ac:dyDescent="0.2">
      <c r="A130" s="2">
        <v>41365</v>
      </c>
      <c r="B130" s="3">
        <v>56.120859261244199</v>
      </c>
    </row>
    <row r="131" spans="1:2" x14ac:dyDescent="0.2">
      <c r="A131" s="2">
        <v>41395</v>
      </c>
      <c r="B131" s="3">
        <v>59.073750840452703</v>
      </c>
    </row>
    <row r="132" spans="1:2" x14ac:dyDescent="0.2">
      <c r="A132" s="2">
        <v>41426</v>
      </c>
      <c r="B132" s="3">
        <v>55.0752933288219</v>
      </c>
    </row>
    <row r="133" spans="1:2" x14ac:dyDescent="0.2">
      <c r="A133" s="2">
        <v>41456</v>
      </c>
      <c r="B133" s="3">
        <v>60.261392032361201</v>
      </c>
    </row>
    <row r="134" spans="1:2" x14ac:dyDescent="0.2">
      <c r="A134" s="2">
        <v>41487</v>
      </c>
      <c r="B134" s="3">
        <v>56.723185987861498</v>
      </c>
    </row>
    <row r="135" spans="1:2" x14ac:dyDescent="0.2">
      <c r="A135" s="2">
        <v>41518</v>
      </c>
      <c r="B135" s="3">
        <v>52.7868939881118</v>
      </c>
    </row>
    <row r="136" spans="1:2" x14ac:dyDescent="0.2">
      <c r="A136" s="2">
        <v>41548</v>
      </c>
      <c r="B136" s="3">
        <v>55.491851126124203</v>
      </c>
    </row>
    <row r="137" spans="1:2" x14ac:dyDescent="0.2">
      <c r="A137" s="2">
        <v>41579</v>
      </c>
      <c r="B137" s="3">
        <v>57.389922652514898</v>
      </c>
    </row>
    <row r="138" spans="1:2" x14ac:dyDescent="0.2">
      <c r="A138" s="2">
        <v>41609</v>
      </c>
      <c r="B138" s="3">
        <v>55.724521077420903</v>
      </c>
    </row>
    <row r="139" spans="1:2" x14ac:dyDescent="0.2">
      <c r="A139" s="2">
        <v>41640</v>
      </c>
      <c r="B139" s="3">
        <v>57.197211909594103</v>
      </c>
    </row>
    <row r="140" spans="1:2" x14ac:dyDescent="0.2">
      <c r="A140" s="2">
        <v>41671</v>
      </c>
      <c r="B140" s="3">
        <v>56.026127287725103</v>
      </c>
    </row>
    <row r="141" spans="1:2" x14ac:dyDescent="0.2">
      <c r="A141" s="2">
        <v>41699</v>
      </c>
      <c r="B141" s="3">
        <v>57.951243871749298</v>
      </c>
    </row>
    <row r="142" spans="1:2" x14ac:dyDescent="0.2">
      <c r="A142" s="2">
        <v>41730</v>
      </c>
      <c r="B142" s="3">
        <v>55.4325461314546</v>
      </c>
    </row>
    <row r="143" spans="1:2" x14ac:dyDescent="0.2">
      <c r="A143" s="2">
        <v>41760</v>
      </c>
      <c r="B143" s="3">
        <v>53.956229398254202</v>
      </c>
    </row>
    <row r="144" spans="1:2" x14ac:dyDescent="0.2">
      <c r="A144" s="2">
        <v>41791</v>
      </c>
      <c r="B144" s="3">
        <v>53.332054998804701</v>
      </c>
    </row>
    <row r="145" spans="1:2" x14ac:dyDescent="0.2">
      <c r="A145" s="2">
        <v>41821</v>
      </c>
      <c r="B145" s="3">
        <v>54.753248698735099</v>
      </c>
    </row>
    <row r="146" spans="1:2" x14ac:dyDescent="0.2">
      <c r="A146" s="2">
        <v>41852</v>
      </c>
      <c r="B146" s="3">
        <v>56.390867178830199</v>
      </c>
    </row>
    <row r="147" spans="1:2" x14ac:dyDescent="0.2">
      <c r="A147" s="2">
        <v>41883</v>
      </c>
      <c r="B147" s="3">
        <v>57.298541725858399</v>
      </c>
    </row>
    <row r="148" spans="1:2" x14ac:dyDescent="0.2">
      <c r="A148" s="2">
        <v>41913</v>
      </c>
      <c r="B148" s="3">
        <v>58.5179627874654</v>
      </c>
    </row>
    <row r="149" spans="1:2" x14ac:dyDescent="0.2">
      <c r="A149" s="2">
        <v>41944</v>
      </c>
      <c r="B149" s="3">
        <v>54.617724905754102</v>
      </c>
    </row>
    <row r="150" spans="1:2" x14ac:dyDescent="0.2">
      <c r="A150" s="2">
        <v>41974</v>
      </c>
      <c r="B150" s="3">
        <v>56.651751484174397</v>
      </c>
    </row>
    <row r="151" spans="1:2" x14ac:dyDescent="0.2">
      <c r="A151" s="2">
        <v>42005</v>
      </c>
      <c r="B151" s="3">
        <v>51.560748726156199</v>
      </c>
    </row>
    <row r="152" spans="1:2" x14ac:dyDescent="0.2">
      <c r="A152" s="2">
        <v>42036</v>
      </c>
      <c r="B152" s="3">
        <v>56.685992642344303</v>
      </c>
    </row>
    <row r="153" spans="1:2" x14ac:dyDescent="0.2">
      <c r="A153" s="2">
        <v>42064</v>
      </c>
      <c r="B153" s="3">
        <v>54.7822942728314</v>
      </c>
    </row>
    <row r="154" spans="1:2" x14ac:dyDescent="0.2">
      <c r="A154" s="2">
        <v>42095</v>
      </c>
      <c r="B154" s="3">
        <v>52.337448703873399</v>
      </c>
    </row>
    <row r="155" spans="1:2" x14ac:dyDescent="0.2">
      <c r="A155" s="2">
        <v>42125</v>
      </c>
      <c r="B155" s="3">
        <v>51.445669244171299</v>
      </c>
    </row>
    <row r="156" spans="1:2" x14ac:dyDescent="0.2">
      <c r="A156" s="2">
        <v>42156</v>
      </c>
      <c r="B156" s="3">
        <v>55.1807836368314</v>
      </c>
    </row>
    <row r="157" spans="1:2" x14ac:dyDescent="0.2">
      <c r="A157" s="2">
        <v>42186</v>
      </c>
      <c r="B157" s="3">
        <v>54.381444828161598</v>
      </c>
    </row>
    <row r="158" spans="1:2" x14ac:dyDescent="0.2">
      <c r="A158" s="2">
        <v>42217</v>
      </c>
      <c r="B158" s="3">
        <v>54.870796907468197</v>
      </c>
    </row>
    <row r="159" spans="1:2" x14ac:dyDescent="0.2">
      <c r="A159" s="2">
        <v>42248</v>
      </c>
      <c r="B159" s="3">
        <v>54.096709865768197</v>
      </c>
    </row>
    <row r="160" spans="1:2" x14ac:dyDescent="0.2">
      <c r="A160" s="2">
        <v>42278</v>
      </c>
      <c r="B160" s="3">
        <v>53.140695996963103</v>
      </c>
    </row>
    <row r="161" spans="1:2" x14ac:dyDescent="0.2">
      <c r="A161" s="2">
        <v>42309</v>
      </c>
      <c r="B161" s="3">
        <v>55.032635885992697</v>
      </c>
    </row>
    <row r="162" spans="1:2" x14ac:dyDescent="0.2">
      <c r="A162" s="2">
        <v>42339</v>
      </c>
      <c r="B162" s="3">
        <v>56.985602727074799</v>
      </c>
    </row>
    <row r="163" spans="1:2" x14ac:dyDescent="0.2">
      <c r="A163" s="2">
        <v>42370</v>
      </c>
      <c r="B163" s="3">
        <v>59.789243036004997</v>
      </c>
    </row>
    <row r="164" spans="1:2" x14ac:dyDescent="0.2">
      <c r="A164" s="2">
        <v>42401</v>
      </c>
      <c r="B164" s="3">
        <v>56.078910394119397</v>
      </c>
    </row>
    <row r="165" spans="1:2" x14ac:dyDescent="0.2">
      <c r="A165" s="2">
        <v>42430</v>
      </c>
      <c r="B165" s="3">
        <v>54.178654064476802</v>
      </c>
    </row>
    <row r="166" spans="1:2" x14ac:dyDescent="0.2">
      <c r="A166" s="2">
        <v>42461</v>
      </c>
      <c r="B166" s="3">
        <v>56.546320970312202</v>
      </c>
    </row>
    <row r="167" spans="1:2" x14ac:dyDescent="0.2">
      <c r="A167" s="2">
        <v>42491</v>
      </c>
      <c r="B167" s="3">
        <v>56.327478347796301</v>
      </c>
    </row>
    <row r="168" spans="1:2" x14ac:dyDescent="0.2">
      <c r="A168" s="2">
        <v>42522</v>
      </c>
      <c r="B168" s="3">
        <v>57.559793008442902</v>
      </c>
    </row>
    <row r="169" spans="1:2" x14ac:dyDescent="0.2">
      <c r="A169" s="2">
        <v>42552</v>
      </c>
      <c r="B169" s="3">
        <v>55.949978197804803</v>
      </c>
    </row>
    <row r="170" spans="1:2" x14ac:dyDescent="0.2">
      <c r="A170" s="2">
        <v>42583</v>
      </c>
      <c r="B170" s="3">
        <v>54.647059284907002</v>
      </c>
    </row>
    <row r="171" spans="1:2" x14ac:dyDescent="0.2">
      <c r="A171" s="2">
        <v>42614</v>
      </c>
      <c r="B171" s="3">
        <v>57.200032269804097</v>
      </c>
    </row>
    <row r="172" spans="1:2" x14ac:dyDescent="0.2">
      <c r="A172" s="2">
        <v>42644</v>
      </c>
      <c r="B172" s="3">
        <v>54.770169462479103</v>
      </c>
    </row>
    <row r="173" spans="1:2" x14ac:dyDescent="0.2">
      <c r="A173" s="2">
        <v>42675</v>
      </c>
      <c r="B173" s="3">
        <v>54.294699659706197</v>
      </c>
    </row>
    <row r="174" spans="1:2" x14ac:dyDescent="0.2">
      <c r="A174" s="2">
        <v>42705</v>
      </c>
      <c r="B174" s="3">
        <v>54.632850303643103</v>
      </c>
    </row>
    <row r="175" spans="1:2" x14ac:dyDescent="0.2">
      <c r="A175" s="2">
        <v>42736</v>
      </c>
      <c r="B175" s="3">
        <v>53.201234556972999</v>
      </c>
    </row>
    <row r="176" spans="1:2" x14ac:dyDescent="0.2">
      <c r="A176" s="2">
        <v>42767</v>
      </c>
      <c r="B176" s="3">
        <v>56.052093803738103</v>
      </c>
    </row>
    <row r="177" spans="1:2" x14ac:dyDescent="0.2">
      <c r="A177" s="2">
        <v>42795</v>
      </c>
      <c r="B177" s="3">
        <v>58.722829092940202</v>
      </c>
    </row>
    <row r="178" spans="1:2" x14ac:dyDescent="0.2">
      <c r="A178" s="2">
        <v>42826</v>
      </c>
      <c r="B178" s="3">
        <v>56.591209988029298</v>
      </c>
    </row>
    <row r="179" spans="1:2" x14ac:dyDescent="0.2">
      <c r="A179" s="2">
        <v>42856</v>
      </c>
      <c r="B179" s="3">
        <v>57.6796522807713</v>
      </c>
    </row>
    <row r="180" spans="1:2" x14ac:dyDescent="0.2">
      <c r="A180" s="2">
        <v>42887</v>
      </c>
      <c r="B180" s="3">
        <v>55.908061806319601</v>
      </c>
    </row>
    <row r="181" spans="1:2" x14ac:dyDescent="0.2">
      <c r="A181" s="2">
        <v>42917</v>
      </c>
      <c r="B181" s="3">
        <v>55.831645577076003</v>
      </c>
    </row>
    <row r="182" spans="1:2" x14ac:dyDescent="0.2">
      <c r="A182" s="2">
        <v>42948</v>
      </c>
      <c r="B182" s="3">
        <v>57.887533658349597</v>
      </c>
    </row>
    <row r="183" spans="1:2" x14ac:dyDescent="0.2">
      <c r="A183" s="2">
        <v>42979</v>
      </c>
      <c r="B183" s="3">
        <v>57.5865651905984</v>
      </c>
    </row>
    <row r="184" spans="1:2" x14ac:dyDescent="0.2">
      <c r="A184" s="2">
        <v>43009</v>
      </c>
      <c r="B184" s="3">
        <v>56.831431477817098</v>
      </c>
    </row>
    <row r="185" spans="1:2" x14ac:dyDescent="0.2">
      <c r="A185" s="2">
        <v>43040</v>
      </c>
      <c r="B185" s="3">
        <v>57.427575830614998</v>
      </c>
    </row>
    <row r="186" spans="1:2" x14ac:dyDescent="0.2">
      <c r="A186" s="2">
        <v>43070</v>
      </c>
      <c r="B186" s="3">
        <v>50.964893006040199</v>
      </c>
    </row>
    <row r="187" spans="1:2" x14ac:dyDescent="0.2">
      <c r="A187" s="2">
        <v>43101</v>
      </c>
      <c r="B187" s="3">
        <v>55.399130043972598</v>
      </c>
    </row>
    <row r="188" spans="1:2" x14ac:dyDescent="0.2">
      <c r="A188" s="2">
        <v>43132</v>
      </c>
      <c r="B188" s="3">
        <v>53.452875132901703</v>
      </c>
    </row>
    <row r="189" spans="1:2" x14ac:dyDescent="0.2">
      <c r="A189" s="2">
        <v>43160</v>
      </c>
      <c r="B189" s="3">
        <v>53.138892832554802</v>
      </c>
    </row>
    <row r="190" spans="1:2" x14ac:dyDescent="0.2">
      <c r="A190" s="2">
        <v>43191</v>
      </c>
      <c r="B190" s="3">
        <v>59.203530801353899</v>
      </c>
    </row>
    <row r="191" spans="1:2" x14ac:dyDescent="0.2">
      <c r="A191" s="2">
        <v>43221</v>
      </c>
      <c r="B191" s="3">
        <v>54.328230091142899</v>
      </c>
    </row>
    <row r="192" spans="1:2" x14ac:dyDescent="0.2">
      <c r="A192" s="2">
        <v>43252</v>
      </c>
      <c r="B192" s="3">
        <v>52.724539725642202</v>
      </c>
    </row>
    <row r="193" spans="1:2" x14ac:dyDescent="0.2">
      <c r="A193" s="2">
        <v>43282</v>
      </c>
      <c r="B193" s="3">
        <v>51.2462636215065</v>
      </c>
    </row>
    <row r="194" spans="1:2" x14ac:dyDescent="0.2">
      <c r="A194" s="2">
        <v>43313</v>
      </c>
      <c r="B194" s="3">
        <v>52.132210597352199</v>
      </c>
    </row>
    <row r="195" spans="1:2" x14ac:dyDescent="0.2">
      <c r="A195" s="2">
        <v>43344</v>
      </c>
      <c r="B195" s="3">
        <v>51.870945765782103</v>
      </c>
    </row>
    <row r="196" spans="1:2" x14ac:dyDescent="0.2">
      <c r="A196" s="2">
        <v>43374</v>
      </c>
      <c r="B196" s="3">
        <v>53.5</v>
      </c>
    </row>
    <row r="197" spans="1:2" x14ac:dyDescent="0.2">
      <c r="A197" s="2">
        <v>43405</v>
      </c>
      <c r="B197" s="3">
        <v>53.5</v>
      </c>
    </row>
    <row r="198" spans="1:2" x14ac:dyDescent="0.2">
      <c r="A198" s="2">
        <v>43435</v>
      </c>
      <c r="B198" s="3">
        <v>55.1</v>
      </c>
    </row>
    <row r="199" spans="1:2" x14ac:dyDescent="0.2">
      <c r="A199" s="2">
        <v>43466</v>
      </c>
      <c r="B199" s="3">
        <v>53.1</v>
      </c>
    </row>
    <row r="200" spans="1:2" x14ac:dyDescent="0.2">
      <c r="A200" s="2">
        <v>43497</v>
      </c>
      <c r="B200" s="3">
        <v>53.4</v>
      </c>
    </row>
    <row r="201" spans="1:2" x14ac:dyDescent="0.2">
      <c r="A201" s="2">
        <v>43525</v>
      </c>
      <c r="B201" s="3">
        <v>51.9</v>
      </c>
    </row>
    <row r="202" spans="1:2" x14ac:dyDescent="0.2">
      <c r="A202" s="2">
        <v>43556</v>
      </c>
      <c r="B202" s="3">
        <v>52.7</v>
      </c>
    </row>
    <row r="203" spans="1:2" x14ac:dyDescent="0.2">
      <c r="A203" s="2">
        <v>43586</v>
      </c>
      <c r="B203" s="3">
        <v>50.2</v>
      </c>
    </row>
    <row r="204" spans="1:2" x14ac:dyDescent="0.2">
      <c r="A204" s="2">
        <v>43617</v>
      </c>
      <c r="B204" s="3">
        <v>51.3</v>
      </c>
    </row>
    <row r="205" spans="1:2" x14ac:dyDescent="0.2">
      <c r="A205" s="2">
        <v>43647</v>
      </c>
      <c r="B205" s="3">
        <v>48.1</v>
      </c>
    </row>
    <row r="206" spans="1:2" x14ac:dyDescent="0.2">
      <c r="A206" s="2">
        <v>43678</v>
      </c>
      <c r="B206" s="3">
        <v>48.4</v>
      </c>
    </row>
    <row r="207" spans="1:2" x14ac:dyDescent="0.2">
      <c r="A207" s="2">
        <v>43709</v>
      </c>
      <c r="B207" s="3">
        <v>48.4</v>
      </c>
    </row>
    <row r="208" spans="1:2" x14ac:dyDescent="0.2">
      <c r="A208" s="2">
        <v>43739</v>
      </c>
      <c r="B208" s="3">
        <v>52.6</v>
      </c>
    </row>
    <row r="209" spans="1:2" x14ac:dyDescent="0.2">
      <c r="A209" s="2">
        <v>43770</v>
      </c>
      <c r="B209" s="3">
        <v>51.4</v>
      </c>
    </row>
    <row r="210" spans="1:2" x14ac:dyDescent="0.2">
      <c r="A210" s="2">
        <v>43800</v>
      </c>
      <c r="B210" s="3">
        <v>49.3</v>
      </c>
    </row>
    <row r="211" spans="1:2" x14ac:dyDescent="0.2">
      <c r="A211" s="2">
        <v>43831</v>
      </c>
      <c r="B211" s="3">
        <v>49.6</v>
      </c>
    </row>
    <row r="212" spans="1:2" x14ac:dyDescent="0.2">
      <c r="A212" s="2">
        <v>43862</v>
      </c>
      <c r="B212" s="3">
        <v>53.2</v>
      </c>
    </row>
    <row r="213" spans="1:2" x14ac:dyDescent="0.2">
      <c r="A213" s="2">
        <v>43891</v>
      </c>
      <c r="B213" s="3">
        <v>38</v>
      </c>
    </row>
    <row r="214" spans="1:2" x14ac:dyDescent="0.2">
      <c r="A214" s="2">
        <v>43922</v>
      </c>
      <c r="B214" s="3">
        <v>26.1</v>
      </c>
    </row>
    <row r="215" spans="1:2" x14ac:dyDescent="0.2">
      <c r="A215" s="2">
        <v>43952</v>
      </c>
      <c r="B215" s="3">
        <v>39.700000000000003</v>
      </c>
    </row>
    <row r="216" spans="1:2" x14ac:dyDescent="0.2">
      <c r="A216" s="2">
        <v>43983</v>
      </c>
      <c r="B216" s="3">
        <v>56.3</v>
      </c>
    </row>
    <row r="217" spans="1:2" x14ac:dyDescent="0.2">
      <c r="A217" s="2">
        <v>44013</v>
      </c>
      <c r="B217" s="3">
        <v>59</v>
      </c>
    </row>
    <row r="218" spans="1:2" x14ac:dyDescent="0.2">
      <c r="A218" s="2">
        <v>44044</v>
      </c>
      <c r="B218" s="3">
        <v>51</v>
      </c>
    </row>
    <row r="219" spans="1:2" x14ac:dyDescent="0.2">
      <c r="A219" s="2">
        <v>44075</v>
      </c>
      <c r="B219" s="3">
        <v>54</v>
      </c>
    </row>
    <row r="220" spans="1:2" x14ac:dyDescent="0.2">
      <c r="A220" s="2">
        <v>44105</v>
      </c>
      <c r="B220" s="3">
        <v>51.7</v>
      </c>
    </row>
    <row r="221" spans="1:2" x14ac:dyDescent="0.2">
      <c r="A221" s="2">
        <v>44136</v>
      </c>
      <c r="B221" s="3">
        <v>55.3</v>
      </c>
    </row>
    <row r="222" spans="1:2" x14ac:dyDescent="0.2">
      <c r="A222" s="2">
        <v>44166</v>
      </c>
      <c r="B222" s="3">
        <v>48.7</v>
      </c>
    </row>
    <row r="223" spans="1:2" x14ac:dyDescent="0.2">
      <c r="A223" s="2">
        <v>44197</v>
      </c>
      <c r="B223" s="3">
        <v>58.05</v>
      </c>
    </row>
    <row r="224" spans="1:2" x14ac:dyDescent="0.2">
      <c r="A224" s="2">
        <v>44228</v>
      </c>
      <c r="B224" s="3">
        <v>54.21</v>
      </c>
    </row>
    <row r="225" spans="1:2" x14ac:dyDescent="0.2">
      <c r="A225" s="2">
        <v>44256</v>
      </c>
      <c r="B225" s="3">
        <v>63.6</v>
      </c>
    </row>
    <row r="226" spans="1:2" x14ac:dyDescent="0.2">
      <c r="A226" s="2">
        <v>44287</v>
      </c>
      <c r="B226" s="3">
        <v>58.3</v>
      </c>
    </row>
    <row r="227" spans="1:2" x14ac:dyDescent="0.2">
      <c r="A227" s="2">
        <v>44317</v>
      </c>
      <c r="B227" s="3">
        <v>58.6</v>
      </c>
    </row>
    <row r="228" spans="1:2" x14ac:dyDescent="0.2">
      <c r="A228" s="2">
        <v>44348</v>
      </c>
      <c r="B228" s="3">
        <v>60.9</v>
      </c>
    </row>
    <row r="229" spans="1:2" x14ac:dyDescent="0.2">
      <c r="A229" s="2">
        <v>44378</v>
      </c>
      <c r="B229" s="3">
        <v>62.2</v>
      </c>
    </row>
    <row r="230" spans="1:2" x14ac:dyDescent="0.2">
      <c r="A230" s="2">
        <v>44409</v>
      </c>
      <c r="B230" s="3">
        <v>39.700000000000003</v>
      </c>
    </row>
    <row r="231" spans="1:2" x14ac:dyDescent="0.2">
      <c r="A231" s="2">
        <v>44440</v>
      </c>
      <c r="B231" s="3">
        <v>51.4</v>
      </c>
    </row>
    <row r="232" spans="1:2" x14ac:dyDescent="0.2">
      <c r="A232" s="2">
        <v>44470</v>
      </c>
      <c r="B232" s="3">
        <v>54.3</v>
      </c>
    </row>
    <row r="233" spans="1:2" x14ac:dyDescent="0.2">
      <c r="A233" s="2">
        <v>44501</v>
      </c>
      <c r="B233" s="3">
        <v>50.6</v>
      </c>
    </row>
  </sheetData>
  <conditionalFormatting sqref="B91:B23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DB Country PMI</vt:lpstr>
      <vt:lpstr>Global</vt:lpstr>
      <vt:lpstr>US</vt:lpstr>
      <vt:lpstr>China</vt:lpstr>
      <vt:lpstr>EuroArea</vt:lpstr>
      <vt:lpstr>Japan</vt:lpstr>
      <vt:lpstr>Germany</vt:lpstr>
      <vt:lpstr>France</vt:lpstr>
      <vt:lpstr>UK</vt:lpstr>
      <vt:lpstr>Italy</vt:lpstr>
      <vt:lpstr>Spain</vt:lpstr>
      <vt:lpstr>Brazil</vt:lpstr>
      <vt:lpstr>Mexico</vt:lpstr>
      <vt:lpstr>Russia</vt:lpstr>
      <vt:lpstr>India</vt:lpstr>
      <vt:lpstr>Canada</vt:lpstr>
      <vt:lpstr>Australia</vt:lpstr>
      <vt:lpstr>Indonesia</vt:lpstr>
      <vt:lpstr>SouthKorea</vt:lpstr>
      <vt:lpstr>Taiwan</vt:lpstr>
      <vt:lpstr>Greece</vt:lpstr>
      <vt:lpstr>Ireland</vt:lpstr>
      <vt:lpstr>Turkey</vt:lpstr>
      <vt:lpstr>CzechRepublic</vt:lpstr>
      <vt:lpstr>Poland</vt:lpstr>
      <vt:lpstr>Denmark</vt:lpstr>
      <vt:lpstr>Vietnam</vt:lpstr>
      <vt:lpstr>Thailand</vt:lpstr>
      <vt:lpstr>SouthAfrica</vt:lpstr>
      <vt:lpstr>HongKong</vt:lpstr>
      <vt:lpstr>SaudiArabia</vt:lpstr>
      <vt:lpstr>NewZealand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2019-09-18T11:19:06Z</dcterms:created>
  <dcterms:modified xsi:type="dcterms:W3CDTF">2022-01-31T14:50:34Z</dcterms:modified>
</cp:coreProperties>
</file>