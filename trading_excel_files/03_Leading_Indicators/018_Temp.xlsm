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3_Leading_Indicators/"/>
    </mc:Choice>
  </mc:AlternateContent>
  <xr:revisionPtr revIDLastSave="0" documentId="13_ncr:1_{08232A83-3273-D344-98AF-C8FADB5B2B71}" xr6:coauthVersionLast="47" xr6:coauthVersionMax="47" xr10:uidLastSave="{00000000-0000-0000-0000-000000000000}"/>
  <bookViews>
    <workbookView xWindow="-46200" yWindow="80" windowWidth="46200" windowHeight="27120" tabRatio="804" activeTab="4" xr2:uid="{A6828C6A-7CD9-42C6-9C84-D3A2E245D2D3}"/>
  </bookViews>
  <sheets>
    <sheet name="DB Country PMI" sheetId="39" r:id="rId1"/>
    <sheet name="Global" sheetId="2" r:id="rId2"/>
    <sheet name="US" sheetId="10" r:id="rId3"/>
    <sheet name="China" sheetId="22" r:id="rId4"/>
    <sheet name="EuroArea" sheetId="13" r:id="rId5"/>
    <sheet name="Japan" sheetId="17" r:id="rId6"/>
    <sheet name="Germany" sheetId="14" r:id="rId7"/>
    <sheet name="France" sheetId="15" r:id="rId8"/>
    <sheet name="UK" sheetId="11" r:id="rId9"/>
    <sheet name="Italy" sheetId="16" r:id="rId10"/>
    <sheet name="Spain" sheetId="19" r:id="rId11"/>
    <sheet name="Brazil" sheetId="23" r:id="rId12"/>
    <sheet name="Mexico" sheetId="25" r:id="rId13"/>
    <sheet name="Russia" sheetId="24" r:id="rId14"/>
    <sheet name="India" sheetId="30" r:id="rId15"/>
    <sheet name="Canada" sheetId="8" r:id="rId16"/>
    <sheet name="Australia" sheetId="26" r:id="rId17"/>
    <sheet name="Indonesia" sheetId="29" r:id="rId18"/>
    <sheet name="SouthKorea" sheetId="28" r:id="rId19"/>
    <sheet name="Taiwan" sheetId="32" r:id="rId20"/>
    <sheet name="Greece" sheetId="20" r:id="rId21"/>
    <sheet name="Ireland" sheetId="21" r:id="rId22"/>
    <sheet name="Turkey" sheetId="33" r:id="rId23"/>
    <sheet name="CzechRepublic" sheetId="34" r:id="rId24"/>
    <sheet name="Poland" sheetId="35" r:id="rId25"/>
    <sheet name="Denmark" sheetId="3" r:id="rId26"/>
    <sheet name="Vietnam" sheetId="4" r:id="rId27"/>
    <sheet name="Thailand" sheetId="5" r:id="rId28"/>
    <sheet name="SouthAfrica" sheetId="6" r:id="rId29"/>
    <sheet name="HongKong" sheetId="7" r:id="rId30"/>
    <sheet name="SaudiArabia" sheetId="9" r:id="rId31"/>
    <sheet name="NewZealand" sheetId="31" r:id="rId3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34" i="28" l="1"/>
  <c r="C205" i="22"/>
  <c r="E205" i="22"/>
  <c r="C133" i="28"/>
  <c r="C204" i="22"/>
  <c r="E204" i="22"/>
  <c r="C132" i="28"/>
  <c r="C203" i="22"/>
  <c r="E203" i="22"/>
  <c r="C131" i="28"/>
  <c r="C202" i="22"/>
  <c r="E202" i="22"/>
  <c r="C130" i="28"/>
  <c r="C201" i="22"/>
  <c r="E201" i="22"/>
  <c r="C129" i="28"/>
  <c r="C200" i="22"/>
  <c r="E200" i="22"/>
  <c r="C128" i="28"/>
  <c r="C199" i="22"/>
  <c r="E199" i="22"/>
  <c r="C127" i="28"/>
  <c r="C198" i="22"/>
  <c r="E198" i="22"/>
  <c r="C126" i="28"/>
  <c r="C197" i="22"/>
  <c r="E197" i="22"/>
  <c r="C125" i="28"/>
  <c r="C196" i="22"/>
  <c r="E196" i="22"/>
  <c r="C124" i="28" l="1"/>
  <c r="C195" i="22"/>
  <c r="E195" i="22"/>
  <c r="C123" i="28" l="1"/>
  <c r="C194" i="22"/>
  <c r="E194" i="22"/>
  <c r="C122" i="28"/>
  <c r="C193" i="22"/>
  <c r="E193" i="22"/>
  <c r="C121" i="28" l="1"/>
  <c r="C192" i="22"/>
  <c r="E192" i="22"/>
  <c r="C120" i="28" l="1"/>
  <c r="C191" i="22"/>
  <c r="E191" i="22"/>
  <c r="C119" i="28" l="1"/>
  <c r="C190" i="22"/>
  <c r="E190" i="22"/>
  <c r="C118" i="28" l="1"/>
  <c r="C189" i="22"/>
  <c r="E189" i="22"/>
  <c r="C117" i="28" l="1"/>
  <c r="C188" i="22"/>
  <c r="E188" i="22"/>
  <c r="C116" i="28" l="1"/>
  <c r="C187" i="22"/>
  <c r="E187" i="22"/>
  <c r="C115" i="28" l="1"/>
  <c r="C186" i="22"/>
  <c r="E186" i="22"/>
  <c r="C114" i="28" l="1"/>
  <c r="C185" i="22"/>
  <c r="E185" i="22"/>
  <c r="C113" i="28" l="1"/>
  <c r="C184" i="22"/>
  <c r="E184" i="22"/>
  <c r="C112" i="28" l="1"/>
  <c r="C183" i="22"/>
  <c r="E183" i="22"/>
  <c r="C110" i="28" l="1"/>
  <c r="C111" i="28"/>
  <c r="C181" i="22"/>
  <c r="E181" i="22"/>
  <c r="C182" i="22"/>
  <c r="E182" i="22"/>
  <c r="C107" i="28" l="1"/>
  <c r="C108" i="28"/>
  <c r="C109" i="28"/>
  <c r="C178" i="22"/>
  <c r="E178" i="22"/>
  <c r="C179" i="22"/>
  <c r="E179" i="22"/>
  <c r="C180" i="22"/>
  <c r="E180" i="22"/>
  <c r="C103" i="28" l="1"/>
  <c r="C104" i="28"/>
  <c r="C105" i="28"/>
  <c r="C106" i="28"/>
  <c r="C102" i="28"/>
  <c r="C101" i="28"/>
  <c r="C100" i="28"/>
  <c r="C99" i="28"/>
  <c r="C98" i="28"/>
  <c r="C97" i="28"/>
  <c r="C96" i="28"/>
  <c r="C95" i="28"/>
  <c r="C94" i="28"/>
  <c r="C93" i="28"/>
  <c r="C92" i="28"/>
  <c r="C91" i="28"/>
  <c r="C90" i="28"/>
  <c r="C89" i="28"/>
  <c r="C88" i="28"/>
  <c r="C87" i="28"/>
  <c r="C86" i="28"/>
  <c r="C85" i="28"/>
  <c r="C84" i="28"/>
  <c r="C83" i="28"/>
  <c r="C82" i="28"/>
  <c r="C81" i="28"/>
  <c r="C80" i="28"/>
  <c r="C79" i="28"/>
  <c r="C78" i="28"/>
  <c r="C77" i="28"/>
  <c r="C76" i="28"/>
  <c r="C75" i="28"/>
  <c r="C74" i="28"/>
  <c r="C73" i="28"/>
  <c r="C72" i="28"/>
  <c r="C71" i="28"/>
  <c r="C70" i="28"/>
  <c r="C69" i="28"/>
  <c r="C68" i="28"/>
  <c r="C67" i="28"/>
  <c r="C66" i="28"/>
  <c r="C65" i="28"/>
  <c r="C64" i="28"/>
  <c r="C63" i="28"/>
  <c r="C62" i="28"/>
  <c r="C61" i="28"/>
  <c r="C60" i="28"/>
  <c r="C59" i="28"/>
  <c r="C58" i="28"/>
  <c r="C57" i="28"/>
  <c r="C56" i="28"/>
  <c r="C55" i="28"/>
  <c r="C54" i="28"/>
  <c r="C53" i="28"/>
  <c r="C52" i="28"/>
  <c r="C51" i="28"/>
  <c r="C50" i="28"/>
  <c r="C49" i="28"/>
  <c r="C48" i="28"/>
  <c r="C47" i="28"/>
  <c r="C46" i="28"/>
  <c r="C45" i="28"/>
  <c r="C44" i="28"/>
  <c r="C43" i="28"/>
  <c r="C42" i="28"/>
  <c r="C41" i="28"/>
  <c r="C40" i="28"/>
  <c r="C39" i="28"/>
  <c r="C38" i="28"/>
  <c r="C37" i="28"/>
  <c r="C36" i="28"/>
  <c r="C35" i="28"/>
  <c r="C34" i="28"/>
  <c r="C33" i="28"/>
  <c r="C32" i="28"/>
  <c r="C31" i="28"/>
  <c r="C30" i="28"/>
  <c r="C29" i="28"/>
  <c r="C28" i="28"/>
  <c r="C27" i="28"/>
  <c r="C26" i="28"/>
  <c r="C25" i="28"/>
  <c r="C24" i="28"/>
  <c r="C23" i="28"/>
  <c r="C22" i="28"/>
  <c r="C21" i="28"/>
  <c r="C20" i="28"/>
  <c r="C19" i="28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4" i="28"/>
  <c r="C3" i="28"/>
  <c r="E3" i="22"/>
  <c r="E4" i="22"/>
  <c r="E5" i="22"/>
  <c r="E6" i="22"/>
  <c r="E7" i="22"/>
  <c r="E8" i="22"/>
  <c r="E9" i="22"/>
  <c r="E10" i="22"/>
  <c r="E11" i="22"/>
  <c r="E12" i="22"/>
  <c r="E13" i="22"/>
  <c r="E14" i="22"/>
  <c r="E15" i="22"/>
  <c r="E16" i="22"/>
  <c r="E17" i="22"/>
  <c r="E18" i="22"/>
  <c r="E19" i="22"/>
  <c r="E20" i="22"/>
  <c r="E21" i="22"/>
  <c r="E22" i="22"/>
  <c r="E23" i="22"/>
  <c r="E24" i="22"/>
  <c r="E25" i="22"/>
  <c r="E26" i="22"/>
  <c r="E27" i="22"/>
  <c r="E28" i="22"/>
  <c r="E29" i="22"/>
  <c r="E30" i="22"/>
  <c r="E31" i="22"/>
  <c r="E32" i="22"/>
  <c r="E33" i="22"/>
  <c r="E34" i="22"/>
  <c r="E35" i="22"/>
  <c r="E36" i="22"/>
  <c r="E37" i="22"/>
  <c r="E38" i="22"/>
  <c r="E39" i="22"/>
  <c r="E40" i="22"/>
  <c r="E41" i="22"/>
  <c r="E42" i="22"/>
  <c r="E43" i="22"/>
  <c r="E44" i="22"/>
  <c r="E45" i="22"/>
  <c r="E46" i="22"/>
  <c r="E47" i="22"/>
  <c r="E48" i="22"/>
  <c r="E49" i="22"/>
  <c r="E50" i="22"/>
  <c r="E51" i="22"/>
  <c r="E52" i="22"/>
  <c r="E53" i="22"/>
  <c r="E54" i="22"/>
  <c r="E55" i="22"/>
  <c r="E56" i="22"/>
  <c r="E57" i="22"/>
  <c r="E58" i="22"/>
  <c r="E59" i="22"/>
  <c r="E60" i="22"/>
  <c r="E61" i="22"/>
  <c r="E62" i="22"/>
  <c r="E63" i="22"/>
  <c r="E64" i="22"/>
  <c r="E65" i="22"/>
  <c r="E66" i="22"/>
  <c r="E67" i="22"/>
  <c r="E68" i="22"/>
  <c r="E69" i="22"/>
  <c r="E70" i="22"/>
  <c r="E71" i="22"/>
  <c r="E72" i="22"/>
  <c r="E73" i="22"/>
  <c r="E74" i="22"/>
  <c r="E75" i="22"/>
  <c r="E76" i="22"/>
  <c r="E77" i="22"/>
  <c r="E78" i="22"/>
  <c r="E79" i="22"/>
  <c r="E80" i="22"/>
  <c r="E81" i="22"/>
  <c r="E82" i="22"/>
  <c r="E83" i="22"/>
  <c r="E84" i="22"/>
  <c r="E85" i="22"/>
  <c r="E86" i="22"/>
  <c r="E87" i="22"/>
  <c r="E88" i="22"/>
  <c r="E89" i="22"/>
  <c r="E90" i="22"/>
  <c r="E91" i="22"/>
  <c r="E92" i="22"/>
  <c r="E93" i="22"/>
  <c r="E94" i="22"/>
  <c r="E95" i="22"/>
  <c r="E96" i="22"/>
  <c r="E97" i="22"/>
  <c r="E98" i="22"/>
  <c r="E99" i="22"/>
  <c r="E100" i="22"/>
  <c r="E101" i="22"/>
  <c r="E102" i="22"/>
  <c r="E103" i="22"/>
  <c r="E104" i="22"/>
  <c r="E105" i="22"/>
  <c r="E106" i="22"/>
  <c r="E107" i="22"/>
  <c r="E108" i="22"/>
  <c r="E109" i="22"/>
  <c r="E110" i="22"/>
  <c r="E111" i="22"/>
  <c r="E112" i="22"/>
  <c r="E113" i="22"/>
  <c r="E114" i="22"/>
  <c r="E115" i="22"/>
  <c r="E116" i="22"/>
  <c r="E117" i="22"/>
  <c r="E118" i="22"/>
  <c r="E119" i="22"/>
  <c r="E120" i="22"/>
  <c r="E121" i="22"/>
  <c r="E122" i="22"/>
  <c r="E123" i="22"/>
  <c r="E124" i="22"/>
  <c r="E125" i="22"/>
  <c r="E126" i="22"/>
  <c r="E127" i="22"/>
  <c r="E128" i="22"/>
  <c r="E129" i="22"/>
  <c r="E130" i="22"/>
  <c r="E131" i="22"/>
  <c r="E132" i="22"/>
  <c r="E133" i="22"/>
  <c r="E134" i="22"/>
  <c r="E135" i="22"/>
  <c r="E136" i="22"/>
  <c r="E137" i="22"/>
  <c r="E138" i="22"/>
  <c r="E139" i="22"/>
  <c r="E140" i="22"/>
  <c r="E141" i="22"/>
  <c r="E142" i="22"/>
  <c r="E143" i="22"/>
  <c r="E144" i="22"/>
  <c r="E145" i="22"/>
  <c r="E146" i="22"/>
  <c r="E147" i="22"/>
  <c r="E148" i="22"/>
  <c r="E149" i="22"/>
  <c r="E150" i="22"/>
  <c r="E151" i="22"/>
  <c r="E152" i="22"/>
  <c r="E153" i="22"/>
  <c r="E154" i="22"/>
  <c r="E155" i="22"/>
  <c r="E156" i="22"/>
  <c r="E157" i="22"/>
  <c r="E158" i="22"/>
  <c r="E159" i="22"/>
  <c r="E160" i="22"/>
  <c r="E161" i="22"/>
  <c r="E162" i="22"/>
  <c r="E163" i="22"/>
  <c r="E164" i="22"/>
  <c r="E165" i="22"/>
  <c r="E166" i="22"/>
  <c r="E167" i="22"/>
  <c r="E168" i="22"/>
  <c r="E169" i="22"/>
  <c r="E170" i="22"/>
  <c r="E171" i="22"/>
  <c r="E172" i="22"/>
  <c r="E173" i="22"/>
  <c r="E174" i="22"/>
  <c r="E175" i="22"/>
  <c r="E176" i="22"/>
  <c r="E177" i="22"/>
  <c r="C109" i="22" l="1"/>
  <c r="C110" i="22"/>
  <c r="C111" i="22"/>
  <c r="C112" i="22"/>
  <c r="C113" i="22"/>
  <c r="C114" i="22"/>
  <c r="C115" i="22"/>
  <c r="C116" i="22"/>
  <c r="C117" i="22"/>
  <c r="C118" i="22"/>
  <c r="C119" i="22"/>
  <c r="C120" i="22"/>
  <c r="C121" i="22"/>
  <c r="C122" i="22"/>
  <c r="C123" i="22"/>
  <c r="C124" i="22"/>
  <c r="C125" i="22"/>
  <c r="C126" i="22"/>
  <c r="C127" i="22"/>
  <c r="C128" i="22"/>
  <c r="C129" i="22"/>
  <c r="C130" i="22"/>
  <c r="C131" i="22"/>
  <c r="C132" i="22"/>
  <c r="C133" i="22"/>
  <c r="C134" i="22"/>
  <c r="C135" i="22"/>
  <c r="C136" i="22"/>
  <c r="C137" i="22"/>
  <c r="C138" i="22"/>
  <c r="C139" i="22"/>
  <c r="C140" i="22"/>
  <c r="C141" i="22"/>
  <c r="C142" i="22"/>
  <c r="C143" i="22"/>
  <c r="C144" i="22"/>
  <c r="C145" i="22"/>
  <c r="C146" i="22"/>
  <c r="C147" i="22"/>
  <c r="C148" i="22"/>
  <c r="C149" i="22"/>
  <c r="C150" i="22"/>
  <c r="C151" i="22"/>
  <c r="C152" i="22"/>
  <c r="C153" i="22"/>
  <c r="C154" i="22"/>
  <c r="C155" i="22"/>
  <c r="C156" i="22"/>
  <c r="C157" i="22"/>
  <c r="C158" i="22"/>
  <c r="C159" i="22"/>
  <c r="C160" i="22"/>
  <c r="C161" i="22"/>
  <c r="C162" i="22"/>
  <c r="C163" i="22"/>
  <c r="C164" i="22"/>
  <c r="C165" i="22"/>
  <c r="C166" i="22"/>
  <c r="C167" i="22"/>
  <c r="C168" i="22"/>
  <c r="C169" i="22"/>
  <c r="C170" i="22"/>
  <c r="C171" i="22"/>
  <c r="C172" i="22"/>
  <c r="C173" i="22"/>
  <c r="C174" i="22"/>
  <c r="C175" i="22"/>
  <c r="C176" i="22"/>
  <c r="C177" i="22"/>
  <c r="C108" i="22" l="1"/>
  <c r="C107" i="22"/>
  <c r="C106" i="22"/>
  <c r="C105" i="22"/>
  <c r="C104" i="22"/>
  <c r="C103" i="22"/>
  <c r="C102" i="22"/>
  <c r="C101" i="22"/>
  <c r="C100" i="22"/>
  <c r="C99" i="22"/>
  <c r="C98" i="22"/>
  <c r="C97" i="22"/>
  <c r="C96" i="22"/>
  <c r="C95" i="22"/>
  <c r="C94" i="22"/>
  <c r="C93" i="22"/>
  <c r="C92" i="22"/>
  <c r="C91" i="22"/>
  <c r="C90" i="22"/>
  <c r="C89" i="22"/>
  <c r="C88" i="22"/>
  <c r="C87" i="22"/>
  <c r="C86" i="22"/>
  <c r="C85" i="22"/>
  <c r="C84" i="22"/>
  <c r="C83" i="22"/>
  <c r="C82" i="22"/>
  <c r="C81" i="22"/>
  <c r="C80" i="22"/>
  <c r="C79" i="22"/>
  <c r="C78" i="22"/>
  <c r="C77" i="22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61" i="22"/>
  <c r="C60" i="22"/>
  <c r="C59" i="22"/>
  <c r="C58" i="22"/>
  <c r="C57" i="22"/>
  <c r="C56" i="22"/>
  <c r="C55" i="22"/>
  <c r="C54" i="22"/>
  <c r="C53" i="22"/>
  <c r="C52" i="22"/>
  <c r="C51" i="22"/>
  <c r="C50" i="22"/>
  <c r="C49" i="22"/>
  <c r="C48" i="22"/>
  <c r="C47" i="22"/>
  <c r="C46" i="22"/>
  <c r="C45" i="22"/>
  <c r="C44" i="22"/>
  <c r="C43" i="22"/>
  <c r="C42" i="22"/>
  <c r="C41" i="22"/>
  <c r="C40" i="22"/>
  <c r="C39" i="22"/>
  <c r="C38" i="22"/>
  <c r="C37" i="22"/>
  <c r="C3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C9" i="22"/>
  <c r="C8" i="22"/>
  <c r="C7" i="22"/>
  <c r="C6" i="22"/>
  <c r="C5" i="22"/>
  <c r="C4" i="22"/>
  <c r="C3" i="22"/>
</calcChain>
</file>

<file path=xl/sharedStrings.xml><?xml version="1.0" encoding="utf-8"?>
<sst xmlns="http://schemas.openxmlformats.org/spreadsheetml/2006/main" count="70" uniqueCount="38">
  <si>
    <t>Date</t>
  </si>
  <si>
    <t>mom</t>
  </si>
  <si>
    <t>Global</t>
  </si>
  <si>
    <t>Denmark</t>
  </si>
  <si>
    <t>Vietnam</t>
  </si>
  <si>
    <t>Thailand</t>
  </si>
  <si>
    <t>Canada</t>
  </si>
  <si>
    <t>Germany</t>
  </si>
  <si>
    <t>France</t>
  </si>
  <si>
    <t>Italy</t>
  </si>
  <si>
    <t>Spain</t>
  </si>
  <si>
    <t>Greece</t>
  </si>
  <si>
    <t>Ireland</t>
  </si>
  <si>
    <t>Official PMI</t>
  </si>
  <si>
    <t>mom2</t>
  </si>
  <si>
    <t>Caixin PMI</t>
  </si>
  <si>
    <t>Japan</t>
  </si>
  <si>
    <t>Brazil</t>
  </si>
  <si>
    <t>India</t>
  </si>
  <si>
    <t>Russia</t>
  </si>
  <si>
    <t>Mexico</t>
  </si>
  <si>
    <t>Australia</t>
  </si>
  <si>
    <t>Indonesia</t>
  </si>
  <si>
    <t>Taiwan</t>
  </si>
  <si>
    <t>Turkey</t>
  </si>
  <si>
    <t>Poland</t>
  </si>
  <si>
    <t>US</t>
  </si>
  <si>
    <t>UK</t>
  </si>
  <si>
    <t>GDP yoy %</t>
  </si>
  <si>
    <t>Ca</t>
  </si>
  <si>
    <t>SouthKorea</t>
  </si>
  <si>
    <t>T</t>
  </si>
  <si>
    <t>CzechRepublic</t>
  </si>
  <si>
    <t>SouthAfrica</t>
  </si>
  <si>
    <t>HongKong</t>
  </si>
  <si>
    <t>SaudiArabia</t>
  </si>
  <si>
    <t>NewZealand</t>
  </si>
  <si>
    <t>EuroArea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</si>
</sst>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</fills>
  <borders count="10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2" fillId="0" borderId="0"/>
  </cellStyleXfs>
  <cellXfs count="20">
    <xf numFmtId="0" fontId="0" fillId="0" borderId="0" xfId="0"/>
    <xf numFmtId="0" fontId="0" fillId="2" borderId="0" xfId="0" applyFill="1"/>
    <xf numFmtId="0" fontId="0" fillId="2" borderId="0" xfId="0" applyFill="1"/>
    <xf numFmtId="0" fontId="0" fillId="2" borderId="2" xfId="0" applyFill="1" applyBorder="1" applyAlignment="1">
      <alignment horizontal="center"/>
    </xf>
    <xf numFmtId="14" fontId="0" fillId="2" borderId="1" xfId="0" applyNumberForma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14" fontId="0" fillId="2" borderId="5" xfId="0" applyNumberFormat="1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14" fontId="0" fillId="2" borderId="3" xfId="0" applyNumberFormat="1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2" fontId="0" fillId="2" borderId="4" xfId="0" applyNumberFormat="1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2" borderId="2" xfId="0" applyNumberFormat="1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3" borderId="9" xfId="0" applyFill="1" applyBorder="1" applyAlignment="1">
      <alignment horizontal="center"/>
    </xf>
    <xf numFmtId="164" fontId="0" fillId="2" borderId="2" xfId="1" applyNumberFormat="1" applyFont="1" applyFill="1" applyBorder="1" applyAlignment="1">
      <alignment horizontal="center"/>
    </xf>
    <xf numFmtId="0" fontId="0" fillId="3" borderId="7" xfId="0" applyFill="1" applyBorder="1" applyAlignment="1">
      <alignment horizontal="center" wrapText="1"/>
    </xf>
    <xf numFmtId="0" fontId="0" fillId="3" borderId="8" xfId="0" applyFill="1" applyBorder="1" applyAlignment="1">
      <alignment horizontal="center" wrapText="1"/>
    </xf>
    <xf numFmtId="10" fontId="0" fillId="2" borderId="0" xfId="0" applyNumberFormat="1" applyFill="1" applyAlignment="1">
      <alignment horizontal="center"/>
    </xf>
  </cellXfs>
  <cellStyles count="3">
    <cellStyle name="Normal" xfId="0" builtinId="0"/>
    <cellStyle name="Normal 3" xfId="2" xr:uid="{FECC0765-5E06-4356-9C39-E12BCDAA3E3F}"/>
    <cellStyle name="Per cent" xfId="1" builtinId="5"/>
  </cellStyles>
  <dxfs count="222">
    <dxf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dd/mm/yyyy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dd/mm/yyyy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dd/mm/yyyy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dd/mm/yyyy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dd/mm/yyyy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dd/mm/yyyy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dd/mm/yyyy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dd/mm/yyyy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dd/mm/yyyy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dd/mm/yyyy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dd/mm/yyyy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dd/mm/yyyy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dd/mm/yyyy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dd/mm/yyyy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dd/mm/yyyy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dd/mm/yyyy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dd/mm/yyyy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dd/mm/yyyy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dd/mm/yyyy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dd/mm/yyyy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dd/mm/yyyy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dd/mm/yyyy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dd/mm/yyyy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dd/mm/yyyy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dd/mm/yyyy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dd/mm/yyyy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dd/mm/yyyy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dd/mm/yyyy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dd/mm/yyyy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dd/mm/yyyy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dd/mm/yyyy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1CC8E1D-E517-4E19-BE08-5BDF5E15906F}" name="Table1" displayName="Table1" ref="A1:B136" totalsRowShown="0" headerRowDxfId="221" dataDxfId="219" headerRowBorderDxfId="220" tableBorderDxfId="218" totalsRowBorderDxfId="217">
  <autoFilter ref="A1:B136" xr:uid="{BB1EFE81-B1F4-4E9E-B894-93A44851F41D}"/>
  <tableColumns count="2">
    <tableColumn id="1" xr3:uid="{375DDBC9-B934-4FDB-8184-784BF1823141}" name="Date" dataDxfId="216"/>
    <tableColumn id="2" xr3:uid="{E0A48F48-C21D-4E32-90AC-3D87AD2BC0F8}" name="Global" dataDxfId="2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2D0BFE3-6943-416B-B37F-EFB9089D6988}" name="Table1346811" displayName="Table1346811" ref="A1:B136" totalsRowShown="0" headerRowDxfId="214" dataDxfId="212" headerRowBorderDxfId="213" tableBorderDxfId="211" totalsRowBorderDxfId="210">
  <autoFilter ref="A1:B136" xr:uid="{13A09B06-B203-4CEC-87CB-B23BBB61FD67}"/>
  <tableColumns count="2">
    <tableColumn id="1" xr3:uid="{A5A410CD-B2EB-4F57-8D54-D18AA25D208B}" name="Date" dataDxfId="209"/>
    <tableColumn id="2" xr3:uid="{2A2F6C44-BB49-4EB7-BB39-1BFA9CE42B58}" name="US" dataDxfId="20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FA3B4443-1A11-4D13-9D5D-05693B9A0648}" name="Table1346811121415161718192021" displayName="Table1346811121415161718192021" ref="A1:F205" totalsRowShown="0" headerRowDxfId="207" dataDxfId="205" headerRowBorderDxfId="206" tableBorderDxfId="204" totalsRowBorderDxfId="203">
  <autoFilter ref="A1:F205" xr:uid="{ECD7891A-C376-4459-999D-D76A048C4A96}"/>
  <tableColumns count="6">
    <tableColumn id="1" xr3:uid="{EF9236EE-2B8B-460A-849A-3DA8DF7B294A}" name="Date" dataDxfId="202"/>
    <tableColumn id="2" xr3:uid="{910CD69E-F22C-44FA-9F43-D78397D22E0D}" name="Caixin PMI" dataDxfId="201"/>
    <tableColumn id="3" xr3:uid="{5A1BB468-3444-472A-9BD3-18F8622421BD}" name="mom" dataDxfId="200">
      <calculatedColumnFormula>Table1346811121415161718192021[[#This Row],[Caixin PMI]]-B1</calculatedColumnFormula>
    </tableColumn>
    <tableColumn id="4" xr3:uid="{980F1FA8-D5B5-4E93-8CFF-7DCD0BCDA0BF}" name="Official PMI" dataDxfId="199"/>
    <tableColumn id="5" xr3:uid="{41F5F8A7-4DF5-4B01-8271-C208EDE22DF3}" name="mom2" dataDxfId="198">
      <calculatedColumnFormula>Table1346811121415161718192021[[#This Row],[Official PMI]]-D1</calculatedColumnFormula>
    </tableColumn>
    <tableColumn id="6" xr3:uid="{0152CB5A-C079-4EF8-A8CD-4FFFF5D296BC}" name="GDP yoy %" dataDxfId="19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6386A1A-16B8-485A-8FFB-40F6B6FF92BA}" name="Table13468111214" displayName="Table13468111214" ref="A1:B206" totalsRowShown="0" headerRowDxfId="196" dataDxfId="194" headerRowBorderDxfId="195" tableBorderDxfId="193" totalsRowBorderDxfId="192">
  <autoFilter ref="A1:B206" xr:uid="{188F38D7-194E-4D45-8354-E276FAC133C4}"/>
  <tableColumns count="2">
    <tableColumn id="1" xr3:uid="{6CEC89DB-1042-4105-B81D-7F6232C5F4FD}" name="Date" dataDxfId="191"/>
    <tableColumn id="2" xr3:uid="{CB702E60-D05A-4AD0-AA67-698F7450B34D}" name="EuroArea" dataDxfId="19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732FAD1-5845-4C78-9F2A-FA599767692E}" name="Table1346811121415161718192022" displayName="Table1346811121415161718192022" ref="A1:B168" totalsRowShown="0" headerRowDxfId="189" dataDxfId="187" headerRowBorderDxfId="188" tableBorderDxfId="186" totalsRowBorderDxfId="185">
  <autoFilter ref="A1:B168" xr:uid="{B3E8F3E9-75F1-4249-ADBE-205D98CC4BE9}"/>
  <tableColumns count="2">
    <tableColumn id="1" xr3:uid="{874F132F-89AC-4AB2-97EC-16DE17F4C33B}" name="Date" dataDxfId="184"/>
    <tableColumn id="2" xr3:uid="{5AE4C849-1BB4-4123-9E15-B01726751781}" name="Japan" dataDxfId="18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8FCF0F23-BF7C-4CF2-B159-7836E2AE12AB}" name="Table1346811121415" displayName="Table1346811121415" ref="A1:B169" totalsRowShown="0" headerRowDxfId="182" dataDxfId="180" headerRowBorderDxfId="181" tableBorderDxfId="179" totalsRowBorderDxfId="178">
  <autoFilter ref="A1:B169" xr:uid="{BB3771FA-351F-4EF7-BE59-37E49C731853}"/>
  <tableColumns count="2">
    <tableColumn id="1" xr3:uid="{37D8480E-6DF7-4E11-BDE5-6E945ABA6264}" name="Date" dataDxfId="177"/>
    <tableColumn id="2" xr3:uid="{1136B509-E3AD-42A2-8155-31DC352768B5}" name="Germany" dataDxfId="17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9462B36-A38C-47C8-9C41-B954F96D3583}" name="Table134681112141516" displayName="Table134681112141516" ref="A1:B162" totalsRowShown="0" headerRowDxfId="175" dataDxfId="173" headerRowBorderDxfId="174" tableBorderDxfId="172" totalsRowBorderDxfId="171">
  <autoFilter ref="A1:B162" xr:uid="{97769344-5CED-49B7-BF0F-61927D04648D}"/>
  <tableColumns count="2">
    <tableColumn id="1" xr3:uid="{6DF1AE20-15D6-42A2-A416-7047FC13FCCC}" name="Date" dataDxfId="170"/>
    <tableColumn id="2" xr3:uid="{BA8A407B-B7D5-43AA-A08B-D399235B2E09}" name="France" dataDxfId="16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EB518CE-CF45-4AE2-90C5-6737CA7A19C9}" name="Table134681112" displayName="Table134681112" ref="A1:B206" totalsRowShown="0" headerRowDxfId="168" dataDxfId="166" headerRowBorderDxfId="167" tableBorderDxfId="165" totalsRowBorderDxfId="164">
  <autoFilter ref="A1:B206" xr:uid="{A1B7C164-C92F-40E5-8973-9FFF501BC357}"/>
  <tableColumns count="2">
    <tableColumn id="1" xr3:uid="{961585DC-39CA-44AE-9E1E-7EB0EC5FCA73}" name="Date" dataDxfId="163"/>
    <tableColumn id="2" xr3:uid="{FFA442BF-5F3F-45B8-999B-2818D65ADC2C}" name="UK" dataDxfId="16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BA806D8-D46C-495C-9A9D-F38C2FEF4844}" name="Table13468111214151617" displayName="Table13468111214151617" ref="A1:B182" totalsRowShown="0" headerRowDxfId="161" dataDxfId="159" headerRowBorderDxfId="160" tableBorderDxfId="158" totalsRowBorderDxfId="157">
  <autoFilter ref="A1:B182" xr:uid="{D7997BE6-99C1-48D6-B80E-0163DEAEE3FB}"/>
  <tableColumns count="2">
    <tableColumn id="1" xr3:uid="{AFA52E59-7AFA-468E-A757-3D0E94ADC97C}" name="Date" dataDxfId="156"/>
    <tableColumn id="2" xr3:uid="{4F88DC6E-D929-42A7-9750-DC8C73CE40AA}" name="Italy" dataDxfId="155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9902CB7-ADB3-4F83-90AD-A77C52C6C27A}" name="Table1346811121415161718" displayName="Table1346811121415161718" ref="A1:B182" totalsRowShown="0" headerRowDxfId="154" dataDxfId="152" headerRowBorderDxfId="153" tableBorderDxfId="151" totalsRowBorderDxfId="150">
  <autoFilter ref="A1:B182" xr:uid="{3DCFB0BF-5279-4416-847F-805133D9CA58}"/>
  <tableColumns count="2">
    <tableColumn id="1" xr3:uid="{0AE84025-0612-49C2-8D8F-FC41511144CA}" name="Date" dataDxfId="149"/>
    <tableColumn id="2" xr3:uid="{A7AF76E7-D0A0-42AB-B931-55C84EA2D2EA}" name="Spain" dataDxfId="148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C38F5348-C235-46D2-93DC-F2E74859F875}" name="Table134681112141516171819202223" displayName="Table134681112141516171819202223" ref="A1:B136" totalsRowShown="0" headerRowDxfId="147" dataDxfId="145" headerRowBorderDxfId="146" tableBorderDxfId="144" totalsRowBorderDxfId="143">
  <autoFilter ref="A1:B136" xr:uid="{914F649D-1A16-4939-A357-622F3F8171E5}"/>
  <tableColumns count="2">
    <tableColumn id="1" xr3:uid="{15443E23-D668-434F-AF2F-A62FCCE53E40}" name="Date" dataDxfId="142"/>
    <tableColumn id="2" xr3:uid="{73A516B3-8163-45A2-95ED-B2159F367B25}" name="Brazil" dataDxfId="141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4A290C69-F11E-472F-8D04-3994D4C6663C}" name="Table13468111214151617181920222526" displayName="Table13468111214151617181920222526" ref="A1:B130" totalsRowShown="0" headerRowDxfId="140" dataDxfId="138" headerRowBorderDxfId="139" tableBorderDxfId="137" totalsRowBorderDxfId="136">
  <autoFilter ref="A1:B130" xr:uid="{8297ED87-1713-4B5F-9066-3961BEC96B29}"/>
  <tableColumns count="2">
    <tableColumn id="1" xr3:uid="{6DBC5F11-398E-463A-8927-17A1C0F99767}" name="Date" dataDxfId="135"/>
    <tableColumn id="2" xr3:uid="{BBB194BC-2E97-47B6-9D61-EC4913440660}" name="Mexico" dataDxfId="134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C359B295-8241-4F7F-B086-DB6271BAD70E}" name="Table134681112141516171819202225" displayName="Table134681112141516171819202225" ref="A1:B136" totalsRowShown="0" headerRowDxfId="133" dataDxfId="131" headerRowBorderDxfId="132" tableBorderDxfId="130" totalsRowBorderDxfId="129">
  <autoFilter ref="A1:B136" xr:uid="{4955EEB6-A91D-4AF0-A9C6-D3D7108DC523}"/>
  <tableColumns count="2">
    <tableColumn id="1" xr3:uid="{3BDC8E1C-6260-487E-9947-AAC1ABA713C2}" name="Date" dataDxfId="128"/>
    <tableColumn id="2" xr3:uid="{6B111FA3-2308-4D2E-B427-D8B8EC978F98}" name="Russia" dataDxfId="127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CF0C0D56-B717-45E0-B2D3-A71CA49CAA33}" name="Table13468111214151617181920222324" displayName="Table13468111214151617181920222324" ref="A1:B136" totalsRowShown="0" headerRowDxfId="126" dataDxfId="124" headerRowBorderDxfId="125" tableBorderDxfId="123" totalsRowBorderDxfId="122">
  <autoFilter ref="A1:B136" xr:uid="{A9209D4D-D7E7-4042-9F3B-4B3E46332C2A}"/>
  <tableColumns count="2">
    <tableColumn id="1" xr3:uid="{3175ED33-E171-4F74-B636-ED6873A34421}" name="Date" dataDxfId="121"/>
    <tableColumn id="2" xr3:uid="{2735CFA3-6089-409F-8468-DC226B926D90}" name="India" dataDxfId="120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8F9B4C7-68FC-4EF3-9E25-4903480406D8}" name="Table13468" displayName="Table13468" ref="A1:B130" totalsRowShown="0" headerRowDxfId="119" dataDxfId="117" headerRowBorderDxfId="118" tableBorderDxfId="116" totalsRowBorderDxfId="115">
  <autoFilter ref="A1:B130" xr:uid="{B13A61D2-2684-473C-B754-8922BB9371E9}"/>
  <tableColumns count="2">
    <tableColumn id="1" xr3:uid="{6E8823C2-5CFE-4278-9611-FFC669AE5A04}" name="Date" dataDxfId="114"/>
    <tableColumn id="2" xr3:uid="{352B5063-DE89-472A-8325-3D46B5213B6B}" name="Canada" dataDxfId="113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7B93801D-4D0A-47FE-99B7-98A70F0AEB83}" name="Table1346811121415161718192022252627" displayName="Table1346811121415161718192022252627" ref="A1:B164" totalsRowShown="0" headerRowDxfId="112" dataDxfId="110" headerRowBorderDxfId="111" tableBorderDxfId="109" totalsRowBorderDxfId="108">
  <autoFilter ref="A1:B164" xr:uid="{52F0890E-F56E-4039-984C-56357C79EEE5}"/>
  <tableColumns count="2">
    <tableColumn id="1" xr3:uid="{C34CDEEC-B4AD-41B6-A637-CBD1F8B004D5}" name="Date" dataDxfId="107"/>
    <tableColumn id="2" xr3:uid="{8E718B11-0EA5-44F0-9784-5CBFFA34957E}" name="Australia" dataDxfId="106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63CD84D-1CB2-439A-AAAD-8EA8491E1A33}" name="Table13468111214151617181920222530" displayName="Table13468111214151617181920222530" ref="A1:B130" totalsRowShown="0" headerRowDxfId="105" dataDxfId="103" headerRowBorderDxfId="104" tableBorderDxfId="102" totalsRowBorderDxfId="101">
  <autoFilter ref="A1:B130" xr:uid="{725C6309-B8F6-415F-ACD1-705EB8F75E6C}"/>
  <tableColumns count="2">
    <tableColumn id="1" xr3:uid="{ECEE6C18-6444-41EF-90AD-4A4B4FB1F532}" name="Date" dataDxfId="100"/>
    <tableColumn id="2" xr3:uid="{B4539099-DD35-4260-B40C-AC9C4858744B}" name="Indonesia" dataDxfId="99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76D0BA24-FA92-4C28-9D47-648CF0C5F8D1}" name="Table1346811121415161718192022252629" displayName="Table1346811121415161718192022252629" ref="A1:C134" totalsRowShown="0" headerRowDxfId="98" dataDxfId="96" headerRowBorderDxfId="97" tableBorderDxfId="95" totalsRowBorderDxfId="94">
  <autoFilter ref="A1:C134" xr:uid="{4FFC4D80-732F-4A81-B9B3-A02B84BAE85F}"/>
  <tableColumns count="3">
    <tableColumn id="1" xr3:uid="{24820CF5-24AB-4F0E-8082-F4F5946BF8FD}" name="Date" dataDxfId="93"/>
    <tableColumn id="2" xr3:uid="{337509F7-0577-48F8-B190-97B5D1592CFF}" name="SouthKorea" dataDxfId="92"/>
    <tableColumn id="3" xr3:uid="{C8A13CCF-C963-4AAA-ACF1-CBF645F3E272}" name="mom" dataDxfId="91">
      <calculatedColumnFormula>Table1346811121415161718192022252629[[#This Row],[SouthKorea]]-B1</calculatedColumnFormula>
    </tableColumn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1389B533-600E-4313-A8A3-E3246FBA8DC8}" name="Table1346811121415161718192022253033" displayName="Table1346811121415161718192022253033" ref="A1:B136" totalsRowShown="0" headerRowDxfId="90" dataDxfId="88" headerRowBorderDxfId="89" tableBorderDxfId="87" totalsRowBorderDxfId="86">
  <autoFilter ref="A1:B136" xr:uid="{EB21555C-1B1C-4B99-8F5B-888B03CEBBDE}"/>
  <tableColumns count="2">
    <tableColumn id="1" xr3:uid="{C627F8C1-3EF9-4DB1-B85D-FFC9BC5461B3}" name="Date" dataDxfId="85"/>
    <tableColumn id="2" xr3:uid="{67C4C93A-19DE-4AAE-9F95-C912D268FD50}" name="Taiwan" dataDxfId="84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320AFCC5-30CC-42E6-A014-18B1D98F88A4}" name="Table134681112141516171819" displayName="Table134681112141516171819" ref="A1:B136" totalsRowShown="0" headerRowDxfId="83" dataDxfId="81" headerRowBorderDxfId="82" tableBorderDxfId="80" totalsRowBorderDxfId="79">
  <autoFilter ref="A1:B136" xr:uid="{FF98E40A-6436-42F9-AFBF-DC708B71F307}"/>
  <tableColumns count="2">
    <tableColumn id="1" xr3:uid="{B283C90C-954F-4E5C-91A3-1B532237838F}" name="Date" dataDxfId="78"/>
    <tableColumn id="2" xr3:uid="{3DB48D2B-E59C-4BB7-A59C-EA0E455B230C}" name="Greece" dataDxfId="77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35635F3F-D207-43E4-9614-C2301B0A9CC6}" name="Table13468111214151617181920" displayName="Table13468111214151617181920" ref="A1:B136" totalsRowShown="0" headerRowDxfId="76" dataDxfId="74" headerRowBorderDxfId="75" tableBorderDxfId="73" totalsRowBorderDxfId="72">
  <autoFilter ref="A1:B136" xr:uid="{38D9EFB5-64C3-46FA-AA3B-48156492B0E7}"/>
  <tableColumns count="2">
    <tableColumn id="1" xr3:uid="{A7DABD86-8F75-4787-9CD4-FBEA00F19A18}" name="Date" dataDxfId="71"/>
    <tableColumn id="2" xr3:uid="{22078BEA-832A-48D0-B2BB-0AE4AC406713}" name="Ireland" dataDxfId="70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B44B0EB2-D5D4-469E-90F9-030EF0A763C7}" name="Table134681112141516171819202225303334" displayName="Table134681112141516171819202225303334" ref="A1:B136" totalsRowShown="0" headerRowDxfId="69" dataDxfId="67" headerRowBorderDxfId="68" tableBorderDxfId="66" totalsRowBorderDxfId="65">
  <autoFilter ref="A1:B136" xr:uid="{15926B47-91B8-4E2A-A650-D623437A3B8F}"/>
  <tableColumns count="2">
    <tableColumn id="1" xr3:uid="{B17837D4-D3D7-4317-9B04-76EF831BC027}" name="Date" dataDxfId="64"/>
    <tableColumn id="2" xr3:uid="{7C7F09DE-859E-4AA3-9160-0BC2AE6119BA}" name="Turkey" dataDxfId="63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BB3D0D43-1D77-44C2-87C0-E96562D92732}" name="Table13468111214151617181920222530333435" displayName="Table13468111214151617181920222530333435" ref="A1:B136" totalsRowShown="0" headerRowDxfId="62" dataDxfId="60" headerRowBorderDxfId="61" tableBorderDxfId="59" totalsRowBorderDxfId="58">
  <autoFilter ref="A1:B136" xr:uid="{BFE820F6-CAA7-4B19-8ACE-A0AE79B8CF59}"/>
  <tableColumns count="2">
    <tableColumn id="1" xr3:uid="{5A85979B-76E4-4DE5-9F3F-3E7577C64271}" name="Date" dataDxfId="57"/>
    <tableColumn id="2" xr3:uid="{FBA4AD9B-317F-4EC2-B738-058B71157C0B}" name="CzechRepublic" dataDxfId="56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1413EB9A-D32A-4B68-AC17-CFA5D058098C}" name="Table1346811121415161718192022253033343536" displayName="Table1346811121415161718192022253033343536" ref="A1:B136" totalsRowShown="0" headerRowDxfId="55" dataDxfId="53" headerRowBorderDxfId="54" tableBorderDxfId="52" totalsRowBorderDxfId="51">
  <autoFilter ref="A1:B136" xr:uid="{374BCED3-78BF-4B2B-B9BF-F5686D35F530}"/>
  <tableColumns count="2">
    <tableColumn id="1" xr3:uid="{8D565E2A-D49D-4016-8FE0-308985929F68}" name="Date" dataDxfId="50"/>
    <tableColumn id="2" xr3:uid="{40D2D41C-544B-4C35-87DD-C63504CBF541}" name="Poland" dataDxfId="49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E3D6115-FD3F-467D-B165-A53293631019}" name="Table13" displayName="Table13" ref="A1:B337" totalsRowShown="0" headerRowDxfId="48" dataDxfId="46" headerRowBorderDxfId="47" tableBorderDxfId="45" totalsRowBorderDxfId="44">
  <autoFilter ref="A1:B337" xr:uid="{ED570827-D121-4F94-85C8-9CB565183C51}"/>
  <tableColumns count="2">
    <tableColumn id="1" xr3:uid="{594D9915-3DC0-4C72-A0A8-33935B948506}" name="Date" dataDxfId="43"/>
    <tableColumn id="2" xr3:uid="{2B62EE9E-1C57-4171-8983-ACE40296600F}" name="Denmark" dataDxfId="42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987CB58-04A9-4DC2-B8BF-AC37D5D8AB05}" name="Table134" displayName="Table134" ref="A1:B115" totalsRowShown="0" headerRowDxfId="41" dataDxfId="39" headerRowBorderDxfId="40" tableBorderDxfId="38" totalsRowBorderDxfId="37">
  <autoFilter ref="A1:B115" xr:uid="{9F54305E-1981-40EA-9FE8-B9FE9B90F899}"/>
  <tableColumns count="2">
    <tableColumn id="1" xr3:uid="{74B08C37-C598-4D6D-B7C3-2AE5787C78EC}" name="Date" dataDxfId="36"/>
    <tableColumn id="2" xr3:uid="{A2336E53-2940-4B2C-9643-8BC3AB317A97}" name="Vietnam" dataDxfId="35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80CAB72-98F9-499B-AA18-5E702FA65CD8}" name="Table1345" displayName="Table1345" ref="A1:B67" totalsRowShown="0" headerRowDxfId="34" dataDxfId="32" headerRowBorderDxfId="33" tableBorderDxfId="31" totalsRowBorderDxfId="30">
  <autoFilter ref="A1:B67" xr:uid="{EB7A212C-55BD-4647-8114-2DCFA98650BE}"/>
  <tableColumns count="2">
    <tableColumn id="1" xr3:uid="{320BF674-4E19-465C-83F8-FA4A7ACD8E10}" name="Date" dataDxfId="29"/>
    <tableColumn id="2" xr3:uid="{9B229072-C52F-41C1-9798-0B5296D8A449}" name="Thailand" dataDxfId="28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8A32972-C750-4F46-A0C0-B0F7691A6175}" name="Table1346" displayName="Table1346" ref="A1:B264" totalsRowShown="0" headerRowDxfId="27" dataDxfId="25" headerRowBorderDxfId="26" tableBorderDxfId="24" totalsRowBorderDxfId="23">
  <autoFilter ref="A1:B264" xr:uid="{54646FC0-8022-4218-A5BD-13F957F47212}"/>
  <tableColumns count="2">
    <tableColumn id="1" xr3:uid="{9B149CA3-7F09-42A3-8174-298C99FE5646}" name="Date" dataDxfId="22"/>
    <tableColumn id="2" xr3:uid="{7EC68D20-2C2B-419D-9F41-0357BEB19E79}" name="SouthAfrica" dataDxfId="21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80D1C85-38AB-4AE2-8225-8F4DD633D8A8}" name="Table13467" displayName="Table13467" ref="A1:B115" totalsRowShown="0" headerRowDxfId="20" dataDxfId="18" headerRowBorderDxfId="19" tableBorderDxfId="17" totalsRowBorderDxfId="16">
  <autoFilter ref="A1:B115" xr:uid="{FDA5DDFB-43CE-44A7-AD34-9C799574645A}"/>
  <tableColumns count="2">
    <tableColumn id="1" xr3:uid="{111907C9-C12A-438C-84DC-A7AAF37DF130}" name="Date" dataDxfId="15"/>
    <tableColumn id="2" xr3:uid="{AAA544D9-9B91-4D69-8BE0-24FA4D0C9C06}" name="HongKong" dataDxfId="14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7E727B4-1421-4840-BEF6-786637B6A00A}" name="Table134689" displayName="Table134689" ref="A1:B82" totalsRowShown="0" headerRowDxfId="13" dataDxfId="11" headerRowBorderDxfId="12" tableBorderDxfId="10" totalsRowBorderDxfId="9">
  <autoFilter ref="A1:B82" xr:uid="{9EB9BBD2-7057-4918-BCB2-F3A398411294}"/>
  <tableColumns count="2">
    <tableColumn id="1" xr3:uid="{C0E19142-C088-4BE7-9C2A-03D8B3421DCA}" name="Date" dataDxfId="8"/>
    <tableColumn id="2" xr3:uid="{8312029E-A489-4FCC-BAC7-55D8DA0A1153}" name="SaudiArabia" dataDxfId="7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4D1E61BE-33FD-4A14-A2D2-07E98F5E192F}" name="Table1346811121415161718192022253032" displayName="Table1346811121415161718192022253032" ref="A1:B233" totalsRowShown="0" headerRowDxfId="6" dataDxfId="4" headerRowBorderDxfId="5" tableBorderDxfId="3" totalsRowBorderDxfId="2">
  <autoFilter ref="A1:B233" xr:uid="{62E57A7D-3A52-453E-B6A2-EE5FCB919ABA}"/>
  <tableColumns count="2">
    <tableColumn id="1" xr3:uid="{76076785-374F-4150-AFBD-81DB71FC826F}" name="Date" dataDxfId="1"/>
    <tableColumn id="2" xr3:uid="{F80C7A0A-DDF0-4A5F-B017-672D7F3C5BB7}" name="NewZealan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7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0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CC6A78-D0B2-3849-80F3-BB7D6252F061}">
  <dimension ref="A1"/>
  <sheetViews>
    <sheetView workbookViewId="0">
      <selection activeCell="L15" sqref="L15"/>
    </sheetView>
  </sheetViews>
  <sheetFormatPr baseColWidth="10" defaultRowHeight="15" x14ac:dyDescent="0.2"/>
  <sheetData>
    <row r="1" spans="1:1" x14ac:dyDescent="0.2">
      <c r="A1" t="s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4C1FA-E11C-405E-9A95-01CA0C5AE334}">
  <dimension ref="A1:B136"/>
  <sheetViews>
    <sheetView zoomScale="160" zoomScaleNormal="160" workbookViewId="0">
      <pane ySplit="1" topLeftCell="A2" activePane="bottomLeft" state="frozen"/>
      <selection pane="bottomLeft" activeCell="J12" sqref="J12"/>
    </sheetView>
  </sheetViews>
  <sheetFormatPr baseColWidth="10" defaultColWidth="9.1640625" defaultRowHeight="15" x14ac:dyDescent="0.2"/>
  <cols>
    <col min="1" max="1" width="13.5" style="1" customWidth="1"/>
    <col min="2" max="2" width="11.33203125" style="1" customWidth="1"/>
    <col min="3" max="16384" width="9.1640625" style="1"/>
  </cols>
  <sheetData>
    <row r="1" spans="1:2" ht="16" thickBot="1" x14ac:dyDescent="0.25">
      <c r="A1" s="11" t="s">
        <v>0</v>
      </c>
      <c r="B1" s="12" t="s">
        <v>2</v>
      </c>
    </row>
    <row r="2" spans="1:2" x14ac:dyDescent="0.2">
      <c r="A2" s="8">
        <v>40452</v>
      </c>
      <c r="B2" s="9">
        <v>53.7</v>
      </c>
    </row>
    <row r="3" spans="1:2" x14ac:dyDescent="0.2">
      <c r="A3" s="4">
        <v>40483</v>
      </c>
      <c r="B3" s="3">
        <v>54</v>
      </c>
    </row>
    <row r="4" spans="1:2" x14ac:dyDescent="0.2">
      <c r="A4" s="4">
        <v>40513</v>
      </c>
      <c r="B4" s="3">
        <v>54.9</v>
      </c>
    </row>
    <row r="5" spans="1:2" x14ac:dyDescent="0.2">
      <c r="A5" s="4">
        <v>40544</v>
      </c>
      <c r="B5" s="3">
        <v>57.2</v>
      </c>
    </row>
    <row r="6" spans="1:2" x14ac:dyDescent="0.2">
      <c r="A6" s="4">
        <v>40575</v>
      </c>
      <c r="B6" s="3">
        <v>58.2</v>
      </c>
    </row>
    <row r="7" spans="1:2" x14ac:dyDescent="0.2">
      <c r="A7" s="4">
        <v>40603</v>
      </c>
      <c r="B7" s="3">
        <v>56</v>
      </c>
    </row>
    <row r="8" spans="1:2" x14ac:dyDescent="0.2">
      <c r="A8" s="4">
        <v>40634</v>
      </c>
      <c r="B8" s="3">
        <v>55.5</v>
      </c>
    </row>
    <row r="9" spans="1:2" x14ac:dyDescent="0.2">
      <c r="A9" s="4">
        <v>40664</v>
      </c>
      <c r="B9" s="3">
        <v>53.1</v>
      </c>
    </row>
    <row r="10" spans="1:2" x14ac:dyDescent="0.2">
      <c r="A10" s="4">
        <v>40695</v>
      </c>
      <c r="B10" s="3">
        <v>52.8</v>
      </c>
    </row>
    <row r="11" spans="1:2" x14ac:dyDescent="0.2">
      <c r="A11" s="4">
        <v>40725</v>
      </c>
      <c r="B11" s="3">
        <v>50.9</v>
      </c>
    </row>
    <row r="12" spans="1:2" x14ac:dyDescent="0.2">
      <c r="A12" s="4">
        <v>40756</v>
      </c>
      <c r="B12" s="3">
        <v>50.4</v>
      </c>
    </row>
    <row r="13" spans="1:2" x14ac:dyDescent="0.2">
      <c r="A13" s="4">
        <v>40787</v>
      </c>
      <c r="B13" s="3">
        <v>50.1</v>
      </c>
    </row>
    <row r="14" spans="1:2" x14ac:dyDescent="0.2">
      <c r="A14" s="4">
        <v>40817</v>
      </c>
      <c r="B14" s="3">
        <v>49.5</v>
      </c>
    </row>
    <row r="15" spans="1:2" x14ac:dyDescent="0.2">
      <c r="A15" s="4">
        <v>40848</v>
      </c>
      <c r="B15" s="3">
        <v>49.6</v>
      </c>
    </row>
    <row r="16" spans="1:2" x14ac:dyDescent="0.2">
      <c r="A16" s="4">
        <v>40878</v>
      </c>
      <c r="B16" s="3">
        <v>50.4</v>
      </c>
    </row>
    <row r="17" spans="1:2" x14ac:dyDescent="0.2">
      <c r="A17" s="4">
        <v>40909</v>
      </c>
      <c r="B17" s="3">
        <v>51</v>
      </c>
    </row>
    <row r="18" spans="1:2" x14ac:dyDescent="0.2">
      <c r="A18" s="4">
        <v>40940</v>
      </c>
      <c r="B18" s="3">
        <v>51.2</v>
      </c>
    </row>
    <row r="19" spans="1:2" x14ac:dyDescent="0.2">
      <c r="A19" s="4">
        <v>40969</v>
      </c>
      <c r="B19" s="3">
        <v>51.6</v>
      </c>
    </row>
    <row r="20" spans="1:2" x14ac:dyDescent="0.2">
      <c r="A20" s="4">
        <v>41000</v>
      </c>
      <c r="B20" s="3">
        <v>51.3</v>
      </c>
    </row>
    <row r="21" spans="1:2" x14ac:dyDescent="0.2">
      <c r="A21" s="4">
        <v>41030</v>
      </c>
      <c r="B21" s="3">
        <v>50.3</v>
      </c>
    </row>
    <row r="22" spans="1:2" x14ac:dyDescent="0.2">
      <c r="A22" s="4">
        <v>41061</v>
      </c>
      <c r="B22" s="3">
        <v>49.7</v>
      </c>
    </row>
    <row r="23" spans="1:2" x14ac:dyDescent="0.2">
      <c r="A23" s="4">
        <v>41091</v>
      </c>
      <c r="B23" s="3">
        <v>48.8</v>
      </c>
    </row>
    <row r="24" spans="1:2" x14ac:dyDescent="0.2">
      <c r="A24" s="4">
        <v>41122</v>
      </c>
      <c r="B24" s="3">
        <v>48.7</v>
      </c>
    </row>
    <row r="25" spans="1:2" x14ac:dyDescent="0.2">
      <c r="A25" s="4">
        <v>41153</v>
      </c>
      <c r="B25" s="3">
        <v>48.7</v>
      </c>
    </row>
    <row r="26" spans="1:2" x14ac:dyDescent="0.2">
      <c r="A26" s="4">
        <v>41183</v>
      </c>
      <c r="B26" s="3">
        <v>48.9</v>
      </c>
    </row>
    <row r="27" spans="1:2" x14ac:dyDescent="0.2">
      <c r="A27" s="4">
        <v>41214</v>
      </c>
      <c r="B27" s="3">
        <v>49.6</v>
      </c>
    </row>
    <row r="28" spans="1:2" x14ac:dyDescent="0.2">
      <c r="A28" s="4">
        <v>41244</v>
      </c>
      <c r="B28" s="3">
        <v>50</v>
      </c>
    </row>
    <row r="29" spans="1:2" x14ac:dyDescent="0.2">
      <c r="A29" s="4">
        <v>41275</v>
      </c>
      <c r="B29" s="3">
        <v>51.5</v>
      </c>
    </row>
    <row r="30" spans="1:2" x14ac:dyDescent="0.2">
      <c r="A30" s="4">
        <v>41306</v>
      </c>
      <c r="B30" s="3">
        <v>50.9</v>
      </c>
    </row>
    <row r="31" spans="1:2" x14ac:dyDescent="0.2">
      <c r="A31" s="4">
        <v>41334</v>
      </c>
      <c r="B31" s="3">
        <v>51.2</v>
      </c>
    </row>
    <row r="32" spans="1:2" x14ac:dyDescent="0.2">
      <c r="A32" s="4">
        <v>41365</v>
      </c>
      <c r="B32" s="3">
        <v>50.4</v>
      </c>
    </row>
    <row r="33" spans="1:2" x14ac:dyDescent="0.2">
      <c r="A33" s="4">
        <v>41395</v>
      </c>
      <c r="B33" s="3">
        <v>50.6</v>
      </c>
    </row>
    <row r="34" spans="1:2" x14ac:dyDescent="0.2">
      <c r="A34" s="4">
        <v>41426</v>
      </c>
      <c r="B34" s="3">
        <v>50.6</v>
      </c>
    </row>
    <row r="35" spans="1:2" x14ac:dyDescent="0.2">
      <c r="A35" s="4">
        <v>41456</v>
      </c>
      <c r="B35" s="3">
        <v>50.8</v>
      </c>
    </row>
    <row r="36" spans="1:2" x14ac:dyDescent="0.2">
      <c r="A36" s="4">
        <v>41487</v>
      </c>
      <c r="B36" s="3">
        <v>51.6</v>
      </c>
    </row>
    <row r="37" spans="1:2" x14ac:dyDescent="0.2">
      <c r="A37" s="4">
        <v>41518</v>
      </c>
      <c r="B37" s="3">
        <v>51.8</v>
      </c>
    </row>
    <row r="38" spans="1:2" x14ac:dyDescent="0.2">
      <c r="A38" s="4">
        <v>41548</v>
      </c>
      <c r="B38" s="3">
        <v>52.1</v>
      </c>
    </row>
    <row r="39" spans="1:2" x14ac:dyDescent="0.2">
      <c r="A39" s="4">
        <v>41579</v>
      </c>
      <c r="B39" s="3">
        <v>53.1</v>
      </c>
    </row>
    <row r="40" spans="1:2" x14ac:dyDescent="0.2">
      <c r="A40" s="4">
        <v>41609</v>
      </c>
      <c r="B40" s="3">
        <v>53.3</v>
      </c>
    </row>
    <row r="41" spans="1:2" x14ac:dyDescent="0.2">
      <c r="A41" s="4">
        <v>41640</v>
      </c>
      <c r="B41" s="3">
        <v>52.9</v>
      </c>
    </row>
    <row r="42" spans="1:2" x14ac:dyDescent="0.2">
      <c r="A42" s="4">
        <v>41671</v>
      </c>
      <c r="B42" s="3">
        <v>53.3</v>
      </c>
    </row>
    <row r="43" spans="1:2" x14ac:dyDescent="0.2">
      <c r="A43" s="4">
        <v>41699</v>
      </c>
      <c r="B43" s="3">
        <v>52.4</v>
      </c>
    </row>
    <row r="44" spans="1:2" x14ac:dyDescent="0.2">
      <c r="A44" s="4">
        <v>41730</v>
      </c>
      <c r="B44" s="3">
        <v>51.9</v>
      </c>
    </row>
    <row r="45" spans="1:2" x14ac:dyDescent="0.2">
      <c r="A45" s="4">
        <v>41760</v>
      </c>
      <c r="B45" s="3">
        <v>52.2</v>
      </c>
    </row>
    <row r="46" spans="1:2" x14ac:dyDescent="0.2">
      <c r="A46" s="4">
        <v>41791</v>
      </c>
      <c r="B46" s="3">
        <v>52.6</v>
      </c>
    </row>
    <row r="47" spans="1:2" x14ac:dyDescent="0.2">
      <c r="A47" s="4">
        <v>41821</v>
      </c>
      <c r="B47" s="3">
        <v>52.5</v>
      </c>
    </row>
    <row r="48" spans="1:2" x14ac:dyDescent="0.2">
      <c r="A48" s="4">
        <v>41852</v>
      </c>
      <c r="B48" s="3">
        <v>52.6</v>
      </c>
    </row>
    <row r="49" spans="1:2" x14ac:dyDescent="0.2">
      <c r="A49" s="4">
        <v>41883</v>
      </c>
      <c r="B49" s="3">
        <v>52.2</v>
      </c>
    </row>
    <row r="50" spans="1:2" x14ac:dyDescent="0.2">
      <c r="A50" s="4">
        <v>41913</v>
      </c>
      <c r="B50" s="3">
        <v>52.2</v>
      </c>
    </row>
    <row r="51" spans="1:2" x14ac:dyDescent="0.2">
      <c r="A51" s="4">
        <v>41944</v>
      </c>
      <c r="B51" s="3">
        <v>51.8</v>
      </c>
    </row>
    <row r="52" spans="1:2" x14ac:dyDescent="0.2">
      <c r="A52" s="4">
        <v>41974</v>
      </c>
      <c r="B52" s="3">
        <v>51.6</v>
      </c>
    </row>
    <row r="53" spans="1:2" x14ac:dyDescent="0.2">
      <c r="A53" s="4">
        <v>42005</v>
      </c>
      <c r="B53" s="3">
        <v>51.7</v>
      </c>
    </row>
    <row r="54" spans="1:2" x14ac:dyDescent="0.2">
      <c r="A54" s="4">
        <v>42036</v>
      </c>
      <c r="B54" s="3">
        <v>52</v>
      </c>
    </row>
    <row r="55" spans="1:2" x14ac:dyDescent="0.2">
      <c r="A55" s="4">
        <v>42064</v>
      </c>
      <c r="B55" s="3">
        <v>51.8</v>
      </c>
    </row>
    <row r="56" spans="1:2" x14ac:dyDescent="0.2">
      <c r="A56" s="4">
        <v>42095</v>
      </c>
      <c r="B56" s="3">
        <v>51</v>
      </c>
    </row>
    <row r="57" spans="1:2" x14ac:dyDescent="0.2">
      <c r="A57" s="4">
        <v>42125</v>
      </c>
      <c r="B57" s="3">
        <v>51.2</v>
      </c>
    </row>
    <row r="58" spans="1:2" x14ac:dyDescent="0.2">
      <c r="A58" s="4">
        <v>42156</v>
      </c>
      <c r="B58" s="3">
        <v>51</v>
      </c>
    </row>
    <row r="59" spans="1:2" x14ac:dyDescent="0.2">
      <c r="A59" s="4">
        <v>42186</v>
      </c>
      <c r="B59" s="3">
        <v>51</v>
      </c>
    </row>
    <row r="60" spans="1:2" x14ac:dyDescent="0.2">
      <c r="A60" s="4">
        <v>42217</v>
      </c>
      <c r="B60" s="3">
        <v>50.7</v>
      </c>
    </row>
    <row r="61" spans="1:2" x14ac:dyDescent="0.2">
      <c r="A61" s="4">
        <v>42248</v>
      </c>
      <c r="B61" s="3">
        <v>50.6</v>
      </c>
    </row>
    <row r="62" spans="1:2" x14ac:dyDescent="0.2">
      <c r="A62" s="4">
        <v>42278</v>
      </c>
      <c r="B62" s="3">
        <v>51.4</v>
      </c>
    </row>
    <row r="63" spans="1:2" x14ac:dyDescent="0.2">
      <c r="A63" s="4">
        <v>42309</v>
      </c>
      <c r="B63" s="3">
        <v>51.2</v>
      </c>
    </row>
    <row r="64" spans="1:2" x14ac:dyDescent="0.2">
      <c r="A64" s="4">
        <v>42339</v>
      </c>
      <c r="B64" s="3">
        <v>50.9</v>
      </c>
    </row>
    <row r="65" spans="1:2" x14ac:dyDescent="0.2">
      <c r="A65" s="4">
        <v>42370</v>
      </c>
      <c r="B65" s="3">
        <v>50.9</v>
      </c>
    </row>
    <row r="66" spans="1:2" x14ac:dyDescent="0.2">
      <c r="A66" s="4">
        <v>42401</v>
      </c>
      <c r="B66" s="3">
        <v>50</v>
      </c>
    </row>
    <row r="67" spans="1:2" x14ac:dyDescent="0.2">
      <c r="A67" s="4">
        <v>42430</v>
      </c>
      <c r="B67" s="3">
        <v>50.5</v>
      </c>
    </row>
    <row r="68" spans="1:2" x14ac:dyDescent="0.2">
      <c r="A68" s="4">
        <v>42461</v>
      </c>
      <c r="B68" s="3">
        <v>50.1</v>
      </c>
    </row>
    <row r="69" spans="1:2" x14ac:dyDescent="0.2">
      <c r="A69" s="4">
        <v>42491</v>
      </c>
      <c r="B69" s="3">
        <v>50</v>
      </c>
    </row>
    <row r="70" spans="1:2" x14ac:dyDescent="0.2">
      <c r="A70" s="4">
        <v>42522</v>
      </c>
      <c r="B70" s="3">
        <v>50.9</v>
      </c>
    </row>
    <row r="71" spans="1:2" x14ac:dyDescent="0.2">
      <c r="A71" s="4">
        <v>42552</v>
      </c>
      <c r="B71" s="3">
        <v>51</v>
      </c>
    </row>
    <row r="72" spans="1:2" x14ac:dyDescent="0.2">
      <c r="A72" s="4">
        <v>42583</v>
      </c>
      <c r="B72" s="3">
        <v>50.9</v>
      </c>
    </row>
    <row r="73" spans="1:2" x14ac:dyDescent="0.2">
      <c r="A73" s="4">
        <v>42614</v>
      </c>
      <c r="B73" s="3">
        <v>51</v>
      </c>
    </row>
    <row r="74" spans="1:2" x14ac:dyDescent="0.2">
      <c r="A74" s="4">
        <v>42644</v>
      </c>
      <c r="B74" s="3">
        <v>52</v>
      </c>
    </row>
    <row r="75" spans="1:2" x14ac:dyDescent="0.2">
      <c r="A75" s="4">
        <v>42675</v>
      </c>
      <c r="B75" s="3">
        <v>52.1</v>
      </c>
    </row>
    <row r="76" spans="1:2" x14ac:dyDescent="0.2">
      <c r="A76" s="4">
        <v>42705</v>
      </c>
      <c r="B76" s="3">
        <v>52.7</v>
      </c>
    </row>
    <row r="77" spans="1:2" x14ac:dyDescent="0.2">
      <c r="A77" s="4">
        <v>42736</v>
      </c>
      <c r="B77" s="3">
        <v>52.7</v>
      </c>
    </row>
    <row r="78" spans="1:2" x14ac:dyDescent="0.2">
      <c r="A78" s="4">
        <v>42767</v>
      </c>
      <c r="B78" s="3">
        <v>53</v>
      </c>
    </row>
    <row r="79" spans="1:2" x14ac:dyDescent="0.2">
      <c r="A79" s="4">
        <v>42795</v>
      </c>
      <c r="B79" s="3">
        <v>53</v>
      </c>
    </row>
    <row r="80" spans="1:2" x14ac:dyDescent="0.2">
      <c r="A80" s="4">
        <v>42826</v>
      </c>
      <c r="B80" s="3">
        <v>52.7</v>
      </c>
    </row>
    <row r="81" spans="1:2" x14ac:dyDescent="0.2">
      <c r="A81" s="4">
        <v>42856</v>
      </c>
      <c r="B81" s="3">
        <v>52.6</v>
      </c>
    </row>
    <row r="82" spans="1:2" x14ac:dyDescent="0.2">
      <c r="A82" s="4">
        <v>42887</v>
      </c>
      <c r="B82" s="3">
        <v>52.6</v>
      </c>
    </row>
    <row r="83" spans="1:2" x14ac:dyDescent="0.2">
      <c r="A83" s="4">
        <v>42917</v>
      </c>
      <c r="B83" s="3">
        <v>52.8</v>
      </c>
    </row>
    <row r="84" spans="1:2" x14ac:dyDescent="0.2">
      <c r="A84" s="4">
        <v>42948</v>
      </c>
      <c r="B84" s="3">
        <v>53.2</v>
      </c>
    </row>
    <row r="85" spans="1:2" x14ac:dyDescent="0.2">
      <c r="A85" s="4">
        <v>42979</v>
      </c>
      <c r="B85" s="3">
        <v>53.3</v>
      </c>
    </row>
    <row r="86" spans="1:2" x14ac:dyDescent="0.2">
      <c r="A86" s="4">
        <v>43009</v>
      </c>
      <c r="B86" s="3">
        <v>53.5</v>
      </c>
    </row>
    <row r="87" spans="1:2" x14ac:dyDescent="0.2">
      <c r="A87" s="4">
        <v>43040</v>
      </c>
      <c r="B87" s="3">
        <v>54.1</v>
      </c>
    </row>
    <row r="88" spans="1:2" x14ac:dyDescent="0.2">
      <c r="A88" s="4">
        <v>43070</v>
      </c>
      <c r="B88" s="3">
        <v>54.5</v>
      </c>
    </row>
    <row r="89" spans="1:2" x14ac:dyDescent="0.2">
      <c r="A89" s="4">
        <v>43101</v>
      </c>
      <c r="B89" s="3">
        <v>54.4</v>
      </c>
    </row>
    <row r="90" spans="1:2" x14ac:dyDescent="0.2">
      <c r="A90" s="4">
        <v>43132</v>
      </c>
      <c r="B90" s="3">
        <v>54.1</v>
      </c>
    </row>
    <row r="91" spans="1:2" x14ac:dyDescent="0.2">
      <c r="A91" s="4">
        <v>43160</v>
      </c>
      <c r="B91" s="3">
        <v>53.3</v>
      </c>
    </row>
    <row r="92" spans="1:2" x14ac:dyDescent="0.2">
      <c r="A92" s="4">
        <v>43191</v>
      </c>
      <c r="B92" s="3">
        <v>53.5</v>
      </c>
    </row>
    <row r="93" spans="1:2" x14ac:dyDescent="0.2">
      <c r="A93" s="4">
        <v>43221</v>
      </c>
      <c r="B93" s="3">
        <v>53.1</v>
      </c>
    </row>
    <row r="94" spans="1:2" x14ac:dyDescent="0.2">
      <c r="A94" s="4">
        <v>43252</v>
      </c>
      <c r="B94" s="3">
        <v>53</v>
      </c>
    </row>
    <row r="95" spans="1:2" x14ac:dyDescent="0.2">
      <c r="A95" s="4">
        <v>43282</v>
      </c>
      <c r="B95" s="3">
        <v>52.8</v>
      </c>
    </row>
    <row r="96" spans="1:2" x14ac:dyDescent="0.2">
      <c r="A96" s="4">
        <v>43313</v>
      </c>
      <c r="B96" s="3">
        <v>52.6</v>
      </c>
    </row>
    <row r="97" spans="1:2" x14ac:dyDescent="0.2">
      <c r="A97" s="4">
        <v>43344</v>
      </c>
      <c r="B97" s="3">
        <v>52.2</v>
      </c>
    </row>
    <row r="98" spans="1:2" x14ac:dyDescent="0.2">
      <c r="A98" s="4">
        <v>43374</v>
      </c>
      <c r="B98" s="3">
        <v>52</v>
      </c>
    </row>
    <row r="99" spans="1:2" x14ac:dyDescent="0.2">
      <c r="A99" s="4">
        <v>43405</v>
      </c>
      <c r="B99" s="3">
        <v>52</v>
      </c>
    </row>
    <row r="100" spans="1:2" x14ac:dyDescent="0.2">
      <c r="A100" s="4">
        <v>43435</v>
      </c>
      <c r="B100" s="3">
        <v>51.5</v>
      </c>
    </row>
    <row r="101" spans="1:2" x14ac:dyDescent="0.2">
      <c r="A101" s="4">
        <v>43466</v>
      </c>
      <c r="B101" s="3">
        <v>50.7</v>
      </c>
    </row>
    <row r="102" spans="1:2" x14ac:dyDescent="0.2">
      <c r="A102" s="4">
        <v>43497</v>
      </c>
      <c r="B102" s="3">
        <v>50.6</v>
      </c>
    </row>
    <row r="103" spans="1:2" x14ac:dyDescent="0.2">
      <c r="A103" s="4">
        <v>43525</v>
      </c>
      <c r="B103" s="3">
        <v>50.5</v>
      </c>
    </row>
    <row r="104" spans="1:2" x14ac:dyDescent="0.2">
      <c r="A104" s="4">
        <v>43556</v>
      </c>
      <c r="B104" s="3">
        <v>50.4</v>
      </c>
    </row>
    <row r="105" spans="1:2" x14ac:dyDescent="0.2">
      <c r="A105" s="4">
        <v>43586</v>
      </c>
      <c r="B105" s="3">
        <v>49.8</v>
      </c>
    </row>
    <row r="106" spans="1:2" x14ac:dyDescent="0.2">
      <c r="A106" s="4">
        <v>43617</v>
      </c>
      <c r="B106" s="3">
        <v>49.4</v>
      </c>
    </row>
    <row r="107" spans="1:2" x14ac:dyDescent="0.2">
      <c r="A107" s="4">
        <v>43647</v>
      </c>
      <c r="B107" s="3">
        <v>49.3</v>
      </c>
    </row>
    <row r="108" spans="1:2" x14ac:dyDescent="0.2">
      <c r="A108" s="6">
        <v>43678</v>
      </c>
      <c r="B108" s="7">
        <v>49.5</v>
      </c>
    </row>
    <row r="109" spans="1:2" x14ac:dyDescent="0.2">
      <c r="A109" s="4">
        <v>43709</v>
      </c>
      <c r="B109" s="3">
        <v>49.7</v>
      </c>
    </row>
    <row r="110" spans="1:2" x14ac:dyDescent="0.2">
      <c r="A110" s="6">
        <v>43739</v>
      </c>
      <c r="B110" s="7">
        <v>49.8</v>
      </c>
    </row>
    <row r="111" spans="1:2" x14ac:dyDescent="0.2">
      <c r="A111" s="4">
        <v>43770</v>
      </c>
      <c r="B111" s="3">
        <v>50.3</v>
      </c>
    </row>
    <row r="112" spans="1:2" x14ac:dyDescent="0.2">
      <c r="A112" s="6">
        <v>43800</v>
      </c>
      <c r="B112" s="7">
        <v>50.1</v>
      </c>
    </row>
    <row r="113" spans="1:2" x14ac:dyDescent="0.2">
      <c r="A113" s="4">
        <v>43831</v>
      </c>
      <c r="B113" s="3">
        <v>50.4</v>
      </c>
    </row>
    <row r="114" spans="1:2" x14ac:dyDescent="0.2">
      <c r="A114" s="6">
        <v>43862</v>
      </c>
      <c r="B114" s="7">
        <v>47.1</v>
      </c>
    </row>
    <row r="115" spans="1:2" x14ac:dyDescent="0.2">
      <c r="A115" s="4">
        <v>43891</v>
      </c>
      <c r="B115" s="3">
        <v>47.3</v>
      </c>
    </row>
    <row r="116" spans="1:2" x14ac:dyDescent="0.2">
      <c r="A116" s="6">
        <v>43922</v>
      </c>
      <c r="B116" s="7">
        <v>39.6</v>
      </c>
    </row>
    <row r="117" spans="1:2" x14ac:dyDescent="0.2">
      <c r="A117" s="4">
        <v>43952</v>
      </c>
      <c r="B117" s="3">
        <v>42.4</v>
      </c>
    </row>
    <row r="118" spans="1:2" x14ac:dyDescent="0.2">
      <c r="A118" s="6">
        <v>43983</v>
      </c>
      <c r="B118" s="7">
        <v>47.8</v>
      </c>
    </row>
    <row r="119" spans="1:2" x14ac:dyDescent="0.2">
      <c r="A119" s="4">
        <v>44013</v>
      </c>
      <c r="B119" s="3">
        <v>50.6</v>
      </c>
    </row>
    <row r="120" spans="1:2" x14ac:dyDescent="0.2">
      <c r="A120" s="6">
        <v>44044</v>
      </c>
      <c r="B120" s="7">
        <v>51.8</v>
      </c>
    </row>
    <row r="121" spans="1:2" x14ac:dyDescent="0.2">
      <c r="A121" s="4">
        <v>44075</v>
      </c>
      <c r="B121" s="3">
        <v>52.4</v>
      </c>
    </row>
    <row r="122" spans="1:2" x14ac:dyDescent="0.2">
      <c r="A122" s="6">
        <v>44105</v>
      </c>
      <c r="B122" s="7">
        <v>53</v>
      </c>
    </row>
    <row r="123" spans="1:2" x14ac:dyDescent="0.2">
      <c r="A123" s="4">
        <v>44136</v>
      </c>
      <c r="B123" s="3">
        <v>53.8</v>
      </c>
    </row>
    <row r="124" spans="1:2" x14ac:dyDescent="0.2">
      <c r="A124" s="6">
        <v>44166</v>
      </c>
      <c r="B124" s="7">
        <v>53.8</v>
      </c>
    </row>
    <row r="125" spans="1:2" x14ac:dyDescent="0.2">
      <c r="A125" s="4">
        <v>44197</v>
      </c>
      <c r="B125" s="3">
        <v>53.6</v>
      </c>
    </row>
    <row r="126" spans="1:2" x14ac:dyDescent="0.2">
      <c r="A126" s="6">
        <v>44228</v>
      </c>
      <c r="B126" s="7">
        <v>53.9</v>
      </c>
    </row>
    <row r="127" spans="1:2" x14ac:dyDescent="0.2">
      <c r="A127" s="4">
        <v>44256</v>
      </c>
      <c r="B127" s="3">
        <v>55</v>
      </c>
    </row>
    <row r="128" spans="1:2" x14ac:dyDescent="0.2">
      <c r="A128" s="6">
        <v>44287</v>
      </c>
      <c r="B128" s="7">
        <v>55.9</v>
      </c>
    </row>
    <row r="129" spans="1:2" x14ac:dyDescent="0.2">
      <c r="A129" s="4">
        <v>44317</v>
      </c>
      <c r="B129" s="3">
        <v>56</v>
      </c>
    </row>
    <row r="130" spans="1:2" x14ac:dyDescent="0.2">
      <c r="A130" s="6">
        <v>44348</v>
      </c>
      <c r="B130" s="7">
        <v>55.5</v>
      </c>
    </row>
    <row r="131" spans="1:2" x14ac:dyDescent="0.2">
      <c r="A131" s="4">
        <v>44378</v>
      </c>
      <c r="B131" s="3">
        <v>55.4</v>
      </c>
    </row>
    <row r="132" spans="1:2" x14ac:dyDescent="0.2">
      <c r="A132" s="6">
        <v>44409</v>
      </c>
      <c r="B132" s="7">
        <v>54.1</v>
      </c>
    </row>
    <row r="133" spans="1:2" x14ac:dyDescent="0.2">
      <c r="A133" s="4">
        <v>44440</v>
      </c>
      <c r="B133" s="3">
        <v>54.1</v>
      </c>
    </row>
    <row r="134" spans="1:2" x14ac:dyDescent="0.2">
      <c r="A134" s="6">
        <v>44470</v>
      </c>
      <c r="B134" s="7">
        <v>54.2</v>
      </c>
    </row>
    <row r="135" spans="1:2" x14ac:dyDescent="0.2">
      <c r="A135" s="4">
        <v>44501</v>
      </c>
      <c r="B135" s="3">
        <v>54.2</v>
      </c>
    </row>
    <row r="136" spans="1:2" x14ac:dyDescent="0.2">
      <c r="A136" s="6">
        <v>44531</v>
      </c>
      <c r="B136" s="7">
        <v>54.2</v>
      </c>
    </row>
  </sheetData>
  <conditionalFormatting sqref="B2:B136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8CDA31-9BA6-4727-8A23-153986CABD41}">
  <dimension ref="A1:B136"/>
  <sheetViews>
    <sheetView zoomScale="160" zoomScaleNormal="160" workbookViewId="0">
      <selection activeCell="B1" sqref="B1"/>
    </sheetView>
  </sheetViews>
  <sheetFormatPr baseColWidth="10" defaultColWidth="9.1640625" defaultRowHeight="15" x14ac:dyDescent="0.2"/>
  <cols>
    <col min="1" max="1" width="13.5" style="2" customWidth="1"/>
    <col min="2" max="2" width="11.33203125" style="2" customWidth="1"/>
    <col min="3" max="16384" width="9.1640625" style="2"/>
  </cols>
  <sheetData>
    <row r="1" spans="1:2" ht="16" thickBot="1" x14ac:dyDescent="0.25">
      <c r="A1" s="11" t="s">
        <v>0</v>
      </c>
      <c r="B1" s="12" t="s">
        <v>26</v>
      </c>
    </row>
    <row r="2" spans="1:2" x14ac:dyDescent="0.2">
      <c r="A2" s="8">
        <v>40452</v>
      </c>
      <c r="B2" s="9">
        <v>56.9</v>
      </c>
    </row>
    <row r="3" spans="1:2" x14ac:dyDescent="0.2">
      <c r="A3" s="4">
        <v>40483</v>
      </c>
      <c r="B3" s="3">
        <v>56.6</v>
      </c>
    </row>
    <row r="4" spans="1:2" x14ac:dyDescent="0.2">
      <c r="A4" s="4">
        <v>40513</v>
      </c>
      <c r="B4" s="3">
        <v>57</v>
      </c>
    </row>
    <row r="5" spans="1:2" x14ac:dyDescent="0.2">
      <c r="A5" s="4">
        <v>40544</v>
      </c>
      <c r="B5" s="3">
        <v>60.8</v>
      </c>
    </row>
    <row r="6" spans="1:2" x14ac:dyDescent="0.2">
      <c r="A6" s="4">
        <v>40575</v>
      </c>
      <c r="B6" s="3">
        <v>61.4</v>
      </c>
    </row>
    <row r="7" spans="1:2" x14ac:dyDescent="0.2">
      <c r="A7" s="4">
        <v>40603</v>
      </c>
      <c r="B7" s="3">
        <v>61.2</v>
      </c>
    </row>
    <row r="8" spans="1:2" x14ac:dyDescent="0.2">
      <c r="A8" s="4">
        <v>40634</v>
      </c>
      <c r="B8" s="3">
        <v>60.4</v>
      </c>
    </row>
    <row r="9" spans="1:2" x14ac:dyDescent="0.2">
      <c r="A9" s="4">
        <v>40664</v>
      </c>
      <c r="B9" s="3">
        <v>53.5</v>
      </c>
    </row>
    <row r="10" spans="1:2" x14ac:dyDescent="0.2">
      <c r="A10" s="4">
        <v>40695</v>
      </c>
      <c r="B10" s="3">
        <v>55.3</v>
      </c>
    </row>
    <row r="11" spans="1:2" x14ac:dyDescent="0.2">
      <c r="A11" s="4">
        <v>40725</v>
      </c>
      <c r="B11" s="3">
        <v>50.9</v>
      </c>
    </row>
    <row r="12" spans="1:2" x14ac:dyDescent="0.2">
      <c r="A12" s="4">
        <v>40756</v>
      </c>
      <c r="B12" s="3">
        <v>50.6</v>
      </c>
    </row>
    <row r="13" spans="1:2" x14ac:dyDescent="0.2">
      <c r="A13" s="4">
        <v>40787</v>
      </c>
      <c r="B13" s="3">
        <v>51.6</v>
      </c>
    </row>
    <row r="14" spans="1:2" x14ac:dyDescent="0.2">
      <c r="A14" s="4">
        <v>40817</v>
      </c>
      <c r="B14" s="3">
        <v>50.8</v>
      </c>
    </row>
    <row r="15" spans="1:2" x14ac:dyDescent="0.2">
      <c r="A15" s="4">
        <v>40848</v>
      </c>
      <c r="B15" s="3">
        <v>52.7</v>
      </c>
    </row>
    <row r="16" spans="1:2" x14ac:dyDescent="0.2">
      <c r="A16" s="4">
        <v>40878</v>
      </c>
      <c r="B16" s="3">
        <v>53.2</v>
      </c>
    </row>
    <row r="17" spans="1:2" x14ac:dyDescent="0.2">
      <c r="A17" s="4">
        <v>40909</v>
      </c>
      <c r="B17" s="3">
        <v>54.3</v>
      </c>
    </row>
    <row r="18" spans="1:2" x14ac:dyDescent="0.2">
      <c r="A18" s="4">
        <v>40940</v>
      </c>
      <c r="B18" s="3">
        <v>53.6</v>
      </c>
    </row>
    <row r="19" spans="1:2" x14ac:dyDescent="0.2">
      <c r="A19" s="4">
        <v>40969</v>
      </c>
      <c r="B19" s="3">
        <v>56</v>
      </c>
    </row>
    <row r="20" spans="1:2" x14ac:dyDescent="0.2">
      <c r="A20" s="4">
        <v>41000</v>
      </c>
      <c r="B20" s="3">
        <v>56</v>
      </c>
    </row>
    <row r="21" spans="1:2" x14ac:dyDescent="0.2">
      <c r="A21" s="4">
        <v>41030</v>
      </c>
      <c r="B21" s="3">
        <v>54</v>
      </c>
    </row>
    <row r="22" spans="1:2" x14ac:dyDescent="0.2">
      <c r="A22" s="4">
        <v>41061</v>
      </c>
      <c r="B22" s="3">
        <v>52.5</v>
      </c>
    </row>
    <row r="23" spans="1:2" x14ac:dyDescent="0.2">
      <c r="A23" s="4">
        <v>41091</v>
      </c>
      <c r="B23" s="3">
        <v>51.4</v>
      </c>
    </row>
    <row r="24" spans="1:2" x14ac:dyDescent="0.2">
      <c r="A24" s="4">
        <v>41122</v>
      </c>
      <c r="B24" s="3">
        <v>51.5</v>
      </c>
    </row>
    <row r="25" spans="1:2" x14ac:dyDescent="0.2">
      <c r="A25" s="4">
        <v>41153</v>
      </c>
      <c r="B25" s="3">
        <v>51.1</v>
      </c>
    </row>
    <row r="26" spans="1:2" x14ac:dyDescent="0.2">
      <c r="A26" s="4">
        <v>41183</v>
      </c>
      <c r="B26" s="3">
        <v>51</v>
      </c>
    </row>
    <row r="27" spans="1:2" x14ac:dyDescent="0.2">
      <c r="A27" s="4">
        <v>41214</v>
      </c>
      <c r="B27" s="3">
        <v>52.8</v>
      </c>
    </row>
    <row r="28" spans="1:2" x14ac:dyDescent="0.2">
      <c r="A28" s="4">
        <v>41244</v>
      </c>
      <c r="B28" s="3">
        <v>54</v>
      </c>
    </row>
    <row r="29" spans="1:2" x14ac:dyDescent="0.2">
      <c r="A29" s="4">
        <v>41275</v>
      </c>
      <c r="B29" s="3">
        <v>55.8</v>
      </c>
    </row>
    <row r="30" spans="1:2" x14ac:dyDescent="0.2">
      <c r="A30" s="4">
        <v>41306</v>
      </c>
      <c r="B30" s="3">
        <v>54.3</v>
      </c>
    </row>
    <row r="31" spans="1:2" x14ac:dyDescent="0.2">
      <c r="A31" s="4">
        <v>41334</v>
      </c>
      <c r="B31" s="3">
        <v>54.6</v>
      </c>
    </row>
    <row r="32" spans="1:2" x14ac:dyDescent="0.2">
      <c r="A32" s="4">
        <v>41365</v>
      </c>
      <c r="B32" s="3">
        <v>52.1</v>
      </c>
    </row>
    <row r="33" spans="1:2" x14ac:dyDescent="0.2">
      <c r="A33" s="4">
        <v>41395</v>
      </c>
      <c r="B33" s="3">
        <v>52.3</v>
      </c>
    </row>
    <row r="34" spans="1:2" x14ac:dyDescent="0.2">
      <c r="A34" s="4">
        <v>41426</v>
      </c>
      <c r="B34" s="3">
        <v>51.9</v>
      </c>
    </row>
    <row r="35" spans="1:2" x14ac:dyDescent="0.2">
      <c r="A35" s="4">
        <v>41456</v>
      </c>
      <c r="B35" s="3">
        <v>53.7</v>
      </c>
    </row>
    <row r="36" spans="1:2" x14ac:dyDescent="0.2">
      <c r="A36" s="4">
        <v>41487</v>
      </c>
      <c r="B36" s="3">
        <v>53.7</v>
      </c>
    </row>
    <row r="37" spans="1:2" x14ac:dyDescent="0.2">
      <c r="A37" s="4">
        <v>41518</v>
      </c>
      <c r="B37" s="3">
        <v>52.8</v>
      </c>
    </row>
    <row r="38" spans="1:2" x14ac:dyDescent="0.2">
      <c r="A38" s="4">
        <v>41548</v>
      </c>
      <c r="B38" s="3">
        <v>51.8</v>
      </c>
    </row>
    <row r="39" spans="1:2" x14ac:dyDescent="0.2">
      <c r="A39" s="4">
        <v>41579</v>
      </c>
      <c r="B39" s="3">
        <v>54.7</v>
      </c>
    </row>
    <row r="40" spans="1:2" x14ac:dyDescent="0.2">
      <c r="A40" s="4">
        <v>41609</v>
      </c>
      <c r="B40" s="3">
        <v>55</v>
      </c>
    </row>
    <row r="41" spans="1:2" x14ac:dyDescent="0.2">
      <c r="A41" s="4">
        <v>41640</v>
      </c>
      <c r="B41" s="3">
        <v>53.7</v>
      </c>
    </row>
    <row r="42" spans="1:2" x14ac:dyDescent="0.2">
      <c r="A42" s="4">
        <v>41671</v>
      </c>
      <c r="B42" s="3">
        <v>57.1</v>
      </c>
    </row>
    <row r="43" spans="1:2" x14ac:dyDescent="0.2">
      <c r="A43" s="4">
        <v>41699</v>
      </c>
      <c r="B43" s="3">
        <v>55.5</v>
      </c>
    </row>
    <row r="44" spans="1:2" x14ac:dyDescent="0.2">
      <c r="A44" s="4">
        <v>41730</v>
      </c>
      <c r="B44" s="3">
        <v>55.4</v>
      </c>
    </row>
    <row r="45" spans="1:2" x14ac:dyDescent="0.2">
      <c r="A45" s="4">
        <v>41760</v>
      </c>
      <c r="B45" s="3">
        <v>56.4</v>
      </c>
    </row>
    <row r="46" spans="1:2" x14ac:dyDescent="0.2">
      <c r="A46" s="4">
        <v>41791</v>
      </c>
      <c r="B46" s="3">
        <v>57.3</v>
      </c>
    </row>
    <row r="47" spans="1:2" x14ac:dyDescent="0.2">
      <c r="A47" s="4">
        <v>41821</v>
      </c>
      <c r="B47" s="3">
        <v>55.8</v>
      </c>
    </row>
    <row r="48" spans="1:2" x14ac:dyDescent="0.2">
      <c r="A48" s="4">
        <v>41852</v>
      </c>
      <c r="B48" s="3">
        <v>57.9</v>
      </c>
    </row>
    <row r="49" spans="1:2" x14ac:dyDescent="0.2">
      <c r="A49" s="4">
        <v>41883</v>
      </c>
      <c r="B49" s="3">
        <v>57.5</v>
      </c>
    </row>
    <row r="50" spans="1:2" x14ac:dyDescent="0.2">
      <c r="A50" s="4">
        <v>41913</v>
      </c>
      <c r="B50" s="3">
        <v>55.9</v>
      </c>
    </row>
    <row r="51" spans="1:2" x14ac:dyDescent="0.2">
      <c r="A51" s="4">
        <v>41944</v>
      </c>
      <c r="B51" s="3">
        <v>54.8</v>
      </c>
    </row>
    <row r="52" spans="1:2" x14ac:dyDescent="0.2">
      <c r="A52" s="4">
        <v>41974</v>
      </c>
      <c r="B52" s="3">
        <v>53.9</v>
      </c>
    </row>
    <row r="53" spans="1:2" x14ac:dyDescent="0.2">
      <c r="A53" s="4">
        <v>42005</v>
      </c>
      <c r="B53" s="3">
        <v>53.7</v>
      </c>
    </row>
    <row r="54" spans="1:2" x14ac:dyDescent="0.2">
      <c r="A54" s="4">
        <v>42036</v>
      </c>
      <c r="B54" s="3">
        <v>54.3</v>
      </c>
    </row>
    <row r="55" spans="1:2" x14ac:dyDescent="0.2">
      <c r="A55" s="4">
        <v>42064</v>
      </c>
      <c r="B55" s="3">
        <v>55.3</v>
      </c>
    </row>
    <row r="56" spans="1:2" x14ac:dyDescent="0.2">
      <c r="A56" s="4">
        <v>42095</v>
      </c>
      <c r="B56" s="3">
        <v>54.1</v>
      </c>
    </row>
    <row r="57" spans="1:2" x14ac:dyDescent="0.2">
      <c r="A57" s="4">
        <v>42125</v>
      </c>
      <c r="B57" s="3">
        <v>53.8</v>
      </c>
    </row>
    <row r="58" spans="1:2" x14ac:dyDescent="0.2">
      <c r="A58" s="4">
        <v>42156</v>
      </c>
      <c r="B58" s="3">
        <v>53.6</v>
      </c>
    </row>
    <row r="59" spans="1:2" x14ac:dyDescent="0.2">
      <c r="A59" s="4">
        <v>42186</v>
      </c>
      <c r="B59" s="3">
        <v>53.8</v>
      </c>
    </row>
    <row r="60" spans="1:2" x14ac:dyDescent="0.2">
      <c r="A60" s="4">
        <v>42217</v>
      </c>
      <c r="B60" s="3">
        <v>53</v>
      </c>
    </row>
    <row r="61" spans="1:2" x14ac:dyDescent="0.2">
      <c r="A61" s="4">
        <v>42248</v>
      </c>
      <c r="B61" s="3">
        <v>53.1</v>
      </c>
    </row>
    <row r="62" spans="1:2" x14ac:dyDescent="0.2">
      <c r="A62" s="4">
        <v>42278</v>
      </c>
      <c r="B62" s="3">
        <v>54.1</v>
      </c>
    </row>
    <row r="63" spans="1:2" x14ac:dyDescent="0.2">
      <c r="A63" s="4">
        <v>42309</v>
      </c>
      <c r="B63" s="3">
        <v>52.8</v>
      </c>
    </row>
    <row r="64" spans="1:2" x14ac:dyDescent="0.2">
      <c r="A64" s="4">
        <v>42339</v>
      </c>
      <c r="B64" s="3">
        <v>51.2</v>
      </c>
    </row>
    <row r="65" spans="1:2" x14ac:dyDescent="0.2">
      <c r="A65" s="4">
        <v>42370</v>
      </c>
      <c r="B65" s="3">
        <v>52.4</v>
      </c>
    </row>
    <row r="66" spans="1:2" x14ac:dyDescent="0.2">
      <c r="A66" s="4">
        <v>42401</v>
      </c>
      <c r="B66" s="3">
        <v>51.3</v>
      </c>
    </row>
    <row r="67" spans="1:2" x14ac:dyDescent="0.2">
      <c r="A67" s="4">
        <v>42430</v>
      </c>
      <c r="B67" s="3">
        <v>51.5</v>
      </c>
    </row>
    <row r="68" spans="1:2" x14ac:dyDescent="0.2">
      <c r="A68" s="4">
        <v>42461</v>
      </c>
      <c r="B68" s="3">
        <v>50.8</v>
      </c>
    </row>
    <row r="69" spans="1:2" x14ac:dyDescent="0.2">
      <c r="A69" s="4">
        <v>42491</v>
      </c>
      <c r="B69" s="3">
        <v>50.7</v>
      </c>
    </row>
    <row r="70" spans="1:2" x14ac:dyDescent="0.2">
      <c r="A70" s="4">
        <v>42522</v>
      </c>
      <c r="B70" s="3">
        <v>51.3</v>
      </c>
    </row>
    <row r="71" spans="1:2" x14ac:dyDescent="0.2">
      <c r="A71" s="4">
        <v>42552</v>
      </c>
      <c r="B71" s="3">
        <v>52.9</v>
      </c>
    </row>
    <row r="72" spans="1:2" x14ac:dyDescent="0.2">
      <c r="A72" s="4">
        <v>42583</v>
      </c>
      <c r="B72" s="3">
        <v>52</v>
      </c>
    </row>
    <row r="73" spans="1:2" x14ac:dyDescent="0.2">
      <c r="A73" s="4">
        <v>42614</v>
      </c>
      <c r="B73" s="3">
        <v>51.5</v>
      </c>
    </row>
    <row r="74" spans="1:2" x14ac:dyDescent="0.2">
      <c r="A74" s="4">
        <v>42644</v>
      </c>
      <c r="B74" s="3">
        <v>53.4</v>
      </c>
    </row>
    <row r="75" spans="1:2" x14ac:dyDescent="0.2">
      <c r="A75" s="4">
        <v>42675</v>
      </c>
      <c r="B75" s="3">
        <v>54.1</v>
      </c>
    </row>
    <row r="76" spans="1:2" x14ac:dyDescent="0.2">
      <c r="A76" s="4">
        <v>42705</v>
      </c>
      <c r="B76" s="3">
        <v>54.3</v>
      </c>
    </row>
    <row r="77" spans="1:2" x14ac:dyDescent="0.2">
      <c r="A77" s="4">
        <v>42736</v>
      </c>
      <c r="B77" s="3">
        <v>55</v>
      </c>
    </row>
    <row r="78" spans="1:2" x14ac:dyDescent="0.2">
      <c r="A78" s="4">
        <v>42767</v>
      </c>
      <c r="B78" s="3">
        <v>54.2</v>
      </c>
    </row>
    <row r="79" spans="1:2" x14ac:dyDescent="0.2">
      <c r="A79" s="4">
        <v>42795</v>
      </c>
      <c r="B79" s="3">
        <v>53.3</v>
      </c>
    </row>
    <row r="80" spans="1:2" x14ac:dyDescent="0.2">
      <c r="A80" s="4">
        <v>42826</v>
      </c>
      <c r="B80" s="3">
        <v>52.8</v>
      </c>
    </row>
    <row r="81" spans="1:2" x14ac:dyDescent="0.2">
      <c r="A81" s="4">
        <v>42856</v>
      </c>
      <c r="B81" s="3">
        <v>52.7</v>
      </c>
    </row>
    <row r="82" spans="1:2" x14ac:dyDescent="0.2">
      <c r="A82" s="4">
        <v>42887</v>
      </c>
      <c r="B82" s="3">
        <v>52</v>
      </c>
    </row>
    <row r="83" spans="1:2" x14ac:dyDescent="0.2">
      <c r="A83" s="4">
        <v>42917</v>
      </c>
      <c r="B83" s="3">
        <v>53.3</v>
      </c>
    </row>
    <row r="84" spans="1:2" x14ac:dyDescent="0.2">
      <c r="A84" s="4">
        <v>42948</v>
      </c>
      <c r="B84" s="3">
        <v>52.8</v>
      </c>
    </row>
    <row r="85" spans="1:2" x14ac:dyDescent="0.2">
      <c r="A85" s="4">
        <v>42979</v>
      </c>
      <c r="B85" s="3">
        <v>53.1</v>
      </c>
    </row>
    <row r="86" spans="1:2" x14ac:dyDescent="0.2">
      <c r="A86" s="4">
        <v>43009</v>
      </c>
      <c r="B86" s="3">
        <v>54.6</v>
      </c>
    </row>
    <row r="87" spans="1:2" x14ac:dyDescent="0.2">
      <c r="A87" s="4">
        <v>43040</v>
      </c>
      <c r="B87" s="3">
        <v>53.9</v>
      </c>
    </row>
    <row r="88" spans="1:2" x14ac:dyDescent="0.2">
      <c r="A88" s="4">
        <v>43070</v>
      </c>
      <c r="B88" s="3">
        <v>55.1</v>
      </c>
    </row>
    <row r="89" spans="1:2" x14ac:dyDescent="0.2">
      <c r="A89" s="4">
        <v>43101</v>
      </c>
      <c r="B89" s="3">
        <v>55.5</v>
      </c>
    </row>
    <row r="90" spans="1:2" x14ac:dyDescent="0.2">
      <c r="A90" s="4">
        <v>43132</v>
      </c>
      <c r="B90" s="3">
        <v>55.3</v>
      </c>
    </row>
    <row r="91" spans="1:2" x14ac:dyDescent="0.2">
      <c r="A91" s="4">
        <v>43160</v>
      </c>
      <c r="B91" s="3">
        <v>55.6</v>
      </c>
    </row>
    <row r="92" spans="1:2" x14ac:dyDescent="0.2">
      <c r="A92" s="4">
        <v>43191</v>
      </c>
      <c r="B92" s="3">
        <v>56.5</v>
      </c>
    </row>
    <row r="93" spans="1:2" x14ac:dyDescent="0.2">
      <c r="A93" s="4">
        <v>43221</v>
      </c>
      <c r="B93" s="3">
        <v>56.4</v>
      </c>
    </row>
    <row r="94" spans="1:2" x14ac:dyDescent="0.2">
      <c r="A94" s="4">
        <v>43252</v>
      </c>
      <c r="B94" s="3">
        <v>55.4</v>
      </c>
    </row>
    <row r="95" spans="1:2" x14ac:dyDescent="0.2">
      <c r="A95" s="4">
        <v>43282</v>
      </c>
      <c r="B95" s="3">
        <v>55.3</v>
      </c>
    </row>
    <row r="96" spans="1:2" x14ac:dyDescent="0.2">
      <c r="A96" s="4">
        <v>43313</v>
      </c>
      <c r="B96" s="3">
        <v>54.5</v>
      </c>
    </row>
    <row r="97" spans="1:2" x14ac:dyDescent="0.2">
      <c r="A97" s="4">
        <v>43344</v>
      </c>
      <c r="B97" s="3">
        <v>55.6</v>
      </c>
    </row>
    <row r="98" spans="1:2" x14ac:dyDescent="0.2">
      <c r="A98" s="4">
        <v>43374</v>
      </c>
      <c r="B98" s="3">
        <v>55.7</v>
      </c>
    </row>
    <row r="99" spans="1:2" x14ac:dyDescent="0.2">
      <c r="A99" s="4">
        <v>43405</v>
      </c>
      <c r="B99" s="3">
        <v>55.3</v>
      </c>
    </row>
    <row r="100" spans="1:2" x14ac:dyDescent="0.2">
      <c r="A100" s="4">
        <v>43435</v>
      </c>
      <c r="B100" s="3">
        <v>53.8</v>
      </c>
    </row>
    <row r="101" spans="1:2" x14ac:dyDescent="0.2">
      <c r="A101" s="4">
        <v>43466</v>
      </c>
      <c r="B101" s="3">
        <v>54.9</v>
      </c>
    </row>
    <row r="102" spans="1:2" x14ac:dyDescent="0.2">
      <c r="A102" s="4">
        <v>43497</v>
      </c>
      <c r="B102" s="3">
        <v>53</v>
      </c>
    </row>
    <row r="103" spans="1:2" x14ac:dyDescent="0.2">
      <c r="A103" s="4">
        <v>43525</v>
      </c>
      <c r="B103" s="3">
        <v>52.4</v>
      </c>
    </row>
    <row r="104" spans="1:2" x14ac:dyDescent="0.2">
      <c r="A104" s="4">
        <v>43556</v>
      </c>
      <c r="B104" s="3">
        <v>52.6</v>
      </c>
    </row>
    <row r="105" spans="1:2" x14ac:dyDescent="0.2">
      <c r="A105" s="4">
        <v>43586</v>
      </c>
      <c r="B105" s="3">
        <v>50.5</v>
      </c>
    </row>
    <row r="106" spans="1:2" x14ac:dyDescent="0.2">
      <c r="A106" s="4">
        <v>43617</v>
      </c>
      <c r="B106" s="3">
        <v>50.6</v>
      </c>
    </row>
    <row r="107" spans="1:2" x14ac:dyDescent="0.2">
      <c r="A107" s="4">
        <v>43647</v>
      </c>
      <c r="B107" s="3">
        <v>50</v>
      </c>
    </row>
    <row r="108" spans="1:2" x14ac:dyDescent="0.2">
      <c r="A108" s="4">
        <v>43678</v>
      </c>
      <c r="B108" s="3">
        <v>50.3</v>
      </c>
    </row>
    <row r="109" spans="1:2" x14ac:dyDescent="0.2">
      <c r="A109" s="4">
        <v>43709</v>
      </c>
      <c r="B109" s="3">
        <v>51.1</v>
      </c>
    </row>
    <row r="110" spans="1:2" x14ac:dyDescent="0.2">
      <c r="A110" s="4">
        <v>43739</v>
      </c>
      <c r="B110" s="3">
        <v>51.3</v>
      </c>
    </row>
    <row r="111" spans="1:2" x14ac:dyDescent="0.2">
      <c r="A111" s="4">
        <v>43770</v>
      </c>
      <c r="B111" s="3">
        <v>52.6</v>
      </c>
    </row>
    <row r="112" spans="1:2" x14ac:dyDescent="0.2">
      <c r="A112" s="4">
        <v>43800</v>
      </c>
      <c r="B112" s="3">
        <v>52.4</v>
      </c>
    </row>
    <row r="113" spans="1:2" x14ac:dyDescent="0.2">
      <c r="A113" s="4">
        <v>43831</v>
      </c>
      <c r="B113" s="3">
        <v>51.9</v>
      </c>
    </row>
    <row r="114" spans="1:2" x14ac:dyDescent="0.2">
      <c r="A114" s="4">
        <v>43862</v>
      </c>
      <c r="B114" s="3">
        <v>50.7</v>
      </c>
    </row>
    <row r="115" spans="1:2" x14ac:dyDescent="0.2">
      <c r="A115" s="4">
        <v>43891</v>
      </c>
      <c r="B115" s="3">
        <v>48.5</v>
      </c>
    </row>
    <row r="116" spans="1:2" x14ac:dyDescent="0.2">
      <c r="A116" s="4">
        <v>43922</v>
      </c>
      <c r="B116" s="3">
        <v>36.1</v>
      </c>
    </row>
    <row r="117" spans="1:2" x14ac:dyDescent="0.2">
      <c r="A117" s="4">
        <v>43952</v>
      </c>
      <c r="B117" s="3">
        <v>39.799999999999997</v>
      </c>
    </row>
    <row r="118" spans="1:2" x14ac:dyDescent="0.2">
      <c r="A118" s="4">
        <v>43983</v>
      </c>
      <c r="B118" s="3">
        <v>49.8</v>
      </c>
    </row>
    <row r="119" spans="1:2" x14ac:dyDescent="0.2">
      <c r="A119" s="4">
        <v>44013</v>
      </c>
      <c r="B119" s="3">
        <v>50.9</v>
      </c>
    </row>
    <row r="120" spans="1:2" x14ac:dyDescent="0.2">
      <c r="A120" s="4">
        <v>44044</v>
      </c>
      <c r="B120" s="3">
        <v>53.1</v>
      </c>
    </row>
    <row r="121" spans="1:2" x14ac:dyDescent="0.2">
      <c r="A121" s="4">
        <v>44075</v>
      </c>
      <c r="B121" s="3">
        <v>53.2</v>
      </c>
    </row>
    <row r="122" spans="1:2" x14ac:dyDescent="0.2">
      <c r="A122" s="4">
        <v>44105</v>
      </c>
      <c r="B122" s="3">
        <v>53.4</v>
      </c>
    </row>
    <row r="123" spans="1:2" x14ac:dyDescent="0.2">
      <c r="A123" s="4">
        <v>44136</v>
      </c>
      <c r="B123" s="3">
        <v>56.7</v>
      </c>
    </row>
    <row r="124" spans="1:2" x14ac:dyDescent="0.2">
      <c r="A124" s="4">
        <v>44166</v>
      </c>
      <c r="B124" s="3">
        <v>57.1</v>
      </c>
    </row>
    <row r="125" spans="1:2" x14ac:dyDescent="0.2">
      <c r="A125" s="4">
        <v>44197</v>
      </c>
      <c r="B125" s="3">
        <v>59.2</v>
      </c>
    </row>
    <row r="126" spans="1:2" x14ac:dyDescent="0.2">
      <c r="A126" s="4">
        <v>44228</v>
      </c>
      <c r="B126" s="3">
        <v>58.6</v>
      </c>
    </row>
    <row r="127" spans="1:2" x14ac:dyDescent="0.2">
      <c r="A127" s="4">
        <v>44256</v>
      </c>
      <c r="B127" s="3">
        <v>59.1</v>
      </c>
    </row>
    <row r="128" spans="1:2" x14ac:dyDescent="0.2">
      <c r="A128" s="4">
        <v>44287</v>
      </c>
      <c r="B128" s="3">
        <v>60.5</v>
      </c>
    </row>
    <row r="129" spans="1:2" x14ac:dyDescent="0.2">
      <c r="A129" s="4">
        <v>44317</v>
      </c>
      <c r="B129" s="3">
        <v>62.6</v>
      </c>
    </row>
    <row r="130" spans="1:2" x14ac:dyDescent="0.2">
      <c r="A130" s="4">
        <v>44348</v>
      </c>
      <c r="B130" s="3">
        <v>62.1</v>
      </c>
    </row>
    <row r="131" spans="1:2" x14ac:dyDescent="0.2">
      <c r="A131" s="4">
        <v>44378</v>
      </c>
      <c r="B131" s="3">
        <v>63.4</v>
      </c>
    </row>
    <row r="132" spans="1:2" x14ac:dyDescent="0.2">
      <c r="A132" s="4">
        <v>44409</v>
      </c>
      <c r="B132" s="3">
        <v>61.1</v>
      </c>
    </row>
    <row r="133" spans="1:2" x14ac:dyDescent="0.2">
      <c r="A133" s="4">
        <v>44440</v>
      </c>
      <c r="B133" s="3">
        <v>60.7</v>
      </c>
    </row>
    <row r="134" spans="1:2" x14ac:dyDescent="0.2">
      <c r="A134" s="4">
        <v>44470</v>
      </c>
      <c r="B134" s="3">
        <v>58.4</v>
      </c>
    </row>
    <row r="135" spans="1:2" x14ac:dyDescent="0.2">
      <c r="A135" s="4">
        <v>44501</v>
      </c>
      <c r="B135" s="3">
        <v>58.3</v>
      </c>
    </row>
    <row r="136" spans="1:2" x14ac:dyDescent="0.2">
      <c r="A136" s="4">
        <v>44531</v>
      </c>
      <c r="B136" s="3">
        <v>57.7</v>
      </c>
    </row>
  </sheetData>
  <conditionalFormatting sqref="B2:B13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57A51-060E-4AE1-9381-61D7A81E21B5}">
  <dimension ref="A1:F205"/>
  <sheetViews>
    <sheetView zoomScale="150" zoomScaleNormal="150" workbookViewId="0">
      <pane ySplit="1" topLeftCell="A186" activePane="bottomLeft" state="frozen"/>
      <selection pane="bottomLeft" activeCell="K14" sqref="K14"/>
    </sheetView>
  </sheetViews>
  <sheetFormatPr baseColWidth="10" defaultColWidth="9.1640625" defaultRowHeight="15" x14ac:dyDescent="0.2"/>
  <cols>
    <col min="1" max="1" width="13.5" style="2" customWidth="1"/>
    <col min="2" max="2" width="11.33203125" style="2" customWidth="1"/>
    <col min="3" max="3" width="9.1640625" style="2"/>
    <col min="4" max="4" width="18.33203125" style="2" customWidth="1"/>
    <col min="5" max="16384" width="9.1640625" style="2"/>
  </cols>
  <sheetData>
    <row r="1" spans="1:6" ht="16" thickBot="1" x14ac:dyDescent="0.25">
      <c r="A1" s="11" t="s">
        <v>0</v>
      </c>
      <c r="B1" s="12" t="s">
        <v>15</v>
      </c>
      <c r="C1" s="12" t="s">
        <v>1</v>
      </c>
      <c r="D1" s="15" t="s">
        <v>13</v>
      </c>
      <c r="E1" s="15" t="s">
        <v>14</v>
      </c>
      <c r="F1" s="15" t="s">
        <v>28</v>
      </c>
    </row>
    <row r="2" spans="1:6" x14ac:dyDescent="0.2">
      <c r="A2" s="8">
        <v>38353</v>
      </c>
      <c r="B2" s="9">
        <v>52.1</v>
      </c>
      <c r="C2" s="9"/>
      <c r="D2" s="3">
        <v>55.7</v>
      </c>
      <c r="E2" s="3"/>
      <c r="F2" s="16"/>
    </row>
    <row r="3" spans="1:6" x14ac:dyDescent="0.2">
      <c r="A3" s="4">
        <v>38384</v>
      </c>
      <c r="B3" s="3">
        <v>52.9</v>
      </c>
      <c r="C3" s="3">
        <f>Table1346811121415161718192021[[#This Row],[Caixin PMI]]-B2</f>
        <v>0.79999999999999716</v>
      </c>
      <c r="D3" s="3">
        <v>54.4</v>
      </c>
      <c r="E3" s="3">
        <f>Table1346811121415161718192021[[#This Row],[Official PMI]]-D2</f>
        <v>-1.3000000000000043</v>
      </c>
      <c r="F3" s="16"/>
    </row>
    <row r="4" spans="1:6" x14ac:dyDescent="0.2">
      <c r="A4" s="4">
        <v>38412</v>
      </c>
      <c r="B4" s="3">
        <v>55.2</v>
      </c>
      <c r="C4" s="3">
        <f>Table1346811121415161718192021[[#This Row],[Caixin PMI]]-B3</f>
        <v>2.3000000000000043</v>
      </c>
      <c r="D4" s="3">
        <v>63.4</v>
      </c>
      <c r="E4" s="3">
        <f>Table1346811121415161718192021[[#This Row],[Official PMI]]-D3</f>
        <v>9</v>
      </c>
      <c r="F4" s="16">
        <v>0.105</v>
      </c>
    </row>
    <row r="5" spans="1:6" x14ac:dyDescent="0.2">
      <c r="A5" s="4">
        <v>38443</v>
      </c>
      <c r="B5" s="3">
        <v>54.4</v>
      </c>
      <c r="C5" s="3">
        <f>Table1346811121415161718192021[[#This Row],[Caixin PMI]]-B4</f>
        <v>-0.80000000000000426</v>
      </c>
      <c r="D5" s="3">
        <v>56.9</v>
      </c>
      <c r="E5" s="3">
        <f>Table1346811121415161718192021[[#This Row],[Official PMI]]-D4</f>
        <v>-6.5</v>
      </c>
      <c r="F5" s="16"/>
    </row>
    <row r="6" spans="1:6" x14ac:dyDescent="0.2">
      <c r="A6" s="4">
        <v>38473</v>
      </c>
      <c r="B6" s="3">
        <v>53.3</v>
      </c>
      <c r="C6" s="3">
        <f>Table1346811121415161718192021[[#This Row],[Caixin PMI]]-B5</f>
        <v>-1.1000000000000014</v>
      </c>
      <c r="D6" s="3">
        <v>52.1</v>
      </c>
      <c r="E6" s="3">
        <f>Table1346811121415161718192021[[#This Row],[Official PMI]]-D5</f>
        <v>-4.7999999999999972</v>
      </c>
      <c r="F6" s="16"/>
    </row>
    <row r="7" spans="1:6" x14ac:dyDescent="0.2">
      <c r="A7" s="4">
        <v>38504</v>
      </c>
      <c r="B7" s="3">
        <v>51</v>
      </c>
      <c r="C7" s="3">
        <f>Table1346811121415161718192021[[#This Row],[Caixin PMI]]-B6</f>
        <v>-2.2999999999999972</v>
      </c>
      <c r="D7" s="3">
        <v>52.1</v>
      </c>
      <c r="E7" s="3">
        <f>Table1346811121415161718192021[[#This Row],[Official PMI]]-D6</f>
        <v>0</v>
      </c>
      <c r="F7" s="16">
        <v>0.10100000000000001</v>
      </c>
    </row>
    <row r="8" spans="1:6" x14ac:dyDescent="0.2">
      <c r="A8" s="4">
        <v>38534</v>
      </c>
      <c r="B8" s="3">
        <v>51.5</v>
      </c>
      <c r="C8" s="3">
        <f>Table1346811121415161718192021[[#This Row],[Caixin PMI]]-B7</f>
        <v>0.5</v>
      </c>
      <c r="D8" s="3">
        <v>51.2</v>
      </c>
      <c r="E8" s="3">
        <f>Table1346811121415161718192021[[#This Row],[Official PMI]]-D7</f>
        <v>-0.89999999999999858</v>
      </c>
      <c r="F8" s="16"/>
    </row>
    <row r="9" spans="1:6" x14ac:dyDescent="0.2">
      <c r="A9" s="4">
        <v>38565</v>
      </c>
      <c r="B9" s="3">
        <v>50.6</v>
      </c>
      <c r="C9" s="3">
        <f>Table1346811121415161718192021[[#This Row],[Caixin PMI]]-B8</f>
        <v>-0.89999999999999858</v>
      </c>
      <c r="D9" s="3">
        <v>54.1</v>
      </c>
      <c r="E9" s="3">
        <f>Table1346811121415161718192021[[#This Row],[Official PMI]]-D8</f>
        <v>2.8999999999999986</v>
      </c>
      <c r="F9" s="16"/>
    </row>
    <row r="10" spans="1:6" x14ac:dyDescent="0.2">
      <c r="A10" s="4">
        <v>38596</v>
      </c>
      <c r="B10" s="3">
        <v>50.9</v>
      </c>
      <c r="C10" s="3">
        <f>Table1346811121415161718192021[[#This Row],[Caixin PMI]]-B9</f>
        <v>0.29999999999999716</v>
      </c>
      <c r="D10" s="3">
        <v>56.9</v>
      </c>
      <c r="E10" s="3">
        <f>Table1346811121415161718192021[[#This Row],[Official PMI]]-D9</f>
        <v>2.7999999999999972</v>
      </c>
      <c r="F10" s="16">
        <v>9.98E-2</v>
      </c>
    </row>
    <row r="11" spans="1:6" x14ac:dyDescent="0.2">
      <c r="A11" s="4">
        <v>38626</v>
      </c>
      <c r="B11" s="3">
        <v>50.1</v>
      </c>
      <c r="C11" s="3">
        <f>Table1346811121415161718192021[[#This Row],[Caixin PMI]]-B10</f>
        <v>-0.79999999999999716</v>
      </c>
      <c r="D11" s="3">
        <v>54.1</v>
      </c>
      <c r="E11" s="3">
        <f>Table1346811121415161718192021[[#This Row],[Official PMI]]-D10</f>
        <v>-2.7999999999999972</v>
      </c>
      <c r="F11" s="16"/>
    </row>
    <row r="12" spans="1:6" x14ac:dyDescent="0.2">
      <c r="A12" s="4">
        <v>38657</v>
      </c>
      <c r="B12" s="3">
        <v>49.8</v>
      </c>
      <c r="C12" s="3">
        <f>Table1346811121415161718192021[[#This Row],[Caixin PMI]]-B11</f>
        <v>-0.30000000000000426</v>
      </c>
      <c r="D12" s="3">
        <v>54.1</v>
      </c>
      <c r="E12" s="3">
        <f>Table1346811121415161718192021[[#This Row],[Official PMI]]-D11</f>
        <v>0</v>
      </c>
      <c r="F12" s="16"/>
    </row>
    <row r="13" spans="1:6" x14ac:dyDescent="0.2">
      <c r="A13" s="4">
        <v>38687</v>
      </c>
      <c r="B13" s="3">
        <v>50.1</v>
      </c>
      <c r="C13" s="3">
        <f>Table1346811121415161718192021[[#This Row],[Caixin PMI]]-B12</f>
        <v>0.30000000000000426</v>
      </c>
      <c r="D13" s="3">
        <v>54.3</v>
      </c>
      <c r="E13" s="3">
        <f>Table1346811121415161718192021[[#This Row],[Official PMI]]-D12</f>
        <v>0.19999999999999574</v>
      </c>
      <c r="F13" s="16">
        <v>9.9000000000000005E-2</v>
      </c>
    </row>
    <row r="14" spans="1:6" x14ac:dyDescent="0.2">
      <c r="A14" s="4">
        <v>38718</v>
      </c>
      <c r="B14" s="3">
        <v>50.2</v>
      </c>
      <c r="C14" s="3">
        <f>Table1346811121415161718192021[[#This Row],[Caixin PMI]]-B13</f>
        <v>0.10000000000000142</v>
      </c>
      <c r="D14" s="3">
        <v>52.1</v>
      </c>
      <c r="E14" s="3">
        <f>Table1346811121415161718192021[[#This Row],[Official PMI]]-D13</f>
        <v>-2.1999999999999957</v>
      </c>
      <c r="F14" s="16"/>
    </row>
    <row r="15" spans="1:6" x14ac:dyDescent="0.2">
      <c r="A15" s="4">
        <v>38749</v>
      </c>
      <c r="B15" s="3">
        <v>50.7</v>
      </c>
      <c r="C15" s="3">
        <f>Table1346811121415161718192021[[#This Row],[Caixin PMI]]-B14</f>
        <v>0.5</v>
      </c>
      <c r="D15" s="3">
        <v>52.1</v>
      </c>
      <c r="E15" s="3">
        <f>Table1346811121415161718192021[[#This Row],[Official PMI]]-D14</f>
        <v>0</v>
      </c>
      <c r="F15" s="16"/>
    </row>
    <row r="16" spans="1:6" x14ac:dyDescent="0.2">
      <c r="A16" s="4">
        <v>38777</v>
      </c>
      <c r="B16" s="3">
        <v>51</v>
      </c>
      <c r="C16" s="3">
        <f>Table1346811121415161718192021[[#This Row],[Caixin PMI]]-B15</f>
        <v>0.29999999999999716</v>
      </c>
      <c r="D16" s="3">
        <v>55.3</v>
      </c>
      <c r="E16" s="3">
        <f>Table1346811121415161718192021[[#This Row],[Official PMI]]-D15</f>
        <v>3.1999999999999957</v>
      </c>
      <c r="F16" s="16">
        <v>0.114</v>
      </c>
    </row>
    <row r="17" spans="1:6" x14ac:dyDescent="0.2">
      <c r="A17" s="4">
        <v>38808</v>
      </c>
      <c r="B17" s="3">
        <v>52.7</v>
      </c>
      <c r="C17" s="3">
        <f>Table1346811121415161718192021[[#This Row],[Caixin PMI]]-B16</f>
        <v>1.7000000000000028</v>
      </c>
      <c r="D17" s="3">
        <v>58.1</v>
      </c>
      <c r="E17" s="3">
        <f>Table1346811121415161718192021[[#This Row],[Official PMI]]-D16</f>
        <v>2.8000000000000043</v>
      </c>
      <c r="F17" s="16"/>
    </row>
    <row r="18" spans="1:6" x14ac:dyDescent="0.2">
      <c r="A18" s="4">
        <v>38838</v>
      </c>
      <c r="B18" s="3">
        <v>52.8</v>
      </c>
      <c r="C18" s="3">
        <f>Table1346811121415161718192021[[#This Row],[Caixin PMI]]-B17</f>
        <v>9.9999999999994316E-2</v>
      </c>
      <c r="D18" s="3">
        <v>54.8</v>
      </c>
      <c r="E18" s="3">
        <f>Table1346811121415161718192021[[#This Row],[Official PMI]]-D17</f>
        <v>-3.3000000000000043</v>
      </c>
      <c r="F18" s="16"/>
    </row>
    <row r="19" spans="1:6" x14ac:dyDescent="0.2">
      <c r="A19" s="4">
        <v>38869</v>
      </c>
      <c r="B19" s="3">
        <v>52.9</v>
      </c>
      <c r="C19" s="3">
        <f>Table1346811121415161718192021[[#This Row],[Caixin PMI]]-B18</f>
        <v>0.10000000000000142</v>
      </c>
      <c r="D19" s="3">
        <v>54.1</v>
      </c>
      <c r="E19" s="3">
        <f>Table1346811121415161718192021[[#This Row],[Official PMI]]-D18</f>
        <v>-0.69999999999999574</v>
      </c>
      <c r="F19" s="16">
        <v>0.115</v>
      </c>
    </row>
    <row r="20" spans="1:6" x14ac:dyDescent="0.2">
      <c r="A20" s="4">
        <v>38899</v>
      </c>
      <c r="B20" s="3">
        <v>53</v>
      </c>
      <c r="C20" s="3">
        <f>Table1346811121415161718192021[[#This Row],[Caixin PMI]]-B19</f>
        <v>0.10000000000000142</v>
      </c>
      <c r="D20" s="3">
        <v>52.4</v>
      </c>
      <c r="E20" s="3">
        <f>Table1346811121415161718192021[[#This Row],[Official PMI]]-D19</f>
        <v>-1.7000000000000028</v>
      </c>
      <c r="F20" s="16"/>
    </row>
    <row r="21" spans="1:6" x14ac:dyDescent="0.2">
      <c r="A21" s="4">
        <v>38930</v>
      </c>
      <c r="B21" s="3">
        <v>52.6</v>
      </c>
      <c r="C21" s="3">
        <f>Table1346811121415161718192021[[#This Row],[Caixin PMI]]-B20</f>
        <v>-0.39999999999999858</v>
      </c>
      <c r="D21" s="3">
        <v>53.1</v>
      </c>
      <c r="E21" s="3">
        <f>Table1346811121415161718192021[[#This Row],[Official PMI]]-D20</f>
        <v>0.70000000000000284</v>
      </c>
      <c r="F21" s="16"/>
    </row>
    <row r="22" spans="1:6" x14ac:dyDescent="0.2">
      <c r="A22" s="4">
        <v>38961</v>
      </c>
      <c r="B22" s="3">
        <v>52.4</v>
      </c>
      <c r="C22" s="3">
        <f>Table1346811121415161718192021[[#This Row],[Caixin PMI]]-B21</f>
        <v>-0.20000000000000284</v>
      </c>
      <c r="D22" s="3">
        <v>57</v>
      </c>
      <c r="E22" s="3">
        <f>Table1346811121415161718192021[[#This Row],[Official PMI]]-D21</f>
        <v>3.8999999999999986</v>
      </c>
      <c r="F22" s="16">
        <v>0.106</v>
      </c>
    </row>
    <row r="23" spans="1:6" x14ac:dyDescent="0.2">
      <c r="A23" s="4">
        <v>38991</v>
      </c>
      <c r="B23" s="3">
        <v>52.1</v>
      </c>
      <c r="C23" s="3">
        <f>Table1346811121415161718192021[[#This Row],[Caixin PMI]]-B22</f>
        <v>-0.29999999999999716</v>
      </c>
      <c r="D23" s="3">
        <v>54.7</v>
      </c>
      <c r="E23" s="3">
        <f>Table1346811121415161718192021[[#This Row],[Official PMI]]-D22</f>
        <v>-2.2999999999999972</v>
      </c>
      <c r="F23" s="16"/>
    </row>
    <row r="24" spans="1:6" x14ac:dyDescent="0.2">
      <c r="A24" s="4">
        <v>39022</v>
      </c>
      <c r="B24" s="3">
        <v>53</v>
      </c>
      <c r="C24" s="3">
        <f>Table1346811121415161718192021[[#This Row],[Caixin PMI]]-B23</f>
        <v>0.89999999999999858</v>
      </c>
      <c r="D24" s="3">
        <v>55.3</v>
      </c>
      <c r="E24" s="3">
        <f>Table1346811121415161718192021[[#This Row],[Official PMI]]-D23</f>
        <v>0.59999999999999432</v>
      </c>
      <c r="F24" s="16"/>
    </row>
    <row r="25" spans="1:6" x14ac:dyDescent="0.2">
      <c r="A25" s="4">
        <v>39052</v>
      </c>
      <c r="B25" s="3">
        <v>52.4</v>
      </c>
      <c r="C25" s="3">
        <f>Table1346811121415161718192021[[#This Row],[Caixin PMI]]-B24</f>
        <v>-0.60000000000000142</v>
      </c>
      <c r="D25" s="3">
        <v>54.8</v>
      </c>
      <c r="E25" s="3">
        <f>Table1346811121415161718192021[[#This Row],[Official PMI]]-D24</f>
        <v>-0.5</v>
      </c>
      <c r="F25" s="16">
        <v>0.10400000000000001</v>
      </c>
    </row>
    <row r="26" spans="1:6" x14ac:dyDescent="0.2">
      <c r="A26" s="4">
        <v>39083</v>
      </c>
      <c r="B26" s="3">
        <v>52</v>
      </c>
      <c r="C26" s="3">
        <f>Table1346811121415161718192021[[#This Row],[Caixin PMI]]-B25</f>
        <v>-0.39999999999999858</v>
      </c>
      <c r="D26" s="3">
        <v>55.1</v>
      </c>
      <c r="E26" s="3">
        <f>Table1346811121415161718192021[[#This Row],[Official PMI]]-D25</f>
        <v>0.30000000000000426</v>
      </c>
      <c r="F26" s="16"/>
    </row>
    <row r="27" spans="1:6" x14ac:dyDescent="0.2">
      <c r="A27" s="4">
        <v>39114</v>
      </c>
      <c r="B27" s="3">
        <v>53</v>
      </c>
      <c r="C27" s="3">
        <f>Table1346811121415161718192021[[#This Row],[Caixin PMI]]-B26</f>
        <v>1</v>
      </c>
      <c r="D27" s="3">
        <v>53.1</v>
      </c>
      <c r="E27" s="3">
        <f>Table1346811121415161718192021[[#This Row],[Official PMI]]-D26</f>
        <v>-2</v>
      </c>
      <c r="F27" s="16"/>
    </row>
    <row r="28" spans="1:6" x14ac:dyDescent="0.2">
      <c r="A28" s="4">
        <v>39142</v>
      </c>
      <c r="B28" s="3">
        <v>52.3</v>
      </c>
      <c r="C28" s="3">
        <f>Table1346811121415161718192021[[#This Row],[Caixin PMI]]-B27</f>
        <v>-0.70000000000000284</v>
      </c>
      <c r="D28" s="3">
        <v>56.1</v>
      </c>
      <c r="E28" s="3">
        <f>Table1346811121415161718192021[[#This Row],[Official PMI]]-D27</f>
        <v>3</v>
      </c>
      <c r="F28" s="16">
        <v>0.13</v>
      </c>
    </row>
    <row r="29" spans="1:6" x14ac:dyDescent="0.2">
      <c r="A29" s="4">
        <v>39173</v>
      </c>
      <c r="B29" s="3">
        <v>53.3</v>
      </c>
      <c r="C29" s="3">
        <f>Table1346811121415161718192021[[#This Row],[Caixin PMI]]-B28</f>
        <v>1</v>
      </c>
      <c r="D29" s="3">
        <v>58.6</v>
      </c>
      <c r="E29" s="3">
        <f>Table1346811121415161718192021[[#This Row],[Official PMI]]-D28</f>
        <v>2.5</v>
      </c>
      <c r="F29" s="16"/>
    </row>
    <row r="30" spans="1:6" x14ac:dyDescent="0.2">
      <c r="A30" s="4">
        <v>39203</v>
      </c>
      <c r="B30" s="3">
        <v>54.1</v>
      </c>
      <c r="C30" s="3">
        <f>Table1346811121415161718192021[[#This Row],[Caixin PMI]]-B29</f>
        <v>0.80000000000000426</v>
      </c>
      <c r="D30" s="3">
        <v>55.7</v>
      </c>
      <c r="E30" s="3">
        <f>Table1346811121415161718192021[[#This Row],[Official PMI]]-D29</f>
        <v>-2.8999999999999986</v>
      </c>
      <c r="F30" s="16"/>
    </row>
    <row r="31" spans="1:6" x14ac:dyDescent="0.2">
      <c r="A31" s="4">
        <v>39234</v>
      </c>
      <c r="B31" s="3">
        <v>55</v>
      </c>
      <c r="C31" s="3">
        <f>Table1346811121415161718192021[[#This Row],[Caixin PMI]]-B30</f>
        <v>0.89999999999999858</v>
      </c>
      <c r="D31" s="3">
        <v>54.5</v>
      </c>
      <c r="E31" s="3">
        <f>Table1346811121415161718192021[[#This Row],[Official PMI]]-D30</f>
        <v>-1.2000000000000028</v>
      </c>
      <c r="F31" s="16">
        <v>0.126</v>
      </c>
    </row>
    <row r="32" spans="1:6" x14ac:dyDescent="0.2">
      <c r="A32" s="4">
        <v>39264</v>
      </c>
      <c r="B32" s="3">
        <v>53.2</v>
      </c>
      <c r="C32" s="3">
        <f>Table1346811121415161718192021[[#This Row],[Caixin PMI]]-B31</f>
        <v>-1.7999999999999972</v>
      </c>
      <c r="D32" s="3">
        <v>53.3</v>
      </c>
      <c r="E32" s="3">
        <f>Table1346811121415161718192021[[#This Row],[Official PMI]]-D31</f>
        <v>-1.2000000000000028</v>
      </c>
      <c r="F32" s="16"/>
    </row>
    <row r="33" spans="1:6" x14ac:dyDescent="0.2">
      <c r="A33" s="4">
        <v>39295</v>
      </c>
      <c r="B33" s="3">
        <v>53.4</v>
      </c>
      <c r="C33" s="3">
        <f>Table1346811121415161718192021[[#This Row],[Caixin PMI]]-B32</f>
        <v>0.19999999999999574</v>
      </c>
      <c r="D33" s="3">
        <v>54</v>
      </c>
      <c r="E33" s="3">
        <f>Table1346811121415161718192021[[#This Row],[Official PMI]]-D32</f>
        <v>0.70000000000000284</v>
      </c>
      <c r="F33" s="16"/>
    </row>
    <row r="34" spans="1:6" x14ac:dyDescent="0.2">
      <c r="A34" s="4">
        <v>39326</v>
      </c>
      <c r="B34" s="3">
        <v>55</v>
      </c>
      <c r="C34" s="3">
        <f>Table1346811121415161718192021[[#This Row],[Caixin PMI]]-B33</f>
        <v>1.6000000000000014</v>
      </c>
      <c r="D34" s="3">
        <v>56.1</v>
      </c>
      <c r="E34" s="3">
        <f>Table1346811121415161718192021[[#This Row],[Official PMI]]-D33</f>
        <v>2.1000000000000014</v>
      </c>
      <c r="F34" s="16">
        <v>0.115</v>
      </c>
    </row>
    <row r="35" spans="1:6" x14ac:dyDescent="0.2">
      <c r="A35" s="4">
        <v>39356</v>
      </c>
      <c r="B35" s="3">
        <v>55.2</v>
      </c>
      <c r="C35" s="3">
        <f>Table1346811121415161718192021[[#This Row],[Caixin PMI]]-B34</f>
        <v>0.20000000000000284</v>
      </c>
      <c r="D35" s="3">
        <v>53.2</v>
      </c>
      <c r="E35" s="3">
        <f>Table1346811121415161718192021[[#This Row],[Official PMI]]-D34</f>
        <v>-2.8999999999999986</v>
      </c>
      <c r="F35" s="16"/>
    </row>
    <row r="36" spans="1:6" x14ac:dyDescent="0.2">
      <c r="A36" s="4">
        <v>39387</v>
      </c>
      <c r="B36" s="3">
        <v>52.8</v>
      </c>
      <c r="C36" s="3">
        <f>Table1346811121415161718192021[[#This Row],[Caixin PMI]]-B35</f>
        <v>-2.4000000000000057</v>
      </c>
      <c r="D36" s="3">
        <v>55.4</v>
      </c>
      <c r="E36" s="3">
        <f>Table1346811121415161718192021[[#This Row],[Official PMI]]-D35</f>
        <v>2.1999999999999957</v>
      </c>
      <c r="F36" s="16"/>
    </row>
    <row r="37" spans="1:6" x14ac:dyDescent="0.2">
      <c r="A37" s="4">
        <v>39417</v>
      </c>
      <c r="B37" s="3">
        <v>53.3</v>
      </c>
      <c r="C37" s="3">
        <f>Table1346811121415161718192021[[#This Row],[Caixin PMI]]-B36</f>
        <v>0.5</v>
      </c>
      <c r="D37" s="3">
        <v>55.3</v>
      </c>
      <c r="E37" s="3">
        <f>Table1346811121415161718192021[[#This Row],[Official PMI]]-D36</f>
        <v>-0.10000000000000142</v>
      </c>
      <c r="F37" s="16">
        <v>0.11199999999999999</v>
      </c>
    </row>
    <row r="38" spans="1:6" x14ac:dyDescent="0.2">
      <c r="A38" s="4">
        <v>39448</v>
      </c>
      <c r="B38" s="3">
        <v>53.2</v>
      </c>
      <c r="C38" s="3">
        <f>Table1346811121415161718192021[[#This Row],[Caixin PMI]]-B37</f>
        <v>-9.9999999999994316E-2</v>
      </c>
      <c r="D38" s="3">
        <v>53</v>
      </c>
      <c r="E38" s="3">
        <f>Table1346811121415161718192021[[#This Row],[Official PMI]]-D37</f>
        <v>-2.2999999999999972</v>
      </c>
      <c r="F38" s="16"/>
    </row>
    <row r="39" spans="1:6" x14ac:dyDescent="0.2">
      <c r="A39" s="4">
        <v>39479</v>
      </c>
      <c r="B39" s="3">
        <v>52.8</v>
      </c>
      <c r="C39" s="3">
        <f>Table1346811121415161718192021[[#This Row],[Caixin PMI]]-B38</f>
        <v>-0.40000000000000568</v>
      </c>
      <c r="D39" s="3">
        <v>53.4</v>
      </c>
      <c r="E39" s="3">
        <f>Table1346811121415161718192021[[#This Row],[Official PMI]]-D38</f>
        <v>0.39999999999999858</v>
      </c>
      <c r="F39" s="16"/>
    </row>
    <row r="40" spans="1:6" x14ac:dyDescent="0.2">
      <c r="A40" s="4">
        <v>39508</v>
      </c>
      <c r="B40" s="3">
        <v>54.4</v>
      </c>
      <c r="C40" s="3">
        <f>Table1346811121415161718192021[[#This Row],[Caixin PMI]]-B39</f>
        <v>1.6000000000000014</v>
      </c>
      <c r="D40" s="3">
        <v>58.4</v>
      </c>
      <c r="E40" s="3">
        <f>Table1346811121415161718192021[[#This Row],[Official PMI]]-D39</f>
        <v>5</v>
      </c>
      <c r="F40" s="16">
        <v>0.106</v>
      </c>
    </row>
    <row r="41" spans="1:6" x14ac:dyDescent="0.2">
      <c r="A41" s="4">
        <v>39539</v>
      </c>
      <c r="B41" s="3">
        <v>55.4</v>
      </c>
      <c r="C41" s="3">
        <f>Table1346811121415161718192021[[#This Row],[Caixin PMI]]-B40</f>
        <v>1</v>
      </c>
      <c r="D41" s="3">
        <v>59.2</v>
      </c>
      <c r="E41" s="3">
        <f>Table1346811121415161718192021[[#This Row],[Official PMI]]-D40</f>
        <v>0.80000000000000426</v>
      </c>
      <c r="F41" s="16"/>
    </row>
    <row r="42" spans="1:6" x14ac:dyDescent="0.2">
      <c r="A42" s="4">
        <v>39569</v>
      </c>
      <c r="B42" s="3">
        <v>54.7</v>
      </c>
      <c r="C42" s="3">
        <f>Table1346811121415161718192021[[#This Row],[Caixin PMI]]-B41</f>
        <v>-0.69999999999999574</v>
      </c>
      <c r="D42" s="3">
        <v>53.3</v>
      </c>
      <c r="E42" s="3">
        <f>Table1346811121415161718192021[[#This Row],[Official PMI]]-D41</f>
        <v>-5.9000000000000057</v>
      </c>
      <c r="F42" s="16"/>
    </row>
    <row r="43" spans="1:6" x14ac:dyDescent="0.2">
      <c r="A43" s="4">
        <v>39600</v>
      </c>
      <c r="B43" s="3">
        <v>53.3</v>
      </c>
      <c r="C43" s="3">
        <f>Table1346811121415161718192021[[#This Row],[Caixin PMI]]-B42</f>
        <v>-1.4000000000000057</v>
      </c>
      <c r="D43" s="3">
        <v>52</v>
      </c>
      <c r="E43" s="3">
        <f>Table1346811121415161718192021[[#This Row],[Official PMI]]-D42</f>
        <v>-1.2999999999999972</v>
      </c>
      <c r="F43" s="16">
        <v>0.10099999999999999</v>
      </c>
    </row>
    <row r="44" spans="1:6" x14ac:dyDescent="0.2">
      <c r="A44" s="4">
        <v>39630</v>
      </c>
      <c r="B44" s="3">
        <v>53.3</v>
      </c>
      <c r="C44" s="3">
        <f>Table1346811121415161718192021[[#This Row],[Caixin PMI]]-B43</f>
        <v>0</v>
      </c>
      <c r="D44" s="3">
        <v>48.4</v>
      </c>
      <c r="E44" s="3">
        <f>Table1346811121415161718192021[[#This Row],[Official PMI]]-D43</f>
        <v>-3.6000000000000014</v>
      </c>
      <c r="F44" s="16"/>
    </row>
    <row r="45" spans="1:6" x14ac:dyDescent="0.2">
      <c r="A45" s="4">
        <v>39661</v>
      </c>
      <c r="B45" s="3">
        <v>49.2</v>
      </c>
      <c r="C45" s="3">
        <f>Table1346811121415161718192021[[#This Row],[Caixin PMI]]-B44</f>
        <v>-4.0999999999999943</v>
      </c>
      <c r="D45" s="3">
        <v>48.4</v>
      </c>
      <c r="E45" s="3">
        <f>Table1346811121415161718192021[[#This Row],[Official PMI]]-D44</f>
        <v>0</v>
      </c>
      <c r="F45" s="16"/>
    </row>
    <row r="46" spans="1:6" x14ac:dyDescent="0.2">
      <c r="A46" s="4">
        <v>39692</v>
      </c>
      <c r="B46" s="3">
        <v>47.7</v>
      </c>
      <c r="C46" s="3">
        <f>Table1346811121415161718192021[[#This Row],[Caixin PMI]]-B45</f>
        <v>-1.5</v>
      </c>
      <c r="D46" s="3">
        <v>51.2</v>
      </c>
      <c r="E46" s="3">
        <f>Table1346811121415161718192021[[#This Row],[Official PMI]]-D45</f>
        <v>2.8000000000000043</v>
      </c>
      <c r="F46" s="16">
        <v>0.09</v>
      </c>
    </row>
    <row r="47" spans="1:6" x14ac:dyDescent="0.2">
      <c r="A47" s="4">
        <v>39722</v>
      </c>
      <c r="B47" s="3">
        <v>45.2</v>
      </c>
      <c r="C47" s="3">
        <f>Table1346811121415161718192021[[#This Row],[Caixin PMI]]-B46</f>
        <v>-2.5</v>
      </c>
      <c r="D47" s="3">
        <v>44.6</v>
      </c>
      <c r="E47" s="3">
        <f>Table1346811121415161718192021[[#This Row],[Official PMI]]-D46</f>
        <v>-6.6000000000000014</v>
      </c>
      <c r="F47" s="16"/>
    </row>
    <row r="48" spans="1:6" x14ac:dyDescent="0.2">
      <c r="A48" s="4">
        <v>39753</v>
      </c>
      <c r="B48" s="3">
        <v>40.9</v>
      </c>
      <c r="C48" s="3">
        <f>Table1346811121415161718192021[[#This Row],[Caixin PMI]]-B47</f>
        <v>-4.3000000000000043</v>
      </c>
      <c r="D48" s="3">
        <v>38.799999999999997</v>
      </c>
      <c r="E48" s="3">
        <f>Table1346811121415161718192021[[#This Row],[Official PMI]]-D47</f>
        <v>-5.8000000000000043</v>
      </c>
      <c r="F48" s="16"/>
    </row>
    <row r="49" spans="1:6" x14ac:dyDescent="0.2">
      <c r="A49" s="4">
        <v>39783</v>
      </c>
      <c r="B49" s="3">
        <v>41.2</v>
      </c>
      <c r="C49" s="3">
        <f>Table1346811121415161718192021[[#This Row],[Caixin PMI]]-B48</f>
        <v>0.30000000000000426</v>
      </c>
      <c r="D49" s="3">
        <v>41.2</v>
      </c>
      <c r="E49" s="3">
        <f>Table1346811121415161718192021[[#This Row],[Official PMI]]-D48</f>
        <v>2.4000000000000057</v>
      </c>
      <c r="F49" s="16">
        <v>6.8000000000000005E-2</v>
      </c>
    </row>
    <row r="50" spans="1:6" x14ac:dyDescent="0.2">
      <c r="A50" s="4">
        <v>39814</v>
      </c>
      <c r="B50" s="3">
        <v>42.2</v>
      </c>
      <c r="C50" s="3">
        <f>Table1346811121415161718192021[[#This Row],[Caixin PMI]]-B49</f>
        <v>1</v>
      </c>
      <c r="D50" s="3">
        <v>45.3</v>
      </c>
      <c r="E50" s="3">
        <f>Table1346811121415161718192021[[#This Row],[Official PMI]]-D49</f>
        <v>4.0999999999999943</v>
      </c>
      <c r="F50" s="16"/>
    </row>
    <row r="51" spans="1:6" x14ac:dyDescent="0.2">
      <c r="A51" s="4">
        <v>39845</v>
      </c>
      <c r="B51" s="3">
        <v>45.1</v>
      </c>
      <c r="C51" s="3">
        <f>Table1346811121415161718192021[[#This Row],[Caixin PMI]]-B50</f>
        <v>2.8999999999999986</v>
      </c>
      <c r="D51" s="3">
        <v>49</v>
      </c>
      <c r="E51" s="3">
        <f>Table1346811121415161718192021[[#This Row],[Official PMI]]-D50</f>
        <v>3.7000000000000028</v>
      </c>
      <c r="F51" s="16"/>
    </row>
    <row r="52" spans="1:6" x14ac:dyDescent="0.2">
      <c r="A52" s="4">
        <v>39873</v>
      </c>
      <c r="B52" s="3">
        <v>44.8</v>
      </c>
      <c r="C52" s="3">
        <f>Table1346811121415161718192021[[#This Row],[Caixin PMI]]-B51</f>
        <v>-0.30000000000000426</v>
      </c>
      <c r="D52" s="3">
        <v>52.4</v>
      </c>
      <c r="E52" s="3">
        <f>Table1346811121415161718192021[[#This Row],[Official PMI]]-D51</f>
        <v>3.3999999999999986</v>
      </c>
      <c r="F52" s="16">
        <v>6.2E-2</v>
      </c>
    </row>
    <row r="53" spans="1:6" x14ac:dyDescent="0.2">
      <c r="A53" s="4">
        <v>39904</v>
      </c>
      <c r="B53" s="3">
        <v>50.1</v>
      </c>
      <c r="C53" s="3">
        <f>Table1346811121415161718192021[[#This Row],[Caixin PMI]]-B52</f>
        <v>5.3000000000000043</v>
      </c>
      <c r="D53" s="3">
        <v>53.5</v>
      </c>
      <c r="E53" s="3">
        <f>Table1346811121415161718192021[[#This Row],[Official PMI]]-D52</f>
        <v>1.1000000000000014</v>
      </c>
      <c r="F53" s="16"/>
    </row>
    <row r="54" spans="1:6" x14ac:dyDescent="0.2">
      <c r="A54" s="4">
        <v>39934</v>
      </c>
      <c r="B54" s="3">
        <v>51.2</v>
      </c>
      <c r="C54" s="3">
        <f>Table1346811121415161718192021[[#This Row],[Caixin PMI]]-B53</f>
        <v>1.1000000000000014</v>
      </c>
      <c r="D54" s="3">
        <v>53.1</v>
      </c>
      <c r="E54" s="3">
        <f>Table1346811121415161718192021[[#This Row],[Official PMI]]-D53</f>
        <v>-0.39999999999999858</v>
      </c>
      <c r="F54" s="16"/>
    </row>
    <row r="55" spans="1:6" x14ac:dyDescent="0.2">
      <c r="A55" s="4">
        <v>39965</v>
      </c>
      <c r="B55" s="3">
        <v>51.8</v>
      </c>
      <c r="C55" s="3">
        <f>Table1346811121415161718192021[[#This Row],[Caixin PMI]]-B54</f>
        <v>0.59999999999999432</v>
      </c>
      <c r="D55" s="3">
        <v>53.2</v>
      </c>
      <c r="E55" s="3">
        <f>Table1346811121415161718192021[[#This Row],[Official PMI]]-D54</f>
        <v>0.10000000000000142</v>
      </c>
      <c r="F55" s="16">
        <v>7.9000000000000001E-2</v>
      </c>
    </row>
    <row r="56" spans="1:6" x14ac:dyDescent="0.2">
      <c r="A56" s="4">
        <v>39995</v>
      </c>
      <c r="B56" s="3">
        <v>52.8</v>
      </c>
      <c r="C56" s="3">
        <f>Table1346811121415161718192021[[#This Row],[Caixin PMI]]-B55</f>
        <v>1</v>
      </c>
      <c r="D56" s="3">
        <v>53.3</v>
      </c>
      <c r="E56" s="3">
        <f>Table1346811121415161718192021[[#This Row],[Official PMI]]-D55</f>
        <v>9.9999999999994316E-2</v>
      </c>
      <c r="F56" s="16"/>
    </row>
    <row r="57" spans="1:6" x14ac:dyDescent="0.2">
      <c r="A57" s="4">
        <v>40026</v>
      </c>
      <c r="B57" s="3">
        <v>55.1</v>
      </c>
      <c r="C57" s="3">
        <f>Table1346811121415161718192021[[#This Row],[Caixin PMI]]-B56</f>
        <v>2.3000000000000043</v>
      </c>
      <c r="D57" s="3">
        <v>54</v>
      </c>
      <c r="E57" s="3">
        <f>Table1346811121415161718192021[[#This Row],[Official PMI]]-D56</f>
        <v>0.70000000000000284</v>
      </c>
      <c r="F57" s="16"/>
    </row>
    <row r="58" spans="1:6" x14ac:dyDescent="0.2">
      <c r="A58" s="4">
        <v>40057</v>
      </c>
      <c r="B58" s="3">
        <v>55</v>
      </c>
      <c r="C58" s="3">
        <f>Table1346811121415161718192021[[#This Row],[Caixin PMI]]-B57</f>
        <v>-0.10000000000000142</v>
      </c>
      <c r="D58" s="3">
        <v>54.3</v>
      </c>
      <c r="E58" s="3">
        <f>Table1346811121415161718192021[[#This Row],[Official PMI]]-D57</f>
        <v>0.29999999999999716</v>
      </c>
      <c r="F58" s="16">
        <v>9.0999999999999998E-2</v>
      </c>
    </row>
    <row r="59" spans="1:6" x14ac:dyDescent="0.2">
      <c r="A59" s="4">
        <v>40087</v>
      </c>
      <c r="B59" s="3">
        <v>55.4</v>
      </c>
      <c r="C59" s="3">
        <f>Table1346811121415161718192021[[#This Row],[Caixin PMI]]-B58</f>
        <v>0.39999999999999858</v>
      </c>
      <c r="D59" s="3">
        <v>55.2</v>
      </c>
      <c r="E59" s="3">
        <f>Table1346811121415161718192021[[#This Row],[Official PMI]]-D58</f>
        <v>0.90000000000000568</v>
      </c>
      <c r="F59" s="16"/>
    </row>
    <row r="60" spans="1:6" x14ac:dyDescent="0.2">
      <c r="A60" s="4">
        <v>40118</v>
      </c>
      <c r="B60" s="3">
        <v>55.7</v>
      </c>
      <c r="C60" s="3">
        <f>Table1346811121415161718192021[[#This Row],[Caixin PMI]]-B59</f>
        <v>0.30000000000000426</v>
      </c>
      <c r="D60" s="3">
        <v>55.2</v>
      </c>
      <c r="E60" s="3">
        <f>Table1346811121415161718192021[[#This Row],[Official PMI]]-D59</f>
        <v>0</v>
      </c>
      <c r="F60" s="16"/>
    </row>
    <row r="61" spans="1:6" x14ac:dyDescent="0.2">
      <c r="A61" s="4">
        <v>40148</v>
      </c>
      <c r="B61" s="3">
        <v>56.1</v>
      </c>
      <c r="C61" s="3">
        <f>Table1346811121415161718192021[[#This Row],[Caixin PMI]]-B60</f>
        <v>0.39999999999999858</v>
      </c>
      <c r="D61" s="3">
        <v>56.6</v>
      </c>
      <c r="E61" s="3">
        <f>Table1346811121415161718192021[[#This Row],[Official PMI]]-D60</f>
        <v>1.3999999999999986</v>
      </c>
      <c r="F61" s="16">
        <v>0.107</v>
      </c>
    </row>
    <row r="62" spans="1:6" x14ac:dyDescent="0.2">
      <c r="A62" s="4">
        <v>40179</v>
      </c>
      <c r="B62" s="3">
        <v>57.4</v>
      </c>
      <c r="C62" s="3">
        <f>Table1346811121415161718192021[[#This Row],[Caixin PMI]]-B61</f>
        <v>1.2999999999999972</v>
      </c>
      <c r="D62" s="3">
        <v>55.8</v>
      </c>
      <c r="E62" s="3">
        <f>Table1346811121415161718192021[[#This Row],[Official PMI]]-D61</f>
        <v>-0.80000000000000426</v>
      </c>
      <c r="F62" s="16"/>
    </row>
    <row r="63" spans="1:6" x14ac:dyDescent="0.2">
      <c r="A63" s="4">
        <v>40210</v>
      </c>
      <c r="B63" s="3">
        <v>55.8</v>
      </c>
      <c r="C63" s="3">
        <f>Table1346811121415161718192021[[#This Row],[Caixin PMI]]-B62</f>
        <v>-1.6000000000000014</v>
      </c>
      <c r="D63" s="3">
        <v>52</v>
      </c>
      <c r="E63" s="3">
        <f>Table1346811121415161718192021[[#This Row],[Official PMI]]-D62</f>
        <v>-3.7999999999999972</v>
      </c>
      <c r="F63" s="16"/>
    </row>
    <row r="64" spans="1:6" x14ac:dyDescent="0.2">
      <c r="A64" s="4">
        <v>40238</v>
      </c>
      <c r="B64" s="3">
        <v>57</v>
      </c>
      <c r="C64" s="3">
        <f>Table1346811121415161718192021[[#This Row],[Caixin PMI]]-B63</f>
        <v>1.2000000000000028</v>
      </c>
      <c r="D64" s="3">
        <v>55.1</v>
      </c>
      <c r="E64" s="3">
        <f>Table1346811121415161718192021[[#This Row],[Official PMI]]-D63</f>
        <v>3.1000000000000014</v>
      </c>
      <c r="F64" s="16">
        <v>0.11899999999999999</v>
      </c>
    </row>
    <row r="65" spans="1:6" x14ac:dyDescent="0.2">
      <c r="A65" s="4">
        <v>40269</v>
      </c>
      <c r="B65" s="3">
        <v>55.4</v>
      </c>
      <c r="C65" s="3">
        <f>Table1346811121415161718192021[[#This Row],[Caixin PMI]]-B64</f>
        <v>-1.6000000000000014</v>
      </c>
      <c r="D65" s="3">
        <v>55.7</v>
      </c>
      <c r="E65" s="3">
        <f>Table1346811121415161718192021[[#This Row],[Official PMI]]-D64</f>
        <v>0.60000000000000142</v>
      </c>
      <c r="F65" s="16"/>
    </row>
    <row r="66" spans="1:6" x14ac:dyDescent="0.2">
      <c r="A66" s="4">
        <v>40299</v>
      </c>
      <c r="B66" s="3">
        <v>52.7</v>
      </c>
      <c r="C66" s="3">
        <f>Table1346811121415161718192021[[#This Row],[Caixin PMI]]-B65</f>
        <v>-2.6999999999999957</v>
      </c>
      <c r="D66" s="3">
        <v>53.9</v>
      </c>
      <c r="E66" s="3">
        <f>Table1346811121415161718192021[[#This Row],[Official PMI]]-D65</f>
        <v>-1.8000000000000043</v>
      </c>
      <c r="F66" s="16"/>
    </row>
    <row r="67" spans="1:6" x14ac:dyDescent="0.2">
      <c r="A67" s="4">
        <v>40330</v>
      </c>
      <c r="B67" s="3">
        <v>50.4</v>
      </c>
      <c r="C67" s="3">
        <f>Table1346811121415161718192021[[#This Row],[Caixin PMI]]-B66</f>
        <v>-2.3000000000000043</v>
      </c>
      <c r="D67" s="3">
        <v>52.1</v>
      </c>
      <c r="E67" s="3">
        <f>Table1346811121415161718192021[[#This Row],[Official PMI]]-D66</f>
        <v>-1.7999999999999972</v>
      </c>
      <c r="F67" s="16">
        <v>0.10299999999999999</v>
      </c>
    </row>
    <row r="68" spans="1:6" x14ac:dyDescent="0.2">
      <c r="A68" s="4">
        <v>40360</v>
      </c>
      <c r="B68" s="3">
        <v>49.4</v>
      </c>
      <c r="C68" s="3">
        <f>Table1346811121415161718192021[[#This Row],[Caixin PMI]]-B67</f>
        <v>-1</v>
      </c>
      <c r="D68" s="3">
        <v>51.2</v>
      </c>
      <c r="E68" s="3">
        <f>Table1346811121415161718192021[[#This Row],[Official PMI]]-D67</f>
        <v>-0.89999999999999858</v>
      </c>
      <c r="F68" s="16"/>
    </row>
    <row r="69" spans="1:6" x14ac:dyDescent="0.2">
      <c r="A69" s="4">
        <v>40391</v>
      </c>
      <c r="B69" s="3">
        <v>51.9</v>
      </c>
      <c r="C69" s="3">
        <f>Table1346811121415161718192021[[#This Row],[Caixin PMI]]-B68</f>
        <v>2.5</v>
      </c>
      <c r="D69" s="3">
        <v>51.7</v>
      </c>
      <c r="E69" s="3">
        <f>Table1346811121415161718192021[[#This Row],[Official PMI]]-D68</f>
        <v>0.5</v>
      </c>
      <c r="F69" s="16"/>
    </row>
    <row r="70" spans="1:6" x14ac:dyDescent="0.2">
      <c r="A70" s="4">
        <v>40422</v>
      </c>
      <c r="B70" s="3">
        <v>52.9</v>
      </c>
      <c r="C70" s="3">
        <f>Table1346811121415161718192021[[#This Row],[Caixin PMI]]-B69</f>
        <v>1</v>
      </c>
      <c r="D70" s="3">
        <v>53.8</v>
      </c>
      <c r="E70" s="3">
        <f>Table1346811121415161718192021[[#This Row],[Official PMI]]-D69</f>
        <v>2.0999999999999943</v>
      </c>
      <c r="F70" s="16">
        <v>9.6000000000000002E-2</v>
      </c>
    </row>
    <row r="71" spans="1:6" x14ac:dyDescent="0.2">
      <c r="A71" s="4">
        <v>40452</v>
      </c>
      <c r="B71" s="3">
        <v>54.8</v>
      </c>
      <c r="C71" s="3">
        <f>Table1346811121415161718192021[[#This Row],[Caixin PMI]]-B70</f>
        <v>1.8999999999999986</v>
      </c>
      <c r="D71" s="3">
        <v>54.7</v>
      </c>
      <c r="E71" s="3">
        <f>Table1346811121415161718192021[[#This Row],[Official PMI]]-D70</f>
        <v>0.90000000000000568</v>
      </c>
      <c r="F71" s="16"/>
    </row>
    <row r="72" spans="1:6" x14ac:dyDescent="0.2">
      <c r="A72" s="4">
        <v>40483</v>
      </c>
      <c r="B72" s="3">
        <v>55.3</v>
      </c>
      <c r="C72" s="3">
        <f>Table1346811121415161718192021[[#This Row],[Caixin PMI]]-B71</f>
        <v>0.5</v>
      </c>
      <c r="D72" s="3">
        <v>55.2</v>
      </c>
      <c r="E72" s="3">
        <f>Table1346811121415161718192021[[#This Row],[Official PMI]]-D71</f>
        <v>0.5</v>
      </c>
      <c r="F72" s="16"/>
    </row>
    <row r="73" spans="1:6" x14ac:dyDescent="0.2">
      <c r="A73" s="4">
        <v>40513</v>
      </c>
      <c r="B73" s="3">
        <v>54.4</v>
      </c>
      <c r="C73" s="3">
        <f>Table1346811121415161718192021[[#This Row],[Caixin PMI]]-B72</f>
        <v>-0.89999999999999858</v>
      </c>
      <c r="D73" s="3">
        <v>53.9</v>
      </c>
      <c r="E73" s="3">
        <f>Table1346811121415161718192021[[#This Row],[Official PMI]]-D72</f>
        <v>-1.3000000000000043</v>
      </c>
      <c r="F73" s="16">
        <v>9.8000000000000004E-2</v>
      </c>
    </row>
    <row r="74" spans="1:6" x14ac:dyDescent="0.2">
      <c r="A74" s="4">
        <v>40544</v>
      </c>
      <c r="B74" s="3">
        <v>54.5</v>
      </c>
      <c r="C74" s="3">
        <f>Table1346811121415161718192021[[#This Row],[Caixin PMI]]-B73</f>
        <v>0.10000000000000142</v>
      </c>
      <c r="D74" s="3">
        <v>52.9</v>
      </c>
      <c r="E74" s="3">
        <f>Table1346811121415161718192021[[#This Row],[Official PMI]]-D73</f>
        <v>-1</v>
      </c>
      <c r="F74" s="16"/>
    </row>
    <row r="75" spans="1:6" x14ac:dyDescent="0.2">
      <c r="A75" s="4">
        <v>40575</v>
      </c>
      <c r="B75" s="3">
        <v>51.7</v>
      </c>
      <c r="C75" s="3">
        <f>Table1346811121415161718192021[[#This Row],[Caixin PMI]]-B74</f>
        <v>-2.7999999999999972</v>
      </c>
      <c r="D75" s="3">
        <v>52.2</v>
      </c>
      <c r="E75" s="3">
        <f>Table1346811121415161718192021[[#This Row],[Official PMI]]-D74</f>
        <v>-0.69999999999999574</v>
      </c>
      <c r="F75" s="16"/>
    </row>
    <row r="76" spans="1:6" x14ac:dyDescent="0.2">
      <c r="A76" s="4">
        <v>40603</v>
      </c>
      <c r="B76" s="3">
        <v>51.8</v>
      </c>
      <c r="C76" s="3">
        <f>Table1346811121415161718192021[[#This Row],[Caixin PMI]]-B75</f>
        <v>9.9999999999994316E-2</v>
      </c>
      <c r="D76" s="3">
        <v>53.4</v>
      </c>
      <c r="E76" s="3">
        <f>Table1346811121415161718192021[[#This Row],[Official PMI]]-D75</f>
        <v>1.1999999999999957</v>
      </c>
      <c r="F76" s="16">
        <v>9.7000000000000003E-2</v>
      </c>
    </row>
    <row r="77" spans="1:6" x14ac:dyDescent="0.2">
      <c r="A77" s="4">
        <v>40634</v>
      </c>
      <c r="B77" s="3">
        <v>51.8</v>
      </c>
      <c r="C77" s="3">
        <f>Table1346811121415161718192021[[#This Row],[Caixin PMI]]-B76</f>
        <v>0</v>
      </c>
      <c r="D77" s="3">
        <v>52.9</v>
      </c>
      <c r="E77" s="3">
        <f>Table1346811121415161718192021[[#This Row],[Official PMI]]-D76</f>
        <v>-0.5</v>
      </c>
      <c r="F77" s="16"/>
    </row>
    <row r="78" spans="1:6" x14ac:dyDescent="0.2">
      <c r="A78" s="4">
        <v>40664</v>
      </c>
      <c r="B78" s="3">
        <v>51.6</v>
      </c>
      <c r="C78" s="3">
        <f>Table1346811121415161718192021[[#This Row],[Caixin PMI]]-B77</f>
        <v>-0.19999999999999574</v>
      </c>
      <c r="D78" s="3">
        <v>52</v>
      </c>
      <c r="E78" s="3">
        <f>Table1346811121415161718192021[[#This Row],[Official PMI]]-D77</f>
        <v>-0.89999999999999858</v>
      </c>
      <c r="F78" s="16"/>
    </row>
    <row r="79" spans="1:6" x14ac:dyDescent="0.2">
      <c r="A79" s="4">
        <v>40695</v>
      </c>
      <c r="B79" s="3">
        <v>50.1</v>
      </c>
      <c r="C79" s="3">
        <f>Table1346811121415161718192021[[#This Row],[Caixin PMI]]-B78</f>
        <v>-1.5</v>
      </c>
      <c r="D79" s="3">
        <v>50.9</v>
      </c>
      <c r="E79" s="3">
        <f>Table1346811121415161718192021[[#This Row],[Official PMI]]-D78</f>
        <v>-1.1000000000000014</v>
      </c>
      <c r="F79" s="16">
        <v>9.5000000000000001E-2</v>
      </c>
    </row>
    <row r="80" spans="1:6" x14ac:dyDescent="0.2">
      <c r="A80" s="4">
        <v>40725</v>
      </c>
      <c r="B80" s="3">
        <v>49.3</v>
      </c>
      <c r="C80" s="3">
        <f>Table1346811121415161718192021[[#This Row],[Caixin PMI]]-B79</f>
        <v>-0.80000000000000426</v>
      </c>
      <c r="D80" s="3">
        <v>50.7</v>
      </c>
      <c r="E80" s="3">
        <f>Table1346811121415161718192021[[#This Row],[Official PMI]]-D79</f>
        <v>-0.19999999999999574</v>
      </c>
      <c r="F80" s="16"/>
    </row>
    <row r="81" spans="1:6" x14ac:dyDescent="0.2">
      <c r="A81" s="4">
        <v>40756</v>
      </c>
      <c r="B81" s="3">
        <v>49.9</v>
      </c>
      <c r="C81" s="3">
        <f>Table1346811121415161718192021[[#This Row],[Caixin PMI]]-B80</f>
        <v>0.60000000000000142</v>
      </c>
      <c r="D81" s="3">
        <v>50.9</v>
      </c>
      <c r="E81" s="3">
        <f>Table1346811121415161718192021[[#This Row],[Official PMI]]-D80</f>
        <v>0.19999999999999574</v>
      </c>
      <c r="F81" s="16"/>
    </row>
    <row r="82" spans="1:6" x14ac:dyDescent="0.2">
      <c r="A82" s="4">
        <v>40787</v>
      </c>
      <c r="B82" s="3">
        <v>49.9</v>
      </c>
      <c r="C82" s="3">
        <f>Table1346811121415161718192021[[#This Row],[Caixin PMI]]-B81</f>
        <v>0</v>
      </c>
      <c r="D82" s="3">
        <v>51.2</v>
      </c>
      <c r="E82" s="3">
        <f>Table1346811121415161718192021[[#This Row],[Official PMI]]-D81</f>
        <v>0.30000000000000426</v>
      </c>
      <c r="F82" s="16">
        <v>9.0999999999999998E-2</v>
      </c>
    </row>
    <row r="83" spans="1:6" x14ac:dyDescent="0.2">
      <c r="A83" s="4">
        <v>40817</v>
      </c>
      <c r="B83" s="3">
        <v>51</v>
      </c>
      <c r="C83" s="3">
        <f>Table1346811121415161718192021[[#This Row],[Caixin PMI]]-B82</f>
        <v>1.1000000000000014</v>
      </c>
      <c r="D83" s="3">
        <v>50.4</v>
      </c>
      <c r="E83" s="3">
        <f>Table1346811121415161718192021[[#This Row],[Official PMI]]-D82</f>
        <v>-0.80000000000000426</v>
      </c>
      <c r="F83" s="16"/>
    </row>
    <row r="84" spans="1:6" x14ac:dyDescent="0.2">
      <c r="A84" s="4">
        <v>40848</v>
      </c>
      <c r="B84" s="3">
        <v>47.7</v>
      </c>
      <c r="C84" s="3">
        <f>Table1346811121415161718192021[[#This Row],[Caixin PMI]]-B83</f>
        <v>-3.2999999999999972</v>
      </c>
      <c r="D84" s="3">
        <v>49</v>
      </c>
      <c r="E84" s="3">
        <f>Table1346811121415161718192021[[#This Row],[Official PMI]]-D83</f>
        <v>-1.3999999999999986</v>
      </c>
      <c r="F84" s="16"/>
    </row>
    <row r="85" spans="1:6" x14ac:dyDescent="0.2">
      <c r="A85" s="4">
        <v>40878</v>
      </c>
      <c r="B85" s="3">
        <v>48.7</v>
      </c>
      <c r="C85" s="3">
        <f>Table1346811121415161718192021[[#This Row],[Caixin PMI]]-B84</f>
        <v>1</v>
      </c>
      <c r="D85" s="3">
        <v>50.3</v>
      </c>
      <c r="E85" s="3">
        <f>Table1346811121415161718192021[[#This Row],[Official PMI]]-D84</f>
        <v>1.2999999999999972</v>
      </c>
      <c r="F85" s="16">
        <v>8.8999999999999996E-2</v>
      </c>
    </row>
    <row r="86" spans="1:6" x14ac:dyDescent="0.2">
      <c r="A86" s="4">
        <v>40909</v>
      </c>
      <c r="B86" s="3">
        <v>48.8</v>
      </c>
      <c r="C86" s="3">
        <f>Table1346811121415161718192021[[#This Row],[Caixin PMI]]-B85</f>
        <v>9.9999999999994316E-2</v>
      </c>
      <c r="D86" s="3">
        <v>50.5</v>
      </c>
      <c r="E86" s="3">
        <f>Table1346811121415161718192021[[#This Row],[Official PMI]]-D85</f>
        <v>0.20000000000000284</v>
      </c>
      <c r="F86" s="16"/>
    </row>
    <row r="87" spans="1:6" x14ac:dyDescent="0.2">
      <c r="A87" s="4">
        <v>40940</v>
      </c>
      <c r="B87" s="3">
        <v>49.6</v>
      </c>
      <c r="C87" s="3">
        <f>Table1346811121415161718192021[[#This Row],[Caixin PMI]]-B86</f>
        <v>0.80000000000000426</v>
      </c>
      <c r="D87" s="3">
        <v>51</v>
      </c>
      <c r="E87" s="3">
        <f>Table1346811121415161718192021[[#This Row],[Official PMI]]-D86</f>
        <v>0.5</v>
      </c>
      <c r="F87" s="16"/>
    </row>
    <row r="88" spans="1:6" x14ac:dyDescent="0.2">
      <c r="A88" s="4">
        <v>40969</v>
      </c>
      <c r="B88" s="3">
        <v>48.3</v>
      </c>
      <c r="C88" s="3">
        <f>Table1346811121415161718192021[[#This Row],[Caixin PMI]]-B87</f>
        <v>-1.3000000000000043</v>
      </c>
      <c r="D88" s="3">
        <v>53.1</v>
      </c>
      <c r="E88" s="3">
        <f>Table1346811121415161718192021[[#This Row],[Official PMI]]-D87</f>
        <v>2.1000000000000014</v>
      </c>
      <c r="F88" s="16">
        <v>8.1000000000000003E-2</v>
      </c>
    </row>
    <row r="89" spans="1:6" x14ac:dyDescent="0.2">
      <c r="A89" s="4">
        <v>41000</v>
      </c>
      <c r="B89" s="3">
        <v>49.3</v>
      </c>
      <c r="C89" s="3">
        <f>Table1346811121415161718192021[[#This Row],[Caixin PMI]]-B88</f>
        <v>1</v>
      </c>
      <c r="D89" s="3">
        <v>53.3</v>
      </c>
      <c r="E89" s="3">
        <f>Table1346811121415161718192021[[#This Row],[Official PMI]]-D88</f>
        <v>0.19999999999999574</v>
      </c>
      <c r="F89" s="16"/>
    </row>
    <row r="90" spans="1:6" x14ac:dyDescent="0.2">
      <c r="A90" s="4">
        <v>41030</v>
      </c>
      <c r="B90" s="3">
        <v>48.4</v>
      </c>
      <c r="C90" s="3">
        <f>Table1346811121415161718192021[[#This Row],[Caixin PMI]]-B89</f>
        <v>-0.89999999999999858</v>
      </c>
      <c r="D90" s="3">
        <v>50.4</v>
      </c>
      <c r="E90" s="3">
        <f>Table1346811121415161718192021[[#This Row],[Official PMI]]-D89</f>
        <v>-2.8999999999999986</v>
      </c>
      <c r="F90" s="16"/>
    </row>
    <row r="91" spans="1:6" x14ac:dyDescent="0.2">
      <c r="A91" s="4">
        <v>41061</v>
      </c>
      <c r="B91" s="3">
        <v>48.2</v>
      </c>
      <c r="C91" s="3">
        <f>Table1346811121415161718192021[[#This Row],[Caixin PMI]]-B90</f>
        <v>-0.19999999999999574</v>
      </c>
      <c r="D91" s="3">
        <v>50.2</v>
      </c>
      <c r="E91" s="3">
        <f>Table1346811121415161718192021[[#This Row],[Official PMI]]-D90</f>
        <v>-0.19999999999999574</v>
      </c>
      <c r="F91" s="16">
        <v>7.5999999999999998E-2</v>
      </c>
    </row>
    <row r="92" spans="1:6" x14ac:dyDescent="0.2">
      <c r="A92" s="4">
        <v>41091</v>
      </c>
      <c r="B92" s="3">
        <v>49.3</v>
      </c>
      <c r="C92" s="3">
        <f>Table1346811121415161718192021[[#This Row],[Caixin PMI]]-B91</f>
        <v>1.0999999999999943</v>
      </c>
      <c r="D92" s="3">
        <v>50.1</v>
      </c>
      <c r="E92" s="3">
        <f>Table1346811121415161718192021[[#This Row],[Official PMI]]-D91</f>
        <v>-0.10000000000000142</v>
      </c>
      <c r="F92" s="16"/>
    </row>
    <row r="93" spans="1:6" x14ac:dyDescent="0.2">
      <c r="A93" s="4">
        <v>41122</v>
      </c>
      <c r="B93" s="3">
        <v>47.7</v>
      </c>
      <c r="C93" s="3">
        <f>Table1346811121415161718192021[[#This Row],[Caixin PMI]]-B92</f>
        <v>-1.5999999999999943</v>
      </c>
      <c r="D93" s="3">
        <v>49.2</v>
      </c>
      <c r="E93" s="3">
        <f>Table1346811121415161718192021[[#This Row],[Official PMI]]-D92</f>
        <v>-0.89999999999999858</v>
      </c>
      <c r="F93" s="16"/>
    </row>
    <row r="94" spans="1:6" x14ac:dyDescent="0.2">
      <c r="A94" s="4">
        <v>41153</v>
      </c>
      <c r="B94" s="3">
        <v>47.9</v>
      </c>
      <c r="C94" s="3">
        <f>Table1346811121415161718192021[[#This Row],[Caixin PMI]]-B93</f>
        <v>0.19999999999999574</v>
      </c>
      <c r="D94" s="3">
        <v>49.8</v>
      </c>
      <c r="E94" s="3">
        <f>Table1346811121415161718192021[[#This Row],[Official PMI]]-D93</f>
        <v>0.59999999999999432</v>
      </c>
      <c r="F94" s="16">
        <v>7.3999999999999996E-2</v>
      </c>
    </row>
    <row r="95" spans="1:6" x14ac:dyDescent="0.2">
      <c r="A95" s="4">
        <v>41183</v>
      </c>
      <c r="B95" s="3">
        <v>49.5</v>
      </c>
      <c r="C95" s="3">
        <f>Table1346811121415161718192021[[#This Row],[Caixin PMI]]-B94</f>
        <v>1.6000000000000014</v>
      </c>
      <c r="D95" s="3">
        <v>50.2</v>
      </c>
      <c r="E95" s="3">
        <f>Table1346811121415161718192021[[#This Row],[Official PMI]]-D94</f>
        <v>0.40000000000000568</v>
      </c>
      <c r="F95" s="16"/>
    </row>
    <row r="96" spans="1:6" x14ac:dyDescent="0.2">
      <c r="A96" s="4">
        <v>41214</v>
      </c>
      <c r="B96" s="3">
        <v>50.5</v>
      </c>
      <c r="C96" s="3">
        <f>Table1346811121415161718192021[[#This Row],[Caixin PMI]]-B95</f>
        <v>1</v>
      </c>
      <c r="D96" s="3">
        <v>50.6</v>
      </c>
      <c r="E96" s="3">
        <f>Table1346811121415161718192021[[#This Row],[Official PMI]]-D95</f>
        <v>0.39999999999999858</v>
      </c>
      <c r="F96" s="16"/>
    </row>
    <row r="97" spans="1:6" x14ac:dyDescent="0.2">
      <c r="A97" s="4">
        <v>41244</v>
      </c>
      <c r="B97" s="3">
        <v>51.5</v>
      </c>
      <c r="C97" s="3">
        <f>Table1346811121415161718192021[[#This Row],[Caixin PMI]]-B96</f>
        <v>1</v>
      </c>
      <c r="D97" s="3">
        <v>50.6</v>
      </c>
      <c r="E97" s="3">
        <f>Table1346811121415161718192021[[#This Row],[Official PMI]]-D96</f>
        <v>0</v>
      </c>
      <c r="F97" s="16">
        <v>7.9000000000000001E-2</v>
      </c>
    </row>
    <row r="98" spans="1:6" x14ac:dyDescent="0.2">
      <c r="A98" s="4">
        <v>41275</v>
      </c>
      <c r="B98" s="3">
        <v>52.3</v>
      </c>
      <c r="C98" s="3">
        <f>Table1346811121415161718192021[[#This Row],[Caixin PMI]]-B97</f>
        <v>0.79999999999999716</v>
      </c>
      <c r="D98" s="3">
        <v>50.4</v>
      </c>
      <c r="E98" s="3">
        <f>Table1346811121415161718192021[[#This Row],[Official PMI]]-D97</f>
        <v>-0.20000000000000284</v>
      </c>
      <c r="F98" s="16"/>
    </row>
    <row r="99" spans="1:6" x14ac:dyDescent="0.2">
      <c r="A99" s="4">
        <v>41306</v>
      </c>
      <c r="B99" s="3">
        <v>50.4</v>
      </c>
      <c r="C99" s="3">
        <f>Table1346811121415161718192021[[#This Row],[Caixin PMI]]-B98</f>
        <v>-1.8999999999999986</v>
      </c>
      <c r="D99" s="3">
        <v>50.1</v>
      </c>
      <c r="E99" s="3">
        <f>Table1346811121415161718192021[[#This Row],[Official PMI]]-D98</f>
        <v>-0.29999999999999716</v>
      </c>
      <c r="F99" s="16"/>
    </row>
    <row r="100" spans="1:6" x14ac:dyDescent="0.2">
      <c r="A100" s="4">
        <v>41334</v>
      </c>
      <c r="B100" s="3">
        <v>51.6</v>
      </c>
      <c r="C100" s="3">
        <f>Table1346811121415161718192021[[#This Row],[Caixin PMI]]-B99</f>
        <v>1.2000000000000028</v>
      </c>
      <c r="D100" s="3">
        <v>50.9</v>
      </c>
      <c r="E100" s="3">
        <f>Table1346811121415161718192021[[#This Row],[Official PMI]]-D99</f>
        <v>0.79999999999999716</v>
      </c>
      <c r="F100" s="16">
        <v>7.8E-2</v>
      </c>
    </row>
    <row r="101" spans="1:6" x14ac:dyDescent="0.2">
      <c r="A101" s="4">
        <v>41365</v>
      </c>
      <c r="B101" s="3">
        <v>50.4</v>
      </c>
      <c r="C101" s="3">
        <f>Table1346811121415161718192021[[#This Row],[Caixin PMI]]-B100</f>
        <v>-1.2000000000000028</v>
      </c>
      <c r="D101" s="3">
        <v>50.6</v>
      </c>
      <c r="E101" s="3">
        <f>Table1346811121415161718192021[[#This Row],[Official PMI]]-D100</f>
        <v>-0.29999999999999716</v>
      </c>
      <c r="F101" s="16"/>
    </row>
    <row r="102" spans="1:6" x14ac:dyDescent="0.2">
      <c r="A102" s="4">
        <v>41395</v>
      </c>
      <c r="B102" s="3">
        <v>49.2</v>
      </c>
      <c r="C102" s="3">
        <f>Table1346811121415161718192021[[#This Row],[Caixin PMI]]-B101</f>
        <v>-1.1999999999999957</v>
      </c>
      <c r="D102" s="3">
        <v>50.8</v>
      </c>
      <c r="E102" s="3">
        <f>Table1346811121415161718192021[[#This Row],[Official PMI]]-D101</f>
        <v>0.19999999999999574</v>
      </c>
      <c r="F102" s="16"/>
    </row>
    <row r="103" spans="1:6" x14ac:dyDescent="0.2">
      <c r="A103" s="4">
        <v>41426</v>
      </c>
      <c r="B103" s="3">
        <v>48.2</v>
      </c>
      <c r="C103" s="13">
        <f>Table1346811121415161718192021[[#This Row],[Caixin PMI]]-B102</f>
        <v>-1</v>
      </c>
      <c r="D103" s="3">
        <v>50.1</v>
      </c>
      <c r="E103" s="3">
        <f>Table1346811121415161718192021[[#This Row],[Official PMI]]-D102</f>
        <v>-0.69999999999999574</v>
      </c>
      <c r="F103" s="16">
        <v>7.4999999999999997E-2</v>
      </c>
    </row>
    <row r="104" spans="1:6" x14ac:dyDescent="0.2">
      <c r="A104" s="4">
        <v>41456</v>
      </c>
      <c r="B104" s="3">
        <v>47.7</v>
      </c>
      <c r="C104" s="13">
        <f>Table1346811121415161718192021[[#This Row],[Caixin PMI]]-B103</f>
        <v>-0.5</v>
      </c>
      <c r="D104" s="3">
        <v>50.3</v>
      </c>
      <c r="E104" s="3">
        <f>Table1346811121415161718192021[[#This Row],[Official PMI]]-D103</f>
        <v>0.19999999999999574</v>
      </c>
      <c r="F104" s="16"/>
    </row>
    <row r="105" spans="1:6" x14ac:dyDescent="0.2">
      <c r="A105" s="4">
        <v>41487</v>
      </c>
      <c r="B105" s="3">
        <v>50.1</v>
      </c>
      <c r="C105" s="13">
        <f>Table1346811121415161718192021[[#This Row],[Caixin PMI]]-B104</f>
        <v>2.3999999999999986</v>
      </c>
      <c r="D105" s="3">
        <v>51</v>
      </c>
      <c r="E105" s="3">
        <f>Table1346811121415161718192021[[#This Row],[Official PMI]]-D104</f>
        <v>0.70000000000000284</v>
      </c>
      <c r="F105" s="16"/>
    </row>
    <row r="106" spans="1:6" x14ac:dyDescent="0.2">
      <c r="A106" s="4">
        <v>41518</v>
      </c>
      <c r="B106" s="3">
        <v>50.2</v>
      </c>
      <c r="C106" s="13">
        <f>Table1346811121415161718192021[[#This Row],[Caixin PMI]]-B105</f>
        <v>0.10000000000000142</v>
      </c>
      <c r="D106" s="3">
        <v>51.1</v>
      </c>
      <c r="E106" s="3">
        <f>Table1346811121415161718192021[[#This Row],[Official PMI]]-D105</f>
        <v>0.10000000000000142</v>
      </c>
      <c r="F106" s="16">
        <v>7.9000000000000001E-2</v>
      </c>
    </row>
    <row r="107" spans="1:6" x14ac:dyDescent="0.2">
      <c r="A107" s="4">
        <v>41548</v>
      </c>
      <c r="B107" s="3">
        <v>50.9</v>
      </c>
      <c r="C107" s="13">
        <f>Table1346811121415161718192021[[#This Row],[Caixin PMI]]-B106</f>
        <v>0.69999999999999574</v>
      </c>
      <c r="D107" s="3">
        <v>51.4</v>
      </c>
      <c r="E107" s="3">
        <f>Table1346811121415161718192021[[#This Row],[Official PMI]]-D106</f>
        <v>0.29999999999999716</v>
      </c>
      <c r="F107" s="16"/>
    </row>
    <row r="108" spans="1:6" x14ac:dyDescent="0.2">
      <c r="A108" s="4">
        <v>41579</v>
      </c>
      <c r="B108" s="3">
        <v>50.8</v>
      </c>
      <c r="C108" s="13">
        <f>Table1346811121415161718192021[[#This Row],[Caixin PMI]]-B107</f>
        <v>-0.10000000000000142</v>
      </c>
      <c r="D108" s="3">
        <v>51.4</v>
      </c>
      <c r="E108" s="3">
        <f>Table1346811121415161718192021[[#This Row],[Official PMI]]-D107</f>
        <v>0</v>
      </c>
      <c r="F108" s="16"/>
    </row>
    <row r="109" spans="1:6" x14ac:dyDescent="0.2">
      <c r="A109" s="4">
        <v>41609</v>
      </c>
      <c r="B109" s="3">
        <v>50.5</v>
      </c>
      <c r="C109" s="13">
        <f>Table1346811121415161718192021[[#This Row],[Caixin PMI]]-B108</f>
        <v>-0.29999999999999716</v>
      </c>
      <c r="D109" s="3">
        <v>51</v>
      </c>
      <c r="E109" s="3">
        <f>Table1346811121415161718192021[[#This Row],[Official PMI]]-D108</f>
        <v>-0.39999999999999858</v>
      </c>
      <c r="F109" s="16">
        <v>7.5999999999999998E-2</v>
      </c>
    </row>
    <row r="110" spans="1:6" x14ac:dyDescent="0.2">
      <c r="A110" s="4">
        <v>41640</v>
      </c>
      <c r="B110" s="3">
        <v>49.5</v>
      </c>
      <c r="C110" s="13">
        <f>Table1346811121415161718192021[[#This Row],[Caixin PMI]]-B109</f>
        <v>-1</v>
      </c>
      <c r="D110" s="3">
        <v>50.5</v>
      </c>
      <c r="E110" s="3">
        <f>Table1346811121415161718192021[[#This Row],[Official PMI]]-D109</f>
        <v>-0.5</v>
      </c>
      <c r="F110" s="16"/>
    </row>
    <row r="111" spans="1:6" x14ac:dyDescent="0.2">
      <c r="A111" s="4">
        <v>41671</v>
      </c>
      <c r="B111" s="3">
        <v>48.5</v>
      </c>
      <c r="C111" s="13">
        <f>Table1346811121415161718192021[[#This Row],[Caixin PMI]]-B110</f>
        <v>-1</v>
      </c>
      <c r="D111" s="3">
        <v>50.2</v>
      </c>
      <c r="E111" s="3">
        <f>Table1346811121415161718192021[[#This Row],[Official PMI]]-D110</f>
        <v>-0.29999999999999716</v>
      </c>
      <c r="F111" s="16"/>
    </row>
    <row r="112" spans="1:6" x14ac:dyDescent="0.2">
      <c r="A112" s="4">
        <v>41699</v>
      </c>
      <c r="B112" s="3">
        <v>48</v>
      </c>
      <c r="C112" s="13">
        <f>Table1346811121415161718192021[[#This Row],[Caixin PMI]]-B111</f>
        <v>-0.5</v>
      </c>
      <c r="D112" s="3">
        <v>50.3</v>
      </c>
      <c r="E112" s="3">
        <f>Table1346811121415161718192021[[#This Row],[Official PMI]]-D111</f>
        <v>9.9999999999994316E-2</v>
      </c>
      <c r="F112" s="16">
        <v>7.2999999999999995E-2</v>
      </c>
    </row>
    <row r="113" spans="1:6" x14ac:dyDescent="0.2">
      <c r="A113" s="4">
        <v>41730</v>
      </c>
      <c r="B113" s="3">
        <v>48.1</v>
      </c>
      <c r="C113" s="13">
        <f>Table1346811121415161718192021[[#This Row],[Caixin PMI]]-B112</f>
        <v>0.10000000000000142</v>
      </c>
      <c r="D113" s="3">
        <v>50.4</v>
      </c>
      <c r="E113" s="3">
        <f>Table1346811121415161718192021[[#This Row],[Official PMI]]-D112</f>
        <v>0.10000000000000142</v>
      </c>
      <c r="F113" s="16"/>
    </row>
    <row r="114" spans="1:6" x14ac:dyDescent="0.2">
      <c r="A114" s="4">
        <v>41760</v>
      </c>
      <c r="B114" s="3">
        <v>49.4</v>
      </c>
      <c r="C114" s="13">
        <f>Table1346811121415161718192021[[#This Row],[Caixin PMI]]-B113</f>
        <v>1.2999999999999972</v>
      </c>
      <c r="D114" s="3">
        <v>50.8</v>
      </c>
      <c r="E114" s="3">
        <f>Table1346811121415161718192021[[#This Row],[Official PMI]]-D113</f>
        <v>0.39999999999999858</v>
      </c>
      <c r="F114" s="16"/>
    </row>
    <row r="115" spans="1:6" x14ac:dyDescent="0.2">
      <c r="A115" s="4">
        <v>41791</v>
      </c>
      <c r="B115" s="3">
        <v>50.7</v>
      </c>
      <c r="C115" s="13">
        <f>Table1346811121415161718192021[[#This Row],[Caixin PMI]]-B114</f>
        <v>1.3000000000000043</v>
      </c>
      <c r="D115" s="3">
        <v>51</v>
      </c>
      <c r="E115" s="3">
        <f>Table1346811121415161718192021[[#This Row],[Official PMI]]-D114</f>
        <v>0.20000000000000284</v>
      </c>
      <c r="F115" s="16">
        <v>7.3999999999999996E-2</v>
      </c>
    </row>
    <row r="116" spans="1:6" x14ac:dyDescent="0.2">
      <c r="A116" s="4">
        <v>41821</v>
      </c>
      <c r="B116" s="3">
        <v>51.7</v>
      </c>
      <c r="C116" s="13">
        <f>Table1346811121415161718192021[[#This Row],[Caixin PMI]]-B115</f>
        <v>1</v>
      </c>
      <c r="D116" s="3">
        <v>51.7</v>
      </c>
      <c r="E116" s="3">
        <f>Table1346811121415161718192021[[#This Row],[Official PMI]]-D115</f>
        <v>0.70000000000000284</v>
      </c>
      <c r="F116" s="16"/>
    </row>
    <row r="117" spans="1:6" x14ac:dyDescent="0.2">
      <c r="A117" s="4">
        <v>41852</v>
      </c>
      <c r="B117" s="3">
        <v>50.2</v>
      </c>
      <c r="C117" s="13">
        <f>Table1346811121415161718192021[[#This Row],[Caixin PMI]]-B116</f>
        <v>-1.5</v>
      </c>
      <c r="D117" s="3">
        <v>51.1</v>
      </c>
      <c r="E117" s="3">
        <f>Table1346811121415161718192021[[#This Row],[Official PMI]]-D116</f>
        <v>-0.60000000000000142</v>
      </c>
      <c r="F117" s="16"/>
    </row>
    <row r="118" spans="1:6" x14ac:dyDescent="0.2">
      <c r="A118" s="4">
        <v>41883</v>
      </c>
      <c r="B118" s="3">
        <v>51.1</v>
      </c>
      <c r="C118" s="13">
        <f>Table1346811121415161718192021[[#This Row],[Caixin PMI]]-B117</f>
        <v>0.89999999999999858</v>
      </c>
      <c r="D118" s="3">
        <v>51.1</v>
      </c>
      <c r="E118" s="3">
        <f>Table1346811121415161718192021[[#This Row],[Official PMI]]-D117</f>
        <v>0</v>
      </c>
      <c r="F118" s="16">
        <v>7.1999999999999995E-2</v>
      </c>
    </row>
    <row r="119" spans="1:6" x14ac:dyDescent="0.2">
      <c r="A119" s="4">
        <v>41913</v>
      </c>
      <c r="B119" s="3">
        <v>50.8</v>
      </c>
      <c r="C119" s="13">
        <f>Table1346811121415161718192021[[#This Row],[Caixin PMI]]-B118</f>
        <v>-0.30000000000000426</v>
      </c>
      <c r="D119" s="3">
        <v>50.8</v>
      </c>
      <c r="E119" s="3">
        <f>Table1346811121415161718192021[[#This Row],[Official PMI]]-D118</f>
        <v>-0.30000000000000426</v>
      </c>
      <c r="F119" s="16"/>
    </row>
    <row r="120" spans="1:6" x14ac:dyDescent="0.2">
      <c r="A120" s="4">
        <v>41944</v>
      </c>
      <c r="B120" s="3">
        <v>50.3</v>
      </c>
      <c r="C120" s="13">
        <f>Table1346811121415161718192021[[#This Row],[Caixin PMI]]-B119</f>
        <v>-0.5</v>
      </c>
      <c r="D120" s="3">
        <v>50.3</v>
      </c>
      <c r="E120" s="3">
        <f>Table1346811121415161718192021[[#This Row],[Official PMI]]-D119</f>
        <v>-0.5</v>
      </c>
      <c r="F120" s="16"/>
    </row>
    <row r="121" spans="1:6" x14ac:dyDescent="0.2">
      <c r="A121" s="4">
        <v>41974</v>
      </c>
      <c r="B121" s="3">
        <v>50.1</v>
      </c>
      <c r="C121" s="13">
        <f>Table1346811121415161718192021[[#This Row],[Caixin PMI]]-B120</f>
        <v>-0.19999999999999574</v>
      </c>
      <c r="D121" s="3">
        <v>50.1</v>
      </c>
      <c r="E121" s="3">
        <f>Table1346811121415161718192021[[#This Row],[Official PMI]]-D120</f>
        <v>-0.19999999999999574</v>
      </c>
      <c r="F121" s="16">
        <v>7.1999999999999995E-2</v>
      </c>
    </row>
    <row r="122" spans="1:6" x14ac:dyDescent="0.2">
      <c r="A122" s="4">
        <v>42005</v>
      </c>
      <c r="B122" s="3">
        <v>49.8</v>
      </c>
      <c r="C122" s="13">
        <f>Table1346811121415161718192021[[#This Row],[Caixin PMI]]-B121</f>
        <v>-0.30000000000000426</v>
      </c>
      <c r="D122" s="3">
        <v>49.8</v>
      </c>
      <c r="E122" s="3">
        <f>Table1346811121415161718192021[[#This Row],[Official PMI]]-D121</f>
        <v>-0.30000000000000426</v>
      </c>
      <c r="F122" s="16"/>
    </row>
    <row r="123" spans="1:6" x14ac:dyDescent="0.2">
      <c r="A123" s="4">
        <v>42036</v>
      </c>
      <c r="B123" s="3">
        <v>49.9</v>
      </c>
      <c r="C123" s="13">
        <f>Table1346811121415161718192021[[#This Row],[Caixin PMI]]-B122</f>
        <v>0.10000000000000142</v>
      </c>
      <c r="D123" s="3">
        <v>49.9</v>
      </c>
      <c r="E123" s="3">
        <f>Table1346811121415161718192021[[#This Row],[Official PMI]]-D122</f>
        <v>0.10000000000000142</v>
      </c>
      <c r="F123" s="16"/>
    </row>
    <row r="124" spans="1:6" x14ac:dyDescent="0.2">
      <c r="A124" s="4">
        <v>42064</v>
      </c>
      <c r="B124" s="3">
        <v>50.1</v>
      </c>
      <c r="C124" s="13">
        <f>Table1346811121415161718192021[[#This Row],[Caixin PMI]]-B123</f>
        <v>0.20000000000000284</v>
      </c>
      <c r="D124" s="3">
        <v>50.1</v>
      </c>
      <c r="E124" s="3">
        <f>Table1346811121415161718192021[[#This Row],[Official PMI]]-D123</f>
        <v>0.20000000000000284</v>
      </c>
      <c r="F124" s="16">
        <v>7.0000000000000007E-2</v>
      </c>
    </row>
    <row r="125" spans="1:6" x14ac:dyDescent="0.2">
      <c r="A125" s="4">
        <v>42095</v>
      </c>
      <c r="B125" s="3">
        <v>50.1</v>
      </c>
      <c r="C125" s="13">
        <f>Table1346811121415161718192021[[#This Row],[Caixin PMI]]-B124</f>
        <v>0</v>
      </c>
      <c r="D125" s="3">
        <v>50.1</v>
      </c>
      <c r="E125" s="3">
        <f>Table1346811121415161718192021[[#This Row],[Official PMI]]-D124</f>
        <v>0</v>
      </c>
      <c r="F125" s="16"/>
    </row>
    <row r="126" spans="1:6" x14ac:dyDescent="0.2">
      <c r="A126" s="4">
        <v>42125</v>
      </c>
      <c r="B126" s="3">
        <v>50.2</v>
      </c>
      <c r="C126" s="13">
        <f>Table1346811121415161718192021[[#This Row],[Caixin PMI]]-B125</f>
        <v>0.10000000000000142</v>
      </c>
      <c r="D126" s="3">
        <v>50.2</v>
      </c>
      <c r="E126" s="3">
        <f>Table1346811121415161718192021[[#This Row],[Official PMI]]-D125</f>
        <v>0.10000000000000142</v>
      </c>
      <c r="F126" s="16"/>
    </row>
    <row r="127" spans="1:6" x14ac:dyDescent="0.2">
      <c r="A127" s="4">
        <v>42156</v>
      </c>
      <c r="B127" s="3">
        <v>50.2</v>
      </c>
      <c r="C127" s="13">
        <f>Table1346811121415161718192021[[#This Row],[Caixin PMI]]-B126</f>
        <v>0</v>
      </c>
      <c r="D127" s="3">
        <v>50.2</v>
      </c>
      <c r="E127" s="3">
        <f>Table1346811121415161718192021[[#This Row],[Official PMI]]-D126</f>
        <v>0</v>
      </c>
      <c r="F127" s="16">
        <v>7.0000000000000007E-2</v>
      </c>
    </row>
    <row r="128" spans="1:6" x14ac:dyDescent="0.2">
      <c r="A128" s="4">
        <v>42186</v>
      </c>
      <c r="B128" s="3">
        <v>50</v>
      </c>
      <c r="C128" s="13">
        <f>Table1346811121415161718192021[[#This Row],[Caixin PMI]]-B127</f>
        <v>-0.20000000000000284</v>
      </c>
      <c r="D128" s="3">
        <v>50</v>
      </c>
      <c r="E128" s="3">
        <f>Table1346811121415161718192021[[#This Row],[Official PMI]]-D127</f>
        <v>-0.20000000000000284</v>
      </c>
      <c r="F128" s="16"/>
    </row>
    <row r="129" spans="1:6" x14ac:dyDescent="0.2">
      <c r="A129" s="4">
        <v>42217</v>
      </c>
      <c r="B129" s="3">
        <v>47.3</v>
      </c>
      <c r="C129" s="13">
        <f>Table1346811121415161718192021[[#This Row],[Caixin PMI]]-B128</f>
        <v>-2.7000000000000028</v>
      </c>
      <c r="D129" s="3">
        <v>49.7</v>
      </c>
      <c r="E129" s="3">
        <f>Table1346811121415161718192021[[#This Row],[Official PMI]]-D128</f>
        <v>-0.29999999999999716</v>
      </c>
      <c r="F129" s="16"/>
    </row>
    <row r="130" spans="1:6" x14ac:dyDescent="0.2">
      <c r="A130" s="4">
        <v>42248</v>
      </c>
      <c r="B130" s="3">
        <v>47.2</v>
      </c>
      <c r="C130" s="13">
        <f>Table1346811121415161718192021[[#This Row],[Caixin PMI]]-B129</f>
        <v>-9.9999999999994316E-2</v>
      </c>
      <c r="D130" s="3">
        <v>49.8</v>
      </c>
      <c r="E130" s="3">
        <f>Table1346811121415161718192021[[#This Row],[Official PMI]]-D129</f>
        <v>9.9999999999994316E-2</v>
      </c>
      <c r="F130" s="16">
        <v>6.9000000000000006E-2</v>
      </c>
    </row>
    <row r="131" spans="1:6" x14ac:dyDescent="0.2">
      <c r="A131" s="4">
        <v>42278</v>
      </c>
      <c r="B131" s="3">
        <v>48.3</v>
      </c>
      <c r="C131" s="13">
        <f>Table1346811121415161718192021[[#This Row],[Caixin PMI]]-B130</f>
        <v>1.0999999999999943</v>
      </c>
      <c r="D131" s="3">
        <v>49.8</v>
      </c>
      <c r="E131" s="3">
        <f>Table1346811121415161718192021[[#This Row],[Official PMI]]-D130</f>
        <v>0</v>
      </c>
      <c r="F131" s="16"/>
    </row>
    <row r="132" spans="1:6" x14ac:dyDescent="0.2">
      <c r="A132" s="4">
        <v>42309</v>
      </c>
      <c r="B132" s="3">
        <v>48.6</v>
      </c>
      <c r="C132" s="13">
        <f>Table1346811121415161718192021[[#This Row],[Caixin PMI]]-B131</f>
        <v>0.30000000000000426</v>
      </c>
      <c r="D132" s="3">
        <v>49.6</v>
      </c>
      <c r="E132" s="3">
        <f>Table1346811121415161718192021[[#This Row],[Official PMI]]-D131</f>
        <v>-0.19999999999999574</v>
      </c>
      <c r="F132" s="16"/>
    </row>
    <row r="133" spans="1:6" x14ac:dyDescent="0.2">
      <c r="A133" s="4">
        <v>42339</v>
      </c>
      <c r="B133" s="3">
        <v>48.2</v>
      </c>
      <c r="C133" s="13">
        <f>Table1346811121415161718192021[[#This Row],[Caixin PMI]]-B132</f>
        <v>-0.39999999999999858</v>
      </c>
      <c r="D133" s="3">
        <v>49.7</v>
      </c>
      <c r="E133" s="3">
        <f>Table1346811121415161718192021[[#This Row],[Official PMI]]-D132</f>
        <v>0.10000000000000142</v>
      </c>
      <c r="F133" s="16">
        <v>6.8000000000000005E-2</v>
      </c>
    </row>
    <row r="134" spans="1:6" x14ac:dyDescent="0.2">
      <c r="A134" s="4">
        <v>42370</v>
      </c>
      <c r="B134" s="3">
        <v>48.4</v>
      </c>
      <c r="C134" s="13">
        <f>Table1346811121415161718192021[[#This Row],[Caixin PMI]]-B133</f>
        <v>0.19999999999999574</v>
      </c>
      <c r="D134" s="3">
        <v>49.4</v>
      </c>
      <c r="E134" s="3">
        <f>Table1346811121415161718192021[[#This Row],[Official PMI]]-D133</f>
        <v>-0.30000000000000426</v>
      </c>
      <c r="F134" s="16"/>
    </row>
    <row r="135" spans="1:6" x14ac:dyDescent="0.2">
      <c r="A135" s="4">
        <v>42401</v>
      </c>
      <c r="B135" s="3">
        <v>48</v>
      </c>
      <c r="C135" s="13">
        <f>Table1346811121415161718192021[[#This Row],[Caixin PMI]]-B134</f>
        <v>-0.39999999999999858</v>
      </c>
      <c r="D135" s="3">
        <v>49</v>
      </c>
      <c r="E135" s="3">
        <f>Table1346811121415161718192021[[#This Row],[Official PMI]]-D134</f>
        <v>-0.39999999999999858</v>
      </c>
      <c r="F135" s="16"/>
    </row>
    <row r="136" spans="1:6" x14ac:dyDescent="0.2">
      <c r="A136" s="4">
        <v>42430</v>
      </c>
      <c r="B136" s="3">
        <v>49.7</v>
      </c>
      <c r="C136" s="13">
        <f>Table1346811121415161718192021[[#This Row],[Caixin PMI]]-B135</f>
        <v>1.7000000000000028</v>
      </c>
      <c r="D136" s="3">
        <v>50.2</v>
      </c>
      <c r="E136" s="3">
        <f>Table1346811121415161718192021[[#This Row],[Official PMI]]-D135</f>
        <v>1.2000000000000028</v>
      </c>
      <c r="F136" s="16">
        <v>6.7000000000000004E-2</v>
      </c>
    </row>
    <row r="137" spans="1:6" x14ac:dyDescent="0.2">
      <c r="A137" s="4">
        <v>42461</v>
      </c>
      <c r="B137" s="3">
        <v>49.4</v>
      </c>
      <c r="C137" s="13">
        <f>Table1346811121415161718192021[[#This Row],[Caixin PMI]]-B136</f>
        <v>-0.30000000000000426</v>
      </c>
      <c r="D137" s="3">
        <v>50.1</v>
      </c>
      <c r="E137" s="3">
        <f>Table1346811121415161718192021[[#This Row],[Official PMI]]-D136</f>
        <v>-0.10000000000000142</v>
      </c>
      <c r="F137" s="16"/>
    </row>
    <row r="138" spans="1:6" x14ac:dyDescent="0.2">
      <c r="A138" s="4">
        <v>42491</v>
      </c>
      <c r="B138" s="3">
        <v>49.2</v>
      </c>
      <c r="C138" s="13">
        <f>Table1346811121415161718192021[[#This Row],[Caixin PMI]]-B137</f>
        <v>-0.19999999999999574</v>
      </c>
      <c r="D138" s="3">
        <v>50.1</v>
      </c>
      <c r="E138" s="3">
        <f>Table1346811121415161718192021[[#This Row],[Official PMI]]-D137</f>
        <v>0</v>
      </c>
      <c r="F138" s="16"/>
    </row>
    <row r="139" spans="1:6" x14ac:dyDescent="0.2">
      <c r="A139" s="4">
        <v>42522</v>
      </c>
      <c r="B139" s="3">
        <v>48.6</v>
      </c>
      <c r="C139" s="13">
        <f>Table1346811121415161718192021[[#This Row],[Caixin PMI]]-B138</f>
        <v>-0.60000000000000142</v>
      </c>
      <c r="D139" s="3">
        <v>50</v>
      </c>
      <c r="E139" s="3">
        <f>Table1346811121415161718192021[[#This Row],[Official PMI]]-D138</f>
        <v>-0.10000000000000142</v>
      </c>
      <c r="F139" s="16">
        <v>6.7000000000000004E-2</v>
      </c>
    </row>
    <row r="140" spans="1:6" x14ac:dyDescent="0.2">
      <c r="A140" s="4">
        <v>42552</v>
      </c>
      <c r="B140" s="3">
        <v>50.6</v>
      </c>
      <c r="C140" s="13">
        <f>Table1346811121415161718192021[[#This Row],[Caixin PMI]]-B139</f>
        <v>2</v>
      </c>
      <c r="D140" s="3">
        <v>49.9</v>
      </c>
      <c r="E140" s="3">
        <f>Table1346811121415161718192021[[#This Row],[Official PMI]]-D139</f>
        <v>-0.10000000000000142</v>
      </c>
      <c r="F140" s="16"/>
    </row>
    <row r="141" spans="1:6" x14ac:dyDescent="0.2">
      <c r="A141" s="4">
        <v>42583</v>
      </c>
      <c r="B141" s="3">
        <v>50</v>
      </c>
      <c r="C141" s="13">
        <f>Table1346811121415161718192021[[#This Row],[Caixin PMI]]-B140</f>
        <v>-0.60000000000000142</v>
      </c>
      <c r="D141" s="3">
        <v>50.4</v>
      </c>
      <c r="E141" s="3">
        <f>Table1346811121415161718192021[[#This Row],[Official PMI]]-D140</f>
        <v>0.5</v>
      </c>
      <c r="F141" s="16"/>
    </row>
    <row r="142" spans="1:6" x14ac:dyDescent="0.2">
      <c r="A142" s="4">
        <v>42614</v>
      </c>
      <c r="B142" s="3">
        <v>50.1</v>
      </c>
      <c r="C142" s="13">
        <f>Table1346811121415161718192021[[#This Row],[Caixin PMI]]-B141</f>
        <v>0.10000000000000142</v>
      </c>
      <c r="D142" s="3">
        <v>50.4</v>
      </c>
      <c r="E142" s="3">
        <f>Table1346811121415161718192021[[#This Row],[Official PMI]]-D141</f>
        <v>0</v>
      </c>
      <c r="F142" s="16">
        <v>6.7000000000000004E-2</v>
      </c>
    </row>
    <row r="143" spans="1:6" x14ac:dyDescent="0.2">
      <c r="A143" s="4">
        <v>42644</v>
      </c>
      <c r="B143" s="3">
        <v>51.2</v>
      </c>
      <c r="C143" s="13">
        <f>Table1346811121415161718192021[[#This Row],[Caixin PMI]]-B142</f>
        <v>1.1000000000000014</v>
      </c>
      <c r="D143" s="3">
        <v>51.2</v>
      </c>
      <c r="E143" s="3">
        <f>Table1346811121415161718192021[[#This Row],[Official PMI]]-D142</f>
        <v>0.80000000000000426</v>
      </c>
      <c r="F143" s="16"/>
    </row>
    <row r="144" spans="1:6" x14ac:dyDescent="0.2">
      <c r="A144" s="4">
        <v>42675</v>
      </c>
      <c r="B144" s="3">
        <v>50.9</v>
      </c>
      <c r="C144" s="13">
        <f>Table1346811121415161718192021[[#This Row],[Caixin PMI]]-B143</f>
        <v>-0.30000000000000426</v>
      </c>
      <c r="D144" s="3">
        <v>51.7</v>
      </c>
      <c r="E144" s="3">
        <f>Table1346811121415161718192021[[#This Row],[Official PMI]]-D143</f>
        <v>0.5</v>
      </c>
      <c r="F144" s="16"/>
    </row>
    <row r="145" spans="1:6" x14ac:dyDescent="0.2">
      <c r="A145" s="4">
        <v>42705</v>
      </c>
      <c r="B145" s="3">
        <v>51.9</v>
      </c>
      <c r="C145" s="13">
        <f>Table1346811121415161718192021[[#This Row],[Caixin PMI]]-B144</f>
        <v>1</v>
      </c>
      <c r="D145" s="3">
        <v>51.4</v>
      </c>
      <c r="E145" s="3">
        <f>Table1346811121415161718192021[[#This Row],[Official PMI]]-D144</f>
        <v>-0.30000000000000426</v>
      </c>
      <c r="F145" s="16">
        <v>6.8000000000000005E-2</v>
      </c>
    </row>
    <row r="146" spans="1:6" x14ac:dyDescent="0.2">
      <c r="A146" s="4">
        <v>42736</v>
      </c>
      <c r="B146" s="3">
        <v>51</v>
      </c>
      <c r="C146" s="13">
        <f>Table1346811121415161718192021[[#This Row],[Caixin PMI]]-B145</f>
        <v>-0.89999999999999858</v>
      </c>
      <c r="D146" s="3">
        <v>51.3</v>
      </c>
      <c r="E146" s="3">
        <f>Table1346811121415161718192021[[#This Row],[Official PMI]]-D145</f>
        <v>-0.10000000000000142</v>
      </c>
      <c r="F146" s="16"/>
    </row>
    <row r="147" spans="1:6" x14ac:dyDescent="0.2">
      <c r="A147" s="4">
        <v>42767</v>
      </c>
      <c r="B147" s="3">
        <v>51.7</v>
      </c>
      <c r="C147" s="13">
        <f>Table1346811121415161718192021[[#This Row],[Caixin PMI]]-B146</f>
        <v>0.70000000000000284</v>
      </c>
      <c r="D147" s="3">
        <v>51.6</v>
      </c>
      <c r="E147" s="3">
        <f>Table1346811121415161718192021[[#This Row],[Official PMI]]-D146</f>
        <v>0.30000000000000426</v>
      </c>
      <c r="F147" s="16"/>
    </row>
    <row r="148" spans="1:6" x14ac:dyDescent="0.2">
      <c r="A148" s="4">
        <v>42795</v>
      </c>
      <c r="B148" s="3">
        <v>51.2</v>
      </c>
      <c r="C148" s="13">
        <f>Table1346811121415161718192021[[#This Row],[Caixin PMI]]-B147</f>
        <v>-0.5</v>
      </c>
      <c r="D148" s="3">
        <v>51.8</v>
      </c>
      <c r="E148" s="3">
        <f>Table1346811121415161718192021[[#This Row],[Official PMI]]-D147</f>
        <v>0.19999999999999574</v>
      </c>
      <c r="F148" s="16">
        <v>6.9000000000000006E-2</v>
      </c>
    </row>
    <row r="149" spans="1:6" x14ac:dyDescent="0.2">
      <c r="A149" s="4">
        <v>42826</v>
      </c>
      <c r="B149" s="3">
        <v>50.3</v>
      </c>
      <c r="C149" s="13">
        <f>Table1346811121415161718192021[[#This Row],[Caixin PMI]]-B148</f>
        <v>-0.90000000000000568</v>
      </c>
      <c r="D149" s="3">
        <v>51.2</v>
      </c>
      <c r="E149" s="3">
        <f>Table1346811121415161718192021[[#This Row],[Official PMI]]-D148</f>
        <v>-0.59999999999999432</v>
      </c>
      <c r="F149" s="16"/>
    </row>
    <row r="150" spans="1:6" x14ac:dyDescent="0.2">
      <c r="A150" s="4">
        <v>42856</v>
      </c>
      <c r="B150" s="3">
        <v>49.6</v>
      </c>
      <c r="C150" s="13">
        <f>Table1346811121415161718192021[[#This Row],[Caixin PMI]]-B149</f>
        <v>-0.69999999999999574</v>
      </c>
      <c r="D150" s="3">
        <v>51.2</v>
      </c>
      <c r="E150" s="3">
        <f>Table1346811121415161718192021[[#This Row],[Official PMI]]-D149</f>
        <v>0</v>
      </c>
      <c r="F150" s="16"/>
    </row>
    <row r="151" spans="1:6" x14ac:dyDescent="0.2">
      <c r="A151" s="4">
        <v>42887</v>
      </c>
      <c r="B151" s="3">
        <v>50.4</v>
      </c>
      <c r="C151" s="13">
        <f>Table1346811121415161718192021[[#This Row],[Caixin PMI]]-B150</f>
        <v>0.79999999999999716</v>
      </c>
      <c r="D151" s="3">
        <v>51.7</v>
      </c>
      <c r="E151" s="3">
        <f>Table1346811121415161718192021[[#This Row],[Official PMI]]-D150</f>
        <v>0.5</v>
      </c>
      <c r="F151" s="16">
        <v>6.9000000000000006E-2</v>
      </c>
    </row>
    <row r="152" spans="1:6" x14ac:dyDescent="0.2">
      <c r="A152" s="4">
        <v>42917</v>
      </c>
      <c r="B152" s="3">
        <v>51.1</v>
      </c>
      <c r="C152" s="13">
        <f>Table1346811121415161718192021[[#This Row],[Caixin PMI]]-B151</f>
        <v>0.70000000000000284</v>
      </c>
      <c r="D152" s="3">
        <v>51.4</v>
      </c>
      <c r="E152" s="3">
        <f>Table1346811121415161718192021[[#This Row],[Official PMI]]-D151</f>
        <v>-0.30000000000000426</v>
      </c>
      <c r="F152" s="16"/>
    </row>
    <row r="153" spans="1:6" x14ac:dyDescent="0.2">
      <c r="A153" s="4">
        <v>42948</v>
      </c>
      <c r="B153" s="3">
        <v>51.6</v>
      </c>
      <c r="C153" s="13">
        <f>Table1346811121415161718192021[[#This Row],[Caixin PMI]]-B152</f>
        <v>0.5</v>
      </c>
      <c r="D153" s="3">
        <v>51.7</v>
      </c>
      <c r="E153" s="3">
        <f>Table1346811121415161718192021[[#This Row],[Official PMI]]-D152</f>
        <v>0.30000000000000426</v>
      </c>
      <c r="F153" s="16"/>
    </row>
    <row r="154" spans="1:6" x14ac:dyDescent="0.2">
      <c r="A154" s="4">
        <v>42979</v>
      </c>
      <c r="B154" s="3">
        <v>51</v>
      </c>
      <c r="C154" s="13">
        <f>Table1346811121415161718192021[[#This Row],[Caixin PMI]]-B153</f>
        <v>-0.60000000000000142</v>
      </c>
      <c r="D154" s="3">
        <v>52.4</v>
      </c>
      <c r="E154" s="3">
        <f>Table1346811121415161718192021[[#This Row],[Official PMI]]-D153</f>
        <v>0.69999999999999574</v>
      </c>
      <c r="F154" s="16">
        <v>6.8000000000000005E-2</v>
      </c>
    </row>
    <row r="155" spans="1:6" x14ac:dyDescent="0.2">
      <c r="A155" s="4">
        <v>43009</v>
      </c>
      <c r="B155" s="3">
        <v>51</v>
      </c>
      <c r="C155" s="13">
        <f>Table1346811121415161718192021[[#This Row],[Caixin PMI]]-B154</f>
        <v>0</v>
      </c>
      <c r="D155" s="3">
        <v>51.6</v>
      </c>
      <c r="E155" s="3">
        <f>Table1346811121415161718192021[[#This Row],[Official PMI]]-D154</f>
        <v>-0.79999999999999716</v>
      </c>
      <c r="F155" s="16"/>
    </row>
    <row r="156" spans="1:6" x14ac:dyDescent="0.2">
      <c r="A156" s="4">
        <v>43040</v>
      </c>
      <c r="B156" s="3">
        <v>50.8</v>
      </c>
      <c r="C156" s="13">
        <f>Table1346811121415161718192021[[#This Row],[Caixin PMI]]-B155</f>
        <v>-0.20000000000000284</v>
      </c>
      <c r="D156" s="3">
        <v>51.8</v>
      </c>
      <c r="E156" s="3">
        <f>Table1346811121415161718192021[[#This Row],[Official PMI]]-D155</f>
        <v>0.19999999999999574</v>
      </c>
      <c r="F156" s="16"/>
    </row>
    <row r="157" spans="1:6" x14ac:dyDescent="0.2">
      <c r="A157" s="4">
        <v>43070</v>
      </c>
      <c r="B157" s="3">
        <v>51.5</v>
      </c>
      <c r="C157" s="13">
        <f>Table1346811121415161718192021[[#This Row],[Caixin PMI]]-B156</f>
        <v>0.70000000000000284</v>
      </c>
      <c r="D157" s="3">
        <v>51.6</v>
      </c>
      <c r="E157" s="3">
        <f>Table1346811121415161718192021[[#This Row],[Official PMI]]-D156</f>
        <v>-0.19999999999999574</v>
      </c>
      <c r="F157" s="16">
        <v>6.8000000000000005E-2</v>
      </c>
    </row>
    <row r="158" spans="1:6" x14ac:dyDescent="0.2">
      <c r="A158" s="4">
        <v>43101</v>
      </c>
      <c r="B158" s="3">
        <v>51.6</v>
      </c>
      <c r="C158" s="13">
        <f>Table1346811121415161718192021[[#This Row],[Caixin PMI]]-B157</f>
        <v>0.10000000000000142</v>
      </c>
      <c r="D158" s="3">
        <v>51.3</v>
      </c>
      <c r="E158" s="3">
        <f>Table1346811121415161718192021[[#This Row],[Official PMI]]-D157</f>
        <v>-0.30000000000000426</v>
      </c>
      <c r="F158" s="16"/>
    </row>
    <row r="159" spans="1:6" x14ac:dyDescent="0.2">
      <c r="A159" s="4">
        <v>43132</v>
      </c>
      <c r="B159" s="3">
        <v>51.5</v>
      </c>
      <c r="C159" s="13">
        <f>Table1346811121415161718192021[[#This Row],[Caixin PMI]]-B158</f>
        <v>-0.10000000000000142</v>
      </c>
      <c r="D159" s="3">
        <v>50.3</v>
      </c>
      <c r="E159" s="3">
        <f>Table1346811121415161718192021[[#This Row],[Official PMI]]-D158</f>
        <v>-1</v>
      </c>
      <c r="F159" s="16"/>
    </row>
    <row r="160" spans="1:6" x14ac:dyDescent="0.2">
      <c r="A160" s="4">
        <v>43160</v>
      </c>
      <c r="B160" s="3">
        <v>51</v>
      </c>
      <c r="C160" s="13">
        <f>Table1346811121415161718192021[[#This Row],[Caixin PMI]]-B159</f>
        <v>-0.5</v>
      </c>
      <c r="D160" s="3">
        <v>51.5</v>
      </c>
      <c r="E160" s="3">
        <f>Table1346811121415161718192021[[#This Row],[Official PMI]]-D159</f>
        <v>1.2000000000000028</v>
      </c>
      <c r="F160" s="16">
        <v>6.8000000000000005E-2</v>
      </c>
    </row>
    <row r="161" spans="1:6" x14ac:dyDescent="0.2">
      <c r="A161" s="4">
        <v>43191</v>
      </c>
      <c r="B161" s="3">
        <v>51.1</v>
      </c>
      <c r="C161" s="13">
        <f>Table1346811121415161718192021[[#This Row],[Caixin PMI]]-B160</f>
        <v>0.10000000000000142</v>
      </c>
      <c r="D161" s="3">
        <v>51.4</v>
      </c>
      <c r="E161" s="3">
        <f>Table1346811121415161718192021[[#This Row],[Official PMI]]-D160</f>
        <v>-0.10000000000000142</v>
      </c>
      <c r="F161" s="16"/>
    </row>
    <row r="162" spans="1:6" x14ac:dyDescent="0.2">
      <c r="A162" s="4">
        <v>43221</v>
      </c>
      <c r="B162" s="3">
        <v>51.1</v>
      </c>
      <c r="C162" s="13">
        <f>Table1346811121415161718192021[[#This Row],[Caixin PMI]]-B161</f>
        <v>0</v>
      </c>
      <c r="D162" s="3">
        <v>51.9</v>
      </c>
      <c r="E162" s="3">
        <f>Table1346811121415161718192021[[#This Row],[Official PMI]]-D161</f>
        <v>0.5</v>
      </c>
      <c r="F162" s="16"/>
    </row>
    <row r="163" spans="1:6" x14ac:dyDescent="0.2">
      <c r="A163" s="4">
        <v>43252</v>
      </c>
      <c r="B163" s="3">
        <v>51</v>
      </c>
      <c r="C163" s="13">
        <f>Table1346811121415161718192021[[#This Row],[Caixin PMI]]-B162</f>
        <v>-0.10000000000000142</v>
      </c>
      <c r="D163" s="3">
        <v>51.5</v>
      </c>
      <c r="E163" s="3">
        <f>Table1346811121415161718192021[[#This Row],[Official PMI]]-D162</f>
        <v>-0.39999999999999858</v>
      </c>
      <c r="F163" s="16">
        <v>6.7000000000000004E-2</v>
      </c>
    </row>
    <row r="164" spans="1:6" x14ac:dyDescent="0.2">
      <c r="A164" s="4">
        <v>43282</v>
      </c>
      <c r="B164" s="3">
        <v>50.8</v>
      </c>
      <c r="C164" s="13">
        <f>Table1346811121415161718192021[[#This Row],[Caixin PMI]]-B163</f>
        <v>-0.20000000000000284</v>
      </c>
      <c r="D164" s="3">
        <v>51.2</v>
      </c>
      <c r="E164" s="3">
        <f>Table1346811121415161718192021[[#This Row],[Official PMI]]-D163</f>
        <v>-0.29999999999999716</v>
      </c>
      <c r="F164" s="16"/>
    </row>
    <row r="165" spans="1:6" x14ac:dyDescent="0.2">
      <c r="A165" s="4">
        <v>43313</v>
      </c>
      <c r="B165" s="3">
        <v>50.6</v>
      </c>
      <c r="C165" s="13">
        <f>Table1346811121415161718192021[[#This Row],[Caixin PMI]]-B164</f>
        <v>-0.19999999999999574</v>
      </c>
      <c r="D165" s="3">
        <v>51.3</v>
      </c>
      <c r="E165" s="3">
        <f>Table1346811121415161718192021[[#This Row],[Official PMI]]-D164</f>
        <v>9.9999999999994316E-2</v>
      </c>
      <c r="F165" s="16"/>
    </row>
    <row r="166" spans="1:6" x14ac:dyDescent="0.2">
      <c r="A166" s="4">
        <v>43344</v>
      </c>
      <c r="B166" s="3">
        <v>50</v>
      </c>
      <c r="C166" s="13">
        <f>Table1346811121415161718192021[[#This Row],[Caixin PMI]]-B165</f>
        <v>-0.60000000000000142</v>
      </c>
      <c r="D166" s="3">
        <v>50.8</v>
      </c>
      <c r="E166" s="3">
        <f>Table1346811121415161718192021[[#This Row],[Official PMI]]-D165</f>
        <v>-0.5</v>
      </c>
      <c r="F166" s="16">
        <v>6.5000000000000002E-2</v>
      </c>
    </row>
    <row r="167" spans="1:6" x14ac:dyDescent="0.2">
      <c r="A167" s="4">
        <v>43374</v>
      </c>
      <c r="B167" s="3">
        <v>50.1</v>
      </c>
      <c r="C167" s="13">
        <f>Table1346811121415161718192021[[#This Row],[Caixin PMI]]-B166</f>
        <v>0.10000000000000142</v>
      </c>
      <c r="D167" s="3">
        <v>50.2</v>
      </c>
      <c r="E167" s="3">
        <f>Table1346811121415161718192021[[#This Row],[Official PMI]]-D166</f>
        <v>-0.59999999999999432</v>
      </c>
      <c r="F167" s="16"/>
    </row>
    <row r="168" spans="1:6" x14ac:dyDescent="0.2">
      <c r="A168" s="4">
        <v>43405</v>
      </c>
      <c r="B168" s="3">
        <v>50.2</v>
      </c>
      <c r="C168" s="13">
        <f>Table1346811121415161718192021[[#This Row],[Caixin PMI]]-B167</f>
        <v>0.10000000000000142</v>
      </c>
      <c r="D168" s="3">
        <v>50</v>
      </c>
      <c r="E168" s="3">
        <f>Table1346811121415161718192021[[#This Row],[Official PMI]]-D167</f>
        <v>-0.20000000000000284</v>
      </c>
      <c r="F168" s="16"/>
    </row>
    <row r="169" spans="1:6" x14ac:dyDescent="0.2">
      <c r="A169" s="4">
        <v>43435</v>
      </c>
      <c r="B169" s="3">
        <v>49.7</v>
      </c>
      <c r="C169" s="13">
        <f>Table1346811121415161718192021[[#This Row],[Caixin PMI]]-B168</f>
        <v>-0.5</v>
      </c>
      <c r="D169" s="3">
        <v>49.4</v>
      </c>
      <c r="E169" s="3">
        <f>Table1346811121415161718192021[[#This Row],[Official PMI]]-D168</f>
        <v>-0.60000000000000142</v>
      </c>
      <c r="F169" s="16">
        <v>6.4000000000000001E-2</v>
      </c>
    </row>
    <row r="170" spans="1:6" x14ac:dyDescent="0.2">
      <c r="A170" s="4">
        <v>43466</v>
      </c>
      <c r="B170" s="3">
        <v>48.3</v>
      </c>
      <c r="C170" s="13">
        <f>Table1346811121415161718192021[[#This Row],[Caixin PMI]]-B169</f>
        <v>-1.4000000000000057</v>
      </c>
      <c r="D170" s="3">
        <v>49.5</v>
      </c>
      <c r="E170" s="3">
        <f>Table1346811121415161718192021[[#This Row],[Official PMI]]-D169</f>
        <v>0.10000000000000142</v>
      </c>
      <c r="F170" s="16"/>
    </row>
    <row r="171" spans="1:6" x14ac:dyDescent="0.2">
      <c r="A171" s="4">
        <v>43497</v>
      </c>
      <c r="B171" s="3">
        <v>49.9</v>
      </c>
      <c r="C171" s="13">
        <f>Table1346811121415161718192021[[#This Row],[Caixin PMI]]-B170</f>
        <v>1.6000000000000014</v>
      </c>
      <c r="D171" s="3">
        <v>49.2</v>
      </c>
      <c r="E171" s="3">
        <f>Table1346811121415161718192021[[#This Row],[Official PMI]]-D170</f>
        <v>-0.29999999999999716</v>
      </c>
      <c r="F171" s="16"/>
    </row>
    <row r="172" spans="1:6" x14ac:dyDescent="0.2">
      <c r="A172" s="4">
        <v>43525</v>
      </c>
      <c r="B172" s="3">
        <v>50.8</v>
      </c>
      <c r="C172" s="13">
        <f>Table1346811121415161718192021[[#This Row],[Caixin PMI]]-B171</f>
        <v>0.89999999999999858</v>
      </c>
      <c r="D172" s="3">
        <v>50.5</v>
      </c>
      <c r="E172" s="3">
        <f>Table1346811121415161718192021[[#This Row],[Official PMI]]-D171</f>
        <v>1.2999999999999972</v>
      </c>
      <c r="F172" s="16">
        <v>6.4000000000000001E-2</v>
      </c>
    </row>
    <row r="173" spans="1:6" x14ac:dyDescent="0.2">
      <c r="A173" s="4">
        <v>43556</v>
      </c>
      <c r="B173" s="3">
        <v>50.2</v>
      </c>
      <c r="C173" s="13">
        <f>Table1346811121415161718192021[[#This Row],[Caixin PMI]]-B172</f>
        <v>-0.59999999999999432</v>
      </c>
      <c r="D173" s="3">
        <v>50.1</v>
      </c>
      <c r="E173" s="3">
        <f>Table1346811121415161718192021[[#This Row],[Official PMI]]-D172</f>
        <v>-0.39999999999999858</v>
      </c>
      <c r="F173" s="14"/>
    </row>
    <row r="174" spans="1:6" x14ac:dyDescent="0.2">
      <c r="A174" s="4">
        <v>43586</v>
      </c>
      <c r="B174" s="3">
        <v>50.2</v>
      </c>
      <c r="C174" s="13">
        <f>Table1346811121415161718192021[[#This Row],[Caixin PMI]]-B173</f>
        <v>0</v>
      </c>
      <c r="D174" s="3">
        <v>49.4</v>
      </c>
      <c r="E174" s="3">
        <f>Table1346811121415161718192021[[#This Row],[Official PMI]]-D173</f>
        <v>-0.70000000000000284</v>
      </c>
      <c r="F174" s="14"/>
    </row>
    <row r="175" spans="1:6" x14ac:dyDescent="0.2">
      <c r="A175" s="4">
        <v>43617</v>
      </c>
      <c r="B175" s="3">
        <v>49.4</v>
      </c>
      <c r="C175" s="13">
        <f>Table1346811121415161718192021[[#This Row],[Caixin PMI]]-B174</f>
        <v>-0.80000000000000426</v>
      </c>
      <c r="D175" s="3">
        <v>49.4</v>
      </c>
      <c r="E175" s="3">
        <f>Table1346811121415161718192021[[#This Row],[Official PMI]]-D174</f>
        <v>0</v>
      </c>
      <c r="F175" s="19">
        <v>6.4000000000000001E-2</v>
      </c>
    </row>
    <row r="176" spans="1:6" x14ac:dyDescent="0.2">
      <c r="A176" s="4">
        <v>43647</v>
      </c>
      <c r="B176" s="3">
        <v>49.9</v>
      </c>
      <c r="C176" s="13">
        <f>Table1346811121415161718192021[[#This Row],[Caixin PMI]]-B175</f>
        <v>0.5</v>
      </c>
      <c r="D176" s="3">
        <v>49.7</v>
      </c>
      <c r="E176" s="3">
        <f>Table1346811121415161718192021[[#This Row],[Official PMI]]-D175</f>
        <v>0.30000000000000426</v>
      </c>
      <c r="F176" s="14"/>
    </row>
    <row r="177" spans="1:6" x14ac:dyDescent="0.2">
      <c r="A177" s="4">
        <v>43678</v>
      </c>
      <c r="B177" s="3">
        <v>50.4</v>
      </c>
      <c r="C177" s="13">
        <f>Table1346811121415161718192021[[#This Row],[Caixin PMI]]-B176</f>
        <v>0.5</v>
      </c>
      <c r="D177" s="3">
        <v>49.5</v>
      </c>
      <c r="E177" s="3">
        <f>Table1346811121415161718192021[[#This Row],[Official PMI]]-D176</f>
        <v>-0.20000000000000284</v>
      </c>
      <c r="F177" s="14"/>
    </row>
    <row r="178" spans="1:6" x14ac:dyDescent="0.2">
      <c r="A178" s="4">
        <v>43709</v>
      </c>
      <c r="B178" s="3">
        <v>51.4</v>
      </c>
      <c r="C178" s="13">
        <f>Table1346811121415161718192021[[#This Row],[Caixin PMI]]-B177</f>
        <v>1</v>
      </c>
      <c r="D178" s="3">
        <v>49.8</v>
      </c>
      <c r="E178" s="3">
        <f>Table1346811121415161718192021[[#This Row],[Official PMI]]-D177</f>
        <v>0.29999999999999716</v>
      </c>
      <c r="F178" s="14"/>
    </row>
    <row r="179" spans="1:6" x14ac:dyDescent="0.2">
      <c r="A179" s="4">
        <v>43739</v>
      </c>
      <c r="B179" s="3">
        <v>51.7</v>
      </c>
      <c r="C179" s="13">
        <f>Table1346811121415161718192021[[#This Row],[Caixin PMI]]-B178</f>
        <v>0.30000000000000426</v>
      </c>
      <c r="D179" s="3">
        <v>49.3</v>
      </c>
      <c r="E179" s="3">
        <f>Table1346811121415161718192021[[#This Row],[Official PMI]]-D178</f>
        <v>-0.5</v>
      </c>
      <c r="F179" s="14"/>
    </row>
    <row r="180" spans="1:6" x14ac:dyDescent="0.2">
      <c r="A180" s="4">
        <v>43770</v>
      </c>
      <c r="B180" s="3">
        <v>51.8</v>
      </c>
      <c r="C180" s="13">
        <f>Table1346811121415161718192021[[#This Row],[Caixin PMI]]-B179</f>
        <v>9.9999999999994316E-2</v>
      </c>
      <c r="D180" s="3">
        <v>50.2</v>
      </c>
      <c r="E180" s="3">
        <f>Table1346811121415161718192021[[#This Row],[Official PMI]]-D179</f>
        <v>0.90000000000000568</v>
      </c>
      <c r="F180" s="14"/>
    </row>
    <row r="181" spans="1:6" x14ac:dyDescent="0.2">
      <c r="A181" s="4">
        <v>43800</v>
      </c>
      <c r="B181" s="3">
        <v>51.5</v>
      </c>
      <c r="C181" s="13">
        <f>Table1346811121415161718192021[[#This Row],[Caixin PMI]]-B180</f>
        <v>-0.29999999999999716</v>
      </c>
      <c r="D181" s="3">
        <v>50.2</v>
      </c>
      <c r="E181" s="3">
        <f>Table1346811121415161718192021[[#This Row],[Official PMI]]-D180</f>
        <v>0</v>
      </c>
      <c r="F181" s="14"/>
    </row>
    <row r="182" spans="1:6" x14ac:dyDescent="0.2">
      <c r="A182" s="4">
        <v>43831</v>
      </c>
      <c r="B182" s="3">
        <v>51.1</v>
      </c>
      <c r="C182" s="13">
        <f>Table1346811121415161718192021[[#This Row],[Caixin PMI]]-B181</f>
        <v>-0.39999999999999858</v>
      </c>
      <c r="D182" s="3">
        <v>50</v>
      </c>
      <c r="E182" s="3">
        <f>Table1346811121415161718192021[[#This Row],[Official PMI]]-D181</f>
        <v>-0.20000000000000284</v>
      </c>
      <c r="F182" s="14"/>
    </row>
    <row r="183" spans="1:6" x14ac:dyDescent="0.2">
      <c r="A183" s="4">
        <v>43862</v>
      </c>
      <c r="B183" s="3">
        <v>40.299999999999997</v>
      </c>
      <c r="C183" s="13">
        <f>Table1346811121415161718192021[[#This Row],[Caixin PMI]]-B182</f>
        <v>-10.800000000000004</v>
      </c>
      <c r="D183" s="3">
        <v>35.700000000000003</v>
      </c>
      <c r="E183" s="3">
        <f>Table1346811121415161718192021[[#This Row],[Official PMI]]-D182</f>
        <v>-14.299999999999997</v>
      </c>
      <c r="F183" s="14"/>
    </row>
    <row r="184" spans="1:6" x14ac:dyDescent="0.2">
      <c r="A184" s="4">
        <v>43891</v>
      </c>
      <c r="B184" s="3">
        <v>50.1</v>
      </c>
      <c r="C184" s="13">
        <f>Table1346811121415161718192021[[#This Row],[Caixin PMI]]-B183</f>
        <v>9.8000000000000043</v>
      </c>
      <c r="D184" s="3">
        <v>52</v>
      </c>
      <c r="E184" s="3">
        <f>Table1346811121415161718192021[[#This Row],[Official PMI]]-D183</f>
        <v>16.299999999999997</v>
      </c>
      <c r="F184" s="14"/>
    </row>
    <row r="185" spans="1:6" x14ac:dyDescent="0.2">
      <c r="A185" s="4">
        <v>43922</v>
      </c>
      <c r="B185" s="3">
        <v>49.4</v>
      </c>
      <c r="C185" s="13">
        <f>Table1346811121415161718192021[[#This Row],[Caixin PMI]]-B184</f>
        <v>-0.70000000000000284</v>
      </c>
      <c r="D185" s="3">
        <v>50.8</v>
      </c>
      <c r="E185" s="3">
        <f>Table1346811121415161718192021[[#This Row],[Official PMI]]-D184</f>
        <v>-1.2000000000000028</v>
      </c>
      <c r="F185" s="14"/>
    </row>
    <row r="186" spans="1:6" x14ac:dyDescent="0.2">
      <c r="A186" s="4">
        <v>43952</v>
      </c>
      <c r="B186" s="3">
        <v>50.7</v>
      </c>
      <c r="C186" s="13">
        <f>Table1346811121415161718192021[[#This Row],[Caixin PMI]]-B185</f>
        <v>1.3000000000000043</v>
      </c>
      <c r="D186" s="3">
        <v>50.6</v>
      </c>
      <c r="E186" s="3">
        <f>Table1346811121415161718192021[[#This Row],[Official PMI]]-D185</f>
        <v>-0.19999999999999574</v>
      </c>
      <c r="F186" s="14"/>
    </row>
    <row r="187" spans="1:6" x14ac:dyDescent="0.2">
      <c r="A187" s="4">
        <v>43983</v>
      </c>
      <c r="B187" s="3">
        <v>51.2</v>
      </c>
      <c r="C187" s="13">
        <f>Table1346811121415161718192021[[#This Row],[Caixin PMI]]-B186</f>
        <v>0.5</v>
      </c>
      <c r="D187" s="3">
        <v>50.9</v>
      </c>
      <c r="E187" s="3">
        <f>Table1346811121415161718192021[[#This Row],[Official PMI]]-D186</f>
        <v>0.29999999999999716</v>
      </c>
      <c r="F187" s="14"/>
    </row>
    <row r="188" spans="1:6" x14ac:dyDescent="0.2">
      <c r="A188" s="4">
        <v>44013</v>
      </c>
      <c r="B188" s="3">
        <v>52.8</v>
      </c>
      <c r="C188" s="13">
        <f>Table1346811121415161718192021[[#This Row],[Caixin PMI]]-B187</f>
        <v>1.5999999999999943</v>
      </c>
      <c r="D188" s="3">
        <v>51.1</v>
      </c>
      <c r="E188" s="3">
        <f>Table1346811121415161718192021[[#This Row],[Official PMI]]-D187</f>
        <v>0.20000000000000284</v>
      </c>
      <c r="F188" s="14"/>
    </row>
    <row r="189" spans="1:6" x14ac:dyDescent="0.2">
      <c r="A189" s="4">
        <v>44044</v>
      </c>
      <c r="B189" s="3">
        <v>53.1</v>
      </c>
      <c r="C189" s="13">
        <f>Table1346811121415161718192021[[#This Row],[Caixin PMI]]-B188</f>
        <v>0.30000000000000426</v>
      </c>
      <c r="D189" s="3">
        <v>51</v>
      </c>
      <c r="E189" s="3">
        <f>Table1346811121415161718192021[[#This Row],[Official PMI]]-D188</f>
        <v>-0.10000000000000142</v>
      </c>
      <c r="F189" s="14"/>
    </row>
    <row r="190" spans="1:6" x14ac:dyDescent="0.2">
      <c r="A190" s="4">
        <v>44075</v>
      </c>
      <c r="B190" s="3">
        <v>53</v>
      </c>
      <c r="C190" s="13">
        <f>Table1346811121415161718192021[[#This Row],[Caixin PMI]]-B189</f>
        <v>-0.10000000000000142</v>
      </c>
      <c r="D190" s="3">
        <v>51.5</v>
      </c>
      <c r="E190" s="3">
        <f>Table1346811121415161718192021[[#This Row],[Official PMI]]-D189</f>
        <v>0.5</v>
      </c>
      <c r="F190" s="14"/>
    </row>
    <row r="191" spans="1:6" x14ac:dyDescent="0.2">
      <c r="A191" s="4">
        <v>44105</v>
      </c>
      <c r="B191" s="3">
        <v>53.6</v>
      </c>
      <c r="C191" s="13">
        <f>Table1346811121415161718192021[[#This Row],[Caixin PMI]]-B190</f>
        <v>0.60000000000000142</v>
      </c>
      <c r="D191" s="3">
        <v>51.4</v>
      </c>
      <c r="E191" s="3">
        <f>Table1346811121415161718192021[[#This Row],[Official PMI]]-D190</f>
        <v>-0.10000000000000142</v>
      </c>
      <c r="F191" s="14"/>
    </row>
    <row r="192" spans="1:6" x14ac:dyDescent="0.2">
      <c r="A192" s="4">
        <v>44136</v>
      </c>
      <c r="B192" s="3">
        <v>54.9</v>
      </c>
      <c r="C192" s="13">
        <f>Table1346811121415161718192021[[#This Row],[Caixin PMI]]-B191</f>
        <v>1.2999999999999972</v>
      </c>
      <c r="D192" s="3">
        <v>52.1</v>
      </c>
      <c r="E192" s="3">
        <f>Table1346811121415161718192021[[#This Row],[Official PMI]]-D191</f>
        <v>0.70000000000000284</v>
      </c>
      <c r="F192" s="14"/>
    </row>
    <row r="193" spans="1:6" x14ac:dyDescent="0.2">
      <c r="A193" s="4">
        <v>44166</v>
      </c>
      <c r="B193" s="3">
        <v>53</v>
      </c>
      <c r="C193" s="13">
        <f>Table1346811121415161718192021[[#This Row],[Caixin PMI]]-B192</f>
        <v>-1.8999999999999986</v>
      </c>
      <c r="D193" s="3">
        <v>51.9</v>
      </c>
      <c r="E193" s="3">
        <f>Table1346811121415161718192021[[#This Row],[Official PMI]]-D192</f>
        <v>-0.20000000000000284</v>
      </c>
      <c r="F193" s="14"/>
    </row>
    <row r="194" spans="1:6" x14ac:dyDescent="0.2">
      <c r="A194" s="4">
        <v>44197</v>
      </c>
      <c r="B194" s="3">
        <v>51.5</v>
      </c>
      <c r="C194" s="13">
        <f>Table1346811121415161718192021[[#This Row],[Caixin PMI]]-B193</f>
        <v>-1.5</v>
      </c>
      <c r="D194" s="3">
        <v>51.3</v>
      </c>
      <c r="E194" s="3">
        <f>Table1346811121415161718192021[[#This Row],[Official PMI]]-D193</f>
        <v>-0.60000000000000142</v>
      </c>
      <c r="F194" s="14"/>
    </row>
    <row r="195" spans="1:6" x14ac:dyDescent="0.2">
      <c r="A195" s="4">
        <v>44228</v>
      </c>
      <c r="B195" s="3">
        <v>50.9</v>
      </c>
      <c r="C195" s="13">
        <f>Table1346811121415161718192021[[#This Row],[Caixin PMI]]-B194</f>
        <v>-0.60000000000000142</v>
      </c>
      <c r="D195" s="3">
        <v>50.6</v>
      </c>
      <c r="E195" s="3">
        <f>Table1346811121415161718192021[[#This Row],[Official PMI]]-D194</f>
        <v>-0.69999999999999574</v>
      </c>
      <c r="F195" s="14"/>
    </row>
    <row r="196" spans="1:6" x14ac:dyDescent="0.2">
      <c r="A196" s="4">
        <v>44256</v>
      </c>
      <c r="B196" s="3">
        <v>50.6</v>
      </c>
      <c r="C196" s="13">
        <f>Table1346811121415161718192021[[#This Row],[Caixin PMI]]-B195</f>
        <v>-0.29999999999999716</v>
      </c>
      <c r="D196" s="3">
        <v>51.9</v>
      </c>
      <c r="E196" s="3">
        <f>Table1346811121415161718192021[[#This Row],[Official PMI]]-D195</f>
        <v>1.2999999999999972</v>
      </c>
      <c r="F196" s="14"/>
    </row>
    <row r="197" spans="1:6" x14ac:dyDescent="0.2">
      <c r="A197" s="4">
        <v>44287</v>
      </c>
      <c r="B197" s="3">
        <v>51.9</v>
      </c>
      <c r="C197" s="13">
        <f>Table1346811121415161718192021[[#This Row],[Caixin PMI]]-B196</f>
        <v>1.2999999999999972</v>
      </c>
      <c r="D197" s="3">
        <v>51.1</v>
      </c>
      <c r="E197" s="3">
        <f>Table1346811121415161718192021[[#This Row],[Official PMI]]-D196</f>
        <v>-0.79999999999999716</v>
      </c>
      <c r="F197" s="14"/>
    </row>
    <row r="198" spans="1:6" x14ac:dyDescent="0.2">
      <c r="A198" s="4">
        <v>44317</v>
      </c>
      <c r="B198" s="3">
        <v>52</v>
      </c>
      <c r="C198" s="13">
        <f>Table1346811121415161718192021[[#This Row],[Caixin PMI]]-B197</f>
        <v>0.10000000000000142</v>
      </c>
      <c r="D198" s="3">
        <v>51</v>
      </c>
      <c r="E198" s="3">
        <f>Table1346811121415161718192021[[#This Row],[Official PMI]]-D197</f>
        <v>-0.10000000000000142</v>
      </c>
      <c r="F198" s="14"/>
    </row>
    <row r="199" spans="1:6" x14ac:dyDescent="0.2">
      <c r="A199" s="4">
        <v>44348</v>
      </c>
      <c r="B199" s="3">
        <v>51.3</v>
      </c>
      <c r="C199" s="13">
        <f>Table1346811121415161718192021[[#This Row],[Caixin PMI]]-B198</f>
        <v>-0.70000000000000284</v>
      </c>
      <c r="D199" s="3">
        <v>50.9</v>
      </c>
      <c r="E199" s="3">
        <f>Table1346811121415161718192021[[#This Row],[Official PMI]]-D198</f>
        <v>-0.10000000000000142</v>
      </c>
      <c r="F199" s="14"/>
    </row>
    <row r="200" spans="1:6" x14ac:dyDescent="0.2">
      <c r="A200" s="4">
        <v>44378</v>
      </c>
      <c r="B200" s="3">
        <v>50.3</v>
      </c>
      <c r="C200" s="13">
        <f>Table1346811121415161718192021[[#This Row],[Caixin PMI]]-B199</f>
        <v>-1</v>
      </c>
      <c r="D200" s="3">
        <v>50.4</v>
      </c>
      <c r="E200" s="3">
        <f>Table1346811121415161718192021[[#This Row],[Official PMI]]-D199</f>
        <v>-0.5</v>
      </c>
      <c r="F200" s="14"/>
    </row>
    <row r="201" spans="1:6" x14ac:dyDescent="0.2">
      <c r="A201" s="4">
        <v>44409</v>
      </c>
      <c r="B201" s="3">
        <v>49.2</v>
      </c>
      <c r="C201" s="13">
        <f>Table1346811121415161718192021[[#This Row],[Caixin PMI]]-B200</f>
        <v>-1.0999999999999943</v>
      </c>
      <c r="D201" s="3">
        <v>50.1</v>
      </c>
      <c r="E201" s="3">
        <f>Table1346811121415161718192021[[#This Row],[Official PMI]]-D200</f>
        <v>-0.29999999999999716</v>
      </c>
      <c r="F201" s="14"/>
    </row>
    <row r="202" spans="1:6" x14ac:dyDescent="0.2">
      <c r="A202" s="4">
        <v>44440</v>
      </c>
      <c r="B202" s="3">
        <v>50</v>
      </c>
      <c r="C202" s="13">
        <f>Table1346811121415161718192021[[#This Row],[Caixin PMI]]-B201</f>
        <v>0.79999999999999716</v>
      </c>
      <c r="D202" s="3">
        <v>49.6</v>
      </c>
      <c r="E202" s="3">
        <f>Table1346811121415161718192021[[#This Row],[Official PMI]]-D201</f>
        <v>-0.5</v>
      </c>
      <c r="F202" s="14"/>
    </row>
    <row r="203" spans="1:6" x14ac:dyDescent="0.2">
      <c r="A203" s="4">
        <v>44470</v>
      </c>
      <c r="B203" s="3">
        <v>50.6</v>
      </c>
      <c r="C203" s="13">
        <f>Table1346811121415161718192021[[#This Row],[Caixin PMI]]-B202</f>
        <v>0.60000000000000142</v>
      </c>
      <c r="D203" s="3">
        <v>49.2</v>
      </c>
      <c r="E203" s="3">
        <f>Table1346811121415161718192021[[#This Row],[Official PMI]]-D202</f>
        <v>-0.39999999999999858</v>
      </c>
      <c r="F203" s="14"/>
    </row>
    <row r="204" spans="1:6" x14ac:dyDescent="0.2">
      <c r="A204" s="4">
        <v>44501</v>
      </c>
      <c r="B204" s="3">
        <v>49.9</v>
      </c>
      <c r="C204" s="13">
        <f>Table1346811121415161718192021[[#This Row],[Caixin PMI]]-B203</f>
        <v>-0.70000000000000284</v>
      </c>
      <c r="D204" s="3">
        <v>50.1</v>
      </c>
      <c r="E204" s="3">
        <f>Table1346811121415161718192021[[#This Row],[Official PMI]]-D203</f>
        <v>0.89999999999999858</v>
      </c>
      <c r="F204" s="14"/>
    </row>
    <row r="205" spans="1:6" x14ac:dyDescent="0.2">
      <c r="A205" s="4">
        <v>44531</v>
      </c>
      <c r="B205" s="3">
        <v>50.9</v>
      </c>
      <c r="C205" s="13">
        <f>Table1346811121415161718192021[[#This Row],[Caixin PMI]]-B204</f>
        <v>1</v>
      </c>
      <c r="D205" s="3">
        <v>50.3</v>
      </c>
      <c r="E205" s="3">
        <f>Table1346811121415161718192021[[#This Row],[Official PMI]]-D204</f>
        <v>0.19999999999999574</v>
      </c>
      <c r="F205" s="14"/>
    </row>
  </sheetData>
  <conditionalFormatting sqref="B62:B20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62:D20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2:C205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62:E205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6FFAA-F16A-46CB-BD16-3383A7C55967}">
  <dimension ref="A1:B206"/>
  <sheetViews>
    <sheetView tabSelected="1" zoomScale="150" zoomScaleNormal="150" workbookViewId="0">
      <pane ySplit="1" topLeftCell="A2" activePane="bottomLeft" state="frozen"/>
      <selection pane="bottomLeft" activeCell="E17" sqref="E17"/>
    </sheetView>
  </sheetViews>
  <sheetFormatPr baseColWidth="10" defaultColWidth="9.1640625" defaultRowHeight="15" x14ac:dyDescent="0.2"/>
  <cols>
    <col min="1" max="1" width="13.5" style="2" customWidth="1"/>
    <col min="2" max="2" width="11.33203125" style="2" customWidth="1"/>
    <col min="3" max="16384" width="9.1640625" style="2"/>
  </cols>
  <sheetData>
    <row r="1" spans="1:2" ht="17" thickBot="1" x14ac:dyDescent="0.25">
      <c r="A1" s="17" t="s">
        <v>0</v>
      </c>
      <c r="B1" s="18" t="s">
        <v>37</v>
      </c>
    </row>
    <row r="2" spans="1:2" x14ac:dyDescent="0.2">
      <c r="A2" s="8">
        <v>38322</v>
      </c>
      <c r="B2" s="9">
        <v>51.4</v>
      </c>
    </row>
    <row r="3" spans="1:2" x14ac:dyDescent="0.2">
      <c r="A3" s="4">
        <v>38353</v>
      </c>
      <c r="B3" s="3">
        <v>51.9</v>
      </c>
    </row>
    <row r="4" spans="1:2" x14ac:dyDescent="0.2">
      <c r="A4" s="4">
        <v>38384</v>
      </c>
      <c r="B4" s="3">
        <v>51.9</v>
      </c>
    </row>
    <row r="5" spans="1:2" x14ac:dyDescent="0.2">
      <c r="A5" s="4">
        <v>38412</v>
      </c>
      <c r="B5" s="3">
        <v>50.4</v>
      </c>
    </row>
    <row r="6" spans="1:2" x14ac:dyDescent="0.2">
      <c r="A6" s="4">
        <v>38443</v>
      </c>
      <c r="B6" s="3">
        <v>49.2</v>
      </c>
    </row>
    <row r="7" spans="1:2" x14ac:dyDescent="0.2">
      <c r="A7" s="4">
        <v>38473</v>
      </c>
      <c r="B7" s="3">
        <v>48.7</v>
      </c>
    </row>
    <row r="8" spans="1:2" x14ac:dyDescent="0.2">
      <c r="A8" s="4">
        <v>38504</v>
      </c>
      <c r="B8" s="3">
        <v>49.9</v>
      </c>
    </row>
    <row r="9" spans="1:2" x14ac:dyDescent="0.2">
      <c r="A9" s="4">
        <v>38534</v>
      </c>
      <c r="B9" s="3">
        <v>50.8</v>
      </c>
    </row>
    <row r="10" spans="1:2" x14ac:dyDescent="0.2">
      <c r="A10" s="4">
        <v>38565</v>
      </c>
      <c r="B10" s="3">
        <v>50.4</v>
      </c>
    </row>
    <row r="11" spans="1:2" x14ac:dyDescent="0.2">
      <c r="A11" s="4">
        <v>38596</v>
      </c>
      <c r="B11" s="3">
        <v>51.7</v>
      </c>
    </row>
    <row r="12" spans="1:2" x14ac:dyDescent="0.2">
      <c r="A12" s="4">
        <v>38626</v>
      </c>
      <c r="B12" s="3">
        <v>52.7</v>
      </c>
    </row>
    <row r="13" spans="1:2" x14ac:dyDescent="0.2">
      <c r="A13" s="4">
        <v>38657</v>
      </c>
      <c r="B13" s="3">
        <v>52.8</v>
      </c>
    </row>
    <row r="14" spans="1:2" x14ac:dyDescent="0.2">
      <c r="A14" s="4">
        <v>38687</v>
      </c>
      <c r="B14" s="3">
        <v>53.6</v>
      </c>
    </row>
    <row r="15" spans="1:2" x14ac:dyDescent="0.2">
      <c r="A15" s="4">
        <v>38718</v>
      </c>
      <c r="B15" s="3">
        <v>53.5</v>
      </c>
    </row>
    <row r="16" spans="1:2" x14ac:dyDescent="0.2">
      <c r="A16" s="4">
        <v>38749</v>
      </c>
      <c r="B16" s="3">
        <v>54.5</v>
      </c>
    </row>
    <row r="17" spans="1:2" x14ac:dyDescent="0.2">
      <c r="A17" s="4">
        <v>38777</v>
      </c>
      <c r="B17" s="3">
        <v>56.1</v>
      </c>
    </row>
    <row r="18" spans="1:2" x14ac:dyDescent="0.2">
      <c r="A18" s="4">
        <v>38808</v>
      </c>
      <c r="B18" s="3">
        <v>56.7</v>
      </c>
    </row>
    <row r="19" spans="1:2" x14ac:dyDescent="0.2">
      <c r="A19" s="4">
        <v>38838</v>
      </c>
      <c r="B19" s="3">
        <v>57</v>
      </c>
    </row>
    <row r="20" spans="1:2" x14ac:dyDescent="0.2">
      <c r="A20" s="4">
        <v>38869</v>
      </c>
      <c r="B20" s="3">
        <v>57.7</v>
      </c>
    </row>
    <row r="21" spans="1:2" x14ac:dyDescent="0.2">
      <c r="A21" s="4">
        <v>38899</v>
      </c>
      <c r="B21" s="3">
        <v>57.4</v>
      </c>
    </row>
    <row r="22" spans="1:2" x14ac:dyDescent="0.2">
      <c r="A22" s="4">
        <v>38930</v>
      </c>
      <c r="B22" s="3">
        <v>56.5</v>
      </c>
    </row>
    <row r="23" spans="1:2" x14ac:dyDescent="0.2">
      <c r="A23" s="4">
        <v>38961</v>
      </c>
      <c r="B23" s="3">
        <v>56.6</v>
      </c>
    </row>
    <row r="24" spans="1:2" x14ac:dyDescent="0.2">
      <c r="A24" s="4">
        <v>38991</v>
      </c>
      <c r="B24" s="3">
        <v>57</v>
      </c>
    </row>
    <row r="25" spans="1:2" x14ac:dyDescent="0.2">
      <c r="A25" s="4">
        <v>39022</v>
      </c>
      <c r="B25" s="3">
        <v>56.6</v>
      </c>
    </row>
    <row r="26" spans="1:2" x14ac:dyDescent="0.2">
      <c r="A26" s="4">
        <v>39052</v>
      </c>
      <c r="B26" s="3">
        <v>56.5</v>
      </c>
    </row>
    <row r="27" spans="1:2" x14ac:dyDescent="0.2">
      <c r="A27" s="4">
        <v>39083</v>
      </c>
      <c r="B27" s="3">
        <v>55.5</v>
      </c>
    </row>
    <row r="28" spans="1:2" x14ac:dyDescent="0.2">
      <c r="A28" s="4">
        <v>39114</v>
      </c>
      <c r="B28" s="3">
        <v>55.6</v>
      </c>
    </row>
    <row r="29" spans="1:2" x14ac:dyDescent="0.2">
      <c r="A29" s="4">
        <v>39142</v>
      </c>
      <c r="B29" s="3">
        <v>55.4</v>
      </c>
    </row>
    <row r="30" spans="1:2" x14ac:dyDescent="0.2">
      <c r="A30" s="4">
        <v>39173</v>
      </c>
      <c r="B30" s="3">
        <v>55.4</v>
      </c>
    </row>
    <row r="31" spans="1:2" x14ac:dyDescent="0.2">
      <c r="A31" s="4">
        <v>39203</v>
      </c>
      <c r="B31" s="3">
        <v>55</v>
      </c>
    </row>
    <row r="32" spans="1:2" x14ac:dyDescent="0.2">
      <c r="A32" s="4">
        <v>39234</v>
      </c>
      <c r="B32" s="3">
        <v>55.6</v>
      </c>
    </row>
    <row r="33" spans="1:2" x14ac:dyDescent="0.2">
      <c r="A33" s="4">
        <v>39264</v>
      </c>
      <c r="B33" s="3">
        <v>54.9</v>
      </c>
    </row>
    <row r="34" spans="1:2" x14ac:dyDescent="0.2">
      <c r="A34" s="4">
        <v>39295</v>
      </c>
      <c r="B34" s="3">
        <v>54.3</v>
      </c>
    </row>
    <row r="35" spans="1:2" x14ac:dyDescent="0.2">
      <c r="A35" s="4">
        <v>39326</v>
      </c>
      <c r="B35" s="3">
        <v>53.2</v>
      </c>
    </row>
    <row r="36" spans="1:2" x14ac:dyDescent="0.2">
      <c r="A36" s="4">
        <v>39356</v>
      </c>
      <c r="B36" s="3">
        <v>51.5</v>
      </c>
    </row>
    <row r="37" spans="1:2" x14ac:dyDescent="0.2">
      <c r="A37" s="4">
        <v>39387</v>
      </c>
      <c r="B37" s="3">
        <v>52.8</v>
      </c>
    </row>
    <row r="38" spans="1:2" x14ac:dyDescent="0.2">
      <c r="A38" s="4">
        <v>39417</v>
      </c>
      <c r="B38" s="3">
        <v>52.6</v>
      </c>
    </row>
    <row r="39" spans="1:2" x14ac:dyDescent="0.2">
      <c r="A39" s="4">
        <v>39448</v>
      </c>
      <c r="B39" s="3">
        <v>52.8</v>
      </c>
    </row>
    <row r="40" spans="1:2" x14ac:dyDescent="0.2">
      <c r="A40" s="4">
        <v>39479</v>
      </c>
      <c r="B40" s="3">
        <v>52.3</v>
      </c>
    </row>
    <row r="41" spans="1:2" x14ac:dyDescent="0.2">
      <c r="A41" s="4">
        <v>39508</v>
      </c>
      <c r="B41" s="3">
        <v>52</v>
      </c>
    </row>
    <row r="42" spans="1:2" x14ac:dyDescent="0.2">
      <c r="A42" s="4">
        <v>39539</v>
      </c>
      <c r="B42" s="3">
        <v>50.7</v>
      </c>
    </row>
    <row r="43" spans="1:2" x14ac:dyDescent="0.2">
      <c r="A43" s="4">
        <v>39569</v>
      </c>
      <c r="B43" s="3">
        <v>50.6</v>
      </c>
    </row>
    <row r="44" spans="1:2" x14ac:dyDescent="0.2">
      <c r="A44" s="4">
        <v>39600</v>
      </c>
      <c r="B44" s="3">
        <v>49.2</v>
      </c>
    </row>
    <row r="45" spans="1:2" x14ac:dyDescent="0.2">
      <c r="A45" s="4">
        <v>39630</v>
      </c>
      <c r="B45" s="3">
        <v>47.4</v>
      </c>
    </row>
    <row r="46" spans="1:2" x14ac:dyDescent="0.2">
      <c r="A46" s="4">
        <v>39661</v>
      </c>
      <c r="B46" s="3">
        <v>47.6</v>
      </c>
    </row>
    <row r="47" spans="1:2" x14ac:dyDescent="0.2">
      <c r="A47" s="4">
        <v>39692</v>
      </c>
      <c r="B47" s="3">
        <v>45</v>
      </c>
    </row>
    <row r="48" spans="1:2" x14ac:dyDescent="0.2">
      <c r="A48" s="4">
        <v>39722</v>
      </c>
      <c r="B48" s="3">
        <v>38.9</v>
      </c>
    </row>
    <row r="49" spans="1:2" x14ac:dyDescent="0.2">
      <c r="A49" s="4">
        <v>39753</v>
      </c>
      <c r="B49" s="3">
        <v>35.6</v>
      </c>
    </row>
    <row r="50" spans="1:2" x14ac:dyDescent="0.2">
      <c r="A50" s="4">
        <v>39783</v>
      </c>
      <c r="B50" s="3">
        <v>33.9</v>
      </c>
    </row>
    <row r="51" spans="1:2" x14ac:dyDescent="0.2">
      <c r="A51" s="4">
        <v>39814</v>
      </c>
      <c r="B51" s="3">
        <v>34.4</v>
      </c>
    </row>
    <row r="52" spans="1:2" x14ac:dyDescent="0.2">
      <c r="A52" s="4">
        <v>39845</v>
      </c>
      <c r="B52" s="3">
        <v>33.5</v>
      </c>
    </row>
    <row r="53" spans="1:2" x14ac:dyDescent="0.2">
      <c r="A53" s="4">
        <v>39873</v>
      </c>
      <c r="B53" s="3">
        <v>33.9</v>
      </c>
    </row>
    <row r="54" spans="1:2" x14ac:dyDescent="0.2">
      <c r="A54" s="4">
        <v>39904</v>
      </c>
      <c r="B54" s="3">
        <v>36.799999999999997</v>
      </c>
    </row>
    <row r="55" spans="1:2" x14ac:dyDescent="0.2">
      <c r="A55" s="4">
        <v>39934</v>
      </c>
      <c r="B55" s="3">
        <v>40.700000000000003</v>
      </c>
    </row>
    <row r="56" spans="1:2" x14ac:dyDescent="0.2">
      <c r="A56" s="4">
        <v>39965</v>
      </c>
      <c r="B56" s="3">
        <v>42.6</v>
      </c>
    </row>
    <row r="57" spans="1:2" x14ac:dyDescent="0.2">
      <c r="A57" s="4">
        <v>39995</v>
      </c>
      <c r="B57" s="3">
        <v>46.3</v>
      </c>
    </row>
    <row r="58" spans="1:2" x14ac:dyDescent="0.2">
      <c r="A58" s="4">
        <v>40026</v>
      </c>
      <c r="B58" s="3">
        <v>48.2</v>
      </c>
    </row>
    <row r="59" spans="1:2" x14ac:dyDescent="0.2">
      <c r="A59" s="4">
        <v>40057</v>
      </c>
      <c r="B59" s="3">
        <v>49.3</v>
      </c>
    </row>
    <row r="60" spans="1:2" x14ac:dyDescent="0.2">
      <c r="A60" s="4">
        <v>40087</v>
      </c>
      <c r="B60" s="3">
        <v>50.7</v>
      </c>
    </row>
    <row r="61" spans="1:2" x14ac:dyDescent="0.2">
      <c r="A61" s="4">
        <v>40118</v>
      </c>
      <c r="B61" s="3">
        <v>51.2</v>
      </c>
    </row>
    <row r="62" spans="1:2" x14ac:dyDescent="0.2">
      <c r="A62" s="4">
        <v>40148</v>
      </c>
      <c r="B62" s="3">
        <v>51.6</v>
      </c>
    </row>
    <row r="63" spans="1:2" x14ac:dyDescent="0.2">
      <c r="A63" s="4">
        <v>40179</v>
      </c>
      <c r="B63" s="3">
        <v>52.4</v>
      </c>
    </row>
    <row r="64" spans="1:2" x14ac:dyDescent="0.2">
      <c r="A64" s="4">
        <v>40210</v>
      </c>
      <c r="B64" s="3">
        <v>54.2</v>
      </c>
    </row>
    <row r="65" spans="1:2" x14ac:dyDescent="0.2">
      <c r="A65" s="4">
        <v>40238</v>
      </c>
      <c r="B65" s="3">
        <v>56.6</v>
      </c>
    </row>
    <row r="66" spans="1:2" x14ac:dyDescent="0.2">
      <c r="A66" s="4">
        <v>40269</v>
      </c>
      <c r="B66" s="3">
        <v>57.6</v>
      </c>
    </row>
    <row r="67" spans="1:2" x14ac:dyDescent="0.2">
      <c r="A67" s="4">
        <v>40299</v>
      </c>
      <c r="B67" s="3">
        <v>55.8</v>
      </c>
    </row>
    <row r="68" spans="1:2" x14ac:dyDescent="0.2">
      <c r="A68" s="4">
        <v>40330</v>
      </c>
      <c r="B68" s="3">
        <v>55.6</v>
      </c>
    </row>
    <row r="69" spans="1:2" x14ac:dyDescent="0.2">
      <c r="A69" s="4">
        <v>40360</v>
      </c>
      <c r="B69" s="3">
        <v>56.7</v>
      </c>
    </row>
    <row r="70" spans="1:2" x14ac:dyDescent="0.2">
      <c r="A70" s="4">
        <v>40391</v>
      </c>
      <c r="B70" s="3">
        <v>55.1</v>
      </c>
    </row>
    <row r="71" spans="1:2" x14ac:dyDescent="0.2">
      <c r="A71" s="4">
        <v>40422</v>
      </c>
      <c r="B71" s="3">
        <v>53.7</v>
      </c>
    </row>
    <row r="72" spans="1:2" x14ac:dyDescent="0.2">
      <c r="A72" s="4">
        <v>40452</v>
      </c>
      <c r="B72" s="3">
        <v>54.6</v>
      </c>
    </row>
    <row r="73" spans="1:2" x14ac:dyDescent="0.2">
      <c r="A73" s="4">
        <v>40483</v>
      </c>
      <c r="B73" s="3">
        <v>55.3</v>
      </c>
    </row>
    <row r="74" spans="1:2" x14ac:dyDescent="0.2">
      <c r="A74" s="4">
        <v>40513</v>
      </c>
      <c r="B74" s="3">
        <v>57.1</v>
      </c>
    </row>
    <row r="75" spans="1:2" x14ac:dyDescent="0.2">
      <c r="A75" s="4">
        <v>40544</v>
      </c>
      <c r="B75" s="3">
        <v>57.3</v>
      </c>
    </row>
    <row r="76" spans="1:2" x14ac:dyDescent="0.2">
      <c r="A76" s="4">
        <v>40575</v>
      </c>
      <c r="B76" s="3">
        <v>59</v>
      </c>
    </row>
    <row r="77" spans="1:2" x14ac:dyDescent="0.2">
      <c r="A77" s="4">
        <v>40603</v>
      </c>
      <c r="B77" s="3">
        <v>57.5</v>
      </c>
    </row>
    <row r="78" spans="1:2" x14ac:dyDescent="0.2">
      <c r="A78" s="4">
        <v>40634</v>
      </c>
      <c r="B78" s="3">
        <v>58</v>
      </c>
    </row>
    <row r="79" spans="1:2" x14ac:dyDescent="0.2">
      <c r="A79" s="4">
        <v>40664</v>
      </c>
      <c r="B79" s="3">
        <v>54.6</v>
      </c>
    </row>
    <row r="80" spans="1:2" x14ac:dyDescent="0.2">
      <c r="A80" s="4">
        <v>40695</v>
      </c>
      <c r="B80" s="3">
        <v>52</v>
      </c>
    </row>
    <row r="81" spans="1:2" x14ac:dyDescent="0.2">
      <c r="A81" s="4">
        <v>40725</v>
      </c>
      <c r="B81" s="3">
        <v>50.4</v>
      </c>
    </row>
    <row r="82" spans="1:2" x14ac:dyDescent="0.2">
      <c r="A82" s="4">
        <v>40756</v>
      </c>
      <c r="B82" s="3">
        <v>49</v>
      </c>
    </row>
    <row r="83" spans="1:2" x14ac:dyDescent="0.2">
      <c r="A83" s="4">
        <v>40787</v>
      </c>
      <c r="B83" s="3">
        <v>48.5</v>
      </c>
    </row>
    <row r="84" spans="1:2" x14ac:dyDescent="0.2">
      <c r="A84" s="4">
        <v>40817</v>
      </c>
      <c r="B84" s="3">
        <v>47.1</v>
      </c>
    </row>
    <row r="85" spans="1:2" x14ac:dyDescent="0.2">
      <c r="A85" s="4">
        <v>40848</v>
      </c>
      <c r="B85" s="3">
        <v>46.4</v>
      </c>
    </row>
    <row r="86" spans="1:2" x14ac:dyDescent="0.2">
      <c r="A86" s="4">
        <v>40878</v>
      </c>
      <c r="B86" s="3">
        <v>46.9</v>
      </c>
    </row>
    <row r="87" spans="1:2" x14ac:dyDescent="0.2">
      <c r="A87" s="4">
        <v>40909</v>
      </c>
      <c r="B87" s="3">
        <v>48.8</v>
      </c>
    </row>
    <row r="88" spans="1:2" x14ac:dyDescent="0.2">
      <c r="A88" s="4">
        <v>40940</v>
      </c>
      <c r="B88" s="3">
        <v>49</v>
      </c>
    </row>
    <row r="89" spans="1:2" x14ac:dyDescent="0.2">
      <c r="A89" s="4">
        <v>40969</v>
      </c>
      <c r="B89" s="3">
        <v>47.7</v>
      </c>
    </row>
    <row r="90" spans="1:2" x14ac:dyDescent="0.2">
      <c r="A90" s="4">
        <v>41000</v>
      </c>
      <c r="B90" s="3">
        <v>45.9</v>
      </c>
    </row>
    <row r="91" spans="1:2" x14ac:dyDescent="0.2">
      <c r="A91" s="4">
        <v>41030</v>
      </c>
      <c r="B91" s="3">
        <v>45.1</v>
      </c>
    </row>
    <row r="92" spans="1:2" x14ac:dyDescent="0.2">
      <c r="A92" s="4">
        <v>41061</v>
      </c>
      <c r="B92" s="3">
        <v>45.1</v>
      </c>
    </row>
    <row r="93" spans="1:2" x14ac:dyDescent="0.2">
      <c r="A93" s="4">
        <v>41091</v>
      </c>
      <c r="B93" s="3">
        <v>44</v>
      </c>
    </row>
    <row r="94" spans="1:2" x14ac:dyDescent="0.2">
      <c r="A94" s="4">
        <v>41122</v>
      </c>
      <c r="B94" s="3">
        <v>45.1</v>
      </c>
    </row>
    <row r="95" spans="1:2" x14ac:dyDescent="0.2">
      <c r="A95" s="4">
        <v>41153</v>
      </c>
      <c r="B95" s="3">
        <v>46.1</v>
      </c>
    </row>
    <row r="96" spans="1:2" x14ac:dyDescent="0.2">
      <c r="A96" s="4">
        <v>41183</v>
      </c>
      <c r="B96" s="3">
        <v>45.4</v>
      </c>
    </row>
    <row r="97" spans="1:2" x14ac:dyDescent="0.2">
      <c r="A97" s="4">
        <v>41214</v>
      </c>
      <c r="B97" s="3">
        <v>46.2</v>
      </c>
    </row>
    <row r="98" spans="1:2" x14ac:dyDescent="0.2">
      <c r="A98" s="4">
        <v>41244</v>
      </c>
      <c r="B98" s="3">
        <v>46.1</v>
      </c>
    </row>
    <row r="99" spans="1:2" x14ac:dyDescent="0.2">
      <c r="A99" s="4">
        <v>41275</v>
      </c>
      <c r="B99" s="3">
        <v>47.9</v>
      </c>
    </row>
    <row r="100" spans="1:2" x14ac:dyDescent="0.2">
      <c r="A100" s="4">
        <v>41306</v>
      </c>
      <c r="B100" s="3">
        <v>47.9</v>
      </c>
    </row>
    <row r="101" spans="1:2" x14ac:dyDescent="0.2">
      <c r="A101" s="4">
        <v>41334</v>
      </c>
      <c r="B101" s="3">
        <v>46.8</v>
      </c>
    </row>
    <row r="102" spans="1:2" x14ac:dyDescent="0.2">
      <c r="A102" s="4">
        <v>41365</v>
      </c>
      <c r="B102" s="3">
        <v>46.7</v>
      </c>
    </row>
    <row r="103" spans="1:2" x14ac:dyDescent="0.2">
      <c r="A103" s="4">
        <v>41395</v>
      </c>
      <c r="B103" s="3">
        <v>48.3</v>
      </c>
    </row>
    <row r="104" spans="1:2" x14ac:dyDescent="0.2">
      <c r="A104" s="4">
        <v>41426</v>
      </c>
      <c r="B104" s="3">
        <v>48.8</v>
      </c>
    </row>
    <row r="105" spans="1:2" x14ac:dyDescent="0.2">
      <c r="A105" s="4">
        <v>41456</v>
      </c>
      <c r="B105" s="3">
        <v>50.3</v>
      </c>
    </row>
    <row r="106" spans="1:2" x14ac:dyDescent="0.2">
      <c r="A106" s="4">
        <v>41487</v>
      </c>
      <c r="B106" s="3">
        <v>51.4</v>
      </c>
    </row>
    <row r="107" spans="1:2" x14ac:dyDescent="0.2">
      <c r="A107" s="4">
        <v>41518</v>
      </c>
      <c r="B107" s="3">
        <v>51.1</v>
      </c>
    </row>
    <row r="108" spans="1:2" x14ac:dyDescent="0.2">
      <c r="A108" s="4">
        <v>41548</v>
      </c>
      <c r="B108" s="3">
        <v>51.3</v>
      </c>
    </row>
    <row r="109" spans="1:2" x14ac:dyDescent="0.2">
      <c r="A109" s="4">
        <v>41579</v>
      </c>
      <c r="B109" s="3">
        <v>51.6</v>
      </c>
    </row>
    <row r="110" spans="1:2" x14ac:dyDescent="0.2">
      <c r="A110" s="4">
        <v>41609</v>
      </c>
      <c r="B110" s="3">
        <v>52.7</v>
      </c>
    </row>
    <row r="111" spans="1:2" x14ac:dyDescent="0.2">
      <c r="A111" s="4">
        <v>41640</v>
      </c>
      <c r="B111" s="3">
        <v>54</v>
      </c>
    </row>
    <row r="112" spans="1:2" x14ac:dyDescent="0.2">
      <c r="A112" s="4">
        <v>41671</v>
      </c>
      <c r="B112" s="3">
        <v>53.2</v>
      </c>
    </row>
    <row r="113" spans="1:2" x14ac:dyDescent="0.2">
      <c r="A113" s="4">
        <v>41699</v>
      </c>
      <c r="B113" s="3">
        <v>53</v>
      </c>
    </row>
    <row r="114" spans="1:2" x14ac:dyDescent="0.2">
      <c r="A114" s="4">
        <v>41730</v>
      </c>
      <c r="B114" s="3">
        <v>54</v>
      </c>
    </row>
    <row r="115" spans="1:2" x14ac:dyDescent="0.2">
      <c r="A115" s="4">
        <v>41760</v>
      </c>
      <c r="B115" s="3">
        <v>52.2</v>
      </c>
    </row>
    <row r="116" spans="1:2" x14ac:dyDescent="0.2">
      <c r="A116" s="4">
        <v>41791</v>
      </c>
      <c r="B116" s="3">
        <v>51.8</v>
      </c>
    </row>
    <row r="117" spans="1:2" x14ac:dyDescent="0.2">
      <c r="A117" s="4">
        <v>41821</v>
      </c>
      <c r="B117" s="3">
        <v>51.8</v>
      </c>
    </row>
    <row r="118" spans="1:2" x14ac:dyDescent="0.2">
      <c r="A118" s="4">
        <v>41852</v>
      </c>
      <c r="B118" s="3">
        <v>50.7</v>
      </c>
    </row>
    <row r="119" spans="1:2" x14ac:dyDescent="0.2">
      <c r="A119" s="4">
        <v>41883</v>
      </c>
      <c r="B119" s="3">
        <v>50.3</v>
      </c>
    </row>
    <row r="120" spans="1:2" x14ac:dyDescent="0.2">
      <c r="A120" s="4">
        <v>41913</v>
      </c>
      <c r="B120" s="3">
        <v>50.6</v>
      </c>
    </row>
    <row r="121" spans="1:2" x14ac:dyDescent="0.2">
      <c r="A121" s="4">
        <v>41944</v>
      </c>
      <c r="B121" s="3">
        <v>50.1</v>
      </c>
    </row>
    <row r="122" spans="1:2" x14ac:dyDescent="0.2">
      <c r="A122" s="4">
        <v>41974</v>
      </c>
      <c r="B122" s="3">
        <v>50.6</v>
      </c>
    </row>
    <row r="123" spans="1:2" x14ac:dyDescent="0.2">
      <c r="A123" s="4">
        <v>42005</v>
      </c>
      <c r="B123" s="3">
        <v>51</v>
      </c>
    </row>
    <row r="124" spans="1:2" x14ac:dyDescent="0.2">
      <c r="A124" s="4">
        <v>42036</v>
      </c>
      <c r="B124" s="3">
        <v>51</v>
      </c>
    </row>
    <row r="125" spans="1:2" x14ac:dyDescent="0.2">
      <c r="A125" s="4">
        <v>42064</v>
      </c>
      <c r="B125" s="3">
        <v>52.2</v>
      </c>
    </row>
    <row r="126" spans="1:2" x14ac:dyDescent="0.2">
      <c r="A126" s="4">
        <v>42095</v>
      </c>
      <c r="B126" s="3">
        <v>52</v>
      </c>
    </row>
    <row r="127" spans="1:2" x14ac:dyDescent="0.2">
      <c r="A127" s="4">
        <v>42125</v>
      </c>
      <c r="B127" s="3">
        <v>52.2</v>
      </c>
    </row>
    <row r="128" spans="1:2" x14ac:dyDescent="0.2">
      <c r="A128" s="4">
        <v>42156</v>
      </c>
      <c r="B128" s="3">
        <v>52.5</v>
      </c>
    </row>
    <row r="129" spans="1:2" x14ac:dyDescent="0.2">
      <c r="A129" s="4">
        <v>42186</v>
      </c>
      <c r="B129" s="3">
        <v>52.4</v>
      </c>
    </row>
    <row r="130" spans="1:2" x14ac:dyDescent="0.2">
      <c r="A130" s="4">
        <v>42217</v>
      </c>
      <c r="B130" s="3">
        <v>52.3</v>
      </c>
    </row>
    <row r="131" spans="1:2" x14ac:dyDescent="0.2">
      <c r="A131" s="4">
        <v>42248</v>
      </c>
      <c r="B131" s="3">
        <v>52</v>
      </c>
    </row>
    <row r="132" spans="1:2" x14ac:dyDescent="0.2">
      <c r="A132" s="4">
        <v>42278</v>
      </c>
      <c r="B132" s="3">
        <v>52.3</v>
      </c>
    </row>
    <row r="133" spans="1:2" x14ac:dyDescent="0.2">
      <c r="A133" s="4">
        <v>42309</v>
      </c>
      <c r="B133" s="3">
        <v>52.8</v>
      </c>
    </row>
    <row r="134" spans="1:2" x14ac:dyDescent="0.2">
      <c r="A134" s="4">
        <v>42339</v>
      </c>
      <c r="B134" s="3">
        <v>53.2</v>
      </c>
    </row>
    <row r="135" spans="1:2" x14ac:dyDescent="0.2">
      <c r="A135" s="4">
        <v>42370</v>
      </c>
      <c r="B135" s="3">
        <v>52.3</v>
      </c>
    </row>
    <row r="136" spans="1:2" x14ac:dyDescent="0.2">
      <c r="A136" s="4">
        <v>42401</v>
      </c>
      <c r="B136" s="3">
        <v>51.2</v>
      </c>
    </row>
    <row r="137" spans="1:2" x14ac:dyDescent="0.2">
      <c r="A137" s="4">
        <v>42430</v>
      </c>
      <c r="B137" s="3">
        <v>51.6</v>
      </c>
    </row>
    <row r="138" spans="1:2" x14ac:dyDescent="0.2">
      <c r="A138" s="4">
        <v>42461</v>
      </c>
      <c r="B138" s="3">
        <v>51.7</v>
      </c>
    </row>
    <row r="139" spans="1:2" x14ac:dyDescent="0.2">
      <c r="A139" s="4">
        <v>42491</v>
      </c>
      <c r="B139" s="3">
        <v>51.5</v>
      </c>
    </row>
    <row r="140" spans="1:2" x14ac:dyDescent="0.2">
      <c r="A140" s="4">
        <v>42522</v>
      </c>
      <c r="B140" s="3">
        <v>52.8</v>
      </c>
    </row>
    <row r="141" spans="1:2" x14ac:dyDescent="0.2">
      <c r="A141" s="4">
        <v>42552</v>
      </c>
      <c r="B141" s="3">
        <v>52</v>
      </c>
    </row>
    <row r="142" spans="1:2" x14ac:dyDescent="0.2">
      <c r="A142" s="4">
        <v>42583</v>
      </c>
      <c r="B142" s="3">
        <v>51.7</v>
      </c>
    </row>
    <row r="143" spans="1:2" x14ac:dyDescent="0.2">
      <c r="A143" s="4">
        <v>42614</v>
      </c>
      <c r="B143" s="3">
        <v>52.6</v>
      </c>
    </row>
    <row r="144" spans="1:2" x14ac:dyDescent="0.2">
      <c r="A144" s="4">
        <v>42644</v>
      </c>
      <c r="B144" s="3">
        <v>53.5</v>
      </c>
    </row>
    <row r="145" spans="1:2" x14ac:dyDescent="0.2">
      <c r="A145" s="4">
        <v>42675</v>
      </c>
      <c r="B145" s="3">
        <v>53.7</v>
      </c>
    </row>
    <row r="146" spans="1:2" x14ac:dyDescent="0.2">
      <c r="A146" s="4">
        <v>42705</v>
      </c>
      <c r="B146" s="3">
        <v>54.9</v>
      </c>
    </row>
    <row r="147" spans="1:2" x14ac:dyDescent="0.2">
      <c r="A147" s="4">
        <v>42736</v>
      </c>
      <c r="B147" s="3">
        <v>55.2</v>
      </c>
    </row>
    <row r="148" spans="1:2" x14ac:dyDescent="0.2">
      <c r="A148" s="4">
        <v>42767</v>
      </c>
      <c r="B148" s="3">
        <v>55.4</v>
      </c>
    </row>
    <row r="149" spans="1:2" x14ac:dyDescent="0.2">
      <c r="A149" s="4">
        <v>42795</v>
      </c>
      <c r="B149" s="3">
        <v>56.2</v>
      </c>
    </row>
    <row r="150" spans="1:2" x14ac:dyDescent="0.2">
      <c r="A150" s="4">
        <v>42826</v>
      </c>
      <c r="B150" s="3">
        <v>56.7</v>
      </c>
    </row>
    <row r="151" spans="1:2" x14ac:dyDescent="0.2">
      <c r="A151" s="4">
        <v>42856</v>
      </c>
      <c r="B151" s="3">
        <v>57</v>
      </c>
    </row>
    <row r="152" spans="1:2" x14ac:dyDescent="0.2">
      <c r="A152" s="4">
        <v>42887</v>
      </c>
      <c r="B152" s="3">
        <v>57.4</v>
      </c>
    </row>
    <row r="153" spans="1:2" x14ac:dyDescent="0.2">
      <c r="A153" s="4">
        <v>42917</v>
      </c>
      <c r="B153" s="3">
        <v>56.6</v>
      </c>
    </row>
    <row r="154" spans="1:2" x14ac:dyDescent="0.2">
      <c r="A154" s="4">
        <v>42948</v>
      </c>
      <c r="B154" s="3">
        <v>57.4</v>
      </c>
    </row>
    <row r="155" spans="1:2" x14ac:dyDescent="0.2">
      <c r="A155" s="4">
        <v>42979</v>
      </c>
      <c r="B155" s="3">
        <v>58.1</v>
      </c>
    </row>
    <row r="156" spans="1:2" x14ac:dyDescent="0.2">
      <c r="A156" s="4">
        <v>43009</v>
      </c>
      <c r="B156" s="3">
        <v>58.5</v>
      </c>
    </row>
    <row r="157" spans="1:2" x14ac:dyDescent="0.2">
      <c r="A157" s="4">
        <v>43040</v>
      </c>
      <c r="B157" s="3">
        <v>60.1</v>
      </c>
    </row>
    <row r="158" spans="1:2" x14ac:dyDescent="0.2">
      <c r="A158" s="4">
        <v>43070</v>
      </c>
      <c r="B158" s="3">
        <v>60.6</v>
      </c>
    </row>
    <row r="159" spans="1:2" x14ac:dyDescent="0.2">
      <c r="A159" s="4">
        <v>43101</v>
      </c>
      <c r="B159" s="3">
        <v>59.6</v>
      </c>
    </row>
    <row r="160" spans="1:2" x14ac:dyDescent="0.2">
      <c r="A160" s="4">
        <v>43132</v>
      </c>
      <c r="B160" s="3">
        <v>58.6</v>
      </c>
    </row>
    <row r="161" spans="1:2" x14ac:dyDescent="0.2">
      <c r="A161" s="4">
        <v>43160</v>
      </c>
      <c r="B161" s="3">
        <v>56.6</v>
      </c>
    </row>
    <row r="162" spans="1:2" x14ac:dyDescent="0.2">
      <c r="A162" s="4">
        <v>43191</v>
      </c>
      <c r="B162" s="3">
        <v>56.2</v>
      </c>
    </row>
    <row r="163" spans="1:2" x14ac:dyDescent="0.2">
      <c r="A163" s="4">
        <v>43221</v>
      </c>
      <c r="B163" s="3">
        <v>55.5</v>
      </c>
    </row>
    <row r="164" spans="1:2" x14ac:dyDescent="0.2">
      <c r="A164" s="4">
        <v>43252</v>
      </c>
      <c r="B164" s="3">
        <v>54.9</v>
      </c>
    </row>
    <row r="165" spans="1:2" x14ac:dyDescent="0.2">
      <c r="A165" s="4">
        <v>43282</v>
      </c>
      <c r="B165" s="3">
        <v>55.1</v>
      </c>
    </row>
    <row r="166" spans="1:2" x14ac:dyDescent="0.2">
      <c r="A166" s="4">
        <v>43313</v>
      </c>
      <c r="B166" s="3">
        <v>54.6</v>
      </c>
    </row>
    <row r="167" spans="1:2" x14ac:dyDescent="0.2">
      <c r="A167" s="4">
        <v>43344</v>
      </c>
      <c r="B167" s="3">
        <v>53.2</v>
      </c>
    </row>
    <row r="168" spans="1:2" x14ac:dyDescent="0.2">
      <c r="A168" s="4">
        <v>43374</v>
      </c>
      <c r="B168" s="3">
        <v>52</v>
      </c>
    </row>
    <row r="169" spans="1:2" x14ac:dyDescent="0.2">
      <c r="A169" s="4">
        <v>43405</v>
      </c>
      <c r="B169" s="3">
        <v>51.8</v>
      </c>
    </row>
    <row r="170" spans="1:2" x14ac:dyDescent="0.2">
      <c r="A170" s="4">
        <v>43435</v>
      </c>
      <c r="B170" s="3">
        <v>51.4</v>
      </c>
    </row>
    <row r="171" spans="1:2" x14ac:dyDescent="0.2">
      <c r="A171" s="4">
        <v>43466</v>
      </c>
      <c r="B171" s="3">
        <v>50.5</v>
      </c>
    </row>
    <row r="172" spans="1:2" x14ac:dyDescent="0.2">
      <c r="A172" s="4">
        <v>43497</v>
      </c>
      <c r="B172" s="3">
        <v>49.3</v>
      </c>
    </row>
    <row r="173" spans="1:2" x14ac:dyDescent="0.2">
      <c r="A173" s="4">
        <v>43525</v>
      </c>
      <c r="B173" s="3">
        <v>47.5</v>
      </c>
    </row>
    <row r="174" spans="1:2" x14ac:dyDescent="0.2">
      <c r="A174" s="4">
        <v>43556</v>
      </c>
      <c r="B174" s="3">
        <v>47.9</v>
      </c>
    </row>
    <row r="175" spans="1:2" x14ac:dyDescent="0.2">
      <c r="A175" s="4">
        <v>43586</v>
      </c>
      <c r="B175" s="3">
        <v>47.7</v>
      </c>
    </row>
    <row r="176" spans="1:2" x14ac:dyDescent="0.2">
      <c r="A176" s="4">
        <v>43617</v>
      </c>
      <c r="B176" s="3">
        <v>47.6</v>
      </c>
    </row>
    <row r="177" spans="1:2" x14ac:dyDescent="0.2">
      <c r="A177" s="4">
        <v>43647</v>
      </c>
      <c r="B177" s="3">
        <v>46.5</v>
      </c>
    </row>
    <row r="178" spans="1:2" x14ac:dyDescent="0.2">
      <c r="A178" s="4">
        <v>43678</v>
      </c>
      <c r="B178" s="3">
        <v>47</v>
      </c>
    </row>
    <row r="179" spans="1:2" x14ac:dyDescent="0.2">
      <c r="A179" s="4">
        <v>43709</v>
      </c>
      <c r="B179" s="3">
        <v>45.7</v>
      </c>
    </row>
    <row r="180" spans="1:2" x14ac:dyDescent="0.2">
      <c r="A180" s="4">
        <v>43739</v>
      </c>
      <c r="B180" s="3">
        <v>45.9</v>
      </c>
    </row>
    <row r="181" spans="1:2" x14ac:dyDescent="0.2">
      <c r="A181" s="4">
        <v>43770</v>
      </c>
      <c r="B181" s="3">
        <v>46.9</v>
      </c>
    </row>
    <row r="182" spans="1:2" x14ac:dyDescent="0.2">
      <c r="A182" s="4">
        <v>43800</v>
      </c>
      <c r="B182" s="3">
        <v>46.3</v>
      </c>
    </row>
    <row r="183" spans="1:2" x14ac:dyDescent="0.2">
      <c r="A183" s="4">
        <v>43831</v>
      </c>
      <c r="B183" s="3">
        <v>47.9</v>
      </c>
    </row>
    <row r="184" spans="1:2" x14ac:dyDescent="0.2">
      <c r="A184" s="4">
        <v>43862</v>
      </c>
      <c r="B184" s="3">
        <v>49.2</v>
      </c>
    </row>
    <row r="185" spans="1:2" x14ac:dyDescent="0.2">
      <c r="A185" s="4">
        <v>43891</v>
      </c>
      <c r="B185" s="3">
        <v>44.5</v>
      </c>
    </row>
    <row r="186" spans="1:2" x14ac:dyDescent="0.2">
      <c r="A186" s="4">
        <v>43922</v>
      </c>
      <c r="B186" s="3">
        <v>33.4</v>
      </c>
    </row>
    <row r="187" spans="1:2" x14ac:dyDescent="0.2">
      <c r="A187" s="4">
        <v>43952</v>
      </c>
      <c r="B187" s="3">
        <v>39.4</v>
      </c>
    </row>
    <row r="188" spans="1:2" x14ac:dyDescent="0.2">
      <c r="A188" s="4">
        <v>43983</v>
      </c>
      <c r="B188" s="3">
        <v>47.4</v>
      </c>
    </row>
    <row r="189" spans="1:2" x14ac:dyDescent="0.2">
      <c r="A189" s="4">
        <v>44013</v>
      </c>
      <c r="B189" s="3">
        <v>51.8</v>
      </c>
    </row>
    <row r="190" spans="1:2" x14ac:dyDescent="0.2">
      <c r="A190" s="4">
        <v>44044</v>
      </c>
      <c r="B190" s="3">
        <v>51.7</v>
      </c>
    </row>
    <row r="191" spans="1:2" x14ac:dyDescent="0.2">
      <c r="A191" s="4">
        <v>44075</v>
      </c>
      <c r="B191" s="3">
        <v>53.7</v>
      </c>
    </row>
    <row r="192" spans="1:2" x14ac:dyDescent="0.2">
      <c r="A192" s="4">
        <v>44105</v>
      </c>
      <c r="B192" s="3">
        <v>54.8</v>
      </c>
    </row>
    <row r="193" spans="1:2" x14ac:dyDescent="0.2">
      <c r="A193" s="4">
        <v>44136</v>
      </c>
      <c r="B193" s="3">
        <v>53.8</v>
      </c>
    </row>
    <row r="194" spans="1:2" x14ac:dyDescent="0.2">
      <c r="A194" s="4">
        <v>44166</v>
      </c>
      <c r="B194" s="3">
        <v>55.2</v>
      </c>
    </row>
    <row r="195" spans="1:2" x14ac:dyDescent="0.2">
      <c r="A195" s="4">
        <v>44197</v>
      </c>
      <c r="B195" s="3">
        <v>54.8</v>
      </c>
    </row>
    <row r="196" spans="1:2" x14ac:dyDescent="0.2">
      <c r="A196" s="4">
        <v>44228</v>
      </c>
      <c r="B196" s="3">
        <v>57.9</v>
      </c>
    </row>
    <row r="197" spans="1:2" x14ac:dyDescent="0.2">
      <c r="A197" s="4">
        <v>44256</v>
      </c>
      <c r="B197" s="3">
        <v>62.5</v>
      </c>
    </row>
    <row r="198" spans="1:2" x14ac:dyDescent="0.2">
      <c r="A198" s="4">
        <v>44287</v>
      </c>
      <c r="B198" s="3">
        <v>62.9</v>
      </c>
    </row>
    <row r="199" spans="1:2" x14ac:dyDescent="0.2">
      <c r="A199" s="4">
        <v>44317</v>
      </c>
      <c r="B199" s="3">
        <v>63.1</v>
      </c>
    </row>
    <row r="200" spans="1:2" x14ac:dyDescent="0.2">
      <c r="A200" s="4">
        <v>44348</v>
      </c>
      <c r="B200" s="3">
        <v>63.4</v>
      </c>
    </row>
    <row r="201" spans="1:2" x14ac:dyDescent="0.2">
      <c r="A201" s="4">
        <v>44378</v>
      </c>
      <c r="B201" s="3">
        <v>62.8</v>
      </c>
    </row>
    <row r="202" spans="1:2" x14ac:dyDescent="0.2">
      <c r="A202" s="4">
        <v>44409</v>
      </c>
      <c r="B202" s="3">
        <v>61.4</v>
      </c>
    </row>
    <row r="203" spans="1:2" x14ac:dyDescent="0.2">
      <c r="A203" s="4">
        <v>44440</v>
      </c>
      <c r="B203" s="3">
        <v>58.6</v>
      </c>
    </row>
    <row r="204" spans="1:2" x14ac:dyDescent="0.2">
      <c r="A204" s="4">
        <v>44470</v>
      </c>
      <c r="B204" s="3">
        <v>58.3</v>
      </c>
    </row>
    <row r="205" spans="1:2" x14ac:dyDescent="0.2">
      <c r="A205" s="4">
        <v>44501</v>
      </c>
      <c r="B205" s="3">
        <v>58.4</v>
      </c>
    </row>
    <row r="206" spans="1:2" x14ac:dyDescent="0.2">
      <c r="A206" s="4">
        <v>44531</v>
      </c>
      <c r="B206" s="3">
        <v>58</v>
      </c>
    </row>
  </sheetData>
  <conditionalFormatting sqref="B2:B206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F519CC-C006-47C0-B57B-EC96588A9DC2}">
  <dimension ref="A1:B168"/>
  <sheetViews>
    <sheetView zoomScale="160" zoomScaleNormal="160" workbookViewId="0">
      <pane ySplit="1" topLeftCell="A118" activePane="bottomLeft" state="frozen"/>
      <selection pane="bottomLeft" activeCell="B1" sqref="B1"/>
    </sheetView>
  </sheetViews>
  <sheetFormatPr baseColWidth="10" defaultColWidth="9.1640625" defaultRowHeight="15" x14ac:dyDescent="0.2"/>
  <cols>
    <col min="1" max="1" width="13.5" style="2" customWidth="1"/>
    <col min="2" max="2" width="11.33203125" style="2" customWidth="1"/>
    <col min="3" max="16384" width="9.1640625" style="2"/>
  </cols>
  <sheetData>
    <row r="1" spans="1:2" ht="16" thickBot="1" x14ac:dyDescent="0.25">
      <c r="A1" s="11" t="s">
        <v>0</v>
      </c>
      <c r="B1" s="12" t="s">
        <v>16</v>
      </c>
    </row>
    <row r="2" spans="1:2" x14ac:dyDescent="0.2">
      <c r="A2" s="8">
        <v>39479</v>
      </c>
      <c r="B2" s="9">
        <v>50.8</v>
      </c>
    </row>
    <row r="3" spans="1:2" x14ac:dyDescent="0.2">
      <c r="A3" s="4">
        <v>39508</v>
      </c>
      <c r="B3" s="3">
        <v>49.5</v>
      </c>
    </row>
    <row r="4" spans="1:2" x14ac:dyDescent="0.2">
      <c r="A4" s="4">
        <v>39539</v>
      </c>
      <c r="B4" s="3">
        <v>48.6</v>
      </c>
    </row>
    <row r="5" spans="1:2" x14ac:dyDescent="0.2">
      <c r="A5" s="4">
        <v>39569</v>
      </c>
      <c r="B5" s="3">
        <v>47.7</v>
      </c>
    </row>
    <row r="6" spans="1:2" x14ac:dyDescent="0.2">
      <c r="A6" s="4">
        <v>39600</v>
      </c>
      <c r="B6" s="3">
        <v>46.5</v>
      </c>
    </row>
    <row r="7" spans="1:2" x14ac:dyDescent="0.2">
      <c r="A7" s="4">
        <v>39630</v>
      </c>
      <c r="B7" s="3">
        <v>47</v>
      </c>
    </row>
    <row r="8" spans="1:2" x14ac:dyDescent="0.2">
      <c r="A8" s="4">
        <v>39661</v>
      </c>
      <c r="B8" s="3">
        <v>46.9</v>
      </c>
    </row>
    <row r="9" spans="1:2" x14ac:dyDescent="0.2">
      <c r="A9" s="4">
        <v>39692</v>
      </c>
      <c r="B9" s="3">
        <v>44.3</v>
      </c>
    </row>
    <row r="10" spans="1:2" x14ac:dyDescent="0.2">
      <c r="A10" s="4">
        <v>39722</v>
      </c>
      <c r="B10" s="3">
        <v>42.2</v>
      </c>
    </row>
    <row r="11" spans="1:2" x14ac:dyDescent="0.2">
      <c r="A11" s="4">
        <v>39753</v>
      </c>
      <c r="B11" s="3">
        <v>36.700000000000003</v>
      </c>
    </row>
    <row r="12" spans="1:2" x14ac:dyDescent="0.2">
      <c r="A12" s="4">
        <v>39783</v>
      </c>
      <c r="B12" s="3">
        <v>30.8</v>
      </c>
    </row>
    <row r="13" spans="1:2" x14ac:dyDescent="0.2">
      <c r="A13" s="4">
        <v>39814</v>
      </c>
      <c r="B13" s="3">
        <v>29.6</v>
      </c>
    </row>
    <row r="14" spans="1:2" x14ac:dyDescent="0.2">
      <c r="A14" s="4">
        <v>39845</v>
      </c>
      <c r="B14" s="3">
        <v>31.6</v>
      </c>
    </row>
    <row r="15" spans="1:2" x14ac:dyDescent="0.2">
      <c r="A15" s="4">
        <v>39873</v>
      </c>
      <c r="B15" s="3">
        <v>33.799999999999997</v>
      </c>
    </row>
    <row r="16" spans="1:2" x14ac:dyDescent="0.2">
      <c r="A16" s="4">
        <v>39904</v>
      </c>
      <c r="B16" s="3">
        <v>41.4</v>
      </c>
    </row>
    <row r="17" spans="1:2" x14ac:dyDescent="0.2">
      <c r="A17" s="4">
        <v>39934</v>
      </c>
      <c r="B17" s="3">
        <v>46.6</v>
      </c>
    </row>
    <row r="18" spans="1:2" x14ac:dyDescent="0.2">
      <c r="A18" s="4">
        <v>39965</v>
      </c>
      <c r="B18" s="3">
        <v>48.2</v>
      </c>
    </row>
    <row r="19" spans="1:2" x14ac:dyDescent="0.2">
      <c r="A19" s="4">
        <v>39995</v>
      </c>
      <c r="B19" s="3">
        <v>50.4</v>
      </c>
    </row>
    <row r="20" spans="1:2" x14ac:dyDescent="0.2">
      <c r="A20" s="4">
        <v>40026</v>
      </c>
      <c r="B20" s="3">
        <v>53.6</v>
      </c>
    </row>
    <row r="21" spans="1:2" x14ac:dyDescent="0.2">
      <c r="A21" s="4">
        <v>40057</v>
      </c>
      <c r="B21" s="3">
        <v>54.5</v>
      </c>
    </row>
    <row r="22" spans="1:2" x14ac:dyDescent="0.2">
      <c r="A22" s="4">
        <v>40087</v>
      </c>
      <c r="B22" s="3">
        <v>54.3</v>
      </c>
    </row>
    <row r="23" spans="1:2" x14ac:dyDescent="0.2">
      <c r="A23" s="4">
        <v>40118</v>
      </c>
      <c r="B23" s="3">
        <v>52.3</v>
      </c>
    </row>
    <row r="24" spans="1:2" x14ac:dyDescent="0.2">
      <c r="A24" s="4">
        <v>40148</v>
      </c>
      <c r="B24" s="3">
        <v>53.8</v>
      </c>
    </row>
    <row r="25" spans="1:2" x14ac:dyDescent="0.2">
      <c r="A25" s="4">
        <v>40179</v>
      </c>
      <c r="B25" s="3">
        <v>52.5</v>
      </c>
    </row>
    <row r="26" spans="1:2" x14ac:dyDescent="0.2">
      <c r="A26" s="4">
        <v>40210</v>
      </c>
      <c r="B26" s="3">
        <v>52.5</v>
      </c>
    </row>
    <row r="27" spans="1:2" x14ac:dyDescent="0.2">
      <c r="A27" s="4">
        <v>40238</v>
      </c>
      <c r="B27" s="3">
        <v>52.4</v>
      </c>
    </row>
    <row r="28" spans="1:2" x14ac:dyDescent="0.2">
      <c r="A28" s="4">
        <v>40269</v>
      </c>
      <c r="B28" s="3">
        <v>53.5</v>
      </c>
    </row>
    <row r="29" spans="1:2" x14ac:dyDescent="0.2">
      <c r="A29" s="4">
        <v>40299</v>
      </c>
      <c r="B29" s="3">
        <v>54.7</v>
      </c>
    </row>
    <row r="30" spans="1:2" x14ac:dyDescent="0.2">
      <c r="A30" s="4">
        <v>40330</v>
      </c>
      <c r="B30" s="3">
        <v>53.9</v>
      </c>
    </row>
    <row r="31" spans="1:2" x14ac:dyDescent="0.2">
      <c r="A31" s="4">
        <v>40360</v>
      </c>
      <c r="B31" s="3">
        <v>52.8</v>
      </c>
    </row>
    <row r="32" spans="1:2" x14ac:dyDescent="0.2">
      <c r="A32" s="4">
        <v>40391</v>
      </c>
      <c r="B32" s="3">
        <v>50.1</v>
      </c>
    </row>
    <row r="33" spans="1:2" x14ac:dyDescent="0.2">
      <c r="A33" s="4">
        <v>40422</v>
      </c>
      <c r="B33" s="3">
        <v>49.5</v>
      </c>
    </row>
    <row r="34" spans="1:2" x14ac:dyDescent="0.2">
      <c r="A34" s="4">
        <v>40452</v>
      </c>
      <c r="B34" s="3">
        <v>47.2</v>
      </c>
    </row>
    <row r="35" spans="1:2" x14ac:dyDescent="0.2">
      <c r="A35" s="4">
        <v>40483</v>
      </c>
      <c r="B35" s="3">
        <v>47.3</v>
      </c>
    </row>
    <row r="36" spans="1:2" x14ac:dyDescent="0.2">
      <c r="A36" s="4">
        <v>40513</v>
      </c>
      <c r="B36" s="3">
        <v>48.3</v>
      </c>
    </row>
    <row r="37" spans="1:2" x14ac:dyDescent="0.2">
      <c r="A37" s="4">
        <v>40544</v>
      </c>
      <c r="B37" s="3">
        <v>51.4</v>
      </c>
    </row>
    <row r="38" spans="1:2" x14ac:dyDescent="0.2">
      <c r="A38" s="4">
        <v>40575</v>
      </c>
      <c r="B38" s="3">
        <v>52.9</v>
      </c>
    </row>
    <row r="39" spans="1:2" x14ac:dyDescent="0.2">
      <c r="A39" s="4">
        <v>40603</v>
      </c>
      <c r="B39" s="3">
        <v>46.4</v>
      </c>
    </row>
    <row r="40" spans="1:2" x14ac:dyDescent="0.2">
      <c r="A40" s="4">
        <v>40634</v>
      </c>
      <c r="B40" s="3">
        <v>45.7</v>
      </c>
    </row>
    <row r="41" spans="1:2" x14ac:dyDescent="0.2">
      <c r="A41" s="4">
        <v>40664</v>
      </c>
      <c r="B41" s="3">
        <v>51.3</v>
      </c>
    </row>
    <row r="42" spans="1:2" x14ac:dyDescent="0.2">
      <c r="A42" s="4">
        <v>40695</v>
      </c>
      <c r="B42" s="3">
        <v>50.7</v>
      </c>
    </row>
    <row r="43" spans="1:2" x14ac:dyDescent="0.2">
      <c r="A43" s="4">
        <v>40725</v>
      </c>
      <c r="B43" s="3">
        <v>52.1</v>
      </c>
    </row>
    <row r="44" spans="1:2" x14ac:dyDescent="0.2">
      <c r="A44" s="4">
        <v>40756</v>
      </c>
      <c r="B44" s="3">
        <v>51.9</v>
      </c>
    </row>
    <row r="45" spans="1:2" x14ac:dyDescent="0.2">
      <c r="A45" s="4">
        <v>40787</v>
      </c>
      <c r="B45" s="3">
        <v>49.3</v>
      </c>
    </row>
    <row r="46" spans="1:2" x14ac:dyDescent="0.2">
      <c r="A46" s="4">
        <v>40817</v>
      </c>
      <c r="B46" s="3">
        <v>50.6</v>
      </c>
    </row>
    <row r="47" spans="1:2" x14ac:dyDescent="0.2">
      <c r="A47" s="4">
        <v>40848</v>
      </c>
      <c r="B47" s="3">
        <v>49.1</v>
      </c>
    </row>
    <row r="48" spans="1:2" x14ac:dyDescent="0.2">
      <c r="A48" s="4">
        <v>40878</v>
      </c>
      <c r="B48" s="3">
        <v>50.2</v>
      </c>
    </row>
    <row r="49" spans="1:2" x14ac:dyDescent="0.2">
      <c r="A49" s="4">
        <v>40909</v>
      </c>
      <c r="B49" s="3">
        <v>50.7</v>
      </c>
    </row>
    <row r="50" spans="1:2" x14ac:dyDescent="0.2">
      <c r="A50" s="4">
        <v>40940</v>
      </c>
      <c r="B50" s="3">
        <v>50.5</v>
      </c>
    </row>
    <row r="51" spans="1:2" x14ac:dyDescent="0.2">
      <c r="A51" s="4">
        <v>40969</v>
      </c>
      <c r="B51" s="3">
        <v>51.1</v>
      </c>
    </row>
    <row r="52" spans="1:2" x14ac:dyDescent="0.2">
      <c r="A52" s="4">
        <v>41000</v>
      </c>
      <c r="B52" s="3">
        <v>50.7</v>
      </c>
    </row>
    <row r="53" spans="1:2" x14ac:dyDescent="0.2">
      <c r="A53" s="4">
        <v>41030</v>
      </c>
      <c r="B53" s="3">
        <v>50.7</v>
      </c>
    </row>
    <row r="54" spans="1:2" x14ac:dyDescent="0.2">
      <c r="A54" s="4">
        <v>41061</v>
      </c>
      <c r="B54" s="3">
        <v>52.6</v>
      </c>
    </row>
    <row r="55" spans="1:2" x14ac:dyDescent="0.2">
      <c r="A55" s="4">
        <v>41091</v>
      </c>
      <c r="B55" s="3">
        <v>52</v>
      </c>
    </row>
    <row r="56" spans="1:2" x14ac:dyDescent="0.2">
      <c r="A56" s="4">
        <v>41122</v>
      </c>
      <c r="B56" s="3">
        <v>52.1</v>
      </c>
    </row>
    <row r="57" spans="1:2" x14ac:dyDescent="0.2">
      <c r="A57" s="4">
        <v>41153</v>
      </c>
      <c r="B57" s="3">
        <v>48</v>
      </c>
    </row>
    <row r="58" spans="1:2" x14ac:dyDescent="0.2">
      <c r="A58" s="4">
        <v>41183</v>
      </c>
      <c r="B58" s="3">
        <v>46.9</v>
      </c>
    </row>
    <row r="59" spans="1:2" x14ac:dyDescent="0.2">
      <c r="A59" s="4">
        <v>41214</v>
      </c>
      <c r="B59" s="3">
        <v>46.5</v>
      </c>
    </row>
    <row r="60" spans="1:2" x14ac:dyDescent="0.2">
      <c r="A60" s="4">
        <v>41244</v>
      </c>
      <c r="B60" s="3">
        <v>45</v>
      </c>
    </row>
    <row r="61" spans="1:2" x14ac:dyDescent="0.2">
      <c r="A61" s="4">
        <v>41275</v>
      </c>
      <c r="B61" s="3">
        <v>47.7</v>
      </c>
    </row>
    <row r="62" spans="1:2" x14ac:dyDescent="0.2">
      <c r="A62" s="4">
        <v>41306</v>
      </c>
      <c r="B62" s="3">
        <v>48.5</v>
      </c>
    </row>
    <row r="63" spans="1:2" x14ac:dyDescent="0.2">
      <c r="A63" s="4">
        <v>41334</v>
      </c>
      <c r="B63" s="3">
        <v>50.4</v>
      </c>
    </row>
    <row r="64" spans="1:2" x14ac:dyDescent="0.2">
      <c r="A64" s="4">
        <v>41365</v>
      </c>
      <c r="B64" s="3">
        <v>51.1</v>
      </c>
    </row>
    <row r="65" spans="1:2" x14ac:dyDescent="0.2">
      <c r="A65" s="4">
        <v>41395</v>
      </c>
      <c r="B65" s="3">
        <v>51.5</v>
      </c>
    </row>
    <row r="66" spans="1:2" x14ac:dyDescent="0.2">
      <c r="A66" s="4">
        <v>41426</v>
      </c>
      <c r="B66" s="3">
        <v>52.3</v>
      </c>
    </row>
    <row r="67" spans="1:2" x14ac:dyDescent="0.2">
      <c r="A67" s="4">
        <v>41456</v>
      </c>
      <c r="B67" s="3">
        <v>50.7</v>
      </c>
    </row>
    <row r="68" spans="1:2" x14ac:dyDescent="0.2">
      <c r="A68" s="4">
        <v>41487</v>
      </c>
      <c r="B68" s="3">
        <v>52.2</v>
      </c>
    </row>
    <row r="69" spans="1:2" x14ac:dyDescent="0.2">
      <c r="A69" s="4">
        <v>41518</v>
      </c>
      <c r="B69" s="3">
        <v>52.5</v>
      </c>
    </row>
    <row r="70" spans="1:2" x14ac:dyDescent="0.2">
      <c r="A70" s="4">
        <v>41548</v>
      </c>
      <c r="B70" s="3">
        <v>54.2</v>
      </c>
    </row>
    <row r="71" spans="1:2" x14ac:dyDescent="0.2">
      <c r="A71" s="4">
        <v>41579</v>
      </c>
      <c r="B71" s="3">
        <v>55.1</v>
      </c>
    </row>
    <row r="72" spans="1:2" x14ac:dyDescent="0.2">
      <c r="A72" s="4">
        <v>41609</v>
      </c>
      <c r="B72" s="3">
        <v>55.2</v>
      </c>
    </row>
    <row r="73" spans="1:2" x14ac:dyDescent="0.2">
      <c r="A73" s="4">
        <v>41640</v>
      </c>
      <c r="B73" s="3">
        <v>56.6</v>
      </c>
    </row>
    <row r="74" spans="1:2" x14ac:dyDescent="0.2">
      <c r="A74" s="4">
        <v>41671</v>
      </c>
      <c r="B74" s="3">
        <v>55.5</v>
      </c>
    </row>
    <row r="75" spans="1:2" x14ac:dyDescent="0.2">
      <c r="A75" s="4">
        <v>41699</v>
      </c>
      <c r="B75" s="3">
        <v>53.9</v>
      </c>
    </row>
    <row r="76" spans="1:2" x14ac:dyDescent="0.2">
      <c r="A76" s="4">
        <v>41730</v>
      </c>
      <c r="B76" s="3">
        <v>49.4</v>
      </c>
    </row>
    <row r="77" spans="1:2" x14ac:dyDescent="0.2">
      <c r="A77" s="4">
        <v>41760</v>
      </c>
      <c r="B77" s="3">
        <v>49.9</v>
      </c>
    </row>
    <row r="78" spans="1:2" x14ac:dyDescent="0.2">
      <c r="A78" s="4">
        <v>41791</v>
      </c>
      <c r="B78" s="3">
        <v>51.5</v>
      </c>
    </row>
    <row r="79" spans="1:2" x14ac:dyDescent="0.2">
      <c r="A79" s="4">
        <v>41821</v>
      </c>
      <c r="B79" s="3">
        <v>50.5</v>
      </c>
    </row>
    <row r="80" spans="1:2" x14ac:dyDescent="0.2">
      <c r="A80" s="4">
        <v>41852</v>
      </c>
      <c r="B80" s="3">
        <v>52.2</v>
      </c>
    </row>
    <row r="81" spans="1:2" x14ac:dyDescent="0.2">
      <c r="A81" s="4">
        <v>41883</v>
      </c>
      <c r="B81" s="3">
        <v>51.7</v>
      </c>
    </row>
    <row r="82" spans="1:2" x14ac:dyDescent="0.2">
      <c r="A82" s="4">
        <v>41913</v>
      </c>
      <c r="B82" s="3">
        <v>52.4</v>
      </c>
    </row>
    <row r="83" spans="1:2" x14ac:dyDescent="0.2">
      <c r="A83" s="4">
        <v>41944</v>
      </c>
      <c r="B83" s="3">
        <v>52</v>
      </c>
    </row>
    <row r="84" spans="1:2" x14ac:dyDescent="0.2">
      <c r="A84" s="4">
        <v>41974</v>
      </c>
      <c r="B84" s="3">
        <v>52</v>
      </c>
    </row>
    <row r="85" spans="1:2" x14ac:dyDescent="0.2">
      <c r="A85" s="4">
        <v>42005</v>
      </c>
      <c r="B85" s="3">
        <v>52.2</v>
      </c>
    </row>
    <row r="86" spans="1:2" x14ac:dyDescent="0.2">
      <c r="A86" s="4">
        <v>42036</v>
      </c>
      <c r="B86" s="3">
        <v>51.6</v>
      </c>
    </row>
    <row r="87" spans="1:2" x14ac:dyDescent="0.2">
      <c r="A87" s="4">
        <v>42064</v>
      </c>
      <c r="B87" s="3">
        <v>50.3</v>
      </c>
    </row>
    <row r="88" spans="1:2" x14ac:dyDescent="0.2">
      <c r="A88" s="4">
        <v>42095</v>
      </c>
      <c r="B88" s="3">
        <v>49.9</v>
      </c>
    </row>
    <row r="89" spans="1:2" x14ac:dyDescent="0.2">
      <c r="A89" s="4">
        <v>42125</v>
      </c>
      <c r="B89" s="3">
        <v>50.9</v>
      </c>
    </row>
    <row r="90" spans="1:2" x14ac:dyDescent="0.2">
      <c r="A90" s="4">
        <v>42156</v>
      </c>
      <c r="B90" s="3">
        <v>50.1</v>
      </c>
    </row>
    <row r="91" spans="1:2" x14ac:dyDescent="0.2">
      <c r="A91" s="4">
        <v>42186</v>
      </c>
      <c r="B91" s="3">
        <v>51.2</v>
      </c>
    </row>
    <row r="92" spans="1:2" x14ac:dyDescent="0.2">
      <c r="A92" s="4">
        <v>42217</v>
      </c>
      <c r="B92" s="3">
        <v>51.7</v>
      </c>
    </row>
    <row r="93" spans="1:2" x14ac:dyDescent="0.2">
      <c r="A93" s="4">
        <v>42248</v>
      </c>
      <c r="B93" s="3">
        <v>51</v>
      </c>
    </row>
    <row r="94" spans="1:2" x14ac:dyDescent="0.2">
      <c r="A94" s="4">
        <v>42278</v>
      </c>
      <c r="B94" s="3">
        <v>52.4</v>
      </c>
    </row>
    <row r="95" spans="1:2" x14ac:dyDescent="0.2">
      <c r="A95" s="4">
        <v>42309</v>
      </c>
      <c r="B95" s="3">
        <v>52.6</v>
      </c>
    </row>
    <row r="96" spans="1:2" x14ac:dyDescent="0.2">
      <c r="A96" s="4">
        <v>42339</v>
      </c>
      <c r="B96" s="3">
        <v>52.6</v>
      </c>
    </row>
    <row r="97" spans="1:2" x14ac:dyDescent="0.2">
      <c r="A97" s="4">
        <v>42370</v>
      </c>
      <c r="B97" s="3">
        <v>52.3</v>
      </c>
    </row>
    <row r="98" spans="1:2" x14ac:dyDescent="0.2">
      <c r="A98" s="4">
        <v>42401</v>
      </c>
      <c r="B98" s="3">
        <v>50.1</v>
      </c>
    </row>
    <row r="99" spans="1:2" x14ac:dyDescent="0.2">
      <c r="A99" s="4">
        <v>42430</v>
      </c>
      <c r="B99" s="3">
        <v>49.1</v>
      </c>
    </row>
    <row r="100" spans="1:2" x14ac:dyDescent="0.2">
      <c r="A100" s="4">
        <v>42461</v>
      </c>
      <c r="B100" s="3">
        <v>48.2</v>
      </c>
    </row>
    <row r="101" spans="1:2" x14ac:dyDescent="0.2">
      <c r="A101" s="4">
        <v>42491</v>
      </c>
      <c r="B101" s="3">
        <v>47.7</v>
      </c>
    </row>
    <row r="102" spans="1:2" x14ac:dyDescent="0.2">
      <c r="A102" s="4">
        <v>42522</v>
      </c>
      <c r="B102" s="3">
        <v>48.1</v>
      </c>
    </row>
    <row r="103" spans="1:2" x14ac:dyDescent="0.2">
      <c r="A103" s="4">
        <v>42552</v>
      </c>
      <c r="B103" s="3">
        <v>49.3</v>
      </c>
    </row>
    <row r="104" spans="1:2" x14ac:dyDescent="0.2">
      <c r="A104" s="4">
        <v>42583</v>
      </c>
      <c r="B104" s="3">
        <v>49.5</v>
      </c>
    </row>
    <row r="105" spans="1:2" x14ac:dyDescent="0.2">
      <c r="A105" s="4">
        <v>42614</v>
      </c>
      <c r="B105" s="3">
        <v>50.4</v>
      </c>
    </row>
    <row r="106" spans="1:2" x14ac:dyDescent="0.2">
      <c r="A106" s="4">
        <v>42644</v>
      </c>
      <c r="B106" s="3">
        <v>51.4</v>
      </c>
    </row>
    <row r="107" spans="1:2" x14ac:dyDescent="0.2">
      <c r="A107" s="4">
        <v>42675</v>
      </c>
      <c r="B107" s="3">
        <v>51.3</v>
      </c>
    </row>
    <row r="108" spans="1:2" x14ac:dyDescent="0.2">
      <c r="A108" s="4">
        <v>42705</v>
      </c>
      <c r="B108" s="3">
        <v>52.4</v>
      </c>
    </row>
    <row r="109" spans="1:2" x14ac:dyDescent="0.2">
      <c r="A109" s="4">
        <v>42736</v>
      </c>
      <c r="B109" s="3">
        <v>52.7</v>
      </c>
    </row>
    <row r="110" spans="1:2" x14ac:dyDescent="0.2">
      <c r="A110" s="4">
        <v>42767</v>
      </c>
      <c r="B110" s="3">
        <v>53.3</v>
      </c>
    </row>
    <row r="111" spans="1:2" x14ac:dyDescent="0.2">
      <c r="A111" s="4">
        <v>42795</v>
      </c>
      <c r="B111" s="3">
        <v>52.4</v>
      </c>
    </row>
    <row r="112" spans="1:2" x14ac:dyDescent="0.2">
      <c r="A112" s="4">
        <v>42826</v>
      </c>
      <c r="B112" s="3">
        <v>52.7</v>
      </c>
    </row>
    <row r="113" spans="1:2" x14ac:dyDescent="0.2">
      <c r="A113" s="4">
        <v>42856</v>
      </c>
      <c r="B113" s="3">
        <v>53.1</v>
      </c>
    </row>
    <row r="114" spans="1:2" x14ac:dyDescent="0.2">
      <c r="A114" s="4">
        <v>42887</v>
      </c>
      <c r="B114" s="3">
        <v>52.4</v>
      </c>
    </row>
    <row r="115" spans="1:2" x14ac:dyDescent="0.2">
      <c r="A115" s="4">
        <v>42917</v>
      </c>
      <c r="B115" s="3">
        <v>52.1</v>
      </c>
    </row>
    <row r="116" spans="1:2" x14ac:dyDescent="0.2">
      <c r="A116" s="4">
        <v>42948</v>
      </c>
      <c r="B116" s="3">
        <v>52.2</v>
      </c>
    </row>
    <row r="117" spans="1:2" x14ac:dyDescent="0.2">
      <c r="A117" s="4">
        <v>42979</v>
      </c>
      <c r="B117" s="3">
        <v>52.9</v>
      </c>
    </row>
    <row r="118" spans="1:2" x14ac:dyDescent="0.2">
      <c r="A118" s="4">
        <v>43009</v>
      </c>
      <c r="B118" s="3">
        <v>52.8</v>
      </c>
    </row>
    <row r="119" spans="1:2" x14ac:dyDescent="0.2">
      <c r="A119" s="4">
        <v>43040</v>
      </c>
      <c r="B119" s="3">
        <v>53.6</v>
      </c>
    </row>
    <row r="120" spans="1:2" x14ac:dyDescent="0.2">
      <c r="A120" s="4">
        <v>43070</v>
      </c>
      <c r="B120" s="3">
        <v>54</v>
      </c>
    </row>
    <row r="121" spans="1:2" x14ac:dyDescent="0.2">
      <c r="A121" s="4">
        <v>43101</v>
      </c>
      <c r="B121" s="3">
        <v>54.8</v>
      </c>
    </row>
    <row r="122" spans="1:2" x14ac:dyDescent="0.2">
      <c r="A122" s="4">
        <v>43132</v>
      </c>
      <c r="B122" s="3">
        <v>54.1</v>
      </c>
    </row>
    <row r="123" spans="1:2" x14ac:dyDescent="0.2">
      <c r="A123" s="4">
        <v>43160</v>
      </c>
      <c r="B123" s="3">
        <v>53.2</v>
      </c>
    </row>
    <row r="124" spans="1:2" x14ac:dyDescent="0.2">
      <c r="A124" s="4">
        <v>43191</v>
      </c>
      <c r="B124" s="3">
        <v>53.8</v>
      </c>
    </row>
    <row r="125" spans="1:2" x14ac:dyDescent="0.2">
      <c r="A125" s="4">
        <v>43221</v>
      </c>
      <c r="B125" s="3">
        <v>52.8</v>
      </c>
    </row>
    <row r="126" spans="1:2" x14ac:dyDescent="0.2">
      <c r="A126" s="4">
        <v>43252</v>
      </c>
      <c r="B126" s="3">
        <v>53</v>
      </c>
    </row>
    <row r="127" spans="1:2" x14ac:dyDescent="0.2">
      <c r="A127" s="4">
        <v>43282</v>
      </c>
      <c r="B127" s="3">
        <v>52.3</v>
      </c>
    </row>
    <row r="128" spans="1:2" x14ac:dyDescent="0.2">
      <c r="A128" s="4">
        <v>43313</v>
      </c>
      <c r="B128" s="3">
        <v>52.5</v>
      </c>
    </row>
    <row r="129" spans="1:2" x14ac:dyDescent="0.2">
      <c r="A129" s="4">
        <v>43344</v>
      </c>
      <c r="B129" s="3">
        <v>52.5</v>
      </c>
    </row>
    <row r="130" spans="1:2" x14ac:dyDescent="0.2">
      <c r="A130" s="4">
        <v>43374</v>
      </c>
      <c r="B130" s="3">
        <v>52.9</v>
      </c>
    </row>
    <row r="131" spans="1:2" x14ac:dyDescent="0.2">
      <c r="A131" s="4">
        <v>43405</v>
      </c>
      <c r="B131" s="3">
        <v>52.2</v>
      </c>
    </row>
    <row r="132" spans="1:2" x14ac:dyDescent="0.2">
      <c r="A132" s="4">
        <v>43435</v>
      </c>
      <c r="B132" s="3">
        <v>52.4</v>
      </c>
    </row>
    <row r="133" spans="1:2" x14ac:dyDescent="0.2">
      <c r="A133" s="4">
        <v>43466</v>
      </c>
      <c r="B133" s="3">
        <v>50.3</v>
      </c>
    </row>
    <row r="134" spans="1:2" x14ac:dyDescent="0.2">
      <c r="A134" s="4">
        <v>43497</v>
      </c>
      <c r="B134" s="3">
        <v>48.9</v>
      </c>
    </row>
    <row r="135" spans="1:2" x14ac:dyDescent="0.2">
      <c r="A135" s="4">
        <v>43525</v>
      </c>
      <c r="B135" s="3">
        <v>49.2</v>
      </c>
    </row>
    <row r="136" spans="1:2" x14ac:dyDescent="0.2">
      <c r="A136" s="4">
        <v>43556</v>
      </c>
      <c r="B136" s="3">
        <v>49.5</v>
      </c>
    </row>
    <row r="137" spans="1:2" x14ac:dyDescent="0.2">
      <c r="A137" s="4">
        <v>43586</v>
      </c>
      <c r="B137" s="3">
        <v>49.8</v>
      </c>
    </row>
    <row r="138" spans="1:2" x14ac:dyDescent="0.2">
      <c r="A138" s="4">
        <v>43617</v>
      </c>
      <c r="B138" s="3">
        <v>49.3</v>
      </c>
    </row>
    <row r="139" spans="1:2" x14ac:dyDescent="0.2">
      <c r="A139" s="4">
        <v>43647</v>
      </c>
      <c r="B139" s="3">
        <v>49.4</v>
      </c>
    </row>
    <row r="140" spans="1:2" x14ac:dyDescent="0.2">
      <c r="A140" s="4">
        <v>43678</v>
      </c>
      <c r="B140" s="3">
        <v>49.3</v>
      </c>
    </row>
    <row r="141" spans="1:2" x14ac:dyDescent="0.2">
      <c r="A141" s="4">
        <v>43709</v>
      </c>
      <c r="B141" s="3">
        <v>48.9</v>
      </c>
    </row>
    <row r="142" spans="1:2" x14ac:dyDescent="0.2">
      <c r="A142" s="4">
        <v>43739</v>
      </c>
      <c r="B142" s="3">
        <v>48.4</v>
      </c>
    </row>
    <row r="143" spans="1:2" x14ac:dyDescent="0.2">
      <c r="A143" s="4">
        <v>43770</v>
      </c>
      <c r="B143" s="3">
        <v>48.9</v>
      </c>
    </row>
    <row r="144" spans="1:2" x14ac:dyDescent="0.2">
      <c r="A144" s="4">
        <v>43800</v>
      </c>
      <c r="B144" s="3">
        <v>48.4</v>
      </c>
    </row>
    <row r="145" spans="1:2" x14ac:dyDescent="0.2">
      <c r="A145" s="4">
        <v>43831</v>
      </c>
      <c r="B145" s="3">
        <v>48.8</v>
      </c>
    </row>
    <row r="146" spans="1:2" x14ac:dyDescent="0.2">
      <c r="A146" s="4">
        <v>43862</v>
      </c>
      <c r="B146" s="3">
        <v>47.8</v>
      </c>
    </row>
    <row r="147" spans="1:2" x14ac:dyDescent="0.2">
      <c r="A147" s="4">
        <v>43891</v>
      </c>
      <c r="B147" s="3">
        <v>44.2</v>
      </c>
    </row>
    <row r="148" spans="1:2" x14ac:dyDescent="0.2">
      <c r="A148" s="4">
        <v>43922</v>
      </c>
      <c r="B148" s="3">
        <v>41.9</v>
      </c>
    </row>
    <row r="149" spans="1:2" x14ac:dyDescent="0.2">
      <c r="A149" s="4">
        <v>43952</v>
      </c>
      <c r="B149" s="3">
        <v>38.4</v>
      </c>
    </row>
    <row r="150" spans="1:2" x14ac:dyDescent="0.2">
      <c r="A150" s="4">
        <v>43983</v>
      </c>
      <c r="B150" s="3">
        <v>40.1</v>
      </c>
    </row>
    <row r="151" spans="1:2" x14ac:dyDescent="0.2">
      <c r="A151" s="4">
        <v>44013</v>
      </c>
      <c r="B151" s="3">
        <v>45.2</v>
      </c>
    </row>
    <row r="152" spans="1:2" x14ac:dyDescent="0.2">
      <c r="A152" s="4">
        <v>44044</v>
      </c>
      <c r="B152" s="3">
        <v>47.2</v>
      </c>
    </row>
    <row r="153" spans="1:2" x14ac:dyDescent="0.2">
      <c r="A153" s="4">
        <v>44075</v>
      </c>
      <c r="B153" s="3">
        <v>47.7</v>
      </c>
    </row>
    <row r="154" spans="1:2" x14ac:dyDescent="0.2">
      <c r="A154" s="4">
        <v>44105</v>
      </c>
      <c r="B154" s="3">
        <v>48.7</v>
      </c>
    </row>
    <row r="155" spans="1:2" x14ac:dyDescent="0.2">
      <c r="A155" s="4">
        <v>44136</v>
      </c>
      <c r="B155" s="3">
        <v>49</v>
      </c>
    </row>
    <row r="156" spans="1:2" x14ac:dyDescent="0.2">
      <c r="A156" s="4">
        <v>44166</v>
      </c>
      <c r="B156" s="3">
        <v>50</v>
      </c>
    </row>
    <row r="157" spans="1:2" x14ac:dyDescent="0.2">
      <c r="A157" s="4">
        <v>44197</v>
      </c>
      <c r="B157" s="3">
        <v>49.8</v>
      </c>
    </row>
    <row r="158" spans="1:2" x14ac:dyDescent="0.2">
      <c r="A158" s="4">
        <v>44228</v>
      </c>
      <c r="B158" s="3">
        <v>51.4</v>
      </c>
    </row>
    <row r="159" spans="1:2" x14ac:dyDescent="0.2">
      <c r="A159" s="4">
        <v>44256</v>
      </c>
      <c r="B159" s="3">
        <v>52.7</v>
      </c>
    </row>
    <row r="160" spans="1:2" x14ac:dyDescent="0.2">
      <c r="A160" s="4">
        <v>44287</v>
      </c>
      <c r="B160" s="3">
        <v>53.6</v>
      </c>
    </row>
    <row r="161" spans="1:2" x14ac:dyDescent="0.2">
      <c r="A161" s="4">
        <v>44317</v>
      </c>
      <c r="B161" s="3">
        <v>53</v>
      </c>
    </row>
    <row r="162" spans="1:2" x14ac:dyDescent="0.2">
      <c r="A162" s="4">
        <v>44348</v>
      </c>
      <c r="B162" s="3">
        <v>52.4</v>
      </c>
    </row>
    <row r="163" spans="1:2" x14ac:dyDescent="0.2">
      <c r="A163" s="4">
        <v>44378</v>
      </c>
      <c r="B163" s="3">
        <v>53</v>
      </c>
    </row>
    <row r="164" spans="1:2" x14ac:dyDescent="0.2">
      <c r="A164" s="4">
        <v>44409</v>
      </c>
      <c r="B164" s="3">
        <v>52.7</v>
      </c>
    </row>
    <row r="165" spans="1:2" x14ac:dyDescent="0.2">
      <c r="A165" s="4">
        <v>44440</v>
      </c>
      <c r="B165" s="3">
        <v>51.5</v>
      </c>
    </row>
    <row r="166" spans="1:2" x14ac:dyDescent="0.2">
      <c r="A166" s="4">
        <v>44470</v>
      </c>
      <c r="B166" s="3">
        <v>53.2</v>
      </c>
    </row>
    <row r="167" spans="1:2" x14ac:dyDescent="0.2">
      <c r="A167" s="4">
        <v>44501</v>
      </c>
      <c r="B167" s="3">
        <v>54.5</v>
      </c>
    </row>
    <row r="168" spans="1:2" x14ac:dyDescent="0.2">
      <c r="A168" s="4">
        <v>44531</v>
      </c>
      <c r="B168" s="3">
        <v>54.3</v>
      </c>
    </row>
  </sheetData>
  <conditionalFormatting sqref="B2:B16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A54FC-323B-4D4B-8910-8E5FF0906680}">
  <dimension ref="A1:B169"/>
  <sheetViews>
    <sheetView zoomScale="170" zoomScaleNormal="170" workbookViewId="0">
      <pane ySplit="1" topLeftCell="A139" activePane="bottomLeft" state="frozen"/>
      <selection pane="bottomLeft" activeCell="B1" sqref="B1"/>
    </sheetView>
  </sheetViews>
  <sheetFormatPr baseColWidth="10" defaultColWidth="9.1640625" defaultRowHeight="15" x14ac:dyDescent="0.2"/>
  <cols>
    <col min="1" max="1" width="13.5" style="2" customWidth="1"/>
    <col min="2" max="2" width="11.33203125" style="2" customWidth="1"/>
    <col min="3" max="16384" width="9.1640625" style="2"/>
  </cols>
  <sheetData>
    <row r="1" spans="1:2" ht="16" thickBot="1" x14ac:dyDescent="0.25">
      <c r="A1" s="11" t="s">
        <v>0</v>
      </c>
      <c r="B1" s="12" t="s">
        <v>7</v>
      </c>
    </row>
    <row r="2" spans="1:2" x14ac:dyDescent="0.2">
      <c r="A2" s="8">
        <v>39478</v>
      </c>
      <c r="B2" s="9">
        <v>54.4</v>
      </c>
    </row>
    <row r="3" spans="1:2" x14ac:dyDescent="0.2">
      <c r="A3" s="4">
        <v>39479</v>
      </c>
      <c r="B3" s="3">
        <v>54.3</v>
      </c>
    </row>
    <row r="4" spans="1:2" x14ac:dyDescent="0.2">
      <c r="A4" s="4">
        <v>39508</v>
      </c>
      <c r="B4" s="3">
        <v>54.9</v>
      </c>
    </row>
    <row r="5" spans="1:2" x14ac:dyDescent="0.2">
      <c r="A5" s="4">
        <v>39539</v>
      </c>
      <c r="B5" s="3">
        <v>53.6</v>
      </c>
    </row>
    <row r="6" spans="1:2" x14ac:dyDescent="0.2">
      <c r="A6" s="4">
        <v>39569</v>
      </c>
      <c r="B6" s="3">
        <v>53.5</v>
      </c>
    </row>
    <row r="7" spans="1:2" x14ac:dyDescent="0.2">
      <c r="A7" s="4">
        <v>39600</v>
      </c>
      <c r="B7" s="3">
        <v>52.3</v>
      </c>
    </row>
    <row r="8" spans="1:2" x14ac:dyDescent="0.2">
      <c r="A8" s="4">
        <v>39630</v>
      </c>
      <c r="B8" s="3">
        <v>50.9</v>
      </c>
    </row>
    <row r="9" spans="1:2" x14ac:dyDescent="0.2">
      <c r="A9" s="4">
        <v>39661</v>
      </c>
      <c r="B9" s="3">
        <v>49.9</v>
      </c>
    </row>
    <row r="10" spans="1:2" x14ac:dyDescent="0.2">
      <c r="A10" s="4">
        <v>39692</v>
      </c>
      <c r="B10" s="3">
        <v>48.1</v>
      </c>
    </row>
    <row r="11" spans="1:2" x14ac:dyDescent="0.2">
      <c r="A11" s="4">
        <v>39722</v>
      </c>
      <c r="B11" s="3">
        <v>43.3</v>
      </c>
    </row>
    <row r="12" spans="1:2" x14ac:dyDescent="0.2">
      <c r="A12" s="4">
        <v>39753</v>
      </c>
      <c r="B12" s="3">
        <v>36.700000000000003</v>
      </c>
    </row>
    <row r="13" spans="1:2" x14ac:dyDescent="0.2">
      <c r="A13" s="4">
        <v>39783</v>
      </c>
      <c r="B13" s="3">
        <v>33.5</v>
      </c>
    </row>
    <row r="14" spans="1:2" x14ac:dyDescent="0.2">
      <c r="A14" s="4">
        <v>39814</v>
      </c>
      <c r="B14" s="3">
        <v>32</v>
      </c>
    </row>
    <row r="15" spans="1:2" x14ac:dyDescent="0.2">
      <c r="A15" s="4">
        <v>39845</v>
      </c>
      <c r="B15" s="3">
        <v>32.200000000000003</v>
      </c>
    </row>
    <row r="16" spans="1:2" x14ac:dyDescent="0.2">
      <c r="A16" s="4">
        <v>39873</v>
      </c>
      <c r="B16" s="3">
        <v>32.4</v>
      </c>
    </row>
    <row r="17" spans="1:2" x14ac:dyDescent="0.2">
      <c r="A17" s="4">
        <v>39904</v>
      </c>
      <c r="B17" s="3">
        <v>35</v>
      </c>
    </row>
    <row r="18" spans="1:2" x14ac:dyDescent="0.2">
      <c r="A18" s="4">
        <v>39934</v>
      </c>
      <c r="B18" s="3">
        <v>39.6</v>
      </c>
    </row>
    <row r="19" spans="1:2" x14ac:dyDescent="0.2">
      <c r="A19" s="4">
        <v>39965</v>
      </c>
      <c r="B19" s="3">
        <v>40.9</v>
      </c>
    </row>
    <row r="20" spans="1:2" x14ac:dyDescent="0.2">
      <c r="A20" s="4">
        <v>39995</v>
      </c>
      <c r="B20" s="3">
        <v>45.2</v>
      </c>
    </row>
    <row r="21" spans="1:2" x14ac:dyDescent="0.2">
      <c r="A21" s="4">
        <v>40026</v>
      </c>
      <c r="B21" s="3">
        <v>49</v>
      </c>
    </row>
    <row r="22" spans="1:2" x14ac:dyDescent="0.2">
      <c r="A22" s="4">
        <v>40057</v>
      </c>
      <c r="B22" s="3">
        <v>49.6</v>
      </c>
    </row>
    <row r="23" spans="1:2" x14ac:dyDescent="0.2">
      <c r="A23" s="4">
        <v>40087</v>
      </c>
      <c r="B23" s="3">
        <v>51.1</v>
      </c>
    </row>
    <row r="24" spans="1:2" x14ac:dyDescent="0.2">
      <c r="A24" s="4">
        <v>40118</v>
      </c>
      <c r="B24" s="3">
        <v>52.4</v>
      </c>
    </row>
    <row r="25" spans="1:2" x14ac:dyDescent="0.2">
      <c r="A25" s="4">
        <v>40148</v>
      </c>
      <c r="B25" s="3">
        <v>53.1</v>
      </c>
    </row>
    <row r="26" spans="1:2" x14ac:dyDescent="0.2">
      <c r="A26" s="4">
        <v>40179</v>
      </c>
      <c r="B26" s="3">
        <v>53.4</v>
      </c>
    </row>
    <row r="27" spans="1:2" x14ac:dyDescent="0.2">
      <c r="A27" s="4">
        <v>40210</v>
      </c>
      <c r="B27" s="3">
        <v>57.2</v>
      </c>
    </row>
    <row r="28" spans="1:2" x14ac:dyDescent="0.2">
      <c r="A28" s="4">
        <v>40238</v>
      </c>
      <c r="B28" s="3">
        <v>59.6</v>
      </c>
    </row>
    <row r="29" spans="1:2" x14ac:dyDescent="0.2">
      <c r="A29" s="4">
        <v>40269</v>
      </c>
      <c r="B29" s="3">
        <v>61.5</v>
      </c>
    </row>
    <row r="30" spans="1:2" x14ac:dyDescent="0.2">
      <c r="A30" s="4">
        <v>40299</v>
      </c>
      <c r="B30" s="3">
        <v>58.4</v>
      </c>
    </row>
    <row r="31" spans="1:2" x14ac:dyDescent="0.2">
      <c r="A31" s="4">
        <v>40330</v>
      </c>
      <c r="B31" s="3">
        <v>58.1</v>
      </c>
    </row>
    <row r="32" spans="1:2" x14ac:dyDescent="0.2">
      <c r="A32" s="4">
        <v>40360</v>
      </c>
      <c r="B32" s="3">
        <v>61.2</v>
      </c>
    </row>
    <row r="33" spans="1:2" x14ac:dyDescent="0.2">
      <c r="A33" s="4">
        <v>40391</v>
      </c>
      <c r="B33" s="3">
        <v>58.2</v>
      </c>
    </row>
    <row r="34" spans="1:2" x14ac:dyDescent="0.2">
      <c r="A34" s="4">
        <v>40422</v>
      </c>
      <c r="B34" s="3">
        <v>55.3</v>
      </c>
    </row>
    <row r="35" spans="1:2" x14ac:dyDescent="0.2">
      <c r="A35" s="4">
        <v>40452</v>
      </c>
      <c r="B35" s="3">
        <v>56.6</v>
      </c>
    </row>
    <row r="36" spans="1:2" x14ac:dyDescent="0.2">
      <c r="A36" s="4">
        <v>40483</v>
      </c>
      <c r="B36" s="3">
        <v>58.1</v>
      </c>
    </row>
    <row r="37" spans="1:2" x14ac:dyDescent="0.2">
      <c r="A37" s="4">
        <v>40513</v>
      </c>
      <c r="B37" s="3">
        <v>60.9</v>
      </c>
    </row>
    <row r="38" spans="1:2" x14ac:dyDescent="0.2">
      <c r="A38" s="4">
        <v>40544</v>
      </c>
      <c r="B38" s="3">
        <v>60.5</v>
      </c>
    </row>
    <row r="39" spans="1:2" x14ac:dyDescent="0.2">
      <c r="A39" s="4">
        <v>40575</v>
      </c>
      <c r="B39" s="3">
        <v>62.7</v>
      </c>
    </row>
    <row r="40" spans="1:2" x14ac:dyDescent="0.2">
      <c r="A40" s="4">
        <v>40603</v>
      </c>
      <c r="B40" s="3">
        <v>60.9</v>
      </c>
    </row>
    <row r="41" spans="1:2" x14ac:dyDescent="0.2">
      <c r="A41" s="4">
        <v>40634</v>
      </c>
      <c r="B41" s="3">
        <v>62</v>
      </c>
    </row>
    <row r="42" spans="1:2" x14ac:dyDescent="0.2">
      <c r="A42" s="4">
        <v>40664</v>
      </c>
      <c r="B42" s="3">
        <v>57.7</v>
      </c>
    </row>
    <row r="43" spans="1:2" x14ac:dyDescent="0.2">
      <c r="A43" s="4">
        <v>40695</v>
      </c>
      <c r="B43" s="3">
        <v>54.9</v>
      </c>
    </row>
    <row r="44" spans="1:2" x14ac:dyDescent="0.2">
      <c r="A44" s="4">
        <v>40725</v>
      </c>
      <c r="B44" s="3">
        <v>52</v>
      </c>
    </row>
    <row r="45" spans="1:2" x14ac:dyDescent="0.2">
      <c r="A45" s="4">
        <v>40756</v>
      </c>
      <c r="B45" s="3">
        <v>50.9</v>
      </c>
    </row>
    <row r="46" spans="1:2" x14ac:dyDescent="0.2">
      <c r="A46" s="4">
        <v>40787</v>
      </c>
      <c r="B46" s="3">
        <v>50.3</v>
      </c>
    </row>
    <row r="47" spans="1:2" x14ac:dyDescent="0.2">
      <c r="A47" s="4">
        <v>40817</v>
      </c>
      <c r="B47" s="3">
        <v>49.1</v>
      </c>
    </row>
    <row r="48" spans="1:2" x14ac:dyDescent="0.2">
      <c r="A48" s="4">
        <v>40848</v>
      </c>
      <c r="B48" s="3">
        <v>47.9</v>
      </c>
    </row>
    <row r="49" spans="1:2" x14ac:dyDescent="0.2">
      <c r="A49" s="4">
        <v>40878</v>
      </c>
      <c r="B49" s="3">
        <v>48.4</v>
      </c>
    </row>
    <row r="50" spans="1:2" x14ac:dyDescent="0.2">
      <c r="A50" s="4">
        <v>40909</v>
      </c>
      <c r="B50" s="3">
        <v>51</v>
      </c>
    </row>
    <row r="51" spans="1:2" x14ac:dyDescent="0.2">
      <c r="A51" s="4">
        <v>40940</v>
      </c>
      <c r="B51" s="3">
        <v>50.2</v>
      </c>
    </row>
    <row r="52" spans="1:2" x14ac:dyDescent="0.2">
      <c r="A52" s="4">
        <v>40969</v>
      </c>
      <c r="B52" s="3">
        <v>48.4</v>
      </c>
    </row>
    <row r="53" spans="1:2" x14ac:dyDescent="0.2">
      <c r="A53" s="4">
        <v>41000</v>
      </c>
      <c r="B53" s="3">
        <v>46.2</v>
      </c>
    </row>
    <row r="54" spans="1:2" x14ac:dyDescent="0.2">
      <c r="A54" s="4">
        <v>41030</v>
      </c>
      <c r="B54" s="3">
        <v>45.2</v>
      </c>
    </row>
    <row r="55" spans="1:2" x14ac:dyDescent="0.2">
      <c r="A55" s="4">
        <v>41061</v>
      </c>
      <c r="B55" s="3">
        <v>45</v>
      </c>
    </row>
    <row r="56" spans="1:2" x14ac:dyDescent="0.2">
      <c r="A56" s="4">
        <v>41091</v>
      </c>
      <c r="B56" s="3">
        <v>43</v>
      </c>
    </row>
    <row r="57" spans="1:2" x14ac:dyDescent="0.2">
      <c r="A57" s="4">
        <v>41122</v>
      </c>
      <c r="B57" s="3">
        <v>44.7</v>
      </c>
    </row>
    <row r="58" spans="1:2" x14ac:dyDescent="0.2">
      <c r="A58" s="4">
        <v>41153</v>
      </c>
      <c r="B58" s="3">
        <v>47.4</v>
      </c>
    </row>
    <row r="59" spans="1:2" x14ac:dyDescent="0.2">
      <c r="A59" s="4">
        <v>41183</v>
      </c>
      <c r="B59" s="3">
        <v>46</v>
      </c>
    </row>
    <row r="60" spans="1:2" x14ac:dyDescent="0.2">
      <c r="A60" s="4">
        <v>41214</v>
      </c>
      <c r="B60" s="3">
        <v>46.8</v>
      </c>
    </row>
    <row r="61" spans="1:2" x14ac:dyDescent="0.2">
      <c r="A61" s="4">
        <v>41244</v>
      </c>
      <c r="B61" s="3">
        <v>46</v>
      </c>
    </row>
    <row r="62" spans="1:2" x14ac:dyDescent="0.2">
      <c r="A62" s="4">
        <v>41275</v>
      </c>
      <c r="B62" s="3">
        <v>49.8</v>
      </c>
    </row>
    <row r="63" spans="1:2" x14ac:dyDescent="0.2">
      <c r="A63" s="4">
        <v>41306</v>
      </c>
      <c r="B63" s="3">
        <v>50.3</v>
      </c>
    </row>
    <row r="64" spans="1:2" x14ac:dyDescent="0.2">
      <c r="A64" s="4">
        <v>41334</v>
      </c>
      <c r="B64" s="3">
        <v>49</v>
      </c>
    </row>
    <row r="65" spans="1:2" x14ac:dyDescent="0.2">
      <c r="A65" s="4">
        <v>41365</v>
      </c>
      <c r="B65" s="3">
        <v>48.1</v>
      </c>
    </row>
    <row r="66" spans="1:2" x14ac:dyDescent="0.2">
      <c r="A66" s="4">
        <v>41395</v>
      </c>
      <c r="B66" s="3">
        <v>49.4</v>
      </c>
    </row>
    <row r="67" spans="1:2" x14ac:dyDescent="0.2">
      <c r="A67" s="4">
        <v>41426</v>
      </c>
      <c r="B67" s="3">
        <v>48.6</v>
      </c>
    </row>
    <row r="68" spans="1:2" x14ac:dyDescent="0.2">
      <c r="A68" s="4">
        <v>41456</v>
      </c>
      <c r="B68" s="3">
        <v>50.7</v>
      </c>
    </row>
    <row r="69" spans="1:2" x14ac:dyDescent="0.2">
      <c r="A69" s="4">
        <v>41487</v>
      </c>
      <c r="B69" s="3">
        <v>51.8</v>
      </c>
    </row>
    <row r="70" spans="1:2" x14ac:dyDescent="0.2">
      <c r="A70" s="4">
        <v>41518</v>
      </c>
      <c r="B70" s="3">
        <v>51.1</v>
      </c>
    </row>
    <row r="71" spans="1:2" x14ac:dyDescent="0.2">
      <c r="A71" s="4">
        <v>41548</v>
      </c>
      <c r="B71" s="3">
        <v>51.7</v>
      </c>
    </row>
    <row r="72" spans="1:2" x14ac:dyDescent="0.2">
      <c r="A72" s="4">
        <v>41579</v>
      </c>
      <c r="B72" s="3">
        <v>52.7</v>
      </c>
    </row>
    <row r="73" spans="1:2" x14ac:dyDescent="0.2">
      <c r="A73" s="4">
        <v>41609</v>
      </c>
      <c r="B73" s="3">
        <v>54.3</v>
      </c>
    </row>
    <row r="74" spans="1:2" x14ac:dyDescent="0.2">
      <c r="A74" s="4">
        <v>41640</v>
      </c>
      <c r="B74" s="3">
        <v>56.6</v>
      </c>
    </row>
    <row r="75" spans="1:2" x14ac:dyDescent="0.2">
      <c r="A75" s="4">
        <v>41671</v>
      </c>
      <c r="B75" s="3">
        <v>54.8</v>
      </c>
    </row>
    <row r="76" spans="1:2" x14ac:dyDescent="0.2">
      <c r="A76" s="4">
        <v>41699</v>
      </c>
      <c r="B76" s="3">
        <v>53.7</v>
      </c>
    </row>
    <row r="77" spans="1:2" x14ac:dyDescent="0.2">
      <c r="A77" s="4">
        <v>41730</v>
      </c>
      <c r="B77" s="3">
        <v>54.1</v>
      </c>
    </row>
    <row r="78" spans="1:2" x14ac:dyDescent="0.2">
      <c r="A78" s="4">
        <v>41760</v>
      </c>
      <c r="B78" s="3">
        <v>52.3</v>
      </c>
    </row>
    <row r="79" spans="1:2" x14ac:dyDescent="0.2">
      <c r="A79" s="4">
        <v>41791</v>
      </c>
      <c r="B79" s="3">
        <v>52</v>
      </c>
    </row>
    <row r="80" spans="1:2" x14ac:dyDescent="0.2">
      <c r="A80" s="4">
        <v>41821</v>
      </c>
      <c r="B80" s="3">
        <v>52.4</v>
      </c>
    </row>
    <row r="81" spans="1:2" x14ac:dyDescent="0.2">
      <c r="A81" s="4">
        <v>41852</v>
      </c>
      <c r="B81" s="3">
        <v>51.4</v>
      </c>
    </row>
    <row r="82" spans="1:2" x14ac:dyDescent="0.2">
      <c r="A82" s="4">
        <v>41883</v>
      </c>
      <c r="B82" s="3">
        <v>49.9</v>
      </c>
    </row>
    <row r="83" spans="1:2" x14ac:dyDescent="0.2">
      <c r="A83" s="4">
        <v>41913</v>
      </c>
      <c r="B83" s="3">
        <v>51.4</v>
      </c>
    </row>
    <row r="84" spans="1:2" x14ac:dyDescent="0.2">
      <c r="A84" s="4">
        <v>41944</v>
      </c>
      <c r="B84" s="3">
        <v>49.5</v>
      </c>
    </row>
    <row r="85" spans="1:2" x14ac:dyDescent="0.2">
      <c r="A85" s="4">
        <v>41974</v>
      </c>
      <c r="B85" s="3">
        <v>51.2</v>
      </c>
    </row>
    <row r="86" spans="1:2" x14ac:dyDescent="0.2">
      <c r="A86" s="4">
        <v>42005</v>
      </c>
      <c r="B86" s="3">
        <v>50.9</v>
      </c>
    </row>
    <row r="87" spans="1:2" x14ac:dyDescent="0.2">
      <c r="A87" s="4">
        <v>42036</v>
      </c>
      <c r="B87" s="3">
        <v>51.1</v>
      </c>
    </row>
    <row r="88" spans="1:2" x14ac:dyDescent="0.2">
      <c r="A88" s="4">
        <v>42064</v>
      </c>
      <c r="B88" s="3">
        <v>52.8</v>
      </c>
    </row>
    <row r="89" spans="1:2" x14ac:dyDescent="0.2">
      <c r="A89" s="4">
        <v>42095</v>
      </c>
      <c r="B89" s="3">
        <v>52.1</v>
      </c>
    </row>
    <row r="90" spans="1:2" x14ac:dyDescent="0.2">
      <c r="A90" s="4">
        <v>42125</v>
      </c>
      <c r="B90" s="3">
        <v>51.1</v>
      </c>
    </row>
    <row r="91" spans="1:2" x14ac:dyDescent="0.2">
      <c r="A91" s="4">
        <v>42156</v>
      </c>
      <c r="B91" s="3">
        <v>51.9</v>
      </c>
    </row>
    <row r="92" spans="1:2" x14ac:dyDescent="0.2">
      <c r="A92" s="4">
        <v>42186</v>
      </c>
      <c r="B92" s="3">
        <v>51.8</v>
      </c>
    </row>
    <row r="93" spans="1:2" x14ac:dyDescent="0.2">
      <c r="A93" s="4">
        <v>42217</v>
      </c>
      <c r="B93" s="3">
        <v>53.3</v>
      </c>
    </row>
    <row r="94" spans="1:2" x14ac:dyDescent="0.2">
      <c r="A94" s="4">
        <v>42248</v>
      </c>
      <c r="B94" s="3">
        <v>52.3</v>
      </c>
    </row>
    <row r="95" spans="1:2" x14ac:dyDescent="0.2">
      <c r="A95" s="4">
        <v>42278</v>
      </c>
      <c r="B95" s="3">
        <v>52.1</v>
      </c>
    </row>
    <row r="96" spans="1:2" x14ac:dyDescent="0.2">
      <c r="A96" s="4">
        <v>42309</v>
      </c>
      <c r="B96" s="3">
        <v>52.9</v>
      </c>
    </row>
    <row r="97" spans="1:2" x14ac:dyDescent="0.2">
      <c r="A97" s="4">
        <v>42339</v>
      </c>
      <c r="B97" s="3">
        <v>53.2</v>
      </c>
    </row>
    <row r="98" spans="1:2" x14ac:dyDescent="0.2">
      <c r="A98" s="4">
        <v>42370</v>
      </c>
      <c r="B98" s="3">
        <v>52.3</v>
      </c>
    </row>
    <row r="99" spans="1:2" x14ac:dyDescent="0.2">
      <c r="A99" s="4">
        <v>42401</v>
      </c>
      <c r="B99" s="3">
        <v>50.5</v>
      </c>
    </row>
    <row r="100" spans="1:2" x14ac:dyDescent="0.2">
      <c r="A100" s="4">
        <v>42430</v>
      </c>
      <c r="B100" s="3">
        <v>50.7</v>
      </c>
    </row>
    <row r="101" spans="1:2" x14ac:dyDescent="0.2">
      <c r="A101" s="4">
        <v>42461</v>
      </c>
      <c r="B101" s="3">
        <v>51.8</v>
      </c>
    </row>
    <row r="102" spans="1:2" x14ac:dyDescent="0.2">
      <c r="A102" s="4">
        <v>42491</v>
      </c>
      <c r="B102" s="3">
        <v>52.1</v>
      </c>
    </row>
    <row r="103" spans="1:2" x14ac:dyDescent="0.2">
      <c r="A103" s="4">
        <v>42522</v>
      </c>
      <c r="B103" s="3">
        <v>54.5</v>
      </c>
    </row>
    <row r="104" spans="1:2" x14ac:dyDescent="0.2">
      <c r="A104" s="4">
        <v>42552</v>
      </c>
      <c r="B104" s="3">
        <v>53.8</v>
      </c>
    </row>
    <row r="105" spans="1:2" x14ac:dyDescent="0.2">
      <c r="A105" s="4">
        <v>42583</v>
      </c>
      <c r="B105" s="3">
        <v>53.6</v>
      </c>
    </row>
    <row r="106" spans="1:2" x14ac:dyDescent="0.2">
      <c r="A106" s="4">
        <v>42614</v>
      </c>
      <c r="B106" s="3">
        <v>54.3</v>
      </c>
    </row>
    <row r="107" spans="1:2" x14ac:dyDescent="0.2">
      <c r="A107" s="4">
        <v>42644</v>
      </c>
      <c r="B107" s="3">
        <v>55</v>
      </c>
    </row>
    <row r="108" spans="1:2" x14ac:dyDescent="0.2">
      <c r="A108" s="4">
        <v>42675</v>
      </c>
      <c r="B108" s="3">
        <v>54.3</v>
      </c>
    </row>
    <row r="109" spans="1:2" x14ac:dyDescent="0.2">
      <c r="A109" s="4">
        <v>42705</v>
      </c>
      <c r="B109" s="3">
        <v>55.6</v>
      </c>
    </row>
    <row r="110" spans="1:2" x14ac:dyDescent="0.2">
      <c r="A110" s="4">
        <v>42736</v>
      </c>
      <c r="B110" s="3">
        <v>56.4</v>
      </c>
    </row>
    <row r="111" spans="1:2" x14ac:dyDescent="0.2">
      <c r="A111" s="4">
        <v>42767</v>
      </c>
      <c r="B111" s="3">
        <v>56.8</v>
      </c>
    </row>
    <row r="112" spans="1:2" x14ac:dyDescent="0.2">
      <c r="A112" s="4">
        <v>42795</v>
      </c>
      <c r="B112" s="3">
        <v>58.3</v>
      </c>
    </row>
    <row r="113" spans="1:2" x14ac:dyDescent="0.2">
      <c r="A113" s="4">
        <v>42826</v>
      </c>
      <c r="B113" s="3">
        <v>58.2</v>
      </c>
    </row>
    <row r="114" spans="1:2" x14ac:dyDescent="0.2">
      <c r="A114" s="4">
        <v>42856</v>
      </c>
      <c r="B114" s="3">
        <v>59.5</v>
      </c>
    </row>
    <row r="115" spans="1:2" x14ac:dyDescent="0.2">
      <c r="A115" s="4">
        <v>42887</v>
      </c>
      <c r="B115" s="3">
        <v>59.6</v>
      </c>
    </row>
    <row r="116" spans="1:2" x14ac:dyDescent="0.2">
      <c r="A116" s="4">
        <v>42917</v>
      </c>
      <c r="B116" s="3">
        <v>58.1</v>
      </c>
    </row>
    <row r="117" spans="1:2" x14ac:dyDescent="0.2">
      <c r="A117" s="4">
        <v>42948</v>
      </c>
      <c r="B117" s="3">
        <v>59.3</v>
      </c>
    </row>
    <row r="118" spans="1:2" x14ac:dyDescent="0.2">
      <c r="A118" s="4">
        <v>42979</v>
      </c>
      <c r="B118" s="3">
        <v>60.6</v>
      </c>
    </row>
    <row r="119" spans="1:2" x14ac:dyDescent="0.2">
      <c r="A119" s="4">
        <v>43009</v>
      </c>
      <c r="B119" s="3">
        <v>60.6</v>
      </c>
    </row>
    <row r="120" spans="1:2" x14ac:dyDescent="0.2">
      <c r="A120" s="4">
        <v>43040</v>
      </c>
      <c r="B120" s="3">
        <v>62.5</v>
      </c>
    </row>
    <row r="121" spans="1:2" x14ac:dyDescent="0.2">
      <c r="A121" s="4">
        <v>43070</v>
      </c>
      <c r="B121" s="3">
        <v>63.3</v>
      </c>
    </row>
    <row r="122" spans="1:2" x14ac:dyDescent="0.2">
      <c r="A122" s="4">
        <v>43101</v>
      </c>
      <c r="B122" s="3">
        <v>61.1</v>
      </c>
    </row>
    <row r="123" spans="1:2" x14ac:dyDescent="0.2">
      <c r="A123" s="4">
        <v>43132</v>
      </c>
      <c r="B123" s="3">
        <v>60.6</v>
      </c>
    </row>
    <row r="124" spans="1:2" x14ac:dyDescent="0.2">
      <c r="A124" s="4">
        <v>43160</v>
      </c>
      <c r="B124" s="3">
        <v>58.4</v>
      </c>
    </row>
    <row r="125" spans="1:2" x14ac:dyDescent="0.2">
      <c r="A125" s="4">
        <v>43191</v>
      </c>
      <c r="B125" s="3">
        <v>58.1</v>
      </c>
    </row>
    <row r="126" spans="1:2" x14ac:dyDescent="0.2">
      <c r="A126" s="4">
        <v>43221</v>
      </c>
      <c r="B126" s="3">
        <v>56.9</v>
      </c>
    </row>
    <row r="127" spans="1:2" x14ac:dyDescent="0.2">
      <c r="A127" s="4">
        <v>43252</v>
      </c>
      <c r="B127" s="3">
        <v>55.9</v>
      </c>
    </row>
    <row r="128" spans="1:2" x14ac:dyDescent="0.2">
      <c r="A128" s="4">
        <v>43282</v>
      </c>
      <c r="B128" s="3">
        <v>56.9</v>
      </c>
    </row>
    <row r="129" spans="1:2" x14ac:dyDescent="0.2">
      <c r="A129" s="4">
        <v>43313</v>
      </c>
      <c r="B129" s="3">
        <v>55.9</v>
      </c>
    </row>
    <row r="130" spans="1:2" x14ac:dyDescent="0.2">
      <c r="A130" s="4">
        <v>43344</v>
      </c>
      <c r="B130" s="3">
        <v>53.7</v>
      </c>
    </row>
    <row r="131" spans="1:2" x14ac:dyDescent="0.2">
      <c r="A131" s="4">
        <v>43374</v>
      </c>
      <c r="B131" s="3">
        <v>52.2</v>
      </c>
    </row>
    <row r="132" spans="1:2" x14ac:dyDescent="0.2">
      <c r="A132" s="4">
        <v>43405</v>
      </c>
      <c r="B132" s="3">
        <v>51.8</v>
      </c>
    </row>
    <row r="133" spans="1:2" x14ac:dyDescent="0.2">
      <c r="A133" s="4">
        <v>43435</v>
      </c>
      <c r="B133" s="3">
        <v>51.5</v>
      </c>
    </row>
    <row r="134" spans="1:2" x14ac:dyDescent="0.2">
      <c r="A134" s="4">
        <v>43466</v>
      </c>
      <c r="B134" s="3">
        <v>49.7</v>
      </c>
    </row>
    <row r="135" spans="1:2" x14ac:dyDescent="0.2">
      <c r="A135" s="4">
        <v>43497</v>
      </c>
      <c r="B135" s="3">
        <v>47.6</v>
      </c>
    </row>
    <row r="136" spans="1:2" x14ac:dyDescent="0.2">
      <c r="A136" s="4">
        <v>43525</v>
      </c>
      <c r="B136" s="3">
        <v>44.1</v>
      </c>
    </row>
    <row r="137" spans="1:2" x14ac:dyDescent="0.2">
      <c r="A137" s="4">
        <v>43556</v>
      </c>
      <c r="B137" s="3">
        <v>44.4</v>
      </c>
    </row>
    <row r="138" spans="1:2" x14ac:dyDescent="0.2">
      <c r="A138" s="4">
        <v>43586</v>
      </c>
      <c r="B138" s="3">
        <v>44.3</v>
      </c>
    </row>
    <row r="139" spans="1:2" x14ac:dyDescent="0.2">
      <c r="A139" s="4">
        <v>43617</v>
      </c>
      <c r="B139" s="3">
        <v>45</v>
      </c>
    </row>
    <row r="140" spans="1:2" x14ac:dyDescent="0.2">
      <c r="A140" s="4">
        <v>43647</v>
      </c>
      <c r="B140" s="3">
        <v>43.2</v>
      </c>
    </row>
    <row r="141" spans="1:2" x14ac:dyDescent="0.2">
      <c r="A141" s="4">
        <v>43678</v>
      </c>
      <c r="B141" s="3">
        <v>43.5</v>
      </c>
    </row>
    <row r="142" spans="1:2" x14ac:dyDescent="0.2">
      <c r="A142" s="4">
        <v>43709</v>
      </c>
      <c r="B142" s="3">
        <v>41.7</v>
      </c>
    </row>
    <row r="143" spans="1:2" x14ac:dyDescent="0.2">
      <c r="A143" s="4">
        <v>43739</v>
      </c>
      <c r="B143" s="3">
        <v>42.1</v>
      </c>
    </row>
    <row r="144" spans="1:2" x14ac:dyDescent="0.2">
      <c r="A144" s="4">
        <v>43770</v>
      </c>
      <c r="B144" s="3">
        <v>44.1</v>
      </c>
    </row>
    <row r="145" spans="1:2" x14ac:dyDescent="0.2">
      <c r="A145" s="4">
        <v>43800</v>
      </c>
      <c r="B145" s="3">
        <v>43.7</v>
      </c>
    </row>
    <row r="146" spans="1:2" x14ac:dyDescent="0.2">
      <c r="A146" s="4">
        <v>43831</v>
      </c>
      <c r="B146" s="3">
        <v>45.3</v>
      </c>
    </row>
    <row r="147" spans="1:2" x14ac:dyDescent="0.2">
      <c r="A147" s="4">
        <v>43862</v>
      </c>
      <c r="B147" s="3">
        <v>48</v>
      </c>
    </row>
    <row r="148" spans="1:2" x14ac:dyDescent="0.2">
      <c r="A148" s="4">
        <v>43891</v>
      </c>
      <c r="B148" s="3">
        <v>45.4</v>
      </c>
    </row>
    <row r="149" spans="1:2" x14ac:dyDescent="0.2">
      <c r="A149" s="4">
        <v>43922</v>
      </c>
      <c r="B149" s="3">
        <v>34.5</v>
      </c>
    </row>
    <row r="150" spans="1:2" x14ac:dyDescent="0.2">
      <c r="A150" s="4">
        <v>43952</v>
      </c>
      <c r="B150" s="3">
        <v>36.6</v>
      </c>
    </row>
    <row r="151" spans="1:2" x14ac:dyDescent="0.2">
      <c r="A151" s="4">
        <v>43983</v>
      </c>
      <c r="B151" s="3">
        <v>45.2</v>
      </c>
    </row>
    <row r="152" spans="1:2" x14ac:dyDescent="0.2">
      <c r="A152" s="4">
        <v>44013</v>
      </c>
      <c r="B152" s="3">
        <v>51</v>
      </c>
    </row>
    <row r="153" spans="1:2" x14ac:dyDescent="0.2">
      <c r="A153" s="4">
        <v>44044</v>
      </c>
      <c r="B153" s="3">
        <v>52.2</v>
      </c>
    </row>
    <row r="154" spans="1:2" x14ac:dyDescent="0.2">
      <c r="A154" s="4">
        <v>44075</v>
      </c>
      <c r="B154" s="3">
        <v>56.4</v>
      </c>
    </row>
    <row r="155" spans="1:2" x14ac:dyDescent="0.2">
      <c r="A155" s="4">
        <v>44105</v>
      </c>
      <c r="B155" s="3">
        <v>58.2</v>
      </c>
    </row>
    <row r="156" spans="1:2" x14ac:dyDescent="0.2">
      <c r="A156" s="4">
        <v>44136</v>
      </c>
      <c r="B156" s="3">
        <v>57.8</v>
      </c>
    </row>
    <row r="157" spans="1:2" x14ac:dyDescent="0.2">
      <c r="A157" s="4">
        <v>44166</v>
      </c>
      <c r="B157" s="3">
        <v>58.3</v>
      </c>
    </row>
    <row r="158" spans="1:2" x14ac:dyDescent="0.2">
      <c r="A158" s="4">
        <v>44197</v>
      </c>
      <c r="B158" s="3">
        <v>57.1</v>
      </c>
    </row>
    <row r="159" spans="1:2" x14ac:dyDescent="0.2">
      <c r="A159" s="4">
        <v>44228</v>
      </c>
      <c r="B159" s="3">
        <v>60.7</v>
      </c>
    </row>
    <row r="160" spans="1:2" x14ac:dyDescent="0.2">
      <c r="A160" s="4">
        <v>44256</v>
      </c>
      <c r="B160" s="3">
        <v>66.599999999999994</v>
      </c>
    </row>
    <row r="161" spans="1:2" x14ac:dyDescent="0.2">
      <c r="A161" s="4">
        <v>44287</v>
      </c>
      <c r="B161" s="3">
        <v>66.2</v>
      </c>
    </row>
    <row r="162" spans="1:2" x14ac:dyDescent="0.2">
      <c r="A162" s="4">
        <v>44317</v>
      </c>
      <c r="B162" s="3">
        <v>64.400000000000006</v>
      </c>
    </row>
    <row r="163" spans="1:2" x14ac:dyDescent="0.2">
      <c r="A163" s="4">
        <v>44348</v>
      </c>
      <c r="B163" s="3">
        <v>65.099999999999994</v>
      </c>
    </row>
    <row r="164" spans="1:2" x14ac:dyDescent="0.2">
      <c r="A164" s="4">
        <v>44378</v>
      </c>
      <c r="B164" s="3">
        <v>65.900000000000006</v>
      </c>
    </row>
    <row r="165" spans="1:2" x14ac:dyDescent="0.2">
      <c r="A165" s="4">
        <v>44409</v>
      </c>
      <c r="B165" s="3">
        <v>62.6</v>
      </c>
    </row>
    <row r="166" spans="1:2" x14ac:dyDescent="0.2">
      <c r="A166" s="4">
        <v>44440</v>
      </c>
      <c r="B166" s="3">
        <v>58.4</v>
      </c>
    </row>
    <row r="167" spans="1:2" x14ac:dyDescent="0.2">
      <c r="A167" s="4">
        <v>44470</v>
      </c>
      <c r="B167" s="3">
        <v>57.8</v>
      </c>
    </row>
    <row r="168" spans="1:2" x14ac:dyDescent="0.2">
      <c r="A168" s="4">
        <v>44501</v>
      </c>
      <c r="B168" s="3">
        <v>57.4</v>
      </c>
    </row>
    <row r="169" spans="1:2" x14ac:dyDescent="0.2">
      <c r="A169" s="4">
        <v>44531</v>
      </c>
      <c r="B169" s="3">
        <v>57.4</v>
      </c>
    </row>
  </sheetData>
  <conditionalFormatting sqref="B2:B169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228A4-81EE-473F-9E57-37A736434147}">
  <dimension ref="A1:B162"/>
  <sheetViews>
    <sheetView zoomScale="160" zoomScaleNormal="160" workbookViewId="0">
      <pane ySplit="1" topLeftCell="A110" activePane="bottomLeft" state="frozen"/>
      <selection pane="bottomLeft" activeCell="N122" sqref="N122"/>
    </sheetView>
  </sheetViews>
  <sheetFormatPr baseColWidth="10" defaultColWidth="9.1640625" defaultRowHeight="15" x14ac:dyDescent="0.2"/>
  <cols>
    <col min="1" max="1" width="13.5" style="2" customWidth="1"/>
    <col min="2" max="2" width="11.33203125" style="2" customWidth="1"/>
    <col min="3" max="16384" width="9.1640625" style="2"/>
  </cols>
  <sheetData>
    <row r="1" spans="1:2" ht="16" thickBot="1" x14ac:dyDescent="0.25">
      <c r="A1" s="11" t="s">
        <v>0</v>
      </c>
      <c r="B1" s="12" t="s">
        <v>8</v>
      </c>
    </row>
    <row r="2" spans="1:2" x14ac:dyDescent="0.2">
      <c r="A2" s="8">
        <v>39661</v>
      </c>
      <c r="B2" s="9">
        <v>45.1</v>
      </c>
    </row>
    <row r="3" spans="1:2" x14ac:dyDescent="0.2">
      <c r="A3" s="4">
        <v>39692</v>
      </c>
      <c r="B3" s="3">
        <v>43.6</v>
      </c>
    </row>
    <row r="4" spans="1:2" x14ac:dyDescent="0.2">
      <c r="A4" s="4">
        <v>39722</v>
      </c>
      <c r="B4" s="3">
        <v>40.799999999999997</v>
      </c>
    </row>
    <row r="5" spans="1:2" x14ac:dyDescent="0.2">
      <c r="A5" s="4">
        <v>39753</v>
      </c>
      <c r="B5" s="3">
        <v>37.9</v>
      </c>
    </row>
    <row r="6" spans="1:2" x14ac:dyDescent="0.2">
      <c r="A6" s="4">
        <v>39783</v>
      </c>
      <c r="B6" s="3">
        <v>35.9</v>
      </c>
    </row>
    <row r="7" spans="1:2" x14ac:dyDescent="0.2">
      <c r="A7" s="4">
        <v>39814</v>
      </c>
      <c r="B7" s="3">
        <v>38.1</v>
      </c>
    </row>
    <row r="8" spans="1:2" x14ac:dyDescent="0.2">
      <c r="A8" s="4">
        <v>39845</v>
      </c>
      <c r="B8" s="3">
        <v>32.299999999999997</v>
      </c>
    </row>
    <row r="9" spans="1:2" x14ac:dyDescent="0.2">
      <c r="A9" s="4">
        <v>39873</v>
      </c>
      <c r="B9" s="3">
        <v>36.299999999999997</v>
      </c>
    </row>
    <row r="10" spans="1:2" x14ac:dyDescent="0.2">
      <c r="A10" s="4">
        <v>39904</v>
      </c>
      <c r="B10" s="3">
        <v>40</v>
      </c>
    </row>
    <row r="11" spans="1:2" x14ac:dyDescent="0.2">
      <c r="A11" s="4">
        <v>39934</v>
      </c>
      <c r="B11" s="3">
        <v>43.1</v>
      </c>
    </row>
    <row r="12" spans="1:2" x14ac:dyDescent="0.2">
      <c r="A12" s="4">
        <v>39965</v>
      </c>
      <c r="B12" s="3">
        <v>45.9</v>
      </c>
    </row>
    <row r="13" spans="1:2" x14ac:dyDescent="0.2">
      <c r="A13" s="4">
        <v>39995</v>
      </c>
      <c r="B13" s="3">
        <v>50.2</v>
      </c>
    </row>
    <row r="14" spans="1:2" x14ac:dyDescent="0.2">
      <c r="A14" s="4">
        <v>40026</v>
      </c>
      <c r="B14" s="3">
        <v>52.5</v>
      </c>
    </row>
    <row r="15" spans="1:2" x14ac:dyDescent="0.2">
      <c r="A15" s="4">
        <v>40057</v>
      </c>
      <c r="B15" s="3">
        <v>53</v>
      </c>
    </row>
    <row r="16" spans="1:2" x14ac:dyDescent="0.2">
      <c r="A16" s="4">
        <v>40087</v>
      </c>
      <c r="B16" s="3">
        <v>54.2</v>
      </c>
    </row>
    <row r="17" spans="1:2" x14ac:dyDescent="0.2">
      <c r="A17" s="4">
        <v>40118</v>
      </c>
      <c r="B17" s="3">
        <v>54.4</v>
      </c>
    </row>
    <row r="18" spans="1:2" x14ac:dyDescent="0.2">
      <c r="A18" s="4">
        <v>40148</v>
      </c>
      <c r="B18" s="3">
        <v>54.7</v>
      </c>
    </row>
    <row r="19" spans="1:2" x14ac:dyDescent="0.2">
      <c r="A19" s="4">
        <v>40179</v>
      </c>
      <c r="B19" s="3">
        <v>54.6</v>
      </c>
    </row>
    <row r="20" spans="1:2" x14ac:dyDescent="0.2">
      <c r="A20" s="4">
        <v>40210</v>
      </c>
      <c r="B20" s="3">
        <v>56.3</v>
      </c>
    </row>
    <row r="21" spans="1:2" x14ac:dyDescent="0.2">
      <c r="A21" s="4">
        <v>40238</v>
      </c>
      <c r="B21" s="3">
        <v>56.7</v>
      </c>
    </row>
    <row r="22" spans="1:2" x14ac:dyDescent="0.2">
      <c r="A22" s="4">
        <v>40269</v>
      </c>
      <c r="B22" s="3">
        <v>56.6</v>
      </c>
    </row>
    <row r="23" spans="1:2" x14ac:dyDescent="0.2">
      <c r="A23" s="4">
        <v>40299</v>
      </c>
      <c r="B23" s="3">
        <v>55.8</v>
      </c>
    </row>
    <row r="24" spans="1:2" x14ac:dyDescent="0.2">
      <c r="A24" s="4">
        <v>40330</v>
      </c>
      <c r="B24" s="3">
        <v>53.7</v>
      </c>
    </row>
    <row r="25" spans="1:2" x14ac:dyDescent="0.2">
      <c r="A25" s="4">
        <v>40360</v>
      </c>
      <c r="B25" s="3">
        <v>54.7</v>
      </c>
    </row>
    <row r="26" spans="1:2" x14ac:dyDescent="0.2">
      <c r="A26" s="4">
        <v>40391</v>
      </c>
      <c r="B26" s="3">
        <v>55.4</v>
      </c>
    </row>
    <row r="27" spans="1:2" x14ac:dyDescent="0.2">
      <c r="A27" s="4">
        <v>40422</v>
      </c>
      <c r="B27" s="3">
        <v>55.2</v>
      </c>
    </row>
    <row r="28" spans="1:2" x14ac:dyDescent="0.2">
      <c r="A28" s="4">
        <v>40452</v>
      </c>
      <c r="B28" s="3">
        <v>57.5</v>
      </c>
    </row>
    <row r="29" spans="1:2" x14ac:dyDescent="0.2">
      <c r="A29" s="4">
        <v>40483</v>
      </c>
      <c r="B29" s="3">
        <v>56.3</v>
      </c>
    </row>
    <row r="30" spans="1:2" x14ac:dyDescent="0.2">
      <c r="A30" s="4">
        <v>40513</v>
      </c>
      <c r="B30" s="3">
        <v>54.3</v>
      </c>
    </row>
    <row r="31" spans="1:2" x14ac:dyDescent="0.2">
      <c r="A31" s="4">
        <v>40544</v>
      </c>
      <c r="B31" s="3">
        <v>54.9</v>
      </c>
    </row>
    <row r="32" spans="1:2" x14ac:dyDescent="0.2">
      <c r="A32" s="4">
        <v>40575</v>
      </c>
      <c r="B32" s="3">
        <v>56.6</v>
      </c>
    </row>
    <row r="33" spans="1:2" x14ac:dyDescent="0.2">
      <c r="A33" s="4">
        <v>40603</v>
      </c>
      <c r="B33" s="3">
        <v>56.9</v>
      </c>
    </row>
    <row r="34" spans="1:2" x14ac:dyDescent="0.2">
      <c r="A34" s="4">
        <v>40634</v>
      </c>
      <c r="B34" s="3">
        <v>57.5</v>
      </c>
    </row>
    <row r="35" spans="1:2" x14ac:dyDescent="0.2">
      <c r="A35" s="4">
        <v>40664</v>
      </c>
      <c r="B35" s="3">
        <v>54.9</v>
      </c>
    </row>
    <row r="36" spans="1:2" x14ac:dyDescent="0.2">
      <c r="A36" s="4">
        <v>40695</v>
      </c>
      <c r="B36" s="3">
        <v>50.1</v>
      </c>
    </row>
    <row r="37" spans="1:2" x14ac:dyDescent="0.2">
      <c r="A37" s="4">
        <v>40725</v>
      </c>
      <c r="B37" s="3">
        <v>50.5</v>
      </c>
    </row>
    <row r="38" spans="1:2" x14ac:dyDescent="0.2">
      <c r="A38" s="4">
        <v>40756</v>
      </c>
      <c r="B38" s="3">
        <v>49.1</v>
      </c>
    </row>
    <row r="39" spans="1:2" x14ac:dyDescent="0.2">
      <c r="A39" s="4">
        <v>40787</v>
      </c>
      <c r="B39" s="3">
        <v>48.2</v>
      </c>
    </row>
    <row r="40" spans="1:2" x14ac:dyDescent="0.2">
      <c r="A40" s="4">
        <v>40817</v>
      </c>
      <c r="B40" s="3">
        <v>48.5</v>
      </c>
    </row>
    <row r="41" spans="1:2" x14ac:dyDescent="0.2">
      <c r="A41" s="4">
        <v>40848</v>
      </c>
      <c r="B41" s="3">
        <v>47.3</v>
      </c>
    </row>
    <row r="42" spans="1:2" x14ac:dyDescent="0.2">
      <c r="A42" s="4">
        <v>40878</v>
      </c>
      <c r="B42" s="3">
        <v>48.9</v>
      </c>
    </row>
    <row r="43" spans="1:2" x14ac:dyDescent="0.2">
      <c r="A43" s="4">
        <v>40909</v>
      </c>
      <c r="B43" s="3">
        <v>48.5</v>
      </c>
    </row>
    <row r="44" spans="1:2" x14ac:dyDescent="0.2">
      <c r="A44" s="4">
        <v>40940</v>
      </c>
      <c r="B44" s="3">
        <v>50</v>
      </c>
    </row>
    <row r="45" spans="1:2" x14ac:dyDescent="0.2">
      <c r="A45" s="4">
        <v>40969</v>
      </c>
      <c r="B45" s="3">
        <v>46.7</v>
      </c>
    </row>
    <row r="46" spans="1:2" x14ac:dyDescent="0.2">
      <c r="A46" s="4">
        <v>41000</v>
      </c>
      <c r="B46" s="3">
        <v>46.9</v>
      </c>
    </row>
    <row r="47" spans="1:2" x14ac:dyDescent="0.2">
      <c r="A47" s="4">
        <v>41030</v>
      </c>
      <c r="B47" s="3">
        <v>44.7</v>
      </c>
    </row>
    <row r="48" spans="1:2" x14ac:dyDescent="0.2">
      <c r="A48" s="4">
        <v>41061</v>
      </c>
      <c r="B48" s="3">
        <v>45.2</v>
      </c>
    </row>
    <row r="49" spans="1:2" x14ac:dyDescent="0.2">
      <c r="A49" s="4">
        <v>41091</v>
      </c>
      <c r="B49" s="3">
        <v>43.4</v>
      </c>
    </row>
    <row r="50" spans="1:2" x14ac:dyDescent="0.2">
      <c r="A50" s="4">
        <v>41122</v>
      </c>
      <c r="B50" s="3">
        <v>46</v>
      </c>
    </row>
    <row r="51" spans="1:2" x14ac:dyDescent="0.2">
      <c r="A51" s="4">
        <v>41153</v>
      </c>
      <c r="B51" s="3">
        <v>42.7</v>
      </c>
    </row>
    <row r="52" spans="1:2" x14ac:dyDescent="0.2">
      <c r="A52" s="4">
        <v>41183</v>
      </c>
      <c r="B52" s="3">
        <v>43.7</v>
      </c>
    </row>
    <row r="53" spans="1:2" x14ac:dyDescent="0.2">
      <c r="A53" s="4">
        <v>41214</v>
      </c>
      <c r="B53" s="3">
        <v>44.5</v>
      </c>
    </row>
    <row r="54" spans="1:2" x14ac:dyDescent="0.2">
      <c r="A54" s="4">
        <v>41244</v>
      </c>
      <c r="B54" s="3">
        <v>44.6</v>
      </c>
    </row>
    <row r="55" spans="1:2" x14ac:dyDescent="0.2">
      <c r="A55" s="4">
        <v>41275</v>
      </c>
      <c r="B55" s="3">
        <v>42.9</v>
      </c>
    </row>
    <row r="56" spans="1:2" x14ac:dyDescent="0.2">
      <c r="A56" s="4">
        <v>41306</v>
      </c>
      <c r="B56" s="3">
        <v>43.9</v>
      </c>
    </row>
    <row r="57" spans="1:2" x14ac:dyDescent="0.2">
      <c r="A57" s="4">
        <v>41334</v>
      </c>
      <c r="B57" s="3">
        <v>44</v>
      </c>
    </row>
    <row r="58" spans="1:2" x14ac:dyDescent="0.2">
      <c r="A58" s="4">
        <v>41365</v>
      </c>
      <c r="B58" s="3">
        <v>44.4</v>
      </c>
    </row>
    <row r="59" spans="1:2" x14ac:dyDescent="0.2">
      <c r="A59" s="4">
        <v>41395</v>
      </c>
      <c r="B59" s="3">
        <v>46.4</v>
      </c>
    </row>
    <row r="60" spans="1:2" x14ac:dyDescent="0.2">
      <c r="A60" s="4">
        <v>41426</v>
      </c>
      <c r="B60" s="3">
        <v>48.4</v>
      </c>
    </row>
    <row r="61" spans="1:2" x14ac:dyDescent="0.2">
      <c r="A61" s="4">
        <v>41456</v>
      </c>
      <c r="B61" s="3">
        <v>49.7</v>
      </c>
    </row>
    <row r="62" spans="1:2" x14ac:dyDescent="0.2">
      <c r="A62" s="4">
        <v>41487</v>
      </c>
      <c r="B62" s="3">
        <v>49.7</v>
      </c>
    </row>
    <row r="63" spans="1:2" x14ac:dyDescent="0.2">
      <c r="A63" s="4">
        <v>41518</v>
      </c>
      <c r="B63" s="3">
        <v>49.8</v>
      </c>
    </row>
    <row r="64" spans="1:2" x14ac:dyDescent="0.2">
      <c r="A64" s="4">
        <v>41548</v>
      </c>
      <c r="B64" s="3">
        <v>49.1</v>
      </c>
    </row>
    <row r="65" spans="1:2" x14ac:dyDescent="0.2">
      <c r="A65" s="4">
        <v>41579</v>
      </c>
      <c r="B65" s="3">
        <v>48.4</v>
      </c>
    </row>
    <row r="66" spans="1:2" x14ac:dyDescent="0.2">
      <c r="A66" s="4">
        <v>41609</v>
      </c>
      <c r="B66" s="3">
        <v>47</v>
      </c>
    </row>
    <row r="67" spans="1:2" x14ac:dyDescent="0.2">
      <c r="A67" s="4">
        <v>41640</v>
      </c>
      <c r="B67" s="3">
        <v>49.3</v>
      </c>
    </row>
    <row r="68" spans="1:2" x14ac:dyDescent="0.2">
      <c r="A68" s="4">
        <v>41671</v>
      </c>
      <c r="B68" s="3">
        <v>49.7</v>
      </c>
    </row>
    <row r="69" spans="1:2" x14ac:dyDescent="0.2">
      <c r="A69" s="4">
        <v>41699</v>
      </c>
      <c r="B69" s="3">
        <v>52.1</v>
      </c>
    </row>
    <row r="70" spans="1:2" x14ac:dyDescent="0.2">
      <c r="A70" s="4">
        <v>41730</v>
      </c>
      <c r="B70" s="3">
        <v>51.2</v>
      </c>
    </row>
    <row r="71" spans="1:2" x14ac:dyDescent="0.2">
      <c r="A71" s="4">
        <v>41760</v>
      </c>
      <c r="B71" s="3">
        <v>49.6</v>
      </c>
    </row>
    <row r="72" spans="1:2" x14ac:dyDescent="0.2">
      <c r="A72" s="4">
        <v>41791</v>
      </c>
      <c r="B72" s="3">
        <v>48.2</v>
      </c>
    </row>
    <row r="73" spans="1:2" x14ac:dyDescent="0.2">
      <c r="A73" s="4">
        <v>41821</v>
      </c>
      <c r="B73" s="3">
        <v>47.8</v>
      </c>
    </row>
    <row r="74" spans="1:2" x14ac:dyDescent="0.2">
      <c r="A74" s="4">
        <v>41852</v>
      </c>
      <c r="B74" s="3">
        <v>46.9</v>
      </c>
    </row>
    <row r="75" spans="1:2" x14ac:dyDescent="0.2">
      <c r="A75" s="4">
        <v>41883</v>
      </c>
      <c r="B75" s="3">
        <v>48.8</v>
      </c>
    </row>
    <row r="76" spans="1:2" x14ac:dyDescent="0.2">
      <c r="A76" s="4">
        <v>41913</v>
      </c>
      <c r="B76" s="3">
        <v>48.5</v>
      </c>
    </row>
    <row r="77" spans="1:2" x14ac:dyDescent="0.2">
      <c r="A77" s="4">
        <v>41944</v>
      </c>
      <c r="B77" s="3">
        <v>48.4</v>
      </c>
    </row>
    <row r="78" spans="1:2" x14ac:dyDescent="0.2">
      <c r="A78" s="4">
        <v>41974</v>
      </c>
      <c r="B78" s="3">
        <v>47.5</v>
      </c>
    </row>
    <row r="79" spans="1:2" x14ac:dyDescent="0.2">
      <c r="A79" s="4">
        <v>42005</v>
      </c>
      <c r="B79" s="3">
        <v>49.2</v>
      </c>
    </row>
    <row r="80" spans="1:2" x14ac:dyDescent="0.2">
      <c r="A80" s="4">
        <v>42036</v>
      </c>
      <c r="B80" s="3">
        <v>47.6</v>
      </c>
    </row>
    <row r="81" spans="1:2" x14ac:dyDescent="0.2">
      <c r="A81" s="4">
        <v>42064</v>
      </c>
      <c r="B81" s="3">
        <v>48.8</v>
      </c>
    </row>
    <row r="82" spans="1:2" x14ac:dyDescent="0.2">
      <c r="A82" s="4">
        <v>42095</v>
      </c>
      <c r="B82" s="3">
        <v>48</v>
      </c>
    </row>
    <row r="83" spans="1:2" x14ac:dyDescent="0.2">
      <c r="A83" s="4">
        <v>42125</v>
      </c>
      <c r="B83" s="3">
        <v>49.4</v>
      </c>
    </row>
    <row r="84" spans="1:2" x14ac:dyDescent="0.2">
      <c r="A84" s="4">
        <v>42156</v>
      </c>
      <c r="B84" s="3">
        <v>50.7</v>
      </c>
    </row>
    <row r="85" spans="1:2" x14ac:dyDescent="0.2">
      <c r="A85" s="4">
        <v>42186</v>
      </c>
      <c r="B85" s="3">
        <v>49.6</v>
      </c>
    </row>
    <row r="86" spans="1:2" x14ac:dyDescent="0.2">
      <c r="A86" s="4">
        <v>42217</v>
      </c>
      <c r="B86" s="3">
        <v>48.3</v>
      </c>
    </row>
    <row r="87" spans="1:2" x14ac:dyDescent="0.2">
      <c r="A87" s="4">
        <v>42248</v>
      </c>
      <c r="B87" s="3">
        <v>50.6</v>
      </c>
    </row>
    <row r="88" spans="1:2" x14ac:dyDescent="0.2">
      <c r="A88" s="4">
        <v>42278</v>
      </c>
      <c r="B88" s="3">
        <v>50.6</v>
      </c>
    </row>
    <row r="89" spans="1:2" x14ac:dyDescent="0.2">
      <c r="A89" s="4">
        <v>42309</v>
      </c>
      <c r="B89" s="3">
        <v>50.6</v>
      </c>
    </row>
    <row r="90" spans="1:2" x14ac:dyDescent="0.2">
      <c r="A90" s="4">
        <v>42339</v>
      </c>
      <c r="B90" s="3">
        <v>51.4</v>
      </c>
    </row>
    <row r="91" spans="1:2" x14ac:dyDescent="0.2">
      <c r="A91" s="4">
        <v>42370</v>
      </c>
      <c r="B91" s="3">
        <v>50</v>
      </c>
    </row>
    <row r="92" spans="1:2" x14ac:dyDescent="0.2">
      <c r="A92" s="4">
        <v>42401</v>
      </c>
      <c r="B92" s="3">
        <v>50.2</v>
      </c>
    </row>
    <row r="93" spans="1:2" x14ac:dyDescent="0.2">
      <c r="A93" s="4">
        <v>42430</v>
      </c>
      <c r="B93" s="3">
        <v>49.6</v>
      </c>
    </row>
    <row r="94" spans="1:2" x14ac:dyDescent="0.2">
      <c r="A94" s="4">
        <v>42461</v>
      </c>
      <c r="B94" s="3">
        <v>48</v>
      </c>
    </row>
    <row r="95" spans="1:2" x14ac:dyDescent="0.2">
      <c r="A95" s="4">
        <v>42491</v>
      </c>
      <c r="B95" s="3">
        <v>48.4</v>
      </c>
    </row>
    <row r="96" spans="1:2" x14ac:dyDescent="0.2">
      <c r="A96" s="4">
        <v>42522</v>
      </c>
      <c r="B96" s="3">
        <v>48.3</v>
      </c>
    </row>
    <row r="97" spans="1:2" x14ac:dyDescent="0.2">
      <c r="A97" s="4">
        <v>42552</v>
      </c>
      <c r="B97" s="3">
        <v>48.6</v>
      </c>
    </row>
    <row r="98" spans="1:2" x14ac:dyDescent="0.2">
      <c r="A98" s="4">
        <v>42583</v>
      </c>
      <c r="B98" s="3">
        <v>48.3</v>
      </c>
    </row>
    <row r="99" spans="1:2" x14ac:dyDescent="0.2">
      <c r="A99" s="4">
        <v>42614</v>
      </c>
      <c r="B99" s="3">
        <v>49.7</v>
      </c>
    </row>
    <row r="100" spans="1:2" x14ac:dyDescent="0.2">
      <c r="A100" s="4">
        <v>42644</v>
      </c>
      <c r="B100" s="3">
        <v>51.8</v>
      </c>
    </row>
    <row r="101" spans="1:2" x14ac:dyDescent="0.2">
      <c r="A101" s="4">
        <v>42675</v>
      </c>
      <c r="B101" s="3">
        <v>51.7</v>
      </c>
    </row>
    <row r="102" spans="1:2" x14ac:dyDescent="0.2">
      <c r="A102" s="4">
        <v>42705</v>
      </c>
      <c r="B102" s="3">
        <v>53.5</v>
      </c>
    </row>
    <row r="103" spans="1:2" x14ac:dyDescent="0.2">
      <c r="A103" s="4">
        <v>42736</v>
      </c>
      <c r="B103" s="3">
        <v>53.6</v>
      </c>
    </row>
    <row r="104" spans="1:2" x14ac:dyDescent="0.2">
      <c r="A104" s="4">
        <v>42767</v>
      </c>
      <c r="B104" s="3">
        <v>52.2</v>
      </c>
    </row>
    <row r="105" spans="1:2" x14ac:dyDescent="0.2">
      <c r="A105" s="4">
        <v>42795</v>
      </c>
      <c r="B105" s="3">
        <v>53.3</v>
      </c>
    </row>
    <row r="106" spans="1:2" x14ac:dyDescent="0.2">
      <c r="A106" s="4">
        <v>42826</v>
      </c>
      <c r="B106" s="3">
        <v>55.1</v>
      </c>
    </row>
    <row r="107" spans="1:2" x14ac:dyDescent="0.2">
      <c r="A107" s="4">
        <v>42856</v>
      </c>
      <c r="B107" s="3">
        <v>53.8</v>
      </c>
    </row>
    <row r="108" spans="1:2" x14ac:dyDescent="0.2">
      <c r="A108" s="4">
        <v>42887</v>
      </c>
      <c r="B108" s="3">
        <v>54.8</v>
      </c>
    </row>
    <row r="109" spans="1:2" x14ac:dyDescent="0.2">
      <c r="A109" s="4">
        <v>42917</v>
      </c>
      <c r="B109" s="3">
        <v>54.9</v>
      </c>
    </row>
    <row r="110" spans="1:2" x14ac:dyDescent="0.2">
      <c r="A110" s="4">
        <v>42948</v>
      </c>
      <c r="B110" s="3">
        <v>55.8</v>
      </c>
    </row>
    <row r="111" spans="1:2" x14ac:dyDescent="0.2">
      <c r="A111" s="4">
        <v>42979</v>
      </c>
      <c r="B111" s="3">
        <v>56.1</v>
      </c>
    </row>
    <row r="112" spans="1:2" x14ac:dyDescent="0.2">
      <c r="A112" s="4">
        <v>43009</v>
      </c>
      <c r="B112" s="3">
        <v>56.1</v>
      </c>
    </row>
    <row r="113" spans="1:2" x14ac:dyDescent="0.2">
      <c r="A113" s="4">
        <v>43040</v>
      </c>
      <c r="B113" s="3">
        <v>57.7</v>
      </c>
    </row>
    <row r="114" spans="1:2" x14ac:dyDescent="0.2">
      <c r="A114" s="4">
        <v>43070</v>
      </c>
      <c r="B114" s="3">
        <v>58.8</v>
      </c>
    </row>
    <row r="115" spans="1:2" x14ac:dyDescent="0.2">
      <c r="A115" s="4">
        <v>43101</v>
      </c>
      <c r="B115" s="3">
        <v>58.4</v>
      </c>
    </row>
    <row r="116" spans="1:2" x14ac:dyDescent="0.2">
      <c r="A116" s="4">
        <v>43132</v>
      </c>
      <c r="B116" s="3">
        <v>55.9</v>
      </c>
    </row>
    <row r="117" spans="1:2" x14ac:dyDescent="0.2">
      <c r="A117" s="4">
        <v>43160</v>
      </c>
      <c r="B117" s="3">
        <v>53.7</v>
      </c>
    </row>
    <row r="118" spans="1:2" x14ac:dyDescent="0.2">
      <c r="A118" s="4">
        <v>43191</v>
      </c>
      <c r="B118" s="3">
        <v>53.8</v>
      </c>
    </row>
    <row r="119" spans="1:2" x14ac:dyDescent="0.2">
      <c r="A119" s="4">
        <v>43221</v>
      </c>
      <c r="B119" s="3">
        <v>55.1</v>
      </c>
    </row>
    <row r="120" spans="1:2" x14ac:dyDescent="0.2">
      <c r="A120" s="4">
        <v>43252</v>
      </c>
      <c r="B120" s="3">
        <v>52.5</v>
      </c>
    </row>
    <row r="121" spans="1:2" x14ac:dyDescent="0.2">
      <c r="A121" s="4">
        <v>43282</v>
      </c>
      <c r="B121" s="3">
        <v>53.3</v>
      </c>
    </row>
    <row r="122" spans="1:2" x14ac:dyDescent="0.2">
      <c r="A122" s="4">
        <v>43313</v>
      </c>
      <c r="B122" s="3">
        <v>53.5</v>
      </c>
    </row>
    <row r="123" spans="1:2" x14ac:dyDescent="0.2">
      <c r="A123" s="4">
        <v>43344</v>
      </c>
      <c r="B123" s="3">
        <v>52.5</v>
      </c>
    </row>
    <row r="124" spans="1:2" x14ac:dyDescent="0.2">
      <c r="A124" s="4">
        <v>43374</v>
      </c>
      <c r="B124" s="3">
        <v>51.2</v>
      </c>
    </row>
    <row r="125" spans="1:2" x14ac:dyDescent="0.2">
      <c r="A125" s="4">
        <v>43405</v>
      </c>
      <c r="B125" s="3">
        <v>50.8</v>
      </c>
    </row>
    <row r="126" spans="1:2" x14ac:dyDescent="0.2">
      <c r="A126" s="4">
        <v>43435</v>
      </c>
      <c r="B126" s="3">
        <v>49.7</v>
      </c>
    </row>
    <row r="127" spans="1:2" x14ac:dyDescent="0.2">
      <c r="A127" s="4">
        <v>43466</v>
      </c>
      <c r="B127" s="3">
        <v>51.2</v>
      </c>
    </row>
    <row r="128" spans="1:2" x14ac:dyDescent="0.2">
      <c r="A128" s="4">
        <v>43497</v>
      </c>
      <c r="B128" s="3">
        <v>51.5</v>
      </c>
    </row>
    <row r="129" spans="1:2" x14ac:dyDescent="0.2">
      <c r="A129" s="4">
        <v>43525</v>
      </c>
      <c r="B129" s="3">
        <v>49.7</v>
      </c>
    </row>
    <row r="130" spans="1:2" x14ac:dyDescent="0.2">
      <c r="A130" s="4">
        <v>43556</v>
      </c>
      <c r="B130" s="3">
        <v>50</v>
      </c>
    </row>
    <row r="131" spans="1:2" x14ac:dyDescent="0.2">
      <c r="A131" s="4">
        <v>43586</v>
      </c>
      <c r="B131" s="3">
        <v>50.6</v>
      </c>
    </row>
    <row r="132" spans="1:2" x14ac:dyDescent="0.2">
      <c r="A132" s="4">
        <v>43617</v>
      </c>
      <c r="B132" s="3">
        <v>51.9</v>
      </c>
    </row>
    <row r="133" spans="1:2" x14ac:dyDescent="0.2">
      <c r="A133" s="4">
        <v>43647</v>
      </c>
      <c r="B133" s="3">
        <v>49.7</v>
      </c>
    </row>
    <row r="134" spans="1:2" x14ac:dyDescent="0.2">
      <c r="A134" s="4">
        <v>43678</v>
      </c>
      <c r="B134" s="3">
        <v>51.1</v>
      </c>
    </row>
    <row r="135" spans="1:2" x14ac:dyDescent="0.2">
      <c r="A135" s="4">
        <v>43709</v>
      </c>
      <c r="B135" s="3">
        <v>50.1</v>
      </c>
    </row>
    <row r="136" spans="1:2" x14ac:dyDescent="0.2">
      <c r="A136" s="4">
        <v>43739</v>
      </c>
      <c r="B136" s="3">
        <v>50.7</v>
      </c>
    </row>
    <row r="137" spans="1:2" x14ac:dyDescent="0.2">
      <c r="A137" s="4">
        <v>43770</v>
      </c>
      <c r="B137" s="3">
        <v>51.7</v>
      </c>
    </row>
    <row r="138" spans="1:2" x14ac:dyDescent="0.2">
      <c r="A138" s="4">
        <v>43800</v>
      </c>
      <c r="B138" s="3">
        <v>50.4</v>
      </c>
    </row>
    <row r="139" spans="1:2" x14ac:dyDescent="0.2">
      <c r="A139" s="4">
        <v>43831</v>
      </c>
      <c r="B139" s="3">
        <v>51.1</v>
      </c>
    </row>
    <row r="140" spans="1:2" x14ac:dyDescent="0.2">
      <c r="A140" s="4">
        <v>43862</v>
      </c>
      <c r="B140" s="3">
        <v>49.8</v>
      </c>
    </row>
    <row r="141" spans="1:2" x14ac:dyDescent="0.2">
      <c r="A141" s="4">
        <v>43891</v>
      </c>
      <c r="B141" s="3">
        <v>43.2</v>
      </c>
    </row>
    <row r="142" spans="1:2" x14ac:dyDescent="0.2">
      <c r="A142" s="4">
        <v>43922</v>
      </c>
      <c r="B142" s="3">
        <v>31.5</v>
      </c>
    </row>
    <row r="143" spans="1:2" x14ac:dyDescent="0.2">
      <c r="A143" s="4">
        <v>43952</v>
      </c>
      <c r="B143" s="3">
        <v>40.6</v>
      </c>
    </row>
    <row r="144" spans="1:2" x14ac:dyDescent="0.2">
      <c r="A144" s="4">
        <v>43983</v>
      </c>
      <c r="B144" s="3">
        <v>52.3</v>
      </c>
    </row>
    <row r="145" spans="1:2" x14ac:dyDescent="0.2">
      <c r="A145" s="4">
        <v>44013</v>
      </c>
      <c r="B145" s="3">
        <v>52.4</v>
      </c>
    </row>
    <row r="146" spans="1:2" x14ac:dyDescent="0.2">
      <c r="A146" s="4">
        <v>44044</v>
      </c>
      <c r="B146" s="3">
        <v>49.8</v>
      </c>
    </row>
    <row r="147" spans="1:2" x14ac:dyDescent="0.2">
      <c r="A147" s="4">
        <v>44075</v>
      </c>
      <c r="B147" s="3">
        <v>51.2</v>
      </c>
    </row>
    <row r="148" spans="1:2" x14ac:dyDescent="0.2">
      <c r="A148" s="4">
        <v>44105</v>
      </c>
      <c r="B148" s="3">
        <v>51.3</v>
      </c>
    </row>
    <row r="149" spans="1:2" x14ac:dyDescent="0.2">
      <c r="A149" s="4">
        <v>44136</v>
      </c>
      <c r="B149" s="3">
        <v>49.6</v>
      </c>
    </row>
    <row r="150" spans="1:2" x14ac:dyDescent="0.2">
      <c r="A150" s="4">
        <v>44166</v>
      </c>
      <c r="B150" s="3">
        <v>51.1</v>
      </c>
    </row>
    <row r="151" spans="1:2" x14ac:dyDescent="0.2">
      <c r="A151" s="4">
        <v>44197</v>
      </c>
      <c r="B151" s="3">
        <v>51.6</v>
      </c>
    </row>
    <row r="152" spans="1:2" x14ac:dyDescent="0.2">
      <c r="A152" s="4">
        <v>44228</v>
      </c>
      <c r="B152" s="3">
        <v>56.1</v>
      </c>
    </row>
    <row r="153" spans="1:2" x14ac:dyDescent="0.2">
      <c r="A153" s="4">
        <v>44256</v>
      </c>
      <c r="B153" s="3">
        <v>59.3</v>
      </c>
    </row>
    <row r="154" spans="1:2" x14ac:dyDescent="0.2">
      <c r="A154" s="4">
        <v>44287</v>
      </c>
      <c r="B154" s="3">
        <v>58.9</v>
      </c>
    </row>
    <row r="155" spans="1:2" x14ac:dyDescent="0.2">
      <c r="A155" s="4">
        <v>44317</v>
      </c>
      <c r="B155" s="3">
        <v>59.4</v>
      </c>
    </row>
    <row r="156" spans="1:2" x14ac:dyDescent="0.2">
      <c r="A156" s="4">
        <v>44348</v>
      </c>
      <c r="B156" s="3">
        <v>59</v>
      </c>
    </row>
    <row r="157" spans="1:2" x14ac:dyDescent="0.2">
      <c r="A157" s="4">
        <v>44378</v>
      </c>
      <c r="B157" s="3">
        <v>58</v>
      </c>
    </row>
    <row r="158" spans="1:2" x14ac:dyDescent="0.2">
      <c r="A158" s="4">
        <v>44409</v>
      </c>
      <c r="B158" s="3">
        <v>57.5</v>
      </c>
    </row>
    <row r="159" spans="1:2" x14ac:dyDescent="0.2">
      <c r="A159" s="4">
        <v>44440</v>
      </c>
      <c r="B159" s="3">
        <v>55</v>
      </c>
    </row>
    <row r="160" spans="1:2" x14ac:dyDescent="0.2">
      <c r="A160" s="4">
        <v>44470</v>
      </c>
      <c r="B160" s="3">
        <v>53.6</v>
      </c>
    </row>
    <row r="161" spans="1:2" x14ac:dyDescent="0.2">
      <c r="A161" s="4">
        <v>44501</v>
      </c>
      <c r="B161" s="3">
        <v>55.9</v>
      </c>
    </row>
    <row r="162" spans="1:2" x14ac:dyDescent="0.2">
      <c r="A162" s="4">
        <v>44531</v>
      </c>
      <c r="B162" s="3">
        <v>55.6</v>
      </c>
    </row>
  </sheetData>
  <conditionalFormatting sqref="B2:B1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39E2FA-1443-435C-82AA-CBBB17546400}">
  <dimension ref="A1:B206"/>
  <sheetViews>
    <sheetView zoomScale="160" zoomScaleNormal="160" workbookViewId="0">
      <pane ySplit="1" topLeftCell="A2" activePane="bottomLeft" state="frozen"/>
      <selection pane="bottomLeft" activeCell="O181" sqref="O181"/>
    </sheetView>
  </sheetViews>
  <sheetFormatPr baseColWidth="10" defaultColWidth="9.1640625" defaultRowHeight="15" x14ac:dyDescent="0.2"/>
  <cols>
    <col min="1" max="1" width="13.5" style="2" customWidth="1"/>
    <col min="2" max="2" width="11.33203125" style="2" customWidth="1"/>
    <col min="3" max="16384" width="9.1640625" style="2"/>
  </cols>
  <sheetData>
    <row r="1" spans="1:2" ht="16" thickBot="1" x14ac:dyDescent="0.25">
      <c r="A1" s="11" t="s">
        <v>0</v>
      </c>
      <c r="B1" s="12" t="s">
        <v>27</v>
      </c>
    </row>
    <row r="2" spans="1:2" x14ac:dyDescent="0.2">
      <c r="A2" s="8">
        <v>38322</v>
      </c>
      <c r="B2" s="9">
        <v>53.7</v>
      </c>
    </row>
    <row r="3" spans="1:2" x14ac:dyDescent="0.2">
      <c r="A3" s="4">
        <v>38353</v>
      </c>
      <c r="B3" s="3">
        <v>51.8</v>
      </c>
    </row>
    <row r="4" spans="1:2" x14ac:dyDescent="0.2">
      <c r="A4" s="4">
        <v>38384</v>
      </c>
      <c r="B4" s="3">
        <v>51.8</v>
      </c>
    </row>
    <row r="5" spans="1:2" x14ac:dyDescent="0.2">
      <c r="A5" s="4">
        <v>38412</v>
      </c>
      <c r="B5" s="3">
        <v>52</v>
      </c>
    </row>
    <row r="6" spans="1:2" x14ac:dyDescent="0.2">
      <c r="A6" s="4">
        <v>38443</v>
      </c>
      <c r="B6" s="3">
        <v>49.5</v>
      </c>
    </row>
    <row r="7" spans="1:2" x14ac:dyDescent="0.2">
      <c r="A7" s="4">
        <v>38473</v>
      </c>
      <c r="B7" s="3">
        <v>47.3</v>
      </c>
    </row>
    <row r="8" spans="1:2" x14ac:dyDescent="0.2">
      <c r="A8" s="4">
        <v>38504</v>
      </c>
      <c r="B8" s="3">
        <v>49.6</v>
      </c>
    </row>
    <row r="9" spans="1:2" x14ac:dyDescent="0.2">
      <c r="A9" s="4">
        <v>38534</v>
      </c>
      <c r="B9" s="3">
        <v>49.2</v>
      </c>
    </row>
    <row r="10" spans="1:2" x14ac:dyDescent="0.2">
      <c r="A10" s="4">
        <v>38565</v>
      </c>
      <c r="B10" s="3">
        <v>50.1</v>
      </c>
    </row>
    <row r="11" spans="1:2" x14ac:dyDescent="0.2">
      <c r="A11" s="4">
        <v>38596</v>
      </c>
      <c r="B11" s="3">
        <v>51.5</v>
      </c>
    </row>
    <row r="12" spans="1:2" x14ac:dyDescent="0.2">
      <c r="A12" s="4">
        <v>38626</v>
      </c>
      <c r="B12" s="3">
        <v>51.7</v>
      </c>
    </row>
    <row r="13" spans="1:2" x14ac:dyDescent="0.2">
      <c r="A13" s="4">
        <v>38657</v>
      </c>
      <c r="B13" s="3">
        <v>51</v>
      </c>
    </row>
    <row r="14" spans="1:2" x14ac:dyDescent="0.2">
      <c r="A14" s="4">
        <v>38687</v>
      </c>
      <c r="B14" s="3">
        <v>51.1</v>
      </c>
    </row>
    <row r="15" spans="1:2" x14ac:dyDescent="0.2">
      <c r="A15" s="4">
        <v>38718</v>
      </c>
      <c r="B15" s="3">
        <v>51.7</v>
      </c>
    </row>
    <row r="16" spans="1:2" x14ac:dyDescent="0.2">
      <c r="A16" s="4">
        <v>38749</v>
      </c>
      <c r="B16" s="3">
        <v>51.7</v>
      </c>
    </row>
    <row r="17" spans="1:2" x14ac:dyDescent="0.2">
      <c r="A17" s="4">
        <v>38777</v>
      </c>
      <c r="B17" s="3">
        <v>50.8</v>
      </c>
    </row>
    <row r="18" spans="1:2" x14ac:dyDescent="0.2">
      <c r="A18" s="4">
        <v>38808</v>
      </c>
      <c r="B18" s="3">
        <v>54.1</v>
      </c>
    </row>
    <row r="19" spans="1:2" x14ac:dyDescent="0.2">
      <c r="A19" s="4">
        <v>38838</v>
      </c>
      <c r="B19" s="3">
        <v>53.2</v>
      </c>
    </row>
    <row r="20" spans="1:2" x14ac:dyDescent="0.2">
      <c r="A20" s="4">
        <v>38869</v>
      </c>
      <c r="B20" s="3">
        <v>55.1</v>
      </c>
    </row>
    <row r="21" spans="1:2" x14ac:dyDescent="0.2">
      <c r="A21" s="4">
        <v>38899</v>
      </c>
      <c r="B21" s="3">
        <v>53.8</v>
      </c>
    </row>
    <row r="22" spans="1:2" x14ac:dyDescent="0.2">
      <c r="A22" s="4">
        <v>38930</v>
      </c>
      <c r="B22" s="3">
        <v>53.1</v>
      </c>
    </row>
    <row r="23" spans="1:2" x14ac:dyDescent="0.2">
      <c r="A23" s="4">
        <v>38961</v>
      </c>
      <c r="B23" s="3">
        <v>54.4</v>
      </c>
    </row>
    <row r="24" spans="1:2" x14ac:dyDescent="0.2">
      <c r="A24" s="4">
        <v>38991</v>
      </c>
      <c r="B24" s="3">
        <v>53.7</v>
      </c>
    </row>
    <row r="25" spans="1:2" x14ac:dyDescent="0.2">
      <c r="A25" s="4">
        <v>39022</v>
      </c>
      <c r="B25" s="3">
        <v>53.6</v>
      </c>
    </row>
    <row r="26" spans="1:2" x14ac:dyDescent="0.2">
      <c r="A26" s="4">
        <v>39052</v>
      </c>
      <c r="B26" s="3">
        <v>51.9</v>
      </c>
    </row>
    <row r="27" spans="1:2" x14ac:dyDescent="0.2">
      <c r="A27" s="4">
        <v>39083</v>
      </c>
      <c r="B27" s="3">
        <v>52.8</v>
      </c>
    </row>
    <row r="28" spans="1:2" x14ac:dyDescent="0.2">
      <c r="A28" s="4">
        <v>39114</v>
      </c>
      <c r="B28" s="3">
        <v>55.4</v>
      </c>
    </row>
    <row r="29" spans="1:2" x14ac:dyDescent="0.2">
      <c r="A29" s="4">
        <v>39142</v>
      </c>
      <c r="B29" s="3">
        <v>54.4</v>
      </c>
    </row>
    <row r="30" spans="1:2" x14ac:dyDescent="0.2">
      <c r="A30" s="4">
        <v>39173</v>
      </c>
      <c r="B30" s="3">
        <v>53.9</v>
      </c>
    </row>
    <row r="31" spans="1:2" x14ac:dyDescent="0.2">
      <c r="A31" s="4">
        <v>39203</v>
      </c>
      <c r="B31" s="3">
        <v>54.9</v>
      </c>
    </row>
    <row r="32" spans="1:2" x14ac:dyDescent="0.2">
      <c r="A32" s="4">
        <v>39234</v>
      </c>
      <c r="B32" s="3">
        <v>54.3</v>
      </c>
    </row>
    <row r="33" spans="1:2" x14ac:dyDescent="0.2">
      <c r="A33" s="4">
        <v>39264</v>
      </c>
      <c r="B33" s="3">
        <v>55.7</v>
      </c>
    </row>
    <row r="34" spans="1:2" x14ac:dyDescent="0.2">
      <c r="A34" s="4">
        <v>39295</v>
      </c>
      <c r="B34" s="3">
        <v>56.3</v>
      </c>
    </row>
    <row r="35" spans="1:2" x14ac:dyDescent="0.2">
      <c r="A35" s="4">
        <v>39326</v>
      </c>
      <c r="B35" s="3">
        <v>55.1</v>
      </c>
    </row>
    <row r="36" spans="1:2" x14ac:dyDescent="0.2">
      <c r="A36" s="4">
        <v>39356</v>
      </c>
      <c r="B36" s="3">
        <v>52.9</v>
      </c>
    </row>
    <row r="37" spans="1:2" x14ac:dyDescent="0.2">
      <c r="A37" s="4">
        <v>39387</v>
      </c>
      <c r="B37" s="3">
        <v>54.4</v>
      </c>
    </row>
    <row r="38" spans="1:2" x14ac:dyDescent="0.2">
      <c r="A38" s="4">
        <v>39417</v>
      </c>
      <c r="B38" s="3">
        <v>52.9</v>
      </c>
    </row>
    <row r="39" spans="1:2" x14ac:dyDescent="0.2">
      <c r="A39" s="4">
        <v>39448</v>
      </c>
      <c r="B39" s="3">
        <v>50.6</v>
      </c>
    </row>
    <row r="40" spans="1:2" x14ac:dyDescent="0.2">
      <c r="A40" s="4">
        <v>39479</v>
      </c>
      <c r="B40" s="3">
        <v>51.3</v>
      </c>
    </row>
    <row r="41" spans="1:2" x14ac:dyDescent="0.2">
      <c r="A41" s="4">
        <v>39508</v>
      </c>
      <c r="B41" s="3">
        <v>51.3</v>
      </c>
    </row>
    <row r="42" spans="1:2" x14ac:dyDescent="0.2">
      <c r="A42" s="4">
        <v>39539</v>
      </c>
      <c r="B42" s="3">
        <v>51</v>
      </c>
    </row>
    <row r="43" spans="1:2" x14ac:dyDescent="0.2">
      <c r="A43" s="4">
        <v>39569</v>
      </c>
      <c r="B43" s="3">
        <v>50</v>
      </c>
    </row>
    <row r="44" spans="1:2" x14ac:dyDescent="0.2">
      <c r="A44" s="4">
        <v>39600</v>
      </c>
      <c r="B44" s="3">
        <v>45.8</v>
      </c>
    </row>
    <row r="45" spans="1:2" x14ac:dyDescent="0.2">
      <c r="A45" s="4">
        <v>39630</v>
      </c>
      <c r="B45" s="3">
        <v>44.3</v>
      </c>
    </row>
    <row r="46" spans="1:2" x14ac:dyDescent="0.2">
      <c r="A46" s="4">
        <v>39661</v>
      </c>
      <c r="B46" s="3">
        <v>45.9</v>
      </c>
    </row>
    <row r="47" spans="1:2" x14ac:dyDescent="0.2">
      <c r="A47" s="4">
        <v>39692</v>
      </c>
      <c r="B47" s="3">
        <v>41</v>
      </c>
    </row>
    <row r="48" spans="1:2" x14ac:dyDescent="0.2">
      <c r="A48" s="4">
        <v>39722</v>
      </c>
      <c r="B48" s="3">
        <v>41.5</v>
      </c>
    </row>
    <row r="49" spans="1:2" x14ac:dyDescent="0.2">
      <c r="A49" s="4">
        <v>39753</v>
      </c>
      <c r="B49" s="3">
        <v>34.4</v>
      </c>
    </row>
    <row r="50" spans="1:2" x14ac:dyDescent="0.2">
      <c r="A50" s="4">
        <v>39783</v>
      </c>
      <c r="B50" s="3">
        <v>34.9</v>
      </c>
    </row>
    <row r="51" spans="1:2" x14ac:dyDescent="0.2">
      <c r="A51" s="4">
        <v>39814</v>
      </c>
      <c r="B51" s="3">
        <v>35.799999999999997</v>
      </c>
    </row>
    <row r="52" spans="1:2" x14ac:dyDescent="0.2">
      <c r="A52" s="4">
        <v>39845</v>
      </c>
      <c r="B52" s="3">
        <v>34.700000000000003</v>
      </c>
    </row>
    <row r="53" spans="1:2" x14ac:dyDescent="0.2">
      <c r="A53" s="4">
        <v>39873</v>
      </c>
      <c r="B53" s="3">
        <v>39.1</v>
      </c>
    </row>
    <row r="54" spans="1:2" x14ac:dyDescent="0.2">
      <c r="A54" s="4">
        <v>39904</v>
      </c>
      <c r="B54" s="3">
        <v>42.9</v>
      </c>
    </row>
    <row r="55" spans="1:2" x14ac:dyDescent="0.2">
      <c r="A55" s="4">
        <v>39934</v>
      </c>
      <c r="B55" s="3">
        <v>45.4</v>
      </c>
    </row>
    <row r="56" spans="1:2" x14ac:dyDescent="0.2">
      <c r="A56" s="4">
        <v>39965</v>
      </c>
      <c r="B56" s="3">
        <v>47</v>
      </c>
    </row>
    <row r="57" spans="1:2" x14ac:dyDescent="0.2">
      <c r="A57" s="4">
        <v>39995</v>
      </c>
      <c r="B57" s="3">
        <v>50.8</v>
      </c>
    </row>
    <row r="58" spans="1:2" x14ac:dyDescent="0.2">
      <c r="A58" s="4">
        <v>40026</v>
      </c>
      <c r="B58" s="3">
        <v>49.7</v>
      </c>
    </row>
    <row r="59" spans="1:2" x14ac:dyDescent="0.2">
      <c r="A59" s="4">
        <v>40057</v>
      </c>
      <c r="B59" s="3">
        <v>49.5</v>
      </c>
    </row>
    <row r="60" spans="1:2" x14ac:dyDescent="0.2">
      <c r="A60" s="4">
        <v>40087</v>
      </c>
      <c r="B60" s="3">
        <v>53.7</v>
      </c>
    </row>
    <row r="61" spans="1:2" x14ac:dyDescent="0.2">
      <c r="A61" s="4">
        <v>40118</v>
      </c>
      <c r="B61" s="3">
        <v>51.8</v>
      </c>
    </row>
    <row r="62" spans="1:2" x14ac:dyDescent="0.2">
      <c r="A62" s="4">
        <v>40148</v>
      </c>
      <c r="B62" s="3">
        <v>54.1</v>
      </c>
    </row>
    <row r="63" spans="1:2" x14ac:dyDescent="0.2">
      <c r="A63" s="4">
        <v>40179</v>
      </c>
      <c r="B63" s="3">
        <v>56.7</v>
      </c>
    </row>
    <row r="64" spans="1:2" x14ac:dyDescent="0.2">
      <c r="A64" s="4">
        <v>40210</v>
      </c>
      <c r="B64" s="3">
        <v>56.6</v>
      </c>
    </row>
    <row r="65" spans="1:2" x14ac:dyDescent="0.2">
      <c r="A65" s="4">
        <v>40238</v>
      </c>
      <c r="B65" s="3">
        <v>57.2</v>
      </c>
    </row>
    <row r="66" spans="1:2" x14ac:dyDescent="0.2">
      <c r="A66" s="4">
        <v>40269</v>
      </c>
      <c r="B66" s="3">
        <v>58</v>
      </c>
    </row>
    <row r="67" spans="1:2" x14ac:dyDescent="0.2">
      <c r="A67" s="4">
        <v>40299</v>
      </c>
      <c r="B67" s="3">
        <v>58</v>
      </c>
    </row>
    <row r="68" spans="1:2" x14ac:dyDescent="0.2">
      <c r="A68" s="4">
        <v>40330</v>
      </c>
      <c r="B68" s="3">
        <v>57.5</v>
      </c>
    </row>
    <row r="69" spans="1:2" x14ac:dyDescent="0.2">
      <c r="A69" s="4">
        <v>40360</v>
      </c>
      <c r="B69" s="3">
        <v>57.3</v>
      </c>
    </row>
    <row r="70" spans="1:2" x14ac:dyDescent="0.2">
      <c r="A70" s="4">
        <v>40391</v>
      </c>
      <c r="B70" s="3">
        <v>54.3</v>
      </c>
    </row>
    <row r="71" spans="1:2" x14ac:dyDescent="0.2">
      <c r="A71" s="4">
        <v>40422</v>
      </c>
      <c r="B71" s="3">
        <v>53.4</v>
      </c>
    </row>
    <row r="72" spans="1:2" x14ac:dyDescent="0.2">
      <c r="A72" s="4">
        <v>40452</v>
      </c>
      <c r="B72" s="3">
        <v>54.9</v>
      </c>
    </row>
    <row r="73" spans="1:2" x14ac:dyDescent="0.2">
      <c r="A73" s="4">
        <v>40483</v>
      </c>
      <c r="B73" s="3">
        <v>58</v>
      </c>
    </row>
    <row r="74" spans="1:2" x14ac:dyDescent="0.2">
      <c r="A74" s="4">
        <v>40513</v>
      </c>
      <c r="B74" s="3">
        <v>58.3</v>
      </c>
    </row>
    <row r="75" spans="1:2" x14ac:dyDescent="0.2">
      <c r="A75" s="4">
        <v>40544</v>
      </c>
      <c r="B75" s="3">
        <v>62</v>
      </c>
    </row>
    <row r="76" spans="1:2" x14ac:dyDescent="0.2">
      <c r="A76" s="4">
        <v>40575</v>
      </c>
      <c r="B76" s="3">
        <v>64.5</v>
      </c>
    </row>
    <row r="77" spans="1:2" x14ac:dyDescent="0.2">
      <c r="A77" s="4">
        <v>40603</v>
      </c>
      <c r="B77" s="3">
        <v>57.1</v>
      </c>
    </row>
    <row r="78" spans="1:2" x14ac:dyDescent="0.2">
      <c r="A78" s="4">
        <v>40634</v>
      </c>
      <c r="B78" s="3">
        <v>54.6</v>
      </c>
    </row>
    <row r="79" spans="1:2" x14ac:dyDescent="0.2">
      <c r="A79" s="4">
        <v>40664</v>
      </c>
      <c r="B79" s="3">
        <v>52.1</v>
      </c>
    </row>
    <row r="80" spans="1:2" x14ac:dyDescent="0.2">
      <c r="A80" s="4">
        <v>40695</v>
      </c>
      <c r="B80" s="3">
        <v>51.3</v>
      </c>
    </row>
    <row r="81" spans="1:2" x14ac:dyDescent="0.2">
      <c r="A81" s="4">
        <v>40725</v>
      </c>
      <c r="B81" s="3">
        <v>49.1</v>
      </c>
    </row>
    <row r="82" spans="1:2" x14ac:dyDescent="0.2">
      <c r="A82" s="4">
        <v>40756</v>
      </c>
      <c r="B82" s="3">
        <v>49</v>
      </c>
    </row>
    <row r="83" spans="1:2" x14ac:dyDescent="0.2">
      <c r="A83" s="4">
        <v>40787</v>
      </c>
      <c r="B83" s="3">
        <v>51.1</v>
      </c>
    </row>
    <row r="84" spans="1:2" x14ac:dyDescent="0.2">
      <c r="A84" s="4">
        <v>40817</v>
      </c>
      <c r="B84" s="3">
        <v>47.4</v>
      </c>
    </row>
    <row r="85" spans="1:2" x14ac:dyDescent="0.2">
      <c r="A85" s="4">
        <v>40848</v>
      </c>
      <c r="B85" s="3">
        <v>47.6</v>
      </c>
    </row>
    <row r="86" spans="1:2" x14ac:dyDescent="0.2">
      <c r="A86" s="4">
        <v>40878</v>
      </c>
      <c r="B86" s="3">
        <v>49.6</v>
      </c>
    </row>
    <row r="87" spans="1:2" x14ac:dyDescent="0.2">
      <c r="A87" s="4">
        <v>40909</v>
      </c>
      <c r="B87" s="3">
        <v>50.8</v>
      </c>
    </row>
    <row r="88" spans="1:2" x14ac:dyDescent="0.2">
      <c r="A88" s="4">
        <v>40940</v>
      </c>
      <c r="B88" s="3">
        <v>51.1</v>
      </c>
    </row>
    <row r="89" spans="1:2" x14ac:dyDescent="0.2">
      <c r="A89" s="4">
        <v>40969</v>
      </c>
      <c r="B89" s="3">
        <v>52</v>
      </c>
    </row>
    <row r="90" spans="1:2" x14ac:dyDescent="0.2">
      <c r="A90" s="4">
        <v>41000</v>
      </c>
      <c r="B90" s="3">
        <v>50.2</v>
      </c>
    </row>
    <row r="91" spans="1:2" x14ac:dyDescent="0.2">
      <c r="A91" s="4">
        <v>41030</v>
      </c>
      <c r="B91" s="3">
        <v>46.8</v>
      </c>
    </row>
    <row r="92" spans="1:2" x14ac:dyDescent="0.2">
      <c r="A92" s="4">
        <v>41061</v>
      </c>
      <c r="B92" s="3">
        <v>48.8</v>
      </c>
    </row>
    <row r="93" spans="1:2" x14ac:dyDescent="0.2">
      <c r="A93" s="4">
        <v>41091</v>
      </c>
      <c r="B93" s="3">
        <v>45.5</v>
      </c>
    </row>
    <row r="94" spans="1:2" x14ac:dyDescent="0.2">
      <c r="A94" s="4">
        <v>41122</v>
      </c>
      <c r="B94" s="3">
        <v>49.1</v>
      </c>
    </row>
    <row r="95" spans="1:2" x14ac:dyDescent="0.2">
      <c r="A95" s="4">
        <v>41153</v>
      </c>
      <c r="B95" s="3">
        <v>48.2</v>
      </c>
    </row>
    <row r="96" spans="1:2" x14ac:dyDescent="0.2">
      <c r="A96" s="4">
        <v>41183</v>
      </c>
      <c r="B96" s="3">
        <v>48</v>
      </c>
    </row>
    <row r="97" spans="1:2" x14ac:dyDescent="0.2">
      <c r="A97" s="4">
        <v>41214</v>
      </c>
      <c r="B97" s="3">
        <v>48.4</v>
      </c>
    </row>
    <row r="98" spans="1:2" x14ac:dyDescent="0.2">
      <c r="A98" s="4">
        <v>41244</v>
      </c>
      <c r="B98" s="3">
        <v>50.7</v>
      </c>
    </row>
    <row r="99" spans="1:2" x14ac:dyDescent="0.2">
      <c r="A99" s="4">
        <v>41275</v>
      </c>
      <c r="B99" s="3">
        <v>50.9</v>
      </c>
    </row>
    <row r="100" spans="1:2" x14ac:dyDescent="0.2">
      <c r="A100" s="4">
        <v>41306</v>
      </c>
      <c r="B100" s="3">
        <v>48.2</v>
      </c>
    </row>
    <row r="101" spans="1:2" x14ac:dyDescent="0.2">
      <c r="A101" s="4">
        <v>41334</v>
      </c>
      <c r="B101" s="3">
        <v>49.3</v>
      </c>
    </row>
    <row r="102" spans="1:2" x14ac:dyDescent="0.2">
      <c r="A102" s="4">
        <v>41365</v>
      </c>
      <c r="B102" s="3">
        <v>50.6</v>
      </c>
    </row>
    <row r="103" spans="1:2" x14ac:dyDescent="0.2">
      <c r="A103" s="4">
        <v>41395</v>
      </c>
      <c r="B103" s="3">
        <v>52.1</v>
      </c>
    </row>
    <row r="104" spans="1:2" x14ac:dyDescent="0.2">
      <c r="A104" s="4">
        <v>41426</v>
      </c>
      <c r="B104" s="3">
        <v>53</v>
      </c>
    </row>
    <row r="105" spans="1:2" x14ac:dyDescent="0.2">
      <c r="A105" s="4">
        <v>41456</v>
      </c>
      <c r="B105" s="3">
        <v>54.7</v>
      </c>
    </row>
    <row r="106" spans="1:2" x14ac:dyDescent="0.2">
      <c r="A106" s="4">
        <v>41487</v>
      </c>
      <c r="B106" s="3">
        <v>57.3</v>
      </c>
    </row>
    <row r="107" spans="1:2" x14ac:dyDescent="0.2">
      <c r="A107" s="4">
        <v>41518</v>
      </c>
      <c r="B107" s="3">
        <v>56.7</v>
      </c>
    </row>
    <row r="108" spans="1:2" x14ac:dyDescent="0.2">
      <c r="A108" s="4">
        <v>41548</v>
      </c>
      <c r="B108" s="3">
        <v>56.5</v>
      </c>
    </row>
    <row r="109" spans="1:2" x14ac:dyDescent="0.2">
      <c r="A109" s="4">
        <v>41579</v>
      </c>
      <c r="B109" s="3">
        <v>58.1</v>
      </c>
    </row>
    <row r="110" spans="1:2" x14ac:dyDescent="0.2">
      <c r="A110" s="4">
        <v>41609</v>
      </c>
      <c r="B110" s="3">
        <v>57.3</v>
      </c>
    </row>
    <row r="111" spans="1:2" x14ac:dyDescent="0.2">
      <c r="A111" s="4">
        <v>41640</v>
      </c>
      <c r="B111" s="3">
        <v>56.7</v>
      </c>
    </row>
    <row r="112" spans="1:2" x14ac:dyDescent="0.2">
      <c r="A112" s="4">
        <v>41671</v>
      </c>
      <c r="B112" s="3">
        <v>56.9</v>
      </c>
    </row>
    <row r="113" spans="1:2" x14ac:dyDescent="0.2">
      <c r="A113" s="4">
        <v>41699</v>
      </c>
      <c r="B113" s="3">
        <v>55.3</v>
      </c>
    </row>
    <row r="114" spans="1:2" x14ac:dyDescent="0.2">
      <c r="A114" s="4">
        <v>41730</v>
      </c>
      <c r="B114" s="3">
        <v>57.3</v>
      </c>
    </row>
    <row r="115" spans="1:2" x14ac:dyDescent="0.2">
      <c r="A115" s="4">
        <v>41760</v>
      </c>
      <c r="B115" s="3">
        <v>57</v>
      </c>
    </row>
    <row r="116" spans="1:2" x14ac:dyDescent="0.2">
      <c r="A116" s="4">
        <v>41791</v>
      </c>
      <c r="B116" s="3">
        <v>57.5</v>
      </c>
    </row>
    <row r="117" spans="1:2" x14ac:dyDescent="0.2">
      <c r="A117" s="4">
        <v>41821</v>
      </c>
      <c r="B117" s="3">
        <v>55.4</v>
      </c>
    </row>
    <row r="118" spans="1:2" x14ac:dyDescent="0.2">
      <c r="A118" s="4">
        <v>41852</v>
      </c>
      <c r="B118" s="3">
        <v>52.5</v>
      </c>
    </row>
    <row r="119" spans="1:2" x14ac:dyDescent="0.2">
      <c r="A119" s="4">
        <v>41883</v>
      </c>
      <c r="B119" s="3">
        <v>51.6</v>
      </c>
    </row>
    <row r="120" spans="1:2" x14ac:dyDescent="0.2">
      <c r="A120" s="4">
        <v>41913</v>
      </c>
      <c r="B120" s="3">
        <v>53.2</v>
      </c>
    </row>
    <row r="121" spans="1:2" x14ac:dyDescent="0.2">
      <c r="A121" s="4">
        <v>41944</v>
      </c>
      <c r="B121" s="3">
        <v>53.5</v>
      </c>
    </row>
    <row r="122" spans="1:2" x14ac:dyDescent="0.2">
      <c r="A122" s="4">
        <v>41974</v>
      </c>
      <c r="B122" s="3">
        <v>52.5</v>
      </c>
    </row>
    <row r="123" spans="1:2" x14ac:dyDescent="0.2">
      <c r="A123" s="4">
        <v>42005</v>
      </c>
      <c r="B123" s="3">
        <v>53</v>
      </c>
    </row>
    <row r="124" spans="1:2" x14ac:dyDescent="0.2">
      <c r="A124" s="4">
        <v>42036</v>
      </c>
      <c r="B124" s="3">
        <v>54.1</v>
      </c>
    </row>
    <row r="125" spans="1:2" x14ac:dyDescent="0.2">
      <c r="A125" s="4">
        <v>42064</v>
      </c>
      <c r="B125" s="3">
        <v>54.4</v>
      </c>
    </row>
    <row r="126" spans="1:2" x14ac:dyDescent="0.2">
      <c r="A126" s="4">
        <v>42095</v>
      </c>
      <c r="B126" s="3">
        <v>51.9</v>
      </c>
    </row>
    <row r="127" spans="1:2" x14ac:dyDescent="0.2">
      <c r="A127" s="4">
        <v>42125</v>
      </c>
      <c r="B127" s="3">
        <v>52.2</v>
      </c>
    </row>
    <row r="128" spans="1:2" x14ac:dyDescent="0.2">
      <c r="A128" s="4">
        <v>42156</v>
      </c>
      <c r="B128" s="3">
        <v>51.9</v>
      </c>
    </row>
    <row r="129" spans="1:2" x14ac:dyDescent="0.2">
      <c r="A129" s="4">
        <v>42186</v>
      </c>
      <c r="B129" s="3">
        <v>52.5</v>
      </c>
    </row>
    <row r="130" spans="1:2" x14ac:dyDescent="0.2">
      <c r="A130" s="4">
        <v>42217</v>
      </c>
      <c r="B130" s="3">
        <v>51.6</v>
      </c>
    </row>
    <row r="131" spans="1:2" x14ac:dyDescent="0.2">
      <c r="A131" s="4">
        <v>42248</v>
      </c>
      <c r="B131" s="3">
        <v>51.6</v>
      </c>
    </row>
    <row r="132" spans="1:2" x14ac:dyDescent="0.2">
      <c r="A132" s="4">
        <v>42278</v>
      </c>
      <c r="B132" s="3">
        <v>54.3</v>
      </c>
    </row>
    <row r="133" spans="1:2" x14ac:dyDescent="0.2">
      <c r="A133" s="4">
        <v>42309</v>
      </c>
      <c r="B133" s="3">
        <v>52.3</v>
      </c>
    </row>
    <row r="134" spans="1:2" x14ac:dyDescent="0.2">
      <c r="A134" s="4">
        <v>42339</v>
      </c>
      <c r="B134" s="3">
        <v>51</v>
      </c>
    </row>
    <row r="135" spans="1:2" x14ac:dyDescent="0.2">
      <c r="A135" s="4">
        <v>42370</v>
      </c>
      <c r="B135" s="3">
        <v>52.2</v>
      </c>
    </row>
    <row r="136" spans="1:2" x14ac:dyDescent="0.2">
      <c r="A136" s="4">
        <v>42401</v>
      </c>
      <c r="B136" s="3">
        <v>50.8</v>
      </c>
    </row>
    <row r="137" spans="1:2" x14ac:dyDescent="0.2">
      <c r="A137" s="4">
        <v>42430</v>
      </c>
      <c r="B137" s="3">
        <v>51.1</v>
      </c>
    </row>
    <row r="138" spans="1:2" x14ac:dyDescent="0.2">
      <c r="A138" s="4">
        <v>42461</v>
      </c>
      <c r="B138" s="3">
        <v>50</v>
      </c>
    </row>
    <row r="139" spans="1:2" x14ac:dyDescent="0.2">
      <c r="A139" s="4">
        <v>42491</v>
      </c>
      <c r="B139" s="3">
        <v>50.7</v>
      </c>
    </row>
    <row r="140" spans="1:2" x14ac:dyDescent="0.2">
      <c r="A140" s="4">
        <v>42522</v>
      </c>
      <c r="B140" s="3">
        <v>53.2</v>
      </c>
    </row>
    <row r="141" spans="1:2" x14ac:dyDescent="0.2">
      <c r="A141" s="4">
        <v>42552</v>
      </c>
      <c r="B141" s="3">
        <v>48.5</v>
      </c>
    </row>
    <row r="142" spans="1:2" x14ac:dyDescent="0.2">
      <c r="A142" s="4">
        <v>42583</v>
      </c>
      <c r="B142" s="3">
        <v>53.2</v>
      </c>
    </row>
    <row r="143" spans="1:2" x14ac:dyDescent="0.2">
      <c r="A143" s="4">
        <v>42614</v>
      </c>
      <c r="B143" s="3">
        <v>55.6</v>
      </c>
    </row>
    <row r="144" spans="1:2" x14ac:dyDescent="0.2">
      <c r="A144" s="4">
        <v>42644</v>
      </c>
      <c r="B144" s="3">
        <v>53.8</v>
      </c>
    </row>
    <row r="145" spans="1:2" x14ac:dyDescent="0.2">
      <c r="A145" s="4">
        <v>42675</v>
      </c>
      <c r="B145" s="3">
        <v>53.2</v>
      </c>
    </row>
    <row r="146" spans="1:2" x14ac:dyDescent="0.2">
      <c r="A146" s="4">
        <v>42705</v>
      </c>
      <c r="B146" s="3">
        <v>55.6</v>
      </c>
    </row>
    <row r="147" spans="1:2" x14ac:dyDescent="0.2">
      <c r="A147" s="4">
        <v>42736</v>
      </c>
      <c r="B147" s="3">
        <v>55.2</v>
      </c>
    </row>
    <row r="148" spans="1:2" x14ac:dyDescent="0.2">
      <c r="A148" s="4">
        <v>42767</v>
      </c>
      <c r="B148" s="3">
        <v>54.5</v>
      </c>
    </row>
    <row r="149" spans="1:2" x14ac:dyDescent="0.2">
      <c r="A149" s="4">
        <v>42795</v>
      </c>
      <c r="B149" s="3">
        <v>54.1</v>
      </c>
    </row>
    <row r="150" spans="1:2" x14ac:dyDescent="0.2">
      <c r="A150" s="4">
        <v>42826</v>
      </c>
      <c r="B150" s="3">
        <v>57.8</v>
      </c>
    </row>
    <row r="151" spans="1:2" x14ac:dyDescent="0.2">
      <c r="A151" s="4">
        <v>42856</v>
      </c>
      <c r="B151" s="3">
        <v>56.6</v>
      </c>
    </row>
    <row r="152" spans="1:2" x14ac:dyDescent="0.2">
      <c r="A152" s="4">
        <v>42887</v>
      </c>
      <c r="B152" s="3">
        <v>54.4</v>
      </c>
    </row>
    <row r="153" spans="1:2" x14ac:dyDescent="0.2">
      <c r="A153" s="4">
        <v>42917</v>
      </c>
      <c r="B153" s="3">
        <v>55.3</v>
      </c>
    </row>
    <row r="154" spans="1:2" x14ac:dyDescent="0.2">
      <c r="A154" s="4">
        <v>42948</v>
      </c>
      <c r="B154" s="3">
        <v>56.8</v>
      </c>
    </row>
    <row r="155" spans="1:2" x14ac:dyDescent="0.2">
      <c r="A155" s="4">
        <v>42979</v>
      </c>
      <c r="B155" s="3">
        <v>56</v>
      </c>
    </row>
    <row r="156" spans="1:2" x14ac:dyDescent="0.2">
      <c r="A156" s="4">
        <v>43009</v>
      </c>
      <c r="B156" s="3">
        <v>56.2</v>
      </c>
    </row>
    <row r="157" spans="1:2" x14ac:dyDescent="0.2">
      <c r="A157" s="4">
        <v>43040</v>
      </c>
      <c r="B157" s="3">
        <v>58.3</v>
      </c>
    </row>
    <row r="158" spans="1:2" x14ac:dyDescent="0.2">
      <c r="A158" s="4">
        <v>43070</v>
      </c>
      <c r="B158" s="3">
        <v>56</v>
      </c>
    </row>
    <row r="159" spans="1:2" x14ac:dyDescent="0.2">
      <c r="A159" s="4">
        <v>43101</v>
      </c>
      <c r="B159" s="3">
        <v>55</v>
      </c>
    </row>
    <row r="160" spans="1:2" x14ac:dyDescent="0.2">
      <c r="A160" s="4">
        <v>43132</v>
      </c>
      <c r="B160" s="3">
        <v>54.9</v>
      </c>
    </row>
    <row r="161" spans="1:2" x14ac:dyDescent="0.2">
      <c r="A161" s="4">
        <v>43160</v>
      </c>
      <c r="B161" s="3">
        <v>54.9</v>
      </c>
    </row>
    <row r="162" spans="1:2" x14ac:dyDescent="0.2">
      <c r="A162" s="4">
        <v>43191</v>
      </c>
      <c r="B162" s="3">
        <v>53.9</v>
      </c>
    </row>
    <row r="163" spans="1:2" x14ac:dyDescent="0.2">
      <c r="A163" s="4">
        <v>43221</v>
      </c>
      <c r="B163" s="3">
        <v>54.4</v>
      </c>
    </row>
    <row r="164" spans="1:2" x14ac:dyDescent="0.2">
      <c r="A164" s="4">
        <v>43252</v>
      </c>
      <c r="B164" s="3">
        <v>54.4</v>
      </c>
    </row>
    <row r="165" spans="1:2" x14ac:dyDescent="0.2">
      <c r="A165" s="4">
        <v>43282</v>
      </c>
      <c r="B165" s="3">
        <v>54</v>
      </c>
    </row>
    <row r="166" spans="1:2" x14ac:dyDescent="0.2">
      <c r="A166" s="4">
        <v>43313</v>
      </c>
      <c r="B166" s="3">
        <v>52.8</v>
      </c>
    </row>
    <row r="167" spans="1:2" x14ac:dyDescent="0.2">
      <c r="A167" s="4">
        <v>43344</v>
      </c>
      <c r="B167" s="3">
        <v>53.8</v>
      </c>
    </row>
    <row r="168" spans="1:2" x14ac:dyDescent="0.2">
      <c r="A168" s="4">
        <v>43374</v>
      </c>
      <c r="B168" s="3">
        <v>51.1</v>
      </c>
    </row>
    <row r="169" spans="1:2" x14ac:dyDescent="0.2">
      <c r="A169" s="4">
        <v>43405</v>
      </c>
      <c r="B169" s="3">
        <v>53.1</v>
      </c>
    </row>
    <row r="170" spans="1:2" x14ac:dyDescent="0.2">
      <c r="A170" s="4">
        <v>43435</v>
      </c>
      <c r="B170" s="3">
        <v>54.2</v>
      </c>
    </row>
    <row r="171" spans="1:2" x14ac:dyDescent="0.2">
      <c r="A171" s="4">
        <v>43466</v>
      </c>
      <c r="B171" s="3">
        <v>52.8</v>
      </c>
    </row>
    <row r="172" spans="1:2" x14ac:dyDescent="0.2">
      <c r="A172" s="4">
        <v>43497</v>
      </c>
      <c r="B172" s="3">
        <v>52</v>
      </c>
    </row>
    <row r="173" spans="1:2" x14ac:dyDescent="0.2">
      <c r="A173" s="4">
        <v>43525</v>
      </c>
      <c r="B173" s="3">
        <v>55.1</v>
      </c>
    </row>
    <row r="174" spans="1:2" x14ac:dyDescent="0.2">
      <c r="A174" s="4">
        <v>43556</v>
      </c>
      <c r="B174" s="3">
        <v>53.1</v>
      </c>
    </row>
    <row r="175" spans="1:2" x14ac:dyDescent="0.2">
      <c r="A175" s="4">
        <v>43586</v>
      </c>
      <c r="B175" s="3">
        <v>49.4</v>
      </c>
    </row>
    <row r="176" spans="1:2" x14ac:dyDescent="0.2">
      <c r="A176" s="4">
        <v>43617</v>
      </c>
      <c r="B176" s="3">
        <v>48</v>
      </c>
    </row>
    <row r="177" spans="1:2" x14ac:dyDescent="0.2">
      <c r="A177" s="4">
        <v>43647</v>
      </c>
      <c r="B177" s="3">
        <v>48</v>
      </c>
    </row>
    <row r="178" spans="1:2" x14ac:dyDescent="0.2">
      <c r="A178" s="4">
        <v>43678</v>
      </c>
      <c r="B178" s="3">
        <v>47.4</v>
      </c>
    </row>
    <row r="179" spans="1:2" x14ac:dyDescent="0.2">
      <c r="A179" s="4">
        <v>43709</v>
      </c>
      <c r="B179" s="3">
        <v>48.3</v>
      </c>
    </row>
    <row r="180" spans="1:2" x14ac:dyDescent="0.2">
      <c r="A180" s="4">
        <v>43739</v>
      </c>
      <c r="B180" s="3">
        <v>49.6</v>
      </c>
    </row>
    <row r="181" spans="1:2" x14ac:dyDescent="0.2">
      <c r="A181" s="4">
        <v>43770</v>
      </c>
      <c r="B181" s="3">
        <v>48.9</v>
      </c>
    </row>
    <row r="182" spans="1:2" x14ac:dyDescent="0.2">
      <c r="A182" s="4">
        <v>43800</v>
      </c>
      <c r="B182" s="3">
        <v>47.5</v>
      </c>
    </row>
    <row r="183" spans="1:2" x14ac:dyDescent="0.2">
      <c r="A183" s="4">
        <v>43831</v>
      </c>
      <c r="B183" s="3">
        <v>50</v>
      </c>
    </row>
    <row r="184" spans="1:2" x14ac:dyDescent="0.2">
      <c r="A184" s="4">
        <v>43862</v>
      </c>
      <c r="B184" s="3">
        <v>51.7</v>
      </c>
    </row>
    <row r="185" spans="1:2" x14ac:dyDescent="0.2">
      <c r="A185" s="4">
        <v>43891</v>
      </c>
      <c r="B185" s="3">
        <v>47.8</v>
      </c>
    </row>
    <row r="186" spans="1:2" x14ac:dyDescent="0.2">
      <c r="A186" s="4">
        <v>43922</v>
      </c>
      <c r="B186" s="3">
        <v>32.6</v>
      </c>
    </row>
    <row r="187" spans="1:2" x14ac:dyDescent="0.2">
      <c r="A187" s="4">
        <v>43952</v>
      </c>
      <c r="B187" s="3">
        <v>40.700000000000003</v>
      </c>
    </row>
    <row r="188" spans="1:2" x14ac:dyDescent="0.2">
      <c r="A188" s="4">
        <v>43983</v>
      </c>
      <c r="B188" s="3">
        <v>50.1</v>
      </c>
    </row>
    <row r="189" spans="1:2" x14ac:dyDescent="0.2">
      <c r="A189" s="4">
        <v>44013</v>
      </c>
      <c r="B189" s="3">
        <v>53.3</v>
      </c>
    </row>
    <row r="190" spans="1:2" x14ac:dyDescent="0.2">
      <c r="A190" s="4">
        <v>44044</v>
      </c>
      <c r="B190" s="3">
        <v>55.2</v>
      </c>
    </row>
    <row r="191" spans="1:2" x14ac:dyDescent="0.2">
      <c r="A191" s="4">
        <v>44075</v>
      </c>
      <c r="B191" s="3">
        <v>54.1</v>
      </c>
    </row>
    <row r="192" spans="1:2" x14ac:dyDescent="0.2">
      <c r="A192" s="4">
        <v>44105</v>
      </c>
      <c r="B192" s="3">
        <v>53.7</v>
      </c>
    </row>
    <row r="193" spans="1:2" x14ac:dyDescent="0.2">
      <c r="A193" s="4">
        <v>44136</v>
      </c>
      <c r="B193" s="3">
        <v>55.6</v>
      </c>
    </row>
    <row r="194" spans="1:2" x14ac:dyDescent="0.2">
      <c r="A194" s="4">
        <v>44166</v>
      </c>
      <c r="B194" s="3">
        <v>57.5</v>
      </c>
    </row>
    <row r="195" spans="1:2" x14ac:dyDescent="0.2">
      <c r="A195" s="4">
        <v>44197</v>
      </c>
      <c r="B195" s="3">
        <v>54.1</v>
      </c>
    </row>
    <row r="196" spans="1:2" x14ac:dyDescent="0.2">
      <c r="A196" s="4">
        <v>44228</v>
      </c>
      <c r="B196" s="3">
        <v>55.1</v>
      </c>
    </row>
    <row r="197" spans="1:2" x14ac:dyDescent="0.2">
      <c r="A197" s="4">
        <v>44256</v>
      </c>
      <c r="B197" s="3">
        <v>58.9</v>
      </c>
    </row>
    <row r="198" spans="1:2" x14ac:dyDescent="0.2">
      <c r="A198" s="4">
        <v>44287</v>
      </c>
      <c r="B198" s="3">
        <v>60.9</v>
      </c>
    </row>
    <row r="199" spans="1:2" x14ac:dyDescent="0.2">
      <c r="A199" s="4">
        <v>44317</v>
      </c>
      <c r="B199" s="3">
        <v>65.599999999999994</v>
      </c>
    </row>
    <row r="200" spans="1:2" x14ac:dyDescent="0.2">
      <c r="A200" s="4">
        <v>44348</v>
      </c>
      <c r="B200" s="3">
        <v>63.9</v>
      </c>
    </row>
    <row r="201" spans="1:2" x14ac:dyDescent="0.2">
      <c r="A201" s="4">
        <v>44378</v>
      </c>
      <c r="B201" s="3">
        <v>60.4</v>
      </c>
    </row>
    <row r="202" spans="1:2" x14ac:dyDescent="0.2">
      <c r="A202" s="4">
        <v>44409</v>
      </c>
      <c r="B202" s="3">
        <v>60.3</v>
      </c>
    </row>
    <row r="203" spans="1:2" x14ac:dyDescent="0.2">
      <c r="A203" s="4">
        <v>44440</v>
      </c>
      <c r="B203" s="3">
        <v>57.1</v>
      </c>
    </row>
    <row r="204" spans="1:2" x14ac:dyDescent="0.2">
      <c r="A204" s="4">
        <v>44470</v>
      </c>
      <c r="B204" s="3">
        <v>57.8</v>
      </c>
    </row>
    <row r="205" spans="1:2" x14ac:dyDescent="0.2">
      <c r="A205" s="4">
        <v>44501</v>
      </c>
      <c r="B205" s="3">
        <v>58.1</v>
      </c>
    </row>
    <row r="206" spans="1:2" x14ac:dyDescent="0.2">
      <c r="A206" s="4">
        <v>44531</v>
      </c>
      <c r="B206" s="3">
        <v>57.9</v>
      </c>
    </row>
  </sheetData>
  <conditionalFormatting sqref="B2:B206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B6CB26-F7B7-4518-A1E4-3BFF20F47284}">
  <dimension ref="A1:B182"/>
  <sheetViews>
    <sheetView zoomScale="170" zoomScaleNormal="170" workbookViewId="0">
      <pane ySplit="1" topLeftCell="A2" activePane="bottomLeft" state="frozen"/>
      <selection pane="bottomLeft" activeCell="J15" sqref="J15"/>
    </sheetView>
  </sheetViews>
  <sheetFormatPr baseColWidth="10" defaultColWidth="9.1640625" defaultRowHeight="15" x14ac:dyDescent="0.2"/>
  <cols>
    <col min="1" max="1" width="13.5" style="2" customWidth="1"/>
    <col min="2" max="2" width="11.33203125" style="2" customWidth="1"/>
    <col min="3" max="16384" width="9.1640625" style="2"/>
  </cols>
  <sheetData>
    <row r="1" spans="1:2" ht="16" thickBot="1" x14ac:dyDescent="0.25">
      <c r="A1" s="11" t="s">
        <v>0</v>
      </c>
      <c r="B1" s="12" t="s">
        <v>9</v>
      </c>
    </row>
    <row r="2" spans="1:2" x14ac:dyDescent="0.2">
      <c r="A2" s="8">
        <v>39052</v>
      </c>
      <c r="B2" s="9">
        <v>55</v>
      </c>
    </row>
    <row r="3" spans="1:2" x14ac:dyDescent="0.2">
      <c r="A3" s="4">
        <v>39083</v>
      </c>
      <c r="B3" s="3">
        <v>53.5</v>
      </c>
    </row>
    <row r="4" spans="1:2" x14ac:dyDescent="0.2">
      <c r="A4" s="4">
        <v>39114</v>
      </c>
      <c r="B4" s="3">
        <v>54.2</v>
      </c>
    </row>
    <row r="5" spans="1:2" x14ac:dyDescent="0.2">
      <c r="A5" s="4">
        <v>39142</v>
      </c>
      <c r="B5" s="3">
        <v>53.8</v>
      </c>
    </row>
    <row r="6" spans="1:2" x14ac:dyDescent="0.2">
      <c r="A6" s="4">
        <v>39173</v>
      </c>
      <c r="B6" s="3">
        <v>53.9</v>
      </c>
    </row>
    <row r="7" spans="1:2" x14ac:dyDescent="0.2">
      <c r="A7" s="4">
        <v>39203</v>
      </c>
      <c r="B7" s="3">
        <v>55</v>
      </c>
    </row>
    <row r="8" spans="1:2" x14ac:dyDescent="0.2">
      <c r="A8" s="4">
        <v>39234</v>
      </c>
      <c r="B8" s="3">
        <v>54</v>
      </c>
    </row>
    <row r="9" spans="1:2" x14ac:dyDescent="0.2">
      <c r="A9" s="4">
        <v>39264</v>
      </c>
      <c r="B9" s="3">
        <v>53.3</v>
      </c>
    </row>
    <row r="10" spans="1:2" x14ac:dyDescent="0.2">
      <c r="A10" s="4">
        <v>39295</v>
      </c>
      <c r="B10" s="3">
        <v>53.6</v>
      </c>
    </row>
    <row r="11" spans="1:2" x14ac:dyDescent="0.2">
      <c r="A11" s="4">
        <v>39326</v>
      </c>
      <c r="B11" s="3">
        <v>52.4</v>
      </c>
    </row>
    <row r="12" spans="1:2" x14ac:dyDescent="0.2">
      <c r="A12" s="4">
        <v>39356</v>
      </c>
      <c r="B12" s="3">
        <v>51.3</v>
      </c>
    </row>
    <row r="13" spans="1:2" x14ac:dyDescent="0.2">
      <c r="A13" s="4">
        <v>39387</v>
      </c>
      <c r="B13" s="3">
        <v>51.3</v>
      </c>
    </row>
    <row r="14" spans="1:2" x14ac:dyDescent="0.2">
      <c r="A14" s="4">
        <v>39417</v>
      </c>
      <c r="B14" s="3">
        <v>50.7</v>
      </c>
    </row>
    <row r="15" spans="1:2" x14ac:dyDescent="0.2">
      <c r="A15" s="4">
        <v>39448</v>
      </c>
      <c r="B15" s="3">
        <v>50.8</v>
      </c>
    </row>
    <row r="16" spans="1:2" x14ac:dyDescent="0.2">
      <c r="A16" s="4">
        <v>39479</v>
      </c>
      <c r="B16" s="3">
        <v>50.6</v>
      </c>
    </row>
    <row r="17" spans="1:2" x14ac:dyDescent="0.2">
      <c r="A17" s="4">
        <v>39508</v>
      </c>
      <c r="B17" s="3">
        <v>49.4</v>
      </c>
    </row>
    <row r="18" spans="1:2" x14ac:dyDescent="0.2">
      <c r="A18" s="4">
        <v>39539</v>
      </c>
      <c r="B18" s="3">
        <v>48.2</v>
      </c>
    </row>
    <row r="19" spans="1:2" x14ac:dyDescent="0.2">
      <c r="A19" s="4">
        <v>39569</v>
      </c>
      <c r="B19" s="3">
        <v>48</v>
      </c>
    </row>
    <row r="20" spans="1:2" x14ac:dyDescent="0.2">
      <c r="A20" s="4">
        <v>39600</v>
      </c>
      <c r="B20" s="3">
        <v>46.9</v>
      </c>
    </row>
    <row r="21" spans="1:2" x14ac:dyDescent="0.2">
      <c r="A21" s="4">
        <v>39630</v>
      </c>
      <c r="B21" s="3">
        <v>45.3</v>
      </c>
    </row>
    <row r="22" spans="1:2" x14ac:dyDescent="0.2">
      <c r="A22" s="4">
        <v>39661</v>
      </c>
      <c r="B22" s="3">
        <v>47.1</v>
      </c>
    </row>
    <row r="23" spans="1:2" x14ac:dyDescent="0.2">
      <c r="A23" s="4">
        <v>39692</v>
      </c>
      <c r="B23" s="3">
        <v>44.4</v>
      </c>
    </row>
    <row r="24" spans="1:2" x14ac:dyDescent="0.2">
      <c r="A24" s="4">
        <v>39722</v>
      </c>
      <c r="B24" s="3">
        <v>39.700000000000003</v>
      </c>
    </row>
    <row r="25" spans="1:2" x14ac:dyDescent="0.2">
      <c r="A25" s="4">
        <v>39753</v>
      </c>
      <c r="B25" s="3">
        <v>34.9</v>
      </c>
    </row>
    <row r="26" spans="1:2" x14ac:dyDescent="0.2">
      <c r="A26" s="4">
        <v>39783</v>
      </c>
      <c r="B26" s="3">
        <v>35.5</v>
      </c>
    </row>
    <row r="27" spans="1:2" x14ac:dyDescent="0.2">
      <c r="A27" s="4">
        <v>39814</v>
      </c>
      <c r="B27" s="3">
        <v>36.1</v>
      </c>
    </row>
    <row r="28" spans="1:2" x14ac:dyDescent="0.2">
      <c r="A28" s="4">
        <v>39845</v>
      </c>
      <c r="B28" s="3">
        <v>35</v>
      </c>
    </row>
    <row r="29" spans="1:2" x14ac:dyDescent="0.2">
      <c r="A29" s="4">
        <v>39873</v>
      </c>
      <c r="B29" s="3">
        <v>34.6</v>
      </c>
    </row>
    <row r="30" spans="1:2" x14ac:dyDescent="0.2">
      <c r="A30" s="4">
        <v>39904</v>
      </c>
      <c r="B30" s="3">
        <v>37.200000000000003</v>
      </c>
    </row>
    <row r="31" spans="1:2" x14ac:dyDescent="0.2">
      <c r="A31" s="4">
        <v>39934</v>
      </c>
      <c r="B31" s="3">
        <v>41.1</v>
      </c>
    </row>
    <row r="32" spans="1:2" x14ac:dyDescent="0.2">
      <c r="A32" s="4">
        <v>39965</v>
      </c>
      <c r="B32" s="3">
        <v>42.7</v>
      </c>
    </row>
    <row r="33" spans="1:2" x14ac:dyDescent="0.2">
      <c r="A33" s="4">
        <v>39995</v>
      </c>
      <c r="B33" s="3">
        <v>45.4</v>
      </c>
    </row>
    <row r="34" spans="1:2" x14ac:dyDescent="0.2">
      <c r="A34" s="4">
        <v>40026</v>
      </c>
      <c r="B34" s="3">
        <v>44.2</v>
      </c>
    </row>
    <row r="35" spans="1:2" x14ac:dyDescent="0.2">
      <c r="A35" s="4">
        <v>40057</v>
      </c>
      <c r="B35" s="3">
        <v>47.6</v>
      </c>
    </row>
    <row r="36" spans="1:2" x14ac:dyDescent="0.2">
      <c r="A36" s="4">
        <v>40087</v>
      </c>
      <c r="B36" s="3">
        <v>49.2</v>
      </c>
    </row>
    <row r="37" spans="1:2" x14ac:dyDescent="0.2">
      <c r="A37" s="4">
        <v>40118</v>
      </c>
      <c r="B37" s="3">
        <v>50.1</v>
      </c>
    </row>
    <row r="38" spans="1:2" x14ac:dyDescent="0.2">
      <c r="A38" s="4">
        <v>40148</v>
      </c>
      <c r="B38" s="3">
        <v>50.8</v>
      </c>
    </row>
    <row r="39" spans="1:2" x14ac:dyDescent="0.2">
      <c r="A39" s="4">
        <v>40179</v>
      </c>
      <c r="B39" s="3">
        <v>51.7</v>
      </c>
    </row>
    <row r="40" spans="1:2" x14ac:dyDescent="0.2">
      <c r="A40" s="4">
        <v>40210</v>
      </c>
      <c r="B40" s="3">
        <v>51.6</v>
      </c>
    </row>
    <row r="41" spans="1:2" x14ac:dyDescent="0.2">
      <c r="A41" s="4">
        <v>40238</v>
      </c>
      <c r="B41" s="3">
        <v>53.7</v>
      </c>
    </row>
    <row r="42" spans="1:2" x14ac:dyDescent="0.2">
      <c r="A42" s="4">
        <v>40269</v>
      </c>
      <c r="B42" s="3">
        <v>54.3</v>
      </c>
    </row>
    <row r="43" spans="1:2" x14ac:dyDescent="0.2">
      <c r="A43" s="4">
        <v>40299</v>
      </c>
      <c r="B43" s="3">
        <v>54</v>
      </c>
    </row>
    <row r="44" spans="1:2" x14ac:dyDescent="0.2">
      <c r="A44" s="4">
        <v>40330</v>
      </c>
      <c r="B44" s="3">
        <v>54.3</v>
      </c>
    </row>
    <row r="45" spans="1:2" x14ac:dyDescent="0.2">
      <c r="A45" s="4">
        <v>40360</v>
      </c>
      <c r="B45" s="3">
        <v>54.4</v>
      </c>
    </row>
    <row r="46" spans="1:2" x14ac:dyDescent="0.2">
      <c r="A46" s="4">
        <v>40391</v>
      </c>
      <c r="B46" s="3">
        <v>52.8</v>
      </c>
    </row>
    <row r="47" spans="1:2" x14ac:dyDescent="0.2">
      <c r="A47" s="4">
        <v>40422</v>
      </c>
      <c r="B47" s="3">
        <v>52.6</v>
      </c>
    </row>
    <row r="48" spans="1:2" x14ac:dyDescent="0.2">
      <c r="A48" s="4">
        <v>40452</v>
      </c>
      <c r="B48" s="3">
        <v>53</v>
      </c>
    </row>
    <row r="49" spans="1:2" x14ac:dyDescent="0.2">
      <c r="A49" s="4">
        <v>40483</v>
      </c>
      <c r="B49" s="3">
        <v>52</v>
      </c>
    </row>
    <row r="50" spans="1:2" x14ac:dyDescent="0.2">
      <c r="A50" s="4">
        <v>40513</v>
      </c>
      <c r="B50" s="3">
        <v>54.7</v>
      </c>
    </row>
    <row r="51" spans="1:2" x14ac:dyDescent="0.2">
      <c r="A51" s="4">
        <v>40544</v>
      </c>
      <c r="B51" s="3">
        <v>56.6</v>
      </c>
    </row>
    <row r="52" spans="1:2" x14ac:dyDescent="0.2">
      <c r="A52" s="4">
        <v>40575</v>
      </c>
      <c r="B52" s="3">
        <v>59</v>
      </c>
    </row>
    <row r="53" spans="1:2" x14ac:dyDescent="0.2">
      <c r="A53" s="4">
        <v>40603</v>
      </c>
      <c r="B53" s="3">
        <v>56.2</v>
      </c>
    </row>
    <row r="54" spans="1:2" x14ac:dyDescent="0.2">
      <c r="A54" s="4">
        <v>40634</v>
      </c>
      <c r="B54" s="3">
        <v>55.5</v>
      </c>
    </row>
    <row r="55" spans="1:2" x14ac:dyDescent="0.2">
      <c r="A55" s="4">
        <v>40664</v>
      </c>
      <c r="B55" s="3">
        <v>52.8</v>
      </c>
    </row>
    <row r="56" spans="1:2" x14ac:dyDescent="0.2">
      <c r="A56" s="4">
        <v>40695</v>
      </c>
      <c r="B56" s="3">
        <v>49.9</v>
      </c>
    </row>
    <row r="57" spans="1:2" x14ac:dyDescent="0.2">
      <c r="A57" s="4">
        <v>40725</v>
      </c>
      <c r="B57" s="3">
        <v>50.1</v>
      </c>
    </row>
    <row r="58" spans="1:2" x14ac:dyDescent="0.2">
      <c r="A58" s="4">
        <v>40756</v>
      </c>
      <c r="B58" s="3">
        <v>47</v>
      </c>
    </row>
    <row r="59" spans="1:2" x14ac:dyDescent="0.2">
      <c r="A59" s="4">
        <v>40787</v>
      </c>
      <c r="B59" s="3">
        <v>48.3</v>
      </c>
    </row>
    <row r="60" spans="1:2" x14ac:dyDescent="0.2">
      <c r="A60" s="4">
        <v>40817</v>
      </c>
      <c r="B60" s="3">
        <v>43.3</v>
      </c>
    </row>
    <row r="61" spans="1:2" x14ac:dyDescent="0.2">
      <c r="A61" s="4">
        <v>40848</v>
      </c>
      <c r="B61" s="3">
        <v>44</v>
      </c>
    </row>
    <row r="62" spans="1:2" x14ac:dyDescent="0.2">
      <c r="A62" s="4">
        <v>40878</v>
      </c>
      <c r="B62" s="3">
        <v>44.3</v>
      </c>
    </row>
    <row r="63" spans="1:2" x14ac:dyDescent="0.2">
      <c r="A63" s="4">
        <v>40909</v>
      </c>
      <c r="B63" s="3">
        <v>46.8</v>
      </c>
    </row>
    <row r="64" spans="1:2" x14ac:dyDescent="0.2">
      <c r="A64" s="4">
        <v>40940</v>
      </c>
      <c r="B64" s="3">
        <v>47.8</v>
      </c>
    </row>
    <row r="65" spans="1:2" x14ac:dyDescent="0.2">
      <c r="A65" s="4">
        <v>40969</v>
      </c>
      <c r="B65" s="3">
        <v>47.9</v>
      </c>
    </row>
    <row r="66" spans="1:2" x14ac:dyDescent="0.2">
      <c r="A66" s="4">
        <v>41000</v>
      </c>
      <c r="B66" s="3">
        <v>43.8</v>
      </c>
    </row>
    <row r="67" spans="1:2" x14ac:dyDescent="0.2">
      <c r="A67" s="4">
        <v>41030</v>
      </c>
      <c r="B67" s="3">
        <v>44.8</v>
      </c>
    </row>
    <row r="68" spans="1:2" x14ac:dyDescent="0.2">
      <c r="A68" s="4">
        <v>41061</v>
      </c>
      <c r="B68" s="3">
        <v>44.6</v>
      </c>
    </row>
    <row r="69" spans="1:2" x14ac:dyDescent="0.2">
      <c r="A69" s="4">
        <v>41091</v>
      </c>
      <c r="B69" s="3">
        <v>44.3</v>
      </c>
    </row>
    <row r="70" spans="1:2" x14ac:dyDescent="0.2">
      <c r="A70" s="4">
        <v>41122</v>
      </c>
      <c r="B70" s="3">
        <v>43.6</v>
      </c>
    </row>
    <row r="71" spans="1:2" x14ac:dyDescent="0.2">
      <c r="A71" s="4">
        <v>41153</v>
      </c>
      <c r="B71" s="3">
        <v>45.7</v>
      </c>
    </row>
    <row r="72" spans="1:2" x14ac:dyDescent="0.2">
      <c r="A72" s="4">
        <v>41183</v>
      </c>
      <c r="B72" s="3">
        <v>45.5</v>
      </c>
    </row>
    <row r="73" spans="1:2" x14ac:dyDescent="0.2">
      <c r="A73" s="4">
        <v>41214</v>
      </c>
      <c r="B73" s="3">
        <v>45.1</v>
      </c>
    </row>
    <row r="74" spans="1:2" x14ac:dyDescent="0.2">
      <c r="A74" s="4">
        <v>41244</v>
      </c>
      <c r="B74" s="3">
        <v>46.7</v>
      </c>
    </row>
    <row r="75" spans="1:2" x14ac:dyDescent="0.2">
      <c r="A75" s="4">
        <v>41275</v>
      </c>
      <c r="B75" s="3">
        <v>47.8</v>
      </c>
    </row>
    <row r="76" spans="1:2" x14ac:dyDescent="0.2">
      <c r="A76" s="4">
        <v>41306</v>
      </c>
      <c r="B76" s="3">
        <v>45.8</v>
      </c>
    </row>
    <row r="77" spans="1:2" x14ac:dyDescent="0.2">
      <c r="A77" s="4">
        <v>41334</v>
      </c>
      <c r="B77" s="3">
        <v>44.5</v>
      </c>
    </row>
    <row r="78" spans="1:2" x14ac:dyDescent="0.2">
      <c r="A78" s="4">
        <v>41365</v>
      </c>
      <c r="B78" s="3">
        <v>45.5</v>
      </c>
    </row>
    <row r="79" spans="1:2" x14ac:dyDescent="0.2">
      <c r="A79" s="4">
        <v>41395</v>
      </c>
      <c r="B79" s="3">
        <v>47.3</v>
      </c>
    </row>
    <row r="80" spans="1:2" x14ac:dyDescent="0.2">
      <c r="A80" s="4">
        <v>41426</v>
      </c>
      <c r="B80" s="3">
        <v>49.1</v>
      </c>
    </row>
    <row r="81" spans="1:2" x14ac:dyDescent="0.2">
      <c r="A81" s="4">
        <v>41456</v>
      </c>
      <c r="B81" s="3">
        <v>50.4</v>
      </c>
    </row>
    <row r="82" spans="1:2" x14ac:dyDescent="0.2">
      <c r="A82" s="4">
        <v>41487</v>
      </c>
      <c r="B82" s="3">
        <v>51.3</v>
      </c>
    </row>
    <row r="83" spans="1:2" x14ac:dyDescent="0.2">
      <c r="A83" s="4">
        <v>41518</v>
      </c>
      <c r="B83" s="3">
        <v>50.8</v>
      </c>
    </row>
    <row r="84" spans="1:2" x14ac:dyDescent="0.2">
      <c r="A84" s="4">
        <v>41548</v>
      </c>
      <c r="B84" s="3">
        <v>50.7</v>
      </c>
    </row>
    <row r="85" spans="1:2" x14ac:dyDescent="0.2">
      <c r="A85" s="4">
        <v>41579</v>
      </c>
      <c r="B85" s="3">
        <v>51.4</v>
      </c>
    </row>
    <row r="86" spans="1:2" x14ac:dyDescent="0.2">
      <c r="A86" s="4">
        <v>41609</v>
      </c>
      <c r="B86" s="3">
        <v>53.3</v>
      </c>
    </row>
    <row r="87" spans="1:2" x14ac:dyDescent="0.2">
      <c r="A87" s="4">
        <v>41640</v>
      </c>
      <c r="B87" s="3">
        <v>53.1</v>
      </c>
    </row>
    <row r="88" spans="1:2" x14ac:dyDescent="0.2">
      <c r="A88" s="4">
        <v>41671</v>
      </c>
      <c r="B88" s="3">
        <v>52.3</v>
      </c>
    </row>
    <row r="89" spans="1:2" x14ac:dyDescent="0.2">
      <c r="A89" s="4">
        <v>41699</v>
      </c>
      <c r="B89" s="3">
        <v>52.4</v>
      </c>
    </row>
    <row r="90" spans="1:2" x14ac:dyDescent="0.2">
      <c r="A90" s="4">
        <v>41730</v>
      </c>
      <c r="B90" s="3">
        <v>54</v>
      </c>
    </row>
    <row r="91" spans="1:2" x14ac:dyDescent="0.2">
      <c r="A91" s="4">
        <v>41760</v>
      </c>
      <c r="B91" s="3">
        <v>53.2</v>
      </c>
    </row>
    <row r="92" spans="1:2" x14ac:dyDescent="0.2">
      <c r="A92" s="4">
        <v>41791</v>
      </c>
      <c r="B92" s="3">
        <v>52.6</v>
      </c>
    </row>
    <row r="93" spans="1:2" x14ac:dyDescent="0.2">
      <c r="A93" s="4">
        <v>41821</v>
      </c>
      <c r="B93" s="3">
        <v>51.9</v>
      </c>
    </row>
    <row r="94" spans="1:2" x14ac:dyDescent="0.2">
      <c r="A94" s="4">
        <v>41852</v>
      </c>
      <c r="B94" s="3">
        <v>49.8</v>
      </c>
    </row>
    <row r="95" spans="1:2" x14ac:dyDescent="0.2">
      <c r="A95" s="4">
        <v>41883</v>
      </c>
      <c r="B95" s="3">
        <v>50.7</v>
      </c>
    </row>
    <row r="96" spans="1:2" x14ac:dyDescent="0.2">
      <c r="A96" s="4">
        <v>41913</v>
      </c>
      <c r="B96" s="3">
        <v>49</v>
      </c>
    </row>
    <row r="97" spans="1:2" x14ac:dyDescent="0.2">
      <c r="A97" s="4">
        <v>41944</v>
      </c>
      <c r="B97" s="3">
        <v>49</v>
      </c>
    </row>
    <row r="98" spans="1:2" x14ac:dyDescent="0.2">
      <c r="A98" s="4">
        <v>41974</v>
      </c>
      <c r="B98" s="3">
        <v>48.4</v>
      </c>
    </row>
    <row r="99" spans="1:2" x14ac:dyDescent="0.2">
      <c r="A99" s="4">
        <v>42005</v>
      </c>
      <c r="B99" s="3">
        <v>49.9</v>
      </c>
    </row>
    <row r="100" spans="1:2" x14ac:dyDescent="0.2">
      <c r="A100" s="4">
        <v>42036</v>
      </c>
      <c r="B100" s="3">
        <v>51.9</v>
      </c>
    </row>
    <row r="101" spans="1:2" x14ac:dyDescent="0.2">
      <c r="A101" s="4">
        <v>42064</v>
      </c>
      <c r="B101" s="3">
        <v>53.3</v>
      </c>
    </row>
    <row r="102" spans="1:2" x14ac:dyDescent="0.2">
      <c r="A102" s="4">
        <v>42095</v>
      </c>
      <c r="B102" s="3">
        <v>53.8</v>
      </c>
    </row>
    <row r="103" spans="1:2" x14ac:dyDescent="0.2">
      <c r="A103" s="4">
        <v>42125</v>
      </c>
      <c r="B103" s="3">
        <v>54.8</v>
      </c>
    </row>
    <row r="104" spans="1:2" x14ac:dyDescent="0.2">
      <c r="A104" s="4">
        <v>42156</v>
      </c>
      <c r="B104" s="3">
        <v>54.1</v>
      </c>
    </row>
    <row r="105" spans="1:2" x14ac:dyDescent="0.2">
      <c r="A105" s="4">
        <v>42186</v>
      </c>
      <c r="B105" s="3">
        <v>55.3</v>
      </c>
    </row>
    <row r="106" spans="1:2" x14ac:dyDescent="0.2">
      <c r="A106" s="4">
        <v>42217</v>
      </c>
      <c r="B106" s="3">
        <v>53.8</v>
      </c>
    </row>
    <row r="107" spans="1:2" x14ac:dyDescent="0.2">
      <c r="A107" s="4">
        <v>42248</v>
      </c>
      <c r="B107" s="3">
        <v>52.7</v>
      </c>
    </row>
    <row r="108" spans="1:2" x14ac:dyDescent="0.2">
      <c r="A108" s="4">
        <v>42278</v>
      </c>
      <c r="B108" s="3">
        <v>54.1</v>
      </c>
    </row>
    <row r="109" spans="1:2" x14ac:dyDescent="0.2">
      <c r="A109" s="4">
        <v>42309</v>
      </c>
      <c r="B109" s="3">
        <v>54.9</v>
      </c>
    </row>
    <row r="110" spans="1:2" x14ac:dyDescent="0.2">
      <c r="A110" s="4">
        <v>42339</v>
      </c>
      <c r="B110" s="3">
        <v>55.6</v>
      </c>
    </row>
    <row r="111" spans="1:2" x14ac:dyDescent="0.2">
      <c r="A111" s="4">
        <v>42370</v>
      </c>
      <c r="B111" s="3">
        <v>53.2</v>
      </c>
    </row>
    <row r="112" spans="1:2" x14ac:dyDescent="0.2">
      <c r="A112" s="4">
        <v>42401</v>
      </c>
      <c r="B112" s="3">
        <v>52.2</v>
      </c>
    </row>
    <row r="113" spans="1:2" x14ac:dyDescent="0.2">
      <c r="A113" s="4">
        <v>42430</v>
      </c>
      <c r="B113" s="3">
        <v>53.5</v>
      </c>
    </row>
    <row r="114" spans="1:2" x14ac:dyDescent="0.2">
      <c r="A114" s="4">
        <v>42461</v>
      </c>
      <c r="B114" s="3">
        <v>53.9</v>
      </c>
    </row>
    <row r="115" spans="1:2" x14ac:dyDescent="0.2">
      <c r="A115" s="4">
        <v>42491</v>
      </c>
      <c r="B115" s="3">
        <v>52.4</v>
      </c>
    </row>
    <row r="116" spans="1:2" x14ac:dyDescent="0.2">
      <c r="A116" s="4">
        <v>42522</v>
      </c>
      <c r="B116" s="3">
        <v>53.5</v>
      </c>
    </row>
    <row r="117" spans="1:2" x14ac:dyDescent="0.2">
      <c r="A117" s="4">
        <v>42552</v>
      </c>
      <c r="B117" s="3">
        <v>51.2</v>
      </c>
    </row>
    <row r="118" spans="1:2" x14ac:dyDescent="0.2">
      <c r="A118" s="4">
        <v>42583</v>
      </c>
      <c r="B118" s="3">
        <v>49.8</v>
      </c>
    </row>
    <row r="119" spans="1:2" x14ac:dyDescent="0.2">
      <c r="A119" s="4">
        <v>42614</v>
      </c>
      <c r="B119" s="3">
        <v>51</v>
      </c>
    </row>
    <row r="120" spans="1:2" x14ac:dyDescent="0.2">
      <c r="A120" s="4">
        <v>42644</v>
      </c>
      <c r="B120" s="3">
        <v>50.9</v>
      </c>
    </row>
    <row r="121" spans="1:2" x14ac:dyDescent="0.2">
      <c r="A121" s="4">
        <v>42675</v>
      </c>
      <c r="B121" s="3">
        <v>52.2</v>
      </c>
    </row>
    <row r="122" spans="1:2" x14ac:dyDescent="0.2">
      <c r="A122" s="4">
        <v>42705</v>
      </c>
      <c r="B122" s="3">
        <v>53.2</v>
      </c>
    </row>
    <row r="123" spans="1:2" x14ac:dyDescent="0.2">
      <c r="A123" s="4">
        <v>42736</v>
      </c>
      <c r="B123" s="3">
        <v>53</v>
      </c>
    </row>
    <row r="124" spans="1:2" x14ac:dyDescent="0.2">
      <c r="A124" s="4">
        <v>42767</v>
      </c>
      <c r="B124" s="3">
        <v>55</v>
      </c>
    </row>
    <row r="125" spans="1:2" x14ac:dyDescent="0.2">
      <c r="A125" s="4">
        <v>42795</v>
      </c>
      <c r="B125" s="3">
        <v>55.7</v>
      </c>
    </row>
    <row r="126" spans="1:2" x14ac:dyDescent="0.2">
      <c r="A126" s="4">
        <v>42826</v>
      </c>
      <c r="B126" s="3">
        <v>56.2</v>
      </c>
    </row>
    <row r="127" spans="1:2" x14ac:dyDescent="0.2">
      <c r="A127" s="4">
        <v>42856</v>
      </c>
      <c r="B127" s="3">
        <v>55.1</v>
      </c>
    </row>
    <row r="128" spans="1:2" x14ac:dyDescent="0.2">
      <c r="A128" s="4">
        <v>42887</v>
      </c>
      <c r="B128" s="3">
        <v>55.2</v>
      </c>
    </row>
    <row r="129" spans="1:2" x14ac:dyDescent="0.2">
      <c r="A129" s="4">
        <v>42917</v>
      </c>
      <c r="B129" s="3">
        <v>55.1</v>
      </c>
    </row>
    <row r="130" spans="1:2" x14ac:dyDescent="0.2">
      <c r="A130" s="4">
        <v>42948</v>
      </c>
      <c r="B130" s="3">
        <v>56.3</v>
      </c>
    </row>
    <row r="131" spans="1:2" x14ac:dyDescent="0.2">
      <c r="A131" s="4">
        <v>42979</v>
      </c>
      <c r="B131" s="3">
        <v>56.3</v>
      </c>
    </row>
    <row r="132" spans="1:2" x14ac:dyDescent="0.2">
      <c r="A132" s="4">
        <v>43009</v>
      </c>
      <c r="B132" s="3">
        <v>57.8</v>
      </c>
    </row>
    <row r="133" spans="1:2" x14ac:dyDescent="0.2">
      <c r="A133" s="4">
        <v>43040</v>
      </c>
      <c r="B133" s="3">
        <v>58.3</v>
      </c>
    </row>
    <row r="134" spans="1:2" x14ac:dyDescent="0.2">
      <c r="A134" s="4">
        <v>43070</v>
      </c>
      <c r="B134" s="3">
        <v>57.4</v>
      </c>
    </row>
    <row r="135" spans="1:2" x14ac:dyDescent="0.2">
      <c r="A135" s="4">
        <v>43101</v>
      </c>
      <c r="B135" s="3">
        <v>59</v>
      </c>
    </row>
    <row r="136" spans="1:2" x14ac:dyDescent="0.2">
      <c r="A136" s="4">
        <v>43132</v>
      </c>
      <c r="B136" s="3">
        <v>56.8</v>
      </c>
    </row>
    <row r="137" spans="1:2" x14ac:dyDescent="0.2">
      <c r="A137" s="4">
        <v>43160</v>
      </c>
      <c r="B137" s="3">
        <v>55.1</v>
      </c>
    </row>
    <row r="138" spans="1:2" x14ac:dyDescent="0.2">
      <c r="A138" s="4">
        <v>43191</v>
      </c>
      <c r="B138" s="3">
        <v>53.5</v>
      </c>
    </row>
    <row r="139" spans="1:2" x14ac:dyDescent="0.2">
      <c r="A139" s="4">
        <v>43221</v>
      </c>
      <c r="B139" s="3">
        <v>52.7</v>
      </c>
    </row>
    <row r="140" spans="1:2" x14ac:dyDescent="0.2">
      <c r="A140" s="4">
        <v>43252</v>
      </c>
      <c r="B140" s="3">
        <v>53.3</v>
      </c>
    </row>
    <row r="141" spans="1:2" x14ac:dyDescent="0.2">
      <c r="A141" s="4">
        <v>43282</v>
      </c>
      <c r="B141" s="3">
        <v>51.5</v>
      </c>
    </row>
    <row r="142" spans="1:2" x14ac:dyDescent="0.2">
      <c r="A142" s="4">
        <v>43313</v>
      </c>
      <c r="B142" s="3">
        <v>50.1</v>
      </c>
    </row>
    <row r="143" spans="1:2" x14ac:dyDescent="0.2">
      <c r="A143" s="4">
        <v>43344</v>
      </c>
      <c r="B143" s="3">
        <v>50</v>
      </c>
    </row>
    <row r="144" spans="1:2" x14ac:dyDescent="0.2">
      <c r="A144" s="4">
        <v>43374</v>
      </c>
      <c r="B144" s="3">
        <v>49.2</v>
      </c>
    </row>
    <row r="145" spans="1:2" x14ac:dyDescent="0.2">
      <c r="A145" s="4">
        <v>43405</v>
      </c>
      <c r="B145" s="3">
        <v>48.6</v>
      </c>
    </row>
    <row r="146" spans="1:2" x14ac:dyDescent="0.2">
      <c r="A146" s="4">
        <v>43435</v>
      </c>
      <c r="B146" s="3">
        <v>49.2</v>
      </c>
    </row>
    <row r="147" spans="1:2" x14ac:dyDescent="0.2">
      <c r="A147" s="4">
        <v>43466</v>
      </c>
      <c r="B147" s="3">
        <v>47.8</v>
      </c>
    </row>
    <row r="148" spans="1:2" x14ac:dyDescent="0.2">
      <c r="A148" s="4">
        <v>43497</v>
      </c>
      <c r="B148" s="3">
        <v>47.7</v>
      </c>
    </row>
    <row r="149" spans="1:2" x14ac:dyDescent="0.2">
      <c r="A149" s="4">
        <v>43525</v>
      </c>
      <c r="B149" s="3">
        <v>47.4</v>
      </c>
    </row>
    <row r="150" spans="1:2" x14ac:dyDescent="0.2">
      <c r="A150" s="4">
        <v>43556</v>
      </c>
      <c r="B150" s="3">
        <v>49.1</v>
      </c>
    </row>
    <row r="151" spans="1:2" x14ac:dyDescent="0.2">
      <c r="A151" s="4">
        <v>43586</v>
      </c>
      <c r="B151" s="3">
        <v>49.7</v>
      </c>
    </row>
    <row r="152" spans="1:2" x14ac:dyDescent="0.2">
      <c r="A152" s="4">
        <v>43617</v>
      </c>
      <c r="B152" s="3">
        <v>48.4</v>
      </c>
    </row>
    <row r="153" spans="1:2" x14ac:dyDescent="0.2">
      <c r="A153" s="4">
        <v>43647</v>
      </c>
      <c r="B153" s="3">
        <v>48.5</v>
      </c>
    </row>
    <row r="154" spans="1:2" x14ac:dyDescent="0.2">
      <c r="A154" s="4">
        <v>43678</v>
      </c>
      <c r="B154" s="3">
        <v>48.7</v>
      </c>
    </row>
    <row r="155" spans="1:2" x14ac:dyDescent="0.2">
      <c r="A155" s="4">
        <v>43709</v>
      </c>
      <c r="B155" s="3">
        <v>47.8</v>
      </c>
    </row>
    <row r="156" spans="1:2" x14ac:dyDescent="0.2">
      <c r="A156" s="4">
        <v>43739</v>
      </c>
      <c r="B156" s="3">
        <v>47.7</v>
      </c>
    </row>
    <row r="157" spans="1:2" x14ac:dyDescent="0.2">
      <c r="A157" s="4">
        <v>43770</v>
      </c>
      <c r="B157" s="3">
        <v>47.6</v>
      </c>
    </row>
    <row r="158" spans="1:2" x14ac:dyDescent="0.2">
      <c r="A158" s="4">
        <v>43800</v>
      </c>
      <c r="B158" s="3">
        <v>46.2</v>
      </c>
    </row>
    <row r="159" spans="1:2" x14ac:dyDescent="0.2">
      <c r="A159" s="4">
        <v>43831</v>
      </c>
      <c r="B159" s="3">
        <v>48.9</v>
      </c>
    </row>
    <row r="160" spans="1:2" x14ac:dyDescent="0.2">
      <c r="A160" s="4">
        <v>43862</v>
      </c>
      <c r="B160" s="3">
        <v>48.7</v>
      </c>
    </row>
    <row r="161" spans="1:2" x14ac:dyDescent="0.2">
      <c r="A161" s="4">
        <v>43891</v>
      </c>
      <c r="B161" s="3">
        <v>40.299999999999997</v>
      </c>
    </row>
    <row r="162" spans="1:2" x14ac:dyDescent="0.2">
      <c r="A162" s="4">
        <v>43922</v>
      </c>
      <c r="B162" s="3">
        <v>31.1</v>
      </c>
    </row>
    <row r="163" spans="1:2" x14ac:dyDescent="0.2">
      <c r="A163" s="4">
        <v>43952</v>
      </c>
      <c r="B163" s="3">
        <v>45.4</v>
      </c>
    </row>
    <row r="164" spans="1:2" x14ac:dyDescent="0.2">
      <c r="A164" s="4">
        <v>43983</v>
      </c>
      <c r="B164" s="3">
        <v>47.5</v>
      </c>
    </row>
    <row r="165" spans="1:2" x14ac:dyDescent="0.2">
      <c r="A165" s="4">
        <v>44013</v>
      </c>
      <c r="B165" s="3">
        <v>51.9</v>
      </c>
    </row>
    <row r="166" spans="1:2" x14ac:dyDescent="0.2">
      <c r="A166" s="4">
        <v>44044</v>
      </c>
      <c r="B166" s="3">
        <v>53.1</v>
      </c>
    </row>
    <row r="167" spans="1:2" x14ac:dyDescent="0.2">
      <c r="A167" s="4">
        <v>44075</v>
      </c>
      <c r="B167" s="3">
        <v>53.2</v>
      </c>
    </row>
    <row r="168" spans="1:2" x14ac:dyDescent="0.2">
      <c r="A168" s="4">
        <v>44105</v>
      </c>
      <c r="B168" s="3">
        <v>53.8</v>
      </c>
    </row>
    <row r="169" spans="1:2" x14ac:dyDescent="0.2">
      <c r="A169" s="4">
        <v>44136</v>
      </c>
      <c r="B169" s="3">
        <v>51.5</v>
      </c>
    </row>
    <row r="170" spans="1:2" x14ac:dyDescent="0.2">
      <c r="A170" s="4">
        <v>44166</v>
      </c>
      <c r="B170" s="3">
        <v>52.8</v>
      </c>
    </row>
    <row r="171" spans="1:2" x14ac:dyDescent="0.2">
      <c r="A171" s="4">
        <v>44197</v>
      </c>
      <c r="B171" s="3">
        <v>55.1</v>
      </c>
    </row>
    <row r="172" spans="1:2" x14ac:dyDescent="0.2">
      <c r="A172" s="4">
        <v>44228</v>
      </c>
      <c r="B172" s="3">
        <v>56.9</v>
      </c>
    </row>
    <row r="173" spans="1:2" x14ac:dyDescent="0.2">
      <c r="A173" s="4">
        <v>44256</v>
      </c>
      <c r="B173" s="3">
        <v>59.8</v>
      </c>
    </row>
    <row r="174" spans="1:2" x14ac:dyDescent="0.2">
      <c r="A174" s="4">
        <v>44287</v>
      </c>
      <c r="B174" s="3">
        <v>60.7</v>
      </c>
    </row>
    <row r="175" spans="1:2" x14ac:dyDescent="0.2">
      <c r="A175" s="4">
        <v>44317</v>
      </c>
      <c r="B175" s="3">
        <v>62.3</v>
      </c>
    </row>
    <row r="176" spans="1:2" x14ac:dyDescent="0.2">
      <c r="A176" s="4">
        <v>44348</v>
      </c>
      <c r="B176" s="3">
        <v>62.2</v>
      </c>
    </row>
    <row r="177" spans="1:2" x14ac:dyDescent="0.2">
      <c r="A177" s="4">
        <v>44378</v>
      </c>
      <c r="B177" s="3">
        <v>60.3</v>
      </c>
    </row>
    <row r="178" spans="1:2" x14ac:dyDescent="0.2">
      <c r="A178" s="4">
        <v>44409</v>
      </c>
      <c r="B178" s="3">
        <v>60.9</v>
      </c>
    </row>
    <row r="179" spans="1:2" x14ac:dyDescent="0.2">
      <c r="A179" s="4">
        <v>44440</v>
      </c>
      <c r="B179" s="3">
        <v>59.7</v>
      </c>
    </row>
    <row r="180" spans="1:2" x14ac:dyDescent="0.2">
      <c r="A180" s="4">
        <v>44470</v>
      </c>
      <c r="B180" s="3">
        <v>61.1</v>
      </c>
    </row>
    <row r="181" spans="1:2" x14ac:dyDescent="0.2">
      <c r="A181" s="4">
        <v>44501</v>
      </c>
      <c r="B181" s="3">
        <v>62.8</v>
      </c>
    </row>
    <row r="182" spans="1:2" x14ac:dyDescent="0.2">
      <c r="A182" s="4">
        <v>44531</v>
      </c>
      <c r="B182" s="3">
        <v>62</v>
      </c>
    </row>
  </sheetData>
  <conditionalFormatting sqref="B2:B18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2D2B4C-5844-425A-A47B-0232C199FAC4}">
  <dimension ref="A1:B182"/>
  <sheetViews>
    <sheetView zoomScale="170" zoomScaleNormal="170" workbookViewId="0">
      <pane ySplit="1" topLeftCell="A2" activePane="bottomLeft" state="frozen"/>
      <selection pane="bottomLeft" activeCell="D168" sqref="D168"/>
    </sheetView>
  </sheetViews>
  <sheetFormatPr baseColWidth="10" defaultColWidth="9.1640625" defaultRowHeight="15" x14ac:dyDescent="0.2"/>
  <cols>
    <col min="1" max="1" width="13.5" style="2" customWidth="1"/>
    <col min="2" max="2" width="11.33203125" style="2" customWidth="1"/>
    <col min="3" max="16384" width="9.1640625" style="2"/>
  </cols>
  <sheetData>
    <row r="1" spans="1:2" ht="16" thickBot="1" x14ac:dyDescent="0.25">
      <c r="A1" s="11" t="s">
        <v>0</v>
      </c>
      <c r="B1" s="12" t="s">
        <v>10</v>
      </c>
    </row>
    <row r="2" spans="1:2" x14ac:dyDescent="0.2">
      <c r="A2" s="8">
        <v>39052</v>
      </c>
      <c r="B2" s="9">
        <v>57.2</v>
      </c>
    </row>
    <row r="3" spans="1:2" x14ac:dyDescent="0.2">
      <c r="A3" s="4">
        <v>39083</v>
      </c>
      <c r="B3" s="3">
        <v>56.2</v>
      </c>
    </row>
    <row r="4" spans="1:2" x14ac:dyDescent="0.2">
      <c r="A4" s="4">
        <v>39114</v>
      </c>
      <c r="B4" s="3">
        <v>56.2</v>
      </c>
    </row>
    <row r="5" spans="1:2" x14ac:dyDescent="0.2">
      <c r="A5" s="4">
        <v>39142</v>
      </c>
      <c r="B5" s="3">
        <v>55.4</v>
      </c>
    </row>
    <row r="6" spans="1:2" x14ac:dyDescent="0.2">
      <c r="A6" s="4">
        <v>39173</v>
      </c>
      <c r="B6" s="3">
        <v>56</v>
      </c>
    </row>
    <row r="7" spans="1:2" x14ac:dyDescent="0.2">
      <c r="A7" s="4">
        <v>39203</v>
      </c>
      <c r="B7" s="3">
        <v>53.3</v>
      </c>
    </row>
    <row r="8" spans="1:2" x14ac:dyDescent="0.2">
      <c r="A8" s="4">
        <v>39234</v>
      </c>
      <c r="B8" s="3">
        <v>55.1</v>
      </c>
    </row>
    <row r="9" spans="1:2" x14ac:dyDescent="0.2">
      <c r="A9" s="4">
        <v>39264</v>
      </c>
      <c r="B9" s="3">
        <v>53.2</v>
      </c>
    </row>
    <row r="10" spans="1:2" x14ac:dyDescent="0.2">
      <c r="A10" s="4">
        <v>39295</v>
      </c>
      <c r="B10" s="3">
        <v>52.2</v>
      </c>
    </row>
    <row r="11" spans="1:2" x14ac:dyDescent="0.2">
      <c r="A11" s="4">
        <v>39326</v>
      </c>
      <c r="B11" s="3">
        <v>50.8</v>
      </c>
    </row>
    <row r="12" spans="1:2" x14ac:dyDescent="0.2">
      <c r="A12" s="4">
        <v>39356</v>
      </c>
      <c r="B12" s="3">
        <v>49.6</v>
      </c>
    </row>
    <row r="13" spans="1:2" x14ac:dyDescent="0.2">
      <c r="A13" s="4">
        <v>39387</v>
      </c>
      <c r="B13" s="3">
        <v>50.7</v>
      </c>
    </row>
    <row r="14" spans="1:2" x14ac:dyDescent="0.2">
      <c r="A14" s="4">
        <v>39417</v>
      </c>
      <c r="B14" s="3">
        <v>49.5</v>
      </c>
    </row>
    <row r="15" spans="1:2" x14ac:dyDescent="0.2">
      <c r="A15" s="4">
        <v>39448</v>
      </c>
      <c r="B15" s="3">
        <v>49.8</v>
      </c>
    </row>
    <row r="16" spans="1:2" x14ac:dyDescent="0.2">
      <c r="A16" s="4">
        <v>39479</v>
      </c>
      <c r="B16" s="3">
        <v>46.7</v>
      </c>
    </row>
    <row r="17" spans="1:2" x14ac:dyDescent="0.2">
      <c r="A17" s="4">
        <v>39508</v>
      </c>
      <c r="B17" s="3">
        <v>46.4</v>
      </c>
    </row>
    <row r="18" spans="1:2" x14ac:dyDescent="0.2">
      <c r="A18" s="4">
        <v>39539</v>
      </c>
      <c r="B18" s="3">
        <v>45.2</v>
      </c>
    </row>
    <row r="19" spans="1:2" x14ac:dyDescent="0.2">
      <c r="A19" s="4">
        <v>39569</v>
      </c>
      <c r="B19" s="3">
        <v>43.8</v>
      </c>
    </row>
    <row r="20" spans="1:2" x14ac:dyDescent="0.2">
      <c r="A20" s="4">
        <v>39600</v>
      </c>
      <c r="B20" s="3">
        <v>40.6</v>
      </c>
    </row>
    <row r="21" spans="1:2" x14ac:dyDescent="0.2">
      <c r="A21" s="4">
        <v>39630</v>
      </c>
      <c r="B21" s="3">
        <v>39.200000000000003</v>
      </c>
    </row>
    <row r="22" spans="1:2" x14ac:dyDescent="0.2">
      <c r="A22" s="4">
        <v>39661</v>
      </c>
      <c r="B22" s="3">
        <v>42.4</v>
      </c>
    </row>
    <row r="23" spans="1:2" x14ac:dyDescent="0.2">
      <c r="A23" s="4">
        <v>39692</v>
      </c>
      <c r="B23" s="3">
        <v>38.299999999999997</v>
      </c>
    </row>
    <row r="24" spans="1:2" x14ac:dyDescent="0.2">
      <c r="A24" s="4">
        <v>39722</v>
      </c>
      <c r="B24" s="3">
        <v>34.6</v>
      </c>
    </row>
    <row r="25" spans="1:2" x14ac:dyDescent="0.2">
      <c r="A25" s="4">
        <v>39753</v>
      </c>
      <c r="B25" s="3">
        <v>29.4</v>
      </c>
    </row>
    <row r="26" spans="1:2" x14ac:dyDescent="0.2">
      <c r="A26" s="4">
        <v>39783</v>
      </c>
      <c r="B26" s="3">
        <v>28.5</v>
      </c>
    </row>
    <row r="27" spans="1:2" x14ac:dyDescent="0.2">
      <c r="A27" s="4">
        <v>39814</v>
      </c>
      <c r="B27" s="3">
        <v>31.5</v>
      </c>
    </row>
    <row r="28" spans="1:2" x14ac:dyDescent="0.2">
      <c r="A28" s="4">
        <v>39845</v>
      </c>
      <c r="B28" s="3">
        <v>31.8</v>
      </c>
    </row>
    <row r="29" spans="1:2" x14ac:dyDescent="0.2">
      <c r="A29" s="4">
        <v>39873</v>
      </c>
      <c r="B29" s="3">
        <v>32.9</v>
      </c>
    </row>
    <row r="30" spans="1:2" x14ac:dyDescent="0.2">
      <c r="A30" s="4">
        <v>39904</v>
      </c>
      <c r="B30" s="3">
        <v>34.6</v>
      </c>
    </row>
    <row r="31" spans="1:2" x14ac:dyDescent="0.2">
      <c r="A31" s="4">
        <v>39934</v>
      </c>
      <c r="B31" s="3">
        <v>39.799999999999997</v>
      </c>
    </row>
    <row r="32" spans="1:2" x14ac:dyDescent="0.2">
      <c r="A32" s="4">
        <v>39965</v>
      </c>
      <c r="B32" s="3">
        <v>42.8</v>
      </c>
    </row>
    <row r="33" spans="1:2" x14ac:dyDescent="0.2">
      <c r="A33" s="4">
        <v>39995</v>
      </c>
      <c r="B33" s="3">
        <v>47.3</v>
      </c>
    </row>
    <row r="34" spans="1:2" x14ac:dyDescent="0.2">
      <c r="A34" s="4">
        <v>40026</v>
      </c>
      <c r="B34" s="3">
        <v>47.2</v>
      </c>
    </row>
    <row r="35" spans="1:2" x14ac:dyDescent="0.2">
      <c r="A35" s="4">
        <v>40057</v>
      </c>
      <c r="B35" s="3">
        <v>45.8</v>
      </c>
    </row>
    <row r="36" spans="1:2" x14ac:dyDescent="0.2">
      <c r="A36" s="4">
        <v>40087</v>
      </c>
      <c r="B36" s="3">
        <v>46.3</v>
      </c>
    </row>
    <row r="37" spans="1:2" x14ac:dyDescent="0.2">
      <c r="A37" s="4">
        <v>40118</v>
      </c>
      <c r="B37" s="3">
        <v>45.3</v>
      </c>
    </row>
    <row r="38" spans="1:2" x14ac:dyDescent="0.2">
      <c r="A38" s="4">
        <v>40148</v>
      </c>
      <c r="B38" s="3">
        <v>45.2</v>
      </c>
    </row>
    <row r="39" spans="1:2" x14ac:dyDescent="0.2">
      <c r="A39" s="4">
        <v>40179</v>
      </c>
      <c r="B39" s="3">
        <v>45.3</v>
      </c>
    </row>
    <row r="40" spans="1:2" x14ac:dyDescent="0.2">
      <c r="A40" s="4">
        <v>40210</v>
      </c>
      <c r="B40" s="3">
        <v>49.1</v>
      </c>
    </row>
    <row r="41" spans="1:2" x14ac:dyDescent="0.2">
      <c r="A41" s="4">
        <v>40238</v>
      </c>
      <c r="B41" s="3">
        <v>51.8</v>
      </c>
    </row>
    <row r="42" spans="1:2" x14ac:dyDescent="0.2">
      <c r="A42" s="4">
        <v>40269</v>
      </c>
      <c r="B42" s="3">
        <v>53.3</v>
      </c>
    </row>
    <row r="43" spans="1:2" x14ac:dyDescent="0.2">
      <c r="A43" s="4">
        <v>40299</v>
      </c>
      <c r="B43" s="3">
        <v>51.5</v>
      </c>
    </row>
    <row r="44" spans="1:2" x14ac:dyDescent="0.2">
      <c r="A44" s="4">
        <v>40330</v>
      </c>
      <c r="B44" s="3">
        <v>51.2</v>
      </c>
    </row>
    <row r="45" spans="1:2" x14ac:dyDescent="0.2">
      <c r="A45" s="4">
        <v>40360</v>
      </c>
      <c r="B45" s="3">
        <v>51.6</v>
      </c>
    </row>
    <row r="46" spans="1:2" x14ac:dyDescent="0.2">
      <c r="A46" s="4">
        <v>40391</v>
      </c>
      <c r="B46" s="3">
        <v>51.2</v>
      </c>
    </row>
    <row r="47" spans="1:2" x14ac:dyDescent="0.2">
      <c r="A47" s="4">
        <v>40422</v>
      </c>
      <c r="B47" s="3">
        <v>49.6</v>
      </c>
    </row>
    <row r="48" spans="1:2" x14ac:dyDescent="0.2">
      <c r="A48" s="4">
        <v>40452</v>
      </c>
      <c r="B48" s="3">
        <v>51.2</v>
      </c>
    </row>
    <row r="49" spans="1:2" x14ac:dyDescent="0.2">
      <c r="A49" s="4">
        <v>40483</v>
      </c>
      <c r="B49" s="3">
        <v>50</v>
      </c>
    </row>
    <row r="50" spans="1:2" x14ac:dyDescent="0.2">
      <c r="A50" s="4">
        <v>40513</v>
      </c>
      <c r="B50" s="3">
        <v>51.5</v>
      </c>
    </row>
    <row r="51" spans="1:2" x14ac:dyDescent="0.2">
      <c r="A51" s="4">
        <v>40544</v>
      </c>
      <c r="B51" s="3">
        <v>52</v>
      </c>
    </row>
    <row r="52" spans="1:2" x14ac:dyDescent="0.2">
      <c r="A52" s="4">
        <v>40575</v>
      </c>
      <c r="B52" s="3">
        <v>52.1</v>
      </c>
    </row>
    <row r="53" spans="1:2" x14ac:dyDescent="0.2">
      <c r="A53" s="4">
        <v>40603</v>
      </c>
      <c r="B53" s="3">
        <v>51.6</v>
      </c>
    </row>
    <row r="54" spans="1:2" x14ac:dyDescent="0.2">
      <c r="A54" s="4">
        <v>40634</v>
      </c>
      <c r="B54" s="3">
        <v>50.6</v>
      </c>
    </row>
    <row r="55" spans="1:2" x14ac:dyDescent="0.2">
      <c r="A55" s="4">
        <v>40664</v>
      </c>
      <c r="B55" s="3">
        <v>48.2</v>
      </c>
    </row>
    <row r="56" spans="1:2" x14ac:dyDescent="0.2">
      <c r="A56" s="4">
        <v>40695</v>
      </c>
      <c r="B56" s="3">
        <v>47.3</v>
      </c>
    </row>
    <row r="57" spans="1:2" x14ac:dyDescent="0.2">
      <c r="A57" s="4">
        <v>40725</v>
      </c>
      <c r="B57" s="3">
        <v>45.6</v>
      </c>
    </row>
    <row r="58" spans="1:2" x14ac:dyDescent="0.2">
      <c r="A58" s="4">
        <v>40756</v>
      </c>
      <c r="B58" s="3">
        <v>45.3</v>
      </c>
    </row>
    <row r="59" spans="1:2" x14ac:dyDescent="0.2">
      <c r="A59" s="4">
        <v>40787</v>
      </c>
      <c r="B59" s="3">
        <v>43.7</v>
      </c>
    </row>
    <row r="60" spans="1:2" x14ac:dyDescent="0.2">
      <c r="A60" s="4">
        <v>40817</v>
      </c>
      <c r="B60" s="3">
        <v>43.9</v>
      </c>
    </row>
    <row r="61" spans="1:2" x14ac:dyDescent="0.2">
      <c r="A61" s="4">
        <v>40848</v>
      </c>
      <c r="B61" s="3">
        <v>43.8</v>
      </c>
    </row>
    <row r="62" spans="1:2" x14ac:dyDescent="0.2">
      <c r="A62" s="4">
        <v>40878</v>
      </c>
      <c r="B62" s="3">
        <v>43.7</v>
      </c>
    </row>
    <row r="63" spans="1:2" x14ac:dyDescent="0.2">
      <c r="A63" s="4">
        <v>40909</v>
      </c>
      <c r="B63" s="3">
        <v>45.1</v>
      </c>
    </row>
    <row r="64" spans="1:2" x14ac:dyDescent="0.2">
      <c r="A64" s="4">
        <v>40940</v>
      </c>
      <c r="B64" s="3">
        <v>45</v>
      </c>
    </row>
    <row r="65" spans="1:2" x14ac:dyDescent="0.2">
      <c r="A65" s="4">
        <v>40969</v>
      </c>
      <c r="B65" s="3">
        <v>44.5</v>
      </c>
    </row>
    <row r="66" spans="1:2" x14ac:dyDescent="0.2">
      <c r="A66" s="4">
        <v>41000</v>
      </c>
      <c r="B66" s="3">
        <v>43.5</v>
      </c>
    </row>
    <row r="67" spans="1:2" x14ac:dyDescent="0.2">
      <c r="A67" s="4">
        <v>41030</v>
      </c>
      <c r="B67" s="3">
        <v>42</v>
      </c>
    </row>
    <row r="68" spans="1:2" x14ac:dyDescent="0.2">
      <c r="A68" s="4">
        <v>41061</v>
      </c>
      <c r="B68" s="3">
        <v>41.1</v>
      </c>
    </row>
    <row r="69" spans="1:2" x14ac:dyDescent="0.2">
      <c r="A69" s="4">
        <v>41091</v>
      </c>
      <c r="B69" s="3">
        <v>42.3</v>
      </c>
    </row>
    <row r="70" spans="1:2" x14ac:dyDescent="0.2">
      <c r="A70" s="4">
        <v>41122</v>
      </c>
      <c r="B70" s="3">
        <v>44</v>
      </c>
    </row>
    <row r="71" spans="1:2" x14ac:dyDescent="0.2">
      <c r="A71" s="4">
        <v>41153</v>
      </c>
      <c r="B71" s="3">
        <v>44.5</v>
      </c>
    </row>
    <row r="72" spans="1:2" x14ac:dyDescent="0.2">
      <c r="A72" s="4">
        <v>41183</v>
      </c>
      <c r="B72" s="3">
        <v>43.5</v>
      </c>
    </row>
    <row r="73" spans="1:2" x14ac:dyDescent="0.2">
      <c r="A73" s="4">
        <v>41214</v>
      </c>
      <c r="B73" s="3">
        <v>45.3</v>
      </c>
    </row>
    <row r="74" spans="1:2" x14ac:dyDescent="0.2">
      <c r="A74" s="4">
        <v>41244</v>
      </c>
      <c r="B74" s="3">
        <v>44.6</v>
      </c>
    </row>
    <row r="75" spans="1:2" x14ac:dyDescent="0.2">
      <c r="A75" s="4">
        <v>41275</v>
      </c>
      <c r="B75" s="3">
        <v>46.1</v>
      </c>
    </row>
    <row r="76" spans="1:2" x14ac:dyDescent="0.2">
      <c r="A76" s="4">
        <v>41306</v>
      </c>
      <c r="B76" s="3">
        <v>46.8</v>
      </c>
    </row>
    <row r="77" spans="1:2" x14ac:dyDescent="0.2">
      <c r="A77" s="4">
        <v>41334</v>
      </c>
      <c r="B77" s="3">
        <v>44.2</v>
      </c>
    </row>
    <row r="78" spans="1:2" x14ac:dyDescent="0.2">
      <c r="A78" s="4">
        <v>41365</v>
      </c>
      <c r="B78" s="3">
        <v>44.7</v>
      </c>
    </row>
    <row r="79" spans="1:2" x14ac:dyDescent="0.2">
      <c r="A79" s="4">
        <v>41395</v>
      </c>
      <c r="B79" s="3">
        <v>48.1</v>
      </c>
    </row>
    <row r="80" spans="1:2" x14ac:dyDescent="0.2">
      <c r="A80" s="4">
        <v>41426</v>
      </c>
      <c r="B80" s="3">
        <v>50</v>
      </c>
    </row>
    <row r="81" spans="1:2" x14ac:dyDescent="0.2">
      <c r="A81" s="4">
        <v>41456</v>
      </c>
      <c r="B81" s="3">
        <v>49.8</v>
      </c>
    </row>
    <row r="82" spans="1:2" x14ac:dyDescent="0.2">
      <c r="A82" s="4">
        <v>41487</v>
      </c>
      <c r="B82" s="3">
        <v>51.1</v>
      </c>
    </row>
    <row r="83" spans="1:2" x14ac:dyDescent="0.2">
      <c r="A83" s="4">
        <v>41518</v>
      </c>
      <c r="B83" s="3">
        <v>50.7</v>
      </c>
    </row>
    <row r="84" spans="1:2" x14ac:dyDescent="0.2">
      <c r="A84" s="4">
        <v>41548</v>
      </c>
      <c r="B84" s="3">
        <v>50.9</v>
      </c>
    </row>
    <row r="85" spans="1:2" x14ac:dyDescent="0.2">
      <c r="A85" s="4">
        <v>41579</v>
      </c>
      <c r="B85" s="3">
        <v>48.6</v>
      </c>
    </row>
    <row r="86" spans="1:2" x14ac:dyDescent="0.2">
      <c r="A86" s="4">
        <v>41609</v>
      </c>
      <c r="B86" s="3">
        <v>50.8</v>
      </c>
    </row>
    <row r="87" spans="1:2" x14ac:dyDescent="0.2">
      <c r="A87" s="4">
        <v>41640</v>
      </c>
      <c r="B87" s="3">
        <v>52.2</v>
      </c>
    </row>
    <row r="88" spans="1:2" x14ac:dyDescent="0.2">
      <c r="A88" s="4">
        <v>41671</v>
      </c>
      <c r="B88" s="3">
        <v>52.5</v>
      </c>
    </row>
    <row r="89" spans="1:2" x14ac:dyDescent="0.2">
      <c r="A89" s="4">
        <v>41699</v>
      </c>
      <c r="B89" s="3">
        <v>52.8</v>
      </c>
    </row>
    <row r="90" spans="1:2" x14ac:dyDescent="0.2">
      <c r="A90" s="4">
        <v>41730</v>
      </c>
      <c r="B90" s="3">
        <v>52.7</v>
      </c>
    </row>
    <row r="91" spans="1:2" x14ac:dyDescent="0.2">
      <c r="A91" s="4">
        <v>41760</v>
      </c>
      <c r="B91" s="3">
        <v>52.9</v>
      </c>
    </row>
    <row r="92" spans="1:2" x14ac:dyDescent="0.2">
      <c r="A92" s="4">
        <v>41791</v>
      </c>
      <c r="B92" s="3">
        <v>54.6</v>
      </c>
    </row>
    <row r="93" spans="1:2" x14ac:dyDescent="0.2">
      <c r="A93" s="4">
        <v>41821</v>
      </c>
      <c r="B93" s="3">
        <v>53.9</v>
      </c>
    </row>
    <row r="94" spans="1:2" x14ac:dyDescent="0.2">
      <c r="A94" s="4">
        <v>41852</v>
      </c>
      <c r="B94" s="3">
        <v>52.8</v>
      </c>
    </row>
    <row r="95" spans="1:2" x14ac:dyDescent="0.2">
      <c r="A95" s="4">
        <v>41883</v>
      </c>
      <c r="B95" s="3">
        <v>52.6</v>
      </c>
    </row>
    <row r="96" spans="1:2" x14ac:dyDescent="0.2">
      <c r="A96" s="4">
        <v>41913</v>
      </c>
      <c r="B96" s="3">
        <v>52.6</v>
      </c>
    </row>
    <row r="97" spans="1:2" x14ac:dyDescent="0.2">
      <c r="A97" s="4">
        <v>41944</v>
      </c>
      <c r="B97" s="3">
        <v>54.7</v>
      </c>
    </row>
    <row r="98" spans="1:2" x14ac:dyDescent="0.2">
      <c r="A98" s="4">
        <v>41974</v>
      </c>
      <c r="B98" s="3">
        <v>53.8</v>
      </c>
    </row>
    <row r="99" spans="1:2" x14ac:dyDescent="0.2">
      <c r="A99" s="4">
        <v>42005</v>
      </c>
      <c r="B99" s="3">
        <v>54.7</v>
      </c>
    </row>
    <row r="100" spans="1:2" x14ac:dyDescent="0.2">
      <c r="A100" s="4">
        <v>42036</v>
      </c>
      <c r="B100" s="3">
        <v>54.2</v>
      </c>
    </row>
    <row r="101" spans="1:2" x14ac:dyDescent="0.2">
      <c r="A101" s="4">
        <v>42064</v>
      </c>
      <c r="B101" s="3">
        <v>54.3</v>
      </c>
    </row>
    <row r="102" spans="1:2" x14ac:dyDescent="0.2">
      <c r="A102" s="4">
        <v>42095</v>
      </c>
      <c r="B102" s="3">
        <v>54.2</v>
      </c>
    </row>
    <row r="103" spans="1:2" x14ac:dyDescent="0.2">
      <c r="A103" s="4">
        <v>42125</v>
      </c>
      <c r="B103" s="3">
        <v>55.8</v>
      </c>
    </row>
    <row r="104" spans="1:2" x14ac:dyDescent="0.2">
      <c r="A104" s="4">
        <v>42156</v>
      </c>
      <c r="B104" s="3">
        <v>54.5</v>
      </c>
    </row>
    <row r="105" spans="1:2" x14ac:dyDescent="0.2">
      <c r="A105" s="4">
        <v>42186</v>
      </c>
      <c r="B105" s="3">
        <v>53.6</v>
      </c>
    </row>
    <row r="106" spans="1:2" x14ac:dyDescent="0.2">
      <c r="A106" s="4">
        <v>42217</v>
      </c>
      <c r="B106" s="3">
        <v>53.2</v>
      </c>
    </row>
    <row r="107" spans="1:2" x14ac:dyDescent="0.2">
      <c r="A107" s="4">
        <v>42248</v>
      </c>
      <c r="B107" s="3">
        <v>51.7</v>
      </c>
    </row>
    <row r="108" spans="1:2" x14ac:dyDescent="0.2">
      <c r="A108" s="4">
        <v>42278</v>
      </c>
      <c r="B108" s="3">
        <v>51.3</v>
      </c>
    </row>
    <row r="109" spans="1:2" x14ac:dyDescent="0.2">
      <c r="A109" s="4">
        <v>42309</v>
      </c>
      <c r="B109" s="3">
        <v>53.1</v>
      </c>
    </row>
    <row r="110" spans="1:2" x14ac:dyDescent="0.2">
      <c r="A110" s="4">
        <v>42339</v>
      </c>
      <c r="B110" s="3">
        <v>53</v>
      </c>
    </row>
    <row r="111" spans="1:2" x14ac:dyDescent="0.2">
      <c r="A111" s="4">
        <v>42370</v>
      </c>
      <c r="B111" s="3">
        <v>55.4</v>
      </c>
    </row>
    <row r="112" spans="1:2" x14ac:dyDescent="0.2">
      <c r="A112" s="4">
        <v>42401</v>
      </c>
      <c r="B112" s="3">
        <v>54.1</v>
      </c>
    </row>
    <row r="113" spans="1:2" x14ac:dyDescent="0.2">
      <c r="A113" s="4">
        <v>42430</v>
      </c>
      <c r="B113" s="3">
        <v>53.4</v>
      </c>
    </row>
    <row r="114" spans="1:2" x14ac:dyDescent="0.2">
      <c r="A114" s="4">
        <v>42461</v>
      </c>
      <c r="B114" s="3">
        <v>53.5</v>
      </c>
    </row>
    <row r="115" spans="1:2" x14ac:dyDescent="0.2">
      <c r="A115" s="4">
        <v>42491</v>
      </c>
      <c r="B115" s="3">
        <v>51.8</v>
      </c>
    </row>
    <row r="116" spans="1:2" x14ac:dyDescent="0.2">
      <c r="A116" s="4">
        <v>42522</v>
      </c>
      <c r="B116" s="3">
        <v>52.2</v>
      </c>
    </row>
    <row r="117" spans="1:2" x14ac:dyDescent="0.2">
      <c r="A117" s="4">
        <v>42552</v>
      </c>
      <c r="B117" s="3">
        <v>51</v>
      </c>
    </row>
    <row r="118" spans="1:2" x14ac:dyDescent="0.2">
      <c r="A118" s="4">
        <v>42583</v>
      </c>
      <c r="B118" s="3">
        <v>51</v>
      </c>
    </row>
    <row r="119" spans="1:2" x14ac:dyDescent="0.2">
      <c r="A119" s="4">
        <v>42614</v>
      </c>
      <c r="B119" s="3">
        <v>52.3</v>
      </c>
    </row>
    <row r="120" spans="1:2" x14ac:dyDescent="0.2">
      <c r="A120" s="4">
        <v>42644</v>
      </c>
      <c r="B120" s="3">
        <v>53.3</v>
      </c>
    </row>
    <row r="121" spans="1:2" x14ac:dyDescent="0.2">
      <c r="A121" s="4">
        <v>42675</v>
      </c>
      <c r="B121" s="3">
        <v>54.5</v>
      </c>
    </row>
    <row r="122" spans="1:2" x14ac:dyDescent="0.2">
      <c r="A122" s="4">
        <v>42705</v>
      </c>
      <c r="B122" s="3">
        <v>55.3</v>
      </c>
    </row>
    <row r="123" spans="1:2" x14ac:dyDescent="0.2">
      <c r="A123" s="4">
        <v>42736</v>
      </c>
      <c r="B123" s="3">
        <v>55.6</v>
      </c>
    </row>
    <row r="124" spans="1:2" x14ac:dyDescent="0.2">
      <c r="A124" s="4">
        <v>42767</v>
      </c>
      <c r="B124" s="3">
        <v>54.8</v>
      </c>
    </row>
    <row r="125" spans="1:2" x14ac:dyDescent="0.2">
      <c r="A125" s="4">
        <v>42795</v>
      </c>
      <c r="B125" s="3">
        <v>53.9</v>
      </c>
    </row>
    <row r="126" spans="1:2" x14ac:dyDescent="0.2">
      <c r="A126" s="4">
        <v>42826</v>
      </c>
      <c r="B126" s="3">
        <v>54.5</v>
      </c>
    </row>
    <row r="127" spans="1:2" x14ac:dyDescent="0.2">
      <c r="A127" s="4">
        <v>42856</v>
      </c>
      <c r="B127" s="3">
        <v>55.4</v>
      </c>
    </row>
    <row r="128" spans="1:2" x14ac:dyDescent="0.2">
      <c r="A128" s="4">
        <v>42887</v>
      </c>
      <c r="B128" s="3">
        <v>54.7</v>
      </c>
    </row>
    <row r="129" spans="1:2" x14ac:dyDescent="0.2">
      <c r="A129" s="4">
        <v>42917</v>
      </c>
      <c r="B129" s="3">
        <v>54</v>
      </c>
    </row>
    <row r="130" spans="1:2" x14ac:dyDescent="0.2">
      <c r="A130" s="4">
        <v>42948</v>
      </c>
      <c r="B130" s="3">
        <v>52.4</v>
      </c>
    </row>
    <row r="131" spans="1:2" x14ac:dyDescent="0.2">
      <c r="A131" s="4">
        <v>42979</v>
      </c>
      <c r="B131" s="3">
        <v>54.3</v>
      </c>
    </row>
    <row r="132" spans="1:2" x14ac:dyDescent="0.2">
      <c r="A132" s="4">
        <v>43009</v>
      </c>
      <c r="B132" s="3">
        <v>55.8</v>
      </c>
    </row>
    <row r="133" spans="1:2" x14ac:dyDescent="0.2">
      <c r="A133" s="4">
        <v>43040</v>
      </c>
      <c r="B133" s="3">
        <v>56.1</v>
      </c>
    </row>
    <row r="134" spans="1:2" x14ac:dyDescent="0.2">
      <c r="A134" s="4">
        <v>43070</v>
      </c>
      <c r="B134" s="3">
        <v>55.8</v>
      </c>
    </row>
    <row r="135" spans="1:2" x14ac:dyDescent="0.2">
      <c r="A135" s="4">
        <v>43101</v>
      </c>
      <c r="B135" s="3">
        <v>55.2</v>
      </c>
    </row>
    <row r="136" spans="1:2" x14ac:dyDescent="0.2">
      <c r="A136" s="4">
        <v>43132</v>
      </c>
      <c r="B136" s="3">
        <v>56</v>
      </c>
    </row>
    <row r="137" spans="1:2" x14ac:dyDescent="0.2">
      <c r="A137" s="4">
        <v>43160</v>
      </c>
      <c r="B137" s="3">
        <v>54.8</v>
      </c>
    </row>
    <row r="138" spans="1:2" x14ac:dyDescent="0.2">
      <c r="A138" s="4">
        <v>43191</v>
      </c>
      <c r="B138" s="3">
        <v>54.4</v>
      </c>
    </row>
    <row r="139" spans="1:2" x14ac:dyDescent="0.2">
      <c r="A139" s="4">
        <v>43221</v>
      </c>
      <c r="B139" s="3">
        <v>53.4</v>
      </c>
    </row>
    <row r="140" spans="1:2" x14ac:dyDescent="0.2">
      <c r="A140" s="4">
        <v>43252</v>
      </c>
      <c r="B140" s="3">
        <v>53.4</v>
      </c>
    </row>
    <row r="141" spans="1:2" x14ac:dyDescent="0.2">
      <c r="A141" s="4">
        <v>43282</v>
      </c>
      <c r="B141" s="3">
        <v>52.9</v>
      </c>
    </row>
    <row r="142" spans="1:2" x14ac:dyDescent="0.2">
      <c r="A142" s="4">
        <v>43313</v>
      </c>
      <c r="B142" s="3">
        <v>53</v>
      </c>
    </row>
    <row r="143" spans="1:2" x14ac:dyDescent="0.2">
      <c r="A143" s="4">
        <v>43344</v>
      </c>
      <c r="B143" s="3">
        <v>51.4</v>
      </c>
    </row>
    <row r="144" spans="1:2" x14ac:dyDescent="0.2">
      <c r="A144" s="4">
        <v>43374</v>
      </c>
      <c r="B144" s="3">
        <v>51.8</v>
      </c>
    </row>
    <row r="145" spans="1:2" x14ac:dyDescent="0.2">
      <c r="A145" s="4">
        <v>43405</v>
      </c>
      <c r="B145" s="3">
        <v>52.6</v>
      </c>
    </row>
    <row r="146" spans="1:2" x14ac:dyDescent="0.2">
      <c r="A146" s="4">
        <v>43435</v>
      </c>
      <c r="B146" s="3">
        <v>51.1</v>
      </c>
    </row>
    <row r="147" spans="1:2" x14ac:dyDescent="0.2">
      <c r="A147" s="4">
        <v>43466</v>
      </c>
      <c r="B147" s="3">
        <v>52.4</v>
      </c>
    </row>
    <row r="148" spans="1:2" x14ac:dyDescent="0.2">
      <c r="A148" s="4">
        <v>43497</v>
      </c>
      <c r="B148" s="3">
        <v>49.9</v>
      </c>
    </row>
    <row r="149" spans="1:2" x14ac:dyDescent="0.2">
      <c r="A149" s="4">
        <v>43525</v>
      </c>
      <c r="B149" s="3">
        <v>50.9</v>
      </c>
    </row>
    <row r="150" spans="1:2" x14ac:dyDescent="0.2">
      <c r="A150" s="4">
        <v>43556</v>
      </c>
      <c r="B150" s="3">
        <v>51.8</v>
      </c>
    </row>
    <row r="151" spans="1:2" x14ac:dyDescent="0.2">
      <c r="A151" s="4">
        <v>43586</v>
      </c>
      <c r="B151" s="3">
        <v>50.1</v>
      </c>
    </row>
    <row r="152" spans="1:2" x14ac:dyDescent="0.2">
      <c r="A152" s="4">
        <v>43617</v>
      </c>
      <c r="B152" s="3">
        <v>47.9</v>
      </c>
    </row>
    <row r="153" spans="1:2" x14ac:dyDescent="0.2">
      <c r="A153" s="4">
        <v>43647</v>
      </c>
      <c r="B153" s="3">
        <v>48.2</v>
      </c>
    </row>
    <row r="154" spans="1:2" x14ac:dyDescent="0.2">
      <c r="A154" s="4">
        <v>43678</v>
      </c>
      <c r="B154" s="3">
        <v>48.8</v>
      </c>
    </row>
    <row r="155" spans="1:2" x14ac:dyDescent="0.2">
      <c r="A155" s="4">
        <v>43709</v>
      </c>
      <c r="B155" s="3">
        <v>47.7</v>
      </c>
    </row>
    <row r="156" spans="1:2" x14ac:dyDescent="0.2">
      <c r="A156" s="4">
        <v>43739</v>
      </c>
      <c r="B156" s="3">
        <v>46.8</v>
      </c>
    </row>
    <row r="157" spans="1:2" x14ac:dyDescent="0.2">
      <c r="A157" s="4">
        <v>43770</v>
      </c>
      <c r="B157" s="3">
        <v>47.5</v>
      </c>
    </row>
    <row r="158" spans="1:2" x14ac:dyDescent="0.2">
      <c r="A158" s="4">
        <v>43800</v>
      </c>
      <c r="B158" s="3">
        <v>47.4</v>
      </c>
    </row>
    <row r="159" spans="1:2" x14ac:dyDescent="0.2">
      <c r="A159" s="4">
        <v>43831</v>
      </c>
      <c r="B159" s="3">
        <v>48.5</v>
      </c>
    </row>
    <row r="160" spans="1:2" x14ac:dyDescent="0.2">
      <c r="A160" s="4">
        <v>43862</v>
      </c>
      <c r="B160" s="3">
        <v>50.4</v>
      </c>
    </row>
    <row r="161" spans="1:2" x14ac:dyDescent="0.2">
      <c r="A161" s="4">
        <v>43891</v>
      </c>
      <c r="B161" s="3">
        <v>45.7</v>
      </c>
    </row>
    <row r="162" spans="1:2" x14ac:dyDescent="0.2">
      <c r="A162" s="4">
        <v>43922</v>
      </c>
      <c r="B162" s="3">
        <v>30.8</v>
      </c>
    </row>
    <row r="163" spans="1:2" x14ac:dyDescent="0.2">
      <c r="A163" s="4">
        <v>43952</v>
      </c>
      <c r="B163" s="3">
        <v>38.299999999999997</v>
      </c>
    </row>
    <row r="164" spans="1:2" x14ac:dyDescent="0.2">
      <c r="A164" s="4">
        <v>43983</v>
      </c>
      <c r="B164" s="3">
        <v>49</v>
      </c>
    </row>
    <row r="165" spans="1:2" x14ac:dyDescent="0.2">
      <c r="A165" s="4">
        <v>44013</v>
      </c>
      <c r="B165" s="3">
        <v>53.5</v>
      </c>
    </row>
    <row r="166" spans="1:2" x14ac:dyDescent="0.2">
      <c r="A166" s="4">
        <v>44044</v>
      </c>
      <c r="B166" s="3">
        <v>49.9</v>
      </c>
    </row>
    <row r="167" spans="1:2" x14ac:dyDescent="0.2">
      <c r="A167" s="4">
        <v>44075</v>
      </c>
      <c r="B167" s="3">
        <v>50.8</v>
      </c>
    </row>
    <row r="168" spans="1:2" x14ac:dyDescent="0.2">
      <c r="A168" s="4">
        <v>44105</v>
      </c>
      <c r="B168" s="3">
        <v>52.5</v>
      </c>
    </row>
    <row r="169" spans="1:2" x14ac:dyDescent="0.2">
      <c r="A169" s="4">
        <v>44136</v>
      </c>
      <c r="B169" s="3">
        <v>49.8</v>
      </c>
    </row>
    <row r="170" spans="1:2" x14ac:dyDescent="0.2">
      <c r="A170" s="4">
        <v>44166</v>
      </c>
      <c r="B170" s="3">
        <v>51</v>
      </c>
    </row>
    <row r="171" spans="1:2" x14ac:dyDescent="0.2">
      <c r="A171" s="4">
        <v>44197</v>
      </c>
      <c r="B171" s="3">
        <v>49.3</v>
      </c>
    </row>
    <row r="172" spans="1:2" x14ac:dyDescent="0.2">
      <c r="A172" s="4">
        <v>44228</v>
      </c>
      <c r="B172" s="3">
        <v>52.9</v>
      </c>
    </row>
    <row r="173" spans="1:2" x14ac:dyDescent="0.2">
      <c r="A173" s="4">
        <v>44256</v>
      </c>
      <c r="B173" s="3">
        <v>56.9</v>
      </c>
    </row>
    <row r="174" spans="1:2" x14ac:dyDescent="0.2">
      <c r="A174" s="4">
        <v>44287</v>
      </c>
      <c r="B174" s="3">
        <v>57.7</v>
      </c>
    </row>
    <row r="175" spans="1:2" x14ac:dyDescent="0.2">
      <c r="A175" s="4">
        <v>44317</v>
      </c>
      <c r="B175" s="3">
        <v>59.4</v>
      </c>
    </row>
    <row r="176" spans="1:2" x14ac:dyDescent="0.2">
      <c r="A176" s="4">
        <v>44348</v>
      </c>
      <c r="B176" s="3">
        <v>60.4</v>
      </c>
    </row>
    <row r="177" spans="1:2" x14ac:dyDescent="0.2">
      <c r="A177" s="4">
        <v>44378</v>
      </c>
      <c r="B177" s="3">
        <v>59</v>
      </c>
    </row>
    <row r="178" spans="1:2" x14ac:dyDescent="0.2">
      <c r="A178" s="4">
        <v>44409</v>
      </c>
      <c r="B178" s="3">
        <v>59.5</v>
      </c>
    </row>
    <row r="179" spans="1:2" x14ac:dyDescent="0.2">
      <c r="A179" s="4">
        <v>44440</v>
      </c>
      <c r="B179" s="3">
        <v>58.1</v>
      </c>
    </row>
    <row r="180" spans="1:2" x14ac:dyDescent="0.2">
      <c r="A180" s="4">
        <v>44470</v>
      </c>
      <c r="B180" s="3">
        <v>57.4</v>
      </c>
    </row>
    <row r="181" spans="1:2" x14ac:dyDescent="0.2">
      <c r="A181" s="4">
        <v>44501</v>
      </c>
      <c r="B181" s="3">
        <v>57.1</v>
      </c>
    </row>
    <row r="182" spans="1:2" x14ac:dyDescent="0.2">
      <c r="A182" s="4">
        <v>44531</v>
      </c>
      <c r="B182" s="3">
        <v>56.2</v>
      </c>
    </row>
  </sheetData>
  <conditionalFormatting sqref="B2:B18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31B5F-EA85-44E8-A4CD-0736667984C7}">
  <dimension ref="A1:B136"/>
  <sheetViews>
    <sheetView zoomScale="170" zoomScaleNormal="170" workbookViewId="0">
      <pane ySplit="1" topLeftCell="A2" activePane="bottomLeft" state="frozen"/>
      <selection pane="bottomLeft" activeCell="G115" sqref="G115"/>
    </sheetView>
  </sheetViews>
  <sheetFormatPr baseColWidth="10" defaultColWidth="9.1640625" defaultRowHeight="15" x14ac:dyDescent="0.2"/>
  <cols>
    <col min="1" max="1" width="13.5" style="2" customWidth="1"/>
    <col min="2" max="2" width="11.33203125" style="2" customWidth="1"/>
    <col min="3" max="16384" width="9.1640625" style="2"/>
  </cols>
  <sheetData>
    <row r="1" spans="1:2" ht="16" thickBot="1" x14ac:dyDescent="0.25">
      <c r="A1" s="11" t="s">
        <v>0</v>
      </c>
      <c r="B1" s="12" t="s">
        <v>17</v>
      </c>
    </row>
    <row r="2" spans="1:2" x14ac:dyDescent="0.2">
      <c r="A2" s="8">
        <v>40452</v>
      </c>
      <c r="B2" s="9">
        <v>49.5</v>
      </c>
    </row>
    <row r="3" spans="1:2" x14ac:dyDescent="0.2">
      <c r="A3" s="4">
        <v>40483</v>
      </c>
      <c r="B3" s="3">
        <v>49.9</v>
      </c>
    </row>
    <row r="4" spans="1:2" x14ac:dyDescent="0.2">
      <c r="A4" s="4">
        <v>40513</v>
      </c>
      <c r="B4" s="3">
        <v>52.4</v>
      </c>
    </row>
    <row r="5" spans="1:2" x14ac:dyDescent="0.2">
      <c r="A5" s="4">
        <v>40544</v>
      </c>
      <c r="B5" s="3">
        <v>53.1</v>
      </c>
    </row>
    <row r="6" spans="1:2" x14ac:dyDescent="0.2">
      <c r="A6" s="4">
        <v>40575</v>
      </c>
      <c r="B6" s="3">
        <v>54.6</v>
      </c>
    </row>
    <row r="7" spans="1:2" x14ac:dyDescent="0.2">
      <c r="A7" s="4">
        <v>40603</v>
      </c>
      <c r="B7" s="3">
        <v>53.2</v>
      </c>
    </row>
    <row r="8" spans="1:2" x14ac:dyDescent="0.2">
      <c r="A8" s="4">
        <v>40634</v>
      </c>
      <c r="B8" s="3">
        <v>52.5</v>
      </c>
    </row>
    <row r="9" spans="1:2" x14ac:dyDescent="0.2">
      <c r="A9" s="4">
        <v>40664</v>
      </c>
      <c r="B9" s="3">
        <v>53</v>
      </c>
    </row>
    <row r="10" spans="1:2" x14ac:dyDescent="0.2">
      <c r="A10" s="4">
        <v>40695</v>
      </c>
      <c r="B10" s="3">
        <v>49</v>
      </c>
    </row>
    <row r="11" spans="1:2" x14ac:dyDescent="0.2">
      <c r="A11" s="4">
        <v>40725</v>
      </c>
      <c r="B11" s="3">
        <v>47.8</v>
      </c>
    </row>
    <row r="12" spans="1:2" x14ac:dyDescent="0.2">
      <c r="A12" s="4">
        <v>40756</v>
      </c>
      <c r="B12" s="3">
        <v>46</v>
      </c>
    </row>
    <row r="13" spans="1:2" x14ac:dyDescent="0.2">
      <c r="A13" s="4">
        <v>40787</v>
      </c>
      <c r="B13" s="3">
        <v>45.5</v>
      </c>
    </row>
    <row r="14" spans="1:2" x14ac:dyDescent="0.2">
      <c r="A14" s="4">
        <v>40817</v>
      </c>
      <c r="B14" s="3">
        <v>46.5</v>
      </c>
    </row>
    <row r="15" spans="1:2" x14ac:dyDescent="0.2">
      <c r="A15" s="4">
        <v>40848</v>
      </c>
      <c r="B15" s="3">
        <v>48.7</v>
      </c>
    </row>
    <row r="16" spans="1:2" x14ac:dyDescent="0.2">
      <c r="A16" s="4">
        <v>40878</v>
      </c>
      <c r="B16" s="3">
        <v>49.3</v>
      </c>
    </row>
    <row r="17" spans="1:2" x14ac:dyDescent="0.2">
      <c r="A17" s="4">
        <v>40909</v>
      </c>
      <c r="B17" s="3">
        <v>50.6</v>
      </c>
    </row>
    <row r="18" spans="1:2" x14ac:dyDescent="0.2">
      <c r="A18" s="4">
        <v>40940</v>
      </c>
      <c r="B18" s="3">
        <v>51.4</v>
      </c>
    </row>
    <row r="19" spans="1:2" x14ac:dyDescent="0.2">
      <c r="A19" s="4">
        <v>40969</v>
      </c>
      <c r="B19" s="3">
        <v>51.1</v>
      </c>
    </row>
    <row r="20" spans="1:2" x14ac:dyDescent="0.2">
      <c r="A20" s="4">
        <v>41000</v>
      </c>
      <c r="B20" s="3">
        <v>49.3</v>
      </c>
    </row>
    <row r="21" spans="1:2" x14ac:dyDescent="0.2">
      <c r="A21" s="4">
        <v>41030</v>
      </c>
      <c r="B21" s="3">
        <v>49.3</v>
      </c>
    </row>
    <row r="22" spans="1:2" x14ac:dyDescent="0.2">
      <c r="A22" s="4">
        <v>41061</v>
      </c>
      <c r="B22" s="3">
        <v>48.5</v>
      </c>
    </row>
    <row r="23" spans="1:2" x14ac:dyDescent="0.2">
      <c r="A23" s="4">
        <v>41091</v>
      </c>
      <c r="B23" s="3">
        <v>48.7</v>
      </c>
    </row>
    <row r="24" spans="1:2" x14ac:dyDescent="0.2">
      <c r="A24" s="4">
        <v>41122</v>
      </c>
      <c r="B24" s="3">
        <v>49.3</v>
      </c>
    </row>
    <row r="25" spans="1:2" x14ac:dyDescent="0.2">
      <c r="A25" s="4">
        <v>41153</v>
      </c>
      <c r="B25" s="3">
        <v>49.8</v>
      </c>
    </row>
    <row r="26" spans="1:2" x14ac:dyDescent="0.2">
      <c r="A26" s="4">
        <v>41183</v>
      </c>
      <c r="B26" s="3">
        <v>50.2</v>
      </c>
    </row>
    <row r="27" spans="1:2" x14ac:dyDescent="0.2">
      <c r="A27" s="4">
        <v>41214</v>
      </c>
      <c r="B27" s="3">
        <v>52.2</v>
      </c>
    </row>
    <row r="28" spans="1:2" x14ac:dyDescent="0.2">
      <c r="A28" s="4">
        <v>41244</v>
      </c>
      <c r="B28" s="3">
        <v>51.1</v>
      </c>
    </row>
    <row r="29" spans="1:2" x14ac:dyDescent="0.2">
      <c r="A29" s="4">
        <v>41275</v>
      </c>
      <c r="B29" s="3">
        <v>53.2</v>
      </c>
    </row>
    <row r="30" spans="1:2" x14ac:dyDescent="0.2">
      <c r="A30" s="4">
        <v>41306</v>
      </c>
      <c r="B30" s="3">
        <v>52.5</v>
      </c>
    </row>
    <row r="31" spans="1:2" x14ac:dyDescent="0.2">
      <c r="A31" s="4">
        <v>41334</v>
      </c>
      <c r="B31" s="3">
        <v>51.8</v>
      </c>
    </row>
    <row r="32" spans="1:2" x14ac:dyDescent="0.2">
      <c r="A32" s="4">
        <v>41365</v>
      </c>
      <c r="B32" s="3">
        <v>50.8</v>
      </c>
    </row>
    <row r="33" spans="1:2" x14ac:dyDescent="0.2">
      <c r="A33" s="4">
        <v>41395</v>
      </c>
      <c r="B33" s="3">
        <v>50.4</v>
      </c>
    </row>
    <row r="34" spans="1:2" x14ac:dyDescent="0.2">
      <c r="A34" s="4">
        <v>41426</v>
      </c>
      <c r="B34" s="3">
        <v>50.4</v>
      </c>
    </row>
    <row r="35" spans="1:2" x14ac:dyDescent="0.2">
      <c r="A35" s="4">
        <v>41456</v>
      </c>
      <c r="B35" s="3">
        <v>48.5</v>
      </c>
    </row>
    <row r="36" spans="1:2" x14ac:dyDescent="0.2">
      <c r="A36" s="4">
        <v>41487</v>
      </c>
      <c r="B36" s="3">
        <v>49.4</v>
      </c>
    </row>
    <row r="37" spans="1:2" x14ac:dyDescent="0.2">
      <c r="A37" s="4">
        <v>41518</v>
      </c>
      <c r="B37" s="3">
        <v>49.9</v>
      </c>
    </row>
    <row r="38" spans="1:2" x14ac:dyDescent="0.2">
      <c r="A38" s="4">
        <v>41548</v>
      </c>
      <c r="B38" s="3">
        <v>50.2</v>
      </c>
    </row>
    <row r="39" spans="1:2" x14ac:dyDescent="0.2">
      <c r="A39" s="4">
        <v>41579</v>
      </c>
      <c r="B39" s="3">
        <v>49.7</v>
      </c>
    </row>
    <row r="40" spans="1:2" x14ac:dyDescent="0.2">
      <c r="A40" s="4">
        <v>41609</v>
      </c>
      <c r="B40" s="3">
        <v>50.5</v>
      </c>
    </row>
    <row r="41" spans="1:2" x14ac:dyDescent="0.2">
      <c r="A41" s="4">
        <v>41640</v>
      </c>
      <c r="B41" s="3">
        <v>51.7</v>
      </c>
    </row>
    <row r="42" spans="1:2" x14ac:dyDescent="0.2">
      <c r="A42" s="4">
        <v>41671</v>
      </c>
      <c r="B42" s="3">
        <v>50.4</v>
      </c>
    </row>
    <row r="43" spans="1:2" x14ac:dyDescent="0.2">
      <c r="A43" s="4">
        <v>41699</v>
      </c>
      <c r="B43" s="3">
        <v>50.6</v>
      </c>
    </row>
    <row r="44" spans="1:2" x14ac:dyDescent="0.2">
      <c r="A44" s="4">
        <v>41730</v>
      </c>
      <c r="B44" s="3">
        <v>49.3</v>
      </c>
    </row>
    <row r="45" spans="1:2" x14ac:dyDescent="0.2">
      <c r="A45" s="4">
        <v>41760</v>
      </c>
      <c r="B45" s="3">
        <v>48.8</v>
      </c>
    </row>
    <row r="46" spans="1:2" x14ac:dyDescent="0.2">
      <c r="A46" s="4">
        <v>41791</v>
      </c>
      <c r="B46" s="3">
        <v>48.7</v>
      </c>
    </row>
    <row r="47" spans="1:2" x14ac:dyDescent="0.2">
      <c r="A47" s="4">
        <v>41821</v>
      </c>
      <c r="B47" s="3">
        <v>49.1</v>
      </c>
    </row>
    <row r="48" spans="1:2" x14ac:dyDescent="0.2">
      <c r="A48" s="4">
        <v>41852</v>
      </c>
      <c r="B48" s="3">
        <v>50.2</v>
      </c>
    </row>
    <row r="49" spans="1:2" x14ac:dyDescent="0.2">
      <c r="A49" s="4">
        <v>41883</v>
      </c>
      <c r="B49" s="3">
        <v>49.3</v>
      </c>
    </row>
    <row r="50" spans="1:2" x14ac:dyDescent="0.2">
      <c r="A50" s="4">
        <v>41913</v>
      </c>
      <c r="B50" s="3">
        <v>49.1</v>
      </c>
    </row>
    <row r="51" spans="1:2" x14ac:dyDescent="0.2">
      <c r="A51" s="4">
        <v>41944</v>
      </c>
      <c r="B51" s="3">
        <v>48.7</v>
      </c>
    </row>
    <row r="52" spans="1:2" x14ac:dyDescent="0.2">
      <c r="A52" s="4">
        <v>41974</v>
      </c>
      <c r="B52" s="3">
        <v>50.2</v>
      </c>
    </row>
    <row r="53" spans="1:2" x14ac:dyDescent="0.2">
      <c r="A53" s="4">
        <v>42005</v>
      </c>
      <c r="B53" s="3">
        <v>50.7</v>
      </c>
    </row>
    <row r="54" spans="1:2" x14ac:dyDescent="0.2">
      <c r="A54" s="4">
        <v>42036</v>
      </c>
      <c r="B54" s="3">
        <v>49.6</v>
      </c>
    </row>
    <row r="55" spans="1:2" x14ac:dyDescent="0.2">
      <c r="A55" s="4">
        <v>42064</v>
      </c>
      <c r="B55" s="3">
        <v>46.2</v>
      </c>
    </row>
    <row r="56" spans="1:2" x14ac:dyDescent="0.2">
      <c r="A56" s="4">
        <v>42095</v>
      </c>
      <c r="B56" s="3">
        <v>46</v>
      </c>
    </row>
    <row r="57" spans="1:2" x14ac:dyDescent="0.2">
      <c r="A57" s="4">
        <v>42125</v>
      </c>
      <c r="B57" s="3">
        <v>45.9</v>
      </c>
    </row>
    <row r="58" spans="1:2" x14ac:dyDescent="0.2">
      <c r="A58" s="4">
        <v>42156</v>
      </c>
      <c r="B58" s="3">
        <v>46.5</v>
      </c>
    </row>
    <row r="59" spans="1:2" x14ac:dyDescent="0.2">
      <c r="A59" s="4">
        <v>42186</v>
      </c>
      <c r="B59" s="3">
        <v>47.2</v>
      </c>
    </row>
    <row r="60" spans="1:2" x14ac:dyDescent="0.2">
      <c r="A60" s="4">
        <v>42217</v>
      </c>
      <c r="B60" s="3">
        <v>45.8</v>
      </c>
    </row>
    <row r="61" spans="1:2" x14ac:dyDescent="0.2">
      <c r="A61" s="4">
        <v>42248</v>
      </c>
      <c r="B61" s="3">
        <v>47</v>
      </c>
    </row>
    <row r="62" spans="1:2" x14ac:dyDescent="0.2">
      <c r="A62" s="4">
        <v>42278</v>
      </c>
      <c r="B62" s="3">
        <v>44.1</v>
      </c>
    </row>
    <row r="63" spans="1:2" x14ac:dyDescent="0.2">
      <c r="A63" s="4">
        <v>42309</v>
      </c>
      <c r="B63" s="3">
        <v>43.8</v>
      </c>
    </row>
    <row r="64" spans="1:2" x14ac:dyDescent="0.2">
      <c r="A64" s="4">
        <v>42339</v>
      </c>
      <c r="B64" s="3">
        <v>45.6</v>
      </c>
    </row>
    <row r="65" spans="1:2" x14ac:dyDescent="0.2">
      <c r="A65" s="4">
        <v>42370</v>
      </c>
      <c r="B65" s="3">
        <v>47.4</v>
      </c>
    </row>
    <row r="66" spans="1:2" x14ac:dyDescent="0.2">
      <c r="A66" s="4">
        <v>42401</v>
      </c>
      <c r="B66" s="3">
        <v>44.5</v>
      </c>
    </row>
    <row r="67" spans="1:2" x14ac:dyDescent="0.2">
      <c r="A67" s="4">
        <v>42430</v>
      </c>
      <c r="B67" s="3">
        <v>46</v>
      </c>
    </row>
    <row r="68" spans="1:2" x14ac:dyDescent="0.2">
      <c r="A68" s="4">
        <v>42461</v>
      </c>
      <c r="B68" s="3">
        <v>42.6</v>
      </c>
    </row>
    <row r="69" spans="1:2" x14ac:dyDescent="0.2">
      <c r="A69" s="4">
        <v>42491</v>
      </c>
      <c r="B69" s="3">
        <v>41.6</v>
      </c>
    </row>
    <row r="70" spans="1:2" x14ac:dyDescent="0.2">
      <c r="A70" s="4">
        <v>42522</v>
      </c>
      <c r="B70" s="3">
        <v>43.2</v>
      </c>
    </row>
    <row r="71" spans="1:2" x14ac:dyDescent="0.2">
      <c r="A71" s="4">
        <v>42552</v>
      </c>
      <c r="B71" s="3">
        <v>46</v>
      </c>
    </row>
    <row r="72" spans="1:2" x14ac:dyDescent="0.2">
      <c r="A72" s="4">
        <v>42583</v>
      </c>
      <c r="B72" s="3">
        <v>45.7</v>
      </c>
    </row>
    <row r="73" spans="1:2" x14ac:dyDescent="0.2">
      <c r="A73" s="4">
        <v>42614</v>
      </c>
      <c r="B73" s="3">
        <v>46</v>
      </c>
    </row>
    <row r="74" spans="1:2" x14ac:dyDescent="0.2">
      <c r="A74" s="4">
        <v>42644</v>
      </c>
      <c r="B74" s="3">
        <v>46.3</v>
      </c>
    </row>
    <row r="75" spans="1:2" x14ac:dyDescent="0.2">
      <c r="A75" s="4">
        <v>42675</v>
      </c>
      <c r="B75" s="3">
        <v>46.2</v>
      </c>
    </row>
    <row r="76" spans="1:2" x14ac:dyDescent="0.2">
      <c r="A76" s="4">
        <v>42705</v>
      </c>
      <c r="B76" s="3">
        <v>45.2</v>
      </c>
    </row>
    <row r="77" spans="1:2" x14ac:dyDescent="0.2">
      <c r="A77" s="4">
        <v>42736</v>
      </c>
      <c r="B77" s="3">
        <v>44</v>
      </c>
    </row>
    <row r="78" spans="1:2" x14ac:dyDescent="0.2">
      <c r="A78" s="4">
        <v>42767</v>
      </c>
      <c r="B78" s="3">
        <v>46.9</v>
      </c>
    </row>
    <row r="79" spans="1:2" x14ac:dyDescent="0.2">
      <c r="A79" s="4">
        <v>42795</v>
      </c>
      <c r="B79" s="3">
        <v>49.6</v>
      </c>
    </row>
    <row r="80" spans="1:2" x14ac:dyDescent="0.2">
      <c r="A80" s="4">
        <v>42826</v>
      </c>
      <c r="B80" s="3">
        <v>50.1</v>
      </c>
    </row>
    <row r="81" spans="1:2" x14ac:dyDescent="0.2">
      <c r="A81" s="4">
        <v>42856</v>
      </c>
      <c r="B81" s="3">
        <v>52</v>
      </c>
    </row>
    <row r="82" spans="1:2" x14ac:dyDescent="0.2">
      <c r="A82" s="4">
        <v>42887</v>
      </c>
      <c r="B82" s="3">
        <v>50.5</v>
      </c>
    </row>
    <row r="83" spans="1:2" x14ac:dyDescent="0.2">
      <c r="A83" s="4">
        <v>42917</v>
      </c>
      <c r="B83" s="3">
        <v>50</v>
      </c>
    </row>
    <row r="84" spans="1:2" x14ac:dyDescent="0.2">
      <c r="A84" s="4">
        <v>42948</v>
      </c>
      <c r="B84" s="3">
        <v>50.9</v>
      </c>
    </row>
    <row r="85" spans="1:2" x14ac:dyDescent="0.2">
      <c r="A85" s="4">
        <v>42979</v>
      </c>
      <c r="B85" s="3">
        <v>50.9</v>
      </c>
    </row>
    <row r="86" spans="1:2" x14ac:dyDescent="0.2">
      <c r="A86" s="4">
        <v>43009</v>
      </c>
      <c r="B86" s="3">
        <v>51.2</v>
      </c>
    </row>
    <row r="87" spans="1:2" x14ac:dyDescent="0.2">
      <c r="A87" s="4">
        <v>43040</v>
      </c>
      <c r="B87" s="3">
        <v>53.5</v>
      </c>
    </row>
    <row r="88" spans="1:2" x14ac:dyDescent="0.2">
      <c r="A88" s="4">
        <v>43070</v>
      </c>
      <c r="B88" s="3">
        <v>52.4</v>
      </c>
    </row>
    <row r="89" spans="1:2" x14ac:dyDescent="0.2">
      <c r="A89" s="4">
        <v>43101</v>
      </c>
      <c r="B89" s="3">
        <v>51.2</v>
      </c>
    </row>
    <row r="90" spans="1:2" x14ac:dyDescent="0.2">
      <c r="A90" s="4">
        <v>43132</v>
      </c>
      <c r="B90" s="3">
        <v>53.2</v>
      </c>
    </row>
    <row r="91" spans="1:2" x14ac:dyDescent="0.2">
      <c r="A91" s="4">
        <v>43160</v>
      </c>
      <c r="B91" s="3">
        <v>53.4</v>
      </c>
    </row>
    <row r="92" spans="1:2" x14ac:dyDescent="0.2">
      <c r="A92" s="4">
        <v>43191</v>
      </c>
      <c r="B92" s="3">
        <v>52.3</v>
      </c>
    </row>
    <row r="93" spans="1:2" x14ac:dyDescent="0.2">
      <c r="A93" s="4">
        <v>43221</v>
      </c>
      <c r="B93" s="3">
        <v>50.7</v>
      </c>
    </row>
    <row r="94" spans="1:2" x14ac:dyDescent="0.2">
      <c r="A94" s="4">
        <v>43252</v>
      </c>
      <c r="B94" s="3">
        <v>49.8</v>
      </c>
    </row>
    <row r="95" spans="1:2" x14ac:dyDescent="0.2">
      <c r="A95" s="4">
        <v>43282</v>
      </c>
      <c r="B95" s="3">
        <v>50.5</v>
      </c>
    </row>
    <row r="96" spans="1:2" x14ac:dyDescent="0.2">
      <c r="A96" s="4">
        <v>43313</v>
      </c>
      <c r="B96" s="3">
        <v>51.1</v>
      </c>
    </row>
    <row r="97" spans="1:2" x14ac:dyDescent="0.2">
      <c r="A97" s="4">
        <v>43344</v>
      </c>
      <c r="B97" s="3">
        <v>50.9</v>
      </c>
    </row>
    <row r="98" spans="1:2" x14ac:dyDescent="0.2">
      <c r="A98" s="4">
        <v>43374</v>
      </c>
      <c r="B98" s="3">
        <v>51.1</v>
      </c>
    </row>
    <row r="99" spans="1:2" x14ac:dyDescent="0.2">
      <c r="A99" s="4">
        <v>43405</v>
      </c>
      <c r="B99" s="3">
        <v>52.7</v>
      </c>
    </row>
    <row r="100" spans="1:2" x14ac:dyDescent="0.2">
      <c r="A100" s="4">
        <v>43435</v>
      </c>
      <c r="B100" s="3">
        <v>52.6</v>
      </c>
    </row>
    <row r="101" spans="1:2" x14ac:dyDescent="0.2">
      <c r="A101" s="4">
        <v>43466</v>
      </c>
      <c r="B101" s="3">
        <v>52.7</v>
      </c>
    </row>
    <row r="102" spans="1:2" x14ac:dyDescent="0.2">
      <c r="A102" s="4">
        <v>43497</v>
      </c>
      <c r="B102" s="3">
        <v>53.4</v>
      </c>
    </row>
    <row r="103" spans="1:2" x14ac:dyDescent="0.2">
      <c r="A103" s="4">
        <v>43525</v>
      </c>
      <c r="B103" s="3">
        <v>52.8</v>
      </c>
    </row>
    <row r="104" spans="1:2" x14ac:dyDescent="0.2">
      <c r="A104" s="4">
        <v>43556</v>
      </c>
      <c r="B104" s="3">
        <v>51.5</v>
      </c>
    </row>
    <row r="105" spans="1:2" x14ac:dyDescent="0.2">
      <c r="A105" s="4">
        <v>43586</v>
      </c>
      <c r="B105" s="3">
        <v>50.2</v>
      </c>
    </row>
    <row r="106" spans="1:2" x14ac:dyDescent="0.2">
      <c r="A106" s="4">
        <v>43617</v>
      </c>
      <c r="B106" s="3">
        <v>51</v>
      </c>
    </row>
    <row r="107" spans="1:2" x14ac:dyDescent="0.2">
      <c r="A107" s="4">
        <v>43647</v>
      </c>
      <c r="B107" s="3">
        <v>49.9</v>
      </c>
    </row>
    <row r="108" spans="1:2" x14ac:dyDescent="0.2">
      <c r="A108" s="4">
        <v>43678</v>
      </c>
      <c r="B108" s="3">
        <v>52.5</v>
      </c>
    </row>
    <row r="109" spans="1:2" x14ac:dyDescent="0.2">
      <c r="A109" s="4">
        <v>43709</v>
      </c>
      <c r="B109" s="3">
        <v>53.4</v>
      </c>
    </row>
    <row r="110" spans="1:2" x14ac:dyDescent="0.2">
      <c r="A110" s="4">
        <v>43739</v>
      </c>
      <c r="B110" s="3">
        <v>52.2</v>
      </c>
    </row>
    <row r="111" spans="1:2" x14ac:dyDescent="0.2">
      <c r="A111" s="4">
        <v>43770</v>
      </c>
      <c r="B111" s="3">
        <v>52.9</v>
      </c>
    </row>
    <row r="112" spans="1:2" x14ac:dyDescent="0.2">
      <c r="A112" s="4">
        <v>43800</v>
      </c>
      <c r="B112" s="3">
        <v>50.2</v>
      </c>
    </row>
    <row r="113" spans="1:2" x14ac:dyDescent="0.2">
      <c r="A113" s="4">
        <v>43831</v>
      </c>
      <c r="B113" s="3">
        <v>51</v>
      </c>
    </row>
    <row r="114" spans="1:2" x14ac:dyDescent="0.2">
      <c r="A114" s="4">
        <v>43862</v>
      </c>
      <c r="B114" s="3">
        <v>52.3</v>
      </c>
    </row>
    <row r="115" spans="1:2" x14ac:dyDescent="0.2">
      <c r="A115" s="4">
        <v>43891</v>
      </c>
      <c r="B115" s="3">
        <v>48.4</v>
      </c>
    </row>
    <row r="116" spans="1:2" x14ac:dyDescent="0.2">
      <c r="A116" s="4">
        <v>43922</v>
      </c>
      <c r="B116" s="3">
        <v>36</v>
      </c>
    </row>
    <row r="117" spans="1:2" x14ac:dyDescent="0.2">
      <c r="A117" s="4">
        <v>43952</v>
      </c>
      <c r="B117" s="3">
        <v>38.299999999999997</v>
      </c>
    </row>
    <row r="118" spans="1:2" x14ac:dyDescent="0.2">
      <c r="A118" s="4">
        <v>43983</v>
      </c>
      <c r="B118" s="3">
        <v>51.6</v>
      </c>
    </row>
    <row r="119" spans="1:2" x14ac:dyDescent="0.2">
      <c r="A119" s="4">
        <v>44013</v>
      </c>
      <c r="B119" s="3">
        <v>58.2</v>
      </c>
    </row>
    <row r="120" spans="1:2" x14ac:dyDescent="0.2">
      <c r="A120" s="4">
        <v>44044</v>
      </c>
      <c r="B120" s="3">
        <v>64.7</v>
      </c>
    </row>
    <row r="121" spans="1:2" x14ac:dyDescent="0.2">
      <c r="A121" s="4">
        <v>44075</v>
      </c>
      <c r="B121" s="3">
        <v>64.900000000000006</v>
      </c>
    </row>
    <row r="122" spans="1:2" x14ac:dyDescent="0.2">
      <c r="A122" s="4">
        <v>44105</v>
      </c>
      <c r="B122" s="3">
        <v>66.7</v>
      </c>
    </row>
    <row r="123" spans="1:2" x14ac:dyDescent="0.2">
      <c r="A123" s="4">
        <v>44136</v>
      </c>
      <c r="B123" s="3">
        <v>64</v>
      </c>
    </row>
    <row r="124" spans="1:2" x14ac:dyDescent="0.2">
      <c r="A124" s="4">
        <v>44166</v>
      </c>
      <c r="B124" s="3">
        <v>61.5</v>
      </c>
    </row>
    <row r="125" spans="1:2" x14ac:dyDescent="0.2">
      <c r="A125" s="4">
        <v>44197</v>
      </c>
      <c r="B125" s="3">
        <v>56.5</v>
      </c>
    </row>
    <row r="126" spans="1:2" x14ac:dyDescent="0.2">
      <c r="A126" s="4">
        <v>44228</v>
      </c>
      <c r="B126" s="3">
        <v>58.4</v>
      </c>
    </row>
    <row r="127" spans="1:2" x14ac:dyDescent="0.2">
      <c r="A127" s="4">
        <v>44256</v>
      </c>
      <c r="B127" s="3">
        <v>52.8</v>
      </c>
    </row>
    <row r="128" spans="1:2" x14ac:dyDescent="0.2">
      <c r="A128" s="4">
        <v>44287</v>
      </c>
      <c r="B128" s="3">
        <v>52.3</v>
      </c>
    </row>
    <row r="129" spans="1:2" x14ac:dyDescent="0.2">
      <c r="A129" s="4">
        <v>44317</v>
      </c>
      <c r="B129" s="3">
        <v>53.7</v>
      </c>
    </row>
    <row r="130" spans="1:2" x14ac:dyDescent="0.2">
      <c r="A130" s="4">
        <v>44348</v>
      </c>
      <c r="B130" s="3">
        <v>56.4</v>
      </c>
    </row>
    <row r="131" spans="1:2" x14ac:dyDescent="0.2">
      <c r="A131" s="4">
        <v>44378</v>
      </c>
      <c r="B131" s="3">
        <v>56.7</v>
      </c>
    </row>
    <row r="132" spans="1:2" x14ac:dyDescent="0.2">
      <c r="A132" s="4">
        <v>44409</v>
      </c>
      <c r="B132" s="3">
        <v>53.6</v>
      </c>
    </row>
    <row r="133" spans="1:2" x14ac:dyDescent="0.2">
      <c r="A133" s="4">
        <v>44440</v>
      </c>
      <c r="B133" s="3">
        <v>54.4</v>
      </c>
    </row>
    <row r="134" spans="1:2" x14ac:dyDescent="0.2">
      <c r="A134" s="4">
        <v>44470</v>
      </c>
      <c r="B134" s="3">
        <v>51.7</v>
      </c>
    </row>
    <row r="135" spans="1:2" x14ac:dyDescent="0.2">
      <c r="A135" s="4">
        <v>44501</v>
      </c>
      <c r="B135" s="3">
        <v>49.8</v>
      </c>
    </row>
    <row r="136" spans="1:2" x14ac:dyDescent="0.2">
      <c r="A136" s="4">
        <v>44531</v>
      </c>
      <c r="B136" s="3">
        <v>49.8</v>
      </c>
    </row>
  </sheetData>
  <conditionalFormatting sqref="B2:B13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2F9D68-7578-418C-8312-939C973F3948}">
  <dimension ref="A1:B130"/>
  <sheetViews>
    <sheetView zoomScale="170" zoomScaleNormal="170" workbookViewId="0">
      <pane ySplit="1" topLeftCell="A2" activePane="bottomLeft" state="frozen"/>
      <selection pane="bottomLeft" activeCell="J110" sqref="J110"/>
    </sheetView>
  </sheetViews>
  <sheetFormatPr baseColWidth="10" defaultColWidth="9.1640625" defaultRowHeight="15" x14ac:dyDescent="0.2"/>
  <cols>
    <col min="1" max="1" width="13.5" style="2" customWidth="1"/>
    <col min="2" max="2" width="11.33203125" style="2" customWidth="1"/>
    <col min="3" max="16384" width="9.1640625" style="2"/>
  </cols>
  <sheetData>
    <row r="1" spans="1:2" ht="16" thickBot="1" x14ac:dyDescent="0.25">
      <c r="A1" s="11" t="s">
        <v>0</v>
      </c>
      <c r="B1" s="12" t="s">
        <v>20</v>
      </c>
    </row>
    <row r="2" spans="1:2" x14ac:dyDescent="0.2">
      <c r="A2" s="8">
        <v>40634</v>
      </c>
      <c r="B2" s="9">
        <v>56.1</v>
      </c>
    </row>
    <row r="3" spans="1:2" x14ac:dyDescent="0.2">
      <c r="A3" s="4">
        <v>40664</v>
      </c>
      <c r="B3" s="3">
        <v>54.5</v>
      </c>
    </row>
    <row r="4" spans="1:2" x14ac:dyDescent="0.2">
      <c r="A4" s="4">
        <v>40695</v>
      </c>
      <c r="B4" s="3">
        <v>55.1</v>
      </c>
    </row>
    <row r="5" spans="1:2" x14ac:dyDescent="0.2">
      <c r="A5" s="4">
        <v>40725</v>
      </c>
      <c r="B5" s="3">
        <v>54.8</v>
      </c>
    </row>
    <row r="6" spans="1:2" x14ac:dyDescent="0.2">
      <c r="A6" s="4">
        <v>40756</v>
      </c>
      <c r="B6" s="3">
        <v>51.7</v>
      </c>
    </row>
    <row r="7" spans="1:2" x14ac:dyDescent="0.2">
      <c r="A7" s="4">
        <v>40787</v>
      </c>
      <c r="B7" s="3">
        <v>53.2</v>
      </c>
    </row>
    <row r="8" spans="1:2" x14ac:dyDescent="0.2">
      <c r="A8" s="4">
        <v>40817</v>
      </c>
      <c r="B8" s="3">
        <v>54.8</v>
      </c>
    </row>
    <row r="9" spans="1:2" x14ac:dyDescent="0.2">
      <c r="A9" s="4">
        <v>40848</v>
      </c>
      <c r="B9" s="3">
        <v>53.9</v>
      </c>
    </row>
    <row r="10" spans="1:2" x14ac:dyDescent="0.2">
      <c r="A10" s="4">
        <v>40878</v>
      </c>
      <c r="B10" s="3">
        <v>53.1</v>
      </c>
    </row>
    <row r="11" spans="1:2" x14ac:dyDescent="0.2">
      <c r="A11" s="4">
        <v>40909</v>
      </c>
      <c r="B11" s="3">
        <v>52.2</v>
      </c>
    </row>
    <row r="12" spans="1:2" x14ac:dyDescent="0.2">
      <c r="A12" s="4">
        <v>40940</v>
      </c>
      <c r="B12" s="3">
        <v>53.7</v>
      </c>
    </row>
    <row r="13" spans="1:2" x14ac:dyDescent="0.2">
      <c r="A13" s="4">
        <v>40969</v>
      </c>
      <c r="B13" s="3">
        <v>53.8</v>
      </c>
    </row>
    <row r="14" spans="1:2" x14ac:dyDescent="0.2">
      <c r="A14" s="4">
        <v>41000</v>
      </c>
      <c r="B14" s="3">
        <v>56.3</v>
      </c>
    </row>
    <row r="15" spans="1:2" x14ac:dyDescent="0.2">
      <c r="A15" s="4">
        <v>41030</v>
      </c>
      <c r="B15" s="3">
        <v>55.2</v>
      </c>
    </row>
    <row r="16" spans="1:2" x14ac:dyDescent="0.2">
      <c r="A16" s="4">
        <v>41061</v>
      </c>
      <c r="B16" s="3">
        <v>55.9</v>
      </c>
    </row>
    <row r="17" spans="1:2" x14ac:dyDescent="0.2">
      <c r="A17" s="4">
        <v>41091</v>
      </c>
      <c r="B17" s="3">
        <v>55.2</v>
      </c>
    </row>
    <row r="18" spans="1:2" x14ac:dyDescent="0.2">
      <c r="A18" s="4">
        <v>41122</v>
      </c>
      <c r="B18" s="3">
        <v>55.1</v>
      </c>
    </row>
    <row r="19" spans="1:2" x14ac:dyDescent="0.2">
      <c r="A19" s="4">
        <v>41153</v>
      </c>
      <c r="B19" s="3">
        <v>54.4</v>
      </c>
    </row>
    <row r="20" spans="1:2" x14ac:dyDescent="0.2">
      <c r="A20" s="4">
        <v>41183</v>
      </c>
      <c r="B20" s="3">
        <v>55.5</v>
      </c>
    </row>
    <row r="21" spans="1:2" x14ac:dyDescent="0.2">
      <c r="A21" s="4">
        <v>41214</v>
      </c>
      <c r="B21" s="3">
        <v>55.6</v>
      </c>
    </row>
    <row r="22" spans="1:2" x14ac:dyDescent="0.2">
      <c r="A22" s="4">
        <v>41244</v>
      </c>
      <c r="B22" s="3">
        <v>57.1</v>
      </c>
    </row>
    <row r="23" spans="1:2" x14ac:dyDescent="0.2">
      <c r="A23" s="4">
        <v>41275</v>
      </c>
      <c r="B23" s="3">
        <v>55</v>
      </c>
    </row>
    <row r="24" spans="1:2" x14ac:dyDescent="0.2">
      <c r="A24" s="4">
        <v>41306</v>
      </c>
      <c r="B24" s="3">
        <v>53.4</v>
      </c>
    </row>
    <row r="25" spans="1:2" x14ac:dyDescent="0.2">
      <c r="A25" s="4">
        <v>41334</v>
      </c>
      <c r="B25" s="3">
        <v>52.2</v>
      </c>
    </row>
    <row r="26" spans="1:2" x14ac:dyDescent="0.2">
      <c r="A26" s="4">
        <v>41365</v>
      </c>
      <c r="B26" s="3">
        <v>51.7</v>
      </c>
    </row>
    <row r="27" spans="1:2" x14ac:dyDescent="0.2">
      <c r="A27" s="4">
        <v>41395</v>
      </c>
      <c r="B27" s="3">
        <v>51.8</v>
      </c>
    </row>
    <row r="28" spans="1:2" x14ac:dyDescent="0.2">
      <c r="A28" s="4">
        <v>41426</v>
      </c>
      <c r="B28" s="3">
        <v>51.3</v>
      </c>
    </row>
    <row r="29" spans="1:2" x14ac:dyDescent="0.2">
      <c r="A29" s="4">
        <v>41456</v>
      </c>
      <c r="B29" s="3">
        <v>49.7</v>
      </c>
    </row>
    <row r="30" spans="1:2" x14ac:dyDescent="0.2">
      <c r="A30" s="4">
        <v>41487</v>
      </c>
      <c r="B30" s="3">
        <v>50.8</v>
      </c>
    </row>
    <row r="31" spans="1:2" x14ac:dyDescent="0.2">
      <c r="A31" s="4">
        <v>41518</v>
      </c>
      <c r="B31" s="3">
        <v>50</v>
      </c>
    </row>
    <row r="32" spans="1:2" x14ac:dyDescent="0.2">
      <c r="A32" s="4">
        <v>41548</v>
      </c>
      <c r="B32" s="3">
        <v>50.2</v>
      </c>
    </row>
    <row r="33" spans="1:2" x14ac:dyDescent="0.2">
      <c r="A33" s="4">
        <v>41579</v>
      </c>
      <c r="B33" s="3">
        <v>51.9</v>
      </c>
    </row>
    <row r="34" spans="1:2" x14ac:dyDescent="0.2">
      <c r="A34" s="4">
        <v>41609</v>
      </c>
      <c r="B34" s="3">
        <v>52.6</v>
      </c>
    </row>
    <row r="35" spans="1:2" x14ac:dyDescent="0.2">
      <c r="A35" s="4">
        <v>41640</v>
      </c>
      <c r="B35" s="3">
        <v>54</v>
      </c>
    </row>
    <row r="36" spans="1:2" x14ac:dyDescent="0.2">
      <c r="A36" s="4">
        <v>41671</v>
      </c>
      <c r="B36" s="3">
        <v>52</v>
      </c>
    </row>
    <row r="37" spans="1:2" x14ac:dyDescent="0.2">
      <c r="A37" s="4">
        <v>41699</v>
      </c>
      <c r="B37" s="3">
        <v>51.7</v>
      </c>
    </row>
    <row r="38" spans="1:2" x14ac:dyDescent="0.2">
      <c r="A38" s="4">
        <v>41730</v>
      </c>
      <c r="B38" s="3">
        <v>51.8</v>
      </c>
    </row>
    <row r="39" spans="1:2" x14ac:dyDescent="0.2">
      <c r="A39" s="4">
        <v>41760</v>
      </c>
      <c r="B39" s="3">
        <v>51.9</v>
      </c>
    </row>
    <row r="40" spans="1:2" x14ac:dyDescent="0.2">
      <c r="A40" s="4">
        <v>41791</v>
      </c>
      <c r="B40" s="3">
        <v>51.8</v>
      </c>
    </row>
    <row r="41" spans="1:2" x14ac:dyDescent="0.2">
      <c r="A41" s="4">
        <v>41821</v>
      </c>
      <c r="B41" s="3">
        <v>51.5</v>
      </c>
    </row>
    <row r="42" spans="1:2" x14ac:dyDescent="0.2">
      <c r="A42" s="4">
        <v>41852</v>
      </c>
      <c r="B42" s="3">
        <v>52.1</v>
      </c>
    </row>
    <row r="43" spans="1:2" x14ac:dyDescent="0.2">
      <c r="A43" s="4">
        <v>41883</v>
      </c>
      <c r="B43" s="3">
        <v>52.6</v>
      </c>
    </row>
    <row r="44" spans="1:2" x14ac:dyDescent="0.2">
      <c r="A44" s="4">
        <v>41913</v>
      </c>
      <c r="B44" s="3">
        <v>53.3</v>
      </c>
    </row>
    <row r="45" spans="1:2" x14ac:dyDescent="0.2">
      <c r="A45" s="4">
        <v>41944</v>
      </c>
      <c r="B45" s="3">
        <v>54.3</v>
      </c>
    </row>
    <row r="46" spans="1:2" x14ac:dyDescent="0.2">
      <c r="A46" s="4">
        <v>41974</v>
      </c>
      <c r="B46" s="3">
        <v>55.3</v>
      </c>
    </row>
    <row r="47" spans="1:2" x14ac:dyDescent="0.2">
      <c r="A47" s="4">
        <v>42005</v>
      </c>
      <c r="B47" s="3">
        <v>55.6</v>
      </c>
    </row>
    <row r="48" spans="1:2" x14ac:dyDescent="0.2">
      <c r="A48" s="4">
        <v>42036</v>
      </c>
      <c r="B48" s="3">
        <v>54.4</v>
      </c>
    </row>
    <row r="49" spans="1:2" x14ac:dyDescent="0.2">
      <c r="A49" s="4">
        <v>42064</v>
      </c>
      <c r="B49" s="3">
        <v>53.8</v>
      </c>
    </row>
    <row r="50" spans="1:2" x14ac:dyDescent="0.2">
      <c r="A50" s="4">
        <v>42095</v>
      </c>
      <c r="B50" s="3">
        <v>53.8</v>
      </c>
    </row>
    <row r="51" spans="1:2" x14ac:dyDescent="0.2">
      <c r="A51" s="4">
        <v>42125</v>
      </c>
      <c r="B51" s="3">
        <v>53.3</v>
      </c>
    </row>
    <row r="52" spans="1:2" x14ac:dyDescent="0.2">
      <c r="A52" s="4">
        <v>42156</v>
      </c>
      <c r="B52" s="3">
        <v>52</v>
      </c>
    </row>
    <row r="53" spans="1:2" x14ac:dyDescent="0.2">
      <c r="A53" s="4">
        <v>42186</v>
      </c>
      <c r="B53" s="3">
        <v>52.9</v>
      </c>
    </row>
    <row r="54" spans="1:2" x14ac:dyDescent="0.2">
      <c r="A54" s="4">
        <v>42217</v>
      </c>
      <c r="B54" s="3">
        <v>52.4</v>
      </c>
    </row>
    <row r="55" spans="1:2" x14ac:dyDescent="0.2">
      <c r="A55" s="4">
        <v>42248</v>
      </c>
      <c r="B55" s="3">
        <v>52.1</v>
      </c>
    </row>
    <row r="56" spans="1:2" x14ac:dyDescent="0.2">
      <c r="A56" s="4">
        <v>42278</v>
      </c>
      <c r="B56" s="3">
        <v>53</v>
      </c>
    </row>
    <row r="57" spans="1:2" x14ac:dyDescent="0.2">
      <c r="A57" s="4">
        <v>42309</v>
      </c>
      <c r="B57" s="3">
        <v>53</v>
      </c>
    </row>
    <row r="58" spans="1:2" x14ac:dyDescent="0.2">
      <c r="A58" s="4">
        <v>42339</v>
      </c>
      <c r="B58" s="3">
        <v>52.4</v>
      </c>
    </row>
    <row r="59" spans="1:2" x14ac:dyDescent="0.2">
      <c r="A59" s="4">
        <v>42370</v>
      </c>
      <c r="B59" s="3">
        <v>52.2</v>
      </c>
    </row>
    <row r="60" spans="1:2" x14ac:dyDescent="0.2">
      <c r="A60" s="4">
        <v>42401</v>
      </c>
      <c r="B60" s="3">
        <v>53.1</v>
      </c>
    </row>
    <row r="61" spans="1:2" x14ac:dyDescent="0.2">
      <c r="A61" s="4">
        <v>42430</v>
      </c>
      <c r="B61" s="3">
        <v>53.2</v>
      </c>
    </row>
    <row r="62" spans="1:2" x14ac:dyDescent="0.2">
      <c r="A62" s="4">
        <v>42461</v>
      </c>
      <c r="B62" s="3">
        <v>52.4</v>
      </c>
    </row>
    <row r="63" spans="1:2" x14ac:dyDescent="0.2">
      <c r="A63" s="4">
        <v>42491</v>
      </c>
      <c r="B63" s="3">
        <v>53.6</v>
      </c>
    </row>
    <row r="64" spans="1:2" x14ac:dyDescent="0.2">
      <c r="A64" s="4">
        <v>42522</v>
      </c>
      <c r="B64" s="3">
        <v>51.1</v>
      </c>
    </row>
    <row r="65" spans="1:2" x14ac:dyDescent="0.2">
      <c r="A65" s="4">
        <v>42552</v>
      </c>
      <c r="B65" s="3">
        <v>50.6</v>
      </c>
    </row>
    <row r="66" spans="1:2" x14ac:dyDescent="0.2">
      <c r="A66" s="4">
        <v>42583</v>
      </c>
      <c r="B66" s="3">
        <v>50.9</v>
      </c>
    </row>
    <row r="67" spans="1:2" x14ac:dyDescent="0.2">
      <c r="A67" s="4">
        <v>42614</v>
      </c>
      <c r="B67" s="3">
        <v>51.9</v>
      </c>
    </row>
    <row r="68" spans="1:2" x14ac:dyDescent="0.2">
      <c r="A68" s="4">
        <v>42644</v>
      </c>
      <c r="B68" s="3">
        <v>51.8</v>
      </c>
    </row>
    <row r="69" spans="1:2" x14ac:dyDescent="0.2">
      <c r="A69" s="4">
        <v>42675</v>
      </c>
      <c r="B69" s="3">
        <v>51.1</v>
      </c>
    </row>
    <row r="70" spans="1:2" x14ac:dyDescent="0.2">
      <c r="A70" s="4">
        <v>42705</v>
      </c>
      <c r="B70" s="3">
        <v>50.2</v>
      </c>
    </row>
    <row r="71" spans="1:2" x14ac:dyDescent="0.2">
      <c r="A71" s="4">
        <v>42736</v>
      </c>
      <c r="B71" s="3">
        <v>50.8</v>
      </c>
    </row>
    <row r="72" spans="1:2" x14ac:dyDescent="0.2">
      <c r="A72" s="4">
        <v>42767</v>
      </c>
      <c r="B72" s="3">
        <v>50.6</v>
      </c>
    </row>
    <row r="73" spans="1:2" x14ac:dyDescent="0.2">
      <c r="A73" s="4">
        <v>42795</v>
      </c>
      <c r="B73" s="3">
        <v>51.5</v>
      </c>
    </row>
    <row r="74" spans="1:2" x14ac:dyDescent="0.2">
      <c r="A74" s="4">
        <v>42826</v>
      </c>
      <c r="B74" s="3">
        <v>50.7</v>
      </c>
    </row>
    <row r="75" spans="1:2" x14ac:dyDescent="0.2">
      <c r="A75" s="4">
        <v>42856</v>
      </c>
      <c r="B75" s="3">
        <v>51.2</v>
      </c>
    </row>
    <row r="76" spans="1:2" x14ac:dyDescent="0.2">
      <c r="A76" s="4">
        <v>42887</v>
      </c>
      <c r="B76" s="3">
        <v>52.3</v>
      </c>
    </row>
    <row r="77" spans="1:2" x14ac:dyDescent="0.2">
      <c r="A77" s="4">
        <v>42917</v>
      </c>
      <c r="B77" s="3">
        <v>51.2</v>
      </c>
    </row>
    <row r="78" spans="1:2" x14ac:dyDescent="0.2">
      <c r="A78" s="4">
        <v>42948</v>
      </c>
      <c r="B78" s="3">
        <v>52.2</v>
      </c>
    </row>
    <row r="79" spans="1:2" x14ac:dyDescent="0.2">
      <c r="A79" s="4">
        <v>42979</v>
      </c>
      <c r="B79" s="3">
        <v>52.8</v>
      </c>
    </row>
    <row r="80" spans="1:2" x14ac:dyDescent="0.2">
      <c r="A80" s="4">
        <v>43009</v>
      </c>
      <c r="B80" s="3">
        <v>49.2</v>
      </c>
    </row>
    <row r="81" spans="1:2" x14ac:dyDescent="0.2">
      <c r="A81" s="4">
        <v>43040</v>
      </c>
      <c r="B81" s="3">
        <v>52.4</v>
      </c>
    </row>
    <row r="82" spans="1:2" x14ac:dyDescent="0.2">
      <c r="A82" s="4">
        <v>43070</v>
      </c>
      <c r="B82" s="3">
        <v>51.7</v>
      </c>
    </row>
    <row r="83" spans="1:2" x14ac:dyDescent="0.2">
      <c r="A83" s="4">
        <v>43101</v>
      </c>
      <c r="B83" s="3">
        <v>52.6</v>
      </c>
    </row>
    <row r="84" spans="1:2" x14ac:dyDescent="0.2">
      <c r="A84" s="4">
        <v>43132</v>
      </c>
      <c r="B84" s="3">
        <v>51.6</v>
      </c>
    </row>
    <row r="85" spans="1:2" x14ac:dyDescent="0.2">
      <c r="A85" s="4">
        <v>43160</v>
      </c>
      <c r="B85" s="3">
        <v>52.4</v>
      </c>
    </row>
    <row r="86" spans="1:2" x14ac:dyDescent="0.2">
      <c r="A86" s="4">
        <v>43191</v>
      </c>
      <c r="B86" s="3">
        <v>51.6</v>
      </c>
    </row>
    <row r="87" spans="1:2" x14ac:dyDescent="0.2">
      <c r="A87" s="4">
        <v>43221</v>
      </c>
      <c r="B87" s="3">
        <v>51</v>
      </c>
    </row>
    <row r="88" spans="1:2" x14ac:dyDescent="0.2">
      <c r="A88" s="4">
        <v>43252</v>
      </c>
      <c r="B88" s="3">
        <v>52.1</v>
      </c>
    </row>
    <row r="89" spans="1:2" x14ac:dyDescent="0.2">
      <c r="A89" s="4">
        <v>43282</v>
      </c>
      <c r="B89" s="3">
        <v>52.1</v>
      </c>
    </row>
    <row r="90" spans="1:2" x14ac:dyDescent="0.2">
      <c r="A90" s="4">
        <v>43313</v>
      </c>
      <c r="B90" s="3">
        <v>50.7</v>
      </c>
    </row>
    <row r="91" spans="1:2" x14ac:dyDescent="0.2">
      <c r="A91" s="4">
        <v>43344</v>
      </c>
      <c r="B91" s="3">
        <v>51.7</v>
      </c>
    </row>
    <row r="92" spans="1:2" x14ac:dyDescent="0.2">
      <c r="A92" s="4">
        <v>43374</v>
      </c>
      <c r="B92" s="3">
        <v>50.7</v>
      </c>
    </row>
    <row r="93" spans="1:2" x14ac:dyDescent="0.2">
      <c r="A93" s="4">
        <v>43405</v>
      </c>
      <c r="B93" s="3">
        <v>49.7</v>
      </c>
    </row>
    <row r="94" spans="1:2" x14ac:dyDescent="0.2">
      <c r="A94" s="4">
        <v>43435</v>
      </c>
      <c r="B94" s="3">
        <v>49.7</v>
      </c>
    </row>
    <row r="95" spans="1:2" x14ac:dyDescent="0.2">
      <c r="A95" s="4">
        <v>43466</v>
      </c>
      <c r="B95" s="3">
        <v>50.9</v>
      </c>
    </row>
    <row r="96" spans="1:2" x14ac:dyDescent="0.2">
      <c r="A96" s="4">
        <v>43497</v>
      </c>
      <c r="B96" s="3">
        <v>52.6</v>
      </c>
    </row>
    <row r="97" spans="1:2" x14ac:dyDescent="0.2">
      <c r="A97" s="4">
        <v>43525</v>
      </c>
      <c r="B97" s="3">
        <v>49.8</v>
      </c>
    </row>
    <row r="98" spans="1:2" x14ac:dyDescent="0.2">
      <c r="A98" s="4">
        <v>43556</v>
      </c>
      <c r="B98" s="3">
        <v>50.1</v>
      </c>
    </row>
    <row r="99" spans="1:2" x14ac:dyDescent="0.2">
      <c r="A99" s="4">
        <v>43586</v>
      </c>
      <c r="B99" s="3">
        <v>50</v>
      </c>
    </row>
    <row r="100" spans="1:2" x14ac:dyDescent="0.2">
      <c r="A100" s="4">
        <v>43617</v>
      </c>
      <c r="B100" s="3">
        <v>49.2</v>
      </c>
    </row>
    <row r="101" spans="1:2" x14ac:dyDescent="0.2">
      <c r="A101" s="4">
        <v>43647</v>
      </c>
      <c r="B101" s="3">
        <v>49.8</v>
      </c>
    </row>
    <row r="102" spans="1:2" x14ac:dyDescent="0.2">
      <c r="A102" s="4">
        <v>43678</v>
      </c>
      <c r="B102" s="3">
        <v>49</v>
      </c>
    </row>
    <row r="103" spans="1:2" x14ac:dyDescent="0.2">
      <c r="A103" s="4">
        <v>43709</v>
      </c>
      <c r="B103" s="3">
        <v>49.1</v>
      </c>
    </row>
    <row r="104" spans="1:2" x14ac:dyDescent="0.2">
      <c r="A104" s="4">
        <v>43739</v>
      </c>
      <c r="B104" s="3">
        <v>50.4</v>
      </c>
    </row>
    <row r="105" spans="1:2" x14ac:dyDescent="0.2">
      <c r="A105" s="4">
        <v>43770</v>
      </c>
      <c r="B105" s="3">
        <v>48</v>
      </c>
    </row>
    <row r="106" spans="1:2" x14ac:dyDescent="0.2">
      <c r="A106" s="4">
        <v>43800</v>
      </c>
      <c r="B106" s="3">
        <v>47.1</v>
      </c>
    </row>
    <row r="107" spans="1:2" x14ac:dyDescent="0.2">
      <c r="A107" s="4">
        <v>43831</v>
      </c>
      <c r="B107" s="3">
        <v>49</v>
      </c>
    </row>
    <row r="108" spans="1:2" x14ac:dyDescent="0.2">
      <c r="A108" s="4">
        <v>43862</v>
      </c>
      <c r="B108" s="3">
        <v>50</v>
      </c>
    </row>
    <row r="109" spans="1:2" x14ac:dyDescent="0.2">
      <c r="A109" s="4">
        <v>43891</v>
      </c>
      <c r="B109" s="3">
        <v>46.9</v>
      </c>
    </row>
    <row r="110" spans="1:2" x14ac:dyDescent="0.2">
      <c r="A110" s="4">
        <v>43922</v>
      </c>
      <c r="B110" s="3">
        <v>35</v>
      </c>
    </row>
    <row r="111" spans="1:2" x14ac:dyDescent="0.2">
      <c r="A111" s="4">
        <v>43952</v>
      </c>
      <c r="B111" s="3">
        <v>38.299999999999997</v>
      </c>
    </row>
    <row r="112" spans="1:2" x14ac:dyDescent="0.2">
      <c r="A112" s="4">
        <v>43983</v>
      </c>
      <c r="B112" s="3">
        <v>38.6</v>
      </c>
    </row>
    <row r="113" spans="1:2" x14ac:dyDescent="0.2">
      <c r="A113" s="4">
        <v>44013</v>
      </c>
      <c r="B113" s="3">
        <v>40.4</v>
      </c>
    </row>
    <row r="114" spans="1:2" x14ac:dyDescent="0.2">
      <c r="A114" s="4">
        <v>44044</v>
      </c>
      <c r="B114" s="3">
        <v>41.3</v>
      </c>
    </row>
    <row r="115" spans="1:2" x14ac:dyDescent="0.2">
      <c r="A115" s="4">
        <v>44075</v>
      </c>
      <c r="B115" s="3">
        <v>42.1</v>
      </c>
    </row>
    <row r="116" spans="1:2" x14ac:dyDescent="0.2">
      <c r="A116" s="4">
        <v>44105</v>
      </c>
      <c r="B116" s="3">
        <v>43.6</v>
      </c>
    </row>
    <row r="117" spans="1:2" x14ac:dyDescent="0.2">
      <c r="A117" s="4">
        <v>44136</v>
      </c>
      <c r="B117" s="3">
        <v>43.7</v>
      </c>
    </row>
    <row r="118" spans="1:2" x14ac:dyDescent="0.2">
      <c r="A118" s="4">
        <v>44166</v>
      </c>
      <c r="B118" s="3">
        <v>42.4</v>
      </c>
    </row>
    <row r="119" spans="1:2" x14ac:dyDescent="0.2">
      <c r="A119" s="4">
        <v>44197</v>
      </c>
      <c r="B119" s="3">
        <v>43</v>
      </c>
    </row>
    <row r="120" spans="1:2" x14ac:dyDescent="0.2">
      <c r="A120" s="4">
        <v>44228</v>
      </c>
      <c r="B120" s="3">
        <v>44.2</v>
      </c>
    </row>
    <row r="121" spans="1:2" x14ac:dyDescent="0.2">
      <c r="A121" s="4">
        <v>44256</v>
      </c>
      <c r="B121" s="3">
        <v>45.6</v>
      </c>
    </row>
    <row r="122" spans="1:2" x14ac:dyDescent="0.2">
      <c r="A122" s="4">
        <v>44287</v>
      </c>
      <c r="B122" s="3">
        <v>48.4</v>
      </c>
    </row>
    <row r="123" spans="1:2" x14ac:dyDescent="0.2">
      <c r="A123" s="4">
        <v>44317</v>
      </c>
      <c r="B123" s="3">
        <v>47.6</v>
      </c>
    </row>
    <row r="124" spans="1:2" x14ac:dyDescent="0.2">
      <c r="A124" s="4">
        <v>44348</v>
      </c>
      <c r="B124" s="3">
        <v>48.8</v>
      </c>
    </row>
    <row r="125" spans="1:2" x14ac:dyDescent="0.2">
      <c r="A125" s="4">
        <v>44378</v>
      </c>
      <c r="B125" s="3">
        <v>49.6</v>
      </c>
    </row>
    <row r="126" spans="1:2" x14ac:dyDescent="0.2">
      <c r="A126" s="4">
        <v>44409</v>
      </c>
      <c r="B126" s="3">
        <v>47.1</v>
      </c>
    </row>
    <row r="127" spans="1:2" x14ac:dyDescent="0.2">
      <c r="A127" s="4">
        <v>44440</v>
      </c>
      <c r="B127" s="3">
        <v>48.6</v>
      </c>
    </row>
    <row r="128" spans="1:2" x14ac:dyDescent="0.2">
      <c r="A128" s="4">
        <v>44470</v>
      </c>
      <c r="B128" s="3">
        <v>49.3</v>
      </c>
    </row>
    <row r="129" spans="1:2" x14ac:dyDescent="0.2">
      <c r="A129" s="4">
        <v>44501</v>
      </c>
      <c r="B129" s="3">
        <v>49.4</v>
      </c>
    </row>
    <row r="130" spans="1:2" x14ac:dyDescent="0.2">
      <c r="A130" s="4">
        <v>44531</v>
      </c>
      <c r="B130" s="3">
        <v>49.4</v>
      </c>
    </row>
  </sheetData>
  <conditionalFormatting sqref="B2:B13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6EAAF-85E9-4FED-84F7-922EDC9327DE}">
  <dimension ref="A1:B136"/>
  <sheetViews>
    <sheetView zoomScale="160" zoomScaleNormal="160" workbookViewId="0">
      <pane ySplit="1" topLeftCell="A2" activePane="bottomLeft" state="frozen"/>
      <selection pane="bottomLeft" activeCell="M117" sqref="M117"/>
    </sheetView>
  </sheetViews>
  <sheetFormatPr baseColWidth="10" defaultColWidth="9.1640625" defaultRowHeight="15" x14ac:dyDescent="0.2"/>
  <cols>
    <col min="1" max="1" width="13.5" style="2" customWidth="1"/>
    <col min="2" max="2" width="11.33203125" style="2" customWidth="1"/>
    <col min="3" max="16384" width="9.1640625" style="2"/>
  </cols>
  <sheetData>
    <row r="1" spans="1:2" ht="16" thickBot="1" x14ac:dyDescent="0.25">
      <c r="A1" s="11" t="s">
        <v>0</v>
      </c>
      <c r="B1" s="12" t="s">
        <v>19</v>
      </c>
    </row>
    <row r="2" spans="1:2" x14ac:dyDescent="0.2">
      <c r="A2" s="8">
        <v>40452</v>
      </c>
      <c r="B2" s="9">
        <v>51.8</v>
      </c>
    </row>
    <row r="3" spans="1:2" x14ac:dyDescent="0.2">
      <c r="A3" s="4">
        <v>40483</v>
      </c>
      <c r="B3" s="3">
        <v>51.1</v>
      </c>
    </row>
    <row r="4" spans="1:2" x14ac:dyDescent="0.2">
      <c r="A4" s="4">
        <v>40513</v>
      </c>
      <c r="B4" s="3">
        <v>53.5</v>
      </c>
    </row>
    <row r="5" spans="1:2" x14ac:dyDescent="0.2">
      <c r="A5" s="4">
        <v>40544</v>
      </c>
      <c r="B5" s="3">
        <v>53.5</v>
      </c>
    </row>
    <row r="6" spans="1:2" x14ac:dyDescent="0.2">
      <c r="A6" s="4">
        <v>40575</v>
      </c>
      <c r="B6" s="3">
        <v>56.4</v>
      </c>
    </row>
    <row r="7" spans="1:2" x14ac:dyDescent="0.2">
      <c r="A7" s="4">
        <v>40603</v>
      </c>
      <c r="B7" s="3">
        <v>55.1</v>
      </c>
    </row>
    <row r="8" spans="1:2" x14ac:dyDescent="0.2">
      <c r="A8" s="4">
        <v>40634</v>
      </c>
      <c r="B8" s="3">
        <v>52.1</v>
      </c>
    </row>
    <row r="9" spans="1:2" x14ac:dyDescent="0.2">
      <c r="A9" s="4">
        <v>40664</v>
      </c>
      <c r="B9" s="3">
        <v>50.9</v>
      </c>
    </row>
    <row r="10" spans="1:2" x14ac:dyDescent="0.2">
      <c r="A10" s="4">
        <v>40695</v>
      </c>
      <c r="B10" s="3">
        <v>50.6</v>
      </c>
    </row>
    <row r="11" spans="1:2" x14ac:dyDescent="0.2">
      <c r="A11" s="4">
        <v>40725</v>
      </c>
      <c r="B11" s="3">
        <v>49.8</v>
      </c>
    </row>
    <row r="12" spans="1:2" x14ac:dyDescent="0.2">
      <c r="A12" s="4">
        <v>40756</v>
      </c>
      <c r="B12" s="3">
        <v>49.9</v>
      </c>
    </row>
    <row r="13" spans="1:2" x14ac:dyDescent="0.2">
      <c r="A13" s="4">
        <v>40787</v>
      </c>
      <c r="B13" s="3">
        <v>50</v>
      </c>
    </row>
    <row r="14" spans="1:2" x14ac:dyDescent="0.2">
      <c r="A14" s="4">
        <v>40817</v>
      </c>
      <c r="B14" s="3">
        <v>50.4</v>
      </c>
    </row>
    <row r="15" spans="1:2" x14ac:dyDescent="0.2">
      <c r="A15" s="4">
        <v>40848</v>
      </c>
      <c r="B15" s="3">
        <v>52.6</v>
      </c>
    </row>
    <row r="16" spans="1:2" x14ac:dyDescent="0.2">
      <c r="A16" s="4">
        <v>40878</v>
      </c>
      <c r="B16" s="3">
        <v>51.6</v>
      </c>
    </row>
    <row r="17" spans="1:2" x14ac:dyDescent="0.2">
      <c r="A17" s="4">
        <v>40909</v>
      </c>
      <c r="B17" s="3">
        <v>50.8</v>
      </c>
    </row>
    <row r="18" spans="1:2" x14ac:dyDescent="0.2">
      <c r="A18" s="4">
        <v>40940</v>
      </c>
      <c r="B18" s="3">
        <v>50.7</v>
      </c>
    </row>
    <row r="19" spans="1:2" x14ac:dyDescent="0.2">
      <c r="A19" s="4">
        <v>40969</v>
      </c>
      <c r="B19" s="3">
        <v>50.8</v>
      </c>
    </row>
    <row r="20" spans="1:2" x14ac:dyDescent="0.2">
      <c r="A20" s="4">
        <v>41000</v>
      </c>
      <c r="B20" s="3">
        <v>52.9</v>
      </c>
    </row>
    <row r="21" spans="1:2" x14ac:dyDescent="0.2">
      <c r="A21" s="4">
        <v>41030</v>
      </c>
      <c r="B21" s="3">
        <v>53.2</v>
      </c>
    </row>
    <row r="22" spans="1:2" x14ac:dyDescent="0.2">
      <c r="A22" s="4">
        <v>41061</v>
      </c>
      <c r="B22" s="3">
        <v>51</v>
      </c>
    </row>
    <row r="23" spans="1:2" x14ac:dyDescent="0.2">
      <c r="A23" s="4">
        <v>41091</v>
      </c>
      <c r="B23" s="3">
        <v>52</v>
      </c>
    </row>
    <row r="24" spans="1:2" x14ac:dyDescent="0.2">
      <c r="A24" s="4">
        <v>41122</v>
      </c>
      <c r="B24" s="3">
        <v>51</v>
      </c>
    </row>
    <row r="25" spans="1:2" x14ac:dyDescent="0.2">
      <c r="A25" s="4">
        <v>41153</v>
      </c>
      <c r="B25" s="3">
        <v>52.4</v>
      </c>
    </row>
    <row r="26" spans="1:2" x14ac:dyDescent="0.2">
      <c r="A26" s="4">
        <v>41183</v>
      </c>
      <c r="B26" s="3">
        <v>52.9</v>
      </c>
    </row>
    <row r="27" spans="1:2" x14ac:dyDescent="0.2">
      <c r="A27" s="4">
        <v>41214</v>
      </c>
      <c r="B27" s="3">
        <v>52.2</v>
      </c>
    </row>
    <row r="28" spans="1:2" x14ac:dyDescent="0.2">
      <c r="A28" s="4">
        <v>41244</v>
      </c>
      <c r="B28" s="3">
        <v>50</v>
      </c>
    </row>
    <row r="29" spans="1:2" x14ac:dyDescent="0.2">
      <c r="A29" s="4">
        <v>41275</v>
      </c>
      <c r="B29" s="3">
        <v>52</v>
      </c>
    </row>
    <row r="30" spans="1:2" x14ac:dyDescent="0.2">
      <c r="A30" s="4">
        <v>41306</v>
      </c>
      <c r="B30" s="3">
        <v>52</v>
      </c>
    </row>
    <row r="31" spans="1:2" x14ac:dyDescent="0.2">
      <c r="A31" s="4">
        <v>41334</v>
      </c>
      <c r="B31" s="3">
        <v>50.8</v>
      </c>
    </row>
    <row r="32" spans="1:2" x14ac:dyDescent="0.2">
      <c r="A32" s="4">
        <v>41365</v>
      </c>
      <c r="B32" s="3">
        <v>50.6</v>
      </c>
    </row>
    <row r="33" spans="1:2" x14ac:dyDescent="0.2">
      <c r="A33" s="4">
        <v>41395</v>
      </c>
      <c r="B33" s="3">
        <v>50.4</v>
      </c>
    </row>
    <row r="34" spans="1:2" x14ac:dyDescent="0.2">
      <c r="A34" s="4">
        <v>41426</v>
      </c>
      <c r="B34" s="3">
        <v>51.7</v>
      </c>
    </row>
    <row r="35" spans="1:2" x14ac:dyDescent="0.2">
      <c r="A35" s="4">
        <v>41456</v>
      </c>
      <c r="B35" s="3">
        <v>49.2</v>
      </c>
    </row>
    <row r="36" spans="1:2" x14ac:dyDescent="0.2">
      <c r="A36" s="4">
        <v>41487</v>
      </c>
      <c r="B36" s="3">
        <v>49.4</v>
      </c>
    </row>
    <row r="37" spans="1:2" x14ac:dyDescent="0.2">
      <c r="A37" s="4">
        <v>41518</v>
      </c>
      <c r="B37" s="3">
        <v>49.4</v>
      </c>
    </row>
    <row r="38" spans="1:2" x14ac:dyDescent="0.2">
      <c r="A38" s="4">
        <v>41548</v>
      </c>
      <c r="B38" s="3">
        <v>51.8</v>
      </c>
    </row>
    <row r="39" spans="1:2" x14ac:dyDescent="0.2">
      <c r="A39" s="4">
        <v>41579</v>
      </c>
      <c r="B39" s="3">
        <v>49.4</v>
      </c>
    </row>
    <row r="40" spans="1:2" x14ac:dyDescent="0.2">
      <c r="A40" s="4">
        <v>41609</v>
      </c>
      <c r="B40" s="3">
        <v>48.8</v>
      </c>
    </row>
    <row r="41" spans="1:2" x14ac:dyDescent="0.2">
      <c r="A41" s="4">
        <v>41640</v>
      </c>
      <c r="B41" s="3">
        <v>48</v>
      </c>
    </row>
    <row r="42" spans="1:2" x14ac:dyDescent="0.2">
      <c r="A42" s="4">
        <v>41671</v>
      </c>
      <c r="B42" s="3">
        <v>48.5</v>
      </c>
    </row>
    <row r="43" spans="1:2" x14ac:dyDescent="0.2">
      <c r="A43" s="4">
        <v>41699</v>
      </c>
      <c r="B43" s="3">
        <v>48.3</v>
      </c>
    </row>
    <row r="44" spans="1:2" x14ac:dyDescent="0.2">
      <c r="A44" s="4">
        <v>41730</v>
      </c>
      <c r="B44" s="3">
        <v>48.5</v>
      </c>
    </row>
    <row r="45" spans="1:2" x14ac:dyDescent="0.2">
      <c r="A45" s="4">
        <v>41760</v>
      </c>
      <c r="B45" s="3">
        <v>48.9</v>
      </c>
    </row>
    <row r="46" spans="1:2" x14ac:dyDescent="0.2">
      <c r="A46" s="4">
        <v>41791</v>
      </c>
      <c r="B46" s="3">
        <v>49.1</v>
      </c>
    </row>
    <row r="47" spans="1:2" x14ac:dyDescent="0.2">
      <c r="A47" s="4">
        <v>41821</v>
      </c>
      <c r="B47" s="3">
        <v>51</v>
      </c>
    </row>
    <row r="48" spans="1:2" x14ac:dyDescent="0.2">
      <c r="A48" s="4">
        <v>41852</v>
      </c>
      <c r="B48" s="3">
        <v>51</v>
      </c>
    </row>
    <row r="49" spans="1:2" x14ac:dyDescent="0.2">
      <c r="A49" s="4">
        <v>41883</v>
      </c>
      <c r="B49" s="3">
        <v>50.4</v>
      </c>
    </row>
    <row r="50" spans="1:2" x14ac:dyDescent="0.2">
      <c r="A50" s="4">
        <v>41913</v>
      </c>
      <c r="B50" s="3">
        <v>50.3</v>
      </c>
    </row>
    <row r="51" spans="1:2" x14ac:dyDescent="0.2">
      <c r="A51" s="4">
        <v>41944</v>
      </c>
      <c r="B51" s="3">
        <v>51.7</v>
      </c>
    </row>
    <row r="52" spans="1:2" x14ac:dyDescent="0.2">
      <c r="A52" s="4">
        <v>41974</v>
      </c>
      <c r="B52" s="3">
        <v>48.9</v>
      </c>
    </row>
    <row r="53" spans="1:2" x14ac:dyDescent="0.2">
      <c r="A53" s="4">
        <v>42005</v>
      </c>
      <c r="B53" s="3">
        <v>47.6</v>
      </c>
    </row>
    <row r="54" spans="1:2" x14ac:dyDescent="0.2">
      <c r="A54" s="4">
        <v>42036</v>
      </c>
      <c r="B54" s="3">
        <v>49.7</v>
      </c>
    </row>
    <row r="55" spans="1:2" x14ac:dyDescent="0.2">
      <c r="A55" s="4">
        <v>42064</v>
      </c>
      <c r="B55" s="3">
        <v>48.1</v>
      </c>
    </row>
    <row r="56" spans="1:2" x14ac:dyDescent="0.2">
      <c r="A56" s="4">
        <v>42095</v>
      </c>
      <c r="B56" s="3">
        <v>48.9</v>
      </c>
    </row>
    <row r="57" spans="1:2" x14ac:dyDescent="0.2">
      <c r="A57" s="4">
        <v>42125</v>
      </c>
      <c r="B57" s="3">
        <v>47.6</v>
      </c>
    </row>
    <row r="58" spans="1:2" x14ac:dyDescent="0.2">
      <c r="A58" s="4">
        <v>42156</v>
      </c>
      <c r="B58" s="3">
        <v>48.7</v>
      </c>
    </row>
    <row r="59" spans="1:2" x14ac:dyDescent="0.2">
      <c r="A59" s="4">
        <v>42186</v>
      </c>
      <c r="B59" s="3">
        <v>48.3</v>
      </c>
    </row>
    <row r="60" spans="1:2" x14ac:dyDescent="0.2">
      <c r="A60" s="4">
        <v>42217</v>
      </c>
      <c r="B60" s="3">
        <v>47.9</v>
      </c>
    </row>
    <row r="61" spans="1:2" x14ac:dyDescent="0.2">
      <c r="A61" s="4">
        <v>42248</v>
      </c>
      <c r="B61" s="3">
        <v>49.1</v>
      </c>
    </row>
    <row r="62" spans="1:2" x14ac:dyDescent="0.2">
      <c r="A62" s="4">
        <v>42278</v>
      </c>
      <c r="B62" s="3">
        <v>50.2</v>
      </c>
    </row>
    <row r="63" spans="1:2" x14ac:dyDescent="0.2">
      <c r="A63" s="4">
        <v>42309</v>
      </c>
      <c r="B63" s="3">
        <v>50.1</v>
      </c>
    </row>
    <row r="64" spans="1:2" x14ac:dyDescent="0.2">
      <c r="A64" s="4">
        <v>42339</v>
      </c>
      <c r="B64" s="3">
        <v>48.7</v>
      </c>
    </row>
    <row r="65" spans="1:2" x14ac:dyDescent="0.2">
      <c r="A65" s="4">
        <v>42370</v>
      </c>
      <c r="B65" s="3">
        <v>49.8</v>
      </c>
    </row>
    <row r="66" spans="1:2" x14ac:dyDescent="0.2">
      <c r="A66" s="4">
        <v>42401</v>
      </c>
      <c r="B66" s="3">
        <v>49.3</v>
      </c>
    </row>
    <row r="67" spans="1:2" x14ac:dyDescent="0.2">
      <c r="A67" s="4">
        <v>42430</v>
      </c>
      <c r="B67" s="3">
        <v>48.3</v>
      </c>
    </row>
    <row r="68" spans="1:2" x14ac:dyDescent="0.2">
      <c r="A68" s="4">
        <v>42461</v>
      </c>
      <c r="B68" s="3">
        <v>48</v>
      </c>
    </row>
    <row r="69" spans="1:2" x14ac:dyDescent="0.2">
      <c r="A69" s="4">
        <v>42491</v>
      </c>
      <c r="B69" s="3">
        <v>49.6</v>
      </c>
    </row>
    <row r="70" spans="1:2" x14ac:dyDescent="0.2">
      <c r="A70" s="4">
        <v>42522</v>
      </c>
      <c r="B70" s="3">
        <v>51.5</v>
      </c>
    </row>
    <row r="71" spans="1:2" x14ac:dyDescent="0.2">
      <c r="A71" s="4">
        <v>42552</v>
      </c>
      <c r="B71" s="3">
        <v>49.5</v>
      </c>
    </row>
    <row r="72" spans="1:2" x14ac:dyDescent="0.2">
      <c r="A72" s="4">
        <v>42583</v>
      </c>
      <c r="B72" s="3">
        <v>50.8</v>
      </c>
    </row>
    <row r="73" spans="1:2" x14ac:dyDescent="0.2">
      <c r="A73" s="4">
        <v>42614</v>
      </c>
      <c r="B73" s="3">
        <v>51.1</v>
      </c>
    </row>
    <row r="74" spans="1:2" x14ac:dyDescent="0.2">
      <c r="A74" s="4">
        <v>42644</v>
      </c>
      <c r="B74" s="3">
        <v>52.4</v>
      </c>
    </row>
    <row r="75" spans="1:2" x14ac:dyDescent="0.2">
      <c r="A75" s="4">
        <v>42675</v>
      </c>
      <c r="B75" s="3">
        <v>53.6</v>
      </c>
    </row>
    <row r="76" spans="1:2" x14ac:dyDescent="0.2">
      <c r="A76" s="4">
        <v>42705</v>
      </c>
      <c r="B76" s="3">
        <v>53.7</v>
      </c>
    </row>
    <row r="77" spans="1:2" x14ac:dyDescent="0.2">
      <c r="A77" s="4">
        <v>42736</v>
      </c>
      <c r="B77" s="3">
        <v>54.7</v>
      </c>
    </row>
    <row r="78" spans="1:2" x14ac:dyDescent="0.2">
      <c r="A78" s="4">
        <v>42767</v>
      </c>
      <c r="B78" s="3">
        <v>52.5</v>
      </c>
    </row>
    <row r="79" spans="1:2" x14ac:dyDescent="0.2">
      <c r="A79" s="4">
        <v>42795</v>
      </c>
      <c r="B79" s="3">
        <v>52.4</v>
      </c>
    </row>
    <row r="80" spans="1:2" x14ac:dyDescent="0.2">
      <c r="A80" s="4">
        <v>42826</v>
      </c>
      <c r="B80" s="3">
        <v>50.8</v>
      </c>
    </row>
    <row r="81" spans="1:2" x14ac:dyDescent="0.2">
      <c r="A81" s="4">
        <v>42856</v>
      </c>
      <c r="B81" s="3">
        <v>52.4</v>
      </c>
    </row>
    <row r="82" spans="1:2" x14ac:dyDescent="0.2">
      <c r="A82" s="4">
        <v>42887</v>
      </c>
      <c r="B82" s="3">
        <v>50.3</v>
      </c>
    </row>
    <row r="83" spans="1:2" x14ac:dyDescent="0.2">
      <c r="A83" s="4">
        <v>42917</v>
      </c>
      <c r="B83" s="3">
        <v>52.7</v>
      </c>
    </row>
    <row r="84" spans="1:2" x14ac:dyDescent="0.2">
      <c r="A84" s="4">
        <v>42948</v>
      </c>
      <c r="B84" s="3">
        <v>51.6</v>
      </c>
    </row>
    <row r="85" spans="1:2" x14ac:dyDescent="0.2">
      <c r="A85" s="4">
        <v>42979</v>
      </c>
      <c r="B85" s="3">
        <v>51.9</v>
      </c>
    </row>
    <row r="86" spans="1:2" x14ac:dyDescent="0.2">
      <c r="A86" s="4">
        <v>43009</v>
      </c>
      <c r="B86" s="3">
        <v>51.1</v>
      </c>
    </row>
    <row r="87" spans="1:2" x14ac:dyDescent="0.2">
      <c r="A87" s="4">
        <v>43040</v>
      </c>
      <c r="B87" s="3">
        <v>51.5</v>
      </c>
    </row>
    <row r="88" spans="1:2" x14ac:dyDescent="0.2">
      <c r="A88" s="4">
        <v>43070</v>
      </c>
      <c r="B88" s="3">
        <v>52</v>
      </c>
    </row>
    <row r="89" spans="1:2" x14ac:dyDescent="0.2">
      <c r="A89" s="4">
        <v>43101</v>
      </c>
      <c r="B89" s="3">
        <v>52.1</v>
      </c>
    </row>
    <row r="90" spans="1:2" x14ac:dyDescent="0.2">
      <c r="A90" s="4">
        <v>43132</v>
      </c>
      <c r="B90" s="3">
        <v>50.2</v>
      </c>
    </row>
    <row r="91" spans="1:2" x14ac:dyDescent="0.2">
      <c r="A91" s="4">
        <v>43160</v>
      </c>
      <c r="B91" s="3">
        <v>50.6</v>
      </c>
    </row>
    <row r="92" spans="1:2" x14ac:dyDescent="0.2">
      <c r="A92" s="4">
        <v>43191</v>
      </c>
      <c r="B92" s="3">
        <v>51.3</v>
      </c>
    </row>
    <row r="93" spans="1:2" x14ac:dyDescent="0.2">
      <c r="A93" s="4">
        <v>43221</v>
      </c>
      <c r="B93" s="3">
        <v>49.8</v>
      </c>
    </row>
    <row r="94" spans="1:2" x14ac:dyDescent="0.2">
      <c r="A94" s="4">
        <v>43252</v>
      </c>
      <c r="B94" s="3">
        <v>49.5</v>
      </c>
    </row>
    <row r="95" spans="1:2" x14ac:dyDescent="0.2">
      <c r="A95" s="4">
        <v>43282</v>
      </c>
      <c r="B95" s="3">
        <v>48.1</v>
      </c>
    </row>
    <row r="96" spans="1:2" x14ac:dyDescent="0.2">
      <c r="A96" s="4">
        <v>43313</v>
      </c>
      <c r="B96" s="3">
        <v>48.9</v>
      </c>
    </row>
    <row r="97" spans="1:2" x14ac:dyDescent="0.2">
      <c r="A97" s="4">
        <v>43344</v>
      </c>
      <c r="B97" s="3">
        <v>50</v>
      </c>
    </row>
    <row r="98" spans="1:2" x14ac:dyDescent="0.2">
      <c r="A98" s="4">
        <v>43374</v>
      </c>
      <c r="B98" s="3">
        <v>51.3</v>
      </c>
    </row>
    <row r="99" spans="1:2" x14ac:dyDescent="0.2">
      <c r="A99" s="4">
        <v>43405</v>
      </c>
      <c r="B99" s="3">
        <v>52.6</v>
      </c>
    </row>
    <row r="100" spans="1:2" x14ac:dyDescent="0.2">
      <c r="A100" s="4">
        <v>43435</v>
      </c>
      <c r="B100" s="3">
        <v>51.7</v>
      </c>
    </row>
    <row r="101" spans="1:2" x14ac:dyDescent="0.2">
      <c r="A101" s="4">
        <v>43466</v>
      </c>
      <c r="B101" s="3">
        <v>50.9</v>
      </c>
    </row>
    <row r="102" spans="1:2" x14ac:dyDescent="0.2">
      <c r="A102" s="4">
        <v>43497</v>
      </c>
      <c r="B102" s="3">
        <v>50.1</v>
      </c>
    </row>
    <row r="103" spans="1:2" x14ac:dyDescent="0.2">
      <c r="A103" s="4">
        <v>43525</v>
      </c>
      <c r="B103" s="3">
        <v>52.8</v>
      </c>
    </row>
    <row r="104" spans="1:2" x14ac:dyDescent="0.2">
      <c r="A104" s="4">
        <v>43556</v>
      </c>
      <c r="B104" s="3">
        <v>51.8</v>
      </c>
    </row>
    <row r="105" spans="1:2" x14ac:dyDescent="0.2">
      <c r="A105" s="4">
        <v>43586</v>
      </c>
      <c r="B105" s="3">
        <v>49.8</v>
      </c>
    </row>
    <row r="106" spans="1:2" x14ac:dyDescent="0.2">
      <c r="A106" s="4">
        <v>43617</v>
      </c>
      <c r="B106" s="3">
        <v>48.6</v>
      </c>
    </row>
    <row r="107" spans="1:2" x14ac:dyDescent="0.2">
      <c r="A107" s="4">
        <v>43647</v>
      </c>
      <c r="B107" s="3">
        <v>49.3</v>
      </c>
    </row>
    <row r="108" spans="1:2" x14ac:dyDescent="0.2">
      <c r="A108" s="4">
        <v>43678</v>
      </c>
      <c r="B108" s="3">
        <v>49.1</v>
      </c>
    </row>
    <row r="109" spans="1:2" x14ac:dyDescent="0.2">
      <c r="A109" s="4">
        <v>43709</v>
      </c>
      <c r="B109" s="3">
        <v>46.3</v>
      </c>
    </row>
    <row r="110" spans="1:2" x14ac:dyDescent="0.2">
      <c r="A110" s="4">
        <v>43739</v>
      </c>
      <c r="B110" s="3">
        <v>47.2</v>
      </c>
    </row>
    <row r="111" spans="1:2" x14ac:dyDescent="0.2">
      <c r="A111" s="4">
        <v>43770</v>
      </c>
      <c r="B111" s="3">
        <v>45.6</v>
      </c>
    </row>
    <row r="112" spans="1:2" x14ac:dyDescent="0.2">
      <c r="A112" s="4">
        <v>43800</v>
      </c>
      <c r="B112" s="3">
        <v>47.5</v>
      </c>
    </row>
    <row r="113" spans="1:2" x14ac:dyDescent="0.2">
      <c r="A113" s="4">
        <v>43831</v>
      </c>
      <c r="B113" s="3">
        <v>47.9</v>
      </c>
    </row>
    <row r="114" spans="1:2" x14ac:dyDescent="0.2">
      <c r="A114" s="4">
        <v>43862</v>
      </c>
      <c r="B114" s="3">
        <v>48.2</v>
      </c>
    </row>
    <row r="115" spans="1:2" x14ac:dyDescent="0.2">
      <c r="A115" s="4">
        <v>43891</v>
      </c>
      <c r="B115" s="3">
        <v>47.5</v>
      </c>
    </row>
    <row r="116" spans="1:2" x14ac:dyDescent="0.2">
      <c r="A116" s="4">
        <v>43922</v>
      </c>
      <c r="B116" s="3">
        <v>31.3</v>
      </c>
    </row>
    <row r="117" spans="1:2" x14ac:dyDescent="0.2">
      <c r="A117" s="4">
        <v>43952</v>
      </c>
      <c r="B117" s="3">
        <v>36.200000000000003</v>
      </c>
    </row>
    <row r="118" spans="1:2" x14ac:dyDescent="0.2">
      <c r="A118" s="4">
        <v>43983</v>
      </c>
      <c r="B118" s="3">
        <v>49.4</v>
      </c>
    </row>
    <row r="119" spans="1:2" x14ac:dyDescent="0.2">
      <c r="A119" s="4">
        <v>44013</v>
      </c>
      <c r="B119" s="3">
        <v>48.4</v>
      </c>
    </row>
    <row r="120" spans="1:2" x14ac:dyDescent="0.2">
      <c r="A120" s="4">
        <v>44044</v>
      </c>
      <c r="B120" s="3">
        <v>51.1</v>
      </c>
    </row>
    <row r="121" spans="1:2" x14ac:dyDescent="0.2">
      <c r="A121" s="4">
        <v>44075</v>
      </c>
      <c r="B121" s="3">
        <v>48.9</v>
      </c>
    </row>
    <row r="122" spans="1:2" x14ac:dyDescent="0.2">
      <c r="A122" s="4">
        <v>44105</v>
      </c>
      <c r="B122" s="3">
        <v>46.9</v>
      </c>
    </row>
    <row r="123" spans="1:2" x14ac:dyDescent="0.2">
      <c r="A123" s="4">
        <v>44136</v>
      </c>
      <c r="B123" s="3">
        <v>46.3</v>
      </c>
    </row>
    <row r="124" spans="1:2" x14ac:dyDescent="0.2">
      <c r="A124" s="4">
        <v>44166</v>
      </c>
      <c r="B124" s="3">
        <v>49.7</v>
      </c>
    </row>
    <row r="125" spans="1:2" x14ac:dyDescent="0.2">
      <c r="A125" s="4">
        <v>44197</v>
      </c>
      <c r="B125" s="3">
        <v>50.9</v>
      </c>
    </row>
    <row r="126" spans="1:2" x14ac:dyDescent="0.2">
      <c r="A126" s="4">
        <v>44228</v>
      </c>
      <c r="B126" s="3">
        <v>51.5</v>
      </c>
    </row>
    <row r="127" spans="1:2" x14ac:dyDescent="0.2">
      <c r="A127" s="4">
        <v>44256</v>
      </c>
      <c r="B127" s="3">
        <v>51.1</v>
      </c>
    </row>
    <row r="128" spans="1:2" x14ac:dyDescent="0.2">
      <c r="A128" s="4">
        <v>44287</v>
      </c>
      <c r="B128" s="3">
        <v>50.4</v>
      </c>
    </row>
    <row r="129" spans="1:2" x14ac:dyDescent="0.2">
      <c r="A129" s="4">
        <v>44317</v>
      </c>
      <c r="B129" s="3">
        <v>51.9</v>
      </c>
    </row>
    <row r="130" spans="1:2" x14ac:dyDescent="0.2">
      <c r="A130" s="4">
        <v>44348</v>
      </c>
      <c r="B130" s="3">
        <v>49.2</v>
      </c>
    </row>
    <row r="131" spans="1:2" x14ac:dyDescent="0.2">
      <c r="A131" s="4">
        <v>44378</v>
      </c>
      <c r="B131" s="3">
        <v>47.5</v>
      </c>
    </row>
    <row r="132" spans="1:2" x14ac:dyDescent="0.2">
      <c r="A132" s="4">
        <v>44409</v>
      </c>
      <c r="B132" s="3">
        <v>46.5</v>
      </c>
    </row>
    <row r="133" spans="1:2" x14ac:dyDescent="0.2">
      <c r="A133" s="4">
        <v>44440</v>
      </c>
      <c r="B133" s="3">
        <v>49.8</v>
      </c>
    </row>
    <row r="134" spans="1:2" x14ac:dyDescent="0.2">
      <c r="A134" s="4">
        <v>44470</v>
      </c>
      <c r="B134" s="3">
        <v>51.6</v>
      </c>
    </row>
    <row r="135" spans="1:2" x14ac:dyDescent="0.2">
      <c r="A135" s="4">
        <v>44501</v>
      </c>
      <c r="B135" s="3">
        <v>51.7</v>
      </c>
    </row>
    <row r="136" spans="1:2" x14ac:dyDescent="0.2">
      <c r="A136" s="4">
        <v>44531</v>
      </c>
      <c r="B136" s="3">
        <v>51.6</v>
      </c>
    </row>
  </sheetData>
  <conditionalFormatting sqref="B2:B13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19C61-41BB-4AD3-BD9C-9C3C9B3D4357}">
  <dimension ref="A1:B136"/>
  <sheetViews>
    <sheetView zoomScale="160" zoomScaleNormal="160" workbookViewId="0">
      <pane ySplit="1" topLeftCell="A2" activePane="bottomLeft" state="frozen"/>
      <selection pane="bottomLeft" activeCell="C1" sqref="C1:C1048576"/>
    </sheetView>
  </sheetViews>
  <sheetFormatPr baseColWidth="10" defaultColWidth="9.1640625" defaultRowHeight="15" x14ac:dyDescent="0.2"/>
  <cols>
    <col min="1" max="1" width="13.5" style="2" customWidth="1"/>
    <col min="2" max="2" width="11.33203125" style="2" customWidth="1"/>
    <col min="3" max="16384" width="9.1640625" style="2"/>
  </cols>
  <sheetData>
    <row r="1" spans="1:2" ht="16" thickBot="1" x14ac:dyDescent="0.25">
      <c r="A1" s="11" t="s">
        <v>0</v>
      </c>
      <c r="B1" s="12" t="s">
        <v>18</v>
      </c>
    </row>
    <row r="2" spans="1:2" x14ac:dyDescent="0.2">
      <c r="A2" s="8">
        <v>40452</v>
      </c>
      <c r="B2" s="9">
        <v>57.2</v>
      </c>
    </row>
    <row r="3" spans="1:2" x14ac:dyDescent="0.2">
      <c r="A3" s="4">
        <v>40483</v>
      </c>
      <c r="B3" s="3">
        <v>58.4</v>
      </c>
    </row>
    <row r="4" spans="1:2" x14ac:dyDescent="0.2">
      <c r="A4" s="4">
        <v>40513</v>
      </c>
      <c r="B4" s="3">
        <v>56.7</v>
      </c>
    </row>
    <row r="5" spans="1:2" x14ac:dyDescent="0.2">
      <c r="A5" s="4">
        <v>40544</v>
      </c>
      <c r="B5" s="3">
        <v>56.8</v>
      </c>
    </row>
    <row r="6" spans="1:2" x14ac:dyDescent="0.2">
      <c r="A6" s="4">
        <v>40575</v>
      </c>
      <c r="B6" s="3">
        <v>57.9</v>
      </c>
    </row>
    <row r="7" spans="1:2" x14ac:dyDescent="0.2">
      <c r="A7" s="4">
        <v>40603</v>
      </c>
      <c r="B7" s="3">
        <v>57.9</v>
      </c>
    </row>
    <row r="8" spans="1:2" x14ac:dyDescent="0.2">
      <c r="A8" s="4">
        <v>40634</v>
      </c>
      <c r="B8" s="3">
        <v>58</v>
      </c>
    </row>
    <row r="9" spans="1:2" x14ac:dyDescent="0.2">
      <c r="A9" s="4">
        <v>40664</v>
      </c>
      <c r="B9" s="3">
        <v>57.5</v>
      </c>
    </row>
    <row r="10" spans="1:2" x14ac:dyDescent="0.2">
      <c r="A10" s="4">
        <v>40695</v>
      </c>
      <c r="B10" s="3">
        <v>55.3</v>
      </c>
    </row>
    <row r="11" spans="1:2" x14ac:dyDescent="0.2">
      <c r="A11" s="4">
        <v>40725</v>
      </c>
      <c r="B11" s="3">
        <v>56.3</v>
      </c>
    </row>
    <row r="12" spans="1:2" x14ac:dyDescent="0.2">
      <c r="A12" s="4">
        <v>40756</v>
      </c>
      <c r="B12" s="3">
        <v>52.6</v>
      </c>
    </row>
    <row r="13" spans="1:2" x14ac:dyDescent="0.2">
      <c r="A13" s="4">
        <v>40787</v>
      </c>
      <c r="B13" s="3">
        <v>50.4</v>
      </c>
    </row>
    <row r="14" spans="1:2" x14ac:dyDescent="0.2">
      <c r="A14" s="4">
        <v>40817</v>
      </c>
      <c r="B14" s="3">
        <v>51</v>
      </c>
    </row>
    <row r="15" spans="1:2" x14ac:dyDescent="0.2">
      <c r="A15" s="4">
        <v>40848</v>
      </c>
      <c r="B15" s="3">
        <v>52</v>
      </c>
    </row>
    <row r="16" spans="1:2" x14ac:dyDescent="0.2">
      <c r="A16" s="4">
        <v>40878</v>
      </c>
      <c r="B16" s="3">
        <v>57</v>
      </c>
    </row>
    <row r="17" spans="1:2" x14ac:dyDescent="0.2">
      <c r="A17" s="4">
        <v>40909</v>
      </c>
      <c r="B17" s="3">
        <v>57.5</v>
      </c>
    </row>
    <row r="18" spans="1:2" x14ac:dyDescent="0.2">
      <c r="A18" s="4">
        <v>40940</v>
      </c>
      <c r="B18" s="3">
        <v>56.6</v>
      </c>
    </row>
    <row r="19" spans="1:2" x14ac:dyDescent="0.2">
      <c r="A19" s="4">
        <v>40969</v>
      </c>
      <c r="B19" s="3">
        <v>54.7</v>
      </c>
    </row>
    <row r="20" spans="1:2" x14ac:dyDescent="0.2">
      <c r="A20" s="4">
        <v>41000</v>
      </c>
      <c r="B20" s="3">
        <v>54.9</v>
      </c>
    </row>
    <row r="21" spans="1:2" x14ac:dyDescent="0.2">
      <c r="A21" s="4">
        <v>41030</v>
      </c>
      <c r="B21" s="3">
        <v>54.8</v>
      </c>
    </row>
    <row r="22" spans="1:2" x14ac:dyDescent="0.2">
      <c r="A22" s="4">
        <v>41061</v>
      </c>
      <c r="B22" s="3">
        <v>55</v>
      </c>
    </row>
    <row r="23" spans="1:2" x14ac:dyDescent="0.2">
      <c r="A23" s="4">
        <v>41091</v>
      </c>
      <c r="B23" s="3">
        <v>52.9</v>
      </c>
    </row>
    <row r="24" spans="1:2" x14ac:dyDescent="0.2">
      <c r="A24" s="4">
        <v>41122</v>
      </c>
      <c r="B24" s="3">
        <v>52.8</v>
      </c>
    </row>
    <row r="25" spans="1:2" x14ac:dyDescent="0.2">
      <c r="A25" s="4">
        <v>41153</v>
      </c>
      <c r="B25" s="3">
        <v>52.8</v>
      </c>
    </row>
    <row r="26" spans="1:2" x14ac:dyDescent="0.2">
      <c r="A26" s="4">
        <v>41183</v>
      </c>
      <c r="B26" s="3">
        <v>52.9</v>
      </c>
    </row>
    <row r="27" spans="1:2" x14ac:dyDescent="0.2">
      <c r="A27" s="4">
        <v>41214</v>
      </c>
      <c r="B27" s="3">
        <v>53.7</v>
      </c>
    </row>
    <row r="28" spans="1:2" x14ac:dyDescent="0.2">
      <c r="A28" s="4">
        <v>41244</v>
      </c>
      <c r="B28" s="3">
        <v>54.7</v>
      </c>
    </row>
    <row r="29" spans="1:2" x14ac:dyDescent="0.2">
      <c r="A29" s="4">
        <v>41275</v>
      </c>
      <c r="B29" s="3">
        <v>53.2</v>
      </c>
    </row>
    <row r="30" spans="1:2" x14ac:dyDescent="0.2">
      <c r="A30" s="4">
        <v>41306</v>
      </c>
      <c r="B30" s="3">
        <v>54.2</v>
      </c>
    </row>
    <row r="31" spans="1:2" x14ac:dyDescent="0.2">
      <c r="A31" s="4">
        <v>41334</v>
      </c>
      <c r="B31" s="3">
        <v>52</v>
      </c>
    </row>
    <row r="32" spans="1:2" x14ac:dyDescent="0.2">
      <c r="A32" s="4">
        <v>41365</v>
      </c>
      <c r="B32" s="3">
        <v>51</v>
      </c>
    </row>
    <row r="33" spans="1:2" x14ac:dyDescent="0.2">
      <c r="A33" s="4">
        <v>41395</v>
      </c>
      <c r="B33" s="3">
        <v>50.1</v>
      </c>
    </row>
    <row r="34" spans="1:2" x14ac:dyDescent="0.2">
      <c r="A34" s="4">
        <v>41426</v>
      </c>
      <c r="B34" s="3">
        <v>50.3</v>
      </c>
    </row>
    <row r="35" spans="1:2" x14ac:dyDescent="0.2">
      <c r="A35" s="4">
        <v>41456</v>
      </c>
      <c r="B35" s="3">
        <v>50.1</v>
      </c>
    </row>
    <row r="36" spans="1:2" x14ac:dyDescent="0.2">
      <c r="A36" s="4">
        <v>41487</v>
      </c>
      <c r="B36" s="3">
        <v>48.5</v>
      </c>
    </row>
    <row r="37" spans="1:2" x14ac:dyDescent="0.2">
      <c r="A37" s="4">
        <v>41518</v>
      </c>
      <c r="B37" s="3">
        <v>49.6</v>
      </c>
    </row>
    <row r="38" spans="1:2" x14ac:dyDescent="0.2">
      <c r="A38" s="4">
        <v>41548</v>
      </c>
      <c r="B38" s="3">
        <v>49.6</v>
      </c>
    </row>
    <row r="39" spans="1:2" x14ac:dyDescent="0.2">
      <c r="A39" s="4">
        <v>41579</v>
      </c>
      <c r="B39" s="3">
        <v>51.3</v>
      </c>
    </row>
    <row r="40" spans="1:2" x14ac:dyDescent="0.2">
      <c r="A40" s="4">
        <v>41609</v>
      </c>
      <c r="B40" s="3">
        <v>50.7</v>
      </c>
    </row>
    <row r="41" spans="1:2" x14ac:dyDescent="0.2">
      <c r="A41" s="4">
        <v>41640</v>
      </c>
      <c r="B41" s="3">
        <v>51.4</v>
      </c>
    </row>
    <row r="42" spans="1:2" x14ac:dyDescent="0.2">
      <c r="A42" s="4">
        <v>41671</v>
      </c>
      <c r="B42" s="3">
        <v>52.5</v>
      </c>
    </row>
    <row r="43" spans="1:2" x14ac:dyDescent="0.2">
      <c r="A43" s="4">
        <v>41699</v>
      </c>
      <c r="B43" s="3">
        <v>51.3</v>
      </c>
    </row>
    <row r="44" spans="1:2" x14ac:dyDescent="0.2">
      <c r="A44" s="4">
        <v>41730</v>
      </c>
      <c r="B44" s="3">
        <v>51.3</v>
      </c>
    </row>
    <row r="45" spans="1:2" x14ac:dyDescent="0.2">
      <c r="A45" s="4">
        <v>41760</v>
      </c>
      <c r="B45" s="3">
        <v>51.4</v>
      </c>
    </row>
    <row r="46" spans="1:2" x14ac:dyDescent="0.2">
      <c r="A46" s="4">
        <v>41791</v>
      </c>
      <c r="B46" s="3">
        <v>51.5</v>
      </c>
    </row>
    <row r="47" spans="1:2" x14ac:dyDescent="0.2">
      <c r="A47" s="4">
        <v>41821</v>
      </c>
      <c r="B47" s="3">
        <v>53</v>
      </c>
    </row>
    <row r="48" spans="1:2" x14ac:dyDescent="0.2">
      <c r="A48" s="4">
        <v>41852</v>
      </c>
      <c r="B48" s="3">
        <v>52.4</v>
      </c>
    </row>
    <row r="49" spans="1:2" x14ac:dyDescent="0.2">
      <c r="A49" s="4">
        <v>41883</v>
      </c>
      <c r="B49" s="3">
        <v>51</v>
      </c>
    </row>
    <row r="50" spans="1:2" x14ac:dyDescent="0.2">
      <c r="A50" s="4">
        <v>41913</v>
      </c>
      <c r="B50" s="3">
        <v>51.6</v>
      </c>
    </row>
    <row r="51" spans="1:2" x14ac:dyDescent="0.2">
      <c r="A51" s="4">
        <v>41944</v>
      </c>
      <c r="B51" s="3">
        <v>53.3</v>
      </c>
    </row>
    <row r="52" spans="1:2" x14ac:dyDescent="0.2">
      <c r="A52" s="4">
        <v>41974</v>
      </c>
      <c r="B52" s="3">
        <v>54.5</v>
      </c>
    </row>
    <row r="53" spans="1:2" x14ac:dyDescent="0.2">
      <c r="A53" s="4">
        <v>42005</v>
      </c>
      <c r="B53" s="3">
        <v>52.9</v>
      </c>
    </row>
    <row r="54" spans="1:2" x14ac:dyDescent="0.2">
      <c r="A54" s="4">
        <v>42036</v>
      </c>
      <c r="B54" s="3">
        <v>51.2</v>
      </c>
    </row>
    <row r="55" spans="1:2" x14ac:dyDescent="0.2">
      <c r="A55" s="4">
        <v>42064</v>
      </c>
      <c r="B55" s="3">
        <v>52.1</v>
      </c>
    </row>
    <row r="56" spans="1:2" x14ac:dyDescent="0.2">
      <c r="A56" s="4">
        <v>42095</v>
      </c>
      <c r="B56" s="3">
        <v>51.3</v>
      </c>
    </row>
    <row r="57" spans="1:2" x14ac:dyDescent="0.2">
      <c r="A57" s="4">
        <v>42125</v>
      </c>
      <c r="B57" s="3">
        <v>52.6</v>
      </c>
    </row>
    <row r="58" spans="1:2" x14ac:dyDescent="0.2">
      <c r="A58" s="4">
        <v>42156</v>
      </c>
      <c r="B58" s="3">
        <v>51.3</v>
      </c>
    </row>
    <row r="59" spans="1:2" x14ac:dyDescent="0.2">
      <c r="A59" s="4">
        <v>42186</v>
      </c>
      <c r="B59" s="3">
        <v>52.7</v>
      </c>
    </row>
    <row r="60" spans="1:2" x14ac:dyDescent="0.2">
      <c r="A60" s="4">
        <v>42217</v>
      </c>
      <c r="B60" s="3">
        <v>52.3</v>
      </c>
    </row>
    <row r="61" spans="1:2" x14ac:dyDescent="0.2">
      <c r="A61" s="4">
        <v>42248</v>
      </c>
      <c r="B61" s="3">
        <v>51.2</v>
      </c>
    </row>
    <row r="62" spans="1:2" x14ac:dyDescent="0.2">
      <c r="A62" s="4">
        <v>42278</v>
      </c>
      <c r="B62" s="3">
        <v>50.7</v>
      </c>
    </row>
    <row r="63" spans="1:2" x14ac:dyDescent="0.2">
      <c r="A63" s="4">
        <v>42309</v>
      </c>
      <c r="B63" s="3">
        <v>50.3</v>
      </c>
    </row>
    <row r="64" spans="1:2" x14ac:dyDescent="0.2">
      <c r="A64" s="4">
        <v>42339</v>
      </c>
      <c r="B64" s="3">
        <v>49.1</v>
      </c>
    </row>
    <row r="65" spans="1:2" x14ac:dyDescent="0.2">
      <c r="A65" s="4">
        <v>42370</v>
      </c>
      <c r="B65" s="3">
        <v>51.1</v>
      </c>
    </row>
    <row r="66" spans="1:2" x14ac:dyDescent="0.2">
      <c r="A66" s="4">
        <v>42401</v>
      </c>
      <c r="B66" s="3">
        <v>51.1</v>
      </c>
    </row>
    <row r="67" spans="1:2" x14ac:dyDescent="0.2">
      <c r="A67" s="4">
        <v>42430</v>
      </c>
      <c r="B67" s="3">
        <v>52.4</v>
      </c>
    </row>
    <row r="68" spans="1:2" x14ac:dyDescent="0.2">
      <c r="A68" s="4">
        <v>42461</v>
      </c>
      <c r="B68" s="3">
        <v>50.5</v>
      </c>
    </row>
    <row r="69" spans="1:2" x14ac:dyDescent="0.2">
      <c r="A69" s="4">
        <v>42491</v>
      </c>
      <c r="B69" s="3">
        <v>50.7</v>
      </c>
    </row>
    <row r="70" spans="1:2" x14ac:dyDescent="0.2">
      <c r="A70" s="4">
        <v>42522</v>
      </c>
      <c r="B70" s="3">
        <v>51.7</v>
      </c>
    </row>
    <row r="71" spans="1:2" x14ac:dyDescent="0.2">
      <c r="A71" s="4">
        <v>42552</v>
      </c>
      <c r="B71" s="3">
        <v>51.8</v>
      </c>
    </row>
    <row r="72" spans="1:2" x14ac:dyDescent="0.2">
      <c r="A72" s="4">
        <v>42583</v>
      </c>
      <c r="B72" s="3">
        <v>52.6</v>
      </c>
    </row>
    <row r="73" spans="1:2" x14ac:dyDescent="0.2">
      <c r="A73" s="4">
        <v>42614</v>
      </c>
      <c r="B73" s="3">
        <v>52.1</v>
      </c>
    </row>
    <row r="74" spans="1:2" x14ac:dyDescent="0.2">
      <c r="A74" s="4">
        <v>42644</v>
      </c>
      <c r="B74" s="3">
        <v>54.4</v>
      </c>
    </row>
    <row r="75" spans="1:2" x14ac:dyDescent="0.2">
      <c r="A75" s="4">
        <v>42675</v>
      </c>
      <c r="B75" s="3">
        <v>52.3</v>
      </c>
    </row>
    <row r="76" spans="1:2" x14ac:dyDescent="0.2">
      <c r="A76" s="4">
        <v>42705</v>
      </c>
      <c r="B76" s="3">
        <v>49.6</v>
      </c>
    </row>
    <row r="77" spans="1:2" x14ac:dyDescent="0.2">
      <c r="A77" s="4">
        <v>42736</v>
      </c>
      <c r="B77" s="3">
        <v>50.4</v>
      </c>
    </row>
    <row r="78" spans="1:2" x14ac:dyDescent="0.2">
      <c r="A78" s="4">
        <v>42767</v>
      </c>
      <c r="B78" s="3">
        <v>50.7</v>
      </c>
    </row>
    <row r="79" spans="1:2" x14ac:dyDescent="0.2">
      <c r="A79" s="4">
        <v>42795</v>
      </c>
      <c r="B79" s="3">
        <v>52.5</v>
      </c>
    </row>
    <row r="80" spans="1:2" x14ac:dyDescent="0.2">
      <c r="A80" s="4">
        <v>42826</v>
      </c>
      <c r="B80" s="3">
        <v>52.5</v>
      </c>
    </row>
    <row r="81" spans="1:2" x14ac:dyDescent="0.2">
      <c r="A81" s="4">
        <v>42856</v>
      </c>
      <c r="B81" s="3">
        <v>51.6</v>
      </c>
    </row>
    <row r="82" spans="1:2" x14ac:dyDescent="0.2">
      <c r="A82" s="4">
        <v>42887</v>
      </c>
      <c r="B82" s="3">
        <v>50.9</v>
      </c>
    </row>
    <row r="83" spans="1:2" x14ac:dyDescent="0.2">
      <c r="A83" s="4">
        <v>42917</v>
      </c>
      <c r="B83" s="3">
        <v>47.9</v>
      </c>
    </row>
    <row r="84" spans="1:2" x14ac:dyDescent="0.2">
      <c r="A84" s="4">
        <v>42948</v>
      </c>
      <c r="B84" s="3">
        <v>51.2</v>
      </c>
    </row>
    <row r="85" spans="1:2" x14ac:dyDescent="0.2">
      <c r="A85" s="4">
        <v>42979</v>
      </c>
      <c r="B85" s="3">
        <v>51.2</v>
      </c>
    </row>
    <row r="86" spans="1:2" x14ac:dyDescent="0.2">
      <c r="A86" s="4">
        <v>43009</v>
      </c>
      <c r="B86" s="3">
        <v>50.3</v>
      </c>
    </row>
    <row r="87" spans="1:2" x14ac:dyDescent="0.2">
      <c r="A87" s="4">
        <v>43040</v>
      </c>
      <c r="B87" s="3">
        <v>52.6</v>
      </c>
    </row>
    <row r="88" spans="1:2" x14ac:dyDescent="0.2">
      <c r="A88" s="4">
        <v>43070</v>
      </c>
      <c r="B88" s="3">
        <v>54.7</v>
      </c>
    </row>
    <row r="89" spans="1:2" x14ac:dyDescent="0.2">
      <c r="A89" s="4">
        <v>43101</v>
      </c>
      <c r="B89" s="3">
        <v>52.4</v>
      </c>
    </row>
    <row r="90" spans="1:2" x14ac:dyDescent="0.2">
      <c r="A90" s="4">
        <v>43132</v>
      </c>
      <c r="B90" s="3">
        <v>52.1</v>
      </c>
    </row>
    <row r="91" spans="1:2" x14ac:dyDescent="0.2">
      <c r="A91" s="4">
        <v>43160</v>
      </c>
      <c r="B91" s="3">
        <v>51</v>
      </c>
    </row>
    <row r="92" spans="1:2" x14ac:dyDescent="0.2">
      <c r="A92" s="4">
        <v>43191</v>
      </c>
      <c r="B92" s="3">
        <v>51.6</v>
      </c>
    </row>
    <row r="93" spans="1:2" x14ac:dyDescent="0.2">
      <c r="A93" s="4">
        <v>43221</v>
      </c>
      <c r="B93" s="3">
        <v>51.2</v>
      </c>
    </row>
    <row r="94" spans="1:2" x14ac:dyDescent="0.2">
      <c r="A94" s="4">
        <v>43252</v>
      </c>
      <c r="B94" s="3">
        <v>53.1</v>
      </c>
    </row>
    <row r="95" spans="1:2" x14ac:dyDescent="0.2">
      <c r="A95" s="4">
        <v>43282</v>
      </c>
      <c r="B95" s="3">
        <v>52.3</v>
      </c>
    </row>
    <row r="96" spans="1:2" x14ac:dyDescent="0.2">
      <c r="A96" s="4">
        <v>43313</v>
      </c>
      <c r="B96" s="3">
        <v>51.7</v>
      </c>
    </row>
    <row r="97" spans="1:2" x14ac:dyDescent="0.2">
      <c r="A97" s="4">
        <v>43344</v>
      </c>
      <c r="B97" s="3">
        <v>52.2</v>
      </c>
    </row>
    <row r="98" spans="1:2" x14ac:dyDescent="0.2">
      <c r="A98" s="4">
        <v>43374</v>
      </c>
      <c r="B98" s="3">
        <v>53.1</v>
      </c>
    </row>
    <row r="99" spans="1:2" x14ac:dyDescent="0.2">
      <c r="A99" s="4">
        <v>43405</v>
      </c>
      <c r="B99" s="3">
        <v>54</v>
      </c>
    </row>
    <row r="100" spans="1:2" x14ac:dyDescent="0.2">
      <c r="A100" s="4">
        <v>43435</v>
      </c>
      <c r="B100" s="3">
        <v>53.2</v>
      </c>
    </row>
    <row r="101" spans="1:2" x14ac:dyDescent="0.2">
      <c r="A101" s="4">
        <v>43466</v>
      </c>
      <c r="B101" s="3">
        <v>53.9</v>
      </c>
    </row>
    <row r="102" spans="1:2" x14ac:dyDescent="0.2">
      <c r="A102" s="4">
        <v>43497</v>
      </c>
      <c r="B102" s="3">
        <v>54.3</v>
      </c>
    </row>
    <row r="103" spans="1:2" x14ac:dyDescent="0.2">
      <c r="A103" s="4">
        <v>43525</v>
      </c>
      <c r="B103" s="3">
        <v>52.6</v>
      </c>
    </row>
    <row r="104" spans="1:2" x14ac:dyDescent="0.2">
      <c r="A104" s="4">
        <v>43556</v>
      </c>
      <c r="B104" s="3">
        <v>51.8</v>
      </c>
    </row>
    <row r="105" spans="1:2" x14ac:dyDescent="0.2">
      <c r="A105" s="4">
        <v>43586</v>
      </c>
      <c r="B105" s="3">
        <v>52.7</v>
      </c>
    </row>
    <row r="106" spans="1:2" x14ac:dyDescent="0.2">
      <c r="A106" s="4">
        <v>43617</v>
      </c>
      <c r="B106" s="3">
        <v>52.1</v>
      </c>
    </row>
    <row r="107" spans="1:2" x14ac:dyDescent="0.2">
      <c r="A107" s="4">
        <v>43647</v>
      </c>
      <c r="B107" s="3">
        <v>52.5</v>
      </c>
    </row>
    <row r="108" spans="1:2" x14ac:dyDescent="0.2">
      <c r="A108" s="4">
        <v>43678</v>
      </c>
      <c r="B108" s="3">
        <v>51.4</v>
      </c>
    </row>
    <row r="109" spans="1:2" x14ac:dyDescent="0.2">
      <c r="A109" s="4">
        <v>43709</v>
      </c>
      <c r="B109" s="3">
        <v>51.4</v>
      </c>
    </row>
    <row r="110" spans="1:2" x14ac:dyDescent="0.2">
      <c r="A110" s="4">
        <v>43739</v>
      </c>
      <c r="B110" s="3">
        <v>50.6</v>
      </c>
    </row>
    <row r="111" spans="1:2" x14ac:dyDescent="0.2">
      <c r="A111" s="4">
        <v>43770</v>
      </c>
      <c r="B111" s="3">
        <v>51.2</v>
      </c>
    </row>
    <row r="112" spans="1:2" x14ac:dyDescent="0.2">
      <c r="A112" s="4">
        <v>43800</v>
      </c>
      <c r="B112" s="3">
        <v>52.7</v>
      </c>
    </row>
    <row r="113" spans="1:2" x14ac:dyDescent="0.2">
      <c r="A113" s="4">
        <v>43831</v>
      </c>
      <c r="B113" s="3">
        <v>55.3</v>
      </c>
    </row>
    <row r="114" spans="1:2" x14ac:dyDescent="0.2">
      <c r="A114" s="4">
        <v>43862</v>
      </c>
      <c r="B114" s="3">
        <v>54.5</v>
      </c>
    </row>
    <row r="115" spans="1:2" x14ac:dyDescent="0.2">
      <c r="A115" s="4">
        <v>43891</v>
      </c>
      <c r="B115" s="3">
        <v>51.8</v>
      </c>
    </row>
    <row r="116" spans="1:2" x14ac:dyDescent="0.2">
      <c r="A116" s="4">
        <v>43922</v>
      </c>
      <c r="B116" s="3">
        <v>27.4</v>
      </c>
    </row>
    <row r="117" spans="1:2" x14ac:dyDescent="0.2">
      <c r="A117" s="4">
        <v>43952</v>
      </c>
      <c r="B117" s="3">
        <v>30.8</v>
      </c>
    </row>
    <row r="118" spans="1:2" x14ac:dyDescent="0.2">
      <c r="A118" s="4">
        <v>43983</v>
      </c>
      <c r="B118" s="3">
        <v>47.2</v>
      </c>
    </row>
    <row r="119" spans="1:2" x14ac:dyDescent="0.2">
      <c r="A119" s="4">
        <v>44013</v>
      </c>
      <c r="B119" s="3">
        <v>46</v>
      </c>
    </row>
    <row r="120" spans="1:2" x14ac:dyDescent="0.2">
      <c r="A120" s="4">
        <v>44044</v>
      </c>
      <c r="B120" s="3">
        <v>52</v>
      </c>
    </row>
    <row r="121" spans="1:2" x14ac:dyDescent="0.2">
      <c r="A121" s="4">
        <v>44075</v>
      </c>
      <c r="B121" s="3">
        <v>56.8</v>
      </c>
    </row>
    <row r="122" spans="1:2" x14ac:dyDescent="0.2">
      <c r="A122" s="4">
        <v>44105</v>
      </c>
      <c r="B122" s="3">
        <v>58.9</v>
      </c>
    </row>
    <row r="123" spans="1:2" x14ac:dyDescent="0.2">
      <c r="A123" s="4">
        <v>44136</v>
      </c>
      <c r="B123" s="3">
        <v>56.3</v>
      </c>
    </row>
    <row r="124" spans="1:2" x14ac:dyDescent="0.2">
      <c r="A124" s="4">
        <v>44166</v>
      </c>
      <c r="B124" s="3">
        <v>56.4</v>
      </c>
    </row>
    <row r="125" spans="1:2" x14ac:dyDescent="0.2">
      <c r="A125" s="4">
        <v>44197</v>
      </c>
      <c r="B125" s="3">
        <v>57.7</v>
      </c>
    </row>
    <row r="126" spans="1:2" x14ac:dyDescent="0.2">
      <c r="A126" s="4">
        <v>44228</v>
      </c>
      <c r="B126" s="3">
        <v>57.5</v>
      </c>
    </row>
    <row r="127" spans="1:2" x14ac:dyDescent="0.2">
      <c r="A127" s="4">
        <v>44256</v>
      </c>
      <c r="B127" s="3">
        <v>55.4</v>
      </c>
    </row>
    <row r="128" spans="1:2" x14ac:dyDescent="0.2">
      <c r="A128" s="4">
        <v>44287</v>
      </c>
      <c r="B128" s="3">
        <v>55.5</v>
      </c>
    </row>
    <row r="129" spans="1:2" x14ac:dyDescent="0.2">
      <c r="A129" s="4">
        <v>44317</v>
      </c>
      <c r="B129" s="3">
        <v>50.8</v>
      </c>
    </row>
    <row r="130" spans="1:2" x14ac:dyDescent="0.2">
      <c r="A130" s="4">
        <v>44348</v>
      </c>
      <c r="B130" s="3">
        <v>48.1</v>
      </c>
    </row>
    <row r="131" spans="1:2" x14ac:dyDescent="0.2">
      <c r="A131" s="4">
        <v>44378</v>
      </c>
      <c r="B131" s="3">
        <v>55.3</v>
      </c>
    </row>
    <row r="132" spans="1:2" x14ac:dyDescent="0.2">
      <c r="A132" s="4">
        <v>44409</v>
      </c>
      <c r="B132" s="3">
        <v>52.3</v>
      </c>
    </row>
    <row r="133" spans="1:2" x14ac:dyDescent="0.2">
      <c r="A133" s="4">
        <v>44440</v>
      </c>
      <c r="B133" s="3">
        <v>53.7</v>
      </c>
    </row>
    <row r="134" spans="1:2" x14ac:dyDescent="0.2">
      <c r="A134" s="4">
        <v>44470</v>
      </c>
      <c r="B134" s="3">
        <v>55.9</v>
      </c>
    </row>
    <row r="135" spans="1:2" x14ac:dyDescent="0.2">
      <c r="A135" s="4">
        <v>44501</v>
      </c>
      <c r="B135" s="3">
        <v>57.6</v>
      </c>
    </row>
    <row r="136" spans="1:2" x14ac:dyDescent="0.2">
      <c r="A136" s="4">
        <v>44531</v>
      </c>
      <c r="B136" s="3">
        <v>55.5</v>
      </c>
    </row>
  </sheetData>
  <conditionalFormatting sqref="B2:B13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6634D-93FC-40A9-8928-25DADECB7810}">
  <dimension ref="A1:B130"/>
  <sheetViews>
    <sheetView zoomScale="180" zoomScaleNormal="180" workbookViewId="0">
      <pane ySplit="1" topLeftCell="A82" activePane="bottomLeft" state="frozen"/>
      <selection pane="bottomLeft" activeCell="E113" sqref="E113"/>
    </sheetView>
  </sheetViews>
  <sheetFormatPr baseColWidth="10" defaultColWidth="9.1640625" defaultRowHeight="15" x14ac:dyDescent="0.2"/>
  <cols>
    <col min="1" max="1" width="13.5" style="2" customWidth="1"/>
    <col min="2" max="2" width="11.33203125" style="2" customWidth="1"/>
    <col min="3" max="16384" width="9.1640625" style="2"/>
  </cols>
  <sheetData>
    <row r="1" spans="1:2" ht="16" thickBot="1" x14ac:dyDescent="0.25">
      <c r="A1" s="11" t="s">
        <v>0</v>
      </c>
      <c r="B1" s="12" t="s">
        <v>6</v>
      </c>
    </row>
    <row r="2" spans="1:2" x14ac:dyDescent="0.2">
      <c r="A2" s="8">
        <v>40634</v>
      </c>
      <c r="B2" s="9" t="s">
        <v>29</v>
      </c>
    </row>
    <row r="3" spans="1:2" x14ac:dyDescent="0.2">
      <c r="A3" s="4">
        <v>40664</v>
      </c>
      <c r="B3" s="3">
        <v>54.8</v>
      </c>
    </row>
    <row r="4" spans="1:2" x14ac:dyDescent="0.2">
      <c r="A4" s="4">
        <v>40695</v>
      </c>
      <c r="B4" s="3">
        <v>52.8</v>
      </c>
    </row>
    <row r="5" spans="1:2" x14ac:dyDescent="0.2">
      <c r="A5" s="4">
        <v>40725</v>
      </c>
      <c r="B5" s="3">
        <v>53.1</v>
      </c>
    </row>
    <row r="6" spans="1:2" x14ac:dyDescent="0.2">
      <c r="A6" s="4">
        <v>40756</v>
      </c>
      <c r="B6" s="3">
        <v>54.9</v>
      </c>
    </row>
    <row r="7" spans="1:2" x14ac:dyDescent="0.2">
      <c r="A7" s="4">
        <v>40787</v>
      </c>
      <c r="B7" s="3">
        <v>55</v>
      </c>
    </row>
    <row r="8" spans="1:2" x14ac:dyDescent="0.2">
      <c r="A8" s="4">
        <v>40817</v>
      </c>
      <c r="B8" s="3">
        <v>53.7</v>
      </c>
    </row>
    <row r="9" spans="1:2" x14ac:dyDescent="0.2">
      <c r="A9" s="4">
        <v>40848</v>
      </c>
      <c r="B9" s="3">
        <v>53.3</v>
      </c>
    </row>
    <row r="10" spans="1:2" x14ac:dyDescent="0.2">
      <c r="A10" s="4">
        <v>40878</v>
      </c>
      <c r="B10" s="3">
        <v>54</v>
      </c>
    </row>
    <row r="11" spans="1:2" x14ac:dyDescent="0.2">
      <c r="A11" s="4">
        <v>40909</v>
      </c>
      <c r="B11" s="3">
        <v>50.6</v>
      </c>
    </row>
    <row r="12" spans="1:2" x14ac:dyDescent="0.2">
      <c r="A12" s="4">
        <v>40940</v>
      </c>
      <c r="B12" s="3">
        <v>51.8</v>
      </c>
    </row>
    <row r="13" spans="1:2" x14ac:dyDescent="0.2">
      <c r="A13" s="4">
        <v>40969</v>
      </c>
      <c r="B13" s="3">
        <v>52.4</v>
      </c>
    </row>
    <row r="14" spans="1:2" x14ac:dyDescent="0.2">
      <c r="A14" s="4">
        <v>41000</v>
      </c>
      <c r="B14" s="3">
        <v>53.3</v>
      </c>
    </row>
    <row r="15" spans="1:2" x14ac:dyDescent="0.2">
      <c r="A15" s="4">
        <v>41030</v>
      </c>
      <c r="B15" s="3">
        <v>54.7</v>
      </c>
    </row>
    <row r="16" spans="1:2" x14ac:dyDescent="0.2">
      <c r="A16" s="4">
        <v>41061</v>
      </c>
      <c r="B16" s="3">
        <v>54.8</v>
      </c>
    </row>
    <row r="17" spans="1:2" x14ac:dyDescent="0.2">
      <c r="A17" s="4">
        <v>41091</v>
      </c>
      <c r="B17" s="3">
        <v>53</v>
      </c>
    </row>
    <row r="18" spans="1:2" x14ac:dyDescent="0.2">
      <c r="A18" s="4">
        <v>41122</v>
      </c>
      <c r="B18" s="3">
        <v>53</v>
      </c>
    </row>
    <row r="19" spans="1:2" x14ac:dyDescent="0.2">
      <c r="A19" s="4">
        <v>41153</v>
      </c>
      <c r="B19" s="3">
        <v>52.4</v>
      </c>
    </row>
    <row r="20" spans="1:2" x14ac:dyDescent="0.2">
      <c r="A20" s="4">
        <v>41183</v>
      </c>
      <c r="B20" s="3">
        <v>51.4</v>
      </c>
    </row>
    <row r="21" spans="1:2" x14ac:dyDescent="0.2">
      <c r="A21" s="4">
        <v>41214</v>
      </c>
      <c r="B21" s="3">
        <v>50.4</v>
      </c>
    </row>
    <row r="22" spans="1:2" x14ac:dyDescent="0.2">
      <c r="A22" s="4">
        <v>41244</v>
      </c>
      <c r="B22" s="3">
        <v>50.4</v>
      </c>
    </row>
    <row r="23" spans="1:2" x14ac:dyDescent="0.2">
      <c r="A23" s="4">
        <v>41275</v>
      </c>
      <c r="B23" s="3">
        <v>50.5</v>
      </c>
    </row>
    <row r="24" spans="1:2" x14ac:dyDescent="0.2">
      <c r="A24" s="4">
        <v>41306</v>
      </c>
      <c r="B24" s="3">
        <v>51.7</v>
      </c>
    </row>
    <row r="25" spans="1:2" x14ac:dyDescent="0.2">
      <c r="A25" s="4">
        <v>41334</v>
      </c>
      <c r="B25" s="3">
        <v>49.3</v>
      </c>
    </row>
    <row r="26" spans="1:2" x14ac:dyDescent="0.2">
      <c r="A26" s="4">
        <v>41365</v>
      </c>
      <c r="B26" s="3">
        <v>50.1</v>
      </c>
    </row>
    <row r="27" spans="1:2" x14ac:dyDescent="0.2">
      <c r="A27" s="4">
        <v>41395</v>
      </c>
      <c r="B27" s="3">
        <v>53.2</v>
      </c>
    </row>
    <row r="28" spans="1:2" x14ac:dyDescent="0.2">
      <c r="A28" s="4">
        <v>41426</v>
      </c>
      <c r="B28" s="3">
        <v>52.4</v>
      </c>
    </row>
    <row r="29" spans="1:2" x14ac:dyDescent="0.2">
      <c r="A29" s="4">
        <v>41456</v>
      </c>
      <c r="B29" s="3">
        <v>52</v>
      </c>
    </row>
    <row r="30" spans="1:2" x14ac:dyDescent="0.2">
      <c r="A30" s="4">
        <v>41487</v>
      </c>
      <c r="B30" s="3">
        <v>52.1</v>
      </c>
    </row>
    <row r="31" spans="1:2" x14ac:dyDescent="0.2">
      <c r="A31" s="4">
        <v>41518</v>
      </c>
      <c r="B31" s="3">
        <v>54.2</v>
      </c>
    </row>
    <row r="32" spans="1:2" x14ac:dyDescent="0.2">
      <c r="A32" s="4">
        <v>41548</v>
      </c>
      <c r="B32" s="3">
        <v>55.6</v>
      </c>
    </row>
    <row r="33" spans="1:2" x14ac:dyDescent="0.2">
      <c r="A33" s="4">
        <v>41579</v>
      </c>
      <c r="B33" s="3">
        <v>55.3</v>
      </c>
    </row>
    <row r="34" spans="1:2" x14ac:dyDescent="0.2">
      <c r="A34" s="4">
        <v>41609</v>
      </c>
      <c r="B34" s="3">
        <v>53.5</v>
      </c>
    </row>
    <row r="35" spans="1:2" x14ac:dyDescent="0.2">
      <c r="A35" s="4">
        <v>41640</v>
      </c>
      <c r="B35" s="3">
        <v>51.7</v>
      </c>
    </row>
    <row r="36" spans="1:2" x14ac:dyDescent="0.2">
      <c r="A36" s="4">
        <v>41671</v>
      </c>
      <c r="B36" s="3">
        <v>52.9</v>
      </c>
    </row>
    <row r="37" spans="1:2" x14ac:dyDescent="0.2">
      <c r="A37" s="4">
        <v>41699</v>
      </c>
      <c r="B37" s="3">
        <v>53.3</v>
      </c>
    </row>
    <row r="38" spans="1:2" x14ac:dyDescent="0.2">
      <c r="A38" s="4">
        <v>41730</v>
      </c>
      <c r="B38" s="3">
        <v>52.9</v>
      </c>
    </row>
    <row r="39" spans="1:2" x14ac:dyDescent="0.2">
      <c r="A39" s="4">
        <v>41760</v>
      </c>
      <c r="B39" s="3">
        <v>52.2</v>
      </c>
    </row>
    <row r="40" spans="1:2" x14ac:dyDescent="0.2">
      <c r="A40" s="4">
        <v>41791</v>
      </c>
      <c r="B40" s="3">
        <v>53.5</v>
      </c>
    </row>
    <row r="41" spans="1:2" x14ac:dyDescent="0.2">
      <c r="A41" s="4">
        <v>41821</v>
      </c>
      <c r="B41" s="3">
        <v>54.3</v>
      </c>
    </row>
    <row r="42" spans="1:2" x14ac:dyDescent="0.2">
      <c r="A42" s="4">
        <v>41852</v>
      </c>
      <c r="B42" s="3">
        <v>54.8</v>
      </c>
    </row>
    <row r="43" spans="1:2" x14ac:dyDescent="0.2">
      <c r="A43" s="4">
        <v>41883</v>
      </c>
      <c r="B43" s="3">
        <v>53.5</v>
      </c>
    </row>
    <row r="44" spans="1:2" x14ac:dyDescent="0.2">
      <c r="A44" s="4">
        <v>41913</v>
      </c>
      <c r="B44" s="3">
        <v>55.3</v>
      </c>
    </row>
    <row r="45" spans="1:2" x14ac:dyDescent="0.2">
      <c r="A45" s="4">
        <v>41944</v>
      </c>
      <c r="B45" s="3">
        <v>55.3</v>
      </c>
    </row>
    <row r="46" spans="1:2" x14ac:dyDescent="0.2">
      <c r="A46" s="4">
        <v>41974</v>
      </c>
      <c r="B46" s="3">
        <v>53.9</v>
      </c>
    </row>
    <row r="47" spans="1:2" x14ac:dyDescent="0.2">
      <c r="A47" s="4">
        <v>42005</v>
      </c>
      <c r="B47" s="3">
        <v>51</v>
      </c>
    </row>
    <row r="48" spans="1:2" x14ac:dyDescent="0.2">
      <c r="A48" s="4">
        <v>42036</v>
      </c>
      <c r="B48" s="3">
        <v>48.7</v>
      </c>
    </row>
    <row r="49" spans="1:2" x14ac:dyDescent="0.2">
      <c r="A49" s="4">
        <v>42064</v>
      </c>
      <c r="B49" s="3">
        <v>48.9</v>
      </c>
    </row>
    <row r="50" spans="1:2" x14ac:dyDescent="0.2">
      <c r="A50" s="4">
        <v>42095</v>
      </c>
      <c r="B50" s="3">
        <v>49</v>
      </c>
    </row>
    <row r="51" spans="1:2" x14ac:dyDescent="0.2">
      <c r="A51" s="4">
        <v>42125</v>
      </c>
      <c r="B51" s="3">
        <v>49.8</v>
      </c>
    </row>
    <row r="52" spans="1:2" x14ac:dyDescent="0.2">
      <c r="A52" s="4">
        <v>42156</v>
      </c>
      <c r="B52" s="3">
        <v>51.3</v>
      </c>
    </row>
    <row r="53" spans="1:2" x14ac:dyDescent="0.2">
      <c r="A53" s="4">
        <v>42186</v>
      </c>
      <c r="B53" s="3">
        <v>50.8</v>
      </c>
    </row>
    <row r="54" spans="1:2" x14ac:dyDescent="0.2">
      <c r="A54" s="4">
        <v>42217</v>
      </c>
      <c r="B54" s="3">
        <v>49.4</v>
      </c>
    </row>
    <row r="55" spans="1:2" x14ac:dyDescent="0.2">
      <c r="A55" s="4">
        <v>42248</v>
      </c>
      <c r="B55" s="3">
        <v>48.6</v>
      </c>
    </row>
    <row r="56" spans="1:2" x14ac:dyDescent="0.2">
      <c r="A56" s="4">
        <v>42278</v>
      </c>
      <c r="B56" s="3">
        <v>48</v>
      </c>
    </row>
    <row r="57" spans="1:2" x14ac:dyDescent="0.2">
      <c r="A57" s="4">
        <v>42309</v>
      </c>
      <c r="B57" s="3">
        <v>48.6</v>
      </c>
    </row>
    <row r="58" spans="1:2" x14ac:dyDescent="0.2">
      <c r="A58" s="4">
        <v>42339</v>
      </c>
      <c r="B58" s="3">
        <v>47.5</v>
      </c>
    </row>
    <row r="59" spans="1:2" x14ac:dyDescent="0.2">
      <c r="A59" s="4">
        <v>42370</v>
      </c>
      <c r="B59" s="3">
        <v>49.3</v>
      </c>
    </row>
    <row r="60" spans="1:2" x14ac:dyDescent="0.2">
      <c r="A60" s="4">
        <v>42401</v>
      </c>
      <c r="B60" s="3">
        <v>49.4</v>
      </c>
    </row>
    <row r="61" spans="1:2" x14ac:dyDescent="0.2">
      <c r="A61" s="4">
        <v>42430</v>
      </c>
      <c r="B61" s="3">
        <v>51.5</v>
      </c>
    </row>
    <row r="62" spans="1:2" x14ac:dyDescent="0.2">
      <c r="A62" s="4">
        <v>42461</v>
      </c>
      <c r="B62" s="3">
        <v>52.2</v>
      </c>
    </row>
    <row r="63" spans="1:2" x14ac:dyDescent="0.2">
      <c r="A63" s="4">
        <v>42491</v>
      </c>
      <c r="B63" s="3">
        <v>52.1</v>
      </c>
    </row>
    <row r="64" spans="1:2" x14ac:dyDescent="0.2">
      <c r="A64" s="4">
        <v>42522</v>
      </c>
      <c r="B64" s="3">
        <v>51.8</v>
      </c>
    </row>
    <row r="65" spans="1:2" x14ac:dyDescent="0.2">
      <c r="A65" s="4">
        <v>42552</v>
      </c>
      <c r="B65" s="3">
        <v>51.9</v>
      </c>
    </row>
    <row r="66" spans="1:2" x14ac:dyDescent="0.2">
      <c r="A66" s="4">
        <v>42583</v>
      </c>
      <c r="B66" s="3">
        <v>51.1</v>
      </c>
    </row>
    <row r="67" spans="1:2" x14ac:dyDescent="0.2">
      <c r="A67" s="4">
        <v>42614</v>
      </c>
      <c r="B67" s="3">
        <v>50.3</v>
      </c>
    </row>
    <row r="68" spans="1:2" x14ac:dyDescent="0.2">
      <c r="A68" s="4">
        <v>42644</v>
      </c>
      <c r="B68" s="3">
        <v>51.1</v>
      </c>
    </row>
    <row r="69" spans="1:2" x14ac:dyDescent="0.2">
      <c r="A69" s="4">
        <v>42675</v>
      </c>
      <c r="B69" s="3">
        <v>51.5</v>
      </c>
    </row>
    <row r="70" spans="1:2" x14ac:dyDescent="0.2">
      <c r="A70" s="4">
        <v>42705</v>
      </c>
      <c r="B70" s="3">
        <v>51.8</v>
      </c>
    </row>
    <row r="71" spans="1:2" x14ac:dyDescent="0.2">
      <c r="A71" s="4">
        <v>42736</v>
      </c>
      <c r="B71" s="3">
        <v>53.5</v>
      </c>
    </row>
    <row r="72" spans="1:2" x14ac:dyDescent="0.2">
      <c r="A72" s="4">
        <v>42767</v>
      </c>
      <c r="B72" s="3">
        <v>54.7</v>
      </c>
    </row>
    <row r="73" spans="1:2" x14ac:dyDescent="0.2">
      <c r="A73" s="4">
        <v>42795</v>
      </c>
      <c r="B73" s="3">
        <v>55.5</v>
      </c>
    </row>
    <row r="74" spans="1:2" x14ac:dyDescent="0.2">
      <c r="A74" s="4">
        <v>42826</v>
      </c>
      <c r="B74" s="3">
        <v>55.9</v>
      </c>
    </row>
    <row r="75" spans="1:2" x14ac:dyDescent="0.2">
      <c r="A75" s="4">
        <v>42856</v>
      </c>
      <c r="B75" s="3">
        <v>55.1</v>
      </c>
    </row>
    <row r="76" spans="1:2" x14ac:dyDescent="0.2">
      <c r="A76" s="4">
        <v>42887</v>
      </c>
      <c r="B76" s="3">
        <v>54.7</v>
      </c>
    </row>
    <row r="77" spans="1:2" x14ac:dyDescent="0.2">
      <c r="A77" s="4">
        <v>42917</v>
      </c>
      <c r="B77" s="3">
        <v>55.5</v>
      </c>
    </row>
    <row r="78" spans="1:2" x14ac:dyDescent="0.2">
      <c r="A78" s="4">
        <v>42948</v>
      </c>
      <c r="B78" s="3">
        <v>54.6</v>
      </c>
    </row>
    <row r="79" spans="1:2" x14ac:dyDescent="0.2">
      <c r="A79" s="4">
        <v>42979</v>
      </c>
      <c r="B79" s="3">
        <v>55</v>
      </c>
    </row>
    <row r="80" spans="1:2" x14ac:dyDescent="0.2">
      <c r="A80" s="4">
        <v>43009</v>
      </c>
      <c r="B80" s="3">
        <v>54.3</v>
      </c>
    </row>
    <row r="81" spans="1:2" x14ac:dyDescent="0.2">
      <c r="A81" s="4">
        <v>43040</v>
      </c>
      <c r="B81" s="3">
        <v>54.4</v>
      </c>
    </row>
    <row r="82" spans="1:2" x14ac:dyDescent="0.2">
      <c r="A82" s="4">
        <v>43070</v>
      </c>
      <c r="B82" s="3">
        <v>54.7</v>
      </c>
    </row>
    <row r="83" spans="1:2" x14ac:dyDescent="0.2">
      <c r="A83" s="4">
        <v>43101</v>
      </c>
      <c r="B83" s="3">
        <v>55.9</v>
      </c>
    </row>
    <row r="84" spans="1:2" x14ac:dyDescent="0.2">
      <c r="A84" s="4">
        <v>43132</v>
      </c>
      <c r="B84" s="3">
        <v>55.6</v>
      </c>
    </row>
    <row r="85" spans="1:2" x14ac:dyDescent="0.2">
      <c r="A85" s="4">
        <v>43160</v>
      </c>
      <c r="B85" s="3">
        <v>55.7</v>
      </c>
    </row>
    <row r="86" spans="1:2" x14ac:dyDescent="0.2">
      <c r="A86" s="4">
        <v>43191</v>
      </c>
      <c r="B86" s="3">
        <v>55.5</v>
      </c>
    </row>
    <row r="87" spans="1:2" x14ac:dyDescent="0.2">
      <c r="A87" s="4">
        <v>43221</v>
      </c>
      <c r="B87" s="3">
        <v>56.2</v>
      </c>
    </row>
    <row r="88" spans="1:2" x14ac:dyDescent="0.2">
      <c r="A88" s="4">
        <v>43252</v>
      </c>
      <c r="B88" s="3">
        <v>57.1</v>
      </c>
    </row>
    <row r="89" spans="1:2" x14ac:dyDescent="0.2">
      <c r="A89" s="4">
        <v>43282</v>
      </c>
      <c r="B89" s="3">
        <v>56.9</v>
      </c>
    </row>
    <row r="90" spans="1:2" x14ac:dyDescent="0.2">
      <c r="A90" s="4">
        <v>43313</v>
      </c>
      <c r="B90" s="3">
        <v>56.8</v>
      </c>
    </row>
    <row r="91" spans="1:2" x14ac:dyDescent="0.2">
      <c r="A91" s="4">
        <v>43344</v>
      </c>
      <c r="B91" s="3">
        <v>54.8</v>
      </c>
    </row>
    <row r="92" spans="1:2" x14ac:dyDescent="0.2">
      <c r="A92" s="4">
        <v>43374</v>
      </c>
      <c r="B92" s="3">
        <v>53.9</v>
      </c>
    </row>
    <row r="93" spans="1:2" x14ac:dyDescent="0.2">
      <c r="A93" s="4">
        <v>43405</v>
      </c>
      <c r="B93" s="3">
        <v>54.9</v>
      </c>
    </row>
    <row r="94" spans="1:2" x14ac:dyDescent="0.2">
      <c r="A94" s="4">
        <v>43435</v>
      </c>
      <c r="B94" s="3">
        <v>53.6</v>
      </c>
    </row>
    <row r="95" spans="1:2" x14ac:dyDescent="0.2">
      <c r="A95" s="4">
        <v>43466</v>
      </c>
      <c r="B95" s="3">
        <v>53</v>
      </c>
    </row>
    <row r="96" spans="1:2" x14ac:dyDescent="0.2">
      <c r="A96" s="4">
        <v>43497</v>
      </c>
      <c r="B96" s="3">
        <v>52.6</v>
      </c>
    </row>
    <row r="97" spans="1:2" x14ac:dyDescent="0.2">
      <c r="A97" s="4">
        <v>43525</v>
      </c>
      <c r="B97" s="3">
        <v>50.5</v>
      </c>
    </row>
    <row r="98" spans="1:2" x14ac:dyDescent="0.2">
      <c r="A98" s="4">
        <v>43556</v>
      </c>
      <c r="B98" s="3">
        <v>49.7</v>
      </c>
    </row>
    <row r="99" spans="1:2" x14ac:dyDescent="0.2">
      <c r="A99" s="4">
        <v>43586</v>
      </c>
      <c r="B99" s="3">
        <v>49.1</v>
      </c>
    </row>
    <row r="100" spans="1:2" x14ac:dyDescent="0.2">
      <c r="A100" s="4">
        <v>43617</v>
      </c>
      <c r="B100" s="3">
        <v>49.2</v>
      </c>
    </row>
    <row r="101" spans="1:2" x14ac:dyDescent="0.2">
      <c r="A101" s="4">
        <v>43647</v>
      </c>
      <c r="B101" s="3">
        <v>50.2</v>
      </c>
    </row>
    <row r="102" spans="1:2" x14ac:dyDescent="0.2">
      <c r="A102" s="4">
        <v>43678</v>
      </c>
      <c r="B102" s="3">
        <v>49.1</v>
      </c>
    </row>
    <row r="103" spans="1:2" x14ac:dyDescent="0.2">
      <c r="A103" s="4">
        <v>43709</v>
      </c>
      <c r="B103" s="3">
        <v>51</v>
      </c>
    </row>
    <row r="104" spans="1:2" x14ac:dyDescent="0.2">
      <c r="A104" s="4">
        <v>43739</v>
      </c>
      <c r="B104" s="3">
        <v>51.2</v>
      </c>
    </row>
    <row r="105" spans="1:2" x14ac:dyDescent="0.2">
      <c r="A105" s="4">
        <v>43770</v>
      </c>
      <c r="B105" s="3">
        <v>51.4</v>
      </c>
    </row>
    <row r="106" spans="1:2" x14ac:dyDescent="0.2">
      <c r="A106" s="4">
        <v>43800</v>
      </c>
      <c r="B106" s="3">
        <v>50.4</v>
      </c>
    </row>
    <row r="107" spans="1:2" x14ac:dyDescent="0.2">
      <c r="A107" s="4">
        <v>43831</v>
      </c>
      <c r="B107" s="3">
        <v>50.6</v>
      </c>
    </row>
    <row r="108" spans="1:2" x14ac:dyDescent="0.2">
      <c r="A108" s="4">
        <v>43862</v>
      </c>
      <c r="B108" s="3">
        <v>51.8</v>
      </c>
    </row>
    <row r="109" spans="1:2" x14ac:dyDescent="0.2">
      <c r="A109" s="4">
        <v>43891</v>
      </c>
      <c r="B109" s="3">
        <v>46.1</v>
      </c>
    </row>
    <row r="110" spans="1:2" x14ac:dyDescent="0.2">
      <c r="A110" s="4">
        <v>43922</v>
      </c>
      <c r="B110" s="3">
        <v>33</v>
      </c>
    </row>
    <row r="111" spans="1:2" x14ac:dyDescent="0.2">
      <c r="A111" s="4">
        <v>43952</v>
      </c>
      <c r="B111" s="3">
        <v>40.6</v>
      </c>
    </row>
    <row r="112" spans="1:2" x14ac:dyDescent="0.2">
      <c r="A112" s="4">
        <v>43983</v>
      </c>
      <c r="B112" s="3">
        <v>47.8</v>
      </c>
    </row>
    <row r="113" spans="1:2" x14ac:dyDescent="0.2">
      <c r="A113" s="4">
        <v>44013</v>
      </c>
      <c r="B113" s="3">
        <v>52.9</v>
      </c>
    </row>
    <row r="114" spans="1:2" x14ac:dyDescent="0.2">
      <c r="A114" s="4">
        <v>44044</v>
      </c>
      <c r="B114" s="3">
        <v>55.1</v>
      </c>
    </row>
    <row r="115" spans="1:2" x14ac:dyDescent="0.2">
      <c r="A115" s="4">
        <v>44075</v>
      </c>
      <c r="B115" s="3">
        <v>56</v>
      </c>
    </row>
    <row r="116" spans="1:2" x14ac:dyDescent="0.2">
      <c r="A116" s="4">
        <v>44105</v>
      </c>
      <c r="B116" s="3">
        <v>55.5</v>
      </c>
    </row>
    <row r="117" spans="1:2" x14ac:dyDescent="0.2">
      <c r="A117" s="4">
        <v>44136</v>
      </c>
      <c r="B117" s="3">
        <v>55.8</v>
      </c>
    </row>
    <row r="118" spans="1:2" x14ac:dyDescent="0.2">
      <c r="A118" s="4">
        <v>44166</v>
      </c>
      <c r="B118" s="3">
        <v>57.9</v>
      </c>
    </row>
    <row r="119" spans="1:2" x14ac:dyDescent="0.2">
      <c r="A119" s="4">
        <v>44197</v>
      </c>
      <c r="B119" s="3">
        <v>54.4</v>
      </c>
    </row>
    <row r="120" spans="1:2" x14ac:dyDescent="0.2">
      <c r="A120" s="4">
        <v>44228</v>
      </c>
      <c r="B120" s="3">
        <v>54.8</v>
      </c>
    </row>
    <row r="121" spans="1:2" x14ac:dyDescent="0.2">
      <c r="A121" s="4">
        <v>44256</v>
      </c>
      <c r="B121" s="3">
        <v>58.5</v>
      </c>
    </row>
    <row r="122" spans="1:2" x14ac:dyDescent="0.2">
      <c r="A122" s="4">
        <v>44287</v>
      </c>
      <c r="B122" s="3">
        <v>57.2</v>
      </c>
    </row>
    <row r="123" spans="1:2" x14ac:dyDescent="0.2">
      <c r="A123" s="4">
        <v>44317</v>
      </c>
      <c r="B123" s="3">
        <v>57</v>
      </c>
    </row>
    <row r="124" spans="1:2" x14ac:dyDescent="0.2">
      <c r="A124" s="4">
        <v>44348</v>
      </c>
      <c r="B124" s="3">
        <v>56.5</v>
      </c>
    </row>
    <row r="125" spans="1:2" x14ac:dyDescent="0.2">
      <c r="A125" s="4">
        <v>44378</v>
      </c>
      <c r="B125" s="3">
        <v>56.2</v>
      </c>
    </row>
    <row r="126" spans="1:2" x14ac:dyDescent="0.2">
      <c r="A126" s="4">
        <v>44409</v>
      </c>
      <c r="B126" s="3">
        <v>57.2</v>
      </c>
    </row>
    <row r="127" spans="1:2" x14ac:dyDescent="0.2">
      <c r="A127" s="4">
        <v>44440</v>
      </c>
      <c r="B127" s="3">
        <v>57</v>
      </c>
    </row>
    <row r="128" spans="1:2" x14ac:dyDescent="0.2">
      <c r="A128" s="4">
        <v>44470</v>
      </c>
      <c r="B128" s="3">
        <v>57.7</v>
      </c>
    </row>
    <row r="129" spans="1:2" x14ac:dyDescent="0.2">
      <c r="A129" s="4">
        <v>44501</v>
      </c>
      <c r="B129" s="3">
        <v>57.2</v>
      </c>
    </row>
    <row r="130" spans="1:2" x14ac:dyDescent="0.2">
      <c r="A130" s="4">
        <v>44531</v>
      </c>
      <c r="B130" s="3">
        <v>55.5</v>
      </c>
    </row>
  </sheetData>
  <conditionalFormatting sqref="B2:B13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8DE59-0E54-458B-88D3-2013612B5F00}">
  <dimension ref="A1:B164"/>
  <sheetViews>
    <sheetView zoomScale="180" zoomScaleNormal="180" workbookViewId="0">
      <pane ySplit="1" topLeftCell="A2" activePane="bottomLeft" state="frozen"/>
      <selection pane="bottomLeft" activeCell="R157" sqref="R157"/>
    </sheetView>
  </sheetViews>
  <sheetFormatPr baseColWidth="10" defaultColWidth="9.1640625" defaultRowHeight="15" x14ac:dyDescent="0.2"/>
  <cols>
    <col min="1" max="1" width="13.5" style="2" customWidth="1"/>
    <col min="2" max="2" width="11.33203125" style="2" customWidth="1"/>
    <col min="3" max="16384" width="9.1640625" style="2"/>
  </cols>
  <sheetData>
    <row r="1" spans="1:2" ht="16" thickBot="1" x14ac:dyDescent="0.25">
      <c r="A1" s="11" t="s">
        <v>0</v>
      </c>
      <c r="B1" s="12" t="s">
        <v>21</v>
      </c>
    </row>
    <row r="2" spans="1:2" x14ac:dyDescent="0.2">
      <c r="A2" s="8">
        <v>39569</v>
      </c>
      <c r="B2" s="9">
        <v>51.4</v>
      </c>
    </row>
    <row r="3" spans="1:2" x14ac:dyDescent="0.2">
      <c r="A3" s="4">
        <v>39600</v>
      </c>
      <c r="B3" s="3">
        <v>51.2</v>
      </c>
    </row>
    <row r="4" spans="1:2" x14ac:dyDescent="0.2">
      <c r="A4" s="4">
        <v>39630</v>
      </c>
      <c r="B4" s="3">
        <v>52.7</v>
      </c>
    </row>
    <row r="5" spans="1:2" x14ac:dyDescent="0.2">
      <c r="A5" s="4">
        <v>39661</v>
      </c>
      <c r="B5" s="3">
        <v>51.2</v>
      </c>
    </row>
    <row r="6" spans="1:2" x14ac:dyDescent="0.2">
      <c r="A6" s="4">
        <v>39692</v>
      </c>
      <c r="B6" s="3">
        <v>47</v>
      </c>
    </row>
    <row r="7" spans="1:2" x14ac:dyDescent="0.2">
      <c r="A7" s="4">
        <v>39722</v>
      </c>
      <c r="B7" s="3">
        <v>46.9</v>
      </c>
    </row>
    <row r="8" spans="1:2" x14ac:dyDescent="0.2">
      <c r="A8" s="4">
        <v>39753</v>
      </c>
      <c r="B8" s="3">
        <v>40.4</v>
      </c>
    </row>
    <row r="9" spans="1:2" x14ac:dyDescent="0.2">
      <c r="A9" s="4">
        <v>39783</v>
      </c>
      <c r="B9" s="3">
        <v>33.700000000000003</v>
      </c>
    </row>
    <row r="10" spans="1:2" x14ac:dyDescent="0.2">
      <c r="A10" s="4">
        <v>39814</v>
      </c>
      <c r="B10" s="3">
        <v>36.6</v>
      </c>
    </row>
    <row r="11" spans="1:2" x14ac:dyDescent="0.2">
      <c r="A11" s="4">
        <v>39845</v>
      </c>
      <c r="B11" s="3">
        <v>31.7</v>
      </c>
    </row>
    <row r="12" spans="1:2" x14ac:dyDescent="0.2">
      <c r="A12" s="4">
        <v>39873</v>
      </c>
      <c r="B12" s="3">
        <v>33.4</v>
      </c>
    </row>
    <row r="13" spans="1:2" x14ac:dyDescent="0.2">
      <c r="A13" s="4">
        <v>39904</v>
      </c>
      <c r="B13" s="3">
        <v>30.1</v>
      </c>
    </row>
    <row r="14" spans="1:2" x14ac:dyDescent="0.2">
      <c r="A14" s="4">
        <v>39934</v>
      </c>
      <c r="B14" s="3">
        <v>37.5</v>
      </c>
    </row>
    <row r="15" spans="1:2" x14ac:dyDescent="0.2">
      <c r="A15" s="4">
        <v>39965</v>
      </c>
      <c r="B15" s="3">
        <v>38.4</v>
      </c>
    </row>
    <row r="16" spans="1:2" x14ac:dyDescent="0.2">
      <c r="A16" s="4">
        <v>39995</v>
      </c>
      <c r="B16" s="3">
        <v>44.5</v>
      </c>
    </row>
    <row r="17" spans="1:2" x14ac:dyDescent="0.2">
      <c r="A17" s="4">
        <v>40026</v>
      </c>
      <c r="B17" s="3">
        <v>51.7</v>
      </c>
    </row>
    <row r="18" spans="1:2" x14ac:dyDescent="0.2">
      <c r="A18" s="4">
        <v>40057</v>
      </c>
      <c r="B18" s="3">
        <v>52</v>
      </c>
    </row>
    <row r="19" spans="1:2" x14ac:dyDescent="0.2">
      <c r="A19" s="4">
        <v>40087</v>
      </c>
      <c r="B19" s="3">
        <v>51.7</v>
      </c>
    </row>
    <row r="20" spans="1:2" x14ac:dyDescent="0.2">
      <c r="A20" s="4">
        <v>40118</v>
      </c>
      <c r="B20" s="3">
        <v>51.2</v>
      </c>
    </row>
    <row r="21" spans="1:2" x14ac:dyDescent="0.2">
      <c r="A21" s="4">
        <v>40148</v>
      </c>
      <c r="B21" s="3">
        <v>48.5</v>
      </c>
    </row>
    <row r="22" spans="1:2" x14ac:dyDescent="0.2">
      <c r="A22" s="4">
        <v>40179</v>
      </c>
      <c r="B22" s="3">
        <v>51</v>
      </c>
    </row>
    <row r="23" spans="1:2" x14ac:dyDescent="0.2">
      <c r="A23" s="4">
        <v>40210</v>
      </c>
      <c r="B23" s="3">
        <v>53.8</v>
      </c>
    </row>
    <row r="24" spans="1:2" x14ac:dyDescent="0.2">
      <c r="A24" s="4">
        <v>40238</v>
      </c>
      <c r="B24" s="3">
        <v>50.2</v>
      </c>
    </row>
    <row r="25" spans="1:2" x14ac:dyDescent="0.2">
      <c r="A25" s="4">
        <v>40269</v>
      </c>
      <c r="B25" s="3">
        <v>59.8</v>
      </c>
    </row>
    <row r="26" spans="1:2" x14ac:dyDescent="0.2">
      <c r="A26" s="4">
        <v>40299</v>
      </c>
      <c r="B26" s="3">
        <v>56.3</v>
      </c>
    </row>
    <row r="27" spans="1:2" x14ac:dyDescent="0.2">
      <c r="A27" s="4">
        <v>40330</v>
      </c>
      <c r="B27" s="3">
        <v>52.9</v>
      </c>
    </row>
    <row r="28" spans="1:2" x14ac:dyDescent="0.2">
      <c r="A28" s="4">
        <v>40360</v>
      </c>
      <c r="B28" s="3">
        <v>54.4</v>
      </c>
    </row>
    <row r="29" spans="1:2" x14ac:dyDescent="0.2">
      <c r="A29" s="4">
        <v>40391</v>
      </c>
      <c r="B29" s="3">
        <v>51.7</v>
      </c>
    </row>
    <row r="30" spans="1:2" x14ac:dyDescent="0.2">
      <c r="A30" s="4">
        <v>40422</v>
      </c>
      <c r="B30" s="3">
        <v>47.3</v>
      </c>
    </row>
    <row r="31" spans="1:2" x14ac:dyDescent="0.2">
      <c r="A31" s="4">
        <v>40452</v>
      </c>
      <c r="B31" s="3">
        <v>49.4</v>
      </c>
    </row>
    <row r="32" spans="1:2" x14ac:dyDescent="0.2">
      <c r="A32" s="4">
        <v>40483</v>
      </c>
      <c r="B32" s="3">
        <v>47.6</v>
      </c>
    </row>
    <row r="33" spans="1:2" x14ac:dyDescent="0.2">
      <c r="A33" s="4">
        <v>40513</v>
      </c>
      <c r="B33" s="3">
        <v>46.3</v>
      </c>
    </row>
    <row r="34" spans="1:2" x14ac:dyDescent="0.2">
      <c r="A34" s="4">
        <v>40544</v>
      </c>
      <c r="B34" s="3">
        <v>46.7</v>
      </c>
    </row>
    <row r="35" spans="1:2" x14ac:dyDescent="0.2">
      <c r="A35" s="4">
        <v>40575</v>
      </c>
      <c r="B35" s="3">
        <v>51.1</v>
      </c>
    </row>
    <row r="36" spans="1:2" x14ac:dyDescent="0.2">
      <c r="A36" s="4">
        <v>40603</v>
      </c>
      <c r="B36" s="3">
        <v>47.9</v>
      </c>
    </row>
    <row r="37" spans="1:2" x14ac:dyDescent="0.2">
      <c r="A37" s="4">
        <v>40634</v>
      </c>
      <c r="B37" s="3">
        <v>48.4</v>
      </c>
    </row>
    <row r="38" spans="1:2" x14ac:dyDescent="0.2">
      <c r="A38" s="4">
        <v>40664</v>
      </c>
      <c r="B38" s="3">
        <v>47.7</v>
      </c>
    </row>
    <row r="39" spans="1:2" x14ac:dyDescent="0.2">
      <c r="A39" s="4">
        <v>40695</v>
      </c>
      <c r="B39" s="3">
        <v>52.9</v>
      </c>
    </row>
    <row r="40" spans="1:2" x14ac:dyDescent="0.2">
      <c r="A40" s="4">
        <v>40725</v>
      </c>
      <c r="B40" s="3">
        <v>43.4</v>
      </c>
    </row>
    <row r="41" spans="1:2" x14ac:dyDescent="0.2">
      <c r="A41" s="4">
        <v>40756</v>
      </c>
      <c r="B41" s="3">
        <v>43.3</v>
      </c>
    </row>
    <row r="42" spans="1:2" x14ac:dyDescent="0.2">
      <c r="A42" s="4">
        <v>40787</v>
      </c>
      <c r="B42" s="3">
        <v>42.3</v>
      </c>
    </row>
    <row r="43" spans="1:2" x14ac:dyDescent="0.2">
      <c r="A43" s="4">
        <v>40817</v>
      </c>
      <c r="B43" s="3">
        <v>47.4</v>
      </c>
    </row>
    <row r="44" spans="1:2" x14ac:dyDescent="0.2">
      <c r="A44" s="4">
        <v>40848</v>
      </c>
      <c r="B44" s="3">
        <v>47.8</v>
      </c>
    </row>
    <row r="45" spans="1:2" x14ac:dyDescent="0.2">
      <c r="A45" s="4">
        <v>40878</v>
      </c>
      <c r="B45" s="3">
        <v>50.2</v>
      </c>
    </row>
    <row r="46" spans="1:2" x14ac:dyDescent="0.2">
      <c r="A46" s="4">
        <v>40909</v>
      </c>
      <c r="B46" s="3">
        <v>51.6</v>
      </c>
    </row>
    <row r="47" spans="1:2" x14ac:dyDescent="0.2">
      <c r="A47" s="4">
        <v>40940</v>
      </c>
      <c r="B47" s="3">
        <v>51.3</v>
      </c>
    </row>
    <row r="48" spans="1:2" x14ac:dyDescent="0.2">
      <c r="A48" s="4">
        <v>40969</v>
      </c>
      <c r="B48" s="3">
        <v>49.5</v>
      </c>
    </row>
    <row r="49" spans="1:2" x14ac:dyDescent="0.2">
      <c r="A49" s="4">
        <v>41000</v>
      </c>
      <c r="B49" s="3">
        <v>43.9</v>
      </c>
    </row>
    <row r="50" spans="1:2" x14ac:dyDescent="0.2">
      <c r="A50" s="4">
        <v>41030</v>
      </c>
      <c r="B50" s="3">
        <v>42.4</v>
      </c>
    </row>
    <row r="51" spans="1:2" x14ac:dyDescent="0.2">
      <c r="A51" s="4">
        <v>41061</v>
      </c>
      <c r="B51" s="3">
        <v>47.2</v>
      </c>
    </row>
    <row r="52" spans="1:2" x14ac:dyDescent="0.2">
      <c r="A52" s="4">
        <v>41091</v>
      </c>
      <c r="B52" s="3">
        <v>40.299999999999997</v>
      </c>
    </row>
    <row r="53" spans="1:2" x14ac:dyDescent="0.2">
      <c r="A53" s="4">
        <v>41122</v>
      </c>
      <c r="B53" s="3">
        <v>45.3</v>
      </c>
    </row>
    <row r="54" spans="1:2" x14ac:dyDescent="0.2">
      <c r="A54" s="4">
        <v>41153</v>
      </c>
      <c r="B54" s="3">
        <v>44.1</v>
      </c>
    </row>
    <row r="55" spans="1:2" x14ac:dyDescent="0.2">
      <c r="A55" s="4">
        <v>41183</v>
      </c>
      <c r="B55" s="3">
        <v>45.2</v>
      </c>
    </row>
    <row r="56" spans="1:2" x14ac:dyDescent="0.2">
      <c r="A56" s="4">
        <v>41214</v>
      </c>
      <c r="B56" s="3">
        <v>43.6</v>
      </c>
    </row>
    <row r="57" spans="1:2" x14ac:dyDescent="0.2">
      <c r="A57" s="4">
        <v>41244</v>
      </c>
      <c r="B57" s="3">
        <v>44.3</v>
      </c>
    </row>
    <row r="58" spans="1:2" x14ac:dyDescent="0.2">
      <c r="A58" s="4">
        <v>41275</v>
      </c>
      <c r="B58" s="3">
        <v>40.200000000000003</v>
      </c>
    </row>
    <row r="59" spans="1:2" x14ac:dyDescent="0.2">
      <c r="A59" s="4">
        <v>41306</v>
      </c>
      <c r="B59" s="3">
        <v>45.6</v>
      </c>
    </row>
    <row r="60" spans="1:2" x14ac:dyDescent="0.2">
      <c r="A60" s="4">
        <v>41334</v>
      </c>
      <c r="B60" s="3">
        <v>44.4</v>
      </c>
    </row>
    <row r="61" spans="1:2" x14ac:dyDescent="0.2">
      <c r="A61" s="4">
        <v>41365</v>
      </c>
      <c r="B61" s="3">
        <v>36.700000000000003</v>
      </c>
    </row>
    <row r="62" spans="1:2" x14ac:dyDescent="0.2">
      <c r="A62" s="4">
        <v>41395</v>
      </c>
      <c r="B62" s="3">
        <v>43.8</v>
      </c>
    </row>
    <row r="63" spans="1:2" x14ac:dyDescent="0.2">
      <c r="A63" s="4">
        <v>41426</v>
      </c>
      <c r="B63" s="3">
        <v>49.6</v>
      </c>
    </row>
    <row r="64" spans="1:2" x14ac:dyDescent="0.2">
      <c r="A64" s="4">
        <v>41456</v>
      </c>
      <c r="B64" s="3">
        <v>42</v>
      </c>
    </row>
    <row r="65" spans="1:2" x14ac:dyDescent="0.2">
      <c r="A65" s="4">
        <v>41487</v>
      </c>
      <c r="B65" s="3">
        <v>46.4</v>
      </c>
    </row>
    <row r="66" spans="1:2" x14ac:dyDescent="0.2">
      <c r="A66" s="4">
        <v>41518</v>
      </c>
      <c r="B66" s="3">
        <v>51.7</v>
      </c>
    </row>
    <row r="67" spans="1:2" x14ac:dyDescent="0.2">
      <c r="A67" s="4">
        <v>41548</v>
      </c>
      <c r="B67" s="3">
        <v>53.2</v>
      </c>
    </row>
    <row r="68" spans="1:2" x14ac:dyDescent="0.2">
      <c r="A68" s="4">
        <v>41579</v>
      </c>
      <c r="B68" s="3">
        <v>47.7</v>
      </c>
    </row>
    <row r="69" spans="1:2" x14ac:dyDescent="0.2">
      <c r="A69" s="4">
        <v>41609</v>
      </c>
      <c r="B69" s="3">
        <v>47.6</v>
      </c>
    </row>
    <row r="70" spans="1:2" x14ac:dyDescent="0.2">
      <c r="A70" s="4">
        <v>41640</v>
      </c>
      <c r="B70" s="3">
        <v>46.7</v>
      </c>
    </row>
    <row r="71" spans="1:2" x14ac:dyDescent="0.2">
      <c r="A71" s="4">
        <v>41671</v>
      </c>
      <c r="B71" s="3">
        <v>48.6</v>
      </c>
    </row>
    <row r="72" spans="1:2" x14ac:dyDescent="0.2">
      <c r="A72" s="4">
        <v>41699</v>
      </c>
      <c r="B72" s="3">
        <v>49.7</v>
      </c>
    </row>
    <row r="73" spans="1:2" x14ac:dyDescent="0.2">
      <c r="A73" s="4">
        <v>41730</v>
      </c>
      <c r="B73" s="3">
        <v>44.8</v>
      </c>
    </row>
    <row r="74" spans="1:2" x14ac:dyDescent="0.2">
      <c r="A74" s="4">
        <v>41760</v>
      </c>
      <c r="B74" s="3">
        <v>49.2</v>
      </c>
    </row>
    <row r="75" spans="1:2" x14ac:dyDescent="0.2">
      <c r="A75" s="4">
        <v>41791</v>
      </c>
      <c r="B75" s="3">
        <v>48.9</v>
      </c>
    </row>
    <row r="76" spans="1:2" x14ac:dyDescent="0.2">
      <c r="A76" s="4">
        <v>41821</v>
      </c>
      <c r="B76" s="3">
        <v>50.7</v>
      </c>
    </row>
    <row r="77" spans="1:2" x14ac:dyDescent="0.2">
      <c r="A77" s="4">
        <v>41852</v>
      </c>
      <c r="B77" s="3">
        <v>47.3</v>
      </c>
    </row>
    <row r="78" spans="1:2" x14ac:dyDescent="0.2">
      <c r="A78" s="4">
        <v>41883</v>
      </c>
      <c r="B78" s="3">
        <v>46.5</v>
      </c>
    </row>
    <row r="79" spans="1:2" x14ac:dyDescent="0.2">
      <c r="A79" s="4">
        <v>41913</v>
      </c>
      <c r="B79" s="3">
        <v>49.42</v>
      </c>
    </row>
    <row r="80" spans="1:2" x14ac:dyDescent="0.2">
      <c r="A80" s="4">
        <v>41944</v>
      </c>
      <c r="B80" s="3">
        <v>50.1</v>
      </c>
    </row>
    <row r="81" spans="1:2" x14ac:dyDescent="0.2">
      <c r="A81" s="4">
        <v>41974</v>
      </c>
      <c r="B81" s="3">
        <v>46.9</v>
      </c>
    </row>
    <row r="82" spans="1:2" x14ac:dyDescent="0.2">
      <c r="A82" s="4">
        <v>42005</v>
      </c>
      <c r="B82" s="3">
        <v>49</v>
      </c>
    </row>
    <row r="83" spans="1:2" x14ac:dyDescent="0.2">
      <c r="A83" s="4">
        <v>42036</v>
      </c>
      <c r="B83" s="3">
        <v>45.4</v>
      </c>
    </row>
    <row r="84" spans="1:2" x14ac:dyDescent="0.2">
      <c r="A84" s="4">
        <v>42064</v>
      </c>
      <c r="B84" s="3">
        <v>46.3</v>
      </c>
    </row>
    <row r="85" spans="1:2" x14ac:dyDescent="0.2">
      <c r="A85" s="4">
        <v>42095</v>
      </c>
      <c r="B85" s="3">
        <v>48</v>
      </c>
    </row>
    <row r="86" spans="1:2" x14ac:dyDescent="0.2">
      <c r="A86" s="4">
        <v>42125</v>
      </c>
      <c r="B86" s="3">
        <v>52.29</v>
      </c>
    </row>
    <row r="87" spans="1:2" x14ac:dyDescent="0.2">
      <c r="A87" s="4">
        <v>42156</v>
      </c>
      <c r="B87" s="3">
        <v>44.2</v>
      </c>
    </row>
    <row r="88" spans="1:2" x14ac:dyDescent="0.2">
      <c r="A88" s="4">
        <v>42186</v>
      </c>
      <c r="B88" s="3">
        <v>50.4</v>
      </c>
    </row>
    <row r="89" spans="1:2" x14ac:dyDescent="0.2">
      <c r="A89" s="4">
        <v>42217</v>
      </c>
      <c r="B89" s="3">
        <v>51.7</v>
      </c>
    </row>
    <row r="90" spans="1:2" x14ac:dyDescent="0.2">
      <c r="A90" s="4">
        <v>42248</v>
      </c>
      <c r="B90" s="3">
        <v>52.1</v>
      </c>
    </row>
    <row r="91" spans="1:2" x14ac:dyDescent="0.2">
      <c r="A91" s="4">
        <v>42278</v>
      </c>
      <c r="B91" s="3">
        <v>50.2</v>
      </c>
    </row>
    <row r="92" spans="1:2" x14ac:dyDescent="0.2">
      <c r="A92" s="4">
        <v>42309</v>
      </c>
      <c r="B92" s="3">
        <v>52.5</v>
      </c>
    </row>
    <row r="93" spans="1:2" x14ac:dyDescent="0.2">
      <c r="A93" s="4">
        <v>42339</v>
      </c>
      <c r="B93" s="3">
        <v>51.9</v>
      </c>
    </row>
    <row r="94" spans="1:2" x14ac:dyDescent="0.2">
      <c r="A94" s="4">
        <v>42370</v>
      </c>
      <c r="B94" s="3">
        <v>51.5</v>
      </c>
    </row>
    <row r="95" spans="1:2" x14ac:dyDescent="0.2">
      <c r="A95" s="4">
        <v>42401</v>
      </c>
      <c r="B95" s="3">
        <v>53.5</v>
      </c>
    </row>
    <row r="96" spans="1:2" x14ac:dyDescent="0.2">
      <c r="A96" s="4">
        <v>42430</v>
      </c>
      <c r="B96" s="3">
        <v>58.1</v>
      </c>
    </row>
    <row r="97" spans="1:2" x14ac:dyDescent="0.2">
      <c r="A97" s="4">
        <v>42461</v>
      </c>
      <c r="B97" s="3">
        <v>53.4</v>
      </c>
    </row>
    <row r="98" spans="1:2" x14ac:dyDescent="0.2">
      <c r="A98" s="4">
        <v>42491</v>
      </c>
      <c r="B98" s="3">
        <v>51</v>
      </c>
    </row>
    <row r="99" spans="1:2" x14ac:dyDescent="0.2">
      <c r="A99" s="4">
        <v>42522</v>
      </c>
      <c r="B99" s="3">
        <v>51.8</v>
      </c>
    </row>
    <row r="100" spans="1:2" x14ac:dyDescent="0.2">
      <c r="A100" s="4">
        <v>42552</v>
      </c>
      <c r="B100" s="3">
        <v>56.4</v>
      </c>
    </row>
    <row r="101" spans="1:2" x14ac:dyDescent="0.2">
      <c r="A101" s="4">
        <v>42583</v>
      </c>
      <c r="B101" s="3">
        <v>46.9</v>
      </c>
    </row>
    <row r="102" spans="1:2" x14ac:dyDescent="0.2">
      <c r="A102" s="4">
        <v>42614</v>
      </c>
      <c r="B102" s="3">
        <v>49.8</v>
      </c>
    </row>
    <row r="103" spans="1:2" x14ac:dyDescent="0.2">
      <c r="A103" s="4">
        <v>42644</v>
      </c>
      <c r="B103" s="3">
        <v>50.9</v>
      </c>
    </row>
    <row r="104" spans="1:2" x14ac:dyDescent="0.2">
      <c r="A104" s="4">
        <v>42675</v>
      </c>
      <c r="B104" s="3">
        <v>54.2</v>
      </c>
    </row>
    <row r="105" spans="1:2" x14ac:dyDescent="0.2">
      <c r="A105" s="4">
        <v>42705</v>
      </c>
      <c r="B105" s="3">
        <v>55.4</v>
      </c>
    </row>
    <row r="106" spans="1:2" x14ac:dyDescent="0.2">
      <c r="A106" s="4">
        <v>42736</v>
      </c>
      <c r="B106" s="3">
        <v>51.2</v>
      </c>
    </row>
    <row r="107" spans="1:2" x14ac:dyDescent="0.2">
      <c r="A107" s="4">
        <v>42767</v>
      </c>
      <c r="B107" s="3">
        <v>59.3</v>
      </c>
    </row>
    <row r="108" spans="1:2" x14ac:dyDescent="0.2">
      <c r="A108" s="4">
        <v>42795</v>
      </c>
      <c r="B108" s="3">
        <v>57.5</v>
      </c>
    </row>
    <row r="109" spans="1:2" x14ac:dyDescent="0.2">
      <c r="A109" s="4">
        <v>42826</v>
      </c>
      <c r="B109" s="3">
        <v>59.2</v>
      </c>
    </row>
    <row r="110" spans="1:2" x14ac:dyDescent="0.2">
      <c r="A110" s="4">
        <v>42856</v>
      </c>
      <c r="B110" s="3">
        <v>54.8</v>
      </c>
    </row>
    <row r="111" spans="1:2" x14ac:dyDescent="0.2">
      <c r="A111" s="4">
        <v>42887</v>
      </c>
      <c r="B111" s="3">
        <v>55</v>
      </c>
    </row>
    <row r="112" spans="1:2" x14ac:dyDescent="0.2">
      <c r="A112" s="4">
        <v>42917</v>
      </c>
      <c r="B112" s="3">
        <v>56</v>
      </c>
    </row>
    <row r="113" spans="1:2" x14ac:dyDescent="0.2">
      <c r="A113" s="4">
        <v>42948</v>
      </c>
      <c r="B113" s="3">
        <v>59.8</v>
      </c>
    </row>
    <row r="114" spans="1:2" x14ac:dyDescent="0.2">
      <c r="A114" s="4">
        <v>42979</v>
      </c>
      <c r="B114" s="3">
        <v>54.2</v>
      </c>
    </row>
    <row r="115" spans="1:2" x14ac:dyDescent="0.2">
      <c r="A115" s="4">
        <v>43009</v>
      </c>
      <c r="B115" s="3">
        <v>51.1</v>
      </c>
    </row>
    <row r="116" spans="1:2" x14ac:dyDescent="0.2">
      <c r="A116" s="4">
        <v>43040</v>
      </c>
      <c r="B116" s="3">
        <v>57.3</v>
      </c>
    </row>
    <row r="117" spans="1:2" x14ac:dyDescent="0.2">
      <c r="A117" s="4">
        <v>43070</v>
      </c>
      <c r="B117" s="3">
        <v>56.2</v>
      </c>
    </row>
    <row r="118" spans="1:2" x14ac:dyDescent="0.2">
      <c r="A118" s="4">
        <v>43101</v>
      </c>
      <c r="B118" s="3">
        <v>58.7</v>
      </c>
    </row>
    <row r="119" spans="1:2" x14ac:dyDescent="0.2">
      <c r="A119" s="4">
        <v>43132</v>
      </c>
      <c r="B119" s="3">
        <v>57.5</v>
      </c>
    </row>
    <row r="120" spans="1:2" x14ac:dyDescent="0.2">
      <c r="A120" s="4">
        <v>43160</v>
      </c>
      <c r="B120" s="3">
        <v>63.1</v>
      </c>
    </row>
    <row r="121" spans="1:2" x14ac:dyDescent="0.2">
      <c r="A121" s="4">
        <v>43191</v>
      </c>
      <c r="B121" s="3">
        <v>58.3</v>
      </c>
    </row>
    <row r="122" spans="1:2" x14ac:dyDescent="0.2">
      <c r="A122" s="4">
        <v>43221</v>
      </c>
      <c r="B122" s="3">
        <v>57.5</v>
      </c>
    </row>
    <row r="123" spans="1:2" x14ac:dyDescent="0.2">
      <c r="A123" s="4">
        <v>43252</v>
      </c>
      <c r="B123" s="3">
        <v>57.4</v>
      </c>
    </row>
    <row r="124" spans="1:2" x14ac:dyDescent="0.2">
      <c r="A124" s="4">
        <v>43282</v>
      </c>
      <c r="B124" s="3">
        <v>52</v>
      </c>
    </row>
    <row r="125" spans="1:2" x14ac:dyDescent="0.2">
      <c r="A125" s="4">
        <v>43313</v>
      </c>
      <c r="B125" s="3">
        <v>56.7</v>
      </c>
    </row>
    <row r="126" spans="1:2" x14ac:dyDescent="0.2">
      <c r="A126" s="4">
        <v>43344</v>
      </c>
      <c r="B126" s="3">
        <v>59</v>
      </c>
    </row>
    <row r="127" spans="1:2" x14ac:dyDescent="0.2">
      <c r="A127" s="4">
        <v>43374</v>
      </c>
      <c r="B127" s="3">
        <v>58.3</v>
      </c>
    </row>
    <row r="128" spans="1:2" x14ac:dyDescent="0.2">
      <c r="A128" s="4">
        <v>43405</v>
      </c>
      <c r="B128" s="3">
        <v>51.3</v>
      </c>
    </row>
    <row r="129" spans="1:2" x14ac:dyDescent="0.2">
      <c r="A129" s="4">
        <v>43435</v>
      </c>
      <c r="B129" s="3">
        <v>49.5</v>
      </c>
    </row>
    <row r="130" spans="1:2" x14ac:dyDescent="0.2">
      <c r="A130" s="4">
        <v>43466</v>
      </c>
      <c r="B130" s="3">
        <v>52.5</v>
      </c>
    </row>
    <row r="131" spans="1:2" x14ac:dyDescent="0.2">
      <c r="A131" s="4">
        <v>43497</v>
      </c>
      <c r="B131" s="3">
        <v>54</v>
      </c>
    </row>
    <row r="132" spans="1:2" x14ac:dyDescent="0.2">
      <c r="A132" s="4">
        <v>43525</v>
      </c>
      <c r="B132" s="3">
        <v>51</v>
      </c>
    </row>
    <row r="133" spans="1:2" x14ac:dyDescent="0.2">
      <c r="A133" s="4">
        <v>43556</v>
      </c>
      <c r="B133" s="3">
        <v>54.8</v>
      </c>
    </row>
    <row r="134" spans="1:2" x14ac:dyDescent="0.2">
      <c r="A134" s="4">
        <v>43586</v>
      </c>
      <c r="B134" s="3">
        <v>52.7</v>
      </c>
    </row>
    <row r="135" spans="1:2" x14ac:dyDescent="0.2">
      <c r="A135" s="4">
        <v>43617</v>
      </c>
      <c r="B135" s="3">
        <v>49.4</v>
      </c>
    </row>
    <row r="136" spans="1:2" x14ac:dyDescent="0.2">
      <c r="A136" s="4">
        <v>43647</v>
      </c>
      <c r="B136" s="3">
        <v>51.3</v>
      </c>
    </row>
    <row r="137" spans="1:2" x14ac:dyDescent="0.2">
      <c r="A137" s="4">
        <v>43678</v>
      </c>
      <c r="B137" s="3">
        <v>53.1</v>
      </c>
    </row>
    <row r="138" spans="1:2" x14ac:dyDescent="0.2">
      <c r="A138" s="4">
        <v>43709</v>
      </c>
      <c r="B138" s="3">
        <v>54.7</v>
      </c>
    </row>
    <row r="139" spans="1:2" x14ac:dyDescent="0.2">
      <c r="A139" s="4">
        <v>43739</v>
      </c>
      <c r="B139" s="3">
        <v>51.6</v>
      </c>
    </row>
    <row r="140" spans="1:2" x14ac:dyDescent="0.2">
      <c r="A140" s="4">
        <v>43770</v>
      </c>
      <c r="B140" s="3">
        <v>48.1</v>
      </c>
    </row>
    <row r="141" spans="1:2" x14ac:dyDescent="0.2">
      <c r="A141" s="4">
        <v>43800</v>
      </c>
      <c r="B141" s="3">
        <v>48.3</v>
      </c>
    </row>
    <row r="142" spans="1:2" x14ac:dyDescent="0.2">
      <c r="A142" s="4">
        <v>43831</v>
      </c>
      <c r="B142" s="3">
        <v>45.4</v>
      </c>
    </row>
    <row r="143" spans="1:2" x14ac:dyDescent="0.2">
      <c r="A143" s="4">
        <v>43862</v>
      </c>
      <c r="B143" s="3">
        <v>44.3</v>
      </c>
    </row>
    <row r="144" spans="1:2" x14ac:dyDescent="0.2">
      <c r="A144" s="4">
        <v>43891</v>
      </c>
      <c r="B144" s="3">
        <v>53.7</v>
      </c>
    </row>
    <row r="145" spans="1:2" x14ac:dyDescent="0.2">
      <c r="A145" s="4">
        <v>43922</v>
      </c>
      <c r="B145" s="3">
        <v>35.799999999999997</v>
      </c>
    </row>
    <row r="146" spans="1:2" x14ac:dyDescent="0.2">
      <c r="A146" s="4">
        <v>43952</v>
      </c>
      <c r="B146" s="3">
        <v>41.6</v>
      </c>
    </row>
    <row r="147" spans="1:2" x14ac:dyDescent="0.2">
      <c r="A147" s="4">
        <v>43983</v>
      </c>
      <c r="B147" s="3">
        <v>51.5</v>
      </c>
    </row>
    <row r="148" spans="1:2" x14ac:dyDescent="0.2">
      <c r="A148" s="4">
        <v>44013</v>
      </c>
      <c r="B148" s="3">
        <v>53.5</v>
      </c>
    </row>
    <row r="149" spans="1:2" x14ac:dyDescent="0.2">
      <c r="A149" s="4">
        <v>44044</v>
      </c>
      <c r="B149" s="3">
        <v>49.3</v>
      </c>
    </row>
    <row r="150" spans="1:2" x14ac:dyDescent="0.2">
      <c r="A150" s="4">
        <v>44075</v>
      </c>
      <c r="B150" s="3">
        <v>46.7</v>
      </c>
    </row>
    <row r="151" spans="1:2" x14ac:dyDescent="0.2">
      <c r="A151" s="4">
        <v>44105</v>
      </c>
      <c r="B151" s="3">
        <v>56.3</v>
      </c>
    </row>
    <row r="152" spans="1:2" x14ac:dyDescent="0.2">
      <c r="A152" s="4">
        <v>44136</v>
      </c>
      <c r="B152" s="3">
        <v>52.1</v>
      </c>
    </row>
    <row r="153" spans="1:2" x14ac:dyDescent="0.2">
      <c r="A153" s="4">
        <v>44166</v>
      </c>
      <c r="B153" s="3">
        <v>55.3</v>
      </c>
    </row>
    <row r="154" spans="1:2" x14ac:dyDescent="0.2">
      <c r="A154" s="4">
        <v>44197</v>
      </c>
      <c r="B154" s="3">
        <v>55.3</v>
      </c>
    </row>
    <row r="155" spans="1:2" x14ac:dyDescent="0.2">
      <c r="A155" s="4">
        <v>44228</v>
      </c>
      <c r="B155" s="3">
        <v>58.8</v>
      </c>
    </row>
    <row r="156" spans="1:2" x14ac:dyDescent="0.2">
      <c r="A156" s="4">
        <v>44256</v>
      </c>
      <c r="B156" s="3">
        <v>59.9</v>
      </c>
    </row>
    <row r="157" spans="1:2" x14ac:dyDescent="0.2">
      <c r="A157" s="4">
        <v>44287</v>
      </c>
      <c r="B157" s="3">
        <v>61.7</v>
      </c>
    </row>
    <row r="158" spans="1:2" x14ac:dyDescent="0.2">
      <c r="A158" s="4">
        <v>44317</v>
      </c>
      <c r="B158" s="3">
        <v>61.8</v>
      </c>
    </row>
    <row r="159" spans="1:2" x14ac:dyDescent="0.2">
      <c r="A159" s="4">
        <v>44348</v>
      </c>
      <c r="B159" s="3">
        <v>63.2</v>
      </c>
    </row>
    <row r="160" spans="1:2" x14ac:dyDescent="0.2">
      <c r="A160" s="4">
        <v>44378</v>
      </c>
      <c r="B160" s="3">
        <v>60.8</v>
      </c>
    </row>
    <row r="161" spans="1:2" x14ac:dyDescent="0.2">
      <c r="A161" s="4">
        <v>44409</v>
      </c>
      <c r="B161" s="3">
        <v>51.6</v>
      </c>
    </row>
    <row r="162" spans="1:2" x14ac:dyDescent="0.2">
      <c r="A162" s="4">
        <v>44440</v>
      </c>
      <c r="B162" s="3">
        <v>51.2</v>
      </c>
    </row>
    <row r="163" spans="1:2" x14ac:dyDescent="0.2">
      <c r="A163" s="4">
        <v>44470</v>
      </c>
      <c r="B163" s="3">
        <v>50.4</v>
      </c>
    </row>
    <row r="164" spans="1:2" x14ac:dyDescent="0.2">
      <c r="A164" s="4">
        <v>44501</v>
      </c>
      <c r="B164" s="3">
        <v>54.8</v>
      </c>
    </row>
  </sheetData>
  <conditionalFormatting sqref="B2:B164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4611C-5288-4204-9894-619BCF349444}">
  <dimension ref="A1:B130"/>
  <sheetViews>
    <sheetView zoomScale="190" zoomScaleNormal="190" workbookViewId="0">
      <pane ySplit="1" topLeftCell="A2" activePane="bottomLeft" state="frozen"/>
      <selection pane="bottomLeft" activeCell="J103" sqref="J103"/>
    </sheetView>
  </sheetViews>
  <sheetFormatPr baseColWidth="10" defaultColWidth="9.1640625" defaultRowHeight="15" x14ac:dyDescent="0.2"/>
  <cols>
    <col min="1" max="1" width="13.5" style="2" customWidth="1"/>
    <col min="2" max="2" width="11.33203125" style="2" customWidth="1"/>
    <col min="3" max="16384" width="9.1640625" style="2"/>
  </cols>
  <sheetData>
    <row r="1" spans="1:2" ht="16" thickBot="1" x14ac:dyDescent="0.25">
      <c r="A1" s="11" t="s">
        <v>0</v>
      </c>
      <c r="B1" s="12" t="s">
        <v>22</v>
      </c>
    </row>
    <row r="2" spans="1:2" x14ac:dyDescent="0.2">
      <c r="A2" s="8">
        <v>40634</v>
      </c>
      <c r="B2" s="9">
        <v>48.1</v>
      </c>
    </row>
    <row r="3" spans="1:2" x14ac:dyDescent="0.2">
      <c r="A3" s="4">
        <v>40664</v>
      </c>
      <c r="B3" s="3">
        <v>48</v>
      </c>
    </row>
    <row r="4" spans="1:2" x14ac:dyDescent="0.2">
      <c r="A4" s="4">
        <v>40695</v>
      </c>
      <c r="B4" s="3">
        <v>50.5</v>
      </c>
    </row>
    <row r="5" spans="1:2" x14ac:dyDescent="0.2">
      <c r="A5" s="4">
        <v>40725</v>
      </c>
      <c r="B5" s="3">
        <v>51</v>
      </c>
    </row>
    <row r="6" spans="1:2" x14ac:dyDescent="0.2">
      <c r="A6" s="4">
        <v>40756</v>
      </c>
      <c r="B6" s="3">
        <v>50.9</v>
      </c>
    </row>
    <row r="7" spans="1:2" x14ac:dyDescent="0.2">
      <c r="A7" s="4">
        <v>40787</v>
      </c>
      <c r="B7" s="3">
        <v>49.8</v>
      </c>
    </row>
    <row r="8" spans="1:2" x14ac:dyDescent="0.2">
      <c r="A8" s="4">
        <v>40817</v>
      </c>
      <c r="B8" s="3">
        <v>51.3</v>
      </c>
    </row>
    <row r="9" spans="1:2" x14ac:dyDescent="0.2">
      <c r="A9" s="4">
        <v>40848</v>
      </c>
      <c r="B9" s="3">
        <v>50.1</v>
      </c>
    </row>
    <row r="10" spans="1:2" x14ac:dyDescent="0.2">
      <c r="A10" s="4">
        <v>40878</v>
      </c>
      <c r="B10" s="3">
        <v>48.1</v>
      </c>
    </row>
    <row r="11" spans="1:2" x14ac:dyDescent="0.2">
      <c r="A11" s="4">
        <v>40909</v>
      </c>
      <c r="B11" s="3">
        <v>48.5</v>
      </c>
    </row>
    <row r="12" spans="1:2" x14ac:dyDescent="0.2">
      <c r="A12" s="4">
        <v>40940</v>
      </c>
      <c r="B12" s="3">
        <v>50.6</v>
      </c>
    </row>
    <row r="13" spans="1:2" x14ac:dyDescent="0.2">
      <c r="A13" s="4">
        <v>40969</v>
      </c>
      <c r="B13" s="3">
        <v>50.8</v>
      </c>
    </row>
    <row r="14" spans="1:2" x14ac:dyDescent="0.2">
      <c r="A14" s="4">
        <v>41000</v>
      </c>
      <c r="B14" s="3">
        <v>50.5</v>
      </c>
    </row>
    <row r="15" spans="1:2" x14ac:dyDescent="0.2">
      <c r="A15" s="4">
        <v>41030</v>
      </c>
      <c r="B15" s="3">
        <v>48.1</v>
      </c>
    </row>
    <row r="16" spans="1:2" x14ac:dyDescent="0.2">
      <c r="A16" s="4">
        <v>41061</v>
      </c>
      <c r="B16" s="3">
        <v>50.2</v>
      </c>
    </row>
    <row r="17" spans="1:2" x14ac:dyDescent="0.2">
      <c r="A17" s="4">
        <v>41091</v>
      </c>
      <c r="B17" s="3">
        <v>51.3</v>
      </c>
    </row>
    <row r="18" spans="1:2" x14ac:dyDescent="0.2">
      <c r="A18" s="4">
        <v>41122</v>
      </c>
      <c r="B18" s="3">
        <v>51.4</v>
      </c>
    </row>
    <row r="19" spans="1:2" x14ac:dyDescent="0.2">
      <c r="A19" s="4">
        <v>41153</v>
      </c>
      <c r="B19" s="3">
        <v>51.6</v>
      </c>
    </row>
    <row r="20" spans="1:2" x14ac:dyDescent="0.2">
      <c r="A20" s="4">
        <v>41183</v>
      </c>
      <c r="B20" s="3">
        <v>50.5</v>
      </c>
    </row>
    <row r="21" spans="1:2" x14ac:dyDescent="0.2">
      <c r="A21" s="4">
        <v>41214</v>
      </c>
      <c r="B21" s="3">
        <v>51.9</v>
      </c>
    </row>
    <row r="22" spans="1:2" x14ac:dyDescent="0.2">
      <c r="A22" s="4">
        <v>41244</v>
      </c>
      <c r="B22" s="3">
        <v>51.5</v>
      </c>
    </row>
    <row r="23" spans="1:2" x14ac:dyDescent="0.2">
      <c r="A23" s="4">
        <v>41275</v>
      </c>
      <c r="B23" s="3">
        <v>49.7</v>
      </c>
    </row>
    <row r="24" spans="1:2" x14ac:dyDescent="0.2">
      <c r="A24" s="4">
        <v>41306</v>
      </c>
      <c r="B24" s="3">
        <v>50.5</v>
      </c>
    </row>
    <row r="25" spans="1:2" x14ac:dyDescent="0.2">
      <c r="A25" s="4">
        <v>41334</v>
      </c>
      <c r="B25" s="3">
        <v>51.3</v>
      </c>
    </row>
    <row r="26" spans="1:2" x14ac:dyDescent="0.2">
      <c r="A26" s="4">
        <v>41365</v>
      </c>
      <c r="B26" s="3">
        <v>51.7</v>
      </c>
    </row>
    <row r="27" spans="1:2" x14ac:dyDescent="0.2">
      <c r="A27" s="4">
        <v>41395</v>
      </c>
      <c r="B27" s="3">
        <v>51.6</v>
      </c>
    </row>
    <row r="28" spans="1:2" x14ac:dyDescent="0.2">
      <c r="A28" s="4">
        <v>41426</v>
      </c>
      <c r="B28" s="3">
        <v>51</v>
      </c>
    </row>
    <row r="29" spans="1:2" x14ac:dyDescent="0.2">
      <c r="A29" s="4">
        <v>41456</v>
      </c>
      <c r="B29" s="3">
        <v>50.7</v>
      </c>
    </row>
    <row r="30" spans="1:2" x14ac:dyDescent="0.2">
      <c r="A30" s="4">
        <v>41487</v>
      </c>
      <c r="B30" s="3">
        <v>48.5</v>
      </c>
    </row>
    <row r="31" spans="1:2" x14ac:dyDescent="0.2">
      <c r="A31" s="4">
        <v>41518</v>
      </c>
      <c r="B31" s="3">
        <v>50.2</v>
      </c>
    </row>
    <row r="32" spans="1:2" x14ac:dyDescent="0.2">
      <c r="A32" s="4">
        <v>41548</v>
      </c>
      <c r="B32" s="3">
        <v>50.9</v>
      </c>
    </row>
    <row r="33" spans="1:2" x14ac:dyDescent="0.2">
      <c r="A33" s="4">
        <v>41579</v>
      </c>
      <c r="B33" s="3">
        <v>50.3</v>
      </c>
    </row>
    <row r="34" spans="1:2" x14ac:dyDescent="0.2">
      <c r="A34" s="4">
        <v>41609</v>
      </c>
      <c r="B34" s="3">
        <v>50.9</v>
      </c>
    </row>
    <row r="35" spans="1:2" x14ac:dyDescent="0.2">
      <c r="A35" s="4">
        <v>41640</v>
      </c>
      <c r="B35" s="3">
        <v>51</v>
      </c>
    </row>
    <row r="36" spans="1:2" x14ac:dyDescent="0.2">
      <c r="A36" s="4">
        <v>41671</v>
      </c>
      <c r="B36" s="3">
        <v>50.5</v>
      </c>
    </row>
    <row r="37" spans="1:2" x14ac:dyDescent="0.2">
      <c r="A37" s="4">
        <v>41699</v>
      </c>
      <c r="B37" s="3">
        <v>50.1</v>
      </c>
    </row>
    <row r="38" spans="1:2" x14ac:dyDescent="0.2">
      <c r="A38" s="4">
        <v>41730</v>
      </c>
      <c r="B38" s="3">
        <v>51.1</v>
      </c>
    </row>
    <row r="39" spans="1:2" x14ac:dyDescent="0.2">
      <c r="A39" s="4">
        <v>41760</v>
      </c>
      <c r="B39" s="3">
        <v>52.4</v>
      </c>
    </row>
    <row r="40" spans="1:2" x14ac:dyDescent="0.2">
      <c r="A40" s="4">
        <v>41791</v>
      </c>
      <c r="B40" s="3">
        <v>52.7</v>
      </c>
    </row>
    <row r="41" spans="1:2" x14ac:dyDescent="0.2">
      <c r="A41" s="4">
        <v>41821</v>
      </c>
      <c r="B41" s="3">
        <v>52.4</v>
      </c>
    </row>
    <row r="42" spans="1:2" x14ac:dyDescent="0.2">
      <c r="A42" s="4">
        <v>41852</v>
      </c>
      <c r="B42" s="3">
        <v>49.5</v>
      </c>
    </row>
    <row r="43" spans="1:2" x14ac:dyDescent="0.2">
      <c r="A43" s="4">
        <v>41883</v>
      </c>
      <c r="B43" s="3">
        <v>50.7</v>
      </c>
    </row>
    <row r="44" spans="1:2" x14ac:dyDescent="0.2">
      <c r="A44" s="4">
        <v>41913</v>
      </c>
      <c r="B44" s="3">
        <v>49.2</v>
      </c>
    </row>
    <row r="45" spans="1:2" x14ac:dyDescent="0.2">
      <c r="A45" s="4">
        <v>41944</v>
      </c>
      <c r="B45" s="3">
        <v>48</v>
      </c>
    </row>
    <row r="46" spans="1:2" x14ac:dyDescent="0.2">
      <c r="A46" s="4">
        <v>41974</v>
      </c>
      <c r="B46" s="3">
        <v>47.6</v>
      </c>
    </row>
    <row r="47" spans="1:2" x14ac:dyDescent="0.2">
      <c r="A47" s="4">
        <v>42005</v>
      </c>
      <c r="B47" s="3">
        <v>48.5</v>
      </c>
    </row>
    <row r="48" spans="1:2" x14ac:dyDescent="0.2">
      <c r="A48" s="4">
        <v>42036</v>
      </c>
      <c r="B48" s="3">
        <v>47.5</v>
      </c>
    </row>
    <row r="49" spans="1:2" x14ac:dyDescent="0.2">
      <c r="A49" s="4">
        <v>42064</v>
      </c>
      <c r="B49" s="3">
        <v>46.4</v>
      </c>
    </row>
    <row r="50" spans="1:2" x14ac:dyDescent="0.2">
      <c r="A50" s="4">
        <v>42095</v>
      </c>
      <c r="B50" s="3">
        <v>46.7</v>
      </c>
    </row>
    <row r="51" spans="1:2" x14ac:dyDescent="0.2">
      <c r="A51" s="4">
        <v>42125</v>
      </c>
      <c r="B51" s="3">
        <v>47.1</v>
      </c>
    </row>
    <row r="52" spans="1:2" x14ac:dyDescent="0.2">
      <c r="A52" s="4">
        <v>42156</v>
      </c>
      <c r="B52" s="3">
        <v>47.8</v>
      </c>
    </row>
    <row r="53" spans="1:2" x14ac:dyDescent="0.2">
      <c r="A53" s="4">
        <v>42186</v>
      </c>
      <c r="B53" s="3">
        <v>47.3</v>
      </c>
    </row>
    <row r="54" spans="1:2" x14ac:dyDescent="0.2">
      <c r="A54" s="4">
        <v>42217</v>
      </c>
      <c r="B54" s="3">
        <v>48.4</v>
      </c>
    </row>
    <row r="55" spans="1:2" x14ac:dyDescent="0.2">
      <c r="A55" s="4">
        <v>42248</v>
      </c>
      <c r="B55" s="3">
        <v>47.4</v>
      </c>
    </row>
    <row r="56" spans="1:2" x14ac:dyDescent="0.2">
      <c r="A56" s="4">
        <v>42278</v>
      </c>
      <c r="B56" s="3">
        <v>47.8</v>
      </c>
    </row>
    <row r="57" spans="1:2" x14ac:dyDescent="0.2">
      <c r="A57" s="4">
        <v>42309</v>
      </c>
      <c r="B57" s="3">
        <v>46.9</v>
      </c>
    </row>
    <row r="58" spans="1:2" x14ac:dyDescent="0.2">
      <c r="A58" s="4">
        <v>42339</v>
      </c>
      <c r="B58" s="3">
        <v>47.8</v>
      </c>
    </row>
    <row r="59" spans="1:2" x14ac:dyDescent="0.2">
      <c r="A59" s="4">
        <v>42370</v>
      </c>
      <c r="B59" s="3">
        <v>48.9</v>
      </c>
    </row>
    <row r="60" spans="1:2" x14ac:dyDescent="0.2">
      <c r="A60" s="4">
        <v>42401</v>
      </c>
      <c r="B60" s="3">
        <v>48.7</v>
      </c>
    </row>
    <row r="61" spans="1:2" x14ac:dyDescent="0.2">
      <c r="A61" s="4">
        <v>42430</v>
      </c>
      <c r="B61" s="3">
        <v>50.6</v>
      </c>
    </row>
    <row r="62" spans="1:2" x14ac:dyDescent="0.2">
      <c r="A62" s="4">
        <v>42461</v>
      </c>
      <c r="B62" s="3">
        <v>50.9</v>
      </c>
    </row>
    <row r="63" spans="1:2" x14ac:dyDescent="0.2">
      <c r="A63" s="4">
        <v>42491</v>
      </c>
      <c r="B63" s="3">
        <v>50.6</v>
      </c>
    </row>
    <row r="64" spans="1:2" x14ac:dyDescent="0.2">
      <c r="A64" s="4">
        <v>42522</v>
      </c>
      <c r="B64" s="3">
        <v>51.9</v>
      </c>
    </row>
    <row r="65" spans="1:2" x14ac:dyDescent="0.2">
      <c r="A65" s="4">
        <v>42552</v>
      </c>
      <c r="B65" s="3">
        <v>48.4</v>
      </c>
    </row>
    <row r="66" spans="1:2" x14ac:dyDescent="0.2">
      <c r="A66" s="4">
        <v>42583</v>
      </c>
      <c r="B66" s="3">
        <v>50.4</v>
      </c>
    </row>
    <row r="67" spans="1:2" x14ac:dyDescent="0.2">
      <c r="A67" s="4">
        <v>42614</v>
      </c>
      <c r="B67" s="3">
        <v>50.9</v>
      </c>
    </row>
    <row r="68" spans="1:2" x14ac:dyDescent="0.2">
      <c r="A68" s="4">
        <v>42644</v>
      </c>
      <c r="B68" s="3">
        <v>48.7</v>
      </c>
    </row>
    <row r="69" spans="1:2" x14ac:dyDescent="0.2">
      <c r="A69" s="4">
        <v>42675</v>
      </c>
      <c r="B69" s="3">
        <v>49.7</v>
      </c>
    </row>
    <row r="70" spans="1:2" x14ac:dyDescent="0.2">
      <c r="A70" s="4">
        <v>42705</v>
      </c>
      <c r="B70" s="3">
        <v>49</v>
      </c>
    </row>
    <row r="71" spans="1:2" x14ac:dyDescent="0.2">
      <c r="A71" s="4">
        <v>42736</v>
      </c>
      <c r="B71" s="3">
        <v>50.4</v>
      </c>
    </row>
    <row r="72" spans="1:2" x14ac:dyDescent="0.2">
      <c r="A72" s="4">
        <v>42767</v>
      </c>
      <c r="B72" s="3">
        <v>49.3</v>
      </c>
    </row>
    <row r="73" spans="1:2" x14ac:dyDescent="0.2">
      <c r="A73" s="4">
        <v>42795</v>
      </c>
      <c r="B73" s="3">
        <v>50.5</v>
      </c>
    </row>
    <row r="74" spans="1:2" x14ac:dyDescent="0.2">
      <c r="A74" s="4">
        <v>42826</v>
      </c>
      <c r="B74" s="3">
        <v>51.2</v>
      </c>
    </row>
    <row r="75" spans="1:2" x14ac:dyDescent="0.2">
      <c r="A75" s="4">
        <v>42856</v>
      </c>
      <c r="B75" s="3">
        <v>50.6</v>
      </c>
    </row>
    <row r="76" spans="1:2" x14ac:dyDescent="0.2">
      <c r="A76" s="4">
        <v>42887</v>
      </c>
      <c r="B76" s="3">
        <v>49.5</v>
      </c>
    </row>
    <row r="77" spans="1:2" x14ac:dyDescent="0.2">
      <c r="A77" s="4">
        <v>42917</v>
      </c>
      <c r="B77" s="3">
        <v>48.6</v>
      </c>
    </row>
    <row r="78" spans="1:2" x14ac:dyDescent="0.2">
      <c r="A78" s="4">
        <v>42948</v>
      </c>
      <c r="B78" s="3">
        <v>50.7</v>
      </c>
    </row>
    <row r="79" spans="1:2" x14ac:dyDescent="0.2">
      <c r="A79" s="4">
        <v>42979</v>
      </c>
      <c r="B79" s="3">
        <v>50.4</v>
      </c>
    </row>
    <row r="80" spans="1:2" x14ac:dyDescent="0.2">
      <c r="A80" s="4">
        <v>43009</v>
      </c>
      <c r="B80" s="3">
        <v>50.1</v>
      </c>
    </row>
    <row r="81" spans="1:2" x14ac:dyDescent="0.2">
      <c r="A81" s="4">
        <v>43040</v>
      </c>
      <c r="B81" s="3">
        <v>50.4</v>
      </c>
    </row>
    <row r="82" spans="1:2" x14ac:dyDescent="0.2">
      <c r="A82" s="4">
        <v>43070</v>
      </c>
      <c r="B82" s="3">
        <v>49.3</v>
      </c>
    </row>
    <row r="83" spans="1:2" x14ac:dyDescent="0.2">
      <c r="A83" s="4">
        <v>43101</v>
      </c>
      <c r="B83" s="3">
        <v>49.9</v>
      </c>
    </row>
    <row r="84" spans="1:2" x14ac:dyDescent="0.2">
      <c r="A84" s="4">
        <v>43132</v>
      </c>
      <c r="B84" s="3">
        <v>51.4</v>
      </c>
    </row>
    <row r="85" spans="1:2" x14ac:dyDescent="0.2">
      <c r="A85" s="4">
        <v>43160</v>
      </c>
      <c r="B85" s="3">
        <v>50.7</v>
      </c>
    </row>
    <row r="86" spans="1:2" x14ac:dyDescent="0.2">
      <c r="A86" s="4">
        <v>43191</v>
      </c>
      <c r="B86" s="3">
        <v>51.6</v>
      </c>
    </row>
    <row r="87" spans="1:2" x14ac:dyDescent="0.2">
      <c r="A87" s="4">
        <v>43221</v>
      </c>
      <c r="B87" s="3">
        <v>51.7</v>
      </c>
    </row>
    <row r="88" spans="1:2" x14ac:dyDescent="0.2">
      <c r="A88" s="4">
        <v>43252</v>
      </c>
      <c r="B88" s="3">
        <v>50.3</v>
      </c>
    </row>
    <row r="89" spans="1:2" x14ac:dyDescent="0.2">
      <c r="A89" s="4">
        <v>43282</v>
      </c>
      <c r="B89" s="3">
        <v>50.5</v>
      </c>
    </row>
    <row r="90" spans="1:2" x14ac:dyDescent="0.2">
      <c r="A90" s="4">
        <v>43313</v>
      </c>
      <c r="B90" s="3">
        <v>51.9</v>
      </c>
    </row>
    <row r="91" spans="1:2" x14ac:dyDescent="0.2">
      <c r="A91" s="4">
        <v>43344</v>
      </c>
      <c r="B91" s="3">
        <v>50.7</v>
      </c>
    </row>
    <row r="92" spans="1:2" x14ac:dyDescent="0.2">
      <c r="A92" s="4">
        <v>43374</v>
      </c>
      <c r="B92" s="3">
        <v>50.5</v>
      </c>
    </row>
    <row r="93" spans="1:2" x14ac:dyDescent="0.2">
      <c r="A93" s="4">
        <v>43405</v>
      </c>
      <c r="B93" s="3">
        <v>50.4</v>
      </c>
    </row>
    <row r="94" spans="1:2" x14ac:dyDescent="0.2">
      <c r="A94" s="4">
        <v>43435</v>
      </c>
      <c r="B94" s="3">
        <v>51.2</v>
      </c>
    </row>
    <row r="95" spans="1:2" x14ac:dyDescent="0.2">
      <c r="A95" s="4">
        <v>43466</v>
      </c>
      <c r="B95" s="3">
        <v>49.9</v>
      </c>
    </row>
    <row r="96" spans="1:2" x14ac:dyDescent="0.2">
      <c r="A96" s="4">
        <v>43497</v>
      </c>
      <c r="B96" s="3">
        <v>50.1</v>
      </c>
    </row>
    <row r="97" spans="1:2" x14ac:dyDescent="0.2">
      <c r="A97" s="4">
        <v>43525</v>
      </c>
      <c r="B97" s="3">
        <v>51.2</v>
      </c>
    </row>
    <row r="98" spans="1:2" x14ac:dyDescent="0.2">
      <c r="A98" s="4">
        <v>43556</v>
      </c>
      <c r="B98" s="3">
        <v>50.4</v>
      </c>
    </row>
    <row r="99" spans="1:2" x14ac:dyDescent="0.2">
      <c r="A99" s="4">
        <v>43586</v>
      </c>
      <c r="B99" s="3">
        <v>51.6</v>
      </c>
    </row>
    <row r="100" spans="1:2" x14ac:dyDescent="0.2">
      <c r="A100" s="4">
        <v>43617</v>
      </c>
      <c r="B100" s="3">
        <v>50.6</v>
      </c>
    </row>
    <row r="101" spans="1:2" x14ac:dyDescent="0.2">
      <c r="A101" s="4">
        <v>43647</v>
      </c>
      <c r="B101" s="3">
        <v>49.6</v>
      </c>
    </row>
    <row r="102" spans="1:2" x14ac:dyDescent="0.2">
      <c r="A102" s="4">
        <v>43678</v>
      </c>
      <c r="B102" s="3">
        <v>49</v>
      </c>
    </row>
    <row r="103" spans="1:2" x14ac:dyDescent="0.2">
      <c r="A103" s="4">
        <v>43709</v>
      </c>
      <c r="B103" s="3">
        <v>49.1</v>
      </c>
    </row>
    <row r="104" spans="1:2" x14ac:dyDescent="0.2">
      <c r="A104" s="4">
        <v>43739</v>
      </c>
      <c r="B104" s="3">
        <v>47.7</v>
      </c>
    </row>
    <row r="105" spans="1:2" x14ac:dyDescent="0.2">
      <c r="A105" s="4">
        <v>43770</v>
      </c>
      <c r="B105" s="3">
        <v>48.2</v>
      </c>
    </row>
    <row r="106" spans="1:2" x14ac:dyDescent="0.2">
      <c r="A106" s="4">
        <v>43800</v>
      </c>
      <c r="B106" s="3">
        <v>49.5</v>
      </c>
    </row>
    <row r="107" spans="1:2" x14ac:dyDescent="0.2">
      <c r="A107" s="4">
        <v>43831</v>
      </c>
      <c r="B107" s="3">
        <v>49.3</v>
      </c>
    </row>
    <row r="108" spans="1:2" x14ac:dyDescent="0.2">
      <c r="A108" s="4">
        <v>43862</v>
      </c>
      <c r="B108" s="3">
        <v>51.9</v>
      </c>
    </row>
    <row r="109" spans="1:2" x14ac:dyDescent="0.2">
      <c r="A109" s="4">
        <v>43891</v>
      </c>
      <c r="B109" s="3">
        <v>45.3</v>
      </c>
    </row>
    <row r="110" spans="1:2" x14ac:dyDescent="0.2">
      <c r="A110" s="4">
        <v>43922</v>
      </c>
      <c r="B110" s="3">
        <v>27.5</v>
      </c>
    </row>
    <row r="111" spans="1:2" x14ac:dyDescent="0.2">
      <c r="A111" s="4">
        <v>43952</v>
      </c>
      <c r="B111" s="3">
        <v>28.6</v>
      </c>
    </row>
    <row r="112" spans="1:2" x14ac:dyDescent="0.2">
      <c r="A112" s="4">
        <v>43983</v>
      </c>
      <c r="B112" s="3">
        <v>39.1</v>
      </c>
    </row>
    <row r="113" spans="1:2" x14ac:dyDescent="0.2">
      <c r="A113" s="4">
        <v>44013</v>
      </c>
      <c r="B113" s="3">
        <v>46.9</v>
      </c>
    </row>
    <row r="114" spans="1:2" x14ac:dyDescent="0.2">
      <c r="A114" s="4">
        <v>44044</v>
      </c>
      <c r="B114" s="3">
        <v>50.8</v>
      </c>
    </row>
    <row r="115" spans="1:2" x14ac:dyDescent="0.2">
      <c r="A115" s="4">
        <v>44075</v>
      </c>
      <c r="B115" s="3">
        <v>47.2</v>
      </c>
    </row>
    <row r="116" spans="1:2" x14ac:dyDescent="0.2">
      <c r="A116" s="4">
        <v>44105</v>
      </c>
      <c r="B116" s="3">
        <v>47.8</v>
      </c>
    </row>
    <row r="117" spans="1:2" x14ac:dyDescent="0.2">
      <c r="A117" s="4">
        <v>44136</v>
      </c>
      <c r="B117" s="3">
        <v>50.6</v>
      </c>
    </row>
    <row r="118" spans="1:2" x14ac:dyDescent="0.2">
      <c r="A118" s="4">
        <v>44166</v>
      </c>
      <c r="B118" s="3">
        <v>51.3</v>
      </c>
    </row>
    <row r="119" spans="1:2" x14ac:dyDescent="0.2">
      <c r="A119" s="4">
        <v>44197</v>
      </c>
      <c r="B119" s="3">
        <v>52.2</v>
      </c>
    </row>
    <row r="120" spans="1:2" x14ac:dyDescent="0.2">
      <c r="A120" s="4">
        <v>44228</v>
      </c>
      <c r="B120" s="3">
        <v>50.9</v>
      </c>
    </row>
    <row r="121" spans="1:2" x14ac:dyDescent="0.2">
      <c r="A121" s="4">
        <v>44256</v>
      </c>
      <c r="B121" s="3">
        <v>53.2</v>
      </c>
    </row>
    <row r="122" spans="1:2" x14ac:dyDescent="0.2">
      <c r="A122" s="4">
        <v>44287</v>
      </c>
      <c r="B122" s="3">
        <v>54.6</v>
      </c>
    </row>
    <row r="123" spans="1:2" x14ac:dyDescent="0.2">
      <c r="A123" s="4">
        <v>44317</v>
      </c>
      <c r="B123" s="3">
        <v>55.3</v>
      </c>
    </row>
    <row r="124" spans="1:2" x14ac:dyDescent="0.2">
      <c r="A124" s="4">
        <v>44348</v>
      </c>
      <c r="B124" s="3">
        <v>53.5</v>
      </c>
    </row>
    <row r="125" spans="1:2" x14ac:dyDescent="0.2">
      <c r="A125" s="4">
        <v>44378</v>
      </c>
      <c r="B125" s="3">
        <v>40.1</v>
      </c>
    </row>
    <row r="126" spans="1:2" x14ac:dyDescent="0.2">
      <c r="A126" s="4">
        <v>44409</v>
      </c>
      <c r="B126" s="3">
        <v>43.7</v>
      </c>
    </row>
    <row r="127" spans="1:2" x14ac:dyDescent="0.2">
      <c r="A127" s="4">
        <v>44440</v>
      </c>
      <c r="B127" s="3">
        <v>52.2</v>
      </c>
    </row>
    <row r="128" spans="1:2" x14ac:dyDescent="0.2">
      <c r="A128" s="4">
        <v>44470</v>
      </c>
      <c r="B128" s="3">
        <v>57.2</v>
      </c>
    </row>
    <row r="129" spans="1:2" x14ac:dyDescent="0.2">
      <c r="A129" s="4">
        <v>44501</v>
      </c>
      <c r="B129" s="3">
        <v>53.9</v>
      </c>
    </row>
    <row r="130" spans="1:2" x14ac:dyDescent="0.2">
      <c r="A130" s="4">
        <v>44531</v>
      </c>
      <c r="B130" s="3">
        <v>53.5</v>
      </c>
    </row>
  </sheetData>
  <conditionalFormatting sqref="B2:B13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D19ADB-1A7A-4A02-9D32-6DDD6AE62A72}">
  <dimension ref="A1:C134"/>
  <sheetViews>
    <sheetView zoomScale="160" zoomScaleNormal="160" workbookViewId="0">
      <pane ySplit="1" topLeftCell="A2" activePane="bottomLeft" state="frozen"/>
      <selection pane="bottomLeft" activeCell="J14" sqref="J14"/>
    </sheetView>
  </sheetViews>
  <sheetFormatPr baseColWidth="10" defaultColWidth="9.1640625" defaultRowHeight="15" x14ac:dyDescent="0.2"/>
  <cols>
    <col min="1" max="1" width="13.5" style="2" customWidth="1"/>
    <col min="2" max="2" width="11.33203125" style="2" customWidth="1"/>
    <col min="3" max="16384" width="9.1640625" style="2"/>
  </cols>
  <sheetData>
    <row r="1" spans="1:3" ht="16" thickBot="1" x14ac:dyDescent="0.25">
      <c r="A1" s="11" t="s">
        <v>0</v>
      </c>
      <c r="B1" s="12" t="s">
        <v>30</v>
      </c>
      <c r="C1" s="12" t="s">
        <v>1</v>
      </c>
    </row>
    <row r="2" spans="1:3" x14ac:dyDescent="0.2">
      <c r="A2" s="8">
        <v>40513</v>
      </c>
      <c r="B2" s="9">
        <v>53.9</v>
      </c>
      <c r="C2" s="9"/>
    </row>
    <row r="3" spans="1:3" x14ac:dyDescent="0.2">
      <c r="A3" s="4">
        <v>40544</v>
      </c>
      <c r="B3" s="3">
        <v>53.5</v>
      </c>
      <c r="C3" s="3">
        <f>Table1346811121415161718192022252629[[#This Row],[SouthKorea]]-B2</f>
        <v>-0.39999999999999858</v>
      </c>
    </row>
    <row r="4" spans="1:3" x14ac:dyDescent="0.2">
      <c r="A4" s="4">
        <v>40575</v>
      </c>
      <c r="B4" s="3">
        <v>53.4</v>
      </c>
      <c r="C4" s="3">
        <f>Table1346811121415161718192022252629[[#This Row],[SouthKorea]]-B3</f>
        <v>-0.10000000000000142</v>
      </c>
    </row>
    <row r="5" spans="1:3" x14ac:dyDescent="0.2">
      <c r="A5" s="4">
        <v>40603</v>
      </c>
      <c r="B5" s="3">
        <v>52.8</v>
      </c>
      <c r="C5" s="3">
        <f>Table1346811121415161718192022252629[[#This Row],[SouthKorea]]-B4</f>
        <v>-0.60000000000000142</v>
      </c>
    </row>
    <row r="6" spans="1:3" x14ac:dyDescent="0.2">
      <c r="A6" s="4">
        <v>40634</v>
      </c>
      <c r="B6" s="3">
        <v>51.7</v>
      </c>
      <c r="C6" s="3">
        <f>Table1346811121415161718192022252629[[#This Row],[SouthKorea]]-B5</f>
        <v>-1.0999999999999943</v>
      </c>
    </row>
    <row r="7" spans="1:3" x14ac:dyDescent="0.2">
      <c r="A7" s="4">
        <v>40664</v>
      </c>
      <c r="B7" s="3">
        <v>51.2</v>
      </c>
      <c r="C7" s="3">
        <f>Table1346811121415161718192022252629[[#This Row],[SouthKorea]]-B6</f>
        <v>-0.5</v>
      </c>
    </row>
    <row r="8" spans="1:3" x14ac:dyDescent="0.2">
      <c r="A8" s="4">
        <v>40695</v>
      </c>
      <c r="B8" s="3">
        <v>51.2</v>
      </c>
      <c r="C8" s="3">
        <f>Table1346811121415161718192022252629[[#This Row],[SouthKorea]]-B7</f>
        <v>0</v>
      </c>
    </row>
    <row r="9" spans="1:3" x14ac:dyDescent="0.2">
      <c r="A9" s="4">
        <v>40725</v>
      </c>
      <c r="B9" s="3">
        <v>51.1</v>
      </c>
      <c r="C9" s="3">
        <f>Table1346811121415161718192022252629[[#This Row],[SouthKorea]]-B8</f>
        <v>-0.10000000000000142</v>
      </c>
    </row>
    <row r="10" spans="1:3" x14ac:dyDescent="0.2">
      <c r="A10" s="4">
        <v>40756</v>
      </c>
      <c r="B10" s="3">
        <v>51.3</v>
      </c>
      <c r="C10" s="3">
        <f>Table1346811121415161718192022252629[[#This Row],[SouthKorea]]-B9</f>
        <v>0.19999999999999574</v>
      </c>
    </row>
    <row r="11" spans="1:3" x14ac:dyDescent="0.2">
      <c r="A11" s="4">
        <v>40787</v>
      </c>
      <c r="B11" s="3">
        <v>49.7</v>
      </c>
      <c r="C11" s="3">
        <f>Table1346811121415161718192022252629[[#This Row],[SouthKorea]]-B10</f>
        <v>-1.5999999999999943</v>
      </c>
    </row>
    <row r="12" spans="1:3" x14ac:dyDescent="0.2">
      <c r="A12" s="4">
        <v>40817</v>
      </c>
      <c r="B12" s="3">
        <v>47.4</v>
      </c>
      <c r="C12" s="3">
        <f>Table1346811121415161718192022252629[[#This Row],[SouthKorea]]-B11</f>
        <v>-2.3000000000000043</v>
      </c>
    </row>
    <row r="13" spans="1:3" x14ac:dyDescent="0.2">
      <c r="A13" s="4">
        <v>40848</v>
      </c>
      <c r="B13" s="3">
        <v>48</v>
      </c>
      <c r="C13" s="3">
        <f>Table1346811121415161718192022252629[[#This Row],[SouthKorea]]-B12</f>
        <v>0.60000000000000142</v>
      </c>
    </row>
    <row r="14" spans="1:3" x14ac:dyDescent="0.2">
      <c r="A14" s="4">
        <v>40878</v>
      </c>
      <c r="B14" s="3">
        <v>47.1</v>
      </c>
      <c r="C14" s="3">
        <f>Table1346811121415161718192022252629[[#This Row],[SouthKorea]]-B13</f>
        <v>-0.89999999999999858</v>
      </c>
    </row>
    <row r="15" spans="1:3" x14ac:dyDescent="0.2">
      <c r="A15" s="4">
        <v>40909</v>
      </c>
      <c r="B15" s="3">
        <v>49.2</v>
      </c>
      <c r="C15" s="3">
        <f>Table1346811121415161718192022252629[[#This Row],[SouthKorea]]-B14</f>
        <v>2.1000000000000014</v>
      </c>
    </row>
    <row r="16" spans="1:3" x14ac:dyDescent="0.2">
      <c r="A16" s="4">
        <v>40940</v>
      </c>
      <c r="B16" s="3">
        <v>50.7</v>
      </c>
      <c r="C16" s="3">
        <f>Table1346811121415161718192022252629[[#This Row],[SouthKorea]]-B15</f>
        <v>1.5</v>
      </c>
    </row>
    <row r="17" spans="1:3" x14ac:dyDescent="0.2">
      <c r="A17" s="4">
        <v>40969</v>
      </c>
      <c r="B17" s="3">
        <v>52</v>
      </c>
      <c r="C17" s="3">
        <f>Table1346811121415161718192022252629[[#This Row],[SouthKorea]]-B16</f>
        <v>1.2999999999999972</v>
      </c>
    </row>
    <row r="18" spans="1:3" x14ac:dyDescent="0.2">
      <c r="A18" s="4">
        <v>41000</v>
      </c>
      <c r="B18" s="3">
        <v>51.9</v>
      </c>
      <c r="C18" s="3">
        <f>Table1346811121415161718192022252629[[#This Row],[SouthKorea]]-B17</f>
        <v>-0.10000000000000142</v>
      </c>
    </row>
    <row r="19" spans="1:3" x14ac:dyDescent="0.2">
      <c r="A19" s="4">
        <v>41030</v>
      </c>
      <c r="B19" s="3">
        <v>51</v>
      </c>
      <c r="C19" s="3">
        <f>Table1346811121415161718192022252629[[#This Row],[SouthKorea]]-B18</f>
        <v>-0.89999999999999858</v>
      </c>
    </row>
    <row r="20" spans="1:3" x14ac:dyDescent="0.2">
      <c r="A20" s="4">
        <v>41061</v>
      </c>
      <c r="B20" s="3">
        <v>49.4</v>
      </c>
      <c r="C20" s="3">
        <f>Table1346811121415161718192022252629[[#This Row],[SouthKorea]]-B19</f>
        <v>-1.6000000000000014</v>
      </c>
    </row>
    <row r="21" spans="1:3" x14ac:dyDescent="0.2">
      <c r="A21" s="4">
        <v>41091</v>
      </c>
      <c r="B21" s="3">
        <v>47.2</v>
      </c>
      <c r="C21" s="3">
        <f>Table1346811121415161718192022252629[[#This Row],[SouthKorea]]-B20</f>
        <v>-2.1999999999999957</v>
      </c>
    </row>
    <row r="22" spans="1:3" x14ac:dyDescent="0.2">
      <c r="A22" s="4">
        <v>41122</v>
      </c>
      <c r="B22" s="3">
        <v>47.5</v>
      </c>
      <c r="C22" s="3">
        <f>Table1346811121415161718192022252629[[#This Row],[SouthKorea]]-B21</f>
        <v>0.29999999999999716</v>
      </c>
    </row>
    <row r="23" spans="1:3" x14ac:dyDescent="0.2">
      <c r="A23" s="4">
        <v>41153</v>
      </c>
      <c r="B23" s="3">
        <v>45.7</v>
      </c>
      <c r="C23" s="3">
        <f>Table1346811121415161718192022252629[[#This Row],[SouthKorea]]-B22</f>
        <v>-1.7999999999999972</v>
      </c>
    </row>
    <row r="24" spans="1:3" x14ac:dyDescent="0.2">
      <c r="A24" s="4">
        <v>41183</v>
      </c>
      <c r="B24" s="3">
        <v>47.4</v>
      </c>
      <c r="C24" s="3">
        <f>Table1346811121415161718192022252629[[#This Row],[SouthKorea]]-B23</f>
        <v>1.6999999999999957</v>
      </c>
    </row>
    <row r="25" spans="1:3" x14ac:dyDescent="0.2">
      <c r="A25" s="4">
        <v>41214</v>
      </c>
      <c r="B25" s="3">
        <v>48.2</v>
      </c>
      <c r="C25" s="3">
        <f>Table1346811121415161718192022252629[[#This Row],[SouthKorea]]-B24</f>
        <v>0.80000000000000426</v>
      </c>
    </row>
    <row r="26" spans="1:3" x14ac:dyDescent="0.2">
      <c r="A26" s="4">
        <v>41244</v>
      </c>
      <c r="B26" s="3">
        <v>50.1</v>
      </c>
      <c r="C26" s="3">
        <f>Table1346811121415161718192022252629[[#This Row],[SouthKorea]]-B25</f>
        <v>1.8999999999999986</v>
      </c>
    </row>
    <row r="27" spans="1:3" x14ac:dyDescent="0.2">
      <c r="A27" s="4">
        <v>41275</v>
      </c>
      <c r="B27" s="3">
        <v>49.9</v>
      </c>
      <c r="C27" s="3">
        <f>Table1346811121415161718192022252629[[#This Row],[SouthKorea]]-B26</f>
        <v>-0.20000000000000284</v>
      </c>
    </row>
    <row r="28" spans="1:3" x14ac:dyDescent="0.2">
      <c r="A28" s="4">
        <v>41306</v>
      </c>
      <c r="B28" s="3">
        <v>50.9</v>
      </c>
      <c r="C28" s="3">
        <f>Table1346811121415161718192022252629[[#This Row],[SouthKorea]]-B27</f>
        <v>1</v>
      </c>
    </row>
    <row r="29" spans="1:3" x14ac:dyDescent="0.2">
      <c r="A29" s="4">
        <v>41334</v>
      </c>
      <c r="B29" s="3">
        <v>52</v>
      </c>
      <c r="C29" s="3">
        <f>Table1346811121415161718192022252629[[#This Row],[SouthKorea]]-B28</f>
        <v>1.1000000000000014</v>
      </c>
    </row>
    <row r="30" spans="1:3" x14ac:dyDescent="0.2">
      <c r="A30" s="4">
        <v>41365</v>
      </c>
      <c r="B30" s="3">
        <v>52.6</v>
      </c>
      <c r="C30" s="3">
        <f>Table1346811121415161718192022252629[[#This Row],[SouthKorea]]-B29</f>
        <v>0.60000000000000142</v>
      </c>
    </row>
    <row r="31" spans="1:3" x14ac:dyDescent="0.2">
      <c r="A31" s="4">
        <v>41395</v>
      </c>
      <c r="B31" s="3">
        <v>51.1</v>
      </c>
      <c r="C31" s="3">
        <f>Table1346811121415161718192022252629[[#This Row],[SouthKorea]]-B30</f>
        <v>-1.5</v>
      </c>
    </row>
    <row r="32" spans="1:3" x14ac:dyDescent="0.2">
      <c r="A32" s="4">
        <v>41426</v>
      </c>
      <c r="B32" s="3">
        <v>49.4</v>
      </c>
      <c r="C32" s="3">
        <f>Table1346811121415161718192022252629[[#This Row],[SouthKorea]]-B31</f>
        <v>-1.7000000000000028</v>
      </c>
    </row>
    <row r="33" spans="1:3" x14ac:dyDescent="0.2">
      <c r="A33" s="4">
        <v>41456</v>
      </c>
      <c r="B33" s="3">
        <v>47.2</v>
      </c>
      <c r="C33" s="3">
        <f>Table1346811121415161718192022252629[[#This Row],[SouthKorea]]-B32</f>
        <v>-2.1999999999999957</v>
      </c>
    </row>
    <row r="34" spans="1:3" x14ac:dyDescent="0.2">
      <c r="A34" s="4">
        <v>41487</v>
      </c>
      <c r="B34" s="3">
        <v>47.5</v>
      </c>
      <c r="C34" s="3">
        <f>Table1346811121415161718192022252629[[#This Row],[SouthKorea]]-B33</f>
        <v>0.29999999999999716</v>
      </c>
    </row>
    <row r="35" spans="1:3" x14ac:dyDescent="0.2">
      <c r="A35" s="4">
        <v>41518</v>
      </c>
      <c r="B35" s="3">
        <v>49.7</v>
      </c>
      <c r="C35" s="3">
        <f>Table1346811121415161718192022252629[[#This Row],[SouthKorea]]-B34</f>
        <v>2.2000000000000028</v>
      </c>
    </row>
    <row r="36" spans="1:3" x14ac:dyDescent="0.2">
      <c r="A36" s="4">
        <v>41548</v>
      </c>
      <c r="B36" s="3">
        <v>50.2</v>
      </c>
      <c r="C36" s="3">
        <f>Table1346811121415161718192022252629[[#This Row],[SouthKorea]]-B35</f>
        <v>0.5</v>
      </c>
    </row>
    <row r="37" spans="1:3" x14ac:dyDescent="0.2">
      <c r="A37" s="4">
        <v>41579</v>
      </c>
      <c r="B37" s="3">
        <v>50.4</v>
      </c>
      <c r="C37" s="3">
        <f>Table1346811121415161718192022252629[[#This Row],[SouthKorea]]-B36</f>
        <v>0.19999999999999574</v>
      </c>
    </row>
    <row r="38" spans="1:3" x14ac:dyDescent="0.2">
      <c r="A38" s="4">
        <v>41609</v>
      </c>
      <c r="B38" s="3">
        <v>50.8</v>
      </c>
      <c r="C38" s="3">
        <f>Table1346811121415161718192022252629[[#This Row],[SouthKorea]]-B37</f>
        <v>0.39999999999999858</v>
      </c>
    </row>
    <row r="39" spans="1:3" x14ac:dyDescent="0.2">
      <c r="A39" s="4">
        <v>41640</v>
      </c>
      <c r="B39" s="3">
        <v>50.9</v>
      </c>
      <c r="C39" s="3">
        <f>Table1346811121415161718192022252629[[#This Row],[SouthKorea]]-B38</f>
        <v>0.10000000000000142</v>
      </c>
    </row>
    <row r="40" spans="1:3" x14ac:dyDescent="0.2">
      <c r="A40" s="4">
        <v>41671</v>
      </c>
      <c r="B40" s="3">
        <v>49.8</v>
      </c>
      <c r="C40" s="3">
        <f>Table1346811121415161718192022252629[[#This Row],[SouthKorea]]-B39</f>
        <v>-1.1000000000000014</v>
      </c>
    </row>
    <row r="41" spans="1:3" x14ac:dyDescent="0.2">
      <c r="A41" s="4">
        <v>41699</v>
      </c>
      <c r="B41" s="3">
        <v>50.4</v>
      </c>
      <c r="C41" s="3">
        <f>Table1346811121415161718192022252629[[#This Row],[SouthKorea]]-B40</f>
        <v>0.60000000000000142</v>
      </c>
    </row>
    <row r="42" spans="1:3" x14ac:dyDescent="0.2">
      <c r="A42" s="4">
        <v>41730</v>
      </c>
      <c r="B42" s="3">
        <v>50.2</v>
      </c>
      <c r="C42" s="3">
        <f>Table1346811121415161718192022252629[[#This Row],[SouthKorea]]-B41</f>
        <v>-0.19999999999999574</v>
      </c>
    </row>
    <row r="43" spans="1:3" x14ac:dyDescent="0.2">
      <c r="A43" s="4">
        <v>41760</v>
      </c>
      <c r="B43" s="3">
        <v>49.5</v>
      </c>
      <c r="C43" s="3">
        <f>Table1346811121415161718192022252629[[#This Row],[SouthKorea]]-B42</f>
        <v>-0.70000000000000284</v>
      </c>
    </row>
    <row r="44" spans="1:3" x14ac:dyDescent="0.2">
      <c r="A44" s="4">
        <v>41791</v>
      </c>
      <c r="B44" s="3">
        <v>48.4</v>
      </c>
      <c r="C44" s="3">
        <f>Table1346811121415161718192022252629[[#This Row],[SouthKorea]]-B43</f>
        <v>-1.1000000000000014</v>
      </c>
    </row>
    <row r="45" spans="1:3" x14ac:dyDescent="0.2">
      <c r="A45" s="4">
        <v>41821</v>
      </c>
      <c r="B45" s="3">
        <v>48.506666666666703</v>
      </c>
      <c r="C45" s="3">
        <f>Table1346811121415161718192022252629[[#This Row],[SouthKorea]]-B44</f>
        <v>0.10666666666670466</v>
      </c>
    </row>
    <row r="46" spans="1:3" x14ac:dyDescent="0.2">
      <c r="A46" s="4">
        <v>41852</v>
      </c>
      <c r="B46" s="3">
        <v>50.3</v>
      </c>
      <c r="C46" s="3">
        <f>Table1346811121415161718192022252629[[#This Row],[SouthKorea]]-B45</f>
        <v>1.7933333333332939</v>
      </c>
    </row>
    <row r="47" spans="1:3" x14ac:dyDescent="0.2">
      <c r="A47" s="4">
        <v>41883</v>
      </c>
      <c r="B47" s="3">
        <v>48.8</v>
      </c>
      <c r="C47" s="3">
        <f>Table1346811121415161718192022252629[[#This Row],[SouthKorea]]-B46</f>
        <v>-1.5</v>
      </c>
    </row>
    <row r="48" spans="1:3" x14ac:dyDescent="0.2">
      <c r="A48" s="4">
        <v>41913</v>
      </c>
      <c r="B48" s="3">
        <v>48.7</v>
      </c>
      <c r="C48" s="3">
        <f>Table1346811121415161718192022252629[[#This Row],[SouthKorea]]-B47</f>
        <v>-9.9999999999994316E-2</v>
      </c>
    </row>
    <row r="49" spans="1:3" x14ac:dyDescent="0.2">
      <c r="A49" s="4">
        <v>41944</v>
      </c>
      <c r="B49" s="3">
        <v>49</v>
      </c>
      <c r="C49" s="3">
        <f>Table1346811121415161718192022252629[[#This Row],[SouthKorea]]-B48</f>
        <v>0.29999999999999716</v>
      </c>
    </row>
    <row r="50" spans="1:3" x14ac:dyDescent="0.2">
      <c r="A50" s="4">
        <v>41974</v>
      </c>
      <c r="B50" s="3">
        <v>49.9</v>
      </c>
      <c r="C50" s="3">
        <f>Table1346811121415161718192022252629[[#This Row],[SouthKorea]]-B49</f>
        <v>0.89999999999999858</v>
      </c>
    </row>
    <row r="51" spans="1:3" x14ac:dyDescent="0.2">
      <c r="A51" s="4">
        <v>42005</v>
      </c>
      <c r="B51" s="3">
        <v>51.1</v>
      </c>
      <c r="C51" s="3">
        <f>Table1346811121415161718192022252629[[#This Row],[SouthKorea]]-B50</f>
        <v>1.2000000000000028</v>
      </c>
    </row>
    <row r="52" spans="1:3" x14ac:dyDescent="0.2">
      <c r="A52" s="4">
        <v>42036</v>
      </c>
      <c r="B52" s="3">
        <v>51.1</v>
      </c>
      <c r="C52" s="3">
        <f>Table1346811121415161718192022252629[[#This Row],[SouthKorea]]-B51</f>
        <v>0</v>
      </c>
    </row>
    <row r="53" spans="1:3" x14ac:dyDescent="0.2">
      <c r="A53" s="4">
        <v>42064</v>
      </c>
      <c r="B53" s="3">
        <v>49.2</v>
      </c>
      <c r="C53" s="3">
        <f>Table1346811121415161718192022252629[[#This Row],[SouthKorea]]-B52</f>
        <v>-1.8999999999999986</v>
      </c>
    </row>
    <row r="54" spans="1:3" x14ac:dyDescent="0.2">
      <c r="A54" s="4">
        <v>42095</v>
      </c>
      <c r="B54" s="3">
        <v>48.8</v>
      </c>
      <c r="C54" s="3">
        <f>Table1346811121415161718192022252629[[#This Row],[SouthKorea]]-B53</f>
        <v>-0.40000000000000568</v>
      </c>
    </row>
    <row r="55" spans="1:3" x14ac:dyDescent="0.2">
      <c r="A55" s="4">
        <v>42125</v>
      </c>
      <c r="B55" s="3">
        <v>47.8</v>
      </c>
      <c r="C55" s="3">
        <f>Table1346811121415161718192022252629[[#This Row],[SouthKorea]]-B54</f>
        <v>-1</v>
      </c>
    </row>
    <row r="56" spans="1:3" x14ac:dyDescent="0.2">
      <c r="A56" s="4">
        <v>42156</v>
      </c>
      <c r="B56" s="3">
        <v>46.1</v>
      </c>
      <c r="C56" s="3">
        <f>Table1346811121415161718192022252629[[#This Row],[SouthKorea]]-B55</f>
        <v>-1.6999999999999957</v>
      </c>
    </row>
    <row r="57" spans="1:3" x14ac:dyDescent="0.2">
      <c r="A57" s="4">
        <v>42186</v>
      </c>
      <c r="B57" s="3">
        <v>47.6</v>
      </c>
      <c r="C57" s="3">
        <f>Table1346811121415161718192022252629[[#This Row],[SouthKorea]]-B56</f>
        <v>1.5</v>
      </c>
    </row>
    <row r="58" spans="1:3" x14ac:dyDescent="0.2">
      <c r="A58" s="4">
        <v>42217</v>
      </c>
      <c r="B58" s="3">
        <v>47.9</v>
      </c>
      <c r="C58" s="3">
        <f>Table1346811121415161718192022252629[[#This Row],[SouthKorea]]-B57</f>
        <v>0.29999999999999716</v>
      </c>
    </row>
    <row r="59" spans="1:3" x14ac:dyDescent="0.2">
      <c r="A59" s="4">
        <v>42248</v>
      </c>
      <c r="B59" s="3">
        <v>49.2</v>
      </c>
      <c r="C59" s="3">
        <f>Table1346811121415161718192022252629[[#This Row],[SouthKorea]]-B58</f>
        <v>1.3000000000000043</v>
      </c>
    </row>
    <row r="60" spans="1:3" x14ac:dyDescent="0.2">
      <c r="A60" s="4">
        <v>42278</v>
      </c>
      <c r="B60" s="3">
        <v>49.1</v>
      </c>
      <c r="C60" s="3">
        <f>Table1346811121415161718192022252629[[#This Row],[SouthKorea]]-B59</f>
        <v>-0.10000000000000142</v>
      </c>
    </row>
    <row r="61" spans="1:3" x14ac:dyDescent="0.2">
      <c r="A61" s="4">
        <v>42309</v>
      </c>
      <c r="B61" s="3">
        <v>49.1</v>
      </c>
      <c r="C61" s="3">
        <f>Table1346811121415161718192022252629[[#This Row],[SouthKorea]]-B60</f>
        <v>0</v>
      </c>
    </row>
    <row r="62" spans="1:3" x14ac:dyDescent="0.2">
      <c r="A62" s="4">
        <v>42339</v>
      </c>
      <c r="B62" s="3">
        <v>50.7</v>
      </c>
      <c r="C62" s="3">
        <f>Table1346811121415161718192022252629[[#This Row],[SouthKorea]]-B61</f>
        <v>1.6000000000000014</v>
      </c>
    </row>
    <row r="63" spans="1:3" x14ac:dyDescent="0.2">
      <c r="A63" s="4">
        <v>42370</v>
      </c>
      <c r="B63" s="3">
        <v>49.5</v>
      </c>
      <c r="C63" s="3">
        <f>Table1346811121415161718192022252629[[#This Row],[SouthKorea]]-B62</f>
        <v>-1.2000000000000028</v>
      </c>
    </row>
    <row r="64" spans="1:3" x14ac:dyDescent="0.2">
      <c r="A64" s="4">
        <v>42401</v>
      </c>
      <c r="B64" s="3">
        <v>48.7</v>
      </c>
      <c r="C64" s="3">
        <f>Table1346811121415161718192022252629[[#This Row],[SouthKorea]]-B63</f>
        <v>-0.79999999999999716</v>
      </c>
    </row>
    <row r="65" spans="1:3" x14ac:dyDescent="0.2">
      <c r="A65" s="4">
        <v>42430</v>
      </c>
      <c r="B65" s="3">
        <v>49.5</v>
      </c>
      <c r="C65" s="3">
        <f>Table1346811121415161718192022252629[[#This Row],[SouthKorea]]-B64</f>
        <v>0.79999999999999716</v>
      </c>
    </row>
    <row r="66" spans="1:3" x14ac:dyDescent="0.2">
      <c r="A66" s="4">
        <v>42461</v>
      </c>
      <c r="B66" s="3">
        <v>50</v>
      </c>
      <c r="C66" s="3">
        <f>Table1346811121415161718192022252629[[#This Row],[SouthKorea]]-B65</f>
        <v>0.5</v>
      </c>
    </row>
    <row r="67" spans="1:3" x14ac:dyDescent="0.2">
      <c r="A67" s="4">
        <v>42491</v>
      </c>
      <c r="B67" s="3">
        <v>50.1</v>
      </c>
      <c r="C67" s="3">
        <f>Table1346811121415161718192022252629[[#This Row],[SouthKorea]]-B66</f>
        <v>0.10000000000000142</v>
      </c>
    </row>
    <row r="68" spans="1:3" x14ac:dyDescent="0.2">
      <c r="A68" s="4">
        <v>42522</v>
      </c>
      <c r="B68" s="3">
        <v>50.5</v>
      </c>
      <c r="C68" s="3">
        <f>Table1346811121415161718192022252629[[#This Row],[SouthKorea]]-B67</f>
        <v>0.39999999999999858</v>
      </c>
    </row>
    <row r="69" spans="1:3" x14ac:dyDescent="0.2">
      <c r="A69" s="4">
        <v>42552</v>
      </c>
      <c r="B69" s="3">
        <v>50.1</v>
      </c>
      <c r="C69" s="3">
        <f>Table1346811121415161718192022252629[[#This Row],[SouthKorea]]-B68</f>
        <v>-0.39999999999999858</v>
      </c>
    </row>
    <row r="70" spans="1:3" x14ac:dyDescent="0.2">
      <c r="A70" s="4">
        <v>42583</v>
      </c>
      <c r="B70" s="3">
        <v>48.6</v>
      </c>
      <c r="C70" s="3">
        <f>Table1346811121415161718192022252629[[#This Row],[SouthKorea]]-B69</f>
        <v>-1.5</v>
      </c>
    </row>
    <row r="71" spans="1:3" x14ac:dyDescent="0.2">
      <c r="A71" s="4">
        <v>42614</v>
      </c>
      <c r="B71" s="3">
        <v>47.6</v>
      </c>
      <c r="C71" s="3">
        <f>Table1346811121415161718192022252629[[#This Row],[SouthKorea]]-B70</f>
        <v>-1</v>
      </c>
    </row>
    <row r="72" spans="1:3" x14ac:dyDescent="0.2">
      <c r="A72" s="4">
        <v>42644</v>
      </c>
      <c r="B72" s="3">
        <v>48</v>
      </c>
      <c r="C72" s="3">
        <f>Table1346811121415161718192022252629[[#This Row],[SouthKorea]]-B71</f>
        <v>0.39999999999999858</v>
      </c>
    </row>
    <row r="73" spans="1:3" x14ac:dyDescent="0.2">
      <c r="A73" s="4">
        <v>42675</v>
      </c>
      <c r="B73" s="3">
        <v>48</v>
      </c>
      <c r="C73" s="3">
        <f>Table1346811121415161718192022252629[[#This Row],[SouthKorea]]-B72</f>
        <v>0</v>
      </c>
    </row>
    <row r="74" spans="1:3" x14ac:dyDescent="0.2">
      <c r="A74" s="4">
        <v>42705</v>
      </c>
      <c r="B74" s="3">
        <v>49.4</v>
      </c>
      <c r="C74" s="3">
        <f>Table1346811121415161718192022252629[[#This Row],[SouthKorea]]-B73</f>
        <v>1.3999999999999986</v>
      </c>
    </row>
    <row r="75" spans="1:3" x14ac:dyDescent="0.2">
      <c r="A75" s="4">
        <v>42736</v>
      </c>
      <c r="B75" s="3">
        <v>49</v>
      </c>
      <c r="C75" s="3">
        <f>Table1346811121415161718192022252629[[#This Row],[SouthKorea]]-B74</f>
        <v>-0.39999999999999858</v>
      </c>
    </row>
    <row r="76" spans="1:3" x14ac:dyDescent="0.2">
      <c r="A76" s="4">
        <v>42767</v>
      </c>
      <c r="B76" s="3">
        <v>49.2</v>
      </c>
      <c r="C76" s="3">
        <f>Table1346811121415161718192022252629[[#This Row],[SouthKorea]]-B75</f>
        <v>0.20000000000000284</v>
      </c>
    </row>
    <row r="77" spans="1:3" x14ac:dyDescent="0.2">
      <c r="A77" s="4">
        <v>42795</v>
      </c>
      <c r="B77" s="3">
        <v>48.4</v>
      </c>
      <c r="C77" s="3">
        <f>Table1346811121415161718192022252629[[#This Row],[SouthKorea]]-B76</f>
        <v>-0.80000000000000426</v>
      </c>
    </row>
    <row r="78" spans="1:3" x14ac:dyDescent="0.2">
      <c r="A78" s="4">
        <v>42826</v>
      </c>
      <c r="B78" s="3">
        <v>49.4</v>
      </c>
      <c r="C78" s="3">
        <f>Table1346811121415161718192022252629[[#This Row],[SouthKorea]]-B77</f>
        <v>1</v>
      </c>
    </row>
    <row r="79" spans="1:3" x14ac:dyDescent="0.2">
      <c r="A79" s="4">
        <v>42856</v>
      </c>
      <c r="B79" s="3">
        <v>49.2</v>
      </c>
      <c r="C79" s="3">
        <f>Table1346811121415161718192022252629[[#This Row],[SouthKorea]]-B78</f>
        <v>-0.19999999999999574</v>
      </c>
    </row>
    <row r="80" spans="1:3" x14ac:dyDescent="0.2">
      <c r="A80" s="4">
        <v>42887</v>
      </c>
      <c r="B80" s="3">
        <v>50.1</v>
      </c>
      <c r="C80" s="3">
        <f>Table1346811121415161718192022252629[[#This Row],[SouthKorea]]-B79</f>
        <v>0.89999999999999858</v>
      </c>
    </row>
    <row r="81" spans="1:3" x14ac:dyDescent="0.2">
      <c r="A81" s="4">
        <v>42917</v>
      </c>
      <c r="B81" s="3">
        <v>49.1</v>
      </c>
      <c r="C81" s="3">
        <f>Table1346811121415161718192022252629[[#This Row],[SouthKorea]]-B80</f>
        <v>-1</v>
      </c>
    </row>
    <row r="82" spans="1:3" x14ac:dyDescent="0.2">
      <c r="A82" s="4">
        <v>42948</v>
      </c>
      <c r="B82" s="3">
        <v>49.9</v>
      </c>
      <c r="C82" s="3">
        <f>Table1346811121415161718192022252629[[#This Row],[SouthKorea]]-B81</f>
        <v>0.79999999999999716</v>
      </c>
    </row>
    <row r="83" spans="1:3" x14ac:dyDescent="0.2">
      <c r="A83" s="4">
        <v>42979</v>
      </c>
      <c r="B83" s="3">
        <v>50.6</v>
      </c>
      <c r="C83" s="3">
        <f>Table1346811121415161718192022252629[[#This Row],[SouthKorea]]-B82</f>
        <v>0.70000000000000284</v>
      </c>
    </row>
    <row r="84" spans="1:3" x14ac:dyDescent="0.2">
      <c r="A84" s="4">
        <v>43009</v>
      </c>
      <c r="B84" s="3">
        <v>50.2</v>
      </c>
      <c r="C84" s="3">
        <f>Table1346811121415161718192022252629[[#This Row],[SouthKorea]]-B83</f>
        <v>-0.39999999999999858</v>
      </c>
    </row>
    <row r="85" spans="1:3" x14ac:dyDescent="0.2">
      <c r="A85" s="4">
        <v>43040</v>
      </c>
      <c r="B85" s="3">
        <v>51.2</v>
      </c>
      <c r="C85" s="3">
        <f>Table1346811121415161718192022252629[[#This Row],[SouthKorea]]-B84</f>
        <v>1</v>
      </c>
    </row>
    <row r="86" spans="1:3" x14ac:dyDescent="0.2">
      <c r="A86" s="4">
        <v>43070</v>
      </c>
      <c r="B86" s="3">
        <v>49.9</v>
      </c>
      <c r="C86" s="3">
        <f>Table1346811121415161718192022252629[[#This Row],[SouthKorea]]-B85</f>
        <v>-1.3000000000000043</v>
      </c>
    </row>
    <row r="87" spans="1:3" x14ac:dyDescent="0.2">
      <c r="A87" s="4">
        <v>43101</v>
      </c>
      <c r="B87" s="3">
        <v>50.7</v>
      </c>
      <c r="C87" s="3">
        <f>Table1346811121415161718192022252629[[#This Row],[SouthKorea]]-B86</f>
        <v>0.80000000000000426</v>
      </c>
    </row>
    <row r="88" spans="1:3" x14ac:dyDescent="0.2">
      <c r="A88" s="4">
        <v>43132</v>
      </c>
      <c r="B88" s="3">
        <v>50.3</v>
      </c>
      <c r="C88" s="3">
        <f>Table1346811121415161718192022252629[[#This Row],[SouthKorea]]-B87</f>
        <v>-0.40000000000000568</v>
      </c>
    </row>
    <row r="89" spans="1:3" x14ac:dyDescent="0.2">
      <c r="A89" s="4">
        <v>43160</v>
      </c>
      <c r="B89" s="3">
        <v>49.1</v>
      </c>
      <c r="C89" s="3">
        <f>Table1346811121415161718192022252629[[#This Row],[SouthKorea]]-B88</f>
        <v>-1.1999999999999957</v>
      </c>
    </row>
    <row r="90" spans="1:3" x14ac:dyDescent="0.2">
      <c r="A90" s="4">
        <v>43191</v>
      </c>
      <c r="B90" s="3">
        <v>48.4</v>
      </c>
      <c r="C90" s="3">
        <f>Table1346811121415161718192022252629[[#This Row],[SouthKorea]]-B89</f>
        <v>-0.70000000000000284</v>
      </c>
    </row>
    <row r="91" spans="1:3" x14ac:dyDescent="0.2">
      <c r="A91" s="4">
        <v>43221</v>
      </c>
      <c r="B91" s="3">
        <v>48.9</v>
      </c>
      <c r="C91" s="3">
        <f>Table1346811121415161718192022252629[[#This Row],[SouthKorea]]-B90</f>
        <v>0.5</v>
      </c>
    </row>
    <row r="92" spans="1:3" x14ac:dyDescent="0.2">
      <c r="A92" s="4">
        <v>43252</v>
      </c>
      <c r="B92" s="3">
        <v>49.8</v>
      </c>
      <c r="C92" s="3">
        <f>Table1346811121415161718192022252629[[#This Row],[SouthKorea]]-B91</f>
        <v>0.89999999999999858</v>
      </c>
    </row>
    <row r="93" spans="1:3" x14ac:dyDescent="0.2">
      <c r="A93" s="4">
        <v>43282</v>
      </c>
      <c r="B93" s="3">
        <v>48.3</v>
      </c>
      <c r="C93" s="3">
        <f>Table1346811121415161718192022252629[[#This Row],[SouthKorea]]-B92</f>
        <v>-1.5</v>
      </c>
    </row>
    <row r="94" spans="1:3" x14ac:dyDescent="0.2">
      <c r="A94" s="4">
        <v>43313</v>
      </c>
      <c r="B94" s="3">
        <v>49.9</v>
      </c>
      <c r="C94" s="3">
        <f>Table1346811121415161718192022252629[[#This Row],[SouthKorea]]-B93</f>
        <v>1.6000000000000014</v>
      </c>
    </row>
    <row r="95" spans="1:3" x14ac:dyDescent="0.2">
      <c r="A95" s="4">
        <v>43344</v>
      </c>
      <c r="B95" s="3">
        <v>51.3</v>
      </c>
      <c r="C95" s="3">
        <f>Table1346811121415161718192022252629[[#This Row],[SouthKorea]]-B94</f>
        <v>1.3999999999999986</v>
      </c>
    </row>
    <row r="96" spans="1:3" x14ac:dyDescent="0.2">
      <c r="A96" s="4">
        <v>43374</v>
      </c>
      <c r="B96" s="3">
        <v>51</v>
      </c>
      <c r="C96" s="3">
        <f>Table1346811121415161718192022252629[[#This Row],[SouthKorea]]-B95</f>
        <v>-0.29999999999999716</v>
      </c>
    </row>
    <row r="97" spans="1:3" x14ac:dyDescent="0.2">
      <c r="A97" s="4">
        <v>43405</v>
      </c>
      <c r="B97" s="3">
        <v>48.6</v>
      </c>
      <c r="C97" s="3">
        <f>Table1346811121415161718192022252629[[#This Row],[SouthKorea]]-B96</f>
        <v>-2.3999999999999986</v>
      </c>
    </row>
    <row r="98" spans="1:3" x14ac:dyDescent="0.2">
      <c r="A98" s="4">
        <v>43435</v>
      </c>
      <c r="B98" s="3">
        <v>49.8</v>
      </c>
      <c r="C98" s="3">
        <f>Table1346811121415161718192022252629[[#This Row],[SouthKorea]]-B97</f>
        <v>1.1999999999999957</v>
      </c>
    </row>
    <row r="99" spans="1:3" x14ac:dyDescent="0.2">
      <c r="A99" s="4">
        <v>43466</v>
      </c>
      <c r="B99" s="3">
        <v>48.3</v>
      </c>
      <c r="C99" s="3">
        <f>Table1346811121415161718192022252629[[#This Row],[SouthKorea]]-B98</f>
        <v>-1.5</v>
      </c>
    </row>
    <row r="100" spans="1:3" x14ac:dyDescent="0.2">
      <c r="A100" s="4">
        <v>43497</v>
      </c>
      <c r="B100" s="3">
        <v>47.2</v>
      </c>
      <c r="C100" s="3">
        <f>Table1346811121415161718192022252629[[#This Row],[SouthKorea]]-B99</f>
        <v>-1.0999999999999943</v>
      </c>
    </row>
    <row r="101" spans="1:3" x14ac:dyDescent="0.2">
      <c r="A101" s="4">
        <v>43525</v>
      </c>
      <c r="B101" s="3">
        <v>48.8</v>
      </c>
      <c r="C101" s="3">
        <f>Table1346811121415161718192022252629[[#This Row],[SouthKorea]]-B100</f>
        <v>1.5999999999999943</v>
      </c>
    </row>
    <row r="102" spans="1:3" x14ac:dyDescent="0.2">
      <c r="A102" s="4">
        <v>43556</v>
      </c>
      <c r="B102" s="3">
        <v>50.2</v>
      </c>
      <c r="C102" s="3">
        <f>Table1346811121415161718192022252629[[#This Row],[SouthKorea]]-B101</f>
        <v>1.4000000000000057</v>
      </c>
    </row>
    <row r="103" spans="1:3" x14ac:dyDescent="0.2">
      <c r="A103" s="4">
        <v>43586</v>
      </c>
      <c r="B103" s="3">
        <v>48.4</v>
      </c>
      <c r="C103" s="13">
        <f>Table1346811121415161718192022252629[[#This Row],[SouthKorea]]-B102</f>
        <v>-1.8000000000000043</v>
      </c>
    </row>
    <row r="104" spans="1:3" x14ac:dyDescent="0.2">
      <c r="A104" s="4">
        <v>43617</v>
      </c>
      <c r="B104" s="3">
        <v>47.5</v>
      </c>
      <c r="C104" s="13">
        <f>Table1346811121415161718192022252629[[#This Row],[SouthKorea]]-B103</f>
        <v>-0.89999999999999858</v>
      </c>
    </row>
    <row r="105" spans="1:3" x14ac:dyDescent="0.2">
      <c r="A105" s="4">
        <v>43647</v>
      </c>
      <c r="B105" s="3">
        <v>47.3</v>
      </c>
      <c r="C105" s="13">
        <f>Table1346811121415161718192022252629[[#This Row],[SouthKorea]]-B104</f>
        <v>-0.20000000000000284</v>
      </c>
    </row>
    <row r="106" spans="1:3" x14ac:dyDescent="0.2">
      <c r="A106" s="4">
        <v>43678</v>
      </c>
      <c r="B106" s="3">
        <v>49</v>
      </c>
      <c r="C106" s="13">
        <f>Table1346811121415161718192022252629[[#This Row],[SouthKorea]]-B105</f>
        <v>1.7000000000000028</v>
      </c>
    </row>
    <row r="107" spans="1:3" x14ac:dyDescent="0.2">
      <c r="A107" s="4">
        <v>43709</v>
      </c>
      <c r="B107" s="3">
        <v>48</v>
      </c>
      <c r="C107" s="13">
        <f>Table1346811121415161718192022252629[[#This Row],[SouthKorea]]-B106</f>
        <v>-1</v>
      </c>
    </row>
    <row r="108" spans="1:3" x14ac:dyDescent="0.2">
      <c r="A108" s="4">
        <v>43739</v>
      </c>
      <c r="B108" s="3">
        <v>48.4</v>
      </c>
      <c r="C108" s="13">
        <f>Table1346811121415161718192022252629[[#This Row],[SouthKorea]]-B107</f>
        <v>0.39999999999999858</v>
      </c>
    </row>
    <row r="109" spans="1:3" x14ac:dyDescent="0.2">
      <c r="A109" s="4">
        <v>43770</v>
      </c>
      <c r="B109" s="3">
        <v>49.4</v>
      </c>
      <c r="C109" s="13">
        <f>Table1346811121415161718192022252629[[#This Row],[SouthKorea]]-B108</f>
        <v>1</v>
      </c>
    </row>
    <row r="110" spans="1:3" x14ac:dyDescent="0.2">
      <c r="A110" s="4">
        <v>43800</v>
      </c>
      <c r="B110" s="3">
        <v>50.1</v>
      </c>
      <c r="C110" s="13">
        <f>Table1346811121415161718192022252629[[#This Row],[SouthKorea]]-B109</f>
        <v>0.70000000000000284</v>
      </c>
    </row>
    <row r="111" spans="1:3" x14ac:dyDescent="0.2">
      <c r="A111" s="4">
        <v>43831</v>
      </c>
      <c r="B111" s="3">
        <v>49.8</v>
      </c>
      <c r="C111" s="13">
        <f>Table1346811121415161718192022252629[[#This Row],[SouthKorea]]-B110</f>
        <v>-0.30000000000000426</v>
      </c>
    </row>
    <row r="112" spans="1:3" x14ac:dyDescent="0.2">
      <c r="A112" s="4">
        <v>43862</v>
      </c>
      <c r="B112" s="3">
        <v>48.7</v>
      </c>
      <c r="C112" s="13">
        <f>Table1346811121415161718192022252629[[#This Row],[SouthKorea]]-B111</f>
        <v>-1.0999999999999943</v>
      </c>
    </row>
    <row r="113" spans="1:3" x14ac:dyDescent="0.2">
      <c r="A113" s="4">
        <v>43891</v>
      </c>
      <c r="B113" s="3">
        <v>44.2</v>
      </c>
      <c r="C113" s="13">
        <f>Table1346811121415161718192022252629[[#This Row],[SouthKorea]]-B112</f>
        <v>-4.5</v>
      </c>
    </row>
    <row r="114" spans="1:3" x14ac:dyDescent="0.2">
      <c r="A114" s="4">
        <v>43922</v>
      </c>
      <c r="B114" s="3">
        <v>41.6</v>
      </c>
      <c r="C114" s="13">
        <f>Table1346811121415161718192022252629[[#This Row],[SouthKorea]]-B113</f>
        <v>-2.6000000000000014</v>
      </c>
    </row>
    <row r="115" spans="1:3" x14ac:dyDescent="0.2">
      <c r="A115" s="4">
        <v>43952</v>
      </c>
      <c r="B115" s="3">
        <v>41.3</v>
      </c>
      <c r="C115" s="13">
        <f>Table1346811121415161718192022252629[[#This Row],[SouthKorea]]-B114</f>
        <v>-0.30000000000000426</v>
      </c>
    </row>
    <row r="116" spans="1:3" x14ac:dyDescent="0.2">
      <c r="A116" s="4">
        <v>43983</v>
      </c>
      <c r="B116" s="3">
        <v>43.4</v>
      </c>
      <c r="C116" s="13">
        <f>Table1346811121415161718192022252629[[#This Row],[SouthKorea]]-B115</f>
        <v>2.1000000000000014</v>
      </c>
    </row>
    <row r="117" spans="1:3" x14ac:dyDescent="0.2">
      <c r="A117" s="4">
        <v>44013</v>
      </c>
      <c r="B117" s="3">
        <v>46.9</v>
      </c>
      <c r="C117" s="13">
        <f>Table1346811121415161718192022252629[[#This Row],[SouthKorea]]-B116</f>
        <v>3.5</v>
      </c>
    </row>
    <row r="118" spans="1:3" x14ac:dyDescent="0.2">
      <c r="A118" s="4">
        <v>44044</v>
      </c>
      <c r="B118" s="3">
        <v>48.5</v>
      </c>
      <c r="C118" s="13">
        <f>Table1346811121415161718192022252629[[#This Row],[SouthKorea]]-B117</f>
        <v>1.6000000000000014</v>
      </c>
    </row>
    <row r="119" spans="1:3" x14ac:dyDescent="0.2">
      <c r="A119" s="4">
        <v>44075</v>
      </c>
      <c r="B119" s="3">
        <v>49.8</v>
      </c>
      <c r="C119" s="13">
        <f>Table1346811121415161718192022252629[[#This Row],[SouthKorea]]-B118</f>
        <v>1.2999999999999972</v>
      </c>
    </row>
    <row r="120" spans="1:3" x14ac:dyDescent="0.2">
      <c r="A120" s="4">
        <v>44105</v>
      </c>
      <c r="B120" s="3">
        <v>51.2</v>
      </c>
      <c r="C120" s="13">
        <f>Table1346811121415161718192022252629[[#This Row],[SouthKorea]]-B119</f>
        <v>1.4000000000000057</v>
      </c>
    </row>
    <row r="121" spans="1:3" x14ac:dyDescent="0.2">
      <c r="A121" s="4">
        <v>44136</v>
      </c>
      <c r="B121" s="3">
        <v>52.9</v>
      </c>
      <c r="C121" s="13">
        <f>Table1346811121415161718192022252629[[#This Row],[SouthKorea]]-B120</f>
        <v>1.6999999999999957</v>
      </c>
    </row>
    <row r="122" spans="1:3" x14ac:dyDescent="0.2">
      <c r="A122" s="4">
        <v>44166</v>
      </c>
      <c r="B122" s="3">
        <v>52.9</v>
      </c>
      <c r="C122" s="13">
        <f>Table1346811121415161718192022252629[[#This Row],[SouthKorea]]-B121</f>
        <v>0</v>
      </c>
    </row>
    <row r="123" spans="1:3" x14ac:dyDescent="0.2">
      <c r="A123" s="4">
        <v>44197</v>
      </c>
      <c r="B123" s="3">
        <v>53.2</v>
      </c>
      <c r="C123" s="13">
        <f>Table1346811121415161718192022252629[[#This Row],[SouthKorea]]-B122</f>
        <v>0.30000000000000426</v>
      </c>
    </row>
    <row r="124" spans="1:3" x14ac:dyDescent="0.2">
      <c r="A124" s="4">
        <v>44228</v>
      </c>
      <c r="B124" s="3">
        <v>55.3</v>
      </c>
      <c r="C124" s="13">
        <f>Table1346811121415161718192022252629[[#This Row],[SouthKorea]]-B123</f>
        <v>2.0999999999999943</v>
      </c>
    </row>
    <row r="125" spans="1:3" x14ac:dyDescent="0.2">
      <c r="A125" s="4">
        <v>44256</v>
      </c>
      <c r="B125" s="3">
        <v>55.3</v>
      </c>
      <c r="C125" s="13">
        <f>Table1346811121415161718192022252629[[#This Row],[SouthKorea]]-B124</f>
        <v>0</v>
      </c>
    </row>
    <row r="126" spans="1:3" x14ac:dyDescent="0.2">
      <c r="A126" s="4">
        <v>44287</v>
      </c>
      <c r="B126" s="3">
        <v>54.6</v>
      </c>
      <c r="C126" s="13">
        <f>Table1346811121415161718192022252629[[#This Row],[SouthKorea]]-B125</f>
        <v>-0.69999999999999574</v>
      </c>
    </row>
    <row r="127" spans="1:3" x14ac:dyDescent="0.2">
      <c r="A127" s="4">
        <v>44317</v>
      </c>
      <c r="B127" s="3">
        <v>53.7</v>
      </c>
      <c r="C127" s="13">
        <f>Table1346811121415161718192022252629[[#This Row],[SouthKorea]]-B126</f>
        <v>-0.89999999999999858</v>
      </c>
    </row>
    <row r="128" spans="1:3" x14ac:dyDescent="0.2">
      <c r="A128" s="4">
        <v>44348</v>
      </c>
      <c r="B128" s="3">
        <v>53.9</v>
      </c>
      <c r="C128" s="13">
        <f>Table1346811121415161718192022252629[[#This Row],[SouthKorea]]-B127</f>
        <v>0.19999999999999574</v>
      </c>
    </row>
    <row r="129" spans="1:3" x14ac:dyDescent="0.2">
      <c r="A129" s="4">
        <v>44378</v>
      </c>
      <c r="B129" s="3">
        <v>53</v>
      </c>
      <c r="C129" s="13">
        <f>Table1346811121415161718192022252629[[#This Row],[SouthKorea]]-B128</f>
        <v>-0.89999999999999858</v>
      </c>
    </row>
    <row r="130" spans="1:3" x14ac:dyDescent="0.2">
      <c r="A130" s="4">
        <v>44409</v>
      </c>
      <c r="B130" s="3">
        <v>51.2</v>
      </c>
      <c r="C130" s="13">
        <f>Table1346811121415161718192022252629[[#This Row],[SouthKorea]]-B129</f>
        <v>-1.7999999999999972</v>
      </c>
    </row>
    <row r="131" spans="1:3" x14ac:dyDescent="0.2">
      <c r="A131" s="4">
        <v>44440</v>
      </c>
      <c r="B131" s="3">
        <v>52.4</v>
      </c>
      <c r="C131" s="13">
        <f>Table1346811121415161718192022252629[[#This Row],[SouthKorea]]-B130</f>
        <v>1.1999999999999957</v>
      </c>
    </row>
    <row r="132" spans="1:3" x14ac:dyDescent="0.2">
      <c r="A132" s="4">
        <v>44470</v>
      </c>
      <c r="B132" s="3">
        <v>50.2</v>
      </c>
      <c r="C132" s="13">
        <f>Table1346811121415161718192022252629[[#This Row],[SouthKorea]]-B131</f>
        <v>-2.1999999999999957</v>
      </c>
    </row>
    <row r="133" spans="1:3" x14ac:dyDescent="0.2">
      <c r="A133" s="4">
        <v>44501</v>
      </c>
      <c r="B133" s="3">
        <v>50.9</v>
      </c>
      <c r="C133" s="13">
        <f>Table1346811121415161718192022252629[[#This Row],[SouthKorea]]-B132</f>
        <v>0.69999999999999574</v>
      </c>
    </row>
    <row r="134" spans="1:3" x14ac:dyDescent="0.2">
      <c r="A134" s="4">
        <v>44531</v>
      </c>
      <c r="B134" s="3">
        <v>51.9</v>
      </c>
      <c r="C134" s="13">
        <f>Table1346811121415161718192022252629[[#This Row],[SouthKorea]]-B133</f>
        <v>1</v>
      </c>
    </row>
  </sheetData>
  <conditionalFormatting sqref="C3:C102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2:B13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1A966-68B6-4C26-9DAD-2A58BC58B0C4}">
  <dimension ref="A1:B136"/>
  <sheetViews>
    <sheetView zoomScale="170" zoomScaleNormal="170" workbookViewId="0">
      <pane ySplit="1" topLeftCell="A2" activePane="bottomLeft" state="frozen"/>
      <selection pane="bottomLeft" activeCell="C1" sqref="C1:C1048576"/>
    </sheetView>
  </sheetViews>
  <sheetFormatPr baseColWidth="10" defaultColWidth="9.1640625" defaultRowHeight="15" x14ac:dyDescent="0.2"/>
  <cols>
    <col min="1" max="1" width="13.5" style="2" customWidth="1"/>
    <col min="2" max="2" width="11.33203125" style="2" customWidth="1"/>
    <col min="3" max="16384" width="9.1640625" style="2"/>
  </cols>
  <sheetData>
    <row r="1" spans="1:2" ht="16" thickBot="1" x14ac:dyDescent="0.25">
      <c r="A1" s="11" t="s">
        <v>0</v>
      </c>
      <c r="B1" s="12" t="s">
        <v>23</v>
      </c>
    </row>
    <row r="2" spans="1:2" x14ac:dyDescent="0.2">
      <c r="A2" s="8">
        <v>40452</v>
      </c>
      <c r="B2" s="9">
        <v>48.6</v>
      </c>
    </row>
    <row r="3" spans="1:2" x14ac:dyDescent="0.2">
      <c r="A3" s="4">
        <v>40483</v>
      </c>
      <c r="B3" s="3">
        <v>51.7</v>
      </c>
    </row>
    <row r="4" spans="1:2" x14ac:dyDescent="0.2">
      <c r="A4" s="4">
        <v>40513</v>
      </c>
      <c r="B4" s="3">
        <v>51.7</v>
      </c>
    </row>
    <row r="5" spans="1:2" x14ac:dyDescent="0.2">
      <c r="A5" s="4">
        <v>40544</v>
      </c>
      <c r="B5" s="3">
        <v>54.6</v>
      </c>
    </row>
    <row r="6" spans="1:2" x14ac:dyDescent="0.2">
      <c r="A6" s="4">
        <v>40575</v>
      </c>
      <c r="B6" s="3">
        <v>55.8</v>
      </c>
    </row>
    <row r="7" spans="1:2" x14ac:dyDescent="0.2">
      <c r="A7" s="4">
        <v>40603</v>
      </c>
      <c r="B7" s="3">
        <v>55.6</v>
      </c>
    </row>
    <row r="8" spans="1:2" x14ac:dyDescent="0.2">
      <c r="A8" s="4">
        <v>40634</v>
      </c>
      <c r="B8" s="3">
        <v>58.2</v>
      </c>
    </row>
    <row r="9" spans="1:2" x14ac:dyDescent="0.2">
      <c r="A9" s="4">
        <v>40664</v>
      </c>
      <c r="B9" s="3">
        <v>54.9</v>
      </c>
    </row>
    <row r="10" spans="1:2" x14ac:dyDescent="0.2">
      <c r="A10" s="4">
        <v>40695</v>
      </c>
      <c r="B10" s="3">
        <v>49.9</v>
      </c>
    </row>
    <row r="11" spans="1:2" x14ac:dyDescent="0.2">
      <c r="A11" s="4">
        <v>40725</v>
      </c>
      <c r="B11" s="3">
        <v>46.1</v>
      </c>
    </row>
    <row r="12" spans="1:2" x14ac:dyDescent="0.2">
      <c r="A12" s="4">
        <v>40756</v>
      </c>
      <c r="B12" s="3">
        <v>45.2</v>
      </c>
    </row>
    <row r="13" spans="1:2" x14ac:dyDescent="0.2">
      <c r="A13" s="4">
        <v>40787</v>
      </c>
      <c r="B13" s="3">
        <v>44.5</v>
      </c>
    </row>
    <row r="14" spans="1:2" x14ac:dyDescent="0.2">
      <c r="A14" s="4">
        <v>40817</v>
      </c>
      <c r="B14" s="3">
        <v>48</v>
      </c>
    </row>
    <row r="15" spans="1:2" x14ac:dyDescent="0.2">
      <c r="A15" s="4">
        <v>40848</v>
      </c>
      <c r="B15" s="3">
        <v>47.1</v>
      </c>
    </row>
    <row r="16" spans="1:2" x14ac:dyDescent="0.2">
      <c r="A16" s="4">
        <v>40878</v>
      </c>
      <c r="B16" s="3">
        <v>47.1</v>
      </c>
    </row>
    <row r="17" spans="1:2" x14ac:dyDescent="0.2">
      <c r="A17" s="4">
        <v>40909</v>
      </c>
      <c r="B17" s="3">
        <v>47.1</v>
      </c>
    </row>
    <row r="18" spans="1:2" x14ac:dyDescent="0.2">
      <c r="A18" s="4">
        <v>40940</v>
      </c>
      <c r="B18" s="3">
        <v>48.9</v>
      </c>
    </row>
    <row r="19" spans="1:2" x14ac:dyDescent="0.2">
      <c r="A19" s="4">
        <v>40969</v>
      </c>
      <c r="B19" s="3">
        <v>52.7</v>
      </c>
    </row>
    <row r="20" spans="1:2" x14ac:dyDescent="0.2">
      <c r="A20" s="4">
        <v>41000</v>
      </c>
      <c r="B20" s="3">
        <v>54.1</v>
      </c>
    </row>
    <row r="21" spans="1:2" x14ac:dyDescent="0.2">
      <c r="A21" s="4">
        <v>41030</v>
      </c>
      <c r="B21" s="3">
        <v>51.2</v>
      </c>
    </row>
    <row r="22" spans="1:2" x14ac:dyDescent="0.2">
      <c r="A22" s="4">
        <v>41061</v>
      </c>
      <c r="B22" s="3">
        <v>50.5</v>
      </c>
    </row>
    <row r="23" spans="1:2" x14ac:dyDescent="0.2">
      <c r="A23" s="4">
        <v>41091</v>
      </c>
      <c r="B23" s="3">
        <v>49.2</v>
      </c>
    </row>
    <row r="24" spans="1:2" x14ac:dyDescent="0.2">
      <c r="A24" s="4">
        <v>41122</v>
      </c>
      <c r="B24" s="3">
        <v>47.5</v>
      </c>
    </row>
    <row r="25" spans="1:2" x14ac:dyDescent="0.2">
      <c r="A25" s="4">
        <v>41153</v>
      </c>
      <c r="B25" s="3">
        <v>46.1</v>
      </c>
    </row>
    <row r="26" spans="1:2" x14ac:dyDescent="0.2">
      <c r="A26" s="4">
        <v>41183</v>
      </c>
      <c r="B26" s="3">
        <v>45.6</v>
      </c>
    </row>
    <row r="27" spans="1:2" x14ac:dyDescent="0.2">
      <c r="A27" s="4">
        <v>41214</v>
      </c>
      <c r="B27" s="3">
        <v>47.8</v>
      </c>
    </row>
    <row r="28" spans="1:2" x14ac:dyDescent="0.2">
      <c r="A28" s="4">
        <v>41244</v>
      </c>
      <c r="B28" s="3">
        <v>47.4</v>
      </c>
    </row>
    <row r="29" spans="1:2" x14ac:dyDescent="0.2">
      <c r="A29" s="4">
        <v>41275</v>
      </c>
      <c r="B29" s="3">
        <v>51.5</v>
      </c>
    </row>
    <row r="30" spans="1:2" x14ac:dyDescent="0.2">
      <c r="A30" s="4">
        <v>41306</v>
      </c>
      <c r="B30" s="3">
        <v>51.5</v>
      </c>
    </row>
    <row r="31" spans="1:2" x14ac:dyDescent="0.2">
      <c r="A31" s="4">
        <v>41334</v>
      </c>
      <c r="B31" s="3">
        <v>50.2</v>
      </c>
    </row>
    <row r="32" spans="1:2" x14ac:dyDescent="0.2">
      <c r="A32" s="4">
        <v>41365</v>
      </c>
      <c r="B32" s="3">
        <v>51.2</v>
      </c>
    </row>
    <row r="33" spans="1:2" x14ac:dyDescent="0.2">
      <c r="A33" s="4">
        <v>41395</v>
      </c>
      <c r="B33" s="3">
        <v>50.7</v>
      </c>
    </row>
    <row r="34" spans="1:2" x14ac:dyDescent="0.2">
      <c r="A34" s="4">
        <v>41426</v>
      </c>
      <c r="B34" s="3">
        <v>47.1</v>
      </c>
    </row>
    <row r="35" spans="1:2" x14ac:dyDescent="0.2">
      <c r="A35" s="4">
        <v>41456</v>
      </c>
      <c r="B35" s="3">
        <v>49.5</v>
      </c>
    </row>
    <row r="36" spans="1:2" x14ac:dyDescent="0.2">
      <c r="A36" s="4">
        <v>41487</v>
      </c>
      <c r="B36" s="3">
        <v>48.6</v>
      </c>
    </row>
    <row r="37" spans="1:2" x14ac:dyDescent="0.2">
      <c r="A37" s="4">
        <v>41518</v>
      </c>
      <c r="B37" s="3">
        <v>50</v>
      </c>
    </row>
    <row r="38" spans="1:2" x14ac:dyDescent="0.2">
      <c r="A38" s="4">
        <v>41548</v>
      </c>
      <c r="B38" s="3">
        <v>52</v>
      </c>
    </row>
    <row r="39" spans="1:2" x14ac:dyDescent="0.2">
      <c r="A39" s="4">
        <v>41579</v>
      </c>
      <c r="B39" s="3">
        <v>53</v>
      </c>
    </row>
    <row r="40" spans="1:2" x14ac:dyDescent="0.2">
      <c r="A40" s="4">
        <v>41609</v>
      </c>
      <c r="B40" s="3">
        <v>53.4</v>
      </c>
    </row>
    <row r="41" spans="1:2" x14ac:dyDescent="0.2">
      <c r="A41" s="4">
        <v>41640</v>
      </c>
      <c r="B41" s="3">
        <v>55.5</v>
      </c>
    </row>
    <row r="42" spans="1:2" x14ac:dyDescent="0.2">
      <c r="A42" s="4">
        <v>41671</v>
      </c>
      <c r="B42" s="3">
        <v>54.7</v>
      </c>
    </row>
    <row r="43" spans="1:2" x14ac:dyDescent="0.2">
      <c r="A43" s="4">
        <v>41699</v>
      </c>
      <c r="B43" s="3">
        <v>52.7</v>
      </c>
    </row>
    <row r="44" spans="1:2" x14ac:dyDescent="0.2">
      <c r="A44" s="4">
        <v>41730</v>
      </c>
      <c r="B44" s="3">
        <v>52.3</v>
      </c>
    </row>
    <row r="45" spans="1:2" x14ac:dyDescent="0.2">
      <c r="A45" s="4">
        <v>41760</v>
      </c>
      <c r="B45" s="3">
        <v>52.4</v>
      </c>
    </row>
    <row r="46" spans="1:2" x14ac:dyDescent="0.2">
      <c r="A46" s="4">
        <v>41791</v>
      </c>
      <c r="B46" s="3">
        <v>54</v>
      </c>
    </row>
    <row r="47" spans="1:2" x14ac:dyDescent="0.2">
      <c r="A47" s="4">
        <v>41821</v>
      </c>
      <c r="B47" s="3">
        <v>55.8</v>
      </c>
    </row>
    <row r="48" spans="1:2" x14ac:dyDescent="0.2">
      <c r="A48" s="4">
        <v>41852</v>
      </c>
      <c r="B48" s="3">
        <v>56.1</v>
      </c>
    </row>
    <row r="49" spans="1:2" x14ac:dyDescent="0.2">
      <c r="A49" s="4">
        <v>41883</v>
      </c>
      <c r="B49" s="3">
        <v>53.3</v>
      </c>
    </row>
    <row r="50" spans="1:2" x14ac:dyDescent="0.2">
      <c r="A50" s="4">
        <v>41913</v>
      </c>
      <c r="B50" s="3">
        <v>52</v>
      </c>
    </row>
    <row r="51" spans="1:2" x14ac:dyDescent="0.2">
      <c r="A51" s="4">
        <v>41944</v>
      </c>
      <c r="B51" s="3">
        <v>51.4</v>
      </c>
    </row>
    <row r="52" spans="1:2" x14ac:dyDescent="0.2">
      <c r="A52" s="4">
        <v>41974</v>
      </c>
      <c r="B52" s="3">
        <v>50</v>
      </c>
    </row>
    <row r="53" spans="1:2" x14ac:dyDescent="0.2">
      <c r="A53" s="4">
        <v>42005</v>
      </c>
      <c r="B53" s="3">
        <v>51.7</v>
      </c>
    </row>
    <row r="54" spans="1:2" x14ac:dyDescent="0.2">
      <c r="A54" s="4">
        <v>42036</v>
      </c>
      <c r="B54" s="3">
        <v>52.1</v>
      </c>
    </row>
    <row r="55" spans="1:2" x14ac:dyDescent="0.2">
      <c r="A55" s="4">
        <v>42064</v>
      </c>
      <c r="B55" s="3">
        <v>51</v>
      </c>
    </row>
    <row r="56" spans="1:2" x14ac:dyDescent="0.2">
      <c r="A56" s="4">
        <v>42095</v>
      </c>
      <c r="B56" s="3">
        <v>49.2</v>
      </c>
    </row>
    <row r="57" spans="1:2" x14ac:dyDescent="0.2">
      <c r="A57" s="4">
        <v>42125</v>
      </c>
      <c r="B57" s="3">
        <v>49.3</v>
      </c>
    </row>
    <row r="58" spans="1:2" x14ac:dyDescent="0.2">
      <c r="A58" s="4">
        <v>42156</v>
      </c>
      <c r="B58" s="3">
        <v>46.3</v>
      </c>
    </row>
    <row r="59" spans="1:2" x14ac:dyDescent="0.2">
      <c r="A59" s="4">
        <v>42186</v>
      </c>
      <c r="B59" s="3">
        <v>47.1</v>
      </c>
    </row>
    <row r="60" spans="1:2" x14ac:dyDescent="0.2">
      <c r="A60" s="4">
        <v>42217</v>
      </c>
      <c r="B60" s="3">
        <v>46.1</v>
      </c>
    </row>
    <row r="61" spans="1:2" x14ac:dyDescent="0.2">
      <c r="A61" s="4">
        <v>42248</v>
      </c>
      <c r="B61" s="3">
        <v>46.9</v>
      </c>
    </row>
    <row r="62" spans="1:2" x14ac:dyDescent="0.2">
      <c r="A62" s="4">
        <v>42278</v>
      </c>
      <c r="B62" s="3">
        <v>47.8</v>
      </c>
    </row>
    <row r="63" spans="1:2" x14ac:dyDescent="0.2">
      <c r="A63" s="4">
        <v>42309</v>
      </c>
      <c r="B63" s="3">
        <v>49.5</v>
      </c>
    </row>
    <row r="64" spans="1:2" x14ac:dyDescent="0.2">
      <c r="A64" s="4">
        <v>42339</v>
      </c>
      <c r="B64" s="3">
        <v>51.7</v>
      </c>
    </row>
    <row r="65" spans="1:2" x14ac:dyDescent="0.2">
      <c r="A65" s="4">
        <v>42370</v>
      </c>
      <c r="B65" s="3">
        <v>50.6</v>
      </c>
    </row>
    <row r="66" spans="1:2" x14ac:dyDescent="0.2">
      <c r="A66" s="4">
        <v>42401</v>
      </c>
      <c r="B66" s="3">
        <v>49.4</v>
      </c>
    </row>
    <row r="67" spans="1:2" x14ac:dyDescent="0.2">
      <c r="A67" s="4">
        <v>42430</v>
      </c>
      <c r="B67" s="3">
        <v>51.1</v>
      </c>
    </row>
    <row r="68" spans="1:2" x14ac:dyDescent="0.2">
      <c r="A68" s="4">
        <v>42461</v>
      </c>
      <c r="B68" s="3">
        <v>49.7</v>
      </c>
    </row>
    <row r="69" spans="1:2" x14ac:dyDescent="0.2">
      <c r="A69" s="4">
        <v>42491</v>
      </c>
      <c r="B69" s="3">
        <v>48.5</v>
      </c>
    </row>
    <row r="70" spans="1:2" x14ac:dyDescent="0.2">
      <c r="A70" s="4">
        <v>42522</v>
      </c>
      <c r="B70" s="3">
        <v>50.5</v>
      </c>
    </row>
    <row r="71" spans="1:2" x14ac:dyDescent="0.2">
      <c r="A71" s="4">
        <v>42552</v>
      </c>
      <c r="B71" s="3">
        <v>51</v>
      </c>
    </row>
    <row r="72" spans="1:2" x14ac:dyDescent="0.2">
      <c r="A72" s="4">
        <v>42583</v>
      </c>
      <c r="B72" s="3">
        <v>51.8</v>
      </c>
    </row>
    <row r="73" spans="1:2" x14ac:dyDescent="0.2">
      <c r="A73" s="4">
        <v>42614</v>
      </c>
      <c r="B73" s="3">
        <v>52.2</v>
      </c>
    </row>
    <row r="74" spans="1:2" x14ac:dyDescent="0.2">
      <c r="A74" s="4">
        <v>42644</v>
      </c>
      <c r="B74" s="3">
        <v>52.7</v>
      </c>
    </row>
    <row r="75" spans="1:2" x14ac:dyDescent="0.2">
      <c r="A75" s="4">
        <v>42675</v>
      </c>
      <c r="B75" s="3">
        <v>54.7</v>
      </c>
    </row>
    <row r="76" spans="1:2" x14ac:dyDescent="0.2">
      <c r="A76" s="4">
        <v>42705</v>
      </c>
      <c r="B76" s="3">
        <v>56.2</v>
      </c>
    </row>
    <row r="77" spans="1:2" x14ac:dyDescent="0.2">
      <c r="A77" s="4">
        <v>42736</v>
      </c>
      <c r="B77" s="3">
        <v>55.6</v>
      </c>
    </row>
    <row r="78" spans="1:2" x14ac:dyDescent="0.2">
      <c r="A78" s="4">
        <v>42767</v>
      </c>
      <c r="B78" s="3">
        <v>54.5</v>
      </c>
    </row>
    <row r="79" spans="1:2" x14ac:dyDescent="0.2">
      <c r="A79" s="4">
        <v>42795</v>
      </c>
      <c r="B79" s="3">
        <v>56.2</v>
      </c>
    </row>
    <row r="80" spans="1:2" x14ac:dyDescent="0.2">
      <c r="A80" s="4">
        <v>42826</v>
      </c>
      <c r="B80" s="3">
        <v>54.4</v>
      </c>
    </row>
    <row r="81" spans="1:2" x14ac:dyDescent="0.2">
      <c r="A81" s="4">
        <v>42856</v>
      </c>
      <c r="B81" s="3">
        <v>53.1</v>
      </c>
    </row>
    <row r="82" spans="1:2" x14ac:dyDescent="0.2">
      <c r="A82" s="4">
        <v>42887</v>
      </c>
      <c r="B82" s="3">
        <v>53.3</v>
      </c>
    </row>
    <row r="83" spans="1:2" x14ac:dyDescent="0.2">
      <c r="A83" s="4">
        <v>42917</v>
      </c>
      <c r="B83" s="3">
        <v>53.6</v>
      </c>
    </row>
    <row r="84" spans="1:2" x14ac:dyDescent="0.2">
      <c r="A84" s="4">
        <v>42948</v>
      </c>
      <c r="B84" s="3">
        <v>54.3</v>
      </c>
    </row>
    <row r="85" spans="1:2" x14ac:dyDescent="0.2">
      <c r="A85" s="4">
        <v>42979</v>
      </c>
      <c r="B85" s="3">
        <v>54.2</v>
      </c>
    </row>
    <row r="86" spans="1:2" x14ac:dyDescent="0.2">
      <c r="A86" s="4">
        <v>43009</v>
      </c>
      <c r="B86" s="3">
        <v>53.6</v>
      </c>
    </row>
    <row r="87" spans="1:2" x14ac:dyDescent="0.2">
      <c r="A87" s="4">
        <v>43040</v>
      </c>
      <c r="B87" s="3">
        <v>56.3</v>
      </c>
    </row>
    <row r="88" spans="1:2" x14ac:dyDescent="0.2">
      <c r="A88" s="4">
        <v>43070</v>
      </c>
      <c r="B88" s="3">
        <v>56.6</v>
      </c>
    </row>
    <row r="89" spans="1:2" x14ac:dyDescent="0.2">
      <c r="A89" s="4">
        <v>43101</v>
      </c>
      <c r="B89" s="3">
        <v>56.9</v>
      </c>
    </row>
    <row r="90" spans="1:2" x14ac:dyDescent="0.2">
      <c r="A90" s="4">
        <v>43132</v>
      </c>
      <c r="B90" s="3">
        <v>56</v>
      </c>
    </row>
    <row r="91" spans="1:2" x14ac:dyDescent="0.2">
      <c r="A91" s="4">
        <v>43160</v>
      </c>
      <c r="B91" s="3">
        <v>55.3</v>
      </c>
    </row>
    <row r="92" spans="1:2" x14ac:dyDescent="0.2">
      <c r="A92" s="4">
        <v>43191</v>
      </c>
      <c r="B92" s="3">
        <v>54.8</v>
      </c>
    </row>
    <row r="93" spans="1:2" x14ac:dyDescent="0.2">
      <c r="A93" s="4">
        <v>43221</v>
      </c>
      <c r="B93" s="3">
        <v>53.4</v>
      </c>
    </row>
    <row r="94" spans="1:2" x14ac:dyDescent="0.2">
      <c r="A94" s="4">
        <v>43252</v>
      </c>
      <c r="B94" s="3">
        <v>54.5</v>
      </c>
    </row>
    <row r="95" spans="1:2" x14ac:dyDescent="0.2">
      <c r="A95" s="4">
        <v>43282</v>
      </c>
      <c r="B95" s="3">
        <v>53.1</v>
      </c>
    </row>
    <row r="96" spans="1:2" x14ac:dyDescent="0.2">
      <c r="A96" s="4">
        <v>43313</v>
      </c>
      <c r="B96" s="3">
        <v>53</v>
      </c>
    </row>
    <row r="97" spans="1:2" x14ac:dyDescent="0.2">
      <c r="A97" s="4">
        <v>43344</v>
      </c>
      <c r="B97" s="3">
        <v>50.8</v>
      </c>
    </row>
    <row r="98" spans="1:2" x14ac:dyDescent="0.2">
      <c r="A98" s="4">
        <v>43374</v>
      </c>
      <c r="B98" s="3">
        <v>48.7</v>
      </c>
    </row>
    <row r="99" spans="1:2" x14ac:dyDescent="0.2">
      <c r="A99" s="4">
        <v>43405</v>
      </c>
      <c r="B99" s="3">
        <v>48.4</v>
      </c>
    </row>
    <row r="100" spans="1:2" x14ac:dyDescent="0.2">
      <c r="A100" s="4">
        <v>43435</v>
      </c>
      <c r="B100" s="3">
        <v>47.7</v>
      </c>
    </row>
    <row r="101" spans="1:2" x14ac:dyDescent="0.2">
      <c r="A101" s="4">
        <v>43466</v>
      </c>
      <c r="B101" s="3">
        <v>47.5</v>
      </c>
    </row>
    <row r="102" spans="1:2" x14ac:dyDescent="0.2">
      <c r="A102" s="4">
        <v>43497</v>
      </c>
      <c r="B102" s="3">
        <v>46.3</v>
      </c>
    </row>
    <row r="103" spans="1:2" x14ac:dyDescent="0.2">
      <c r="A103" s="4">
        <v>43525</v>
      </c>
      <c r="B103" s="3">
        <v>49</v>
      </c>
    </row>
    <row r="104" spans="1:2" x14ac:dyDescent="0.2">
      <c r="A104" s="4">
        <v>43556</v>
      </c>
      <c r="B104" s="3">
        <v>48.2</v>
      </c>
    </row>
    <row r="105" spans="1:2" x14ac:dyDescent="0.2">
      <c r="A105" s="4">
        <v>43586</v>
      </c>
      <c r="B105" s="3">
        <v>48.4</v>
      </c>
    </row>
    <row r="106" spans="1:2" x14ac:dyDescent="0.2">
      <c r="A106" s="4">
        <v>43617</v>
      </c>
      <c r="B106" s="3">
        <v>45.5</v>
      </c>
    </row>
    <row r="107" spans="1:2" x14ac:dyDescent="0.2">
      <c r="A107" s="4">
        <v>43647</v>
      </c>
      <c r="B107" s="3">
        <v>48.1</v>
      </c>
    </row>
    <row r="108" spans="1:2" x14ac:dyDescent="0.2">
      <c r="A108" s="4">
        <v>43678</v>
      </c>
      <c r="B108" s="3">
        <v>47.9</v>
      </c>
    </row>
    <row r="109" spans="1:2" x14ac:dyDescent="0.2">
      <c r="A109" s="4">
        <v>43709</v>
      </c>
      <c r="B109" s="3">
        <v>50</v>
      </c>
    </row>
    <row r="110" spans="1:2" x14ac:dyDescent="0.2">
      <c r="A110" s="4">
        <v>43739</v>
      </c>
      <c r="B110" s="3">
        <v>49.8</v>
      </c>
    </row>
    <row r="111" spans="1:2" x14ac:dyDescent="0.2">
      <c r="A111" s="4">
        <v>43770</v>
      </c>
      <c r="B111" s="3">
        <v>49.8</v>
      </c>
    </row>
    <row r="112" spans="1:2" x14ac:dyDescent="0.2">
      <c r="A112" s="4">
        <v>43800</v>
      </c>
      <c r="B112" s="3">
        <v>50.8</v>
      </c>
    </row>
    <row r="113" spans="1:2" x14ac:dyDescent="0.2">
      <c r="A113" s="4">
        <v>43831</v>
      </c>
      <c r="B113" s="3">
        <v>51.8</v>
      </c>
    </row>
    <row r="114" spans="1:2" x14ac:dyDescent="0.2">
      <c r="A114" s="4">
        <v>43862</v>
      </c>
      <c r="B114" s="3">
        <v>49.9</v>
      </c>
    </row>
    <row r="115" spans="1:2" x14ac:dyDescent="0.2">
      <c r="A115" s="4">
        <v>43891</v>
      </c>
      <c r="B115" s="3">
        <v>50.4</v>
      </c>
    </row>
    <row r="116" spans="1:2" x14ac:dyDescent="0.2">
      <c r="A116" s="4">
        <v>43922</v>
      </c>
      <c r="B116" s="3">
        <v>42.2</v>
      </c>
    </row>
    <row r="117" spans="1:2" x14ac:dyDescent="0.2">
      <c r="A117" s="4">
        <v>43952</v>
      </c>
      <c r="B117" s="3">
        <v>41.9</v>
      </c>
    </row>
    <row r="118" spans="1:2" x14ac:dyDescent="0.2">
      <c r="A118" s="4">
        <v>43983</v>
      </c>
      <c r="B118" s="3">
        <v>46.2</v>
      </c>
    </row>
    <row r="119" spans="1:2" x14ac:dyDescent="0.2">
      <c r="A119" s="4">
        <v>44013</v>
      </c>
      <c r="B119" s="3">
        <v>50.6</v>
      </c>
    </row>
    <row r="120" spans="1:2" x14ac:dyDescent="0.2">
      <c r="A120" s="4">
        <v>44044</v>
      </c>
      <c r="B120" s="3">
        <v>52.2</v>
      </c>
    </row>
    <row r="121" spans="1:2" x14ac:dyDescent="0.2">
      <c r="A121" s="4">
        <v>44075</v>
      </c>
      <c r="B121" s="3">
        <v>55.2</v>
      </c>
    </row>
    <row r="122" spans="1:2" x14ac:dyDescent="0.2">
      <c r="A122" s="4">
        <v>44105</v>
      </c>
      <c r="B122" s="3">
        <v>55.1</v>
      </c>
    </row>
    <row r="123" spans="1:2" x14ac:dyDescent="0.2">
      <c r="A123" s="4">
        <v>44136</v>
      </c>
      <c r="B123" s="3">
        <v>56.9</v>
      </c>
    </row>
    <row r="124" spans="1:2" x14ac:dyDescent="0.2">
      <c r="A124" s="4">
        <v>44166</v>
      </c>
      <c r="B124" s="3">
        <v>59.4</v>
      </c>
    </row>
    <row r="125" spans="1:2" x14ac:dyDescent="0.2">
      <c r="A125" s="4">
        <v>44197</v>
      </c>
      <c r="B125" s="3">
        <v>60.2</v>
      </c>
    </row>
    <row r="126" spans="1:2" x14ac:dyDescent="0.2">
      <c r="A126" s="4">
        <v>44228</v>
      </c>
      <c r="B126" s="3">
        <v>60.4</v>
      </c>
    </row>
    <row r="127" spans="1:2" x14ac:dyDescent="0.2">
      <c r="A127" s="4">
        <v>44256</v>
      </c>
      <c r="B127" s="3">
        <v>60.8</v>
      </c>
    </row>
    <row r="128" spans="1:2" x14ac:dyDescent="0.2">
      <c r="A128" s="4">
        <v>44287</v>
      </c>
      <c r="B128" s="3">
        <v>62.4</v>
      </c>
    </row>
    <row r="129" spans="1:2" x14ac:dyDescent="0.2">
      <c r="A129" s="4">
        <v>44317</v>
      </c>
      <c r="B129" s="3">
        <v>62</v>
      </c>
    </row>
    <row r="130" spans="1:2" x14ac:dyDescent="0.2">
      <c r="A130" s="4">
        <v>44348</v>
      </c>
      <c r="B130" s="3">
        <v>57.6</v>
      </c>
    </row>
    <row r="131" spans="1:2" x14ac:dyDescent="0.2">
      <c r="A131" s="4">
        <v>44378</v>
      </c>
      <c r="B131" s="3">
        <v>59.7</v>
      </c>
    </row>
    <row r="132" spans="1:2" x14ac:dyDescent="0.2">
      <c r="A132" s="4">
        <v>44409</v>
      </c>
      <c r="B132" s="3">
        <v>58.5</v>
      </c>
    </row>
    <row r="133" spans="1:2" x14ac:dyDescent="0.2">
      <c r="A133" s="4">
        <v>44440</v>
      </c>
      <c r="B133" s="3">
        <v>54.7</v>
      </c>
    </row>
    <row r="134" spans="1:2" x14ac:dyDescent="0.2">
      <c r="A134" s="4">
        <v>44470</v>
      </c>
      <c r="B134" s="3">
        <v>55.2</v>
      </c>
    </row>
    <row r="135" spans="1:2" x14ac:dyDescent="0.2">
      <c r="A135" s="4">
        <v>44501</v>
      </c>
      <c r="B135" s="3">
        <v>54.9</v>
      </c>
    </row>
    <row r="136" spans="1:2" x14ac:dyDescent="0.2">
      <c r="A136" s="4">
        <v>44531</v>
      </c>
      <c r="B136" s="3">
        <v>55.5</v>
      </c>
    </row>
  </sheetData>
  <conditionalFormatting sqref="B2:B13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9ADF1-D546-4F66-814D-416C6EBC5E0E}">
  <dimension ref="A1:B136"/>
  <sheetViews>
    <sheetView zoomScale="170" zoomScaleNormal="170" workbookViewId="0">
      <pane ySplit="1" topLeftCell="A2" activePane="bottomLeft" state="frozen"/>
      <selection pane="bottomLeft" activeCell="H115" sqref="H115"/>
    </sheetView>
  </sheetViews>
  <sheetFormatPr baseColWidth="10" defaultColWidth="9.1640625" defaultRowHeight="15" x14ac:dyDescent="0.2"/>
  <cols>
    <col min="1" max="1" width="13.5" style="2" customWidth="1"/>
    <col min="2" max="2" width="11.33203125" style="2" customWidth="1"/>
    <col min="3" max="16384" width="9.1640625" style="2"/>
  </cols>
  <sheetData>
    <row r="1" spans="1:2" ht="16" thickBot="1" x14ac:dyDescent="0.25">
      <c r="A1" s="11" t="s">
        <v>0</v>
      </c>
      <c r="B1" s="12" t="s">
        <v>11</v>
      </c>
    </row>
    <row r="2" spans="1:2" x14ac:dyDescent="0.2">
      <c r="A2" s="8">
        <v>40482</v>
      </c>
      <c r="B2" s="9">
        <v>43.6</v>
      </c>
    </row>
    <row r="3" spans="1:2" x14ac:dyDescent="0.2">
      <c r="A3" s="4">
        <v>40483</v>
      </c>
      <c r="B3" s="3">
        <v>43.9</v>
      </c>
    </row>
    <row r="4" spans="1:2" x14ac:dyDescent="0.2">
      <c r="A4" s="4">
        <v>40513</v>
      </c>
      <c r="B4" s="3">
        <v>43.1</v>
      </c>
    </row>
    <row r="5" spans="1:2" x14ac:dyDescent="0.2">
      <c r="A5" s="4">
        <v>40544</v>
      </c>
      <c r="B5" s="3">
        <v>42.8</v>
      </c>
    </row>
    <row r="6" spans="1:2" x14ac:dyDescent="0.2">
      <c r="A6" s="4">
        <v>40575</v>
      </c>
      <c r="B6" s="3">
        <v>43.8</v>
      </c>
    </row>
    <row r="7" spans="1:2" x14ac:dyDescent="0.2">
      <c r="A7" s="4">
        <v>40603</v>
      </c>
      <c r="B7" s="3">
        <v>45.4</v>
      </c>
    </row>
    <row r="8" spans="1:2" x14ac:dyDescent="0.2">
      <c r="A8" s="4">
        <v>40634</v>
      </c>
      <c r="B8" s="3">
        <v>46.8</v>
      </c>
    </row>
    <row r="9" spans="1:2" x14ac:dyDescent="0.2">
      <c r="A9" s="4">
        <v>40664</v>
      </c>
      <c r="B9" s="3">
        <v>44.5</v>
      </c>
    </row>
    <row r="10" spans="1:2" x14ac:dyDescent="0.2">
      <c r="A10" s="4">
        <v>40695</v>
      </c>
      <c r="B10" s="3">
        <v>45.5</v>
      </c>
    </row>
    <row r="11" spans="1:2" x14ac:dyDescent="0.2">
      <c r="A11" s="4">
        <v>40725</v>
      </c>
      <c r="B11" s="3">
        <v>45.2</v>
      </c>
    </row>
    <row r="12" spans="1:2" x14ac:dyDescent="0.2">
      <c r="A12" s="4">
        <v>40756</v>
      </c>
      <c r="B12" s="3">
        <v>43.3</v>
      </c>
    </row>
    <row r="13" spans="1:2" x14ac:dyDescent="0.2">
      <c r="A13" s="4">
        <v>40787</v>
      </c>
      <c r="B13" s="3">
        <v>43.2</v>
      </c>
    </row>
    <row r="14" spans="1:2" x14ac:dyDescent="0.2">
      <c r="A14" s="4">
        <v>40817</v>
      </c>
      <c r="B14" s="3">
        <v>40.5</v>
      </c>
    </row>
    <row r="15" spans="1:2" x14ac:dyDescent="0.2">
      <c r="A15" s="4">
        <v>40848</v>
      </c>
      <c r="B15" s="3">
        <v>40.9</v>
      </c>
    </row>
    <row r="16" spans="1:2" x14ac:dyDescent="0.2">
      <c r="A16" s="4">
        <v>40878</v>
      </c>
      <c r="B16" s="3">
        <v>42</v>
      </c>
    </row>
    <row r="17" spans="1:2" x14ac:dyDescent="0.2">
      <c r="A17" s="4">
        <v>40909</v>
      </c>
      <c r="B17" s="3">
        <v>41</v>
      </c>
    </row>
    <row r="18" spans="1:2" x14ac:dyDescent="0.2">
      <c r="A18" s="4">
        <v>40940</v>
      </c>
      <c r="B18" s="3">
        <v>37.700000000000003</v>
      </c>
    </row>
    <row r="19" spans="1:2" x14ac:dyDescent="0.2">
      <c r="A19" s="4">
        <v>40969</v>
      </c>
      <c r="B19" s="3">
        <v>41.3</v>
      </c>
    </row>
    <row r="20" spans="1:2" x14ac:dyDescent="0.2">
      <c r="A20" s="4">
        <v>41000</v>
      </c>
      <c r="B20" s="3">
        <v>40.700000000000003</v>
      </c>
    </row>
    <row r="21" spans="1:2" x14ac:dyDescent="0.2">
      <c r="A21" s="4">
        <v>41030</v>
      </c>
      <c r="B21" s="3">
        <v>43.1</v>
      </c>
    </row>
    <row r="22" spans="1:2" x14ac:dyDescent="0.2">
      <c r="A22" s="4">
        <v>41061</v>
      </c>
      <c r="B22" s="3">
        <v>40.1</v>
      </c>
    </row>
    <row r="23" spans="1:2" x14ac:dyDescent="0.2">
      <c r="A23" s="4">
        <v>41091</v>
      </c>
      <c r="B23" s="3">
        <v>41.9</v>
      </c>
    </row>
    <row r="24" spans="1:2" x14ac:dyDescent="0.2">
      <c r="A24" s="4">
        <v>41122</v>
      </c>
      <c r="B24" s="3">
        <v>42.1</v>
      </c>
    </row>
    <row r="25" spans="1:2" x14ac:dyDescent="0.2">
      <c r="A25" s="4">
        <v>41153</v>
      </c>
      <c r="B25" s="3">
        <v>42.2</v>
      </c>
    </row>
    <row r="26" spans="1:2" x14ac:dyDescent="0.2">
      <c r="A26" s="4">
        <v>41183</v>
      </c>
      <c r="B26" s="3">
        <v>41</v>
      </c>
    </row>
    <row r="27" spans="1:2" x14ac:dyDescent="0.2">
      <c r="A27" s="4">
        <v>41214</v>
      </c>
      <c r="B27" s="3">
        <v>41.8</v>
      </c>
    </row>
    <row r="28" spans="1:2" x14ac:dyDescent="0.2">
      <c r="A28" s="4">
        <v>41244</v>
      </c>
      <c r="B28" s="3">
        <v>41.4</v>
      </c>
    </row>
    <row r="29" spans="1:2" x14ac:dyDescent="0.2">
      <c r="A29" s="4">
        <v>41275</v>
      </c>
      <c r="B29" s="3">
        <v>41.7</v>
      </c>
    </row>
    <row r="30" spans="1:2" x14ac:dyDescent="0.2">
      <c r="A30" s="4">
        <v>41306</v>
      </c>
      <c r="B30" s="3">
        <v>43</v>
      </c>
    </row>
    <row r="31" spans="1:2" x14ac:dyDescent="0.2">
      <c r="A31" s="4">
        <v>41334</v>
      </c>
      <c r="B31" s="3">
        <v>42.1</v>
      </c>
    </row>
    <row r="32" spans="1:2" x14ac:dyDescent="0.2">
      <c r="A32" s="4">
        <v>41365</v>
      </c>
      <c r="B32" s="3">
        <v>45</v>
      </c>
    </row>
    <row r="33" spans="1:2" x14ac:dyDescent="0.2">
      <c r="A33" s="4">
        <v>41395</v>
      </c>
      <c r="B33" s="3">
        <v>45.3</v>
      </c>
    </row>
    <row r="34" spans="1:2" x14ac:dyDescent="0.2">
      <c r="A34" s="4">
        <v>41426</v>
      </c>
      <c r="B34" s="3">
        <v>45.4</v>
      </c>
    </row>
    <row r="35" spans="1:2" x14ac:dyDescent="0.2">
      <c r="A35" s="4">
        <v>41456</v>
      </c>
      <c r="B35" s="3">
        <v>47</v>
      </c>
    </row>
    <row r="36" spans="1:2" x14ac:dyDescent="0.2">
      <c r="A36" s="4">
        <v>41487</v>
      </c>
      <c r="B36" s="3">
        <v>48.7</v>
      </c>
    </row>
    <row r="37" spans="1:2" x14ac:dyDescent="0.2">
      <c r="A37" s="4">
        <v>41518</v>
      </c>
      <c r="B37" s="3">
        <v>47.5</v>
      </c>
    </row>
    <row r="38" spans="1:2" x14ac:dyDescent="0.2">
      <c r="A38" s="4">
        <v>41548</v>
      </c>
      <c r="B38" s="3">
        <v>47.3</v>
      </c>
    </row>
    <row r="39" spans="1:2" x14ac:dyDescent="0.2">
      <c r="A39" s="4">
        <v>41579</v>
      </c>
      <c r="B39" s="3">
        <v>49.2</v>
      </c>
    </row>
    <row r="40" spans="1:2" x14ac:dyDescent="0.2">
      <c r="A40" s="4">
        <v>41609</v>
      </c>
      <c r="B40" s="3">
        <v>49.6</v>
      </c>
    </row>
    <row r="41" spans="1:2" x14ac:dyDescent="0.2">
      <c r="A41" s="4">
        <v>41640</v>
      </c>
      <c r="B41" s="3">
        <v>51.2</v>
      </c>
    </row>
    <row r="42" spans="1:2" x14ac:dyDescent="0.2">
      <c r="A42" s="4">
        <v>41671</v>
      </c>
      <c r="B42" s="3">
        <v>51.3</v>
      </c>
    </row>
    <row r="43" spans="1:2" x14ac:dyDescent="0.2">
      <c r="A43" s="4">
        <v>41699</v>
      </c>
      <c r="B43" s="3">
        <v>49.7</v>
      </c>
    </row>
    <row r="44" spans="1:2" x14ac:dyDescent="0.2">
      <c r="A44" s="4">
        <v>41730</v>
      </c>
      <c r="B44" s="3">
        <v>51.1</v>
      </c>
    </row>
    <row r="45" spans="1:2" x14ac:dyDescent="0.2">
      <c r="A45" s="4">
        <v>41760</v>
      </c>
      <c r="B45" s="3">
        <v>51</v>
      </c>
    </row>
    <row r="46" spans="1:2" x14ac:dyDescent="0.2">
      <c r="A46" s="4">
        <v>41791</v>
      </c>
      <c r="B46" s="3">
        <v>49.4</v>
      </c>
    </row>
    <row r="47" spans="1:2" x14ac:dyDescent="0.2">
      <c r="A47" s="4">
        <v>41821</v>
      </c>
      <c r="B47" s="3">
        <v>48.7</v>
      </c>
    </row>
    <row r="48" spans="1:2" x14ac:dyDescent="0.2">
      <c r="A48" s="4">
        <v>41852</v>
      </c>
      <c r="B48" s="3">
        <v>50.1</v>
      </c>
    </row>
    <row r="49" spans="1:2" x14ac:dyDescent="0.2">
      <c r="A49" s="4">
        <v>41883</v>
      </c>
      <c r="B49" s="3">
        <v>48.4</v>
      </c>
    </row>
    <row r="50" spans="1:2" x14ac:dyDescent="0.2">
      <c r="A50" s="4">
        <v>41913</v>
      </c>
      <c r="B50" s="3">
        <v>48.8</v>
      </c>
    </row>
    <row r="51" spans="1:2" x14ac:dyDescent="0.2">
      <c r="A51" s="4">
        <v>41944</v>
      </c>
      <c r="B51" s="3">
        <v>49.1</v>
      </c>
    </row>
    <row r="52" spans="1:2" x14ac:dyDescent="0.2">
      <c r="A52" s="4">
        <v>41974</v>
      </c>
      <c r="B52" s="3">
        <v>49.4</v>
      </c>
    </row>
    <row r="53" spans="1:2" x14ac:dyDescent="0.2">
      <c r="A53" s="4">
        <v>42005</v>
      </c>
      <c r="B53" s="3">
        <v>48.3</v>
      </c>
    </row>
    <row r="54" spans="1:2" x14ac:dyDescent="0.2">
      <c r="A54" s="4">
        <v>42036</v>
      </c>
      <c r="B54" s="3">
        <v>48.4</v>
      </c>
    </row>
    <row r="55" spans="1:2" x14ac:dyDescent="0.2">
      <c r="A55" s="4">
        <v>42064</v>
      </c>
      <c r="B55" s="3">
        <v>48.9</v>
      </c>
    </row>
    <row r="56" spans="1:2" x14ac:dyDescent="0.2">
      <c r="A56" s="4">
        <v>42095</v>
      </c>
      <c r="B56" s="3">
        <v>46.5</v>
      </c>
    </row>
    <row r="57" spans="1:2" x14ac:dyDescent="0.2">
      <c r="A57" s="4">
        <v>42125</v>
      </c>
      <c r="B57" s="3">
        <v>48</v>
      </c>
    </row>
    <row r="58" spans="1:2" x14ac:dyDescent="0.2">
      <c r="A58" s="4">
        <v>42156</v>
      </c>
      <c r="B58" s="3">
        <v>46.9</v>
      </c>
    </row>
    <row r="59" spans="1:2" x14ac:dyDescent="0.2">
      <c r="A59" s="4">
        <v>42186</v>
      </c>
      <c r="B59" s="3">
        <v>30.2</v>
      </c>
    </row>
    <row r="60" spans="1:2" x14ac:dyDescent="0.2">
      <c r="A60" s="4">
        <v>42217</v>
      </c>
      <c r="B60" s="3">
        <v>39.1</v>
      </c>
    </row>
    <row r="61" spans="1:2" x14ac:dyDescent="0.2">
      <c r="A61" s="4">
        <v>42248</v>
      </c>
      <c r="B61" s="3">
        <v>43.3</v>
      </c>
    </row>
    <row r="62" spans="1:2" x14ac:dyDescent="0.2">
      <c r="A62" s="4">
        <v>42278</v>
      </c>
      <c r="B62" s="3">
        <v>47.3</v>
      </c>
    </row>
    <row r="63" spans="1:2" x14ac:dyDescent="0.2">
      <c r="A63" s="4">
        <v>42309</v>
      </c>
      <c r="B63" s="3">
        <v>48.1</v>
      </c>
    </row>
    <row r="64" spans="1:2" x14ac:dyDescent="0.2">
      <c r="A64" s="4">
        <v>42339</v>
      </c>
      <c r="B64" s="3">
        <v>50.2</v>
      </c>
    </row>
    <row r="65" spans="1:2" x14ac:dyDescent="0.2">
      <c r="A65" s="4">
        <v>42370</v>
      </c>
      <c r="B65" s="3">
        <v>50</v>
      </c>
    </row>
    <row r="66" spans="1:2" x14ac:dyDescent="0.2">
      <c r="A66" s="4">
        <v>42401</v>
      </c>
      <c r="B66" s="3">
        <v>48.4</v>
      </c>
    </row>
    <row r="67" spans="1:2" x14ac:dyDescent="0.2">
      <c r="A67" s="4">
        <v>42430</v>
      </c>
      <c r="B67" s="3">
        <v>49</v>
      </c>
    </row>
    <row r="68" spans="1:2" x14ac:dyDescent="0.2">
      <c r="A68" s="4">
        <v>42461</v>
      </c>
      <c r="B68" s="3">
        <v>49.7</v>
      </c>
    </row>
    <row r="69" spans="1:2" x14ac:dyDescent="0.2">
      <c r="A69" s="4">
        <v>42491</v>
      </c>
      <c r="B69" s="3">
        <v>48.4</v>
      </c>
    </row>
    <row r="70" spans="1:2" x14ac:dyDescent="0.2">
      <c r="A70" s="4">
        <v>42522</v>
      </c>
      <c r="B70" s="3">
        <v>50.4</v>
      </c>
    </row>
    <row r="71" spans="1:2" x14ac:dyDescent="0.2">
      <c r="A71" s="4">
        <v>42552</v>
      </c>
      <c r="B71" s="3">
        <v>48.7</v>
      </c>
    </row>
    <row r="72" spans="1:2" x14ac:dyDescent="0.2">
      <c r="A72" s="4">
        <v>42583</v>
      </c>
      <c r="B72" s="3">
        <v>50.4</v>
      </c>
    </row>
    <row r="73" spans="1:2" x14ac:dyDescent="0.2">
      <c r="A73" s="4">
        <v>42614</v>
      </c>
      <c r="B73" s="3">
        <v>49.2</v>
      </c>
    </row>
    <row r="74" spans="1:2" x14ac:dyDescent="0.2">
      <c r="A74" s="4">
        <v>42644</v>
      </c>
      <c r="B74" s="3">
        <v>48.6</v>
      </c>
    </row>
    <row r="75" spans="1:2" x14ac:dyDescent="0.2">
      <c r="A75" s="4">
        <v>42675</v>
      </c>
      <c r="B75" s="3">
        <v>48.3</v>
      </c>
    </row>
    <row r="76" spans="1:2" x14ac:dyDescent="0.2">
      <c r="A76" s="4">
        <v>42705</v>
      </c>
      <c r="B76" s="3">
        <v>49.3</v>
      </c>
    </row>
    <row r="77" spans="1:2" x14ac:dyDescent="0.2">
      <c r="A77" s="4">
        <v>42736</v>
      </c>
      <c r="B77" s="3">
        <v>46.6</v>
      </c>
    </row>
    <row r="78" spans="1:2" x14ac:dyDescent="0.2">
      <c r="A78" s="4">
        <v>42767</v>
      </c>
      <c r="B78" s="3">
        <v>47.7</v>
      </c>
    </row>
    <row r="79" spans="1:2" x14ac:dyDescent="0.2">
      <c r="A79" s="4">
        <v>42795</v>
      </c>
      <c r="B79" s="3">
        <v>46.7</v>
      </c>
    </row>
    <row r="80" spans="1:2" x14ac:dyDescent="0.2">
      <c r="A80" s="4">
        <v>42826</v>
      </c>
      <c r="B80" s="3">
        <v>48.2</v>
      </c>
    </row>
    <row r="81" spans="1:2" x14ac:dyDescent="0.2">
      <c r="A81" s="4">
        <v>42856</v>
      </c>
      <c r="B81" s="3">
        <v>49.6</v>
      </c>
    </row>
    <row r="82" spans="1:2" x14ac:dyDescent="0.2">
      <c r="A82" s="4">
        <v>42887</v>
      </c>
      <c r="B82" s="3">
        <v>50.5</v>
      </c>
    </row>
    <row r="83" spans="1:2" x14ac:dyDescent="0.2">
      <c r="A83" s="4">
        <v>42917</v>
      </c>
      <c r="B83" s="3">
        <v>50.5</v>
      </c>
    </row>
    <row r="84" spans="1:2" x14ac:dyDescent="0.2">
      <c r="A84" s="4">
        <v>42948</v>
      </c>
      <c r="B84" s="3">
        <v>52.2</v>
      </c>
    </row>
    <row r="85" spans="1:2" x14ac:dyDescent="0.2">
      <c r="A85" s="4">
        <v>42979</v>
      </c>
      <c r="B85" s="3">
        <v>52.8</v>
      </c>
    </row>
    <row r="86" spans="1:2" x14ac:dyDescent="0.2">
      <c r="A86" s="4">
        <v>43009</v>
      </c>
      <c r="B86" s="3">
        <v>52.1</v>
      </c>
    </row>
    <row r="87" spans="1:2" x14ac:dyDescent="0.2">
      <c r="A87" s="4">
        <v>43040</v>
      </c>
      <c r="B87" s="3">
        <v>52.2</v>
      </c>
    </row>
    <row r="88" spans="1:2" x14ac:dyDescent="0.2">
      <c r="A88" s="4">
        <v>43070</v>
      </c>
      <c r="B88" s="3">
        <v>53.1</v>
      </c>
    </row>
    <row r="89" spans="1:2" x14ac:dyDescent="0.2">
      <c r="A89" s="4">
        <v>43101</v>
      </c>
      <c r="B89" s="3">
        <v>55.2</v>
      </c>
    </row>
    <row r="90" spans="1:2" x14ac:dyDescent="0.2">
      <c r="A90" s="4">
        <v>43132</v>
      </c>
      <c r="B90" s="3">
        <v>56.1</v>
      </c>
    </row>
    <row r="91" spans="1:2" x14ac:dyDescent="0.2">
      <c r="A91" s="4">
        <v>43160</v>
      </c>
      <c r="B91" s="3">
        <v>55</v>
      </c>
    </row>
    <row r="92" spans="1:2" x14ac:dyDescent="0.2">
      <c r="A92" s="4">
        <v>43191</v>
      </c>
      <c r="B92" s="3">
        <v>52.9</v>
      </c>
    </row>
    <row r="93" spans="1:2" x14ac:dyDescent="0.2">
      <c r="A93" s="4">
        <v>43221</v>
      </c>
      <c r="B93" s="3">
        <v>54.2</v>
      </c>
    </row>
    <row r="94" spans="1:2" x14ac:dyDescent="0.2">
      <c r="A94" s="4">
        <v>43252</v>
      </c>
      <c r="B94" s="3">
        <v>53.5</v>
      </c>
    </row>
    <row r="95" spans="1:2" x14ac:dyDescent="0.2">
      <c r="A95" s="4">
        <v>43282</v>
      </c>
      <c r="B95" s="3">
        <v>53.5</v>
      </c>
    </row>
    <row r="96" spans="1:2" x14ac:dyDescent="0.2">
      <c r="A96" s="4">
        <v>43313</v>
      </c>
      <c r="B96" s="3">
        <v>53.9</v>
      </c>
    </row>
    <row r="97" spans="1:2" x14ac:dyDescent="0.2">
      <c r="A97" s="4">
        <v>43344</v>
      </c>
      <c r="B97" s="3">
        <v>53.6</v>
      </c>
    </row>
    <row r="98" spans="1:2" x14ac:dyDescent="0.2">
      <c r="A98" s="4">
        <v>43374</v>
      </c>
      <c r="B98" s="3">
        <v>53.1</v>
      </c>
    </row>
    <row r="99" spans="1:2" x14ac:dyDescent="0.2">
      <c r="A99" s="4">
        <v>43405</v>
      </c>
      <c r="B99" s="3">
        <v>54</v>
      </c>
    </row>
    <row r="100" spans="1:2" x14ac:dyDescent="0.2">
      <c r="A100" s="4">
        <v>43435</v>
      </c>
      <c r="B100" s="3">
        <v>53.8</v>
      </c>
    </row>
    <row r="101" spans="1:2" x14ac:dyDescent="0.2">
      <c r="A101" s="4">
        <v>43466</v>
      </c>
      <c r="B101" s="3">
        <v>53.7</v>
      </c>
    </row>
    <row r="102" spans="1:2" x14ac:dyDescent="0.2">
      <c r="A102" s="4">
        <v>43497</v>
      </c>
      <c r="B102" s="3">
        <v>54.2</v>
      </c>
    </row>
    <row r="103" spans="1:2" x14ac:dyDescent="0.2">
      <c r="A103" s="4">
        <v>43525</v>
      </c>
      <c r="B103" s="3">
        <v>54.7</v>
      </c>
    </row>
    <row r="104" spans="1:2" x14ac:dyDescent="0.2">
      <c r="A104" s="4">
        <v>43556</v>
      </c>
      <c r="B104" s="3">
        <v>56.6</v>
      </c>
    </row>
    <row r="105" spans="1:2" x14ac:dyDescent="0.2">
      <c r="A105" s="4">
        <v>43586</v>
      </c>
      <c r="B105" s="3">
        <v>54.2</v>
      </c>
    </row>
    <row r="106" spans="1:2" x14ac:dyDescent="0.2">
      <c r="A106" s="4">
        <v>43617</v>
      </c>
      <c r="B106" s="3">
        <v>52.4</v>
      </c>
    </row>
    <row r="107" spans="1:2" x14ac:dyDescent="0.2">
      <c r="A107" s="4">
        <v>43647</v>
      </c>
      <c r="B107" s="3">
        <v>54.6</v>
      </c>
    </row>
    <row r="108" spans="1:2" x14ac:dyDescent="0.2">
      <c r="A108" s="4">
        <v>43678</v>
      </c>
      <c r="B108" s="3">
        <v>54.9</v>
      </c>
    </row>
    <row r="109" spans="1:2" x14ac:dyDescent="0.2">
      <c r="A109" s="4">
        <v>43709</v>
      </c>
      <c r="B109" s="3">
        <v>53.6</v>
      </c>
    </row>
    <row r="110" spans="1:2" x14ac:dyDescent="0.2">
      <c r="A110" s="4">
        <v>43739</v>
      </c>
      <c r="B110" s="3">
        <v>53.5</v>
      </c>
    </row>
    <row r="111" spans="1:2" x14ac:dyDescent="0.2">
      <c r="A111" s="4">
        <v>43770</v>
      </c>
      <c r="B111" s="3">
        <v>54.1</v>
      </c>
    </row>
    <row r="112" spans="1:2" x14ac:dyDescent="0.2">
      <c r="A112" s="4">
        <v>43800</v>
      </c>
      <c r="B112" s="3">
        <v>53.9</v>
      </c>
    </row>
    <row r="113" spans="1:2" x14ac:dyDescent="0.2">
      <c r="A113" s="4">
        <v>43831</v>
      </c>
      <c r="B113" s="3">
        <v>54.4</v>
      </c>
    </row>
    <row r="114" spans="1:2" x14ac:dyDescent="0.2">
      <c r="A114" s="4">
        <v>43862</v>
      </c>
      <c r="B114" s="3">
        <v>56.2</v>
      </c>
    </row>
    <row r="115" spans="1:2" x14ac:dyDescent="0.2">
      <c r="A115" s="4">
        <v>43891</v>
      </c>
      <c r="B115" s="3">
        <v>42.5</v>
      </c>
    </row>
    <row r="116" spans="1:2" x14ac:dyDescent="0.2">
      <c r="A116" s="4">
        <v>43922</v>
      </c>
      <c r="B116" s="3">
        <v>29.5</v>
      </c>
    </row>
    <row r="117" spans="1:2" x14ac:dyDescent="0.2">
      <c r="A117" s="4">
        <v>43952</v>
      </c>
      <c r="B117" s="3">
        <v>41.1</v>
      </c>
    </row>
    <row r="118" spans="1:2" x14ac:dyDescent="0.2">
      <c r="A118" s="4">
        <v>43983</v>
      </c>
      <c r="B118" s="3">
        <v>49.4</v>
      </c>
    </row>
    <row r="119" spans="1:2" x14ac:dyDescent="0.2">
      <c r="A119" s="4">
        <v>44013</v>
      </c>
      <c r="B119" s="3">
        <v>48.6</v>
      </c>
    </row>
    <row r="120" spans="1:2" x14ac:dyDescent="0.2">
      <c r="A120" s="4">
        <v>44044</v>
      </c>
      <c r="B120" s="3">
        <v>49.4</v>
      </c>
    </row>
    <row r="121" spans="1:2" x14ac:dyDescent="0.2">
      <c r="A121" s="4">
        <v>44075</v>
      </c>
      <c r="B121" s="3">
        <v>50</v>
      </c>
    </row>
    <row r="122" spans="1:2" x14ac:dyDescent="0.2">
      <c r="A122" s="4">
        <v>44105</v>
      </c>
      <c r="B122" s="3">
        <v>48.7</v>
      </c>
    </row>
    <row r="123" spans="1:2" x14ac:dyDescent="0.2">
      <c r="A123" s="4">
        <v>44136</v>
      </c>
      <c r="B123" s="3">
        <v>42.3</v>
      </c>
    </row>
    <row r="124" spans="1:2" x14ac:dyDescent="0.2">
      <c r="A124" s="4">
        <v>44166</v>
      </c>
      <c r="B124" s="3">
        <v>46.9</v>
      </c>
    </row>
    <row r="125" spans="1:2" x14ac:dyDescent="0.2">
      <c r="A125" s="4">
        <v>44197</v>
      </c>
      <c r="B125" s="3">
        <v>50</v>
      </c>
    </row>
    <row r="126" spans="1:2" x14ac:dyDescent="0.2">
      <c r="A126" s="4">
        <v>44228</v>
      </c>
      <c r="B126" s="3">
        <v>49.4</v>
      </c>
    </row>
    <row r="127" spans="1:2" x14ac:dyDescent="0.2">
      <c r="A127" s="4">
        <v>44256</v>
      </c>
      <c r="B127" s="3">
        <v>51.8</v>
      </c>
    </row>
    <row r="128" spans="1:2" x14ac:dyDescent="0.2">
      <c r="A128" s="4">
        <v>44287</v>
      </c>
      <c r="B128" s="3">
        <v>54.4</v>
      </c>
    </row>
    <row r="129" spans="1:2" x14ac:dyDescent="0.2">
      <c r="A129" s="4">
        <v>44317</v>
      </c>
      <c r="B129" s="3">
        <v>58</v>
      </c>
    </row>
    <row r="130" spans="1:2" x14ac:dyDescent="0.2">
      <c r="A130" s="4">
        <v>44348</v>
      </c>
      <c r="B130" s="3">
        <v>58.6</v>
      </c>
    </row>
    <row r="131" spans="1:2" x14ac:dyDescent="0.2">
      <c r="A131" s="4">
        <v>44378</v>
      </c>
      <c r="B131" s="3">
        <v>57.4</v>
      </c>
    </row>
    <row r="132" spans="1:2" x14ac:dyDescent="0.2">
      <c r="A132" s="4">
        <v>44409</v>
      </c>
      <c r="B132" s="3">
        <v>59.3</v>
      </c>
    </row>
    <row r="133" spans="1:2" x14ac:dyDescent="0.2">
      <c r="A133" s="4">
        <v>44440</v>
      </c>
      <c r="B133" s="3">
        <v>58.4</v>
      </c>
    </row>
    <row r="134" spans="1:2" x14ac:dyDescent="0.2">
      <c r="A134" s="4">
        <v>44470</v>
      </c>
      <c r="B134" s="3">
        <v>58.9</v>
      </c>
    </row>
    <row r="135" spans="1:2" x14ac:dyDescent="0.2">
      <c r="A135" s="4">
        <v>44501</v>
      </c>
      <c r="B135" s="3">
        <v>58.8</v>
      </c>
    </row>
    <row r="136" spans="1:2" x14ac:dyDescent="0.2">
      <c r="A136" s="4">
        <v>44531</v>
      </c>
      <c r="B136" s="3">
        <v>59</v>
      </c>
    </row>
  </sheetData>
  <conditionalFormatting sqref="B2:B136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3A589-BC11-442A-BB87-C06BC00C7DAC}">
  <dimension ref="A1:B136"/>
  <sheetViews>
    <sheetView zoomScale="160" zoomScaleNormal="160" workbookViewId="0">
      <pane ySplit="1" topLeftCell="A2" activePane="bottomLeft" state="frozen"/>
      <selection pane="bottomLeft" activeCell="X129" sqref="X129"/>
    </sheetView>
  </sheetViews>
  <sheetFormatPr baseColWidth="10" defaultColWidth="9.1640625" defaultRowHeight="15" x14ac:dyDescent="0.2"/>
  <cols>
    <col min="1" max="1" width="13.5" style="2" customWidth="1"/>
    <col min="2" max="2" width="11.33203125" style="2" customWidth="1"/>
    <col min="3" max="16384" width="9.1640625" style="2"/>
  </cols>
  <sheetData>
    <row r="1" spans="1:2" ht="16" thickBot="1" x14ac:dyDescent="0.25">
      <c r="A1" s="11" t="s">
        <v>0</v>
      </c>
      <c r="B1" s="12" t="s">
        <v>12</v>
      </c>
    </row>
    <row r="2" spans="1:2" x14ac:dyDescent="0.2">
      <c r="A2" s="8">
        <v>40452</v>
      </c>
      <c r="B2" s="9">
        <v>50.9</v>
      </c>
    </row>
    <row r="3" spans="1:2" x14ac:dyDescent="0.2">
      <c r="A3" s="4">
        <v>40483</v>
      </c>
      <c r="B3" s="3">
        <v>51.2</v>
      </c>
    </row>
    <row r="4" spans="1:2" x14ac:dyDescent="0.2">
      <c r="A4" s="4">
        <v>40513</v>
      </c>
      <c r="B4" s="3">
        <v>52.2</v>
      </c>
    </row>
    <row r="5" spans="1:2" x14ac:dyDescent="0.2">
      <c r="A5" s="4">
        <v>40544</v>
      </c>
      <c r="B5" s="3">
        <v>55.8</v>
      </c>
    </row>
    <row r="6" spans="1:2" x14ac:dyDescent="0.2">
      <c r="A6" s="4">
        <v>40575</v>
      </c>
      <c r="B6" s="3">
        <v>56.7</v>
      </c>
    </row>
    <row r="7" spans="1:2" x14ac:dyDescent="0.2">
      <c r="A7" s="4">
        <v>40603</v>
      </c>
      <c r="B7" s="3">
        <v>55.7</v>
      </c>
    </row>
    <row r="8" spans="1:2" x14ac:dyDescent="0.2">
      <c r="A8" s="4">
        <v>40634</v>
      </c>
      <c r="B8" s="3">
        <v>56</v>
      </c>
    </row>
    <row r="9" spans="1:2" x14ac:dyDescent="0.2">
      <c r="A9" s="4">
        <v>40664</v>
      </c>
      <c r="B9" s="3">
        <v>51.8</v>
      </c>
    </row>
    <row r="10" spans="1:2" x14ac:dyDescent="0.2">
      <c r="A10" s="4">
        <v>40695</v>
      </c>
      <c r="B10" s="3">
        <v>49.8</v>
      </c>
    </row>
    <row r="11" spans="1:2" x14ac:dyDescent="0.2">
      <c r="A11" s="4">
        <v>40725</v>
      </c>
      <c r="B11" s="3">
        <v>48.2</v>
      </c>
    </row>
    <row r="12" spans="1:2" x14ac:dyDescent="0.2">
      <c r="A12" s="4">
        <v>40756</v>
      </c>
      <c r="B12" s="3">
        <v>49.7</v>
      </c>
    </row>
    <row r="13" spans="1:2" x14ac:dyDescent="0.2">
      <c r="A13" s="4">
        <v>40787</v>
      </c>
      <c r="B13" s="3">
        <v>47.3</v>
      </c>
    </row>
    <row r="14" spans="1:2" x14ac:dyDescent="0.2">
      <c r="A14" s="4">
        <v>40817</v>
      </c>
      <c r="B14" s="3">
        <v>50.1</v>
      </c>
    </row>
    <row r="15" spans="1:2" x14ac:dyDescent="0.2">
      <c r="A15" s="4">
        <v>40848</v>
      </c>
      <c r="B15" s="3">
        <v>48.5</v>
      </c>
    </row>
    <row r="16" spans="1:2" x14ac:dyDescent="0.2">
      <c r="A16" s="4">
        <v>40878</v>
      </c>
      <c r="B16" s="3">
        <v>49.8</v>
      </c>
    </row>
    <row r="17" spans="1:2" x14ac:dyDescent="0.2">
      <c r="A17" s="4">
        <v>40909</v>
      </c>
      <c r="B17" s="3">
        <v>49.3</v>
      </c>
    </row>
    <row r="18" spans="1:2" x14ac:dyDescent="0.2">
      <c r="A18" s="4">
        <v>40940</v>
      </c>
      <c r="B18" s="3">
        <v>49.7</v>
      </c>
    </row>
    <row r="19" spans="1:2" x14ac:dyDescent="0.2">
      <c r="A19" s="4">
        <v>40969</v>
      </c>
      <c r="B19" s="3">
        <v>51.5</v>
      </c>
    </row>
    <row r="20" spans="1:2" x14ac:dyDescent="0.2">
      <c r="A20" s="4">
        <v>41000</v>
      </c>
      <c r="B20" s="3">
        <v>50.1</v>
      </c>
    </row>
    <row r="21" spans="1:2" x14ac:dyDescent="0.2">
      <c r="A21" s="4">
        <v>41030</v>
      </c>
      <c r="B21" s="3">
        <v>51.2</v>
      </c>
    </row>
    <row r="22" spans="1:2" x14ac:dyDescent="0.2">
      <c r="A22" s="4">
        <v>41061</v>
      </c>
      <c r="B22" s="3">
        <v>53.1</v>
      </c>
    </row>
    <row r="23" spans="1:2" x14ac:dyDescent="0.2">
      <c r="A23" s="4">
        <v>41091</v>
      </c>
      <c r="B23" s="3">
        <v>53.9</v>
      </c>
    </row>
    <row r="24" spans="1:2" x14ac:dyDescent="0.2">
      <c r="A24" s="4">
        <v>41122</v>
      </c>
      <c r="B24" s="3">
        <v>50.9</v>
      </c>
    </row>
    <row r="25" spans="1:2" x14ac:dyDescent="0.2">
      <c r="A25" s="4">
        <v>41153</v>
      </c>
      <c r="B25" s="3">
        <v>51.8</v>
      </c>
    </row>
    <row r="26" spans="1:2" x14ac:dyDescent="0.2">
      <c r="A26" s="4">
        <v>41183</v>
      </c>
      <c r="B26" s="3">
        <v>52.1</v>
      </c>
    </row>
    <row r="27" spans="1:2" x14ac:dyDescent="0.2">
      <c r="A27" s="4">
        <v>41214</v>
      </c>
      <c r="B27" s="3">
        <v>52.4</v>
      </c>
    </row>
    <row r="28" spans="1:2" x14ac:dyDescent="0.2">
      <c r="A28" s="4">
        <v>41244</v>
      </c>
      <c r="B28" s="3">
        <v>51.4</v>
      </c>
    </row>
    <row r="29" spans="1:2" x14ac:dyDescent="0.2">
      <c r="A29" s="4">
        <v>41275</v>
      </c>
      <c r="B29" s="3">
        <v>50.3</v>
      </c>
    </row>
    <row r="30" spans="1:2" x14ac:dyDescent="0.2">
      <c r="A30" s="4">
        <v>41306</v>
      </c>
      <c r="B30" s="3">
        <v>51.5</v>
      </c>
    </row>
    <row r="31" spans="1:2" x14ac:dyDescent="0.2">
      <c r="A31" s="4">
        <v>41334</v>
      </c>
      <c r="B31" s="3">
        <v>48.6</v>
      </c>
    </row>
    <row r="32" spans="1:2" x14ac:dyDescent="0.2">
      <c r="A32" s="4">
        <v>41365</v>
      </c>
      <c r="B32" s="3">
        <v>48</v>
      </c>
    </row>
    <row r="33" spans="1:2" x14ac:dyDescent="0.2">
      <c r="A33" s="4">
        <v>41395</v>
      </c>
      <c r="B33" s="3">
        <v>49.7</v>
      </c>
    </row>
    <row r="34" spans="1:2" x14ac:dyDescent="0.2">
      <c r="A34" s="4">
        <v>41426</v>
      </c>
      <c r="B34" s="3">
        <v>50.3</v>
      </c>
    </row>
    <row r="35" spans="1:2" x14ac:dyDescent="0.2">
      <c r="A35" s="4">
        <v>41456</v>
      </c>
      <c r="B35" s="3">
        <v>51</v>
      </c>
    </row>
    <row r="36" spans="1:2" x14ac:dyDescent="0.2">
      <c r="A36" s="4">
        <v>41487</v>
      </c>
      <c r="B36" s="3">
        <v>52</v>
      </c>
    </row>
    <row r="37" spans="1:2" x14ac:dyDescent="0.2">
      <c r="A37" s="4">
        <v>41518</v>
      </c>
      <c r="B37" s="3">
        <v>52.7</v>
      </c>
    </row>
    <row r="38" spans="1:2" x14ac:dyDescent="0.2">
      <c r="A38" s="4">
        <v>41548</v>
      </c>
      <c r="B38" s="3">
        <v>54.9</v>
      </c>
    </row>
    <row r="39" spans="1:2" x14ac:dyDescent="0.2">
      <c r="A39" s="4">
        <v>41579</v>
      </c>
      <c r="B39" s="3">
        <v>52.4</v>
      </c>
    </row>
    <row r="40" spans="1:2" x14ac:dyDescent="0.2">
      <c r="A40" s="4">
        <v>41609</v>
      </c>
      <c r="B40" s="3">
        <v>53.5</v>
      </c>
    </row>
    <row r="41" spans="1:2" x14ac:dyDescent="0.2">
      <c r="A41" s="4">
        <v>41640</v>
      </c>
      <c r="B41" s="3">
        <v>52.8</v>
      </c>
    </row>
    <row r="42" spans="1:2" x14ac:dyDescent="0.2">
      <c r="A42" s="4">
        <v>41671</v>
      </c>
      <c r="B42" s="3">
        <v>52.9</v>
      </c>
    </row>
    <row r="43" spans="1:2" x14ac:dyDescent="0.2">
      <c r="A43" s="4">
        <v>41699</v>
      </c>
      <c r="B43" s="3">
        <v>55.5</v>
      </c>
    </row>
    <row r="44" spans="1:2" x14ac:dyDescent="0.2">
      <c r="A44" s="4">
        <v>41730</v>
      </c>
      <c r="B44" s="3">
        <v>56.1</v>
      </c>
    </row>
    <row r="45" spans="1:2" x14ac:dyDescent="0.2">
      <c r="A45" s="4">
        <v>41760</v>
      </c>
      <c r="B45" s="3">
        <v>55</v>
      </c>
    </row>
    <row r="46" spans="1:2" x14ac:dyDescent="0.2">
      <c r="A46" s="4">
        <v>41791</v>
      </c>
      <c r="B46" s="3">
        <v>55.3</v>
      </c>
    </row>
    <row r="47" spans="1:2" x14ac:dyDescent="0.2">
      <c r="A47" s="4">
        <v>41821</v>
      </c>
      <c r="B47" s="3">
        <v>55.4</v>
      </c>
    </row>
    <row r="48" spans="1:2" x14ac:dyDescent="0.2">
      <c r="A48" s="4">
        <v>41852</v>
      </c>
      <c r="B48" s="3">
        <v>57.3</v>
      </c>
    </row>
    <row r="49" spans="1:2" x14ac:dyDescent="0.2">
      <c r="A49" s="4">
        <v>41883</v>
      </c>
      <c r="B49" s="3">
        <v>55.7</v>
      </c>
    </row>
    <row r="50" spans="1:2" x14ac:dyDescent="0.2">
      <c r="A50" s="4">
        <v>41913</v>
      </c>
      <c r="B50" s="3">
        <v>56.6</v>
      </c>
    </row>
    <row r="51" spans="1:2" x14ac:dyDescent="0.2">
      <c r="A51" s="4">
        <v>41944</v>
      </c>
      <c r="B51" s="3">
        <v>56.2</v>
      </c>
    </row>
    <row r="52" spans="1:2" x14ac:dyDescent="0.2">
      <c r="A52" s="4">
        <v>41974</v>
      </c>
      <c r="B52" s="3">
        <v>56.9</v>
      </c>
    </row>
    <row r="53" spans="1:2" x14ac:dyDescent="0.2">
      <c r="A53" s="4">
        <v>42005</v>
      </c>
      <c r="B53" s="3">
        <v>55.1</v>
      </c>
    </row>
    <row r="54" spans="1:2" x14ac:dyDescent="0.2">
      <c r="A54" s="4">
        <v>42036</v>
      </c>
      <c r="B54" s="3">
        <v>57.5</v>
      </c>
    </row>
    <row r="55" spans="1:2" x14ac:dyDescent="0.2">
      <c r="A55" s="4">
        <v>42064</v>
      </c>
      <c r="B55" s="3">
        <v>56.8</v>
      </c>
    </row>
    <row r="56" spans="1:2" x14ac:dyDescent="0.2">
      <c r="A56" s="4">
        <v>42095</v>
      </c>
      <c r="B56" s="3">
        <v>55.8</v>
      </c>
    </row>
    <row r="57" spans="1:2" x14ac:dyDescent="0.2">
      <c r="A57" s="4">
        <v>42125</v>
      </c>
      <c r="B57" s="3">
        <v>57.1</v>
      </c>
    </row>
    <row r="58" spans="1:2" x14ac:dyDescent="0.2">
      <c r="A58" s="4">
        <v>42156</v>
      </c>
      <c r="B58" s="3">
        <v>54.6</v>
      </c>
    </row>
    <row r="59" spans="1:2" x14ac:dyDescent="0.2">
      <c r="A59" s="4">
        <v>42186</v>
      </c>
      <c r="B59" s="3">
        <v>56.7</v>
      </c>
    </row>
    <row r="60" spans="1:2" x14ac:dyDescent="0.2">
      <c r="A60" s="4">
        <v>42217</v>
      </c>
      <c r="B60" s="3">
        <v>53.6</v>
      </c>
    </row>
    <row r="61" spans="1:2" x14ac:dyDescent="0.2">
      <c r="A61" s="4">
        <v>42248</v>
      </c>
      <c r="B61" s="3">
        <v>53.8</v>
      </c>
    </row>
    <row r="62" spans="1:2" x14ac:dyDescent="0.2">
      <c r="A62" s="4">
        <v>42278</v>
      </c>
      <c r="B62" s="3">
        <v>53.6</v>
      </c>
    </row>
    <row r="63" spans="1:2" x14ac:dyDescent="0.2">
      <c r="A63" s="4">
        <v>42309</v>
      </c>
      <c r="B63" s="3">
        <v>53.3</v>
      </c>
    </row>
    <row r="64" spans="1:2" x14ac:dyDescent="0.2">
      <c r="A64" s="4">
        <v>42339</v>
      </c>
      <c r="B64" s="3">
        <v>54.2</v>
      </c>
    </row>
    <row r="65" spans="1:2" x14ac:dyDescent="0.2">
      <c r="A65" s="4">
        <v>42370</v>
      </c>
      <c r="B65" s="3">
        <v>54.3</v>
      </c>
    </row>
    <row r="66" spans="1:2" x14ac:dyDescent="0.2">
      <c r="A66" s="4">
        <v>42401</v>
      </c>
      <c r="B66" s="3">
        <v>52.9</v>
      </c>
    </row>
    <row r="67" spans="1:2" x14ac:dyDescent="0.2">
      <c r="A67" s="4">
        <v>42430</v>
      </c>
      <c r="B67" s="3">
        <v>54.9</v>
      </c>
    </row>
    <row r="68" spans="1:2" x14ac:dyDescent="0.2">
      <c r="A68" s="4">
        <v>42461</v>
      </c>
      <c r="B68" s="3">
        <v>52.6</v>
      </c>
    </row>
    <row r="69" spans="1:2" x14ac:dyDescent="0.2">
      <c r="A69" s="4">
        <v>42491</v>
      </c>
      <c r="B69" s="3">
        <v>51.5</v>
      </c>
    </row>
    <row r="70" spans="1:2" x14ac:dyDescent="0.2">
      <c r="A70" s="4">
        <v>42522</v>
      </c>
      <c r="B70" s="3">
        <v>53</v>
      </c>
    </row>
    <row r="71" spans="1:2" x14ac:dyDescent="0.2">
      <c r="A71" s="4">
        <v>42552</v>
      </c>
      <c r="B71" s="3">
        <v>50.2</v>
      </c>
    </row>
    <row r="72" spans="1:2" x14ac:dyDescent="0.2">
      <c r="A72" s="4">
        <v>42583</v>
      </c>
      <c r="B72" s="3">
        <v>51.7</v>
      </c>
    </row>
    <row r="73" spans="1:2" x14ac:dyDescent="0.2">
      <c r="A73" s="4">
        <v>42614</v>
      </c>
      <c r="B73" s="3">
        <v>51.3</v>
      </c>
    </row>
    <row r="74" spans="1:2" x14ac:dyDescent="0.2">
      <c r="A74" s="4">
        <v>42644</v>
      </c>
      <c r="B74" s="3">
        <v>52.1</v>
      </c>
    </row>
    <row r="75" spans="1:2" x14ac:dyDescent="0.2">
      <c r="A75" s="4">
        <v>42675</v>
      </c>
      <c r="B75" s="3">
        <v>53.7</v>
      </c>
    </row>
    <row r="76" spans="1:2" x14ac:dyDescent="0.2">
      <c r="A76" s="4">
        <v>42705</v>
      </c>
      <c r="B76" s="3">
        <v>55.7</v>
      </c>
    </row>
    <row r="77" spans="1:2" x14ac:dyDescent="0.2">
      <c r="A77" s="4">
        <v>42736</v>
      </c>
      <c r="B77" s="3">
        <v>55.5</v>
      </c>
    </row>
    <row r="78" spans="1:2" x14ac:dyDescent="0.2">
      <c r="A78" s="4">
        <v>42767</v>
      </c>
      <c r="B78" s="3">
        <v>53.8</v>
      </c>
    </row>
    <row r="79" spans="1:2" x14ac:dyDescent="0.2">
      <c r="A79" s="4">
        <v>42795</v>
      </c>
      <c r="B79" s="3">
        <v>53.6</v>
      </c>
    </row>
    <row r="80" spans="1:2" x14ac:dyDescent="0.2">
      <c r="A80" s="4">
        <v>42826</v>
      </c>
      <c r="B80" s="3">
        <v>55</v>
      </c>
    </row>
    <row r="81" spans="1:2" x14ac:dyDescent="0.2">
      <c r="A81" s="4">
        <v>42856</v>
      </c>
      <c r="B81" s="3">
        <v>55.9</v>
      </c>
    </row>
    <row r="82" spans="1:2" x14ac:dyDescent="0.2">
      <c r="A82" s="4">
        <v>42887</v>
      </c>
      <c r="B82" s="3">
        <v>56</v>
      </c>
    </row>
    <row r="83" spans="1:2" x14ac:dyDescent="0.2">
      <c r="A83" s="4">
        <v>42917</v>
      </c>
      <c r="B83" s="3">
        <v>54.6</v>
      </c>
    </row>
    <row r="84" spans="1:2" x14ac:dyDescent="0.2">
      <c r="A84" s="4">
        <v>42948</v>
      </c>
      <c r="B84" s="3">
        <v>56.1</v>
      </c>
    </row>
    <row r="85" spans="1:2" x14ac:dyDescent="0.2">
      <c r="A85" s="4">
        <v>42979</v>
      </c>
      <c r="B85" s="3">
        <v>55.4</v>
      </c>
    </row>
    <row r="86" spans="1:2" x14ac:dyDescent="0.2">
      <c r="A86" s="4">
        <v>43009</v>
      </c>
      <c r="B86" s="3">
        <v>54.4</v>
      </c>
    </row>
    <row r="87" spans="1:2" x14ac:dyDescent="0.2">
      <c r="A87" s="4">
        <v>43040</v>
      </c>
      <c r="B87" s="3">
        <v>58.1</v>
      </c>
    </row>
    <row r="88" spans="1:2" x14ac:dyDescent="0.2">
      <c r="A88" s="4">
        <v>43070</v>
      </c>
      <c r="B88" s="3">
        <v>59.1</v>
      </c>
    </row>
    <row r="89" spans="1:2" x14ac:dyDescent="0.2">
      <c r="A89" s="4">
        <v>43101</v>
      </c>
      <c r="B89" s="3">
        <v>57.6</v>
      </c>
    </row>
    <row r="90" spans="1:2" x14ac:dyDescent="0.2">
      <c r="A90" s="4">
        <v>43132</v>
      </c>
      <c r="B90" s="3">
        <v>56.2</v>
      </c>
    </row>
    <row r="91" spans="1:2" x14ac:dyDescent="0.2">
      <c r="A91" s="4">
        <v>43160</v>
      </c>
      <c r="B91" s="3">
        <v>54.1</v>
      </c>
    </row>
    <row r="92" spans="1:2" x14ac:dyDescent="0.2">
      <c r="A92" s="4">
        <v>43191</v>
      </c>
      <c r="B92" s="3">
        <v>55.3</v>
      </c>
    </row>
    <row r="93" spans="1:2" x14ac:dyDescent="0.2">
      <c r="A93" s="4">
        <v>43221</v>
      </c>
      <c r="B93" s="3">
        <v>55.4</v>
      </c>
    </row>
    <row r="94" spans="1:2" x14ac:dyDescent="0.2">
      <c r="A94" s="4">
        <v>43252</v>
      </c>
      <c r="B94" s="3">
        <v>56.6</v>
      </c>
    </row>
    <row r="95" spans="1:2" x14ac:dyDescent="0.2">
      <c r="A95" s="4">
        <v>43282</v>
      </c>
      <c r="B95" s="3">
        <v>56.3</v>
      </c>
    </row>
    <row r="96" spans="1:2" x14ac:dyDescent="0.2">
      <c r="A96" s="4">
        <v>43313</v>
      </c>
      <c r="B96" s="3">
        <v>57.5</v>
      </c>
    </row>
    <row r="97" spans="1:2" x14ac:dyDescent="0.2">
      <c r="A97" s="4">
        <v>43344</v>
      </c>
      <c r="B97" s="3">
        <v>56.3</v>
      </c>
    </row>
    <row r="98" spans="1:2" x14ac:dyDescent="0.2">
      <c r="A98" s="4">
        <v>43374</v>
      </c>
      <c r="B98" s="3">
        <v>54.9</v>
      </c>
    </row>
    <row r="99" spans="1:2" x14ac:dyDescent="0.2">
      <c r="A99" s="4">
        <v>43405</v>
      </c>
      <c r="B99" s="3">
        <v>55.4</v>
      </c>
    </row>
    <row r="100" spans="1:2" x14ac:dyDescent="0.2">
      <c r="A100" s="4">
        <v>43435</v>
      </c>
      <c r="B100" s="3">
        <v>54.5</v>
      </c>
    </row>
    <row r="101" spans="1:2" x14ac:dyDescent="0.2">
      <c r="A101" s="4">
        <v>43466</v>
      </c>
      <c r="B101" s="3">
        <v>52.6</v>
      </c>
    </row>
    <row r="102" spans="1:2" x14ac:dyDescent="0.2">
      <c r="A102" s="4">
        <v>43497</v>
      </c>
      <c r="B102" s="3">
        <v>54</v>
      </c>
    </row>
    <row r="103" spans="1:2" x14ac:dyDescent="0.2">
      <c r="A103" s="4">
        <v>43525</v>
      </c>
      <c r="B103" s="3">
        <v>53.9</v>
      </c>
    </row>
    <row r="104" spans="1:2" x14ac:dyDescent="0.2">
      <c r="A104" s="4">
        <v>43556</v>
      </c>
      <c r="B104" s="3">
        <v>52.5</v>
      </c>
    </row>
    <row r="105" spans="1:2" x14ac:dyDescent="0.2">
      <c r="A105" s="4">
        <v>43586</v>
      </c>
      <c r="B105" s="3">
        <v>50.4</v>
      </c>
    </row>
    <row r="106" spans="1:2" x14ac:dyDescent="0.2">
      <c r="A106" s="4">
        <v>43617</v>
      </c>
      <c r="B106" s="3">
        <v>49.8</v>
      </c>
    </row>
    <row r="107" spans="1:2" x14ac:dyDescent="0.2">
      <c r="A107" s="4">
        <v>43647</v>
      </c>
      <c r="B107" s="3">
        <v>48.7</v>
      </c>
    </row>
    <row r="108" spans="1:2" x14ac:dyDescent="0.2">
      <c r="A108" s="4">
        <v>43678</v>
      </c>
      <c r="B108" s="3">
        <v>48.6</v>
      </c>
    </row>
    <row r="109" spans="1:2" x14ac:dyDescent="0.2">
      <c r="A109" s="4">
        <v>43709</v>
      </c>
      <c r="B109" s="3">
        <v>48.7</v>
      </c>
    </row>
    <row r="110" spans="1:2" x14ac:dyDescent="0.2">
      <c r="A110" s="4">
        <v>43739</v>
      </c>
      <c r="B110" s="3">
        <v>50.7</v>
      </c>
    </row>
    <row r="111" spans="1:2" x14ac:dyDescent="0.2">
      <c r="A111" s="4">
        <v>43770</v>
      </c>
      <c r="B111" s="3">
        <v>49.7</v>
      </c>
    </row>
    <row r="112" spans="1:2" x14ac:dyDescent="0.2">
      <c r="A112" s="4">
        <v>43800</v>
      </c>
      <c r="B112" s="3">
        <v>49.5</v>
      </c>
    </row>
    <row r="113" spans="1:2" x14ac:dyDescent="0.2">
      <c r="A113" s="4">
        <v>43831</v>
      </c>
      <c r="B113" s="3">
        <v>51.4</v>
      </c>
    </row>
    <row r="114" spans="1:2" x14ac:dyDescent="0.2">
      <c r="A114" s="4">
        <v>43862</v>
      </c>
      <c r="B114" s="3">
        <v>51.2</v>
      </c>
    </row>
    <row r="115" spans="1:2" x14ac:dyDescent="0.2">
      <c r="A115" s="4">
        <v>43891</v>
      </c>
      <c r="B115" s="3">
        <v>45.1</v>
      </c>
    </row>
    <row r="116" spans="1:2" x14ac:dyDescent="0.2">
      <c r="A116" s="4">
        <v>43922</v>
      </c>
      <c r="B116" s="3">
        <v>36</v>
      </c>
    </row>
    <row r="117" spans="1:2" x14ac:dyDescent="0.2">
      <c r="A117" s="4">
        <v>43952</v>
      </c>
      <c r="B117" s="3">
        <v>39.200000000000003</v>
      </c>
    </row>
    <row r="118" spans="1:2" x14ac:dyDescent="0.2">
      <c r="A118" s="4">
        <v>43983</v>
      </c>
      <c r="B118" s="3">
        <v>51</v>
      </c>
    </row>
    <row r="119" spans="1:2" x14ac:dyDescent="0.2">
      <c r="A119" s="4">
        <v>44013</v>
      </c>
      <c r="B119" s="3">
        <v>57.3</v>
      </c>
    </row>
    <row r="120" spans="1:2" x14ac:dyDescent="0.2">
      <c r="A120" s="4">
        <v>44044</v>
      </c>
      <c r="B120" s="3">
        <v>52.3</v>
      </c>
    </row>
    <row r="121" spans="1:2" x14ac:dyDescent="0.2">
      <c r="A121" s="4">
        <v>44075</v>
      </c>
      <c r="B121" s="3">
        <v>50</v>
      </c>
    </row>
    <row r="122" spans="1:2" x14ac:dyDescent="0.2">
      <c r="A122" s="4">
        <v>44105</v>
      </c>
      <c r="B122" s="3">
        <v>50.3</v>
      </c>
    </row>
    <row r="123" spans="1:2" x14ac:dyDescent="0.2">
      <c r="A123" s="4">
        <v>44136</v>
      </c>
      <c r="B123" s="3">
        <v>52.2</v>
      </c>
    </row>
    <row r="124" spans="1:2" x14ac:dyDescent="0.2">
      <c r="A124" s="4">
        <v>44166</v>
      </c>
      <c r="B124" s="3">
        <v>57.2</v>
      </c>
    </row>
    <row r="125" spans="1:2" x14ac:dyDescent="0.2">
      <c r="A125" s="4">
        <v>44197</v>
      </c>
      <c r="B125" s="3">
        <v>51.8</v>
      </c>
    </row>
    <row r="126" spans="1:2" x14ac:dyDescent="0.2">
      <c r="A126" s="4">
        <v>44228</v>
      </c>
      <c r="B126" s="3">
        <v>52</v>
      </c>
    </row>
    <row r="127" spans="1:2" x14ac:dyDescent="0.2">
      <c r="A127" s="4">
        <v>44256</v>
      </c>
      <c r="B127" s="3">
        <v>57.1</v>
      </c>
    </row>
    <row r="128" spans="1:2" x14ac:dyDescent="0.2">
      <c r="A128" s="4">
        <v>44287</v>
      </c>
      <c r="B128" s="3">
        <v>60.8</v>
      </c>
    </row>
    <row r="129" spans="1:2" x14ac:dyDescent="0.2">
      <c r="A129" s="4">
        <v>44317</v>
      </c>
      <c r="B129" s="3">
        <v>64.099999999999994</v>
      </c>
    </row>
    <row r="130" spans="1:2" x14ac:dyDescent="0.2">
      <c r="A130" s="4">
        <v>44348</v>
      </c>
      <c r="B130" s="3">
        <v>64</v>
      </c>
    </row>
    <row r="131" spans="1:2" x14ac:dyDescent="0.2">
      <c r="A131" s="4">
        <v>44378</v>
      </c>
      <c r="B131" s="3">
        <v>63.3</v>
      </c>
    </row>
    <row r="132" spans="1:2" x14ac:dyDescent="0.2">
      <c r="A132" s="4">
        <v>44409</v>
      </c>
      <c r="B132" s="3">
        <v>62.8</v>
      </c>
    </row>
    <row r="133" spans="1:2" x14ac:dyDescent="0.2">
      <c r="A133" s="4">
        <v>44440</v>
      </c>
      <c r="B133" s="3">
        <v>60.3</v>
      </c>
    </row>
    <row r="134" spans="1:2" x14ac:dyDescent="0.2">
      <c r="A134" s="4">
        <v>44470</v>
      </c>
      <c r="B134" s="3">
        <v>62.1</v>
      </c>
    </row>
    <row r="135" spans="1:2" x14ac:dyDescent="0.2">
      <c r="A135" s="4">
        <v>44501</v>
      </c>
      <c r="B135" s="3">
        <v>59.9</v>
      </c>
    </row>
    <row r="136" spans="1:2" x14ac:dyDescent="0.2">
      <c r="A136" s="4">
        <v>44531</v>
      </c>
      <c r="B136" s="3">
        <v>58.3</v>
      </c>
    </row>
  </sheetData>
  <conditionalFormatting sqref="B2:B13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AF0DE-8AF0-4D0E-B6E2-5D0411E59046}">
  <dimension ref="A1:B136"/>
  <sheetViews>
    <sheetView zoomScale="160" zoomScaleNormal="160" workbookViewId="0">
      <pane ySplit="1" topLeftCell="A2" activePane="bottomLeft" state="frozen"/>
      <selection pane="bottomLeft" activeCell="V129" sqref="V129"/>
    </sheetView>
  </sheetViews>
  <sheetFormatPr baseColWidth="10" defaultColWidth="9.1640625" defaultRowHeight="15" x14ac:dyDescent="0.2"/>
  <cols>
    <col min="1" max="1" width="13.5" style="2" customWidth="1"/>
    <col min="2" max="2" width="11.33203125" style="2" customWidth="1"/>
    <col min="3" max="16384" width="9.1640625" style="2"/>
  </cols>
  <sheetData>
    <row r="1" spans="1:2" ht="16" thickBot="1" x14ac:dyDescent="0.25">
      <c r="A1" s="11" t="s">
        <v>0</v>
      </c>
      <c r="B1" s="12" t="s">
        <v>24</v>
      </c>
    </row>
    <row r="2" spans="1:2" x14ac:dyDescent="0.2">
      <c r="A2" s="8">
        <v>40452</v>
      </c>
      <c r="B2" s="9" t="s">
        <v>31</v>
      </c>
    </row>
    <row r="3" spans="1:2" x14ac:dyDescent="0.2">
      <c r="A3" s="4">
        <v>40483</v>
      </c>
      <c r="B3" s="3">
        <v>56.4</v>
      </c>
    </row>
    <row r="4" spans="1:2" x14ac:dyDescent="0.2">
      <c r="A4" s="4">
        <v>40513</v>
      </c>
      <c r="B4" s="3">
        <v>56.4</v>
      </c>
    </row>
    <row r="5" spans="1:2" x14ac:dyDescent="0.2">
      <c r="A5" s="4">
        <v>40544</v>
      </c>
      <c r="B5" s="3">
        <v>57.2</v>
      </c>
    </row>
    <row r="6" spans="1:2" x14ac:dyDescent="0.2">
      <c r="A6" s="4">
        <v>40575</v>
      </c>
      <c r="B6" s="3">
        <v>58.5</v>
      </c>
    </row>
    <row r="7" spans="1:2" x14ac:dyDescent="0.2">
      <c r="A7" s="4">
        <v>40603</v>
      </c>
      <c r="B7" s="3">
        <v>56.1</v>
      </c>
    </row>
    <row r="8" spans="1:2" x14ac:dyDescent="0.2">
      <c r="A8" s="4">
        <v>40634</v>
      </c>
      <c r="B8" s="3">
        <v>52.7</v>
      </c>
    </row>
    <row r="9" spans="1:2" x14ac:dyDescent="0.2">
      <c r="A9" s="4">
        <v>40664</v>
      </c>
      <c r="B9" s="3">
        <v>50.6</v>
      </c>
    </row>
    <row r="10" spans="1:2" x14ac:dyDescent="0.2">
      <c r="A10" s="4">
        <v>40695</v>
      </c>
      <c r="B10" s="3">
        <v>52.3</v>
      </c>
    </row>
    <row r="11" spans="1:2" x14ac:dyDescent="0.2">
      <c r="A11" s="4">
        <v>40725</v>
      </c>
      <c r="B11" s="3">
        <v>52.3</v>
      </c>
    </row>
    <row r="12" spans="1:2" x14ac:dyDescent="0.2">
      <c r="A12" s="4">
        <v>40756</v>
      </c>
      <c r="B12" s="3">
        <v>49.8</v>
      </c>
    </row>
    <row r="13" spans="1:2" x14ac:dyDescent="0.2">
      <c r="A13" s="4">
        <v>40787</v>
      </c>
      <c r="B13" s="3">
        <v>51.5</v>
      </c>
    </row>
    <row r="14" spans="1:2" x14ac:dyDescent="0.2">
      <c r="A14" s="4">
        <v>40817</v>
      </c>
      <c r="B14" s="3">
        <v>53.3</v>
      </c>
    </row>
    <row r="15" spans="1:2" x14ac:dyDescent="0.2">
      <c r="A15" s="4">
        <v>40848</v>
      </c>
      <c r="B15" s="3">
        <v>52.3</v>
      </c>
    </row>
    <row r="16" spans="1:2" x14ac:dyDescent="0.2">
      <c r="A16" s="4">
        <v>40878</v>
      </c>
      <c r="B16" s="3">
        <v>52</v>
      </c>
    </row>
    <row r="17" spans="1:2" x14ac:dyDescent="0.2">
      <c r="A17" s="4">
        <v>40909</v>
      </c>
      <c r="B17" s="3">
        <v>51.7</v>
      </c>
    </row>
    <row r="18" spans="1:2" x14ac:dyDescent="0.2">
      <c r="A18" s="4">
        <v>40940</v>
      </c>
      <c r="B18" s="3">
        <v>49.6</v>
      </c>
    </row>
    <row r="19" spans="1:2" x14ac:dyDescent="0.2">
      <c r="A19" s="4">
        <v>40969</v>
      </c>
      <c r="B19" s="3">
        <v>49.6</v>
      </c>
    </row>
    <row r="20" spans="1:2" x14ac:dyDescent="0.2">
      <c r="A20" s="4">
        <v>41000</v>
      </c>
      <c r="B20" s="3">
        <v>52.3</v>
      </c>
    </row>
    <row r="21" spans="1:2" x14ac:dyDescent="0.2">
      <c r="A21" s="4">
        <v>41030</v>
      </c>
      <c r="B21" s="3">
        <v>50.2</v>
      </c>
    </row>
    <row r="22" spans="1:2" x14ac:dyDescent="0.2">
      <c r="A22" s="4">
        <v>41061</v>
      </c>
      <c r="B22" s="3">
        <v>51.4</v>
      </c>
    </row>
    <row r="23" spans="1:2" x14ac:dyDescent="0.2">
      <c r="A23" s="4">
        <v>41091</v>
      </c>
      <c r="B23" s="3">
        <v>49.4</v>
      </c>
    </row>
    <row r="24" spans="1:2" x14ac:dyDescent="0.2">
      <c r="A24" s="4">
        <v>41122</v>
      </c>
      <c r="B24" s="3">
        <v>50</v>
      </c>
    </row>
    <row r="25" spans="1:2" x14ac:dyDescent="0.2">
      <c r="A25" s="4">
        <v>41153</v>
      </c>
      <c r="B25" s="3">
        <v>52.2</v>
      </c>
    </row>
    <row r="26" spans="1:2" x14ac:dyDescent="0.2">
      <c r="A26" s="4">
        <v>41183</v>
      </c>
      <c r="B26" s="3">
        <v>52.5</v>
      </c>
    </row>
    <row r="27" spans="1:2" x14ac:dyDescent="0.2">
      <c r="A27" s="4">
        <v>41214</v>
      </c>
      <c r="B27" s="3">
        <v>51.6</v>
      </c>
    </row>
    <row r="28" spans="1:2" x14ac:dyDescent="0.2">
      <c r="A28" s="4">
        <v>41244</v>
      </c>
      <c r="B28" s="3">
        <v>53.1</v>
      </c>
    </row>
    <row r="29" spans="1:2" x14ac:dyDescent="0.2">
      <c r="A29" s="4">
        <v>41275</v>
      </c>
      <c r="B29" s="3">
        <v>54</v>
      </c>
    </row>
    <row r="30" spans="1:2" x14ac:dyDescent="0.2">
      <c r="A30" s="4">
        <v>41306</v>
      </c>
      <c r="B30" s="3">
        <v>53.5</v>
      </c>
    </row>
    <row r="31" spans="1:2" x14ac:dyDescent="0.2">
      <c r="A31" s="4">
        <v>41334</v>
      </c>
      <c r="B31" s="3">
        <v>52.3</v>
      </c>
    </row>
    <row r="32" spans="1:2" x14ac:dyDescent="0.2">
      <c r="A32" s="4">
        <v>41365</v>
      </c>
      <c r="B32" s="3">
        <v>51.3</v>
      </c>
    </row>
    <row r="33" spans="1:2" x14ac:dyDescent="0.2">
      <c r="A33" s="4">
        <v>41395</v>
      </c>
      <c r="B33" s="3">
        <v>51.1</v>
      </c>
    </row>
    <row r="34" spans="1:2" x14ac:dyDescent="0.2">
      <c r="A34" s="4">
        <v>41426</v>
      </c>
      <c r="B34" s="3">
        <v>51.2</v>
      </c>
    </row>
    <row r="35" spans="1:2" x14ac:dyDescent="0.2">
      <c r="A35" s="4">
        <v>41456</v>
      </c>
      <c r="B35" s="3">
        <v>49.8</v>
      </c>
    </row>
    <row r="36" spans="1:2" x14ac:dyDescent="0.2">
      <c r="A36" s="4">
        <v>41487</v>
      </c>
      <c r="B36" s="3">
        <v>50.9</v>
      </c>
    </row>
    <row r="37" spans="1:2" x14ac:dyDescent="0.2">
      <c r="A37" s="4">
        <v>41518</v>
      </c>
      <c r="B37" s="3">
        <v>54</v>
      </c>
    </row>
    <row r="38" spans="1:2" x14ac:dyDescent="0.2">
      <c r="A38" s="4">
        <v>41548</v>
      </c>
      <c r="B38" s="3">
        <v>53.3</v>
      </c>
    </row>
    <row r="39" spans="1:2" x14ac:dyDescent="0.2">
      <c r="A39" s="4">
        <v>41579</v>
      </c>
      <c r="B39" s="3">
        <v>55</v>
      </c>
    </row>
    <row r="40" spans="1:2" x14ac:dyDescent="0.2">
      <c r="A40" s="4">
        <v>41609</v>
      </c>
      <c r="B40" s="3">
        <v>53.5</v>
      </c>
    </row>
    <row r="41" spans="1:2" x14ac:dyDescent="0.2">
      <c r="A41" s="4">
        <v>41640</v>
      </c>
      <c r="B41" s="3">
        <v>52.7</v>
      </c>
    </row>
    <row r="42" spans="1:2" x14ac:dyDescent="0.2">
      <c r="A42" s="4">
        <v>41671</v>
      </c>
      <c r="B42" s="3">
        <v>53.4</v>
      </c>
    </row>
    <row r="43" spans="1:2" x14ac:dyDescent="0.2">
      <c r="A43" s="4">
        <v>41699</v>
      </c>
      <c r="B43" s="3">
        <v>51.7</v>
      </c>
    </row>
    <row r="44" spans="1:2" x14ac:dyDescent="0.2">
      <c r="A44" s="4">
        <v>41730</v>
      </c>
      <c r="B44" s="3">
        <v>51.1</v>
      </c>
    </row>
    <row r="45" spans="1:2" x14ac:dyDescent="0.2">
      <c r="A45" s="4">
        <v>41760</v>
      </c>
      <c r="B45" s="3">
        <v>50.1</v>
      </c>
    </row>
    <row r="46" spans="1:2" x14ac:dyDescent="0.2">
      <c r="A46" s="4">
        <v>41791</v>
      </c>
      <c r="B46" s="3">
        <v>48.8</v>
      </c>
    </row>
    <row r="47" spans="1:2" x14ac:dyDescent="0.2">
      <c r="A47" s="4">
        <v>41821</v>
      </c>
      <c r="B47" s="3">
        <v>48.5</v>
      </c>
    </row>
    <row r="48" spans="1:2" x14ac:dyDescent="0.2">
      <c r="A48" s="4">
        <v>41852</v>
      </c>
      <c r="B48" s="3">
        <v>50</v>
      </c>
    </row>
    <row r="49" spans="1:2" x14ac:dyDescent="0.2">
      <c r="A49" s="4">
        <v>41883</v>
      </c>
      <c r="B49" s="3">
        <v>50.4</v>
      </c>
    </row>
    <row r="50" spans="1:2" x14ac:dyDescent="0.2">
      <c r="A50" s="4">
        <v>41913</v>
      </c>
      <c r="B50" s="3">
        <v>51.5</v>
      </c>
    </row>
    <row r="51" spans="1:2" x14ac:dyDescent="0.2">
      <c r="A51" s="4">
        <v>41944</v>
      </c>
      <c r="B51" s="3">
        <v>52.2</v>
      </c>
    </row>
    <row r="52" spans="1:2" x14ac:dyDescent="0.2">
      <c r="A52" s="4">
        <v>41974</v>
      </c>
      <c r="B52" s="3">
        <v>51.4</v>
      </c>
    </row>
    <row r="53" spans="1:2" x14ac:dyDescent="0.2">
      <c r="A53" s="4">
        <v>42005</v>
      </c>
      <c r="B53" s="3">
        <v>49.8</v>
      </c>
    </row>
    <row r="54" spans="1:2" x14ac:dyDescent="0.2">
      <c r="A54" s="4">
        <v>42036</v>
      </c>
      <c r="B54" s="3">
        <v>49.6</v>
      </c>
    </row>
    <row r="55" spans="1:2" x14ac:dyDescent="0.2">
      <c r="A55" s="4">
        <v>42064</v>
      </c>
      <c r="B55" s="3">
        <v>48</v>
      </c>
    </row>
    <row r="56" spans="1:2" x14ac:dyDescent="0.2">
      <c r="A56" s="4">
        <v>42095</v>
      </c>
      <c r="B56" s="3">
        <v>48.5</v>
      </c>
    </row>
    <row r="57" spans="1:2" x14ac:dyDescent="0.2">
      <c r="A57" s="4">
        <v>42125</v>
      </c>
      <c r="B57" s="3">
        <v>50.2</v>
      </c>
    </row>
    <row r="58" spans="1:2" x14ac:dyDescent="0.2">
      <c r="A58" s="4">
        <v>42156</v>
      </c>
      <c r="B58" s="3">
        <v>49</v>
      </c>
    </row>
    <row r="59" spans="1:2" x14ac:dyDescent="0.2">
      <c r="A59" s="4">
        <v>42186</v>
      </c>
      <c r="B59" s="3">
        <v>50.1</v>
      </c>
    </row>
    <row r="60" spans="1:2" x14ac:dyDescent="0.2">
      <c r="A60" s="4">
        <v>42217</v>
      </c>
      <c r="B60" s="3">
        <v>49.3</v>
      </c>
    </row>
    <row r="61" spans="1:2" x14ac:dyDescent="0.2">
      <c r="A61" s="4">
        <v>42248</v>
      </c>
      <c r="B61" s="3">
        <v>48.8</v>
      </c>
    </row>
    <row r="62" spans="1:2" x14ac:dyDescent="0.2">
      <c r="A62" s="4">
        <v>42278</v>
      </c>
      <c r="B62" s="3">
        <v>49.5</v>
      </c>
    </row>
    <row r="63" spans="1:2" x14ac:dyDescent="0.2">
      <c r="A63" s="4">
        <v>42309</v>
      </c>
      <c r="B63" s="3">
        <v>50.9</v>
      </c>
    </row>
    <row r="64" spans="1:2" x14ac:dyDescent="0.2">
      <c r="A64" s="4">
        <v>42339</v>
      </c>
      <c r="B64" s="3">
        <v>52.2</v>
      </c>
    </row>
    <row r="65" spans="1:2" x14ac:dyDescent="0.2">
      <c r="A65" s="4">
        <v>42370</v>
      </c>
      <c r="B65" s="3">
        <v>50.9</v>
      </c>
    </row>
    <row r="66" spans="1:2" x14ac:dyDescent="0.2">
      <c r="A66" s="4">
        <v>42401</v>
      </c>
      <c r="B66" s="3">
        <v>50.3</v>
      </c>
    </row>
    <row r="67" spans="1:2" x14ac:dyDescent="0.2">
      <c r="A67" s="4">
        <v>42430</v>
      </c>
      <c r="B67" s="3">
        <v>49.2</v>
      </c>
    </row>
    <row r="68" spans="1:2" x14ac:dyDescent="0.2">
      <c r="A68" s="4">
        <v>42461</v>
      </c>
      <c r="B68" s="3">
        <v>48.9</v>
      </c>
    </row>
    <row r="69" spans="1:2" x14ac:dyDescent="0.2">
      <c r="A69" s="4">
        <v>42491</v>
      </c>
      <c r="B69" s="3">
        <v>49.4</v>
      </c>
    </row>
    <row r="70" spans="1:2" x14ac:dyDescent="0.2">
      <c r="A70" s="4">
        <v>42522</v>
      </c>
      <c r="B70" s="3">
        <v>47.4</v>
      </c>
    </row>
    <row r="71" spans="1:2" x14ac:dyDescent="0.2">
      <c r="A71" s="4">
        <v>42552</v>
      </c>
      <c r="B71" s="3">
        <v>47.6</v>
      </c>
    </row>
    <row r="72" spans="1:2" x14ac:dyDescent="0.2">
      <c r="A72" s="4">
        <v>42583</v>
      </c>
      <c r="B72" s="3">
        <v>47</v>
      </c>
    </row>
    <row r="73" spans="1:2" x14ac:dyDescent="0.2">
      <c r="A73" s="4">
        <v>42614</v>
      </c>
      <c r="B73" s="3">
        <v>48.3</v>
      </c>
    </row>
    <row r="74" spans="1:2" x14ac:dyDescent="0.2">
      <c r="A74" s="4">
        <v>42644</v>
      </c>
      <c r="B74" s="3">
        <v>49.8</v>
      </c>
    </row>
    <row r="75" spans="1:2" x14ac:dyDescent="0.2">
      <c r="A75" s="4">
        <v>42675</v>
      </c>
      <c r="B75" s="3">
        <v>48.8</v>
      </c>
    </row>
    <row r="76" spans="1:2" x14ac:dyDescent="0.2">
      <c r="A76" s="4">
        <v>42705</v>
      </c>
      <c r="B76" s="3">
        <v>47.7</v>
      </c>
    </row>
    <row r="77" spans="1:2" x14ac:dyDescent="0.2">
      <c r="A77" s="4">
        <v>42736</v>
      </c>
      <c r="B77" s="3">
        <v>48.7</v>
      </c>
    </row>
    <row r="78" spans="1:2" x14ac:dyDescent="0.2">
      <c r="A78" s="4">
        <v>42767</v>
      </c>
      <c r="B78" s="3">
        <v>49.7</v>
      </c>
    </row>
    <row r="79" spans="1:2" x14ac:dyDescent="0.2">
      <c r="A79" s="4">
        <v>42795</v>
      </c>
      <c r="B79" s="3">
        <v>52.3</v>
      </c>
    </row>
    <row r="80" spans="1:2" x14ac:dyDescent="0.2">
      <c r="A80" s="4">
        <v>42826</v>
      </c>
      <c r="B80" s="3">
        <v>51.7</v>
      </c>
    </row>
    <row r="81" spans="1:2" x14ac:dyDescent="0.2">
      <c r="A81" s="4">
        <v>42856</v>
      </c>
      <c r="B81" s="3">
        <v>53.5</v>
      </c>
    </row>
    <row r="82" spans="1:2" x14ac:dyDescent="0.2">
      <c r="A82" s="4">
        <v>42887</v>
      </c>
      <c r="B82" s="3">
        <v>54.7</v>
      </c>
    </row>
    <row r="83" spans="1:2" x14ac:dyDescent="0.2">
      <c r="A83" s="4">
        <v>42917</v>
      </c>
      <c r="B83" s="3">
        <v>53.6</v>
      </c>
    </row>
    <row r="84" spans="1:2" x14ac:dyDescent="0.2">
      <c r="A84" s="4">
        <v>42948</v>
      </c>
      <c r="B84" s="3">
        <v>55.3</v>
      </c>
    </row>
    <row r="85" spans="1:2" x14ac:dyDescent="0.2">
      <c r="A85" s="4">
        <v>42979</v>
      </c>
      <c r="B85" s="3">
        <v>53.5</v>
      </c>
    </row>
    <row r="86" spans="1:2" x14ac:dyDescent="0.2">
      <c r="A86" s="4">
        <v>43009</v>
      </c>
      <c r="B86" s="3">
        <v>52.8</v>
      </c>
    </row>
    <row r="87" spans="1:2" x14ac:dyDescent="0.2">
      <c r="A87" s="4">
        <v>43040</v>
      </c>
      <c r="B87" s="3">
        <v>52.9</v>
      </c>
    </row>
    <row r="88" spans="1:2" x14ac:dyDescent="0.2">
      <c r="A88" s="4">
        <v>43070</v>
      </c>
      <c r="B88" s="3">
        <v>54.9</v>
      </c>
    </row>
    <row r="89" spans="1:2" x14ac:dyDescent="0.2">
      <c r="A89" s="4">
        <v>43101</v>
      </c>
      <c r="B89" s="3">
        <v>55.7</v>
      </c>
    </row>
    <row r="90" spans="1:2" x14ac:dyDescent="0.2">
      <c r="A90" s="4">
        <v>43132</v>
      </c>
      <c r="B90" s="3">
        <v>55.6</v>
      </c>
    </row>
    <row r="91" spans="1:2" x14ac:dyDescent="0.2">
      <c r="A91" s="4">
        <v>43160</v>
      </c>
      <c r="B91" s="3">
        <v>51.8</v>
      </c>
    </row>
    <row r="92" spans="1:2" x14ac:dyDescent="0.2">
      <c r="A92" s="4">
        <v>43191</v>
      </c>
      <c r="B92" s="3">
        <v>48.9</v>
      </c>
    </row>
    <row r="93" spans="1:2" x14ac:dyDescent="0.2">
      <c r="A93" s="4">
        <v>43221</v>
      </c>
      <c r="B93" s="3">
        <v>46.4</v>
      </c>
    </row>
    <row r="94" spans="1:2" x14ac:dyDescent="0.2">
      <c r="A94" s="4">
        <v>43252</v>
      </c>
      <c r="B94" s="3">
        <v>46.8</v>
      </c>
    </row>
    <row r="95" spans="1:2" x14ac:dyDescent="0.2">
      <c r="A95" s="4">
        <v>43282</v>
      </c>
      <c r="B95" s="3">
        <v>49</v>
      </c>
    </row>
    <row r="96" spans="1:2" x14ac:dyDescent="0.2">
      <c r="A96" s="4">
        <v>43313</v>
      </c>
      <c r="B96" s="3">
        <v>46.4</v>
      </c>
    </row>
    <row r="97" spans="1:2" x14ac:dyDescent="0.2">
      <c r="A97" s="4">
        <v>43344</v>
      </c>
      <c r="B97" s="3">
        <v>42.7</v>
      </c>
    </row>
    <row r="98" spans="1:2" x14ac:dyDescent="0.2">
      <c r="A98" s="4">
        <v>43374</v>
      </c>
      <c r="B98" s="3">
        <v>44.3</v>
      </c>
    </row>
    <row r="99" spans="1:2" x14ac:dyDescent="0.2">
      <c r="A99" s="4">
        <v>43405</v>
      </c>
      <c r="B99" s="3">
        <v>44.7</v>
      </c>
    </row>
    <row r="100" spans="1:2" x14ac:dyDescent="0.2">
      <c r="A100" s="4">
        <v>43435</v>
      </c>
      <c r="B100" s="3">
        <v>44.2</v>
      </c>
    </row>
    <row r="101" spans="1:2" x14ac:dyDescent="0.2">
      <c r="A101" s="4">
        <v>43466</v>
      </c>
      <c r="B101" s="3">
        <v>44.2</v>
      </c>
    </row>
    <row r="102" spans="1:2" x14ac:dyDescent="0.2">
      <c r="A102" s="4">
        <v>43497</v>
      </c>
      <c r="B102" s="3">
        <v>46.4</v>
      </c>
    </row>
    <row r="103" spans="1:2" x14ac:dyDescent="0.2">
      <c r="A103" s="4">
        <v>43525</v>
      </c>
      <c r="B103" s="3">
        <v>47.2</v>
      </c>
    </row>
    <row r="104" spans="1:2" x14ac:dyDescent="0.2">
      <c r="A104" s="4">
        <v>43556</v>
      </c>
      <c r="B104" s="3">
        <v>46.8</v>
      </c>
    </row>
    <row r="105" spans="1:2" x14ac:dyDescent="0.2">
      <c r="A105" s="4">
        <v>43586</v>
      </c>
      <c r="B105" s="3">
        <v>45.3</v>
      </c>
    </row>
    <row r="106" spans="1:2" x14ac:dyDescent="0.2">
      <c r="A106" s="4">
        <v>43617</v>
      </c>
      <c r="B106" s="3">
        <v>47.9</v>
      </c>
    </row>
    <row r="107" spans="1:2" x14ac:dyDescent="0.2">
      <c r="A107" s="4">
        <v>43647</v>
      </c>
      <c r="B107" s="3">
        <v>46.7</v>
      </c>
    </row>
    <row r="108" spans="1:2" x14ac:dyDescent="0.2">
      <c r="A108" s="4">
        <v>43678</v>
      </c>
      <c r="B108" s="3">
        <v>48</v>
      </c>
    </row>
    <row r="109" spans="1:2" x14ac:dyDescent="0.2">
      <c r="A109" s="4">
        <v>43709</v>
      </c>
      <c r="B109" s="3">
        <v>50</v>
      </c>
    </row>
    <row r="110" spans="1:2" x14ac:dyDescent="0.2">
      <c r="A110" s="4">
        <v>43739</v>
      </c>
      <c r="B110" s="3">
        <v>49</v>
      </c>
    </row>
    <row r="111" spans="1:2" x14ac:dyDescent="0.2">
      <c r="A111" s="4">
        <v>43770</v>
      </c>
      <c r="B111" s="3">
        <v>49.5</v>
      </c>
    </row>
    <row r="112" spans="1:2" x14ac:dyDescent="0.2">
      <c r="A112" s="4">
        <v>43800</v>
      </c>
      <c r="B112" s="3">
        <v>49.5</v>
      </c>
    </row>
    <row r="113" spans="1:2" x14ac:dyDescent="0.2">
      <c r="A113" s="4">
        <v>43831</v>
      </c>
      <c r="B113" s="3">
        <v>51.3</v>
      </c>
    </row>
    <row r="114" spans="1:2" x14ac:dyDescent="0.2">
      <c r="A114" s="4">
        <v>43862</v>
      </c>
      <c r="B114" s="3">
        <v>52.4</v>
      </c>
    </row>
    <row r="115" spans="1:2" x14ac:dyDescent="0.2">
      <c r="A115" s="4">
        <v>43891</v>
      </c>
      <c r="B115" s="3">
        <v>48.1</v>
      </c>
    </row>
    <row r="116" spans="1:2" x14ac:dyDescent="0.2">
      <c r="A116" s="4">
        <v>43922</v>
      </c>
      <c r="B116" s="3">
        <v>33.4</v>
      </c>
    </row>
    <row r="117" spans="1:2" x14ac:dyDescent="0.2">
      <c r="A117" s="4">
        <v>43952</v>
      </c>
      <c r="B117" s="3">
        <v>40.9</v>
      </c>
    </row>
    <row r="118" spans="1:2" x14ac:dyDescent="0.2">
      <c r="A118" s="4">
        <v>43983</v>
      </c>
      <c r="B118" s="3">
        <v>53.9</v>
      </c>
    </row>
    <row r="119" spans="1:2" x14ac:dyDescent="0.2">
      <c r="A119" s="4">
        <v>44013</v>
      </c>
      <c r="B119" s="3">
        <v>56.9</v>
      </c>
    </row>
    <row r="120" spans="1:2" x14ac:dyDescent="0.2">
      <c r="A120" s="4">
        <v>44044</v>
      </c>
      <c r="B120" s="3">
        <v>54.3</v>
      </c>
    </row>
    <row r="121" spans="1:2" x14ac:dyDescent="0.2">
      <c r="A121" s="4">
        <v>44075</v>
      </c>
      <c r="B121" s="3">
        <v>52.8</v>
      </c>
    </row>
    <row r="122" spans="1:2" x14ac:dyDescent="0.2">
      <c r="A122" s="4">
        <v>44105</v>
      </c>
      <c r="B122" s="3">
        <v>53.9</v>
      </c>
    </row>
    <row r="123" spans="1:2" x14ac:dyDescent="0.2">
      <c r="A123" s="4">
        <v>44136</v>
      </c>
      <c r="B123" s="3">
        <v>51.4</v>
      </c>
    </row>
    <row r="124" spans="1:2" x14ac:dyDescent="0.2">
      <c r="A124" s="4">
        <v>44166</v>
      </c>
      <c r="B124" s="3">
        <v>50.8</v>
      </c>
    </row>
    <row r="125" spans="1:2" x14ac:dyDescent="0.2">
      <c r="A125" s="4">
        <v>44197</v>
      </c>
      <c r="B125" s="3">
        <v>54.4</v>
      </c>
    </row>
    <row r="126" spans="1:2" x14ac:dyDescent="0.2">
      <c r="A126" s="4">
        <v>44228</v>
      </c>
      <c r="B126" s="3">
        <v>51.7</v>
      </c>
    </row>
    <row r="127" spans="1:2" x14ac:dyDescent="0.2">
      <c r="A127" s="4">
        <v>44256</v>
      </c>
      <c r="B127" s="3">
        <v>52.6</v>
      </c>
    </row>
    <row r="128" spans="1:2" x14ac:dyDescent="0.2">
      <c r="A128" s="4">
        <v>44287</v>
      </c>
      <c r="B128" s="3">
        <v>50.4</v>
      </c>
    </row>
    <row r="129" spans="1:2" x14ac:dyDescent="0.2">
      <c r="A129" s="4">
        <v>44317</v>
      </c>
      <c r="B129" s="3">
        <v>49.3</v>
      </c>
    </row>
    <row r="130" spans="1:2" x14ac:dyDescent="0.2">
      <c r="A130" s="4">
        <v>44348</v>
      </c>
      <c r="B130" s="3">
        <v>51.3</v>
      </c>
    </row>
    <row r="131" spans="1:2" x14ac:dyDescent="0.2">
      <c r="A131" s="4">
        <v>44378</v>
      </c>
      <c r="B131" s="3">
        <v>54</v>
      </c>
    </row>
    <row r="132" spans="1:2" x14ac:dyDescent="0.2">
      <c r="A132" s="4">
        <v>44409</v>
      </c>
      <c r="B132" s="3">
        <v>54.1</v>
      </c>
    </row>
    <row r="133" spans="1:2" x14ac:dyDescent="0.2">
      <c r="A133" s="4">
        <v>44440</v>
      </c>
      <c r="B133" s="3">
        <v>52.5</v>
      </c>
    </row>
    <row r="134" spans="1:2" x14ac:dyDescent="0.2">
      <c r="A134" s="4">
        <v>44470</v>
      </c>
      <c r="B134" s="3">
        <v>51.2</v>
      </c>
    </row>
    <row r="135" spans="1:2" x14ac:dyDescent="0.2">
      <c r="A135" s="4">
        <v>44501</v>
      </c>
      <c r="B135" s="3">
        <v>52</v>
      </c>
    </row>
    <row r="136" spans="1:2" x14ac:dyDescent="0.2">
      <c r="A136" s="4">
        <v>44531</v>
      </c>
      <c r="B136" s="3">
        <v>52.1</v>
      </c>
    </row>
  </sheetData>
  <conditionalFormatting sqref="B2:B13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5BEC2-3A87-4D27-899A-11BA367120FF}">
  <dimension ref="A1:B136"/>
  <sheetViews>
    <sheetView zoomScale="160" zoomScaleNormal="160" workbookViewId="0">
      <pane ySplit="1" topLeftCell="A2" activePane="bottomLeft" state="frozen"/>
      <selection pane="bottomLeft" activeCell="C1" sqref="C1:C1048576"/>
    </sheetView>
  </sheetViews>
  <sheetFormatPr baseColWidth="10" defaultColWidth="9.1640625" defaultRowHeight="15" x14ac:dyDescent="0.2"/>
  <cols>
    <col min="1" max="1" width="13.5" style="2" customWidth="1"/>
    <col min="2" max="2" width="11.33203125" style="2" customWidth="1"/>
    <col min="3" max="16384" width="9.1640625" style="2"/>
  </cols>
  <sheetData>
    <row r="1" spans="1:2" ht="16" thickBot="1" x14ac:dyDescent="0.25">
      <c r="A1" s="11" t="s">
        <v>0</v>
      </c>
      <c r="B1" s="12" t="s">
        <v>32</v>
      </c>
    </row>
    <row r="2" spans="1:2" x14ac:dyDescent="0.2">
      <c r="A2" s="8">
        <v>40452</v>
      </c>
      <c r="B2" s="9">
        <v>57.2</v>
      </c>
    </row>
    <row r="3" spans="1:2" x14ac:dyDescent="0.2">
      <c r="A3" s="4">
        <v>40483</v>
      </c>
      <c r="B3" s="3">
        <v>57.3</v>
      </c>
    </row>
    <row r="4" spans="1:2" x14ac:dyDescent="0.2">
      <c r="A4" s="4">
        <v>40513</v>
      </c>
      <c r="B4" s="3">
        <v>58.4</v>
      </c>
    </row>
    <row r="5" spans="1:2" x14ac:dyDescent="0.2">
      <c r="A5" s="4">
        <v>40544</v>
      </c>
      <c r="B5" s="3">
        <v>60.5</v>
      </c>
    </row>
    <row r="6" spans="1:2" x14ac:dyDescent="0.2">
      <c r="A6" s="4">
        <v>40575</v>
      </c>
      <c r="B6" s="3">
        <v>59.8</v>
      </c>
    </row>
    <row r="7" spans="1:2" x14ac:dyDescent="0.2">
      <c r="A7" s="4">
        <v>40603</v>
      </c>
      <c r="B7" s="3">
        <v>58.6</v>
      </c>
    </row>
    <row r="8" spans="1:2" x14ac:dyDescent="0.2">
      <c r="A8" s="4">
        <v>40634</v>
      </c>
      <c r="B8" s="3">
        <v>59</v>
      </c>
    </row>
    <row r="9" spans="1:2" x14ac:dyDescent="0.2">
      <c r="A9" s="4">
        <v>40664</v>
      </c>
      <c r="B9" s="3">
        <v>55.9</v>
      </c>
    </row>
    <row r="10" spans="1:2" x14ac:dyDescent="0.2">
      <c r="A10" s="4">
        <v>40695</v>
      </c>
      <c r="B10" s="3">
        <v>55.1</v>
      </c>
    </row>
    <row r="11" spans="1:2" x14ac:dyDescent="0.2">
      <c r="A11" s="4">
        <v>40725</v>
      </c>
      <c r="B11" s="3">
        <v>53.4</v>
      </c>
    </row>
    <row r="12" spans="1:2" x14ac:dyDescent="0.2">
      <c r="A12" s="4">
        <v>40756</v>
      </c>
      <c r="B12" s="3">
        <v>53.4</v>
      </c>
    </row>
    <row r="13" spans="1:2" x14ac:dyDescent="0.2">
      <c r="A13" s="4">
        <v>40787</v>
      </c>
      <c r="B13" s="3">
        <v>52.3</v>
      </c>
    </row>
    <row r="14" spans="1:2" x14ac:dyDescent="0.2">
      <c r="A14" s="4">
        <v>40817</v>
      </c>
      <c r="B14" s="3">
        <v>51.7</v>
      </c>
    </row>
    <row r="15" spans="1:2" x14ac:dyDescent="0.2">
      <c r="A15" s="4">
        <v>40848</v>
      </c>
      <c r="B15" s="3">
        <v>48.6</v>
      </c>
    </row>
    <row r="16" spans="1:2" x14ac:dyDescent="0.2">
      <c r="A16" s="4">
        <v>40878</v>
      </c>
      <c r="B16" s="3">
        <v>49.2</v>
      </c>
    </row>
    <row r="17" spans="1:2" x14ac:dyDescent="0.2">
      <c r="A17" s="4">
        <v>40909</v>
      </c>
      <c r="B17" s="3">
        <v>48.8</v>
      </c>
    </row>
    <row r="18" spans="1:2" x14ac:dyDescent="0.2">
      <c r="A18" s="4">
        <v>40940</v>
      </c>
      <c r="B18" s="3">
        <v>50.5</v>
      </c>
    </row>
    <row r="19" spans="1:2" x14ac:dyDescent="0.2">
      <c r="A19" s="4">
        <v>40969</v>
      </c>
      <c r="B19" s="3">
        <v>52.1</v>
      </c>
    </row>
    <row r="20" spans="1:2" x14ac:dyDescent="0.2">
      <c r="A20" s="4">
        <v>41000</v>
      </c>
      <c r="B20" s="3">
        <v>49.7</v>
      </c>
    </row>
    <row r="21" spans="1:2" x14ac:dyDescent="0.2">
      <c r="A21" s="4">
        <v>41030</v>
      </c>
      <c r="B21" s="3">
        <v>47.6</v>
      </c>
    </row>
    <row r="22" spans="1:2" x14ac:dyDescent="0.2">
      <c r="A22" s="4">
        <v>41061</v>
      </c>
      <c r="B22" s="3">
        <v>49.4</v>
      </c>
    </row>
    <row r="23" spans="1:2" x14ac:dyDescent="0.2">
      <c r="A23" s="4">
        <v>41091</v>
      </c>
      <c r="B23" s="3">
        <v>49.5</v>
      </c>
    </row>
    <row r="24" spans="1:2" x14ac:dyDescent="0.2">
      <c r="A24" s="4">
        <v>41122</v>
      </c>
      <c r="B24" s="3">
        <v>48.7</v>
      </c>
    </row>
    <row r="25" spans="1:2" x14ac:dyDescent="0.2">
      <c r="A25" s="4">
        <v>41153</v>
      </c>
      <c r="B25" s="3">
        <v>48</v>
      </c>
    </row>
    <row r="26" spans="1:2" x14ac:dyDescent="0.2">
      <c r="A26" s="4">
        <v>41183</v>
      </c>
      <c r="B26" s="3">
        <v>47.2</v>
      </c>
    </row>
    <row r="27" spans="1:2" x14ac:dyDescent="0.2">
      <c r="A27" s="4">
        <v>41214</v>
      </c>
      <c r="B27" s="3">
        <v>48.2</v>
      </c>
    </row>
    <row r="28" spans="1:2" x14ac:dyDescent="0.2">
      <c r="A28" s="4">
        <v>41244</v>
      </c>
      <c r="B28" s="3">
        <v>46</v>
      </c>
    </row>
    <row r="29" spans="1:2" x14ac:dyDescent="0.2">
      <c r="A29" s="4">
        <v>41275</v>
      </c>
      <c r="B29" s="3">
        <v>48.3</v>
      </c>
    </row>
    <row r="30" spans="1:2" x14ac:dyDescent="0.2">
      <c r="A30" s="4">
        <v>41306</v>
      </c>
      <c r="B30" s="3">
        <v>49.9</v>
      </c>
    </row>
    <row r="31" spans="1:2" x14ac:dyDescent="0.2">
      <c r="A31" s="4">
        <v>41334</v>
      </c>
      <c r="B31" s="3">
        <v>49.1</v>
      </c>
    </row>
    <row r="32" spans="1:2" x14ac:dyDescent="0.2">
      <c r="A32" s="4">
        <v>41365</v>
      </c>
      <c r="B32" s="3">
        <v>49.5</v>
      </c>
    </row>
    <row r="33" spans="1:2" x14ac:dyDescent="0.2">
      <c r="A33" s="4">
        <v>41395</v>
      </c>
      <c r="B33" s="3">
        <v>50.1</v>
      </c>
    </row>
    <row r="34" spans="1:2" x14ac:dyDescent="0.2">
      <c r="A34" s="4">
        <v>41426</v>
      </c>
      <c r="B34" s="3">
        <v>51</v>
      </c>
    </row>
    <row r="35" spans="1:2" x14ac:dyDescent="0.2">
      <c r="A35" s="4">
        <v>41456</v>
      </c>
      <c r="B35" s="3">
        <v>52</v>
      </c>
    </row>
    <row r="36" spans="1:2" x14ac:dyDescent="0.2">
      <c r="A36" s="4">
        <v>41487</v>
      </c>
      <c r="B36" s="3">
        <v>53.9</v>
      </c>
    </row>
    <row r="37" spans="1:2" x14ac:dyDescent="0.2">
      <c r="A37" s="4">
        <v>41518</v>
      </c>
      <c r="B37" s="3">
        <v>53.4</v>
      </c>
    </row>
    <row r="38" spans="1:2" x14ac:dyDescent="0.2">
      <c r="A38" s="4">
        <v>41548</v>
      </c>
      <c r="B38" s="3">
        <v>54.5</v>
      </c>
    </row>
    <row r="39" spans="1:2" x14ac:dyDescent="0.2">
      <c r="A39" s="4">
        <v>41579</v>
      </c>
      <c r="B39" s="3">
        <v>55.4</v>
      </c>
    </row>
    <row r="40" spans="1:2" x14ac:dyDescent="0.2">
      <c r="A40" s="4">
        <v>41609</v>
      </c>
      <c r="B40" s="3">
        <v>54.9</v>
      </c>
    </row>
    <row r="41" spans="1:2" x14ac:dyDescent="0.2">
      <c r="A41" s="4">
        <v>41640</v>
      </c>
      <c r="B41" s="3">
        <v>55.9</v>
      </c>
    </row>
    <row r="42" spans="1:2" x14ac:dyDescent="0.2">
      <c r="A42" s="4">
        <v>41671</v>
      </c>
      <c r="B42" s="3">
        <v>56.5</v>
      </c>
    </row>
    <row r="43" spans="1:2" x14ac:dyDescent="0.2">
      <c r="A43" s="4">
        <v>41699</v>
      </c>
      <c r="B43" s="3">
        <v>55.5</v>
      </c>
    </row>
    <row r="44" spans="1:2" x14ac:dyDescent="0.2">
      <c r="A44" s="4">
        <v>41730</v>
      </c>
      <c r="B44" s="3">
        <v>56.5</v>
      </c>
    </row>
    <row r="45" spans="1:2" x14ac:dyDescent="0.2">
      <c r="A45" s="4">
        <v>41760</v>
      </c>
      <c r="B45" s="3">
        <v>57.3</v>
      </c>
    </row>
    <row r="46" spans="1:2" x14ac:dyDescent="0.2">
      <c r="A46" s="4">
        <v>41791</v>
      </c>
      <c r="B46" s="3">
        <v>54.7</v>
      </c>
    </row>
    <row r="47" spans="1:2" x14ac:dyDescent="0.2">
      <c r="A47" s="4">
        <v>41821</v>
      </c>
      <c r="B47" s="3">
        <v>56.463888888888903</v>
      </c>
    </row>
    <row r="48" spans="1:2" x14ac:dyDescent="0.2">
      <c r="A48" s="4">
        <v>41852</v>
      </c>
      <c r="B48" s="3">
        <v>54.3</v>
      </c>
    </row>
    <row r="49" spans="1:2" x14ac:dyDescent="0.2">
      <c r="A49" s="4">
        <v>41883</v>
      </c>
      <c r="B49" s="3">
        <v>55.6</v>
      </c>
    </row>
    <row r="50" spans="1:2" x14ac:dyDescent="0.2">
      <c r="A50" s="4">
        <v>41913</v>
      </c>
      <c r="B50" s="3">
        <v>54.4</v>
      </c>
    </row>
    <row r="51" spans="1:2" x14ac:dyDescent="0.2">
      <c r="A51" s="4">
        <v>41944</v>
      </c>
      <c r="B51" s="3">
        <v>55.6</v>
      </c>
    </row>
    <row r="52" spans="1:2" x14ac:dyDescent="0.2">
      <c r="A52" s="4">
        <v>41974</v>
      </c>
      <c r="B52" s="3">
        <v>53.3</v>
      </c>
    </row>
    <row r="53" spans="1:2" x14ac:dyDescent="0.2">
      <c r="A53" s="4">
        <v>42005</v>
      </c>
      <c r="B53" s="3">
        <v>56.1</v>
      </c>
    </row>
    <row r="54" spans="1:2" x14ac:dyDescent="0.2">
      <c r="A54" s="4">
        <v>42036</v>
      </c>
      <c r="B54" s="3">
        <v>55.6</v>
      </c>
    </row>
    <row r="55" spans="1:2" x14ac:dyDescent="0.2">
      <c r="A55" s="4">
        <v>42064</v>
      </c>
      <c r="B55" s="3">
        <v>56.1</v>
      </c>
    </row>
    <row r="56" spans="1:2" x14ac:dyDescent="0.2">
      <c r="A56" s="4">
        <v>42095</v>
      </c>
      <c r="B56" s="3">
        <v>54.7</v>
      </c>
    </row>
    <row r="57" spans="1:2" x14ac:dyDescent="0.2">
      <c r="A57" s="4">
        <v>42125</v>
      </c>
      <c r="B57" s="3">
        <v>55.5</v>
      </c>
    </row>
    <row r="58" spans="1:2" x14ac:dyDescent="0.2">
      <c r="A58" s="4">
        <v>42156</v>
      </c>
      <c r="B58" s="3">
        <v>56.9</v>
      </c>
    </row>
    <row r="59" spans="1:2" x14ac:dyDescent="0.2">
      <c r="A59" s="4">
        <v>42186</v>
      </c>
      <c r="B59" s="3">
        <v>57.5</v>
      </c>
    </row>
    <row r="60" spans="1:2" x14ac:dyDescent="0.2">
      <c r="A60" s="4">
        <v>42217</v>
      </c>
      <c r="B60" s="3">
        <v>56.6</v>
      </c>
    </row>
    <row r="61" spans="1:2" x14ac:dyDescent="0.2">
      <c r="A61" s="4">
        <v>42248</v>
      </c>
      <c r="B61" s="3">
        <v>55.5</v>
      </c>
    </row>
    <row r="62" spans="1:2" x14ac:dyDescent="0.2">
      <c r="A62" s="4">
        <v>42278</v>
      </c>
      <c r="B62" s="3">
        <v>54</v>
      </c>
    </row>
    <row r="63" spans="1:2" x14ac:dyDescent="0.2">
      <c r="A63" s="4">
        <v>42309</v>
      </c>
      <c r="B63" s="3">
        <v>54.2</v>
      </c>
    </row>
    <row r="64" spans="1:2" x14ac:dyDescent="0.2">
      <c r="A64" s="4">
        <v>42339</v>
      </c>
      <c r="B64" s="3">
        <v>55.6</v>
      </c>
    </row>
    <row r="65" spans="1:2" x14ac:dyDescent="0.2">
      <c r="A65" s="4">
        <v>42370</v>
      </c>
      <c r="B65" s="3">
        <v>56.9</v>
      </c>
    </row>
    <row r="66" spans="1:2" x14ac:dyDescent="0.2">
      <c r="A66" s="4">
        <v>42401</v>
      </c>
      <c r="B66" s="3">
        <v>55.5</v>
      </c>
    </row>
    <row r="67" spans="1:2" x14ac:dyDescent="0.2">
      <c r="A67" s="4">
        <v>42430</v>
      </c>
      <c r="B67" s="3">
        <v>54.3</v>
      </c>
    </row>
    <row r="68" spans="1:2" x14ac:dyDescent="0.2">
      <c r="A68" s="4">
        <v>42461</v>
      </c>
      <c r="B68" s="3">
        <v>53.6</v>
      </c>
    </row>
    <row r="69" spans="1:2" x14ac:dyDescent="0.2">
      <c r="A69" s="4">
        <v>42491</v>
      </c>
      <c r="B69" s="3">
        <v>53.3</v>
      </c>
    </row>
    <row r="70" spans="1:2" x14ac:dyDescent="0.2">
      <c r="A70" s="4">
        <v>42522</v>
      </c>
      <c r="B70" s="3">
        <v>51.8</v>
      </c>
    </row>
    <row r="71" spans="1:2" x14ac:dyDescent="0.2">
      <c r="A71" s="4">
        <v>42552</v>
      </c>
      <c r="B71" s="3">
        <v>49.3</v>
      </c>
    </row>
    <row r="72" spans="1:2" x14ac:dyDescent="0.2">
      <c r="A72" s="4">
        <v>42583</v>
      </c>
      <c r="B72" s="3">
        <v>50.1</v>
      </c>
    </row>
    <row r="73" spans="1:2" x14ac:dyDescent="0.2">
      <c r="A73" s="4">
        <v>42614</v>
      </c>
      <c r="B73" s="3">
        <v>52</v>
      </c>
    </row>
    <row r="74" spans="1:2" x14ac:dyDescent="0.2">
      <c r="A74" s="4">
        <v>42644</v>
      </c>
      <c r="B74" s="3">
        <v>53.3</v>
      </c>
    </row>
    <row r="75" spans="1:2" x14ac:dyDescent="0.2">
      <c r="A75" s="4">
        <v>42675</v>
      </c>
      <c r="B75" s="3">
        <v>52.2</v>
      </c>
    </row>
    <row r="76" spans="1:2" x14ac:dyDescent="0.2">
      <c r="A76" s="4">
        <v>42705</v>
      </c>
      <c r="B76" s="3">
        <v>53.8</v>
      </c>
    </row>
    <row r="77" spans="1:2" x14ac:dyDescent="0.2">
      <c r="A77" s="4">
        <v>42736</v>
      </c>
      <c r="B77" s="3">
        <v>55.7</v>
      </c>
    </row>
    <row r="78" spans="1:2" x14ac:dyDescent="0.2">
      <c r="A78" s="4">
        <v>42767</v>
      </c>
      <c r="B78" s="3">
        <v>57.6</v>
      </c>
    </row>
    <row r="79" spans="1:2" x14ac:dyDescent="0.2">
      <c r="A79" s="4">
        <v>42795</v>
      </c>
      <c r="B79" s="3">
        <v>57.5</v>
      </c>
    </row>
    <row r="80" spans="1:2" x14ac:dyDescent="0.2">
      <c r="A80" s="4">
        <v>42826</v>
      </c>
      <c r="B80" s="3">
        <v>57.5</v>
      </c>
    </row>
    <row r="81" spans="1:2" x14ac:dyDescent="0.2">
      <c r="A81" s="4">
        <v>42856</v>
      </c>
      <c r="B81" s="3">
        <v>56.4</v>
      </c>
    </row>
    <row r="82" spans="1:2" x14ac:dyDescent="0.2">
      <c r="A82" s="4">
        <v>42887</v>
      </c>
      <c r="B82" s="3">
        <v>56.4</v>
      </c>
    </row>
    <row r="83" spans="1:2" x14ac:dyDescent="0.2">
      <c r="A83" s="4">
        <v>42917</v>
      </c>
      <c r="B83" s="3">
        <v>55.3</v>
      </c>
    </row>
    <row r="84" spans="1:2" x14ac:dyDescent="0.2">
      <c r="A84" s="4">
        <v>42948</v>
      </c>
      <c r="B84" s="3">
        <v>54.9</v>
      </c>
    </row>
    <row r="85" spans="1:2" x14ac:dyDescent="0.2">
      <c r="A85" s="4">
        <v>42979</v>
      </c>
      <c r="B85" s="3">
        <v>56.6</v>
      </c>
    </row>
    <row r="86" spans="1:2" x14ac:dyDescent="0.2">
      <c r="A86" s="4">
        <v>43009</v>
      </c>
      <c r="B86" s="3">
        <v>58.5</v>
      </c>
    </row>
    <row r="87" spans="1:2" x14ac:dyDescent="0.2">
      <c r="A87" s="4">
        <v>43040</v>
      </c>
      <c r="B87" s="3">
        <v>58.7</v>
      </c>
    </row>
    <row r="88" spans="1:2" x14ac:dyDescent="0.2">
      <c r="A88" s="4">
        <v>43070</v>
      </c>
      <c r="B88" s="3">
        <v>59.8</v>
      </c>
    </row>
    <row r="89" spans="1:2" x14ac:dyDescent="0.2">
      <c r="A89" s="4">
        <v>43101</v>
      </c>
      <c r="B89" s="3">
        <v>59.8</v>
      </c>
    </row>
    <row r="90" spans="1:2" x14ac:dyDescent="0.2">
      <c r="A90" s="4">
        <v>43132</v>
      </c>
      <c r="B90" s="3">
        <v>58.8</v>
      </c>
    </row>
    <row r="91" spans="1:2" x14ac:dyDescent="0.2">
      <c r="A91" s="4">
        <v>43160</v>
      </c>
      <c r="B91" s="3">
        <v>57.3</v>
      </c>
    </row>
    <row r="92" spans="1:2" x14ac:dyDescent="0.2">
      <c r="A92" s="4">
        <v>43191</v>
      </c>
      <c r="B92" s="3">
        <v>57.2</v>
      </c>
    </row>
    <row r="93" spans="1:2" x14ac:dyDescent="0.2">
      <c r="A93" s="4">
        <v>43221</v>
      </c>
      <c r="B93" s="3">
        <v>56.5</v>
      </c>
    </row>
    <row r="94" spans="1:2" x14ac:dyDescent="0.2">
      <c r="A94" s="4">
        <v>43252</v>
      </c>
      <c r="B94" s="3">
        <v>56.8</v>
      </c>
    </row>
    <row r="95" spans="1:2" x14ac:dyDescent="0.2">
      <c r="A95" s="4">
        <v>43282</v>
      </c>
      <c r="B95" s="3">
        <v>55.4</v>
      </c>
    </row>
    <row r="96" spans="1:2" x14ac:dyDescent="0.2">
      <c r="A96" s="4">
        <v>43313</v>
      </c>
      <c r="B96" s="3">
        <v>54.9</v>
      </c>
    </row>
    <row r="97" spans="1:2" x14ac:dyDescent="0.2">
      <c r="A97" s="4">
        <v>43344</v>
      </c>
      <c r="B97" s="3">
        <v>53.4</v>
      </c>
    </row>
    <row r="98" spans="1:2" x14ac:dyDescent="0.2">
      <c r="A98" s="4">
        <v>43374</v>
      </c>
      <c r="B98" s="3">
        <v>52.5</v>
      </c>
    </row>
    <row r="99" spans="1:2" x14ac:dyDescent="0.2">
      <c r="A99" s="4">
        <v>43405</v>
      </c>
      <c r="B99" s="3">
        <v>51.8</v>
      </c>
    </row>
    <row r="100" spans="1:2" x14ac:dyDescent="0.2">
      <c r="A100" s="4">
        <v>43435</v>
      </c>
      <c r="B100" s="3">
        <v>49.7</v>
      </c>
    </row>
    <row r="101" spans="1:2" x14ac:dyDescent="0.2">
      <c r="A101" s="4">
        <v>43466</v>
      </c>
      <c r="B101" s="3">
        <v>49</v>
      </c>
    </row>
    <row r="102" spans="1:2" x14ac:dyDescent="0.2">
      <c r="A102" s="4">
        <v>43497</v>
      </c>
      <c r="B102" s="3">
        <v>48.6</v>
      </c>
    </row>
    <row r="103" spans="1:2" x14ac:dyDescent="0.2">
      <c r="A103" s="4">
        <v>43525</v>
      </c>
      <c r="B103" s="3">
        <v>47.3</v>
      </c>
    </row>
    <row r="104" spans="1:2" x14ac:dyDescent="0.2">
      <c r="A104" s="4">
        <v>43556</v>
      </c>
      <c r="B104" s="3">
        <v>46.6</v>
      </c>
    </row>
    <row r="105" spans="1:2" x14ac:dyDescent="0.2">
      <c r="A105" s="4">
        <v>43586</v>
      </c>
      <c r="B105" s="3">
        <v>46.6</v>
      </c>
    </row>
    <row r="106" spans="1:2" x14ac:dyDescent="0.2">
      <c r="A106" s="4">
        <v>43617</v>
      </c>
      <c r="B106" s="3">
        <v>45.9</v>
      </c>
    </row>
    <row r="107" spans="1:2" x14ac:dyDescent="0.2">
      <c r="A107" s="4">
        <v>43647</v>
      </c>
      <c r="B107" s="3">
        <v>43.1</v>
      </c>
    </row>
    <row r="108" spans="1:2" x14ac:dyDescent="0.2">
      <c r="A108" s="4">
        <v>43678</v>
      </c>
      <c r="B108" s="3">
        <v>44.9</v>
      </c>
    </row>
    <row r="109" spans="1:2" x14ac:dyDescent="0.2">
      <c r="A109" s="4">
        <v>43709</v>
      </c>
      <c r="B109" s="3">
        <v>44.9</v>
      </c>
    </row>
    <row r="110" spans="1:2" x14ac:dyDescent="0.2">
      <c r="A110" s="4">
        <v>43739</v>
      </c>
      <c r="B110" s="3">
        <v>45</v>
      </c>
    </row>
    <row r="111" spans="1:2" x14ac:dyDescent="0.2">
      <c r="A111" s="4">
        <v>43770</v>
      </c>
      <c r="B111" s="3">
        <v>43.5</v>
      </c>
    </row>
    <row r="112" spans="1:2" x14ac:dyDescent="0.2">
      <c r="A112" s="4">
        <v>43800</v>
      </c>
      <c r="B112" s="3">
        <v>43.6</v>
      </c>
    </row>
    <row r="113" spans="1:2" x14ac:dyDescent="0.2">
      <c r="A113" s="4">
        <v>43831</v>
      </c>
      <c r="B113" s="3">
        <v>45.2</v>
      </c>
    </row>
    <row r="114" spans="1:2" x14ac:dyDescent="0.2">
      <c r="A114" s="4">
        <v>43862</v>
      </c>
      <c r="B114" s="3">
        <v>46.5</v>
      </c>
    </row>
    <row r="115" spans="1:2" x14ac:dyDescent="0.2">
      <c r="A115" s="4">
        <v>43891</v>
      </c>
      <c r="B115" s="3">
        <v>41.3</v>
      </c>
    </row>
    <row r="116" spans="1:2" x14ac:dyDescent="0.2">
      <c r="A116" s="4">
        <v>43922</v>
      </c>
      <c r="B116" s="3">
        <v>35.1</v>
      </c>
    </row>
    <row r="117" spans="1:2" x14ac:dyDescent="0.2">
      <c r="A117" s="4">
        <v>43952</v>
      </c>
      <c r="B117" s="3">
        <v>39.6</v>
      </c>
    </row>
    <row r="118" spans="1:2" x14ac:dyDescent="0.2">
      <c r="A118" s="4">
        <v>43983</v>
      </c>
      <c r="B118" s="3">
        <v>44.9</v>
      </c>
    </row>
    <row r="119" spans="1:2" x14ac:dyDescent="0.2">
      <c r="A119" s="4">
        <v>44013</v>
      </c>
      <c r="B119" s="3">
        <v>47</v>
      </c>
    </row>
    <row r="120" spans="1:2" x14ac:dyDescent="0.2">
      <c r="A120" s="4">
        <v>44044</v>
      </c>
      <c r="B120" s="3">
        <v>49.1</v>
      </c>
    </row>
    <row r="121" spans="1:2" x14ac:dyDescent="0.2">
      <c r="A121" s="4">
        <v>44075</v>
      </c>
      <c r="B121" s="3">
        <v>50.7</v>
      </c>
    </row>
    <row r="122" spans="1:2" x14ac:dyDescent="0.2">
      <c r="A122" s="4">
        <v>44105</v>
      </c>
      <c r="B122" s="3">
        <v>51.9</v>
      </c>
    </row>
    <row r="123" spans="1:2" x14ac:dyDescent="0.2">
      <c r="A123" s="4">
        <v>44136</v>
      </c>
      <c r="B123" s="3">
        <v>53.9</v>
      </c>
    </row>
    <row r="124" spans="1:2" x14ac:dyDescent="0.2">
      <c r="A124" s="4">
        <v>44166</v>
      </c>
      <c r="B124" s="3">
        <v>57</v>
      </c>
    </row>
    <row r="125" spans="1:2" x14ac:dyDescent="0.2">
      <c r="A125" s="4">
        <v>44197</v>
      </c>
      <c r="B125" s="3">
        <v>57</v>
      </c>
    </row>
    <row r="126" spans="1:2" x14ac:dyDescent="0.2">
      <c r="A126" s="4">
        <v>44228</v>
      </c>
      <c r="B126" s="3">
        <v>56.5</v>
      </c>
    </row>
    <row r="127" spans="1:2" x14ac:dyDescent="0.2">
      <c r="A127" s="4">
        <v>44256</v>
      </c>
      <c r="B127" s="3">
        <v>58</v>
      </c>
    </row>
    <row r="128" spans="1:2" x14ac:dyDescent="0.2">
      <c r="A128" s="4">
        <v>44287</v>
      </c>
      <c r="B128" s="3">
        <v>58.9</v>
      </c>
    </row>
    <row r="129" spans="1:2" x14ac:dyDescent="0.2">
      <c r="A129" s="4">
        <v>44317</v>
      </c>
      <c r="B129" s="3">
        <v>61.8</v>
      </c>
    </row>
    <row r="130" spans="1:2" x14ac:dyDescent="0.2">
      <c r="A130" s="4">
        <v>44348</v>
      </c>
      <c r="B130" s="3">
        <v>62.7</v>
      </c>
    </row>
    <row r="131" spans="1:2" x14ac:dyDescent="0.2">
      <c r="A131" s="4">
        <v>44378</v>
      </c>
      <c r="B131" s="3">
        <v>62</v>
      </c>
    </row>
    <row r="132" spans="1:2" x14ac:dyDescent="0.2">
      <c r="A132" s="4">
        <v>44409</v>
      </c>
      <c r="B132" s="3">
        <v>61</v>
      </c>
    </row>
    <row r="133" spans="1:2" x14ac:dyDescent="0.2">
      <c r="A133" s="4">
        <v>44440</v>
      </c>
      <c r="B133" s="3">
        <v>58</v>
      </c>
    </row>
    <row r="134" spans="1:2" x14ac:dyDescent="0.2">
      <c r="A134" s="4">
        <v>44470</v>
      </c>
      <c r="B134" s="3">
        <v>55.1</v>
      </c>
    </row>
    <row r="135" spans="1:2" x14ac:dyDescent="0.2">
      <c r="A135" s="4">
        <v>44501</v>
      </c>
      <c r="B135" s="3">
        <v>57.1</v>
      </c>
    </row>
    <row r="136" spans="1:2" x14ac:dyDescent="0.2">
      <c r="A136" s="4">
        <v>44531</v>
      </c>
      <c r="B136" s="3">
        <v>59.1</v>
      </c>
    </row>
  </sheetData>
  <conditionalFormatting sqref="B2:B13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232E7D-EF10-4686-823B-E4538920B377}">
  <dimension ref="A1:B136"/>
  <sheetViews>
    <sheetView zoomScale="170" zoomScaleNormal="170" workbookViewId="0">
      <pane ySplit="1" topLeftCell="A2" activePane="bottomLeft" state="frozen"/>
      <selection pane="bottomLeft" activeCell="C1" sqref="C1:C1048576"/>
    </sheetView>
  </sheetViews>
  <sheetFormatPr baseColWidth="10" defaultColWidth="9.1640625" defaultRowHeight="15" x14ac:dyDescent="0.2"/>
  <cols>
    <col min="1" max="1" width="13.5" style="2" customWidth="1"/>
    <col min="2" max="2" width="11.33203125" style="2" customWidth="1"/>
    <col min="3" max="16384" width="9.1640625" style="2"/>
  </cols>
  <sheetData>
    <row r="1" spans="1:2" ht="16" thickBot="1" x14ac:dyDescent="0.25">
      <c r="A1" s="11" t="s">
        <v>0</v>
      </c>
      <c r="B1" s="12" t="s">
        <v>25</v>
      </c>
    </row>
    <row r="2" spans="1:2" x14ac:dyDescent="0.2">
      <c r="A2" s="8">
        <v>40452</v>
      </c>
      <c r="B2" s="9">
        <v>55.6</v>
      </c>
    </row>
    <row r="3" spans="1:2" x14ac:dyDescent="0.2">
      <c r="A3" s="4">
        <v>40483</v>
      </c>
      <c r="B3" s="3">
        <v>55.9</v>
      </c>
    </row>
    <row r="4" spans="1:2" x14ac:dyDescent="0.2">
      <c r="A4" s="4">
        <v>40513</v>
      </c>
      <c r="B4" s="3">
        <v>56.3</v>
      </c>
    </row>
    <row r="5" spans="1:2" x14ac:dyDescent="0.2">
      <c r="A5" s="4">
        <v>40544</v>
      </c>
      <c r="B5" s="3">
        <v>55.6</v>
      </c>
    </row>
    <row r="6" spans="1:2" x14ac:dyDescent="0.2">
      <c r="A6" s="4">
        <v>40575</v>
      </c>
      <c r="B6" s="3">
        <v>53.8</v>
      </c>
    </row>
    <row r="7" spans="1:2" x14ac:dyDescent="0.2">
      <c r="A7" s="4">
        <v>40603</v>
      </c>
      <c r="B7" s="3">
        <v>54.8</v>
      </c>
    </row>
    <row r="8" spans="1:2" x14ac:dyDescent="0.2">
      <c r="A8" s="4">
        <v>40634</v>
      </c>
      <c r="B8" s="3">
        <v>54.4</v>
      </c>
    </row>
    <row r="9" spans="1:2" x14ac:dyDescent="0.2">
      <c r="A9" s="4">
        <v>40664</v>
      </c>
      <c r="B9" s="3">
        <v>52.6</v>
      </c>
    </row>
    <row r="10" spans="1:2" x14ac:dyDescent="0.2">
      <c r="A10" s="4">
        <v>40695</v>
      </c>
      <c r="B10" s="3">
        <v>51.2</v>
      </c>
    </row>
    <row r="11" spans="1:2" x14ac:dyDescent="0.2">
      <c r="A11" s="4">
        <v>40725</v>
      </c>
      <c r="B11" s="3">
        <v>52.9</v>
      </c>
    </row>
    <row r="12" spans="1:2" x14ac:dyDescent="0.2">
      <c r="A12" s="4">
        <v>40756</v>
      </c>
      <c r="B12" s="3">
        <v>51.8</v>
      </c>
    </row>
    <row r="13" spans="1:2" x14ac:dyDescent="0.2">
      <c r="A13" s="4">
        <v>40787</v>
      </c>
      <c r="B13" s="3">
        <v>50.2</v>
      </c>
    </row>
    <row r="14" spans="1:2" x14ac:dyDescent="0.2">
      <c r="A14" s="4">
        <v>40817</v>
      </c>
      <c r="B14" s="3">
        <v>51.7</v>
      </c>
    </row>
    <row r="15" spans="1:2" x14ac:dyDescent="0.2">
      <c r="A15" s="4">
        <v>40848</v>
      </c>
      <c r="B15" s="3">
        <v>49.5</v>
      </c>
    </row>
    <row r="16" spans="1:2" x14ac:dyDescent="0.2">
      <c r="A16" s="4">
        <v>40878</v>
      </c>
      <c r="B16" s="3">
        <v>48.8</v>
      </c>
    </row>
    <row r="17" spans="1:2" x14ac:dyDescent="0.2">
      <c r="A17" s="4">
        <v>40909</v>
      </c>
      <c r="B17" s="3">
        <v>52.2</v>
      </c>
    </row>
    <row r="18" spans="1:2" x14ac:dyDescent="0.2">
      <c r="A18" s="4">
        <v>40940</v>
      </c>
      <c r="B18" s="3">
        <v>50</v>
      </c>
    </row>
    <row r="19" spans="1:2" x14ac:dyDescent="0.2">
      <c r="A19" s="4">
        <v>40969</v>
      </c>
      <c r="B19" s="3">
        <v>50.1</v>
      </c>
    </row>
    <row r="20" spans="1:2" x14ac:dyDescent="0.2">
      <c r="A20" s="4">
        <v>41000</v>
      </c>
      <c r="B20" s="3">
        <v>49.2</v>
      </c>
    </row>
    <row r="21" spans="1:2" x14ac:dyDescent="0.2">
      <c r="A21" s="4">
        <v>41030</v>
      </c>
      <c r="B21" s="3">
        <v>48.9</v>
      </c>
    </row>
    <row r="22" spans="1:2" x14ac:dyDescent="0.2">
      <c r="A22" s="4">
        <v>41061</v>
      </c>
      <c r="B22" s="3">
        <v>48</v>
      </c>
    </row>
    <row r="23" spans="1:2" x14ac:dyDescent="0.2">
      <c r="A23" s="4">
        <v>41091</v>
      </c>
      <c r="B23" s="3">
        <v>49.7</v>
      </c>
    </row>
    <row r="24" spans="1:2" x14ac:dyDescent="0.2">
      <c r="A24" s="4">
        <v>41122</v>
      </c>
      <c r="B24" s="3">
        <v>48.3</v>
      </c>
    </row>
    <row r="25" spans="1:2" x14ac:dyDescent="0.2">
      <c r="A25" s="4">
        <v>41153</v>
      </c>
      <c r="B25" s="3">
        <v>47</v>
      </c>
    </row>
    <row r="26" spans="1:2" x14ac:dyDescent="0.2">
      <c r="A26" s="4">
        <v>41183</v>
      </c>
      <c r="B26" s="3">
        <v>47.3</v>
      </c>
    </row>
    <row r="27" spans="1:2" x14ac:dyDescent="0.2">
      <c r="A27" s="4">
        <v>41214</v>
      </c>
      <c r="B27" s="3">
        <v>48.2</v>
      </c>
    </row>
    <row r="28" spans="1:2" x14ac:dyDescent="0.2">
      <c r="A28" s="4">
        <v>41244</v>
      </c>
      <c r="B28" s="3">
        <v>48.3</v>
      </c>
    </row>
    <row r="29" spans="1:2" x14ac:dyDescent="0.2">
      <c r="A29" s="4">
        <v>41275</v>
      </c>
      <c r="B29" s="3">
        <v>48.6</v>
      </c>
    </row>
    <row r="30" spans="1:2" x14ac:dyDescent="0.2">
      <c r="A30" s="4">
        <v>41306</v>
      </c>
      <c r="B30" s="3">
        <v>48.9</v>
      </c>
    </row>
    <row r="31" spans="1:2" x14ac:dyDescent="0.2">
      <c r="A31" s="4">
        <v>41334</v>
      </c>
      <c r="B31" s="3">
        <v>48</v>
      </c>
    </row>
    <row r="32" spans="1:2" x14ac:dyDescent="0.2">
      <c r="A32" s="4">
        <v>41365</v>
      </c>
      <c r="B32" s="3">
        <v>48</v>
      </c>
    </row>
    <row r="33" spans="1:2" x14ac:dyDescent="0.2">
      <c r="A33" s="4">
        <v>41395</v>
      </c>
      <c r="B33" s="3">
        <v>46.9</v>
      </c>
    </row>
    <row r="34" spans="1:2" x14ac:dyDescent="0.2">
      <c r="A34" s="4">
        <v>41426</v>
      </c>
      <c r="B34" s="3">
        <v>48</v>
      </c>
    </row>
    <row r="35" spans="1:2" x14ac:dyDescent="0.2">
      <c r="A35" s="4">
        <v>41456</v>
      </c>
      <c r="B35" s="3">
        <v>49.3</v>
      </c>
    </row>
    <row r="36" spans="1:2" x14ac:dyDescent="0.2">
      <c r="A36" s="4">
        <v>41487</v>
      </c>
      <c r="B36" s="3">
        <v>51.1</v>
      </c>
    </row>
    <row r="37" spans="1:2" x14ac:dyDescent="0.2">
      <c r="A37" s="4">
        <v>41518</v>
      </c>
      <c r="B37" s="3">
        <v>52.6</v>
      </c>
    </row>
    <row r="38" spans="1:2" x14ac:dyDescent="0.2">
      <c r="A38" s="4">
        <v>41548</v>
      </c>
      <c r="B38" s="3">
        <v>53.4</v>
      </c>
    </row>
    <row r="39" spans="1:2" x14ac:dyDescent="0.2">
      <c r="A39" s="4">
        <v>41579</v>
      </c>
      <c r="B39" s="3">
        <v>54.4</v>
      </c>
    </row>
    <row r="40" spans="1:2" x14ac:dyDescent="0.2">
      <c r="A40" s="4">
        <v>41609</v>
      </c>
      <c r="B40" s="3">
        <v>53.2</v>
      </c>
    </row>
    <row r="41" spans="1:2" x14ac:dyDescent="0.2">
      <c r="A41" s="4">
        <v>41640</v>
      </c>
      <c r="B41" s="3">
        <v>55.4</v>
      </c>
    </row>
    <row r="42" spans="1:2" x14ac:dyDescent="0.2">
      <c r="A42" s="4">
        <v>41671</v>
      </c>
      <c r="B42" s="3">
        <v>55.9</v>
      </c>
    </row>
    <row r="43" spans="1:2" x14ac:dyDescent="0.2">
      <c r="A43" s="4">
        <v>41699</v>
      </c>
      <c r="B43" s="3">
        <v>54</v>
      </c>
    </row>
    <row r="44" spans="1:2" x14ac:dyDescent="0.2">
      <c r="A44" s="4">
        <v>41730</v>
      </c>
      <c r="B44" s="3">
        <v>51.1</v>
      </c>
    </row>
    <row r="45" spans="1:2" x14ac:dyDescent="0.2">
      <c r="A45" s="4">
        <v>41760</v>
      </c>
      <c r="B45" s="3">
        <v>50.8</v>
      </c>
    </row>
    <row r="46" spans="1:2" x14ac:dyDescent="0.2">
      <c r="A46" s="4">
        <v>41791</v>
      </c>
      <c r="B46" s="3">
        <v>50.3</v>
      </c>
    </row>
    <row r="47" spans="1:2" x14ac:dyDescent="0.2">
      <c r="A47" s="4">
        <v>41821</v>
      </c>
      <c r="B47" s="3">
        <v>49.4</v>
      </c>
    </row>
    <row r="48" spans="1:2" x14ac:dyDescent="0.2">
      <c r="A48" s="4">
        <v>41852</v>
      </c>
      <c r="B48" s="3">
        <v>49</v>
      </c>
    </row>
    <row r="49" spans="1:2" x14ac:dyDescent="0.2">
      <c r="A49" s="4">
        <v>41883</v>
      </c>
      <c r="B49" s="3">
        <v>49.5</v>
      </c>
    </row>
    <row r="50" spans="1:2" x14ac:dyDescent="0.2">
      <c r="A50" s="4">
        <v>41913</v>
      </c>
      <c r="B50" s="3">
        <v>51.2</v>
      </c>
    </row>
    <row r="51" spans="1:2" x14ac:dyDescent="0.2">
      <c r="A51" s="4">
        <v>41944</v>
      </c>
      <c r="B51" s="3">
        <v>53.2</v>
      </c>
    </row>
    <row r="52" spans="1:2" x14ac:dyDescent="0.2">
      <c r="A52" s="4">
        <v>41974</v>
      </c>
      <c r="B52" s="3">
        <v>52.8</v>
      </c>
    </row>
    <row r="53" spans="1:2" x14ac:dyDescent="0.2">
      <c r="A53" s="4">
        <v>42005</v>
      </c>
      <c r="B53" s="3">
        <v>55.2</v>
      </c>
    </row>
    <row r="54" spans="1:2" x14ac:dyDescent="0.2">
      <c r="A54" s="4">
        <v>42036</v>
      </c>
      <c r="B54" s="3">
        <v>55.1</v>
      </c>
    </row>
    <row r="55" spans="1:2" x14ac:dyDescent="0.2">
      <c r="A55" s="4">
        <v>42064</v>
      </c>
      <c r="B55" s="3">
        <v>54.8</v>
      </c>
    </row>
    <row r="56" spans="1:2" x14ac:dyDescent="0.2">
      <c r="A56" s="4">
        <v>42095</v>
      </c>
      <c r="B56" s="3">
        <v>54</v>
      </c>
    </row>
    <row r="57" spans="1:2" x14ac:dyDescent="0.2">
      <c r="A57" s="4">
        <v>42125</v>
      </c>
      <c r="B57" s="3">
        <v>52.4</v>
      </c>
    </row>
    <row r="58" spans="1:2" x14ac:dyDescent="0.2">
      <c r="A58" s="4">
        <v>42156</v>
      </c>
      <c r="B58" s="3">
        <v>54.3</v>
      </c>
    </row>
    <row r="59" spans="1:2" x14ac:dyDescent="0.2">
      <c r="A59" s="4">
        <v>42186</v>
      </c>
      <c r="B59" s="3">
        <v>54.5</v>
      </c>
    </row>
    <row r="60" spans="1:2" x14ac:dyDescent="0.2">
      <c r="A60" s="4">
        <v>42217</v>
      </c>
      <c r="B60" s="3">
        <v>51.1</v>
      </c>
    </row>
    <row r="61" spans="1:2" x14ac:dyDescent="0.2">
      <c r="A61" s="4">
        <v>42248</v>
      </c>
      <c r="B61" s="3">
        <v>50.9</v>
      </c>
    </row>
    <row r="62" spans="1:2" x14ac:dyDescent="0.2">
      <c r="A62" s="4">
        <v>42278</v>
      </c>
      <c r="B62" s="3">
        <v>52.2</v>
      </c>
    </row>
    <row r="63" spans="1:2" x14ac:dyDescent="0.2">
      <c r="A63" s="4">
        <v>42309</v>
      </c>
      <c r="B63" s="3">
        <v>52.1</v>
      </c>
    </row>
    <row r="64" spans="1:2" x14ac:dyDescent="0.2">
      <c r="A64" s="4">
        <v>42339</v>
      </c>
      <c r="B64" s="3">
        <v>52.1</v>
      </c>
    </row>
    <row r="65" spans="1:2" x14ac:dyDescent="0.2">
      <c r="A65" s="4">
        <v>42370</v>
      </c>
      <c r="B65" s="3">
        <v>50.9</v>
      </c>
    </row>
    <row r="66" spans="1:2" x14ac:dyDescent="0.2">
      <c r="A66" s="4">
        <v>42401</v>
      </c>
      <c r="B66" s="3">
        <v>52.8</v>
      </c>
    </row>
    <row r="67" spans="1:2" x14ac:dyDescent="0.2">
      <c r="A67" s="4">
        <v>42430</v>
      </c>
      <c r="B67" s="3">
        <v>53.8</v>
      </c>
    </row>
    <row r="68" spans="1:2" x14ac:dyDescent="0.2">
      <c r="A68" s="4">
        <v>42461</v>
      </c>
      <c r="B68" s="3">
        <v>51</v>
      </c>
    </row>
    <row r="69" spans="1:2" x14ac:dyDescent="0.2">
      <c r="A69" s="4">
        <v>42491</v>
      </c>
      <c r="B69" s="3">
        <v>52.1</v>
      </c>
    </row>
    <row r="70" spans="1:2" x14ac:dyDescent="0.2">
      <c r="A70" s="4">
        <v>42522</v>
      </c>
      <c r="B70" s="3">
        <v>51.8</v>
      </c>
    </row>
    <row r="71" spans="1:2" x14ac:dyDescent="0.2">
      <c r="A71" s="4">
        <v>42552</v>
      </c>
      <c r="B71" s="3">
        <v>50.3</v>
      </c>
    </row>
    <row r="72" spans="1:2" x14ac:dyDescent="0.2">
      <c r="A72" s="4">
        <v>42583</v>
      </c>
      <c r="B72" s="3">
        <v>51.5</v>
      </c>
    </row>
    <row r="73" spans="1:2" x14ac:dyDescent="0.2">
      <c r="A73" s="4">
        <v>42614</v>
      </c>
      <c r="B73" s="3">
        <v>52.2</v>
      </c>
    </row>
    <row r="74" spans="1:2" x14ac:dyDescent="0.2">
      <c r="A74" s="4">
        <v>42644</v>
      </c>
      <c r="B74" s="3">
        <v>50.2</v>
      </c>
    </row>
    <row r="75" spans="1:2" x14ac:dyDescent="0.2">
      <c r="A75" s="4">
        <v>42675</v>
      </c>
      <c r="B75" s="3">
        <v>51.9</v>
      </c>
    </row>
    <row r="76" spans="1:2" x14ac:dyDescent="0.2">
      <c r="A76" s="4">
        <v>42705</v>
      </c>
      <c r="B76" s="3">
        <v>54.3</v>
      </c>
    </row>
    <row r="77" spans="1:2" x14ac:dyDescent="0.2">
      <c r="A77" s="4">
        <v>42736</v>
      </c>
      <c r="B77" s="3">
        <v>54.8</v>
      </c>
    </row>
    <row r="78" spans="1:2" x14ac:dyDescent="0.2">
      <c r="A78" s="4">
        <v>42767</v>
      </c>
      <c r="B78" s="3">
        <v>54.2</v>
      </c>
    </row>
    <row r="79" spans="1:2" x14ac:dyDescent="0.2">
      <c r="A79" s="4">
        <v>42795</v>
      </c>
      <c r="B79" s="3">
        <v>53.5</v>
      </c>
    </row>
    <row r="80" spans="1:2" x14ac:dyDescent="0.2">
      <c r="A80" s="4">
        <v>42826</v>
      </c>
      <c r="B80" s="3">
        <v>54.1</v>
      </c>
    </row>
    <row r="81" spans="1:2" x14ac:dyDescent="0.2">
      <c r="A81" s="4">
        <v>42856</v>
      </c>
      <c r="B81" s="3">
        <v>52.7</v>
      </c>
    </row>
    <row r="82" spans="1:2" x14ac:dyDescent="0.2">
      <c r="A82" s="4">
        <v>42887</v>
      </c>
      <c r="B82" s="3">
        <v>53.1</v>
      </c>
    </row>
    <row r="83" spans="1:2" x14ac:dyDescent="0.2">
      <c r="A83" s="4">
        <v>42917</v>
      </c>
      <c r="B83" s="3">
        <v>52.3</v>
      </c>
    </row>
    <row r="84" spans="1:2" x14ac:dyDescent="0.2">
      <c r="A84" s="4">
        <v>42948</v>
      </c>
      <c r="B84" s="3">
        <v>52.5</v>
      </c>
    </row>
    <row r="85" spans="1:2" x14ac:dyDescent="0.2">
      <c r="A85" s="4">
        <v>42979</v>
      </c>
      <c r="B85" s="3">
        <v>53.7</v>
      </c>
    </row>
    <row r="86" spans="1:2" x14ac:dyDescent="0.2">
      <c r="A86" s="4">
        <v>43009</v>
      </c>
      <c r="B86" s="3">
        <v>53.4</v>
      </c>
    </row>
    <row r="87" spans="1:2" x14ac:dyDescent="0.2">
      <c r="A87" s="4">
        <v>43040</v>
      </c>
      <c r="B87" s="3">
        <v>54.2</v>
      </c>
    </row>
    <row r="88" spans="1:2" x14ac:dyDescent="0.2">
      <c r="A88" s="4">
        <v>43070</v>
      </c>
      <c r="B88" s="3">
        <v>55</v>
      </c>
    </row>
    <row r="89" spans="1:2" x14ac:dyDescent="0.2">
      <c r="A89" s="4">
        <v>43101</v>
      </c>
      <c r="B89" s="3">
        <v>54.6</v>
      </c>
    </row>
    <row r="90" spans="1:2" x14ac:dyDescent="0.2">
      <c r="A90" s="4">
        <v>43132</v>
      </c>
      <c r="B90" s="3">
        <v>53.7</v>
      </c>
    </row>
    <row r="91" spans="1:2" x14ac:dyDescent="0.2">
      <c r="A91" s="4">
        <v>43160</v>
      </c>
      <c r="B91" s="3">
        <v>53.7</v>
      </c>
    </row>
    <row r="92" spans="1:2" x14ac:dyDescent="0.2">
      <c r="A92" s="4">
        <v>43191</v>
      </c>
      <c r="B92" s="3">
        <v>53.9</v>
      </c>
    </row>
    <row r="93" spans="1:2" x14ac:dyDescent="0.2">
      <c r="A93" s="4">
        <v>43221</v>
      </c>
      <c r="B93" s="3">
        <v>53.3</v>
      </c>
    </row>
    <row r="94" spans="1:2" x14ac:dyDescent="0.2">
      <c r="A94" s="4">
        <v>43252</v>
      </c>
      <c r="B94" s="3">
        <v>54.2</v>
      </c>
    </row>
    <row r="95" spans="1:2" x14ac:dyDescent="0.2">
      <c r="A95" s="4">
        <v>43282</v>
      </c>
      <c r="B95" s="3">
        <v>52.9</v>
      </c>
    </row>
    <row r="96" spans="1:2" x14ac:dyDescent="0.2">
      <c r="A96" s="4">
        <v>43313</v>
      </c>
      <c r="B96" s="3">
        <v>51.4</v>
      </c>
    </row>
    <row r="97" spans="1:2" x14ac:dyDescent="0.2">
      <c r="A97" s="4">
        <v>43344</v>
      </c>
      <c r="B97" s="3">
        <v>50.5</v>
      </c>
    </row>
    <row r="98" spans="1:2" x14ac:dyDescent="0.2">
      <c r="A98" s="4">
        <v>43374</v>
      </c>
      <c r="B98" s="3">
        <v>50.4</v>
      </c>
    </row>
    <row r="99" spans="1:2" x14ac:dyDescent="0.2">
      <c r="A99" s="4">
        <v>43405</v>
      </c>
      <c r="B99" s="3">
        <v>49.5</v>
      </c>
    </row>
    <row r="100" spans="1:2" x14ac:dyDescent="0.2">
      <c r="A100" s="4">
        <v>43435</v>
      </c>
      <c r="B100" s="3">
        <v>47.6</v>
      </c>
    </row>
    <row r="101" spans="1:2" x14ac:dyDescent="0.2">
      <c r="A101" s="4">
        <v>43466</v>
      </c>
      <c r="B101" s="3">
        <v>48.2</v>
      </c>
    </row>
    <row r="102" spans="1:2" x14ac:dyDescent="0.2">
      <c r="A102" s="4">
        <v>43497</v>
      </c>
      <c r="B102" s="3">
        <v>47.6</v>
      </c>
    </row>
    <row r="103" spans="1:2" x14ac:dyDescent="0.2">
      <c r="A103" s="4">
        <v>43525</v>
      </c>
      <c r="B103" s="3">
        <v>48.7</v>
      </c>
    </row>
    <row r="104" spans="1:2" x14ac:dyDescent="0.2">
      <c r="A104" s="4">
        <v>43556</v>
      </c>
      <c r="B104" s="3">
        <v>49</v>
      </c>
    </row>
    <row r="105" spans="1:2" x14ac:dyDescent="0.2">
      <c r="A105" s="4">
        <v>43586</v>
      </c>
      <c r="B105" s="3">
        <v>48.8</v>
      </c>
    </row>
    <row r="106" spans="1:2" x14ac:dyDescent="0.2">
      <c r="A106" s="4">
        <v>43617</v>
      </c>
      <c r="B106" s="3">
        <v>48.4</v>
      </c>
    </row>
    <row r="107" spans="1:2" x14ac:dyDescent="0.2">
      <c r="A107" s="4">
        <v>43647</v>
      </c>
      <c r="B107" s="3">
        <v>47.4</v>
      </c>
    </row>
    <row r="108" spans="1:2" x14ac:dyDescent="0.2">
      <c r="A108" s="4">
        <v>43678</v>
      </c>
      <c r="B108" s="3">
        <v>48.8</v>
      </c>
    </row>
    <row r="109" spans="1:2" x14ac:dyDescent="0.2">
      <c r="A109" s="4">
        <v>43709</v>
      </c>
      <c r="B109" s="3">
        <v>47.8</v>
      </c>
    </row>
    <row r="110" spans="1:2" x14ac:dyDescent="0.2">
      <c r="A110" s="4">
        <v>43739</v>
      </c>
      <c r="B110" s="3">
        <v>45.6</v>
      </c>
    </row>
    <row r="111" spans="1:2" x14ac:dyDescent="0.2">
      <c r="A111" s="4">
        <v>43770</v>
      </c>
      <c r="B111" s="3">
        <v>46.7</v>
      </c>
    </row>
    <row r="112" spans="1:2" x14ac:dyDescent="0.2">
      <c r="A112" s="4">
        <v>43800</v>
      </c>
      <c r="B112" s="3">
        <v>48</v>
      </c>
    </row>
    <row r="113" spans="1:2" x14ac:dyDescent="0.2">
      <c r="A113" s="4">
        <v>43831</v>
      </c>
      <c r="B113" s="3">
        <v>47.4</v>
      </c>
    </row>
    <row r="114" spans="1:2" x14ac:dyDescent="0.2">
      <c r="A114" s="4">
        <v>43862</v>
      </c>
      <c r="B114" s="3">
        <v>48.2</v>
      </c>
    </row>
    <row r="115" spans="1:2" x14ac:dyDescent="0.2">
      <c r="A115" s="4">
        <v>43891</v>
      </c>
      <c r="B115" s="3">
        <v>42.4</v>
      </c>
    </row>
    <row r="116" spans="1:2" x14ac:dyDescent="0.2">
      <c r="A116" s="4">
        <v>43922</v>
      </c>
      <c r="B116" s="3">
        <v>31.9</v>
      </c>
    </row>
    <row r="117" spans="1:2" x14ac:dyDescent="0.2">
      <c r="A117" s="4">
        <v>43952</v>
      </c>
      <c r="B117" s="3">
        <v>40.6</v>
      </c>
    </row>
    <row r="118" spans="1:2" x14ac:dyDescent="0.2">
      <c r="A118" s="4">
        <v>43983</v>
      </c>
      <c r="B118" s="3">
        <v>47.2</v>
      </c>
    </row>
    <row r="119" spans="1:2" x14ac:dyDescent="0.2">
      <c r="A119" s="4">
        <v>44013</v>
      </c>
      <c r="B119" s="3">
        <v>52.8</v>
      </c>
    </row>
    <row r="120" spans="1:2" x14ac:dyDescent="0.2">
      <c r="A120" s="4">
        <v>44044</v>
      </c>
      <c r="B120" s="3">
        <v>50.6</v>
      </c>
    </row>
    <row r="121" spans="1:2" x14ac:dyDescent="0.2">
      <c r="A121" s="4">
        <v>44075</v>
      </c>
      <c r="B121" s="3">
        <v>50.8</v>
      </c>
    </row>
    <row r="122" spans="1:2" x14ac:dyDescent="0.2">
      <c r="A122" s="4">
        <v>44105</v>
      </c>
      <c r="B122" s="3">
        <v>50.8</v>
      </c>
    </row>
    <row r="123" spans="1:2" x14ac:dyDescent="0.2">
      <c r="A123" s="4">
        <v>44136</v>
      </c>
      <c r="B123" s="3">
        <v>50.8</v>
      </c>
    </row>
    <row r="124" spans="1:2" x14ac:dyDescent="0.2">
      <c r="A124" s="4">
        <v>44166</v>
      </c>
      <c r="B124" s="3">
        <v>51.7</v>
      </c>
    </row>
    <row r="125" spans="1:2" x14ac:dyDescent="0.2">
      <c r="A125" s="4">
        <v>44197</v>
      </c>
      <c r="B125" s="3">
        <v>51.9</v>
      </c>
    </row>
    <row r="126" spans="1:2" x14ac:dyDescent="0.2">
      <c r="A126" s="4">
        <v>44228</v>
      </c>
      <c r="B126" s="3">
        <v>53.4</v>
      </c>
    </row>
    <row r="127" spans="1:2" x14ac:dyDescent="0.2">
      <c r="A127" s="4">
        <v>44256</v>
      </c>
      <c r="B127" s="3">
        <v>54.3</v>
      </c>
    </row>
    <row r="128" spans="1:2" x14ac:dyDescent="0.2">
      <c r="A128" s="4">
        <v>44287</v>
      </c>
      <c r="B128" s="3">
        <v>53.7</v>
      </c>
    </row>
    <row r="129" spans="1:2" x14ac:dyDescent="0.2">
      <c r="A129" s="4">
        <v>44317</v>
      </c>
      <c r="B129" s="3">
        <v>57.2</v>
      </c>
    </row>
    <row r="130" spans="1:2" x14ac:dyDescent="0.2">
      <c r="A130" s="4">
        <v>44348</v>
      </c>
      <c r="B130" s="3">
        <v>59.4</v>
      </c>
    </row>
    <row r="131" spans="1:2" x14ac:dyDescent="0.2">
      <c r="A131" s="4">
        <v>44378</v>
      </c>
      <c r="B131" s="3">
        <v>57.6</v>
      </c>
    </row>
    <row r="132" spans="1:2" x14ac:dyDescent="0.2">
      <c r="A132" s="4">
        <v>44409</v>
      </c>
      <c r="B132" s="3">
        <v>56</v>
      </c>
    </row>
    <row r="133" spans="1:2" x14ac:dyDescent="0.2">
      <c r="A133" s="4">
        <v>44440</v>
      </c>
      <c r="B133" s="3">
        <v>53.4</v>
      </c>
    </row>
    <row r="134" spans="1:2" x14ac:dyDescent="0.2">
      <c r="A134" s="4">
        <v>44470</v>
      </c>
      <c r="B134" s="3">
        <v>53.8</v>
      </c>
    </row>
    <row r="135" spans="1:2" x14ac:dyDescent="0.2">
      <c r="A135" s="4">
        <v>44501</v>
      </c>
      <c r="B135" s="3">
        <v>54.4</v>
      </c>
    </row>
    <row r="136" spans="1:2" x14ac:dyDescent="0.2">
      <c r="A136" s="4">
        <v>44531</v>
      </c>
      <c r="B136" s="3">
        <v>56.1</v>
      </c>
    </row>
  </sheetData>
  <conditionalFormatting sqref="B2:B13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2CA702-35B3-4F71-B056-E4403514A21E}">
  <dimension ref="A1:B337"/>
  <sheetViews>
    <sheetView zoomScale="170" zoomScaleNormal="170" workbookViewId="0">
      <pane ySplit="1" topLeftCell="A2" activePane="bottomLeft" state="frozen"/>
      <selection pane="bottomLeft" activeCell="F321" sqref="F321"/>
    </sheetView>
  </sheetViews>
  <sheetFormatPr baseColWidth="10" defaultColWidth="9.1640625" defaultRowHeight="15" x14ac:dyDescent="0.2"/>
  <cols>
    <col min="1" max="1" width="13.5" style="1" customWidth="1"/>
    <col min="2" max="2" width="11.33203125" style="1" customWidth="1"/>
    <col min="3" max="16384" width="9.1640625" style="1"/>
  </cols>
  <sheetData>
    <row r="1" spans="1:2" ht="16" thickBot="1" x14ac:dyDescent="0.25">
      <c r="A1" s="11" t="s">
        <v>0</v>
      </c>
      <c r="B1" s="12" t="s">
        <v>3</v>
      </c>
    </row>
    <row r="2" spans="1:2" x14ac:dyDescent="0.2">
      <c r="A2" s="8">
        <v>34335</v>
      </c>
      <c r="B2" s="9">
        <v>62.8</v>
      </c>
    </row>
    <row r="3" spans="1:2" x14ac:dyDescent="0.2">
      <c r="A3" s="4">
        <v>34366</v>
      </c>
      <c r="B3" s="3">
        <v>67.53</v>
      </c>
    </row>
    <row r="4" spans="1:2" x14ac:dyDescent="0.2">
      <c r="A4" s="4">
        <v>34394</v>
      </c>
      <c r="B4" s="3">
        <v>61.89</v>
      </c>
    </row>
    <row r="5" spans="1:2" x14ac:dyDescent="0.2">
      <c r="A5" s="4">
        <v>34425</v>
      </c>
      <c r="B5" s="3">
        <v>60.57</v>
      </c>
    </row>
    <row r="6" spans="1:2" x14ac:dyDescent="0.2">
      <c r="A6" s="4">
        <v>34455</v>
      </c>
      <c r="B6" s="3">
        <v>63.1</v>
      </c>
    </row>
    <row r="7" spans="1:2" x14ac:dyDescent="0.2">
      <c r="A7" s="4">
        <v>34486</v>
      </c>
      <c r="B7" s="3">
        <v>62.94</v>
      </c>
    </row>
    <row r="8" spans="1:2" x14ac:dyDescent="0.2">
      <c r="A8" s="4">
        <v>34516</v>
      </c>
      <c r="B8" s="3">
        <v>63.1</v>
      </c>
    </row>
    <row r="9" spans="1:2" x14ac:dyDescent="0.2">
      <c r="A9" s="4">
        <v>34547</v>
      </c>
      <c r="B9" s="3">
        <v>59.49</v>
      </c>
    </row>
    <row r="10" spans="1:2" x14ac:dyDescent="0.2">
      <c r="A10" s="4">
        <v>34578</v>
      </c>
      <c r="B10" s="3">
        <v>59.36</v>
      </c>
    </row>
    <row r="11" spans="1:2" x14ac:dyDescent="0.2">
      <c r="A11" s="4">
        <v>34608</v>
      </c>
      <c r="B11" s="3">
        <v>61.33</v>
      </c>
    </row>
    <row r="12" spans="1:2" x14ac:dyDescent="0.2">
      <c r="A12" s="4">
        <v>34639</v>
      </c>
      <c r="B12" s="3">
        <v>60.53</v>
      </c>
    </row>
    <row r="13" spans="1:2" x14ac:dyDescent="0.2">
      <c r="A13" s="4">
        <v>34669</v>
      </c>
      <c r="B13" s="3">
        <v>62.29</v>
      </c>
    </row>
    <row r="14" spans="1:2" x14ac:dyDescent="0.2">
      <c r="A14" s="4">
        <v>34700</v>
      </c>
      <c r="B14" s="3">
        <v>62.95</v>
      </c>
    </row>
    <row r="15" spans="1:2" x14ac:dyDescent="0.2">
      <c r="A15" s="4">
        <v>34731</v>
      </c>
      <c r="B15" s="3">
        <v>63.78</v>
      </c>
    </row>
    <row r="16" spans="1:2" x14ac:dyDescent="0.2">
      <c r="A16" s="4">
        <v>34759</v>
      </c>
      <c r="B16" s="3">
        <v>61.91</v>
      </c>
    </row>
    <row r="17" spans="1:2" x14ac:dyDescent="0.2">
      <c r="A17" s="4">
        <v>34790</v>
      </c>
      <c r="B17" s="3">
        <v>59.68</v>
      </c>
    </row>
    <row r="18" spans="1:2" x14ac:dyDescent="0.2">
      <c r="A18" s="4">
        <v>34820</v>
      </c>
      <c r="B18" s="3">
        <v>58.91</v>
      </c>
    </row>
    <row r="19" spans="1:2" x14ac:dyDescent="0.2">
      <c r="A19" s="4">
        <v>34851</v>
      </c>
      <c r="B19" s="3">
        <v>58.16</v>
      </c>
    </row>
    <row r="20" spans="1:2" x14ac:dyDescent="0.2">
      <c r="A20" s="4">
        <v>34881</v>
      </c>
      <c r="B20" s="3">
        <v>65.400000000000006</v>
      </c>
    </row>
    <row r="21" spans="1:2" x14ac:dyDescent="0.2">
      <c r="A21" s="4">
        <v>34912</v>
      </c>
      <c r="B21" s="3">
        <v>56.52</v>
      </c>
    </row>
    <row r="22" spans="1:2" x14ac:dyDescent="0.2">
      <c r="A22" s="4">
        <v>34943</v>
      </c>
      <c r="B22" s="3">
        <v>55.66</v>
      </c>
    </row>
    <row r="23" spans="1:2" x14ac:dyDescent="0.2">
      <c r="A23" s="4">
        <v>34973</v>
      </c>
      <c r="B23" s="3">
        <v>53.13</v>
      </c>
    </row>
    <row r="24" spans="1:2" x14ac:dyDescent="0.2">
      <c r="A24" s="4">
        <v>35004</v>
      </c>
      <c r="B24" s="3">
        <v>55.08</v>
      </c>
    </row>
    <row r="25" spans="1:2" x14ac:dyDescent="0.2">
      <c r="A25" s="4">
        <v>35034</v>
      </c>
      <c r="B25" s="3">
        <v>54.03</v>
      </c>
    </row>
    <row r="26" spans="1:2" x14ac:dyDescent="0.2">
      <c r="A26" s="4">
        <v>35065</v>
      </c>
      <c r="B26" s="3">
        <v>50.16</v>
      </c>
    </row>
    <row r="27" spans="1:2" x14ac:dyDescent="0.2">
      <c r="A27" s="4">
        <v>35096</v>
      </c>
      <c r="B27" s="3">
        <v>46.38</v>
      </c>
    </row>
    <row r="28" spans="1:2" x14ac:dyDescent="0.2">
      <c r="A28" s="4">
        <v>35125</v>
      </c>
      <c r="B28" s="3">
        <v>52.65</v>
      </c>
    </row>
    <row r="29" spans="1:2" x14ac:dyDescent="0.2">
      <c r="A29" s="4">
        <v>35156</v>
      </c>
      <c r="B29" s="3">
        <v>54.64</v>
      </c>
    </row>
    <row r="30" spans="1:2" x14ac:dyDescent="0.2">
      <c r="A30" s="4">
        <v>35186</v>
      </c>
      <c r="B30" s="3">
        <v>48.99</v>
      </c>
    </row>
    <row r="31" spans="1:2" x14ac:dyDescent="0.2">
      <c r="A31" s="4">
        <v>35217</v>
      </c>
      <c r="B31" s="3">
        <v>50.64</v>
      </c>
    </row>
    <row r="32" spans="1:2" x14ac:dyDescent="0.2">
      <c r="A32" s="4">
        <v>35247</v>
      </c>
      <c r="B32" s="3">
        <v>54.72</v>
      </c>
    </row>
    <row r="33" spans="1:2" x14ac:dyDescent="0.2">
      <c r="A33" s="4">
        <v>35278</v>
      </c>
      <c r="B33" s="3">
        <v>56.46</v>
      </c>
    </row>
    <row r="34" spans="1:2" x14ac:dyDescent="0.2">
      <c r="A34" s="4">
        <v>35309</v>
      </c>
      <c r="B34" s="3">
        <v>59.28</v>
      </c>
    </row>
    <row r="35" spans="1:2" x14ac:dyDescent="0.2">
      <c r="A35" s="4">
        <v>35339</v>
      </c>
      <c r="B35" s="3">
        <v>57.49</v>
      </c>
    </row>
    <row r="36" spans="1:2" x14ac:dyDescent="0.2">
      <c r="A36" s="4">
        <v>35370</v>
      </c>
      <c r="B36" s="3">
        <v>61.57</v>
      </c>
    </row>
    <row r="37" spans="1:2" x14ac:dyDescent="0.2">
      <c r="A37" s="4">
        <v>35400</v>
      </c>
      <c r="B37" s="3">
        <v>60.71</v>
      </c>
    </row>
    <row r="38" spans="1:2" x14ac:dyDescent="0.2">
      <c r="A38" s="4">
        <v>35431</v>
      </c>
      <c r="B38" s="3">
        <v>62.72</v>
      </c>
    </row>
    <row r="39" spans="1:2" x14ac:dyDescent="0.2">
      <c r="A39" s="4">
        <v>35462</v>
      </c>
      <c r="B39" s="3">
        <v>57.65</v>
      </c>
    </row>
    <row r="40" spans="1:2" x14ac:dyDescent="0.2">
      <c r="A40" s="4">
        <v>35490</v>
      </c>
      <c r="B40" s="3">
        <v>60.39</v>
      </c>
    </row>
    <row r="41" spans="1:2" x14ac:dyDescent="0.2">
      <c r="A41" s="4">
        <v>35521</v>
      </c>
      <c r="B41" s="3">
        <v>60.87</v>
      </c>
    </row>
    <row r="42" spans="1:2" x14ac:dyDescent="0.2">
      <c r="A42" s="4">
        <v>35551</v>
      </c>
      <c r="B42" s="3">
        <v>64.19</v>
      </c>
    </row>
    <row r="43" spans="1:2" x14ac:dyDescent="0.2">
      <c r="A43" s="4">
        <v>35582</v>
      </c>
      <c r="B43" s="3">
        <v>63.39</v>
      </c>
    </row>
    <row r="44" spans="1:2" x14ac:dyDescent="0.2">
      <c r="A44" s="4">
        <v>35612</v>
      </c>
      <c r="B44" s="3">
        <v>54.92</v>
      </c>
    </row>
    <row r="45" spans="1:2" x14ac:dyDescent="0.2">
      <c r="A45" s="4">
        <v>35643</v>
      </c>
      <c r="B45" s="3">
        <v>61.25</v>
      </c>
    </row>
    <row r="46" spans="1:2" x14ac:dyDescent="0.2">
      <c r="A46" s="4">
        <v>35674</v>
      </c>
      <c r="B46" s="3">
        <v>61.84</v>
      </c>
    </row>
    <row r="47" spans="1:2" x14ac:dyDescent="0.2">
      <c r="A47" s="4">
        <v>35704</v>
      </c>
      <c r="B47" s="3">
        <v>58.84</v>
      </c>
    </row>
    <row r="48" spans="1:2" x14ac:dyDescent="0.2">
      <c r="A48" s="4">
        <v>35735</v>
      </c>
      <c r="B48" s="3">
        <v>56.3</v>
      </c>
    </row>
    <row r="49" spans="1:2" x14ac:dyDescent="0.2">
      <c r="A49" s="4">
        <v>35765</v>
      </c>
      <c r="B49" s="3">
        <v>56.74</v>
      </c>
    </row>
    <row r="50" spans="1:2" x14ac:dyDescent="0.2">
      <c r="A50" s="4">
        <v>35796</v>
      </c>
      <c r="B50" s="3">
        <v>55.77</v>
      </c>
    </row>
    <row r="51" spans="1:2" x14ac:dyDescent="0.2">
      <c r="A51" s="4">
        <v>35827</v>
      </c>
      <c r="B51" s="3">
        <v>55.65</v>
      </c>
    </row>
    <row r="52" spans="1:2" x14ac:dyDescent="0.2">
      <c r="A52" s="4">
        <v>35855</v>
      </c>
      <c r="B52" s="3">
        <v>58.86</v>
      </c>
    </row>
    <row r="53" spans="1:2" x14ac:dyDescent="0.2">
      <c r="A53" s="4">
        <v>35886</v>
      </c>
      <c r="B53" s="3">
        <v>58.81</v>
      </c>
    </row>
    <row r="54" spans="1:2" x14ac:dyDescent="0.2">
      <c r="A54" s="4">
        <v>35916</v>
      </c>
      <c r="B54" s="3">
        <v>60.33</v>
      </c>
    </row>
    <row r="55" spans="1:2" x14ac:dyDescent="0.2">
      <c r="A55" s="4">
        <v>35947</v>
      </c>
      <c r="B55" s="3">
        <v>57.46</v>
      </c>
    </row>
    <row r="56" spans="1:2" x14ac:dyDescent="0.2">
      <c r="A56" s="4">
        <v>35977</v>
      </c>
      <c r="B56" s="3">
        <v>50.71</v>
      </c>
    </row>
    <row r="57" spans="1:2" x14ac:dyDescent="0.2">
      <c r="A57" s="4">
        <v>36008</v>
      </c>
      <c r="B57" s="3">
        <v>62.84</v>
      </c>
    </row>
    <row r="58" spans="1:2" x14ac:dyDescent="0.2">
      <c r="A58" s="4">
        <v>36039</v>
      </c>
      <c r="B58" s="3">
        <v>51.54</v>
      </c>
    </row>
    <row r="59" spans="1:2" x14ac:dyDescent="0.2">
      <c r="A59" s="4">
        <v>36069</v>
      </c>
      <c r="B59" s="3">
        <v>54.96</v>
      </c>
    </row>
    <row r="60" spans="1:2" x14ac:dyDescent="0.2">
      <c r="A60" s="4">
        <v>36100</v>
      </c>
      <c r="B60" s="3">
        <v>48.18</v>
      </c>
    </row>
    <row r="61" spans="1:2" x14ac:dyDescent="0.2">
      <c r="A61" s="4">
        <v>36130</v>
      </c>
      <c r="B61" s="3">
        <v>49.94</v>
      </c>
    </row>
    <row r="62" spans="1:2" x14ac:dyDescent="0.2">
      <c r="A62" s="4">
        <v>36161</v>
      </c>
      <c r="B62" s="3">
        <v>53.69</v>
      </c>
    </row>
    <row r="63" spans="1:2" x14ac:dyDescent="0.2">
      <c r="A63" s="4">
        <v>36192</v>
      </c>
      <c r="B63" s="3">
        <v>55.51</v>
      </c>
    </row>
    <row r="64" spans="1:2" x14ac:dyDescent="0.2">
      <c r="A64" s="4">
        <v>36220</v>
      </c>
      <c r="B64" s="3">
        <v>45.32</v>
      </c>
    </row>
    <row r="65" spans="1:2" x14ac:dyDescent="0.2">
      <c r="A65" s="4">
        <v>36251</v>
      </c>
      <c r="B65" s="3">
        <v>50.98</v>
      </c>
    </row>
    <row r="66" spans="1:2" x14ac:dyDescent="0.2">
      <c r="A66" s="4">
        <v>36281</v>
      </c>
      <c r="B66" s="3">
        <v>48.33</v>
      </c>
    </row>
    <row r="67" spans="1:2" x14ac:dyDescent="0.2">
      <c r="A67" s="4">
        <v>36312</v>
      </c>
      <c r="B67" s="3">
        <v>51.51</v>
      </c>
    </row>
    <row r="68" spans="1:2" x14ac:dyDescent="0.2">
      <c r="A68" s="4">
        <v>36342</v>
      </c>
      <c r="B68" s="3">
        <v>53.07</v>
      </c>
    </row>
    <row r="69" spans="1:2" x14ac:dyDescent="0.2">
      <c r="A69" s="4">
        <v>36373</v>
      </c>
      <c r="B69" s="3">
        <v>49.58</v>
      </c>
    </row>
    <row r="70" spans="1:2" x14ac:dyDescent="0.2">
      <c r="A70" s="4">
        <v>36404</v>
      </c>
      <c r="B70" s="3">
        <v>52.05</v>
      </c>
    </row>
    <row r="71" spans="1:2" x14ac:dyDescent="0.2">
      <c r="A71" s="4">
        <v>36434</v>
      </c>
      <c r="B71" s="3">
        <v>69.790000000000006</v>
      </c>
    </row>
    <row r="72" spans="1:2" x14ac:dyDescent="0.2">
      <c r="A72" s="4">
        <v>36465</v>
      </c>
      <c r="B72" s="3">
        <v>64.63</v>
      </c>
    </row>
    <row r="73" spans="1:2" x14ac:dyDescent="0.2">
      <c r="A73" s="4">
        <v>36495</v>
      </c>
      <c r="B73" s="3">
        <v>46.56</v>
      </c>
    </row>
    <row r="74" spans="1:2" x14ac:dyDescent="0.2">
      <c r="A74" s="4">
        <v>36526</v>
      </c>
      <c r="B74" s="3">
        <v>56.5</v>
      </c>
    </row>
    <row r="75" spans="1:2" x14ac:dyDescent="0.2">
      <c r="A75" s="4">
        <v>36557</v>
      </c>
      <c r="B75" s="3">
        <v>60.09</v>
      </c>
    </row>
    <row r="76" spans="1:2" x14ac:dyDescent="0.2">
      <c r="A76" s="4">
        <v>36586</v>
      </c>
      <c r="B76" s="3">
        <v>58.03</v>
      </c>
    </row>
    <row r="77" spans="1:2" x14ac:dyDescent="0.2">
      <c r="A77" s="4">
        <v>36617</v>
      </c>
      <c r="B77" s="3">
        <v>54.9</v>
      </c>
    </row>
    <row r="78" spans="1:2" x14ac:dyDescent="0.2">
      <c r="A78" s="4">
        <v>36647</v>
      </c>
      <c r="B78" s="3">
        <v>55.18</v>
      </c>
    </row>
    <row r="79" spans="1:2" x14ac:dyDescent="0.2">
      <c r="A79" s="4">
        <v>36678</v>
      </c>
      <c r="B79" s="3">
        <v>53.67</v>
      </c>
    </row>
    <row r="80" spans="1:2" x14ac:dyDescent="0.2">
      <c r="A80" s="4">
        <v>36708</v>
      </c>
      <c r="B80" s="3">
        <v>64.069999999999993</v>
      </c>
    </row>
    <row r="81" spans="1:2" x14ac:dyDescent="0.2">
      <c r="A81" s="4">
        <v>36739</v>
      </c>
      <c r="B81" s="3">
        <v>56.81</v>
      </c>
    </row>
    <row r="82" spans="1:2" x14ac:dyDescent="0.2">
      <c r="A82" s="4">
        <v>36770</v>
      </c>
      <c r="B82" s="3">
        <v>56.21</v>
      </c>
    </row>
    <row r="83" spans="1:2" x14ac:dyDescent="0.2">
      <c r="A83" s="4">
        <v>36800</v>
      </c>
      <c r="B83" s="3">
        <v>59.71</v>
      </c>
    </row>
    <row r="84" spans="1:2" x14ac:dyDescent="0.2">
      <c r="A84" s="4">
        <v>36831</v>
      </c>
      <c r="B84" s="3">
        <v>54.29</v>
      </c>
    </row>
    <row r="85" spans="1:2" x14ac:dyDescent="0.2">
      <c r="A85" s="4">
        <v>36861</v>
      </c>
      <c r="B85" s="3">
        <v>55.54</v>
      </c>
    </row>
    <row r="86" spans="1:2" x14ac:dyDescent="0.2">
      <c r="A86" s="4">
        <v>36892</v>
      </c>
      <c r="B86" s="3">
        <v>52.88</v>
      </c>
    </row>
    <row r="87" spans="1:2" x14ac:dyDescent="0.2">
      <c r="A87" s="4">
        <v>36923</v>
      </c>
      <c r="B87" s="3">
        <v>51.59</v>
      </c>
    </row>
    <row r="88" spans="1:2" x14ac:dyDescent="0.2">
      <c r="A88" s="4">
        <v>36951</v>
      </c>
      <c r="B88" s="3">
        <v>52.49</v>
      </c>
    </row>
    <row r="89" spans="1:2" x14ac:dyDescent="0.2">
      <c r="A89" s="4">
        <v>36982</v>
      </c>
      <c r="B89" s="3">
        <v>49.61</v>
      </c>
    </row>
    <row r="90" spans="1:2" x14ac:dyDescent="0.2">
      <c r="A90" s="4">
        <v>37012</v>
      </c>
      <c r="B90" s="3">
        <v>52.89</v>
      </c>
    </row>
    <row r="91" spans="1:2" x14ac:dyDescent="0.2">
      <c r="A91" s="4">
        <v>37043</v>
      </c>
      <c r="B91" s="3">
        <v>53.97</v>
      </c>
    </row>
    <row r="92" spans="1:2" x14ac:dyDescent="0.2">
      <c r="A92" s="4">
        <v>37073</v>
      </c>
      <c r="B92" s="3">
        <v>50.42</v>
      </c>
    </row>
    <row r="93" spans="1:2" x14ac:dyDescent="0.2">
      <c r="A93" s="4">
        <v>37104</v>
      </c>
      <c r="B93" s="3">
        <v>53.21</v>
      </c>
    </row>
    <row r="94" spans="1:2" x14ac:dyDescent="0.2">
      <c r="A94" s="4">
        <v>37135</v>
      </c>
      <c r="B94" s="3">
        <v>47.75</v>
      </c>
    </row>
    <row r="95" spans="1:2" x14ac:dyDescent="0.2">
      <c r="A95" s="4">
        <v>37165</v>
      </c>
      <c r="B95" s="3">
        <v>46.09</v>
      </c>
    </row>
    <row r="96" spans="1:2" x14ac:dyDescent="0.2">
      <c r="A96" s="4">
        <v>37196</v>
      </c>
      <c r="B96" s="3">
        <v>50.81</v>
      </c>
    </row>
    <row r="97" spans="1:2" x14ac:dyDescent="0.2">
      <c r="A97" s="4">
        <v>37226</v>
      </c>
      <c r="B97" s="3">
        <v>46.1</v>
      </c>
    </row>
    <row r="98" spans="1:2" x14ac:dyDescent="0.2">
      <c r="A98" s="4">
        <v>37257</v>
      </c>
      <c r="B98" s="3">
        <v>52.42</v>
      </c>
    </row>
    <row r="99" spans="1:2" x14ac:dyDescent="0.2">
      <c r="A99" s="4">
        <v>37288</v>
      </c>
      <c r="B99" s="3">
        <v>53.28</v>
      </c>
    </row>
    <row r="100" spans="1:2" x14ac:dyDescent="0.2">
      <c r="A100" s="4">
        <v>37316</v>
      </c>
      <c r="B100" s="3">
        <v>53.02</v>
      </c>
    </row>
    <row r="101" spans="1:2" x14ac:dyDescent="0.2">
      <c r="A101" s="4">
        <v>37347</v>
      </c>
      <c r="B101" s="3">
        <v>55.71</v>
      </c>
    </row>
    <row r="102" spans="1:2" x14ac:dyDescent="0.2">
      <c r="A102" s="4">
        <v>37377</v>
      </c>
      <c r="B102" s="3">
        <v>52.26</v>
      </c>
    </row>
    <row r="103" spans="1:2" x14ac:dyDescent="0.2">
      <c r="A103" s="4">
        <v>37408</v>
      </c>
      <c r="B103" s="3">
        <v>53.98</v>
      </c>
    </row>
    <row r="104" spans="1:2" x14ac:dyDescent="0.2">
      <c r="A104" s="4">
        <v>37438</v>
      </c>
      <c r="B104" s="3">
        <v>54.33</v>
      </c>
    </row>
    <row r="105" spans="1:2" x14ac:dyDescent="0.2">
      <c r="A105" s="4">
        <v>37469</v>
      </c>
      <c r="B105" s="3">
        <v>53.11</v>
      </c>
    </row>
    <row r="106" spans="1:2" x14ac:dyDescent="0.2">
      <c r="A106" s="4">
        <v>37500</v>
      </c>
      <c r="B106" s="3">
        <v>52.08</v>
      </c>
    </row>
    <row r="107" spans="1:2" x14ac:dyDescent="0.2">
      <c r="A107" s="4">
        <v>37530</v>
      </c>
      <c r="B107" s="3">
        <v>47.57</v>
      </c>
    </row>
    <row r="108" spans="1:2" x14ac:dyDescent="0.2">
      <c r="A108" s="6">
        <v>37561</v>
      </c>
      <c r="B108" s="7">
        <v>47.96</v>
      </c>
    </row>
    <row r="109" spans="1:2" x14ac:dyDescent="0.2">
      <c r="A109" s="4">
        <v>37591</v>
      </c>
      <c r="B109" s="3">
        <v>48.71</v>
      </c>
    </row>
    <row r="110" spans="1:2" x14ac:dyDescent="0.2">
      <c r="A110" s="4">
        <v>37622</v>
      </c>
      <c r="B110" s="3">
        <v>46.3</v>
      </c>
    </row>
    <row r="111" spans="1:2" x14ac:dyDescent="0.2">
      <c r="A111" s="4">
        <v>37653</v>
      </c>
      <c r="B111" s="3">
        <v>46.27</v>
      </c>
    </row>
    <row r="112" spans="1:2" x14ac:dyDescent="0.2">
      <c r="A112" s="4">
        <v>37681</v>
      </c>
      <c r="B112" s="3">
        <v>49.92</v>
      </c>
    </row>
    <row r="113" spans="1:2" x14ac:dyDescent="0.2">
      <c r="A113" s="4">
        <v>37712</v>
      </c>
      <c r="B113" s="3">
        <v>52.91</v>
      </c>
    </row>
    <row r="114" spans="1:2" x14ac:dyDescent="0.2">
      <c r="A114" s="4">
        <v>37742</v>
      </c>
      <c r="B114" s="3">
        <v>50.11</v>
      </c>
    </row>
    <row r="115" spans="1:2" x14ac:dyDescent="0.2">
      <c r="A115" s="4">
        <v>37773</v>
      </c>
      <c r="B115" s="3">
        <v>47.14</v>
      </c>
    </row>
    <row r="116" spans="1:2" x14ac:dyDescent="0.2">
      <c r="A116" s="4">
        <v>37803</v>
      </c>
      <c r="B116" s="3">
        <v>49.65</v>
      </c>
    </row>
    <row r="117" spans="1:2" x14ac:dyDescent="0.2">
      <c r="A117" s="4">
        <v>37834</v>
      </c>
      <c r="B117" s="3">
        <v>49.78</v>
      </c>
    </row>
    <row r="118" spans="1:2" x14ac:dyDescent="0.2">
      <c r="A118" s="4">
        <v>37865</v>
      </c>
      <c r="B118" s="3">
        <v>59.65</v>
      </c>
    </row>
    <row r="119" spans="1:2" x14ac:dyDescent="0.2">
      <c r="A119" s="4">
        <v>37895</v>
      </c>
      <c r="B119" s="3">
        <v>54.14</v>
      </c>
    </row>
    <row r="120" spans="1:2" x14ac:dyDescent="0.2">
      <c r="A120" s="4">
        <v>37926</v>
      </c>
      <c r="B120" s="3">
        <v>57.7</v>
      </c>
    </row>
    <row r="121" spans="1:2" x14ac:dyDescent="0.2">
      <c r="A121" s="4">
        <v>37956</v>
      </c>
      <c r="B121" s="3">
        <v>60.4</v>
      </c>
    </row>
    <row r="122" spans="1:2" x14ac:dyDescent="0.2">
      <c r="A122" s="4">
        <v>37987</v>
      </c>
      <c r="B122" s="3">
        <v>46.37</v>
      </c>
    </row>
    <row r="123" spans="1:2" x14ac:dyDescent="0.2">
      <c r="A123" s="4">
        <v>38018</v>
      </c>
      <c r="B123" s="3">
        <v>56.97</v>
      </c>
    </row>
    <row r="124" spans="1:2" x14ac:dyDescent="0.2">
      <c r="A124" s="4">
        <v>38047</v>
      </c>
      <c r="B124" s="3">
        <v>58.99</v>
      </c>
    </row>
    <row r="125" spans="1:2" x14ac:dyDescent="0.2">
      <c r="A125" s="4">
        <v>38078</v>
      </c>
      <c r="B125" s="3">
        <v>59.16</v>
      </c>
    </row>
    <row r="126" spans="1:2" x14ac:dyDescent="0.2">
      <c r="A126" s="4">
        <v>38108</v>
      </c>
      <c r="B126" s="3">
        <v>61.27</v>
      </c>
    </row>
    <row r="127" spans="1:2" x14ac:dyDescent="0.2">
      <c r="A127" s="4">
        <v>38139</v>
      </c>
      <c r="B127" s="3">
        <v>51.93</v>
      </c>
    </row>
    <row r="128" spans="1:2" x14ac:dyDescent="0.2">
      <c r="A128" s="4">
        <v>38169</v>
      </c>
      <c r="B128" s="3">
        <v>56.18</v>
      </c>
    </row>
    <row r="129" spans="1:2" x14ac:dyDescent="0.2">
      <c r="A129" s="4">
        <v>38200</v>
      </c>
      <c r="B129" s="3">
        <v>62.38</v>
      </c>
    </row>
    <row r="130" spans="1:2" x14ac:dyDescent="0.2">
      <c r="A130" s="4">
        <v>38231</v>
      </c>
      <c r="B130" s="3">
        <v>57.36</v>
      </c>
    </row>
    <row r="131" spans="1:2" x14ac:dyDescent="0.2">
      <c r="A131" s="4">
        <v>38261</v>
      </c>
      <c r="B131" s="3">
        <v>56.87</v>
      </c>
    </row>
    <row r="132" spans="1:2" x14ac:dyDescent="0.2">
      <c r="A132" s="4">
        <v>38292</v>
      </c>
      <c r="B132" s="3">
        <v>54.39</v>
      </c>
    </row>
    <row r="133" spans="1:2" x14ac:dyDescent="0.2">
      <c r="A133" s="4">
        <v>38322</v>
      </c>
      <c r="B133" s="3">
        <v>57.58</v>
      </c>
    </row>
    <row r="134" spans="1:2" x14ac:dyDescent="0.2">
      <c r="A134" s="4">
        <v>38353</v>
      </c>
      <c r="B134" s="3">
        <v>59.37</v>
      </c>
    </row>
    <row r="135" spans="1:2" x14ac:dyDescent="0.2">
      <c r="A135" s="4">
        <v>38384</v>
      </c>
      <c r="B135" s="3">
        <v>55.3</v>
      </c>
    </row>
    <row r="136" spans="1:2" x14ac:dyDescent="0.2">
      <c r="A136" s="4">
        <v>38412</v>
      </c>
      <c r="B136" s="3">
        <v>56.66</v>
      </c>
    </row>
    <row r="137" spans="1:2" x14ac:dyDescent="0.2">
      <c r="A137" s="4">
        <v>38443</v>
      </c>
      <c r="B137" s="3">
        <v>52.88</v>
      </c>
    </row>
    <row r="138" spans="1:2" x14ac:dyDescent="0.2">
      <c r="A138" s="4">
        <v>38473</v>
      </c>
      <c r="B138" s="3">
        <v>53.51</v>
      </c>
    </row>
    <row r="139" spans="1:2" x14ac:dyDescent="0.2">
      <c r="A139" s="4">
        <v>38504</v>
      </c>
      <c r="B139" s="3">
        <v>58.58</v>
      </c>
    </row>
    <row r="140" spans="1:2" x14ac:dyDescent="0.2">
      <c r="A140" s="4">
        <v>38534</v>
      </c>
      <c r="B140" s="3">
        <v>56.43</v>
      </c>
    </row>
    <row r="141" spans="1:2" x14ac:dyDescent="0.2">
      <c r="A141" s="4">
        <v>38565</v>
      </c>
      <c r="B141" s="3">
        <v>56.34</v>
      </c>
    </row>
    <row r="142" spans="1:2" x14ac:dyDescent="0.2">
      <c r="A142" s="4">
        <v>38596</v>
      </c>
      <c r="B142" s="3">
        <v>61.16</v>
      </c>
    </row>
    <row r="143" spans="1:2" x14ac:dyDescent="0.2">
      <c r="A143" s="4">
        <v>38626</v>
      </c>
      <c r="B143" s="3">
        <v>68.930000000000007</v>
      </c>
    </row>
    <row r="144" spans="1:2" x14ac:dyDescent="0.2">
      <c r="A144" s="4">
        <v>38657</v>
      </c>
      <c r="B144" s="3">
        <v>57.53</v>
      </c>
    </row>
    <row r="145" spans="1:2" x14ac:dyDescent="0.2">
      <c r="A145" s="4">
        <v>38687</v>
      </c>
      <c r="B145" s="3">
        <v>59.8</v>
      </c>
    </row>
    <row r="146" spans="1:2" x14ac:dyDescent="0.2">
      <c r="A146" s="4">
        <v>38718</v>
      </c>
      <c r="B146" s="3">
        <v>58.97</v>
      </c>
    </row>
    <row r="147" spans="1:2" x14ac:dyDescent="0.2">
      <c r="A147" s="4">
        <v>38749</v>
      </c>
      <c r="B147" s="3">
        <v>60.32</v>
      </c>
    </row>
    <row r="148" spans="1:2" x14ac:dyDescent="0.2">
      <c r="A148" s="4">
        <v>38777</v>
      </c>
      <c r="B148" s="3">
        <v>52.93</v>
      </c>
    </row>
    <row r="149" spans="1:2" x14ac:dyDescent="0.2">
      <c r="A149" s="4">
        <v>38808</v>
      </c>
      <c r="B149" s="3">
        <v>55.97</v>
      </c>
    </row>
    <row r="150" spans="1:2" x14ac:dyDescent="0.2">
      <c r="A150" s="4">
        <v>38838</v>
      </c>
      <c r="B150" s="3">
        <v>56.87</v>
      </c>
    </row>
    <row r="151" spans="1:2" x14ac:dyDescent="0.2">
      <c r="A151" s="4">
        <v>38869</v>
      </c>
      <c r="B151" s="3">
        <v>56.69</v>
      </c>
    </row>
    <row r="152" spans="1:2" x14ac:dyDescent="0.2">
      <c r="A152" s="4">
        <v>38899</v>
      </c>
      <c r="B152" s="3">
        <v>58.32</v>
      </c>
    </row>
    <row r="153" spans="1:2" x14ac:dyDescent="0.2">
      <c r="A153" s="4">
        <v>38930</v>
      </c>
      <c r="B153" s="3">
        <v>63.49</v>
      </c>
    </row>
    <row r="154" spans="1:2" x14ac:dyDescent="0.2">
      <c r="A154" s="4">
        <v>38961</v>
      </c>
      <c r="B154" s="3">
        <v>62.87</v>
      </c>
    </row>
    <row r="155" spans="1:2" x14ac:dyDescent="0.2">
      <c r="A155" s="4">
        <v>38991</v>
      </c>
      <c r="B155" s="3">
        <v>62.65</v>
      </c>
    </row>
    <row r="156" spans="1:2" x14ac:dyDescent="0.2">
      <c r="A156" s="4">
        <v>39022</v>
      </c>
      <c r="B156" s="3">
        <v>66.77</v>
      </c>
    </row>
    <row r="157" spans="1:2" x14ac:dyDescent="0.2">
      <c r="A157" s="4">
        <v>39052</v>
      </c>
      <c r="B157" s="3">
        <v>62.5</v>
      </c>
    </row>
    <row r="158" spans="1:2" x14ac:dyDescent="0.2">
      <c r="A158" s="4">
        <v>39083</v>
      </c>
      <c r="B158" s="3">
        <v>55.72</v>
      </c>
    </row>
    <row r="159" spans="1:2" x14ac:dyDescent="0.2">
      <c r="A159" s="4">
        <v>39114</v>
      </c>
      <c r="B159" s="3">
        <v>60.51</v>
      </c>
    </row>
    <row r="160" spans="1:2" x14ac:dyDescent="0.2">
      <c r="A160" s="4">
        <v>39142</v>
      </c>
      <c r="B160" s="3">
        <v>65.52</v>
      </c>
    </row>
    <row r="161" spans="1:2" x14ac:dyDescent="0.2">
      <c r="A161" s="4">
        <v>39173</v>
      </c>
      <c r="B161" s="3">
        <v>63.43</v>
      </c>
    </row>
    <row r="162" spans="1:2" x14ac:dyDescent="0.2">
      <c r="A162" s="4">
        <v>39203</v>
      </c>
      <c r="B162" s="3">
        <v>62.81</v>
      </c>
    </row>
    <row r="163" spans="1:2" x14ac:dyDescent="0.2">
      <c r="A163" s="4">
        <v>39234</v>
      </c>
      <c r="B163" s="3">
        <v>59.06</v>
      </c>
    </row>
    <row r="164" spans="1:2" x14ac:dyDescent="0.2">
      <c r="A164" s="4">
        <v>39264</v>
      </c>
      <c r="B164" s="3">
        <v>63.94</v>
      </c>
    </row>
    <row r="165" spans="1:2" x14ac:dyDescent="0.2">
      <c r="A165" s="4">
        <v>39295</v>
      </c>
      <c r="B165" s="3">
        <v>55.08</v>
      </c>
    </row>
    <row r="166" spans="1:2" x14ac:dyDescent="0.2">
      <c r="A166" s="4">
        <v>39326</v>
      </c>
      <c r="B166" s="3">
        <v>57.16</v>
      </c>
    </row>
    <row r="167" spans="1:2" x14ac:dyDescent="0.2">
      <c r="A167" s="4">
        <v>39356</v>
      </c>
      <c r="B167" s="3">
        <v>59.94</v>
      </c>
    </row>
    <row r="168" spans="1:2" x14ac:dyDescent="0.2">
      <c r="A168" s="4">
        <v>39387</v>
      </c>
      <c r="B168" s="3">
        <v>57.03</v>
      </c>
    </row>
    <row r="169" spans="1:2" x14ac:dyDescent="0.2">
      <c r="A169" s="4">
        <v>39417</v>
      </c>
      <c r="B169" s="3">
        <v>55.62</v>
      </c>
    </row>
    <row r="170" spans="1:2" x14ac:dyDescent="0.2">
      <c r="A170" s="4">
        <v>39448</v>
      </c>
      <c r="B170" s="3">
        <v>56.34</v>
      </c>
    </row>
    <row r="171" spans="1:2" x14ac:dyDescent="0.2">
      <c r="A171" s="4">
        <v>39479</v>
      </c>
      <c r="B171" s="3">
        <v>64.819999999999993</v>
      </c>
    </row>
    <row r="172" spans="1:2" x14ac:dyDescent="0.2">
      <c r="A172" s="4">
        <v>39508</v>
      </c>
      <c r="B172" s="3">
        <v>57.03</v>
      </c>
    </row>
    <row r="173" spans="1:2" x14ac:dyDescent="0.2">
      <c r="A173" s="4">
        <v>39539</v>
      </c>
      <c r="B173" s="3">
        <v>44.91</v>
      </c>
    </row>
    <row r="174" spans="1:2" x14ac:dyDescent="0.2">
      <c r="A174" s="4">
        <v>39569</v>
      </c>
      <c r="B174" s="3">
        <v>66.78</v>
      </c>
    </row>
    <row r="175" spans="1:2" x14ac:dyDescent="0.2">
      <c r="A175" s="4">
        <v>39600</v>
      </c>
      <c r="B175" s="3">
        <v>62.6</v>
      </c>
    </row>
    <row r="176" spans="1:2" x14ac:dyDescent="0.2">
      <c r="A176" s="4">
        <v>39630</v>
      </c>
      <c r="B176" s="3">
        <v>38.909999999999997</v>
      </c>
    </row>
    <row r="177" spans="1:2" x14ac:dyDescent="0.2">
      <c r="A177" s="4">
        <v>39661</v>
      </c>
      <c r="B177" s="3">
        <v>48.73</v>
      </c>
    </row>
    <row r="178" spans="1:2" x14ac:dyDescent="0.2">
      <c r="A178" s="4">
        <v>39692</v>
      </c>
      <c r="B178" s="3">
        <v>52.91</v>
      </c>
    </row>
    <row r="179" spans="1:2" x14ac:dyDescent="0.2">
      <c r="A179" s="4">
        <v>39722</v>
      </c>
      <c r="B179" s="3">
        <v>40.79</v>
      </c>
    </row>
    <row r="180" spans="1:2" x14ac:dyDescent="0.2">
      <c r="A180" s="4">
        <v>39753</v>
      </c>
      <c r="B180" s="3">
        <v>45.47</v>
      </c>
    </row>
    <row r="181" spans="1:2" x14ac:dyDescent="0.2">
      <c r="A181" s="4">
        <v>39783</v>
      </c>
      <c r="B181" s="3">
        <v>40.299999999999997</v>
      </c>
    </row>
    <row r="182" spans="1:2" x14ac:dyDescent="0.2">
      <c r="A182" s="4">
        <v>39814</v>
      </c>
      <c r="B182" s="3">
        <v>25.32</v>
      </c>
    </row>
    <row r="183" spans="1:2" x14ac:dyDescent="0.2">
      <c r="A183" s="4">
        <v>39845</v>
      </c>
      <c r="B183" s="3">
        <v>25.02</v>
      </c>
    </row>
    <row r="184" spans="1:2" x14ac:dyDescent="0.2">
      <c r="A184" s="4">
        <v>39873</v>
      </c>
      <c r="B184" s="3">
        <v>30.56</v>
      </c>
    </row>
    <row r="185" spans="1:2" x14ac:dyDescent="0.2">
      <c r="A185" s="4">
        <v>39904</v>
      </c>
      <c r="B185" s="3">
        <v>34.450000000000003</v>
      </c>
    </row>
    <row r="186" spans="1:2" x14ac:dyDescent="0.2">
      <c r="A186" s="4">
        <v>39934</v>
      </c>
      <c r="B186" s="3">
        <v>27.75</v>
      </c>
    </row>
    <row r="187" spans="1:2" x14ac:dyDescent="0.2">
      <c r="A187" s="4">
        <v>39965</v>
      </c>
      <c r="B187" s="3">
        <v>42</v>
      </c>
    </row>
    <row r="188" spans="1:2" x14ac:dyDescent="0.2">
      <c r="A188" s="4">
        <v>39995</v>
      </c>
      <c r="B188" s="3">
        <v>47.7</v>
      </c>
    </row>
    <row r="189" spans="1:2" x14ac:dyDescent="0.2">
      <c r="A189" s="4">
        <v>40026</v>
      </c>
      <c r="B189" s="3">
        <v>42.59</v>
      </c>
    </row>
    <row r="190" spans="1:2" x14ac:dyDescent="0.2">
      <c r="A190" s="4">
        <v>40057</v>
      </c>
      <c r="B190" s="3">
        <v>42.73</v>
      </c>
    </row>
    <row r="191" spans="1:2" x14ac:dyDescent="0.2">
      <c r="A191" s="4">
        <v>40087</v>
      </c>
      <c r="B191" s="3">
        <v>49.89</v>
      </c>
    </row>
    <row r="192" spans="1:2" x14ac:dyDescent="0.2">
      <c r="A192" s="4">
        <v>40118</v>
      </c>
      <c r="B192" s="3">
        <v>50.67</v>
      </c>
    </row>
    <row r="193" spans="1:2" x14ac:dyDescent="0.2">
      <c r="A193" s="4">
        <v>40148</v>
      </c>
      <c r="B193" s="3">
        <v>49.48</v>
      </c>
    </row>
    <row r="194" spans="1:2" x14ac:dyDescent="0.2">
      <c r="A194" s="4">
        <v>40179</v>
      </c>
      <c r="B194" s="3">
        <v>50.96</v>
      </c>
    </row>
    <row r="195" spans="1:2" x14ac:dyDescent="0.2">
      <c r="A195" s="4">
        <v>40210</v>
      </c>
      <c r="B195" s="3">
        <v>48.93</v>
      </c>
    </row>
    <row r="196" spans="1:2" x14ac:dyDescent="0.2">
      <c r="A196" s="4">
        <v>40238</v>
      </c>
      <c r="B196" s="3">
        <v>51.66</v>
      </c>
    </row>
    <row r="197" spans="1:2" x14ac:dyDescent="0.2">
      <c r="A197" s="4">
        <v>40269</v>
      </c>
      <c r="B197" s="3">
        <v>49.02</v>
      </c>
    </row>
    <row r="198" spans="1:2" x14ac:dyDescent="0.2">
      <c r="A198" s="4">
        <v>40299</v>
      </c>
      <c r="B198" s="3">
        <v>51.33</v>
      </c>
    </row>
    <row r="199" spans="1:2" x14ac:dyDescent="0.2">
      <c r="A199" s="4">
        <v>40330</v>
      </c>
      <c r="B199" s="3">
        <v>50.2</v>
      </c>
    </row>
    <row r="200" spans="1:2" x14ac:dyDescent="0.2">
      <c r="A200" s="4">
        <v>40360</v>
      </c>
      <c r="B200" s="3">
        <v>54.3</v>
      </c>
    </row>
    <row r="201" spans="1:2" x14ac:dyDescent="0.2">
      <c r="A201" s="4">
        <v>40391</v>
      </c>
      <c r="B201" s="3">
        <v>54.73</v>
      </c>
    </row>
    <row r="202" spans="1:2" x14ac:dyDescent="0.2">
      <c r="A202" s="4">
        <v>40422</v>
      </c>
      <c r="B202" s="3">
        <v>56.27</v>
      </c>
    </row>
    <row r="203" spans="1:2" x14ac:dyDescent="0.2">
      <c r="A203" s="4">
        <v>40452</v>
      </c>
      <c r="B203" s="3">
        <v>56.89</v>
      </c>
    </row>
    <row r="204" spans="1:2" x14ac:dyDescent="0.2">
      <c r="A204" s="4">
        <v>40483</v>
      </c>
      <c r="B204" s="3">
        <v>55.8</v>
      </c>
    </row>
    <row r="205" spans="1:2" x14ac:dyDescent="0.2">
      <c r="A205" s="4">
        <v>40513</v>
      </c>
      <c r="B205" s="3">
        <v>62.4</v>
      </c>
    </row>
    <row r="206" spans="1:2" x14ac:dyDescent="0.2">
      <c r="A206" s="4">
        <v>40544</v>
      </c>
      <c r="B206" s="3">
        <v>57.21</v>
      </c>
    </row>
    <row r="207" spans="1:2" x14ac:dyDescent="0.2">
      <c r="A207" s="4">
        <v>40575</v>
      </c>
      <c r="B207" s="3">
        <v>60.78</v>
      </c>
    </row>
    <row r="208" spans="1:2" x14ac:dyDescent="0.2">
      <c r="A208" s="4">
        <v>40603</v>
      </c>
      <c r="B208" s="3">
        <v>62.07</v>
      </c>
    </row>
    <row r="209" spans="1:2" x14ac:dyDescent="0.2">
      <c r="A209" s="4">
        <v>40634</v>
      </c>
      <c r="B209" s="3">
        <v>63.05</v>
      </c>
    </row>
    <row r="210" spans="1:2" x14ac:dyDescent="0.2">
      <c r="A210" s="4">
        <v>40664</v>
      </c>
      <c r="B210" s="3">
        <v>58.59</v>
      </c>
    </row>
    <row r="211" spans="1:2" x14ac:dyDescent="0.2">
      <c r="A211" s="4">
        <v>40695</v>
      </c>
      <c r="B211" s="3">
        <v>58.05</v>
      </c>
    </row>
    <row r="212" spans="1:2" x14ac:dyDescent="0.2">
      <c r="A212" s="4">
        <v>40725</v>
      </c>
      <c r="B212" s="3">
        <v>58.37</v>
      </c>
    </row>
    <row r="213" spans="1:2" x14ac:dyDescent="0.2">
      <c r="A213" s="4">
        <v>40756</v>
      </c>
      <c r="B213" s="3">
        <v>55.07</v>
      </c>
    </row>
    <row r="214" spans="1:2" x14ac:dyDescent="0.2">
      <c r="A214" s="4">
        <v>40787</v>
      </c>
      <c r="B214" s="3">
        <v>64.400000000000006</v>
      </c>
    </row>
    <row r="215" spans="1:2" x14ac:dyDescent="0.2">
      <c r="A215" s="4">
        <v>40817</v>
      </c>
      <c r="B215" s="3">
        <v>43.91</v>
      </c>
    </row>
    <row r="216" spans="1:2" x14ac:dyDescent="0.2">
      <c r="A216" s="4">
        <v>40848</v>
      </c>
      <c r="B216" s="3">
        <v>47.79</v>
      </c>
    </row>
    <row r="217" spans="1:2" x14ac:dyDescent="0.2">
      <c r="A217" s="4">
        <v>40878</v>
      </c>
      <c r="B217" s="3">
        <v>58.44</v>
      </c>
    </row>
    <row r="218" spans="1:2" x14ac:dyDescent="0.2">
      <c r="A218" s="4">
        <v>40909</v>
      </c>
      <c r="B218" s="3">
        <v>52.12</v>
      </c>
    </row>
    <row r="219" spans="1:2" x14ac:dyDescent="0.2">
      <c r="A219" s="4">
        <v>40940</v>
      </c>
      <c r="B219" s="3">
        <v>53.88</v>
      </c>
    </row>
    <row r="220" spans="1:2" x14ac:dyDescent="0.2">
      <c r="A220" s="4">
        <v>40969</v>
      </c>
      <c r="B220" s="3">
        <v>50.34</v>
      </c>
    </row>
    <row r="221" spans="1:2" x14ac:dyDescent="0.2">
      <c r="A221" s="4">
        <v>41000</v>
      </c>
      <c r="B221" s="3">
        <v>63.6</v>
      </c>
    </row>
    <row r="222" spans="1:2" x14ac:dyDescent="0.2">
      <c r="A222" s="4">
        <v>41030</v>
      </c>
      <c r="B222" s="3">
        <v>51.42</v>
      </c>
    </row>
    <row r="223" spans="1:2" x14ac:dyDescent="0.2">
      <c r="A223" s="4">
        <v>41061</v>
      </c>
      <c r="B223" s="3">
        <v>52.69</v>
      </c>
    </row>
    <row r="224" spans="1:2" x14ac:dyDescent="0.2">
      <c r="A224" s="4">
        <v>41091</v>
      </c>
      <c r="B224" s="3">
        <v>47.21</v>
      </c>
    </row>
    <row r="225" spans="1:2" x14ac:dyDescent="0.2">
      <c r="A225" s="4">
        <v>41122</v>
      </c>
      <c r="B225" s="3">
        <v>51.06</v>
      </c>
    </row>
    <row r="226" spans="1:2" x14ac:dyDescent="0.2">
      <c r="A226" s="4">
        <v>41153</v>
      </c>
      <c r="B226" s="3">
        <v>52.09</v>
      </c>
    </row>
    <row r="227" spans="1:2" x14ac:dyDescent="0.2">
      <c r="A227" s="4">
        <v>41183</v>
      </c>
      <c r="B227" s="3">
        <v>57.41</v>
      </c>
    </row>
    <row r="228" spans="1:2" x14ac:dyDescent="0.2">
      <c r="A228" s="4">
        <v>41214</v>
      </c>
      <c r="B228" s="3">
        <v>56.29</v>
      </c>
    </row>
    <row r="229" spans="1:2" x14ac:dyDescent="0.2">
      <c r="A229" s="4">
        <v>41244</v>
      </c>
      <c r="B229" s="3">
        <v>57.62</v>
      </c>
    </row>
    <row r="230" spans="1:2" x14ac:dyDescent="0.2">
      <c r="A230" s="4">
        <v>41275</v>
      </c>
      <c r="B230" s="3">
        <v>55.27</v>
      </c>
    </row>
    <row r="231" spans="1:2" x14ac:dyDescent="0.2">
      <c r="A231" s="4">
        <v>41306</v>
      </c>
      <c r="B231" s="3">
        <v>61.23</v>
      </c>
    </row>
    <row r="232" spans="1:2" x14ac:dyDescent="0.2">
      <c r="A232" s="4">
        <v>41334</v>
      </c>
      <c r="B232" s="3">
        <v>49.81</v>
      </c>
    </row>
    <row r="233" spans="1:2" x14ac:dyDescent="0.2">
      <c r="A233" s="4">
        <v>41365</v>
      </c>
      <c r="B233" s="3">
        <v>49.29</v>
      </c>
    </row>
    <row r="234" spans="1:2" x14ac:dyDescent="0.2">
      <c r="A234" s="4">
        <v>41395</v>
      </c>
      <c r="B234" s="3">
        <v>54.75</v>
      </c>
    </row>
    <row r="235" spans="1:2" x14ac:dyDescent="0.2">
      <c r="A235" s="4">
        <v>41426</v>
      </c>
      <c r="B235" s="3">
        <v>57.73</v>
      </c>
    </row>
    <row r="236" spans="1:2" x14ac:dyDescent="0.2">
      <c r="A236" s="4">
        <v>41456</v>
      </c>
      <c r="B236" s="3">
        <v>59.18</v>
      </c>
    </row>
    <row r="237" spans="1:2" x14ac:dyDescent="0.2">
      <c r="A237" s="4">
        <v>41487</v>
      </c>
      <c r="B237" s="3">
        <v>60.29</v>
      </c>
    </row>
    <row r="238" spans="1:2" x14ac:dyDescent="0.2">
      <c r="A238" s="4">
        <v>41518</v>
      </c>
      <c r="B238" s="3">
        <v>55.74</v>
      </c>
    </row>
    <row r="239" spans="1:2" x14ac:dyDescent="0.2">
      <c r="A239" s="4">
        <v>41548</v>
      </c>
      <c r="B239" s="3">
        <v>55.71</v>
      </c>
    </row>
    <row r="240" spans="1:2" x14ac:dyDescent="0.2">
      <c r="A240" s="4">
        <v>41579</v>
      </c>
      <c r="B240" s="3">
        <v>57.85</v>
      </c>
    </row>
    <row r="241" spans="1:2" x14ac:dyDescent="0.2">
      <c r="A241" s="4">
        <v>41609</v>
      </c>
      <c r="B241" s="3">
        <v>53.45</v>
      </c>
    </row>
    <row r="242" spans="1:2" x14ac:dyDescent="0.2">
      <c r="A242" s="4">
        <v>41640</v>
      </c>
      <c r="B242" s="3">
        <v>55.6</v>
      </c>
    </row>
    <row r="243" spans="1:2" x14ac:dyDescent="0.2">
      <c r="A243" s="4">
        <v>41671</v>
      </c>
      <c r="B243" s="3">
        <v>56.77</v>
      </c>
    </row>
    <row r="244" spans="1:2" x14ac:dyDescent="0.2">
      <c r="A244" s="4">
        <v>41699</v>
      </c>
      <c r="B244" s="3">
        <v>60.3</v>
      </c>
    </row>
    <row r="245" spans="1:2" x14ac:dyDescent="0.2">
      <c r="A245" s="4">
        <v>41730</v>
      </c>
      <c r="B245" s="3">
        <v>60.5</v>
      </c>
    </row>
    <row r="246" spans="1:2" x14ac:dyDescent="0.2">
      <c r="A246" s="4">
        <v>41760</v>
      </c>
      <c r="B246" s="3">
        <v>58.71</v>
      </c>
    </row>
    <row r="247" spans="1:2" x14ac:dyDescent="0.2">
      <c r="A247" s="4">
        <v>41791</v>
      </c>
      <c r="B247" s="3">
        <v>51.76</v>
      </c>
    </row>
    <row r="248" spans="1:2" x14ac:dyDescent="0.2">
      <c r="A248" s="4">
        <v>41821</v>
      </c>
      <c r="B248" s="3">
        <v>49.75</v>
      </c>
    </row>
    <row r="249" spans="1:2" x14ac:dyDescent="0.2">
      <c r="A249" s="4">
        <v>41852</v>
      </c>
      <c r="B249" s="3">
        <v>48.13</v>
      </c>
    </row>
    <row r="250" spans="1:2" x14ac:dyDescent="0.2">
      <c r="A250" s="4">
        <v>41883</v>
      </c>
      <c r="B250" s="3">
        <v>51.33</v>
      </c>
    </row>
    <row r="251" spans="1:2" x14ac:dyDescent="0.2">
      <c r="A251" s="4">
        <v>41913</v>
      </c>
      <c r="B251" s="3">
        <v>54.04</v>
      </c>
    </row>
    <row r="252" spans="1:2" x14ac:dyDescent="0.2">
      <c r="A252" s="4">
        <v>41944</v>
      </c>
      <c r="B252" s="3">
        <v>51.5</v>
      </c>
    </row>
    <row r="253" spans="1:2" x14ac:dyDescent="0.2">
      <c r="A253" s="4">
        <v>41974</v>
      </c>
      <c r="B253" s="3">
        <v>53.85</v>
      </c>
    </row>
    <row r="254" spans="1:2" x14ac:dyDescent="0.2">
      <c r="A254" s="4">
        <v>42005</v>
      </c>
      <c r="B254" s="3">
        <v>55.25</v>
      </c>
    </row>
    <row r="255" spans="1:2" x14ac:dyDescent="0.2">
      <c r="A255" s="4">
        <v>42036</v>
      </c>
      <c r="B255" s="3">
        <v>57.96</v>
      </c>
    </row>
    <row r="256" spans="1:2" x14ac:dyDescent="0.2">
      <c r="A256" s="4">
        <v>42064</v>
      </c>
      <c r="B256" s="3">
        <v>58.54</v>
      </c>
    </row>
    <row r="257" spans="1:2" x14ac:dyDescent="0.2">
      <c r="A257" s="4">
        <v>42095</v>
      </c>
      <c r="B257" s="3">
        <v>53.3</v>
      </c>
    </row>
    <row r="258" spans="1:2" x14ac:dyDescent="0.2">
      <c r="A258" s="4">
        <v>42125</v>
      </c>
      <c r="B258" s="3">
        <v>52.73</v>
      </c>
    </row>
    <row r="259" spans="1:2" x14ac:dyDescent="0.2">
      <c r="A259" s="4">
        <v>42156</v>
      </c>
      <c r="B259" s="3">
        <v>54.46</v>
      </c>
    </row>
    <row r="260" spans="1:2" x14ac:dyDescent="0.2">
      <c r="A260" s="4">
        <v>42186</v>
      </c>
      <c r="B260" s="3">
        <v>52.31</v>
      </c>
    </row>
    <row r="261" spans="1:2" x14ac:dyDescent="0.2">
      <c r="A261" s="4">
        <v>42217</v>
      </c>
      <c r="B261" s="3">
        <v>62.51</v>
      </c>
    </row>
    <row r="262" spans="1:2" x14ac:dyDescent="0.2">
      <c r="A262" s="4">
        <v>42248</v>
      </c>
      <c r="B262" s="3">
        <v>69.37</v>
      </c>
    </row>
    <row r="263" spans="1:2" x14ac:dyDescent="0.2">
      <c r="A263" s="4">
        <v>42278</v>
      </c>
      <c r="B263" s="3">
        <v>55.62</v>
      </c>
    </row>
    <row r="264" spans="1:2" x14ac:dyDescent="0.2">
      <c r="A264" s="4">
        <v>42309</v>
      </c>
      <c r="B264" s="3">
        <v>61.47</v>
      </c>
    </row>
    <row r="265" spans="1:2" x14ac:dyDescent="0.2">
      <c r="A265" s="4">
        <v>42339</v>
      </c>
      <c r="B265" s="3">
        <v>54.76</v>
      </c>
    </row>
    <row r="266" spans="1:2" x14ac:dyDescent="0.2">
      <c r="A266" s="4">
        <v>42370</v>
      </c>
      <c r="B266" s="3">
        <v>54.46</v>
      </c>
    </row>
    <row r="267" spans="1:2" x14ac:dyDescent="0.2">
      <c r="A267" s="4">
        <v>42401</v>
      </c>
      <c r="B267" s="3">
        <v>50.93</v>
      </c>
    </row>
    <row r="268" spans="1:2" x14ac:dyDescent="0.2">
      <c r="A268" s="4">
        <v>42430</v>
      </c>
      <c r="B268" s="3">
        <v>55.11</v>
      </c>
    </row>
    <row r="269" spans="1:2" x14ac:dyDescent="0.2">
      <c r="A269" s="4">
        <v>42461</v>
      </c>
      <c r="B269" s="3">
        <v>63.28</v>
      </c>
    </row>
    <row r="270" spans="1:2" x14ac:dyDescent="0.2">
      <c r="A270" s="4">
        <v>42491</v>
      </c>
      <c r="B270" s="3">
        <v>61.65</v>
      </c>
    </row>
    <row r="271" spans="1:2" x14ac:dyDescent="0.2">
      <c r="A271" s="4">
        <v>42522</v>
      </c>
      <c r="B271" s="3">
        <v>59.75</v>
      </c>
    </row>
    <row r="272" spans="1:2" x14ac:dyDescent="0.2">
      <c r="A272" s="4">
        <v>42552</v>
      </c>
      <c r="B272" s="3">
        <v>59.53</v>
      </c>
    </row>
    <row r="273" spans="1:2" x14ac:dyDescent="0.2">
      <c r="A273" s="4">
        <v>42583</v>
      </c>
      <c r="B273" s="3">
        <v>53.62</v>
      </c>
    </row>
    <row r="274" spans="1:2" x14ac:dyDescent="0.2">
      <c r="A274" s="4">
        <v>42614</v>
      </c>
      <c r="B274" s="3">
        <v>58.98</v>
      </c>
    </row>
    <row r="275" spans="1:2" x14ac:dyDescent="0.2">
      <c r="A275" s="4">
        <v>42644</v>
      </c>
      <c r="B275" s="3">
        <v>57.31</v>
      </c>
    </row>
    <row r="276" spans="1:2" x14ac:dyDescent="0.2">
      <c r="A276" s="4">
        <v>42675</v>
      </c>
      <c r="B276" s="3">
        <v>57.22</v>
      </c>
    </row>
    <row r="277" spans="1:2" x14ac:dyDescent="0.2">
      <c r="A277" s="4">
        <v>42705</v>
      </c>
      <c r="B277" s="3">
        <v>62.52</v>
      </c>
    </row>
    <row r="278" spans="1:2" x14ac:dyDescent="0.2">
      <c r="A278" s="4">
        <v>42736</v>
      </c>
      <c r="B278" s="3">
        <v>57.57</v>
      </c>
    </row>
    <row r="279" spans="1:2" x14ac:dyDescent="0.2">
      <c r="A279" s="4">
        <v>42767</v>
      </c>
      <c r="B279" s="3">
        <v>56.51</v>
      </c>
    </row>
    <row r="280" spans="1:2" x14ac:dyDescent="0.2">
      <c r="A280" s="4">
        <v>42795</v>
      </c>
      <c r="B280" s="3">
        <v>56.62</v>
      </c>
    </row>
    <row r="281" spans="1:2" x14ac:dyDescent="0.2">
      <c r="A281" s="4">
        <v>42826</v>
      </c>
      <c r="B281" s="3">
        <v>49.11</v>
      </c>
    </row>
    <row r="282" spans="1:2" x14ac:dyDescent="0.2">
      <c r="A282" s="4">
        <v>42856</v>
      </c>
      <c r="B282" s="3">
        <v>57.99</v>
      </c>
    </row>
    <row r="283" spans="1:2" x14ac:dyDescent="0.2">
      <c r="A283" s="4">
        <v>42887</v>
      </c>
      <c r="B283" s="3">
        <v>63.61</v>
      </c>
    </row>
    <row r="284" spans="1:2" x14ac:dyDescent="0.2">
      <c r="A284" s="4">
        <v>42917</v>
      </c>
      <c r="B284" s="3">
        <v>63.72</v>
      </c>
    </row>
    <row r="285" spans="1:2" x14ac:dyDescent="0.2">
      <c r="A285" s="4">
        <v>42948</v>
      </c>
      <c r="B285" s="3">
        <v>60.57</v>
      </c>
    </row>
    <row r="286" spans="1:2" x14ac:dyDescent="0.2">
      <c r="A286" s="4">
        <v>42979</v>
      </c>
      <c r="B286" s="3">
        <v>61.78</v>
      </c>
    </row>
    <row r="287" spans="1:2" x14ac:dyDescent="0.2">
      <c r="A287" s="4">
        <v>43009</v>
      </c>
      <c r="B287" s="3">
        <v>58.57</v>
      </c>
    </row>
    <row r="288" spans="1:2" x14ac:dyDescent="0.2">
      <c r="A288" s="4">
        <v>43040</v>
      </c>
      <c r="B288" s="3">
        <v>58.31</v>
      </c>
    </row>
    <row r="289" spans="1:2" x14ac:dyDescent="0.2">
      <c r="A289" s="4">
        <v>43070</v>
      </c>
      <c r="B289" s="3">
        <v>61.04</v>
      </c>
    </row>
    <row r="290" spans="1:2" x14ac:dyDescent="0.2">
      <c r="A290" s="4">
        <v>43101</v>
      </c>
      <c r="B290" s="3">
        <v>66.650000000000006</v>
      </c>
    </row>
    <row r="291" spans="1:2" x14ac:dyDescent="0.2">
      <c r="A291" s="4">
        <v>43132</v>
      </c>
      <c r="B291" s="3">
        <v>70.75</v>
      </c>
    </row>
    <row r="292" spans="1:2" x14ac:dyDescent="0.2">
      <c r="A292" s="4">
        <v>43160</v>
      </c>
      <c r="B292" s="3">
        <v>61.05</v>
      </c>
    </row>
    <row r="293" spans="1:2" x14ac:dyDescent="0.2">
      <c r="A293" s="4">
        <v>43191</v>
      </c>
      <c r="B293" s="3">
        <v>54.24</v>
      </c>
    </row>
    <row r="294" spans="1:2" x14ac:dyDescent="0.2">
      <c r="A294" s="4">
        <v>43221</v>
      </c>
      <c r="B294" s="3">
        <v>47.78</v>
      </c>
    </row>
    <row r="295" spans="1:2" x14ac:dyDescent="0.2">
      <c r="A295" s="4">
        <v>43252</v>
      </c>
      <c r="B295" s="3">
        <v>49.8</v>
      </c>
    </row>
    <row r="296" spans="1:2" x14ac:dyDescent="0.2">
      <c r="A296" s="4">
        <v>43282</v>
      </c>
      <c r="B296" s="3">
        <v>55.7</v>
      </c>
    </row>
    <row r="297" spans="1:2" x14ac:dyDescent="0.2">
      <c r="A297" s="4">
        <v>43313</v>
      </c>
      <c r="B297" s="3">
        <v>59.15</v>
      </c>
    </row>
    <row r="298" spans="1:2" x14ac:dyDescent="0.2">
      <c r="A298" s="4">
        <v>43344</v>
      </c>
      <c r="B298" s="3">
        <v>53.7</v>
      </c>
    </row>
    <row r="299" spans="1:2" x14ac:dyDescent="0.2">
      <c r="A299" s="4">
        <v>43374</v>
      </c>
      <c r="B299" s="3">
        <v>66.8</v>
      </c>
    </row>
    <row r="300" spans="1:2" x14ac:dyDescent="0.2">
      <c r="A300" s="4">
        <v>43405</v>
      </c>
      <c r="B300" s="3">
        <v>58.2</v>
      </c>
    </row>
    <row r="301" spans="1:2" x14ac:dyDescent="0.2">
      <c r="A301" s="4">
        <v>43435</v>
      </c>
      <c r="B301" s="3">
        <v>57.5</v>
      </c>
    </row>
    <row r="302" spans="1:2" x14ac:dyDescent="0.2">
      <c r="A302" s="4">
        <v>43466</v>
      </c>
      <c r="B302" s="3">
        <v>51.1</v>
      </c>
    </row>
    <row r="303" spans="1:2" x14ac:dyDescent="0.2">
      <c r="A303" s="4">
        <v>43497</v>
      </c>
      <c r="B303" s="3">
        <v>61.6</v>
      </c>
    </row>
    <row r="304" spans="1:2" x14ac:dyDescent="0.2">
      <c r="A304" s="4">
        <v>43525</v>
      </c>
      <c r="B304" s="3">
        <v>56.6</v>
      </c>
    </row>
    <row r="305" spans="1:2" x14ac:dyDescent="0.2">
      <c r="A305" s="4">
        <v>43556</v>
      </c>
      <c r="B305" s="3">
        <v>59.6</v>
      </c>
    </row>
    <row r="306" spans="1:2" x14ac:dyDescent="0.2">
      <c r="A306" s="4">
        <v>43586</v>
      </c>
      <c r="B306" s="3">
        <v>47.6</v>
      </c>
    </row>
    <row r="307" spans="1:2" x14ac:dyDescent="0.2">
      <c r="A307" s="4">
        <v>43617</v>
      </c>
      <c r="B307" s="3">
        <v>45</v>
      </c>
    </row>
    <row r="308" spans="1:2" x14ac:dyDescent="0.2">
      <c r="A308" s="4">
        <v>43647</v>
      </c>
      <c r="B308" s="3">
        <v>49.5</v>
      </c>
    </row>
    <row r="309" spans="1:2" x14ac:dyDescent="0.2">
      <c r="A309" s="4">
        <v>43678</v>
      </c>
      <c r="B309" s="3">
        <v>48.7</v>
      </c>
    </row>
    <row r="310" spans="1:2" x14ac:dyDescent="0.2">
      <c r="A310" s="4">
        <v>43709</v>
      </c>
      <c r="B310" s="3">
        <v>50.2</v>
      </c>
    </row>
    <row r="311" spans="1:2" x14ac:dyDescent="0.2">
      <c r="A311" s="4">
        <v>43739</v>
      </c>
      <c r="B311" s="3">
        <v>49.5</v>
      </c>
    </row>
    <row r="312" spans="1:2" x14ac:dyDescent="0.2">
      <c r="A312" s="4">
        <v>43770</v>
      </c>
      <c r="B312" s="3">
        <v>53</v>
      </c>
    </row>
    <row r="313" spans="1:2" x14ac:dyDescent="0.2">
      <c r="A313" s="4">
        <v>43800</v>
      </c>
      <c r="B313" s="3">
        <v>50.7</v>
      </c>
    </row>
    <row r="314" spans="1:2" x14ac:dyDescent="0.2">
      <c r="A314" s="4">
        <v>43831</v>
      </c>
      <c r="B314" s="3">
        <v>53.2</v>
      </c>
    </row>
    <row r="315" spans="1:2" x14ac:dyDescent="0.2">
      <c r="A315" s="4">
        <v>43862</v>
      </c>
      <c r="B315" s="3">
        <v>49.2</v>
      </c>
    </row>
    <row r="316" spans="1:2" x14ac:dyDescent="0.2">
      <c r="A316" s="4">
        <v>43891</v>
      </c>
      <c r="B316" s="3">
        <v>46.8</v>
      </c>
    </row>
    <row r="317" spans="1:2" x14ac:dyDescent="0.2">
      <c r="A317" s="4">
        <v>43922</v>
      </c>
      <c r="B317" s="3">
        <v>38.6</v>
      </c>
    </row>
    <row r="318" spans="1:2" x14ac:dyDescent="0.2">
      <c r="A318" s="4">
        <v>43952</v>
      </c>
      <c r="B318" s="3">
        <v>54</v>
      </c>
    </row>
    <row r="319" spans="1:2" x14ac:dyDescent="0.2">
      <c r="A319" s="4">
        <v>43983</v>
      </c>
      <c r="B319" s="3">
        <v>52.2</v>
      </c>
    </row>
    <row r="320" spans="1:2" x14ac:dyDescent="0.2">
      <c r="A320" s="4">
        <v>44013</v>
      </c>
      <c r="B320" s="3">
        <v>57.4</v>
      </c>
    </row>
    <row r="321" spans="1:2" x14ac:dyDescent="0.2">
      <c r="A321" s="4">
        <v>44044</v>
      </c>
      <c r="B321" s="3">
        <v>52.3</v>
      </c>
    </row>
    <row r="322" spans="1:2" x14ac:dyDescent="0.2">
      <c r="A322" s="4">
        <v>44075</v>
      </c>
      <c r="B322" s="3">
        <v>54.4</v>
      </c>
    </row>
    <row r="323" spans="1:2" x14ac:dyDescent="0.2">
      <c r="A323" s="4">
        <v>44105</v>
      </c>
      <c r="B323" s="3">
        <v>61.8</v>
      </c>
    </row>
    <row r="324" spans="1:2" x14ac:dyDescent="0.2">
      <c r="A324" s="4">
        <v>44136</v>
      </c>
      <c r="B324" s="3">
        <v>47.7</v>
      </c>
    </row>
    <row r="325" spans="1:2" x14ac:dyDescent="0.2">
      <c r="A325" s="4">
        <v>44166</v>
      </c>
      <c r="B325" s="3">
        <v>41.9</v>
      </c>
    </row>
    <row r="326" spans="1:2" x14ac:dyDescent="0.2">
      <c r="A326" s="4">
        <v>44197</v>
      </c>
      <c r="B326" s="3">
        <v>42.1</v>
      </c>
    </row>
    <row r="327" spans="1:2" x14ac:dyDescent="0.2">
      <c r="A327" s="4">
        <v>44228</v>
      </c>
      <c r="B327" s="3">
        <v>40.799999999999997</v>
      </c>
    </row>
    <row r="328" spans="1:2" x14ac:dyDescent="0.2">
      <c r="A328" s="4">
        <v>44256</v>
      </c>
      <c r="B328" s="3">
        <v>67.599999999999994</v>
      </c>
    </row>
    <row r="329" spans="1:2" x14ac:dyDescent="0.2">
      <c r="A329" s="4">
        <v>44287</v>
      </c>
      <c r="B329" s="3">
        <v>72</v>
      </c>
    </row>
    <row r="330" spans="1:2" x14ac:dyDescent="0.2">
      <c r="A330" s="4">
        <v>44317</v>
      </c>
      <c r="B330" s="3">
        <v>67.7</v>
      </c>
    </row>
    <row r="331" spans="1:2" x14ac:dyDescent="0.2">
      <c r="A331" s="4">
        <v>44348</v>
      </c>
      <c r="B331" s="3">
        <v>62.1</v>
      </c>
    </row>
    <row r="332" spans="1:2" x14ac:dyDescent="0.2">
      <c r="A332" s="4">
        <v>44378</v>
      </c>
      <c r="B332" s="3">
        <v>69.8</v>
      </c>
    </row>
    <row r="333" spans="1:2" x14ac:dyDescent="0.2">
      <c r="A333" s="4">
        <v>44409</v>
      </c>
      <c r="B333" s="3">
        <v>67.3</v>
      </c>
    </row>
    <row r="334" spans="1:2" x14ac:dyDescent="0.2">
      <c r="A334" s="4">
        <v>44440</v>
      </c>
      <c r="B334" s="3">
        <v>65.2</v>
      </c>
    </row>
    <row r="335" spans="1:2" x14ac:dyDescent="0.2">
      <c r="A335" s="4">
        <v>44470</v>
      </c>
      <c r="B335" s="3">
        <v>71.900000000000006</v>
      </c>
    </row>
    <row r="336" spans="1:2" x14ac:dyDescent="0.2">
      <c r="A336" s="4">
        <v>44501</v>
      </c>
      <c r="B336" s="3">
        <v>68.2</v>
      </c>
    </row>
    <row r="337" spans="1:2" x14ac:dyDescent="0.2">
      <c r="A337" s="4">
        <v>44531</v>
      </c>
      <c r="B337" s="3">
        <v>64.400000000000006</v>
      </c>
    </row>
  </sheetData>
  <conditionalFormatting sqref="B194:B33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CB428-CED0-4323-9508-6EEB7F67A134}">
  <dimension ref="A1:B115"/>
  <sheetViews>
    <sheetView zoomScale="170" zoomScaleNormal="170" workbookViewId="0">
      <pane ySplit="1" topLeftCell="A2" activePane="bottomLeft" state="frozen"/>
      <selection pane="bottomLeft" activeCell="P33" sqref="P33"/>
    </sheetView>
  </sheetViews>
  <sheetFormatPr baseColWidth="10" defaultColWidth="9.1640625" defaultRowHeight="15" x14ac:dyDescent="0.2"/>
  <cols>
    <col min="1" max="1" width="13.5" style="1" customWidth="1"/>
    <col min="2" max="2" width="11.33203125" style="1" customWidth="1"/>
    <col min="3" max="16384" width="9.1640625" style="1"/>
  </cols>
  <sheetData>
    <row r="1" spans="1:2" ht="16" thickBot="1" x14ac:dyDescent="0.25">
      <c r="A1" s="11" t="s">
        <v>0</v>
      </c>
      <c r="B1" s="12" t="s">
        <v>4</v>
      </c>
    </row>
    <row r="2" spans="1:2" x14ac:dyDescent="0.2">
      <c r="A2" s="8">
        <v>41091</v>
      </c>
      <c r="B2" s="9">
        <v>43.6</v>
      </c>
    </row>
    <row r="3" spans="1:2" x14ac:dyDescent="0.2">
      <c r="A3" s="4">
        <v>41122</v>
      </c>
      <c r="B3" s="3">
        <v>47.9</v>
      </c>
    </row>
    <row r="4" spans="1:2" x14ac:dyDescent="0.2">
      <c r="A4" s="4">
        <v>41153</v>
      </c>
      <c r="B4" s="3">
        <v>49.2</v>
      </c>
    </row>
    <row r="5" spans="1:2" x14ac:dyDescent="0.2">
      <c r="A5" s="4">
        <v>41183</v>
      </c>
      <c r="B5" s="3">
        <v>48.7</v>
      </c>
    </row>
    <row r="6" spans="1:2" x14ac:dyDescent="0.2">
      <c r="A6" s="4">
        <v>41214</v>
      </c>
      <c r="B6" s="3">
        <v>50.5</v>
      </c>
    </row>
    <row r="7" spans="1:2" x14ac:dyDescent="0.2">
      <c r="A7" s="4">
        <v>41244</v>
      </c>
      <c r="B7" s="3">
        <v>49.3</v>
      </c>
    </row>
    <row r="8" spans="1:2" x14ac:dyDescent="0.2">
      <c r="A8" s="4">
        <v>41275</v>
      </c>
      <c r="B8" s="3">
        <v>50.1</v>
      </c>
    </row>
    <row r="9" spans="1:2" x14ac:dyDescent="0.2">
      <c r="A9" s="4">
        <v>41306</v>
      </c>
      <c r="B9" s="3">
        <v>48.3</v>
      </c>
    </row>
    <row r="10" spans="1:2" x14ac:dyDescent="0.2">
      <c r="A10" s="4">
        <v>41334</v>
      </c>
      <c r="B10" s="3">
        <v>48.8</v>
      </c>
    </row>
    <row r="11" spans="1:2" x14ac:dyDescent="0.2">
      <c r="A11" s="4">
        <v>41365</v>
      </c>
      <c r="B11" s="3">
        <v>51</v>
      </c>
    </row>
    <row r="12" spans="1:2" x14ac:dyDescent="0.2">
      <c r="A12" s="4">
        <v>41395</v>
      </c>
      <c r="B12" s="3">
        <v>48.8</v>
      </c>
    </row>
    <row r="13" spans="1:2" x14ac:dyDescent="0.2">
      <c r="A13" s="4">
        <v>41426</v>
      </c>
      <c r="B13" s="3">
        <v>51</v>
      </c>
    </row>
    <row r="14" spans="1:2" x14ac:dyDescent="0.2">
      <c r="A14" s="4">
        <v>41456</v>
      </c>
      <c r="B14" s="3">
        <v>46.4</v>
      </c>
    </row>
    <row r="15" spans="1:2" x14ac:dyDescent="0.2">
      <c r="A15" s="4">
        <v>41487</v>
      </c>
      <c r="B15" s="3">
        <v>48.5</v>
      </c>
    </row>
    <row r="16" spans="1:2" x14ac:dyDescent="0.2">
      <c r="A16" s="4">
        <v>41518</v>
      </c>
      <c r="B16" s="3">
        <v>51.5</v>
      </c>
    </row>
    <row r="17" spans="1:2" x14ac:dyDescent="0.2">
      <c r="A17" s="4">
        <v>41548</v>
      </c>
      <c r="B17" s="3">
        <v>51.5</v>
      </c>
    </row>
    <row r="18" spans="1:2" x14ac:dyDescent="0.2">
      <c r="A18" s="4">
        <v>41579</v>
      </c>
      <c r="B18" s="3">
        <v>50.3</v>
      </c>
    </row>
    <row r="19" spans="1:2" x14ac:dyDescent="0.2">
      <c r="A19" s="4">
        <v>41609</v>
      </c>
      <c r="B19" s="3">
        <v>51.8</v>
      </c>
    </row>
    <row r="20" spans="1:2" x14ac:dyDescent="0.2">
      <c r="A20" s="4">
        <v>41640</v>
      </c>
      <c r="B20" s="3">
        <v>52.1</v>
      </c>
    </row>
    <row r="21" spans="1:2" x14ac:dyDescent="0.2">
      <c r="A21" s="4">
        <v>41671</v>
      </c>
      <c r="B21" s="3">
        <v>51</v>
      </c>
    </row>
    <row r="22" spans="1:2" x14ac:dyDescent="0.2">
      <c r="A22" s="4">
        <v>41699</v>
      </c>
      <c r="B22" s="3">
        <v>51.3</v>
      </c>
    </row>
    <row r="23" spans="1:2" x14ac:dyDescent="0.2">
      <c r="A23" s="4">
        <v>41730</v>
      </c>
      <c r="B23" s="3">
        <v>53.1</v>
      </c>
    </row>
    <row r="24" spans="1:2" x14ac:dyDescent="0.2">
      <c r="A24" s="4">
        <v>41760</v>
      </c>
      <c r="B24" s="3">
        <v>52.5</v>
      </c>
    </row>
    <row r="25" spans="1:2" x14ac:dyDescent="0.2">
      <c r="A25" s="4">
        <v>41791</v>
      </c>
      <c r="B25" s="3">
        <v>52.3</v>
      </c>
    </row>
    <row r="26" spans="1:2" x14ac:dyDescent="0.2">
      <c r="A26" s="4">
        <v>41821</v>
      </c>
      <c r="B26" s="3">
        <v>51.7</v>
      </c>
    </row>
    <row r="27" spans="1:2" x14ac:dyDescent="0.2">
      <c r="A27" s="4">
        <v>41852</v>
      </c>
      <c r="B27" s="3">
        <v>50.3</v>
      </c>
    </row>
    <row r="28" spans="1:2" x14ac:dyDescent="0.2">
      <c r="A28" s="4">
        <v>41883</v>
      </c>
      <c r="B28" s="3">
        <v>51.7</v>
      </c>
    </row>
    <row r="29" spans="1:2" x14ac:dyDescent="0.2">
      <c r="A29" s="4">
        <v>41913</v>
      </c>
      <c r="B29" s="3">
        <v>51</v>
      </c>
    </row>
    <row r="30" spans="1:2" x14ac:dyDescent="0.2">
      <c r="A30" s="4">
        <v>41944</v>
      </c>
      <c r="B30" s="3">
        <v>52.7</v>
      </c>
    </row>
    <row r="31" spans="1:2" x14ac:dyDescent="0.2">
      <c r="A31" s="4">
        <v>41974</v>
      </c>
      <c r="B31" s="3">
        <v>51.5</v>
      </c>
    </row>
    <row r="32" spans="1:2" x14ac:dyDescent="0.2">
      <c r="A32" s="4">
        <v>42005</v>
      </c>
      <c r="B32" s="3">
        <v>51.5</v>
      </c>
    </row>
    <row r="33" spans="1:2" x14ac:dyDescent="0.2">
      <c r="A33" s="4">
        <v>42036</v>
      </c>
      <c r="B33" s="3">
        <v>51.7</v>
      </c>
    </row>
    <row r="34" spans="1:2" x14ac:dyDescent="0.2">
      <c r="A34" s="4">
        <v>42064</v>
      </c>
      <c r="B34" s="3">
        <v>50.7</v>
      </c>
    </row>
    <row r="35" spans="1:2" x14ac:dyDescent="0.2">
      <c r="A35" s="4">
        <v>42095</v>
      </c>
      <c r="B35" s="3">
        <v>53.5</v>
      </c>
    </row>
    <row r="36" spans="1:2" x14ac:dyDescent="0.2">
      <c r="A36" s="4">
        <v>42125</v>
      </c>
      <c r="B36" s="3">
        <v>54.8</v>
      </c>
    </row>
    <row r="37" spans="1:2" x14ac:dyDescent="0.2">
      <c r="A37" s="4">
        <v>42156</v>
      </c>
      <c r="B37" s="3">
        <v>52.2</v>
      </c>
    </row>
    <row r="38" spans="1:2" x14ac:dyDescent="0.2">
      <c r="A38" s="4">
        <v>42186</v>
      </c>
      <c r="B38" s="3">
        <v>52.6</v>
      </c>
    </row>
    <row r="39" spans="1:2" x14ac:dyDescent="0.2">
      <c r="A39" s="4">
        <v>42217</v>
      </c>
      <c r="B39" s="3">
        <v>51.3</v>
      </c>
    </row>
    <row r="40" spans="1:2" x14ac:dyDescent="0.2">
      <c r="A40" s="4">
        <v>42248</v>
      </c>
      <c r="B40" s="3">
        <v>49.5</v>
      </c>
    </row>
    <row r="41" spans="1:2" x14ac:dyDescent="0.2">
      <c r="A41" s="4">
        <v>42278</v>
      </c>
      <c r="B41" s="3">
        <v>50.1</v>
      </c>
    </row>
    <row r="42" spans="1:2" x14ac:dyDescent="0.2">
      <c r="A42" s="4">
        <v>42309</v>
      </c>
      <c r="B42" s="3">
        <v>49.4</v>
      </c>
    </row>
    <row r="43" spans="1:2" x14ac:dyDescent="0.2">
      <c r="A43" s="4">
        <v>42339</v>
      </c>
      <c r="B43" s="3">
        <v>51.3</v>
      </c>
    </row>
    <row r="44" spans="1:2" x14ac:dyDescent="0.2">
      <c r="A44" s="4">
        <v>42370</v>
      </c>
      <c r="B44" s="3">
        <v>51.5</v>
      </c>
    </row>
    <row r="45" spans="1:2" x14ac:dyDescent="0.2">
      <c r="A45" s="4">
        <v>42401</v>
      </c>
      <c r="B45" s="3">
        <v>50.3</v>
      </c>
    </row>
    <row r="46" spans="1:2" x14ac:dyDescent="0.2">
      <c r="A46" s="4">
        <v>42430</v>
      </c>
      <c r="B46" s="3">
        <v>50.7</v>
      </c>
    </row>
    <row r="47" spans="1:2" x14ac:dyDescent="0.2">
      <c r="A47" s="4">
        <v>42461</v>
      </c>
      <c r="B47" s="3">
        <v>52.3</v>
      </c>
    </row>
    <row r="48" spans="1:2" x14ac:dyDescent="0.2">
      <c r="A48" s="4">
        <v>42491</v>
      </c>
      <c r="B48" s="3">
        <v>52.7</v>
      </c>
    </row>
    <row r="49" spans="1:2" x14ac:dyDescent="0.2">
      <c r="A49" s="4">
        <v>42522</v>
      </c>
      <c r="B49" s="3">
        <v>52.6</v>
      </c>
    </row>
    <row r="50" spans="1:2" x14ac:dyDescent="0.2">
      <c r="A50" s="4">
        <v>42552</v>
      </c>
      <c r="B50" s="3">
        <v>51.9</v>
      </c>
    </row>
    <row r="51" spans="1:2" x14ac:dyDescent="0.2">
      <c r="A51" s="4">
        <v>42583</v>
      </c>
      <c r="B51" s="3">
        <v>52.2</v>
      </c>
    </row>
    <row r="52" spans="1:2" x14ac:dyDescent="0.2">
      <c r="A52" s="4">
        <v>42614</v>
      </c>
      <c r="B52" s="3">
        <v>52.9</v>
      </c>
    </row>
    <row r="53" spans="1:2" x14ac:dyDescent="0.2">
      <c r="A53" s="4">
        <v>42644</v>
      </c>
      <c r="B53" s="3">
        <v>51.7</v>
      </c>
    </row>
    <row r="54" spans="1:2" x14ac:dyDescent="0.2">
      <c r="A54" s="4">
        <v>42675</v>
      </c>
      <c r="B54" s="3">
        <v>54</v>
      </c>
    </row>
    <row r="55" spans="1:2" x14ac:dyDescent="0.2">
      <c r="A55" s="4">
        <v>42705</v>
      </c>
      <c r="B55" s="3">
        <v>52.4</v>
      </c>
    </row>
    <row r="56" spans="1:2" x14ac:dyDescent="0.2">
      <c r="A56" s="4">
        <v>42736</v>
      </c>
      <c r="B56" s="3">
        <v>51.9</v>
      </c>
    </row>
    <row r="57" spans="1:2" x14ac:dyDescent="0.2">
      <c r="A57" s="4">
        <v>42767</v>
      </c>
      <c r="B57" s="3">
        <v>54.2</v>
      </c>
    </row>
    <row r="58" spans="1:2" x14ac:dyDescent="0.2">
      <c r="A58" s="4">
        <v>42795</v>
      </c>
      <c r="B58" s="3">
        <v>54.6</v>
      </c>
    </row>
    <row r="59" spans="1:2" x14ac:dyDescent="0.2">
      <c r="A59" s="4">
        <v>42826</v>
      </c>
      <c r="B59" s="3">
        <v>54.1</v>
      </c>
    </row>
    <row r="60" spans="1:2" x14ac:dyDescent="0.2">
      <c r="A60" s="4">
        <v>42856</v>
      </c>
      <c r="B60" s="3">
        <v>51.6</v>
      </c>
    </row>
    <row r="61" spans="1:2" x14ac:dyDescent="0.2">
      <c r="A61" s="4">
        <v>42887</v>
      </c>
      <c r="B61" s="3">
        <v>52.5</v>
      </c>
    </row>
    <row r="62" spans="1:2" x14ac:dyDescent="0.2">
      <c r="A62" s="4">
        <v>42917</v>
      </c>
      <c r="B62" s="3">
        <v>51.7</v>
      </c>
    </row>
    <row r="63" spans="1:2" x14ac:dyDescent="0.2">
      <c r="A63" s="4">
        <v>42948</v>
      </c>
      <c r="B63" s="3">
        <v>51.8</v>
      </c>
    </row>
    <row r="64" spans="1:2" x14ac:dyDescent="0.2">
      <c r="A64" s="4">
        <v>42979</v>
      </c>
      <c r="B64" s="3">
        <v>53.3</v>
      </c>
    </row>
    <row r="65" spans="1:2" x14ac:dyDescent="0.2">
      <c r="A65" s="4">
        <v>43009</v>
      </c>
      <c r="B65" s="3">
        <v>51.6</v>
      </c>
    </row>
    <row r="66" spans="1:2" x14ac:dyDescent="0.2">
      <c r="A66" s="4">
        <v>43040</v>
      </c>
      <c r="B66" s="3">
        <v>51.4</v>
      </c>
    </row>
    <row r="67" spans="1:2" x14ac:dyDescent="0.2">
      <c r="A67" s="4">
        <v>43070</v>
      </c>
      <c r="B67" s="3">
        <v>52.5</v>
      </c>
    </row>
    <row r="68" spans="1:2" x14ac:dyDescent="0.2">
      <c r="A68" s="4">
        <v>43101</v>
      </c>
      <c r="B68" s="3">
        <v>53.4</v>
      </c>
    </row>
    <row r="69" spans="1:2" x14ac:dyDescent="0.2">
      <c r="A69" s="4">
        <v>43132</v>
      </c>
      <c r="B69" s="3">
        <v>53.5</v>
      </c>
    </row>
    <row r="70" spans="1:2" x14ac:dyDescent="0.2">
      <c r="A70" s="4">
        <v>43160</v>
      </c>
      <c r="B70" s="3">
        <v>51.6</v>
      </c>
    </row>
    <row r="71" spans="1:2" x14ac:dyDescent="0.2">
      <c r="A71" s="4">
        <v>43191</v>
      </c>
      <c r="B71" s="3">
        <v>52.9</v>
      </c>
    </row>
    <row r="72" spans="1:2" x14ac:dyDescent="0.2">
      <c r="A72" s="4">
        <v>43221</v>
      </c>
      <c r="B72" s="3">
        <v>53.9</v>
      </c>
    </row>
    <row r="73" spans="1:2" x14ac:dyDescent="0.2">
      <c r="A73" s="4">
        <v>43252</v>
      </c>
      <c r="B73" s="3">
        <v>55.7</v>
      </c>
    </row>
    <row r="74" spans="1:2" x14ac:dyDescent="0.2">
      <c r="A74" s="4">
        <v>43282</v>
      </c>
      <c r="B74" s="3">
        <v>54.9</v>
      </c>
    </row>
    <row r="75" spans="1:2" x14ac:dyDescent="0.2">
      <c r="A75" s="4">
        <v>43313</v>
      </c>
      <c r="B75" s="3">
        <v>53.7</v>
      </c>
    </row>
    <row r="76" spans="1:2" x14ac:dyDescent="0.2">
      <c r="A76" s="4">
        <v>43344</v>
      </c>
      <c r="B76" s="3">
        <v>51.5</v>
      </c>
    </row>
    <row r="77" spans="1:2" x14ac:dyDescent="0.2">
      <c r="A77" s="4">
        <v>43374</v>
      </c>
      <c r="B77" s="3">
        <v>53.9</v>
      </c>
    </row>
    <row r="78" spans="1:2" x14ac:dyDescent="0.2">
      <c r="A78" s="4">
        <v>43405</v>
      </c>
      <c r="B78" s="3">
        <v>56.5</v>
      </c>
    </row>
    <row r="79" spans="1:2" x14ac:dyDescent="0.2">
      <c r="A79" s="4">
        <v>43435</v>
      </c>
      <c r="B79" s="3">
        <v>53.8</v>
      </c>
    </row>
    <row r="80" spans="1:2" x14ac:dyDescent="0.2">
      <c r="A80" s="4">
        <v>43466</v>
      </c>
      <c r="B80" s="3">
        <v>51.9</v>
      </c>
    </row>
    <row r="81" spans="1:2" x14ac:dyDescent="0.2">
      <c r="A81" s="4">
        <v>43497</v>
      </c>
      <c r="B81" s="3">
        <v>51.2</v>
      </c>
    </row>
    <row r="82" spans="1:2" x14ac:dyDescent="0.2">
      <c r="A82" s="4">
        <v>43525</v>
      </c>
      <c r="B82" s="3">
        <v>51.9</v>
      </c>
    </row>
    <row r="83" spans="1:2" x14ac:dyDescent="0.2">
      <c r="A83" s="4">
        <v>43556</v>
      </c>
      <c r="B83" s="3">
        <v>52.5</v>
      </c>
    </row>
    <row r="84" spans="1:2" x14ac:dyDescent="0.2">
      <c r="A84" s="4">
        <v>43586</v>
      </c>
      <c r="B84" s="3">
        <v>52</v>
      </c>
    </row>
    <row r="85" spans="1:2" x14ac:dyDescent="0.2">
      <c r="A85" s="4">
        <v>43617</v>
      </c>
      <c r="B85" s="3">
        <v>52.5</v>
      </c>
    </row>
    <row r="86" spans="1:2" x14ac:dyDescent="0.2">
      <c r="A86" s="4">
        <v>43647</v>
      </c>
      <c r="B86" s="3">
        <v>52.6</v>
      </c>
    </row>
    <row r="87" spans="1:2" x14ac:dyDescent="0.2">
      <c r="A87" s="4">
        <v>43678</v>
      </c>
      <c r="B87" s="3">
        <v>51.4</v>
      </c>
    </row>
    <row r="88" spans="1:2" x14ac:dyDescent="0.2">
      <c r="A88" s="4">
        <v>43709</v>
      </c>
      <c r="B88" s="3">
        <v>50.5</v>
      </c>
    </row>
    <row r="89" spans="1:2" x14ac:dyDescent="0.2">
      <c r="A89" s="4">
        <v>43739</v>
      </c>
      <c r="B89" s="3">
        <v>50</v>
      </c>
    </row>
    <row r="90" spans="1:2" x14ac:dyDescent="0.2">
      <c r="A90" s="4">
        <v>43770</v>
      </c>
      <c r="B90" s="3">
        <v>51</v>
      </c>
    </row>
    <row r="91" spans="1:2" x14ac:dyDescent="0.2">
      <c r="A91" s="4">
        <v>43800</v>
      </c>
      <c r="B91" s="3">
        <v>50.8</v>
      </c>
    </row>
    <row r="92" spans="1:2" x14ac:dyDescent="0.2">
      <c r="A92" s="4">
        <v>43831</v>
      </c>
      <c r="B92" s="3">
        <v>50.6</v>
      </c>
    </row>
    <row r="93" spans="1:2" x14ac:dyDescent="0.2">
      <c r="A93" s="4">
        <v>43862</v>
      </c>
      <c r="B93" s="3">
        <v>49</v>
      </c>
    </row>
    <row r="94" spans="1:2" x14ac:dyDescent="0.2">
      <c r="A94" s="4">
        <v>43891</v>
      </c>
      <c r="B94" s="3">
        <v>41.9</v>
      </c>
    </row>
    <row r="95" spans="1:2" x14ac:dyDescent="0.2">
      <c r="A95" s="4">
        <v>43922</v>
      </c>
      <c r="B95" s="3">
        <v>32.700000000000003</v>
      </c>
    </row>
    <row r="96" spans="1:2" x14ac:dyDescent="0.2">
      <c r="A96" s="4">
        <v>43952</v>
      </c>
      <c r="B96" s="3">
        <v>42.7</v>
      </c>
    </row>
    <row r="97" spans="1:2" x14ac:dyDescent="0.2">
      <c r="A97" s="4">
        <v>43983</v>
      </c>
      <c r="B97" s="3">
        <v>51.1</v>
      </c>
    </row>
    <row r="98" spans="1:2" x14ac:dyDescent="0.2">
      <c r="A98" s="4">
        <v>44013</v>
      </c>
      <c r="B98" s="3">
        <v>47.6</v>
      </c>
    </row>
    <row r="99" spans="1:2" x14ac:dyDescent="0.2">
      <c r="A99" s="4">
        <v>44044</v>
      </c>
      <c r="B99" s="3">
        <v>45.7</v>
      </c>
    </row>
    <row r="100" spans="1:2" x14ac:dyDescent="0.2">
      <c r="A100" s="4">
        <v>44075</v>
      </c>
      <c r="B100" s="3">
        <v>52.2</v>
      </c>
    </row>
    <row r="101" spans="1:2" x14ac:dyDescent="0.2">
      <c r="A101" s="4">
        <v>44105</v>
      </c>
      <c r="B101" s="3">
        <v>51.8</v>
      </c>
    </row>
    <row r="102" spans="1:2" x14ac:dyDescent="0.2">
      <c r="A102" s="4">
        <v>44136</v>
      </c>
      <c r="B102" s="3">
        <v>49.9</v>
      </c>
    </row>
    <row r="103" spans="1:2" x14ac:dyDescent="0.2">
      <c r="A103" s="4">
        <v>44166</v>
      </c>
      <c r="B103" s="3">
        <v>51.7</v>
      </c>
    </row>
    <row r="104" spans="1:2" x14ac:dyDescent="0.2">
      <c r="A104" s="4">
        <v>44197</v>
      </c>
      <c r="B104" s="3">
        <v>51.3</v>
      </c>
    </row>
    <row r="105" spans="1:2" x14ac:dyDescent="0.2">
      <c r="A105" s="4">
        <v>44228</v>
      </c>
      <c r="B105" s="3">
        <v>51.6</v>
      </c>
    </row>
    <row r="106" spans="1:2" x14ac:dyDescent="0.2">
      <c r="A106" s="4">
        <v>44256</v>
      </c>
      <c r="B106" s="3">
        <v>53.6</v>
      </c>
    </row>
    <row r="107" spans="1:2" x14ac:dyDescent="0.2">
      <c r="A107" s="4">
        <v>44287</v>
      </c>
      <c r="B107" s="3">
        <v>54.7</v>
      </c>
    </row>
    <row r="108" spans="1:2" x14ac:dyDescent="0.2">
      <c r="A108" s="4">
        <v>44317</v>
      </c>
      <c r="B108" s="3">
        <v>53.1</v>
      </c>
    </row>
    <row r="109" spans="1:2" x14ac:dyDescent="0.2">
      <c r="A109" s="4">
        <v>44348</v>
      </c>
      <c r="B109" s="3">
        <v>44.1</v>
      </c>
    </row>
    <row r="110" spans="1:2" x14ac:dyDescent="0.2">
      <c r="A110" s="4">
        <v>44378</v>
      </c>
      <c r="B110" s="3">
        <v>45.1</v>
      </c>
    </row>
    <row r="111" spans="1:2" x14ac:dyDescent="0.2">
      <c r="A111" s="4">
        <v>44409</v>
      </c>
      <c r="B111" s="3">
        <v>40.200000000000003</v>
      </c>
    </row>
    <row r="112" spans="1:2" x14ac:dyDescent="0.2">
      <c r="A112" s="4">
        <v>44440</v>
      </c>
      <c r="B112" s="3">
        <v>40.200000000000003</v>
      </c>
    </row>
    <row r="113" spans="1:2" x14ac:dyDescent="0.2">
      <c r="A113" s="4">
        <v>44470</v>
      </c>
      <c r="B113" s="3">
        <v>52.1</v>
      </c>
    </row>
    <row r="114" spans="1:2" x14ac:dyDescent="0.2">
      <c r="A114" s="4">
        <v>44501</v>
      </c>
      <c r="B114" s="3">
        <v>52.2</v>
      </c>
    </row>
    <row r="115" spans="1:2" x14ac:dyDescent="0.2">
      <c r="A115" s="4">
        <v>44531</v>
      </c>
      <c r="B115" s="3">
        <v>52.5</v>
      </c>
    </row>
  </sheetData>
  <conditionalFormatting sqref="B2:B11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582B9B-0741-4D44-A589-CEDBEBDF02F0}">
  <dimension ref="A1:B67"/>
  <sheetViews>
    <sheetView zoomScale="160" zoomScaleNormal="160" workbookViewId="0">
      <pane ySplit="1" topLeftCell="A2" activePane="bottomLeft" state="frozen"/>
      <selection pane="bottomLeft" activeCell="P46" sqref="P46"/>
    </sheetView>
  </sheetViews>
  <sheetFormatPr baseColWidth="10" defaultColWidth="9.1640625" defaultRowHeight="15" x14ac:dyDescent="0.2"/>
  <cols>
    <col min="1" max="1" width="13.5" style="1" customWidth="1"/>
    <col min="2" max="2" width="11.33203125" style="1" customWidth="1"/>
    <col min="3" max="16384" width="9.1640625" style="1"/>
  </cols>
  <sheetData>
    <row r="1" spans="1:2" ht="16" thickBot="1" x14ac:dyDescent="0.25">
      <c r="A1" s="11" t="s">
        <v>0</v>
      </c>
      <c r="B1" s="12" t="s">
        <v>5</v>
      </c>
    </row>
    <row r="2" spans="1:2" x14ac:dyDescent="0.2">
      <c r="A2" s="8">
        <v>42552</v>
      </c>
      <c r="B2" s="9">
        <v>49.3</v>
      </c>
    </row>
    <row r="3" spans="1:2" x14ac:dyDescent="0.2">
      <c r="A3" s="4">
        <v>42583</v>
      </c>
      <c r="B3" s="3">
        <v>49.8</v>
      </c>
    </row>
    <row r="4" spans="1:2" x14ac:dyDescent="0.2">
      <c r="A4" s="4">
        <v>42614</v>
      </c>
      <c r="B4" s="3">
        <v>48.8</v>
      </c>
    </row>
    <row r="5" spans="1:2" x14ac:dyDescent="0.2">
      <c r="A5" s="4">
        <v>42644</v>
      </c>
      <c r="B5" s="3">
        <v>48.8</v>
      </c>
    </row>
    <row r="6" spans="1:2" x14ac:dyDescent="0.2">
      <c r="A6" s="4">
        <v>42675</v>
      </c>
      <c r="B6" s="3">
        <v>48.2</v>
      </c>
    </row>
    <row r="7" spans="1:2" x14ac:dyDescent="0.2">
      <c r="A7" s="4">
        <v>42705</v>
      </c>
      <c r="B7" s="3">
        <v>50.6</v>
      </c>
    </row>
    <row r="8" spans="1:2" x14ac:dyDescent="0.2">
      <c r="A8" s="4">
        <v>42736</v>
      </c>
      <c r="B8" s="3">
        <v>50.6</v>
      </c>
    </row>
    <row r="9" spans="1:2" x14ac:dyDescent="0.2">
      <c r="A9" s="4">
        <v>42767</v>
      </c>
      <c r="B9" s="3">
        <v>50.6</v>
      </c>
    </row>
    <row r="10" spans="1:2" x14ac:dyDescent="0.2">
      <c r="A10" s="4">
        <v>42795</v>
      </c>
      <c r="B10" s="3">
        <v>50.2</v>
      </c>
    </row>
    <row r="11" spans="1:2" x14ac:dyDescent="0.2">
      <c r="A11" s="4">
        <v>42826</v>
      </c>
      <c r="B11" s="3">
        <v>49.8</v>
      </c>
    </row>
    <row r="12" spans="1:2" x14ac:dyDescent="0.2">
      <c r="A12" s="4">
        <v>42856</v>
      </c>
      <c r="B12" s="3">
        <v>49.7</v>
      </c>
    </row>
    <row r="13" spans="1:2" x14ac:dyDescent="0.2">
      <c r="A13" s="4">
        <v>42887</v>
      </c>
      <c r="B13" s="3">
        <v>50.4</v>
      </c>
    </row>
    <row r="14" spans="1:2" x14ac:dyDescent="0.2">
      <c r="A14" s="4">
        <v>42917</v>
      </c>
      <c r="B14" s="3">
        <v>49.6</v>
      </c>
    </row>
    <row r="15" spans="1:2" x14ac:dyDescent="0.2">
      <c r="A15" s="4">
        <v>42948</v>
      </c>
      <c r="B15" s="3">
        <v>49.5</v>
      </c>
    </row>
    <row r="16" spans="1:2" x14ac:dyDescent="0.2">
      <c r="A16" s="4">
        <v>42979</v>
      </c>
      <c r="B16" s="3">
        <v>50.3</v>
      </c>
    </row>
    <row r="17" spans="1:2" x14ac:dyDescent="0.2">
      <c r="A17" s="4">
        <v>43009</v>
      </c>
      <c r="B17" s="3">
        <v>49.8</v>
      </c>
    </row>
    <row r="18" spans="1:2" x14ac:dyDescent="0.2">
      <c r="A18" s="4">
        <v>43040</v>
      </c>
      <c r="B18" s="3">
        <v>50</v>
      </c>
    </row>
    <row r="19" spans="1:2" x14ac:dyDescent="0.2">
      <c r="A19" s="4">
        <v>43070</v>
      </c>
      <c r="B19" s="3">
        <v>50.4</v>
      </c>
    </row>
    <row r="20" spans="1:2" x14ac:dyDescent="0.2">
      <c r="A20" s="4">
        <v>43101</v>
      </c>
      <c r="B20" s="3">
        <v>50.6</v>
      </c>
    </row>
    <row r="21" spans="1:2" x14ac:dyDescent="0.2">
      <c r="A21" s="4">
        <v>43132</v>
      </c>
      <c r="B21" s="3">
        <v>50.9</v>
      </c>
    </row>
    <row r="22" spans="1:2" x14ac:dyDescent="0.2">
      <c r="A22" s="4">
        <v>43160</v>
      </c>
      <c r="B22" s="3">
        <v>49.1</v>
      </c>
    </row>
    <row r="23" spans="1:2" x14ac:dyDescent="0.2">
      <c r="A23" s="4">
        <v>43191</v>
      </c>
      <c r="B23" s="3">
        <v>49.5</v>
      </c>
    </row>
    <row r="24" spans="1:2" x14ac:dyDescent="0.2">
      <c r="A24" s="4">
        <v>43221</v>
      </c>
      <c r="B24" s="3">
        <v>51.1</v>
      </c>
    </row>
    <row r="25" spans="1:2" x14ac:dyDescent="0.2">
      <c r="A25" s="4">
        <v>43252</v>
      </c>
      <c r="B25" s="3">
        <v>50.2</v>
      </c>
    </row>
    <row r="26" spans="1:2" x14ac:dyDescent="0.2">
      <c r="A26" s="4">
        <v>43282</v>
      </c>
      <c r="B26" s="3">
        <v>50.1</v>
      </c>
    </row>
    <row r="27" spans="1:2" x14ac:dyDescent="0.2">
      <c r="A27" s="4">
        <v>43313</v>
      </c>
      <c r="B27" s="3">
        <v>49.9</v>
      </c>
    </row>
    <row r="28" spans="1:2" x14ac:dyDescent="0.2">
      <c r="A28" s="4">
        <v>43344</v>
      </c>
      <c r="B28" s="3">
        <v>50</v>
      </c>
    </row>
    <row r="29" spans="1:2" x14ac:dyDescent="0.2">
      <c r="A29" s="4">
        <v>43374</v>
      </c>
      <c r="B29" s="3">
        <v>48.9</v>
      </c>
    </row>
    <row r="30" spans="1:2" x14ac:dyDescent="0.2">
      <c r="A30" s="4">
        <v>43405</v>
      </c>
      <c r="B30" s="3">
        <v>49.8</v>
      </c>
    </row>
    <row r="31" spans="1:2" x14ac:dyDescent="0.2">
      <c r="A31" s="4">
        <v>43435</v>
      </c>
      <c r="B31" s="3">
        <v>50.3</v>
      </c>
    </row>
    <row r="32" spans="1:2" x14ac:dyDescent="0.2">
      <c r="A32" s="4">
        <v>43466</v>
      </c>
      <c r="B32" s="3">
        <v>50.2</v>
      </c>
    </row>
    <row r="33" spans="1:2" x14ac:dyDescent="0.2">
      <c r="A33" s="4">
        <v>43497</v>
      </c>
      <c r="B33" s="3">
        <v>49.9</v>
      </c>
    </row>
    <row r="34" spans="1:2" x14ac:dyDescent="0.2">
      <c r="A34" s="4">
        <v>43525</v>
      </c>
      <c r="B34" s="3">
        <v>50.3</v>
      </c>
    </row>
    <row r="35" spans="1:2" x14ac:dyDescent="0.2">
      <c r="A35" s="4">
        <v>43556</v>
      </c>
      <c r="B35" s="3">
        <v>51</v>
      </c>
    </row>
    <row r="36" spans="1:2" x14ac:dyDescent="0.2">
      <c r="A36" s="4">
        <v>43586</v>
      </c>
      <c r="B36" s="3">
        <v>50.7</v>
      </c>
    </row>
    <row r="37" spans="1:2" x14ac:dyDescent="0.2">
      <c r="A37" s="4">
        <v>43617</v>
      </c>
      <c r="B37" s="3">
        <v>50.6</v>
      </c>
    </row>
    <row r="38" spans="1:2" x14ac:dyDescent="0.2">
      <c r="A38" s="4">
        <v>43647</v>
      </c>
      <c r="B38" s="3">
        <v>50.3</v>
      </c>
    </row>
    <row r="39" spans="1:2" x14ac:dyDescent="0.2">
      <c r="A39" s="4">
        <v>43678</v>
      </c>
      <c r="B39" s="3">
        <v>50</v>
      </c>
    </row>
    <row r="40" spans="1:2" x14ac:dyDescent="0.2">
      <c r="A40" s="4">
        <v>43709</v>
      </c>
      <c r="B40" s="3">
        <v>50.6</v>
      </c>
    </row>
    <row r="41" spans="1:2" x14ac:dyDescent="0.2">
      <c r="A41" s="4">
        <v>43739</v>
      </c>
      <c r="B41" s="3">
        <v>50</v>
      </c>
    </row>
    <row r="42" spans="1:2" x14ac:dyDescent="0.2">
      <c r="A42" s="4">
        <v>43770</v>
      </c>
      <c r="B42" s="3">
        <v>49.3</v>
      </c>
    </row>
    <row r="43" spans="1:2" x14ac:dyDescent="0.2">
      <c r="A43" s="4">
        <v>43800</v>
      </c>
      <c r="B43" s="3">
        <v>50.1</v>
      </c>
    </row>
    <row r="44" spans="1:2" x14ac:dyDescent="0.2">
      <c r="A44" s="4">
        <v>43831</v>
      </c>
      <c r="B44" s="3">
        <v>49.9</v>
      </c>
    </row>
    <row r="45" spans="1:2" x14ac:dyDescent="0.2">
      <c r="A45" s="4">
        <v>43862</v>
      </c>
      <c r="B45" s="3">
        <v>49.5</v>
      </c>
    </row>
    <row r="46" spans="1:2" x14ac:dyDescent="0.2">
      <c r="A46" s="4">
        <v>43891</v>
      </c>
      <c r="B46" s="3">
        <v>46.7</v>
      </c>
    </row>
    <row r="47" spans="1:2" x14ac:dyDescent="0.2">
      <c r="A47" s="4">
        <v>43922</v>
      </c>
      <c r="B47" s="3">
        <v>36.799999999999997</v>
      </c>
    </row>
    <row r="48" spans="1:2" x14ac:dyDescent="0.2">
      <c r="A48" s="4">
        <v>43952</v>
      </c>
      <c r="B48" s="3">
        <v>41.6</v>
      </c>
    </row>
    <row r="49" spans="1:2" x14ac:dyDescent="0.2">
      <c r="A49" s="4">
        <v>43983</v>
      </c>
      <c r="B49" s="3">
        <v>43.5</v>
      </c>
    </row>
    <row r="50" spans="1:2" x14ac:dyDescent="0.2">
      <c r="A50" s="4">
        <v>44013</v>
      </c>
      <c r="B50" s="3">
        <v>45.9</v>
      </c>
    </row>
    <row r="51" spans="1:2" x14ac:dyDescent="0.2">
      <c r="A51" s="4">
        <v>44044</v>
      </c>
      <c r="B51" s="3">
        <v>49.7</v>
      </c>
    </row>
    <row r="52" spans="1:2" x14ac:dyDescent="0.2">
      <c r="A52" s="4">
        <v>44075</v>
      </c>
      <c r="B52" s="3">
        <v>49.9</v>
      </c>
    </row>
    <row r="53" spans="1:2" x14ac:dyDescent="0.2">
      <c r="A53" s="4">
        <v>44105</v>
      </c>
      <c r="B53" s="3">
        <v>50.8</v>
      </c>
    </row>
    <row r="54" spans="1:2" x14ac:dyDescent="0.2">
      <c r="A54" s="4">
        <v>44136</v>
      </c>
      <c r="B54" s="3">
        <v>50.4</v>
      </c>
    </row>
    <row r="55" spans="1:2" x14ac:dyDescent="0.2">
      <c r="A55" s="4">
        <v>44166</v>
      </c>
      <c r="B55" s="3">
        <v>50.8</v>
      </c>
    </row>
    <row r="56" spans="1:2" x14ac:dyDescent="0.2">
      <c r="A56" s="4">
        <v>44197</v>
      </c>
      <c r="B56" s="3">
        <v>49</v>
      </c>
    </row>
    <row r="57" spans="1:2" x14ac:dyDescent="0.2">
      <c r="A57" s="4">
        <v>44228</v>
      </c>
      <c r="B57" s="3">
        <v>47.2</v>
      </c>
    </row>
    <row r="58" spans="1:2" x14ac:dyDescent="0.2">
      <c r="A58" s="4">
        <v>44256</v>
      </c>
      <c r="B58" s="3">
        <v>48.8</v>
      </c>
    </row>
    <row r="59" spans="1:2" x14ac:dyDescent="0.2">
      <c r="A59" s="4">
        <v>44287</v>
      </c>
      <c r="B59" s="3">
        <v>50.7</v>
      </c>
    </row>
    <row r="60" spans="1:2" x14ac:dyDescent="0.2">
      <c r="A60" s="4">
        <v>44317</v>
      </c>
      <c r="B60" s="3">
        <v>47.8</v>
      </c>
    </row>
    <row r="61" spans="1:2" x14ac:dyDescent="0.2">
      <c r="A61" s="4">
        <v>44348</v>
      </c>
      <c r="B61" s="3">
        <v>49.5</v>
      </c>
    </row>
    <row r="62" spans="1:2" x14ac:dyDescent="0.2">
      <c r="A62" s="4">
        <v>44378</v>
      </c>
      <c r="B62" s="3">
        <v>48.7</v>
      </c>
    </row>
    <row r="63" spans="1:2" x14ac:dyDescent="0.2">
      <c r="A63" s="4">
        <v>44409</v>
      </c>
      <c r="B63" s="3">
        <v>48.3</v>
      </c>
    </row>
    <row r="64" spans="1:2" x14ac:dyDescent="0.2">
      <c r="A64" s="4">
        <v>44440</v>
      </c>
      <c r="B64" s="3">
        <v>48.9</v>
      </c>
    </row>
    <row r="65" spans="1:2" x14ac:dyDescent="0.2">
      <c r="A65" s="4">
        <v>44470</v>
      </c>
      <c r="B65" s="3">
        <v>50.9</v>
      </c>
    </row>
    <row r="66" spans="1:2" x14ac:dyDescent="0.2">
      <c r="A66" s="4">
        <v>44501</v>
      </c>
      <c r="B66" s="3">
        <v>50.6</v>
      </c>
    </row>
    <row r="67" spans="1:2" x14ac:dyDescent="0.2">
      <c r="A67" s="4">
        <v>44531</v>
      </c>
      <c r="B67" s="3">
        <v>49.5</v>
      </c>
    </row>
  </sheetData>
  <conditionalFormatting sqref="B2:B67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521FF-0D39-472A-8F72-8F64C39E56CC}">
  <dimension ref="A1:B264"/>
  <sheetViews>
    <sheetView zoomScale="170" zoomScaleNormal="170" workbookViewId="0">
      <pane ySplit="1" topLeftCell="A2" activePane="bottomLeft" state="frozen"/>
      <selection pane="bottomLeft" activeCell="T262" sqref="T262"/>
    </sheetView>
  </sheetViews>
  <sheetFormatPr baseColWidth="10" defaultColWidth="9.1640625" defaultRowHeight="15" x14ac:dyDescent="0.2"/>
  <cols>
    <col min="1" max="1" width="13.5" style="1" customWidth="1"/>
    <col min="2" max="2" width="11.33203125" style="1" customWidth="1"/>
    <col min="3" max="16384" width="9.1640625" style="1"/>
  </cols>
  <sheetData>
    <row r="1" spans="1:2" ht="16" thickBot="1" x14ac:dyDescent="0.25">
      <c r="A1" s="11" t="s">
        <v>0</v>
      </c>
      <c r="B1" s="12" t="s">
        <v>33</v>
      </c>
    </row>
    <row r="2" spans="1:2" x14ac:dyDescent="0.2">
      <c r="A2" s="8">
        <v>36526</v>
      </c>
      <c r="B2" s="9">
        <v>56.66</v>
      </c>
    </row>
    <row r="3" spans="1:2" x14ac:dyDescent="0.2">
      <c r="A3" s="4">
        <v>36557</v>
      </c>
      <c r="B3" s="3">
        <v>57.26</v>
      </c>
    </row>
    <row r="4" spans="1:2" x14ac:dyDescent="0.2">
      <c r="A4" s="4">
        <v>36586</v>
      </c>
      <c r="B4" s="3">
        <v>49.83</v>
      </c>
    </row>
    <row r="5" spans="1:2" x14ac:dyDescent="0.2">
      <c r="A5" s="4">
        <v>36617</v>
      </c>
      <c r="B5" s="3">
        <v>52.72</v>
      </c>
    </row>
    <row r="6" spans="1:2" x14ac:dyDescent="0.2">
      <c r="A6" s="4">
        <v>36647</v>
      </c>
      <c r="B6" s="3">
        <v>50.05</v>
      </c>
    </row>
    <row r="7" spans="1:2" x14ac:dyDescent="0.2">
      <c r="A7" s="4">
        <v>36678</v>
      </c>
      <c r="B7" s="3">
        <v>49.65</v>
      </c>
    </row>
    <row r="8" spans="1:2" x14ac:dyDescent="0.2">
      <c r="A8" s="4">
        <v>36708</v>
      </c>
      <c r="B8" s="3">
        <v>49.18</v>
      </c>
    </row>
    <row r="9" spans="1:2" x14ac:dyDescent="0.2">
      <c r="A9" s="4">
        <v>36739</v>
      </c>
      <c r="B9" s="3">
        <v>51.48</v>
      </c>
    </row>
    <row r="10" spans="1:2" x14ac:dyDescent="0.2">
      <c r="A10" s="4">
        <v>36770</v>
      </c>
      <c r="B10" s="3">
        <v>53.75</v>
      </c>
    </row>
    <row r="11" spans="1:2" x14ac:dyDescent="0.2">
      <c r="A11" s="4">
        <v>36800</v>
      </c>
      <c r="B11" s="3">
        <v>56.34</v>
      </c>
    </row>
    <row r="12" spans="1:2" x14ac:dyDescent="0.2">
      <c r="A12" s="4">
        <v>36831</v>
      </c>
      <c r="B12" s="3">
        <v>51.73</v>
      </c>
    </row>
    <row r="13" spans="1:2" x14ac:dyDescent="0.2">
      <c r="A13" s="4">
        <v>36861</v>
      </c>
      <c r="B13" s="3">
        <v>50.48</v>
      </c>
    </row>
    <row r="14" spans="1:2" x14ac:dyDescent="0.2">
      <c r="A14" s="4">
        <v>36892</v>
      </c>
      <c r="B14" s="3">
        <v>49.29</v>
      </c>
    </row>
    <row r="15" spans="1:2" x14ac:dyDescent="0.2">
      <c r="A15" s="4">
        <v>36923</v>
      </c>
      <c r="B15" s="3">
        <v>53.48</v>
      </c>
    </row>
    <row r="16" spans="1:2" x14ac:dyDescent="0.2">
      <c r="A16" s="4">
        <v>36951</v>
      </c>
      <c r="B16" s="3">
        <v>53.61</v>
      </c>
    </row>
    <row r="17" spans="1:2" x14ac:dyDescent="0.2">
      <c r="A17" s="4">
        <v>36982</v>
      </c>
      <c r="B17" s="3">
        <v>52.38</v>
      </c>
    </row>
    <row r="18" spans="1:2" x14ac:dyDescent="0.2">
      <c r="A18" s="4">
        <v>37012</v>
      </c>
      <c r="B18" s="3">
        <v>55.01</v>
      </c>
    </row>
    <row r="19" spans="1:2" x14ac:dyDescent="0.2">
      <c r="A19" s="4">
        <v>37043</v>
      </c>
      <c r="B19" s="3">
        <v>56.17</v>
      </c>
    </row>
    <row r="20" spans="1:2" x14ac:dyDescent="0.2">
      <c r="A20" s="4">
        <v>37073</v>
      </c>
      <c r="B20" s="3">
        <v>51.34</v>
      </c>
    </row>
    <row r="21" spans="1:2" x14ac:dyDescent="0.2">
      <c r="A21" s="4">
        <v>37104</v>
      </c>
      <c r="B21" s="3">
        <v>51.22</v>
      </c>
    </row>
    <row r="22" spans="1:2" x14ac:dyDescent="0.2">
      <c r="A22" s="4">
        <v>37135</v>
      </c>
      <c r="B22" s="3">
        <v>48.76</v>
      </c>
    </row>
    <row r="23" spans="1:2" x14ac:dyDescent="0.2">
      <c r="A23" s="4">
        <v>37165</v>
      </c>
      <c r="B23" s="3">
        <v>50.25</v>
      </c>
    </row>
    <row r="24" spans="1:2" x14ac:dyDescent="0.2">
      <c r="A24" s="4">
        <v>37196</v>
      </c>
      <c r="B24" s="3">
        <v>54.35</v>
      </c>
    </row>
    <row r="25" spans="1:2" x14ac:dyDescent="0.2">
      <c r="A25" s="4">
        <v>37226</v>
      </c>
      <c r="B25" s="3">
        <v>55.35</v>
      </c>
    </row>
    <row r="26" spans="1:2" x14ac:dyDescent="0.2">
      <c r="A26" s="4">
        <v>37257</v>
      </c>
      <c r="B26" s="3">
        <v>55.53</v>
      </c>
    </row>
    <row r="27" spans="1:2" x14ac:dyDescent="0.2">
      <c r="A27" s="4">
        <v>37288</v>
      </c>
      <c r="B27" s="3">
        <v>53.87</v>
      </c>
    </row>
    <row r="28" spans="1:2" x14ac:dyDescent="0.2">
      <c r="A28" s="4">
        <v>37316</v>
      </c>
      <c r="B28" s="3">
        <v>53.63</v>
      </c>
    </row>
    <row r="29" spans="1:2" x14ac:dyDescent="0.2">
      <c r="A29" s="4">
        <v>37347</v>
      </c>
      <c r="B29" s="3">
        <v>60.87</v>
      </c>
    </row>
    <row r="30" spans="1:2" x14ac:dyDescent="0.2">
      <c r="A30" s="4">
        <v>37377</v>
      </c>
      <c r="B30" s="3">
        <v>58.74</v>
      </c>
    </row>
    <row r="31" spans="1:2" x14ac:dyDescent="0.2">
      <c r="A31" s="4">
        <v>37408</v>
      </c>
      <c r="B31" s="3">
        <v>56.43</v>
      </c>
    </row>
    <row r="32" spans="1:2" x14ac:dyDescent="0.2">
      <c r="A32" s="4">
        <v>37438</v>
      </c>
      <c r="B32" s="3">
        <v>54.63</v>
      </c>
    </row>
    <row r="33" spans="1:2" x14ac:dyDescent="0.2">
      <c r="A33" s="4">
        <v>37469</v>
      </c>
      <c r="B33" s="3">
        <v>55.58</v>
      </c>
    </row>
    <row r="34" spans="1:2" x14ac:dyDescent="0.2">
      <c r="A34" s="4">
        <v>37500</v>
      </c>
      <c r="B34" s="3">
        <v>57.74</v>
      </c>
    </row>
    <row r="35" spans="1:2" x14ac:dyDescent="0.2">
      <c r="A35" s="4">
        <v>37530</v>
      </c>
      <c r="B35" s="3">
        <v>56.38</v>
      </c>
    </row>
    <row r="36" spans="1:2" x14ac:dyDescent="0.2">
      <c r="A36" s="4">
        <v>37561</v>
      </c>
      <c r="B36" s="3">
        <v>54.54</v>
      </c>
    </row>
    <row r="37" spans="1:2" x14ac:dyDescent="0.2">
      <c r="A37" s="4">
        <v>37591</v>
      </c>
      <c r="B37" s="3">
        <v>55.28</v>
      </c>
    </row>
    <row r="38" spans="1:2" x14ac:dyDescent="0.2">
      <c r="A38" s="4">
        <v>37622</v>
      </c>
      <c r="B38" s="3">
        <v>56.84</v>
      </c>
    </row>
    <row r="39" spans="1:2" x14ac:dyDescent="0.2">
      <c r="A39" s="4">
        <v>37653</v>
      </c>
      <c r="B39" s="3">
        <v>52.39</v>
      </c>
    </row>
    <row r="40" spans="1:2" x14ac:dyDescent="0.2">
      <c r="A40" s="4">
        <v>37681</v>
      </c>
      <c r="B40" s="3">
        <v>49.15</v>
      </c>
    </row>
    <row r="41" spans="1:2" x14ac:dyDescent="0.2">
      <c r="A41" s="4">
        <v>37712</v>
      </c>
      <c r="B41" s="3">
        <v>48.99</v>
      </c>
    </row>
    <row r="42" spans="1:2" x14ac:dyDescent="0.2">
      <c r="A42" s="4">
        <v>37742</v>
      </c>
      <c r="B42" s="3">
        <v>46.13</v>
      </c>
    </row>
    <row r="43" spans="1:2" x14ac:dyDescent="0.2">
      <c r="A43" s="4">
        <v>37773</v>
      </c>
      <c r="B43" s="3">
        <v>45.22</v>
      </c>
    </row>
    <row r="44" spans="1:2" x14ac:dyDescent="0.2">
      <c r="A44" s="4">
        <v>37803</v>
      </c>
      <c r="B44" s="3">
        <v>47.89</v>
      </c>
    </row>
    <row r="45" spans="1:2" x14ac:dyDescent="0.2">
      <c r="A45" s="4">
        <v>37834</v>
      </c>
      <c r="B45" s="3">
        <v>48.44</v>
      </c>
    </row>
    <row r="46" spans="1:2" x14ac:dyDescent="0.2">
      <c r="A46" s="4">
        <v>37865</v>
      </c>
      <c r="B46" s="3">
        <v>45.46</v>
      </c>
    </row>
    <row r="47" spans="1:2" x14ac:dyDescent="0.2">
      <c r="A47" s="4">
        <v>37895</v>
      </c>
      <c r="B47" s="3">
        <v>47.73</v>
      </c>
    </row>
    <row r="48" spans="1:2" x14ac:dyDescent="0.2">
      <c r="A48" s="4">
        <v>37926</v>
      </c>
      <c r="B48" s="3">
        <v>53.1</v>
      </c>
    </row>
    <row r="49" spans="1:2" x14ac:dyDescent="0.2">
      <c r="A49" s="4">
        <v>37956</v>
      </c>
      <c r="B49" s="3">
        <v>51.55</v>
      </c>
    </row>
    <row r="50" spans="1:2" x14ac:dyDescent="0.2">
      <c r="A50" s="4">
        <v>37987</v>
      </c>
      <c r="B50" s="3">
        <v>54.61</v>
      </c>
    </row>
    <row r="51" spans="1:2" x14ac:dyDescent="0.2">
      <c r="A51" s="4">
        <v>38018</v>
      </c>
      <c r="B51" s="3">
        <v>54.29</v>
      </c>
    </row>
    <row r="52" spans="1:2" x14ac:dyDescent="0.2">
      <c r="A52" s="4">
        <v>38047</v>
      </c>
      <c r="B52" s="3">
        <v>55.84</v>
      </c>
    </row>
    <row r="53" spans="1:2" x14ac:dyDescent="0.2">
      <c r="A53" s="4">
        <v>38078</v>
      </c>
      <c r="B53" s="3">
        <v>56.95</v>
      </c>
    </row>
    <row r="54" spans="1:2" x14ac:dyDescent="0.2">
      <c r="A54" s="4">
        <v>38108</v>
      </c>
      <c r="B54" s="3">
        <v>56.6</v>
      </c>
    </row>
    <row r="55" spans="1:2" x14ac:dyDescent="0.2">
      <c r="A55" s="4">
        <v>38139</v>
      </c>
      <c r="B55" s="3">
        <v>56.83</v>
      </c>
    </row>
    <row r="56" spans="1:2" x14ac:dyDescent="0.2">
      <c r="A56" s="4">
        <v>38169</v>
      </c>
      <c r="B56" s="3">
        <v>55.54</v>
      </c>
    </row>
    <row r="57" spans="1:2" x14ac:dyDescent="0.2">
      <c r="A57" s="4">
        <v>38200</v>
      </c>
      <c r="B57" s="3">
        <v>57.5</v>
      </c>
    </row>
    <row r="58" spans="1:2" x14ac:dyDescent="0.2">
      <c r="A58" s="4">
        <v>38231</v>
      </c>
      <c r="B58" s="3">
        <v>57.5</v>
      </c>
    </row>
    <row r="59" spans="1:2" x14ac:dyDescent="0.2">
      <c r="A59" s="4">
        <v>38261</v>
      </c>
      <c r="B59" s="3">
        <v>55.37</v>
      </c>
    </row>
    <row r="60" spans="1:2" x14ac:dyDescent="0.2">
      <c r="A60" s="4">
        <v>38292</v>
      </c>
      <c r="B60" s="3">
        <v>54.08</v>
      </c>
    </row>
    <row r="61" spans="1:2" x14ac:dyDescent="0.2">
      <c r="A61" s="4">
        <v>38322</v>
      </c>
      <c r="B61" s="3">
        <v>54.34</v>
      </c>
    </row>
    <row r="62" spans="1:2" x14ac:dyDescent="0.2">
      <c r="A62" s="4">
        <v>38353</v>
      </c>
      <c r="B62" s="3">
        <v>51.54</v>
      </c>
    </row>
    <row r="63" spans="1:2" x14ac:dyDescent="0.2">
      <c r="A63" s="4">
        <v>38384</v>
      </c>
      <c r="B63" s="3">
        <v>55.55</v>
      </c>
    </row>
    <row r="64" spans="1:2" x14ac:dyDescent="0.2">
      <c r="A64" s="4">
        <v>38412</v>
      </c>
      <c r="B64" s="3">
        <v>57.65</v>
      </c>
    </row>
    <row r="65" spans="1:2" x14ac:dyDescent="0.2">
      <c r="A65" s="4">
        <v>38443</v>
      </c>
      <c r="B65" s="3">
        <v>54.64</v>
      </c>
    </row>
    <row r="66" spans="1:2" x14ac:dyDescent="0.2">
      <c r="A66" s="4">
        <v>38473</v>
      </c>
      <c r="B66" s="3">
        <v>53.75</v>
      </c>
    </row>
    <row r="67" spans="1:2" x14ac:dyDescent="0.2">
      <c r="A67" s="4">
        <v>38504</v>
      </c>
      <c r="B67" s="3">
        <v>57.12</v>
      </c>
    </row>
    <row r="68" spans="1:2" x14ac:dyDescent="0.2">
      <c r="A68" s="4">
        <v>38534</v>
      </c>
      <c r="B68" s="3">
        <v>57.43</v>
      </c>
    </row>
    <row r="69" spans="1:2" x14ac:dyDescent="0.2">
      <c r="A69" s="4">
        <v>38565</v>
      </c>
      <c r="B69" s="3">
        <v>55.2</v>
      </c>
    </row>
    <row r="70" spans="1:2" x14ac:dyDescent="0.2">
      <c r="A70" s="4">
        <v>38596</v>
      </c>
      <c r="B70" s="3">
        <v>54.96</v>
      </c>
    </row>
    <row r="71" spans="1:2" x14ac:dyDescent="0.2">
      <c r="A71" s="4">
        <v>38626</v>
      </c>
      <c r="B71" s="3">
        <v>52.77</v>
      </c>
    </row>
    <row r="72" spans="1:2" x14ac:dyDescent="0.2">
      <c r="A72" s="4">
        <v>38657</v>
      </c>
      <c r="B72" s="3">
        <v>52.02</v>
      </c>
    </row>
    <row r="73" spans="1:2" x14ac:dyDescent="0.2">
      <c r="A73" s="4">
        <v>38687</v>
      </c>
      <c r="B73" s="3">
        <v>53.31</v>
      </c>
    </row>
    <row r="74" spans="1:2" x14ac:dyDescent="0.2">
      <c r="A74" s="4">
        <v>38718</v>
      </c>
      <c r="B74" s="3">
        <v>49.78</v>
      </c>
    </row>
    <row r="75" spans="1:2" x14ac:dyDescent="0.2">
      <c r="A75" s="4">
        <v>38749</v>
      </c>
      <c r="B75" s="3">
        <v>50.11</v>
      </c>
    </row>
    <row r="76" spans="1:2" x14ac:dyDescent="0.2">
      <c r="A76" s="4">
        <v>38777</v>
      </c>
      <c r="B76" s="3">
        <v>52.17</v>
      </c>
    </row>
    <row r="77" spans="1:2" x14ac:dyDescent="0.2">
      <c r="A77" s="4">
        <v>38808</v>
      </c>
      <c r="B77" s="3">
        <v>54.63</v>
      </c>
    </row>
    <row r="78" spans="1:2" x14ac:dyDescent="0.2">
      <c r="A78" s="4">
        <v>38838</v>
      </c>
      <c r="B78" s="3">
        <v>57</v>
      </c>
    </row>
    <row r="79" spans="1:2" x14ac:dyDescent="0.2">
      <c r="A79" s="4">
        <v>38869</v>
      </c>
      <c r="B79" s="3">
        <v>58.8</v>
      </c>
    </row>
    <row r="80" spans="1:2" x14ac:dyDescent="0.2">
      <c r="A80" s="4">
        <v>38899</v>
      </c>
      <c r="B80" s="3">
        <v>60.27</v>
      </c>
    </row>
    <row r="81" spans="1:2" x14ac:dyDescent="0.2">
      <c r="A81" s="4">
        <v>38930</v>
      </c>
      <c r="B81" s="3">
        <v>58.68</v>
      </c>
    </row>
    <row r="82" spans="1:2" x14ac:dyDescent="0.2">
      <c r="A82" s="4">
        <v>38961</v>
      </c>
      <c r="B82" s="3">
        <v>56.6</v>
      </c>
    </row>
    <row r="83" spans="1:2" x14ac:dyDescent="0.2">
      <c r="A83" s="4">
        <v>38991</v>
      </c>
      <c r="B83" s="3">
        <v>56.73</v>
      </c>
    </row>
    <row r="84" spans="1:2" x14ac:dyDescent="0.2">
      <c r="A84" s="4">
        <v>39022</v>
      </c>
      <c r="B84" s="3">
        <v>56.34</v>
      </c>
    </row>
    <row r="85" spans="1:2" x14ac:dyDescent="0.2">
      <c r="A85" s="4">
        <v>39052</v>
      </c>
      <c r="B85" s="3">
        <v>55.49</v>
      </c>
    </row>
    <row r="86" spans="1:2" x14ac:dyDescent="0.2">
      <c r="A86" s="4">
        <v>39083</v>
      </c>
      <c r="B86" s="3">
        <v>57.79</v>
      </c>
    </row>
    <row r="87" spans="1:2" x14ac:dyDescent="0.2">
      <c r="A87" s="4">
        <v>39114</v>
      </c>
      <c r="B87" s="3">
        <v>60.18</v>
      </c>
    </row>
    <row r="88" spans="1:2" x14ac:dyDescent="0.2">
      <c r="A88" s="4">
        <v>39142</v>
      </c>
      <c r="B88" s="3">
        <v>60.35</v>
      </c>
    </row>
    <row r="89" spans="1:2" x14ac:dyDescent="0.2">
      <c r="A89" s="4">
        <v>39173</v>
      </c>
      <c r="B89" s="3">
        <v>57.89</v>
      </c>
    </row>
    <row r="90" spans="1:2" x14ac:dyDescent="0.2">
      <c r="A90" s="4">
        <v>39203</v>
      </c>
      <c r="B90" s="3">
        <v>56.91</v>
      </c>
    </row>
    <row r="91" spans="1:2" x14ac:dyDescent="0.2">
      <c r="A91" s="4">
        <v>39234</v>
      </c>
      <c r="B91" s="3">
        <v>56.33</v>
      </c>
    </row>
    <row r="92" spans="1:2" x14ac:dyDescent="0.2">
      <c r="A92" s="4">
        <v>39264</v>
      </c>
      <c r="B92" s="3">
        <v>57.52</v>
      </c>
    </row>
    <row r="93" spans="1:2" x14ac:dyDescent="0.2">
      <c r="A93" s="4">
        <v>39295</v>
      </c>
      <c r="B93" s="3">
        <v>54.42</v>
      </c>
    </row>
    <row r="94" spans="1:2" x14ac:dyDescent="0.2">
      <c r="A94" s="4">
        <v>39326</v>
      </c>
      <c r="B94" s="3">
        <v>51.63</v>
      </c>
    </row>
    <row r="95" spans="1:2" x14ac:dyDescent="0.2">
      <c r="A95" s="4">
        <v>39356</v>
      </c>
      <c r="B95" s="3">
        <v>54.4</v>
      </c>
    </row>
    <row r="96" spans="1:2" x14ac:dyDescent="0.2">
      <c r="A96" s="4">
        <v>39387</v>
      </c>
      <c r="B96" s="3">
        <v>53.96</v>
      </c>
    </row>
    <row r="97" spans="1:2" x14ac:dyDescent="0.2">
      <c r="A97" s="4">
        <v>39417</v>
      </c>
      <c r="B97" s="3">
        <v>53.23</v>
      </c>
    </row>
    <row r="98" spans="1:2" x14ac:dyDescent="0.2">
      <c r="A98" s="4">
        <v>39448</v>
      </c>
      <c r="B98" s="3">
        <v>51.3</v>
      </c>
    </row>
    <row r="99" spans="1:2" x14ac:dyDescent="0.2">
      <c r="A99" s="4">
        <v>39479</v>
      </c>
      <c r="B99" s="3">
        <v>45.75</v>
      </c>
    </row>
    <row r="100" spans="1:2" x14ac:dyDescent="0.2">
      <c r="A100" s="4">
        <v>39508</v>
      </c>
      <c r="B100" s="3">
        <v>44.21</v>
      </c>
    </row>
    <row r="101" spans="1:2" x14ac:dyDescent="0.2">
      <c r="A101" s="4">
        <v>39539</v>
      </c>
      <c r="B101" s="3">
        <v>53.72</v>
      </c>
    </row>
    <row r="102" spans="1:2" x14ac:dyDescent="0.2">
      <c r="A102" s="4">
        <v>39569</v>
      </c>
      <c r="B102" s="3">
        <v>48.8</v>
      </c>
    </row>
    <row r="103" spans="1:2" x14ac:dyDescent="0.2">
      <c r="A103" s="4">
        <v>39600</v>
      </c>
      <c r="B103" s="3">
        <v>45.37</v>
      </c>
    </row>
    <row r="104" spans="1:2" x14ac:dyDescent="0.2">
      <c r="A104" s="4">
        <v>39630</v>
      </c>
      <c r="B104" s="3">
        <v>44.8</v>
      </c>
    </row>
    <row r="105" spans="1:2" x14ac:dyDescent="0.2">
      <c r="A105" s="4">
        <v>39661</v>
      </c>
      <c r="B105" s="3">
        <v>48.3</v>
      </c>
    </row>
    <row r="106" spans="1:2" x14ac:dyDescent="0.2">
      <c r="A106" s="4">
        <v>39692</v>
      </c>
      <c r="B106" s="3">
        <v>47.07</v>
      </c>
    </row>
    <row r="107" spans="1:2" x14ac:dyDescent="0.2">
      <c r="A107" s="4">
        <v>39722</v>
      </c>
      <c r="B107" s="3">
        <v>45.16</v>
      </c>
    </row>
    <row r="108" spans="1:2" x14ac:dyDescent="0.2">
      <c r="A108" s="4">
        <v>39753</v>
      </c>
      <c r="B108" s="3">
        <v>38.97</v>
      </c>
    </row>
    <row r="109" spans="1:2" x14ac:dyDescent="0.2">
      <c r="A109" s="4">
        <v>39783</v>
      </c>
      <c r="B109" s="3">
        <v>40.24</v>
      </c>
    </row>
    <row r="110" spans="1:2" x14ac:dyDescent="0.2">
      <c r="A110" s="4">
        <v>39814</v>
      </c>
      <c r="B110" s="3">
        <v>39.9</v>
      </c>
    </row>
    <row r="111" spans="1:2" x14ac:dyDescent="0.2">
      <c r="A111" s="4">
        <v>39845</v>
      </c>
      <c r="B111" s="3">
        <v>37.590000000000003</v>
      </c>
    </row>
    <row r="112" spans="1:2" x14ac:dyDescent="0.2">
      <c r="A112" s="4">
        <v>39873</v>
      </c>
      <c r="B112" s="3">
        <v>35.76</v>
      </c>
    </row>
    <row r="113" spans="1:2" x14ac:dyDescent="0.2">
      <c r="A113" s="4">
        <v>39904</v>
      </c>
      <c r="B113" s="3">
        <v>35.090000000000003</v>
      </c>
    </row>
    <row r="114" spans="1:2" x14ac:dyDescent="0.2">
      <c r="A114" s="4">
        <v>39934</v>
      </c>
      <c r="B114" s="3">
        <v>37.520000000000003</v>
      </c>
    </row>
    <row r="115" spans="1:2" x14ac:dyDescent="0.2">
      <c r="A115" s="4">
        <v>39965</v>
      </c>
      <c r="B115" s="3">
        <v>39.700000000000003</v>
      </c>
    </row>
    <row r="116" spans="1:2" x14ac:dyDescent="0.2">
      <c r="A116" s="4">
        <v>39995</v>
      </c>
      <c r="B116" s="3">
        <v>39.43</v>
      </c>
    </row>
    <row r="117" spans="1:2" x14ac:dyDescent="0.2">
      <c r="A117" s="4">
        <v>40026</v>
      </c>
      <c r="B117" s="3">
        <v>40.659999999999997</v>
      </c>
    </row>
    <row r="118" spans="1:2" x14ac:dyDescent="0.2">
      <c r="A118" s="4">
        <v>40057</v>
      </c>
      <c r="B118" s="3">
        <v>47.46</v>
      </c>
    </row>
    <row r="119" spans="1:2" x14ac:dyDescent="0.2">
      <c r="A119" s="4">
        <v>40087</v>
      </c>
      <c r="B119" s="3">
        <v>47.74</v>
      </c>
    </row>
    <row r="120" spans="1:2" x14ac:dyDescent="0.2">
      <c r="A120" s="4">
        <v>40118</v>
      </c>
      <c r="B120" s="3">
        <v>49.48</v>
      </c>
    </row>
    <row r="121" spans="1:2" x14ac:dyDescent="0.2">
      <c r="A121" s="4">
        <v>40148</v>
      </c>
      <c r="B121" s="3">
        <v>52.58</v>
      </c>
    </row>
    <row r="122" spans="1:2" x14ac:dyDescent="0.2">
      <c r="A122" s="4">
        <v>40179</v>
      </c>
      <c r="B122" s="3">
        <v>52.14</v>
      </c>
    </row>
    <row r="123" spans="1:2" x14ac:dyDescent="0.2">
      <c r="A123" s="4">
        <v>40210</v>
      </c>
      <c r="B123" s="3">
        <v>55.72</v>
      </c>
    </row>
    <row r="124" spans="1:2" x14ac:dyDescent="0.2">
      <c r="A124" s="4">
        <v>40238</v>
      </c>
      <c r="B124" s="3">
        <v>53.65</v>
      </c>
    </row>
    <row r="125" spans="1:2" x14ac:dyDescent="0.2">
      <c r="A125" s="4">
        <v>40269</v>
      </c>
      <c r="B125" s="3">
        <v>53.24</v>
      </c>
    </row>
    <row r="126" spans="1:2" x14ac:dyDescent="0.2">
      <c r="A126" s="4">
        <v>40299</v>
      </c>
      <c r="B126" s="3">
        <v>51.19</v>
      </c>
    </row>
    <row r="127" spans="1:2" x14ac:dyDescent="0.2">
      <c r="A127" s="4">
        <v>40330</v>
      </c>
      <c r="B127" s="3">
        <v>50.84</v>
      </c>
    </row>
    <row r="128" spans="1:2" x14ac:dyDescent="0.2">
      <c r="A128" s="4">
        <v>40360</v>
      </c>
      <c r="B128" s="3">
        <v>52.65</v>
      </c>
    </row>
    <row r="129" spans="1:2" x14ac:dyDescent="0.2">
      <c r="A129" s="4">
        <v>40391</v>
      </c>
      <c r="B129" s="3">
        <v>51.95</v>
      </c>
    </row>
    <row r="130" spans="1:2" x14ac:dyDescent="0.2">
      <c r="A130" s="4">
        <v>40422</v>
      </c>
      <c r="B130" s="3">
        <v>50.14</v>
      </c>
    </row>
    <row r="131" spans="1:2" x14ac:dyDescent="0.2">
      <c r="A131" s="4">
        <v>40452</v>
      </c>
      <c r="B131" s="3">
        <v>51.35</v>
      </c>
    </row>
    <row r="132" spans="1:2" x14ac:dyDescent="0.2">
      <c r="A132" s="4">
        <v>40483</v>
      </c>
      <c r="B132" s="3">
        <v>52.54</v>
      </c>
    </row>
    <row r="133" spans="1:2" x14ac:dyDescent="0.2">
      <c r="A133" s="4">
        <v>40513</v>
      </c>
      <c r="B133" s="3">
        <v>52.81</v>
      </c>
    </row>
    <row r="134" spans="1:2" x14ac:dyDescent="0.2">
      <c r="A134" s="4">
        <v>40544</v>
      </c>
      <c r="B134" s="3">
        <v>53.56</v>
      </c>
    </row>
    <row r="135" spans="1:2" x14ac:dyDescent="0.2">
      <c r="A135" s="4">
        <v>40575</v>
      </c>
      <c r="B135" s="3">
        <v>51.49</v>
      </c>
    </row>
    <row r="136" spans="1:2" x14ac:dyDescent="0.2">
      <c r="A136" s="4">
        <v>40603</v>
      </c>
      <c r="B136" s="3">
        <v>54.71</v>
      </c>
    </row>
    <row r="137" spans="1:2" x14ac:dyDescent="0.2">
      <c r="A137" s="4">
        <v>40634</v>
      </c>
      <c r="B137" s="3">
        <v>54.16</v>
      </c>
    </row>
    <row r="138" spans="1:2" x14ac:dyDescent="0.2">
      <c r="A138" s="4">
        <v>40664</v>
      </c>
      <c r="B138" s="3">
        <v>54.1</v>
      </c>
    </row>
    <row r="139" spans="1:2" x14ac:dyDescent="0.2">
      <c r="A139" s="4">
        <v>40695</v>
      </c>
      <c r="B139" s="3">
        <v>55.16</v>
      </c>
    </row>
    <row r="140" spans="1:2" x14ac:dyDescent="0.2">
      <c r="A140" s="4">
        <v>40725</v>
      </c>
      <c r="B140" s="3">
        <v>46.16</v>
      </c>
    </row>
    <row r="141" spans="1:2" x14ac:dyDescent="0.2">
      <c r="A141" s="4">
        <v>40756</v>
      </c>
      <c r="B141" s="3">
        <v>47.73</v>
      </c>
    </row>
    <row r="142" spans="1:2" x14ac:dyDescent="0.2">
      <c r="A142" s="4">
        <v>40787</v>
      </c>
      <c r="B142" s="3">
        <v>52.45</v>
      </c>
    </row>
    <row r="143" spans="1:2" x14ac:dyDescent="0.2">
      <c r="A143" s="4">
        <v>40817</v>
      </c>
      <c r="B143" s="3">
        <v>52.18</v>
      </c>
    </row>
    <row r="144" spans="1:2" x14ac:dyDescent="0.2">
      <c r="A144" s="4">
        <v>40848</v>
      </c>
      <c r="B144" s="3">
        <v>51.66</v>
      </c>
    </row>
    <row r="145" spans="1:2" x14ac:dyDescent="0.2">
      <c r="A145" s="4">
        <v>40878</v>
      </c>
      <c r="B145" s="3">
        <v>51.4</v>
      </c>
    </row>
    <row r="146" spans="1:2" x14ac:dyDescent="0.2">
      <c r="A146" s="4">
        <v>40909</v>
      </c>
      <c r="B146" s="3">
        <v>52.94</v>
      </c>
    </row>
    <row r="147" spans="1:2" x14ac:dyDescent="0.2">
      <c r="A147" s="4">
        <v>40940</v>
      </c>
      <c r="B147" s="3">
        <v>53.51</v>
      </c>
    </row>
    <row r="148" spans="1:2" x14ac:dyDescent="0.2">
      <c r="A148" s="4">
        <v>40969</v>
      </c>
      <c r="B148" s="3">
        <v>53.51</v>
      </c>
    </row>
    <row r="149" spans="1:2" x14ac:dyDescent="0.2">
      <c r="A149" s="4">
        <v>41000</v>
      </c>
      <c r="B149" s="3">
        <v>52.19</v>
      </c>
    </row>
    <row r="150" spans="1:2" x14ac:dyDescent="0.2">
      <c r="A150" s="4">
        <v>41030</v>
      </c>
      <c r="B150" s="3">
        <v>52.57</v>
      </c>
    </row>
    <row r="151" spans="1:2" x14ac:dyDescent="0.2">
      <c r="A151" s="4">
        <v>41061</v>
      </c>
      <c r="B151" s="3">
        <v>49.09</v>
      </c>
    </row>
    <row r="152" spans="1:2" x14ac:dyDescent="0.2">
      <c r="A152" s="4">
        <v>41091</v>
      </c>
      <c r="B152" s="3">
        <v>51.13</v>
      </c>
    </row>
    <row r="153" spans="1:2" x14ac:dyDescent="0.2">
      <c r="A153" s="4">
        <v>41122</v>
      </c>
      <c r="B153" s="3">
        <v>49.56</v>
      </c>
    </row>
    <row r="154" spans="1:2" x14ac:dyDescent="0.2">
      <c r="A154" s="4">
        <v>41153</v>
      </c>
      <c r="B154" s="3">
        <v>48.42</v>
      </c>
    </row>
    <row r="155" spans="1:2" x14ac:dyDescent="0.2">
      <c r="A155" s="4">
        <v>41183</v>
      </c>
      <c r="B155" s="3">
        <v>48.23</v>
      </c>
    </row>
    <row r="156" spans="1:2" x14ac:dyDescent="0.2">
      <c r="A156" s="4">
        <v>41214</v>
      </c>
      <c r="B156" s="3">
        <v>49.15</v>
      </c>
    </row>
    <row r="157" spans="1:2" x14ac:dyDescent="0.2">
      <c r="A157" s="4">
        <v>41244</v>
      </c>
      <c r="B157" s="3">
        <v>48.92</v>
      </c>
    </row>
    <row r="158" spans="1:2" x14ac:dyDescent="0.2">
      <c r="A158" s="4">
        <v>41275</v>
      </c>
      <c r="B158" s="3">
        <v>49.08</v>
      </c>
    </row>
    <row r="159" spans="1:2" x14ac:dyDescent="0.2">
      <c r="A159" s="4">
        <v>41306</v>
      </c>
      <c r="B159" s="3">
        <v>51.42</v>
      </c>
    </row>
    <row r="160" spans="1:2" x14ac:dyDescent="0.2">
      <c r="A160" s="4">
        <v>41334</v>
      </c>
      <c r="B160" s="3">
        <v>49.04</v>
      </c>
    </row>
    <row r="161" spans="1:2" x14ac:dyDescent="0.2">
      <c r="A161" s="4">
        <v>41365</v>
      </c>
      <c r="B161" s="3">
        <v>49.8</v>
      </c>
    </row>
    <row r="162" spans="1:2" x14ac:dyDescent="0.2">
      <c r="A162" s="4">
        <v>41395</v>
      </c>
      <c r="B162" s="3">
        <v>50.21</v>
      </c>
    </row>
    <row r="163" spans="1:2" x14ac:dyDescent="0.2">
      <c r="A163" s="4">
        <v>41426</v>
      </c>
      <c r="B163" s="3">
        <v>51.96</v>
      </c>
    </row>
    <row r="164" spans="1:2" x14ac:dyDescent="0.2">
      <c r="A164" s="4">
        <v>41456</v>
      </c>
      <c r="B164" s="3">
        <v>52.15</v>
      </c>
    </row>
    <row r="165" spans="1:2" x14ac:dyDescent="0.2">
      <c r="A165" s="4">
        <v>41487</v>
      </c>
      <c r="B165" s="3">
        <v>55.26</v>
      </c>
    </row>
    <row r="166" spans="1:2" x14ac:dyDescent="0.2">
      <c r="A166" s="4">
        <v>41518</v>
      </c>
      <c r="B166" s="3">
        <v>49.43</v>
      </c>
    </row>
    <row r="167" spans="1:2" x14ac:dyDescent="0.2">
      <c r="A167" s="4">
        <v>41548</v>
      </c>
      <c r="B167" s="3">
        <v>51.43</v>
      </c>
    </row>
    <row r="168" spans="1:2" x14ac:dyDescent="0.2">
      <c r="A168" s="4">
        <v>41579</v>
      </c>
      <c r="B168" s="3">
        <v>52</v>
      </c>
    </row>
    <row r="169" spans="1:2" x14ac:dyDescent="0.2">
      <c r="A169" s="4">
        <v>41609</v>
      </c>
      <c r="B169" s="3">
        <v>51</v>
      </c>
    </row>
    <row r="170" spans="1:2" x14ac:dyDescent="0.2">
      <c r="A170" s="4">
        <v>41640</v>
      </c>
      <c r="B170" s="3">
        <v>49.96</v>
      </c>
    </row>
    <row r="171" spans="1:2" x14ac:dyDescent="0.2">
      <c r="A171" s="4">
        <v>41671</v>
      </c>
      <c r="B171" s="3">
        <v>50.69</v>
      </c>
    </row>
    <row r="172" spans="1:2" x14ac:dyDescent="0.2">
      <c r="A172" s="4">
        <v>41699</v>
      </c>
      <c r="B172" s="3">
        <v>50.29</v>
      </c>
    </row>
    <row r="173" spans="1:2" x14ac:dyDescent="0.2">
      <c r="A173" s="4">
        <v>41730</v>
      </c>
      <c r="B173" s="3">
        <v>47.3</v>
      </c>
    </row>
    <row r="174" spans="1:2" x14ac:dyDescent="0.2">
      <c r="A174" s="4">
        <v>41760</v>
      </c>
      <c r="B174" s="3">
        <v>44.41</v>
      </c>
    </row>
    <row r="175" spans="1:2" x14ac:dyDescent="0.2">
      <c r="A175" s="4">
        <v>41791</v>
      </c>
      <c r="B175" s="3">
        <v>46.59</v>
      </c>
    </row>
    <row r="176" spans="1:2" x14ac:dyDescent="0.2">
      <c r="A176" s="4">
        <v>41821</v>
      </c>
      <c r="B176" s="3">
        <v>45.45</v>
      </c>
    </row>
    <row r="177" spans="1:2" x14ac:dyDescent="0.2">
      <c r="A177" s="4">
        <v>41852</v>
      </c>
      <c r="B177" s="3">
        <v>49</v>
      </c>
    </row>
    <row r="178" spans="1:2" x14ac:dyDescent="0.2">
      <c r="A178" s="4">
        <v>41883</v>
      </c>
      <c r="B178" s="3">
        <v>50.35</v>
      </c>
    </row>
    <row r="179" spans="1:2" x14ac:dyDescent="0.2">
      <c r="A179" s="4">
        <v>41913</v>
      </c>
      <c r="B179" s="3">
        <v>50.13</v>
      </c>
    </row>
    <row r="180" spans="1:2" x14ac:dyDescent="0.2">
      <c r="A180" s="4">
        <v>41944</v>
      </c>
      <c r="B180" s="3">
        <v>53.12</v>
      </c>
    </row>
    <row r="181" spans="1:2" x14ac:dyDescent="0.2">
      <c r="A181" s="4">
        <v>41974</v>
      </c>
      <c r="B181" s="3">
        <v>51.1</v>
      </c>
    </row>
    <row r="182" spans="1:2" x14ac:dyDescent="0.2">
      <c r="A182" s="4">
        <v>42005</v>
      </c>
      <c r="B182" s="3">
        <v>53.24</v>
      </c>
    </row>
    <row r="183" spans="1:2" x14ac:dyDescent="0.2">
      <c r="A183" s="4">
        <v>42036</v>
      </c>
      <c r="B183" s="3">
        <v>47.66</v>
      </c>
    </row>
    <row r="184" spans="1:2" x14ac:dyDescent="0.2">
      <c r="A184" s="4">
        <v>42064</v>
      </c>
      <c r="B184" s="3">
        <v>47.88</v>
      </c>
    </row>
    <row r="185" spans="1:2" x14ac:dyDescent="0.2">
      <c r="A185" s="4">
        <v>42095</v>
      </c>
      <c r="B185" s="3">
        <v>44.92</v>
      </c>
    </row>
    <row r="186" spans="1:2" x14ac:dyDescent="0.2">
      <c r="A186" s="4">
        <v>42125</v>
      </c>
      <c r="B186" s="3">
        <v>50.52</v>
      </c>
    </row>
    <row r="187" spans="1:2" x14ac:dyDescent="0.2">
      <c r="A187" s="4">
        <v>42156</v>
      </c>
      <c r="B187" s="3">
        <v>50.31</v>
      </c>
    </row>
    <row r="188" spans="1:2" x14ac:dyDescent="0.2">
      <c r="A188" s="4">
        <v>42186</v>
      </c>
      <c r="B188" s="3">
        <v>50.25</v>
      </c>
    </row>
    <row r="189" spans="1:2" x14ac:dyDescent="0.2">
      <c r="A189" s="4">
        <v>42217</v>
      </c>
      <c r="B189" s="3">
        <v>50.52</v>
      </c>
    </row>
    <row r="190" spans="1:2" x14ac:dyDescent="0.2">
      <c r="A190" s="4">
        <v>42248</v>
      </c>
      <c r="B190" s="3">
        <v>50.14</v>
      </c>
    </row>
    <row r="191" spans="1:2" x14ac:dyDescent="0.2">
      <c r="A191" s="4">
        <v>42278</v>
      </c>
      <c r="B191" s="3">
        <v>48.74</v>
      </c>
    </row>
    <row r="192" spans="1:2" x14ac:dyDescent="0.2">
      <c r="A192" s="4">
        <v>42309</v>
      </c>
      <c r="B192" s="3">
        <v>44.73</v>
      </c>
    </row>
    <row r="193" spans="1:2" x14ac:dyDescent="0.2">
      <c r="A193" s="4">
        <v>42339</v>
      </c>
      <c r="B193" s="3">
        <v>47.2</v>
      </c>
    </row>
    <row r="194" spans="1:2" x14ac:dyDescent="0.2">
      <c r="A194" s="4">
        <v>42370</v>
      </c>
      <c r="B194" s="3">
        <v>43.27</v>
      </c>
    </row>
    <row r="195" spans="1:2" x14ac:dyDescent="0.2">
      <c r="A195" s="4">
        <v>42401</v>
      </c>
      <c r="B195" s="3">
        <v>46.84</v>
      </c>
    </row>
    <row r="196" spans="1:2" x14ac:dyDescent="0.2">
      <c r="A196" s="4">
        <v>42430</v>
      </c>
      <c r="B196" s="3">
        <v>49.54</v>
      </c>
    </row>
    <row r="197" spans="1:2" x14ac:dyDescent="0.2">
      <c r="A197" s="4">
        <v>42461</v>
      </c>
      <c r="B197" s="3">
        <v>53.33</v>
      </c>
    </row>
    <row r="198" spans="1:2" x14ac:dyDescent="0.2">
      <c r="A198" s="4">
        <v>42491</v>
      </c>
      <c r="B198" s="3">
        <v>50.72</v>
      </c>
    </row>
    <row r="199" spans="1:2" x14ac:dyDescent="0.2">
      <c r="A199" s="4">
        <v>42522</v>
      </c>
      <c r="B199" s="3">
        <v>52.14</v>
      </c>
    </row>
    <row r="200" spans="1:2" x14ac:dyDescent="0.2">
      <c r="A200" s="4">
        <v>42552</v>
      </c>
      <c r="B200" s="3">
        <v>51.25</v>
      </c>
    </row>
    <row r="201" spans="1:2" x14ac:dyDescent="0.2">
      <c r="A201" s="4">
        <v>42583</v>
      </c>
      <c r="B201" s="3">
        <v>47.94</v>
      </c>
    </row>
    <row r="202" spans="1:2" x14ac:dyDescent="0.2">
      <c r="A202" s="4">
        <v>42614</v>
      </c>
      <c r="B202" s="3">
        <v>49.85</v>
      </c>
    </row>
    <row r="203" spans="1:2" x14ac:dyDescent="0.2">
      <c r="A203" s="4">
        <v>42644</v>
      </c>
      <c r="B203" s="3">
        <v>46.47</v>
      </c>
    </row>
    <row r="204" spans="1:2" x14ac:dyDescent="0.2">
      <c r="A204" s="4">
        <v>42675</v>
      </c>
      <c r="B204" s="3">
        <v>49.22</v>
      </c>
    </row>
    <row r="205" spans="1:2" x14ac:dyDescent="0.2">
      <c r="A205" s="4">
        <v>42705</v>
      </c>
      <c r="B205" s="3">
        <v>48.56</v>
      </c>
    </row>
    <row r="206" spans="1:2" x14ac:dyDescent="0.2">
      <c r="A206" s="4">
        <v>42736</v>
      </c>
      <c r="B206" s="3">
        <v>50.08</v>
      </c>
    </row>
    <row r="207" spans="1:2" x14ac:dyDescent="0.2">
      <c r="A207" s="4">
        <v>42767</v>
      </c>
      <c r="B207" s="3">
        <v>51.22</v>
      </c>
    </row>
    <row r="208" spans="1:2" x14ac:dyDescent="0.2">
      <c r="A208" s="4">
        <v>42795</v>
      </c>
      <c r="B208" s="3">
        <v>50.81</v>
      </c>
    </row>
    <row r="209" spans="1:2" x14ac:dyDescent="0.2">
      <c r="A209" s="4">
        <v>42826</v>
      </c>
      <c r="B209" s="3">
        <v>43.53</v>
      </c>
    </row>
    <row r="210" spans="1:2" x14ac:dyDescent="0.2">
      <c r="A210" s="4">
        <v>42856</v>
      </c>
      <c r="B210" s="3">
        <v>50.11</v>
      </c>
    </row>
    <row r="211" spans="1:2" x14ac:dyDescent="0.2">
      <c r="A211" s="4">
        <v>42887</v>
      </c>
      <c r="B211" s="3">
        <v>45.98</v>
      </c>
    </row>
    <row r="212" spans="1:2" x14ac:dyDescent="0.2">
      <c r="A212" s="4">
        <v>42917</v>
      </c>
      <c r="B212" s="3">
        <v>42.1</v>
      </c>
    </row>
    <row r="213" spans="1:2" x14ac:dyDescent="0.2">
      <c r="A213" s="4">
        <v>42948</v>
      </c>
      <c r="B213" s="3">
        <v>46.1</v>
      </c>
    </row>
    <row r="214" spans="1:2" x14ac:dyDescent="0.2">
      <c r="A214" s="4">
        <v>42979</v>
      </c>
      <c r="B214" s="3">
        <v>46.4</v>
      </c>
    </row>
    <row r="215" spans="1:2" x14ac:dyDescent="0.2">
      <c r="A215" s="4">
        <v>43009</v>
      </c>
      <c r="B215" s="3">
        <v>48.4</v>
      </c>
    </row>
    <row r="216" spans="1:2" x14ac:dyDescent="0.2">
      <c r="A216" s="4">
        <v>43040</v>
      </c>
      <c r="B216" s="3">
        <v>48.9</v>
      </c>
    </row>
    <row r="217" spans="1:2" x14ac:dyDescent="0.2">
      <c r="A217" s="4">
        <v>43070</v>
      </c>
      <c r="B217" s="3">
        <v>45.9</v>
      </c>
    </row>
    <row r="218" spans="1:2" x14ac:dyDescent="0.2">
      <c r="A218" s="4">
        <v>43101</v>
      </c>
      <c r="B218" s="3">
        <v>49.2</v>
      </c>
    </row>
    <row r="219" spans="1:2" x14ac:dyDescent="0.2">
      <c r="A219" s="4">
        <v>43132</v>
      </c>
      <c r="B219" s="3">
        <v>50</v>
      </c>
    </row>
    <row r="220" spans="1:2" x14ac:dyDescent="0.2">
      <c r="A220" s="4">
        <v>43160</v>
      </c>
      <c r="B220" s="3">
        <v>46.7</v>
      </c>
    </row>
    <row r="221" spans="1:2" x14ac:dyDescent="0.2">
      <c r="A221" s="4">
        <v>43191</v>
      </c>
      <c r="B221" s="3">
        <v>49.1</v>
      </c>
    </row>
    <row r="222" spans="1:2" x14ac:dyDescent="0.2">
      <c r="A222" s="4">
        <v>43221</v>
      </c>
      <c r="B222" s="3">
        <v>49.4</v>
      </c>
    </row>
    <row r="223" spans="1:2" x14ac:dyDescent="0.2">
      <c r="A223" s="4">
        <v>43252</v>
      </c>
      <c r="B223" s="3">
        <v>48</v>
      </c>
    </row>
    <row r="224" spans="1:2" x14ac:dyDescent="0.2">
      <c r="A224" s="4">
        <v>43282</v>
      </c>
      <c r="B224" s="3">
        <v>49.9</v>
      </c>
    </row>
    <row r="225" spans="1:2" x14ac:dyDescent="0.2">
      <c r="A225" s="4">
        <v>43313</v>
      </c>
      <c r="B225" s="3">
        <v>45.2</v>
      </c>
    </row>
    <row r="226" spans="1:2" x14ac:dyDescent="0.2">
      <c r="A226" s="4">
        <v>43344</v>
      </c>
      <c r="B226" s="3">
        <v>44.5</v>
      </c>
    </row>
    <row r="227" spans="1:2" x14ac:dyDescent="0.2">
      <c r="A227" s="4">
        <v>43374</v>
      </c>
      <c r="B227" s="3">
        <v>42.4</v>
      </c>
    </row>
    <row r="228" spans="1:2" x14ac:dyDescent="0.2">
      <c r="A228" s="4">
        <v>43405</v>
      </c>
      <c r="B228" s="3">
        <v>49.5</v>
      </c>
    </row>
    <row r="229" spans="1:2" x14ac:dyDescent="0.2">
      <c r="A229" s="4">
        <v>43435</v>
      </c>
      <c r="B229" s="3">
        <v>50.7</v>
      </c>
    </row>
    <row r="230" spans="1:2" x14ac:dyDescent="0.2">
      <c r="A230" s="4">
        <v>43466</v>
      </c>
      <c r="B230" s="3">
        <v>49.9</v>
      </c>
    </row>
    <row r="231" spans="1:2" x14ac:dyDescent="0.2">
      <c r="A231" s="4">
        <v>43497</v>
      </c>
      <c r="B231" s="3">
        <v>46.2</v>
      </c>
    </row>
    <row r="232" spans="1:2" x14ac:dyDescent="0.2">
      <c r="A232" s="4">
        <v>43525</v>
      </c>
      <c r="B232" s="3">
        <v>45</v>
      </c>
    </row>
    <row r="233" spans="1:2" x14ac:dyDescent="0.2">
      <c r="A233" s="4">
        <v>43556</v>
      </c>
      <c r="B233" s="3">
        <v>47.2</v>
      </c>
    </row>
    <row r="234" spans="1:2" x14ac:dyDescent="0.2">
      <c r="A234" s="4">
        <v>43586</v>
      </c>
      <c r="B234" s="3">
        <v>45.4</v>
      </c>
    </row>
    <row r="235" spans="1:2" x14ac:dyDescent="0.2">
      <c r="A235" s="4">
        <v>43617</v>
      </c>
      <c r="B235" s="3">
        <v>46.2</v>
      </c>
    </row>
    <row r="236" spans="1:2" x14ac:dyDescent="0.2">
      <c r="A236" s="4">
        <v>43647</v>
      </c>
      <c r="B236" s="3">
        <v>52.1</v>
      </c>
    </row>
    <row r="237" spans="1:2" x14ac:dyDescent="0.2">
      <c r="A237" s="4">
        <v>43678</v>
      </c>
      <c r="B237" s="3">
        <v>45.7</v>
      </c>
    </row>
    <row r="238" spans="1:2" x14ac:dyDescent="0.2">
      <c r="A238" s="4">
        <v>43709</v>
      </c>
      <c r="B238" s="3">
        <v>41.6</v>
      </c>
    </row>
    <row r="239" spans="1:2" x14ac:dyDescent="0.2">
      <c r="A239" s="4">
        <v>43739</v>
      </c>
      <c r="B239" s="3">
        <v>48.1</v>
      </c>
    </row>
    <row r="240" spans="1:2" x14ac:dyDescent="0.2">
      <c r="A240" s="4">
        <v>43770</v>
      </c>
      <c r="B240" s="3">
        <v>47.7</v>
      </c>
    </row>
    <row r="241" spans="1:2" x14ac:dyDescent="0.2">
      <c r="A241" s="4">
        <v>43800</v>
      </c>
      <c r="B241" s="3">
        <v>47.1</v>
      </c>
    </row>
    <row r="242" spans="1:2" x14ac:dyDescent="0.2">
      <c r="A242" s="4">
        <v>43831</v>
      </c>
      <c r="B242" s="3">
        <v>45.2</v>
      </c>
    </row>
    <row r="243" spans="1:2" x14ac:dyDescent="0.2">
      <c r="A243" s="4">
        <v>43862</v>
      </c>
      <c r="B243" s="3">
        <v>44.3</v>
      </c>
    </row>
    <row r="244" spans="1:2" x14ac:dyDescent="0.2">
      <c r="A244" s="4">
        <v>43891</v>
      </c>
      <c r="B244" s="3">
        <v>48.1</v>
      </c>
    </row>
    <row r="245" spans="1:2" x14ac:dyDescent="0.2">
      <c r="A245" s="4">
        <v>43922</v>
      </c>
      <c r="B245" s="3">
        <v>46.1</v>
      </c>
    </row>
    <row r="246" spans="1:2" x14ac:dyDescent="0.2">
      <c r="A246" s="4">
        <v>43952</v>
      </c>
      <c r="B246" s="3">
        <v>50.2</v>
      </c>
    </row>
    <row r="247" spans="1:2" x14ac:dyDescent="0.2">
      <c r="A247" s="4">
        <v>43983</v>
      </c>
      <c r="B247" s="3">
        <v>53.9</v>
      </c>
    </row>
    <row r="248" spans="1:2" x14ac:dyDescent="0.2">
      <c r="A248" s="4">
        <v>44013</v>
      </c>
      <c r="B248" s="3">
        <v>51.2</v>
      </c>
    </row>
    <row r="249" spans="1:2" x14ac:dyDescent="0.2">
      <c r="A249" s="4">
        <v>44044</v>
      </c>
      <c r="B249" s="3">
        <v>57.3</v>
      </c>
    </row>
    <row r="250" spans="1:2" x14ac:dyDescent="0.2">
      <c r="A250" s="4">
        <v>44075</v>
      </c>
      <c r="B250" s="3">
        <v>58.3</v>
      </c>
    </row>
    <row r="251" spans="1:2" x14ac:dyDescent="0.2">
      <c r="A251" s="4">
        <v>44105</v>
      </c>
      <c r="B251" s="3">
        <v>60.9</v>
      </c>
    </row>
    <row r="252" spans="1:2" x14ac:dyDescent="0.2">
      <c r="A252" s="4">
        <v>44136</v>
      </c>
      <c r="B252" s="3">
        <v>52.6</v>
      </c>
    </row>
    <row r="253" spans="1:2" x14ac:dyDescent="0.2">
      <c r="A253" s="4">
        <v>44166</v>
      </c>
      <c r="B253" s="3">
        <v>50.3</v>
      </c>
    </row>
    <row r="254" spans="1:2" x14ac:dyDescent="0.2">
      <c r="A254" s="4">
        <v>44197</v>
      </c>
      <c r="B254" s="3">
        <v>50.3</v>
      </c>
    </row>
    <row r="255" spans="1:2" x14ac:dyDescent="0.2">
      <c r="A255" s="4">
        <v>44228</v>
      </c>
      <c r="B255" s="3">
        <v>53</v>
      </c>
    </row>
    <row r="256" spans="1:2" x14ac:dyDescent="0.2">
      <c r="A256" s="4">
        <v>44256</v>
      </c>
      <c r="B256" s="3">
        <v>57.4</v>
      </c>
    </row>
    <row r="257" spans="1:2" x14ac:dyDescent="0.2">
      <c r="A257" s="4">
        <v>44287</v>
      </c>
      <c r="B257" s="3">
        <v>56.2</v>
      </c>
    </row>
    <row r="258" spans="1:2" x14ac:dyDescent="0.2">
      <c r="A258" s="4">
        <v>44317</v>
      </c>
      <c r="B258" s="3">
        <v>57.8</v>
      </c>
    </row>
    <row r="259" spans="1:2" x14ac:dyDescent="0.2">
      <c r="A259" s="4">
        <v>44348</v>
      </c>
      <c r="B259" s="3">
        <v>57.4</v>
      </c>
    </row>
    <row r="260" spans="1:2" x14ac:dyDescent="0.2">
      <c r="A260" s="4">
        <v>44378</v>
      </c>
      <c r="B260" s="3">
        <v>43.5</v>
      </c>
    </row>
    <row r="261" spans="1:2" x14ac:dyDescent="0.2">
      <c r="A261" s="4">
        <v>44409</v>
      </c>
      <c r="B261" s="3">
        <v>57.9</v>
      </c>
    </row>
    <row r="262" spans="1:2" x14ac:dyDescent="0.2">
      <c r="A262" s="4">
        <v>44440</v>
      </c>
      <c r="B262" s="3">
        <v>54.7</v>
      </c>
    </row>
    <row r="263" spans="1:2" x14ac:dyDescent="0.2">
      <c r="A263" s="4">
        <v>44470</v>
      </c>
      <c r="B263" s="3">
        <v>53.6</v>
      </c>
    </row>
    <row r="264" spans="1:2" x14ac:dyDescent="0.2">
      <c r="A264" s="4">
        <v>44501</v>
      </c>
      <c r="B264" s="3">
        <v>57.2</v>
      </c>
    </row>
  </sheetData>
  <conditionalFormatting sqref="B122:B264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r:id="rId1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6DE24-54C7-463C-AD17-BCD1EC0A1350}">
  <dimension ref="A1:B115"/>
  <sheetViews>
    <sheetView zoomScale="170" zoomScaleNormal="170" workbookViewId="0">
      <pane ySplit="1" topLeftCell="A2" activePane="bottomLeft" state="frozen"/>
      <selection pane="bottomLeft" activeCell="K91" sqref="K91"/>
    </sheetView>
  </sheetViews>
  <sheetFormatPr baseColWidth="10" defaultColWidth="9.1640625" defaultRowHeight="15" x14ac:dyDescent="0.2"/>
  <cols>
    <col min="1" max="1" width="13.5" style="1" customWidth="1"/>
    <col min="2" max="2" width="11.33203125" style="1" customWidth="1"/>
    <col min="3" max="16384" width="9.1640625" style="1"/>
  </cols>
  <sheetData>
    <row r="1" spans="1:2" ht="16" thickBot="1" x14ac:dyDescent="0.25">
      <c r="A1" s="11" t="s">
        <v>0</v>
      </c>
      <c r="B1" s="12" t="s">
        <v>34</v>
      </c>
    </row>
    <row r="2" spans="1:2" x14ac:dyDescent="0.2">
      <c r="A2" s="8">
        <v>41061</v>
      </c>
      <c r="B2" s="9">
        <v>49.8</v>
      </c>
    </row>
    <row r="3" spans="1:2" x14ac:dyDescent="0.2">
      <c r="A3" s="4">
        <v>41091</v>
      </c>
      <c r="B3" s="3">
        <v>50.3</v>
      </c>
    </row>
    <row r="4" spans="1:2" x14ac:dyDescent="0.2">
      <c r="A4" s="4">
        <v>41122</v>
      </c>
      <c r="B4" s="3">
        <v>50.5</v>
      </c>
    </row>
    <row r="5" spans="1:2" x14ac:dyDescent="0.2">
      <c r="A5" s="4">
        <v>41153</v>
      </c>
      <c r="B5" s="3">
        <v>49.6</v>
      </c>
    </row>
    <row r="6" spans="1:2" x14ac:dyDescent="0.2">
      <c r="A6" s="4">
        <v>41183</v>
      </c>
      <c r="B6" s="3">
        <v>50.5</v>
      </c>
    </row>
    <row r="7" spans="1:2" x14ac:dyDescent="0.2">
      <c r="A7" s="4">
        <v>41214</v>
      </c>
      <c r="B7" s="3">
        <v>52.2</v>
      </c>
    </row>
    <row r="8" spans="1:2" x14ac:dyDescent="0.2">
      <c r="A8" s="4">
        <v>41244</v>
      </c>
      <c r="B8" s="3">
        <v>51.7</v>
      </c>
    </row>
    <row r="9" spans="1:2" x14ac:dyDescent="0.2">
      <c r="A9" s="4">
        <v>41275</v>
      </c>
      <c r="B9" s="3">
        <v>52.5</v>
      </c>
    </row>
    <row r="10" spans="1:2" x14ac:dyDescent="0.2">
      <c r="A10" s="4">
        <v>41306</v>
      </c>
      <c r="B10" s="3">
        <v>51.2</v>
      </c>
    </row>
    <row r="11" spans="1:2" x14ac:dyDescent="0.2">
      <c r="A11" s="4">
        <v>41334</v>
      </c>
      <c r="B11" s="3">
        <v>50.5</v>
      </c>
    </row>
    <row r="12" spans="1:2" x14ac:dyDescent="0.2">
      <c r="A12" s="4">
        <v>41365</v>
      </c>
      <c r="B12" s="3">
        <v>49.9</v>
      </c>
    </row>
    <row r="13" spans="1:2" x14ac:dyDescent="0.2">
      <c r="A13" s="4">
        <v>41395</v>
      </c>
      <c r="B13" s="3">
        <v>49.8</v>
      </c>
    </row>
    <row r="14" spans="1:2" x14ac:dyDescent="0.2">
      <c r="A14" s="4">
        <v>41426</v>
      </c>
      <c r="B14" s="3">
        <v>48.7</v>
      </c>
    </row>
    <row r="15" spans="1:2" x14ac:dyDescent="0.2">
      <c r="A15" s="4">
        <v>41456</v>
      </c>
      <c r="B15" s="3">
        <v>49.7</v>
      </c>
    </row>
    <row r="16" spans="1:2" x14ac:dyDescent="0.2">
      <c r="A16" s="4">
        <v>41487</v>
      </c>
      <c r="B16" s="3">
        <v>49.7</v>
      </c>
    </row>
    <row r="17" spans="1:2" x14ac:dyDescent="0.2">
      <c r="A17" s="4">
        <v>41518</v>
      </c>
      <c r="B17" s="3">
        <v>50</v>
      </c>
    </row>
    <row r="18" spans="1:2" x14ac:dyDescent="0.2">
      <c r="A18" s="4">
        <v>41548</v>
      </c>
      <c r="B18" s="3">
        <v>50.1</v>
      </c>
    </row>
    <row r="19" spans="1:2" x14ac:dyDescent="0.2">
      <c r="A19" s="4">
        <v>41579</v>
      </c>
      <c r="B19" s="3">
        <v>52.1</v>
      </c>
    </row>
    <row r="20" spans="1:2" x14ac:dyDescent="0.2">
      <c r="A20" s="4">
        <v>41609</v>
      </c>
      <c r="B20" s="3">
        <v>51.2</v>
      </c>
    </row>
    <row r="21" spans="1:2" x14ac:dyDescent="0.2">
      <c r="A21" s="4">
        <v>41640</v>
      </c>
      <c r="B21" s="3">
        <v>52.7</v>
      </c>
    </row>
    <row r="22" spans="1:2" x14ac:dyDescent="0.2">
      <c r="A22" s="4">
        <v>41671</v>
      </c>
      <c r="B22" s="3">
        <v>53.3</v>
      </c>
    </row>
    <row r="23" spans="1:2" x14ac:dyDescent="0.2">
      <c r="A23" s="4">
        <v>41699</v>
      </c>
      <c r="B23" s="3">
        <v>49.9</v>
      </c>
    </row>
    <row r="24" spans="1:2" x14ac:dyDescent="0.2">
      <c r="A24" s="4">
        <v>41730</v>
      </c>
      <c r="B24" s="3">
        <v>49.7</v>
      </c>
    </row>
    <row r="25" spans="1:2" x14ac:dyDescent="0.2">
      <c r="A25" s="4">
        <v>41760</v>
      </c>
      <c r="B25" s="3">
        <v>49.1</v>
      </c>
    </row>
    <row r="26" spans="1:2" x14ac:dyDescent="0.2">
      <c r="A26" s="4">
        <v>41791</v>
      </c>
      <c r="B26" s="3">
        <v>50.1</v>
      </c>
    </row>
    <row r="27" spans="1:2" x14ac:dyDescent="0.2">
      <c r="A27" s="4">
        <v>41821</v>
      </c>
      <c r="B27" s="3">
        <v>50.4</v>
      </c>
    </row>
    <row r="28" spans="1:2" x14ac:dyDescent="0.2">
      <c r="A28" s="4">
        <v>41852</v>
      </c>
      <c r="B28" s="3">
        <v>49.6</v>
      </c>
    </row>
    <row r="29" spans="1:2" x14ac:dyDescent="0.2">
      <c r="A29" s="4">
        <v>41883</v>
      </c>
      <c r="B29" s="3">
        <v>49.8</v>
      </c>
    </row>
    <row r="30" spans="1:2" x14ac:dyDescent="0.2">
      <c r="A30" s="4">
        <v>41913</v>
      </c>
      <c r="B30" s="3">
        <v>47.7</v>
      </c>
    </row>
    <row r="31" spans="1:2" x14ac:dyDescent="0.2">
      <c r="A31" s="4">
        <v>41944</v>
      </c>
      <c r="B31" s="3">
        <v>48.8</v>
      </c>
    </row>
    <row r="32" spans="1:2" x14ac:dyDescent="0.2">
      <c r="A32" s="4">
        <v>41974</v>
      </c>
      <c r="B32" s="3">
        <v>50.3</v>
      </c>
    </row>
    <row r="33" spans="1:2" x14ac:dyDescent="0.2">
      <c r="A33" s="4">
        <v>42005</v>
      </c>
      <c r="B33" s="3">
        <v>49.4</v>
      </c>
    </row>
    <row r="34" spans="1:2" x14ac:dyDescent="0.2">
      <c r="A34" s="4">
        <v>42036</v>
      </c>
      <c r="B34" s="3">
        <v>50.7</v>
      </c>
    </row>
    <row r="35" spans="1:2" x14ac:dyDescent="0.2">
      <c r="A35" s="4">
        <v>42064</v>
      </c>
      <c r="B35" s="3">
        <v>49.6</v>
      </c>
    </row>
    <row r="36" spans="1:2" x14ac:dyDescent="0.2">
      <c r="A36" s="4">
        <v>42095</v>
      </c>
      <c r="B36" s="3">
        <v>48.6</v>
      </c>
    </row>
    <row r="37" spans="1:2" x14ac:dyDescent="0.2">
      <c r="A37" s="4">
        <v>42125</v>
      </c>
      <c r="B37" s="3">
        <v>47.6</v>
      </c>
    </row>
    <row r="38" spans="1:2" x14ac:dyDescent="0.2">
      <c r="A38" s="4">
        <v>42156</v>
      </c>
      <c r="B38" s="3">
        <v>49.2</v>
      </c>
    </row>
    <row r="39" spans="1:2" x14ac:dyDescent="0.2">
      <c r="A39" s="4">
        <v>42186</v>
      </c>
      <c r="B39" s="3">
        <v>48.2</v>
      </c>
    </row>
    <row r="40" spans="1:2" x14ac:dyDescent="0.2">
      <c r="A40" s="4">
        <v>42217</v>
      </c>
      <c r="B40" s="3">
        <v>44.4</v>
      </c>
    </row>
    <row r="41" spans="1:2" x14ac:dyDescent="0.2">
      <c r="A41" s="4">
        <v>42248</v>
      </c>
      <c r="B41" s="3">
        <v>45.7</v>
      </c>
    </row>
    <row r="42" spans="1:2" x14ac:dyDescent="0.2">
      <c r="A42" s="4">
        <v>42278</v>
      </c>
      <c r="B42" s="3">
        <v>46.6</v>
      </c>
    </row>
    <row r="43" spans="1:2" x14ac:dyDescent="0.2">
      <c r="A43" s="4">
        <v>42309</v>
      </c>
      <c r="B43" s="3">
        <v>46.6</v>
      </c>
    </row>
    <row r="44" spans="1:2" x14ac:dyDescent="0.2">
      <c r="A44" s="4">
        <v>42339</v>
      </c>
      <c r="B44" s="3">
        <v>46.4</v>
      </c>
    </row>
    <row r="45" spans="1:2" x14ac:dyDescent="0.2">
      <c r="A45" s="4">
        <v>42370</v>
      </c>
      <c r="B45" s="3">
        <v>46.1</v>
      </c>
    </row>
    <row r="46" spans="1:2" x14ac:dyDescent="0.2">
      <c r="A46" s="4">
        <v>42401</v>
      </c>
      <c r="B46" s="3">
        <v>46.4</v>
      </c>
    </row>
    <row r="47" spans="1:2" x14ac:dyDescent="0.2">
      <c r="A47" s="4">
        <v>42430</v>
      </c>
      <c r="B47" s="3">
        <v>45.5</v>
      </c>
    </row>
    <row r="48" spans="1:2" x14ac:dyDescent="0.2">
      <c r="A48" s="4">
        <v>42461</v>
      </c>
      <c r="B48" s="3">
        <v>45.3</v>
      </c>
    </row>
    <row r="49" spans="1:2" x14ac:dyDescent="0.2">
      <c r="A49" s="4">
        <v>42491</v>
      </c>
      <c r="B49" s="3">
        <v>47.2</v>
      </c>
    </row>
    <row r="50" spans="1:2" x14ac:dyDescent="0.2">
      <c r="A50" s="4">
        <v>42522</v>
      </c>
      <c r="B50" s="3">
        <v>45.4</v>
      </c>
    </row>
    <row r="51" spans="1:2" x14ac:dyDescent="0.2">
      <c r="A51" s="4">
        <v>42552</v>
      </c>
      <c r="B51" s="3">
        <v>47.2</v>
      </c>
    </row>
    <row r="52" spans="1:2" x14ac:dyDescent="0.2">
      <c r="A52" s="4">
        <v>42583</v>
      </c>
      <c r="B52" s="3">
        <v>49</v>
      </c>
    </row>
    <row r="53" spans="1:2" x14ac:dyDescent="0.2">
      <c r="A53" s="4">
        <v>42614</v>
      </c>
      <c r="B53" s="3">
        <v>49.3</v>
      </c>
    </row>
    <row r="54" spans="1:2" x14ac:dyDescent="0.2">
      <c r="A54" s="4">
        <v>42644</v>
      </c>
      <c r="B54" s="3">
        <v>48.2</v>
      </c>
    </row>
    <row r="55" spans="1:2" x14ac:dyDescent="0.2">
      <c r="A55" s="4">
        <v>42675</v>
      </c>
      <c r="B55" s="3">
        <v>49.5</v>
      </c>
    </row>
    <row r="56" spans="1:2" x14ac:dyDescent="0.2">
      <c r="A56" s="4">
        <v>42705</v>
      </c>
      <c r="B56" s="3">
        <v>50.3</v>
      </c>
    </row>
    <row r="57" spans="1:2" x14ac:dyDescent="0.2">
      <c r="A57" s="4">
        <v>42736</v>
      </c>
      <c r="B57" s="3">
        <v>49.9</v>
      </c>
    </row>
    <row r="58" spans="1:2" x14ac:dyDescent="0.2">
      <c r="A58" s="4">
        <v>42767</v>
      </c>
      <c r="B58" s="3">
        <v>49.6</v>
      </c>
    </row>
    <row r="59" spans="1:2" x14ac:dyDescent="0.2">
      <c r="A59" s="4">
        <v>42795</v>
      </c>
      <c r="B59" s="3">
        <v>49.9</v>
      </c>
    </row>
    <row r="60" spans="1:2" x14ac:dyDescent="0.2">
      <c r="A60" s="4">
        <v>42826</v>
      </c>
      <c r="B60" s="3">
        <v>51.1</v>
      </c>
    </row>
    <row r="61" spans="1:2" x14ac:dyDescent="0.2">
      <c r="A61" s="4">
        <v>42856</v>
      </c>
      <c r="B61" s="3">
        <v>50.5</v>
      </c>
    </row>
    <row r="62" spans="1:2" x14ac:dyDescent="0.2">
      <c r="A62" s="4">
        <v>42887</v>
      </c>
      <c r="B62" s="3">
        <v>51.1</v>
      </c>
    </row>
    <row r="63" spans="1:2" x14ac:dyDescent="0.2">
      <c r="A63" s="4">
        <v>42917</v>
      </c>
      <c r="B63" s="3">
        <v>51.3</v>
      </c>
    </row>
    <row r="64" spans="1:2" x14ac:dyDescent="0.2">
      <c r="A64" s="4">
        <v>42948</v>
      </c>
      <c r="B64" s="3">
        <v>49.7</v>
      </c>
    </row>
    <row r="65" spans="1:2" x14ac:dyDescent="0.2">
      <c r="A65" s="4">
        <v>42979</v>
      </c>
      <c r="B65" s="3">
        <v>51.2</v>
      </c>
    </row>
    <row r="66" spans="1:2" x14ac:dyDescent="0.2">
      <c r="A66" s="4">
        <v>43009</v>
      </c>
      <c r="B66" s="3">
        <v>50.3</v>
      </c>
    </row>
    <row r="67" spans="1:2" x14ac:dyDescent="0.2">
      <c r="A67" s="4">
        <v>43040</v>
      </c>
      <c r="B67" s="3">
        <v>50.7</v>
      </c>
    </row>
    <row r="68" spans="1:2" x14ac:dyDescent="0.2">
      <c r="A68" s="4">
        <v>43070</v>
      </c>
      <c r="B68" s="3">
        <v>51.5</v>
      </c>
    </row>
    <row r="69" spans="1:2" x14ac:dyDescent="0.2">
      <c r="A69" s="4">
        <v>43101</v>
      </c>
      <c r="B69" s="3">
        <v>51.1</v>
      </c>
    </row>
    <row r="70" spans="1:2" x14ac:dyDescent="0.2">
      <c r="A70" s="4">
        <v>43132</v>
      </c>
      <c r="B70" s="3">
        <v>51.7</v>
      </c>
    </row>
    <row r="71" spans="1:2" x14ac:dyDescent="0.2">
      <c r="A71" s="4">
        <v>43160</v>
      </c>
      <c r="B71" s="3">
        <v>50.6</v>
      </c>
    </row>
    <row r="72" spans="1:2" x14ac:dyDescent="0.2">
      <c r="A72" s="4">
        <v>43191</v>
      </c>
      <c r="B72" s="3">
        <v>49.1</v>
      </c>
    </row>
    <row r="73" spans="1:2" x14ac:dyDescent="0.2">
      <c r="A73" s="4">
        <v>43221</v>
      </c>
      <c r="B73" s="3">
        <v>47.8</v>
      </c>
    </row>
    <row r="74" spans="1:2" x14ac:dyDescent="0.2">
      <c r="A74" s="4">
        <v>43252</v>
      </c>
      <c r="B74" s="3">
        <v>47.7</v>
      </c>
    </row>
    <row r="75" spans="1:2" x14ac:dyDescent="0.2">
      <c r="A75" s="4">
        <v>43282</v>
      </c>
      <c r="B75" s="3">
        <v>48.2</v>
      </c>
    </row>
    <row r="76" spans="1:2" x14ac:dyDescent="0.2">
      <c r="A76" s="4">
        <v>43313</v>
      </c>
      <c r="B76" s="3">
        <v>48.5</v>
      </c>
    </row>
    <row r="77" spans="1:2" x14ac:dyDescent="0.2">
      <c r="A77" s="4">
        <v>43344</v>
      </c>
      <c r="B77" s="3">
        <v>47.9</v>
      </c>
    </row>
    <row r="78" spans="1:2" x14ac:dyDescent="0.2">
      <c r="A78" s="4">
        <v>43374</v>
      </c>
      <c r="B78" s="3">
        <v>48.6</v>
      </c>
    </row>
    <row r="79" spans="1:2" x14ac:dyDescent="0.2">
      <c r="A79" s="4">
        <v>43405</v>
      </c>
      <c r="B79" s="3">
        <v>47.1</v>
      </c>
    </row>
    <row r="80" spans="1:2" x14ac:dyDescent="0.2">
      <c r="A80" s="4">
        <v>43435</v>
      </c>
      <c r="B80" s="3">
        <v>48</v>
      </c>
    </row>
    <row r="81" spans="1:2" x14ac:dyDescent="0.2">
      <c r="A81" s="4">
        <v>43466</v>
      </c>
      <c r="B81" s="3">
        <v>48.2</v>
      </c>
    </row>
    <row r="82" spans="1:2" x14ac:dyDescent="0.2">
      <c r="A82" s="4">
        <v>43497</v>
      </c>
      <c r="B82" s="3">
        <v>48.4</v>
      </c>
    </row>
    <row r="83" spans="1:2" x14ac:dyDescent="0.2">
      <c r="A83" s="4">
        <v>43525</v>
      </c>
      <c r="B83" s="3">
        <v>48</v>
      </c>
    </row>
    <row r="84" spans="1:2" x14ac:dyDescent="0.2">
      <c r="A84" s="4">
        <v>43556</v>
      </c>
      <c r="B84" s="3">
        <v>48.4</v>
      </c>
    </row>
    <row r="85" spans="1:2" x14ac:dyDescent="0.2">
      <c r="A85" s="4">
        <v>43586</v>
      </c>
      <c r="B85" s="3">
        <v>46.9</v>
      </c>
    </row>
    <row r="86" spans="1:2" x14ac:dyDescent="0.2">
      <c r="A86" s="4">
        <v>43617</v>
      </c>
      <c r="B86" s="3">
        <v>47.9</v>
      </c>
    </row>
    <row r="87" spans="1:2" x14ac:dyDescent="0.2">
      <c r="A87" s="4">
        <v>43647</v>
      </c>
      <c r="B87" s="3">
        <v>43.8</v>
      </c>
    </row>
    <row r="88" spans="1:2" x14ac:dyDescent="0.2">
      <c r="A88" s="4">
        <v>43678</v>
      </c>
      <c r="B88" s="3">
        <v>40.799999999999997</v>
      </c>
    </row>
    <row r="89" spans="1:2" x14ac:dyDescent="0.2">
      <c r="A89" s="4">
        <v>43709</v>
      </c>
      <c r="B89" s="3">
        <v>41.5</v>
      </c>
    </row>
    <row r="90" spans="1:2" x14ac:dyDescent="0.2">
      <c r="A90" s="4">
        <v>43739</v>
      </c>
      <c r="B90" s="3">
        <v>39.299999999999997</v>
      </c>
    </row>
    <row r="91" spans="1:2" x14ac:dyDescent="0.2">
      <c r="A91" s="4">
        <v>43770</v>
      </c>
      <c r="B91" s="3">
        <v>38.5</v>
      </c>
    </row>
    <row r="92" spans="1:2" x14ac:dyDescent="0.2">
      <c r="A92" s="4">
        <v>43800</v>
      </c>
      <c r="B92" s="3">
        <v>42.1</v>
      </c>
    </row>
    <row r="93" spans="1:2" x14ac:dyDescent="0.2">
      <c r="A93" s="4">
        <v>43831</v>
      </c>
      <c r="B93" s="3">
        <v>46.8</v>
      </c>
    </row>
    <row r="94" spans="1:2" x14ac:dyDescent="0.2">
      <c r="A94" s="4">
        <v>43862</v>
      </c>
      <c r="B94" s="3">
        <v>33.1</v>
      </c>
    </row>
    <row r="95" spans="1:2" x14ac:dyDescent="0.2">
      <c r="A95" s="4">
        <v>43891</v>
      </c>
      <c r="B95" s="3">
        <v>34.9</v>
      </c>
    </row>
    <row r="96" spans="1:2" x14ac:dyDescent="0.2">
      <c r="A96" s="4">
        <v>43922</v>
      </c>
      <c r="B96" s="3">
        <v>36.9</v>
      </c>
    </row>
    <row r="97" spans="1:2" x14ac:dyDescent="0.2">
      <c r="A97" s="4">
        <v>43952</v>
      </c>
      <c r="B97" s="3">
        <v>43.9</v>
      </c>
    </row>
    <row r="98" spans="1:2" x14ac:dyDescent="0.2">
      <c r="A98" s="4">
        <v>43983</v>
      </c>
      <c r="B98" s="3">
        <v>49.6</v>
      </c>
    </row>
    <row r="99" spans="1:2" x14ac:dyDescent="0.2">
      <c r="A99" s="4">
        <v>44013</v>
      </c>
      <c r="B99" s="3">
        <v>44.5</v>
      </c>
    </row>
    <row r="100" spans="1:2" x14ac:dyDescent="0.2">
      <c r="A100" s="4">
        <v>44044</v>
      </c>
      <c r="B100" s="3">
        <v>44</v>
      </c>
    </row>
    <row r="101" spans="1:2" x14ac:dyDescent="0.2">
      <c r="A101" s="4">
        <v>44075</v>
      </c>
      <c r="B101" s="3">
        <v>47.7</v>
      </c>
    </row>
    <row r="102" spans="1:2" x14ac:dyDescent="0.2">
      <c r="A102" s="4">
        <v>44105</v>
      </c>
      <c r="B102" s="3">
        <v>49.8</v>
      </c>
    </row>
    <row r="103" spans="1:2" x14ac:dyDescent="0.2">
      <c r="A103" s="4">
        <v>44136</v>
      </c>
      <c r="B103" s="3">
        <v>50.1</v>
      </c>
    </row>
    <row r="104" spans="1:2" x14ac:dyDescent="0.2">
      <c r="A104" s="4">
        <v>44166</v>
      </c>
      <c r="B104" s="3">
        <v>43.5</v>
      </c>
    </row>
    <row r="105" spans="1:2" x14ac:dyDescent="0.2">
      <c r="A105" s="4">
        <v>44197</v>
      </c>
      <c r="B105" s="3">
        <v>47.8</v>
      </c>
    </row>
    <row r="106" spans="1:2" x14ac:dyDescent="0.2">
      <c r="A106" s="4">
        <v>44228</v>
      </c>
      <c r="B106" s="3">
        <v>50.2</v>
      </c>
    </row>
    <row r="107" spans="1:2" x14ac:dyDescent="0.2">
      <c r="A107" s="4">
        <v>44256</v>
      </c>
      <c r="B107" s="3">
        <v>50.5</v>
      </c>
    </row>
    <row r="108" spans="1:2" x14ac:dyDescent="0.2">
      <c r="A108" s="4">
        <v>44287</v>
      </c>
      <c r="B108" s="3">
        <v>50.3</v>
      </c>
    </row>
    <row r="109" spans="1:2" x14ac:dyDescent="0.2">
      <c r="A109" s="4">
        <v>44317</v>
      </c>
      <c r="B109" s="3">
        <v>52.5</v>
      </c>
    </row>
    <row r="110" spans="1:2" x14ac:dyDescent="0.2">
      <c r="A110" s="4">
        <v>44348</v>
      </c>
      <c r="B110" s="3">
        <v>51.4</v>
      </c>
    </row>
    <row r="111" spans="1:2" x14ac:dyDescent="0.2">
      <c r="A111" s="4">
        <v>44378</v>
      </c>
      <c r="B111" s="3">
        <v>51.3</v>
      </c>
    </row>
    <row r="112" spans="1:2" x14ac:dyDescent="0.2">
      <c r="A112" s="4">
        <v>44409</v>
      </c>
      <c r="B112" s="3">
        <v>53.3</v>
      </c>
    </row>
    <row r="113" spans="1:2" x14ac:dyDescent="0.2">
      <c r="A113" s="4">
        <v>44440</v>
      </c>
      <c r="B113" s="3">
        <v>51.7</v>
      </c>
    </row>
    <row r="114" spans="1:2" x14ac:dyDescent="0.2">
      <c r="A114" s="4">
        <v>44470</v>
      </c>
      <c r="B114" s="3">
        <v>50.8</v>
      </c>
    </row>
    <row r="115" spans="1:2" x14ac:dyDescent="0.2">
      <c r="A115" s="4">
        <v>44501</v>
      </c>
      <c r="B115" s="3">
        <v>52.6</v>
      </c>
    </row>
  </sheetData>
  <pageMargins left="0.7" right="0.7" top="0.75" bottom="0.75" header="0.3" footer="0.3"/>
  <tableParts count="1">
    <tablePart r:id="rId1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20574-A2EE-49B5-9F19-1304592584AE}">
  <dimension ref="A1:B82"/>
  <sheetViews>
    <sheetView zoomScale="160" zoomScaleNormal="160" workbookViewId="0">
      <pane ySplit="1" topLeftCell="A2" activePane="bottomLeft" state="frozen"/>
      <selection pane="bottomLeft" activeCell="N20" sqref="N20"/>
    </sheetView>
  </sheetViews>
  <sheetFormatPr baseColWidth="10" defaultColWidth="9.1640625" defaultRowHeight="15" x14ac:dyDescent="0.2"/>
  <cols>
    <col min="1" max="1" width="13.5" style="2" customWidth="1"/>
    <col min="2" max="2" width="11.33203125" style="2" customWidth="1"/>
    <col min="3" max="16384" width="9.1640625" style="2"/>
  </cols>
  <sheetData>
    <row r="1" spans="1:2" ht="16" thickBot="1" x14ac:dyDescent="0.25">
      <c r="A1" s="11" t="s">
        <v>0</v>
      </c>
      <c r="B1" s="12" t="s">
        <v>35</v>
      </c>
    </row>
    <row r="2" spans="1:2" x14ac:dyDescent="0.2">
      <c r="A2" s="8">
        <v>42095</v>
      </c>
      <c r="B2" s="9">
        <v>60.1</v>
      </c>
    </row>
    <row r="3" spans="1:2" x14ac:dyDescent="0.2">
      <c r="A3" s="4">
        <v>42125</v>
      </c>
      <c r="B3" s="3">
        <v>57</v>
      </c>
    </row>
    <row r="4" spans="1:2" x14ac:dyDescent="0.2">
      <c r="A4" s="4">
        <v>42156</v>
      </c>
      <c r="B4" s="3">
        <v>56.1</v>
      </c>
    </row>
    <row r="5" spans="1:2" x14ac:dyDescent="0.2">
      <c r="A5" s="4">
        <v>42186</v>
      </c>
      <c r="B5" s="3">
        <v>57.7</v>
      </c>
    </row>
    <row r="6" spans="1:2" x14ac:dyDescent="0.2">
      <c r="A6" s="4">
        <v>42217</v>
      </c>
      <c r="B6" s="3">
        <v>58.7</v>
      </c>
    </row>
    <row r="7" spans="1:2" x14ac:dyDescent="0.2">
      <c r="A7" s="4">
        <v>42248</v>
      </c>
      <c r="B7" s="3">
        <v>56.5</v>
      </c>
    </row>
    <row r="8" spans="1:2" x14ac:dyDescent="0.2">
      <c r="A8" s="4">
        <v>42278</v>
      </c>
      <c r="B8" s="3">
        <v>55.7</v>
      </c>
    </row>
    <row r="9" spans="1:2" x14ac:dyDescent="0.2">
      <c r="A9" s="4">
        <v>42309</v>
      </c>
      <c r="B9" s="3">
        <v>56.3</v>
      </c>
    </row>
    <row r="10" spans="1:2" x14ac:dyDescent="0.2">
      <c r="A10" s="4">
        <v>42339</v>
      </c>
      <c r="B10" s="3">
        <v>54.4</v>
      </c>
    </row>
    <row r="11" spans="1:2" x14ac:dyDescent="0.2">
      <c r="A11" s="4">
        <v>42370</v>
      </c>
      <c r="B11" s="3">
        <v>53.9</v>
      </c>
    </row>
    <row r="12" spans="1:2" x14ac:dyDescent="0.2">
      <c r="A12" s="4">
        <v>42401</v>
      </c>
      <c r="B12" s="3">
        <v>54.4</v>
      </c>
    </row>
    <row r="13" spans="1:2" x14ac:dyDescent="0.2">
      <c r="A13" s="4">
        <v>42430</v>
      </c>
      <c r="B13" s="3">
        <v>54.5</v>
      </c>
    </row>
    <row r="14" spans="1:2" x14ac:dyDescent="0.2">
      <c r="A14" s="4">
        <v>42461</v>
      </c>
      <c r="B14" s="3">
        <v>54.2</v>
      </c>
    </row>
    <row r="15" spans="1:2" x14ac:dyDescent="0.2">
      <c r="A15" s="4">
        <v>42491</v>
      </c>
      <c r="B15" s="3">
        <v>54.8</v>
      </c>
    </row>
    <row r="16" spans="1:2" x14ac:dyDescent="0.2">
      <c r="A16" s="4">
        <v>42522</v>
      </c>
      <c r="B16" s="3">
        <v>54.4</v>
      </c>
    </row>
    <row r="17" spans="1:2" x14ac:dyDescent="0.2">
      <c r="A17" s="4">
        <v>42552</v>
      </c>
      <c r="B17" s="3">
        <v>56</v>
      </c>
    </row>
    <row r="18" spans="1:2" x14ac:dyDescent="0.2">
      <c r="A18" s="4">
        <v>42583</v>
      </c>
      <c r="B18" s="3">
        <v>56.6</v>
      </c>
    </row>
    <row r="19" spans="1:2" x14ac:dyDescent="0.2">
      <c r="A19" s="4">
        <v>42614</v>
      </c>
      <c r="B19" s="3">
        <v>55.3</v>
      </c>
    </row>
    <row r="20" spans="1:2" x14ac:dyDescent="0.2">
      <c r="A20" s="4">
        <v>42644</v>
      </c>
      <c r="B20" s="3">
        <v>53.2</v>
      </c>
    </row>
    <row r="21" spans="1:2" x14ac:dyDescent="0.2">
      <c r="A21" s="4">
        <v>42675</v>
      </c>
      <c r="B21" s="3">
        <v>55</v>
      </c>
    </row>
    <row r="22" spans="1:2" x14ac:dyDescent="0.2">
      <c r="A22" s="4">
        <v>42705</v>
      </c>
      <c r="B22" s="3">
        <v>55.5</v>
      </c>
    </row>
    <row r="23" spans="1:2" x14ac:dyDescent="0.2">
      <c r="A23" s="4">
        <v>42736</v>
      </c>
      <c r="B23" s="3">
        <v>56.7</v>
      </c>
    </row>
    <row r="24" spans="1:2" x14ac:dyDescent="0.2">
      <c r="A24" s="4">
        <v>42767</v>
      </c>
      <c r="B24" s="3">
        <v>57</v>
      </c>
    </row>
    <row r="25" spans="1:2" x14ac:dyDescent="0.2">
      <c r="A25" s="4">
        <v>42795</v>
      </c>
      <c r="B25" s="3">
        <v>56.4</v>
      </c>
    </row>
    <row r="26" spans="1:2" x14ac:dyDescent="0.2">
      <c r="A26" s="4">
        <v>42826</v>
      </c>
      <c r="B26" s="3">
        <v>56.5</v>
      </c>
    </row>
    <row r="27" spans="1:2" x14ac:dyDescent="0.2">
      <c r="A27" s="4">
        <v>42856</v>
      </c>
      <c r="B27" s="3">
        <v>55.3</v>
      </c>
    </row>
    <row r="28" spans="1:2" x14ac:dyDescent="0.2">
      <c r="A28" s="4">
        <v>42887</v>
      </c>
      <c r="B28" s="3">
        <v>54.3</v>
      </c>
    </row>
    <row r="29" spans="1:2" x14ac:dyDescent="0.2">
      <c r="A29" s="4">
        <v>42917</v>
      </c>
      <c r="B29" s="3">
        <v>55.7</v>
      </c>
    </row>
    <row r="30" spans="1:2" x14ac:dyDescent="0.2">
      <c r="A30" s="4">
        <v>42948</v>
      </c>
      <c r="B30" s="3">
        <v>55.8</v>
      </c>
    </row>
    <row r="31" spans="1:2" x14ac:dyDescent="0.2">
      <c r="A31" s="4">
        <v>42979</v>
      </c>
      <c r="B31" s="3">
        <v>55.5</v>
      </c>
    </row>
    <row r="32" spans="1:2" x14ac:dyDescent="0.2">
      <c r="A32" s="4">
        <v>43009</v>
      </c>
      <c r="B32" s="3">
        <v>55.6</v>
      </c>
    </row>
    <row r="33" spans="1:2" x14ac:dyDescent="0.2">
      <c r="A33" s="4">
        <v>43040</v>
      </c>
      <c r="B33" s="3">
        <v>57.5</v>
      </c>
    </row>
    <row r="34" spans="1:2" x14ac:dyDescent="0.2">
      <c r="A34" s="4">
        <v>43070</v>
      </c>
      <c r="B34" s="3">
        <v>57.3</v>
      </c>
    </row>
    <row r="35" spans="1:2" x14ac:dyDescent="0.2">
      <c r="A35" s="4">
        <v>43101</v>
      </c>
      <c r="B35" s="3">
        <v>53</v>
      </c>
    </row>
    <row r="36" spans="1:2" x14ac:dyDescent="0.2">
      <c r="A36" s="4">
        <v>43132</v>
      </c>
      <c r="B36" s="3">
        <v>53.2</v>
      </c>
    </row>
    <row r="37" spans="1:2" x14ac:dyDescent="0.2">
      <c r="A37" s="4">
        <v>43160</v>
      </c>
      <c r="B37" s="3">
        <v>52.8</v>
      </c>
    </row>
    <row r="38" spans="1:2" x14ac:dyDescent="0.2">
      <c r="A38" s="4">
        <v>43191</v>
      </c>
      <c r="B38" s="3">
        <v>51.4</v>
      </c>
    </row>
    <row r="39" spans="1:2" x14ac:dyDescent="0.2">
      <c r="A39" s="4">
        <v>43221</v>
      </c>
      <c r="B39" s="3">
        <v>53.2</v>
      </c>
    </row>
    <row r="40" spans="1:2" x14ac:dyDescent="0.2">
      <c r="A40" s="4">
        <v>43252</v>
      </c>
      <c r="B40" s="3">
        <v>55</v>
      </c>
    </row>
    <row r="41" spans="1:2" x14ac:dyDescent="0.2">
      <c r="A41" s="4">
        <v>43282</v>
      </c>
      <c r="B41" s="3">
        <v>54.9</v>
      </c>
    </row>
    <row r="42" spans="1:2" x14ac:dyDescent="0.2">
      <c r="A42" s="4">
        <v>43313</v>
      </c>
      <c r="B42" s="3">
        <v>55.1</v>
      </c>
    </row>
    <row r="43" spans="1:2" x14ac:dyDescent="0.2">
      <c r="A43" s="4">
        <v>43344</v>
      </c>
      <c r="B43" s="3">
        <v>53.4</v>
      </c>
    </row>
    <row r="44" spans="1:2" x14ac:dyDescent="0.2">
      <c r="A44" s="4">
        <v>43374</v>
      </c>
      <c r="B44" s="3">
        <v>53.8</v>
      </c>
    </row>
    <row r="45" spans="1:2" x14ac:dyDescent="0.2">
      <c r="A45" s="4">
        <v>43405</v>
      </c>
      <c r="B45" s="3">
        <v>55.2</v>
      </c>
    </row>
    <row r="46" spans="1:2" x14ac:dyDescent="0.2">
      <c r="A46" s="4">
        <v>43435</v>
      </c>
      <c r="B46" s="3">
        <v>54.5</v>
      </c>
    </row>
    <row r="47" spans="1:2" x14ac:dyDescent="0.2">
      <c r="A47" s="4">
        <v>43466</v>
      </c>
      <c r="B47" s="3">
        <v>56.2</v>
      </c>
    </row>
    <row r="48" spans="1:2" x14ac:dyDescent="0.2">
      <c r="A48" s="4">
        <v>43497</v>
      </c>
      <c r="B48" s="3">
        <v>56.6</v>
      </c>
    </row>
    <row r="49" spans="1:2" x14ac:dyDescent="0.2">
      <c r="A49" s="4">
        <v>43525</v>
      </c>
      <c r="B49" s="3">
        <v>56.8</v>
      </c>
    </row>
    <row r="50" spans="1:2" x14ac:dyDescent="0.2">
      <c r="A50" s="4">
        <v>43556</v>
      </c>
      <c r="B50" s="3">
        <v>57.3</v>
      </c>
    </row>
    <row r="51" spans="1:2" x14ac:dyDescent="0.2">
      <c r="A51" s="4">
        <v>43586</v>
      </c>
      <c r="B51" s="3">
        <v>57.3</v>
      </c>
    </row>
    <row r="52" spans="1:2" x14ac:dyDescent="0.2">
      <c r="A52" s="4">
        <v>43617</v>
      </c>
      <c r="B52" s="3">
        <v>57.4</v>
      </c>
    </row>
    <row r="53" spans="1:2" x14ac:dyDescent="0.2">
      <c r="A53" s="4">
        <v>43647</v>
      </c>
      <c r="B53" s="3">
        <v>56.6</v>
      </c>
    </row>
    <row r="54" spans="1:2" x14ac:dyDescent="0.2">
      <c r="A54" s="4">
        <v>43678</v>
      </c>
      <c r="B54" s="3">
        <v>57</v>
      </c>
    </row>
    <row r="55" spans="1:2" x14ac:dyDescent="0.2">
      <c r="A55" s="4">
        <v>43709</v>
      </c>
      <c r="B55" s="3">
        <v>57.3</v>
      </c>
    </row>
    <row r="56" spans="1:2" x14ac:dyDescent="0.2">
      <c r="A56" s="4">
        <v>43739</v>
      </c>
      <c r="B56" s="3">
        <v>57.8</v>
      </c>
    </row>
    <row r="57" spans="1:2" x14ac:dyDescent="0.2">
      <c r="A57" s="4">
        <v>43770</v>
      </c>
      <c r="B57" s="3">
        <v>58.3</v>
      </c>
    </row>
    <row r="58" spans="1:2" x14ac:dyDescent="0.2">
      <c r="A58" s="4">
        <v>43800</v>
      </c>
      <c r="B58" s="3">
        <v>56.9</v>
      </c>
    </row>
    <row r="59" spans="1:2" x14ac:dyDescent="0.2">
      <c r="A59" s="4">
        <v>43831</v>
      </c>
      <c r="B59" s="3">
        <v>54.9</v>
      </c>
    </row>
    <row r="60" spans="1:2" x14ac:dyDescent="0.2">
      <c r="A60" s="4">
        <v>43862</v>
      </c>
      <c r="B60" s="3">
        <v>52.5</v>
      </c>
    </row>
    <row r="61" spans="1:2" x14ac:dyDescent="0.2">
      <c r="A61" s="4">
        <v>43891</v>
      </c>
      <c r="B61" s="3">
        <v>42.4</v>
      </c>
    </row>
    <row r="62" spans="1:2" x14ac:dyDescent="0.2">
      <c r="A62" s="4">
        <v>43922</v>
      </c>
      <c r="B62" s="3">
        <v>44.4</v>
      </c>
    </row>
    <row r="63" spans="1:2" x14ac:dyDescent="0.2">
      <c r="A63" s="4">
        <v>43952</v>
      </c>
      <c r="B63" s="3">
        <v>48.1</v>
      </c>
    </row>
    <row r="64" spans="1:2" x14ac:dyDescent="0.2">
      <c r="A64" s="4">
        <v>43983</v>
      </c>
      <c r="B64" s="3">
        <v>47.7</v>
      </c>
    </row>
    <row r="65" spans="1:2" x14ac:dyDescent="0.2">
      <c r="A65" s="4">
        <v>44013</v>
      </c>
      <c r="B65" s="3">
        <v>48.8</v>
      </c>
    </row>
    <row r="66" spans="1:2" x14ac:dyDescent="0.2">
      <c r="A66" s="4">
        <v>44044</v>
      </c>
      <c r="B66" s="3">
        <v>50</v>
      </c>
    </row>
    <row r="67" spans="1:2" x14ac:dyDescent="0.2">
      <c r="A67" s="4">
        <v>44075</v>
      </c>
      <c r="B67" s="3">
        <v>50.7</v>
      </c>
    </row>
    <row r="68" spans="1:2" x14ac:dyDescent="0.2">
      <c r="A68" s="4">
        <v>44105</v>
      </c>
      <c r="B68" s="3">
        <v>51</v>
      </c>
    </row>
    <row r="69" spans="1:2" x14ac:dyDescent="0.2">
      <c r="A69" s="4">
        <v>44136</v>
      </c>
      <c r="B69" s="3">
        <v>54.7</v>
      </c>
    </row>
    <row r="70" spans="1:2" x14ac:dyDescent="0.2">
      <c r="A70" s="4">
        <v>44166</v>
      </c>
      <c r="B70" s="3">
        <v>57</v>
      </c>
    </row>
    <row r="71" spans="1:2" x14ac:dyDescent="0.2">
      <c r="A71" s="4">
        <v>44197</v>
      </c>
      <c r="B71" s="3">
        <v>57.1</v>
      </c>
    </row>
    <row r="72" spans="1:2" x14ac:dyDescent="0.2">
      <c r="A72" s="4">
        <v>44228</v>
      </c>
      <c r="B72" s="3">
        <v>53.9</v>
      </c>
    </row>
    <row r="73" spans="1:2" x14ac:dyDescent="0.2">
      <c r="A73" s="4">
        <v>44256</v>
      </c>
      <c r="B73" s="3">
        <v>53.3</v>
      </c>
    </row>
    <row r="74" spans="1:2" x14ac:dyDescent="0.2">
      <c r="A74" s="4">
        <v>44287</v>
      </c>
      <c r="B74" s="3">
        <v>55.2</v>
      </c>
    </row>
    <row r="75" spans="1:2" x14ac:dyDescent="0.2">
      <c r="A75" s="4">
        <v>44317</v>
      </c>
      <c r="B75" s="3">
        <v>56.4</v>
      </c>
    </row>
    <row r="76" spans="1:2" x14ac:dyDescent="0.2">
      <c r="A76" s="4">
        <v>44348</v>
      </c>
      <c r="B76" s="3">
        <v>56.4</v>
      </c>
    </row>
    <row r="77" spans="1:2" x14ac:dyDescent="0.2">
      <c r="A77" s="4">
        <v>44378</v>
      </c>
      <c r="B77" s="3">
        <v>55.8</v>
      </c>
    </row>
    <row r="78" spans="1:2" x14ac:dyDescent="0.2">
      <c r="A78" s="4">
        <v>44409</v>
      </c>
      <c r="B78" s="3">
        <v>54.1</v>
      </c>
    </row>
    <row r="79" spans="1:2" x14ac:dyDescent="0.2">
      <c r="A79" s="4">
        <v>44440</v>
      </c>
      <c r="B79" s="3">
        <v>58.6</v>
      </c>
    </row>
    <row r="80" spans="1:2" x14ac:dyDescent="0.2">
      <c r="A80" s="4">
        <v>44470</v>
      </c>
      <c r="B80" s="3">
        <v>57.7</v>
      </c>
    </row>
    <row r="81" spans="1:2" x14ac:dyDescent="0.2">
      <c r="A81" s="4">
        <v>44501</v>
      </c>
      <c r="B81" s="3">
        <v>56.9</v>
      </c>
    </row>
    <row r="82" spans="1:2" x14ac:dyDescent="0.2">
      <c r="A82" s="4">
        <v>44531</v>
      </c>
      <c r="B82" s="3">
        <v>53.9</v>
      </c>
    </row>
  </sheetData>
  <conditionalFormatting sqref="B2:B82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r:id="rId1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FB946C-039D-4FE7-860B-1EE287C12BBE}">
  <dimension ref="A1:B233"/>
  <sheetViews>
    <sheetView zoomScale="180" zoomScaleNormal="180" workbookViewId="0">
      <pane ySplit="1" topLeftCell="A2" activePane="bottomLeft" state="frozen"/>
      <selection pane="bottomLeft" activeCell="I208" sqref="I208"/>
    </sheetView>
  </sheetViews>
  <sheetFormatPr baseColWidth="10" defaultColWidth="9.1640625" defaultRowHeight="15" x14ac:dyDescent="0.2"/>
  <cols>
    <col min="1" max="1" width="13.5" style="2" customWidth="1"/>
    <col min="2" max="2" width="11.33203125" style="2" customWidth="1"/>
    <col min="3" max="16384" width="9.1640625" style="2"/>
  </cols>
  <sheetData>
    <row r="1" spans="1:2" ht="16" thickBot="1" x14ac:dyDescent="0.25">
      <c r="A1" s="11" t="s">
        <v>0</v>
      </c>
      <c r="B1" s="12" t="s">
        <v>36</v>
      </c>
    </row>
    <row r="2" spans="1:2" x14ac:dyDescent="0.2">
      <c r="A2" s="8">
        <v>37469</v>
      </c>
      <c r="B2" s="10">
        <v>56.907262129678003</v>
      </c>
    </row>
    <row r="3" spans="1:2" x14ac:dyDescent="0.2">
      <c r="A3" s="4">
        <v>37500</v>
      </c>
      <c r="B3" s="5">
        <v>58.558944963243398</v>
      </c>
    </row>
    <row r="4" spans="1:2" x14ac:dyDescent="0.2">
      <c r="A4" s="4">
        <v>37530</v>
      </c>
      <c r="B4" s="5">
        <v>57.946692398866297</v>
      </c>
    </row>
    <row r="5" spans="1:2" x14ac:dyDescent="0.2">
      <c r="A5" s="4">
        <v>37561</v>
      </c>
      <c r="B5" s="5">
        <v>57.045752075729702</v>
      </c>
    </row>
    <row r="6" spans="1:2" x14ac:dyDescent="0.2">
      <c r="A6" s="4">
        <v>37591</v>
      </c>
      <c r="B6" s="5">
        <v>57.162855142389098</v>
      </c>
    </row>
    <row r="7" spans="1:2" x14ac:dyDescent="0.2">
      <c r="A7" s="4">
        <v>37622</v>
      </c>
      <c r="B7" s="5">
        <v>56.037312647284203</v>
      </c>
    </row>
    <row r="8" spans="1:2" x14ac:dyDescent="0.2">
      <c r="A8" s="4">
        <v>37653</v>
      </c>
      <c r="B8" s="5">
        <v>54.453721410704397</v>
      </c>
    </row>
    <row r="9" spans="1:2" x14ac:dyDescent="0.2">
      <c r="A9" s="4">
        <v>37681</v>
      </c>
      <c r="B9" s="5">
        <v>52.803630209600101</v>
      </c>
    </row>
    <row r="10" spans="1:2" x14ac:dyDescent="0.2">
      <c r="A10" s="4">
        <v>37712</v>
      </c>
      <c r="B10" s="5">
        <v>53.3207423548318</v>
      </c>
    </row>
    <row r="11" spans="1:2" x14ac:dyDescent="0.2">
      <c r="A11" s="4">
        <v>37742</v>
      </c>
      <c r="B11" s="5">
        <v>51.856412409729302</v>
      </c>
    </row>
    <row r="12" spans="1:2" x14ac:dyDescent="0.2">
      <c r="A12" s="4">
        <v>37773</v>
      </c>
      <c r="B12" s="5">
        <v>53.437648762611197</v>
      </c>
    </row>
    <row r="13" spans="1:2" x14ac:dyDescent="0.2">
      <c r="A13" s="4">
        <v>37803</v>
      </c>
      <c r="B13" s="5">
        <v>53.0699070792162</v>
      </c>
    </row>
    <row r="14" spans="1:2" x14ac:dyDescent="0.2">
      <c r="A14" s="4">
        <v>37834</v>
      </c>
      <c r="B14" s="5">
        <v>50.568235899885103</v>
      </c>
    </row>
    <row r="15" spans="1:2" x14ac:dyDescent="0.2">
      <c r="A15" s="4">
        <v>37865</v>
      </c>
      <c r="B15" s="5">
        <v>57.843029176009402</v>
      </c>
    </row>
    <row r="16" spans="1:2" x14ac:dyDescent="0.2">
      <c r="A16" s="4">
        <v>37895</v>
      </c>
      <c r="B16" s="5">
        <v>60.866406299467698</v>
      </c>
    </row>
    <row r="17" spans="1:2" x14ac:dyDescent="0.2">
      <c r="A17" s="4">
        <v>37926</v>
      </c>
      <c r="B17" s="5">
        <v>56.386882357350899</v>
      </c>
    </row>
    <row r="18" spans="1:2" x14ac:dyDescent="0.2">
      <c r="A18" s="4">
        <v>37956</v>
      </c>
      <c r="B18" s="5">
        <v>54.845751644085702</v>
      </c>
    </row>
    <row r="19" spans="1:2" x14ac:dyDescent="0.2">
      <c r="A19" s="4">
        <v>37987</v>
      </c>
      <c r="B19" s="5">
        <v>55.793919717969402</v>
      </c>
    </row>
    <row r="20" spans="1:2" x14ac:dyDescent="0.2">
      <c r="A20" s="4">
        <v>38018</v>
      </c>
      <c r="B20" s="5">
        <v>56.800472168487701</v>
      </c>
    </row>
    <row r="21" spans="1:2" x14ac:dyDescent="0.2">
      <c r="A21" s="4">
        <v>38047</v>
      </c>
      <c r="B21" s="5">
        <v>59.0129037737941</v>
      </c>
    </row>
    <row r="22" spans="1:2" x14ac:dyDescent="0.2">
      <c r="A22" s="4">
        <v>38078</v>
      </c>
      <c r="B22" s="5">
        <v>58.741686967726302</v>
      </c>
    </row>
    <row r="23" spans="1:2" x14ac:dyDescent="0.2">
      <c r="A23" s="4">
        <v>38108</v>
      </c>
      <c r="B23" s="5">
        <v>56.1940744843941</v>
      </c>
    </row>
    <row r="24" spans="1:2" x14ac:dyDescent="0.2">
      <c r="A24" s="4">
        <v>38139</v>
      </c>
      <c r="B24" s="5">
        <v>62.772774028058897</v>
      </c>
    </row>
    <row r="25" spans="1:2" x14ac:dyDescent="0.2">
      <c r="A25" s="4">
        <v>38169</v>
      </c>
      <c r="B25" s="5">
        <v>58.771020874084499</v>
      </c>
    </row>
    <row r="26" spans="1:2" x14ac:dyDescent="0.2">
      <c r="A26" s="4">
        <v>38200</v>
      </c>
      <c r="B26" s="5">
        <v>57.427085291237098</v>
      </c>
    </row>
    <row r="27" spans="1:2" x14ac:dyDescent="0.2">
      <c r="A27" s="4">
        <v>38231</v>
      </c>
      <c r="B27" s="5">
        <v>55.049322078869203</v>
      </c>
    </row>
    <row r="28" spans="1:2" x14ac:dyDescent="0.2">
      <c r="A28" s="4">
        <v>38261</v>
      </c>
      <c r="B28" s="5">
        <v>52.917155117700901</v>
      </c>
    </row>
    <row r="29" spans="1:2" x14ac:dyDescent="0.2">
      <c r="A29" s="4">
        <v>38292</v>
      </c>
      <c r="B29" s="5">
        <v>57.866935416672398</v>
      </c>
    </row>
    <row r="30" spans="1:2" x14ac:dyDescent="0.2">
      <c r="A30" s="4">
        <v>38322</v>
      </c>
      <c r="B30" s="5">
        <v>58.981422607151899</v>
      </c>
    </row>
    <row r="31" spans="1:2" x14ac:dyDescent="0.2">
      <c r="A31" s="4">
        <v>38353</v>
      </c>
      <c r="B31" s="5">
        <v>57.034440617633997</v>
      </c>
    </row>
    <row r="32" spans="1:2" x14ac:dyDescent="0.2">
      <c r="A32" s="4">
        <v>38384</v>
      </c>
      <c r="B32" s="5">
        <v>56.255983584510801</v>
      </c>
    </row>
    <row r="33" spans="1:2" x14ac:dyDescent="0.2">
      <c r="A33" s="4">
        <v>38412</v>
      </c>
      <c r="B33" s="5">
        <v>51.639603525794001</v>
      </c>
    </row>
    <row r="34" spans="1:2" x14ac:dyDescent="0.2">
      <c r="A34" s="4">
        <v>38443</v>
      </c>
      <c r="B34" s="5">
        <v>51.5818588801095</v>
      </c>
    </row>
    <row r="35" spans="1:2" x14ac:dyDescent="0.2">
      <c r="A35" s="4">
        <v>38473</v>
      </c>
      <c r="B35" s="5">
        <v>51.297542414814103</v>
      </c>
    </row>
    <row r="36" spans="1:2" x14ac:dyDescent="0.2">
      <c r="A36" s="4">
        <v>38504</v>
      </c>
      <c r="B36" s="5">
        <v>52.9270116328412</v>
      </c>
    </row>
    <row r="37" spans="1:2" x14ac:dyDescent="0.2">
      <c r="A37" s="4">
        <v>38534</v>
      </c>
      <c r="B37" s="5">
        <v>49.237862406275802</v>
      </c>
    </row>
    <row r="38" spans="1:2" x14ac:dyDescent="0.2">
      <c r="A38" s="4">
        <v>38565</v>
      </c>
      <c r="B38" s="5">
        <v>51.811669856587201</v>
      </c>
    </row>
    <row r="39" spans="1:2" x14ac:dyDescent="0.2">
      <c r="A39" s="4">
        <v>38596</v>
      </c>
      <c r="B39" s="5">
        <v>50.571930732839697</v>
      </c>
    </row>
    <row r="40" spans="1:2" x14ac:dyDescent="0.2">
      <c r="A40" s="4">
        <v>38626</v>
      </c>
      <c r="B40" s="5">
        <v>45.895480732884501</v>
      </c>
    </row>
    <row r="41" spans="1:2" x14ac:dyDescent="0.2">
      <c r="A41" s="4">
        <v>38657</v>
      </c>
      <c r="B41" s="5">
        <v>44.270599524960801</v>
      </c>
    </row>
    <row r="42" spans="1:2" x14ac:dyDescent="0.2">
      <c r="A42" s="4">
        <v>38687</v>
      </c>
      <c r="B42" s="5">
        <v>48.479025467498097</v>
      </c>
    </row>
    <row r="43" spans="1:2" x14ac:dyDescent="0.2">
      <c r="A43" s="4">
        <v>38718</v>
      </c>
      <c r="B43" s="5">
        <v>48.585345068779702</v>
      </c>
    </row>
    <row r="44" spans="1:2" x14ac:dyDescent="0.2">
      <c r="A44" s="4">
        <v>38749</v>
      </c>
      <c r="B44" s="5">
        <v>52.190552419279399</v>
      </c>
    </row>
    <row r="45" spans="1:2" x14ac:dyDescent="0.2">
      <c r="A45" s="4">
        <v>38777</v>
      </c>
      <c r="B45" s="5">
        <v>53.543058814971403</v>
      </c>
    </row>
    <row r="46" spans="1:2" x14ac:dyDescent="0.2">
      <c r="A46" s="4">
        <v>38808</v>
      </c>
      <c r="B46" s="5">
        <v>52.014251258866402</v>
      </c>
    </row>
    <row r="47" spans="1:2" x14ac:dyDescent="0.2">
      <c r="A47" s="4">
        <v>38838</v>
      </c>
      <c r="B47" s="5">
        <v>57.202432453847202</v>
      </c>
    </row>
    <row r="48" spans="1:2" x14ac:dyDescent="0.2">
      <c r="A48" s="4">
        <v>38869</v>
      </c>
      <c r="B48" s="5">
        <v>53.844737402000803</v>
      </c>
    </row>
    <row r="49" spans="1:2" x14ac:dyDescent="0.2">
      <c r="A49" s="4">
        <v>38899</v>
      </c>
      <c r="B49" s="5">
        <v>53.378118046287</v>
      </c>
    </row>
    <row r="50" spans="1:2" x14ac:dyDescent="0.2">
      <c r="A50" s="4">
        <v>38930</v>
      </c>
      <c r="B50" s="5">
        <v>52.497099283063399</v>
      </c>
    </row>
    <row r="51" spans="1:2" x14ac:dyDescent="0.2">
      <c r="A51" s="4">
        <v>38961</v>
      </c>
      <c r="B51" s="5">
        <v>51.262659151328798</v>
      </c>
    </row>
    <row r="52" spans="1:2" x14ac:dyDescent="0.2">
      <c r="A52" s="4">
        <v>38991</v>
      </c>
      <c r="B52" s="5">
        <v>56.532079990323197</v>
      </c>
    </row>
    <row r="53" spans="1:2" x14ac:dyDescent="0.2">
      <c r="A53" s="4">
        <v>39022</v>
      </c>
      <c r="B53" s="5">
        <v>54.819585258175898</v>
      </c>
    </row>
    <row r="54" spans="1:2" x14ac:dyDescent="0.2">
      <c r="A54" s="4">
        <v>39052</v>
      </c>
      <c r="B54" s="5">
        <v>54.238666923849898</v>
      </c>
    </row>
    <row r="55" spans="1:2" x14ac:dyDescent="0.2">
      <c r="A55" s="4">
        <v>39083</v>
      </c>
      <c r="B55" s="5">
        <v>56.036031351097698</v>
      </c>
    </row>
    <row r="56" spans="1:2" x14ac:dyDescent="0.2">
      <c r="A56" s="4">
        <v>39114</v>
      </c>
      <c r="B56" s="5">
        <v>54.742775705584201</v>
      </c>
    </row>
    <row r="57" spans="1:2" x14ac:dyDescent="0.2">
      <c r="A57" s="4">
        <v>39142</v>
      </c>
      <c r="B57" s="5">
        <v>57.570250699095702</v>
      </c>
    </row>
    <row r="58" spans="1:2" x14ac:dyDescent="0.2">
      <c r="A58" s="4">
        <v>39173</v>
      </c>
      <c r="B58" s="5">
        <v>53.260616311208402</v>
      </c>
    </row>
    <row r="59" spans="1:2" x14ac:dyDescent="0.2">
      <c r="A59" s="4">
        <v>39203</v>
      </c>
      <c r="B59" s="5">
        <v>55.407160874264001</v>
      </c>
    </row>
    <row r="60" spans="1:2" x14ac:dyDescent="0.2">
      <c r="A60" s="4">
        <v>39234</v>
      </c>
      <c r="B60" s="5">
        <v>51.416409801705001</v>
      </c>
    </row>
    <row r="61" spans="1:2" x14ac:dyDescent="0.2">
      <c r="A61" s="4">
        <v>39264</v>
      </c>
      <c r="B61" s="5">
        <v>54.021529677242</v>
      </c>
    </row>
    <row r="62" spans="1:2" x14ac:dyDescent="0.2">
      <c r="A62" s="4">
        <v>39295</v>
      </c>
      <c r="B62" s="5">
        <v>56.598811050608198</v>
      </c>
    </row>
    <row r="63" spans="1:2" x14ac:dyDescent="0.2">
      <c r="A63" s="4">
        <v>39326</v>
      </c>
      <c r="B63" s="5">
        <v>54.2282350566784</v>
      </c>
    </row>
    <row r="64" spans="1:2" x14ac:dyDescent="0.2">
      <c r="A64" s="4">
        <v>39356</v>
      </c>
      <c r="B64" s="5">
        <v>57.433784173576299</v>
      </c>
    </row>
    <row r="65" spans="1:2" x14ac:dyDescent="0.2">
      <c r="A65" s="4">
        <v>39387</v>
      </c>
      <c r="B65" s="5">
        <v>57.155724465306697</v>
      </c>
    </row>
    <row r="66" spans="1:2" x14ac:dyDescent="0.2">
      <c r="A66" s="4">
        <v>39417</v>
      </c>
      <c r="B66" s="5">
        <v>53.153499590717303</v>
      </c>
    </row>
    <row r="67" spans="1:2" x14ac:dyDescent="0.2">
      <c r="A67" s="4">
        <v>39448</v>
      </c>
      <c r="B67" s="5">
        <v>53.080817306480398</v>
      </c>
    </row>
    <row r="68" spans="1:2" x14ac:dyDescent="0.2">
      <c r="A68" s="4">
        <v>39479</v>
      </c>
      <c r="B68" s="5">
        <v>52.568361901912901</v>
      </c>
    </row>
    <row r="69" spans="1:2" x14ac:dyDescent="0.2">
      <c r="A69" s="4">
        <v>39508</v>
      </c>
      <c r="B69" s="5">
        <v>48.114001410038803</v>
      </c>
    </row>
    <row r="70" spans="1:2" x14ac:dyDescent="0.2">
      <c r="A70" s="4">
        <v>39539</v>
      </c>
      <c r="B70" s="5">
        <v>50.379620041373897</v>
      </c>
    </row>
    <row r="71" spans="1:2" x14ac:dyDescent="0.2">
      <c r="A71" s="4">
        <v>39569</v>
      </c>
      <c r="B71" s="5">
        <v>48.254867105237302</v>
      </c>
    </row>
    <row r="72" spans="1:2" x14ac:dyDescent="0.2">
      <c r="A72" s="4">
        <v>39600</v>
      </c>
      <c r="B72" s="5">
        <v>44.324455950641003</v>
      </c>
    </row>
    <row r="73" spans="1:2" x14ac:dyDescent="0.2">
      <c r="A73" s="4">
        <v>39630</v>
      </c>
      <c r="B73" s="5">
        <v>48.173562781692198</v>
      </c>
    </row>
    <row r="74" spans="1:2" x14ac:dyDescent="0.2">
      <c r="A74" s="4">
        <v>39661</v>
      </c>
      <c r="B74" s="5">
        <v>46.094212934239899</v>
      </c>
    </row>
    <row r="75" spans="1:2" x14ac:dyDescent="0.2">
      <c r="A75" s="4">
        <v>39692</v>
      </c>
      <c r="B75" s="5">
        <v>46.816302534574902</v>
      </c>
    </row>
    <row r="76" spans="1:2" x14ac:dyDescent="0.2">
      <c r="A76" s="4">
        <v>39722</v>
      </c>
      <c r="B76" s="5">
        <v>44.045668643393597</v>
      </c>
    </row>
    <row r="77" spans="1:2" x14ac:dyDescent="0.2">
      <c r="A77" s="4">
        <v>39753</v>
      </c>
      <c r="B77" s="5">
        <v>36.083796175526899</v>
      </c>
    </row>
    <row r="78" spans="1:2" x14ac:dyDescent="0.2">
      <c r="A78" s="4">
        <v>39783</v>
      </c>
      <c r="B78" s="5">
        <v>42.435398240949702</v>
      </c>
    </row>
    <row r="79" spans="1:2" x14ac:dyDescent="0.2">
      <c r="A79" s="4">
        <v>39814</v>
      </c>
      <c r="B79" s="5">
        <v>42.236706316594997</v>
      </c>
    </row>
    <row r="80" spans="1:2" x14ac:dyDescent="0.2">
      <c r="A80" s="4">
        <v>39845</v>
      </c>
      <c r="B80" s="5">
        <v>38.936383749853697</v>
      </c>
    </row>
    <row r="81" spans="1:2" x14ac:dyDescent="0.2">
      <c r="A81" s="4">
        <v>39873</v>
      </c>
      <c r="B81" s="5">
        <v>41.563078337337402</v>
      </c>
    </row>
    <row r="82" spans="1:2" x14ac:dyDescent="0.2">
      <c r="A82" s="4">
        <v>39904</v>
      </c>
      <c r="B82" s="5">
        <v>43.348295431938503</v>
      </c>
    </row>
    <row r="83" spans="1:2" x14ac:dyDescent="0.2">
      <c r="A83" s="4">
        <v>39934</v>
      </c>
      <c r="B83" s="5">
        <v>41.874722452342098</v>
      </c>
    </row>
    <row r="84" spans="1:2" x14ac:dyDescent="0.2">
      <c r="A84" s="4">
        <v>39965</v>
      </c>
      <c r="B84" s="5">
        <v>45.561029356135201</v>
      </c>
    </row>
    <row r="85" spans="1:2" x14ac:dyDescent="0.2">
      <c r="A85" s="4">
        <v>39995</v>
      </c>
      <c r="B85" s="5">
        <v>49.734183405407201</v>
      </c>
    </row>
    <row r="86" spans="1:2" x14ac:dyDescent="0.2">
      <c r="A86" s="4">
        <v>40026</v>
      </c>
      <c r="B86" s="5">
        <v>49.642350273864402</v>
      </c>
    </row>
    <row r="87" spans="1:2" x14ac:dyDescent="0.2">
      <c r="A87" s="4">
        <v>40057</v>
      </c>
      <c r="B87" s="5">
        <v>52.680029270514602</v>
      </c>
    </row>
    <row r="88" spans="1:2" x14ac:dyDescent="0.2">
      <c r="A88" s="4">
        <v>40087</v>
      </c>
      <c r="B88" s="5">
        <v>51.7262292777555</v>
      </c>
    </row>
    <row r="89" spans="1:2" x14ac:dyDescent="0.2">
      <c r="A89" s="4">
        <v>40118</v>
      </c>
      <c r="B89" s="5">
        <v>53.326198285872401</v>
      </c>
    </row>
    <row r="90" spans="1:2" x14ac:dyDescent="0.2">
      <c r="A90" s="4">
        <v>40148</v>
      </c>
      <c r="B90" s="5">
        <v>53.1454156225943</v>
      </c>
    </row>
    <row r="91" spans="1:2" x14ac:dyDescent="0.2">
      <c r="A91" s="4">
        <v>40179</v>
      </c>
      <c r="B91" s="5">
        <v>51.823641067846701</v>
      </c>
    </row>
    <row r="92" spans="1:2" x14ac:dyDescent="0.2">
      <c r="A92" s="4">
        <v>40210</v>
      </c>
      <c r="B92" s="5">
        <v>52.533413447435898</v>
      </c>
    </row>
    <row r="93" spans="1:2" x14ac:dyDescent="0.2">
      <c r="A93" s="4">
        <v>40238</v>
      </c>
      <c r="B93" s="5">
        <v>55.832523203119003</v>
      </c>
    </row>
    <row r="94" spans="1:2" x14ac:dyDescent="0.2">
      <c r="A94" s="4">
        <v>40269</v>
      </c>
      <c r="B94" s="5">
        <v>58.4019949666218</v>
      </c>
    </row>
    <row r="95" spans="1:2" x14ac:dyDescent="0.2">
      <c r="A95" s="4">
        <v>40299</v>
      </c>
      <c r="B95" s="5">
        <v>51.8006228698843</v>
      </c>
    </row>
    <row r="96" spans="1:2" x14ac:dyDescent="0.2">
      <c r="A96" s="4">
        <v>40330</v>
      </c>
      <c r="B96" s="5">
        <v>54.885916458142702</v>
      </c>
    </row>
    <row r="97" spans="1:2" x14ac:dyDescent="0.2">
      <c r="A97" s="4">
        <v>40360</v>
      </c>
      <c r="B97" s="5">
        <v>50.256943813857902</v>
      </c>
    </row>
    <row r="98" spans="1:2" x14ac:dyDescent="0.2">
      <c r="A98" s="4">
        <v>40391</v>
      </c>
      <c r="B98" s="5">
        <v>50.288913340954501</v>
      </c>
    </row>
    <row r="99" spans="1:2" x14ac:dyDescent="0.2">
      <c r="A99" s="4">
        <v>40422</v>
      </c>
      <c r="B99" s="5">
        <v>50.989279973423798</v>
      </c>
    </row>
    <row r="100" spans="1:2" x14ac:dyDescent="0.2">
      <c r="A100" s="4">
        <v>40452</v>
      </c>
      <c r="B100" s="5">
        <v>51.425226109909701</v>
      </c>
    </row>
    <row r="101" spans="1:2" x14ac:dyDescent="0.2">
      <c r="A101" s="4">
        <v>40483</v>
      </c>
      <c r="B101" s="5">
        <v>54.9544836853158</v>
      </c>
    </row>
    <row r="102" spans="1:2" x14ac:dyDescent="0.2">
      <c r="A102" s="4">
        <v>40513</v>
      </c>
      <c r="B102" s="5">
        <v>53.213836822334102</v>
      </c>
    </row>
    <row r="103" spans="1:2" x14ac:dyDescent="0.2">
      <c r="A103" s="4">
        <v>40544</v>
      </c>
      <c r="B103" s="5">
        <v>52.941418710448602</v>
      </c>
    </row>
    <row r="104" spans="1:2" x14ac:dyDescent="0.2">
      <c r="A104" s="4">
        <v>40575</v>
      </c>
      <c r="B104" s="5">
        <v>51.296148060149903</v>
      </c>
    </row>
    <row r="105" spans="1:2" x14ac:dyDescent="0.2">
      <c r="A105" s="4">
        <v>40603</v>
      </c>
      <c r="B105" s="5">
        <v>49.030116711296003</v>
      </c>
    </row>
    <row r="106" spans="1:2" x14ac:dyDescent="0.2">
      <c r="A106" s="4">
        <v>40634</v>
      </c>
      <c r="B106" s="5">
        <v>53.0485447056205</v>
      </c>
    </row>
    <row r="107" spans="1:2" x14ac:dyDescent="0.2">
      <c r="A107" s="4">
        <v>40664</v>
      </c>
      <c r="B107" s="5">
        <v>52.890127153315902</v>
      </c>
    </row>
    <row r="108" spans="1:2" x14ac:dyDescent="0.2">
      <c r="A108" s="4">
        <v>40695</v>
      </c>
      <c r="B108" s="5">
        <v>54.276686305751802</v>
      </c>
    </row>
    <row r="109" spans="1:2" x14ac:dyDescent="0.2">
      <c r="A109" s="4">
        <v>40725</v>
      </c>
      <c r="B109" s="5">
        <v>52.914785131054401</v>
      </c>
    </row>
    <row r="110" spans="1:2" x14ac:dyDescent="0.2">
      <c r="A110" s="4">
        <v>40756</v>
      </c>
      <c r="B110" s="5">
        <v>53.276022834882099</v>
      </c>
    </row>
    <row r="111" spans="1:2" x14ac:dyDescent="0.2">
      <c r="A111" s="4">
        <v>40787</v>
      </c>
      <c r="B111" s="5">
        <v>51.1649272067922</v>
      </c>
    </row>
    <row r="112" spans="1:2" x14ac:dyDescent="0.2">
      <c r="A112" s="4">
        <v>40817</v>
      </c>
      <c r="B112" s="5">
        <v>47.055625036655101</v>
      </c>
    </row>
    <row r="113" spans="1:2" x14ac:dyDescent="0.2">
      <c r="A113" s="4">
        <v>40848</v>
      </c>
      <c r="B113" s="5">
        <v>47.8189290340678</v>
      </c>
    </row>
    <row r="114" spans="1:2" x14ac:dyDescent="0.2">
      <c r="A114" s="4">
        <v>40878</v>
      </c>
      <c r="B114" s="5">
        <v>52.079468638644201</v>
      </c>
    </row>
    <row r="115" spans="1:2" x14ac:dyDescent="0.2">
      <c r="A115" s="4">
        <v>40909</v>
      </c>
      <c r="B115" s="5">
        <v>50.6209489737154</v>
      </c>
    </row>
    <row r="116" spans="1:2" x14ac:dyDescent="0.2">
      <c r="A116" s="4">
        <v>40940</v>
      </c>
      <c r="B116" s="5">
        <v>55.936808068004602</v>
      </c>
    </row>
    <row r="117" spans="1:2" x14ac:dyDescent="0.2">
      <c r="A117" s="4">
        <v>40969</v>
      </c>
      <c r="B117" s="5">
        <v>53.627871720274001</v>
      </c>
    </row>
    <row r="118" spans="1:2" x14ac:dyDescent="0.2">
      <c r="A118" s="4">
        <v>41000</v>
      </c>
      <c r="B118" s="5">
        <v>48.512504850892803</v>
      </c>
    </row>
    <row r="119" spans="1:2" x14ac:dyDescent="0.2">
      <c r="A119" s="4">
        <v>41030</v>
      </c>
      <c r="B119" s="5">
        <v>54.185789788296702</v>
      </c>
    </row>
    <row r="120" spans="1:2" x14ac:dyDescent="0.2">
      <c r="A120" s="4">
        <v>41061</v>
      </c>
      <c r="B120" s="5">
        <v>50.472370512699001</v>
      </c>
    </row>
    <row r="121" spans="1:2" x14ac:dyDescent="0.2">
      <c r="A121" s="4">
        <v>41091</v>
      </c>
      <c r="B121" s="5">
        <v>49.600935432835399</v>
      </c>
    </row>
    <row r="122" spans="1:2" x14ac:dyDescent="0.2">
      <c r="A122" s="4">
        <v>41122</v>
      </c>
      <c r="B122" s="5">
        <v>47.429094831237798</v>
      </c>
    </row>
    <row r="123" spans="1:2" x14ac:dyDescent="0.2">
      <c r="A123" s="4">
        <v>41153</v>
      </c>
      <c r="B123" s="5">
        <v>48.448709339422898</v>
      </c>
    </row>
    <row r="124" spans="1:2" x14ac:dyDescent="0.2">
      <c r="A124" s="4">
        <v>41183</v>
      </c>
      <c r="B124" s="5">
        <v>51.316273938764503</v>
      </c>
    </row>
    <row r="125" spans="1:2" x14ac:dyDescent="0.2">
      <c r="A125" s="4">
        <v>41214</v>
      </c>
      <c r="B125" s="5">
        <v>50.803170950440403</v>
      </c>
    </row>
    <row r="126" spans="1:2" x14ac:dyDescent="0.2">
      <c r="A126" s="4">
        <v>41244</v>
      </c>
      <c r="B126" s="5">
        <v>50.176098211716898</v>
      </c>
    </row>
    <row r="127" spans="1:2" x14ac:dyDescent="0.2">
      <c r="A127" s="4">
        <v>41275</v>
      </c>
      <c r="B127" s="5">
        <v>55.650680223541102</v>
      </c>
    </row>
    <row r="128" spans="1:2" x14ac:dyDescent="0.2">
      <c r="A128" s="4">
        <v>41306</v>
      </c>
      <c r="B128" s="5">
        <v>55.210349982691298</v>
      </c>
    </row>
    <row r="129" spans="1:2" x14ac:dyDescent="0.2">
      <c r="A129" s="4">
        <v>41334</v>
      </c>
      <c r="B129" s="5">
        <v>52.7071688076255</v>
      </c>
    </row>
    <row r="130" spans="1:2" x14ac:dyDescent="0.2">
      <c r="A130" s="4">
        <v>41365</v>
      </c>
      <c r="B130" s="5">
        <v>56.120859261244199</v>
      </c>
    </row>
    <row r="131" spans="1:2" x14ac:dyDescent="0.2">
      <c r="A131" s="4">
        <v>41395</v>
      </c>
      <c r="B131" s="5">
        <v>59.073750840452703</v>
      </c>
    </row>
    <row r="132" spans="1:2" x14ac:dyDescent="0.2">
      <c r="A132" s="4">
        <v>41426</v>
      </c>
      <c r="B132" s="5">
        <v>55.0752933288219</v>
      </c>
    </row>
    <row r="133" spans="1:2" x14ac:dyDescent="0.2">
      <c r="A133" s="4">
        <v>41456</v>
      </c>
      <c r="B133" s="5">
        <v>60.261392032361201</v>
      </c>
    </row>
    <row r="134" spans="1:2" x14ac:dyDescent="0.2">
      <c r="A134" s="4">
        <v>41487</v>
      </c>
      <c r="B134" s="5">
        <v>56.723185987861498</v>
      </c>
    </row>
    <row r="135" spans="1:2" x14ac:dyDescent="0.2">
      <c r="A135" s="4">
        <v>41518</v>
      </c>
      <c r="B135" s="5">
        <v>52.7868939881118</v>
      </c>
    </row>
    <row r="136" spans="1:2" x14ac:dyDescent="0.2">
      <c r="A136" s="4">
        <v>41548</v>
      </c>
      <c r="B136" s="5">
        <v>55.491851126124203</v>
      </c>
    </row>
    <row r="137" spans="1:2" x14ac:dyDescent="0.2">
      <c r="A137" s="4">
        <v>41579</v>
      </c>
      <c r="B137" s="5">
        <v>57.389922652514898</v>
      </c>
    </row>
    <row r="138" spans="1:2" x14ac:dyDescent="0.2">
      <c r="A138" s="4">
        <v>41609</v>
      </c>
      <c r="B138" s="5">
        <v>55.724521077420903</v>
      </c>
    </row>
    <row r="139" spans="1:2" x14ac:dyDescent="0.2">
      <c r="A139" s="4">
        <v>41640</v>
      </c>
      <c r="B139" s="5">
        <v>57.197211909594103</v>
      </c>
    </row>
    <row r="140" spans="1:2" x14ac:dyDescent="0.2">
      <c r="A140" s="4">
        <v>41671</v>
      </c>
      <c r="B140" s="5">
        <v>56.026127287725103</v>
      </c>
    </row>
    <row r="141" spans="1:2" x14ac:dyDescent="0.2">
      <c r="A141" s="4">
        <v>41699</v>
      </c>
      <c r="B141" s="5">
        <v>57.951243871749298</v>
      </c>
    </row>
    <row r="142" spans="1:2" x14ac:dyDescent="0.2">
      <c r="A142" s="4">
        <v>41730</v>
      </c>
      <c r="B142" s="5">
        <v>55.4325461314546</v>
      </c>
    </row>
    <row r="143" spans="1:2" x14ac:dyDescent="0.2">
      <c r="A143" s="4">
        <v>41760</v>
      </c>
      <c r="B143" s="5">
        <v>53.956229398254202</v>
      </c>
    </row>
    <row r="144" spans="1:2" x14ac:dyDescent="0.2">
      <c r="A144" s="4">
        <v>41791</v>
      </c>
      <c r="B144" s="5">
        <v>53.332054998804701</v>
      </c>
    </row>
    <row r="145" spans="1:2" x14ac:dyDescent="0.2">
      <c r="A145" s="4">
        <v>41821</v>
      </c>
      <c r="B145" s="5">
        <v>54.753248698735099</v>
      </c>
    </row>
    <row r="146" spans="1:2" x14ac:dyDescent="0.2">
      <c r="A146" s="4">
        <v>41852</v>
      </c>
      <c r="B146" s="5">
        <v>56.390867178830199</v>
      </c>
    </row>
    <row r="147" spans="1:2" x14ac:dyDescent="0.2">
      <c r="A147" s="4">
        <v>41883</v>
      </c>
      <c r="B147" s="5">
        <v>57.298541725858399</v>
      </c>
    </row>
    <row r="148" spans="1:2" x14ac:dyDescent="0.2">
      <c r="A148" s="4">
        <v>41913</v>
      </c>
      <c r="B148" s="5">
        <v>58.5179627874654</v>
      </c>
    </row>
    <row r="149" spans="1:2" x14ac:dyDescent="0.2">
      <c r="A149" s="4">
        <v>41944</v>
      </c>
      <c r="B149" s="5">
        <v>54.617724905754102</v>
      </c>
    </row>
    <row r="150" spans="1:2" x14ac:dyDescent="0.2">
      <c r="A150" s="4">
        <v>41974</v>
      </c>
      <c r="B150" s="5">
        <v>56.651751484174397</v>
      </c>
    </row>
    <row r="151" spans="1:2" x14ac:dyDescent="0.2">
      <c r="A151" s="4">
        <v>42005</v>
      </c>
      <c r="B151" s="5">
        <v>51.560748726156199</v>
      </c>
    </row>
    <row r="152" spans="1:2" x14ac:dyDescent="0.2">
      <c r="A152" s="4">
        <v>42036</v>
      </c>
      <c r="B152" s="5">
        <v>56.685992642344303</v>
      </c>
    </row>
    <row r="153" spans="1:2" x14ac:dyDescent="0.2">
      <c r="A153" s="4">
        <v>42064</v>
      </c>
      <c r="B153" s="5">
        <v>54.7822942728314</v>
      </c>
    </row>
    <row r="154" spans="1:2" x14ac:dyDescent="0.2">
      <c r="A154" s="4">
        <v>42095</v>
      </c>
      <c r="B154" s="5">
        <v>52.337448703873399</v>
      </c>
    </row>
    <row r="155" spans="1:2" x14ac:dyDescent="0.2">
      <c r="A155" s="4">
        <v>42125</v>
      </c>
      <c r="B155" s="5">
        <v>51.445669244171299</v>
      </c>
    </row>
    <row r="156" spans="1:2" x14ac:dyDescent="0.2">
      <c r="A156" s="4">
        <v>42156</v>
      </c>
      <c r="B156" s="5">
        <v>55.1807836368314</v>
      </c>
    </row>
    <row r="157" spans="1:2" x14ac:dyDescent="0.2">
      <c r="A157" s="4">
        <v>42186</v>
      </c>
      <c r="B157" s="5">
        <v>54.381444828161598</v>
      </c>
    </row>
    <row r="158" spans="1:2" x14ac:dyDescent="0.2">
      <c r="A158" s="4">
        <v>42217</v>
      </c>
      <c r="B158" s="5">
        <v>54.870796907468197</v>
      </c>
    </row>
    <row r="159" spans="1:2" x14ac:dyDescent="0.2">
      <c r="A159" s="4">
        <v>42248</v>
      </c>
      <c r="B159" s="5">
        <v>54.096709865768197</v>
      </c>
    </row>
    <row r="160" spans="1:2" x14ac:dyDescent="0.2">
      <c r="A160" s="4">
        <v>42278</v>
      </c>
      <c r="B160" s="5">
        <v>53.140695996963103</v>
      </c>
    </row>
    <row r="161" spans="1:2" x14ac:dyDescent="0.2">
      <c r="A161" s="4">
        <v>42309</v>
      </c>
      <c r="B161" s="5">
        <v>55.032635885992697</v>
      </c>
    </row>
    <row r="162" spans="1:2" x14ac:dyDescent="0.2">
      <c r="A162" s="4">
        <v>42339</v>
      </c>
      <c r="B162" s="5">
        <v>56.985602727074799</v>
      </c>
    </row>
    <row r="163" spans="1:2" x14ac:dyDescent="0.2">
      <c r="A163" s="4">
        <v>42370</v>
      </c>
      <c r="B163" s="5">
        <v>59.789243036004997</v>
      </c>
    </row>
    <row r="164" spans="1:2" x14ac:dyDescent="0.2">
      <c r="A164" s="4">
        <v>42401</v>
      </c>
      <c r="B164" s="5">
        <v>56.078910394119397</v>
      </c>
    </row>
    <row r="165" spans="1:2" x14ac:dyDescent="0.2">
      <c r="A165" s="4">
        <v>42430</v>
      </c>
      <c r="B165" s="5">
        <v>54.178654064476802</v>
      </c>
    </row>
    <row r="166" spans="1:2" x14ac:dyDescent="0.2">
      <c r="A166" s="4">
        <v>42461</v>
      </c>
      <c r="B166" s="5">
        <v>56.546320970312202</v>
      </c>
    </row>
    <row r="167" spans="1:2" x14ac:dyDescent="0.2">
      <c r="A167" s="4">
        <v>42491</v>
      </c>
      <c r="B167" s="5">
        <v>56.327478347796301</v>
      </c>
    </row>
    <row r="168" spans="1:2" x14ac:dyDescent="0.2">
      <c r="A168" s="4">
        <v>42522</v>
      </c>
      <c r="B168" s="5">
        <v>57.559793008442902</v>
      </c>
    </row>
    <row r="169" spans="1:2" x14ac:dyDescent="0.2">
      <c r="A169" s="4">
        <v>42552</v>
      </c>
      <c r="B169" s="5">
        <v>55.949978197804803</v>
      </c>
    </row>
    <row r="170" spans="1:2" x14ac:dyDescent="0.2">
      <c r="A170" s="4">
        <v>42583</v>
      </c>
      <c r="B170" s="5">
        <v>54.647059284907002</v>
      </c>
    </row>
    <row r="171" spans="1:2" x14ac:dyDescent="0.2">
      <c r="A171" s="4">
        <v>42614</v>
      </c>
      <c r="B171" s="5">
        <v>57.200032269804097</v>
      </c>
    </row>
    <row r="172" spans="1:2" x14ac:dyDescent="0.2">
      <c r="A172" s="4">
        <v>42644</v>
      </c>
      <c r="B172" s="5">
        <v>54.770169462479103</v>
      </c>
    </row>
    <row r="173" spans="1:2" x14ac:dyDescent="0.2">
      <c r="A173" s="4">
        <v>42675</v>
      </c>
      <c r="B173" s="5">
        <v>54.294699659706197</v>
      </c>
    </row>
    <row r="174" spans="1:2" x14ac:dyDescent="0.2">
      <c r="A174" s="4">
        <v>42705</v>
      </c>
      <c r="B174" s="5">
        <v>54.632850303643103</v>
      </c>
    </row>
    <row r="175" spans="1:2" x14ac:dyDescent="0.2">
      <c r="A175" s="4">
        <v>42736</v>
      </c>
      <c r="B175" s="5">
        <v>53.201234556972999</v>
      </c>
    </row>
    <row r="176" spans="1:2" x14ac:dyDescent="0.2">
      <c r="A176" s="4">
        <v>42767</v>
      </c>
      <c r="B176" s="5">
        <v>56.052093803738103</v>
      </c>
    </row>
    <row r="177" spans="1:2" x14ac:dyDescent="0.2">
      <c r="A177" s="4">
        <v>42795</v>
      </c>
      <c r="B177" s="5">
        <v>58.722829092940202</v>
      </c>
    </row>
    <row r="178" spans="1:2" x14ac:dyDescent="0.2">
      <c r="A178" s="4">
        <v>42826</v>
      </c>
      <c r="B178" s="5">
        <v>56.591209988029298</v>
      </c>
    </row>
    <row r="179" spans="1:2" x14ac:dyDescent="0.2">
      <c r="A179" s="4">
        <v>42856</v>
      </c>
      <c r="B179" s="5">
        <v>57.6796522807713</v>
      </c>
    </row>
    <row r="180" spans="1:2" x14ac:dyDescent="0.2">
      <c r="A180" s="4">
        <v>42887</v>
      </c>
      <c r="B180" s="5">
        <v>55.908061806319601</v>
      </c>
    </row>
    <row r="181" spans="1:2" x14ac:dyDescent="0.2">
      <c r="A181" s="4">
        <v>42917</v>
      </c>
      <c r="B181" s="5">
        <v>55.831645577076003</v>
      </c>
    </row>
    <row r="182" spans="1:2" x14ac:dyDescent="0.2">
      <c r="A182" s="4">
        <v>42948</v>
      </c>
      <c r="B182" s="5">
        <v>57.887533658349597</v>
      </c>
    </row>
    <row r="183" spans="1:2" x14ac:dyDescent="0.2">
      <c r="A183" s="4">
        <v>42979</v>
      </c>
      <c r="B183" s="5">
        <v>57.5865651905984</v>
      </c>
    </row>
    <row r="184" spans="1:2" x14ac:dyDescent="0.2">
      <c r="A184" s="4">
        <v>43009</v>
      </c>
      <c r="B184" s="5">
        <v>56.831431477817098</v>
      </c>
    </row>
    <row r="185" spans="1:2" x14ac:dyDescent="0.2">
      <c r="A185" s="4">
        <v>43040</v>
      </c>
      <c r="B185" s="5">
        <v>57.427575830614998</v>
      </c>
    </row>
    <row r="186" spans="1:2" x14ac:dyDescent="0.2">
      <c r="A186" s="4">
        <v>43070</v>
      </c>
      <c r="B186" s="5">
        <v>50.964893006040199</v>
      </c>
    </row>
    <row r="187" spans="1:2" x14ac:dyDescent="0.2">
      <c r="A187" s="4">
        <v>43101</v>
      </c>
      <c r="B187" s="5">
        <v>55.399130043972598</v>
      </c>
    </row>
    <row r="188" spans="1:2" x14ac:dyDescent="0.2">
      <c r="A188" s="4">
        <v>43132</v>
      </c>
      <c r="B188" s="5">
        <v>53.452875132901703</v>
      </c>
    </row>
    <row r="189" spans="1:2" x14ac:dyDescent="0.2">
      <c r="A189" s="4">
        <v>43160</v>
      </c>
      <c r="B189" s="5">
        <v>53.138892832554802</v>
      </c>
    </row>
    <row r="190" spans="1:2" x14ac:dyDescent="0.2">
      <c r="A190" s="4">
        <v>43191</v>
      </c>
      <c r="B190" s="5">
        <v>59.203530801353899</v>
      </c>
    </row>
    <row r="191" spans="1:2" x14ac:dyDescent="0.2">
      <c r="A191" s="4">
        <v>43221</v>
      </c>
      <c r="B191" s="5">
        <v>54.328230091142899</v>
      </c>
    </row>
    <row r="192" spans="1:2" x14ac:dyDescent="0.2">
      <c r="A192" s="4">
        <v>43252</v>
      </c>
      <c r="B192" s="5">
        <v>52.724539725642202</v>
      </c>
    </row>
    <row r="193" spans="1:2" x14ac:dyDescent="0.2">
      <c r="A193" s="4">
        <v>43282</v>
      </c>
      <c r="B193" s="5">
        <v>51.2462636215065</v>
      </c>
    </row>
    <row r="194" spans="1:2" x14ac:dyDescent="0.2">
      <c r="A194" s="4">
        <v>43313</v>
      </c>
      <c r="B194" s="5">
        <v>52.132210597352199</v>
      </c>
    </row>
    <row r="195" spans="1:2" x14ac:dyDescent="0.2">
      <c r="A195" s="4">
        <v>43344</v>
      </c>
      <c r="B195" s="5">
        <v>51.870945765782103</v>
      </c>
    </row>
    <row r="196" spans="1:2" x14ac:dyDescent="0.2">
      <c r="A196" s="4">
        <v>43374</v>
      </c>
      <c r="B196" s="5">
        <v>53.5</v>
      </c>
    </row>
    <row r="197" spans="1:2" x14ac:dyDescent="0.2">
      <c r="A197" s="4">
        <v>43405</v>
      </c>
      <c r="B197" s="5">
        <v>53.5</v>
      </c>
    </row>
    <row r="198" spans="1:2" x14ac:dyDescent="0.2">
      <c r="A198" s="4">
        <v>43435</v>
      </c>
      <c r="B198" s="5">
        <v>55.1</v>
      </c>
    </row>
    <row r="199" spans="1:2" x14ac:dyDescent="0.2">
      <c r="A199" s="4">
        <v>43466</v>
      </c>
      <c r="B199" s="5">
        <v>53.1</v>
      </c>
    </row>
    <row r="200" spans="1:2" x14ac:dyDescent="0.2">
      <c r="A200" s="4">
        <v>43497</v>
      </c>
      <c r="B200" s="5">
        <v>53.4</v>
      </c>
    </row>
    <row r="201" spans="1:2" x14ac:dyDescent="0.2">
      <c r="A201" s="4">
        <v>43525</v>
      </c>
      <c r="B201" s="5">
        <v>51.9</v>
      </c>
    </row>
    <row r="202" spans="1:2" x14ac:dyDescent="0.2">
      <c r="A202" s="4">
        <v>43556</v>
      </c>
      <c r="B202" s="5">
        <v>52.7</v>
      </c>
    </row>
    <row r="203" spans="1:2" x14ac:dyDescent="0.2">
      <c r="A203" s="4">
        <v>43586</v>
      </c>
      <c r="B203" s="5">
        <v>50.2</v>
      </c>
    </row>
    <row r="204" spans="1:2" x14ac:dyDescent="0.2">
      <c r="A204" s="4">
        <v>43617</v>
      </c>
      <c r="B204" s="5">
        <v>51.3</v>
      </c>
    </row>
    <row r="205" spans="1:2" x14ac:dyDescent="0.2">
      <c r="A205" s="4">
        <v>43647</v>
      </c>
      <c r="B205" s="5">
        <v>48.1</v>
      </c>
    </row>
    <row r="206" spans="1:2" x14ac:dyDescent="0.2">
      <c r="A206" s="4">
        <v>43678</v>
      </c>
      <c r="B206" s="5">
        <v>48.4</v>
      </c>
    </row>
    <row r="207" spans="1:2" x14ac:dyDescent="0.2">
      <c r="A207" s="4">
        <v>43709</v>
      </c>
      <c r="B207" s="5">
        <v>48.4</v>
      </c>
    </row>
    <row r="208" spans="1:2" x14ac:dyDescent="0.2">
      <c r="A208" s="4">
        <v>43739</v>
      </c>
      <c r="B208" s="5">
        <v>52.6</v>
      </c>
    </row>
    <row r="209" spans="1:2" x14ac:dyDescent="0.2">
      <c r="A209" s="4">
        <v>43770</v>
      </c>
      <c r="B209" s="5">
        <v>51.4</v>
      </c>
    </row>
    <row r="210" spans="1:2" x14ac:dyDescent="0.2">
      <c r="A210" s="4">
        <v>43800</v>
      </c>
      <c r="B210" s="5">
        <v>49.3</v>
      </c>
    </row>
    <row r="211" spans="1:2" x14ac:dyDescent="0.2">
      <c r="A211" s="4">
        <v>43831</v>
      </c>
      <c r="B211" s="5">
        <v>49.6</v>
      </c>
    </row>
    <row r="212" spans="1:2" x14ac:dyDescent="0.2">
      <c r="A212" s="4">
        <v>43862</v>
      </c>
      <c r="B212" s="5">
        <v>53.2</v>
      </c>
    </row>
    <row r="213" spans="1:2" x14ac:dyDescent="0.2">
      <c r="A213" s="4">
        <v>43891</v>
      </c>
      <c r="B213" s="5">
        <v>38</v>
      </c>
    </row>
    <row r="214" spans="1:2" x14ac:dyDescent="0.2">
      <c r="A214" s="4">
        <v>43922</v>
      </c>
      <c r="B214" s="5">
        <v>26.1</v>
      </c>
    </row>
    <row r="215" spans="1:2" x14ac:dyDescent="0.2">
      <c r="A215" s="4">
        <v>43952</v>
      </c>
      <c r="B215" s="5">
        <v>39.700000000000003</v>
      </c>
    </row>
    <row r="216" spans="1:2" x14ac:dyDescent="0.2">
      <c r="A216" s="4">
        <v>43983</v>
      </c>
      <c r="B216" s="5">
        <v>56.3</v>
      </c>
    </row>
    <row r="217" spans="1:2" x14ac:dyDescent="0.2">
      <c r="A217" s="4">
        <v>44013</v>
      </c>
      <c r="B217" s="5">
        <v>59</v>
      </c>
    </row>
    <row r="218" spans="1:2" x14ac:dyDescent="0.2">
      <c r="A218" s="4">
        <v>44044</v>
      </c>
      <c r="B218" s="5">
        <v>51</v>
      </c>
    </row>
    <row r="219" spans="1:2" x14ac:dyDescent="0.2">
      <c r="A219" s="4">
        <v>44075</v>
      </c>
      <c r="B219" s="5">
        <v>54</v>
      </c>
    </row>
    <row r="220" spans="1:2" x14ac:dyDescent="0.2">
      <c r="A220" s="4">
        <v>44105</v>
      </c>
      <c r="B220" s="5">
        <v>51.7</v>
      </c>
    </row>
    <row r="221" spans="1:2" x14ac:dyDescent="0.2">
      <c r="A221" s="4">
        <v>44136</v>
      </c>
      <c r="B221" s="5">
        <v>55.3</v>
      </c>
    </row>
    <row r="222" spans="1:2" x14ac:dyDescent="0.2">
      <c r="A222" s="4">
        <v>44166</v>
      </c>
      <c r="B222" s="5">
        <v>48.7</v>
      </c>
    </row>
    <row r="223" spans="1:2" x14ac:dyDescent="0.2">
      <c r="A223" s="4">
        <v>44197</v>
      </c>
      <c r="B223" s="5">
        <v>58.05</v>
      </c>
    </row>
    <row r="224" spans="1:2" x14ac:dyDescent="0.2">
      <c r="A224" s="4">
        <v>44228</v>
      </c>
      <c r="B224" s="5">
        <v>54.21</v>
      </c>
    </row>
    <row r="225" spans="1:2" x14ac:dyDescent="0.2">
      <c r="A225" s="4">
        <v>44256</v>
      </c>
      <c r="B225" s="5">
        <v>63.6</v>
      </c>
    </row>
    <row r="226" spans="1:2" x14ac:dyDescent="0.2">
      <c r="A226" s="4">
        <v>44287</v>
      </c>
      <c r="B226" s="5">
        <v>58.3</v>
      </c>
    </row>
    <row r="227" spans="1:2" x14ac:dyDescent="0.2">
      <c r="A227" s="4">
        <v>44317</v>
      </c>
      <c r="B227" s="5">
        <v>58.6</v>
      </c>
    </row>
    <row r="228" spans="1:2" x14ac:dyDescent="0.2">
      <c r="A228" s="4">
        <v>44348</v>
      </c>
      <c r="B228" s="5">
        <v>60.9</v>
      </c>
    </row>
    <row r="229" spans="1:2" x14ac:dyDescent="0.2">
      <c r="A229" s="4">
        <v>44378</v>
      </c>
      <c r="B229" s="5">
        <v>62.2</v>
      </c>
    </row>
    <row r="230" spans="1:2" x14ac:dyDescent="0.2">
      <c r="A230" s="4">
        <v>44409</v>
      </c>
      <c r="B230" s="5">
        <v>39.700000000000003</v>
      </c>
    </row>
    <row r="231" spans="1:2" x14ac:dyDescent="0.2">
      <c r="A231" s="4">
        <v>44440</v>
      </c>
      <c r="B231" s="5">
        <v>51.4</v>
      </c>
    </row>
    <row r="232" spans="1:2" x14ac:dyDescent="0.2">
      <c r="A232" s="4">
        <v>44470</v>
      </c>
      <c r="B232" s="5">
        <v>54.3</v>
      </c>
    </row>
    <row r="233" spans="1:2" x14ac:dyDescent="0.2">
      <c r="A233" s="4">
        <v>44501</v>
      </c>
      <c r="B233" s="5">
        <v>50.6</v>
      </c>
    </row>
  </sheetData>
  <conditionalFormatting sqref="B91:B233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32</vt:i4>
      </vt:variant>
    </vt:vector>
  </HeadingPairs>
  <TitlesOfParts>
    <vt:vector size="32" baseType="lpstr">
      <vt:lpstr>DB Country PMI</vt:lpstr>
      <vt:lpstr>Global</vt:lpstr>
      <vt:lpstr>US</vt:lpstr>
      <vt:lpstr>China</vt:lpstr>
      <vt:lpstr>EuroArea</vt:lpstr>
      <vt:lpstr>Japan</vt:lpstr>
      <vt:lpstr>Germany</vt:lpstr>
      <vt:lpstr>France</vt:lpstr>
      <vt:lpstr>UK</vt:lpstr>
      <vt:lpstr>Italy</vt:lpstr>
      <vt:lpstr>Spain</vt:lpstr>
      <vt:lpstr>Brazil</vt:lpstr>
      <vt:lpstr>Mexico</vt:lpstr>
      <vt:lpstr>Russia</vt:lpstr>
      <vt:lpstr>India</vt:lpstr>
      <vt:lpstr>Canada</vt:lpstr>
      <vt:lpstr>Australia</vt:lpstr>
      <vt:lpstr>Indonesia</vt:lpstr>
      <vt:lpstr>SouthKorea</vt:lpstr>
      <vt:lpstr>Taiwan</vt:lpstr>
      <vt:lpstr>Greece</vt:lpstr>
      <vt:lpstr>Ireland</vt:lpstr>
      <vt:lpstr>Turkey</vt:lpstr>
      <vt:lpstr>CzechRepublic</vt:lpstr>
      <vt:lpstr>Poland</vt:lpstr>
      <vt:lpstr>Denmark</vt:lpstr>
      <vt:lpstr>Vietnam</vt:lpstr>
      <vt:lpstr>Thailand</vt:lpstr>
      <vt:lpstr>SouthAfrica</vt:lpstr>
      <vt:lpstr>HongKong</vt:lpstr>
      <vt:lpstr>SaudiArabia</vt:lpstr>
      <vt:lpstr>NewZealand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2019-09-18T11:19:06Z</dcterms:created>
  <dcterms:modified xsi:type="dcterms:W3CDTF">2022-01-31T03:52:18Z</dcterms:modified>
</cp:coreProperties>
</file>