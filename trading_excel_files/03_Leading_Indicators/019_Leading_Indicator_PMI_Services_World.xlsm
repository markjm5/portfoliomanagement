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4620" yWindow="-640" windowWidth="48360" windowHeight="2684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9">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8">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17" fontId="11" fillId="2" borderId="17" applyAlignment="1" pivotButton="0" quotePrefix="0" xfId="0">
      <alignment horizontal="left" vertical="top" wrapText="1"/>
    </xf>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19"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5" borderId="8"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0" fontId="13" fillId="5" borderId="26"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2" borderId="33" applyAlignment="1" pivotButton="0" quotePrefix="0" xfId="0">
      <alignment horizontal="center"/>
    </xf>
    <xf numFmtId="0" fontId="0" fillId="2" borderId="30" applyAlignment="1" pivotButton="0" quotePrefix="0" xfId="0">
      <alignment horizontal="center"/>
    </xf>
    <xf numFmtId="0" fontId="0" fillId="2" borderId="34" applyAlignment="1" pivotButton="0" quotePrefix="0" xfId="0">
      <alignment horizontal="center"/>
    </xf>
    <xf numFmtId="0" fontId="0" fillId="2" borderId="35"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0" fontId="3" fillId="4" borderId="21" applyAlignment="1" pivotButton="0" quotePrefix="0" xfId="0">
      <alignment horizontal="center"/>
    </xf>
    <xf numFmtId="0" fontId="0" fillId="0" borderId="4"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32" pivotButton="0" quotePrefix="0" xfId="0"/>
    <xf numFmtId="0" fontId="3" fillId="4" borderId="8" applyAlignment="1" pivotButton="0" quotePrefix="0" xfId="0">
      <alignment horizontal="center"/>
    </xf>
    <xf numFmtId="0" fontId="0" fillId="0" borderId="5"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31" pivotButton="0" quotePrefix="0" xfId="0"/>
    <xf numFmtId="0" fontId="0" fillId="0" borderId="29" pivotButton="0" quotePrefix="0" xfId="0"/>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Global!$B$5</f>
              <strCache>
                <ptCount val="1"/>
                <pt idx="0">
                  <v>PMI</v>
                </pt>
              </strCache>
            </strRef>
          </tx>
          <spPr>
            <a:solidFill xmlns:a="http://schemas.openxmlformats.org/drawingml/2006/main">
              <a:schemeClr val="accent1"/>
            </a:solidFill>
            <a:ln xmlns:a="http://schemas.openxmlformats.org/drawingml/2006/main">
              <a:noFill/>
              <a:prstDash val="solid"/>
            </a:ln>
          </spP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Global!$B$6:$B$141</f>
              <numCache>
                <formatCode>General</formatCode>
                <ptCount val="136"/>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US!$B$5</f>
              <strCache>
                <ptCount val="1"/>
                <pt idx="0">
                  <v>PMI</v>
                </pt>
              </strCache>
            </strRef>
          </tx>
          <spPr>
            <a:solidFill xmlns:a="http://schemas.openxmlformats.org/drawingml/2006/main">
              <a:schemeClr val="accent1"/>
            </a:solidFill>
            <a:ln xmlns:a="http://schemas.openxmlformats.org/drawingml/2006/main">
              <a:noFill/>
              <a:prstDash val="solid"/>
            </a:ln>
          </spPr>
          <cat>
            <numRef>
              <f>US!$A$6:$A$105</f>
              <numCache>
                <formatCode>m/d/yy</formatCode>
                <ptCount val="100"/>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numCache>
            </numRef>
          </cat>
          <val>
            <numRef>
              <f>US!$B$6:$B$105</f>
              <numCache>
                <formatCode>General</formatCode>
                <ptCount val="100"/>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EuroArea!$B$5</f>
              <strCache>
                <ptCount val="1"/>
                <pt idx="0">
                  <v>PMI</v>
                </pt>
              </strCache>
            </strRef>
          </tx>
          <spPr>
            <a:solidFill xmlns:a="http://schemas.openxmlformats.org/drawingml/2006/main">
              <a:schemeClr val="accent1"/>
            </a:solidFill>
            <a:ln xmlns:a="http://schemas.openxmlformats.org/drawingml/2006/main">
              <a:noFill/>
              <a:prstDash val="solid"/>
            </a:ln>
          </spPr>
          <cat>
            <numRef>
              <f>EuroArea!$A$6:$A$180</f>
              <numCache>
                <formatCode>m/d/yy</formatCode>
                <ptCount val="175"/>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numCache>
            </numRef>
          </cat>
          <val>
            <numRef>
              <f>EuroArea!$B$6:$B$180</f>
              <numCache>
                <formatCode>General</formatCode>
                <ptCount val="175"/>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China!$B$5</f>
              <strCache>
                <ptCount val="1"/>
                <pt idx="0">
                  <v>PMI</v>
                </pt>
              </strCache>
            </strRef>
          </tx>
          <spPr>
            <a:solidFill xmlns:a="http://schemas.openxmlformats.org/drawingml/2006/main">
              <a:schemeClr val="accent1"/>
            </a:solidFill>
            <a:ln xmlns:a="http://schemas.openxmlformats.org/drawingml/2006/main">
              <a:noFill/>
              <a:prstDash val="solid"/>
            </a:ln>
          </spPr>
          <cat>
            <numRef>
              <f>China!$A$6:$A$140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China!$B$6:$B$140</f>
              <numCache>
                <formatCode>General</formatCode>
                <ptCount val="135"/>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France!$B$5</f>
              <strCache>
                <ptCount val="1"/>
                <pt idx="0">
                  <v>PMI</v>
                </pt>
              </strCache>
            </strRef>
          </tx>
          <spPr>
            <a:solidFill xmlns:a="http://schemas.openxmlformats.org/drawingml/2006/main">
              <a:schemeClr val="accent1"/>
            </a:solidFill>
            <a:ln xmlns:a="http://schemas.openxmlformats.org/drawingml/2006/main">
              <a:noFill/>
              <a:prstDash val="solid"/>
            </a:ln>
          </spPr>
          <cat>
            <numRef>
              <f>France!$A$6:$A$167</f>
              <numCache>
                <formatCode>m/d/yy</formatCode>
                <ptCount val="16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numCache>
            </numRef>
          </cat>
          <val>
            <numRef>
              <f>France!$B$6:$B$167</f>
              <numCache>
                <formatCode>General</formatCode>
                <ptCount val="162"/>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Germany!$B$5</f>
              <strCache>
                <ptCount val="1"/>
                <pt idx="0">
                  <v>PMI</v>
                </pt>
              </strCache>
            </strRef>
          </tx>
          <spPr>
            <a:solidFill xmlns:a="http://schemas.openxmlformats.org/drawingml/2006/main">
              <a:schemeClr val="accent1"/>
            </a:solidFill>
            <a:ln xmlns:a="http://schemas.openxmlformats.org/drawingml/2006/main">
              <a:noFill/>
              <a:prstDash val="solid"/>
            </a:ln>
          </spPr>
          <cat>
            <numRef>
              <f>Germany!$A$6:$A$180</f>
              <numCache>
                <formatCode>m/d/yy</formatCode>
                <ptCount val="175"/>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numCache>
            </numRef>
          </cat>
          <val>
            <numRef>
              <f>Germany!$B$6:$B$180</f>
              <numCache>
                <formatCode>General</formatCode>
                <ptCount val="175"/>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UK!$B$5</f>
              <strCache>
                <ptCount val="1"/>
                <pt idx="0">
                  <v>PMI</v>
                </pt>
              </strCache>
            </strRef>
          </tx>
          <spPr>
            <a:solidFill xmlns:a="http://schemas.openxmlformats.org/drawingml/2006/main">
              <a:schemeClr val="accent1"/>
            </a:solidFill>
            <a:ln xmlns:a="http://schemas.openxmlformats.org/drawingml/2006/main">
              <a:noFill/>
              <a:prstDash val="solid"/>
            </a:ln>
          </spPr>
          <cat>
            <numRef>
              <f>UK!$A$6:$A$141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UK!$B$6:$B$141</f>
              <numCache>
                <formatCode>General</formatCode>
                <ptCount val="136"/>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India!$B$5</f>
              <strCache>
                <ptCount val="1"/>
                <pt idx="0">
                  <v>PMI</v>
                </pt>
              </strCache>
            </strRef>
          </tx>
          <spPr>
            <a:solidFill xmlns:a="http://schemas.openxmlformats.org/drawingml/2006/main">
              <a:schemeClr val="accent1"/>
            </a:solidFill>
            <a:ln xmlns:a="http://schemas.openxmlformats.org/drawingml/2006/main">
              <a:noFill/>
              <a:prstDash val="solid"/>
            </a:ln>
          </spPr>
          <cat>
            <numRef>
              <f>India!$A$6:$A$141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India!$B$6:$B$141</f>
              <numCache>
                <formatCode>General</formatCode>
                <ptCount val="136"/>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Australia!$B$5</f>
              <strCache>
                <ptCount val="1"/>
                <pt idx="0">
                  <v>PMI</v>
                </pt>
              </strCache>
            </strRef>
          </tx>
          <spPr>
            <a:solidFill xmlns:a="http://schemas.openxmlformats.org/drawingml/2006/main">
              <a:schemeClr val="accent1"/>
            </a:solidFill>
            <a:ln xmlns:a="http://schemas.openxmlformats.org/drawingml/2006/main">
              <a:noFill/>
              <a:prstDash val="solid"/>
            </a:ln>
          </spPr>
          <cat>
            <numRef>
              <f>Australia!$A$6:$A$140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Australia!$B$6:$B$140</f>
              <numCache>
                <formatCode>General</formatCode>
                <ptCount val="135"/>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Ireland!$B$5</f>
              <strCache>
                <ptCount val="1"/>
                <pt idx="0">
                  <v>PMI</v>
                </pt>
              </strCache>
            </strRef>
          </tx>
          <spPr>
            <a:solidFill xmlns:a="http://schemas.openxmlformats.org/drawingml/2006/main">
              <a:schemeClr val="accent1"/>
            </a:solidFill>
            <a:ln xmlns:a="http://schemas.openxmlformats.org/drawingml/2006/main">
              <a:noFill/>
              <a:prstDash val="solid"/>
            </a:ln>
          </spPr>
          <cat>
            <numRef>
              <f>Ireland!$A$6:$A$141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Ireland!$B$6:$B$141</f>
              <numCache>
                <formatCode>General</formatCode>
                <ptCount val="136"/>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Italy!$B$5</f>
              <strCache>
                <ptCount val="1"/>
                <pt idx="0">
                  <v>PMI</v>
                </pt>
              </strCache>
            </strRef>
          </tx>
          <spPr>
            <a:solidFill xmlns:a="http://schemas.openxmlformats.org/drawingml/2006/main">
              <a:schemeClr val="accent1"/>
            </a:solidFill>
            <a:ln xmlns:a="http://schemas.openxmlformats.org/drawingml/2006/main">
              <a:noFill/>
              <a:prstDash val="solid"/>
            </a:ln>
          </spPr>
          <cat>
            <numRef>
              <f>Italy!$A$6:$A$141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Italy!$B$6:$B$141</f>
              <numCache>
                <formatCode>General</formatCode>
                <ptCount val="136"/>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Japan!$B$5</f>
              <strCache>
                <ptCount val="1"/>
                <pt idx="0">
                  <v>PMI</v>
                </pt>
              </strCache>
            </strRef>
          </tx>
          <spPr>
            <a:solidFill xmlns:a="http://schemas.openxmlformats.org/drawingml/2006/main">
              <a:schemeClr val="accent1"/>
            </a:solidFill>
            <a:ln xmlns:a="http://schemas.openxmlformats.org/drawingml/2006/main">
              <a:noFill/>
              <a:prstDash val="solid"/>
            </a:ln>
          </spPr>
          <cat>
            <numRef>
              <f>Japan!$A$6:$A$141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Japan!$B$6:$B$141</f>
              <numCache>
                <formatCode>General</formatCode>
                <ptCount val="136"/>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Brazil!$B$5</f>
              <strCache>
                <ptCount val="1"/>
                <pt idx="0">
                  <v>PMI</v>
                </pt>
              </strCache>
            </strRef>
          </tx>
          <spPr>
            <a:solidFill xmlns:a="http://schemas.openxmlformats.org/drawingml/2006/main">
              <a:schemeClr val="accent1"/>
            </a:solidFill>
            <a:ln xmlns:a="http://schemas.openxmlformats.org/drawingml/2006/main">
              <a:noFill/>
              <a:prstDash val="solid"/>
            </a:ln>
          </spPr>
          <cat>
            <numRef>
              <f>Brazil!$A$6:$A$141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Brazil!$B$6:$B$141</f>
              <numCache>
                <formatCode>General</formatCode>
                <ptCount val="136"/>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Russia!$B$5</f>
              <strCache>
                <ptCount val="1"/>
                <pt idx="0">
                  <v>PMI</v>
                </pt>
              </strCache>
            </strRef>
          </tx>
          <spPr>
            <a:solidFill xmlns:a="http://schemas.openxmlformats.org/drawingml/2006/main">
              <a:schemeClr val="accent1"/>
            </a:solidFill>
            <a:ln xmlns:a="http://schemas.openxmlformats.org/drawingml/2006/main">
              <a:noFill/>
              <a:prstDash val="solid"/>
            </a:ln>
          </spPr>
          <cat>
            <numRef>
              <f>Russia!$A$6:$A$141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Russia!$B$6:$B$141</f>
              <numCache>
                <formatCode>General</formatCode>
                <ptCount val="136"/>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Spain!$B$5</f>
              <strCache>
                <ptCount val="1"/>
                <pt idx="0">
                  <v>PMI</v>
                </pt>
              </strCache>
            </strRef>
          </tx>
          <spPr>
            <a:solidFill xmlns:a="http://schemas.openxmlformats.org/drawingml/2006/main">
              <a:schemeClr val="accent1"/>
            </a:solidFill>
            <a:ln xmlns:a="http://schemas.openxmlformats.org/drawingml/2006/main">
              <a:noFill/>
              <a:prstDash val="solid"/>
            </a:ln>
          </spPr>
          <cat>
            <numRef>
              <f>Spain!$A$6:$A$141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Spain!$B$6:$B$141</f>
              <numCache>
                <formatCode>General</formatCode>
                <ptCount val="136"/>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1" headerRowCount="1" totalsRowShown="0" headerRowDxfId="119" dataDxfId="117" headerRowBorderDxfId="118" tableBorderDxfId="116" totalsRowBorderDxfId="115">
  <autoFilter ref="A5:C141"/>
  <tableColumns count="3">
    <tableColumn id="1" name="Date" dataDxfId="114"/>
    <tableColumn id="2" name="PMI" dataDxfId="113">
      <calculatedColumnFormula>IF(VLOOKUP(A6,'DB Country PMI'!$A:$V,MATCH($A$1,'DB Country PMI'!$A$1:$V$1,),)=0,#N/A,VLOOKUP(A6,'DB Country PMI'!$A:$V,MATCH($A$1,'DB Country PMI'!$A$1:$V$1,),))</calculatedColumnFormula>
    </tableColumn>
    <tableColumn id="3" name="mom" dataDxfId="11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5" headerRowCount="1" totalsRowShown="0" headerRowDxfId="111" dataDxfId="109" headerRowBorderDxfId="110" tableBorderDxfId="108" totalsRowBorderDxfId="107">
  <autoFilter ref="A5:C105"/>
  <tableColumns count="3">
    <tableColumn id="1" name="Date" dataDxfId="106"/>
    <tableColumn id="2" name="PMI" dataDxfId="105">
      <calculatedColumnFormula>IF(VLOOKUP(A6,'DB Country PMI'!$A:$V,MATCH($A$1,'DB Country PMI'!$A$1:$V$1,),)=0,#N/A,VLOOKUP(A6,'DB Country PMI'!$A:$V,MATCH($A$1,'DB Country PMI'!$A$1:$V$1,),))</calculatedColumnFormula>
    </tableColumn>
    <tableColumn id="3" name="mom" dataDxfId="10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0" headerRowCount="1" totalsRowShown="0" headerRowDxfId="103" dataDxfId="101" headerRowBorderDxfId="102" tableBorderDxfId="100" totalsRowBorderDxfId="99">
  <autoFilter ref="A5:C180"/>
  <tableColumns count="3">
    <tableColumn id="1" name="Date" dataDxfId="98"/>
    <tableColumn id="2" name="PMI" dataDxfId="97">
      <calculatedColumnFormula>IF(VLOOKUP(A6,'DB Country PMI'!$A:$V,MATCH($A$1,'DB Country PMI'!$A$1:$V$1,),)=0,#N/A,VLOOKUP(A6,'DB Country PMI'!$A:$V,MATCH($A$1,'DB Country PMI'!$A$1:$V$1,),))</calculatedColumnFormula>
    </tableColumn>
    <tableColumn id="3" name="mom" dataDxfId="9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0" headerRowCount="1" totalsRowShown="0" headerRowDxfId="95" dataDxfId="93" headerRowBorderDxfId="94" tableBorderDxfId="92" totalsRowBorderDxfId="91">
  <autoFilter ref="A5:C140"/>
  <tableColumns count="3">
    <tableColumn id="1" name="Date" dataDxfId="90"/>
    <tableColumn id="2" name="PMI" dataDxfId="89">
      <calculatedColumnFormula>IF(VLOOKUP(A6,'DB Country PMI'!$A:$W,MATCH($A$1,'DB Country PMI'!$A$1:$W$1,),)=0,#N/A,VLOOKUP(A6,'DB Country PMI'!$A:$W,MATCH($A$1,'DB Country PMI'!$A$1:$W$1,),))</calculatedColumnFormula>
    </tableColumn>
    <tableColumn id="3" name="mom" dataDxfId="8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7" headerRowCount="1" totalsRowShown="0" headerRowDxfId="87" dataDxfId="85" headerRowBorderDxfId="86" tableBorderDxfId="84" totalsRowBorderDxfId="83">
  <autoFilter ref="A5:C167"/>
  <tableColumns count="3">
    <tableColumn id="1" name="Date" dataDxfId="82"/>
    <tableColumn id="2" name="PMI" dataDxfId="81">
      <calculatedColumnFormula>IF(VLOOKUP(A6,'DB Country PMI'!$A:$W,MATCH($A$1,'DB Country PMI'!$A$1:$W$1,),)=0,#N/A,VLOOKUP(A6,'DB Country PMI'!$A:$W,MATCH($A$1,'DB Country PMI'!$A$1:$W$1,),))</calculatedColumnFormula>
    </tableColumn>
    <tableColumn id="3" name="mom" dataDxfId="8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0" headerRowCount="1" totalsRowShown="0" headerRowDxfId="79" dataDxfId="77" headerRowBorderDxfId="78" tableBorderDxfId="76" totalsRowBorderDxfId="75">
  <autoFilter ref="A5:C180"/>
  <tableColumns count="3">
    <tableColumn id="1" name="Date" dataDxfId="74"/>
    <tableColumn id="2" name="PMI" dataDxfId="73">
      <calculatedColumnFormula>IF(VLOOKUP(A6,'DB Country PMI'!$A:$W,MATCH($A$1,'DB Country PMI'!$A$1:$W$1,),)=0,#N/A,VLOOKUP(A6,'DB Country PMI'!$A:$W,MATCH($A$1,'DB Country PMI'!$A$1:$W$1,),))</calculatedColumnFormula>
    </tableColumn>
    <tableColumn id="3" name="mom" dataDxfId="7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1" headerRowCount="1" totalsRowShown="0" headerRowDxfId="71" dataDxfId="69" headerRowBorderDxfId="70" tableBorderDxfId="68" totalsRowBorderDxfId="67">
  <autoFilter ref="A5:C141"/>
  <tableColumns count="3">
    <tableColumn id="1" name="Date" dataDxfId="66"/>
    <tableColumn id="2" name="PMI" dataDxfId="65">
      <calculatedColumnFormula>IF(VLOOKUP(A6,'DB Country PMI'!$A:$W,MATCH($A$1,'DB Country PMI'!$A$1:$W$1,),)=0,#N/A,VLOOKUP(A6,'DB Country PMI'!$A:$W,MATCH($A$1,'DB Country PMI'!$A$1:$W$1,),))</calculatedColumnFormula>
    </tableColumn>
    <tableColumn id="3" name="mom" dataDxfId="6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1" headerRowCount="1" totalsRowShown="0" headerRowDxfId="63" dataDxfId="61" headerRowBorderDxfId="62" tableBorderDxfId="60" totalsRowBorderDxfId="59">
  <autoFilter ref="A5:C141"/>
  <tableColumns count="3">
    <tableColumn id="1" name="Date" dataDxfId="58"/>
    <tableColumn id="2" name="PMI" dataDxfId="57">
      <calculatedColumnFormula>IF(VLOOKUP(A6,'DB Country PMI'!$A:$W,MATCH($A$1,'DB Country PMI'!$A$1:$W$1,),)=0,#N/A,VLOOKUP(A6,'DB Country PMI'!$A:$W,MATCH($A$1,'DB Country PMI'!$A$1:$W$1,),))</calculatedColumnFormula>
    </tableColumn>
    <tableColumn id="3" name="mom" dataDxfId="5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0" headerRowCount="1" totalsRowShown="0" headerRowDxfId="55" dataDxfId="53" headerRowBorderDxfId="54" tableBorderDxfId="52" totalsRowBorderDxfId="51">
  <autoFilter ref="A5:C140"/>
  <tableColumns count="3">
    <tableColumn id="1" name="Date" dataDxfId="50"/>
    <tableColumn id="2" name="PMI" dataDxfId="49">
      <calculatedColumnFormula>IF(VLOOKUP(A6,'DB Country PMI'!$A:$W,MATCH($A$1,'DB Country PMI'!$A$1:$W$1,),)=0,#N/A,VLOOKUP(A6,'DB Country PMI'!$A:$W,MATCH($A$1,'DB Country PMI'!$A$1:$W$1,),))</calculatedColumnFormula>
    </tableColumn>
    <tableColumn id="3" name="mom" dataDxfId="4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1" headerRowCount="1" totalsRowShown="0" headerRowDxfId="47" dataDxfId="45" headerRowBorderDxfId="46" tableBorderDxfId="44" totalsRowBorderDxfId="43">
  <autoFilter ref="A5:C141"/>
  <tableColumns count="3">
    <tableColumn id="1" name="Date" dataDxfId="42"/>
    <tableColumn id="2" name="PMI" dataDxfId="41">
      <calculatedColumnFormula>IF(VLOOKUP(A6,'DB Country PMI'!$A:$W,MATCH($A$1,'DB Country PMI'!$A$1:$W$1,),)=0,#N/A,VLOOKUP(A6,'DB Country PMI'!$A:$W,MATCH($A$1,'DB Country PMI'!$A$1:$W$1,),))</calculatedColumnFormula>
    </tableColumn>
    <tableColumn id="3" name="mom" dataDxfId="4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1" headerRowCount="1" totalsRowShown="0" headerRowDxfId="39" dataDxfId="37" headerRowBorderDxfId="38" tableBorderDxfId="36" totalsRowBorderDxfId="35">
  <autoFilter ref="A5:C141"/>
  <tableColumns count="3">
    <tableColumn id="1" name="Date" dataDxfId="34"/>
    <tableColumn id="2" name="PMI" dataDxfId="33">
      <calculatedColumnFormula>IF(VLOOKUP(A6,'DB Country PMI'!$A:$W,MATCH($A$1,'DB Country PMI'!$A$1:$W$1,),)=0,#N/A,VLOOKUP(A6,'DB Country PMI'!$A:$W,MATCH($A$1,'DB Country PMI'!$A$1:$W$1,),))</calculatedColumnFormula>
    </tableColumn>
    <tableColumn id="3" name="mom" dataDxfId="3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1" headerRowCount="1" totalsRowShown="0" headerRowDxfId="31" dataDxfId="29" headerRowBorderDxfId="30" tableBorderDxfId="28" totalsRowBorderDxfId="27">
  <autoFilter ref="A5:C141"/>
  <tableColumns count="3">
    <tableColumn id="1" name="Date" dataDxfId="26"/>
    <tableColumn id="2" name="PMI" dataDxfId="25">
      <calculatedColumnFormula>IF(VLOOKUP(A6,'DB Country PMI'!$A:$W,MATCH($A$1,'DB Country PMI'!$A$1:$W$1,),)=0,#N/A,VLOOKUP(A6,'DB Country PMI'!$A:$W,MATCH($A$1,'DB Country PMI'!$A$1:$W$1,),))</calculatedColumnFormula>
    </tableColumn>
    <tableColumn id="3" name="mom" dataDxfId="2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1" headerRowCount="1" totalsRowShown="0" headerRowDxfId="23" dataDxfId="21" headerRowBorderDxfId="22" tableBorderDxfId="20" totalsRowBorderDxfId="19">
  <autoFilter ref="A5:C141"/>
  <tableColumns count="3">
    <tableColumn id="1" name="Date" dataDxfId="18"/>
    <tableColumn id="2" name="PMI" dataDxfId="17"/>
    <tableColumn id="3" name="mom" dataDxfId="1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1" headerRowCount="1" totalsRowShown="0" headerRowDxfId="15" dataDxfId="13" headerRowBorderDxfId="14" tableBorderDxfId="12" totalsRowBorderDxfId="11">
  <autoFilter ref="A5:C141"/>
  <tableColumns count="3">
    <tableColumn id="1" name="Date" dataDxfId="10"/>
    <tableColumn id="2" name="PMI" dataDxfId="9">
      <calculatedColumnFormula>IF(VLOOKUP(A6,'DB Country PMI'!$A:$W,MATCH($A$1,'DB Country PMI'!$A$1:$W$1,),)=0,#N/A,VLOOKUP(A6,'DB Country PMI'!$A:$W,MATCH($A$1,'DB Country PMI'!$A$1:$W$1,),))</calculatedColumnFormula>
    </tableColumn>
    <tableColumn id="3" name="mom" dataDxfId="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1" headerRowCount="1" totalsRowShown="0" headerRowDxfId="7" dataDxfId="5" headerRowBorderDxfId="6" tableBorderDxfId="4" totalsRowBorderDxfId="3">
  <autoFilter ref="A5:C141"/>
  <tableColumns count="3">
    <tableColumn id="1" name="Date" dataDxfId="2"/>
    <tableColumn id="2" name="PMI" dataDxfId="1">
      <calculatedColumnFormula>IF(VLOOKUP(A6,'DB Country PMI'!$A:$W,MATCH($A$1,'DB Country PMI'!$A$1:$W$1,),)=0,#N/A,VLOOKUP(A6,'DB Country PMI'!$A:$W,MATCH($A$1,'DB Country PMI'!$A$1:$W$1,),))</calculatedColumnFormula>
    </tableColumn>
    <tableColumn id="3" name="mom" dataDxfId="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zoomScale="150" zoomScaleNormal="150" workbookViewId="0">
      <selection activeCell="U17" sqref="U17"/>
    </sheetView>
  </sheetViews>
  <sheetFormatPr baseColWidth="10" defaultColWidth="9.1640625" defaultRowHeight="15"/>
  <cols>
    <col width="4" customWidth="1" style="57" min="1" max="1"/>
    <col width="12.83203125" customWidth="1" style="57" min="2" max="5"/>
    <col width="13.6640625" customWidth="1" style="57" min="6" max="6"/>
    <col width="12.83203125" customWidth="1" style="57" min="7" max="10"/>
    <col width="2" customWidth="1" style="57" min="11" max="13"/>
    <col width="9.1640625" customWidth="1" style="57" min="14" max="14"/>
    <col width="15.5" customWidth="1" style="57" min="15" max="15"/>
    <col width="12.6640625" customWidth="1" style="57" min="16" max="18"/>
    <col width="11.6640625" customWidth="1" style="57" min="19" max="19"/>
    <col width="9.1640625" customWidth="1" style="57" min="20" max="21"/>
    <col width="9.1640625" customWidth="1" style="57" min="22" max="16384"/>
  </cols>
  <sheetData>
    <row r="1">
      <c r="B1" s="65" t="n"/>
    </row>
    <row r="2" ht="16" customHeight="1" s="42" thickBot="1">
      <c r="B2" s="66" t="n"/>
      <c r="C2" s="66" t="n"/>
      <c r="D2" s="66" t="n"/>
      <c r="E2" s="66" t="n"/>
      <c r="F2" s="66" t="n"/>
      <c r="G2" s="66" t="n"/>
      <c r="H2" s="66" t="n"/>
      <c r="I2" s="66" t="n"/>
      <c r="J2" s="66" t="n"/>
    </row>
    <row r="3" ht="16" customHeight="1" s="42" thickBot="1">
      <c r="B3" s="67" t="inlineStr">
        <is>
          <t>PMI Services World</t>
        </is>
      </c>
      <c r="C3" s="68" t="n"/>
      <c r="D3" s="68" t="n"/>
      <c r="E3" s="68" t="n"/>
      <c r="F3" s="68" t="n"/>
      <c r="G3" s="68" t="n"/>
      <c r="H3" s="68" t="n"/>
      <c r="I3" s="68" t="n"/>
      <c r="J3" s="69" t="n"/>
    </row>
    <row r="5">
      <c r="B5" s="62" t="inlineStr">
        <is>
          <t>Definition</t>
        </is>
      </c>
      <c r="C5" s="55" t="n"/>
      <c r="D5" s="55" t="n"/>
      <c r="E5" s="55" t="n"/>
      <c r="F5" s="55" t="n"/>
      <c r="G5" s="55" t="n"/>
      <c r="H5" s="55" t="n"/>
      <c r="I5" s="55" t="n"/>
      <c r="J5" s="63" t="n"/>
    </row>
    <row r="7" ht="225.75" customHeight="1" s="42">
      <c r="B7" s="70"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42">
      <c r="B8" s="41" t="n"/>
      <c r="C8" s="59" t="n"/>
      <c r="D8" s="59" t="n"/>
      <c r="E8" s="59" t="n"/>
      <c r="F8" s="59" t="n"/>
      <c r="G8" s="59" t="n"/>
      <c r="H8" s="59" t="n"/>
      <c r="I8" s="59" t="n"/>
      <c r="J8" s="59" t="n"/>
    </row>
    <row r="9" ht="16" customHeight="1" s="42" thickBot="1">
      <c r="B9" s="1" t="n"/>
      <c r="C9" s="2" t="n"/>
      <c r="D9" s="2" t="n"/>
      <c r="E9" s="2" t="n"/>
    </row>
    <row r="10" ht="16" customHeight="1" s="42" thickBot="1">
      <c r="B10" s="62" t="inlineStr">
        <is>
          <t>Process / TO DO LIST</t>
        </is>
      </c>
      <c r="C10" s="55" t="n"/>
      <c r="D10" s="55" t="n"/>
      <c r="E10" s="55" t="n"/>
      <c r="F10" s="55" t="n"/>
      <c r="G10" s="55" t="n"/>
      <c r="H10" s="55" t="n"/>
      <c r="I10" s="55" t="n"/>
      <c r="J10" s="63" t="n"/>
      <c r="N10" s="71" t="inlineStr">
        <is>
          <t>Summary</t>
        </is>
      </c>
      <c r="O10" s="68" t="n"/>
      <c r="P10" s="68" t="n"/>
      <c r="Q10" s="68" t="n"/>
      <c r="R10" s="68" t="n"/>
      <c r="S10" s="69" t="n"/>
    </row>
    <row r="11">
      <c r="N11" s="3" t="inlineStr">
        <is>
          <t>* input new month</t>
        </is>
      </c>
    </row>
    <row r="12" ht="16" customHeight="1" s="42" thickBot="1">
      <c r="B12" s="62" t="inlineStr">
        <is>
          <t>TO DO LIST</t>
        </is>
      </c>
      <c r="C12" s="55" t="n"/>
      <c r="D12" s="55" t="n"/>
      <c r="E12" s="55" t="n"/>
      <c r="F12" s="63" t="n"/>
      <c r="G12" s="62" t="inlineStr">
        <is>
          <t>Comments</t>
        </is>
      </c>
      <c r="H12" s="55" t="n"/>
      <c r="I12" s="55" t="n"/>
      <c r="J12" s="63" t="n"/>
    </row>
    <row r="13">
      <c r="P13" s="4" t="n">
        <v>44562</v>
      </c>
      <c r="Q13" s="5">
        <f>DATE(YEAR(P13),MONTH(P13)-1,DAY(P13))</f>
        <v/>
      </c>
      <c r="R13" s="6" t="n"/>
      <c r="S13" s="15" t="inlineStr">
        <is>
          <t>%</t>
        </is>
      </c>
    </row>
    <row r="14" ht="16" customHeight="1" s="42" thickBot="1">
      <c r="B14" s="57" t="inlineStr">
        <is>
          <t>Global</t>
        </is>
      </c>
      <c r="G14" s="57" t="inlineStr">
        <is>
          <t>https://www.markiteconomics.com/Survey/Page.mvc/PressReleases</t>
        </is>
      </c>
      <c r="O14" s="57" t="inlineStr">
        <is>
          <t>Country</t>
        </is>
      </c>
      <c r="P14" s="47" t="inlineStr">
        <is>
          <t>ISM</t>
        </is>
      </c>
      <c r="Q14" s="47" t="inlineStr">
        <is>
          <t>ISM</t>
        </is>
      </c>
      <c r="R14" s="7" t="inlineStr">
        <is>
          <t>Change %</t>
        </is>
      </c>
      <c r="S14" s="36" t="inlineStr">
        <is>
          <t>World GDP</t>
        </is>
      </c>
    </row>
    <row r="15" ht="30.75" customHeight="1" s="42">
      <c r="G15" s="59" t="inlineStr">
        <is>
          <t>JPMorgan Global Services PMI</t>
        </is>
      </c>
      <c r="N15" s="72" t="inlineStr">
        <is>
          <t>Global</t>
        </is>
      </c>
      <c r="O15" s="74" t="n"/>
      <c r="P15" s="48">
        <f>VLOOKUP($P$13,Summary!$B:$AB,MATCH(Note!N15,Summary!$B$2:$AB$2,),)</f>
        <v/>
      </c>
      <c r="Q15" s="11">
        <f>VLOOKUP($Q$13,Summary!$B:$AB,MATCH(Note!N15,Summary!$B$2:$AB$2,),)</f>
        <v/>
      </c>
      <c r="R15" s="51" t="n">
        <v>-1</v>
      </c>
      <c r="S15" s="37" t="n"/>
    </row>
    <row r="16">
      <c r="B16" s="64" t="inlineStr">
        <is>
          <t>https://tradingeconomics.com/country-list/services-pmi</t>
        </is>
      </c>
      <c r="G16" s="57" t="inlineStr">
        <is>
          <t>Database</t>
        </is>
      </c>
      <c r="N16" s="54" t="inlineStr">
        <is>
          <t>US</t>
        </is>
      </c>
      <c r="O16" s="63" t="n"/>
      <c r="P16" s="49">
        <f>VLOOKUP($P$13,Summary!$B:$AB,MATCH(Note!N16,Summary!$B$2:$AB$2,),)</f>
        <v/>
      </c>
      <c r="Q16" s="14">
        <f>VLOOKUP($Q$13,Summary!$B:$AB,MATCH(Note!N16,Summary!$B$2:$AB$2,),)</f>
        <v/>
      </c>
      <c r="R16" s="52" t="n">
        <v>-0.3999999999999986</v>
      </c>
      <c r="S16" s="38" t="n">
        <v>0.241</v>
      </c>
    </row>
    <row r="17">
      <c r="B17" s="57" t="n"/>
      <c r="G17" s="57" t="inlineStr">
        <is>
          <t>Update each month for each country</t>
        </is>
      </c>
      <c r="N17" s="54" t="inlineStr">
        <is>
          <t xml:space="preserve">China </t>
        </is>
      </c>
      <c r="O17" s="63" t="n"/>
      <c r="P17" s="49">
        <f>VLOOKUP($P$13,Summary!$B:$AB,MATCH(Note!N17,Summary!$B$2:$AB$2,),)</f>
        <v/>
      </c>
      <c r="Q17" s="14">
        <f>VLOOKUP($Q$13,Summary!$B:$AB,MATCH(Note!N17,Summary!$B$2:$AB$2,),)</f>
        <v/>
      </c>
      <c r="R17" s="52" t="n">
        <v>1</v>
      </c>
      <c r="S17" s="38" t="n">
        <v>0.152</v>
      </c>
    </row>
    <row r="18">
      <c r="B18" s="57" t="n"/>
      <c r="N18" s="54" t="inlineStr">
        <is>
          <t>Eurozone</t>
        </is>
      </c>
      <c r="O18" s="63" t="n"/>
      <c r="P18" s="49">
        <f>VLOOKUP($P$13,Summary!$B:$AB,MATCH(Note!N18,Summary!$B$2:$AB$2,),)</f>
        <v/>
      </c>
      <c r="Q18" s="14">
        <f>VLOOKUP($Q$13,Summary!$B:$AB,MATCH(Note!N18,Summary!$B$2:$AB$2,),)</f>
        <v/>
      </c>
      <c r="R18" s="52" t="n">
        <v>-2.799999999999997</v>
      </c>
      <c r="S18" s="38" t="n">
        <v>0.156</v>
      </c>
    </row>
    <row r="19">
      <c r="N19" s="54" t="inlineStr">
        <is>
          <t xml:space="preserve">Japan </t>
        </is>
      </c>
      <c r="O19" s="63" t="n"/>
      <c r="P19" s="49">
        <f>VLOOKUP($P$13,Summary!$B:$AB,MATCH(Note!N19,Summary!$B$2:$AB$2,),)</f>
        <v/>
      </c>
      <c r="Q19" s="14">
        <f>VLOOKUP($Q$13,Summary!$B:$AB,MATCH(Note!N19,Summary!$B$2:$AB$2,),)</f>
        <v/>
      </c>
      <c r="R19" s="52" t="n">
        <v>-0.8999999999999986</v>
      </c>
      <c r="S19" s="38" t="n">
        <v>0.06</v>
      </c>
    </row>
    <row r="20">
      <c r="B20" s="57" t="n"/>
      <c r="G20" s="57" t="n"/>
      <c r="N20" s="54" t="inlineStr">
        <is>
          <t>Germany</t>
        </is>
      </c>
      <c r="O20" s="63" t="n"/>
      <c r="P20" s="49">
        <f>VLOOKUP($P$13,Summary!$B:$AB,MATCH(Note!N20,Summary!$B$2:$AB$2,),)</f>
        <v/>
      </c>
      <c r="Q20" s="14">
        <f>VLOOKUP($Q$13,Summary!$B:$AB,MATCH(Note!N20,Summary!$B$2:$AB$2,),)</f>
        <v/>
      </c>
      <c r="R20" s="52" t="n">
        <v>-4</v>
      </c>
      <c r="S20" s="38" t="n">
        <v>0.04564243244249699</v>
      </c>
    </row>
    <row r="21">
      <c r="B21" s="57" t="n"/>
      <c r="G21" s="57" t="n"/>
      <c r="N21" s="54" t="inlineStr">
        <is>
          <t>France</t>
        </is>
      </c>
      <c r="O21" s="63" t="n"/>
      <c r="P21" s="49">
        <f>VLOOKUP($P$13,Summary!$B:$AB,MATCH(Note!N21,Summary!$B$2:$AB$2,),)</f>
        <v/>
      </c>
      <c r="Q21" s="14">
        <f>VLOOKUP($Q$13,Summary!$B:$AB,MATCH(Note!N21,Summary!$B$2:$AB$2,),)</f>
        <v/>
      </c>
      <c r="R21" s="52" t="n">
        <v>-0.3999999999999986</v>
      </c>
      <c r="S21" s="38" t="n">
        <v>0.03206266059259443</v>
      </c>
    </row>
    <row r="22">
      <c r="B22" s="57" t="n"/>
      <c r="G22" s="57" t="n"/>
      <c r="N22" s="54" t="inlineStr">
        <is>
          <t>UK</t>
        </is>
      </c>
      <c r="O22" s="63" t="n"/>
      <c r="P22" s="49">
        <f>VLOOKUP($P$13,Summary!$B:$AB,MATCH(Note!N22,Summary!$B$2:$AB$2,),)</f>
        <v/>
      </c>
      <c r="Q22" s="14">
        <f>VLOOKUP($Q$13,Summary!$B:$AB,MATCH(Note!N22,Summary!$B$2:$AB$2,),)</f>
        <v/>
      </c>
      <c r="R22" s="52" t="n">
        <v>-4.899999999999999</v>
      </c>
      <c r="S22" s="38" t="n">
        <v>0.033</v>
      </c>
    </row>
    <row r="23">
      <c r="B23" s="57" t="n"/>
      <c r="N23" s="54" t="inlineStr">
        <is>
          <t xml:space="preserve">Italy </t>
        </is>
      </c>
      <c r="O23" s="63" t="n"/>
      <c r="P23" s="49">
        <f>VLOOKUP($P$13,Summary!$B:$AB,MATCH(Note!N23,Summary!$B$2:$AB$2,),)</f>
        <v/>
      </c>
      <c r="Q23" s="14">
        <f>VLOOKUP($Q$13,Summary!$B:$AB,MATCH(Note!N23,Summary!$B$2:$AB$2,),)</f>
        <v/>
      </c>
      <c r="R23" s="52" t="n">
        <v>-2.899999999999999</v>
      </c>
      <c r="S23" s="38" t="n">
        <v>0.024</v>
      </c>
    </row>
    <row r="24">
      <c r="B24" s="57" t="n"/>
      <c r="N24" s="54" t="inlineStr">
        <is>
          <t>Spain</t>
        </is>
      </c>
      <c r="O24" s="63" t="n"/>
      <c r="P24" s="49">
        <f>VLOOKUP($P$13,Summary!$B:$AB,MATCH(Note!N24,Summary!$B$2:$AB$2,),)</f>
        <v/>
      </c>
      <c r="Q24" s="14">
        <f>VLOOKUP($Q$13,Summary!$B:$AB,MATCH(Note!N24,Summary!$B$2:$AB$2,),)</f>
        <v/>
      </c>
      <c r="R24" s="52" t="n">
        <v>-4</v>
      </c>
      <c r="S24" s="38" t="n">
        <v>0.01627338290239694</v>
      </c>
    </row>
    <row r="25">
      <c r="N25" s="54" t="inlineStr">
        <is>
          <t>Brazil</t>
        </is>
      </c>
      <c r="O25" s="63" t="n"/>
      <c r="P25" s="49">
        <f>VLOOKUP($P$13,Summary!$B:$AB,MATCH(Note!N25,Summary!$B$2:$AB$2,),)</f>
        <v/>
      </c>
      <c r="Q25" s="14">
        <f>VLOOKUP($Q$13,Summary!$B:$AB,MATCH(Note!N25,Summary!$B$2:$AB$2,),)</f>
        <v/>
      </c>
      <c r="R25" s="52" t="n">
        <v>0</v>
      </c>
      <c r="S25" s="38" t="n">
        <v>0.02552103375082236</v>
      </c>
    </row>
    <row r="26">
      <c r="N26" s="54" t="inlineStr">
        <is>
          <t>Russia</t>
        </is>
      </c>
      <c r="O26" s="63" t="n"/>
      <c r="P26" s="49">
        <f>VLOOKUP($P$13,Summary!$B:$AB,MATCH(Note!N26,Summary!$B$2:$AB$2,),)</f>
        <v/>
      </c>
      <c r="Q26" s="14">
        <f>VLOOKUP($Q$13,Summary!$B:$AB,MATCH(Note!N26,Summary!$B$2:$AB$2,),)</f>
        <v/>
      </c>
      <c r="R26" s="52" t="n">
        <v>2.399999999999999</v>
      </c>
      <c r="S26" s="38" t="n">
        <v>0.01958764166283934</v>
      </c>
    </row>
    <row r="27">
      <c r="N27" s="54" t="inlineStr">
        <is>
          <t>India</t>
        </is>
      </c>
      <c r="O27" s="63" t="n"/>
      <c r="P27" s="49">
        <f>VLOOKUP($P$13,Summary!$B:$AB,MATCH(Note!N27,Summary!$B$2:$AB$2,),)</f>
        <v/>
      </c>
      <c r="Q27" s="14">
        <f>VLOOKUP($Q$13,Summary!$B:$AB,MATCH(Note!N27,Summary!$B$2:$AB$2,),)</f>
        <v/>
      </c>
      <c r="R27" s="52" t="n">
        <v>-2.600000000000001</v>
      </c>
      <c r="S27" s="38" t="n">
        <v>0.03228609376745572</v>
      </c>
    </row>
    <row r="28">
      <c r="N28" s="54" t="inlineStr">
        <is>
          <t>Australia</t>
        </is>
      </c>
      <c r="O28" s="63" t="n"/>
      <c r="P28" s="49">
        <f>VLOOKUP($P$13,Summary!$B:$AB,MATCH(Note!N28,Summary!$B$2:$AB$2,),)</f>
        <v/>
      </c>
      <c r="Q28" s="14">
        <f>VLOOKUP($Q$13,Summary!$B:$AB,MATCH(Note!N28,Summary!$B$2:$AB$2,),)</f>
        <v/>
      </c>
      <c r="R28" s="52" t="n">
        <v>2</v>
      </c>
      <c r="S28" s="38" t="n">
        <v>0.01642233835230446</v>
      </c>
    </row>
    <row r="29" ht="16" customHeight="1" s="42" thickBot="1">
      <c r="N29" s="60" t="inlineStr">
        <is>
          <t>Ireland</t>
        </is>
      </c>
      <c r="O29" s="75" t="n"/>
      <c r="P29" s="50">
        <f>VLOOKUP($P$13,Summary!$B:$AB,MATCH(Note!N29,Summary!$B$2:$AB$2,),)</f>
        <v/>
      </c>
      <c r="Q29" s="39">
        <f>VLOOKUP($Q$13,Summary!$B:$AB,MATCH(Note!N29,Summary!$B$2:$AB$2,),)</f>
        <v/>
      </c>
      <c r="R29" s="53" t="n">
        <v>-3.899999999999999</v>
      </c>
      <c r="S29" s="40" t="n">
        <v>0.004145926689092737</v>
      </c>
    </row>
    <row r="32">
      <c r="B32" s="56" t="n"/>
    </row>
    <row r="33">
      <c r="B33" s="59" t="n"/>
    </row>
    <row r="34">
      <c r="B34" s="58"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120">
      <formula>0</formula>
    </cfRule>
    <cfRule type="cellIs" priority="8" operator="greaterThan" dxfId="12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76"/>
  <sheetViews>
    <sheetView zoomScale="170" zoomScaleNormal="170" workbookViewId="0">
      <pane ySplit="1" topLeftCell="A136" activePane="bottomLeft" state="frozen"/>
      <selection pane="bottomLeft" activeCell="F140" sqref="F140"/>
    </sheetView>
  </sheetViews>
  <sheetFormatPr baseColWidth="10" defaultRowHeight="15"/>
  <cols>
    <col width="10.83203125" customWidth="1" style="42" min="1" max="2"/>
    <col width="10.83203125" customWidth="1" style="42" min="3"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7"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7"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7"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7"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7"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7"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7"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7"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7"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7"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7"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7"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7"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7"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7"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7"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7"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7"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7"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7"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7"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7"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7"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7"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7"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7"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7"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7"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7"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7"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7"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7"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7"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7"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7"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7"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7"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7"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7"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7"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7"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7"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7"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7"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7"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7"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7"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7"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7"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7"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7"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7"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7"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7"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7"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7"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7"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7"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7"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7"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7"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7"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7"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7"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7"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7"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7"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7"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7"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7"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7"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7"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7"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7"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7"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7"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7"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7"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7"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7"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7"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7"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7"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7"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7"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7"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7"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7"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7"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7"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7"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7"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7"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7"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7"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7"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7"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7"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7"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7"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7"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7"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7"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7"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7"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7"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7"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7"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7"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7"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7"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7"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7"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7"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7"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7"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7"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7"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7"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7"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7"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7"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7"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7"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7"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7"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7"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7"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7"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7"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7"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7"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7"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7"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7"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7"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7"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7"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7"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7"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7"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7"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7"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7"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7"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7"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7"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7"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7"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7"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7"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7"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7"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7"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7"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7"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7"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7"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7"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7"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7"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7"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7"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7"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7"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7"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7"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7"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7"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7"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7"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7"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7"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7"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7"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
      </c>
      <c r="S176" t="n">
        <v>68.59999999999999</v>
      </c>
      <c r="T176" t="n">
        <v>56.44</v>
      </c>
      <c r="U176" t="n">
        <v>54.1</v>
      </c>
      <c r="V176" t="n">
        <v>51.2</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4"/>
  <sheetViews>
    <sheetView zoomScale="170" zoomScaleNormal="170" workbookViewId="0">
      <pane xSplit="2" ySplit="11" topLeftCell="C74" activePane="bottomRight" state="frozen"/>
      <selection pane="topRight" activeCell="C1" sqref="C1"/>
      <selection pane="bottomLeft" activeCell="A12" sqref="A12"/>
      <selection pane="bottomRight" activeCell="K98" sqref="K98"/>
    </sheetView>
  </sheetViews>
  <sheetFormatPr baseColWidth="10" defaultColWidth="9.1640625" defaultRowHeight="15"/>
  <cols>
    <col width="9.1640625" customWidth="1" style="57" min="1" max="1"/>
    <col width="17.83203125" customWidth="1" style="42" min="2" max="2"/>
    <col width="6.1640625" customWidth="1" style="42" min="3" max="17"/>
    <col width="9.1640625" customWidth="1" style="57" min="18" max="18"/>
    <col width="12.33203125" customWidth="1" style="57" min="19" max="19"/>
    <col width="9.1640625" customWidth="1" style="57" min="20" max="20"/>
    <col width="10.5" customWidth="1" style="57" min="21" max="21"/>
    <col width="10.6640625" bestFit="1" customWidth="1" style="57" min="22" max="22"/>
    <col width="9.1640625" customWidth="1" style="57" min="23" max="63"/>
    <col width="9.1640625" customWidth="1" style="42" min="64" max="65"/>
    <col width="9.1640625" customWidth="1" style="42" min="66" max="16384"/>
  </cols>
  <sheetData>
    <row r="1" ht="16" customFormat="1" customHeight="1" s="57" thickBot="1">
      <c r="S1" s="16" t="inlineStr">
        <is>
          <t>*to update</t>
        </is>
      </c>
      <c r="T1" s="57" t="inlineStr">
        <is>
          <t>Last month</t>
        </is>
      </c>
      <c r="V1" s="17" t="n">
        <v>44562</v>
      </c>
      <c r="Y1" s="3" t="inlineStr">
        <is>
          <t>*modify max/min/avg</t>
        </is>
      </c>
    </row>
    <row r="2" ht="72.75" customHeight="1" s="42">
      <c r="B2" s="18" t="n"/>
      <c r="C2" s="19" t="inlineStr">
        <is>
          <t>Global</t>
        </is>
      </c>
      <c r="D2" s="19" t="inlineStr">
        <is>
          <t>US</t>
        </is>
      </c>
      <c r="E2" s="19" t="inlineStr">
        <is>
          <t xml:space="preserve">China </t>
        </is>
      </c>
      <c r="F2" s="19" t="inlineStr">
        <is>
          <t>Eurozone</t>
        </is>
      </c>
      <c r="G2" s="19" t="inlineStr">
        <is>
          <t xml:space="preserve">Japan </t>
        </is>
      </c>
      <c r="H2" s="19" t="inlineStr">
        <is>
          <t>Germany</t>
        </is>
      </c>
      <c r="I2" s="19" t="inlineStr">
        <is>
          <t>France</t>
        </is>
      </c>
      <c r="J2" s="19" t="inlineStr">
        <is>
          <t>UK</t>
        </is>
      </c>
      <c r="K2" s="19" t="inlineStr">
        <is>
          <t xml:space="preserve">Italy </t>
        </is>
      </c>
      <c r="L2" s="19" t="inlineStr">
        <is>
          <t>Spain</t>
        </is>
      </c>
      <c r="M2" s="19" t="inlineStr">
        <is>
          <t>Brazil</t>
        </is>
      </c>
      <c r="N2" s="19" t="inlineStr">
        <is>
          <t>Russia</t>
        </is>
      </c>
      <c r="O2" s="19" t="inlineStr">
        <is>
          <t>India</t>
        </is>
      </c>
      <c r="P2" s="19" t="inlineStr">
        <is>
          <t>Australia</t>
        </is>
      </c>
      <c r="Q2" s="19" t="inlineStr">
        <is>
          <t>Ireland</t>
        </is>
      </c>
      <c r="T2" s="57" t="inlineStr">
        <is>
          <t>Previous month</t>
        </is>
      </c>
      <c r="V2" s="20" t="n">
        <v>44501</v>
      </c>
    </row>
    <row r="3">
      <c r="B3" s="21" t="inlineStr">
        <is>
          <t>max 12m</t>
        </is>
      </c>
      <c r="C3" s="22" t="n">
        <v>54.6</v>
      </c>
      <c r="D3" s="22" t="n">
        <v>56.8</v>
      </c>
      <c r="E3" s="22" t="n">
        <v>54.7</v>
      </c>
      <c r="F3" s="22" t="n">
        <v>58</v>
      </c>
      <c r="G3" s="22" t="n">
        <v>52.5</v>
      </c>
      <c r="H3" s="22" t="n">
        <v>57.3</v>
      </c>
      <c r="I3" s="22" t="n">
        <v>59.2</v>
      </c>
      <c r="J3" s="22" t="n">
        <v>55.1</v>
      </c>
      <c r="K3" s="22" t="n">
        <v>57.7</v>
      </c>
      <c r="L3" s="22" t="n">
        <v>57.3</v>
      </c>
      <c r="M3" s="22" t="n">
        <v>52.7</v>
      </c>
      <c r="N3" s="22" t="n">
        <v>56.9</v>
      </c>
      <c r="O3" s="22" t="n">
        <v>54.2</v>
      </c>
      <c r="P3" s="22" t="n">
        <v>63</v>
      </c>
      <c r="Q3" s="22" t="n">
        <v>60.4</v>
      </c>
      <c r="U3" s="57" t="inlineStr">
        <is>
          <t>12 months</t>
        </is>
      </c>
      <c r="V3" s="20" t="n">
        <v>44166</v>
      </c>
    </row>
    <row r="4">
      <c r="B4" s="21" t="inlineStr">
        <is>
          <t>min 12m</t>
        </is>
      </c>
      <c r="C4" s="22" t="n">
        <v>52.6</v>
      </c>
      <c r="D4" s="22" t="n">
        <v>52.9</v>
      </c>
      <c r="E4" s="22" t="n">
        <v>50.8</v>
      </c>
      <c r="F4" s="22" t="n">
        <v>53.4</v>
      </c>
      <c r="G4" s="22" t="n">
        <v>50.2</v>
      </c>
      <c r="H4" s="22" t="n">
        <v>52.1</v>
      </c>
      <c r="I4" s="22" t="n">
        <v>54.3</v>
      </c>
      <c r="J4" s="22" t="n">
        <v>50.4</v>
      </c>
      <c r="K4" s="22" t="n">
        <v>49.2</v>
      </c>
      <c r="L4" s="22" t="n">
        <v>52.5</v>
      </c>
      <c r="M4" s="22" t="n">
        <v>46.4</v>
      </c>
      <c r="N4" s="22" t="n">
        <v>52.3</v>
      </c>
      <c r="O4" s="22" t="n">
        <v>47.8</v>
      </c>
      <c r="P4" s="22" t="n">
        <v>51.1</v>
      </c>
      <c r="Q4" s="22" t="n">
        <v>56.5</v>
      </c>
    </row>
    <row r="5" ht="16.5" customHeight="1" s="42" thickBot="1">
      <c r="B5" s="21" t="inlineStr">
        <is>
          <t>12m avg</t>
        </is>
      </c>
      <c r="C5" s="23" t="n">
        <v>53.52499999999998</v>
      </c>
      <c r="D5" s="23" t="n">
        <v>54.84166666666666</v>
      </c>
      <c r="E5" s="23" t="n">
        <v>53.06666666666666</v>
      </c>
      <c r="F5" s="23" t="n">
        <v>54.98333333333334</v>
      </c>
      <c r="G5" s="23" t="n">
        <v>51.51666666666666</v>
      </c>
      <c r="H5" s="23" t="n">
        <v>54.575</v>
      </c>
      <c r="I5" s="23" t="n">
        <v>56.29999999999999</v>
      </c>
      <c r="J5" s="23" t="n">
        <v>53.3</v>
      </c>
      <c r="K5" s="23" t="n">
        <v>53.34166666666667</v>
      </c>
      <c r="L5" s="23" t="n">
        <v>54.85</v>
      </c>
      <c r="M5" s="23" t="n">
        <v>49.36666666666665</v>
      </c>
      <c r="N5" s="23" t="n">
        <v>54.77500000000001</v>
      </c>
      <c r="O5" s="23" t="n">
        <v>51.40000000000001</v>
      </c>
      <c r="P5" s="23" t="n">
        <v>54.95833333333334</v>
      </c>
      <c r="Q5" s="23" t="n">
        <v>58.28333333333334</v>
      </c>
    </row>
    <row r="6">
      <c r="B6" s="24" t="inlineStr">
        <is>
          <t>Last vs 12m avg</t>
        </is>
      </c>
      <c r="C6" s="25" t="inlineStr">
        <is>
          <t>above</t>
        </is>
      </c>
      <c r="D6" s="26" t="inlineStr">
        <is>
          <t>above</t>
        </is>
      </c>
      <c r="E6" s="26" t="inlineStr">
        <is>
          <t>above</t>
        </is>
      </c>
      <c r="F6" s="26" t="inlineStr">
        <is>
          <t>below</t>
        </is>
      </c>
      <c r="G6" s="26" t="inlineStr">
        <is>
          <t>above</t>
        </is>
      </c>
      <c r="H6" s="26" t="inlineStr">
        <is>
          <t>below</t>
        </is>
      </c>
      <c r="I6" s="26" t="inlineStr">
        <is>
          <t>above</t>
        </is>
      </c>
      <c r="J6" s="26" t="inlineStr">
        <is>
          <t>above</t>
        </is>
      </c>
      <c r="K6" s="26" t="inlineStr">
        <is>
          <t>below</t>
        </is>
      </c>
      <c r="L6" s="26" t="inlineStr">
        <is>
          <t>above</t>
        </is>
      </c>
      <c r="M6" s="26" t="inlineStr">
        <is>
          <t>above</t>
        </is>
      </c>
      <c r="N6" s="26" t="inlineStr">
        <is>
          <t>below</t>
        </is>
      </c>
      <c r="O6" s="26" t="inlineStr">
        <is>
          <t>above</t>
        </is>
      </c>
      <c r="P6" s="26" t="inlineStr">
        <is>
          <t>below</t>
        </is>
      </c>
      <c r="Q6" s="26" t="inlineStr">
        <is>
          <t>below</t>
        </is>
      </c>
    </row>
    <row r="7">
      <c r="B7" s="24" t="inlineStr">
        <is>
          <t>Y/Y</t>
        </is>
      </c>
      <c r="C7" s="27" t="n">
        <v>2.800000000000004</v>
      </c>
      <c r="D7" s="22" t="n">
        <v>2.800000000000004</v>
      </c>
      <c r="E7" s="22" t="n">
        <v>-3.199999999999996</v>
      </c>
      <c r="F7" s="22" t="n">
        <v>6.700000000000003</v>
      </c>
      <c r="G7" s="22" t="n">
        <v>4.899999999999999</v>
      </c>
      <c r="H7" s="22" t="n">
        <v>1.700000000000003</v>
      </c>
      <c r="I7" s="22" t="n">
        <v>7.899999999999999</v>
      </c>
      <c r="J7" s="22" t="n">
        <v>4.200000000000003</v>
      </c>
      <c r="K7" s="22" t="n">
        <v>13.3</v>
      </c>
      <c r="L7" s="22" t="n">
        <v>7.799999999999997</v>
      </c>
      <c r="M7" s="22" t="n">
        <v>2.5</v>
      </c>
      <c r="N7" s="22" t="n">
        <v>1.5</v>
      </c>
      <c r="O7" s="22" t="n">
        <v>3.200000000000003</v>
      </c>
      <c r="P7" s="22" t="n">
        <v>-4.699999999999996</v>
      </c>
      <c r="Q7" s="22" t="n">
        <v>5.299999999999997</v>
      </c>
    </row>
    <row r="8">
      <c r="B8" s="24" t="inlineStr">
        <is>
          <t>M/M</t>
        </is>
      </c>
      <c r="C8" s="27" t="n">
        <v>-1</v>
      </c>
      <c r="D8" s="22" t="n">
        <v>-0.3999999999999986</v>
      </c>
      <c r="E8" s="22" t="n">
        <v>1</v>
      </c>
      <c r="F8" s="22" t="n">
        <v>-2.799999999999997</v>
      </c>
      <c r="G8" s="22" t="n">
        <v>-0.8999999999999986</v>
      </c>
      <c r="H8" s="22" t="n">
        <v>-4</v>
      </c>
      <c r="I8" s="22" t="n">
        <v>-0.3999999999999986</v>
      </c>
      <c r="J8" s="22" t="n">
        <v>-4.899999999999999</v>
      </c>
      <c r="K8" s="22" t="n">
        <v>-2.899999999999999</v>
      </c>
      <c r="L8" s="22" t="n">
        <v>-4</v>
      </c>
      <c r="M8" s="22" t="n">
        <v>0</v>
      </c>
      <c r="N8" s="22" t="n">
        <v>2.399999999999999</v>
      </c>
      <c r="O8" s="22" t="n">
        <v>-2.600000000000001</v>
      </c>
      <c r="P8" s="22" t="n">
        <v>2</v>
      </c>
      <c r="Q8" s="22" t="n">
        <v>-3.899999999999999</v>
      </c>
    </row>
    <row r="9" ht="66.75" customHeight="1" s="42">
      <c r="B9" s="28" t="inlineStr">
        <is>
          <t>Growth / Contraction</t>
        </is>
      </c>
      <c r="C9" s="29" t="inlineStr">
        <is>
          <t>Growth</t>
        </is>
      </c>
      <c r="D9" s="30" t="inlineStr">
        <is>
          <t>Growth</t>
        </is>
      </c>
      <c r="E9" s="30" t="inlineStr">
        <is>
          <t>Growth</t>
        </is>
      </c>
      <c r="F9" s="30" t="inlineStr">
        <is>
          <t>Growth</t>
        </is>
      </c>
      <c r="G9" s="30" t="inlineStr">
        <is>
          <t>Growth</t>
        </is>
      </c>
      <c r="H9" s="30" t="inlineStr">
        <is>
          <t>Contraction</t>
        </is>
      </c>
      <c r="I9" s="30" t="inlineStr">
        <is>
          <t>Growth</t>
        </is>
      </c>
      <c r="J9" s="30" t="inlineStr">
        <is>
          <t>Growth</t>
        </is>
      </c>
      <c r="K9" s="30" t="inlineStr">
        <is>
          <t>Growth</t>
        </is>
      </c>
      <c r="L9" s="30" t="inlineStr">
        <is>
          <t>Growth</t>
        </is>
      </c>
      <c r="M9" s="30" t="inlineStr">
        <is>
          <t>Growth</t>
        </is>
      </c>
      <c r="N9" s="30" t="inlineStr">
        <is>
          <t>Contraction</t>
        </is>
      </c>
      <c r="O9" s="30" t="inlineStr">
        <is>
          <t>Growth</t>
        </is>
      </c>
      <c r="P9" s="30" t="inlineStr">
        <is>
          <t>Contraction</t>
        </is>
      </c>
      <c r="Q9" s="30" t="inlineStr">
        <is>
          <t>Growth</t>
        </is>
      </c>
    </row>
    <row r="10" ht="26.25" customHeight="1" s="42" thickBot="1">
      <c r="B10" s="31" t="inlineStr">
        <is>
          <t>Slower/Faster</t>
        </is>
      </c>
      <c r="C10" s="32" t="inlineStr">
        <is>
          <t>-</t>
        </is>
      </c>
      <c r="D10" s="33" t="inlineStr">
        <is>
          <t>-</t>
        </is>
      </c>
      <c r="E10" s="33" t="inlineStr">
        <is>
          <t>+</t>
        </is>
      </c>
      <c r="F10" s="33" t="inlineStr">
        <is>
          <t>-</t>
        </is>
      </c>
      <c r="G10" s="33" t="inlineStr">
        <is>
          <t>-</t>
        </is>
      </c>
      <c r="H10" s="33" t="inlineStr">
        <is>
          <t>-</t>
        </is>
      </c>
      <c r="I10" s="33" t="inlineStr">
        <is>
          <t>-</t>
        </is>
      </c>
      <c r="J10" s="33" t="inlineStr">
        <is>
          <t>-</t>
        </is>
      </c>
      <c r="K10" s="33" t="inlineStr">
        <is>
          <t>-</t>
        </is>
      </c>
      <c r="L10" s="33" t="inlineStr">
        <is>
          <t>-</t>
        </is>
      </c>
      <c r="M10" s="33" t="inlineStr">
        <is>
          <t>-</t>
        </is>
      </c>
      <c r="N10" s="33" t="inlineStr">
        <is>
          <t>+</t>
        </is>
      </c>
      <c r="O10" s="33" t="inlineStr">
        <is>
          <t>-</t>
        </is>
      </c>
      <c r="P10" s="33" t="inlineStr">
        <is>
          <t>+</t>
        </is>
      </c>
      <c r="Q10" s="33" t="inlineStr">
        <is>
          <t>-</t>
        </is>
      </c>
    </row>
    <row r="11" ht="26.25" customHeight="1" s="42">
      <c r="B11" s="57" t="n"/>
      <c r="C11" s="57" t="n"/>
      <c r="D11" s="57" t="n"/>
      <c r="E11" s="57" t="n"/>
      <c r="F11" s="57" t="n"/>
      <c r="G11" s="57" t="n"/>
      <c r="H11" s="57" t="n"/>
      <c r="I11" s="57" t="n"/>
      <c r="J11" s="57" t="n"/>
      <c r="K11" s="57" t="n"/>
      <c r="L11" s="57" t="n"/>
      <c r="M11" s="57" t="n"/>
      <c r="N11" s="57" t="n"/>
      <c r="O11" s="57" t="n"/>
      <c r="P11" s="57" t="n"/>
      <c r="Q11" s="57" t="n"/>
    </row>
    <row r="12">
      <c r="B12" s="34" t="n">
        <v>42064</v>
      </c>
      <c r="C12" s="35">
        <f>VLOOKUP(B12,Global!$A:$B,2,)</f>
        <v/>
      </c>
      <c r="D12" s="35">
        <f>VLOOKUP(B12,US!$A:$B,2,)</f>
        <v/>
      </c>
      <c r="E12" s="35">
        <f>VLOOKUP(B12,China!$A:$B,2,)</f>
        <v/>
      </c>
      <c r="F12" s="35">
        <f>VLOOKUP(B12,EuroArea!$A:$B,2,)</f>
        <v/>
      </c>
      <c r="G12" s="35">
        <f>VLOOKUP(B12,Japan!$A:$B,2,)</f>
        <v/>
      </c>
      <c r="H12" s="35">
        <f>VLOOKUP(B12,Germany!$A:$B,2,)</f>
        <v/>
      </c>
      <c r="I12" s="35">
        <f>VLOOKUP(B12,France!$A:$B,2,)</f>
        <v/>
      </c>
      <c r="J12" s="35">
        <f>VLOOKUP(B12,UK!$A:$B,2,)</f>
        <v/>
      </c>
      <c r="K12" s="35">
        <f>VLOOKUP(B12,Italy!$A:$B,2,)</f>
        <v/>
      </c>
      <c r="L12" s="35">
        <f>VLOOKUP(B12,Spain!$A:$B,2,)</f>
        <v/>
      </c>
      <c r="M12" s="35">
        <f>VLOOKUP(B12,Brazil!$A:$B,2,)</f>
        <v/>
      </c>
      <c r="N12" s="35">
        <f>VLOOKUP(B12,Russia!$A:$B,2,)</f>
        <v/>
      </c>
      <c r="O12" s="35">
        <f>VLOOKUP(B12,India!$A:$B,2,)</f>
        <v/>
      </c>
      <c r="P12" s="35">
        <f>VLOOKUP(B12,Australia!$A:$B,2,)</f>
        <v/>
      </c>
      <c r="Q12" s="35">
        <f>VLOOKUP(B12,Ireland!$A:$B,2,)</f>
        <v/>
      </c>
    </row>
    <row r="13">
      <c r="B13" s="34" t="n">
        <v>42095</v>
      </c>
      <c r="C13" s="35">
        <f>VLOOKUP(B13,Global!$A:$B,2,)</f>
        <v/>
      </c>
      <c r="D13" s="35">
        <f>VLOOKUP(B13,US!$A:$B,2,)</f>
        <v/>
      </c>
      <c r="E13" s="35">
        <f>VLOOKUP(B13,China!$A:$B,2,)</f>
        <v/>
      </c>
      <c r="F13" s="35">
        <f>VLOOKUP(B13,EuroArea!$A:$B,2,)</f>
        <v/>
      </c>
      <c r="G13" s="35">
        <f>VLOOKUP(B13,Japan!$A:$B,2,)</f>
        <v/>
      </c>
      <c r="H13" s="35">
        <f>VLOOKUP(B13,Germany!$A:$B,2,)</f>
        <v/>
      </c>
      <c r="I13" s="35">
        <f>VLOOKUP(B13,France!$A:$B,2,)</f>
        <v/>
      </c>
      <c r="J13" s="35">
        <f>VLOOKUP(B13,UK!$A:$B,2,)</f>
        <v/>
      </c>
      <c r="K13" s="35">
        <f>VLOOKUP(B13,Italy!$A:$B,2,)</f>
        <v/>
      </c>
      <c r="L13" s="35">
        <f>VLOOKUP(B13,Spain!$A:$B,2,)</f>
        <v/>
      </c>
      <c r="M13" s="35">
        <f>VLOOKUP(B13,Brazil!$A:$B,2,)</f>
        <v/>
      </c>
      <c r="N13" s="35">
        <f>VLOOKUP(B13,Russia!$A:$B,2,)</f>
        <v/>
      </c>
      <c r="O13" s="35">
        <f>VLOOKUP(B13,India!$A:$B,2,)</f>
        <v/>
      </c>
      <c r="P13" s="35">
        <f>VLOOKUP(B13,Australia!$A:$B,2,)</f>
        <v/>
      </c>
      <c r="Q13" s="35">
        <f>VLOOKUP(B13,Ireland!$A:$B,2,)</f>
        <v/>
      </c>
    </row>
    <row r="14">
      <c r="B14" s="34" t="n">
        <v>42125</v>
      </c>
      <c r="C14" s="35">
        <f>VLOOKUP(B14,Global!$A:$B,2,)</f>
        <v/>
      </c>
      <c r="D14" s="35">
        <f>VLOOKUP(B14,US!$A:$B,2,)</f>
        <v/>
      </c>
      <c r="E14" s="35">
        <f>VLOOKUP(B14,China!$A:$B,2,)</f>
        <v/>
      </c>
      <c r="F14" s="35">
        <f>VLOOKUP(B14,EuroArea!$A:$B,2,)</f>
        <v/>
      </c>
      <c r="G14" s="35">
        <f>VLOOKUP(B14,Japan!$A:$B,2,)</f>
        <v/>
      </c>
      <c r="H14" s="35">
        <f>VLOOKUP(B14,Germany!$A:$B,2,)</f>
        <v/>
      </c>
      <c r="I14" s="35">
        <f>VLOOKUP(B14,France!$A:$B,2,)</f>
        <v/>
      </c>
      <c r="J14" s="35">
        <f>VLOOKUP(B14,UK!$A:$B,2,)</f>
        <v/>
      </c>
      <c r="K14" s="35">
        <f>VLOOKUP(B14,Italy!$A:$B,2,)</f>
        <v/>
      </c>
      <c r="L14" s="35">
        <f>VLOOKUP(B14,Spain!$A:$B,2,)</f>
        <v/>
      </c>
      <c r="M14" s="35">
        <f>VLOOKUP(B14,Brazil!$A:$B,2,)</f>
        <v/>
      </c>
      <c r="N14" s="35">
        <f>VLOOKUP(B14,Russia!$A:$B,2,)</f>
        <v/>
      </c>
      <c r="O14" s="35">
        <f>VLOOKUP(B14,India!$A:$B,2,)</f>
        <v/>
      </c>
      <c r="P14" s="35">
        <f>VLOOKUP(B14,Australia!$A:$B,2,)</f>
        <v/>
      </c>
      <c r="Q14" s="35">
        <f>VLOOKUP(B14,Ireland!$A:$B,2,)</f>
        <v/>
      </c>
    </row>
    <row r="15">
      <c r="B15" s="34" t="n">
        <v>42156</v>
      </c>
      <c r="C15" s="35">
        <f>VLOOKUP(B15,Global!$A:$B,2,)</f>
        <v/>
      </c>
      <c r="D15" s="35">
        <f>VLOOKUP(B15,US!$A:$B,2,)</f>
        <v/>
      </c>
      <c r="E15" s="35">
        <f>VLOOKUP(B15,China!$A:$B,2,)</f>
        <v/>
      </c>
      <c r="F15" s="35">
        <f>VLOOKUP(B15,EuroArea!$A:$B,2,)</f>
        <v/>
      </c>
      <c r="G15" s="35">
        <f>VLOOKUP(B15,Japan!$A:$B,2,)</f>
        <v/>
      </c>
      <c r="H15" s="35">
        <f>VLOOKUP(B15,Germany!$A:$B,2,)</f>
        <v/>
      </c>
      <c r="I15" s="35">
        <f>VLOOKUP(B15,France!$A:$B,2,)</f>
        <v/>
      </c>
      <c r="J15" s="35">
        <f>VLOOKUP(B15,UK!$A:$B,2,)</f>
        <v/>
      </c>
      <c r="K15" s="35">
        <f>VLOOKUP(B15,Italy!$A:$B,2,)</f>
        <v/>
      </c>
      <c r="L15" s="35">
        <f>VLOOKUP(B15,Spain!$A:$B,2,)</f>
        <v/>
      </c>
      <c r="M15" s="35">
        <f>VLOOKUP(B15,Brazil!$A:$B,2,)</f>
        <v/>
      </c>
      <c r="N15" s="35">
        <f>VLOOKUP(B15,Russia!$A:$B,2,)</f>
        <v/>
      </c>
      <c r="O15" s="35">
        <f>VLOOKUP(B15,India!$A:$B,2,)</f>
        <v/>
      </c>
      <c r="P15" s="35">
        <f>VLOOKUP(B15,Australia!$A:$B,2,)</f>
        <v/>
      </c>
      <c r="Q15" s="35">
        <f>VLOOKUP(B15,Ireland!$A:$B,2,)</f>
        <v/>
      </c>
    </row>
    <row r="16">
      <c r="B16" s="34" t="n">
        <v>42186</v>
      </c>
      <c r="C16" s="35">
        <f>VLOOKUP(B16,Global!$A:$B,2,)</f>
        <v/>
      </c>
      <c r="D16" s="35">
        <f>VLOOKUP(B16,US!$A:$B,2,)</f>
        <v/>
      </c>
      <c r="E16" s="35">
        <f>VLOOKUP(B16,China!$A:$B,2,)</f>
        <v/>
      </c>
      <c r="F16" s="35">
        <f>VLOOKUP(B16,EuroArea!$A:$B,2,)</f>
        <v/>
      </c>
      <c r="G16" s="35">
        <f>VLOOKUP(B16,Japan!$A:$B,2,)</f>
        <v/>
      </c>
      <c r="H16" s="35">
        <f>VLOOKUP(B16,Germany!$A:$B,2,)</f>
        <v/>
      </c>
      <c r="I16" s="35">
        <f>VLOOKUP(B16,France!$A:$B,2,)</f>
        <v/>
      </c>
      <c r="J16" s="35">
        <f>VLOOKUP(B16,UK!$A:$B,2,)</f>
        <v/>
      </c>
      <c r="K16" s="35">
        <f>VLOOKUP(B16,Italy!$A:$B,2,)</f>
        <v/>
      </c>
      <c r="L16" s="35">
        <f>VLOOKUP(B16,Spain!$A:$B,2,)</f>
        <v/>
      </c>
      <c r="M16" s="35">
        <f>VLOOKUP(B16,Brazil!$A:$B,2,)</f>
        <v/>
      </c>
      <c r="N16" s="35">
        <f>VLOOKUP(B16,Russia!$A:$B,2,)</f>
        <v/>
      </c>
      <c r="O16" s="35">
        <f>VLOOKUP(B16,India!$A:$B,2,)</f>
        <v/>
      </c>
      <c r="P16" s="35">
        <f>VLOOKUP(B16,Australia!$A:$B,2,)</f>
        <v/>
      </c>
      <c r="Q16" s="35">
        <f>VLOOKUP(B16,Ireland!$A:$B,2,)</f>
        <v/>
      </c>
    </row>
    <row r="17">
      <c r="B17" s="34" t="n">
        <v>42217</v>
      </c>
      <c r="C17" s="35">
        <f>VLOOKUP(B17,Global!$A:$B,2,)</f>
        <v/>
      </c>
      <c r="D17" s="35">
        <f>VLOOKUP(B17,US!$A:$B,2,)</f>
        <v/>
      </c>
      <c r="E17" s="35">
        <f>VLOOKUP(B17,China!$A:$B,2,)</f>
        <v/>
      </c>
      <c r="F17" s="35">
        <f>VLOOKUP(B17,EuroArea!$A:$B,2,)</f>
        <v/>
      </c>
      <c r="G17" s="35">
        <f>VLOOKUP(B17,Japan!$A:$B,2,)</f>
        <v/>
      </c>
      <c r="H17" s="35">
        <f>VLOOKUP(B17,Germany!$A:$B,2,)</f>
        <v/>
      </c>
      <c r="I17" s="35">
        <f>VLOOKUP(B17,France!$A:$B,2,)</f>
        <v/>
      </c>
      <c r="J17" s="35">
        <f>VLOOKUP(B17,UK!$A:$B,2,)</f>
        <v/>
      </c>
      <c r="K17" s="35">
        <f>VLOOKUP(B17,Italy!$A:$B,2,)</f>
        <v/>
      </c>
      <c r="L17" s="35">
        <f>VLOOKUP(B17,Spain!$A:$B,2,)</f>
        <v/>
      </c>
      <c r="M17" s="35">
        <f>VLOOKUP(B17,Brazil!$A:$B,2,)</f>
        <v/>
      </c>
      <c r="N17" s="35">
        <f>VLOOKUP(B17,Russia!$A:$B,2,)</f>
        <v/>
      </c>
      <c r="O17" s="35">
        <f>VLOOKUP(B17,India!$A:$B,2,)</f>
        <v/>
      </c>
      <c r="P17" s="35">
        <f>VLOOKUP(B17,Australia!$A:$B,2,)</f>
        <v/>
      </c>
      <c r="Q17" s="35">
        <f>VLOOKUP(B17,Ireland!$A:$B,2,)</f>
        <v/>
      </c>
    </row>
    <row r="18">
      <c r="B18" s="34" t="n">
        <v>42248</v>
      </c>
      <c r="C18" s="35">
        <f>VLOOKUP(B18,Global!$A:$B,2,)</f>
        <v/>
      </c>
      <c r="D18" s="35">
        <f>VLOOKUP(B18,US!$A:$B,2,)</f>
        <v/>
      </c>
      <c r="E18" s="35">
        <f>VLOOKUP(B18,China!$A:$B,2,)</f>
        <v/>
      </c>
      <c r="F18" s="35">
        <f>VLOOKUP(B18,EuroArea!$A:$B,2,)</f>
        <v/>
      </c>
      <c r="G18" s="35">
        <f>VLOOKUP(B18,Japan!$A:$B,2,)</f>
        <v/>
      </c>
      <c r="H18" s="35">
        <f>VLOOKUP(B18,Germany!$A:$B,2,)</f>
        <v/>
      </c>
      <c r="I18" s="35">
        <f>VLOOKUP(B18,France!$A:$B,2,)</f>
        <v/>
      </c>
      <c r="J18" s="35">
        <f>VLOOKUP(B18,UK!$A:$B,2,)</f>
        <v/>
      </c>
      <c r="K18" s="35">
        <f>VLOOKUP(B18,Italy!$A:$B,2,)</f>
        <v/>
      </c>
      <c r="L18" s="35">
        <f>VLOOKUP(B18,Spain!$A:$B,2,)</f>
        <v/>
      </c>
      <c r="M18" s="35">
        <f>VLOOKUP(B18,Brazil!$A:$B,2,)</f>
        <v/>
      </c>
      <c r="N18" s="35">
        <f>VLOOKUP(B18,Russia!$A:$B,2,)</f>
        <v/>
      </c>
      <c r="O18" s="35">
        <f>VLOOKUP(B18,India!$A:$B,2,)</f>
        <v/>
      </c>
      <c r="P18" s="35">
        <f>VLOOKUP(B18,Australia!$A:$B,2,)</f>
        <v/>
      </c>
      <c r="Q18" s="35">
        <f>VLOOKUP(B18,Ireland!$A:$B,2,)</f>
        <v/>
      </c>
    </row>
    <row r="19">
      <c r="B19" s="34" t="n">
        <v>42278</v>
      </c>
      <c r="C19" s="35">
        <f>VLOOKUP(B19,Global!$A:$B,2,)</f>
        <v/>
      </c>
      <c r="D19" s="35">
        <f>VLOOKUP(B19,US!$A:$B,2,)</f>
        <v/>
      </c>
      <c r="E19" s="35">
        <f>VLOOKUP(B19,China!$A:$B,2,)</f>
        <v/>
      </c>
      <c r="F19" s="35">
        <f>VLOOKUP(B19,EuroArea!$A:$B,2,)</f>
        <v/>
      </c>
      <c r="G19" s="35">
        <f>VLOOKUP(B19,Japan!$A:$B,2,)</f>
        <v/>
      </c>
      <c r="H19" s="35">
        <f>VLOOKUP(B19,Germany!$A:$B,2,)</f>
        <v/>
      </c>
      <c r="I19" s="35">
        <f>VLOOKUP(B19,France!$A:$B,2,)</f>
        <v/>
      </c>
      <c r="J19" s="35">
        <f>VLOOKUP(B19,UK!$A:$B,2,)</f>
        <v/>
      </c>
      <c r="K19" s="35">
        <f>VLOOKUP(B19,Italy!$A:$B,2,)</f>
        <v/>
      </c>
      <c r="L19" s="35">
        <f>VLOOKUP(B19,Spain!$A:$B,2,)</f>
        <v/>
      </c>
      <c r="M19" s="35">
        <f>VLOOKUP(B19,Brazil!$A:$B,2,)</f>
        <v/>
      </c>
      <c r="N19" s="35">
        <f>VLOOKUP(B19,Russia!$A:$B,2,)</f>
        <v/>
      </c>
      <c r="O19" s="35">
        <f>VLOOKUP(B19,India!$A:$B,2,)</f>
        <v/>
      </c>
      <c r="P19" s="35">
        <f>VLOOKUP(B19,Australia!$A:$B,2,)</f>
        <v/>
      </c>
      <c r="Q19" s="35">
        <f>VLOOKUP(B19,Ireland!$A:$B,2,)</f>
        <v/>
      </c>
    </row>
    <row r="20">
      <c r="B20" s="34" t="n">
        <v>42309</v>
      </c>
      <c r="C20" s="35">
        <f>VLOOKUP(B20,Global!$A:$B,2,)</f>
        <v/>
      </c>
      <c r="D20" s="35">
        <f>VLOOKUP(B20,US!$A:$B,2,)</f>
        <v/>
      </c>
      <c r="E20" s="35">
        <f>VLOOKUP(B20,China!$A:$B,2,)</f>
        <v/>
      </c>
      <c r="F20" s="35">
        <f>VLOOKUP(B20,EuroArea!$A:$B,2,)</f>
        <v/>
      </c>
      <c r="G20" s="35">
        <f>VLOOKUP(B20,Japan!$A:$B,2,)</f>
        <v/>
      </c>
      <c r="H20" s="35">
        <f>VLOOKUP(B20,Germany!$A:$B,2,)</f>
        <v/>
      </c>
      <c r="I20" s="35">
        <f>VLOOKUP(B20,France!$A:$B,2,)</f>
        <v/>
      </c>
      <c r="J20" s="35">
        <f>VLOOKUP(B20,UK!$A:$B,2,)</f>
        <v/>
      </c>
      <c r="K20" s="35">
        <f>VLOOKUP(B20,Italy!$A:$B,2,)</f>
        <v/>
      </c>
      <c r="L20" s="35">
        <f>VLOOKUP(B20,Spain!$A:$B,2,)</f>
        <v/>
      </c>
      <c r="M20" s="35">
        <f>VLOOKUP(B20,Brazil!$A:$B,2,)</f>
        <v/>
      </c>
      <c r="N20" s="35">
        <f>VLOOKUP(B20,Russia!$A:$B,2,)</f>
        <v/>
      </c>
      <c r="O20" s="35">
        <f>VLOOKUP(B20,India!$A:$B,2,)</f>
        <v/>
      </c>
      <c r="P20" s="35">
        <f>VLOOKUP(B20,Australia!$A:$B,2,)</f>
        <v/>
      </c>
      <c r="Q20" s="35">
        <f>VLOOKUP(B20,Ireland!$A:$B,2,)</f>
        <v/>
      </c>
    </row>
    <row r="21">
      <c r="B21" s="34" t="n">
        <v>42339</v>
      </c>
      <c r="C21" s="35">
        <f>VLOOKUP(B21,Global!$A:$B,2,)</f>
        <v/>
      </c>
      <c r="D21" s="35">
        <f>VLOOKUP(B21,US!$A:$B,2,)</f>
        <v/>
      </c>
      <c r="E21" s="35">
        <f>VLOOKUP(B21,China!$A:$B,2,)</f>
        <v/>
      </c>
      <c r="F21" s="35">
        <f>VLOOKUP(B21,EuroArea!$A:$B,2,)</f>
        <v/>
      </c>
      <c r="G21" s="35">
        <f>VLOOKUP(B21,Japan!$A:$B,2,)</f>
        <v/>
      </c>
      <c r="H21" s="35">
        <f>VLOOKUP(B21,Germany!$A:$B,2,)</f>
        <v/>
      </c>
      <c r="I21" s="35">
        <f>VLOOKUP(B21,France!$A:$B,2,)</f>
        <v/>
      </c>
      <c r="J21" s="35">
        <f>VLOOKUP(B21,UK!$A:$B,2,)</f>
        <v/>
      </c>
      <c r="K21" s="35">
        <f>VLOOKUP(B21,Italy!$A:$B,2,)</f>
        <v/>
      </c>
      <c r="L21" s="35">
        <f>VLOOKUP(B21,Spain!$A:$B,2,)</f>
        <v/>
      </c>
      <c r="M21" s="35">
        <f>VLOOKUP(B21,Brazil!$A:$B,2,)</f>
        <v/>
      </c>
      <c r="N21" s="35">
        <f>VLOOKUP(B21,Russia!$A:$B,2,)</f>
        <v/>
      </c>
      <c r="O21" s="35">
        <f>VLOOKUP(B21,India!$A:$B,2,)</f>
        <v/>
      </c>
      <c r="P21" s="35">
        <f>VLOOKUP(B21,Australia!$A:$B,2,)</f>
        <v/>
      </c>
      <c r="Q21" s="35">
        <f>VLOOKUP(B21,Ireland!$A:$B,2,)</f>
        <v/>
      </c>
    </row>
    <row r="22">
      <c r="B22" s="34" t="n">
        <v>42370</v>
      </c>
      <c r="C22" s="35">
        <f>VLOOKUP(B22,Global!$A:$B,2,)</f>
        <v/>
      </c>
      <c r="D22" s="35">
        <f>VLOOKUP(B22,US!$A:$B,2,)</f>
        <v/>
      </c>
      <c r="E22" s="35">
        <f>VLOOKUP(B22,China!$A:$B,2,)</f>
        <v/>
      </c>
      <c r="F22" s="35">
        <f>VLOOKUP(B22,EuroArea!$A:$B,2,)</f>
        <v/>
      </c>
      <c r="G22" s="35">
        <f>VLOOKUP(B22,Japan!$A:$B,2,)</f>
        <v/>
      </c>
      <c r="H22" s="35">
        <f>VLOOKUP(B22,Germany!$A:$B,2,)</f>
        <v/>
      </c>
      <c r="I22" s="35">
        <f>VLOOKUP(B22,France!$A:$B,2,)</f>
        <v/>
      </c>
      <c r="J22" s="35">
        <f>VLOOKUP(B22,UK!$A:$B,2,)</f>
        <v/>
      </c>
      <c r="K22" s="35">
        <f>VLOOKUP(B22,Italy!$A:$B,2,)</f>
        <v/>
      </c>
      <c r="L22" s="35">
        <f>VLOOKUP(B22,Spain!$A:$B,2,)</f>
        <v/>
      </c>
      <c r="M22" s="35">
        <f>VLOOKUP(B22,Brazil!$A:$B,2,)</f>
        <v/>
      </c>
      <c r="N22" s="35">
        <f>VLOOKUP(B22,Russia!$A:$B,2,)</f>
        <v/>
      </c>
      <c r="O22" s="35">
        <f>VLOOKUP(B22,India!$A:$B,2,)</f>
        <v/>
      </c>
      <c r="P22" s="35">
        <f>VLOOKUP(B22,Australia!$A:$B,2,)</f>
        <v/>
      </c>
      <c r="Q22" s="35">
        <f>VLOOKUP(B22,Ireland!$A:$B,2,)</f>
        <v/>
      </c>
    </row>
    <row r="23">
      <c r="B23" s="34" t="n">
        <v>42401</v>
      </c>
      <c r="C23" s="35">
        <f>VLOOKUP(B23,Global!$A:$B,2,)</f>
        <v/>
      </c>
      <c r="D23" s="35">
        <f>VLOOKUP(B23,US!$A:$B,2,)</f>
        <v/>
      </c>
      <c r="E23" s="35">
        <f>VLOOKUP(B23,China!$A:$B,2,)</f>
        <v/>
      </c>
      <c r="F23" s="35">
        <f>VLOOKUP(B23,EuroArea!$A:$B,2,)</f>
        <v/>
      </c>
      <c r="G23" s="35">
        <f>VLOOKUP(B23,Japan!$A:$B,2,)</f>
        <v/>
      </c>
      <c r="H23" s="35">
        <f>VLOOKUP(B23,Germany!$A:$B,2,)</f>
        <v/>
      </c>
      <c r="I23" s="35">
        <f>VLOOKUP(B23,France!$A:$B,2,)</f>
        <v/>
      </c>
      <c r="J23" s="35">
        <f>VLOOKUP(B23,UK!$A:$B,2,)</f>
        <v/>
      </c>
      <c r="K23" s="35">
        <f>VLOOKUP(B23,Italy!$A:$B,2,)</f>
        <v/>
      </c>
      <c r="L23" s="35">
        <f>VLOOKUP(B23,Spain!$A:$B,2,)</f>
        <v/>
      </c>
      <c r="M23" s="35">
        <f>VLOOKUP(B23,Brazil!$A:$B,2,)</f>
        <v/>
      </c>
      <c r="N23" s="35">
        <f>VLOOKUP(B23,Russia!$A:$B,2,)</f>
        <v/>
      </c>
      <c r="O23" s="35">
        <f>VLOOKUP(B23,India!$A:$B,2,)</f>
        <v/>
      </c>
      <c r="P23" s="35">
        <f>VLOOKUP(B23,Australia!$A:$B,2,)</f>
        <v/>
      </c>
      <c r="Q23" s="35">
        <f>VLOOKUP(B23,Ireland!$A:$B,2,)</f>
        <v/>
      </c>
    </row>
    <row r="24">
      <c r="B24" s="34" t="n">
        <v>42430</v>
      </c>
      <c r="C24" s="35">
        <f>VLOOKUP(B24,Global!$A:$B,2,)</f>
        <v/>
      </c>
      <c r="D24" s="35">
        <f>VLOOKUP(B24,US!$A:$B,2,)</f>
        <v/>
      </c>
      <c r="E24" s="35">
        <f>VLOOKUP(B24,China!$A:$B,2,)</f>
        <v/>
      </c>
      <c r="F24" s="35">
        <f>VLOOKUP(B24,EuroArea!$A:$B,2,)</f>
        <v/>
      </c>
      <c r="G24" s="35">
        <f>VLOOKUP(B24,Japan!$A:$B,2,)</f>
        <v/>
      </c>
      <c r="H24" s="35">
        <f>VLOOKUP(B24,Germany!$A:$B,2,)</f>
        <v/>
      </c>
      <c r="I24" s="35">
        <f>VLOOKUP(B24,France!$A:$B,2,)</f>
        <v/>
      </c>
      <c r="J24" s="35">
        <f>VLOOKUP(B24,UK!$A:$B,2,)</f>
        <v/>
      </c>
      <c r="K24" s="35">
        <f>VLOOKUP(B24,Italy!$A:$B,2,)</f>
        <v/>
      </c>
      <c r="L24" s="35">
        <f>VLOOKUP(B24,Spain!$A:$B,2,)</f>
        <v/>
      </c>
      <c r="M24" s="35">
        <f>VLOOKUP(B24,Brazil!$A:$B,2,)</f>
        <v/>
      </c>
      <c r="N24" s="35">
        <f>VLOOKUP(B24,Russia!$A:$B,2,)</f>
        <v/>
      </c>
      <c r="O24" s="35">
        <f>VLOOKUP(B24,India!$A:$B,2,)</f>
        <v/>
      </c>
      <c r="P24" s="35">
        <f>VLOOKUP(B24,Australia!$A:$B,2,)</f>
        <v/>
      </c>
      <c r="Q24" s="35">
        <f>VLOOKUP(B24,Ireland!$A:$B,2,)</f>
        <v/>
      </c>
    </row>
    <row r="25">
      <c r="B25" s="34" t="n">
        <v>42461</v>
      </c>
      <c r="C25" s="35">
        <f>VLOOKUP(B25,Global!$A:$B,2,)</f>
        <v/>
      </c>
      <c r="D25" s="35">
        <f>VLOOKUP(B25,US!$A:$B,2,)</f>
        <v/>
      </c>
      <c r="E25" s="35">
        <f>VLOOKUP(B25,China!$A:$B,2,)</f>
        <v/>
      </c>
      <c r="F25" s="35">
        <f>VLOOKUP(B25,EuroArea!$A:$B,2,)</f>
        <v/>
      </c>
      <c r="G25" s="35">
        <f>VLOOKUP(B25,Japan!$A:$B,2,)</f>
        <v/>
      </c>
      <c r="H25" s="35">
        <f>VLOOKUP(B25,Germany!$A:$B,2,)</f>
        <v/>
      </c>
      <c r="I25" s="35">
        <f>VLOOKUP(B25,France!$A:$B,2,)</f>
        <v/>
      </c>
      <c r="J25" s="35">
        <f>VLOOKUP(B25,UK!$A:$B,2,)</f>
        <v/>
      </c>
      <c r="K25" s="35">
        <f>VLOOKUP(B25,Italy!$A:$B,2,)</f>
        <v/>
      </c>
      <c r="L25" s="35">
        <f>VLOOKUP(B25,Spain!$A:$B,2,)</f>
        <v/>
      </c>
      <c r="M25" s="35">
        <f>VLOOKUP(B25,Brazil!$A:$B,2,)</f>
        <v/>
      </c>
      <c r="N25" s="35">
        <f>VLOOKUP(B25,Russia!$A:$B,2,)</f>
        <v/>
      </c>
      <c r="O25" s="35">
        <f>VLOOKUP(B25,India!$A:$B,2,)</f>
        <v/>
      </c>
      <c r="P25" s="35">
        <f>VLOOKUP(B25,Australia!$A:$B,2,)</f>
        <v/>
      </c>
      <c r="Q25" s="35">
        <f>VLOOKUP(B25,Ireland!$A:$B,2,)</f>
        <v/>
      </c>
    </row>
    <row r="26">
      <c r="B26" s="34" t="n">
        <v>42491</v>
      </c>
      <c r="C26" s="35">
        <f>VLOOKUP(B26,Global!$A:$B,2,)</f>
        <v/>
      </c>
      <c r="D26" s="35">
        <f>VLOOKUP(B26,US!$A:$B,2,)</f>
        <v/>
      </c>
      <c r="E26" s="35">
        <f>VLOOKUP(B26,China!$A:$B,2,)</f>
        <v/>
      </c>
      <c r="F26" s="35">
        <f>VLOOKUP(B26,EuroArea!$A:$B,2,)</f>
        <v/>
      </c>
      <c r="G26" s="35">
        <f>VLOOKUP(B26,Japan!$A:$B,2,)</f>
        <v/>
      </c>
      <c r="H26" s="35">
        <f>VLOOKUP(B26,Germany!$A:$B,2,)</f>
        <v/>
      </c>
      <c r="I26" s="35">
        <f>VLOOKUP(B26,France!$A:$B,2,)</f>
        <v/>
      </c>
      <c r="J26" s="35">
        <f>VLOOKUP(B26,UK!$A:$B,2,)</f>
        <v/>
      </c>
      <c r="K26" s="35">
        <f>VLOOKUP(B26,Italy!$A:$B,2,)</f>
        <v/>
      </c>
      <c r="L26" s="35">
        <f>VLOOKUP(B26,Spain!$A:$B,2,)</f>
        <v/>
      </c>
      <c r="M26" s="35">
        <f>VLOOKUP(B26,Brazil!$A:$B,2,)</f>
        <v/>
      </c>
      <c r="N26" s="35">
        <f>VLOOKUP(B26,Russia!$A:$B,2,)</f>
        <v/>
      </c>
      <c r="O26" s="35">
        <f>VLOOKUP(B26,India!$A:$B,2,)</f>
        <v/>
      </c>
      <c r="P26" s="35">
        <f>VLOOKUP(B26,Australia!$A:$B,2,)</f>
        <v/>
      </c>
      <c r="Q26" s="35">
        <f>VLOOKUP(B26,Ireland!$A:$B,2,)</f>
        <v/>
      </c>
    </row>
    <row r="27">
      <c r="B27" s="34" t="n">
        <v>42522</v>
      </c>
      <c r="C27" s="35">
        <f>VLOOKUP(B27,Global!$A:$B,2,)</f>
        <v/>
      </c>
      <c r="D27" s="35">
        <f>VLOOKUP(B27,US!$A:$B,2,)</f>
        <v/>
      </c>
      <c r="E27" s="35">
        <f>VLOOKUP(B27,China!$A:$B,2,)</f>
        <v/>
      </c>
      <c r="F27" s="35">
        <f>VLOOKUP(B27,EuroArea!$A:$B,2,)</f>
        <v/>
      </c>
      <c r="G27" s="35">
        <f>VLOOKUP(B27,Japan!$A:$B,2,)</f>
        <v/>
      </c>
      <c r="H27" s="35">
        <f>VLOOKUP(B27,Germany!$A:$B,2,)</f>
        <v/>
      </c>
      <c r="I27" s="35">
        <f>VLOOKUP(B27,France!$A:$B,2,)</f>
        <v/>
      </c>
      <c r="J27" s="35">
        <f>VLOOKUP(B27,UK!$A:$B,2,)</f>
        <v/>
      </c>
      <c r="K27" s="35">
        <f>VLOOKUP(B27,Italy!$A:$B,2,)</f>
        <v/>
      </c>
      <c r="L27" s="35">
        <f>VLOOKUP(B27,Spain!$A:$B,2,)</f>
        <v/>
      </c>
      <c r="M27" s="35">
        <f>VLOOKUP(B27,Brazil!$A:$B,2,)</f>
        <v/>
      </c>
      <c r="N27" s="35">
        <f>VLOOKUP(B27,Russia!$A:$B,2,)</f>
        <v/>
      </c>
      <c r="O27" s="35">
        <f>VLOOKUP(B27,India!$A:$B,2,)</f>
        <v/>
      </c>
      <c r="P27" s="35">
        <f>VLOOKUP(B27,Australia!$A:$B,2,)</f>
        <v/>
      </c>
      <c r="Q27" s="35">
        <f>VLOOKUP(B27,Ireland!$A:$B,2,)</f>
        <v/>
      </c>
    </row>
    <row r="28">
      <c r="B28" s="34" t="n">
        <v>42552</v>
      </c>
      <c r="C28" s="35">
        <f>VLOOKUP(B28,Global!$A:$B,2,)</f>
        <v/>
      </c>
      <c r="D28" s="35">
        <f>VLOOKUP(B28,US!$A:$B,2,)</f>
        <v/>
      </c>
      <c r="E28" s="35">
        <f>VLOOKUP(B28,China!$A:$B,2,)</f>
        <v/>
      </c>
      <c r="F28" s="35">
        <f>VLOOKUP(B28,EuroArea!$A:$B,2,)</f>
        <v/>
      </c>
      <c r="G28" s="35">
        <f>VLOOKUP(B28,Japan!$A:$B,2,)</f>
        <v/>
      </c>
      <c r="H28" s="35">
        <f>VLOOKUP(B28,Germany!$A:$B,2,)</f>
        <v/>
      </c>
      <c r="I28" s="35">
        <f>VLOOKUP(B28,France!$A:$B,2,)</f>
        <v/>
      </c>
      <c r="J28" s="35">
        <f>VLOOKUP(B28,UK!$A:$B,2,)</f>
        <v/>
      </c>
      <c r="K28" s="35">
        <f>VLOOKUP(B28,Italy!$A:$B,2,)</f>
        <v/>
      </c>
      <c r="L28" s="35">
        <f>VLOOKUP(B28,Spain!$A:$B,2,)</f>
        <v/>
      </c>
      <c r="M28" s="35">
        <f>VLOOKUP(B28,Brazil!$A:$B,2,)</f>
        <v/>
      </c>
      <c r="N28" s="35">
        <f>VLOOKUP(B28,Russia!$A:$B,2,)</f>
        <v/>
      </c>
      <c r="O28" s="35">
        <f>VLOOKUP(B28,India!$A:$B,2,)</f>
        <v/>
      </c>
      <c r="P28" s="35">
        <f>VLOOKUP(B28,Australia!$A:$B,2,)</f>
        <v/>
      </c>
      <c r="Q28" s="35">
        <f>VLOOKUP(B28,Ireland!$A:$B,2,)</f>
        <v/>
      </c>
    </row>
    <row r="29">
      <c r="B29" s="34" t="n">
        <v>42583</v>
      </c>
      <c r="C29" s="35">
        <f>VLOOKUP(B29,Global!$A:$B,2,)</f>
        <v/>
      </c>
      <c r="D29" s="35">
        <f>VLOOKUP(B29,US!$A:$B,2,)</f>
        <v/>
      </c>
      <c r="E29" s="35">
        <f>VLOOKUP(B29,China!$A:$B,2,)</f>
        <v/>
      </c>
      <c r="F29" s="35">
        <f>VLOOKUP(B29,EuroArea!$A:$B,2,)</f>
        <v/>
      </c>
      <c r="G29" s="35">
        <f>VLOOKUP(B29,Japan!$A:$B,2,)</f>
        <v/>
      </c>
      <c r="H29" s="35">
        <f>VLOOKUP(B29,Germany!$A:$B,2,)</f>
        <v/>
      </c>
      <c r="I29" s="35">
        <f>VLOOKUP(B29,France!$A:$B,2,)</f>
        <v/>
      </c>
      <c r="J29" s="35">
        <f>VLOOKUP(B29,UK!$A:$B,2,)</f>
        <v/>
      </c>
      <c r="K29" s="35">
        <f>VLOOKUP(B29,Italy!$A:$B,2,)</f>
        <v/>
      </c>
      <c r="L29" s="35">
        <f>VLOOKUP(B29,Spain!$A:$B,2,)</f>
        <v/>
      </c>
      <c r="M29" s="35">
        <f>VLOOKUP(B29,Brazil!$A:$B,2,)</f>
        <v/>
      </c>
      <c r="N29" s="35">
        <f>VLOOKUP(B29,Russia!$A:$B,2,)</f>
        <v/>
      </c>
      <c r="O29" s="35">
        <f>VLOOKUP(B29,India!$A:$B,2,)</f>
        <v/>
      </c>
      <c r="P29" s="35">
        <f>VLOOKUP(B29,Australia!$A:$B,2,)</f>
        <v/>
      </c>
      <c r="Q29" s="35">
        <f>VLOOKUP(B29,Ireland!$A:$B,2,)</f>
        <v/>
      </c>
    </row>
    <row r="30">
      <c r="B30" s="34" t="n">
        <v>42614</v>
      </c>
      <c r="C30" s="35">
        <f>VLOOKUP(B30,Global!$A:$B,2,)</f>
        <v/>
      </c>
      <c r="D30" s="35">
        <f>VLOOKUP(B30,US!$A:$B,2,)</f>
        <v/>
      </c>
      <c r="E30" s="35">
        <f>VLOOKUP(B30,China!$A:$B,2,)</f>
        <v/>
      </c>
      <c r="F30" s="35">
        <f>VLOOKUP(B30,EuroArea!$A:$B,2,)</f>
        <v/>
      </c>
      <c r="G30" s="35">
        <f>VLOOKUP(B30,Japan!$A:$B,2,)</f>
        <v/>
      </c>
      <c r="H30" s="35">
        <f>VLOOKUP(B30,Germany!$A:$B,2,)</f>
        <v/>
      </c>
      <c r="I30" s="35">
        <f>VLOOKUP(B30,France!$A:$B,2,)</f>
        <v/>
      </c>
      <c r="J30" s="35">
        <f>VLOOKUP(B30,UK!$A:$B,2,)</f>
        <v/>
      </c>
      <c r="K30" s="35">
        <f>VLOOKUP(B30,Italy!$A:$B,2,)</f>
        <v/>
      </c>
      <c r="L30" s="35">
        <f>VLOOKUP(B30,Spain!$A:$B,2,)</f>
        <v/>
      </c>
      <c r="M30" s="35">
        <f>VLOOKUP(B30,Brazil!$A:$B,2,)</f>
        <v/>
      </c>
      <c r="N30" s="35">
        <f>VLOOKUP(B30,Russia!$A:$B,2,)</f>
        <v/>
      </c>
      <c r="O30" s="35">
        <f>VLOOKUP(B30,India!$A:$B,2,)</f>
        <v/>
      </c>
      <c r="P30" s="35">
        <f>VLOOKUP(B30,Australia!$A:$B,2,)</f>
        <v/>
      </c>
      <c r="Q30" s="35">
        <f>VLOOKUP(B30,Ireland!$A:$B,2,)</f>
        <v/>
      </c>
    </row>
    <row r="31">
      <c r="B31" s="34" t="n">
        <v>42644</v>
      </c>
      <c r="C31" s="35">
        <f>VLOOKUP(B31,Global!$A:$B,2,)</f>
        <v/>
      </c>
      <c r="D31" s="35">
        <f>VLOOKUP(B31,US!$A:$B,2,)</f>
        <v/>
      </c>
      <c r="E31" s="35">
        <f>VLOOKUP(B31,China!$A:$B,2,)</f>
        <v/>
      </c>
      <c r="F31" s="35">
        <f>VLOOKUP(B31,EuroArea!$A:$B,2,)</f>
        <v/>
      </c>
      <c r="G31" s="35">
        <f>VLOOKUP(B31,Japan!$A:$B,2,)</f>
        <v/>
      </c>
      <c r="H31" s="35">
        <f>VLOOKUP(B31,Germany!$A:$B,2,)</f>
        <v/>
      </c>
      <c r="I31" s="35">
        <f>VLOOKUP(B31,France!$A:$B,2,)</f>
        <v/>
      </c>
      <c r="J31" s="35">
        <f>VLOOKUP(B31,UK!$A:$B,2,)</f>
        <v/>
      </c>
      <c r="K31" s="35">
        <f>VLOOKUP(B31,Italy!$A:$B,2,)</f>
        <v/>
      </c>
      <c r="L31" s="35">
        <f>VLOOKUP(B31,Spain!$A:$B,2,)</f>
        <v/>
      </c>
      <c r="M31" s="35">
        <f>VLOOKUP(B31,Brazil!$A:$B,2,)</f>
        <v/>
      </c>
      <c r="N31" s="35">
        <f>VLOOKUP(B31,Russia!$A:$B,2,)</f>
        <v/>
      </c>
      <c r="O31" s="35">
        <f>VLOOKUP(B31,India!$A:$B,2,)</f>
        <v/>
      </c>
      <c r="P31" s="35">
        <f>VLOOKUP(B31,Australia!$A:$B,2,)</f>
        <v/>
      </c>
      <c r="Q31" s="35">
        <f>VLOOKUP(B31,Ireland!$A:$B,2,)</f>
        <v/>
      </c>
    </row>
    <row r="32">
      <c r="B32" s="34" t="n">
        <v>42675</v>
      </c>
      <c r="C32" s="35">
        <f>VLOOKUP(B32,Global!$A:$B,2,)</f>
        <v/>
      </c>
      <c r="D32" s="35">
        <f>VLOOKUP(B32,US!$A:$B,2,)</f>
        <v/>
      </c>
      <c r="E32" s="35">
        <f>VLOOKUP(B32,China!$A:$B,2,)</f>
        <v/>
      </c>
      <c r="F32" s="35">
        <f>VLOOKUP(B32,EuroArea!$A:$B,2,)</f>
        <v/>
      </c>
      <c r="G32" s="35">
        <f>VLOOKUP(B32,Japan!$A:$B,2,)</f>
        <v/>
      </c>
      <c r="H32" s="35">
        <f>VLOOKUP(B32,Germany!$A:$B,2,)</f>
        <v/>
      </c>
      <c r="I32" s="35">
        <f>VLOOKUP(B32,France!$A:$B,2,)</f>
        <v/>
      </c>
      <c r="J32" s="35">
        <f>VLOOKUP(B32,UK!$A:$B,2,)</f>
        <v/>
      </c>
      <c r="K32" s="35">
        <f>VLOOKUP(B32,Italy!$A:$B,2,)</f>
        <v/>
      </c>
      <c r="L32" s="35">
        <f>VLOOKUP(B32,Spain!$A:$B,2,)</f>
        <v/>
      </c>
      <c r="M32" s="35">
        <f>VLOOKUP(B32,Brazil!$A:$B,2,)</f>
        <v/>
      </c>
      <c r="N32" s="35">
        <f>VLOOKUP(B32,Russia!$A:$B,2,)</f>
        <v/>
      </c>
      <c r="O32" s="35">
        <f>VLOOKUP(B32,India!$A:$B,2,)</f>
        <v/>
      </c>
      <c r="P32" s="35">
        <f>VLOOKUP(B32,Australia!$A:$B,2,)</f>
        <v/>
      </c>
      <c r="Q32" s="35">
        <f>VLOOKUP(B32,Ireland!$A:$B,2,)</f>
        <v/>
      </c>
    </row>
    <row r="33">
      <c r="B33" s="34" t="n">
        <v>42705</v>
      </c>
      <c r="C33" s="35">
        <f>VLOOKUP(B33,Global!$A:$B,2,)</f>
        <v/>
      </c>
      <c r="D33" s="35">
        <f>VLOOKUP(B33,US!$A:$B,2,)</f>
        <v/>
      </c>
      <c r="E33" s="35">
        <f>VLOOKUP(B33,China!$A:$B,2,)</f>
        <v/>
      </c>
      <c r="F33" s="35">
        <f>VLOOKUP(B33,EuroArea!$A:$B,2,)</f>
        <v/>
      </c>
      <c r="G33" s="35">
        <f>VLOOKUP(B33,Japan!$A:$B,2,)</f>
        <v/>
      </c>
      <c r="H33" s="35">
        <f>VLOOKUP(B33,Germany!$A:$B,2,)</f>
        <v/>
      </c>
      <c r="I33" s="35">
        <f>VLOOKUP(B33,France!$A:$B,2,)</f>
        <v/>
      </c>
      <c r="J33" s="35">
        <f>VLOOKUP(B33,UK!$A:$B,2,)</f>
        <v/>
      </c>
      <c r="K33" s="35">
        <f>VLOOKUP(B33,Italy!$A:$B,2,)</f>
        <v/>
      </c>
      <c r="L33" s="35">
        <f>VLOOKUP(B33,Spain!$A:$B,2,)</f>
        <v/>
      </c>
      <c r="M33" s="35">
        <f>VLOOKUP(B33,Brazil!$A:$B,2,)</f>
        <v/>
      </c>
      <c r="N33" s="35">
        <f>VLOOKUP(B33,Russia!$A:$B,2,)</f>
        <v/>
      </c>
      <c r="O33" s="35">
        <f>VLOOKUP(B33,India!$A:$B,2,)</f>
        <v/>
      </c>
      <c r="P33" s="35">
        <f>VLOOKUP(B33,Australia!$A:$B,2,)</f>
        <v/>
      </c>
      <c r="Q33" s="35">
        <f>VLOOKUP(B33,Ireland!$A:$B,2,)</f>
        <v/>
      </c>
    </row>
    <row r="34">
      <c r="B34" s="34" t="n">
        <v>42736</v>
      </c>
      <c r="C34" s="35">
        <f>VLOOKUP(B34,Global!$A:$B,2,)</f>
        <v/>
      </c>
      <c r="D34" s="35">
        <f>VLOOKUP(B34,US!$A:$B,2,)</f>
        <v/>
      </c>
      <c r="E34" s="35">
        <f>VLOOKUP(B34,China!$A:$B,2,)</f>
        <v/>
      </c>
      <c r="F34" s="35">
        <f>VLOOKUP(B34,EuroArea!$A:$B,2,)</f>
        <v/>
      </c>
      <c r="G34" s="35">
        <f>VLOOKUP(B34,Japan!$A:$B,2,)</f>
        <v/>
      </c>
      <c r="H34" s="35">
        <f>VLOOKUP(B34,Germany!$A:$B,2,)</f>
        <v/>
      </c>
      <c r="I34" s="35">
        <f>VLOOKUP(B34,France!$A:$B,2,)</f>
        <v/>
      </c>
      <c r="J34" s="35">
        <f>VLOOKUP(B34,UK!$A:$B,2,)</f>
        <v/>
      </c>
      <c r="K34" s="35">
        <f>VLOOKUP(B34,Italy!$A:$B,2,)</f>
        <v/>
      </c>
      <c r="L34" s="35">
        <f>VLOOKUP(B34,Spain!$A:$B,2,)</f>
        <v/>
      </c>
      <c r="M34" s="35">
        <f>VLOOKUP(B34,Brazil!$A:$B,2,)</f>
        <v/>
      </c>
      <c r="N34" s="35">
        <f>VLOOKUP(B34,Russia!$A:$B,2,)</f>
        <v/>
      </c>
      <c r="O34" s="35">
        <f>VLOOKUP(B34,India!$A:$B,2,)</f>
        <v/>
      </c>
      <c r="P34" s="35">
        <f>VLOOKUP(B34,Australia!$A:$B,2,)</f>
        <v/>
      </c>
      <c r="Q34" s="35">
        <f>VLOOKUP(B34,Ireland!$A:$B,2,)</f>
        <v/>
      </c>
    </row>
    <row r="35">
      <c r="B35" s="34" t="n">
        <v>42767</v>
      </c>
      <c r="C35" s="35">
        <f>VLOOKUP(B35,Global!$A:$B,2,)</f>
        <v/>
      </c>
      <c r="D35" s="35">
        <f>VLOOKUP(B35,US!$A:$B,2,)</f>
        <v/>
      </c>
      <c r="E35" s="35">
        <f>VLOOKUP(B35,China!$A:$B,2,)</f>
        <v/>
      </c>
      <c r="F35" s="35">
        <f>VLOOKUP(B35,EuroArea!$A:$B,2,)</f>
        <v/>
      </c>
      <c r="G35" s="35">
        <f>VLOOKUP(B35,Japan!$A:$B,2,)</f>
        <v/>
      </c>
      <c r="H35" s="35">
        <f>VLOOKUP(B35,Germany!$A:$B,2,)</f>
        <v/>
      </c>
      <c r="I35" s="35">
        <f>VLOOKUP(B35,France!$A:$B,2,)</f>
        <v/>
      </c>
      <c r="J35" s="35">
        <f>VLOOKUP(B35,UK!$A:$B,2,)</f>
        <v/>
      </c>
      <c r="K35" s="35">
        <f>VLOOKUP(B35,Italy!$A:$B,2,)</f>
        <v/>
      </c>
      <c r="L35" s="35">
        <f>VLOOKUP(B35,Spain!$A:$B,2,)</f>
        <v/>
      </c>
      <c r="M35" s="35">
        <f>VLOOKUP(B35,Brazil!$A:$B,2,)</f>
        <v/>
      </c>
      <c r="N35" s="35">
        <f>VLOOKUP(B35,Russia!$A:$B,2,)</f>
        <v/>
      </c>
      <c r="O35" s="35">
        <f>VLOOKUP(B35,India!$A:$B,2,)</f>
        <v/>
      </c>
      <c r="P35" s="35">
        <f>VLOOKUP(B35,Australia!$A:$B,2,)</f>
        <v/>
      </c>
      <c r="Q35" s="35">
        <f>VLOOKUP(B35,Ireland!$A:$B,2,)</f>
        <v/>
      </c>
    </row>
    <row r="36">
      <c r="B36" s="34" t="n">
        <v>42795</v>
      </c>
      <c r="C36" s="35">
        <f>VLOOKUP(B36,Global!$A:$B,2,)</f>
        <v/>
      </c>
      <c r="D36" s="35">
        <f>VLOOKUP(B36,US!$A:$B,2,)</f>
        <v/>
      </c>
      <c r="E36" s="35">
        <f>VLOOKUP(B36,China!$A:$B,2,)</f>
        <v/>
      </c>
      <c r="F36" s="35">
        <f>VLOOKUP(B36,EuroArea!$A:$B,2,)</f>
        <v/>
      </c>
      <c r="G36" s="35">
        <f>VLOOKUP(B36,Japan!$A:$B,2,)</f>
        <v/>
      </c>
      <c r="H36" s="35">
        <f>VLOOKUP(B36,Germany!$A:$B,2,)</f>
        <v/>
      </c>
      <c r="I36" s="35">
        <f>VLOOKUP(B36,France!$A:$B,2,)</f>
        <v/>
      </c>
      <c r="J36" s="35">
        <f>VLOOKUP(B36,UK!$A:$B,2,)</f>
        <v/>
      </c>
      <c r="K36" s="35">
        <f>VLOOKUP(B36,Italy!$A:$B,2,)</f>
        <v/>
      </c>
      <c r="L36" s="35">
        <f>VLOOKUP(B36,Spain!$A:$B,2,)</f>
        <v/>
      </c>
      <c r="M36" s="35">
        <f>VLOOKUP(B36,Brazil!$A:$B,2,)</f>
        <v/>
      </c>
      <c r="N36" s="35">
        <f>VLOOKUP(B36,Russia!$A:$B,2,)</f>
        <v/>
      </c>
      <c r="O36" s="35">
        <f>VLOOKUP(B36,India!$A:$B,2,)</f>
        <v/>
      </c>
      <c r="P36" s="35">
        <f>VLOOKUP(B36,Australia!$A:$B,2,)</f>
        <v/>
      </c>
      <c r="Q36" s="35">
        <f>VLOOKUP(B36,Ireland!$A:$B,2,)</f>
        <v/>
      </c>
    </row>
    <row r="37">
      <c r="B37" s="34" t="n">
        <v>42826</v>
      </c>
      <c r="C37" s="35">
        <f>VLOOKUP(B37,Global!$A:$B,2,)</f>
        <v/>
      </c>
      <c r="D37" s="35">
        <f>VLOOKUP(B37,US!$A:$B,2,)</f>
        <v/>
      </c>
      <c r="E37" s="35">
        <f>VLOOKUP(B37,China!$A:$B,2,)</f>
        <v/>
      </c>
      <c r="F37" s="35">
        <f>VLOOKUP(B37,EuroArea!$A:$B,2,)</f>
        <v/>
      </c>
      <c r="G37" s="35">
        <f>VLOOKUP(B37,Japan!$A:$B,2,)</f>
        <v/>
      </c>
      <c r="H37" s="35">
        <f>VLOOKUP(B37,Germany!$A:$B,2,)</f>
        <v/>
      </c>
      <c r="I37" s="35">
        <f>VLOOKUP(B37,France!$A:$B,2,)</f>
        <v/>
      </c>
      <c r="J37" s="35">
        <f>VLOOKUP(B37,UK!$A:$B,2,)</f>
        <v/>
      </c>
      <c r="K37" s="35">
        <f>VLOOKUP(B37,Italy!$A:$B,2,)</f>
        <v/>
      </c>
      <c r="L37" s="35">
        <f>VLOOKUP(B37,Spain!$A:$B,2,)</f>
        <v/>
      </c>
      <c r="M37" s="35">
        <f>VLOOKUP(B37,Brazil!$A:$B,2,)</f>
        <v/>
      </c>
      <c r="N37" s="35">
        <f>VLOOKUP(B37,Russia!$A:$B,2,)</f>
        <v/>
      </c>
      <c r="O37" s="35">
        <f>VLOOKUP(B37,India!$A:$B,2,)</f>
        <v/>
      </c>
      <c r="P37" s="35">
        <f>VLOOKUP(B37,Australia!$A:$B,2,)</f>
        <v/>
      </c>
      <c r="Q37" s="35">
        <f>VLOOKUP(B37,Ireland!$A:$B,2,)</f>
        <v/>
      </c>
    </row>
    <row r="38">
      <c r="B38" s="34" t="n">
        <v>42856</v>
      </c>
      <c r="C38" s="35">
        <f>VLOOKUP(B38,Global!$A:$B,2,)</f>
        <v/>
      </c>
      <c r="D38" s="35">
        <f>VLOOKUP(B38,US!$A:$B,2,)</f>
        <v/>
      </c>
      <c r="E38" s="35">
        <f>VLOOKUP(B38,China!$A:$B,2,)</f>
        <v/>
      </c>
      <c r="F38" s="35">
        <f>VLOOKUP(B38,EuroArea!$A:$B,2,)</f>
        <v/>
      </c>
      <c r="G38" s="35">
        <f>VLOOKUP(B38,Japan!$A:$B,2,)</f>
        <v/>
      </c>
      <c r="H38" s="35">
        <f>VLOOKUP(B38,Germany!$A:$B,2,)</f>
        <v/>
      </c>
      <c r="I38" s="35">
        <f>VLOOKUP(B38,France!$A:$B,2,)</f>
        <v/>
      </c>
      <c r="J38" s="35">
        <f>VLOOKUP(B38,UK!$A:$B,2,)</f>
        <v/>
      </c>
      <c r="K38" s="35">
        <f>VLOOKUP(B38,Italy!$A:$B,2,)</f>
        <v/>
      </c>
      <c r="L38" s="35">
        <f>VLOOKUP(B38,Spain!$A:$B,2,)</f>
        <v/>
      </c>
      <c r="M38" s="35">
        <f>VLOOKUP(B38,Brazil!$A:$B,2,)</f>
        <v/>
      </c>
      <c r="N38" s="35">
        <f>VLOOKUP(B38,Russia!$A:$B,2,)</f>
        <v/>
      </c>
      <c r="O38" s="35">
        <f>VLOOKUP(B38,India!$A:$B,2,)</f>
        <v/>
      </c>
      <c r="P38" s="35">
        <f>VLOOKUP(B38,Australia!$A:$B,2,)</f>
        <v/>
      </c>
      <c r="Q38" s="35">
        <f>VLOOKUP(B38,Ireland!$A:$B,2,)</f>
        <v/>
      </c>
    </row>
    <row r="39">
      <c r="B39" s="34" t="n">
        <v>42887</v>
      </c>
      <c r="C39" s="35">
        <f>VLOOKUP(B39,Global!$A:$B,2,)</f>
        <v/>
      </c>
      <c r="D39" s="35">
        <f>VLOOKUP(B39,US!$A:$B,2,)</f>
        <v/>
      </c>
      <c r="E39" s="35">
        <f>VLOOKUP(B39,China!$A:$B,2,)</f>
        <v/>
      </c>
      <c r="F39" s="35">
        <f>VLOOKUP(B39,EuroArea!$A:$B,2,)</f>
        <v/>
      </c>
      <c r="G39" s="35">
        <f>VLOOKUP(B39,Japan!$A:$B,2,)</f>
        <v/>
      </c>
      <c r="H39" s="35">
        <f>VLOOKUP(B39,Germany!$A:$B,2,)</f>
        <v/>
      </c>
      <c r="I39" s="35">
        <f>VLOOKUP(B39,France!$A:$B,2,)</f>
        <v/>
      </c>
      <c r="J39" s="35">
        <f>VLOOKUP(B39,UK!$A:$B,2,)</f>
        <v/>
      </c>
      <c r="K39" s="35">
        <f>VLOOKUP(B39,Italy!$A:$B,2,)</f>
        <v/>
      </c>
      <c r="L39" s="35">
        <f>VLOOKUP(B39,Spain!$A:$B,2,)</f>
        <v/>
      </c>
      <c r="M39" s="35">
        <f>VLOOKUP(B39,Brazil!$A:$B,2,)</f>
        <v/>
      </c>
      <c r="N39" s="35">
        <f>VLOOKUP(B39,Russia!$A:$B,2,)</f>
        <v/>
      </c>
      <c r="O39" s="35">
        <f>VLOOKUP(B39,India!$A:$B,2,)</f>
        <v/>
      </c>
      <c r="P39" s="35">
        <f>VLOOKUP(B39,Australia!$A:$B,2,)</f>
        <v/>
      </c>
      <c r="Q39" s="35">
        <f>VLOOKUP(B39,Ireland!$A:$B,2,)</f>
        <v/>
      </c>
    </row>
    <row r="40">
      <c r="B40" s="34" t="n">
        <v>42917</v>
      </c>
      <c r="C40" s="35">
        <f>VLOOKUP(B40,Global!$A:$B,2,)</f>
        <v/>
      </c>
      <c r="D40" s="35">
        <f>VLOOKUP(B40,US!$A:$B,2,)</f>
        <v/>
      </c>
      <c r="E40" s="35">
        <f>VLOOKUP(B40,China!$A:$B,2,)</f>
        <v/>
      </c>
      <c r="F40" s="35">
        <f>VLOOKUP(B40,EuroArea!$A:$B,2,)</f>
        <v/>
      </c>
      <c r="G40" s="35">
        <f>VLOOKUP(B40,Japan!$A:$B,2,)</f>
        <v/>
      </c>
      <c r="H40" s="35">
        <f>VLOOKUP(B40,Germany!$A:$B,2,)</f>
        <v/>
      </c>
      <c r="I40" s="35">
        <f>VLOOKUP(B40,France!$A:$B,2,)</f>
        <v/>
      </c>
      <c r="J40" s="35">
        <f>VLOOKUP(B40,UK!$A:$B,2,)</f>
        <v/>
      </c>
      <c r="K40" s="35">
        <f>VLOOKUP(B40,Italy!$A:$B,2,)</f>
        <v/>
      </c>
      <c r="L40" s="35">
        <f>VLOOKUP(B40,Spain!$A:$B,2,)</f>
        <v/>
      </c>
      <c r="M40" s="35">
        <f>VLOOKUP(B40,Brazil!$A:$B,2,)</f>
        <v/>
      </c>
      <c r="N40" s="35">
        <f>VLOOKUP(B40,Russia!$A:$B,2,)</f>
        <v/>
      </c>
      <c r="O40" s="35">
        <f>VLOOKUP(B40,India!$A:$B,2,)</f>
        <v/>
      </c>
      <c r="P40" s="35">
        <f>VLOOKUP(B40,Australia!$A:$B,2,)</f>
        <v/>
      </c>
      <c r="Q40" s="35">
        <f>VLOOKUP(B40,Ireland!$A:$B,2,)</f>
        <v/>
      </c>
    </row>
    <row r="41">
      <c r="B41" s="34" t="n">
        <v>42948</v>
      </c>
      <c r="C41" s="35">
        <f>VLOOKUP(B41,Global!$A:$B,2,)</f>
        <v/>
      </c>
      <c r="D41" s="35">
        <f>VLOOKUP(B41,US!$A:$B,2,)</f>
        <v/>
      </c>
      <c r="E41" s="35">
        <f>VLOOKUP(B41,China!$A:$B,2,)</f>
        <v/>
      </c>
      <c r="F41" s="35">
        <f>VLOOKUP(B41,EuroArea!$A:$B,2,)</f>
        <v/>
      </c>
      <c r="G41" s="35">
        <f>VLOOKUP(B41,Japan!$A:$B,2,)</f>
        <v/>
      </c>
      <c r="H41" s="35">
        <f>VLOOKUP(B41,Germany!$A:$B,2,)</f>
        <v/>
      </c>
      <c r="I41" s="35">
        <f>VLOOKUP(B41,France!$A:$B,2,)</f>
        <v/>
      </c>
      <c r="J41" s="35">
        <f>VLOOKUP(B41,UK!$A:$B,2,)</f>
        <v/>
      </c>
      <c r="K41" s="35">
        <f>VLOOKUP(B41,Italy!$A:$B,2,)</f>
        <v/>
      </c>
      <c r="L41" s="35">
        <f>VLOOKUP(B41,Spain!$A:$B,2,)</f>
        <v/>
      </c>
      <c r="M41" s="35">
        <f>VLOOKUP(B41,Brazil!$A:$B,2,)</f>
        <v/>
      </c>
      <c r="N41" s="35">
        <f>VLOOKUP(B41,Russia!$A:$B,2,)</f>
        <v/>
      </c>
      <c r="O41" s="35">
        <f>VLOOKUP(B41,India!$A:$B,2,)</f>
        <v/>
      </c>
      <c r="P41" s="35">
        <f>VLOOKUP(B41,Australia!$A:$B,2,)</f>
        <v/>
      </c>
      <c r="Q41" s="35">
        <f>VLOOKUP(B41,Ireland!$A:$B,2,)</f>
        <v/>
      </c>
    </row>
    <row r="42">
      <c r="B42" s="34" t="n">
        <v>42979</v>
      </c>
      <c r="C42" s="35">
        <f>VLOOKUP(B42,Global!$A:$B,2,)</f>
        <v/>
      </c>
      <c r="D42" s="35">
        <f>VLOOKUP(B42,US!$A:$B,2,)</f>
        <v/>
      </c>
      <c r="E42" s="35">
        <f>VLOOKUP(B42,China!$A:$B,2,)</f>
        <v/>
      </c>
      <c r="F42" s="35">
        <f>VLOOKUP(B42,EuroArea!$A:$B,2,)</f>
        <v/>
      </c>
      <c r="G42" s="35">
        <f>VLOOKUP(B42,Japan!$A:$B,2,)</f>
        <v/>
      </c>
      <c r="H42" s="35">
        <f>VLOOKUP(B42,Germany!$A:$B,2,)</f>
        <v/>
      </c>
      <c r="I42" s="35">
        <f>VLOOKUP(B42,France!$A:$B,2,)</f>
        <v/>
      </c>
      <c r="J42" s="35">
        <f>VLOOKUP(B42,UK!$A:$B,2,)</f>
        <v/>
      </c>
      <c r="K42" s="35">
        <f>VLOOKUP(B42,Italy!$A:$B,2,)</f>
        <v/>
      </c>
      <c r="L42" s="35">
        <f>VLOOKUP(B42,Spain!$A:$B,2,)</f>
        <v/>
      </c>
      <c r="M42" s="35">
        <f>VLOOKUP(B42,Brazil!$A:$B,2,)</f>
        <v/>
      </c>
      <c r="N42" s="35">
        <f>VLOOKUP(B42,Russia!$A:$B,2,)</f>
        <v/>
      </c>
      <c r="O42" s="35">
        <f>VLOOKUP(B42,India!$A:$B,2,)</f>
        <v/>
      </c>
      <c r="P42" s="35">
        <f>VLOOKUP(B42,Australia!$A:$B,2,)</f>
        <v/>
      </c>
      <c r="Q42" s="35">
        <f>VLOOKUP(B42,Ireland!$A:$B,2,)</f>
        <v/>
      </c>
    </row>
    <row r="43">
      <c r="B43" s="34" t="n">
        <v>43009</v>
      </c>
      <c r="C43" s="35">
        <f>VLOOKUP(B43,Global!$A:$B,2,)</f>
        <v/>
      </c>
      <c r="D43" s="35">
        <f>VLOOKUP(B43,US!$A:$B,2,)</f>
        <v/>
      </c>
      <c r="E43" s="35">
        <f>VLOOKUP(B43,China!$A:$B,2,)</f>
        <v/>
      </c>
      <c r="F43" s="35">
        <f>VLOOKUP(B43,EuroArea!$A:$B,2,)</f>
        <v/>
      </c>
      <c r="G43" s="35">
        <f>VLOOKUP(B43,Japan!$A:$B,2,)</f>
        <v/>
      </c>
      <c r="H43" s="35">
        <f>VLOOKUP(B43,Germany!$A:$B,2,)</f>
        <v/>
      </c>
      <c r="I43" s="35">
        <f>VLOOKUP(B43,France!$A:$B,2,)</f>
        <v/>
      </c>
      <c r="J43" s="35">
        <f>VLOOKUP(B43,UK!$A:$B,2,)</f>
        <v/>
      </c>
      <c r="K43" s="35">
        <f>VLOOKUP(B43,Italy!$A:$B,2,)</f>
        <v/>
      </c>
      <c r="L43" s="35">
        <f>VLOOKUP(B43,Spain!$A:$B,2,)</f>
        <v/>
      </c>
      <c r="M43" s="35">
        <f>VLOOKUP(B43,Brazil!$A:$B,2,)</f>
        <v/>
      </c>
      <c r="N43" s="35">
        <f>VLOOKUP(B43,Russia!$A:$B,2,)</f>
        <v/>
      </c>
      <c r="O43" s="35">
        <f>VLOOKUP(B43,India!$A:$B,2,)</f>
        <v/>
      </c>
      <c r="P43" s="35">
        <f>VLOOKUP(B43,Australia!$A:$B,2,)</f>
        <v/>
      </c>
      <c r="Q43" s="35">
        <f>VLOOKUP(B43,Ireland!$A:$B,2,)</f>
        <v/>
      </c>
    </row>
    <row r="44">
      <c r="B44" s="34" t="n">
        <v>43040</v>
      </c>
      <c r="C44" s="35">
        <f>VLOOKUP(B44,Global!$A:$B,2,)</f>
        <v/>
      </c>
      <c r="D44" s="35">
        <f>VLOOKUP(B44,US!$A:$B,2,)</f>
        <v/>
      </c>
      <c r="E44" s="35">
        <f>VLOOKUP(B44,China!$A:$B,2,)</f>
        <v/>
      </c>
      <c r="F44" s="35">
        <f>VLOOKUP(B44,EuroArea!$A:$B,2,)</f>
        <v/>
      </c>
      <c r="G44" s="35">
        <f>VLOOKUP(B44,Japan!$A:$B,2,)</f>
        <v/>
      </c>
      <c r="H44" s="35">
        <f>VLOOKUP(B44,Germany!$A:$B,2,)</f>
        <v/>
      </c>
      <c r="I44" s="35">
        <f>VLOOKUP(B44,France!$A:$B,2,)</f>
        <v/>
      </c>
      <c r="J44" s="35">
        <f>VLOOKUP(B44,UK!$A:$B,2,)</f>
        <v/>
      </c>
      <c r="K44" s="35">
        <f>VLOOKUP(B44,Italy!$A:$B,2,)</f>
        <v/>
      </c>
      <c r="L44" s="35">
        <f>VLOOKUP(B44,Spain!$A:$B,2,)</f>
        <v/>
      </c>
      <c r="M44" s="35">
        <f>VLOOKUP(B44,Brazil!$A:$B,2,)</f>
        <v/>
      </c>
      <c r="N44" s="35">
        <f>VLOOKUP(B44,Russia!$A:$B,2,)</f>
        <v/>
      </c>
      <c r="O44" s="35">
        <f>VLOOKUP(B44,India!$A:$B,2,)</f>
        <v/>
      </c>
      <c r="P44" s="35">
        <f>VLOOKUP(B44,Australia!$A:$B,2,)</f>
        <v/>
      </c>
      <c r="Q44" s="35">
        <f>VLOOKUP(B44,Ireland!$A:$B,2,)</f>
        <v/>
      </c>
    </row>
    <row r="45">
      <c r="B45" s="34" t="n">
        <v>43070</v>
      </c>
      <c r="C45" s="35">
        <f>VLOOKUP(B45,Global!$A:$B,2,)</f>
        <v/>
      </c>
      <c r="D45" s="35">
        <f>VLOOKUP(B45,US!$A:$B,2,)</f>
        <v/>
      </c>
      <c r="E45" s="35">
        <f>VLOOKUP(B45,China!$A:$B,2,)</f>
        <v/>
      </c>
      <c r="F45" s="35">
        <f>VLOOKUP(B45,EuroArea!$A:$B,2,)</f>
        <v/>
      </c>
      <c r="G45" s="35">
        <f>VLOOKUP(B45,Japan!$A:$B,2,)</f>
        <v/>
      </c>
      <c r="H45" s="35">
        <f>VLOOKUP(B45,Germany!$A:$B,2,)</f>
        <v/>
      </c>
      <c r="I45" s="35">
        <f>VLOOKUP(B45,France!$A:$B,2,)</f>
        <v/>
      </c>
      <c r="J45" s="35">
        <f>VLOOKUP(B45,UK!$A:$B,2,)</f>
        <v/>
      </c>
      <c r="K45" s="35">
        <f>VLOOKUP(B45,Italy!$A:$B,2,)</f>
        <v/>
      </c>
      <c r="L45" s="35">
        <f>VLOOKUP(B45,Spain!$A:$B,2,)</f>
        <v/>
      </c>
      <c r="M45" s="35">
        <f>VLOOKUP(B45,Brazil!$A:$B,2,)</f>
        <v/>
      </c>
      <c r="N45" s="35">
        <f>VLOOKUP(B45,Russia!$A:$B,2,)</f>
        <v/>
      </c>
      <c r="O45" s="35">
        <f>VLOOKUP(B45,India!$A:$B,2,)</f>
        <v/>
      </c>
      <c r="P45" s="35">
        <f>VLOOKUP(B45,Australia!$A:$B,2,)</f>
        <v/>
      </c>
      <c r="Q45" s="35">
        <f>VLOOKUP(B45,Ireland!$A:$B,2,)</f>
        <v/>
      </c>
    </row>
    <row r="46">
      <c r="B46" s="34" t="n">
        <v>43101</v>
      </c>
      <c r="C46" s="35">
        <f>VLOOKUP(B46,Global!$A:$B,2,)</f>
        <v/>
      </c>
      <c r="D46" s="35">
        <f>VLOOKUP(B46,US!$A:$B,2,)</f>
        <v/>
      </c>
      <c r="E46" s="35">
        <f>VLOOKUP(B46,China!$A:$B,2,)</f>
        <v/>
      </c>
      <c r="F46" s="35">
        <f>VLOOKUP(B46,EuroArea!$A:$B,2,)</f>
        <v/>
      </c>
      <c r="G46" s="35">
        <f>VLOOKUP(B46,Japan!$A:$B,2,)</f>
        <v/>
      </c>
      <c r="H46" s="35">
        <f>VLOOKUP(B46,Germany!$A:$B,2,)</f>
        <v/>
      </c>
      <c r="I46" s="35">
        <f>VLOOKUP(B46,France!$A:$B,2,)</f>
        <v/>
      </c>
      <c r="J46" s="35">
        <f>VLOOKUP(B46,UK!$A:$B,2,)</f>
        <v/>
      </c>
      <c r="K46" s="35">
        <f>VLOOKUP(B46,Italy!$A:$B,2,)</f>
        <v/>
      </c>
      <c r="L46" s="35">
        <f>VLOOKUP(B46,Spain!$A:$B,2,)</f>
        <v/>
      </c>
      <c r="M46" s="35">
        <f>VLOOKUP(B46,Brazil!$A:$B,2,)</f>
        <v/>
      </c>
      <c r="N46" s="35">
        <f>VLOOKUP(B46,Russia!$A:$B,2,)</f>
        <v/>
      </c>
      <c r="O46" s="35">
        <f>VLOOKUP(B46,India!$A:$B,2,)</f>
        <v/>
      </c>
      <c r="P46" s="35">
        <f>VLOOKUP(B46,Australia!$A:$B,2,)</f>
        <v/>
      </c>
      <c r="Q46" s="35">
        <f>VLOOKUP(B46,Ireland!$A:$B,2,)</f>
        <v/>
      </c>
    </row>
    <row r="47">
      <c r="B47" s="34" t="n">
        <v>43132</v>
      </c>
      <c r="C47" s="35">
        <f>VLOOKUP(B47,Global!$A:$B,2,)</f>
        <v/>
      </c>
      <c r="D47" s="35">
        <f>VLOOKUP(B47,US!$A:$B,2,)</f>
        <v/>
      </c>
      <c r="E47" s="35">
        <f>VLOOKUP(B47,China!$A:$B,2,)</f>
        <v/>
      </c>
      <c r="F47" s="35">
        <f>VLOOKUP(B47,EuroArea!$A:$B,2,)</f>
        <v/>
      </c>
      <c r="G47" s="35">
        <f>VLOOKUP(B47,Japan!$A:$B,2,)</f>
        <v/>
      </c>
      <c r="H47" s="35">
        <f>VLOOKUP(B47,Germany!$A:$B,2,)</f>
        <v/>
      </c>
      <c r="I47" s="35">
        <f>VLOOKUP(B47,France!$A:$B,2,)</f>
        <v/>
      </c>
      <c r="J47" s="35">
        <f>VLOOKUP(B47,UK!$A:$B,2,)</f>
        <v/>
      </c>
      <c r="K47" s="35">
        <f>VLOOKUP(B47,Italy!$A:$B,2,)</f>
        <v/>
      </c>
      <c r="L47" s="35">
        <f>VLOOKUP(B47,Spain!$A:$B,2,)</f>
        <v/>
      </c>
      <c r="M47" s="35">
        <f>VLOOKUP(B47,Brazil!$A:$B,2,)</f>
        <v/>
      </c>
      <c r="N47" s="35">
        <f>VLOOKUP(B47,Russia!$A:$B,2,)</f>
        <v/>
      </c>
      <c r="O47" s="35">
        <f>VLOOKUP(B47,India!$A:$B,2,)</f>
        <v/>
      </c>
      <c r="P47" s="35">
        <f>VLOOKUP(B47,Australia!$A:$B,2,)</f>
        <v/>
      </c>
      <c r="Q47" s="35">
        <f>VLOOKUP(B47,Ireland!$A:$B,2,)</f>
        <v/>
      </c>
    </row>
    <row r="48">
      <c r="B48" s="34" t="n">
        <v>43160</v>
      </c>
      <c r="C48" s="35">
        <f>VLOOKUP(B48,Global!$A:$B,2,)</f>
        <v/>
      </c>
      <c r="D48" s="35">
        <f>VLOOKUP(B48,US!$A:$B,2,)</f>
        <v/>
      </c>
      <c r="E48" s="35">
        <f>VLOOKUP(B48,China!$A:$B,2,)</f>
        <v/>
      </c>
      <c r="F48" s="35">
        <f>VLOOKUP(B48,EuroArea!$A:$B,2,)</f>
        <v/>
      </c>
      <c r="G48" s="35">
        <f>VLOOKUP(B48,Japan!$A:$B,2,)</f>
        <v/>
      </c>
      <c r="H48" s="35">
        <f>VLOOKUP(B48,Germany!$A:$B,2,)</f>
        <v/>
      </c>
      <c r="I48" s="35">
        <f>VLOOKUP(B48,France!$A:$B,2,)</f>
        <v/>
      </c>
      <c r="J48" s="35">
        <f>VLOOKUP(B48,UK!$A:$B,2,)</f>
        <v/>
      </c>
      <c r="K48" s="35">
        <f>VLOOKUP(B48,Italy!$A:$B,2,)</f>
        <v/>
      </c>
      <c r="L48" s="35">
        <f>VLOOKUP(B48,Spain!$A:$B,2,)</f>
        <v/>
      </c>
      <c r="M48" s="35">
        <f>VLOOKUP(B48,Brazil!$A:$B,2,)</f>
        <v/>
      </c>
      <c r="N48" s="35">
        <f>VLOOKUP(B48,Russia!$A:$B,2,)</f>
        <v/>
      </c>
      <c r="O48" s="35">
        <f>VLOOKUP(B48,India!$A:$B,2,)</f>
        <v/>
      </c>
      <c r="P48" s="35">
        <f>VLOOKUP(B48,Australia!$A:$B,2,)</f>
        <v/>
      </c>
      <c r="Q48" s="35">
        <f>VLOOKUP(B48,Ireland!$A:$B,2,)</f>
        <v/>
      </c>
    </row>
    <row r="49">
      <c r="B49" s="34" t="n">
        <v>43191</v>
      </c>
      <c r="C49" s="35">
        <f>VLOOKUP(B49,Global!$A:$B,2,)</f>
        <v/>
      </c>
      <c r="D49" s="35">
        <f>VLOOKUP(B49,US!$A:$B,2,)</f>
        <v/>
      </c>
      <c r="E49" s="35">
        <f>VLOOKUP(B49,China!$A:$B,2,)</f>
        <v/>
      </c>
      <c r="F49" s="35">
        <f>VLOOKUP(B49,EuroArea!$A:$B,2,)</f>
        <v/>
      </c>
      <c r="G49" s="35">
        <f>VLOOKUP(B49,Japan!$A:$B,2,)</f>
        <v/>
      </c>
      <c r="H49" s="35">
        <f>VLOOKUP(B49,Germany!$A:$B,2,)</f>
        <v/>
      </c>
      <c r="I49" s="35">
        <f>VLOOKUP(B49,France!$A:$B,2,)</f>
        <v/>
      </c>
      <c r="J49" s="35">
        <f>VLOOKUP(B49,UK!$A:$B,2,)</f>
        <v/>
      </c>
      <c r="K49" s="35">
        <f>VLOOKUP(B49,Italy!$A:$B,2,)</f>
        <v/>
      </c>
      <c r="L49" s="35">
        <f>VLOOKUP(B49,Spain!$A:$B,2,)</f>
        <v/>
      </c>
      <c r="M49" s="35">
        <f>VLOOKUP(B49,Brazil!$A:$B,2,)</f>
        <v/>
      </c>
      <c r="N49" s="35">
        <f>VLOOKUP(B49,Russia!$A:$B,2,)</f>
        <v/>
      </c>
      <c r="O49" s="35">
        <f>VLOOKUP(B49,India!$A:$B,2,)</f>
        <v/>
      </c>
      <c r="P49" s="35">
        <f>VLOOKUP(B49,Australia!$A:$B,2,)</f>
        <v/>
      </c>
      <c r="Q49" s="35">
        <f>VLOOKUP(B49,Ireland!$A:$B,2,)</f>
        <v/>
      </c>
    </row>
    <row r="50" customFormat="1" s="57">
      <c r="B50" s="34" t="n">
        <v>43221</v>
      </c>
      <c r="C50" s="35">
        <f>VLOOKUP(B50,Global!$A:$B,2,)</f>
        <v/>
      </c>
      <c r="D50" s="35">
        <f>VLOOKUP(B50,US!$A:$B,2,)</f>
        <v/>
      </c>
      <c r="E50" s="35">
        <f>VLOOKUP(B50,China!$A:$B,2,)</f>
        <v/>
      </c>
      <c r="F50" s="35">
        <f>VLOOKUP(B50,EuroArea!$A:$B,2,)</f>
        <v/>
      </c>
      <c r="G50" s="35">
        <f>VLOOKUP(B50,Japan!$A:$B,2,)</f>
        <v/>
      </c>
      <c r="H50" s="35">
        <f>VLOOKUP(B50,Germany!$A:$B,2,)</f>
        <v/>
      </c>
      <c r="I50" s="35">
        <f>VLOOKUP(B50,France!$A:$B,2,)</f>
        <v/>
      </c>
      <c r="J50" s="35">
        <f>VLOOKUP(B50,UK!$A:$B,2,)</f>
        <v/>
      </c>
      <c r="K50" s="35">
        <f>VLOOKUP(B50,Italy!$A:$B,2,)</f>
        <v/>
      </c>
      <c r="L50" s="35">
        <f>VLOOKUP(B50,Spain!$A:$B,2,)</f>
        <v/>
      </c>
      <c r="M50" s="35">
        <f>VLOOKUP(B50,Brazil!$A:$B,2,)</f>
        <v/>
      </c>
      <c r="N50" s="35">
        <f>VLOOKUP(B50,Russia!$A:$B,2,)</f>
        <v/>
      </c>
      <c r="O50" s="35">
        <f>VLOOKUP(B50,India!$A:$B,2,)</f>
        <v/>
      </c>
      <c r="P50" s="35">
        <f>VLOOKUP(B50,Australia!$A:$B,2,)</f>
        <v/>
      </c>
      <c r="Q50" s="35">
        <f>VLOOKUP(B50,Ireland!$A:$B,2,)</f>
        <v/>
      </c>
    </row>
    <row r="51" customFormat="1" s="57">
      <c r="B51" s="34" t="n">
        <v>43252</v>
      </c>
      <c r="C51" s="35">
        <f>VLOOKUP(B51,Global!$A:$B,2,)</f>
        <v/>
      </c>
      <c r="D51" s="35">
        <f>VLOOKUP(B51,US!$A:$B,2,)</f>
        <v/>
      </c>
      <c r="E51" s="35">
        <f>VLOOKUP(B51,China!$A:$B,2,)</f>
        <v/>
      </c>
      <c r="F51" s="35">
        <f>VLOOKUP(B51,EuroArea!$A:$B,2,)</f>
        <v/>
      </c>
      <c r="G51" s="35">
        <f>VLOOKUP(B51,Japan!$A:$B,2,)</f>
        <v/>
      </c>
      <c r="H51" s="35">
        <f>VLOOKUP(B51,Germany!$A:$B,2,)</f>
        <v/>
      </c>
      <c r="I51" s="35">
        <f>VLOOKUP(B51,France!$A:$B,2,)</f>
        <v/>
      </c>
      <c r="J51" s="35">
        <f>VLOOKUP(B51,UK!$A:$B,2,)</f>
        <v/>
      </c>
      <c r="K51" s="35">
        <f>VLOOKUP(B51,Italy!$A:$B,2,)</f>
        <v/>
      </c>
      <c r="L51" s="35">
        <f>VLOOKUP(B51,Spain!$A:$B,2,)</f>
        <v/>
      </c>
      <c r="M51" s="35">
        <f>VLOOKUP(B51,Brazil!$A:$B,2,)</f>
        <v/>
      </c>
      <c r="N51" s="35">
        <f>VLOOKUP(B51,Russia!$A:$B,2,)</f>
        <v/>
      </c>
      <c r="O51" s="35">
        <f>VLOOKUP(B51,India!$A:$B,2,)</f>
        <v/>
      </c>
      <c r="P51" s="35">
        <f>VLOOKUP(B51,Australia!$A:$B,2,)</f>
        <v/>
      </c>
      <c r="Q51" s="35">
        <f>VLOOKUP(B51,Ireland!$A:$B,2,)</f>
        <v/>
      </c>
    </row>
    <row r="52" customFormat="1" s="57">
      <c r="B52" s="34" t="n">
        <v>43282</v>
      </c>
      <c r="C52" s="35">
        <f>VLOOKUP(B52,Global!$A:$B,2,)</f>
        <v/>
      </c>
      <c r="D52" s="35">
        <f>VLOOKUP(B52,US!$A:$B,2,)</f>
        <v/>
      </c>
      <c r="E52" s="35">
        <f>VLOOKUP(B52,China!$A:$B,2,)</f>
        <v/>
      </c>
      <c r="F52" s="35">
        <f>VLOOKUP(B52,EuroArea!$A:$B,2,)</f>
        <v/>
      </c>
      <c r="G52" s="35">
        <f>VLOOKUP(B52,Japan!$A:$B,2,)</f>
        <v/>
      </c>
      <c r="H52" s="35">
        <f>VLOOKUP(B52,Germany!$A:$B,2,)</f>
        <v/>
      </c>
      <c r="I52" s="35">
        <f>VLOOKUP(B52,France!$A:$B,2,)</f>
        <v/>
      </c>
      <c r="J52" s="35">
        <f>VLOOKUP(B52,UK!$A:$B,2,)</f>
        <v/>
      </c>
      <c r="K52" s="35">
        <f>VLOOKUP(B52,Italy!$A:$B,2,)</f>
        <v/>
      </c>
      <c r="L52" s="35">
        <f>VLOOKUP(B52,Spain!$A:$B,2,)</f>
        <v/>
      </c>
      <c r="M52" s="35">
        <f>VLOOKUP(B52,Brazil!$A:$B,2,)</f>
        <v/>
      </c>
      <c r="N52" s="35">
        <f>VLOOKUP(B52,Russia!$A:$B,2,)</f>
        <v/>
      </c>
      <c r="O52" s="35">
        <f>VLOOKUP(B52,India!$A:$B,2,)</f>
        <v/>
      </c>
      <c r="P52" s="35">
        <f>VLOOKUP(B52,Australia!$A:$B,2,)</f>
        <v/>
      </c>
      <c r="Q52" s="35">
        <f>VLOOKUP(B52,Ireland!$A:$B,2,)</f>
        <v/>
      </c>
    </row>
    <row r="53" customFormat="1" s="57">
      <c r="B53" s="34" t="n">
        <v>43313</v>
      </c>
      <c r="C53" s="35">
        <f>VLOOKUP(B53,Global!$A:$B,2,)</f>
        <v/>
      </c>
      <c r="D53" s="35">
        <f>VLOOKUP(B53,US!$A:$B,2,)</f>
        <v/>
      </c>
      <c r="E53" s="35">
        <f>VLOOKUP(B53,China!$A:$B,2,)</f>
        <v/>
      </c>
      <c r="F53" s="35">
        <f>VLOOKUP(B53,EuroArea!$A:$B,2,)</f>
        <v/>
      </c>
      <c r="G53" s="35">
        <f>VLOOKUP(B53,Japan!$A:$B,2,)</f>
        <v/>
      </c>
      <c r="H53" s="35">
        <f>VLOOKUP(B53,Germany!$A:$B,2,)</f>
        <v/>
      </c>
      <c r="I53" s="35">
        <f>VLOOKUP(B53,France!$A:$B,2,)</f>
        <v/>
      </c>
      <c r="J53" s="35">
        <f>VLOOKUP(B53,UK!$A:$B,2,)</f>
        <v/>
      </c>
      <c r="K53" s="35">
        <f>VLOOKUP(B53,Italy!$A:$B,2,)</f>
        <v/>
      </c>
      <c r="L53" s="35">
        <f>VLOOKUP(B53,Spain!$A:$B,2,)</f>
        <v/>
      </c>
      <c r="M53" s="35">
        <f>VLOOKUP(B53,Brazil!$A:$B,2,)</f>
        <v/>
      </c>
      <c r="N53" s="35">
        <f>VLOOKUP(B53,Russia!$A:$B,2,)</f>
        <v/>
      </c>
      <c r="O53" s="35">
        <f>VLOOKUP(B53,India!$A:$B,2,)</f>
        <v/>
      </c>
      <c r="P53" s="35">
        <f>VLOOKUP(B53,Australia!$A:$B,2,)</f>
        <v/>
      </c>
      <c r="Q53" s="35">
        <f>VLOOKUP(B53,Ireland!$A:$B,2,)</f>
        <v/>
      </c>
    </row>
    <row r="54" customFormat="1" s="57">
      <c r="B54" s="34" t="n">
        <v>43344</v>
      </c>
      <c r="C54" s="35">
        <f>VLOOKUP(B54,Global!$A:$B,2,)</f>
        <v/>
      </c>
      <c r="D54" s="35">
        <f>VLOOKUP(B54,US!$A:$B,2,)</f>
        <v/>
      </c>
      <c r="E54" s="35">
        <f>VLOOKUP(B54,China!$A:$B,2,)</f>
        <v/>
      </c>
      <c r="F54" s="35">
        <f>VLOOKUP(B54,EuroArea!$A:$B,2,)</f>
        <v/>
      </c>
      <c r="G54" s="35">
        <f>VLOOKUP(B54,Japan!$A:$B,2,)</f>
        <v/>
      </c>
      <c r="H54" s="35">
        <f>VLOOKUP(B54,Germany!$A:$B,2,)</f>
        <v/>
      </c>
      <c r="I54" s="35">
        <f>VLOOKUP(B54,France!$A:$B,2,)</f>
        <v/>
      </c>
      <c r="J54" s="35">
        <f>VLOOKUP(B54,UK!$A:$B,2,)</f>
        <v/>
      </c>
      <c r="K54" s="35">
        <f>VLOOKUP(B54,Italy!$A:$B,2,)</f>
        <v/>
      </c>
      <c r="L54" s="35">
        <f>VLOOKUP(B54,Spain!$A:$B,2,)</f>
        <v/>
      </c>
      <c r="M54" s="35">
        <f>VLOOKUP(B54,Brazil!$A:$B,2,)</f>
        <v/>
      </c>
      <c r="N54" s="35">
        <f>VLOOKUP(B54,Russia!$A:$B,2,)</f>
        <v/>
      </c>
      <c r="O54" s="35">
        <f>VLOOKUP(B54,India!$A:$B,2,)</f>
        <v/>
      </c>
      <c r="P54" s="35">
        <f>VLOOKUP(B54,Australia!$A:$B,2,)</f>
        <v/>
      </c>
      <c r="Q54" s="35">
        <f>VLOOKUP(B54,Ireland!$A:$B,2,)</f>
        <v/>
      </c>
    </row>
    <row r="55" customFormat="1" s="57">
      <c r="B55" s="34" t="n">
        <v>43374</v>
      </c>
      <c r="C55" s="35">
        <f>VLOOKUP(B55,Global!$A:$B,2,)</f>
        <v/>
      </c>
      <c r="D55" s="35">
        <f>VLOOKUP(B55,US!$A:$B,2,)</f>
        <v/>
      </c>
      <c r="E55" s="35">
        <f>VLOOKUP(B55,China!$A:$B,2,)</f>
        <v/>
      </c>
      <c r="F55" s="35">
        <f>VLOOKUP(B55,EuroArea!$A:$B,2,)</f>
        <v/>
      </c>
      <c r="G55" s="35">
        <f>VLOOKUP(B55,Japan!$A:$B,2,)</f>
        <v/>
      </c>
      <c r="H55" s="35">
        <f>VLOOKUP(B55,Germany!$A:$B,2,)</f>
        <v/>
      </c>
      <c r="I55" s="35">
        <f>VLOOKUP(B55,France!$A:$B,2,)</f>
        <v/>
      </c>
      <c r="J55" s="35">
        <f>VLOOKUP(B55,UK!$A:$B,2,)</f>
        <v/>
      </c>
      <c r="K55" s="35">
        <f>VLOOKUP(B55,Italy!$A:$B,2,)</f>
        <v/>
      </c>
      <c r="L55" s="35">
        <f>VLOOKUP(B55,Spain!$A:$B,2,)</f>
        <v/>
      </c>
      <c r="M55" s="35">
        <f>VLOOKUP(B55,Brazil!$A:$B,2,)</f>
        <v/>
      </c>
      <c r="N55" s="35">
        <f>VLOOKUP(B55,Russia!$A:$B,2,)</f>
        <v/>
      </c>
      <c r="O55" s="35">
        <f>VLOOKUP(B55,India!$A:$B,2,)</f>
        <v/>
      </c>
      <c r="P55" s="35">
        <f>VLOOKUP(B55,Australia!$A:$B,2,)</f>
        <v/>
      </c>
      <c r="Q55" s="35">
        <f>VLOOKUP(B55,Ireland!$A:$B,2,)</f>
        <v/>
      </c>
    </row>
    <row r="56" customFormat="1" s="57">
      <c r="B56" s="34" t="n">
        <v>43405</v>
      </c>
      <c r="C56" s="35">
        <f>VLOOKUP(B56,Global!$A:$B,2,)</f>
        <v/>
      </c>
      <c r="D56" s="35">
        <f>VLOOKUP(B56,US!$A:$B,2,)</f>
        <v/>
      </c>
      <c r="E56" s="35">
        <f>VLOOKUP(B56,China!$A:$B,2,)</f>
        <v/>
      </c>
      <c r="F56" s="35">
        <f>VLOOKUP(B56,EuroArea!$A:$B,2,)</f>
        <v/>
      </c>
      <c r="G56" s="35">
        <f>VLOOKUP(B56,Japan!$A:$B,2,)</f>
        <v/>
      </c>
      <c r="H56" s="35">
        <f>VLOOKUP(B56,Germany!$A:$B,2,)</f>
        <v/>
      </c>
      <c r="I56" s="35">
        <f>VLOOKUP(B56,France!$A:$B,2,)</f>
        <v/>
      </c>
      <c r="J56" s="35">
        <f>VLOOKUP(B56,UK!$A:$B,2,)</f>
        <v/>
      </c>
      <c r="K56" s="35">
        <f>VLOOKUP(B56,Italy!$A:$B,2,)</f>
        <v/>
      </c>
      <c r="L56" s="35">
        <f>VLOOKUP(B56,Spain!$A:$B,2,)</f>
        <v/>
      </c>
      <c r="M56" s="35">
        <f>VLOOKUP(B56,Brazil!$A:$B,2,)</f>
        <v/>
      </c>
      <c r="N56" s="35">
        <f>VLOOKUP(B56,Russia!$A:$B,2,)</f>
        <v/>
      </c>
      <c r="O56" s="35">
        <f>VLOOKUP(B56,India!$A:$B,2,)</f>
        <v/>
      </c>
      <c r="P56" s="35">
        <f>VLOOKUP(B56,Australia!$A:$B,2,)</f>
        <v/>
      </c>
      <c r="Q56" s="35">
        <f>VLOOKUP(B56,Ireland!$A:$B,2,)</f>
        <v/>
      </c>
    </row>
    <row r="57" customFormat="1" s="57">
      <c r="B57" s="34" t="n">
        <v>43435</v>
      </c>
      <c r="C57" s="35">
        <f>VLOOKUP(B57,Global!$A:$B,2,)</f>
        <v/>
      </c>
      <c r="D57" s="35">
        <f>VLOOKUP(B57,US!$A:$B,2,)</f>
        <v/>
      </c>
      <c r="E57" s="35">
        <f>VLOOKUP(B57,China!$A:$B,2,)</f>
        <v/>
      </c>
      <c r="F57" s="35">
        <f>VLOOKUP(B57,EuroArea!$A:$B,2,)</f>
        <v/>
      </c>
      <c r="G57" s="35">
        <f>VLOOKUP(B57,Japan!$A:$B,2,)</f>
        <v/>
      </c>
      <c r="H57" s="35">
        <f>VLOOKUP(B57,Germany!$A:$B,2,)</f>
        <v/>
      </c>
      <c r="I57" s="35">
        <f>VLOOKUP(B57,France!$A:$B,2,)</f>
        <v/>
      </c>
      <c r="J57" s="35">
        <f>VLOOKUP(B57,UK!$A:$B,2,)</f>
        <v/>
      </c>
      <c r="K57" s="35">
        <f>VLOOKUP(B57,Italy!$A:$B,2,)</f>
        <v/>
      </c>
      <c r="L57" s="35">
        <f>VLOOKUP(B57,Spain!$A:$B,2,)</f>
        <v/>
      </c>
      <c r="M57" s="35">
        <f>VLOOKUP(B57,Brazil!$A:$B,2,)</f>
        <v/>
      </c>
      <c r="N57" s="35">
        <f>VLOOKUP(B57,Russia!$A:$B,2,)</f>
        <v/>
      </c>
      <c r="O57" s="35">
        <f>VLOOKUP(B57,India!$A:$B,2,)</f>
        <v/>
      </c>
      <c r="P57" s="35">
        <f>VLOOKUP(B57,Australia!$A:$B,2,)</f>
        <v/>
      </c>
      <c r="Q57" s="35">
        <f>VLOOKUP(B57,Ireland!$A:$B,2,)</f>
        <v/>
      </c>
    </row>
    <row r="58" customFormat="1" s="57">
      <c r="B58" s="34" t="n">
        <v>43466</v>
      </c>
      <c r="C58" s="35">
        <f>VLOOKUP(B58,Global!$A:$B,2,)</f>
        <v/>
      </c>
      <c r="D58" s="35">
        <f>VLOOKUP(B58,US!$A:$B,2,)</f>
        <v/>
      </c>
      <c r="E58" s="35">
        <f>VLOOKUP(B58,China!$A:$B,2,)</f>
        <v/>
      </c>
      <c r="F58" s="35">
        <f>VLOOKUP(B58,EuroArea!$A:$B,2,)</f>
        <v/>
      </c>
      <c r="G58" s="35">
        <f>VLOOKUP(B58,Japan!$A:$B,2,)</f>
        <v/>
      </c>
      <c r="H58" s="35">
        <f>VLOOKUP(B58,Germany!$A:$B,2,)</f>
        <v/>
      </c>
      <c r="I58" s="35">
        <f>VLOOKUP(B58,France!$A:$B,2,)</f>
        <v/>
      </c>
      <c r="J58" s="35">
        <f>VLOOKUP(B58,UK!$A:$B,2,)</f>
        <v/>
      </c>
      <c r="K58" s="35">
        <f>VLOOKUP(B58,Italy!$A:$B,2,)</f>
        <v/>
      </c>
      <c r="L58" s="35">
        <f>VLOOKUP(B58,Spain!$A:$B,2,)</f>
        <v/>
      </c>
      <c r="M58" s="35">
        <f>VLOOKUP(B58,Brazil!$A:$B,2,)</f>
        <v/>
      </c>
      <c r="N58" s="35">
        <f>VLOOKUP(B58,Russia!$A:$B,2,)</f>
        <v/>
      </c>
      <c r="O58" s="35">
        <f>VLOOKUP(B58,India!$A:$B,2,)</f>
        <v/>
      </c>
      <c r="P58" s="35">
        <f>VLOOKUP(B58,Australia!$A:$B,2,)</f>
        <v/>
      </c>
      <c r="Q58" s="35">
        <f>VLOOKUP(B58,Ireland!$A:$B,2,)</f>
        <v/>
      </c>
    </row>
    <row r="59" customFormat="1" s="57">
      <c r="B59" s="34" t="n">
        <v>43497</v>
      </c>
      <c r="C59" s="35">
        <f>VLOOKUP(B59,Global!$A:$B,2,)</f>
        <v/>
      </c>
      <c r="D59" s="35">
        <f>VLOOKUP(B59,US!$A:$B,2,)</f>
        <v/>
      </c>
      <c r="E59" s="35">
        <f>VLOOKUP(B59,China!$A:$B,2,)</f>
        <v/>
      </c>
      <c r="F59" s="35">
        <f>VLOOKUP(B59,EuroArea!$A:$B,2,)</f>
        <v/>
      </c>
      <c r="G59" s="35">
        <f>VLOOKUP(B59,Japan!$A:$B,2,)</f>
        <v/>
      </c>
      <c r="H59" s="35">
        <f>VLOOKUP(B59,Germany!$A:$B,2,)</f>
        <v/>
      </c>
      <c r="I59" s="35">
        <f>VLOOKUP(B59,France!$A:$B,2,)</f>
        <v/>
      </c>
      <c r="J59" s="35">
        <f>VLOOKUP(B59,UK!$A:$B,2,)</f>
        <v/>
      </c>
      <c r="K59" s="35">
        <f>VLOOKUP(B59,Italy!$A:$B,2,)</f>
        <v/>
      </c>
      <c r="L59" s="35">
        <f>VLOOKUP(B59,Spain!$A:$B,2,)</f>
        <v/>
      </c>
      <c r="M59" s="35">
        <f>VLOOKUP(B59,Brazil!$A:$B,2,)</f>
        <v/>
      </c>
      <c r="N59" s="35">
        <f>VLOOKUP(B59,Russia!$A:$B,2,)</f>
        <v/>
      </c>
      <c r="O59" s="35">
        <f>VLOOKUP(B59,India!$A:$B,2,)</f>
        <v/>
      </c>
      <c r="P59" s="35">
        <f>VLOOKUP(B59,Australia!$A:$B,2,)</f>
        <v/>
      </c>
      <c r="Q59" s="35">
        <f>VLOOKUP(B59,Ireland!$A:$B,2,)</f>
        <v/>
      </c>
    </row>
    <row r="60" customFormat="1" s="57">
      <c r="B60" s="34" t="n">
        <v>43525</v>
      </c>
      <c r="C60" s="35">
        <f>VLOOKUP(B60,Global!$A:$B,2,)</f>
        <v/>
      </c>
      <c r="D60" s="35">
        <f>VLOOKUP(B60,US!$A:$B,2,)</f>
        <v/>
      </c>
      <c r="E60" s="35">
        <f>VLOOKUP(B60,China!$A:$B,2,)</f>
        <v/>
      </c>
      <c r="F60" s="35">
        <f>VLOOKUP(B60,EuroArea!$A:$B,2,)</f>
        <v/>
      </c>
      <c r="G60" s="35">
        <f>VLOOKUP(B60,Japan!$A:$B,2,)</f>
        <v/>
      </c>
      <c r="H60" s="35">
        <f>VLOOKUP(B60,Germany!$A:$B,2,)</f>
        <v/>
      </c>
      <c r="I60" s="35">
        <f>VLOOKUP(B60,France!$A:$B,2,)</f>
        <v/>
      </c>
      <c r="J60" s="35">
        <f>VLOOKUP(B60,UK!$A:$B,2,)</f>
        <v/>
      </c>
      <c r="K60" s="35">
        <f>VLOOKUP(B60,Italy!$A:$B,2,)</f>
        <v/>
      </c>
      <c r="L60" s="35">
        <f>VLOOKUP(B60,Spain!$A:$B,2,)</f>
        <v/>
      </c>
      <c r="M60" s="35">
        <f>VLOOKUP(B60,Brazil!$A:$B,2,)</f>
        <v/>
      </c>
      <c r="N60" s="35">
        <f>VLOOKUP(B60,Russia!$A:$B,2,)</f>
        <v/>
      </c>
      <c r="O60" s="35">
        <f>VLOOKUP(B60,India!$A:$B,2,)</f>
        <v/>
      </c>
      <c r="P60" s="35">
        <f>VLOOKUP(B60,Australia!$A:$B,2,)</f>
        <v/>
      </c>
      <c r="Q60" s="35">
        <f>VLOOKUP(B60,Ireland!$A:$B,2,)</f>
        <v/>
      </c>
    </row>
    <row r="61" customFormat="1" s="57">
      <c r="B61" s="34" t="n">
        <v>43556</v>
      </c>
      <c r="C61" s="35">
        <f>VLOOKUP(B61,Global!$A:$B,2,)</f>
        <v/>
      </c>
      <c r="D61" s="35">
        <f>VLOOKUP(B61,US!$A:$B,2,)</f>
        <v/>
      </c>
      <c r="E61" s="35">
        <f>VLOOKUP(B61,China!$A:$B,2,)</f>
        <v/>
      </c>
      <c r="F61" s="35">
        <f>VLOOKUP(B61,EuroArea!$A:$B,2,)</f>
        <v/>
      </c>
      <c r="G61" s="35">
        <f>VLOOKUP(B61,Japan!$A:$B,2,)</f>
        <v/>
      </c>
      <c r="H61" s="35">
        <f>VLOOKUP(B61,Germany!$A:$B,2,)</f>
        <v/>
      </c>
      <c r="I61" s="35">
        <f>VLOOKUP(B61,France!$A:$B,2,)</f>
        <v/>
      </c>
      <c r="J61" s="35">
        <f>VLOOKUP(B61,UK!$A:$B,2,)</f>
        <v/>
      </c>
      <c r="K61" s="35">
        <f>VLOOKUP(B61,Italy!$A:$B,2,)</f>
        <v/>
      </c>
      <c r="L61" s="35">
        <f>VLOOKUP(B61,Spain!$A:$B,2,)</f>
        <v/>
      </c>
      <c r="M61" s="35">
        <f>VLOOKUP(B61,Brazil!$A:$B,2,)</f>
        <v/>
      </c>
      <c r="N61" s="35">
        <f>VLOOKUP(B61,Russia!$A:$B,2,)</f>
        <v/>
      </c>
      <c r="O61" s="35">
        <f>VLOOKUP(B61,India!$A:$B,2,)</f>
        <v/>
      </c>
      <c r="P61" s="35">
        <f>VLOOKUP(B61,Australia!$A:$B,2,)</f>
        <v/>
      </c>
      <c r="Q61" s="35">
        <f>VLOOKUP(B61,Ireland!$A:$B,2,)</f>
        <v/>
      </c>
    </row>
    <row r="62" customFormat="1" s="57">
      <c r="B62" s="34" t="n">
        <v>43586</v>
      </c>
      <c r="C62" s="35">
        <f>VLOOKUP(B62,Global!$A:$B,2,)</f>
        <v/>
      </c>
      <c r="D62" s="35">
        <f>VLOOKUP(B62,US!$A:$B,2,)</f>
        <v/>
      </c>
      <c r="E62" s="35">
        <f>VLOOKUP(B62,China!$A:$B,2,)</f>
        <v/>
      </c>
      <c r="F62" s="35">
        <f>VLOOKUP(B62,EuroArea!$A:$B,2,)</f>
        <v/>
      </c>
      <c r="G62" s="35">
        <f>VLOOKUP(B62,Japan!$A:$B,2,)</f>
        <v/>
      </c>
      <c r="H62" s="35">
        <f>VLOOKUP(B62,Germany!$A:$B,2,)</f>
        <v/>
      </c>
      <c r="I62" s="35">
        <f>VLOOKUP(B62,France!$A:$B,2,)</f>
        <v/>
      </c>
      <c r="J62" s="35">
        <f>VLOOKUP(B62,UK!$A:$B,2,)</f>
        <v/>
      </c>
      <c r="K62" s="35">
        <f>VLOOKUP(B62,Italy!$A:$B,2,)</f>
        <v/>
      </c>
      <c r="L62" s="35">
        <f>VLOOKUP(B62,Spain!$A:$B,2,)</f>
        <v/>
      </c>
      <c r="M62" s="35">
        <f>VLOOKUP(B62,Brazil!$A:$B,2,)</f>
        <v/>
      </c>
      <c r="N62" s="35">
        <f>VLOOKUP(B62,Russia!$A:$B,2,)</f>
        <v/>
      </c>
      <c r="O62" s="35">
        <f>VLOOKUP(B62,India!$A:$B,2,)</f>
        <v/>
      </c>
      <c r="P62" s="35">
        <f>VLOOKUP(B62,Australia!$A:$B,2,)</f>
        <v/>
      </c>
      <c r="Q62" s="35">
        <f>VLOOKUP(B62,Ireland!$A:$B,2,)</f>
        <v/>
      </c>
    </row>
    <row r="63" customFormat="1" s="57">
      <c r="B63" s="34" t="n">
        <v>43617</v>
      </c>
      <c r="C63" s="35">
        <f>VLOOKUP(B63,Global!$A:$B,2,)</f>
        <v/>
      </c>
      <c r="D63" s="35">
        <f>VLOOKUP(B63,US!$A:$B,2,)</f>
        <v/>
      </c>
      <c r="E63" s="35">
        <f>VLOOKUP(B63,China!$A:$B,2,)</f>
        <v/>
      </c>
      <c r="F63" s="35">
        <f>VLOOKUP(B63,EuroArea!$A:$B,2,)</f>
        <v/>
      </c>
      <c r="G63" s="35">
        <f>VLOOKUP(B63,Japan!$A:$B,2,)</f>
        <v/>
      </c>
      <c r="H63" s="35">
        <f>VLOOKUP(B63,Germany!$A:$B,2,)</f>
        <v/>
      </c>
      <c r="I63" s="35">
        <f>VLOOKUP(B63,France!$A:$B,2,)</f>
        <v/>
      </c>
      <c r="J63" s="35">
        <f>VLOOKUP(B63,UK!$A:$B,2,)</f>
        <v/>
      </c>
      <c r="K63" s="35">
        <f>VLOOKUP(B63,Italy!$A:$B,2,)</f>
        <v/>
      </c>
      <c r="L63" s="35">
        <f>VLOOKUP(B63,Spain!$A:$B,2,)</f>
        <v/>
      </c>
      <c r="M63" s="35">
        <f>VLOOKUP(B63,Brazil!$A:$B,2,)</f>
        <v/>
      </c>
      <c r="N63" s="35">
        <f>VLOOKUP(B63,Russia!$A:$B,2,)</f>
        <v/>
      </c>
      <c r="O63" s="35">
        <f>VLOOKUP(B63,India!$A:$B,2,)</f>
        <v/>
      </c>
      <c r="P63" s="35">
        <f>VLOOKUP(B63,Australia!$A:$B,2,)</f>
        <v/>
      </c>
      <c r="Q63" s="35">
        <f>VLOOKUP(B63,Ireland!$A:$B,2,)</f>
        <v/>
      </c>
    </row>
    <row r="64" customFormat="1" s="57">
      <c r="B64" s="34" t="n">
        <v>43647</v>
      </c>
      <c r="C64" s="35">
        <f>VLOOKUP(B64,Global!$A:$B,2,)</f>
        <v/>
      </c>
      <c r="D64" s="35">
        <f>VLOOKUP(B64,US!$A:$B,2,)</f>
        <v/>
      </c>
      <c r="E64" s="35">
        <f>VLOOKUP(B64,China!$A:$B,2,)</f>
        <v/>
      </c>
      <c r="F64" s="35">
        <f>VLOOKUP(B64,EuroArea!$A:$B,2,)</f>
        <v/>
      </c>
      <c r="G64" s="35">
        <f>VLOOKUP(B64,Japan!$A:$B,2,)</f>
        <v/>
      </c>
      <c r="H64" s="35">
        <f>VLOOKUP(B64,Germany!$A:$B,2,)</f>
        <v/>
      </c>
      <c r="I64" s="35">
        <f>VLOOKUP(B64,France!$A:$B,2,)</f>
        <v/>
      </c>
      <c r="J64" s="35">
        <f>VLOOKUP(B64,UK!$A:$B,2,)</f>
        <v/>
      </c>
      <c r="K64" s="35">
        <f>VLOOKUP(B64,Italy!$A:$B,2,)</f>
        <v/>
      </c>
      <c r="L64" s="35">
        <f>VLOOKUP(B64,Spain!$A:$B,2,)</f>
        <v/>
      </c>
      <c r="M64" s="35">
        <f>VLOOKUP(B64,Brazil!$A:$B,2,)</f>
        <v/>
      </c>
      <c r="N64" s="35">
        <f>VLOOKUP(B64,Russia!$A:$B,2,)</f>
        <v/>
      </c>
      <c r="O64" s="35">
        <f>VLOOKUP(B64,India!$A:$B,2,)</f>
        <v/>
      </c>
      <c r="P64" s="35">
        <f>VLOOKUP(B64,Australia!$A:$B,2,)</f>
        <v/>
      </c>
      <c r="Q64" s="35">
        <f>VLOOKUP(B64,Ireland!$A:$B,2,)</f>
        <v/>
      </c>
    </row>
    <row r="65" customFormat="1" s="57">
      <c r="B65" s="34" t="n">
        <v>43678</v>
      </c>
      <c r="C65" s="35">
        <f>VLOOKUP(B65,Global!$A:$B,2,)</f>
        <v/>
      </c>
      <c r="D65" s="35">
        <f>VLOOKUP(B65,US!$A:$B,2,)</f>
        <v/>
      </c>
      <c r="E65" s="35">
        <f>VLOOKUP(B65,China!$A:$B,2,)</f>
        <v/>
      </c>
      <c r="F65" s="35">
        <f>VLOOKUP(B65,EuroArea!$A:$B,2,)</f>
        <v/>
      </c>
      <c r="G65" s="35">
        <f>VLOOKUP(B65,Japan!$A:$B,2,)</f>
        <v/>
      </c>
      <c r="H65" s="35">
        <f>VLOOKUP(B65,Germany!$A:$B,2,)</f>
        <v/>
      </c>
      <c r="I65" s="35">
        <f>VLOOKUP(B65,France!$A:$B,2,)</f>
        <v/>
      </c>
      <c r="J65" s="35">
        <f>VLOOKUP(B65,UK!$A:$B,2,)</f>
        <v/>
      </c>
      <c r="K65" s="35">
        <f>VLOOKUP(B65,Italy!$A:$B,2,)</f>
        <v/>
      </c>
      <c r="L65" s="35">
        <f>VLOOKUP(B65,Spain!$A:$B,2,)</f>
        <v/>
      </c>
      <c r="M65" s="35">
        <f>VLOOKUP(B65,Brazil!$A:$B,2,)</f>
        <v/>
      </c>
      <c r="N65" s="35">
        <f>VLOOKUP(B65,Russia!$A:$B,2,)</f>
        <v/>
      </c>
      <c r="O65" s="35">
        <f>VLOOKUP(B65,India!$A:$B,2,)</f>
        <v/>
      </c>
      <c r="P65" s="35">
        <f>VLOOKUP(B65,Australia!$A:$B,2,)</f>
        <v/>
      </c>
      <c r="Q65" s="35">
        <f>VLOOKUP(B65,Ireland!$A:$B,2,)</f>
        <v/>
      </c>
    </row>
    <row r="66" customFormat="1" s="57">
      <c r="B66" s="34" t="n">
        <v>43709</v>
      </c>
      <c r="C66" s="35">
        <f>VLOOKUP(B66,Global!$A:$B,2,)</f>
        <v/>
      </c>
      <c r="D66" s="35">
        <f>VLOOKUP(B66,US!$A:$B,2,)</f>
        <v/>
      </c>
      <c r="E66" s="35">
        <f>VLOOKUP(B66,China!$A:$B,2,)</f>
        <v/>
      </c>
      <c r="F66" s="35">
        <f>VLOOKUP(B66,EuroArea!$A:$B,2,)</f>
        <v/>
      </c>
      <c r="G66" s="35">
        <f>VLOOKUP(B66,Japan!$A:$B,2,)</f>
        <v/>
      </c>
      <c r="H66" s="35">
        <f>VLOOKUP(B66,Germany!$A:$B,2,)</f>
        <v/>
      </c>
      <c r="I66" s="35">
        <f>VLOOKUP(B66,France!$A:$B,2,)</f>
        <v/>
      </c>
      <c r="J66" s="35">
        <f>VLOOKUP(B66,UK!$A:$B,2,)</f>
        <v/>
      </c>
      <c r="K66" s="35">
        <f>VLOOKUP(B66,Italy!$A:$B,2,)</f>
        <v/>
      </c>
      <c r="L66" s="35">
        <f>VLOOKUP(B66,Spain!$A:$B,2,)</f>
        <v/>
      </c>
      <c r="M66" s="35">
        <f>VLOOKUP(B66,Brazil!$A:$B,2,)</f>
        <v/>
      </c>
      <c r="N66" s="35">
        <f>VLOOKUP(B66,Russia!$A:$B,2,)</f>
        <v/>
      </c>
      <c r="O66" s="35">
        <f>VLOOKUP(B66,India!$A:$B,2,)</f>
        <v/>
      </c>
      <c r="P66" s="35">
        <f>VLOOKUP(B66,Australia!$A:$B,2,)</f>
        <v/>
      </c>
      <c r="Q66" s="35">
        <f>VLOOKUP(B66,Ireland!$A:$B,2,)</f>
        <v/>
      </c>
    </row>
    <row r="67" customFormat="1" s="57">
      <c r="B67" s="34" t="n">
        <v>43739</v>
      </c>
      <c r="C67" s="35">
        <f>VLOOKUP(B67,Global!$A:$B,2,)</f>
        <v/>
      </c>
      <c r="D67" s="35">
        <f>VLOOKUP(B67,US!$A:$B,2,)</f>
        <v/>
      </c>
      <c r="E67" s="35">
        <f>VLOOKUP(B67,China!$A:$B,2,)</f>
        <v/>
      </c>
      <c r="F67" s="35">
        <f>VLOOKUP(B67,EuroArea!$A:$B,2,)</f>
        <v/>
      </c>
      <c r="G67" s="35">
        <f>VLOOKUP(B67,Japan!$A:$B,2,)</f>
        <v/>
      </c>
      <c r="H67" s="35">
        <f>VLOOKUP(B67,Germany!$A:$B,2,)</f>
        <v/>
      </c>
      <c r="I67" s="35">
        <f>VLOOKUP(B67,France!$A:$B,2,)</f>
        <v/>
      </c>
      <c r="J67" s="35">
        <f>VLOOKUP(B67,UK!$A:$B,2,)</f>
        <v/>
      </c>
      <c r="K67" s="35">
        <f>VLOOKUP(B67,Italy!$A:$B,2,)</f>
        <v/>
      </c>
      <c r="L67" s="35">
        <f>VLOOKUP(B67,Spain!$A:$B,2,)</f>
        <v/>
      </c>
      <c r="M67" s="35">
        <f>VLOOKUP(B67,Brazil!$A:$B,2,)</f>
        <v/>
      </c>
      <c r="N67" s="35">
        <f>VLOOKUP(B67,Russia!$A:$B,2,)</f>
        <v/>
      </c>
      <c r="O67" s="35">
        <f>VLOOKUP(B67,India!$A:$B,2,)</f>
        <v/>
      </c>
      <c r="P67" s="35">
        <f>VLOOKUP(B67,Australia!$A:$B,2,)</f>
        <v/>
      </c>
      <c r="Q67" s="35">
        <f>VLOOKUP(B67,Ireland!$A:$B,2,)</f>
        <v/>
      </c>
    </row>
    <row r="68" customFormat="1" s="57">
      <c r="B68" s="34" t="n">
        <v>43770</v>
      </c>
      <c r="C68" s="35">
        <f>VLOOKUP(B68,Global!$A:$B,2,)</f>
        <v/>
      </c>
      <c r="D68" s="35">
        <f>VLOOKUP(B68,US!$A:$B,2,)</f>
        <v/>
      </c>
      <c r="E68" s="35">
        <f>VLOOKUP(B68,China!$A:$B,2,)</f>
        <v/>
      </c>
      <c r="F68" s="35">
        <f>VLOOKUP(B68,EuroArea!$A:$B,2,)</f>
        <v/>
      </c>
      <c r="G68" s="35">
        <f>VLOOKUP(B68,Japan!$A:$B,2,)</f>
        <v/>
      </c>
      <c r="H68" s="35">
        <f>VLOOKUP(B68,Germany!$A:$B,2,)</f>
        <v/>
      </c>
      <c r="I68" s="35">
        <f>VLOOKUP(B68,France!$A:$B,2,)</f>
        <v/>
      </c>
      <c r="J68" s="35">
        <f>VLOOKUP(B68,UK!$A:$B,2,)</f>
        <v/>
      </c>
      <c r="K68" s="35">
        <f>VLOOKUP(B68,Italy!$A:$B,2,)</f>
        <v/>
      </c>
      <c r="L68" s="35">
        <f>VLOOKUP(B68,Spain!$A:$B,2,)</f>
        <v/>
      </c>
      <c r="M68" s="35">
        <f>VLOOKUP(B68,Brazil!$A:$B,2,)</f>
        <v/>
      </c>
      <c r="N68" s="35">
        <f>VLOOKUP(B68,Russia!$A:$B,2,)</f>
        <v/>
      </c>
      <c r="O68" s="35">
        <f>VLOOKUP(B68,India!$A:$B,2,)</f>
        <v/>
      </c>
      <c r="P68" s="35">
        <f>VLOOKUP(B68,Australia!$A:$B,2,)</f>
        <v/>
      </c>
      <c r="Q68" s="35">
        <f>VLOOKUP(B68,Ireland!$A:$B,2,)</f>
        <v/>
      </c>
    </row>
    <row r="69" customFormat="1" s="57">
      <c r="B69" s="34" t="n">
        <v>43800</v>
      </c>
      <c r="C69" s="35">
        <f>VLOOKUP(B69,Global!$A:$B,2,)</f>
        <v/>
      </c>
      <c r="D69" s="35">
        <f>VLOOKUP(B69,US!$A:$B,2,)</f>
        <v/>
      </c>
      <c r="E69" s="35">
        <f>VLOOKUP(B69,China!$A:$B,2,)</f>
        <v/>
      </c>
      <c r="F69" s="35">
        <f>VLOOKUP(B69,EuroArea!$A:$B,2,)</f>
        <v/>
      </c>
      <c r="G69" s="35">
        <f>VLOOKUP(B69,Japan!$A:$B,2,)</f>
        <v/>
      </c>
      <c r="H69" s="35">
        <f>VLOOKUP(B69,Germany!$A:$B,2,)</f>
        <v/>
      </c>
      <c r="I69" s="35">
        <f>VLOOKUP(B69,France!$A:$B,2,)</f>
        <v/>
      </c>
      <c r="J69" s="35">
        <f>VLOOKUP(B69,UK!$A:$B,2,)</f>
        <v/>
      </c>
      <c r="K69" s="35">
        <f>VLOOKUP(B69,Italy!$A:$B,2,)</f>
        <v/>
      </c>
      <c r="L69" s="35">
        <f>VLOOKUP(B69,Spain!$A:$B,2,)</f>
        <v/>
      </c>
      <c r="M69" s="35">
        <f>VLOOKUP(B69,Brazil!$A:$B,2,)</f>
        <v/>
      </c>
      <c r="N69" s="35">
        <f>VLOOKUP(B69,Russia!$A:$B,2,)</f>
        <v/>
      </c>
      <c r="O69" s="35">
        <f>VLOOKUP(B69,India!$A:$B,2,)</f>
        <v/>
      </c>
      <c r="P69" s="35">
        <f>VLOOKUP(B69,Australia!$A:$B,2,)</f>
        <v/>
      </c>
      <c r="Q69" s="35">
        <f>VLOOKUP(B69,Ireland!$A:$B,2,)</f>
        <v/>
      </c>
    </row>
    <row r="70" customFormat="1" s="57">
      <c r="B70" s="34" t="n">
        <v>43831</v>
      </c>
      <c r="C70" s="35">
        <f>VLOOKUP(B70,Global!$A:$B,2,)</f>
        <v/>
      </c>
      <c r="D70" s="35">
        <f>VLOOKUP(B70,US!$A:$B,2,)</f>
        <v/>
      </c>
      <c r="E70" s="35">
        <f>VLOOKUP(B70,China!$A:$B,2,)</f>
        <v/>
      </c>
      <c r="F70" s="35">
        <f>VLOOKUP(B70,EuroArea!$A:$B,2,)</f>
        <v/>
      </c>
      <c r="G70" s="35">
        <f>VLOOKUP(B70,Japan!$A:$B,2,)</f>
        <v/>
      </c>
      <c r="H70" s="35">
        <f>VLOOKUP(B70,Germany!$A:$B,2,)</f>
        <v/>
      </c>
      <c r="I70" s="35">
        <f>VLOOKUP(B70,France!$A:$B,2,)</f>
        <v/>
      </c>
      <c r="J70" s="35">
        <f>VLOOKUP(B70,UK!$A:$B,2,)</f>
        <v/>
      </c>
      <c r="K70" s="35">
        <f>VLOOKUP(B70,Italy!$A:$B,2,)</f>
        <v/>
      </c>
      <c r="L70" s="35">
        <f>VLOOKUP(B70,Spain!$A:$B,2,)</f>
        <v/>
      </c>
      <c r="M70" s="35">
        <f>VLOOKUP(B70,Brazil!$A:$B,2,)</f>
        <v/>
      </c>
      <c r="N70" s="35">
        <f>VLOOKUP(B70,Russia!$A:$B,2,)</f>
        <v/>
      </c>
      <c r="O70" s="35">
        <f>VLOOKUP(B70,India!$A:$B,2,)</f>
        <v/>
      </c>
      <c r="P70" s="35">
        <f>VLOOKUP(B70,Australia!$A:$B,2,)</f>
        <v/>
      </c>
      <c r="Q70" s="35">
        <f>VLOOKUP(B70,Ireland!$A:$B,2,)</f>
        <v/>
      </c>
    </row>
    <row r="71" customFormat="1" s="57">
      <c r="B71" s="34" t="n">
        <v>43862</v>
      </c>
      <c r="C71" s="35">
        <f>VLOOKUP(B71,Global!$A:$B,2,)</f>
        <v/>
      </c>
      <c r="D71" s="35">
        <f>VLOOKUP(B71,US!$A:$B,2,)</f>
        <v/>
      </c>
      <c r="E71" s="35">
        <f>VLOOKUP(B71,China!$A:$B,2,)</f>
        <v/>
      </c>
      <c r="F71" s="35">
        <f>VLOOKUP(B71,EuroArea!$A:$B,2,)</f>
        <v/>
      </c>
      <c r="G71" s="35">
        <f>VLOOKUP(B71,Japan!$A:$B,2,)</f>
        <v/>
      </c>
      <c r="H71" s="35">
        <f>VLOOKUP(B71,Germany!$A:$B,2,)</f>
        <v/>
      </c>
      <c r="I71" s="35">
        <f>VLOOKUP(B71,France!$A:$B,2,)</f>
        <v/>
      </c>
      <c r="J71" s="35">
        <f>VLOOKUP(B71,UK!$A:$B,2,)</f>
        <v/>
      </c>
      <c r="K71" s="35">
        <f>VLOOKUP(B71,Italy!$A:$B,2,)</f>
        <v/>
      </c>
      <c r="L71" s="35">
        <f>VLOOKUP(B71,Spain!$A:$B,2,)</f>
        <v/>
      </c>
      <c r="M71" s="35">
        <f>VLOOKUP(B71,Brazil!$A:$B,2,)</f>
        <v/>
      </c>
      <c r="N71" s="35">
        <f>VLOOKUP(B71,Russia!$A:$B,2,)</f>
        <v/>
      </c>
      <c r="O71" s="35">
        <f>VLOOKUP(B71,India!$A:$B,2,)</f>
        <v/>
      </c>
      <c r="P71" s="35">
        <f>VLOOKUP(B71,Australia!$A:$B,2,)</f>
        <v/>
      </c>
      <c r="Q71" s="35">
        <f>VLOOKUP(B71,Ireland!$A:$B,2,)</f>
        <v/>
      </c>
    </row>
    <row r="72" customFormat="1" s="57">
      <c r="B72" s="34" t="n">
        <v>43891</v>
      </c>
      <c r="C72" s="35">
        <f>VLOOKUP(B72,Global!$A:$B,2,)</f>
        <v/>
      </c>
      <c r="D72" s="35">
        <f>VLOOKUP(B72,US!$A:$B,2,)</f>
        <v/>
      </c>
      <c r="E72" s="35">
        <f>VLOOKUP(B72,China!$A:$B,2,)</f>
        <v/>
      </c>
      <c r="F72" s="35">
        <f>VLOOKUP(B72,EuroArea!$A:$B,2,)</f>
        <v/>
      </c>
      <c r="G72" s="35">
        <f>VLOOKUP(B72,Japan!$A:$B,2,)</f>
        <v/>
      </c>
      <c r="H72" s="35">
        <f>VLOOKUP(B72,Germany!$A:$B,2,)</f>
        <v/>
      </c>
      <c r="I72" s="35">
        <f>VLOOKUP(B72,France!$A:$B,2,)</f>
        <v/>
      </c>
      <c r="J72" s="35">
        <f>VLOOKUP(B72,UK!$A:$B,2,)</f>
        <v/>
      </c>
      <c r="K72" s="35">
        <f>VLOOKUP(B72,Italy!$A:$B,2,)</f>
        <v/>
      </c>
      <c r="L72" s="35">
        <f>VLOOKUP(B72,Spain!$A:$B,2,)</f>
        <v/>
      </c>
      <c r="M72" s="35">
        <f>VLOOKUP(B72,Brazil!$A:$B,2,)</f>
        <v/>
      </c>
      <c r="N72" s="35">
        <f>VLOOKUP(B72,Russia!$A:$B,2,)</f>
        <v/>
      </c>
      <c r="O72" s="35">
        <f>VLOOKUP(B72,India!$A:$B,2,)</f>
        <v/>
      </c>
      <c r="P72" s="35">
        <f>VLOOKUP(B72,Australia!$A:$B,2,)</f>
        <v/>
      </c>
      <c r="Q72" s="35">
        <f>VLOOKUP(B72,Ireland!$A:$B,2,)</f>
        <v/>
      </c>
    </row>
    <row r="73" customFormat="1" s="57">
      <c r="B73" s="34" t="n">
        <v>43922</v>
      </c>
      <c r="C73" s="35">
        <f>VLOOKUP(B73,Global!$A:$B,2,)</f>
        <v/>
      </c>
      <c r="D73" s="35">
        <f>VLOOKUP(B73,US!$A:$B,2,)</f>
        <v/>
      </c>
      <c r="E73" s="35">
        <f>VLOOKUP(B73,China!$A:$B,2,)</f>
        <v/>
      </c>
      <c r="F73" s="35">
        <f>VLOOKUP(B73,EuroArea!$A:$B,2,)</f>
        <v/>
      </c>
      <c r="G73" s="35">
        <f>VLOOKUP(B73,Japan!$A:$B,2,)</f>
        <v/>
      </c>
      <c r="H73" s="35">
        <f>VLOOKUP(B73,Germany!$A:$B,2,)</f>
        <v/>
      </c>
      <c r="I73" s="35">
        <f>VLOOKUP(B73,France!$A:$B,2,)</f>
        <v/>
      </c>
      <c r="J73" s="35">
        <f>VLOOKUP(B73,UK!$A:$B,2,)</f>
        <v/>
      </c>
      <c r="K73" s="35">
        <f>VLOOKUP(B73,Italy!$A:$B,2,)</f>
        <v/>
      </c>
      <c r="L73" s="35">
        <f>VLOOKUP(B73,Spain!$A:$B,2,)</f>
        <v/>
      </c>
      <c r="M73" s="35">
        <f>VLOOKUP(B73,Brazil!$A:$B,2,)</f>
        <v/>
      </c>
      <c r="N73" s="35">
        <f>VLOOKUP(B73,Russia!$A:$B,2,)</f>
        <v/>
      </c>
      <c r="O73" s="35">
        <f>VLOOKUP(B73,India!$A:$B,2,)</f>
        <v/>
      </c>
      <c r="P73" s="35">
        <f>VLOOKUP(B73,Australia!$A:$B,2,)</f>
        <v/>
      </c>
      <c r="Q73" s="35">
        <f>VLOOKUP(B73,Ireland!$A:$B,2,)</f>
        <v/>
      </c>
    </row>
    <row r="74" customFormat="1" s="57">
      <c r="B74" s="34" t="n">
        <v>43952</v>
      </c>
      <c r="C74" s="35">
        <f>VLOOKUP(B74,Global!$A:$B,2,)</f>
        <v/>
      </c>
      <c r="D74" s="35">
        <f>VLOOKUP(B74,US!$A:$B,2,)</f>
        <v/>
      </c>
      <c r="E74" s="35">
        <f>VLOOKUP(B74,China!$A:$B,2,)</f>
        <v/>
      </c>
      <c r="F74" s="35">
        <f>VLOOKUP(B74,EuroArea!$A:$B,2,)</f>
        <v/>
      </c>
      <c r="G74" s="35">
        <f>VLOOKUP(B74,Japan!$A:$B,2,)</f>
        <v/>
      </c>
      <c r="H74" s="35">
        <f>VLOOKUP(B74,Germany!$A:$B,2,)</f>
        <v/>
      </c>
      <c r="I74" s="35">
        <f>VLOOKUP(B74,France!$A:$B,2,)</f>
        <v/>
      </c>
      <c r="J74" s="35">
        <f>VLOOKUP(B74,UK!$A:$B,2,)</f>
        <v/>
      </c>
      <c r="K74" s="35">
        <f>VLOOKUP(B74,Italy!$A:$B,2,)</f>
        <v/>
      </c>
      <c r="L74" s="35">
        <f>VLOOKUP(B74,Spain!$A:$B,2,)</f>
        <v/>
      </c>
      <c r="M74" s="35">
        <f>VLOOKUP(B74,Brazil!$A:$B,2,)</f>
        <v/>
      </c>
      <c r="N74" s="35">
        <f>VLOOKUP(B74,Russia!$A:$B,2,)</f>
        <v/>
      </c>
      <c r="O74" s="35">
        <f>VLOOKUP(B74,India!$A:$B,2,)</f>
        <v/>
      </c>
      <c r="P74" s="35">
        <f>VLOOKUP(B74,Australia!$A:$B,2,)</f>
        <v/>
      </c>
      <c r="Q74" s="35">
        <f>VLOOKUP(B74,Ireland!$A:$B,2,)</f>
        <v/>
      </c>
    </row>
    <row r="75" customFormat="1" s="57">
      <c r="B75" s="34" t="n">
        <v>43983</v>
      </c>
      <c r="C75" s="35">
        <f>VLOOKUP(B75,Global!$A:$B,2,)</f>
        <v/>
      </c>
      <c r="D75" s="35">
        <f>VLOOKUP(B75,US!$A:$B,2,)</f>
        <v/>
      </c>
      <c r="E75" s="35">
        <f>VLOOKUP(B75,China!$A:$B,2,)</f>
        <v/>
      </c>
      <c r="F75" s="35">
        <f>VLOOKUP(B75,EuroArea!$A:$B,2,)</f>
        <v/>
      </c>
      <c r="G75" s="35">
        <f>VLOOKUP(B75,Japan!$A:$B,2,)</f>
        <v/>
      </c>
      <c r="H75" s="35">
        <f>VLOOKUP(B75,Germany!$A:$B,2,)</f>
        <v/>
      </c>
      <c r="I75" s="35">
        <f>VLOOKUP(B75,France!$A:$B,2,)</f>
        <v/>
      </c>
      <c r="J75" s="35">
        <f>VLOOKUP(B75,UK!$A:$B,2,)</f>
        <v/>
      </c>
      <c r="K75" s="35">
        <f>VLOOKUP(B75,Italy!$A:$B,2,)</f>
        <v/>
      </c>
      <c r="L75" s="35">
        <f>VLOOKUP(B75,Spain!$A:$B,2,)</f>
        <v/>
      </c>
      <c r="M75" s="35">
        <f>VLOOKUP(B75,Brazil!$A:$B,2,)</f>
        <v/>
      </c>
      <c r="N75" s="35">
        <f>VLOOKUP(B75,Russia!$A:$B,2,)</f>
        <v/>
      </c>
      <c r="O75" s="35">
        <f>VLOOKUP(B75,India!$A:$B,2,)</f>
        <v/>
      </c>
      <c r="P75" s="35">
        <f>VLOOKUP(B75,Australia!$A:$B,2,)</f>
        <v/>
      </c>
      <c r="Q75" s="35">
        <f>VLOOKUP(B75,Ireland!$A:$B,2,)</f>
        <v/>
      </c>
    </row>
    <row r="76" customFormat="1" s="57">
      <c r="B76" s="34" t="n">
        <v>44013</v>
      </c>
      <c r="C76" s="35">
        <f>VLOOKUP(B76,Global!$A:$B,2,)</f>
        <v/>
      </c>
      <c r="D76" s="35">
        <f>VLOOKUP(B76,US!$A:$B,2,)</f>
        <v/>
      </c>
      <c r="E76" s="35">
        <f>VLOOKUP(B76,China!$A:$B,2,)</f>
        <v/>
      </c>
      <c r="F76" s="35">
        <f>VLOOKUP(B76,EuroArea!$A:$B,2,)</f>
        <v/>
      </c>
      <c r="G76" s="35">
        <f>VLOOKUP(B76,Japan!$A:$B,2,)</f>
        <v/>
      </c>
      <c r="H76" s="35">
        <f>VLOOKUP(B76,Germany!$A:$B,2,)</f>
        <v/>
      </c>
      <c r="I76" s="35">
        <f>VLOOKUP(B76,France!$A:$B,2,)</f>
        <v/>
      </c>
      <c r="J76" s="35">
        <f>VLOOKUP(B76,UK!$A:$B,2,)</f>
        <v/>
      </c>
      <c r="K76" s="35">
        <f>VLOOKUP(B76,Italy!$A:$B,2,)</f>
        <v/>
      </c>
      <c r="L76" s="35">
        <f>VLOOKUP(B76,Spain!$A:$B,2,)</f>
        <v/>
      </c>
      <c r="M76" s="35">
        <f>VLOOKUP(B76,Brazil!$A:$B,2,)</f>
        <v/>
      </c>
      <c r="N76" s="35">
        <f>VLOOKUP(B76,Russia!$A:$B,2,)</f>
        <v/>
      </c>
      <c r="O76" s="35">
        <f>VLOOKUP(B76,India!$A:$B,2,)</f>
        <v/>
      </c>
      <c r="P76" s="35">
        <f>VLOOKUP(B76,Australia!$A:$B,2,)</f>
        <v/>
      </c>
      <c r="Q76" s="35">
        <f>VLOOKUP(B76,Ireland!$A:$B,2,)</f>
        <v/>
      </c>
    </row>
    <row r="77" customFormat="1" s="57">
      <c r="B77" s="34" t="n">
        <v>44044</v>
      </c>
      <c r="C77" s="35">
        <f>VLOOKUP(B77,Global!$A:$B,2,)</f>
        <v/>
      </c>
      <c r="D77" s="35">
        <f>VLOOKUP(B77,US!$A:$B,2,)</f>
        <v/>
      </c>
      <c r="E77" s="35">
        <f>VLOOKUP(B77,China!$A:$B,2,)</f>
        <v/>
      </c>
      <c r="F77" s="35">
        <f>VLOOKUP(B77,EuroArea!$A:$B,2,)</f>
        <v/>
      </c>
      <c r="G77" s="35">
        <f>VLOOKUP(B77,Japan!$A:$B,2,)</f>
        <v/>
      </c>
      <c r="H77" s="35">
        <f>VLOOKUP(B77,Germany!$A:$B,2,)</f>
        <v/>
      </c>
      <c r="I77" s="35">
        <f>VLOOKUP(B77,France!$A:$B,2,)</f>
        <v/>
      </c>
      <c r="J77" s="35">
        <f>VLOOKUP(B77,UK!$A:$B,2,)</f>
        <v/>
      </c>
      <c r="K77" s="35">
        <f>VLOOKUP(B77,Italy!$A:$B,2,)</f>
        <v/>
      </c>
      <c r="L77" s="35">
        <f>VLOOKUP(B77,Spain!$A:$B,2,)</f>
        <v/>
      </c>
      <c r="M77" s="35">
        <f>VLOOKUP(B77,Brazil!$A:$B,2,)</f>
        <v/>
      </c>
      <c r="N77" s="35">
        <f>VLOOKUP(B77,Russia!$A:$B,2,)</f>
        <v/>
      </c>
      <c r="O77" s="35">
        <f>VLOOKUP(B77,India!$A:$B,2,)</f>
        <v/>
      </c>
      <c r="P77" s="35">
        <f>VLOOKUP(B77,Australia!$A:$B,2,)</f>
        <v/>
      </c>
      <c r="Q77" s="35">
        <f>VLOOKUP(B77,Ireland!$A:$B,2,)</f>
        <v/>
      </c>
    </row>
    <row r="78" customFormat="1" s="57">
      <c r="B78" s="34" t="n">
        <v>44075</v>
      </c>
      <c r="C78" s="35">
        <f>VLOOKUP(B78,Global!$A:$B,2,)</f>
        <v/>
      </c>
      <c r="D78" s="35">
        <f>VLOOKUP(B78,US!$A:$B,2,)</f>
        <v/>
      </c>
      <c r="E78" s="35">
        <f>VLOOKUP(B78,China!$A:$B,2,)</f>
        <v/>
      </c>
      <c r="F78" s="35">
        <f>VLOOKUP(B78,EuroArea!$A:$B,2,)</f>
        <v/>
      </c>
      <c r="G78" s="35">
        <f>VLOOKUP(B78,Japan!$A:$B,2,)</f>
        <v/>
      </c>
      <c r="H78" s="35">
        <f>VLOOKUP(B78,Germany!$A:$B,2,)</f>
        <v/>
      </c>
      <c r="I78" s="35">
        <f>VLOOKUP(B78,France!$A:$B,2,)</f>
        <v/>
      </c>
      <c r="J78" s="35">
        <f>VLOOKUP(B78,UK!$A:$B,2,)</f>
        <v/>
      </c>
      <c r="K78" s="35">
        <f>VLOOKUP(B78,Italy!$A:$B,2,)</f>
        <v/>
      </c>
      <c r="L78" s="35">
        <f>VLOOKUP(B78,Spain!$A:$B,2,)</f>
        <v/>
      </c>
      <c r="M78" s="35">
        <f>VLOOKUP(B78,Brazil!$A:$B,2,)</f>
        <v/>
      </c>
      <c r="N78" s="35">
        <f>VLOOKUP(B78,Russia!$A:$B,2,)</f>
        <v/>
      </c>
      <c r="O78" s="35">
        <f>VLOOKUP(B78,India!$A:$B,2,)</f>
        <v/>
      </c>
      <c r="P78" s="35">
        <f>VLOOKUP(B78,Australia!$A:$B,2,)</f>
        <v/>
      </c>
      <c r="Q78" s="35">
        <f>VLOOKUP(B78,Ireland!$A:$B,2,)</f>
        <v/>
      </c>
    </row>
    <row r="79" customFormat="1" s="57">
      <c r="B79" s="34" t="n">
        <v>44105</v>
      </c>
      <c r="C79" s="35">
        <f>VLOOKUP(B79,Global!$A:$B,2,)</f>
        <v/>
      </c>
      <c r="D79" s="35">
        <f>VLOOKUP(B79,US!$A:$B,2,)</f>
        <v/>
      </c>
      <c r="E79" s="35">
        <f>VLOOKUP(B79,China!$A:$B,2,)</f>
        <v/>
      </c>
      <c r="F79" s="35">
        <f>VLOOKUP(B79,EuroArea!$A:$B,2,)</f>
        <v/>
      </c>
      <c r="G79" s="35">
        <f>VLOOKUP(B79,Japan!$A:$B,2,)</f>
        <v/>
      </c>
      <c r="H79" s="35">
        <f>VLOOKUP(B79,Germany!$A:$B,2,)</f>
        <v/>
      </c>
      <c r="I79" s="35">
        <f>VLOOKUP(B79,France!$A:$B,2,)</f>
        <v/>
      </c>
      <c r="J79" s="35">
        <f>VLOOKUP(B79,UK!$A:$B,2,)</f>
        <v/>
      </c>
      <c r="K79" s="35">
        <f>VLOOKUP(B79,Italy!$A:$B,2,)</f>
        <v/>
      </c>
      <c r="L79" s="35">
        <f>VLOOKUP(B79,Spain!$A:$B,2,)</f>
        <v/>
      </c>
      <c r="M79" s="35">
        <f>VLOOKUP(B79,Brazil!$A:$B,2,)</f>
        <v/>
      </c>
      <c r="N79" s="35">
        <f>VLOOKUP(B79,Russia!$A:$B,2,)</f>
        <v/>
      </c>
      <c r="O79" s="35">
        <f>VLOOKUP(B79,India!$A:$B,2,)</f>
        <v/>
      </c>
      <c r="P79" s="35">
        <f>VLOOKUP(B79,Australia!$A:$B,2,)</f>
        <v/>
      </c>
      <c r="Q79" s="35">
        <f>VLOOKUP(B79,Ireland!$A:$B,2,)</f>
        <v/>
      </c>
    </row>
    <row r="80" customFormat="1" s="57">
      <c r="B80" s="34" t="n">
        <v>44136</v>
      </c>
      <c r="C80" s="35">
        <f>VLOOKUP(B80,Global!$A:$B,2,)</f>
        <v/>
      </c>
      <c r="D80" s="35">
        <f>VLOOKUP(B80,US!$A:$B,2,)</f>
        <v/>
      </c>
      <c r="E80" s="35">
        <f>VLOOKUP(B80,China!$A:$B,2,)</f>
        <v/>
      </c>
      <c r="F80" s="35">
        <f>VLOOKUP(B80,EuroArea!$A:$B,2,)</f>
        <v/>
      </c>
      <c r="G80" s="35">
        <f>VLOOKUP(B80,Japan!$A:$B,2,)</f>
        <v/>
      </c>
      <c r="H80" s="35">
        <f>VLOOKUP(B80,Germany!$A:$B,2,)</f>
        <v/>
      </c>
      <c r="I80" s="35">
        <f>VLOOKUP(B80,France!$A:$B,2,)</f>
        <v/>
      </c>
      <c r="J80" s="35">
        <f>VLOOKUP(B80,UK!$A:$B,2,)</f>
        <v/>
      </c>
      <c r="K80" s="35">
        <f>VLOOKUP(B80,Italy!$A:$B,2,)</f>
        <v/>
      </c>
      <c r="L80" s="35">
        <f>VLOOKUP(B80,Spain!$A:$B,2,)</f>
        <v/>
      </c>
      <c r="M80" s="35">
        <f>VLOOKUP(B80,Brazil!$A:$B,2,)</f>
        <v/>
      </c>
      <c r="N80" s="35">
        <f>VLOOKUP(B80,Russia!$A:$B,2,)</f>
        <v/>
      </c>
      <c r="O80" s="35">
        <f>VLOOKUP(B80,India!$A:$B,2,)</f>
        <v/>
      </c>
      <c r="P80" s="35">
        <f>VLOOKUP(B80,Australia!$A:$B,2,)</f>
        <v/>
      </c>
      <c r="Q80" s="35">
        <f>VLOOKUP(B80,Ireland!$A:$B,2,)</f>
        <v/>
      </c>
    </row>
    <row r="81" customFormat="1" s="57">
      <c r="B81" s="34" t="n">
        <v>44166</v>
      </c>
      <c r="C81" s="35">
        <f>VLOOKUP(B81,Global!$A:$B,2,)</f>
        <v/>
      </c>
      <c r="D81" s="35">
        <f>VLOOKUP(B81,US!$A:$B,2,)</f>
        <v/>
      </c>
      <c r="E81" s="35">
        <f>VLOOKUP(B81,China!$A:$B,2,)</f>
        <v/>
      </c>
      <c r="F81" s="35">
        <f>VLOOKUP(B81,EuroArea!$A:$B,2,)</f>
        <v/>
      </c>
      <c r="G81" s="35">
        <f>VLOOKUP(B81,Japan!$A:$B,2,)</f>
        <v/>
      </c>
      <c r="H81" s="35">
        <f>VLOOKUP(B81,Germany!$A:$B,2,)</f>
        <v/>
      </c>
      <c r="I81" s="35">
        <f>VLOOKUP(B81,France!$A:$B,2,)</f>
        <v/>
      </c>
      <c r="J81" s="35">
        <f>VLOOKUP(B81,UK!$A:$B,2,)</f>
        <v/>
      </c>
      <c r="K81" s="35">
        <f>VLOOKUP(B81,Italy!$A:$B,2,)</f>
        <v/>
      </c>
      <c r="L81" s="35">
        <f>VLOOKUP(B81,Spain!$A:$B,2,)</f>
        <v/>
      </c>
      <c r="M81" s="35">
        <f>VLOOKUP(B81,Brazil!$A:$B,2,)</f>
        <v/>
      </c>
      <c r="N81" s="35">
        <f>VLOOKUP(B81,Russia!$A:$B,2,)</f>
        <v/>
      </c>
      <c r="O81" s="35">
        <f>VLOOKUP(B81,India!$A:$B,2,)</f>
        <v/>
      </c>
      <c r="P81" s="35">
        <f>VLOOKUP(B81,Australia!$A:$B,2,)</f>
        <v/>
      </c>
      <c r="Q81" s="35">
        <f>VLOOKUP(B81,Ireland!$A:$B,2,)</f>
        <v/>
      </c>
    </row>
    <row r="82" customFormat="1" s="57">
      <c r="B82" s="34" t="n">
        <v>44197</v>
      </c>
      <c r="C82" s="35">
        <f>VLOOKUP(B82,Global!$A:$B,2,)</f>
        <v/>
      </c>
      <c r="D82" s="35">
        <f>VLOOKUP(B82,US!$A:$B,2,)</f>
        <v/>
      </c>
      <c r="E82" s="35">
        <f>VLOOKUP(B82,China!$A:$B,2,)</f>
        <v/>
      </c>
      <c r="F82" s="35">
        <f>VLOOKUP(B82,EuroArea!$A:$B,2,)</f>
        <v/>
      </c>
      <c r="G82" s="35">
        <f>VLOOKUP(B82,Japan!$A:$B,2,)</f>
        <v/>
      </c>
      <c r="H82" s="35">
        <f>VLOOKUP(B82,Germany!$A:$B,2,)</f>
        <v/>
      </c>
      <c r="I82" s="35">
        <f>VLOOKUP(B82,France!$A:$B,2,)</f>
        <v/>
      </c>
      <c r="J82" s="35">
        <f>VLOOKUP(B82,UK!$A:$B,2,)</f>
        <v/>
      </c>
      <c r="K82" s="35">
        <f>VLOOKUP(B82,Italy!$A:$B,2,)</f>
        <v/>
      </c>
      <c r="L82" s="35">
        <f>VLOOKUP(B82,Spain!$A:$B,2,)</f>
        <v/>
      </c>
      <c r="M82" s="35">
        <f>VLOOKUP(B82,Brazil!$A:$B,2,)</f>
        <v/>
      </c>
      <c r="N82" s="35">
        <f>VLOOKUP(B82,Russia!$A:$B,2,)</f>
        <v/>
      </c>
      <c r="O82" s="35">
        <f>VLOOKUP(B82,India!$A:$B,2,)</f>
        <v/>
      </c>
      <c r="P82" s="35">
        <f>VLOOKUP(B82,Australia!$A:$B,2,)</f>
        <v/>
      </c>
      <c r="Q82" s="35">
        <f>VLOOKUP(B82,Ireland!$A:$B,2,)</f>
        <v/>
      </c>
    </row>
    <row r="83" customFormat="1" s="57">
      <c r="B83" s="34" t="n">
        <v>44228</v>
      </c>
      <c r="C83" s="35">
        <f>VLOOKUP(B83,Global!$A:$B,2,)</f>
        <v/>
      </c>
      <c r="D83" s="35">
        <f>VLOOKUP(B83,US!$A:$B,2,)</f>
        <v/>
      </c>
      <c r="E83" s="35">
        <f>VLOOKUP(B83,China!$A:$B,2,)</f>
        <v/>
      </c>
      <c r="F83" s="35">
        <f>VLOOKUP(B83,EuroArea!$A:$B,2,)</f>
        <v/>
      </c>
      <c r="G83" s="35">
        <f>VLOOKUP(B83,Japan!$A:$B,2,)</f>
        <v/>
      </c>
      <c r="H83" s="35">
        <f>VLOOKUP(B83,Germany!$A:$B,2,)</f>
        <v/>
      </c>
      <c r="I83" s="35">
        <f>VLOOKUP(B83,France!$A:$B,2,)</f>
        <v/>
      </c>
      <c r="J83" s="35">
        <f>VLOOKUP(B83,UK!$A:$B,2,)</f>
        <v/>
      </c>
      <c r="K83" s="35">
        <f>VLOOKUP(B83,Italy!$A:$B,2,)</f>
        <v/>
      </c>
      <c r="L83" s="35">
        <f>VLOOKUP(B83,Spain!$A:$B,2,)</f>
        <v/>
      </c>
      <c r="M83" s="35">
        <f>VLOOKUP(B83,Brazil!$A:$B,2,)</f>
        <v/>
      </c>
      <c r="N83" s="35">
        <f>VLOOKUP(B83,Russia!$A:$B,2,)</f>
        <v/>
      </c>
      <c r="O83" s="35">
        <f>VLOOKUP(B83,India!$A:$B,2,)</f>
        <v/>
      </c>
      <c r="P83" s="35">
        <f>VLOOKUP(B83,Australia!$A:$B,2,)</f>
        <v/>
      </c>
      <c r="Q83" s="35">
        <f>VLOOKUP(B83,Ireland!$A:$B,2,)</f>
        <v/>
      </c>
    </row>
    <row r="84" customFormat="1" s="57">
      <c r="B84" s="34" t="n">
        <v>44256</v>
      </c>
      <c r="C84" s="35">
        <f>VLOOKUP(B84,Global!$A:$B,2,)</f>
        <v/>
      </c>
      <c r="D84" s="35">
        <f>VLOOKUP(B84,US!$A:$B,2,)</f>
        <v/>
      </c>
      <c r="E84" s="35">
        <f>VLOOKUP(B84,China!$A:$B,2,)</f>
        <v/>
      </c>
      <c r="F84" s="35">
        <f>VLOOKUP(B84,EuroArea!$A:$B,2,)</f>
        <v/>
      </c>
      <c r="G84" s="35">
        <f>VLOOKUP(B84,Japan!$A:$B,2,)</f>
        <v/>
      </c>
      <c r="H84" s="35">
        <f>VLOOKUP(B84,Germany!$A:$B,2,)</f>
        <v/>
      </c>
      <c r="I84" s="35">
        <f>VLOOKUP(B84,France!$A:$B,2,)</f>
        <v/>
      </c>
      <c r="J84" s="35">
        <f>VLOOKUP(B84,UK!$A:$B,2,)</f>
        <v/>
      </c>
      <c r="K84" s="35">
        <f>VLOOKUP(B84,Italy!$A:$B,2,)</f>
        <v/>
      </c>
      <c r="L84" s="35">
        <f>VLOOKUP(B84,Spain!$A:$B,2,)</f>
        <v/>
      </c>
      <c r="M84" s="35">
        <f>VLOOKUP(B84,Brazil!$A:$B,2,)</f>
        <v/>
      </c>
      <c r="N84" s="35">
        <f>VLOOKUP(B84,Russia!$A:$B,2,)</f>
        <v/>
      </c>
      <c r="O84" s="35">
        <f>VLOOKUP(B84,India!$A:$B,2,)</f>
        <v/>
      </c>
      <c r="P84" s="35">
        <f>VLOOKUP(B84,Australia!$A:$B,2,)</f>
        <v/>
      </c>
      <c r="Q84" s="35">
        <f>VLOOKUP(B84,Ireland!$A:$B,2,)</f>
        <v/>
      </c>
    </row>
    <row r="85" customFormat="1" s="57">
      <c r="B85" s="34" t="n">
        <v>44287</v>
      </c>
      <c r="C85" s="35">
        <f>VLOOKUP(B85,Global!$A:$B,2,)</f>
        <v/>
      </c>
      <c r="D85" s="35">
        <f>VLOOKUP(B85,US!$A:$B,2,)</f>
        <v/>
      </c>
      <c r="E85" s="35">
        <f>VLOOKUP(B85,China!$A:$B,2,)</f>
        <v/>
      </c>
      <c r="F85" s="35">
        <f>VLOOKUP(B85,EuroArea!$A:$B,2,)</f>
        <v/>
      </c>
      <c r="G85" s="35">
        <f>VLOOKUP(B85,Japan!$A:$B,2,)</f>
        <v/>
      </c>
      <c r="H85" s="35">
        <f>VLOOKUP(B85,Germany!$A:$B,2,)</f>
        <v/>
      </c>
      <c r="I85" s="35">
        <f>VLOOKUP(B85,France!$A:$B,2,)</f>
        <v/>
      </c>
      <c r="J85" s="35">
        <f>VLOOKUP(B85,UK!$A:$B,2,)</f>
        <v/>
      </c>
      <c r="K85" s="35">
        <f>VLOOKUP(B85,Italy!$A:$B,2,)</f>
        <v/>
      </c>
      <c r="L85" s="35">
        <f>VLOOKUP(B85,Spain!$A:$B,2,)</f>
        <v/>
      </c>
      <c r="M85" s="35">
        <f>VLOOKUP(B85,Brazil!$A:$B,2,)</f>
        <v/>
      </c>
      <c r="N85" s="35">
        <f>VLOOKUP(B85,Russia!$A:$B,2,)</f>
        <v/>
      </c>
      <c r="O85" s="35">
        <f>VLOOKUP(B85,India!$A:$B,2,)</f>
        <v/>
      </c>
      <c r="P85" s="35">
        <f>VLOOKUP(B85,Australia!$A:$B,2,)</f>
        <v/>
      </c>
      <c r="Q85" s="35">
        <f>VLOOKUP(B85,Ireland!$A:$B,2,)</f>
        <v/>
      </c>
    </row>
    <row r="86" customFormat="1" s="57">
      <c r="B86" s="34" t="n">
        <v>44317</v>
      </c>
      <c r="C86" s="35">
        <f>VLOOKUP(B86,Global!$A:$B,2,)</f>
        <v/>
      </c>
      <c r="D86" s="35">
        <f>VLOOKUP(B86,US!$A:$B,2,)</f>
        <v/>
      </c>
      <c r="E86" s="35">
        <f>VLOOKUP(B86,China!$A:$B,2,)</f>
        <v/>
      </c>
      <c r="F86" s="35">
        <f>VLOOKUP(B86,EuroArea!$A:$B,2,)</f>
        <v/>
      </c>
      <c r="G86" s="35">
        <f>VLOOKUP(B86,Japan!$A:$B,2,)</f>
        <v/>
      </c>
      <c r="H86" s="35">
        <f>VLOOKUP(B86,Germany!$A:$B,2,)</f>
        <v/>
      </c>
      <c r="I86" s="35">
        <f>VLOOKUP(B86,France!$A:$B,2,)</f>
        <v/>
      </c>
      <c r="J86" s="35">
        <f>VLOOKUP(B86,UK!$A:$B,2,)</f>
        <v/>
      </c>
      <c r="K86" s="35">
        <f>VLOOKUP(B86,Italy!$A:$B,2,)</f>
        <v/>
      </c>
      <c r="L86" s="35">
        <f>VLOOKUP(B86,Spain!$A:$B,2,)</f>
        <v/>
      </c>
      <c r="M86" s="35">
        <f>VLOOKUP(B86,Brazil!$A:$B,2,)</f>
        <v/>
      </c>
      <c r="N86" s="35">
        <f>VLOOKUP(B86,Russia!$A:$B,2,)</f>
        <v/>
      </c>
      <c r="O86" s="35">
        <f>VLOOKUP(B86,India!$A:$B,2,)</f>
        <v/>
      </c>
      <c r="P86" s="35">
        <f>VLOOKUP(B86,Australia!$A:$B,2,)</f>
        <v/>
      </c>
      <c r="Q86" s="35">
        <f>VLOOKUP(B86,Ireland!$A:$B,2,)</f>
        <v/>
      </c>
    </row>
    <row r="87" customFormat="1" s="57">
      <c r="B87" s="34" t="n">
        <v>44348</v>
      </c>
      <c r="C87" s="35">
        <f>VLOOKUP(B87,Global!$A:$B,2,)</f>
        <v/>
      </c>
      <c r="D87" s="35">
        <f>VLOOKUP(B87,US!$A:$B,2,)</f>
        <v/>
      </c>
      <c r="E87" s="35">
        <f>VLOOKUP(B87,China!$A:$B,2,)</f>
        <v/>
      </c>
      <c r="F87" s="35">
        <f>VLOOKUP(B87,EuroArea!$A:$B,2,)</f>
        <v/>
      </c>
      <c r="G87" s="35">
        <f>VLOOKUP(B87,Japan!$A:$B,2,)</f>
        <v/>
      </c>
      <c r="H87" s="35">
        <f>VLOOKUP(B87,Germany!$A:$B,2,)</f>
        <v/>
      </c>
      <c r="I87" s="35">
        <f>VLOOKUP(B87,France!$A:$B,2,)</f>
        <v/>
      </c>
      <c r="J87" s="35">
        <f>VLOOKUP(B87,UK!$A:$B,2,)</f>
        <v/>
      </c>
      <c r="K87" s="35">
        <f>VLOOKUP(B87,Italy!$A:$B,2,)</f>
        <v/>
      </c>
      <c r="L87" s="35">
        <f>VLOOKUP(B87,Spain!$A:$B,2,)</f>
        <v/>
      </c>
      <c r="M87" s="35">
        <f>VLOOKUP(B87,Brazil!$A:$B,2,)</f>
        <v/>
      </c>
      <c r="N87" s="35">
        <f>VLOOKUP(B87,Russia!$A:$B,2,)</f>
        <v/>
      </c>
      <c r="O87" s="35">
        <f>VLOOKUP(B87,India!$A:$B,2,)</f>
        <v/>
      </c>
      <c r="P87" s="35">
        <f>VLOOKUP(B87,Australia!$A:$B,2,)</f>
        <v/>
      </c>
      <c r="Q87" s="35">
        <f>VLOOKUP(B87,Ireland!$A:$B,2,)</f>
        <v/>
      </c>
    </row>
    <row r="88" customFormat="1" s="57">
      <c r="B88" s="34" t="n">
        <v>44378</v>
      </c>
      <c r="C88" s="35">
        <f>VLOOKUP(B88,Global!$A:$B,2,)</f>
        <v/>
      </c>
      <c r="D88" s="35">
        <f>VLOOKUP(B88,US!$A:$B,2,)</f>
        <v/>
      </c>
      <c r="E88" s="35">
        <f>VLOOKUP(B88,China!$A:$B,2,)</f>
        <v/>
      </c>
      <c r="F88" s="35">
        <f>VLOOKUP(B88,EuroArea!$A:$B,2,)</f>
        <v/>
      </c>
      <c r="G88" s="35">
        <f>VLOOKUP(B88,Japan!$A:$B,2,)</f>
        <v/>
      </c>
      <c r="H88" s="35">
        <f>VLOOKUP(B88,Germany!$A:$B,2,)</f>
        <v/>
      </c>
      <c r="I88" s="35">
        <f>VLOOKUP(B88,France!$A:$B,2,)</f>
        <v/>
      </c>
      <c r="J88" s="35">
        <f>VLOOKUP(B88,UK!$A:$B,2,)</f>
        <v/>
      </c>
      <c r="K88" s="35">
        <f>VLOOKUP(B88,Italy!$A:$B,2,)</f>
        <v/>
      </c>
      <c r="L88" s="35">
        <f>VLOOKUP(B88,Spain!$A:$B,2,)</f>
        <v/>
      </c>
      <c r="M88" s="35">
        <f>VLOOKUP(B88,Brazil!$A:$B,2,)</f>
        <v/>
      </c>
      <c r="N88" s="35">
        <f>VLOOKUP(B88,Russia!$A:$B,2,)</f>
        <v/>
      </c>
      <c r="O88" s="35">
        <f>VLOOKUP(B88,India!$A:$B,2,)</f>
        <v/>
      </c>
      <c r="P88" s="35">
        <f>VLOOKUP(B88,Australia!$A:$B,2,)</f>
        <v/>
      </c>
      <c r="Q88" s="35">
        <f>VLOOKUP(B88,Ireland!$A:$B,2,)</f>
        <v/>
      </c>
    </row>
    <row r="89" customFormat="1" s="57">
      <c r="B89" s="34" t="n">
        <v>44409</v>
      </c>
      <c r="C89" s="35">
        <f>VLOOKUP(B89,Global!$A:$B,2,)</f>
        <v/>
      </c>
      <c r="D89" s="35">
        <f>VLOOKUP(B89,US!$A:$B,2,)</f>
        <v/>
      </c>
      <c r="E89" s="35">
        <f>VLOOKUP(B89,China!$A:$B,2,)</f>
        <v/>
      </c>
      <c r="F89" s="35">
        <f>VLOOKUP(B89,EuroArea!$A:$B,2,)</f>
        <v/>
      </c>
      <c r="G89" s="35">
        <f>VLOOKUP(B89,Japan!$A:$B,2,)</f>
        <v/>
      </c>
      <c r="H89" s="35">
        <f>VLOOKUP(B89,Germany!$A:$B,2,)</f>
        <v/>
      </c>
      <c r="I89" s="35">
        <f>VLOOKUP(B89,France!$A:$B,2,)</f>
        <v/>
      </c>
      <c r="J89" s="35">
        <f>VLOOKUP(B89,UK!$A:$B,2,)</f>
        <v/>
      </c>
      <c r="K89" s="35">
        <f>VLOOKUP(B89,Italy!$A:$B,2,)</f>
        <v/>
      </c>
      <c r="L89" s="35">
        <f>VLOOKUP(B89,Spain!$A:$B,2,)</f>
        <v/>
      </c>
      <c r="M89" s="35">
        <f>VLOOKUP(B89,Brazil!$A:$B,2,)</f>
        <v/>
      </c>
      <c r="N89" s="35">
        <f>VLOOKUP(B89,Russia!$A:$B,2,)</f>
        <v/>
      </c>
      <c r="O89" s="35">
        <f>VLOOKUP(B89,India!$A:$B,2,)</f>
        <v/>
      </c>
      <c r="P89" s="35">
        <f>VLOOKUP(B89,Australia!$A:$B,2,)</f>
        <v/>
      </c>
      <c r="Q89" s="35">
        <f>VLOOKUP(B89,Ireland!$A:$B,2,)</f>
        <v/>
      </c>
    </row>
    <row r="90" customFormat="1" s="57">
      <c r="B90" s="34" t="n">
        <v>44440</v>
      </c>
      <c r="C90" s="35">
        <f>VLOOKUP(B90,Global!$A:$B,2,)</f>
        <v/>
      </c>
      <c r="D90" s="35">
        <f>VLOOKUP(B90,US!$A:$B,2,)</f>
        <v/>
      </c>
      <c r="E90" s="35">
        <f>VLOOKUP(B90,China!$A:$B,2,)</f>
        <v/>
      </c>
      <c r="F90" s="35">
        <f>VLOOKUP(B90,EuroArea!$A:$B,2,)</f>
        <v/>
      </c>
      <c r="G90" s="35">
        <f>VLOOKUP(B90,Japan!$A:$B,2,)</f>
        <v/>
      </c>
      <c r="H90" s="35">
        <f>VLOOKUP(B90,Germany!$A:$B,2,)</f>
        <v/>
      </c>
      <c r="I90" s="35">
        <f>VLOOKUP(B90,France!$A:$B,2,)</f>
        <v/>
      </c>
      <c r="J90" s="35">
        <f>VLOOKUP(B90,UK!$A:$B,2,)</f>
        <v/>
      </c>
      <c r="K90" s="35">
        <f>VLOOKUP(B90,Italy!$A:$B,2,)</f>
        <v/>
      </c>
      <c r="L90" s="35">
        <f>VLOOKUP(B90,Spain!$A:$B,2,)</f>
        <v/>
      </c>
      <c r="M90" s="35">
        <f>VLOOKUP(B90,Brazil!$A:$B,2,)</f>
        <v/>
      </c>
      <c r="N90" s="35">
        <f>VLOOKUP(B90,Russia!$A:$B,2,)</f>
        <v/>
      </c>
      <c r="O90" s="35">
        <f>VLOOKUP(B90,India!$A:$B,2,)</f>
        <v/>
      </c>
      <c r="P90" s="35">
        <f>VLOOKUP(B90,Australia!$A:$B,2,)</f>
        <v/>
      </c>
      <c r="Q90" s="35">
        <f>VLOOKUP(B90,Ireland!$A:$B,2,)</f>
        <v/>
      </c>
    </row>
    <row r="91" customFormat="1" s="57">
      <c r="B91" s="34" t="n">
        <v>44470</v>
      </c>
      <c r="C91" s="35">
        <f>VLOOKUP(B91,Global!$A:$B,2,)</f>
        <v/>
      </c>
      <c r="D91" s="35">
        <f>VLOOKUP(B91,US!$A:$B,2,)</f>
        <v/>
      </c>
      <c r="E91" s="35">
        <f>VLOOKUP(B91,China!$A:$B,2,)</f>
        <v/>
      </c>
      <c r="F91" s="35">
        <f>VLOOKUP(B91,EuroArea!$A:$B,2,)</f>
        <v/>
      </c>
      <c r="G91" s="35">
        <f>VLOOKUP(B91,Japan!$A:$B,2,)</f>
        <v/>
      </c>
      <c r="H91" s="35">
        <f>VLOOKUP(B91,Germany!$A:$B,2,)</f>
        <v/>
      </c>
      <c r="I91" s="35">
        <f>VLOOKUP(B91,France!$A:$B,2,)</f>
        <v/>
      </c>
      <c r="J91" s="35">
        <f>VLOOKUP(B91,UK!$A:$B,2,)</f>
        <v/>
      </c>
      <c r="K91" s="35">
        <f>VLOOKUP(B91,Italy!$A:$B,2,)</f>
        <v/>
      </c>
      <c r="L91" s="35">
        <f>VLOOKUP(B91,Spain!$A:$B,2,)</f>
        <v/>
      </c>
      <c r="M91" s="35">
        <f>VLOOKUP(B91,Brazil!$A:$B,2,)</f>
        <v/>
      </c>
      <c r="N91" s="35">
        <f>VLOOKUP(B91,Russia!$A:$B,2,)</f>
        <v/>
      </c>
      <c r="O91" s="35">
        <f>VLOOKUP(B91,India!$A:$B,2,)</f>
        <v/>
      </c>
      <c r="P91" s="35">
        <f>VLOOKUP(B91,Australia!$A:$B,2,)</f>
        <v/>
      </c>
      <c r="Q91" s="35">
        <f>VLOOKUP(B91,Ireland!$A:$B,2,)</f>
        <v/>
      </c>
    </row>
    <row r="92" customFormat="1" s="57">
      <c r="B92" s="34" t="n">
        <v>44501</v>
      </c>
      <c r="C92" s="35">
        <f>VLOOKUP(B92,Global!$A:$B,2,)</f>
        <v/>
      </c>
      <c r="D92" s="35">
        <f>VLOOKUP(B92,US!$A:$B,2,)</f>
        <v/>
      </c>
      <c r="E92" s="35">
        <f>VLOOKUP(B92,China!$A:$B,2,)</f>
        <v/>
      </c>
      <c r="F92" s="35">
        <f>VLOOKUP(B92,EuroArea!$A:$B,2,)</f>
        <v/>
      </c>
      <c r="G92" s="35">
        <f>VLOOKUP(B92,Japan!$A:$B,2,)</f>
        <v/>
      </c>
      <c r="H92" s="35">
        <f>VLOOKUP(B92,Germany!$A:$B,2,)</f>
        <v/>
      </c>
      <c r="I92" s="35">
        <f>VLOOKUP(B92,France!$A:$B,2,)</f>
        <v/>
      </c>
      <c r="J92" s="35">
        <f>VLOOKUP(B92,UK!$A:$B,2,)</f>
        <v/>
      </c>
      <c r="K92" s="35">
        <f>VLOOKUP(B92,Italy!$A:$B,2,)</f>
        <v/>
      </c>
      <c r="L92" s="35">
        <f>VLOOKUP(B92,Spain!$A:$B,2,)</f>
        <v/>
      </c>
      <c r="M92" s="35">
        <f>VLOOKUP(B92,Brazil!$A:$B,2,)</f>
        <v/>
      </c>
      <c r="N92" s="35">
        <f>VLOOKUP(B92,Russia!$A:$B,2,)</f>
        <v/>
      </c>
      <c r="O92" s="35">
        <f>VLOOKUP(B92,India!$A:$B,2,)</f>
        <v/>
      </c>
      <c r="P92" s="35">
        <f>VLOOKUP(B92,Australia!$A:$B,2,)</f>
        <v/>
      </c>
      <c r="Q92" s="35">
        <f>VLOOKUP(B92,Ireland!$A:$B,2,)</f>
        <v/>
      </c>
    </row>
    <row r="93" customFormat="1" s="57">
      <c r="B93" s="34" t="n">
        <v>44531</v>
      </c>
      <c r="C93" s="35">
        <f>VLOOKUP(B93,Global!$A:$B,2,)</f>
        <v/>
      </c>
      <c r="D93" s="35">
        <f>VLOOKUP(B93,US!$A:$B,2,)</f>
        <v/>
      </c>
      <c r="E93" s="35">
        <f>VLOOKUP(B93,China!$A:$B,2,)</f>
        <v/>
      </c>
      <c r="F93" s="35">
        <f>VLOOKUP(B93,EuroArea!$A:$B,2,)</f>
        <v/>
      </c>
      <c r="G93" s="35">
        <f>VLOOKUP(B93,Japan!$A:$B,2,)</f>
        <v/>
      </c>
      <c r="H93" s="35">
        <f>VLOOKUP(B93,Germany!$A:$B,2,)</f>
        <v/>
      </c>
      <c r="I93" s="35">
        <f>VLOOKUP(B93,France!$A:$B,2,)</f>
        <v/>
      </c>
      <c r="J93" s="35">
        <f>VLOOKUP(B93,UK!$A:$B,2,)</f>
        <v/>
      </c>
      <c r="K93" s="35">
        <f>VLOOKUP(B93,Italy!$A:$B,2,)</f>
        <v/>
      </c>
      <c r="L93" s="35">
        <f>VLOOKUP(B93,Spain!$A:$B,2,)</f>
        <v/>
      </c>
      <c r="M93" s="35">
        <f>VLOOKUP(B93,Brazil!$A:$B,2,)</f>
        <v/>
      </c>
      <c r="N93" s="35">
        <f>VLOOKUP(B93,Russia!$A:$B,2,)</f>
        <v/>
      </c>
      <c r="O93" s="35">
        <f>VLOOKUP(B93,India!$A:$B,2,)</f>
        <v/>
      </c>
      <c r="P93" s="35">
        <f>VLOOKUP(B93,Australia!$A:$B,2,)</f>
        <v/>
      </c>
      <c r="Q93" s="35">
        <f>VLOOKUP(B93,Ireland!$A:$B,2,)</f>
        <v/>
      </c>
    </row>
    <row r="94" customFormat="1" s="57">
      <c r="B94" s="34" t="n">
        <v>44562</v>
      </c>
      <c r="C94" s="35">
        <f>VLOOKUP(B94,Global!$A:$B,2,)</f>
        <v/>
      </c>
      <c r="D94" s="35">
        <f>VLOOKUP(B94,US!$A:$B,2,)</f>
        <v/>
      </c>
      <c r="E94" s="35">
        <f>VLOOKUP(B94,China!$A:$B,2,)</f>
        <v/>
      </c>
      <c r="F94" s="35">
        <f>VLOOKUP(B94,EuroArea!$A:$B,2,)</f>
        <v/>
      </c>
      <c r="G94" s="35">
        <f>VLOOKUP(B94,Japan!$A:$B,2,)</f>
        <v/>
      </c>
      <c r="H94" s="35">
        <f>VLOOKUP(B94,Germany!$A:$B,2,)</f>
        <v/>
      </c>
      <c r="I94" s="35">
        <f>VLOOKUP(B94,France!$A:$B,2,)</f>
        <v/>
      </c>
      <c r="J94" s="35">
        <f>VLOOKUP(B94,UK!$A:$B,2,)</f>
        <v/>
      </c>
      <c r="K94" s="35">
        <f>VLOOKUP(B94,Italy!$A:$B,2,)</f>
        <v/>
      </c>
      <c r="L94" s="35">
        <f>VLOOKUP(B94,Spain!$A:$B,2,)</f>
        <v/>
      </c>
      <c r="M94" s="35">
        <f>VLOOKUP(B94,Brazil!$A:$B,2,)</f>
        <v/>
      </c>
      <c r="N94" s="35">
        <f>VLOOKUP(B94,Russia!$A:$B,2,)</f>
        <v/>
      </c>
      <c r="O94" s="35">
        <f>VLOOKUP(B94,India!$A:$B,2,)</f>
        <v/>
      </c>
      <c r="P94" s="35">
        <f>VLOOKUP(B94,Australia!$A:$B,2,)</f>
        <v/>
      </c>
      <c r="Q94" s="35">
        <f>VLOOKUP(B94,Ireland!$A:$B,2,)</f>
        <v/>
      </c>
    </row>
    <row r="95" customFormat="1" s="57"/>
    <row r="96" customFormat="1" s="57"/>
    <row r="97" customFormat="1" s="57"/>
    <row r="98" customFormat="1" s="57"/>
    <row r="99" customFormat="1" s="57"/>
    <row r="100" customFormat="1" s="57"/>
    <row r="101" customFormat="1" s="57"/>
    <row r="102" customFormat="1" s="57"/>
    <row r="103" customFormat="1" s="57"/>
    <row r="104" customFormat="1" s="57"/>
    <row r="105" customFormat="1" s="57"/>
    <row r="106" customFormat="1" s="57"/>
    <row r="107" customFormat="1" s="57"/>
    <row r="108" customFormat="1" s="57"/>
    <row r="109" customFormat="1" s="57"/>
    <row r="110" customFormat="1" s="57"/>
    <row r="111" customFormat="1" s="57"/>
    <row r="112" customFormat="1" s="57"/>
    <row r="113" customFormat="1" s="57"/>
    <row r="114" customFormat="1" s="57"/>
    <row r="115" customFormat="1" s="57"/>
    <row r="116" customFormat="1" s="57"/>
    <row r="117" customFormat="1" s="57"/>
    <row r="118" customFormat="1" s="57"/>
    <row r="119" customFormat="1" s="57"/>
    <row r="120" customFormat="1" s="57"/>
    <row r="121" customFormat="1" s="57"/>
    <row r="122" customFormat="1" s="57"/>
    <row r="123" customFormat="1" s="57"/>
    <row r="124" customFormat="1" s="57"/>
    <row r="125" customFormat="1" s="57"/>
    <row r="126" customFormat="1" s="57"/>
    <row r="127" customFormat="1" s="57"/>
    <row r="128" customFormat="1" s="57"/>
    <row r="129" customFormat="1" s="57"/>
    <row r="130" customFormat="1" s="57"/>
    <row r="131" customFormat="1" s="57"/>
    <row r="132" customFormat="1" s="57"/>
    <row r="133" customFormat="1" s="57"/>
    <row r="134" customFormat="1" s="57"/>
    <row r="135" customFormat="1" s="57"/>
    <row r="136" customFormat="1" s="57"/>
    <row r="137" customFormat="1" s="57"/>
    <row r="138" customFormat="1" s="57"/>
    <row r="139" customFormat="1" s="57"/>
    <row r="140" customFormat="1" s="57"/>
    <row r="141" customFormat="1" s="57"/>
    <row r="142" customFormat="1" s="57"/>
    <row r="143" customFormat="1" s="57"/>
    <row r="144" customFormat="1" s="57"/>
    <row r="145" customFormat="1" s="57"/>
    <row r="146" customFormat="1" s="57"/>
    <row r="147" customFormat="1" s="57"/>
    <row r="148" customFormat="1" s="57"/>
    <row r="149" customFormat="1" s="57"/>
    <row r="150" customFormat="1" s="57"/>
    <row r="151" customFormat="1" s="57"/>
    <row r="152" customFormat="1" s="57"/>
    <row r="153" customFormat="1" s="57"/>
    <row r="154" customFormat="1" s="57"/>
    <row r="155" customFormat="1" s="57"/>
    <row r="156" customFormat="1" s="57"/>
    <row r="157" customFormat="1" s="57"/>
    <row r="158" customFormat="1" s="57"/>
    <row r="159" customFormat="1" s="57"/>
    <row r="160" customFormat="1" s="57"/>
    <row r="161" customFormat="1" s="57"/>
    <row r="162" customFormat="1" s="57"/>
    <row r="163" customFormat="1" s="57"/>
    <row r="164" customFormat="1" s="57"/>
    <row r="165" customFormat="1" s="57"/>
    <row r="166" customFormat="1" s="57"/>
    <row r="167" customFormat="1" s="57"/>
    <row r="168" customFormat="1" s="57"/>
    <row r="169" customFormat="1" s="57"/>
    <row r="170" customFormat="1" s="57"/>
    <row r="171" customFormat="1" s="57"/>
    <row r="172" customFormat="1" s="57"/>
    <row r="173" customFormat="1" s="57"/>
    <row r="174" customFormat="1" s="57"/>
    <row r="175" customFormat="1" s="57"/>
    <row r="176" customFormat="1" s="57"/>
    <row r="177" customFormat="1" s="57"/>
    <row r="178" customFormat="1" s="57"/>
    <row r="179" customFormat="1" s="57"/>
    <row r="180" customFormat="1" s="57"/>
    <row r="181" customFormat="1" s="57"/>
    <row r="182" customFormat="1" s="57"/>
    <row r="183" customFormat="1" s="57"/>
    <row r="184" customFormat="1" s="57"/>
    <row r="185" customFormat="1" s="57"/>
    <row r="186" customFormat="1" s="57"/>
    <row r="187" customFormat="1" s="57"/>
    <row r="188" customFormat="1" s="57"/>
    <row r="189" customFormat="1" s="57"/>
    <row r="190" customFormat="1" s="57"/>
    <row r="191" customFormat="1" s="57"/>
    <row r="192" customFormat="1" s="57"/>
    <row r="193" customFormat="1" s="57"/>
    <row r="194" customFormat="1" s="57"/>
    <row r="195" customFormat="1" s="57"/>
    <row r="196" customFormat="1" s="57"/>
    <row r="197" customFormat="1" s="57"/>
    <row r="198" customFormat="1" s="57"/>
    <row r="199" customFormat="1" s="57"/>
    <row r="200" customFormat="1" s="57"/>
    <row r="201" customFormat="1" s="57"/>
    <row r="202" customFormat="1" s="57"/>
    <row r="203" customFormat="1" s="57"/>
    <row r="204" customFormat="1" s="57"/>
    <row r="205" customFormat="1" s="57"/>
    <row r="206" customFormat="1" s="57"/>
    <row r="207" customFormat="1" s="57"/>
    <row r="208" customFormat="1" s="57"/>
    <row r="209" customFormat="1" s="57"/>
    <row r="210" customFormat="1" s="57"/>
    <row r="211" customFormat="1" s="57"/>
    <row r="212" customFormat="1" s="57"/>
    <row r="213" customFormat="1" s="57"/>
    <row r="214" customFormat="1" s="57"/>
    <row r="215" customFormat="1" s="57"/>
    <row r="216" customFormat="1" s="57"/>
    <row r="217" customFormat="1" s="57"/>
    <row r="218" customFormat="1" s="57"/>
    <row r="219" customFormat="1" s="57"/>
    <row r="220" customFormat="1" s="57"/>
    <row r="221" customFormat="1" s="57"/>
    <row r="222" customFormat="1" s="57"/>
    <row r="223" customFormat="1" s="57"/>
    <row r="224" customFormat="1" s="57"/>
    <row r="225" customFormat="1" s="57"/>
    <row r="226" customFormat="1" s="57"/>
    <row r="227" customFormat="1" s="57"/>
    <row r="228" customFormat="1" s="57"/>
    <row r="229" customFormat="1" s="57"/>
    <row r="230" customFormat="1" s="57"/>
    <row r="231" customFormat="1" s="57"/>
    <row r="232" customFormat="1" s="57"/>
    <row r="233" customFormat="1" s="57"/>
    <row r="234" customFormat="1" s="57"/>
    <row r="235" customFormat="1" s="57"/>
    <row r="236" customFormat="1" s="57"/>
    <row r="237" customFormat="1" s="57"/>
    <row r="238" customFormat="1" s="57"/>
    <row r="239" customFormat="1" s="57"/>
    <row r="240" customFormat="1" s="57"/>
    <row r="241" customFormat="1" s="57"/>
    <row r="242" customFormat="1" s="57"/>
    <row r="243" customFormat="1" s="57"/>
    <row r="244" customFormat="1" s="57"/>
    <row r="245" customFormat="1" s="57"/>
    <row r="246" customFormat="1" s="57"/>
    <row r="247" customFormat="1" s="57"/>
    <row r="248" customFormat="1" s="57"/>
    <row r="249" customFormat="1" s="57"/>
    <row r="250" customFormat="1" s="57"/>
    <row r="251" customFormat="1" s="57"/>
    <row r="252" customFormat="1" s="57"/>
    <row r="253" customFormat="1" s="57"/>
    <row r="254" customFormat="1" s="57"/>
    <row r="255" customFormat="1" s="57"/>
    <row r="256" customFormat="1" s="57"/>
    <row r="257" customFormat="1" s="57"/>
    <row r="258" customFormat="1" s="57"/>
    <row r="259" customFormat="1" s="57"/>
    <row r="260" customFormat="1" s="57"/>
    <row r="261" customFormat="1" s="57"/>
    <row r="262" customFormat="1" s="57"/>
    <row r="263" customFormat="1" s="57"/>
    <row r="264" customFormat="1" s="57"/>
    <row r="265" customFormat="1" s="57"/>
    <row r="266" customFormat="1" s="57"/>
    <row r="267" customFormat="1" s="57"/>
    <row r="268" customFormat="1" s="57"/>
    <row r="269" customFormat="1" s="57"/>
    <row r="270" customFormat="1" s="57"/>
    <row r="271" customFormat="1" s="57"/>
    <row r="272" customFormat="1" s="57"/>
    <row r="273" customFormat="1" s="57"/>
    <row r="274" customFormat="1" s="57"/>
    <row r="275" customFormat="1" s="57"/>
    <row r="276" customFormat="1" s="57"/>
    <row r="277" customFormat="1" s="57"/>
    <row r="278" customFormat="1" s="57"/>
    <row r="279" customFormat="1" s="57"/>
    <row r="280" customFormat="1" s="57"/>
    <row r="281" customFormat="1" s="57"/>
    <row r="282" customFormat="1" s="57"/>
    <row r="283" customFormat="1" s="57"/>
    <row r="284" customFormat="1" s="57"/>
    <row r="285" customFormat="1" s="57"/>
    <row r="286" customFormat="1" s="57"/>
    <row r="287" customFormat="1" s="57"/>
    <row r="288" customFormat="1" s="57"/>
    <row r="289" customFormat="1" s="57"/>
    <row r="290" customFormat="1" s="57"/>
    <row r="291" customFormat="1" s="57"/>
    <row r="292" customFormat="1" s="57"/>
    <row r="293" customFormat="1" s="57"/>
    <row r="294" customFormat="1" s="57"/>
    <row r="295" customFormat="1" s="57"/>
    <row r="296" customFormat="1" s="57"/>
    <row r="297" customFormat="1" s="57"/>
    <row r="298" customFormat="1" s="57"/>
    <row r="299" customFormat="1" s="57"/>
    <row r="300" customFormat="1" s="57"/>
    <row r="301" customFormat="1" s="57"/>
    <row r="302" customFormat="1" s="57"/>
    <row r="303" customFormat="1" s="57"/>
    <row r="304" customFormat="1" s="57"/>
    <row r="305" customFormat="1" s="57"/>
    <row r="306" customFormat="1" s="57"/>
    <row r="307" customFormat="1" s="57"/>
    <row r="308" customFormat="1" s="57"/>
    <row r="309" customFormat="1" s="57"/>
    <row r="310" customFormat="1" s="57"/>
    <row r="311" customFormat="1" s="57"/>
    <row r="312" customFormat="1" s="57"/>
    <row r="313" customFormat="1" s="57"/>
    <row r="314" customFormat="1" s="57"/>
    <row r="315" customFormat="1" s="57"/>
    <row r="316" customFormat="1" s="57"/>
    <row r="317" customFormat="1" s="57"/>
    <row r="318" customFormat="1" s="57"/>
    <row r="319" customFormat="1" s="57"/>
    <row r="320" customFormat="1" s="57"/>
    <row r="321" customFormat="1" s="57"/>
    <row r="322" customFormat="1" s="57"/>
    <row r="323" customFormat="1" s="57"/>
    <row r="324" customFormat="1" s="57"/>
    <row r="325" customFormat="1" s="57"/>
    <row r="326" customFormat="1" s="57"/>
    <row r="327" customFormat="1" s="57"/>
    <row r="328" customFormat="1" s="57"/>
    <row r="329" customFormat="1" s="57"/>
    <row r="330" customFormat="1" s="57"/>
    <row r="331" customFormat="1" s="57"/>
    <row r="332" customFormat="1" s="57"/>
    <row r="333" customFormat="1" s="57"/>
    <row r="334" customFormat="1" s="57"/>
    <row r="335" customFormat="1" s="57"/>
    <row r="336" customFormat="1" s="57"/>
    <row r="337" customFormat="1" s="57"/>
    <row r="338" customFormat="1" s="57"/>
    <row r="339" customFormat="1" s="57"/>
    <row r="340" customFormat="1" s="57"/>
    <row r="341" customFormat="1" s="57"/>
    <row r="342" customFormat="1" s="57"/>
    <row r="343" customFormat="1" s="57"/>
    <row r="344" customFormat="1" s="57"/>
    <row r="345" customFormat="1" s="57"/>
    <row r="346" customFormat="1" s="57"/>
    <row r="347" customFormat="1" s="57"/>
  </sheetData>
  <conditionalFormatting sqref="C12:Q94">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127" text="below">
      <formula>NOT(ISERROR(SEARCH("below",C6)))</formula>
    </cfRule>
    <cfRule type="containsText" priority="12" operator="containsText" dxfId="126" text="above">
      <formula>NOT(ISERROR(SEARCH("above",C6)))</formula>
    </cfRule>
  </conditionalFormatting>
  <conditionalFormatting sqref="C8:Q8">
    <cfRule type="cellIs" priority="9" operator="lessThan" dxfId="125">
      <formula>0</formula>
    </cfRule>
    <cfRule type="cellIs" priority="10" operator="greaterThan" dxfId="124">
      <formula>0</formula>
    </cfRule>
  </conditionalFormatting>
  <conditionalFormatting sqref="C9:Q9">
    <cfRule type="cellIs" priority="3" operator="equal" dxfId="123">
      <formula>"Growth"</formula>
    </cfRule>
    <cfRule type="cellIs" priority="4" operator="equal" dxfId="122">
      <formula>"Contraction"</formula>
    </cfRule>
  </conditionalFormatting>
  <conditionalFormatting sqref="C10:Q10">
    <cfRule type="cellIs" priority="1" operator="equal" dxfId="121">
      <formula>"+"</formula>
    </cfRule>
    <cfRule type="cellIs" priority="2" operator="equal" dxfId="12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1"/>
  <sheetViews>
    <sheetView zoomScale="160" zoomScaleNormal="160" workbookViewId="0">
      <pane ySplit="5" topLeftCell="A106" activePane="bottomLeft" state="frozen"/>
      <selection pane="bottomLeft" activeCell="P137" sqref="P137"/>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Global</t>
        </is>
      </c>
    </row>
    <row r="2">
      <c r="H2" s="57" t="inlineStr">
        <is>
          <t>Global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sheetData>
  <conditionalFormatting sqref="B6:B141">
    <cfRule type="colorScale" priority="203">
      <colorScale>
        <cfvo type="min"/>
        <cfvo type="percentile" val="50"/>
        <cfvo type="max"/>
        <color rgb="FFF8696B"/>
        <color rgb="FFFFEB84"/>
        <color rgb="FF63BE7B"/>
      </colorScale>
    </cfRule>
  </conditionalFormatting>
  <conditionalFormatting sqref="C7:C141">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5"/>
  <sheetViews>
    <sheetView zoomScale="160" zoomScaleNormal="160" workbookViewId="0">
      <pane ySplit="5" topLeftCell="A71" activePane="bottomLeft" state="frozen"/>
      <selection pane="bottomLeft" activeCell="B6" sqref="B6"/>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United States</t>
        </is>
      </c>
      <c r="J1" s="57" t="inlineStr">
        <is>
          <t xml:space="preserve"> Services PMI</t>
        </is>
      </c>
    </row>
    <row r="2">
      <c r="J2" s="57" t="inlineStr">
        <is>
          <t>U.S. Services PMI</t>
        </is>
      </c>
    </row>
    <row r="4" ht="16" customHeight="1" s="42" thickBot="1"/>
    <row r="5" ht="16" customHeight="1" s="42"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sheetData>
  <conditionalFormatting sqref="B6:B105">
    <cfRule type="colorScale" priority="46">
      <colorScale>
        <cfvo type="min"/>
        <cfvo type="percentile" val="50"/>
        <cfvo type="max"/>
        <color rgb="FFF8696B"/>
        <color rgb="FFFFEB84"/>
        <color rgb="FF63BE7B"/>
      </colorScale>
    </cfRule>
  </conditionalFormatting>
  <conditionalFormatting sqref="C7:C105">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0"/>
  <sheetViews>
    <sheetView zoomScale="170" zoomScaleNormal="170" workbookViewId="0">
      <pane ySplit="5" topLeftCell="A152" activePane="bottomLeft" state="frozen"/>
      <selection pane="bottomLeft" activeCell="F182" sqref="F182"/>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Euro Area</t>
        </is>
      </c>
      <c r="J1" s="57" t="inlineStr">
        <is>
          <t xml:space="preserve"> Services PMI</t>
        </is>
      </c>
    </row>
    <row r="2">
      <c r="J2" s="57" t="inlineStr">
        <is>
          <t>Euro Area Services PMI</t>
        </is>
      </c>
    </row>
    <row r="4" ht="16" customHeight="1" s="42" thickBot="1"/>
    <row r="5" ht="16" customHeight="1" s="42"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sheetData>
  <conditionalFormatting sqref="B6:B180">
    <cfRule type="colorScale" priority="3">
      <colorScale>
        <cfvo type="min"/>
        <cfvo type="percentile" val="50"/>
        <cfvo type="max"/>
        <color rgb="FFF8696B"/>
        <color rgb="FFFFEB84"/>
        <color rgb="FF63BE7B"/>
      </colorScale>
    </cfRule>
  </conditionalFormatting>
  <conditionalFormatting sqref="C7:C18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0"/>
  <sheetViews>
    <sheetView zoomScale="160" zoomScaleNormal="160" workbookViewId="0">
      <pane ySplit="5" topLeftCell="A108" activePane="bottomLeft" state="frozen"/>
      <selection pane="bottomLeft" activeCell="E144" sqref="E144"/>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China</t>
        </is>
      </c>
      <c r="J1" s="57" t="inlineStr">
        <is>
          <t xml:space="preserve"> Services PMI</t>
        </is>
      </c>
    </row>
    <row r="2">
      <c r="J2" s="57" t="inlineStr">
        <is>
          <t>China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6"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sheetData>
  <conditionalFormatting sqref="C7:C140">
    <cfRule type="colorScale" priority="205">
      <colorScale>
        <cfvo type="min"/>
        <cfvo type="percentile" val="50"/>
        <cfvo type="max"/>
        <color rgb="FFF8696B"/>
        <color rgb="FFFCFCFF"/>
        <color rgb="FF5A8AC6"/>
      </colorScale>
    </cfRule>
  </conditionalFormatting>
  <conditionalFormatting sqref="B6:B140">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7"/>
  <sheetViews>
    <sheetView zoomScale="160" zoomScaleNormal="160" workbookViewId="0">
      <pane ySplit="5" topLeftCell="A136" activePane="bottomLeft" state="frozen"/>
      <selection pane="bottomLeft" activeCell="D171" sqref="D171"/>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France</t>
        </is>
      </c>
      <c r="J1" s="57" t="inlineStr">
        <is>
          <t xml:space="preserve"> Services PMI</t>
        </is>
      </c>
    </row>
    <row r="2">
      <c r="J2" s="57" t="inlineStr">
        <is>
          <t>France Services PMI</t>
        </is>
      </c>
    </row>
    <row r="4" ht="16" customHeight="1" s="42" thickBot="1"/>
    <row r="5" ht="16" customHeight="1" s="42"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sheetData>
  <conditionalFormatting sqref="C7:C167">
    <cfRule type="colorScale" priority="1">
      <colorScale>
        <cfvo type="min"/>
        <cfvo type="percentile" val="50"/>
        <cfvo type="max"/>
        <color rgb="FFF8696B"/>
        <color rgb="FFFCFCFF"/>
        <color rgb="FF5A8AC6"/>
      </colorScale>
    </cfRule>
  </conditionalFormatting>
  <conditionalFormatting sqref="B6:B16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0"/>
  <sheetViews>
    <sheetView zoomScale="150" zoomScaleNormal="150" workbookViewId="0">
      <pane ySplit="5" topLeftCell="A149" activePane="bottomLeft" state="frozen"/>
      <selection pane="bottomLeft" activeCell="H186" sqref="H186"/>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Germany</t>
        </is>
      </c>
      <c r="J1" s="57" t="inlineStr">
        <is>
          <t xml:space="preserve"> Services PMI</t>
        </is>
      </c>
    </row>
    <row r="2">
      <c r="J2" s="57" t="inlineStr">
        <is>
          <t>Germany Services PMI</t>
        </is>
      </c>
    </row>
    <row r="4" ht="16" customHeight="1" s="42" thickBot="1"/>
    <row r="5" ht="16" customHeight="1" s="42"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sheetData>
  <conditionalFormatting sqref="C7:C180">
    <cfRule type="colorScale" priority="1">
      <colorScale>
        <cfvo type="min"/>
        <cfvo type="percentile" val="50"/>
        <cfvo type="max"/>
        <color rgb="FFF8696B"/>
        <color rgb="FFFCFCFF"/>
        <color rgb="FF5A8AC6"/>
      </colorScale>
    </cfRule>
  </conditionalFormatting>
  <conditionalFormatting sqref="B6:B18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1"/>
  <sheetViews>
    <sheetView zoomScale="150" zoomScaleNormal="150" workbookViewId="0">
      <pane ySplit="5" topLeftCell="A107" activePane="bottomLeft" state="frozen"/>
      <selection pane="bottomLeft" activeCell="R121" sqref="R121"/>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United Kingdom</t>
        </is>
      </c>
      <c r="J1" s="57" t="inlineStr">
        <is>
          <t xml:space="preserve"> Services PMI</t>
        </is>
      </c>
    </row>
    <row r="2">
      <c r="J2" s="57" t="inlineStr">
        <is>
          <t>U.K.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1"/>
  <sheetViews>
    <sheetView zoomScale="160" zoomScaleNormal="160" workbookViewId="0">
      <pane ySplit="5" topLeftCell="A109" activePane="bottomLeft" state="frozen"/>
      <selection pane="bottomLeft" activeCell="T131" sqref="T131"/>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India</t>
        </is>
      </c>
      <c r="J1" s="57" t="inlineStr">
        <is>
          <t xml:space="preserve"> Services PMI</t>
        </is>
      </c>
    </row>
    <row r="2">
      <c r="J2" s="57" t="inlineStr">
        <is>
          <t>India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0"/>
  <sheetViews>
    <sheetView zoomScale="150" zoomScaleNormal="150" workbookViewId="0">
      <pane ySplit="5" topLeftCell="A109" activePane="bottomLeft" state="frozen"/>
      <selection pane="bottomLeft" activeCell="S127" sqref="S127"/>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Australia</t>
        </is>
      </c>
      <c r="J1" s="57" t="inlineStr">
        <is>
          <t xml:space="preserve"> Services PMI</t>
        </is>
      </c>
    </row>
    <row r="2">
      <c r="J2" s="57" t="inlineStr">
        <is>
          <t>Australia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sheetData>
  <conditionalFormatting sqref="C7:C140">
    <cfRule type="colorScale" priority="207">
      <colorScale>
        <cfvo type="min"/>
        <cfvo type="percentile" val="50"/>
        <cfvo type="max"/>
        <color rgb="FFF8696B"/>
        <color rgb="FFFCFCFF"/>
        <color rgb="FF5A8AC6"/>
      </colorScale>
    </cfRule>
  </conditionalFormatting>
  <conditionalFormatting sqref="B6:B140">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1"/>
  <sheetViews>
    <sheetView zoomScale="160" zoomScaleNormal="160" workbookViewId="0">
      <pane ySplit="5" topLeftCell="A111" activePane="bottomLeft" state="frozen"/>
      <selection pane="bottomLeft" activeCell="E146" sqref="E146"/>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Ireland</t>
        </is>
      </c>
      <c r="J1" s="57" t="inlineStr">
        <is>
          <t xml:space="preserve"> Services PMI</t>
        </is>
      </c>
    </row>
    <row r="2">
      <c r="J2" s="57" t="inlineStr">
        <is>
          <t>Ireland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1"/>
  <sheetViews>
    <sheetView zoomScale="160" zoomScaleNormal="160" workbookViewId="0">
      <pane ySplit="5" topLeftCell="A105" activePane="bottomLeft" state="frozen"/>
      <selection pane="bottomLeft" activeCell="O140" sqref="O140"/>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Italy</t>
        </is>
      </c>
      <c r="J1" s="57" t="inlineStr">
        <is>
          <t xml:space="preserve"> Services PMI</t>
        </is>
      </c>
    </row>
    <row r="2">
      <c r="J2" s="57" t="inlineStr">
        <is>
          <t>Italy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1"/>
  <sheetViews>
    <sheetView zoomScale="150" zoomScaleNormal="150" workbookViewId="0">
      <pane ySplit="5" topLeftCell="A102" activePane="bottomLeft" state="frozen"/>
      <selection pane="bottomLeft" activeCell="A144" sqref="A144"/>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Japan</t>
        </is>
      </c>
      <c r="J1" s="57" t="inlineStr">
        <is>
          <t xml:space="preserve"> Services PMI</t>
        </is>
      </c>
    </row>
    <row r="2">
      <c r="J2" s="57" t="inlineStr">
        <is>
          <t>Japan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1"/>
  <sheetViews>
    <sheetView zoomScale="160" zoomScaleNormal="160" workbookViewId="0">
      <pane ySplit="5" topLeftCell="A110" activePane="bottomLeft" state="frozen"/>
      <selection pane="bottomLeft" activeCell="R136" sqref="R136"/>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Brazil</t>
        </is>
      </c>
      <c r="J1" s="57" t="inlineStr">
        <is>
          <t xml:space="preserve"> Services PMI</t>
        </is>
      </c>
    </row>
    <row r="2">
      <c r="J2" s="57" t="inlineStr">
        <is>
          <t>Brazil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1"/>
  <sheetViews>
    <sheetView zoomScale="160" zoomScaleNormal="160" workbookViewId="0">
      <pane ySplit="5" topLeftCell="A105" activePane="bottomLeft" state="frozen"/>
      <selection pane="bottomLeft" activeCell="Q135" sqref="Q135"/>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Russia</t>
        </is>
      </c>
      <c r="J1" s="57" t="inlineStr">
        <is>
          <t xml:space="preserve"> Services PMI</t>
        </is>
      </c>
    </row>
    <row r="2">
      <c r="J2" s="57" t="inlineStr">
        <is>
          <t>Russia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1"/>
  <sheetViews>
    <sheetView zoomScale="170" zoomScaleNormal="170" workbookViewId="0">
      <pane ySplit="5" topLeftCell="A108" activePane="bottomLeft" state="frozen"/>
      <selection pane="bottomLeft" activeCell="Q143" sqref="Q143"/>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Spain</t>
        </is>
      </c>
      <c r="J1" s="57" t="inlineStr">
        <is>
          <t xml:space="preserve"> Services PMI</t>
        </is>
      </c>
    </row>
    <row r="2">
      <c r="J2" s="57" t="inlineStr">
        <is>
          <t>Spain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2022-02-03T17:36:47Z</dcterms:modified>
  <cp:lastModifiedBy>Mark Mukherjee</cp:lastModifiedBy>
</cp:coreProperties>
</file>