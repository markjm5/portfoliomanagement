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1345" yWindow="-21600" windowWidth="49545" windowHeight="20985"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2">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8" fontId="0" fillId="0" borderId="0" pivotButton="0" quotePrefix="0" xfId="0"/>
  </cellXfs>
  <cellStyles count="4">
    <cellStyle name="Normal" xfId="0" builtinId="0"/>
    <cellStyle name="Per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Global!$B$6:$B$153</f>
              <numCache>
                <formatCode>General</formatCode>
                <ptCount val="148"/>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pt idx="141">
                  <v>#N/A</v>
                </pt>
                <pt idx="142">
                  <v>#N/A</v>
                </pt>
                <pt idx="143">
                  <v>#N/A</v>
                </pt>
                <pt idx="144">
                  <v>#N/A</v>
                </pt>
                <pt idx="145">
                  <v>#N/A</v>
                </pt>
                <pt idx="14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US!$A$6:$A$117</f>
              <numCache>
                <formatCode>m/d/yyyy</formatCode>
                <ptCount val="112"/>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pt idx="108">
                  <v>44835</v>
                </pt>
                <pt idx="109">
                  <v>44866</v>
                </pt>
                <pt idx="110">
                  <v>44896</v>
                </pt>
                <pt idx="111">
                  <v>44927</v>
                </pt>
              </numCache>
            </numRef>
          </cat>
          <val>
            <numRef>
              <f>US!$B$6:$B$117</f>
              <numCache>
                <formatCode>General</formatCode>
                <ptCount val="112"/>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pt idx="108">
                  <v>47.8</v>
                </pt>
                <pt idx="109">
                  <v>46.2</v>
                </pt>
                <pt idx="110">
                  <v>44.7</v>
                </pt>
                <pt idx="111">
                  <v>46.6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EuroArea!$A$6:$A$192</f>
              <numCache>
                <formatCode>m/d/yyyy</formatCode>
                <ptCount val="18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pt idx="185">
                  <v>44896</v>
                </pt>
                <pt idx="186">
                  <v>44927</v>
                </pt>
              </numCache>
            </numRef>
          </cat>
          <val>
            <numRef>
              <f>EuroArea!$B$6:$B$192</f>
              <numCache>
                <formatCode>General</formatCode>
                <ptCount val="187"/>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pt idx="183">
                  <v>48.6</v>
                </pt>
                <pt idx="184">
                  <v>48.5</v>
                </pt>
                <pt idx="185">
                  <v>49.8</v>
                </pt>
                <pt idx="186">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China!$B$6:$B$153</f>
              <numCache>
                <formatCode>General</formatCode>
                <ptCount val="148"/>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pt idx="144">
                  <v>48.4</v>
                </pt>
                <pt idx="145">
                  <v>46.7</v>
                </pt>
                <pt idx="146">
                  <v>48</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France!$A$6:$A$179</f>
              <numCache>
                <formatCode>m/d/yyyy</formatCode>
                <ptCount val="17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pt idx="172">
                  <v>44896</v>
                </pt>
                <pt idx="173">
                  <v>44927</v>
                </pt>
              </numCache>
            </numRef>
          </cat>
          <val>
            <numRef>
              <f>France!$B$6:$B$179</f>
              <numCache>
                <formatCode>General</formatCode>
                <ptCount val="17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pt idx="170">
                  <v>51.7</v>
                </pt>
                <pt idx="171">
                  <v>49.3</v>
                </pt>
                <pt idx="172">
                  <v>49.5</v>
                </pt>
                <pt idx="173">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Germany!$A$6:$A$192</f>
              <numCache>
                <formatCode>m/d/yyyy</formatCode>
                <ptCount val="18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pt idx="185">
                  <v>44896</v>
                </pt>
                <pt idx="186">
                  <v>44927</v>
                </pt>
              </numCache>
            </numRef>
          </cat>
          <val>
            <numRef>
              <f>Germany!$B$6:$B$192</f>
              <numCache>
                <formatCode>General</formatCode>
                <ptCount val="187"/>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pt idx="183">
                  <v>46.5</v>
                </pt>
                <pt idx="184">
                  <v>46.1</v>
                </pt>
                <pt idx="185">
                  <v>49.2</v>
                </pt>
                <pt idx="186">
                  <v>50.4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UK!$B$6:$B$153</f>
              <numCache>
                <formatCode>General</formatCode>
                <ptCount val="148"/>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pt idx="144">
                  <v>48.8</v>
                </pt>
                <pt idx="145">
                  <v>48.8</v>
                </pt>
                <pt idx="146">
                  <v>49.9</v>
                </pt>
                <pt idx="147">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India!$B$6:$B$153</f>
              <numCache>
                <formatCode>General</formatCode>
                <ptCount val="148"/>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pt idx="144">
                  <v>55.1</v>
                </pt>
                <pt idx="145">
                  <v>56.4</v>
                </pt>
                <pt idx="146">
                  <v>58.5</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Australia!$B$6:$B$152</f>
              <numCache>
                <formatCode>General</formatCode>
                <ptCount val="147"/>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pt idx="144">
                  <v>47.7</v>
                </pt>
                <pt idx="145">
                  <v>45.6</v>
                </pt>
                <pt idx="14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Ireland!$B$6:$B$153</f>
              <numCache>
                <formatCode>General</formatCode>
                <ptCount val="148"/>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pt idx="144">
                  <v>53.2</v>
                </pt>
                <pt idx="145">
                  <v>50.8</v>
                </pt>
                <pt idx="146">
                  <v>52.7</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Italy!$B$6:$B$153</f>
              <numCache>
                <formatCode>General</formatCode>
                <ptCount val="148"/>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pt idx="144">
                  <v>46.4</v>
                </pt>
                <pt idx="145">
                  <v>49.5</v>
                </pt>
                <pt idx="146">
                  <v>49.9</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Japan!$B$6:$B$153</f>
              <numCache>
                <formatCode>General</formatCode>
                <ptCount val="148"/>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pt idx="144">
                  <v>53.2</v>
                </pt>
                <pt idx="145">
                  <v>50.3</v>
                </pt>
                <pt idx="146">
                  <v>50.3</v>
                </pt>
                <pt idx="147">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Brazil!$B$6:$B$153</f>
              <numCache>
                <formatCode>General</formatCode>
                <ptCount val="148"/>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pt idx="144">
                  <v>54</v>
                </pt>
                <pt idx="145">
                  <v>51.6</v>
                </pt>
                <pt idx="146">
                  <v>51</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Russia!$B$6:$B$153</f>
              <numCache>
                <formatCode>General</formatCode>
                <ptCount val="148"/>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pt idx="144">
                  <v>43.7</v>
                </pt>
                <pt idx="145">
                  <v>48.3</v>
                </pt>
                <pt idx="146">
                  <v>45.9</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Spain!$B$6:$B$153</f>
              <numCache>
                <formatCode>General</formatCode>
                <ptCount val="148"/>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pt idx="144">
                  <v>49.7</v>
                </pt>
                <pt idx="145">
                  <v>51.2</v>
                </pt>
                <pt idx="146">
                  <v>51.6</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304401</colOff>
      <row>92</row>
      <rowOff>170258</rowOff>
    </from>
    <to>
      <col>12</col>
      <colOff>423464</colOff>
      <row>116</row>
      <rowOff>88502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195541</colOff>
      <row>173</row>
      <rowOff>149410</rowOff>
    </from>
    <to>
      <col>12</col>
      <colOff>371662</colOff>
      <row>194</row>
      <rowOff>101039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352027</colOff>
      <row>136</row>
      <rowOff>124222</rowOff>
    </from>
    <to>
      <col>11</col>
      <colOff>413940</colOff>
      <row>157</row>
      <rowOff>17859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258764</colOff>
      <row>161</row>
      <rowOff>136128</rowOff>
    </from>
    <to>
      <col>12</col>
      <colOff>352424</colOff>
      <row>185</row>
      <rowOff>15479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225425</colOff>
      <row>173</row>
      <rowOff>50801</rowOff>
    </from>
    <to>
      <col>12</col>
      <colOff>303741</colOff>
      <row>195</row>
      <rowOff>141817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267757</colOff>
      <row>134</row>
      <rowOff>9524</rowOff>
    </from>
    <to>
      <col>12</col>
      <colOff>548215</colOff>
      <row>156</row>
      <rowOff>26457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280590</colOff>
      <row>140</row>
      <rowOff>149623</rowOff>
    </from>
    <to>
      <col>12</col>
      <colOff>550465</colOff>
      <row>162</row>
      <rowOff>28178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259293</colOff>
      <row>133</row>
      <rowOff>106890</rowOff>
    </from>
    <to>
      <col>12</col>
      <colOff>393700</colOff>
      <row>155</row>
      <rowOff>177799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162720</colOff>
      <row>139</row>
      <rowOff>66676</rowOff>
    </from>
    <to>
      <col>12</col>
      <colOff>459581</colOff>
      <row>160</row>
      <rowOff>73820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288923</colOff>
      <row>136</row>
      <rowOff>149622</rowOff>
    </from>
    <to>
      <col>12</col>
      <colOff>125016</colOff>
      <row>158</row>
      <rowOff>172640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238126</colOff>
      <row>135</row>
      <rowOff>184149</rowOff>
    </from>
    <to>
      <col>13</col>
      <colOff>335492</colOff>
      <row>159</row>
      <rowOff>119592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238125</colOff>
      <row>137</row>
      <rowOff>58341</rowOff>
    </from>
    <to>
      <col>12</col>
      <colOff>571499</colOff>
      <row>160</row>
      <rowOff>83344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187326</colOff>
      <row>136</row>
      <rowOff>64691</rowOff>
    </from>
    <to>
      <col>13</col>
      <colOff>178593</colOff>
      <row>160</row>
      <rowOff>47625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179293</colOff>
      <row>136</row>
      <rowOff>163791</rowOff>
    </from>
    <to>
      <col>12</col>
      <colOff>546660</colOff>
      <row>158</row>
      <rowOff>105896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52" headerRowCount="1" totalsRowShown="0" headerRowDxfId="129" dataDxfId="127" headerRowBorderDxfId="128" tableBorderDxfId="126" totalsRowBorderDxfId="125">
  <autoFilter ref="A5:C15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7" headerRowCount="1" totalsRowShown="0" headerRowDxfId="121" dataDxfId="119" headerRowBorderDxfId="120" tableBorderDxfId="118" totalsRowBorderDxfId="117">
  <autoFilter ref="A5:C117"/>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92" headerRowCount="1" totalsRowShown="0" headerRowDxfId="113" dataDxfId="111" headerRowBorderDxfId="112" tableBorderDxfId="110" totalsRowBorderDxfId="109">
  <autoFilter ref="A5:C192"/>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53" headerRowCount="1" totalsRowShown="0" headerRowDxfId="105" dataDxfId="103" headerRowBorderDxfId="104" tableBorderDxfId="102" totalsRowBorderDxfId="101">
  <autoFilter ref="A5:C153"/>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9" headerRowCount="1" totalsRowShown="0" headerRowDxfId="97" dataDxfId="95" headerRowBorderDxfId="96" tableBorderDxfId="94" totalsRowBorderDxfId="93">
  <autoFilter ref="A5:C17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92" headerRowCount="1" totalsRowShown="0" headerRowDxfId="89" dataDxfId="87" headerRowBorderDxfId="88" tableBorderDxfId="86" totalsRowBorderDxfId="85">
  <autoFilter ref="A5:C192"/>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53" headerRowCount="1" totalsRowShown="0" headerRowDxfId="81" dataDxfId="79" headerRowBorderDxfId="80" tableBorderDxfId="78" totalsRowBorderDxfId="77">
  <autoFilter ref="A5:C153"/>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53" headerRowCount="1" totalsRowShown="0" headerRowDxfId="73" dataDxfId="71" headerRowBorderDxfId="72" tableBorderDxfId="70" totalsRowBorderDxfId="69">
  <autoFilter ref="A5:C153"/>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52" headerRowCount="1" totalsRowShown="0" headerRowDxfId="65" dataDxfId="63" headerRowBorderDxfId="64" tableBorderDxfId="62" totalsRowBorderDxfId="61">
  <autoFilter ref="A5:C152"/>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53" headerRowCount="1" totalsRowShown="0" headerRowDxfId="57" dataDxfId="55" headerRowBorderDxfId="56" tableBorderDxfId="54" totalsRowBorderDxfId="53">
  <autoFilter ref="A5:C153"/>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53" headerRowCount="1" totalsRowShown="0" headerRowDxfId="49" dataDxfId="47" headerRowBorderDxfId="48" tableBorderDxfId="46" totalsRowBorderDxfId="45">
  <autoFilter ref="A5:C153"/>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53" headerRowCount="1" totalsRowShown="0" headerRowDxfId="41" dataDxfId="39" headerRowBorderDxfId="40" tableBorderDxfId="38" totalsRowBorderDxfId="37">
  <autoFilter ref="A5:C153"/>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53" headerRowCount="1" totalsRowShown="0" headerRowDxfId="33" dataDxfId="31" headerRowBorderDxfId="32" tableBorderDxfId="30" totalsRowBorderDxfId="29">
  <autoFilter ref="A5:C153"/>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53" headerRowCount="1" totalsRowShown="0" headerRowDxfId="25" dataDxfId="23" headerRowBorderDxfId="24" tableBorderDxfId="22" totalsRowBorderDxfId="21">
  <autoFilter ref="A5:C153"/>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53" headerRowCount="1" totalsRowShown="0" headerRowDxfId="17" dataDxfId="15" headerRowBorderDxfId="16" tableBorderDxfId="14" totalsRowBorderDxfId="13">
  <autoFilter ref="A5:C153"/>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A7" zoomScale="150" zoomScaleNormal="150" workbookViewId="0">
      <selection activeCell="V17" sqref="V17"/>
    </sheetView>
  </sheetViews>
  <sheetFormatPr baseColWidth="8" defaultColWidth="9.1796875" defaultRowHeight="14.5"/>
  <cols>
    <col width="4" customWidth="1" style="54" min="1" max="1"/>
    <col width="12.81640625" customWidth="1" style="54" min="2" max="5"/>
    <col width="13.6328125" customWidth="1" style="54" min="6" max="6"/>
    <col width="12.81640625" customWidth="1" style="54" min="7" max="10"/>
    <col width="2" customWidth="1" style="54" min="11" max="13"/>
    <col width="9.1796875" customWidth="1" style="54" min="14" max="14"/>
    <col width="15.453125" customWidth="1" style="54" min="15" max="15"/>
    <col width="12.6328125" customWidth="1" style="54" min="16" max="18"/>
    <col width="11.6328125" customWidth="1" style="54" min="19" max="19"/>
    <col width="9.1796875" customWidth="1" style="54" min="20" max="35"/>
    <col width="9.1796875" customWidth="1" style="54" min="36" max="16384"/>
  </cols>
  <sheetData>
    <row r="1">
      <c r="B1" s="62" t="n"/>
    </row>
    <row r="2" ht="16" customHeight="1" thickBot="1">
      <c r="B2" s="63" t="n"/>
      <c r="C2" s="63" t="n"/>
      <c r="D2" s="63" t="n"/>
      <c r="E2" s="63" t="n"/>
      <c r="F2" s="63" t="n"/>
      <c r="G2" s="63" t="n"/>
      <c r="H2" s="63" t="n"/>
      <c r="I2" s="63" t="n"/>
      <c r="J2" s="63" t="n"/>
    </row>
    <row r="3" ht="16" customHeight="1" thickBot="1">
      <c r="B3" s="64" t="inlineStr">
        <is>
          <t>PMI Services World</t>
        </is>
      </c>
      <c r="C3" s="65" t="n"/>
      <c r="D3" s="65" t="n"/>
      <c r="E3" s="65" t="n"/>
      <c r="F3" s="65" t="n"/>
      <c r="G3" s="65" t="n"/>
      <c r="H3" s="65" t="n"/>
      <c r="I3" s="65" t="n"/>
      <c r="J3" s="66" t="n"/>
    </row>
    <row r="5">
      <c r="B5" s="59" t="inlineStr">
        <is>
          <t>Definition</t>
        </is>
      </c>
      <c r="C5" s="60" t="n"/>
      <c r="D5" s="60" t="n"/>
      <c r="E5" s="60" t="n"/>
      <c r="F5" s="60" t="n"/>
      <c r="G5" s="60" t="n"/>
      <c r="H5" s="60" t="n"/>
      <c r="I5" s="60" t="n"/>
      <c r="J5" s="52" t="n"/>
    </row>
    <row r="7" ht="225.75" customHeight="1">
      <c r="B7" s="67"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37" t="n"/>
      <c r="C8" s="56" t="n"/>
      <c r="D8" s="56" t="n"/>
      <c r="E8" s="56" t="n"/>
      <c r="F8" s="56" t="n"/>
      <c r="G8" s="56" t="n"/>
      <c r="H8" s="56" t="n"/>
      <c r="I8" s="56" t="n"/>
      <c r="J8" s="56" t="n"/>
    </row>
    <row r="9" ht="16" customHeight="1" thickBot="1">
      <c r="B9" s="1" t="n"/>
      <c r="C9" s="2" t="n"/>
      <c r="D9" s="2" t="n"/>
      <c r="E9" s="2" t="n"/>
    </row>
    <row r="10" ht="16" customHeight="1" thickBot="1">
      <c r="B10" s="59" t="inlineStr">
        <is>
          <t>Process / TO DO LIST</t>
        </is>
      </c>
      <c r="C10" s="60" t="n"/>
      <c r="D10" s="60" t="n"/>
      <c r="E10" s="60" t="n"/>
      <c r="F10" s="60" t="n"/>
      <c r="G10" s="60" t="n"/>
      <c r="H10" s="60" t="n"/>
      <c r="I10" s="60" t="n"/>
      <c r="J10" s="52" t="n"/>
      <c r="N10" s="68" t="inlineStr">
        <is>
          <t>Summary</t>
        </is>
      </c>
      <c r="O10" s="65" t="n"/>
      <c r="P10" s="65" t="n"/>
      <c r="Q10" s="65" t="n"/>
      <c r="R10" s="65" t="n"/>
      <c r="S10" s="66" t="n"/>
    </row>
    <row r="11">
      <c r="N11" s="3" t="inlineStr">
        <is>
          <t>* input new month</t>
        </is>
      </c>
    </row>
    <row r="12" ht="16" customHeight="1" thickBot="1">
      <c r="B12" s="59" t="inlineStr">
        <is>
          <t>TO DO LIST</t>
        </is>
      </c>
      <c r="C12" s="60" t="n"/>
      <c r="D12" s="60" t="n"/>
      <c r="E12" s="60" t="n"/>
      <c r="F12" s="52" t="n"/>
      <c r="G12" s="59" t="inlineStr">
        <is>
          <t>Comments</t>
        </is>
      </c>
      <c r="H12" s="60" t="n"/>
      <c r="I12" s="60" t="n"/>
      <c r="J12" s="52" t="n"/>
    </row>
    <row r="13">
      <c r="P13" s="4" t="n">
        <v>44896</v>
      </c>
      <c r="Q13" s="5">
        <f>DATE(YEAR(P13),MONTH(P13)-1,DAY(P13))</f>
        <v/>
      </c>
      <c r="R13" s="6" t="n"/>
      <c r="S13" s="15" t="inlineStr">
        <is>
          <t>%</t>
        </is>
      </c>
    </row>
    <row r="14" ht="16" customHeight="1" thickBot="1">
      <c r="B14" s="54" t="inlineStr">
        <is>
          <t>Global</t>
        </is>
      </c>
      <c r="G14" s="54" t="inlineStr">
        <is>
          <t>https://www.markiteconomics.com/Survey/Page.mvc/PressReleases</t>
        </is>
      </c>
      <c r="O14" s="54" t="inlineStr">
        <is>
          <t>Country</t>
        </is>
      </c>
      <c r="P14" s="38" t="inlineStr">
        <is>
          <t>ISM</t>
        </is>
      </c>
      <c r="Q14" s="38" t="inlineStr">
        <is>
          <t>ISM</t>
        </is>
      </c>
      <c r="R14" s="7" t="inlineStr">
        <is>
          <t>Change %</t>
        </is>
      </c>
      <c r="S14" s="32" t="inlineStr">
        <is>
          <t>World GDP</t>
        </is>
      </c>
    </row>
    <row r="15" ht="30.75" customHeight="1">
      <c r="G15" s="56" t="inlineStr">
        <is>
          <t>JPMorgan Global Services PMI</t>
        </is>
      </c>
      <c r="N15" s="69" t="inlineStr">
        <is>
          <t>Global</t>
        </is>
      </c>
      <c r="O15" s="70" t="n"/>
      <c r="P15" s="39">
        <f>VLOOKUP($P$13,Summary!$B:$AB,MATCH(Note!N15,Summary!$B$2:$AB$2,),)</f>
        <v/>
      </c>
      <c r="Q15" s="11">
        <f>VLOOKUP($Q$13,Summary!$B:$AB,MATCH(Note!N15,Summary!$B$2:$AB$2,),)</f>
        <v/>
      </c>
      <c r="R15" s="42" t="n">
        <v>-1</v>
      </c>
      <c r="S15" s="33" t="n"/>
    </row>
    <row r="16">
      <c r="B16" s="61" t="inlineStr">
        <is>
          <t>https://tradingeconomics.com/country-list/services-pmi</t>
        </is>
      </c>
      <c r="G16" s="54" t="inlineStr">
        <is>
          <t>Database</t>
        </is>
      </c>
      <c r="N16" s="51" t="inlineStr">
        <is>
          <t>US</t>
        </is>
      </c>
      <c r="O16" s="52" t="n"/>
      <c r="P16" s="40">
        <f>VLOOKUP($P$13,Summary!$B:$AB,MATCH(Note!N16,Summary!$B$2:$AB$2,),)</f>
        <v/>
      </c>
      <c r="Q16" s="14">
        <f>VLOOKUP($Q$13,Summary!$B:$AB,MATCH(Note!N16,Summary!$B$2:$AB$2,),)</f>
        <v/>
      </c>
      <c r="R16" s="43" t="n">
        <v>-0.3999999999999986</v>
      </c>
      <c r="S16" s="34" t="n">
        <v>0.241</v>
      </c>
    </row>
    <row r="17">
      <c r="B17" s="54" t="n"/>
      <c r="G17" s="54" t="inlineStr">
        <is>
          <t>Update each month for each country</t>
        </is>
      </c>
      <c r="N17" s="51" t="inlineStr">
        <is>
          <t xml:space="preserve">China </t>
        </is>
      </c>
      <c r="O17" s="52" t="n"/>
      <c r="P17" s="40">
        <f>VLOOKUP($P$13,Summary!$B:$AB,MATCH(Note!N17,Summary!$B$2:$AB$2,),)</f>
        <v/>
      </c>
      <c r="Q17" s="14">
        <f>VLOOKUP($Q$13,Summary!$B:$AB,MATCH(Note!N17,Summary!$B$2:$AB$2,),)</f>
        <v/>
      </c>
      <c r="R17" s="43" t="n">
        <v>1</v>
      </c>
      <c r="S17" s="34" t="n">
        <v>0.152</v>
      </c>
    </row>
    <row r="18">
      <c r="B18" s="54" t="n"/>
      <c r="N18" s="51" t="inlineStr">
        <is>
          <t>Eurozone</t>
        </is>
      </c>
      <c r="O18" s="52" t="n"/>
      <c r="P18" s="40">
        <f>VLOOKUP($P$13,Summary!$B:$AB,MATCH(Note!N18,Summary!$B$2:$AB$2,),)</f>
        <v/>
      </c>
      <c r="Q18" s="14">
        <f>VLOOKUP($Q$13,Summary!$B:$AB,MATCH(Note!N18,Summary!$B$2:$AB$2,),)</f>
        <v/>
      </c>
      <c r="R18" s="43" t="n">
        <v>-2.799999999999997</v>
      </c>
      <c r="S18" s="34" t="n">
        <v>0.156</v>
      </c>
    </row>
    <row r="19">
      <c r="N19" s="51" t="inlineStr">
        <is>
          <t xml:space="preserve">Japan </t>
        </is>
      </c>
      <c r="O19" s="52" t="n"/>
      <c r="P19" s="40">
        <f>VLOOKUP($P$13,Summary!$B:$AB,MATCH(Note!N19,Summary!$B$2:$AB$2,),)</f>
        <v/>
      </c>
      <c r="Q19" s="14">
        <f>VLOOKUP($Q$13,Summary!$B:$AB,MATCH(Note!N19,Summary!$B$2:$AB$2,),)</f>
        <v/>
      </c>
      <c r="R19" s="43" t="n">
        <v>-0.8999999999999986</v>
      </c>
      <c r="S19" s="34" t="n">
        <v>0.06</v>
      </c>
    </row>
    <row r="20">
      <c r="B20" s="54" t="n"/>
      <c r="G20" s="54" t="n"/>
      <c r="N20" s="51" t="inlineStr">
        <is>
          <t>Germany</t>
        </is>
      </c>
      <c r="O20" s="52" t="n"/>
      <c r="P20" s="40">
        <f>VLOOKUP($P$13,Summary!$B:$AB,MATCH(Note!N20,Summary!$B$2:$AB$2,),)</f>
        <v/>
      </c>
      <c r="Q20" s="14">
        <f>VLOOKUP($Q$13,Summary!$B:$AB,MATCH(Note!N20,Summary!$B$2:$AB$2,),)</f>
        <v/>
      </c>
      <c r="R20" s="43" t="n">
        <v>-4</v>
      </c>
      <c r="S20" s="34" t="n">
        <v>0.04564243244249699</v>
      </c>
    </row>
    <row r="21">
      <c r="B21" s="54" t="n"/>
      <c r="G21" s="54" t="n"/>
      <c r="N21" s="51" t="inlineStr">
        <is>
          <t>France</t>
        </is>
      </c>
      <c r="O21" s="52" t="n"/>
      <c r="P21" s="40">
        <f>VLOOKUP($P$13,Summary!$B:$AB,MATCH(Note!N21,Summary!$B$2:$AB$2,),)</f>
        <v/>
      </c>
      <c r="Q21" s="14">
        <f>VLOOKUP($Q$13,Summary!$B:$AB,MATCH(Note!N21,Summary!$B$2:$AB$2,),)</f>
        <v/>
      </c>
      <c r="R21" s="43" t="n">
        <v>-0.3999999999999986</v>
      </c>
      <c r="S21" s="34" t="n">
        <v>0.03206266059259443</v>
      </c>
    </row>
    <row r="22">
      <c r="B22" s="54" t="n"/>
      <c r="G22" s="54" t="n"/>
      <c r="N22" s="51" t="inlineStr">
        <is>
          <t>UK</t>
        </is>
      </c>
      <c r="O22" s="52" t="n"/>
      <c r="P22" s="40">
        <f>VLOOKUP($P$13,Summary!$B:$AB,MATCH(Note!N22,Summary!$B$2:$AB$2,),)</f>
        <v/>
      </c>
      <c r="Q22" s="14">
        <f>VLOOKUP($Q$13,Summary!$B:$AB,MATCH(Note!N22,Summary!$B$2:$AB$2,),)</f>
        <v/>
      </c>
      <c r="R22" s="43" t="n">
        <v>-4.899999999999999</v>
      </c>
      <c r="S22" s="34" t="n">
        <v>0.033</v>
      </c>
    </row>
    <row r="23">
      <c r="B23" s="54" t="n"/>
      <c r="N23" s="51" t="inlineStr">
        <is>
          <t xml:space="preserve">Italy </t>
        </is>
      </c>
      <c r="O23" s="52" t="n"/>
      <c r="P23" s="40">
        <f>VLOOKUP($P$13,Summary!$B:$AB,MATCH(Note!N23,Summary!$B$2:$AB$2,),)</f>
        <v/>
      </c>
      <c r="Q23" s="14">
        <f>VLOOKUP($Q$13,Summary!$B:$AB,MATCH(Note!N23,Summary!$B$2:$AB$2,),)</f>
        <v/>
      </c>
      <c r="R23" s="43" t="n">
        <v>-2.899999999999999</v>
      </c>
      <c r="S23" s="34" t="n">
        <v>0.024</v>
      </c>
    </row>
    <row r="24">
      <c r="B24" s="54" t="n"/>
      <c r="N24" s="51" t="inlineStr">
        <is>
          <t>Spain</t>
        </is>
      </c>
      <c r="O24" s="52" t="n"/>
      <c r="P24" s="40">
        <f>VLOOKUP($P$13,Summary!$B:$AB,MATCH(Note!N24,Summary!$B$2:$AB$2,),)</f>
        <v/>
      </c>
      <c r="Q24" s="14">
        <f>VLOOKUP($Q$13,Summary!$B:$AB,MATCH(Note!N24,Summary!$B$2:$AB$2,),)</f>
        <v/>
      </c>
      <c r="R24" s="43" t="n">
        <v>-4</v>
      </c>
      <c r="S24" s="34" t="n">
        <v>0.01627338290239694</v>
      </c>
    </row>
    <row r="25">
      <c r="N25" s="51" t="inlineStr">
        <is>
          <t>Brazil</t>
        </is>
      </c>
      <c r="O25" s="52" t="n"/>
      <c r="P25" s="40">
        <f>VLOOKUP($P$13,Summary!$B:$AB,MATCH(Note!N25,Summary!$B$2:$AB$2,),)</f>
        <v/>
      </c>
      <c r="Q25" s="14">
        <f>VLOOKUP($Q$13,Summary!$B:$AB,MATCH(Note!N25,Summary!$B$2:$AB$2,),)</f>
        <v/>
      </c>
      <c r="R25" s="43" t="n">
        <v>0</v>
      </c>
      <c r="S25" s="34" t="n">
        <v>0.02552103375082236</v>
      </c>
    </row>
    <row r="26">
      <c r="N26" s="51" t="inlineStr">
        <is>
          <t>Russia</t>
        </is>
      </c>
      <c r="O26" s="52" t="n"/>
      <c r="P26" s="40">
        <f>VLOOKUP($P$13,Summary!$B:$AB,MATCH(Note!N26,Summary!$B$2:$AB$2,),)</f>
        <v/>
      </c>
      <c r="Q26" s="14">
        <f>VLOOKUP($Q$13,Summary!$B:$AB,MATCH(Note!N26,Summary!$B$2:$AB$2,),)</f>
        <v/>
      </c>
      <c r="R26" s="43" t="n">
        <v>2.399999999999999</v>
      </c>
      <c r="S26" s="34" t="n">
        <v>0.01958764166283934</v>
      </c>
    </row>
    <row r="27">
      <c r="N27" s="51" t="inlineStr">
        <is>
          <t>India</t>
        </is>
      </c>
      <c r="O27" s="52" t="n"/>
      <c r="P27" s="40">
        <f>VLOOKUP($P$13,Summary!$B:$AB,MATCH(Note!N27,Summary!$B$2:$AB$2,),)</f>
        <v/>
      </c>
      <c r="Q27" s="14">
        <f>VLOOKUP($Q$13,Summary!$B:$AB,MATCH(Note!N27,Summary!$B$2:$AB$2,),)</f>
        <v/>
      </c>
      <c r="R27" s="43" t="n">
        <v>-2.600000000000001</v>
      </c>
      <c r="S27" s="34" t="n">
        <v>0.03228609376745572</v>
      </c>
    </row>
    <row r="28">
      <c r="N28" s="51" t="inlineStr">
        <is>
          <t>Australia</t>
        </is>
      </c>
      <c r="O28" s="52" t="n"/>
      <c r="P28" s="40">
        <f>VLOOKUP($P$13,Summary!$B:$AB,MATCH(Note!N28,Summary!$B$2:$AB$2,),)</f>
        <v/>
      </c>
      <c r="Q28" s="14">
        <f>VLOOKUP($Q$13,Summary!$B:$AB,MATCH(Note!N28,Summary!$B$2:$AB$2,),)</f>
        <v/>
      </c>
      <c r="R28" s="43" t="n">
        <v>2</v>
      </c>
      <c r="S28" s="34" t="n">
        <v>0.01642233835230446</v>
      </c>
    </row>
    <row r="29" ht="16" customHeight="1" thickBot="1">
      <c r="N29" s="57" t="inlineStr">
        <is>
          <t>Ireland</t>
        </is>
      </c>
      <c r="O29" s="58" t="n"/>
      <c r="P29" s="41">
        <f>VLOOKUP($P$13,Summary!$B:$AB,MATCH(Note!N29,Summary!$B$2:$AB$2,),)</f>
        <v/>
      </c>
      <c r="Q29" s="35">
        <f>VLOOKUP($Q$13,Summary!$B:$AB,MATCH(Note!N29,Summary!$B$2:$AB$2,),)</f>
        <v/>
      </c>
      <c r="R29" s="44" t="n">
        <v>-3.899999999999999</v>
      </c>
      <c r="S29" s="36" t="n">
        <v>0.004145926689092737</v>
      </c>
    </row>
    <row r="32">
      <c r="B32" s="53" t="n"/>
    </row>
    <row r="33">
      <c r="B33" s="56" t="n"/>
    </row>
    <row r="34">
      <c r="B34" s="55"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8"/>
  <sheetViews>
    <sheetView zoomScale="170" zoomScaleNormal="170" workbookViewId="0">
      <pane ySplit="1" topLeftCell="A172" activePane="bottomLeft" state="frozen"/>
      <selection activeCell="AD109" sqref="AD109"/>
      <selection pane="bottomLeft" activeCell="AD109" sqref="AD109"/>
    </sheetView>
  </sheetViews>
  <sheetFormatPr baseColWidth="8" defaultColWidth="10.81640625" defaultRowHeight="14.5"/>
  <cols>
    <col width="10.81640625" customWidth="1" min="1" max="11"/>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1"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1"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1"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1"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1"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1"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1"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1"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1"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1"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1"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1"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1"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1"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1"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1"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1"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1"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1"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1"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1"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1"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1"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1"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1"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1"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1"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1"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1"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1"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1"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1"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1"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1"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1"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1"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1"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1"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1"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1"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1"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1"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1"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1"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1"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1"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1"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1"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1"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1"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1"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1"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1"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1"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1"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1"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1"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1"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1"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1"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1"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1"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1"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1"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1"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1"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1"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1"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1"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1"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1"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1"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1"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1"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1"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1"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1"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1"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1"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1"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1"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1"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1"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1"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1"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1"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1"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1"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1"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1"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1"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1"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1"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1"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1"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1"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1"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1"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1"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1"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1"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1"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1"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1"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1"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1"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1"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1"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1"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1"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1"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1"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1"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1"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1"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1"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1"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1"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1"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1"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1"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1"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1"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1"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1"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1"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1"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1"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1"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1"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1"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1"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1"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1"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1"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1"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1"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1"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1"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1"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1"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1"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1"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1"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1"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1"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1"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1"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1"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1"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1"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1"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1"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1"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1"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1"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1"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1"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1"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1"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1"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1"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1"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1"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1"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1"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1"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1"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1"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1"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1"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1"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1"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1"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1"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1"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1"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1"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1"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1"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1" t="n">
        <v>44743</v>
      </c>
      <c r="B182" t="n">
        <v>51.7</v>
      </c>
      <c r="C182" t="n">
        <v>55.8</v>
      </c>
      <c r="D182" t="n">
        <v>55.5</v>
      </c>
      <c r="E182" t="n">
        <v>51.2</v>
      </c>
      <c r="F182" t="n">
        <v>53.2</v>
      </c>
      <c r="G182" t="n">
        <v>49.7</v>
      </c>
      <c r="H182" t="n">
        <v/>
      </c>
      <c r="I182" t="n">
        <v>55.5</v>
      </c>
      <c r="J182" t="n">
        <v>56.3</v>
      </c>
      <c r="K182" t="n">
        <v>48.4</v>
      </c>
      <c r="L182" t="n">
        <v>50.3</v>
      </c>
      <c r="M182" t="n">
        <v>54.6</v>
      </c>
      <c r="N182" t="n">
        <v>51.2</v>
      </c>
      <c r="O182" t="n">
        <v>50.4</v>
      </c>
      <c r="P182" t="n">
        <v>54.7</v>
      </c>
      <c r="Q182" t="n">
        <v>53.8</v>
      </c>
      <c r="R182" t="n">
        <v>43</v>
      </c>
      <c r="S182" t="n">
        <v>58.8</v>
      </c>
      <c r="T182" t="n">
        <v>55.17</v>
      </c>
      <c r="U182" t="n">
        <v>52.6</v>
      </c>
      <c r="V182" t="n">
        <v>47.3</v>
      </c>
    </row>
    <row r="183">
      <c r="A183" s="71" t="n">
        <v>44774</v>
      </c>
      <c r="B183" t="n">
        <v>53.3</v>
      </c>
      <c r="C183" t="n">
        <v>53.9</v>
      </c>
      <c r="D183" t="n">
        <v>55</v>
      </c>
      <c r="E183" t="n">
        <v>49.8</v>
      </c>
      <c r="F183" t="n">
        <v>51.2</v>
      </c>
      <c r="G183" t="n">
        <v>47.7</v>
      </c>
      <c r="H183" t="n">
        <v/>
      </c>
      <c r="I183" t="n">
        <v>57.2</v>
      </c>
      <c r="J183" t="n">
        <v>54.7</v>
      </c>
      <c r="K183" t="n">
        <v>50.5</v>
      </c>
      <c r="L183" t="n">
        <v>49.5</v>
      </c>
      <c r="M183" t="n">
        <v>52.7</v>
      </c>
      <c r="N183" t="n">
        <v>58.6</v>
      </c>
      <c r="O183" t="n">
        <v>47.2</v>
      </c>
      <c r="P183" t="n">
        <v>49.9</v>
      </c>
      <c r="Q183" t="n">
        <v>50.6</v>
      </c>
      <c r="R183" t="n">
        <v>51.7</v>
      </c>
      <c r="S183" t="n">
        <v>59.4</v>
      </c>
      <c r="T183" t="n">
        <v>56.88</v>
      </c>
      <c r="U183" t="n">
        <v>50.9</v>
      </c>
      <c r="V183" t="n">
        <v>43.7</v>
      </c>
    </row>
    <row r="184">
      <c r="A184" s="71"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1" t="n">
        <v>44835</v>
      </c>
      <c r="B185" t="n">
        <v>47.7</v>
      </c>
      <c r="C185" t="n">
        <v>54</v>
      </c>
      <c r="D185" t="n">
        <v>48.4</v>
      </c>
      <c r="E185" t="n">
        <v>48.6</v>
      </c>
      <c r="F185" t="n">
        <v>51.7</v>
      </c>
      <c r="G185" t="n">
        <v>46.5</v>
      </c>
      <c r="H185" t="n">
        <v/>
      </c>
      <c r="I185" t="n">
        <v>55.1</v>
      </c>
      <c r="J185" t="n">
        <v>53.2</v>
      </c>
      <c r="K185" t="n">
        <v>46.4</v>
      </c>
      <c r="L185" t="n">
        <v>53.2</v>
      </c>
      <c r="M185" t="n">
        <v>50.3</v>
      </c>
      <c r="N185" t="n">
        <v>57.4</v>
      </c>
      <c r="O185" t="n">
        <v>51.4</v>
      </c>
      <c r="P185" t="n">
        <v>43.7</v>
      </c>
      <c r="Q185" t="n">
        <v>49.7</v>
      </c>
      <c r="R185" t="n">
        <v>47.9</v>
      </c>
      <c r="S185" t="n">
        <v>56.9</v>
      </c>
      <c r="T185" t="n">
        <v>53.55</v>
      </c>
      <c r="U185" t="n">
        <v>48.8</v>
      </c>
      <c r="V185" t="n">
        <v>47.8</v>
      </c>
    </row>
    <row r="186">
      <c r="A186" s="71" t="n">
        <v>44866</v>
      </c>
      <c r="B186" t="n">
        <v>45.6</v>
      </c>
      <c r="C186" t="n">
        <v>51.6</v>
      </c>
      <c r="D186" t="n">
        <v>46.7</v>
      </c>
      <c r="E186" t="n">
        <v>48.5</v>
      </c>
      <c r="F186" t="n">
        <v>49.3</v>
      </c>
      <c r="G186" t="n">
        <v>46.1</v>
      </c>
      <c r="H186" t="n">
        <v/>
      </c>
      <c r="I186" t="n">
        <v>56.4</v>
      </c>
      <c r="J186" t="n">
        <v>50.8</v>
      </c>
      <c r="K186" t="n">
        <v>49.5</v>
      </c>
      <c r="L186" t="n">
        <v>50.3</v>
      </c>
      <c r="M186" t="n">
        <v>49.1</v>
      </c>
      <c r="N186" t="n">
        <v>53.7</v>
      </c>
      <c r="O186" t="n">
        <v/>
      </c>
      <c r="P186" t="n">
        <v>48.3</v>
      </c>
      <c r="Q186" t="n">
        <v>51.2</v>
      </c>
      <c r="R186" t="n">
        <v>49</v>
      </c>
      <c r="S186" t="n">
        <v>54.3</v>
      </c>
      <c r="T186" t="n">
        <v>53.54</v>
      </c>
      <c r="U186" t="n">
        <v>48.8</v>
      </c>
      <c r="V186" t="n">
        <v>46.2</v>
      </c>
    </row>
    <row r="187">
      <c r="A187" s="71" t="n">
        <v>44896</v>
      </c>
      <c r="B187" t="n">
        <v/>
      </c>
      <c r="C187" t="n">
        <v>51</v>
      </c>
      <c r="D187" t="n">
        <v>48</v>
      </c>
      <c r="E187" t="n">
        <v>49.8</v>
      </c>
      <c r="F187" t="n">
        <v>49.5</v>
      </c>
      <c r="G187" t="n">
        <v>49.2</v>
      </c>
      <c r="H187" t="n">
        <v/>
      </c>
      <c r="I187" t="n">
        <v>58.5</v>
      </c>
      <c r="J187" t="n">
        <v>52.7</v>
      </c>
      <c r="K187" t="n">
        <v>49.9</v>
      </c>
      <c r="L187" t="n">
        <v>50.3</v>
      </c>
      <c r="M187" t="n">
        <v>48.2</v>
      </c>
      <c r="N187" t="n">
        <v>52.1</v>
      </c>
      <c r="O187" t="n">
        <v/>
      </c>
      <c r="P187" t="n">
        <v>45.9</v>
      </c>
      <c r="Q187" t="n">
        <v>51.6</v>
      </c>
      <c r="R187" t="n">
        <v>51.6</v>
      </c>
      <c r="S187" t="n">
        <v>53</v>
      </c>
      <c r="T187" t="n">
        <v>48.42</v>
      </c>
      <c r="U187" t="n">
        <v>49.9</v>
      </c>
      <c r="V187" t="n">
        <v>44.7</v>
      </c>
    </row>
    <row r="188">
      <c r="A188" s="71" t="n">
        <v>44927</v>
      </c>
      <c r="B188" t="n">
        <v/>
      </c>
      <c r="C188" t="n">
        <v/>
      </c>
      <c r="D188" t="n">
        <v/>
      </c>
      <c r="E188" t="n">
        <v>50.7</v>
      </c>
      <c r="F188" t="n">
        <v>49.2</v>
      </c>
      <c r="G188" t="n">
        <v>50.4</v>
      </c>
      <c r="H188" t="n">
        <v/>
      </c>
      <c r="I188" t="n">
        <v/>
      </c>
      <c r="J188" t="n">
        <v/>
      </c>
      <c r="K188" t="n">
        <v/>
      </c>
      <c r="L188" t="n">
        <v>52.4</v>
      </c>
      <c r="M188" t="n">
        <v/>
      </c>
      <c r="N188" t="n">
        <v/>
      </c>
      <c r="O188" t="n">
        <v/>
      </c>
      <c r="P188" t="n">
        <v/>
      </c>
      <c r="Q188" t="n">
        <v/>
      </c>
      <c r="R188" t="n">
        <v/>
      </c>
      <c r="S188" t="n">
        <v/>
      </c>
      <c r="T188" t="n">
        <v/>
      </c>
      <c r="U188" t="n">
        <v>48</v>
      </c>
      <c r="V188" t="n">
        <v>46.6</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6"/>
  <sheetViews>
    <sheetView zoomScale="150" zoomScaleNormal="150" workbookViewId="0">
      <pane xSplit="2" ySplit="11" topLeftCell="C90" activePane="bottomRight" state="frozen"/>
      <selection activeCell="AD109" sqref="AD109"/>
      <selection pane="topRight" activeCell="AD109" sqref="AD109"/>
      <selection pane="bottomLeft" activeCell="AD109" sqref="AD109"/>
      <selection pane="bottomRight" activeCell="AB106" sqref="AB106"/>
    </sheetView>
  </sheetViews>
  <sheetFormatPr baseColWidth="8" defaultColWidth="9.1796875" defaultRowHeight="14.5"/>
  <cols>
    <col width="9.1796875" customWidth="1" style="54" min="1" max="1"/>
    <col width="17.81640625" customWidth="1" min="2" max="2"/>
    <col width="6.1796875" customWidth="1" min="3" max="17"/>
    <col width="9.1796875" customWidth="1" style="54" min="18" max="18"/>
    <col width="12.36328125" customWidth="1" style="54" min="19" max="19"/>
    <col width="9.1796875" customWidth="1" style="54" min="20" max="20"/>
    <col width="10.453125" customWidth="1" style="54" min="21" max="21"/>
    <col width="10.6328125" bestFit="1" customWidth="1" style="54" min="22" max="22"/>
    <col width="9.1796875" customWidth="1" style="54" min="23" max="63"/>
    <col width="9.1796875" customWidth="1" min="64" max="74"/>
  </cols>
  <sheetData>
    <row r="1" ht="16" customFormat="1" customHeight="1" s="54" thickBot="1">
      <c r="S1" s="16" t="inlineStr">
        <is>
          <t>*to update</t>
        </is>
      </c>
      <c r="T1" s="54" t="inlineStr">
        <is>
          <t>Last month</t>
        </is>
      </c>
      <c r="V1" s="46" t="n">
        <v>44896</v>
      </c>
      <c r="Y1" s="3" t="inlineStr">
        <is>
          <t>*modify max/min/avg</t>
        </is>
      </c>
    </row>
    <row r="2" ht="72.75" customHeight="1"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4" t="inlineStr">
        <is>
          <t>Previous Month</t>
        </is>
      </c>
      <c r="V3" s="19">
        <f>DATE(YEAR(V1),MONTH(V1)-1,DAY(V1))</f>
        <v/>
      </c>
    </row>
    <row r="4" hidden="1">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4" t="inlineStr">
        <is>
          <t>12 months</t>
        </is>
      </c>
      <c r="V4" s="19">
        <f>DATE(YEAR(V1),MONTH(V1)-12,DAY(V1))</f>
        <v/>
      </c>
    </row>
    <row r="5" hidden="1" ht="16" customHeight="1"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5"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c r="B11" s="54" t="n"/>
      <c r="C11" s="54" t="n"/>
      <c r="D11" s="54" t="n"/>
      <c r="E11" s="54" t="n"/>
      <c r="F11" s="54" t="n"/>
      <c r="G11" s="54" t="n"/>
      <c r="H11" s="54" t="n"/>
      <c r="I11" s="54" t="n"/>
      <c r="J11" s="54" t="n"/>
      <c r="K11" s="54" t="n"/>
      <c r="L11" s="54" t="n"/>
      <c r="M11" s="54" t="n"/>
      <c r="N11" s="54" t="n"/>
      <c r="O11" s="54" t="n"/>
      <c r="P11" s="54" t="n"/>
      <c r="Q11" s="54"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4">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4">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4">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4">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4">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4">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4">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4">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4">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4">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4">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4">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4">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4">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4">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4">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4">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4">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4">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4">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4">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4">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4">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4">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4">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4">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4">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4">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4">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4">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4">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4">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4">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4">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4">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4">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4">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4">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4">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4">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4">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4">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4">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4">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4">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4">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4">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4">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4">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4">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4">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54">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54">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54">
      <c r="B103" s="30" t="n">
        <v>44835</v>
      </c>
      <c r="C103" s="31">
        <f>VLOOKUP(B103,Global!$A:$B,2,)</f>
        <v/>
      </c>
      <c r="D103" s="31">
        <f>VLOOKUP(B103,US!$A:$B,2,)</f>
        <v/>
      </c>
      <c r="E103" s="31">
        <f>VLOOKUP(B103,China!$A:$B,2,)</f>
        <v/>
      </c>
      <c r="F103" s="31">
        <f>VLOOKUP(B103,EuroArea!$A:$B,2,)</f>
        <v/>
      </c>
      <c r="G103" s="31">
        <f>VLOOKUP(B103,Japan!$A:$B,2,)</f>
        <v/>
      </c>
      <c r="H103" s="31">
        <f>VLOOKUP(B103,Germany!$A:$B,2,)</f>
        <v/>
      </c>
      <c r="I103" s="31">
        <f>VLOOKUP(B103,France!$A:$B,2,)</f>
        <v/>
      </c>
      <c r="J103" s="31">
        <f>VLOOKUP(B103,UK!$A:$B,2,)</f>
        <v/>
      </c>
      <c r="K103" s="31">
        <f>VLOOKUP(B103,Italy!$A:$B,2,)</f>
        <v/>
      </c>
      <c r="L103" s="31">
        <f>VLOOKUP(B103,Spain!$A:$B,2,)</f>
        <v/>
      </c>
      <c r="M103" s="31">
        <f>VLOOKUP(B103,Brazil!$A:$B,2,)</f>
        <v/>
      </c>
      <c r="N103" s="31">
        <f>VLOOKUP(B103,Russia!$A:$B,2,)</f>
        <v/>
      </c>
      <c r="O103" s="31">
        <f>VLOOKUP(B103,India!$A:$B,2,)</f>
        <v/>
      </c>
      <c r="P103" s="31">
        <f>VLOOKUP(B103,Australia!$A:$B,2,)</f>
        <v/>
      </c>
      <c r="Q103" s="31">
        <f>VLOOKUP(B103,Ireland!$A:$B,2,)</f>
        <v/>
      </c>
    </row>
    <row r="104" customFormat="1" s="54">
      <c r="B104" s="30" t="n">
        <v>44866</v>
      </c>
      <c r="C104" s="31">
        <f>VLOOKUP(B104,Global!$A:$B,2,)</f>
        <v/>
      </c>
      <c r="D104" s="31">
        <f>VLOOKUP(B104,US!$A:$B,2,)</f>
        <v/>
      </c>
      <c r="E104" s="31">
        <f>VLOOKUP(B104,China!$A:$B,2,)</f>
        <v/>
      </c>
      <c r="F104" s="31">
        <f>VLOOKUP(B104,EuroArea!$A:$B,2,)</f>
        <v/>
      </c>
      <c r="G104" s="31">
        <f>VLOOKUP(B104,Japan!$A:$B,2,)</f>
        <v/>
      </c>
      <c r="H104" s="31">
        <f>VLOOKUP(B104,Germany!$A:$B,2,)</f>
        <v/>
      </c>
      <c r="I104" s="31">
        <f>VLOOKUP(B104,France!$A:$B,2,)</f>
        <v/>
      </c>
      <c r="J104" s="31">
        <f>VLOOKUP(B104,UK!$A:$B,2,)</f>
        <v/>
      </c>
      <c r="K104" s="31">
        <f>VLOOKUP(B104,Italy!$A:$B,2,)</f>
        <v/>
      </c>
      <c r="L104" s="31">
        <f>VLOOKUP(B104,Spain!$A:$B,2,)</f>
        <v/>
      </c>
      <c r="M104" s="31">
        <f>VLOOKUP(B104,Brazil!$A:$B,2,)</f>
        <v/>
      </c>
      <c r="N104" s="31">
        <f>VLOOKUP(B104,Russia!$A:$B,2,)</f>
        <v/>
      </c>
      <c r="O104" s="31">
        <f>VLOOKUP(B104,India!$A:$B,2,)</f>
        <v/>
      </c>
      <c r="P104" s="31">
        <f>VLOOKUP(B104,Australia!$A:$B,2,)</f>
        <v/>
      </c>
      <c r="Q104" s="31">
        <f>VLOOKUP(B104,Ireland!$A:$B,2,)</f>
        <v/>
      </c>
    </row>
    <row r="105" customFormat="1" s="54">
      <c r="B105" s="30" t="n">
        <v>44896</v>
      </c>
      <c r="C105" s="31">
        <f>VLOOKUP(B105,Global!$A:$B,2,)</f>
        <v/>
      </c>
      <c r="D105" s="31">
        <f>VLOOKUP(B105,US!$A:$B,2,)</f>
        <v/>
      </c>
      <c r="E105" s="31">
        <f>VLOOKUP(B105,China!$A:$B,2,)</f>
        <v/>
      </c>
      <c r="F105" s="31">
        <f>VLOOKUP(B105,EuroArea!$A:$B,2,)</f>
        <v/>
      </c>
      <c r="G105" s="31">
        <f>VLOOKUP(B105,Japan!$A:$B,2,)</f>
        <v/>
      </c>
      <c r="H105" s="31">
        <f>VLOOKUP(B105,Germany!$A:$B,2,)</f>
        <v/>
      </c>
      <c r="I105" s="31">
        <f>VLOOKUP(B105,France!$A:$B,2,)</f>
        <v/>
      </c>
      <c r="J105" s="31">
        <f>VLOOKUP(B105,UK!$A:$B,2,)</f>
        <v/>
      </c>
      <c r="K105" s="31">
        <f>VLOOKUP(B105,Italy!$A:$B,2,)</f>
        <v/>
      </c>
      <c r="L105" s="31">
        <f>VLOOKUP(B105,Spain!$A:$B,2,)</f>
        <v/>
      </c>
      <c r="M105" s="31">
        <f>VLOOKUP(B105,Brazil!$A:$B,2,)</f>
        <v/>
      </c>
      <c r="N105" s="31">
        <f>VLOOKUP(B105,Russia!$A:$B,2,)</f>
        <v/>
      </c>
      <c r="O105" s="31">
        <f>VLOOKUP(B105,India!$A:$B,2,)</f>
        <v/>
      </c>
      <c r="P105" s="31">
        <f>VLOOKUP(B105,Australia!$A:$B,2,)</f>
        <v/>
      </c>
      <c r="Q105" s="31">
        <f>VLOOKUP(B105,Ireland!$A:$B,2,)</f>
        <v/>
      </c>
    </row>
    <row r="106" customFormat="1" s="54">
      <c r="B106" s="30" t="n">
        <v>44927</v>
      </c>
      <c r="C106" s="31">
        <f>VLOOKUP(B106,Global!$A:$B,2,)</f>
        <v/>
      </c>
      <c r="D106" s="31">
        <f>VLOOKUP(B106,US!$A:$B,2,)</f>
        <v/>
      </c>
      <c r="E106" s="31">
        <f>VLOOKUP(B106,China!$A:$B,2,)</f>
        <v/>
      </c>
      <c r="F106" s="31">
        <f>VLOOKUP(B106,EuroArea!$A:$B,2,)</f>
        <v/>
      </c>
      <c r="G106" s="31">
        <f>VLOOKUP(B106,Japan!$A:$B,2,)</f>
        <v/>
      </c>
      <c r="H106" s="31">
        <f>VLOOKUP(B106,Germany!$A:$B,2,)</f>
        <v/>
      </c>
      <c r="I106" s="31">
        <f>VLOOKUP(B106,France!$A:$B,2,)</f>
        <v/>
      </c>
      <c r="J106" s="31">
        <f>VLOOKUP(B106,UK!$A:$B,2,)</f>
        <v/>
      </c>
      <c r="K106" s="31">
        <f>VLOOKUP(B106,Italy!$A:$B,2,)</f>
        <v/>
      </c>
      <c r="L106" s="31">
        <f>VLOOKUP(B106,Spain!$A:$B,2,)</f>
        <v/>
      </c>
      <c r="M106" s="31">
        <f>VLOOKUP(B106,Brazil!$A:$B,2,)</f>
        <v/>
      </c>
      <c r="N106" s="31">
        <f>VLOOKUP(B106,Russia!$A:$B,2,)</f>
        <v/>
      </c>
      <c r="O106" s="31">
        <f>VLOOKUP(B106,India!$A:$B,2,)</f>
        <v/>
      </c>
      <c r="P106" s="31">
        <f>VLOOKUP(B106,Australia!$A:$B,2,)</f>
        <v/>
      </c>
      <c r="Q106" s="31">
        <f>VLOOKUP(B106,Ireland!$A:$B,2,)</f>
        <v/>
      </c>
    </row>
    <row r="107" customFormat="1" s="54"/>
    <row r="108" customFormat="1" s="54"/>
    <row r="109" customFormat="1" s="54"/>
    <row r="110" customFormat="1" s="54"/>
    <row r="111" customFormat="1" s="54"/>
    <row r="112" customFormat="1" s="54"/>
    <row r="113" customFormat="1" s="54"/>
    <row r="114" customFormat="1" s="54"/>
    <row r="115" customFormat="1" s="54"/>
    <row r="116" customFormat="1" s="54"/>
    <row r="117" customFormat="1" s="54"/>
    <row r="118" customFormat="1" s="54"/>
    <row r="119" customFormat="1" s="54"/>
    <row r="120" customFormat="1" s="54"/>
    <row r="121" customFormat="1" s="54"/>
    <row r="122" customFormat="1" s="54"/>
    <row r="123" customFormat="1" s="54"/>
    <row r="124" customFormat="1" s="54"/>
    <row r="125" customFormat="1" s="54"/>
    <row r="126" customFormat="1" s="54"/>
    <row r="127" customFormat="1" s="54"/>
    <row r="128" customFormat="1" s="54"/>
    <row r="129" customFormat="1" s="54"/>
    <row r="130" customFormat="1" s="54"/>
    <row r="131" customFormat="1" s="54"/>
    <row r="132" customFormat="1" s="54"/>
    <row r="133" customFormat="1" s="54"/>
    <row r="134" customFormat="1" s="54"/>
    <row r="135" customFormat="1" s="54"/>
    <row r="136" customFormat="1" s="54"/>
    <row r="137" customFormat="1" s="54"/>
    <row r="138" customFormat="1" s="54"/>
    <row r="139" customFormat="1" s="54"/>
    <row r="140" customFormat="1" s="54"/>
    <row r="141" customFormat="1" s="54"/>
    <row r="142" customFormat="1" s="54"/>
    <row r="143" customFormat="1" s="54"/>
    <row r="144" customFormat="1" s="54"/>
    <row r="145" customFormat="1" s="54"/>
    <row r="146" customFormat="1" s="54"/>
    <row r="147" customFormat="1" s="54"/>
    <row r="148" customFormat="1" s="54"/>
    <row r="149" customFormat="1" s="54"/>
    <row r="150" customFormat="1" s="54"/>
    <row r="151" customFormat="1" s="54"/>
    <row r="152" customFormat="1" s="54"/>
    <row r="153" customFormat="1" s="54"/>
    <row r="154" customFormat="1" s="54"/>
    <row r="155" customFormat="1" s="54"/>
    <row r="156" customFormat="1" s="54"/>
    <row r="157" customFormat="1" s="54"/>
    <row r="158" customFormat="1" s="54"/>
    <row r="159" customFormat="1" s="54"/>
    <row r="160" customFormat="1" s="54"/>
    <row r="161" customFormat="1" s="54"/>
    <row r="162" customFormat="1" s="54"/>
    <row r="163" customFormat="1" s="54"/>
    <row r="164" customFormat="1" s="54"/>
    <row r="165" customFormat="1" s="54"/>
    <row r="166" customFormat="1" s="54"/>
    <row r="167" customFormat="1" s="54"/>
    <row r="168" customFormat="1" s="54"/>
    <row r="169" customFormat="1" s="54"/>
    <row r="170" customFormat="1" s="54"/>
    <row r="171" customFormat="1" s="54"/>
    <row r="172" customFormat="1" s="54"/>
    <row r="173" customFormat="1" s="54"/>
    <row r="174" customFormat="1" s="54"/>
    <row r="175" customFormat="1" s="54"/>
    <row r="176" customFormat="1" s="54"/>
    <row r="177" customFormat="1" s="54"/>
    <row r="178" customFormat="1" s="54"/>
    <row r="179" customFormat="1" s="54"/>
    <row r="180" customFormat="1" s="54"/>
    <row r="181" customFormat="1" s="54"/>
    <row r="182" customFormat="1" s="54"/>
    <row r="183" customFormat="1" s="54"/>
    <row r="184" customFormat="1" s="54"/>
    <row r="185" customFormat="1" s="54"/>
    <row r="186" customFormat="1" s="54"/>
    <row r="187" customFormat="1" s="54"/>
    <row r="188" customFormat="1" s="54"/>
    <row r="189" customFormat="1" s="54"/>
    <row r="190" customFormat="1" s="54"/>
    <row r="191" customFormat="1" s="54"/>
    <row r="192" customFormat="1" s="54"/>
    <row r="193" customFormat="1" s="54"/>
    <row r="194" customFormat="1" s="54"/>
    <row r="195" customFormat="1" s="54"/>
    <row r="196" customFormat="1" s="54"/>
    <row r="197" customFormat="1" s="54"/>
    <row r="198" customFormat="1" s="54"/>
    <row r="199" customFormat="1" s="54"/>
    <row r="200" customFormat="1" s="54"/>
    <row r="201" customFormat="1" s="54"/>
    <row r="202" customFormat="1" s="54"/>
    <row r="203" customFormat="1" s="54"/>
    <row r="204" customFormat="1" s="54"/>
    <row r="205" customFormat="1" s="54"/>
    <row r="206" customFormat="1" s="54"/>
    <row r="207" customFormat="1" s="54"/>
    <row r="208" customFormat="1" s="54"/>
    <row r="209" customFormat="1" s="54"/>
    <row r="210" customFormat="1" s="54"/>
    <row r="211" customFormat="1" s="54"/>
    <row r="212" customFormat="1" s="54"/>
    <row r="213" customFormat="1" s="54"/>
    <row r="214" customFormat="1" s="54"/>
    <row r="215" customFormat="1" s="54"/>
    <row r="216" customFormat="1" s="54"/>
    <row r="217" customFormat="1" s="54"/>
    <row r="218" customFormat="1" s="54"/>
    <row r="219" customFormat="1" s="54"/>
    <row r="220" customFormat="1" s="54"/>
    <row r="221" customFormat="1" s="54"/>
    <row r="222" customFormat="1" s="54"/>
    <row r="223" customFormat="1" s="54"/>
    <row r="224" customFormat="1" s="54"/>
    <row r="225" customFormat="1" s="54"/>
    <row r="226" customFormat="1" s="54"/>
    <row r="227" customFormat="1" s="54"/>
    <row r="228" customFormat="1" s="54"/>
    <row r="229" customFormat="1" s="54"/>
    <row r="230" customFormat="1" s="54"/>
    <row r="231" customFormat="1" s="54"/>
    <row r="232" customFormat="1" s="54"/>
    <row r="233" customFormat="1" s="54"/>
    <row r="234" customFormat="1" s="54"/>
    <row r="235" customFormat="1" s="54"/>
    <row r="236" customFormat="1" s="54"/>
    <row r="237" customFormat="1" s="54"/>
    <row r="238" customFormat="1" s="54"/>
    <row r="239" customFormat="1" s="54"/>
    <row r="240" customFormat="1" s="54"/>
    <row r="241" customFormat="1" s="54"/>
    <row r="242" customFormat="1" s="54"/>
    <row r="243" customFormat="1" s="54"/>
    <row r="244" customFormat="1" s="54"/>
    <row r="245" customFormat="1" s="54"/>
    <row r="246" customFormat="1" s="54"/>
    <row r="247" customFormat="1" s="54"/>
    <row r="248" customFormat="1" s="54"/>
    <row r="249" customFormat="1" s="54"/>
    <row r="250" customFormat="1" s="54"/>
    <row r="251" customFormat="1" s="54"/>
    <row r="252" customFormat="1" s="54"/>
    <row r="253" customFormat="1" s="54"/>
    <row r="254" customFormat="1" s="54"/>
    <row r="255" customFormat="1" s="54"/>
    <row r="256" customFormat="1" s="54"/>
    <row r="257" customFormat="1" s="54"/>
    <row r="258" customFormat="1" s="54"/>
    <row r="259" customFormat="1" s="54"/>
    <row r="260" customFormat="1" s="54"/>
    <row r="261" customFormat="1" s="54"/>
    <row r="262" customFormat="1" s="54"/>
    <row r="263" customFormat="1" s="54"/>
    <row r="264" customFormat="1" s="54"/>
    <row r="265" customFormat="1" s="54"/>
    <row r="266" customFormat="1" s="54"/>
    <row r="267" customFormat="1" s="54"/>
    <row r="268" customFormat="1" s="54"/>
    <row r="269" customFormat="1" s="54"/>
    <row r="270" customFormat="1" s="54"/>
    <row r="271" customFormat="1" s="54"/>
    <row r="272" customFormat="1" s="54"/>
    <row r="273" customFormat="1" s="54"/>
    <row r="274" customFormat="1" s="54"/>
    <row r="275" customFormat="1" s="54"/>
    <row r="276" customFormat="1" s="54"/>
    <row r="277" customFormat="1" s="54"/>
    <row r="278" customFormat="1" s="54"/>
    <row r="279" customFormat="1" s="54"/>
    <row r="280" customFormat="1" s="54"/>
    <row r="281" customFormat="1" s="54"/>
    <row r="282" customFormat="1" s="54"/>
    <row r="283" customFormat="1" s="54"/>
    <row r="284" customFormat="1" s="54"/>
    <row r="285" customFormat="1" s="54"/>
    <row r="286" customFormat="1" s="54"/>
    <row r="287" customFormat="1" s="54"/>
    <row r="288" customFormat="1" s="54"/>
    <row r="289" customFormat="1" s="54"/>
    <row r="290" customFormat="1" s="54"/>
    <row r="291" customFormat="1" s="54"/>
    <row r="292" customFormat="1" s="54"/>
    <row r="293" customFormat="1" s="54"/>
    <row r="294" customFormat="1" s="54"/>
    <row r="295" customFormat="1" s="54"/>
    <row r="296" customFormat="1" s="54"/>
    <row r="297" customFormat="1" s="54"/>
    <row r="298" customFormat="1" s="54"/>
    <row r="299" customFormat="1" s="54"/>
    <row r="300" customFormat="1" s="54"/>
    <row r="301" customFormat="1" s="54"/>
    <row r="302" customFormat="1" s="54"/>
    <row r="303" customFormat="1" s="54"/>
    <row r="304" customFormat="1" s="54"/>
    <row r="305" customFormat="1" s="54"/>
    <row r="306" customFormat="1" s="54"/>
    <row r="307" customFormat="1" s="54"/>
    <row r="308" customFormat="1" s="54"/>
    <row r="309" customFormat="1" s="54"/>
    <row r="310" customFormat="1" s="54"/>
    <row r="311" customFormat="1" s="54"/>
    <row r="312" customFormat="1" s="54"/>
    <row r="313" customFormat="1" s="54"/>
    <row r="314" customFormat="1" s="54"/>
    <row r="315" customFormat="1" s="54"/>
    <row r="316" customFormat="1" s="54"/>
    <row r="317" customFormat="1" s="54"/>
    <row r="318" customFormat="1" s="54"/>
    <row r="319" customFormat="1" s="54"/>
    <row r="320" customFormat="1" s="54"/>
    <row r="321" customFormat="1" s="54"/>
    <row r="322" customFormat="1" s="54"/>
    <row r="323" customFormat="1" s="54"/>
    <row r="324" customFormat="1" s="54"/>
    <row r="325" customFormat="1" s="54"/>
    <row r="326" customFormat="1" s="54"/>
    <row r="327" customFormat="1" s="54"/>
    <row r="328" customFormat="1" s="54"/>
    <row r="329" customFormat="1" s="54"/>
    <row r="330" customFormat="1" s="54"/>
    <row r="331" customFormat="1" s="54"/>
    <row r="332" customFormat="1" s="54"/>
    <row r="333" customFormat="1" s="54"/>
    <row r="334" customFormat="1" s="54"/>
    <row r="335" customFormat="1" s="54"/>
    <row r="336" customFormat="1" s="54"/>
    <row r="337" customFormat="1" s="54"/>
    <row r="338" customFormat="1" s="54"/>
    <row r="339" customFormat="1" s="54"/>
    <row r="340" customFormat="1" s="54"/>
    <row r="341" customFormat="1" s="54"/>
    <row r="342" customFormat="1" s="54"/>
    <row r="343" customFormat="1" s="54"/>
    <row r="344" customFormat="1" s="54"/>
    <row r="345" customFormat="1" s="54"/>
    <row r="346" customFormat="1" s="54"/>
    <row r="347" customFormat="1" s="54"/>
  </sheetData>
  <conditionalFormatting sqref="C12:Q106">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52"/>
  <sheetViews>
    <sheetView zoomScale="160" zoomScaleNormal="160" workbookViewId="0">
      <pane ySplit="5" topLeftCell="A132" activePane="bottomLeft" state="frozen"/>
      <selection activeCell="V1" sqref="V1"/>
      <selection pane="bottomLeft" activeCell="F153" sqref="F153"/>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Global</t>
        </is>
      </c>
    </row>
    <row r="2">
      <c r="H2" s="54" t="inlineStr">
        <is>
          <t>Global Services PMI</t>
        </is>
      </c>
    </row>
    <row r="4" ht="16" customHeight="1" thickBot="1"/>
    <row r="5" ht="16" customHeight="1"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row r="147">
      <c r="A147" s="9" t="n">
        <v>44743</v>
      </c>
      <c r="B147" s="11">
        <f>IF(VLOOKUP(A147,'DB Country PMI'!$A:$V,MATCH($A$1,'DB Country PMI'!$A$1:$V$1,),)=0,#N/A,VLOOKUP(A147,'DB Country PMI'!$A:$V,MATCH($A$1,'DB Country PMI'!$A$1:$V$1,),))</f>
        <v/>
      </c>
      <c r="C147" s="14">
        <f>Table1[[#This Row],[PMI]]-B146</f>
        <v/>
      </c>
    </row>
    <row r="148">
      <c r="A148" s="9" t="n">
        <v>44774</v>
      </c>
      <c r="B148" s="11">
        <f>IF(VLOOKUP(A148,'DB Country PMI'!$A:$V,MATCH($A$1,'DB Country PMI'!$A$1:$V$1,),)=0,#N/A,VLOOKUP(A148,'DB Country PMI'!$A:$V,MATCH($A$1,'DB Country PMI'!$A$1:$V$1,),))</f>
        <v/>
      </c>
      <c r="C148" s="14">
        <f>Table1[[#This Row],[PMI]]-B147</f>
        <v/>
      </c>
    </row>
    <row r="149">
      <c r="A149" s="9" t="n">
        <v>44805</v>
      </c>
      <c r="B149" s="11">
        <f>IF(VLOOKUP(A149,'DB Country PMI'!$A:$V,MATCH($A$1,'DB Country PMI'!$A$1:$V$1,),)=0,#N/A,VLOOKUP(A149,'DB Country PMI'!$A:$V,MATCH($A$1,'DB Country PMI'!$A$1:$V$1,),))</f>
        <v/>
      </c>
      <c r="C149" s="14">
        <f>Table1[[#This Row],[PMI]]-B148</f>
        <v/>
      </c>
    </row>
    <row r="150">
      <c r="A150" s="9" t="n">
        <v>44835</v>
      </c>
      <c r="B150" s="11">
        <f>IF(VLOOKUP(A150,'DB Country PMI'!$A:$V,MATCH($A$1,'DB Country PMI'!$A$1:$V$1,),)=0,#N/A,VLOOKUP(A150,'DB Country PMI'!$A:$V,MATCH($A$1,'DB Country PMI'!$A$1:$V$1,),))</f>
        <v/>
      </c>
      <c r="C150" s="14">
        <f>Table1[[#This Row],[PMI]]-B149</f>
        <v/>
      </c>
    </row>
    <row r="151">
      <c r="A151" s="9" t="n">
        <v>44866</v>
      </c>
      <c r="B151" s="11">
        <f>IF(VLOOKUP(A151,'DB Country PMI'!$A:$V,MATCH($A$1,'DB Country PMI'!$A$1:$V$1,),)=0,#N/A,VLOOKUP(A151,'DB Country PMI'!$A:$V,MATCH($A$1,'DB Country PMI'!$A$1:$V$1,),))</f>
        <v/>
      </c>
      <c r="C151" s="14">
        <f>Table1[[#This Row],[PMI]]-B150</f>
        <v/>
      </c>
    </row>
    <row r="152">
      <c r="A152" s="9" t="n">
        <v>44896</v>
      </c>
      <c r="B152" s="11">
        <f>IF(VLOOKUP(A152,'DB Country PMI'!$A:$V,MATCH($A$1,'DB Country PMI'!$A$1:$V$1,),)=0,#N/A,VLOOKUP(A152,'DB Country PMI'!$A:$V,MATCH($A$1,'DB Country PMI'!$A$1:$V$1,),))</f>
        <v/>
      </c>
      <c r="C152" s="14">
        <f>Table1[[#This Row],[PMI]]-B151</f>
        <v/>
      </c>
    </row>
  </sheetData>
  <conditionalFormatting sqref="B6:B152">
    <cfRule type="colorScale" priority="203">
      <colorScale>
        <cfvo type="min"/>
        <cfvo type="percentile" val="50"/>
        <cfvo type="max"/>
        <color rgb="FFF8696B"/>
        <color rgb="FFFFEB84"/>
        <color rgb="FF63BE7B"/>
      </colorScale>
    </cfRule>
  </conditionalFormatting>
  <conditionalFormatting sqref="C7:C15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7"/>
  <sheetViews>
    <sheetView zoomScale="160" zoomScaleNormal="160" workbookViewId="0">
      <pane ySplit="5" topLeftCell="A95" activePane="bottomLeft" state="frozen"/>
      <selection pane="bottomLeft" activeCell="A109" sqref="A109:C117"/>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United States</t>
        </is>
      </c>
      <c r="J1" s="54" t="inlineStr">
        <is>
          <t xml:space="preserve"> Services PMI</t>
        </is>
      </c>
    </row>
    <row r="2">
      <c r="J2" s="54" t="inlineStr">
        <is>
          <t>U.S. Services PMI</t>
        </is>
      </c>
    </row>
    <row r="4" ht="16" customHeight="1" thickBot="1"/>
    <row r="5" ht="16" customHeight="1"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row r="114">
      <c r="A114" s="8" t="n">
        <v>44835</v>
      </c>
      <c r="B114" s="11">
        <f>IF(VLOOKUP(A114,'DB Country PMI'!$A:$V,MATCH($A$1,'DB Country PMI'!$A$1:$V$1,),)=0,#N/A,VLOOKUP(A114,'DB Country PMI'!$A:$V,MATCH($A$1,'DB Country PMI'!$A$1:$V$1,),))</f>
        <v/>
      </c>
      <c r="C114" s="14">
        <f>Table1346811[[#This Row],[PMI]]-B113</f>
        <v/>
      </c>
    </row>
    <row r="115">
      <c r="A115" s="8" t="n">
        <v>44866</v>
      </c>
      <c r="B115" s="11">
        <f>IF(VLOOKUP(A115,'DB Country PMI'!$A:$V,MATCH($A$1,'DB Country PMI'!$A$1:$V$1,),)=0,#N/A,VLOOKUP(A115,'DB Country PMI'!$A:$V,MATCH($A$1,'DB Country PMI'!$A$1:$V$1,),))</f>
        <v/>
      </c>
      <c r="C115" s="14">
        <f>Table1346811[[#This Row],[PMI]]-B114</f>
        <v/>
      </c>
    </row>
    <row r="116">
      <c r="A116" s="8" t="n">
        <v>44896</v>
      </c>
      <c r="B116" s="11">
        <f>IF(VLOOKUP(A116,'DB Country PMI'!$A:$V,MATCH($A$1,'DB Country PMI'!$A$1:$V$1,),)=0,#N/A,VLOOKUP(A116,'DB Country PMI'!$A:$V,MATCH($A$1,'DB Country PMI'!$A$1:$V$1,),))</f>
        <v/>
      </c>
      <c r="C116" s="14">
        <f>Table1346811[[#This Row],[PMI]]-B115</f>
        <v/>
      </c>
    </row>
    <row r="117">
      <c r="A117" s="8" t="n">
        <v>44927</v>
      </c>
      <c r="B117" s="11">
        <f>IF(VLOOKUP(A117,'DB Country PMI'!$A:$V,MATCH($A$1,'DB Country PMI'!$A$1:$V$1,),)=0,#N/A,VLOOKUP(A117,'DB Country PMI'!$A:$V,MATCH($A$1,'DB Country PMI'!$A$1:$V$1,),))</f>
        <v/>
      </c>
      <c r="C117" s="14">
        <f>Table1346811[[#This Row],[PMI]]-B116</f>
        <v/>
      </c>
    </row>
  </sheetData>
  <conditionalFormatting sqref="B6:B117">
    <cfRule type="colorScale" priority="46">
      <colorScale>
        <cfvo type="min"/>
        <cfvo type="percentile" val="50"/>
        <cfvo type="max"/>
        <color rgb="FFF8696B"/>
        <color rgb="FFFFEB84"/>
        <color rgb="FF63BE7B"/>
      </colorScale>
    </cfRule>
  </conditionalFormatting>
  <conditionalFormatting sqref="C7:C117">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92"/>
  <sheetViews>
    <sheetView zoomScale="170" zoomScaleNormal="170" workbookViewId="0">
      <pane ySplit="5" topLeftCell="A170" activePane="bottomLeft" state="frozen"/>
      <selection pane="bottomLeft" activeCell="A184" sqref="A184:C192"/>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Euro Area</t>
        </is>
      </c>
      <c r="J1" s="54" t="inlineStr">
        <is>
          <t xml:space="preserve"> Services PMI</t>
        </is>
      </c>
    </row>
    <row r="2">
      <c r="J2" s="54" t="inlineStr">
        <is>
          <t>Euro Area Services PMI</t>
        </is>
      </c>
    </row>
    <row r="4" ht="16" customHeight="1" thickBot="1"/>
    <row r="5" ht="16" customHeight="1"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row r="189">
      <c r="A189" s="8" t="n">
        <v>44835</v>
      </c>
      <c r="B189" s="11">
        <f>IF(VLOOKUP(A189,'DB Country PMI'!$A:$V,MATCH($A$1,'DB Country PMI'!$A$1:$V$1,),)=0,#N/A,VLOOKUP(A189,'DB Country PMI'!$A:$V,MATCH($A$1,'DB Country PMI'!$A$1:$V$1,),))</f>
        <v/>
      </c>
      <c r="C189" s="14">
        <f>Table13468113[[#This Row],[PMI]]-B188</f>
        <v/>
      </c>
    </row>
    <row r="190">
      <c r="A190" s="8" t="n">
        <v>44866</v>
      </c>
      <c r="B190" s="11">
        <f>IF(VLOOKUP(A190,'DB Country PMI'!$A:$V,MATCH($A$1,'DB Country PMI'!$A$1:$V$1,),)=0,#N/A,VLOOKUP(A190,'DB Country PMI'!$A:$V,MATCH($A$1,'DB Country PMI'!$A$1:$V$1,),))</f>
        <v/>
      </c>
      <c r="C190" s="14">
        <f>Table13468113[[#This Row],[PMI]]-B189</f>
        <v/>
      </c>
    </row>
    <row r="191">
      <c r="A191" s="8" t="n">
        <v>44896</v>
      </c>
      <c r="B191" s="11">
        <f>IF(VLOOKUP(A191,'DB Country PMI'!$A:$V,MATCH($A$1,'DB Country PMI'!$A$1:$V$1,),)=0,#N/A,VLOOKUP(A191,'DB Country PMI'!$A:$V,MATCH($A$1,'DB Country PMI'!$A$1:$V$1,),))</f>
        <v/>
      </c>
      <c r="C191" s="14">
        <f>Table13468113[[#This Row],[PMI]]-B190</f>
        <v/>
      </c>
    </row>
    <row r="192">
      <c r="A192" s="8" t="n">
        <v>44927</v>
      </c>
      <c r="B192" s="11">
        <f>IF(VLOOKUP(A192,'DB Country PMI'!$A:$V,MATCH($A$1,'DB Country PMI'!$A$1:$V$1,),)=0,#N/A,VLOOKUP(A192,'DB Country PMI'!$A:$V,MATCH($A$1,'DB Country PMI'!$A$1:$V$1,),))</f>
        <v/>
      </c>
      <c r="C192" s="14">
        <f>Table13468113[[#This Row],[PMI]]-B191</f>
        <v/>
      </c>
    </row>
  </sheetData>
  <conditionalFormatting sqref="B6:B192">
    <cfRule type="colorScale" priority="3">
      <colorScale>
        <cfvo type="min"/>
        <cfvo type="percentile" val="50"/>
        <cfvo type="max"/>
        <color rgb="FFF8696B"/>
        <color rgb="FFFFEB84"/>
        <color rgb="FF63BE7B"/>
      </colorScale>
    </cfRule>
  </conditionalFormatting>
  <conditionalFormatting sqref="C7:C19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53"/>
  <sheetViews>
    <sheetView zoomScale="160" zoomScaleNormal="160" workbookViewId="0">
      <pane ySplit="5" topLeftCell="A130" activePane="bottomLeft" state="frozen"/>
      <selection pane="bottomLeft" activeCell="A146" sqref="A146:C153"/>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China</t>
        </is>
      </c>
      <c r="J1" s="54" t="inlineStr">
        <is>
          <t xml:space="preserve"> Services PMI</t>
        </is>
      </c>
    </row>
    <row r="2">
      <c r="J2" s="54" t="inlineStr">
        <is>
          <t>China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3"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row r="150">
      <c r="A150" s="8" t="n">
        <v>44835</v>
      </c>
      <c r="B150" s="11">
        <f>IF(VLOOKUP(A150,'DB Country PMI'!$A:$W,MATCH($A$1,'DB Country PMI'!$A$1:$W$1,),)=0,#N/A,VLOOKUP(A150,'DB Country PMI'!$A:$W,MATCH($A$1,'DB Country PMI'!$A$1:$W$1,),))</f>
        <v/>
      </c>
      <c r="C150" s="14">
        <f>Table134681134[[#This Row],[PMI]]-B149</f>
        <v/>
      </c>
    </row>
    <row r="151">
      <c r="A151" s="8" t="n">
        <v>44866</v>
      </c>
      <c r="B151" s="11">
        <f>IF(VLOOKUP(A151,'DB Country PMI'!$A:$W,MATCH($A$1,'DB Country PMI'!$A$1:$W$1,),)=0,#N/A,VLOOKUP(A151,'DB Country PMI'!$A:$W,MATCH($A$1,'DB Country PMI'!$A$1:$W$1,),))</f>
        <v/>
      </c>
      <c r="C151" s="14">
        <f>Table134681134[[#This Row],[PMI]]-B150</f>
        <v/>
      </c>
    </row>
    <row r="152">
      <c r="A152" s="8" t="n">
        <v>44896</v>
      </c>
      <c r="B152" s="11">
        <f>IF(VLOOKUP(A152,'DB Country PMI'!$A:$W,MATCH($A$1,'DB Country PMI'!$A$1:$W$1,),)=0,#N/A,VLOOKUP(A152,'DB Country PMI'!$A:$W,MATCH($A$1,'DB Country PMI'!$A$1:$W$1,),))</f>
        <v/>
      </c>
      <c r="C152" s="14">
        <f>Table134681134[[#This Row],[PMI]]-B151</f>
        <v/>
      </c>
    </row>
    <row r="153">
      <c r="A153" s="8" t="n">
        <v>44927</v>
      </c>
      <c r="B153" s="11">
        <f>IF(VLOOKUP(A153,'DB Country PMI'!$A:$W,MATCH($A$1,'DB Country PMI'!$A$1:$W$1,),)=0,#N/A,VLOOKUP(A153,'DB Country PMI'!$A:$W,MATCH($A$1,'DB Country PMI'!$A$1:$W$1,),))</f>
        <v/>
      </c>
      <c r="C153" s="14">
        <f>Table134681134[[#This Row],[PMI]]-B152</f>
        <v/>
      </c>
    </row>
  </sheetData>
  <conditionalFormatting sqref="C7:C153">
    <cfRule type="colorScale" priority="205">
      <colorScale>
        <cfvo type="min"/>
        <cfvo type="percentile" val="50"/>
        <cfvo type="max"/>
        <color rgb="FFF8696B"/>
        <color rgb="FFFCFCFF"/>
        <color rgb="FF5A8AC6"/>
      </colorScale>
    </cfRule>
  </conditionalFormatting>
  <conditionalFormatting sqref="B6:B153">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9"/>
  <sheetViews>
    <sheetView zoomScale="160" zoomScaleNormal="160" workbookViewId="0">
      <pane ySplit="5" topLeftCell="A163" activePane="bottomLeft" state="frozen"/>
      <selection pane="bottomLeft" activeCell="A171" sqref="A171:C179"/>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France</t>
        </is>
      </c>
      <c r="J1" s="54" t="inlineStr">
        <is>
          <t xml:space="preserve"> Services PMI</t>
        </is>
      </c>
    </row>
    <row r="2">
      <c r="J2" s="54" t="inlineStr">
        <is>
          <t>France Services PMI</t>
        </is>
      </c>
    </row>
    <row r="4" ht="16" customHeight="1" thickBot="1"/>
    <row r="5" ht="16" customHeight="1"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row r="176">
      <c r="A176" s="8" t="n">
        <v>44835</v>
      </c>
      <c r="B176" s="11">
        <f>IF(VLOOKUP(A176,'DB Country PMI'!$A:$W,MATCH($A$1,'DB Country PMI'!$A$1:$W$1,),)=0,#N/A,VLOOKUP(A176,'DB Country PMI'!$A:$W,MATCH($A$1,'DB Country PMI'!$A$1:$W$1,),))</f>
        <v/>
      </c>
      <c r="C176" s="14">
        <f>Table1346811345[[#This Row],[PMI]]-B175</f>
        <v/>
      </c>
    </row>
    <row r="177">
      <c r="A177" s="8" t="n">
        <v>44866</v>
      </c>
      <c r="B177" s="11">
        <f>IF(VLOOKUP(A177,'DB Country PMI'!$A:$W,MATCH($A$1,'DB Country PMI'!$A$1:$W$1,),)=0,#N/A,VLOOKUP(A177,'DB Country PMI'!$A:$W,MATCH($A$1,'DB Country PMI'!$A$1:$W$1,),))</f>
        <v/>
      </c>
      <c r="C177" s="14">
        <f>Table1346811345[[#This Row],[PMI]]-B176</f>
        <v/>
      </c>
    </row>
    <row r="178">
      <c r="A178" s="8" t="n">
        <v>44896</v>
      </c>
      <c r="B178" s="11">
        <f>IF(VLOOKUP(A178,'DB Country PMI'!$A:$W,MATCH($A$1,'DB Country PMI'!$A$1:$W$1,),)=0,#N/A,VLOOKUP(A178,'DB Country PMI'!$A:$W,MATCH($A$1,'DB Country PMI'!$A$1:$W$1,),))</f>
        <v/>
      </c>
      <c r="C178" s="14">
        <f>Table1346811345[[#This Row],[PMI]]-B177</f>
        <v/>
      </c>
    </row>
    <row r="179">
      <c r="A179" s="8" t="n">
        <v>44927</v>
      </c>
      <c r="B179" s="11">
        <f>IF(VLOOKUP(A179,'DB Country PMI'!$A:$W,MATCH($A$1,'DB Country PMI'!$A$1:$W$1,),)=0,#N/A,VLOOKUP(A179,'DB Country PMI'!$A:$W,MATCH($A$1,'DB Country PMI'!$A$1:$W$1,),))</f>
        <v/>
      </c>
      <c r="C179" s="14">
        <f>Table1346811345[[#This Row],[PMI]]-B178</f>
        <v/>
      </c>
    </row>
  </sheetData>
  <conditionalFormatting sqref="C7:C179">
    <cfRule type="colorScale" priority="1">
      <colorScale>
        <cfvo type="min"/>
        <cfvo type="percentile" val="50"/>
        <cfvo type="max"/>
        <color rgb="FFF8696B"/>
        <color rgb="FFFCFCFF"/>
        <color rgb="FF5A8AC6"/>
      </colorScale>
    </cfRule>
  </conditionalFormatting>
  <conditionalFormatting sqref="B6:B17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92"/>
  <sheetViews>
    <sheetView zoomScale="150" zoomScaleNormal="150" workbookViewId="0">
      <pane ySplit="5" topLeftCell="A169" activePane="bottomLeft" state="frozen"/>
      <selection pane="bottomLeft" activeCell="A178" sqref="A178:C192"/>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Germany</t>
        </is>
      </c>
      <c r="J1" s="54" t="inlineStr">
        <is>
          <t xml:space="preserve"> Services PMI</t>
        </is>
      </c>
    </row>
    <row r="2">
      <c r="J2" s="54" t="inlineStr">
        <is>
          <t>Germany Services PMI</t>
        </is>
      </c>
    </row>
    <row r="4" ht="16" customHeight="1" thickBot="1"/>
    <row r="5" ht="16" customHeight="1"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row r="189">
      <c r="A189" s="8" t="n">
        <v>44835</v>
      </c>
      <c r="B189" s="11">
        <f>IF(VLOOKUP(A189,'DB Country PMI'!$A:$W,MATCH($A$1,'DB Country PMI'!$A$1:$W$1,),)=0,#N/A,VLOOKUP(A189,'DB Country PMI'!$A:$W,MATCH($A$1,'DB Country PMI'!$A$1:$W$1,),))</f>
        <v/>
      </c>
      <c r="C189" s="14">
        <f>Table13468113456[[#This Row],[PMI]]-B188</f>
        <v/>
      </c>
    </row>
    <row r="190">
      <c r="A190" s="8" t="n">
        <v>44866</v>
      </c>
      <c r="B190" s="11">
        <f>IF(VLOOKUP(A190,'DB Country PMI'!$A:$W,MATCH($A$1,'DB Country PMI'!$A$1:$W$1,),)=0,#N/A,VLOOKUP(A190,'DB Country PMI'!$A:$W,MATCH($A$1,'DB Country PMI'!$A$1:$W$1,),))</f>
        <v/>
      </c>
      <c r="C190" s="14">
        <f>Table13468113456[[#This Row],[PMI]]-B189</f>
        <v/>
      </c>
    </row>
    <row r="191">
      <c r="A191" s="8" t="n">
        <v>44896</v>
      </c>
      <c r="B191" s="11">
        <f>IF(VLOOKUP(A191,'DB Country PMI'!$A:$W,MATCH($A$1,'DB Country PMI'!$A$1:$W$1,),)=0,#N/A,VLOOKUP(A191,'DB Country PMI'!$A:$W,MATCH($A$1,'DB Country PMI'!$A$1:$W$1,),))</f>
        <v/>
      </c>
      <c r="C191" s="14">
        <f>Table13468113456[[#This Row],[PMI]]-B190</f>
        <v/>
      </c>
    </row>
    <row r="192">
      <c r="A192" s="8" t="n">
        <v>44927</v>
      </c>
      <c r="B192" s="11">
        <f>IF(VLOOKUP(A192,'DB Country PMI'!$A:$W,MATCH($A$1,'DB Country PMI'!$A$1:$W$1,),)=0,#N/A,VLOOKUP(A192,'DB Country PMI'!$A:$W,MATCH($A$1,'DB Country PMI'!$A$1:$W$1,),))</f>
        <v/>
      </c>
      <c r="C192" s="14">
        <f>Table13468113456[[#This Row],[PMI]]-B191</f>
        <v/>
      </c>
    </row>
  </sheetData>
  <conditionalFormatting sqref="C7:C192">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53"/>
  <sheetViews>
    <sheetView zoomScale="150" zoomScaleNormal="150" workbookViewId="0">
      <pane ySplit="5" topLeftCell="A131" activePane="bottomLeft" state="frozen"/>
      <selection pane="bottomLeft" activeCell="A139" sqref="A139:C153"/>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United Kingdom</t>
        </is>
      </c>
      <c r="J1" s="54" t="inlineStr">
        <is>
          <t xml:space="preserve"> Services PMI</t>
        </is>
      </c>
    </row>
    <row r="2">
      <c r="J2" s="54" t="inlineStr">
        <is>
          <t>U.K.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row r="150">
      <c r="A150" s="8" t="n">
        <v>44835</v>
      </c>
      <c r="B150" s="11">
        <f>IF(VLOOKUP(A150,'DB Country PMI'!$A:$W,MATCH($A$1,'DB Country PMI'!$A$1:$W$1,),)=0,#N/A,VLOOKUP(A150,'DB Country PMI'!$A:$W,MATCH($A$1,'DB Country PMI'!$A$1:$W$1,),))</f>
        <v/>
      </c>
      <c r="C150" s="14">
        <f>Table1346811345671012131415[[#This Row],[PMI]]-B149</f>
        <v/>
      </c>
    </row>
    <row r="151">
      <c r="A151" s="8" t="n">
        <v>44866</v>
      </c>
      <c r="B151" s="11">
        <f>IF(VLOOKUP(A151,'DB Country PMI'!$A:$W,MATCH($A$1,'DB Country PMI'!$A$1:$W$1,),)=0,#N/A,VLOOKUP(A151,'DB Country PMI'!$A:$W,MATCH($A$1,'DB Country PMI'!$A$1:$W$1,),))</f>
        <v/>
      </c>
      <c r="C151" s="14">
        <f>Table1346811345671012131415[[#This Row],[PMI]]-B150</f>
        <v/>
      </c>
    </row>
    <row r="152">
      <c r="A152" s="8" t="n">
        <v>44896</v>
      </c>
      <c r="B152" s="11">
        <f>IF(VLOOKUP(A152,'DB Country PMI'!$A:$W,MATCH($A$1,'DB Country PMI'!$A$1:$W$1,),)=0,#N/A,VLOOKUP(A152,'DB Country PMI'!$A:$W,MATCH($A$1,'DB Country PMI'!$A$1:$W$1,),))</f>
        <v/>
      </c>
      <c r="C152" s="14">
        <f>Table1346811345671012131415[[#This Row],[PMI]]-B151</f>
        <v/>
      </c>
    </row>
    <row r="153">
      <c r="A153" s="8" t="n">
        <v>44927</v>
      </c>
      <c r="B153" s="11">
        <f>IF(VLOOKUP(A153,'DB Country PMI'!$A:$W,MATCH($A$1,'DB Country PMI'!$A$1:$W$1,),)=0,#N/A,VLOOKUP(A153,'DB Country PMI'!$A:$W,MATCH($A$1,'DB Country PMI'!$A$1:$W$1,),))</f>
        <v/>
      </c>
      <c r="C153" s="14">
        <f>Table1346811345671012131415[[#This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53"/>
  <sheetViews>
    <sheetView zoomScale="160" zoomScaleNormal="160" workbookViewId="0">
      <pane ySplit="5" topLeftCell="A135" activePane="bottomLeft" state="frozen"/>
      <selection pane="bottomLeft" activeCell="A135" sqref="A135:C153"/>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India</t>
        </is>
      </c>
      <c r="J1" s="54" t="inlineStr">
        <is>
          <t xml:space="preserve"> Services PMI</t>
        </is>
      </c>
    </row>
    <row r="2">
      <c r="J2" s="54" t="inlineStr">
        <is>
          <t>India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row r="150">
      <c r="A150" s="8" t="n">
        <v>44835</v>
      </c>
      <c r="B150" s="11">
        <f>IF(VLOOKUP(A150,'DB Country PMI'!$A:$W,MATCH($A$1,'DB Country PMI'!$A$1:$W$1,),)=0,#N/A,VLOOKUP(A150,'DB Country PMI'!$A:$W,MATCH($A$1,'DB Country PMI'!$A$1:$W$1,),))</f>
        <v/>
      </c>
      <c r="C150" s="14">
        <f>Table134681134567[[#This Row],[PMI]]-B149</f>
        <v/>
      </c>
    </row>
    <row r="151">
      <c r="A151" s="8" t="n">
        <v>44866</v>
      </c>
      <c r="B151" s="11">
        <f>IF(VLOOKUP(A151,'DB Country PMI'!$A:$W,MATCH($A$1,'DB Country PMI'!$A$1:$W$1,),)=0,#N/A,VLOOKUP(A151,'DB Country PMI'!$A:$W,MATCH($A$1,'DB Country PMI'!$A$1:$W$1,),))</f>
        <v/>
      </c>
      <c r="C151" s="14">
        <f>Table134681134567[[#This Row],[PMI]]-B150</f>
        <v/>
      </c>
    </row>
    <row r="152">
      <c r="A152" s="8" t="n">
        <v>44896</v>
      </c>
      <c r="B152" s="11">
        <f>IF(VLOOKUP(A152,'DB Country PMI'!$A:$W,MATCH($A$1,'DB Country PMI'!$A$1:$W$1,),)=0,#N/A,VLOOKUP(A152,'DB Country PMI'!$A:$W,MATCH($A$1,'DB Country PMI'!$A$1:$W$1,),))</f>
        <v/>
      </c>
      <c r="C152" s="14">
        <f>Table134681134567[[#This Row],[PMI]]-B151</f>
        <v/>
      </c>
    </row>
    <row r="153">
      <c r="A153" s="8" t="n">
        <v>44927</v>
      </c>
      <c r="B153" s="11">
        <f>IF(VLOOKUP(A153,'DB Country PMI'!$A:$W,MATCH($A$1,'DB Country PMI'!$A$1:$W$1,),)=0,#N/A,VLOOKUP(A153,'DB Country PMI'!$A:$W,MATCH($A$1,'DB Country PMI'!$A$1:$W$1,),))</f>
        <v/>
      </c>
      <c r="C153" s="14">
        <f>Table134681134567[[#This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52"/>
  <sheetViews>
    <sheetView zoomScale="150" zoomScaleNormal="150" workbookViewId="0">
      <pane ySplit="5" topLeftCell="A132" activePane="bottomLeft" state="frozen"/>
      <selection pane="bottomLeft" activeCell="A139" sqref="A139:C152"/>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Australia</t>
        </is>
      </c>
      <c r="J1" s="54" t="inlineStr">
        <is>
          <t xml:space="preserve"> Services PMI</t>
        </is>
      </c>
    </row>
    <row r="2">
      <c r="J2" s="54" t="inlineStr">
        <is>
          <t>Australia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row r="150">
      <c r="A150" s="8" t="n">
        <v>44835</v>
      </c>
      <c r="B150" s="11">
        <f>IF(VLOOKUP(A150,'DB Country PMI'!$A:$W,MATCH($A$1,'DB Country PMI'!$A$1:$W$1,),)=0,#N/A,VLOOKUP(A150,'DB Country PMI'!$A:$W,MATCH($A$1,'DB Country PMI'!$A$1:$W$1,),))</f>
        <v/>
      </c>
      <c r="C150" s="14">
        <f>Table13468113456716[[#This Row],[PMI]]-B149</f>
        <v/>
      </c>
    </row>
    <row r="151">
      <c r="A151" s="8" t="n">
        <v>44866</v>
      </c>
      <c r="B151" s="11">
        <f>IF(VLOOKUP(A151,'DB Country PMI'!$A:$W,MATCH($A$1,'DB Country PMI'!$A$1:$W$1,),)=0,#N/A,VLOOKUP(A151,'DB Country PMI'!$A:$W,MATCH($A$1,'DB Country PMI'!$A$1:$W$1,),))</f>
        <v/>
      </c>
      <c r="C151" s="14">
        <f>Table13468113456716[[#This Row],[PMI]]-B150</f>
        <v/>
      </c>
    </row>
    <row r="152">
      <c r="A152" s="8" t="n">
        <v>44896</v>
      </c>
      <c r="B152" s="11">
        <f>IF(VLOOKUP(A152,'DB Country PMI'!$A:$W,MATCH($A$1,'DB Country PMI'!$A$1:$W$1,),)=0,#N/A,VLOOKUP(A152,'DB Country PMI'!$A:$W,MATCH($A$1,'DB Country PMI'!$A$1:$W$1,),))</f>
        <v/>
      </c>
      <c r="C152" s="14">
        <f>Table13468113456716[[#This Row],[PMI]]-B151</f>
        <v/>
      </c>
    </row>
  </sheetData>
  <conditionalFormatting sqref="C7:C152">
    <cfRule type="colorScale" priority="207">
      <colorScale>
        <cfvo type="min"/>
        <cfvo type="percentile" val="50"/>
        <cfvo type="max"/>
        <color rgb="FFF8696B"/>
        <color rgb="FFFCFCFF"/>
        <color rgb="FF5A8AC6"/>
      </colorScale>
    </cfRule>
  </conditionalFormatting>
  <conditionalFormatting sqref="B6:B152">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53"/>
  <sheetViews>
    <sheetView zoomScale="160" zoomScaleNormal="160" workbookViewId="0">
      <pane ySplit="5" topLeftCell="A139" activePane="bottomLeft" state="frozen"/>
      <selection pane="bottomLeft" activeCell="A138" sqref="A138:C153"/>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Ireland</t>
        </is>
      </c>
      <c r="J1" s="54" t="inlineStr">
        <is>
          <t xml:space="preserve"> Services PMI</t>
        </is>
      </c>
    </row>
    <row r="2">
      <c r="J2" s="54" t="inlineStr">
        <is>
          <t>Ireland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row r="150">
      <c r="A150" s="8" t="n">
        <v>44835</v>
      </c>
      <c r="B150" s="11">
        <f>IF(VLOOKUP(A150,'DB Country PMI'!$A:$W,MATCH($A$1,'DB Country PMI'!$A$1:$W$1,),)=0,#N/A,VLOOKUP(A150,'DB Country PMI'!$A:$W,MATCH($A$1,'DB Country PMI'!$A$1:$W$1,),))</f>
        <v/>
      </c>
      <c r="C150" s="14">
        <f>Table1346811345678[[#This Row],[PMI]]-B149</f>
        <v/>
      </c>
    </row>
    <row r="151">
      <c r="A151" s="8" t="n">
        <v>44866</v>
      </c>
      <c r="B151" s="11">
        <f>IF(VLOOKUP(A151,'DB Country PMI'!$A:$W,MATCH($A$1,'DB Country PMI'!$A$1:$W$1,),)=0,#N/A,VLOOKUP(A151,'DB Country PMI'!$A:$W,MATCH($A$1,'DB Country PMI'!$A$1:$W$1,),))</f>
        <v/>
      </c>
      <c r="C151" s="14">
        <f>Table1346811345678[[#This Row],[PMI]]-B150</f>
        <v/>
      </c>
    </row>
    <row r="152">
      <c r="A152" s="8" t="n">
        <v>44896</v>
      </c>
      <c r="B152" s="11">
        <f>IF(VLOOKUP(A152,'DB Country PMI'!$A:$W,MATCH($A$1,'DB Country PMI'!$A$1:$W$1,),)=0,#N/A,VLOOKUP(A152,'DB Country PMI'!$A:$W,MATCH($A$1,'DB Country PMI'!$A$1:$W$1,),))</f>
        <v/>
      </c>
      <c r="C152" s="14">
        <f>Table1346811345678[[#This Row],[PMI]]-B151</f>
        <v/>
      </c>
    </row>
    <row r="153">
      <c r="A153" s="8" t="n">
        <v>44927</v>
      </c>
      <c r="B153" s="11">
        <f>IF(VLOOKUP(A153,'DB Country PMI'!$A:$W,MATCH($A$1,'DB Country PMI'!$A$1:$W$1,),)=0,#N/A,VLOOKUP(A153,'DB Country PMI'!$A:$W,MATCH($A$1,'DB Country PMI'!$A$1:$W$1,),))</f>
        <v/>
      </c>
      <c r="C153" s="14">
        <f>Table1346811345678[[#This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53"/>
  <sheetViews>
    <sheetView zoomScale="160" zoomScaleNormal="160" workbookViewId="0">
      <pane ySplit="5" topLeftCell="A136" activePane="bottomLeft" state="frozen"/>
      <selection pane="bottomLeft" activeCell="A135" sqref="A135:C153"/>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Italy</t>
        </is>
      </c>
      <c r="J1" s="54" t="inlineStr">
        <is>
          <t xml:space="preserve"> Services PMI</t>
        </is>
      </c>
    </row>
    <row r="2">
      <c r="J2" s="54" t="inlineStr">
        <is>
          <t>Italy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row r="150">
      <c r="A150" s="8" t="n">
        <v>44835</v>
      </c>
      <c r="B150" s="11">
        <f>IF(VLOOKUP(A150,'DB Country PMI'!$A:$W,MATCH($A$1,'DB Country PMI'!$A$1:$W$1,),)=0,#N/A,VLOOKUP(A150,'DB Country PMI'!$A:$W,MATCH($A$1,'DB Country PMI'!$A$1:$W$1,),))</f>
        <v/>
      </c>
      <c r="C150" s="14">
        <f>Table13468113456789[[#This Row],[PMI]]-B149</f>
        <v/>
      </c>
    </row>
    <row r="151">
      <c r="A151" s="8" t="n">
        <v>44866</v>
      </c>
      <c r="B151" s="11">
        <f>IF(VLOOKUP(A151,'DB Country PMI'!$A:$W,MATCH($A$1,'DB Country PMI'!$A$1:$W$1,),)=0,#N/A,VLOOKUP(A151,'DB Country PMI'!$A:$W,MATCH($A$1,'DB Country PMI'!$A$1:$W$1,),))</f>
        <v/>
      </c>
      <c r="C151" s="14">
        <f>Table13468113456789[[#This Row],[PMI]]-B150</f>
        <v/>
      </c>
    </row>
    <row r="152">
      <c r="A152" s="8" t="n">
        <v>44896</v>
      </c>
      <c r="B152" s="11">
        <f>IF(VLOOKUP(A152,'DB Country PMI'!$A:$W,MATCH($A$1,'DB Country PMI'!$A$1:$W$1,),)=0,#N/A,VLOOKUP(A152,'DB Country PMI'!$A:$W,MATCH($A$1,'DB Country PMI'!$A$1:$W$1,),))</f>
        <v/>
      </c>
      <c r="C152" s="14">
        <f>Table13468113456789[[#This Row],[PMI]]-B151</f>
        <v/>
      </c>
    </row>
    <row r="153">
      <c r="A153" s="8" t="n">
        <v>44927</v>
      </c>
      <c r="B153" s="11">
        <f>IF(VLOOKUP(A153,'DB Country PMI'!$A:$W,MATCH($A$1,'DB Country PMI'!$A$1:$W$1,),)=0,#N/A,VLOOKUP(A153,'DB Country PMI'!$A:$W,MATCH($A$1,'DB Country PMI'!$A$1:$W$1,),))</f>
        <v/>
      </c>
      <c r="C153" s="14">
        <f>Table13468113456789[[#This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53"/>
  <sheetViews>
    <sheetView zoomScale="150" zoomScaleNormal="150" workbookViewId="0">
      <pane ySplit="5" topLeftCell="A134" activePane="bottomLeft" state="frozen"/>
      <selection pane="bottomLeft" activeCell="A140" sqref="A140:C153"/>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Japan</t>
        </is>
      </c>
      <c r="J1" s="54" t="inlineStr">
        <is>
          <t xml:space="preserve"> Services PMI</t>
        </is>
      </c>
    </row>
    <row r="2">
      <c r="J2" s="54" t="inlineStr">
        <is>
          <t>Japan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row r="150">
      <c r="A150" s="8" t="n">
        <v>44835</v>
      </c>
      <c r="B150" s="11">
        <f>IF(VLOOKUP(A150,'DB Country PMI'!$A:$W,MATCH($A$1,'DB Country PMI'!$A$1:$W$1,),)=0,#N/A,VLOOKUP(A150,'DB Country PMI'!$A:$W,MATCH($A$1,'DB Country PMI'!$A$1:$W$1,),))</f>
        <v/>
      </c>
      <c r="C150" s="14">
        <f>Table13468113456710[[#This Row],[PMI]]-B149</f>
        <v/>
      </c>
    </row>
    <row r="151">
      <c r="A151" s="8" t="n">
        <v>44866</v>
      </c>
      <c r="B151" s="11">
        <f>IF(VLOOKUP(A151,'DB Country PMI'!$A:$W,MATCH($A$1,'DB Country PMI'!$A$1:$W$1,),)=0,#N/A,VLOOKUP(A151,'DB Country PMI'!$A:$W,MATCH($A$1,'DB Country PMI'!$A$1:$W$1,),))</f>
        <v/>
      </c>
      <c r="C151" s="14">
        <f>Table13468113456710[[#This Row],[PMI]]-B150</f>
        <v/>
      </c>
    </row>
    <row r="152">
      <c r="A152" s="8" t="n">
        <v>44896</v>
      </c>
      <c r="B152" s="11">
        <f>IF(VLOOKUP(A152,'DB Country PMI'!$A:$W,MATCH($A$1,'DB Country PMI'!$A$1:$W$1,),)=0,#N/A,VLOOKUP(A152,'DB Country PMI'!$A:$W,MATCH($A$1,'DB Country PMI'!$A$1:$W$1,),))</f>
        <v/>
      </c>
      <c r="C152" s="14">
        <f>Table13468113456710[[#This Row],[PMI]]-B151</f>
        <v/>
      </c>
    </row>
    <row r="153">
      <c r="A153" s="8" t="n">
        <v>44927</v>
      </c>
      <c r="B153" s="11">
        <f>IF(VLOOKUP(A153,'DB Country PMI'!$A:$W,MATCH($A$1,'DB Country PMI'!$A$1:$W$1,),)=0,#N/A,VLOOKUP(A153,'DB Country PMI'!$A:$W,MATCH($A$1,'DB Country PMI'!$A$1:$W$1,),))</f>
        <v/>
      </c>
      <c r="C153" s="14">
        <f>Table13468113456710[[#This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53"/>
  <sheetViews>
    <sheetView zoomScale="160" zoomScaleNormal="160" workbookViewId="0">
      <pane ySplit="5" topLeftCell="A137" activePane="bottomLeft" state="frozen"/>
      <selection pane="bottomLeft" activeCell="A139" sqref="A139:C153"/>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Brazil</t>
        </is>
      </c>
      <c r="J1" s="54" t="inlineStr">
        <is>
          <t xml:space="preserve"> Services PMI</t>
        </is>
      </c>
    </row>
    <row r="2">
      <c r="J2" s="54" t="inlineStr">
        <is>
          <t>Brazil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row r="150">
      <c r="A150" s="8" t="n">
        <v>44835</v>
      </c>
      <c r="B150" s="11">
        <f>IF(VLOOKUP(A150,'DB Country PMI'!$A:$W,MATCH($A$1,'DB Country PMI'!$A$1:$W$1,),)=0,#N/A,VLOOKUP(A150,'DB Country PMI'!$A:$W,MATCH($A$1,'DB Country PMI'!$A$1:$W$1,),))</f>
        <v/>
      </c>
      <c r="C150" s="14">
        <f>Table1346811345671012[[#This Row],[PMI]]-B149</f>
        <v/>
      </c>
    </row>
    <row r="151">
      <c r="A151" s="8" t="n">
        <v>44866</v>
      </c>
      <c r="B151" s="11">
        <f>IF(VLOOKUP(A151,'DB Country PMI'!$A:$W,MATCH($A$1,'DB Country PMI'!$A$1:$W$1,),)=0,#N/A,VLOOKUP(A151,'DB Country PMI'!$A:$W,MATCH($A$1,'DB Country PMI'!$A$1:$W$1,),))</f>
        <v/>
      </c>
      <c r="C151" s="14">
        <f>Table1346811345671012[[#This Row],[PMI]]-B150</f>
        <v/>
      </c>
    </row>
    <row r="152">
      <c r="A152" s="8" t="n">
        <v>44896</v>
      </c>
      <c r="B152" s="11">
        <f>IF(VLOOKUP(A152,'DB Country PMI'!$A:$W,MATCH($A$1,'DB Country PMI'!$A$1:$W$1,),)=0,#N/A,VLOOKUP(A152,'DB Country PMI'!$A:$W,MATCH($A$1,'DB Country PMI'!$A$1:$W$1,),))</f>
        <v/>
      </c>
      <c r="C152" s="14">
        <f>Table1346811345671012[[#This Row],[PMI]]-B151</f>
        <v/>
      </c>
    </row>
    <row r="153">
      <c r="A153" s="8" t="n">
        <v>44927</v>
      </c>
      <c r="B153" s="11">
        <f>IF(VLOOKUP(A153,'DB Country PMI'!$A:$W,MATCH($A$1,'DB Country PMI'!$A$1:$W$1,),)=0,#N/A,VLOOKUP(A153,'DB Country PMI'!$A:$W,MATCH($A$1,'DB Country PMI'!$A$1:$W$1,),))</f>
        <v/>
      </c>
      <c r="C153" s="14">
        <f>Table1346811345671012[[#This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53"/>
  <sheetViews>
    <sheetView zoomScale="160" zoomScaleNormal="160" workbookViewId="0">
      <pane ySplit="5" topLeftCell="A135" activePane="bottomLeft" state="frozen"/>
      <selection pane="bottomLeft" activeCell="A138" sqref="A138:C153"/>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Russia</t>
        </is>
      </c>
      <c r="J1" s="54" t="inlineStr">
        <is>
          <t xml:space="preserve"> Services PMI</t>
        </is>
      </c>
    </row>
    <row r="2">
      <c r="J2" s="54" t="inlineStr">
        <is>
          <t>Russia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row r="150">
      <c r="A150" s="8" t="n">
        <v>44835</v>
      </c>
      <c r="B150" s="11">
        <f>IF(VLOOKUP(A150,'DB Country PMI'!$A:$W,MATCH($A$1,'DB Country PMI'!$A$1:$W$1,),)=0,#N/A,VLOOKUP(A150,'DB Country PMI'!$A:$W,MATCH($A$1,'DB Country PMI'!$A$1:$W$1,),))</f>
        <v/>
      </c>
      <c r="C150" s="14">
        <f>Table134681134567101213[[#This Row],[PMI]]-B149</f>
        <v/>
      </c>
    </row>
    <row r="151">
      <c r="A151" s="8" t="n">
        <v>44866</v>
      </c>
      <c r="B151" s="11">
        <f>IF(VLOOKUP(A151,'DB Country PMI'!$A:$W,MATCH($A$1,'DB Country PMI'!$A$1:$W$1,),)=0,#N/A,VLOOKUP(A151,'DB Country PMI'!$A:$W,MATCH($A$1,'DB Country PMI'!$A$1:$W$1,),))</f>
        <v/>
      </c>
      <c r="C151" s="14">
        <f>Table134681134567101213[[#This Row],[PMI]]-B150</f>
        <v/>
      </c>
    </row>
    <row r="152">
      <c r="A152" s="8" t="n">
        <v>44896</v>
      </c>
      <c r="B152" s="11">
        <f>IF(VLOOKUP(A152,'DB Country PMI'!$A:$W,MATCH($A$1,'DB Country PMI'!$A$1:$W$1,),)=0,#N/A,VLOOKUP(A152,'DB Country PMI'!$A:$W,MATCH($A$1,'DB Country PMI'!$A$1:$W$1,),))</f>
        <v/>
      </c>
      <c r="C152" s="14">
        <f>Table134681134567101213[[#This Row],[PMI]]-B151</f>
        <v/>
      </c>
    </row>
    <row r="153">
      <c r="A153" s="8" t="n">
        <v>44927</v>
      </c>
      <c r="B153" s="11">
        <f>IF(VLOOKUP(A153,'DB Country PMI'!$A:$W,MATCH($A$1,'DB Country PMI'!$A$1:$W$1,),)=0,#N/A,VLOOKUP(A153,'DB Country PMI'!$A:$W,MATCH($A$1,'DB Country PMI'!$A$1:$W$1,),))</f>
        <v/>
      </c>
      <c r="C153" s="14">
        <f>Table134681134567101213[[#This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53"/>
  <sheetViews>
    <sheetView zoomScale="170" zoomScaleNormal="170" workbookViewId="0">
      <pane ySplit="5" topLeftCell="A136" activePane="bottomLeft" state="frozen"/>
      <selection pane="bottomLeft" activeCell="A142" sqref="A142:C153"/>
    </sheetView>
  </sheetViews>
  <sheetFormatPr baseColWidth="8" defaultColWidth="9.1796875" defaultRowHeight="14.5"/>
  <cols>
    <col width="13.453125" customWidth="1" style="54" min="1" max="1"/>
    <col width="11.36328125" customWidth="1" style="54" min="2" max="2"/>
    <col width="9.1796875" customWidth="1" style="54" min="3" max="18"/>
    <col width="9.1796875" customWidth="1" style="54" min="19" max="16384"/>
  </cols>
  <sheetData>
    <row r="1">
      <c r="A1" s="54" t="inlineStr">
        <is>
          <t>Spain</t>
        </is>
      </c>
      <c r="J1" s="54" t="inlineStr">
        <is>
          <t xml:space="preserve"> Services PMI</t>
        </is>
      </c>
    </row>
    <row r="2">
      <c r="J2" s="54" t="inlineStr">
        <is>
          <t>Spain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row r="150">
      <c r="A150" s="8" t="n">
        <v>44835</v>
      </c>
      <c r="B150" s="11">
        <f>IF(VLOOKUP(A150,'DB Country PMI'!$A:$W,MATCH($A$1,'DB Country PMI'!$A$1:$W$1,),)=0,#N/A,VLOOKUP(A150,'DB Country PMI'!$A:$W,MATCH($A$1,'DB Country PMI'!$A$1:$W$1,),))</f>
        <v/>
      </c>
      <c r="C150" s="14">
        <f>Table13468113456710121314[[#This Row],[PMI]]-B149</f>
        <v/>
      </c>
    </row>
    <row r="151">
      <c r="A151" s="8" t="n">
        <v>44866</v>
      </c>
      <c r="B151" s="11">
        <f>IF(VLOOKUP(A151,'DB Country PMI'!$A:$W,MATCH($A$1,'DB Country PMI'!$A$1:$W$1,),)=0,#N/A,VLOOKUP(A151,'DB Country PMI'!$A:$W,MATCH($A$1,'DB Country PMI'!$A$1:$W$1,),))</f>
        <v/>
      </c>
      <c r="C151" s="14">
        <f>Table13468113456710121314[[#This Row],[PMI]]-B150</f>
        <v/>
      </c>
    </row>
    <row r="152">
      <c r="A152" s="8" t="n">
        <v>44896</v>
      </c>
      <c r="B152" s="11">
        <f>IF(VLOOKUP(A152,'DB Country PMI'!$A:$W,MATCH($A$1,'DB Country PMI'!$A$1:$W$1,),)=0,#N/A,VLOOKUP(A152,'DB Country PMI'!$A:$W,MATCH($A$1,'DB Country PMI'!$A$1:$W$1,),))</f>
        <v/>
      </c>
      <c r="C152" s="14">
        <f>Table13468113456710121314[[#This Row],[PMI]]-B151</f>
        <v/>
      </c>
    </row>
    <row r="153">
      <c r="A153" s="8" t="n">
        <v>44927</v>
      </c>
      <c r="B153" s="11">
        <f>IF(VLOOKUP(A153,'DB Country PMI'!$A:$W,MATCH($A$1,'DB Country PMI'!$A$1:$W$1,),)=0,#N/A,VLOOKUP(A153,'DB Country PMI'!$A:$W,MATCH($A$1,'DB Country PMI'!$A$1:$W$1,),))</f>
        <v/>
      </c>
      <c r="C153" s="14">
        <f>Table13468113456710121314[[#This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2023-01-28T02:38:47Z</dcterms:modified>
  <cp:lastModifiedBy>Mark Mukherjee</cp:lastModifiedBy>
</cp:coreProperties>
</file>