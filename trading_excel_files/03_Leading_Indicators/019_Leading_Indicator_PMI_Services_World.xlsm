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5.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6.xml" ContentType="application/vnd.openxmlformats-officedocument.spreadsheetml.worksheet+xml"/>
  <Override PartName="/xl/drawings/drawing4.xml" ContentType="application/vnd.openxmlformats-officedocument.drawing+xml"/>
  <Override PartName="/xl/tables/table3.xml" ContentType="application/vnd.openxmlformats-officedocument.spreadsheetml.table+xml"/>
  <Override PartName="/xl/worksheets/sheet7.xml" ContentType="application/vnd.openxmlformats-officedocument.spreadsheetml.worksheet+xml"/>
  <Override PartName="/xl/drawings/drawing5.xml" ContentType="application/vnd.openxmlformats-officedocument.drawing+xml"/>
  <Override PartName="/xl/tables/table4.xml" ContentType="application/vnd.openxmlformats-officedocument.spreadsheetml.table+xml"/>
  <Override PartName="/xl/worksheets/sheet8.xml" ContentType="application/vnd.openxmlformats-officedocument.spreadsheetml.worksheet+xml"/>
  <Override PartName="/xl/drawings/drawing6.xml" ContentType="application/vnd.openxmlformats-officedocument.drawing+xml"/>
  <Override PartName="/xl/tables/table5.xml" ContentType="application/vnd.openxmlformats-officedocument.spreadsheetml.table+xml"/>
  <Override PartName="/xl/worksheets/sheet9.xml" ContentType="application/vnd.openxmlformats-officedocument.spreadsheetml.worksheet+xml"/>
  <Override PartName="/xl/drawings/drawing7.xml" ContentType="application/vnd.openxmlformats-officedocument.drawing+xml"/>
  <Override PartName="/xl/tables/table6.xml" ContentType="application/vnd.openxmlformats-officedocument.spreadsheetml.table+xml"/>
  <Override PartName="/xl/worksheets/sheet10.xml" ContentType="application/vnd.openxmlformats-officedocument.spreadsheetml.worksheet+xml"/>
  <Override PartName="/xl/drawings/drawing8.xml" ContentType="application/vnd.openxmlformats-officedocument.drawing+xml"/>
  <Override PartName="/xl/tables/table7.xml" ContentType="application/vnd.openxmlformats-officedocument.spreadsheetml.table+xml"/>
  <Override PartName="/xl/worksheets/sheet11.xml" ContentType="application/vnd.openxmlformats-officedocument.spreadsheetml.worksheet+xml"/>
  <Override PartName="/xl/drawings/drawing9.xml" ContentType="application/vnd.openxmlformats-officedocument.drawing+xml"/>
  <Override PartName="/xl/tables/table8.xml" ContentType="application/vnd.openxmlformats-officedocument.spreadsheetml.table+xml"/>
  <Override PartName="/xl/worksheets/sheet12.xml" ContentType="application/vnd.openxmlformats-officedocument.spreadsheetml.worksheet+xml"/>
  <Override PartName="/xl/drawings/drawing10.xml" ContentType="application/vnd.openxmlformats-officedocument.drawing+xml"/>
  <Override PartName="/xl/tables/table9.xml" ContentType="application/vnd.openxmlformats-officedocument.spreadsheetml.table+xml"/>
  <Override PartName="/xl/worksheets/sheet13.xml" ContentType="application/vnd.openxmlformats-officedocument.spreadsheetml.worksheet+xml"/>
  <Override PartName="/xl/drawings/drawing11.xml" ContentType="application/vnd.openxmlformats-officedocument.drawing+xml"/>
  <Override PartName="/xl/tables/table10.xml" ContentType="application/vnd.openxmlformats-officedocument.spreadsheetml.table+xml"/>
  <Override PartName="/xl/worksheets/sheet14.xml" ContentType="application/vnd.openxmlformats-officedocument.spreadsheetml.worksheet+xml"/>
  <Override PartName="/xl/drawings/drawing12.xml" ContentType="application/vnd.openxmlformats-officedocument.drawing+xml"/>
  <Override PartName="/xl/tables/table11.xml" ContentType="application/vnd.openxmlformats-officedocument.spreadsheetml.table+xml"/>
  <Override PartName="/xl/worksheets/sheet15.xml" ContentType="application/vnd.openxmlformats-officedocument.spreadsheetml.worksheet+xml"/>
  <Override PartName="/xl/drawings/drawing13.xml" ContentType="application/vnd.openxmlformats-officedocument.drawing+xml"/>
  <Override PartName="/xl/tables/table12.xml" ContentType="application/vnd.openxmlformats-officedocument.spreadsheetml.table+xml"/>
  <Override PartName="/xl/worksheets/sheet16.xml" ContentType="application/vnd.openxmlformats-officedocument.spreadsheetml.worksheet+xml"/>
  <Override PartName="/xl/drawings/drawing14.xml" ContentType="application/vnd.openxmlformats-officedocument.drawing+xml"/>
  <Override PartName="/xl/tables/table13.xml" ContentType="application/vnd.openxmlformats-officedocument.spreadsheetml.table+xml"/>
  <Override PartName="/xl/worksheets/sheet17.xml" ContentType="application/vnd.openxmlformats-officedocument.spreadsheetml.worksheet+xml"/>
  <Override PartName="/xl/drawings/drawing15.xml" ContentType="application/vnd.openxmlformats-officedocument.drawing+xml"/>
  <Override PartName="/xl/tables/table14.xml" ContentType="application/vnd.openxmlformats-officedocument.spreadsheetml.table+xml"/>
  <Override PartName="/xl/worksheets/sheet18.xml" ContentType="application/vnd.openxmlformats-officedocument.spreadsheetml.worksheet+xml"/>
  <Override PartName="/xl/drawings/drawing16.xml" ContentType="application/vnd.openxmlformats-officedocument.drawing+xml"/>
  <Override PartName="/xl/tables/table15.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0" yWindow="500" windowWidth="28800" windowHeight="17500" tabRatio="804" firstSheet="0" activeTab="1" autoFilterDateGrouping="1"/>
  </bookViews>
  <sheets>
    <sheet xmlns:r="http://schemas.openxmlformats.org/officeDocument/2006/relationships" name="Note" sheetId="1" state="visible" r:id="rId1"/>
    <sheet xmlns:r="http://schemas.openxmlformats.org/officeDocument/2006/relationships" name="DB Country PMI" sheetId="2" state="visible" r:id="rId2"/>
    <sheet xmlns:r="http://schemas.openxmlformats.org/officeDocument/2006/relationships" name="Summary" sheetId="3" state="visible" r:id="rId3"/>
    <sheet xmlns:r="http://schemas.openxmlformats.org/officeDocument/2006/relationships" name="Global" sheetId="4" state="visible" r:id="rId4"/>
    <sheet xmlns:r="http://schemas.openxmlformats.org/officeDocument/2006/relationships" name="US" sheetId="5" state="visible" r:id="rId5"/>
    <sheet xmlns:r="http://schemas.openxmlformats.org/officeDocument/2006/relationships" name="EuroArea" sheetId="6" state="visible" r:id="rId6"/>
    <sheet xmlns:r="http://schemas.openxmlformats.org/officeDocument/2006/relationships" name="China" sheetId="7" state="visible" r:id="rId7"/>
    <sheet xmlns:r="http://schemas.openxmlformats.org/officeDocument/2006/relationships" name="France" sheetId="8" state="visible" r:id="rId8"/>
    <sheet xmlns:r="http://schemas.openxmlformats.org/officeDocument/2006/relationships" name="Germany" sheetId="9" state="visible" r:id="rId9"/>
    <sheet xmlns:r="http://schemas.openxmlformats.org/officeDocument/2006/relationships" name="UK" sheetId="10" state="visible" r:id="rId10"/>
    <sheet xmlns:r="http://schemas.openxmlformats.org/officeDocument/2006/relationships" name="India" sheetId="11" state="visible" r:id="rId11"/>
    <sheet xmlns:r="http://schemas.openxmlformats.org/officeDocument/2006/relationships" name="Australia" sheetId="12" state="visible" r:id="rId12"/>
    <sheet xmlns:r="http://schemas.openxmlformats.org/officeDocument/2006/relationships" name="Ireland" sheetId="13" state="visible" r:id="rId13"/>
    <sheet xmlns:r="http://schemas.openxmlformats.org/officeDocument/2006/relationships" name="Italy" sheetId="14" state="visible" r:id="rId14"/>
    <sheet xmlns:r="http://schemas.openxmlformats.org/officeDocument/2006/relationships" name="Japan" sheetId="15" state="visible" r:id="rId15"/>
    <sheet xmlns:r="http://schemas.openxmlformats.org/officeDocument/2006/relationships" name="Brazil" sheetId="16" state="visible" r:id="rId16"/>
    <sheet xmlns:r="http://schemas.openxmlformats.org/officeDocument/2006/relationships" name="Russia" sheetId="17" state="visible" r:id="rId17"/>
    <sheet xmlns:r="http://schemas.openxmlformats.org/officeDocument/2006/relationships" name="Spain" sheetId="18" state="visible" r:id="rId18"/>
  </sheets>
  <definedNames/>
  <calcPr calcId="191029" fullCalcOnLoad="1"/>
</workbook>
</file>

<file path=xl/styles.xml><?xml version="1.0" encoding="utf-8"?>
<styleSheet xmlns="http://schemas.openxmlformats.org/spreadsheetml/2006/main">
  <numFmts count="5">
    <numFmt numFmtId="164" formatCode="0.0"/>
    <numFmt numFmtId="165" formatCode="0.0%"/>
    <numFmt numFmtId="166" formatCode="dd\-mm\-yyyy"/>
    <numFmt numFmtId="167" formatCode="dd-mm-YYYY"/>
    <numFmt numFmtId="168" formatCode="yyyy-mm-dd h:mm:ss"/>
  </numFmts>
  <fonts count="17">
    <font>
      <name val="Calibri"/>
      <family val="2"/>
      <color theme="1"/>
      <sz val="11"/>
      <scheme val="minor"/>
    </font>
    <font>
      <name val="Calibri"/>
      <family val="2"/>
      <color theme="1"/>
      <sz val="11"/>
      <scheme val="minor"/>
    </font>
    <font>
      <name val="Calibri"/>
      <family val="2"/>
      <b val="1"/>
      <color theme="0"/>
      <sz val="11"/>
      <scheme val="minor"/>
    </font>
    <font>
      <name val="Calibri"/>
      <family val="2"/>
      <b val="1"/>
      <color theme="1"/>
      <sz val="11"/>
      <scheme val="minor"/>
    </font>
    <font>
      <name val="Calibri"/>
      <family val="2"/>
      <color theme="10"/>
      <sz val="11"/>
      <u val="single"/>
      <scheme val="minor"/>
    </font>
    <font>
      <name val="Calibri"/>
      <family val="2"/>
      <b val="1"/>
      <color rgb="FF494444"/>
      <sz val="11"/>
      <scheme val="minor"/>
    </font>
    <font>
      <name val="Arial"/>
      <family val="2"/>
      <color rgb="FF494444"/>
      <sz val="11"/>
    </font>
    <font>
      <name val="Calibri"/>
      <family val="2"/>
      <color rgb="FF00B0F0"/>
      <sz val="11"/>
      <scheme val="minor"/>
    </font>
    <font>
      <name val="Calibri"/>
      <family val="2"/>
      <b val="1"/>
      <color rgb="FF00B0F0"/>
      <sz val="11"/>
      <scheme val="minor"/>
    </font>
    <font>
      <name val="Arial"/>
      <family val="2"/>
      <sz val="10"/>
    </font>
    <font>
      <name val="Calibri"/>
      <family val="2"/>
      <color theme="1"/>
      <sz val="10"/>
      <scheme val="minor"/>
    </font>
    <font>
      <name val="Calibri"/>
      <family val="2"/>
      <color rgb="FF00B0F0"/>
      <sz val="9"/>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sz val="9"/>
      <scheme val="minor"/>
    </font>
    <font>
      <name val="Calibri"/>
      <family val="2"/>
      <color rgb="FF000000"/>
      <sz val="11"/>
      <scheme val="minor"/>
    </font>
  </fonts>
  <fills count="7">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
      <patternFill patternType="solid">
        <fgColor theme="0" tint="-0.0499893185216834"/>
        <bgColor indexed="64"/>
      </patternFill>
    </fill>
    <fill>
      <patternFill patternType="solid">
        <fgColor rgb="FFFFFFFF"/>
        <bgColor rgb="FF000000"/>
      </patternFill>
    </fill>
  </fills>
  <borders count="37">
    <border>
      <left/>
      <right/>
      <top/>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diagonal/>
    </border>
    <border>
      <left/>
      <right style="medium">
        <color indexed="64"/>
      </right>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style="thin">
        <color indexed="64"/>
      </left>
      <right/>
      <top/>
      <bottom style="thin">
        <color indexed="64"/>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right/>
      <top style="thin">
        <color indexed="64"/>
      </top>
      <bottom/>
      <diagonal/>
    </border>
    <border>
      <left/>
      <right/>
      <top style="medium">
        <color indexed="64"/>
      </top>
      <bottom/>
      <diagonal/>
    </border>
    <border>
      <left/>
      <right style="thin">
        <color indexed="64"/>
      </right>
      <top style="medium">
        <color indexed="64"/>
      </top>
      <bottom/>
      <diagonal/>
    </border>
  </borders>
  <cellStyleXfs count="4">
    <xf numFmtId="0" fontId="1" fillId="0" borderId="0"/>
    <xf numFmtId="9" fontId="1" fillId="0" borderId="0"/>
    <xf numFmtId="0" fontId="4" fillId="0" borderId="0"/>
    <xf numFmtId="0" fontId="9" fillId="0" borderId="0"/>
  </cellStyleXfs>
  <cellXfs count="74">
    <xf numFmtId="0" fontId="0" fillId="0" borderId="0" pivotButton="0" quotePrefix="0" xfId="0"/>
    <xf numFmtId="0" fontId="6" fillId="0" borderId="0" pivotButton="0" quotePrefix="0" xfId="0"/>
    <xf numFmtId="0" fontId="0" fillId="2" borderId="0" applyAlignment="1" pivotButton="0" quotePrefix="0" xfId="0">
      <alignment vertical="center"/>
    </xf>
    <xf numFmtId="0" fontId="7" fillId="2" borderId="0" pivotButton="0" quotePrefix="0" xfId="0"/>
    <xf numFmtId="14" fontId="8" fillId="2" borderId="6" applyAlignment="1" pivotButton="0" quotePrefix="0" xfId="0">
      <alignment horizontal="center"/>
    </xf>
    <xf numFmtId="14" fontId="3" fillId="2" borderId="6" applyAlignment="1" pivotButton="0" quotePrefix="0" xfId="0">
      <alignment horizontal="center"/>
    </xf>
    <xf numFmtId="0" fontId="3" fillId="2" borderId="7" applyAlignment="1" pivotButton="0" quotePrefix="0" xfId="0">
      <alignment horizontal="center"/>
    </xf>
    <xf numFmtId="0" fontId="3" fillId="2" borderId="10" applyAlignment="1" pivotButton="0" quotePrefix="0" xfId="0">
      <alignment horizontal="center"/>
    </xf>
    <xf numFmtId="14" fontId="0" fillId="2" borderId="5" applyAlignment="1" pivotButton="0" quotePrefix="0" xfId="0">
      <alignment horizontal="center"/>
    </xf>
    <xf numFmtId="14" fontId="0" fillId="2" borderId="13" applyAlignment="1" pivotButton="0" quotePrefix="0" xfId="0">
      <alignment horizontal="center"/>
    </xf>
    <xf numFmtId="14" fontId="0" fillId="2" borderId="11" applyAlignment="1" pivotButton="0" quotePrefix="0" xfId="0">
      <alignment horizontal="center"/>
    </xf>
    <xf numFmtId="0" fontId="0" fillId="2" borderId="12" applyAlignment="1" pivotButton="0" quotePrefix="0" xfId="0">
      <alignment horizontal="center"/>
    </xf>
    <xf numFmtId="0" fontId="0" fillId="3" borderId="15" applyAlignment="1" pivotButton="0" quotePrefix="0" xfId="0">
      <alignment horizontal="center"/>
    </xf>
    <xf numFmtId="0" fontId="0" fillId="3" borderId="16" applyAlignment="1" pivotButton="0" quotePrefix="0" xfId="0">
      <alignment horizontal="center"/>
    </xf>
    <xf numFmtId="0" fontId="0" fillId="2" borderId="8" applyAlignment="1" pivotButton="0" quotePrefix="0" xfId="0">
      <alignment horizontal="center"/>
    </xf>
    <xf numFmtId="0" fontId="3" fillId="2" borderId="6" pivotButton="0" quotePrefix="0" xfId="0"/>
    <xf numFmtId="0" fontId="8" fillId="2" borderId="0" pivotButton="0" quotePrefix="0" xfId="0"/>
    <xf numFmtId="0" fontId="12" fillId="4" borderId="18" pivotButton="0" quotePrefix="0" xfId="0"/>
    <xf numFmtId="0" fontId="13" fillId="4" borderId="19" applyAlignment="1" pivotButton="0" quotePrefix="0" xfId="0">
      <alignment horizontal="center" textRotation="90"/>
    </xf>
    <xf numFmtId="14" fontId="0" fillId="2" borderId="0" pivotButton="0" quotePrefix="0" xfId="0"/>
    <xf numFmtId="0" fontId="12" fillId="0" borderId="21" pivotButton="0" quotePrefix="0" xfId="0"/>
    <xf numFmtId="164" fontId="14" fillId="5" borderId="8" applyAlignment="1" pivotButton="0" quotePrefix="0" xfId="0">
      <alignment horizontal="center" vertical="center"/>
    </xf>
    <xf numFmtId="164" fontId="14" fillId="5" borderId="14" applyAlignment="1" pivotButton="0" quotePrefix="0" xfId="0">
      <alignment horizontal="center" vertical="center"/>
    </xf>
    <xf numFmtId="0" fontId="3" fillId="4" borderId="23" pivotButton="0" quotePrefix="0" xfId="0"/>
    <xf numFmtId="164" fontId="14" fillId="5" borderId="18" applyAlignment="1" pivotButton="0" quotePrefix="0" xfId="0">
      <alignment horizontal="center" vertical="center"/>
    </xf>
    <xf numFmtId="164" fontId="14" fillId="5" borderId="21" applyAlignment="1" pivotButton="0" quotePrefix="0" xfId="0">
      <alignment horizontal="center" vertical="center"/>
    </xf>
    <xf numFmtId="0" fontId="3" fillId="4" borderId="23" applyAlignment="1" pivotButton="0" quotePrefix="0" xfId="0">
      <alignment vertical="center" wrapText="1"/>
    </xf>
    <xf numFmtId="0" fontId="3" fillId="5" borderId="21" applyAlignment="1" pivotButton="0" quotePrefix="0" xfId="0">
      <alignment horizontal="center" vertical="center" textRotation="90"/>
    </xf>
    <xf numFmtId="0" fontId="3" fillId="4" borderId="24" applyAlignment="1" pivotButton="0" quotePrefix="0" xfId="0">
      <alignment vertical="center" wrapText="1"/>
    </xf>
    <xf numFmtId="0" fontId="13" fillId="5" borderId="25" applyAlignment="1" pivotButton="0" quotePrefix="0" xfId="0">
      <alignment horizontal="center" vertical="center"/>
    </xf>
    <xf numFmtId="17" fontId="15" fillId="5" borderId="8" applyAlignment="1" pivotButton="0" quotePrefix="0" xfId="0">
      <alignment horizontal="left" vertical="top" wrapText="1"/>
    </xf>
    <xf numFmtId="164" fontId="12" fillId="0" borderId="8" applyAlignment="1" pivotButton="0" quotePrefix="0" xfId="0">
      <alignment horizontal="center" vertical="center"/>
    </xf>
    <xf numFmtId="0" fontId="3" fillId="2" borderId="9" pivotButton="0" quotePrefix="0" xfId="0"/>
    <xf numFmtId="0" fontId="0" fillId="2" borderId="20" pivotButton="0" quotePrefix="0" xfId="0"/>
    <xf numFmtId="165" fontId="10" fillId="2" borderId="22" applyAlignment="1" pivotButton="0" quotePrefix="0" xfId="0">
      <alignment horizontal="center"/>
    </xf>
    <xf numFmtId="0" fontId="0" fillId="2" borderId="26" applyAlignment="1" pivotButton="0" quotePrefix="0" xfId="0">
      <alignment horizontal="center"/>
    </xf>
    <xf numFmtId="165" fontId="10" fillId="2" borderId="27" applyAlignment="1" pivotButton="0" quotePrefix="0" xfId="0">
      <alignment horizontal="center"/>
    </xf>
    <xf numFmtId="0" fontId="4" fillId="2" borderId="0" pivotButton="0" quotePrefix="0" xfId="2"/>
    <xf numFmtId="0" fontId="0" fillId="0" borderId="0" pivotButton="0" quotePrefix="0" xfId="0"/>
    <xf numFmtId="0" fontId="3" fillId="2" borderId="31" applyAlignment="1" pivotButton="0" quotePrefix="0" xfId="0">
      <alignment horizontal="center"/>
    </xf>
    <xf numFmtId="0" fontId="0" fillId="2" borderId="30" applyAlignment="1" pivotButton="0" quotePrefix="0" xfId="0">
      <alignment horizontal="center"/>
    </xf>
    <xf numFmtId="0" fontId="0" fillId="2" borderId="32" applyAlignment="1" pivotButton="0" quotePrefix="0" xfId="0">
      <alignment horizontal="center"/>
    </xf>
    <xf numFmtId="0" fontId="0" fillId="2" borderId="33" applyAlignment="1" pivotButton="0" quotePrefix="0" xfId="0">
      <alignment horizontal="center"/>
    </xf>
    <xf numFmtId="164" fontId="0" fillId="2" borderId="29" applyAlignment="1" pivotButton="0" quotePrefix="0" xfId="1">
      <alignment horizontal="center"/>
    </xf>
    <xf numFmtId="164" fontId="0" fillId="2" borderId="5" applyAlignment="1" pivotButton="0" quotePrefix="0" xfId="1">
      <alignment horizontal="center"/>
    </xf>
    <xf numFmtId="164" fontId="0" fillId="2" borderId="28" applyAlignment="1" pivotButton="0" quotePrefix="0" xfId="1">
      <alignment horizontal="center"/>
    </xf>
    <xf numFmtId="14" fontId="16" fillId="6" borderId="0" pivotButton="0" quotePrefix="0" xfId="0"/>
    <xf numFmtId="17" fontId="11" fillId="2" borderId="0" applyAlignment="1" pivotButton="0" quotePrefix="0" xfId="0">
      <alignment horizontal="left" vertical="top" wrapText="1"/>
    </xf>
    <xf numFmtId="0" fontId="3" fillId="2" borderId="0" pivotButton="0" quotePrefix="0" xfId="0"/>
    <xf numFmtId="0" fontId="0" fillId="2" borderId="0" pivotButton="0" quotePrefix="0" xfId="0"/>
    <xf numFmtId="0" fontId="0" fillId="2" borderId="0" applyAlignment="1" pivotButton="0" quotePrefix="0" xfId="0">
      <alignment wrapText="1"/>
    </xf>
    <xf numFmtId="166" fontId="0" fillId="0" borderId="0" pivotButton="0" quotePrefix="0" xfId="0"/>
    <xf numFmtId="0" fontId="3" fillId="4" borderId="17" applyAlignment="1" pivotButton="0" quotePrefix="0" xfId="0">
      <alignment horizontal="center"/>
    </xf>
    <xf numFmtId="0" fontId="0" fillId="0" borderId="2" pivotButton="0" quotePrefix="0" xfId="0"/>
    <xf numFmtId="0" fontId="0" fillId="0" borderId="3" pivotButton="0" quotePrefix="0" xfId="0"/>
    <xf numFmtId="0" fontId="3" fillId="4" borderId="18" applyAlignment="1" pivotButton="0" quotePrefix="0" xfId="0">
      <alignment horizontal="center"/>
    </xf>
    <xf numFmtId="0" fontId="0" fillId="0" borderId="29" pivotButton="0" quotePrefix="0" xfId="0"/>
    <xf numFmtId="0" fontId="3" fillId="4" borderId="21" applyAlignment="1" pivotButton="0" quotePrefix="0" xfId="0">
      <alignment horizontal="center"/>
    </xf>
    <xf numFmtId="0" fontId="0" fillId="0" borderId="5" pivotButton="0" quotePrefix="0" xfId="0"/>
    <xf numFmtId="0" fontId="3" fillId="2" borderId="1" applyAlignment="1" pivotButton="0" quotePrefix="0" xfId="0">
      <alignment horizontal="center" vertical="center"/>
    </xf>
    <xf numFmtId="0" fontId="0" fillId="2" borderId="0" pivotButton="0" quotePrefix="0" xfId="0"/>
    <xf numFmtId="0" fontId="0" fillId="0" borderId="1" pivotButton="0" quotePrefix="0" xfId="0"/>
    <xf numFmtId="0" fontId="2" fillId="3" borderId="17" applyAlignment="1" pivotButton="0" quotePrefix="0" xfId="0">
      <alignment horizontal="center"/>
    </xf>
    <xf numFmtId="0" fontId="3" fillId="4" borderId="8" applyAlignment="1" pivotButton="0" quotePrefix="0" xfId="0">
      <alignment horizontal="center"/>
    </xf>
    <xf numFmtId="0" fontId="0" fillId="0" borderId="4" pivotButton="0" quotePrefix="0" xfId="0"/>
    <xf numFmtId="0" fontId="5" fillId="2" borderId="0" applyAlignment="1" pivotButton="0" quotePrefix="0" xfId="0">
      <alignment wrapText="1"/>
    </xf>
    <xf numFmtId="0" fontId="0" fillId="2" borderId="0" applyAlignment="1" pivotButton="0" quotePrefix="0" xfId="0">
      <alignment wrapText="1"/>
    </xf>
    <xf numFmtId="0" fontId="4" fillId="2" borderId="0" applyAlignment="1" pivotButton="0" quotePrefix="0" xfId="2">
      <alignment wrapText="1"/>
    </xf>
    <xf numFmtId="0" fontId="3" fillId="2" borderId="0" pivotButton="0" quotePrefix="0" xfId="0"/>
    <xf numFmtId="0" fontId="0" fillId="0" borderId="0" applyAlignment="1" pivotButton="0" quotePrefix="0" xfId="0">
      <alignment vertical="center"/>
    </xf>
    <xf numFmtId="0" fontId="3" fillId="4" borderId="25" applyAlignment="1" pivotButton="0" quotePrefix="0" xfId="0">
      <alignment horizontal="center"/>
    </xf>
    <xf numFmtId="0" fontId="0" fillId="0" borderId="28" pivotButton="0" quotePrefix="0" xfId="0"/>
    <xf numFmtId="167" fontId="0" fillId="0" borderId="0" pivotButton="0" quotePrefix="0" xfId="0"/>
    <xf numFmtId="167" fontId="0" fillId="0" borderId="0" pivotButton="0" quotePrefix="0" xfId="0"/>
  </cellXfs>
  <cellStyles count="4">
    <cellStyle name="Normal" xfId="0" builtinId="0"/>
    <cellStyle name="Per cent" xfId="1" builtinId="5"/>
    <cellStyle name="Hyperlink" xfId="2" builtinId="8"/>
    <cellStyle name="Normal 3" xfId="3"/>
  </cellStyles>
  <dxfs count="130">
    <dxf>
      <font>
        <color rgb="FFFF0000"/>
      </font>
    </dxf>
    <dxf>
      <font>
        <color rgb="FF00B050"/>
      </font>
    </dxf>
    <dxf>
      <font>
        <color theme="0"/>
      </font>
      <fill>
        <patternFill>
          <bgColor rgb="FFFF0000"/>
        </patternFill>
      </fill>
    </dxf>
    <dxf>
      <font>
        <color theme="2"/>
      </font>
      <fill>
        <patternFill>
          <bgColor rgb="FF00B05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ont>
        <color rgb="FF00B050"/>
      </font>
      <fill>
        <patternFill>
          <bgColor theme="0"/>
        </patternFill>
      </fill>
    </dxf>
    <dxf>
      <font>
        <color rgb="FFFF0000"/>
      </font>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styles" Target="styles.xml" Id="rId19"/><Relationship Type="http://schemas.openxmlformats.org/officeDocument/2006/relationships/theme" Target="theme/theme1.xml" Id="rId20"/><Relationship Type="http://schemas.microsoft.com/office/2006/relationships/vbaProject" Target="vbaProject.bin" Id="rId21"/></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baseline="0"/>
              <a:t>PMI Services</a:t>
            </a:r>
          </a:p>
        </rich>
      </tx>
      <layout>
        <manualLayout>
          <xMode val="edge"/>
          <yMode val="edge"/>
          <wMode val="factor"/>
          <hMode val="factor"/>
          <x val="0.4038441726033382"/>
          <y val="0.01372801187310885"/>
        </manualLayout>
      </layout>
      <overlay val="0"/>
      <spPr>
        <a:noFill xmlns:a="http://schemas.openxmlformats.org/drawingml/2006/main"/>
        <a:ln xmlns:a="http://schemas.openxmlformats.org/drawingml/2006/main">
          <a:noFill/>
          <a:prstDash val="solid"/>
        </a:ln>
      </spPr>
    </title>
    <plotArea>
      <layout/>
      <lineChart>
        <grouping val="standard"/>
        <varyColors val="0"/>
        <ser>
          <idx val="0"/>
          <order val="0"/>
          <tx>
            <strRef>
              <f>Summary!$C$2</f>
              <strCache>
                <ptCount val="1"/>
                <pt idx="0">
                  <v>Global</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Summary!$B$46:$B$89</f>
              <numCache>
                <formatCode>mmm\-yy</formatCode>
                <ptCount val="44"/>
                <pt idx="0">
                  <v>43101</v>
                </pt>
                <pt idx="1">
                  <v>43132</v>
                </pt>
                <pt idx="2">
                  <v>43160</v>
                </pt>
                <pt idx="3">
                  <v>43191</v>
                </pt>
                <pt idx="4">
                  <v>43221</v>
                </pt>
                <pt idx="5">
                  <v>43252</v>
                </pt>
                <pt idx="6">
                  <v>43282</v>
                </pt>
                <pt idx="7">
                  <v>43313</v>
                </pt>
                <pt idx="8">
                  <v>43344</v>
                </pt>
                <pt idx="9">
                  <v>43374</v>
                </pt>
                <pt idx="10">
                  <v>43405</v>
                </pt>
                <pt idx="11">
                  <v>43435</v>
                </pt>
                <pt idx="12">
                  <v>43466</v>
                </pt>
                <pt idx="13">
                  <v>43497</v>
                </pt>
                <pt idx="14">
                  <v>43525</v>
                </pt>
                <pt idx="15">
                  <v>43556</v>
                </pt>
                <pt idx="16">
                  <v>43586</v>
                </pt>
                <pt idx="17">
                  <v>43617</v>
                </pt>
                <pt idx="18">
                  <v>43647</v>
                </pt>
                <pt idx="19">
                  <v>43678</v>
                </pt>
                <pt idx="20">
                  <v>43709</v>
                </pt>
                <pt idx="21">
                  <v>43739</v>
                </pt>
                <pt idx="22">
                  <v>43770</v>
                </pt>
                <pt idx="23">
                  <v>43800</v>
                </pt>
                <pt idx="24">
                  <v>43831</v>
                </pt>
                <pt idx="25">
                  <v>43862</v>
                </pt>
                <pt idx="26">
                  <v>43891</v>
                </pt>
                <pt idx="27">
                  <v>43922</v>
                </pt>
                <pt idx="28">
                  <v>43952</v>
                </pt>
                <pt idx="29">
                  <v>43983</v>
                </pt>
                <pt idx="30">
                  <v>44013</v>
                </pt>
                <pt idx="31">
                  <v>44044</v>
                </pt>
                <pt idx="32">
                  <v>44075</v>
                </pt>
                <pt idx="33">
                  <v>44105</v>
                </pt>
                <pt idx="34">
                  <v>44136</v>
                </pt>
                <pt idx="35">
                  <v>44166</v>
                </pt>
                <pt idx="36">
                  <v>44197</v>
                </pt>
                <pt idx="37">
                  <v>44228</v>
                </pt>
                <pt idx="38">
                  <v>44256</v>
                </pt>
                <pt idx="39">
                  <v>44287</v>
                </pt>
                <pt idx="40">
                  <v>44317</v>
                </pt>
                <pt idx="41">
                  <v>44348</v>
                </pt>
                <pt idx="42">
                  <v>44378</v>
                </pt>
                <pt idx="43">
                  <v>44409</v>
                </pt>
              </numCache>
            </numRef>
          </cat>
          <val>
            <numRef>
              <f>Summary!$C$46:$C$89</f>
              <numCache>
                <formatCode>0.0</formatCode>
                <ptCount val="44"/>
                <pt idx="0">
                  <v>54.1</v>
                </pt>
                <pt idx="1">
                  <v>54.8</v>
                </pt>
                <pt idx="2">
                  <v>53.2</v>
                </pt>
                <pt idx="3">
                  <v>53.8</v>
                </pt>
                <pt idx="4">
                  <v>54.3</v>
                </pt>
                <pt idx="5">
                  <v>54.6</v>
                </pt>
                <pt idx="6">
                  <v>54</v>
                </pt>
                <pt idx="7">
                  <v>53.5</v>
                </pt>
                <pt idx="8">
                  <v>52.9</v>
                </pt>
                <pt idx="9">
                  <v>53.4</v>
                </pt>
                <pt idx="10">
                  <v>53.7</v>
                </pt>
                <pt idx="11">
                  <v>53</v>
                </pt>
                <pt idx="12">
                  <v>52.6</v>
                </pt>
                <pt idx="13">
                  <v>53.3</v>
                </pt>
                <pt idx="14">
                  <v>53.7</v>
                </pt>
                <pt idx="15">
                  <v>52.7</v>
                </pt>
                <pt idx="16">
                  <v>51.6</v>
                </pt>
                <pt idx="17">
                  <v>51.9</v>
                </pt>
                <pt idx="18">
                  <v>52.5</v>
                </pt>
                <pt idx="19">
                  <v>51.8</v>
                </pt>
                <pt idx="20">
                  <v>51.6</v>
                </pt>
                <pt idx="21">
                  <v>51</v>
                </pt>
                <pt idx="22">
                  <v>51.6</v>
                </pt>
                <pt idx="23">
                  <v>52</v>
                </pt>
                <pt idx="24">
                  <v>52.7</v>
                </pt>
                <pt idx="25">
                  <v>47.1</v>
                </pt>
                <pt idx="26">
                  <v>36.8</v>
                </pt>
                <pt idx="27">
                  <v>24</v>
                </pt>
                <pt idx="28">
                  <v>35.1</v>
                </pt>
                <pt idx="29">
                  <v>48</v>
                </pt>
                <pt idx="30">
                  <v>50.6</v>
                </pt>
                <pt idx="31">
                  <v>52</v>
                </pt>
                <pt idx="32">
                  <v>52</v>
                </pt>
                <pt idx="33">
                  <v>52.9</v>
                </pt>
                <pt idx="34">
                  <v>52.2</v>
                </pt>
                <pt idx="35">
                  <v>51.8</v>
                </pt>
                <pt idx="36">
                  <v>51.6</v>
                </pt>
                <pt idx="37">
                  <v>52.8</v>
                </pt>
                <pt idx="38">
                  <v>54.7</v>
                </pt>
                <pt idx="39">
                  <v>57</v>
                </pt>
                <pt idx="40">
                  <v>59.5</v>
                </pt>
                <pt idx="41">
                  <v>57.4</v>
                </pt>
                <pt idx="42">
                  <v>56.3</v>
                </pt>
                <pt idx="43">
                  <v>52.8</v>
                </pt>
              </numCache>
            </numRef>
          </val>
          <smooth val="0"/>
        </ser>
        <ser>
          <idx val="1"/>
          <order val="1"/>
          <tx>
            <strRef>
              <f>Summary!$D$2</f>
              <strCache>
                <ptCount val="1"/>
                <pt idx="0">
                  <v>US</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Summary!$B$46:$B$89</f>
              <numCache>
                <formatCode>mmm\-yy</formatCode>
                <ptCount val="44"/>
                <pt idx="0">
                  <v>43101</v>
                </pt>
                <pt idx="1">
                  <v>43132</v>
                </pt>
                <pt idx="2">
                  <v>43160</v>
                </pt>
                <pt idx="3">
                  <v>43191</v>
                </pt>
                <pt idx="4">
                  <v>43221</v>
                </pt>
                <pt idx="5">
                  <v>43252</v>
                </pt>
                <pt idx="6">
                  <v>43282</v>
                </pt>
                <pt idx="7">
                  <v>43313</v>
                </pt>
                <pt idx="8">
                  <v>43344</v>
                </pt>
                <pt idx="9">
                  <v>43374</v>
                </pt>
                <pt idx="10">
                  <v>43405</v>
                </pt>
                <pt idx="11">
                  <v>43435</v>
                </pt>
                <pt idx="12">
                  <v>43466</v>
                </pt>
                <pt idx="13">
                  <v>43497</v>
                </pt>
                <pt idx="14">
                  <v>43525</v>
                </pt>
                <pt idx="15">
                  <v>43556</v>
                </pt>
                <pt idx="16">
                  <v>43586</v>
                </pt>
                <pt idx="17">
                  <v>43617</v>
                </pt>
                <pt idx="18">
                  <v>43647</v>
                </pt>
                <pt idx="19">
                  <v>43678</v>
                </pt>
                <pt idx="20">
                  <v>43709</v>
                </pt>
                <pt idx="21">
                  <v>43739</v>
                </pt>
                <pt idx="22">
                  <v>43770</v>
                </pt>
                <pt idx="23">
                  <v>43800</v>
                </pt>
                <pt idx="24">
                  <v>43831</v>
                </pt>
                <pt idx="25">
                  <v>43862</v>
                </pt>
                <pt idx="26">
                  <v>43891</v>
                </pt>
                <pt idx="27">
                  <v>43922</v>
                </pt>
                <pt idx="28">
                  <v>43952</v>
                </pt>
                <pt idx="29">
                  <v>43983</v>
                </pt>
                <pt idx="30">
                  <v>44013</v>
                </pt>
                <pt idx="31">
                  <v>44044</v>
                </pt>
                <pt idx="32">
                  <v>44075</v>
                </pt>
                <pt idx="33">
                  <v>44105</v>
                </pt>
                <pt idx="34">
                  <v>44136</v>
                </pt>
                <pt idx="35">
                  <v>44166</v>
                </pt>
                <pt idx="36">
                  <v>44197</v>
                </pt>
                <pt idx="37">
                  <v>44228</v>
                </pt>
                <pt idx="38">
                  <v>44256</v>
                </pt>
                <pt idx="39">
                  <v>44287</v>
                </pt>
                <pt idx="40">
                  <v>44317</v>
                </pt>
                <pt idx="41">
                  <v>44348</v>
                </pt>
                <pt idx="42">
                  <v>44378</v>
                </pt>
                <pt idx="43">
                  <v>44409</v>
                </pt>
              </numCache>
            </numRef>
          </cat>
          <val>
            <numRef>
              <f>Summary!$D$46:$D$89</f>
              <numCache>
                <formatCode>0.0</formatCode>
                <ptCount val="44"/>
                <pt idx="0">
                  <v>53.3</v>
                </pt>
                <pt idx="1">
                  <v>55.9</v>
                </pt>
                <pt idx="2">
                  <v>54</v>
                </pt>
                <pt idx="3">
                  <v>54.6</v>
                </pt>
                <pt idx="4">
                  <v>56.8</v>
                </pt>
                <pt idx="5">
                  <v>56.5</v>
                </pt>
                <pt idx="6">
                  <v>56</v>
                </pt>
                <pt idx="7">
                  <v>55.2</v>
                </pt>
                <pt idx="8">
                  <v>52.9</v>
                </pt>
                <pt idx="9">
                  <v>54.8</v>
                </pt>
                <pt idx="10">
                  <v>54.4</v>
                </pt>
                <pt idx="11">
                  <v>54.4</v>
                </pt>
                <pt idx="12">
                  <v>54.2</v>
                </pt>
                <pt idx="13">
                  <v>56.2</v>
                </pt>
                <pt idx="14">
                  <v>54.8</v>
                </pt>
                <pt idx="15">
                  <v>53</v>
                </pt>
                <pt idx="16">
                  <v>50.9</v>
                </pt>
                <pt idx="17">
                  <v>51.5</v>
                </pt>
                <pt idx="18">
                  <v>53</v>
                </pt>
                <pt idx="19">
                  <v>50.7</v>
                </pt>
                <pt idx="20">
                  <v>50.9</v>
                </pt>
                <pt idx="21">
                  <v>50.6</v>
                </pt>
                <pt idx="22">
                  <v>51.6</v>
                </pt>
                <pt idx="23">
                  <v>52.8</v>
                </pt>
                <pt idx="24">
                  <v>53.4</v>
                </pt>
                <pt idx="25">
                  <v>49.4</v>
                </pt>
                <pt idx="26">
                  <v>39.8</v>
                </pt>
                <pt idx="27">
                  <v>26.7</v>
                </pt>
                <pt idx="28">
                  <v>37.5</v>
                </pt>
                <pt idx="29">
                  <v>47.9</v>
                </pt>
                <pt idx="30">
                  <v>50</v>
                </pt>
                <pt idx="31">
                  <v>55</v>
                </pt>
                <pt idx="32">
                  <v>54.6</v>
                </pt>
                <pt idx="33">
                  <v>56.9</v>
                </pt>
                <pt idx="34">
                  <v>58.4</v>
                </pt>
                <pt idx="35">
                  <v>54.8</v>
                </pt>
                <pt idx="36">
                  <v>58.3</v>
                </pt>
                <pt idx="37">
                  <v>59.8</v>
                </pt>
                <pt idx="38">
                  <v>60.4</v>
                </pt>
                <pt idx="39">
                  <v>64.7</v>
                </pt>
                <pt idx="40">
                  <v>70.40000000000001</v>
                </pt>
                <pt idx="41">
                  <v>64.59999999999999</v>
                </pt>
                <pt idx="42">
                  <v>59.9</v>
                </pt>
                <pt idx="43">
                  <v>55.1</v>
                </pt>
              </numCache>
            </numRef>
          </val>
          <smooth val="0"/>
        </ser>
        <ser>
          <idx val="2"/>
          <order val="2"/>
          <tx>
            <strRef>
              <f>Summary!$E$2</f>
              <strCache>
                <ptCount val="1"/>
                <pt idx="0">
                  <v xml:space="preserve">China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Summary!$B$46:$B$89</f>
              <numCache>
                <formatCode>mmm\-yy</formatCode>
                <ptCount val="44"/>
                <pt idx="0">
                  <v>43101</v>
                </pt>
                <pt idx="1">
                  <v>43132</v>
                </pt>
                <pt idx="2">
                  <v>43160</v>
                </pt>
                <pt idx="3">
                  <v>43191</v>
                </pt>
                <pt idx="4">
                  <v>43221</v>
                </pt>
                <pt idx="5">
                  <v>43252</v>
                </pt>
                <pt idx="6">
                  <v>43282</v>
                </pt>
                <pt idx="7">
                  <v>43313</v>
                </pt>
                <pt idx="8">
                  <v>43344</v>
                </pt>
                <pt idx="9">
                  <v>43374</v>
                </pt>
                <pt idx="10">
                  <v>43405</v>
                </pt>
                <pt idx="11">
                  <v>43435</v>
                </pt>
                <pt idx="12">
                  <v>43466</v>
                </pt>
                <pt idx="13">
                  <v>43497</v>
                </pt>
                <pt idx="14">
                  <v>43525</v>
                </pt>
                <pt idx="15">
                  <v>43556</v>
                </pt>
                <pt idx="16">
                  <v>43586</v>
                </pt>
                <pt idx="17">
                  <v>43617</v>
                </pt>
                <pt idx="18">
                  <v>43647</v>
                </pt>
                <pt idx="19">
                  <v>43678</v>
                </pt>
                <pt idx="20">
                  <v>43709</v>
                </pt>
                <pt idx="21">
                  <v>43739</v>
                </pt>
                <pt idx="22">
                  <v>43770</v>
                </pt>
                <pt idx="23">
                  <v>43800</v>
                </pt>
                <pt idx="24">
                  <v>43831</v>
                </pt>
                <pt idx="25">
                  <v>43862</v>
                </pt>
                <pt idx="26">
                  <v>43891</v>
                </pt>
                <pt idx="27">
                  <v>43922</v>
                </pt>
                <pt idx="28">
                  <v>43952</v>
                </pt>
                <pt idx="29">
                  <v>43983</v>
                </pt>
                <pt idx="30">
                  <v>44013</v>
                </pt>
                <pt idx="31">
                  <v>44044</v>
                </pt>
                <pt idx="32">
                  <v>44075</v>
                </pt>
                <pt idx="33">
                  <v>44105</v>
                </pt>
                <pt idx="34">
                  <v>44136</v>
                </pt>
                <pt idx="35">
                  <v>44166</v>
                </pt>
                <pt idx="36">
                  <v>44197</v>
                </pt>
                <pt idx="37">
                  <v>44228</v>
                </pt>
                <pt idx="38">
                  <v>44256</v>
                </pt>
                <pt idx="39">
                  <v>44287</v>
                </pt>
                <pt idx="40">
                  <v>44317</v>
                </pt>
                <pt idx="41">
                  <v>44348</v>
                </pt>
                <pt idx="42">
                  <v>44378</v>
                </pt>
                <pt idx="43">
                  <v>44409</v>
                </pt>
              </numCache>
            </numRef>
          </cat>
          <val>
            <numRef>
              <f>Summary!$E$46:$E$89</f>
              <numCache>
                <formatCode>0.0</formatCode>
                <ptCount val="44"/>
                <pt idx="0">
                  <v>54.7</v>
                </pt>
                <pt idx="1">
                  <v>54.2</v>
                </pt>
                <pt idx="2">
                  <v>52.3</v>
                </pt>
                <pt idx="3">
                  <v>52.9</v>
                </pt>
                <pt idx="4">
                  <v>52.9</v>
                </pt>
                <pt idx="5">
                  <v>53.9</v>
                </pt>
                <pt idx="6">
                  <v>52.8</v>
                </pt>
                <pt idx="7">
                  <v>51.5</v>
                </pt>
                <pt idx="8">
                  <v>53.1</v>
                </pt>
                <pt idx="9">
                  <v>50.8</v>
                </pt>
                <pt idx="10">
                  <v>53.8</v>
                </pt>
                <pt idx="11">
                  <v>53.9</v>
                </pt>
                <pt idx="12">
                  <v>53.6</v>
                </pt>
                <pt idx="13">
                  <v>51.1</v>
                </pt>
                <pt idx="14">
                  <v>54.4</v>
                </pt>
                <pt idx="15">
                  <v>54.5</v>
                </pt>
                <pt idx="16">
                  <v>52.7</v>
                </pt>
                <pt idx="17">
                  <v>52</v>
                </pt>
                <pt idx="18">
                  <v>51.6</v>
                </pt>
                <pt idx="19">
                  <v>52.1</v>
                </pt>
                <pt idx="20">
                  <v>51.3</v>
                </pt>
                <pt idx="21">
                  <v>51.1</v>
                </pt>
                <pt idx="22">
                  <v>53.5</v>
                </pt>
                <pt idx="23">
                  <v>52.5</v>
                </pt>
                <pt idx="24">
                  <v>51.8</v>
                </pt>
                <pt idx="25">
                  <v>26.5</v>
                </pt>
                <pt idx="26">
                  <v>43</v>
                </pt>
                <pt idx="27">
                  <v>44.4</v>
                </pt>
                <pt idx="28">
                  <v>55</v>
                </pt>
                <pt idx="29">
                  <v>58.4</v>
                </pt>
                <pt idx="30">
                  <v>54.1</v>
                </pt>
                <pt idx="31">
                  <v>54</v>
                </pt>
                <pt idx="32">
                  <v>54.8</v>
                </pt>
                <pt idx="33">
                  <v>56.8</v>
                </pt>
                <pt idx="34">
                  <v>57.8</v>
                </pt>
                <pt idx="35">
                  <v>56.3</v>
                </pt>
                <pt idx="36">
                  <v>52</v>
                </pt>
                <pt idx="37">
                  <v>51.5</v>
                </pt>
                <pt idx="38">
                  <v>54.3</v>
                </pt>
                <pt idx="39">
                  <v>56.3</v>
                </pt>
                <pt idx="40">
                  <v>55.1</v>
                </pt>
                <pt idx="41">
                  <v>50.3</v>
                </pt>
                <pt idx="42">
                  <v>54.9</v>
                </pt>
                <pt idx="43">
                  <v>46.7</v>
                </pt>
              </numCache>
            </numRef>
          </val>
          <smooth val="0"/>
        </ser>
        <ser>
          <idx val="3"/>
          <order val="3"/>
          <tx>
            <strRef>
              <f>Summary!$F$2</f>
              <strCache>
                <ptCount val="1"/>
                <pt idx="0">
                  <v>Eurozone</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Summary!$B$46:$B$89</f>
              <numCache>
                <formatCode>mmm\-yy</formatCode>
                <ptCount val="44"/>
                <pt idx="0">
                  <v>43101</v>
                </pt>
                <pt idx="1">
                  <v>43132</v>
                </pt>
                <pt idx="2">
                  <v>43160</v>
                </pt>
                <pt idx="3">
                  <v>43191</v>
                </pt>
                <pt idx="4">
                  <v>43221</v>
                </pt>
                <pt idx="5">
                  <v>43252</v>
                </pt>
                <pt idx="6">
                  <v>43282</v>
                </pt>
                <pt idx="7">
                  <v>43313</v>
                </pt>
                <pt idx="8">
                  <v>43344</v>
                </pt>
                <pt idx="9">
                  <v>43374</v>
                </pt>
                <pt idx="10">
                  <v>43405</v>
                </pt>
                <pt idx="11">
                  <v>43435</v>
                </pt>
                <pt idx="12">
                  <v>43466</v>
                </pt>
                <pt idx="13">
                  <v>43497</v>
                </pt>
                <pt idx="14">
                  <v>43525</v>
                </pt>
                <pt idx="15">
                  <v>43556</v>
                </pt>
                <pt idx="16">
                  <v>43586</v>
                </pt>
                <pt idx="17">
                  <v>43617</v>
                </pt>
                <pt idx="18">
                  <v>43647</v>
                </pt>
                <pt idx="19">
                  <v>43678</v>
                </pt>
                <pt idx="20">
                  <v>43709</v>
                </pt>
                <pt idx="21">
                  <v>43739</v>
                </pt>
                <pt idx="22">
                  <v>43770</v>
                </pt>
                <pt idx="23">
                  <v>43800</v>
                </pt>
                <pt idx="24">
                  <v>43831</v>
                </pt>
                <pt idx="25">
                  <v>43862</v>
                </pt>
                <pt idx="26">
                  <v>43891</v>
                </pt>
                <pt idx="27">
                  <v>43922</v>
                </pt>
                <pt idx="28">
                  <v>43952</v>
                </pt>
                <pt idx="29">
                  <v>43983</v>
                </pt>
                <pt idx="30">
                  <v>44013</v>
                </pt>
                <pt idx="31">
                  <v>44044</v>
                </pt>
                <pt idx="32">
                  <v>44075</v>
                </pt>
                <pt idx="33">
                  <v>44105</v>
                </pt>
                <pt idx="34">
                  <v>44136</v>
                </pt>
                <pt idx="35">
                  <v>44166</v>
                </pt>
                <pt idx="36">
                  <v>44197</v>
                </pt>
                <pt idx="37">
                  <v>44228</v>
                </pt>
                <pt idx="38">
                  <v>44256</v>
                </pt>
                <pt idx="39">
                  <v>44287</v>
                </pt>
                <pt idx="40">
                  <v>44317</v>
                </pt>
                <pt idx="41">
                  <v>44348</v>
                </pt>
                <pt idx="42">
                  <v>44378</v>
                </pt>
                <pt idx="43">
                  <v>44409</v>
                </pt>
              </numCache>
            </numRef>
          </cat>
          <val>
            <numRef>
              <f>Summary!$F$46:$F$89</f>
              <numCache>
                <formatCode>0.0</formatCode>
                <ptCount val="44"/>
                <pt idx="0">
                  <v>58</v>
                </pt>
                <pt idx="1">
                  <v>56.2</v>
                </pt>
                <pt idx="2">
                  <v>54.9</v>
                </pt>
                <pt idx="3">
                  <v>54.7</v>
                </pt>
                <pt idx="4">
                  <v>53.8</v>
                </pt>
                <pt idx="5">
                  <v>55.2</v>
                </pt>
                <pt idx="6">
                  <v>54.2</v>
                </pt>
                <pt idx="7">
                  <v>54.4</v>
                </pt>
                <pt idx="8">
                  <v>54.7</v>
                </pt>
                <pt idx="9">
                  <v>53.7</v>
                </pt>
                <pt idx="10">
                  <v>53.4</v>
                </pt>
                <pt idx="11">
                  <v>51.2</v>
                </pt>
                <pt idx="12">
                  <v>51.2</v>
                </pt>
                <pt idx="13">
                  <v>52.8</v>
                </pt>
                <pt idx="14">
                  <v>53.3</v>
                </pt>
                <pt idx="15">
                  <v>52.8</v>
                </pt>
                <pt idx="16">
                  <v>52.9</v>
                </pt>
                <pt idx="17">
                  <v>53.6</v>
                </pt>
                <pt idx="18">
                  <v>53.2</v>
                </pt>
                <pt idx="19">
                  <v>53.5</v>
                </pt>
                <pt idx="20">
                  <v>51.6</v>
                </pt>
                <pt idx="21">
                  <v>52.2</v>
                </pt>
                <pt idx="22">
                  <v>51.9</v>
                </pt>
                <pt idx="23">
                  <v>52.8</v>
                </pt>
                <pt idx="24">
                  <v>52.5</v>
                </pt>
                <pt idx="25">
                  <v>52.6</v>
                </pt>
                <pt idx="26">
                  <v>26.4</v>
                </pt>
                <pt idx="27">
                  <v>12</v>
                </pt>
                <pt idx="28">
                  <v>30.5</v>
                </pt>
                <pt idx="29">
                  <v>48.3</v>
                </pt>
                <pt idx="30">
                  <v>54.7</v>
                </pt>
                <pt idx="31">
                  <v>50.5</v>
                </pt>
                <pt idx="32">
                  <v>48</v>
                </pt>
                <pt idx="33">
                  <v>46.9</v>
                </pt>
                <pt idx="34">
                  <v>41.7</v>
                </pt>
                <pt idx="35">
                  <v>46.4</v>
                </pt>
                <pt idx="36">
                  <v>45.4</v>
                </pt>
                <pt idx="37">
                  <v>45.7</v>
                </pt>
                <pt idx="38">
                  <v>49.6</v>
                </pt>
                <pt idx="39">
                  <v>50.5</v>
                </pt>
                <pt idx="40">
                  <v>55.2</v>
                </pt>
                <pt idx="41">
                  <v>58.3</v>
                </pt>
                <pt idx="42">
                  <v>59.8</v>
                </pt>
                <pt idx="43">
                  <v>59</v>
                </pt>
              </numCache>
            </numRef>
          </val>
          <smooth val="0"/>
        </ser>
        <ser>
          <idx val="4"/>
          <order val="4"/>
          <tx>
            <strRef>
              <f>Summary!$G$2</f>
              <strCache>
                <ptCount val="1"/>
                <pt idx="0">
                  <v xml:space="preserve">Japan </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Summary!$B$46:$B$89</f>
              <numCache>
                <formatCode>mmm\-yy</formatCode>
                <ptCount val="44"/>
                <pt idx="0">
                  <v>43101</v>
                </pt>
                <pt idx="1">
                  <v>43132</v>
                </pt>
                <pt idx="2">
                  <v>43160</v>
                </pt>
                <pt idx="3">
                  <v>43191</v>
                </pt>
                <pt idx="4">
                  <v>43221</v>
                </pt>
                <pt idx="5">
                  <v>43252</v>
                </pt>
                <pt idx="6">
                  <v>43282</v>
                </pt>
                <pt idx="7">
                  <v>43313</v>
                </pt>
                <pt idx="8">
                  <v>43344</v>
                </pt>
                <pt idx="9">
                  <v>43374</v>
                </pt>
                <pt idx="10">
                  <v>43405</v>
                </pt>
                <pt idx="11">
                  <v>43435</v>
                </pt>
                <pt idx="12">
                  <v>43466</v>
                </pt>
                <pt idx="13">
                  <v>43497</v>
                </pt>
                <pt idx="14">
                  <v>43525</v>
                </pt>
                <pt idx="15">
                  <v>43556</v>
                </pt>
                <pt idx="16">
                  <v>43586</v>
                </pt>
                <pt idx="17">
                  <v>43617</v>
                </pt>
                <pt idx="18">
                  <v>43647</v>
                </pt>
                <pt idx="19">
                  <v>43678</v>
                </pt>
                <pt idx="20">
                  <v>43709</v>
                </pt>
                <pt idx="21">
                  <v>43739</v>
                </pt>
                <pt idx="22">
                  <v>43770</v>
                </pt>
                <pt idx="23">
                  <v>43800</v>
                </pt>
                <pt idx="24">
                  <v>43831</v>
                </pt>
                <pt idx="25">
                  <v>43862</v>
                </pt>
                <pt idx="26">
                  <v>43891</v>
                </pt>
                <pt idx="27">
                  <v>43922</v>
                </pt>
                <pt idx="28">
                  <v>43952</v>
                </pt>
                <pt idx="29">
                  <v>43983</v>
                </pt>
                <pt idx="30">
                  <v>44013</v>
                </pt>
                <pt idx="31">
                  <v>44044</v>
                </pt>
                <pt idx="32">
                  <v>44075</v>
                </pt>
                <pt idx="33">
                  <v>44105</v>
                </pt>
                <pt idx="34">
                  <v>44136</v>
                </pt>
                <pt idx="35">
                  <v>44166</v>
                </pt>
                <pt idx="36">
                  <v>44197</v>
                </pt>
                <pt idx="37">
                  <v>44228</v>
                </pt>
                <pt idx="38">
                  <v>44256</v>
                </pt>
                <pt idx="39">
                  <v>44287</v>
                </pt>
                <pt idx="40">
                  <v>44317</v>
                </pt>
                <pt idx="41">
                  <v>44348</v>
                </pt>
                <pt idx="42">
                  <v>44378</v>
                </pt>
                <pt idx="43">
                  <v>44409</v>
                </pt>
              </numCache>
            </numRef>
          </cat>
          <val>
            <numRef>
              <f>Summary!$G$46:$G$89</f>
              <numCache>
                <formatCode>0.0</formatCode>
                <ptCount val="44"/>
                <pt idx="0">
                  <v>51.9</v>
                </pt>
                <pt idx="1">
                  <v>51.7</v>
                </pt>
                <pt idx="2">
                  <v>50.9</v>
                </pt>
                <pt idx="3">
                  <v>52.5</v>
                </pt>
                <pt idx="4">
                  <v>51</v>
                </pt>
                <pt idx="5">
                  <v>51.4</v>
                </pt>
                <pt idx="6">
                  <v>51.3</v>
                </pt>
                <pt idx="7">
                  <v>51.5</v>
                </pt>
                <pt idx="8">
                  <v>50.2</v>
                </pt>
                <pt idx="9">
                  <v>52.4</v>
                </pt>
                <pt idx="10">
                  <v>52.3</v>
                </pt>
                <pt idx="11">
                  <v>51</v>
                </pt>
                <pt idx="12">
                  <v>51.6</v>
                </pt>
                <pt idx="13">
                  <v>52.3</v>
                </pt>
                <pt idx="14">
                  <v>52</v>
                </pt>
                <pt idx="15">
                  <v>51.8</v>
                </pt>
                <pt idx="16">
                  <v>51.7</v>
                </pt>
                <pt idx="17">
                  <v>51.9</v>
                </pt>
                <pt idx="18">
                  <v>51.8</v>
                </pt>
                <pt idx="19">
                  <v>53.3</v>
                </pt>
                <pt idx="20">
                  <v>52.8</v>
                </pt>
                <pt idx="21">
                  <v>49.7</v>
                </pt>
                <pt idx="22">
                  <v>50.3</v>
                </pt>
                <pt idx="23">
                  <v>49.4</v>
                </pt>
                <pt idx="24">
                  <v>51</v>
                </pt>
                <pt idx="25">
                  <v>46.8</v>
                </pt>
                <pt idx="26">
                  <v>33.8</v>
                </pt>
                <pt idx="27">
                  <v>22.8</v>
                </pt>
                <pt idx="28">
                  <v>26.5</v>
                </pt>
                <pt idx="29">
                  <v>45</v>
                </pt>
                <pt idx="30">
                  <v>45.4</v>
                </pt>
                <pt idx="31">
                  <v>45</v>
                </pt>
                <pt idx="32">
                  <v>46.9</v>
                </pt>
                <pt idx="33">
                  <v>47.7</v>
                </pt>
                <pt idx="34">
                  <v>47.8</v>
                </pt>
                <pt idx="35">
                  <v>47.2</v>
                </pt>
                <pt idx="36">
                  <v>46.1</v>
                </pt>
                <pt idx="37">
                  <v>46.3</v>
                </pt>
                <pt idx="38">
                  <v>48.3</v>
                </pt>
                <pt idx="39">
                  <v>49.5</v>
                </pt>
                <pt idx="40">
                  <v>46.5</v>
                </pt>
                <pt idx="41">
                  <v>48</v>
                </pt>
                <pt idx="42">
                  <v>47.4</v>
                </pt>
                <pt idx="43">
                  <v>42.9</v>
                </pt>
              </numCache>
            </numRef>
          </val>
          <smooth val="0"/>
        </ser>
        <dLbls>
          <showLegendKey val="0"/>
          <showVal val="0"/>
          <showCatName val="0"/>
          <showSerName val="0"/>
          <showPercent val="0"/>
          <showBubbleSize val="0"/>
        </dLbls>
        <smooth val="0"/>
        <axId val="147343951"/>
        <axId val="288629663"/>
      </lineChart>
      <dateAx>
        <axId val="147343951"/>
        <scaling>
          <orientation val="minMax"/>
          <min val="43466"/>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288629663"/>
        <crosses val="autoZero"/>
        <lblOffset val="100"/>
        <baseTimeUnit val="days"/>
      </dateAx>
      <valAx>
        <axId val="288629663"/>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73439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xml><?xml version="1.0" encoding="utf-8"?>
<chartSpace xmlns="http://schemas.openxmlformats.org/drawingml/2006/chart">
  <chart>
    <title>
      <tx>
        <strRef>
          <f>Global!$H$2</f>
          <strCache>
            <ptCount val="1"/>
            <pt idx="0">
              <v>Global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Global!$B$5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Global!$A$6:$A$142</f>
              <numCache>
                <formatCode>m/d/yy</formatCode>
                <ptCount val="137"/>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numCache>
            </numRef>
          </cat>
          <val>
            <numRef>
              <f>Global!$B$6:$B$142</f>
              <numCache>
                <formatCode>General</formatCode>
                <ptCount val="137"/>
                <pt idx="0">
                  <v>54.6</v>
                </pt>
                <pt idx="1">
                  <v>54.8</v>
                </pt>
                <pt idx="2">
                  <v>56.3</v>
                </pt>
                <pt idx="3">
                  <v>57.1</v>
                </pt>
                <pt idx="4">
                  <v>59.3</v>
                </pt>
                <pt idx="5">
                  <v>54</v>
                </pt>
                <pt idx="6">
                  <v>51</v>
                </pt>
                <pt idx="7">
                  <v>52.5</v>
                </pt>
                <pt idx="8">
                  <v>52.1</v>
                </pt>
                <pt idx="9">
                  <v>53.1</v>
                </pt>
                <pt idx="10">
                  <v>52.4</v>
                </pt>
                <pt idx="11">
                  <v>52.6</v>
                </pt>
                <pt idx="12">
                  <v>51.8</v>
                </pt>
                <pt idx="13">
                  <v>52.6</v>
                </pt>
                <pt idx="14">
                  <v>53.2</v>
                </pt>
                <pt idx="15">
                  <v>55.4</v>
                </pt>
                <pt idx="16">
                  <v>56.5</v>
                </pt>
                <pt idx="17">
                  <v>54.3</v>
                </pt>
                <pt idx="18">
                  <v>53.2</v>
                </pt>
                <pt idx="19">
                  <v>53.3</v>
                </pt>
                <pt idx="20">
                  <v>50.1</v>
                </pt>
                <pt idx="21">
                  <v>49.2</v>
                </pt>
                <pt idx="22">
                  <v>52.4</v>
                </pt>
                <pt idx="23">
                  <v>53.1</v>
                </pt>
                <pt idx="24">
                  <v>53.6</v>
                </pt>
                <pt idx="25">
                  <v>54.8</v>
                </pt>
                <pt idx="26">
                  <v>54.8</v>
                </pt>
                <pt idx="27">
                  <v>53.6</v>
                </pt>
                <pt idx="28">
                  <v>53.2</v>
                </pt>
                <pt idx="29">
                  <v>53.4</v>
                </pt>
                <pt idx="30">
                  <v>52.1</v>
                </pt>
                <pt idx="31">
                  <v>53.7</v>
                </pt>
                <pt idx="32">
                  <v>51.3</v>
                </pt>
                <pt idx="33">
                  <v>54.9</v>
                </pt>
                <pt idx="34">
                  <v>56</v>
                </pt>
                <pt idx="35">
                  <v>53.6</v>
                </pt>
                <pt idx="36">
                  <v>51.8</v>
                </pt>
                <pt idx="37">
                  <v>53.9</v>
                </pt>
                <pt idx="38">
                  <v>53.5</v>
                </pt>
                <pt idx="39">
                  <v>53.8</v>
                </pt>
                <pt idx="40">
                  <v>52.7</v>
                </pt>
                <pt idx="41">
                  <v>53.5</v>
                </pt>
                <pt idx="42">
                  <v>52.7</v>
                </pt>
                <pt idx="43">
                  <v>54.6</v>
                </pt>
                <pt idx="44">
                  <v>55.8</v>
                </pt>
                <pt idx="45">
                  <v>56</v>
                </pt>
                <pt idx="46">
                  <v>55.5</v>
                </pt>
                <pt idx="47">
                  <v>55.3</v>
                </pt>
                <pt idx="48">
                  <v>53.7</v>
                </pt>
                <pt idx="49">
                  <v>53.5</v>
                </pt>
                <pt idx="50">
                  <v>52.3</v>
                </pt>
                <pt idx="51">
                  <v>52.9</v>
                </pt>
                <pt idx="52">
                  <v>54.1</v>
                </pt>
                <pt idx="53">
                  <v>55.1</v>
                </pt>
                <pt idx="54">
                  <v>54.8</v>
                </pt>
                <pt idx="55">
                  <v>54.1</v>
                </pt>
                <pt idx="56">
                  <v>53.5</v>
                </pt>
                <pt idx="57">
                  <v>53.9</v>
                </pt>
                <pt idx="58">
                  <v>54.4</v>
                </pt>
                <pt idx="59">
                  <v>53.3</v>
                </pt>
                <pt idx="60">
                  <v>53.7</v>
                </pt>
                <pt idx="61">
                  <v>54.1</v>
                </pt>
                <pt idx="62">
                  <v>53.1</v>
                </pt>
                <pt idx="63">
                  <v>52.8</v>
                </pt>
                <pt idx="64">
                  <v>50.7</v>
                </pt>
                <pt idx="65">
                  <v>51.4</v>
                </pt>
                <pt idx="66">
                  <v>51.9</v>
                </pt>
                <pt idx="67">
                  <v>52.8</v>
                </pt>
                <pt idx="68">
                  <v>51.3</v>
                </pt>
                <pt idx="69">
                  <v>51.3</v>
                </pt>
                <pt idx="70">
                  <v>51.5</v>
                </pt>
                <pt idx="71">
                  <v>51.6</v>
                </pt>
                <pt idx="72">
                  <v>53.2</v>
                </pt>
                <pt idx="73">
                  <v>53.3</v>
                </pt>
                <pt idx="74">
                  <v>53.3</v>
                </pt>
                <pt idx="75">
                  <v>53.9</v>
                </pt>
                <pt idx="76">
                  <v>53.3</v>
                </pt>
                <pt idx="77">
                  <v>53.6</v>
                </pt>
                <pt idx="78">
                  <v>53.6</v>
                </pt>
                <pt idx="79">
                  <v>53.8</v>
                </pt>
                <pt idx="80">
                  <v>53.8</v>
                </pt>
                <pt idx="81">
                  <v>53.7</v>
                </pt>
                <pt idx="82">
                  <v>54.1</v>
                </pt>
                <pt idx="83">
                  <v>54</v>
                </pt>
                <pt idx="84">
                  <v>54.1</v>
                </pt>
                <pt idx="85">
                  <v>53.7</v>
                </pt>
                <pt idx="86">
                  <v>53.8</v>
                </pt>
                <pt idx="87">
                  <v>54.1</v>
                </pt>
                <pt idx="88">
                  <v>54.8</v>
                </pt>
                <pt idx="89">
                  <v>53.2</v>
                </pt>
                <pt idx="90">
                  <v>53.8</v>
                </pt>
                <pt idx="91">
                  <v>54.3</v>
                </pt>
                <pt idx="92">
                  <v>54.6</v>
                </pt>
                <pt idx="93">
                  <v>54</v>
                </pt>
                <pt idx="94">
                  <v>53.5</v>
                </pt>
                <pt idx="95">
                  <v>52.9</v>
                </pt>
                <pt idx="96">
                  <v>53.4</v>
                </pt>
                <pt idx="97">
                  <v>53.7</v>
                </pt>
                <pt idx="98">
                  <v>53</v>
                </pt>
                <pt idx="99">
                  <v>52.6</v>
                </pt>
                <pt idx="100">
                  <v>53.3</v>
                </pt>
                <pt idx="101">
                  <v>53.7</v>
                </pt>
                <pt idx="102">
                  <v>52.7</v>
                </pt>
                <pt idx="103">
                  <v>51.6</v>
                </pt>
                <pt idx="104">
                  <v>51.9</v>
                </pt>
                <pt idx="105">
                  <v>52.5</v>
                </pt>
                <pt idx="106">
                  <v>51.8</v>
                </pt>
                <pt idx="107">
                  <v>51.6</v>
                </pt>
                <pt idx="108">
                  <v>51</v>
                </pt>
                <pt idx="109">
                  <v>51.6</v>
                </pt>
                <pt idx="110">
                  <v>52</v>
                </pt>
                <pt idx="111">
                  <v>52.7</v>
                </pt>
                <pt idx="112">
                  <v>47.1</v>
                </pt>
                <pt idx="113">
                  <v>36.8</v>
                </pt>
                <pt idx="114">
                  <v>24</v>
                </pt>
                <pt idx="115">
                  <v>35.1</v>
                </pt>
                <pt idx="116">
                  <v>48</v>
                </pt>
                <pt idx="117">
                  <v>50.6</v>
                </pt>
                <pt idx="118">
                  <v>52</v>
                </pt>
                <pt idx="119">
                  <v>52</v>
                </pt>
                <pt idx="120">
                  <v>52.9</v>
                </pt>
                <pt idx="121">
                  <v>52.2</v>
                </pt>
                <pt idx="122">
                  <v>51.8</v>
                </pt>
                <pt idx="123">
                  <v>51.6</v>
                </pt>
                <pt idx="124">
                  <v>52.8</v>
                </pt>
                <pt idx="125">
                  <v>54.7</v>
                </pt>
                <pt idx="126">
                  <v>57</v>
                </pt>
                <pt idx="127">
                  <v>59.5</v>
                </pt>
                <pt idx="128">
                  <v>57.4</v>
                </pt>
                <pt idx="129">
                  <v>56.3</v>
                </pt>
                <pt idx="130">
                  <v>52.8</v>
                </pt>
                <pt idx="131">
                  <v>53.8</v>
                </pt>
                <pt idx="132">
                  <v>55.6</v>
                </pt>
                <pt idx="133">
                  <v>55.6</v>
                </pt>
                <pt idx="134">
                  <v>54.6</v>
                </pt>
                <pt idx="135">
                  <v>51.3</v>
                </pt>
                <pt idx="136">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xml><?xml version="1.0" encoding="utf-8"?>
<chartSpace xmlns="http://schemas.openxmlformats.org/drawingml/2006/chart">
  <chart>
    <title>
      <tx>
        <strRef>
          <f>US!$J$2</f>
          <strCache>
            <ptCount val="1"/>
            <pt idx="0">
              <v>U.S.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US!$B$5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US!$A$6:$A$107</f>
              <numCache>
                <formatCode>m/d/yy</formatCode>
                <ptCount val="102"/>
                <pt idx="0">
                  <v>41548</v>
                </pt>
                <pt idx="1">
                  <v>41579</v>
                </pt>
                <pt idx="2">
                  <v>41609</v>
                </pt>
                <pt idx="3">
                  <v>41640</v>
                </pt>
                <pt idx="4">
                  <v>41671</v>
                </pt>
                <pt idx="5">
                  <v>41699</v>
                </pt>
                <pt idx="6">
                  <v>41730</v>
                </pt>
                <pt idx="7">
                  <v>41760</v>
                </pt>
                <pt idx="8">
                  <v>41791</v>
                </pt>
                <pt idx="9">
                  <v>41821</v>
                </pt>
                <pt idx="10">
                  <v>41852</v>
                </pt>
                <pt idx="11">
                  <v>41883</v>
                </pt>
                <pt idx="12">
                  <v>41913</v>
                </pt>
                <pt idx="13">
                  <v>41944</v>
                </pt>
                <pt idx="14">
                  <v>41974</v>
                </pt>
                <pt idx="15">
                  <v>42005</v>
                </pt>
                <pt idx="16">
                  <v>42036</v>
                </pt>
                <pt idx="17">
                  <v>42064</v>
                </pt>
                <pt idx="18">
                  <v>42095</v>
                </pt>
                <pt idx="19">
                  <v>42125</v>
                </pt>
                <pt idx="20">
                  <v>42156</v>
                </pt>
                <pt idx="21">
                  <v>42186</v>
                </pt>
                <pt idx="22">
                  <v>42217</v>
                </pt>
                <pt idx="23">
                  <v>42248</v>
                </pt>
                <pt idx="24">
                  <v>42278</v>
                </pt>
                <pt idx="25">
                  <v>42309</v>
                </pt>
                <pt idx="26">
                  <v>42339</v>
                </pt>
                <pt idx="27">
                  <v>42370</v>
                </pt>
                <pt idx="28">
                  <v>42401</v>
                </pt>
                <pt idx="29">
                  <v>42430</v>
                </pt>
                <pt idx="30">
                  <v>42461</v>
                </pt>
                <pt idx="31">
                  <v>42491</v>
                </pt>
                <pt idx="32">
                  <v>42522</v>
                </pt>
                <pt idx="33">
                  <v>42552</v>
                </pt>
                <pt idx="34">
                  <v>42583</v>
                </pt>
                <pt idx="35">
                  <v>42614</v>
                </pt>
                <pt idx="36">
                  <v>42644</v>
                </pt>
                <pt idx="37">
                  <v>42675</v>
                </pt>
                <pt idx="38">
                  <v>42705</v>
                </pt>
                <pt idx="39">
                  <v>42736</v>
                </pt>
                <pt idx="40">
                  <v>42767</v>
                </pt>
                <pt idx="41">
                  <v>42795</v>
                </pt>
                <pt idx="42">
                  <v>42826</v>
                </pt>
                <pt idx="43">
                  <v>42856</v>
                </pt>
                <pt idx="44">
                  <v>42887</v>
                </pt>
                <pt idx="45">
                  <v>42917</v>
                </pt>
                <pt idx="46">
                  <v>42948</v>
                </pt>
                <pt idx="47">
                  <v>42979</v>
                </pt>
                <pt idx="48">
                  <v>43009</v>
                </pt>
                <pt idx="49">
                  <v>43040</v>
                </pt>
                <pt idx="50">
                  <v>43070</v>
                </pt>
                <pt idx="51">
                  <v>43101</v>
                </pt>
                <pt idx="52">
                  <v>43132</v>
                </pt>
                <pt idx="53">
                  <v>43160</v>
                </pt>
                <pt idx="54">
                  <v>43191</v>
                </pt>
                <pt idx="55">
                  <v>43221</v>
                </pt>
                <pt idx="56">
                  <v>43252</v>
                </pt>
                <pt idx="57">
                  <v>43282</v>
                </pt>
                <pt idx="58">
                  <v>43313</v>
                </pt>
                <pt idx="59">
                  <v>43344</v>
                </pt>
                <pt idx="60">
                  <v>43374</v>
                </pt>
                <pt idx="61">
                  <v>43405</v>
                </pt>
                <pt idx="62">
                  <v>43435</v>
                </pt>
                <pt idx="63">
                  <v>43466</v>
                </pt>
                <pt idx="64">
                  <v>43497</v>
                </pt>
                <pt idx="65">
                  <v>43525</v>
                </pt>
                <pt idx="66">
                  <v>43556</v>
                </pt>
                <pt idx="67">
                  <v>43586</v>
                </pt>
                <pt idx="68">
                  <v>43617</v>
                </pt>
                <pt idx="69">
                  <v>43647</v>
                </pt>
                <pt idx="70">
                  <v>43678</v>
                </pt>
                <pt idx="71">
                  <v>43709</v>
                </pt>
                <pt idx="72">
                  <v>43739</v>
                </pt>
                <pt idx="73">
                  <v>43770</v>
                </pt>
                <pt idx="74">
                  <v>43800</v>
                </pt>
                <pt idx="75">
                  <v>43831</v>
                </pt>
                <pt idx="76">
                  <v>43862</v>
                </pt>
                <pt idx="77">
                  <v>43891</v>
                </pt>
                <pt idx="78">
                  <v>43922</v>
                </pt>
                <pt idx="79">
                  <v>43952</v>
                </pt>
                <pt idx="80">
                  <v>43983</v>
                </pt>
                <pt idx="81">
                  <v>44013</v>
                </pt>
                <pt idx="82">
                  <v>44044</v>
                </pt>
                <pt idx="83">
                  <v>44075</v>
                </pt>
                <pt idx="84">
                  <v>44105</v>
                </pt>
                <pt idx="85">
                  <v>44136</v>
                </pt>
                <pt idx="86">
                  <v>44166</v>
                </pt>
                <pt idx="87">
                  <v>44197</v>
                </pt>
                <pt idx="88">
                  <v>44228</v>
                </pt>
                <pt idx="89">
                  <v>44256</v>
                </pt>
                <pt idx="90">
                  <v>44287</v>
                </pt>
                <pt idx="91">
                  <v>44317</v>
                </pt>
                <pt idx="92">
                  <v>44348</v>
                </pt>
                <pt idx="93">
                  <v>44378</v>
                </pt>
                <pt idx="94">
                  <v>44409</v>
                </pt>
                <pt idx="95">
                  <v>44440</v>
                </pt>
                <pt idx="96">
                  <v>44470</v>
                </pt>
                <pt idx="97">
                  <v>44501</v>
                </pt>
                <pt idx="98">
                  <v>44531</v>
                </pt>
                <pt idx="99">
                  <v>44562</v>
                </pt>
                <pt idx="100">
                  <v>44593</v>
                </pt>
                <pt idx="101">
                  <v>44621</v>
                </pt>
              </numCache>
            </numRef>
          </cat>
          <val>
            <numRef>
              <f>US!$B$6:$B$107</f>
              <numCache>
                <formatCode>General</formatCode>
                <ptCount val="102"/>
                <pt idx="0">
                  <v>49.3</v>
                </pt>
                <pt idx="1">
                  <v>55.9</v>
                </pt>
                <pt idx="2">
                  <v>55.7</v>
                </pt>
                <pt idx="3">
                  <v>56.7</v>
                </pt>
                <pt idx="4">
                  <v>53.3</v>
                </pt>
                <pt idx="5">
                  <v>55.3</v>
                </pt>
                <pt idx="6">
                  <v>55</v>
                </pt>
                <pt idx="7">
                  <v>58</v>
                </pt>
                <pt idx="8">
                  <v>61</v>
                </pt>
                <pt idx="9">
                  <v>60.8</v>
                </pt>
                <pt idx="10">
                  <v>59.5</v>
                </pt>
                <pt idx="11">
                  <v>58.9</v>
                </pt>
                <pt idx="12">
                  <v>57.1</v>
                </pt>
                <pt idx="13">
                  <v>56.2</v>
                </pt>
                <pt idx="14">
                  <v>53.3</v>
                </pt>
                <pt idx="15">
                  <v>54.2</v>
                </pt>
                <pt idx="16">
                  <v>57.1</v>
                </pt>
                <pt idx="17">
                  <v>59.2</v>
                </pt>
                <pt idx="18">
                  <v>57.4</v>
                </pt>
                <pt idx="19">
                  <v>56.2</v>
                </pt>
                <pt idx="20">
                  <v>54.8</v>
                </pt>
                <pt idx="21">
                  <v>55.7</v>
                </pt>
                <pt idx="22">
                  <v>56.1</v>
                </pt>
                <pt idx="23">
                  <v>55.1</v>
                </pt>
                <pt idx="24">
                  <v>54.8</v>
                </pt>
                <pt idx="25">
                  <v>56.1</v>
                </pt>
                <pt idx="26">
                  <v>54.3</v>
                </pt>
                <pt idx="27">
                  <v>53.2</v>
                </pt>
                <pt idx="28">
                  <v>49.7</v>
                </pt>
                <pt idx="29">
                  <v>51.3</v>
                </pt>
                <pt idx="30">
                  <v>52.8</v>
                </pt>
                <pt idx="31">
                  <v>51.3</v>
                </pt>
                <pt idx="32">
                  <v>51.4</v>
                </pt>
                <pt idx="33">
                  <v>51.4</v>
                </pt>
                <pt idx="34">
                  <v>51</v>
                </pt>
                <pt idx="35">
                  <v>52.3</v>
                </pt>
                <pt idx="36">
                  <v>54.8</v>
                </pt>
                <pt idx="37">
                  <v>54.6</v>
                </pt>
                <pt idx="38">
                  <v>53.9</v>
                </pt>
                <pt idx="39">
                  <v>55.6</v>
                </pt>
                <pt idx="40">
                  <v>53.8</v>
                </pt>
                <pt idx="41">
                  <v>52.8</v>
                </pt>
                <pt idx="42">
                  <v>53.1</v>
                </pt>
                <pt idx="43">
                  <v>53.6</v>
                </pt>
                <pt idx="44">
                  <v>54.2</v>
                </pt>
                <pt idx="45">
                  <v>54.7</v>
                </pt>
                <pt idx="46">
                  <v>56</v>
                </pt>
                <pt idx="47">
                  <v>55.3</v>
                </pt>
                <pt idx="48">
                  <v>55.3</v>
                </pt>
                <pt idx="49">
                  <v>54.5</v>
                </pt>
                <pt idx="50">
                  <v>53.7</v>
                </pt>
                <pt idx="51">
                  <v>53.3</v>
                </pt>
                <pt idx="52">
                  <v>55.9</v>
                </pt>
                <pt idx="53">
                  <v>54</v>
                </pt>
                <pt idx="54">
                  <v>54.6</v>
                </pt>
                <pt idx="55">
                  <v>56.8</v>
                </pt>
                <pt idx="56">
                  <v>56.5</v>
                </pt>
                <pt idx="57">
                  <v>56</v>
                </pt>
                <pt idx="58">
                  <v>55.2</v>
                </pt>
                <pt idx="59">
                  <v>52.9</v>
                </pt>
                <pt idx="60">
                  <v>54.8</v>
                </pt>
                <pt idx="61">
                  <v>54.4</v>
                </pt>
                <pt idx="62">
                  <v>54.4</v>
                </pt>
                <pt idx="63">
                  <v>54.2</v>
                </pt>
                <pt idx="64">
                  <v>56.2</v>
                </pt>
                <pt idx="65">
                  <v>54.8</v>
                </pt>
                <pt idx="66">
                  <v>53</v>
                </pt>
                <pt idx="67">
                  <v>50.9</v>
                </pt>
                <pt idx="68">
                  <v>51.5</v>
                </pt>
                <pt idx="69">
                  <v>53</v>
                </pt>
                <pt idx="70">
                  <v>50.7</v>
                </pt>
                <pt idx="71">
                  <v>50.9</v>
                </pt>
                <pt idx="72">
                  <v>50.6</v>
                </pt>
                <pt idx="73">
                  <v>51.6</v>
                </pt>
                <pt idx="74">
                  <v>52.8</v>
                </pt>
                <pt idx="75">
                  <v>53.4</v>
                </pt>
                <pt idx="76">
                  <v>49.4</v>
                </pt>
                <pt idx="77">
                  <v>39.8</v>
                </pt>
                <pt idx="78">
                  <v>26.7</v>
                </pt>
                <pt idx="79">
                  <v>37.5</v>
                </pt>
                <pt idx="80">
                  <v>47.9</v>
                </pt>
                <pt idx="81">
                  <v>50</v>
                </pt>
                <pt idx="82">
                  <v>55</v>
                </pt>
                <pt idx="83">
                  <v>54.6</v>
                </pt>
                <pt idx="84">
                  <v>56.9</v>
                </pt>
                <pt idx="85">
                  <v>58.4</v>
                </pt>
                <pt idx="86">
                  <v>54.8</v>
                </pt>
                <pt idx="87">
                  <v>58.3</v>
                </pt>
                <pt idx="88">
                  <v>59.8</v>
                </pt>
                <pt idx="89">
                  <v>60.4</v>
                </pt>
                <pt idx="90">
                  <v>64.7</v>
                </pt>
                <pt idx="91">
                  <v>70.40000000000001</v>
                </pt>
                <pt idx="92">
                  <v>64.59999999999999</v>
                </pt>
                <pt idx="93">
                  <v>59.9</v>
                </pt>
                <pt idx="94">
                  <v>55.1</v>
                </pt>
                <pt idx="95">
                  <v>54.9</v>
                </pt>
                <pt idx="96">
                  <v>58.7</v>
                </pt>
                <pt idx="97">
                  <v>58</v>
                </pt>
                <pt idx="98">
                  <v>57.6</v>
                </pt>
                <pt idx="99">
                  <v>51.2</v>
                </pt>
                <pt idx="100">
                  <v>56.7</v>
                </pt>
                <pt idx="101">
                  <v>58.9</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4.xml><?xml version="1.0" encoding="utf-8"?>
<chartSpace xmlns="http://schemas.openxmlformats.org/drawingml/2006/chart">
  <chart>
    <title>
      <tx>
        <strRef>
          <f>EuroArea!$J$2</f>
          <strCache>
            <ptCount val="1"/>
            <pt idx="0">
              <v>Euro Area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EuroArea!$B$5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EuroArea!$A$6:$A$182</f>
              <numCache>
                <formatCode>m/d/yy</formatCode>
                <ptCount val="177"/>
                <pt idx="0">
                  <v>39264</v>
                </pt>
                <pt idx="1">
                  <v>39295</v>
                </pt>
                <pt idx="2">
                  <v>39326</v>
                </pt>
                <pt idx="3">
                  <v>39356</v>
                </pt>
                <pt idx="4">
                  <v>39387</v>
                </pt>
                <pt idx="5">
                  <v>39417</v>
                </pt>
                <pt idx="6">
                  <v>39448</v>
                </pt>
                <pt idx="7">
                  <v>39479</v>
                </pt>
                <pt idx="8">
                  <v>39508</v>
                </pt>
                <pt idx="9">
                  <v>39539</v>
                </pt>
                <pt idx="10">
                  <v>39569</v>
                </pt>
                <pt idx="11">
                  <v>39600</v>
                </pt>
                <pt idx="12">
                  <v>39630</v>
                </pt>
                <pt idx="13">
                  <v>39661</v>
                </pt>
                <pt idx="14">
                  <v>39692</v>
                </pt>
                <pt idx="15">
                  <v>39722</v>
                </pt>
                <pt idx="16">
                  <v>39753</v>
                </pt>
                <pt idx="17">
                  <v>39783</v>
                </pt>
                <pt idx="18">
                  <v>39814</v>
                </pt>
                <pt idx="19">
                  <v>39845</v>
                </pt>
                <pt idx="20">
                  <v>39873</v>
                </pt>
                <pt idx="21">
                  <v>39904</v>
                </pt>
                <pt idx="22">
                  <v>39934</v>
                </pt>
                <pt idx="23">
                  <v>39965</v>
                </pt>
                <pt idx="24">
                  <v>39995</v>
                </pt>
                <pt idx="25">
                  <v>40026</v>
                </pt>
                <pt idx="26">
                  <v>40057</v>
                </pt>
                <pt idx="27">
                  <v>40087</v>
                </pt>
                <pt idx="28">
                  <v>40118</v>
                </pt>
                <pt idx="29">
                  <v>40148</v>
                </pt>
                <pt idx="30">
                  <v>40179</v>
                </pt>
                <pt idx="31">
                  <v>40210</v>
                </pt>
                <pt idx="32">
                  <v>40238</v>
                </pt>
                <pt idx="33">
                  <v>40269</v>
                </pt>
                <pt idx="34">
                  <v>40299</v>
                </pt>
                <pt idx="35">
                  <v>40330</v>
                </pt>
                <pt idx="36">
                  <v>40360</v>
                </pt>
                <pt idx="37">
                  <v>40391</v>
                </pt>
                <pt idx="38">
                  <v>40422</v>
                </pt>
                <pt idx="39">
                  <v>40452</v>
                </pt>
                <pt idx="40">
                  <v>40483</v>
                </pt>
                <pt idx="41">
                  <v>40513</v>
                </pt>
                <pt idx="42">
                  <v>40544</v>
                </pt>
                <pt idx="43">
                  <v>40575</v>
                </pt>
                <pt idx="44">
                  <v>40603</v>
                </pt>
                <pt idx="45">
                  <v>40634</v>
                </pt>
                <pt idx="46">
                  <v>40664</v>
                </pt>
                <pt idx="47">
                  <v>40695</v>
                </pt>
                <pt idx="48">
                  <v>40725</v>
                </pt>
                <pt idx="49">
                  <v>40756</v>
                </pt>
                <pt idx="50">
                  <v>40787</v>
                </pt>
                <pt idx="51">
                  <v>40817</v>
                </pt>
                <pt idx="52">
                  <v>40848</v>
                </pt>
                <pt idx="53">
                  <v>40878</v>
                </pt>
                <pt idx="54">
                  <v>40909</v>
                </pt>
                <pt idx="55">
                  <v>40940</v>
                </pt>
                <pt idx="56">
                  <v>40969</v>
                </pt>
                <pt idx="57">
                  <v>41000</v>
                </pt>
                <pt idx="58">
                  <v>41030</v>
                </pt>
                <pt idx="59">
                  <v>41061</v>
                </pt>
                <pt idx="60">
                  <v>41091</v>
                </pt>
                <pt idx="61">
                  <v>41122</v>
                </pt>
                <pt idx="62">
                  <v>41153</v>
                </pt>
                <pt idx="63">
                  <v>41183</v>
                </pt>
                <pt idx="64">
                  <v>41214</v>
                </pt>
                <pt idx="65">
                  <v>41244</v>
                </pt>
                <pt idx="66">
                  <v>41275</v>
                </pt>
                <pt idx="67">
                  <v>41306</v>
                </pt>
                <pt idx="68">
                  <v>41334</v>
                </pt>
                <pt idx="69">
                  <v>41365</v>
                </pt>
                <pt idx="70">
                  <v>41395</v>
                </pt>
                <pt idx="71">
                  <v>41426</v>
                </pt>
                <pt idx="72">
                  <v>41456</v>
                </pt>
                <pt idx="73">
                  <v>41487</v>
                </pt>
                <pt idx="74">
                  <v>41518</v>
                </pt>
                <pt idx="75">
                  <v>41548</v>
                </pt>
                <pt idx="76">
                  <v>41579</v>
                </pt>
                <pt idx="77">
                  <v>41609</v>
                </pt>
                <pt idx="78">
                  <v>41640</v>
                </pt>
                <pt idx="79">
                  <v>41671</v>
                </pt>
                <pt idx="80">
                  <v>41699</v>
                </pt>
                <pt idx="81">
                  <v>41730</v>
                </pt>
                <pt idx="82">
                  <v>41760</v>
                </pt>
                <pt idx="83">
                  <v>41791</v>
                </pt>
                <pt idx="84">
                  <v>41821</v>
                </pt>
                <pt idx="85">
                  <v>41852</v>
                </pt>
                <pt idx="86">
                  <v>41883</v>
                </pt>
                <pt idx="87">
                  <v>41913</v>
                </pt>
                <pt idx="88">
                  <v>41944</v>
                </pt>
                <pt idx="89">
                  <v>41974</v>
                </pt>
                <pt idx="90">
                  <v>42005</v>
                </pt>
                <pt idx="91">
                  <v>42036</v>
                </pt>
                <pt idx="92">
                  <v>42064</v>
                </pt>
                <pt idx="93">
                  <v>42095</v>
                </pt>
                <pt idx="94">
                  <v>42125</v>
                </pt>
                <pt idx="95">
                  <v>42156</v>
                </pt>
                <pt idx="96">
                  <v>42186</v>
                </pt>
                <pt idx="97">
                  <v>42217</v>
                </pt>
                <pt idx="98">
                  <v>42248</v>
                </pt>
                <pt idx="99">
                  <v>42278</v>
                </pt>
                <pt idx="100">
                  <v>42309</v>
                </pt>
                <pt idx="101">
                  <v>42339</v>
                </pt>
                <pt idx="102">
                  <v>42370</v>
                </pt>
                <pt idx="103">
                  <v>42401</v>
                </pt>
                <pt idx="104">
                  <v>42430</v>
                </pt>
                <pt idx="105">
                  <v>42461</v>
                </pt>
                <pt idx="106">
                  <v>42491</v>
                </pt>
                <pt idx="107">
                  <v>42522</v>
                </pt>
                <pt idx="108">
                  <v>42552</v>
                </pt>
                <pt idx="109">
                  <v>42583</v>
                </pt>
                <pt idx="110">
                  <v>42614</v>
                </pt>
                <pt idx="111">
                  <v>42644</v>
                </pt>
                <pt idx="112">
                  <v>42675</v>
                </pt>
                <pt idx="113">
                  <v>42705</v>
                </pt>
                <pt idx="114">
                  <v>42736</v>
                </pt>
                <pt idx="115">
                  <v>42767</v>
                </pt>
                <pt idx="116">
                  <v>42795</v>
                </pt>
                <pt idx="117">
                  <v>42826</v>
                </pt>
                <pt idx="118">
                  <v>42856</v>
                </pt>
                <pt idx="119">
                  <v>42887</v>
                </pt>
                <pt idx="120">
                  <v>42917</v>
                </pt>
                <pt idx="121">
                  <v>42948</v>
                </pt>
                <pt idx="122">
                  <v>42979</v>
                </pt>
                <pt idx="123">
                  <v>43009</v>
                </pt>
                <pt idx="124">
                  <v>43040</v>
                </pt>
                <pt idx="125">
                  <v>43070</v>
                </pt>
                <pt idx="126">
                  <v>43101</v>
                </pt>
                <pt idx="127">
                  <v>43132</v>
                </pt>
                <pt idx="128">
                  <v>43160</v>
                </pt>
                <pt idx="129">
                  <v>43191</v>
                </pt>
                <pt idx="130">
                  <v>43221</v>
                </pt>
                <pt idx="131">
                  <v>43252</v>
                </pt>
                <pt idx="132">
                  <v>43282</v>
                </pt>
                <pt idx="133">
                  <v>43313</v>
                </pt>
                <pt idx="134">
                  <v>43344</v>
                </pt>
                <pt idx="135">
                  <v>43374</v>
                </pt>
                <pt idx="136">
                  <v>43405</v>
                </pt>
                <pt idx="137">
                  <v>43435</v>
                </pt>
                <pt idx="138">
                  <v>43466</v>
                </pt>
                <pt idx="139">
                  <v>43497</v>
                </pt>
                <pt idx="140">
                  <v>43525</v>
                </pt>
                <pt idx="141">
                  <v>43556</v>
                </pt>
                <pt idx="142">
                  <v>43586</v>
                </pt>
                <pt idx="143">
                  <v>43617</v>
                </pt>
                <pt idx="144">
                  <v>43647</v>
                </pt>
                <pt idx="145">
                  <v>43678</v>
                </pt>
                <pt idx="146">
                  <v>43709</v>
                </pt>
                <pt idx="147">
                  <v>43739</v>
                </pt>
                <pt idx="148">
                  <v>43770</v>
                </pt>
                <pt idx="149">
                  <v>43800</v>
                </pt>
                <pt idx="150">
                  <v>43831</v>
                </pt>
                <pt idx="151">
                  <v>43862</v>
                </pt>
                <pt idx="152">
                  <v>43891</v>
                </pt>
                <pt idx="153">
                  <v>43922</v>
                </pt>
                <pt idx="154">
                  <v>43952</v>
                </pt>
                <pt idx="155">
                  <v>43983</v>
                </pt>
                <pt idx="156">
                  <v>44013</v>
                </pt>
                <pt idx="157">
                  <v>44044</v>
                </pt>
                <pt idx="158">
                  <v>44075</v>
                </pt>
                <pt idx="159">
                  <v>44105</v>
                </pt>
                <pt idx="160">
                  <v>44136</v>
                </pt>
                <pt idx="161">
                  <v>44166</v>
                </pt>
                <pt idx="162">
                  <v>44197</v>
                </pt>
                <pt idx="163">
                  <v>44228</v>
                </pt>
                <pt idx="164">
                  <v>44256</v>
                </pt>
                <pt idx="165">
                  <v>44287</v>
                </pt>
                <pt idx="166">
                  <v>44317</v>
                </pt>
                <pt idx="167">
                  <v>44348</v>
                </pt>
                <pt idx="168">
                  <v>44378</v>
                </pt>
                <pt idx="169">
                  <v>44409</v>
                </pt>
                <pt idx="170">
                  <v>44440</v>
                </pt>
                <pt idx="171">
                  <v>44470</v>
                </pt>
                <pt idx="172">
                  <v>44501</v>
                </pt>
                <pt idx="173">
                  <v>44531</v>
                </pt>
                <pt idx="174">
                  <v>44562</v>
                </pt>
                <pt idx="175">
                  <v>44593</v>
                </pt>
                <pt idx="176">
                  <v>44621</v>
                </pt>
              </numCache>
            </numRef>
          </cat>
          <val>
            <numRef>
              <f>EuroArea!$B$6:$B$182</f>
              <numCache>
                <formatCode>General</formatCode>
                <ptCount val="177"/>
                <pt idx="0">
                  <v>58.3</v>
                </pt>
                <pt idx="1">
                  <v>58</v>
                </pt>
                <pt idx="2">
                  <v>54.2</v>
                </pt>
                <pt idx="3">
                  <v>55.8</v>
                </pt>
                <pt idx="4">
                  <v>54.1</v>
                </pt>
                <pt idx="5">
                  <v>53.1</v>
                </pt>
                <pt idx="6">
                  <v>50.6</v>
                </pt>
                <pt idx="7">
                  <v>51.7</v>
                </pt>
                <pt idx="8">
                  <v>51.6</v>
                </pt>
                <pt idx="9">
                  <v>52</v>
                </pt>
                <pt idx="10">
                  <v>50.6</v>
                </pt>
                <pt idx="11">
                  <v>49.1</v>
                </pt>
                <pt idx="12">
                  <v>48.3</v>
                </pt>
                <pt idx="13">
                  <v>48.5</v>
                </pt>
                <pt idx="14">
                  <v>48.4</v>
                </pt>
                <pt idx="15">
                  <v>45.8</v>
                </pt>
                <pt idx="16">
                  <v>42.5</v>
                </pt>
                <pt idx="17">
                  <v>42.3</v>
                </pt>
                <pt idx="18">
                  <v>42.2</v>
                </pt>
                <pt idx="19">
                  <v>39.2</v>
                </pt>
                <pt idx="20">
                  <v>40.9</v>
                </pt>
                <pt idx="21">
                  <v>43.8</v>
                </pt>
                <pt idx="22">
                  <v>44.8</v>
                </pt>
                <pt idx="23">
                  <v>44.7</v>
                </pt>
                <pt idx="24">
                  <v>45.7</v>
                </pt>
                <pt idx="25">
                  <v>49.9</v>
                </pt>
                <pt idx="26">
                  <v>50.9</v>
                </pt>
                <pt idx="27">
                  <v>52.6</v>
                </pt>
                <pt idx="28">
                  <v>53</v>
                </pt>
                <pt idx="29">
                  <v>52.9</v>
                </pt>
                <pt idx="30">
                  <v>52.5</v>
                </pt>
                <pt idx="31">
                  <v>51.8</v>
                </pt>
                <pt idx="32">
                  <v>54.1</v>
                </pt>
                <pt idx="33">
                  <v>55.6</v>
                </pt>
                <pt idx="34">
                  <v>56.2</v>
                </pt>
                <pt idx="35">
                  <v>55.5</v>
                </pt>
                <pt idx="36">
                  <v>55.8</v>
                </pt>
                <pt idx="37">
                  <v>55.9</v>
                </pt>
                <pt idx="38">
                  <v>54.1</v>
                </pt>
                <pt idx="39">
                  <v>53.3</v>
                </pt>
                <pt idx="40">
                  <v>55.4</v>
                </pt>
                <pt idx="41">
                  <v>56.5</v>
                </pt>
                <pt idx="42">
                  <v>55.9</v>
                </pt>
                <pt idx="43">
                  <v>56.8</v>
                </pt>
                <pt idx="44">
                  <v>57.2</v>
                </pt>
                <pt idx="45">
                  <v>56.7</v>
                </pt>
                <pt idx="46">
                  <v>55.4</v>
                </pt>
                <pt idx="47">
                  <v>53.7</v>
                </pt>
                <pt idx="48">
                  <v>51.6</v>
                </pt>
                <pt idx="49">
                  <v>51.5</v>
                </pt>
                <pt idx="50">
                  <v>48.8</v>
                </pt>
                <pt idx="51">
                  <v>46.4</v>
                </pt>
                <pt idx="52">
                  <v>47.5</v>
                </pt>
                <pt idx="53">
                  <v>48.8</v>
                </pt>
                <pt idx="54">
                  <v>50.4</v>
                </pt>
                <pt idx="55">
                  <v>48.8</v>
                </pt>
                <pt idx="56">
                  <v>47.9</v>
                </pt>
                <pt idx="57">
                  <v>46.9</v>
                </pt>
                <pt idx="58">
                  <v>46.7</v>
                </pt>
                <pt idx="59">
                  <v>47.1</v>
                </pt>
                <pt idx="60">
                  <v>47.9</v>
                </pt>
                <pt idx="61">
                  <v>47.2</v>
                </pt>
                <pt idx="62">
                  <v>46.1</v>
                </pt>
                <pt idx="63">
                  <v>46</v>
                </pt>
                <pt idx="64">
                  <v>46.7</v>
                </pt>
                <pt idx="65">
                  <v>47.2</v>
                </pt>
                <pt idx="66">
                  <v>48.6</v>
                </pt>
                <pt idx="67">
                  <v>47.9</v>
                </pt>
                <pt idx="68">
                  <v>46.4</v>
                </pt>
                <pt idx="69">
                  <v>47</v>
                </pt>
                <pt idx="70">
                  <v>47.2</v>
                </pt>
                <pt idx="71">
                  <v>48.3</v>
                </pt>
                <pt idx="72">
                  <v>49.8</v>
                </pt>
                <pt idx="73">
                  <v>50.7</v>
                </pt>
                <pt idx="74">
                  <v>52.2</v>
                </pt>
                <pt idx="75">
                  <v>51.6</v>
                </pt>
                <pt idx="76">
                  <v>51.2</v>
                </pt>
                <pt idx="77">
                  <v>51</v>
                </pt>
                <pt idx="78">
                  <v>51.6</v>
                </pt>
                <pt idx="79">
                  <v>52.6</v>
                </pt>
                <pt idx="80">
                  <v>52.2</v>
                </pt>
                <pt idx="81">
                  <v>53.1</v>
                </pt>
                <pt idx="82">
                  <v>53.2</v>
                </pt>
                <pt idx="83">
                  <v>52.8</v>
                </pt>
                <pt idx="84">
                  <v>54.2</v>
                </pt>
                <pt idx="85">
                  <v>53.1</v>
                </pt>
                <pt idx="86">
                  <v>52.4</v>
                </pt>
                <pt idx="87">
                  <v>52.3</v>
                </pt>
                <pt idx="88">
                  <v>51.1</v>
                </pt>
                <pt idx="89">
                  <v>51.6</v>
                </pt>
                <pt idx="90">
                  <v>52.7</v>
                </pt>
                <pt idx="91">
                  <v>53.7</v>
                </pt>
                <pt idx="92">
                  <v>54.2</v>
                </pt>
                <pt idx="93">
                  <v>54.1</v>
                </pt>
                <pt idx="94">
                  <v>53.8</v>
                </pt>
                <pt idx="95">
                  <v>54.4</v>
                </pt>
                <pt idx="96">
                  <v>54</v>
                </pt>
                <pt idx="97">
                  <v>54.4</v>
                </pt>
                <pt idx="98">
                  <v>53.7</v>
                </pt>
                <pt idx="99">
                  <v>54.1</v>
                </pt>
                <pt idx="100">
                  <v>54.2</v>
                </pt>
                <pt idx="101">
                  <v>54.2</v>
                </pt>
                <pt idx="102">
                  <v>53.6</v>
                </pt>
                <pt idx="103">
                  <v>53.3</v>
                </pt>
                <pt idx="104">
                  <v>53.1</v>
                </pt>
                <pt idx="105">
                  <v>53.1</v>
                </pt>
                <pt idx="106">
                  <v>53.3</v>
                </pt>
                <pt idx="107">
                  <v>52.8</v>
                </pt>
                <pt idx="108">
                  <v>52.9</v>
                </pt>
                <pt idx="109">
                  <v>52.8</v>
                </pt>
                <pt idx="110">
                  <v>52.2</v>
                </pt>
                <pt idx="111">
                  <v>52.8</v>
                </pt>
                <pt idx="112">
                  <v>53.8</v>
                </pt>
                <pt idx="113">
                  <v>53.7</v>
                </pt>
                <pt idx="114">
                  <v>53.7</v>
                </pt>
                <pt idx="115">
                  <v>55.5</v>
                </pt>
                <pt idx="116">
                  <v>56</v>
                </pt>
                <pt idx="117">
                  <v>56.4</v>
                </pt>
                <pt idx="118">
                  <v>56.3</v>
                </pt>
                <pt idx="119">
                  <v>55.4</v>
                </pt>
                <pt idx="120">
                  <v>55.4</v>
                </pt>
                <pt idx="121">
                  <v>54.7</v>
                </pt>
                <pt idx="122">
                  <v>55.8</v>
                </pt>
                <pt idx="123">
                  <v>55</v>
                </pt>
                <pt idx="124">
                  <v>56.2</v>
                </pt>
                <pt idx="125">
                  <v>56.6</v>
                </pt>
                <pt idx="126">
                  <v>58</v>
                </pt>
                <pt idx="127">
                  <v>56.2</v>
                </pt>
                <pt idx="128">
                  <v>54.9</v>
                </pt>
                <pt idx="129">
                  <v>54.7</v>
                </pt>
                <pt idx="130">
                  <v>53.8</v>
                </pt>
                <pt idx="131">
                  <v>55.2</v>
                </pt>
                <pt idx="132">
                  <v>54.2</v>
                </pt>
                <pt idx="133">
                  <v>54.4</v>
                </pt>
                <pt idx="134">
                  <v>54.7</v>
                </pt>
                <pt idx="135">
                  <v>53.7</v>
                </pt>
                <pt idx="136">
                  <v>53.4</v>
                </pt>
                <pt idx="137">
                  <v>51.2</v>
                </pt>
                <pt idx="138">
                  <v>51.2</v>
                </pt>
                <pt idx="139">
                  <v>52.8</v>
                </pt>
                <pt idx="140">
                  <v>53.3</v>
                </pt>
                <pt idx="141">
                  <v>52.8</v>
                </pt>
                <pt idx="142">
                  <v>52.9</v>
                </pt>
                <pt idx="143">
                  <v>53.6</v>
                </pt>
                <pt idx="144">
                  <v>53.2</v>
                </pt>
                <pt idx="145">
                  <v>53.5</v>
                </pt>
                <pt idx="146">
                  <v>51.6</v>
                </pt>
                <pt idx="147">
                  <v>52.2</v>
                </pt>
                <pt idx="148">
                  <v>51.9</v>
                </pt>
                <pt idx="149">
                  <v>52.8</v>
                </pt>
                <pt idx="150">
                  <v>52.5</v>
                </pt>
                <pt idx="151">
                  <v>52.6</v>
                </pt>
                <pt idx="152">
                  <v>26.4</v>
                </pt>
                <pt idx="153">
                  <v>12</v>
                </pt>
                <pt idx="154">
                  <v>30.5</v>
                </pt>
                <pt idx="155">
                  <v>48.3</v>
                </pt>
                <pt idx="156">
                  <v>54.7</v>
                </pt>
                <pt idx="157">
                  <v>50.5</v>
                </pt>
                <pt idx="158">
                  <v>48</v>
                </pt>
                <pt idx="159">
                  <v>46.9</v>
                </pt>
                <pt idx="160">
                  <v>41.7</v>
                </pt>
                <pt idx="161">
                  <v>46.4</v>
                </pt>
                <pt idx="162">
                  <v>45.4</v>
                </pt>
                <pt idx="163">
                  <v>45.7</v>
                </pt>
                <pt idx="164">
                  <v>49.6</v>
                </pt>
                <pt idx="165">
                  <v>50.5</v>
                </pt>
                <pt idx="166">
                  <v>55.2</v>
                </pt>
                <pt idx="167">
                  <v>58.3</v>
                </pt>
                <pt idx="168">
                  <v>59.8</v>
                </pt>
                <pt idx="169">
                  <v>59</v>
                </pt>
                <pt idx="170">
                  <v>56.4</v>
                </pt>
                <pt idx="171">
                  <v>54.6</v>
                </pt>
                <pt idx="172">
                  <v>55.9</v>
                </pt>
                <pt idx="173">
                  <v>53.1</v>
                </pt>
                <pt idx="174">
                  <v>51.1</v>
                </pt>
                <pt idx="175">
                  <v>55.8</v>
                </pt>
                <pt idx="176">
                  <v>54.8</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5.xml><?xml version="1.0" encoding="utf-8"?>
<chartSpace xmlns="http://schemas.openxmlformats.org/drawingml/2006/chart">
  <chart>
    <title>
      <tx>
        <strRef>
          <f>China!$J$2</f>
          <strCache>
            <ptCount val="1"/>
            <pt idx="0">
              <v>China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China!$B$5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China!$A$6:$A$143</f>
              <numCache>
                <formatCode>m/d/yy</formatCode>
                <ptCount val="13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China!$B$6:$B$143</f>
              <numCache>
                <formatCode>General</formatCode>
                <ptCount val="138"/>
                <pt idx="0">
                  <v>60.5</v>
                </pt>
                <pt idx="1">
                  <v>53.2</v>
                </pt>
                <pt idx="2">
                  <v>48.1</v>
                </pt>
                <pt idx="3">
                  <v>46.5</v>
                </pt>
                <pt idx="4">
                  <v>44.1</v>
                </pt>
                <pt idx="5">
                  <v>60.2</v>
                </pt>
                <pt idx="6">
                  <v>62.5</v>
                </pt>
                <pt idx="7">
                  <v>61.9</v>
                </pt>
                <pt idx="8">
                  <v>57</v>
                </pt>
                <pt idx="9">
                  <v>59.6</v>
                </pt>
                <pt idx="10">
                  <v>58.1</v>
                </pt>
                <pt idx="11">
                  <v>57</v>
                </pt>
                <pt idx="12">
                  <v>54.6</v>
                </pt>
                <pt idx="13">
                  <v>49.7</v>
                </pt>
                <pt idx="14">
                  <v>56</v>
                </pt>
                <pt idx="15">
                  <v>52.5</v>
                </pt>
                <pt idx="16">
                  <v>53.9</v>
                </pt>
                <pt idx="17">
                  <v>53.3</v>
                </pt>
                <pt idx="18">
                  <v>54.1</v>
                </pt>
                <pt idx="19">
                  <v>54.7</v>
                </pt>
                <pt idx="20">
                  <v>52.3</v>
                </pt>
                <pt idx="21">
                  <v>53.1</v>
                </pt>
                <pt idx="22">
                  <v>52</v>
                </pt>
                <pt idx="23">
                  <v>54.3</v>
                </pt>
                <pt idx="24">
                  <v>53.5</v>
                </pt>
                <pt idx="25">
                  <v>52.1</v>
                </pt>
                <pt idx="26">
                  <v>53.5</v>
                </pt>
                <pt idx="27">
                  <v>54</v>
                </pt>
                <pt idx="28">
                  <v>52.1</v>
                </pt>
                <pt idx="29">
                  <v>54.3</v>
                </pt>
                <pt idx="30">
                  <v>51.1</v>
                </pt>
                <pt idx="31">
                  <v>51.2</v>
                </pt>
                <pt idx="32">
                  <v>51.3</v>
                </pt>
                <pt idx="33">
                  <v>51.3</v>
                </pt>
                <pt idx="34">
                  <v>52.8</v>
                </pt>
                <pt idx="35">
                  <v>52.4</v>
                </pt>
                <pt idx="36">
                  <v>52.6</v>
                </pt>
                <pt idx="37">
                  <v>52.5</v>
                </pt>
                <pt idx="38">
                  <v>51.4</v>
                </pt>
                <pt idx="39">
                  <v>50.7</v>
                </pt>
                <pt idx="40">
                  <v>51</v>
                </pt>
                <pt idx="41">
                  <v>51.9</v>
                </pt>
                <pt idx="42">
                  <v>51.4</v>
                </pt>
                <pt idx="43">
                  <v>50.7</v>
                </pt>
                <pt idx="44">
                  <v>53.1</v>
                </pt>
                <pt idx="45">
                  <v>50</v>
                </pt>
                <pt idx="46">
                  <v>54.1</v>
                </pt>
                <pt idx="47">
                  <v>53.5</v>
                </pt>
                <pt idx="48">
                  <v>52.9</v>
                </pt>
                <pt idx="49">
                  <v>53</v>
                </pt>
                <pt idx="50">
                  <v>53.4</v>
                </pt>
                <pt idx="51">
                  <v>51.8</v>
                </pt>
                <pt idx="52">
                  <v>52</v>
                </pt>
                <pt idx="53">
                  <v>52.3</v>
                </pt>
                <pt idx="54">
                  <v>52.9</v>
                </pt>
                <pt idx="55">
                  <v>53.5</v>
                </pt>
                <pt idx="56">
                  <v>51.8</v>
                </pt>
                <pt idx="57">
                  <v>53.8</v>
                </pt>
                <pt idx="58">
                  <v>51.5</v>
                </pt>
                <pt idx="59">
                  <v>50.5</v>
                </pt>
                <pt idx="60">
                  <v>52</v>
                </pt>
                <pt idx="61">
                  <v>51.2</v>
                </pt>
                <pt idx="62">
                  <v>50.2</v>
                </pt>
                <pt idx="63">
                  <v>52.4</v>
                </pt>
                <pt idx="64">
                  <v>51.2</v>
                </pt>
                <pt idx="65">
                  <v>52.2</v>
                </pt>
                <pt idx="66">
                  <v>51.8</v>
                </pt>
                <pt idx="67">
                  <v>51.2</v>
                </pt>
                <pt idx="68">
                  <v>52.7</v>
                </pt>
                <pt idx="69">
                  <v>51.7</v>
                </pt>
                <pt idx="70">
                  <v>52.1</v>
                </pt>
                <pt idx="71">
                  <v>51</v>
                </pt>
                <pt idx="72">
                  <v>52.4</v>
                </pt>
                <pt idx="73">
                  <v>53.1</v>
                </pt>
                <pt idx="74">
                  <v>53.4</v>
                </pt>
                <pt idx="75">
                  <v>53.1</v>
                </pt>
                <pt idx="76">
                  <v>52.6</v>
                </pt>
                <pt idx="77">
                  <v>52.2</v>
                </pt>
                <pt idx="78">
                  <v>51.5</v>
                </pt>
                <pt idx="79">
                  <v>52.8</v>
                </pt>
                <pt idx="80">
                  <v>51.6</v>
                </pt>
                <pt idx="81">
                  <v>51.5</v>
                </pt>
                <pt idx="82">
                  <v>52.7</v>
                </pt>
                <pt idx="83">
                  <v>50.6</v>
                </pt>
                <pt idx="84">
                  <v>51.2</v>
                </pt>
                <pt idx="85">
                  <v>51.9</v>
                </pt>
                <pt idx="86">
                  <v>53.9</v>
                </pt>
                <pt idx="87">
                  <v>54.7</v>
                </pt>
                <pt idx="88">
                  <v>54.2</v>
                </pt>
                <pt idx="89">
                  <v>52.3</v>
                </pt>
                <pt idx="90">
                  <v>52.9</v>
                </pt>
                <pt idx="91">
                  <v>52.9</v>
                </pt>
                <pt idx="92">
                  <v>53.9</v>
                </pt>
                <pt idx="93">
                  <v>52.8</v>
                </pt>
                <pt idx="94">
                  <v>51.5</v>
                </pt>
                <pt idx="95">
                  <v>53.1</v>
                </pt>
                <pt idx="96">
                  <v>50.8</v>
                </pt>
                <pt idx="97">
                  <v>53.8</v>
                </pt>
                <pt idx="98">
                  <v>53.9</v>
                </pt>
                <pt idx="99">
                  <v>53.6</v>
                </pt>
                <pt idx="100">
                  <v>51.1</v>
                </pt>
                <pt idx="101">
                  <v>54.4</v>
                </pt>
                <pt idx="102">
                  <v>54.5</v>
                </pt>
                <pt idx="103">
                  <v>52.7</v>
                </pt>
                <pt idx="104">
                  <v>52</v>
                </pt>
                <pt idx="105">
                  <v>51.6</v>
                </pt>
                <pt idx="106">
                  <v>52.1</v>
                </pt>
                <pt idx="107">
                  <v>51.3</v>
                </pt>
                <pt idx="108">
                  <v>51.1</v>
                </pt>
                <pt idx="109">
                  <v>53.5</v>
                </pt>
                <pt idx="110">
                  <v>52.5</v>
                </pt>
                <pt idx="111">
                  <v>51.8</v>
                </pt>
                <pt idx="112">
                  <v>26.5</v>
                </pt>
                <pt idx="113">
                  <v>43</v>
                </pt>
                <pt idx="114">
                  <v>44.4</v>
                </pt>
                <pt idx="115">
                  <v>55</v>
                </pt>
                <pt idx="116">
                  <v>58.4</v>
                </pt>
                <pt idx="117">
                  <v>54.1</v>
                </pt>
                <pt idx="118">
                  <v>54</v>
                </pt>
                <pt idx="119">
                  <v>54.8</v>
                </pt>
                <pt idx="120">
                  <v>56.8</v>
                </pt>
                <pt idx="121">
                  <v>57.8</v>
                </pt>
                <pt idx="122">
                  <v>56.3</v>
                </pt>
                <pt idx="123">
                  <v>52</v>
                </pt>
                <pt idx="124">
                  <v>51.5</v>
                </pt>
                <pt idx="125">
                  <v>54.3</v>
                </pt>
                <pt idx="126">
                  <v>56.3</v>
                </pt>
                <pt idx="127">
                  <v>55.1</v>
                </pt>
                <pt idx="128">
                  <v>50.3</v>
                </pt>
                <pt idx="129">
                  <v>54.9</v>
                </pt>
                <pt idx="130">
                  <v>46.7</v>
                </pt>
                <pt idx="131">
                  <v>53.4</v>
                </pt>
                <pt idx="132">
                  <v>53.8</v>
                </pt>
                <pt idx="133">
                  <v>52.1</v>
                </pt>
                <pt idx="134">
                  <v>53.1</v>
                </pt>
                <pt idx="135">
                  <v>51.4</v>
                </pt>
                <pt idx="136">
                  <v>50.2</v>
                </pt>
                <pt idx="137">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6.xml><?xml version="1.0" encoding="utf-8"?>
<chartSpace xmlns="http://schemas.openxmlformats.org/drawingml/2006/chart">
  <chart>
    <title>
      <tx>
        <strRef>
          <f>France!$J$2</f>
          <strCache>
            <ptCount val="1"/>
            <pt idx="0">
              <v>France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France!$B$5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France!$A$6:$A$169</f>
              <numCache>
                <formatCode>m/d/yy</formatCode>
                <ptCount val="164"/>
                <pt idx="0">
                  <v>39661</v>
                </pt>
                <pt idx="1">
                  <v>39692</v>
                </pt>
                <pt idx="2">
                  <v>39722</v>
                </pt>
                <pt idx="3">
                  <v>39753</v>
                </pt>
                <pt idx="4">
                  <v>39783</v>
                </pt>
                <pt idx="5">
                  <v>39814</v>
                </pt>
                <pt idx="6">
                  <v>39845</v>
                </pt>
                <pt idx="7">
                  <v>39873</v>
                </pt>
                <pt idx="8">
                  <v>39904</v>
                </pt>
                <pt idx="9">
                  <v>39934</v>
                </pt>
                <pt idx="10">
                  <v>39965</v>
                </pt>
                <pt idx="11">
                  <v>39995</v>
                </pt>
                <pt idx="12">
                  <v>40026</v>
                </pt>
                <pt idx="13">
                  <v>40057</v>
                </pt>
                <pt idx="14">
                  <v>40087</v>
                </pt>
                <pt idx="15">
                  <v>40118</v>
                </pt>
                <pt idx="16">
                  <v>40148</v>
                </pt>
                <pt idx="17">
                  <v>40179</v>
                </pt>
                <pt idx="18">
                  <v>40210</v>
                </pt>
                <pt idx="19">
                  <v>40238</v>
                </pt>
                <pt idx="20">
                  <v>40269</v>
                </pt>
                <pt idx="21">
                  <v>40299</v>
                </pt>
                <pt idx="22">
                  <v>40330</v>
                </pt>
                <pt idx="23">
                  <v>40360</v>
                </pt>
                <pt idx="24">
                  <v>40391</v>
                </pt>
                <pt idx="25">
                  <v>40422</v>
                </pt>
                <pt idx="26">
                  <v>40452</v>
                </pt>
                <pt idx="27">
                  <v>40483</v>
                </pt>
                <pt idx="28">
                  <v>40513</v>
                </pt>
                <pt idx="29">
                  <v>40544</v>
                </pt>
                <pt idx="30">
                  <v>40575</v>
                </pt>
                <pt idx="31">
                  <v>40603</v>
                </pt>
                <pt idx="32">
                  <v>40634</v>
                </pt>
                <pt idx="33">
                  <v>40664</v>
                </pt>
                <pt idx="34">
                  <v>40695</v>
                </pt>
                <pt idx="35">
                  <v>40725</v>
                </pt>
                <pt idx="36">
                  <v>40756</v>
                </pt>
                <pt idx="37">
                  <v>40787</v>
                </pt>
                <pt idx="38">
                  <v>40817</v>
                </pt>
                <pt idx="39">
                  <v>40848</v>
                </pt>
                <pt idx="40">
                  <v>40878</v>
                </pt>
                <pt idx="41">
                  <v>40909</v>
                </pt>
                <pt idx="42">
                  <v>40940</v>
                </pt>
                <pt idx="43">
                  <v>40969</v>
                </pt>
                <pt idx="44">
                  <v>41000</v>
                </pt>
                <pt idx="45">
                  <v>41030</v>
                </pt>
                <pt idx="46">
                  <v>41061</v>
                </pt>
                <pt idx="47">
                  <v>41091</v>
                </pt>
                <pt idx="48">
                  <v>41122</v>
                </pt>
                <pt idx="49">
                  <v>41153</v>
                </pt>
                <pt idx="50">
                  <v>41183</v>
                </pt>
                <pt idx="51">
                  <v>41214</v>
                </pt>
                <pt idx="52">
                  <v>41244</v>
                </pt>
                <pt idx="53">
                  <v>41275</v>
                </pt>
                <pt idx="54">
                  <v>41306</v>
                </pt>
                <pt idx="55">
                  <v>41334</v>
                </pt>
                <pt idx="56">
                  <v>41365</v>
                </pt>
                <pt idx="57">
                  <v>41395</v>
                </pt>
                <pt idx="58">
                  <v>41426</v>
                </pt>
                <pt idx="59">
                  <v>41456</v>
                </pt>
                <pt idx="60">
                  <v>41487</v>
                </pt>
                <pt idx="61">
                  <v>41518</v>
                </pt>
                <pt idx="62">
                  <v>41548</v>
                </pt>
                <pt idx="63">
                  <v>41579</v>
                </pt>
                <pt idx="64">
                  <v>41609</v>
                </pt>
                <pt idx="65">
                  <v>41640</v>
                </pt>
                <pt idx="66">
                  <v>41671</v>
                </pt>
                <pt idx="67">
                  <v>41699</v>
                </pt>
                <pt idx="68">
                  <v>41730</v>
                </pt>
                <pt idx="69">
                  <v>41760</v>
                </pt>
                <pt idx="70">
                  <v>41791</v>
                </pt>
                <pt idx="71">
                  <v>41821</v>
                </pt>
                <pt idx="72">
                  <v>41852</v>
                </pt>
                <pt idx="73">
                  <v>41883</v>
                </pt>
                <pt idx="74">
                  <v>41913</v>
                </pt>
                <pt idx="75">
                  <v>41944</v>
                </pt>
                <pt idx="76">
                  <v>41974</v>
                </pt>
                <pt idx="77">
                  <v>42005</v>
                </pt>
                <pt idx="78">
                  <v>42036</v>
                </pt>
                <pt idx="79">
                  <v>42064</v>
                </pt>
                <pt idx="80">
                  <v>42095</v>
                </pt>
                <pt idx="81">
                  <v>42125</v>
                </pt>
                <pt idx="82">
                  <v>42156</v>
                </pt>
                <pt idx="83">
                  <v>42186</v>
                </pt>
                <pt idx="84">
                  <v>42217</v>
                </pt>
                <pt idx="85">
                  <v>42248</v>
                </pt>
                <pt idx="86">
                  <v>42278</v>
                </pt>
                <pt idx="87">
                  <v>42309</v>
                </pt>
                <pt idx="88">
                  <v>42339</v>
                </pt>
                <pt idx="89">
                  <v>42370</v>
                </pt>
                <pt idx="90">
                  <v>42401</v>
                </pt>
                <pt idx="91">
                  <v>42430</v>
                </pt>
                <pt idx="92">
                  <v>42461</v>
                </pt>
                <pt idx="93">
                  <v>42491</v>
                </pt>
                <pt idx="94">
                  <v>42522</v>
                </pt>
                <pt idx="95">
                  <v>42552</v>
                </pt>
                <pt idx="96">
                  <v>42583</v>
                </pt>
                <pt idx="97">
                  <v>42614</v>
                </pt>
                <pt idx="98">
                  <v>42644</v>
                </pt>
                <pt idx="99">
                  <v>42675</v>
                </pt>
                <pt idx="100">
                  <v>42705</v>
                </pt>
                <pt idx="101">
                  <v>42736</v>
                </pt>
                <pt idx="102">
                  <v>42767</v>
                </pt>
                <pt idx="103">
                  <v>42795</v>
                </pt>
                <pt idx="104">
                  <v>42826</v>
                </pt>
                <pt idx="105">
                  <v>42856</v>
                </pt>
                <pt idx="106">
                  <v>42887</v>
                </pt>
                <pt idx="107">
                  <v>42917</v>
                </pt>
                <pt idx="108">
                  <v>42948</v>
                </pt>
                <pt idx="109">
                  <v>42979</v>
                </pt>
                <pt idx="110">
                  <v>43009</v>
                </pt>
                <pt idx="111">
                  <v>43040</v>
                </pt>
                <pt idx="112">
                  <v>43070</v>
                </pt>
                <pt idx="113">
                  <v>43101</v>
                </pt>
                <pt idx="114">
                  <v>43132</v>
                </pt>
                <pt idx="115">
                  <v>43160</v>
                </pt>
                <pt idx="116">
                  <v>43191</v>
                </pt>
                <pt idx="117">
                  <v>43221</v>
                </pt>
                <pt idx="118">
                  <v>43252</v>
                </pt>
                <pt idx="119">
                  <v>43282</v>
                </pt>
                <pt idx="120">
                  <v>43313</v>
                </pt>
                <pt idx="121">
                  <v>43344</v>
                </pt>
                <pt idx="122">
                  <v>43374</v>
                </pt>
                <pt idx="123">
                  <v>43405</v>
                </pt>
                <pt idx="124">
                  <v>43435</v>
                </pt>
                <pt idx="125">
                  <v>43466</v>
                </pt>
                <pt idx="126">
                  <v>43497</v>
                </pt>
                <pt idx="127">
                  <v>43525</v>
                </pt>
                <pt idx="128">
                  <v>43556</v>
                </pt>
                <pt idx="129">
                  <v>43586</v>
                </pt>
                <pt idx="130">
                  <v>43617</v>
                </pt>
                <pt idx="131">
                  <v>43647</v>
                </pt>
                <pt idx="132">
                  <v>43678</v>
                </pt>
                <pt idx="133">
                  <v>43709</v>
                </pt>
                <pt idx="134">
                  <v>43739</v>
                </pt>
                <pt idx="135">
                  <v>43770</v>
                </pt>
                <pt idx="136">
                  <v>43800</v>
                </pt>
                <pt idx="137">
                  <v>43831</v>
                </pt>
                <pt idx="138">
                  <v>43862</v>
                </pt>
                <pt idx="139">
                  <v>43891</v>
                </pt>
                <pt idx="140">
                  <v>43922</v>
                </pt>
                <pt idx="141">
                  <v>43952</v>
                </pt>
                <pt idx="142">
                  <v>43983</v>
                </pt>
                <pt idx="143">
                  <v>44013</v>
                </pt>
                <pt idx="144">
                  <v>44044</v>
                </pt>
                <pt idx="145">
                  <v>44075</v>
                </pt>
                <pt idx="146">
                  <v>44105</v>
                </pt>
                <pt idx="147">
                  <v>44136</v>
                </pt>
                <pt idx="148">
                  <v>44166</v>
                </pt>
                <pt idx="149">
                  <v>44197</v>
                </pt>
                <pt idx="150">
                  <v>44228</v>
                </pt>
                <pt idx="151">
                  <v>44256</v>
                </pt>
                <pt idx="152">
                  <v>44287</v>
                </pt>
                <pt idx="153">
                  <v>44317</v>
                </pt>
                <pt idx="154">
                  <v>44348</v>
                </pt>
                <pt idx="155">
                  <v>44378</v>
                </pt>
                <pt idx="156">
                  <v>44409</v>
                </pt>
                <pt idx="157">
                  <v>44440</v>
                </pt>
                <pt idx="158">
                  <v>44470</v>
                </pt>
                <pt idx="159">
                  <v>44501</v>
                </pt>
                <pt idx="160">
                  <v>44531</v>
                </pt>
                <pt idx="161">
                  <v>44562</v>
                </pt>
                <pt idx="162">
                  <v>44593</v>
                </pt>
                <pt idx="163">
                  <v>44621</v>
                </pt>
              </numCache>
            </numRef>
          </cat>
          <val>
            <numRef>
              <f>France!$B$6:$B$169</f>
              <numCache>
                <formatCode>General</formatCode>
                <ptCount val="164"/>
                <pt idx="0">
                  <v>48</v>
                </pt>
                <pt idx="1">
                  <v>50.1</v>
                </pt>
                <pt idx="2">
                  <v>47.5</v>
                </pt>
                <pt idx="3">
                  <v>46.2</v>
                </pt>
                <pt idx="4">
                  <v>44.2</v>
                </pt>
                <pt idx="5">
                  <v>42.6</v>
                </pt>
                <pt idx="6">
                  <v>40.2</v>
                </pt>
                <pt idx="7">
                  <v>43.6</v>
                </pt>
                <pt idx="8">
                  <v>46.5</v>
                </pt>
                <pt idx="9">
                  <v>48.3</v>
                </pt>
                <pt idx="10">
                  <v>47.2</v>
                </pt>
                <pt idx="11">
                  <v>45.5</v>
                </pt>
                <pt idx="12">
                  <v>49.3</v>
                </pt>
                <pt idx="13">
                  <v>53.2</v>
                </pt>
                <pt idx="14">
                  <v>57.7</v>
                </pt>
                <pt idx="15">
                  <v>60.9</v>
                </pt>
                <pt idx="16">
                  <v>58.2</v>
                </pt>
                <pt idx="17">
                  <v>56.3</v>
                </pt>
                <pt idx="18">
                  <v>54.6</v>
                </pt>
                <pt idx="19">
                  <v>53.8</v>
                </pt>
                <pt idx="20">
                  <v>59.2</v>
                </pt>
                <pt idx="21">
                  <v>61.4</v>
                </pt>
                <pt idx="22">
                  <v>60.8</v>
                </pt>
                <pt idx="23">
                  <v>61.1</v>
                </pt>
                <pt idx="24">
                  <v>60.4</v>
                </pt>
                <pt idx="25">
                  <v>58.2</v>
                </pt>
                <pt idx="26">
                  <v>54.8</v>
                </pt>
                <pt idx="27">
                  <v>55</v>
                </pt>
                <pt idx="28">
                  <v>57.1</v>
                </pt>
                <pt idx="29">
                  <v>58.3</v>
                </pt>
                <pt idx="30">
                  <v>59.7</v>
                </pt>
                <pt idx="31">
                  <v>60.4</v>
                </pt>
                <pt idx="32">
                  <v>62.9</v>
                </pt>
                <pt idx="33">
                  <v>62.5</v>
                </pt>
                <pt idx="34">
                  <v>56.1</v>
                </pt>
                <pt idx="35">
                  <v>54.2</v>
                </pt>
                <pt idx="36">
                  <v>52.3</v>
                </pt>
                <pt idx="37">
                  <v>51.5</v>
                </pt>
                <pt idx="38">
                  <v>44.6</v>
                </pt>
                <pt idx="39">
                  <v>49.6</v>
                </pt>
                <pt idx="40">
                  <v>50.3</v>
                </pt>
                <pt idx="41">
                  <v>52.3</v>
                </pt>
                <pt idx="42">
                  <v>50</v>
                </pt>
                <pt idx="43">
                  <v>50.1</v>
                </pt>
                <pt idx="44">
                  <v>45.2</v>
                </pt>
                <pt idx="45">
                  <v>45.1</v>
                </pt>
                <pt idx="46">
                  <v>47.9</v>
                </pt>
                <pt idx="47">
                  <v>50</v>
                </pt>
                <pt idx="48">
                  <v>49.2</v>
                </pt>
                <pt idx="49">
                  <v>45</v>
                </pt>
                <pt idx="50">
                  <v>44.6</v>
                </pt>
                <pt idx="51">
                  <v>45.8</v>
                </pt>
                <pt idx="52">
                  <v>44.1</v>
                </pt>
                <pt idx="53">
                  <v>43.6</v>
                </pt>
                <pt idx="54">
                  <v>43.7</v>
                </pt>
                <pt idx="55">
                  <v>41.3</v>
                </pt>
                <pt idx="56">
                  <v>44.3</v>
                </pt>
                <pt idx="57">
                  <v>44.3</v>
                </pt>
                <pt idx="58">
                  <v>47.2</v>
                </pt>
                <pt idx="59">
                  <v>48.6</v>
                </pt>
                <pt idx="60">
                  <v>48.9</v>
                </pt>
                <pt idx="61">
                  <v>51</v>
                </pt>
                <pt idx="62">
                  <v>50.9</v>
                </pt>
                <pt idx="63">
                  <v>48</v>
                </pt>
                <pt idx="64">
                  <v>48.1</v>
                </pt>
                <pt idx="65">
                  <v>48.9</v>
                </pt>
                <pt idx="66">
                  <v>47.2</v>
                </pt>
                <pt idx="67">
                  <v>51.5</v>
                </pt>
                <pt idx="68">
                  <v>50.4</v>
                </pt>
                <pt idx="69">
                  <v>49.1</v>
                </pt>
                <pt idx="70">
                  <v>48.2</v>
                </pt>
                <pt idx="71">
                  <v>50.4</v>
                </pt>
                <pt idx="72">
                  <v>50.3</v>
                </pt>
                <pt idx="73">
                  <v>48.4</v>
                </pt>
                <pt idx="74">
                  <v>48.3</v>
                </pt>
                <pt idx="75">
                  <v>47.9</v>
                </pt>
                <pt idx="76">
                  <v>50.6</v>
                </pt>
                <pt idx="77">
                  <v>49.4</v>
                </pt>
                <pt idx="78">
                  <v>53.4</v>
                </pt>
                <pt idx="79">
                  <v>52.4</v>
                </pt>
                <pt idx="80">
                  <v>51.4</v>
                </pt>
                <pt idx="81">
                  <v>52.8</v>
                </pt>
                <pt idx="82">
                  <v>54.1</v>
                </pt>
                <pt idx="83">
                  <v>52</v>
                </pt>
                <pt idx="84">
                  <v>50.6</v>
                </pt>
                <pt idx="85">
                  <v>51.9</v>
                </pt>
                <pt idx="86">
                  <v>52.7</v>
                </pt>
                <pt idx="87">
                  <v>51</v>
                </pt>
                <pt idx="88">
                  <v>49.8</v>
                </pt>
                <pt idx="89">
                  <v>50.3</v>
                </pt>
                <pt idx="90">
                  <v>49.2</v>
                </pt>
                <pt idx="91">
                  <v>49.9</v>
                </pt>
                <pt idx="92">
                  <v>50.6</v>
                </pt>
                <pt idx="93">
                  <v>51.6</v>
                </pt>
                <pt idx="94">
                  <v>49.9</v>
                </pt>
                <pt idx="95">
                  <v>50.5</v>
                </pt>
                <pt idx="96">
                  <v>52.3</v>
                </pt>
                <pt idx="97">
                  <v>53.3</v>
                </pt>
                <pt idx="98">
                  <v>51.4</v>
                </pt>
                <pt idx="99">
                  <v>51.6</v>
                </pt>
                <pt idx="100">
                  <v>52.9</v>
                </pt>
                <pt idx="101">
                  <v>54.1</v>
                </pt>
                <pt idx="102">
                  <v>56.4</v>
                </pt>
                <pt idx="103">
                  <v>57.5</v>
                </pt>
                <pt idx="104">
                  <v>56.7</v>
                </pt>
                <pt idx="105">
                  <v>57.2</v>
                </pt>
                <pt idx="106">
                  <v>56.9</v>
                </pt>
                <pt idx="107">
                  <v>56</v>
                </pt>
                <pt idx="108">
                  <v>54.9</v>
                </pt>
                <pt idx="109">
                  <v>57</v>
                </pt>
                <pt idx="110">
                  <v>57.3</v>
                </pt>
                <pt idx="111">
                  <v>60.4</v>
                </pt>
                <pt idx="112">
                  <v>59.1</v>
                </pt>
                <pt idx="113">
                  <v>59.2</v>
                </pt>
                <pt idx="114">
                  <v>57.4</v>
                </pt>
                <pt idx="115">
                  <v>56.8</v>
                </pt>
                <pt idx="116">
                  <v>57.4</v>
                </pt>
                <pt idx="117">
                  <v>54.3</v>
                </pt>
                <pt idx="118">
                  <v>55.9</v>
                </pt>
                <pt idx="119">
                  <v>54.9</v>
                </pt>
                <pt idx="120">
                  <v>55.4</v>
                </pt>
                <pt idx="121">
                  <v>54.8</v>
                </pt>
                <pt idx="122">
                  <v>55.3</v>
                </pt>
                <pt idx="123">
                  <v>55.1</v>
                </pt>
                <pt idx="124">
                  <v>49</v>
                </pt>
                <pt idx="125">
                  <v>47.8</v>
                </pt>
                <pt idx="126">
                  <v>50.2</v>
                </pt>
                <pt idx="127">
                  <v>49.1</v>
                </pt>
                <pt idx="128">
                  <v>50.5</v>
                </pt>
                <pt idx="129">
                  <v>51.5</v>
                </pt>
                <pt idx="130">
                  <v>52.9</v>
                </pt>
                <pt idx="131">
                  <v>52.6</v>
                </pt>
                <pt idx="132">
                  <v>53.4</v>
                </pt>
                <pt idx="133">
                  <v>51.1</v>
                </pt>
                <pt idx="134">
                  <v>52.9</v>
                </pt>
                <pt idx="135">
                  <v>52.2</v>
                </pt>
                <pt idx="136">
                  <v>52.4</v>
                </pt>
                <pt idx="137">
                  <v>51</v>
                </pt>
                <pt idx="138">
                  <v>52.5</v>
                </pt>
                <pt idx="139">
                  <v>27.4</v>
                </pt>
                <pt idx="140">
                  <v>10.2</v>
                </pt>
                <pt idx="141">
                  <v>31.1</v>
                </pt>
                <pt idx="142">
                  <v>50.7</v>
                </pt>
                <pt idx="143">
                  <v>57.3</v>
                </pt>
                <pt idx="144">
                  <v>51.5</v>
                </pt>
                <pt idx="145">
                  <v>47.5</v>
                </pt>
                <pt idx="146">
                  <v>46.5</v>
                </pt>
                <pt idx="147">
                  <v>38.8</v>
                </pt>
                <pt idx="148">
                  <v>49.1</v>
                </pt>
                <pt idx="149">
                  <v>47.3</v>
                </pt>
                <pt idx="150">
                  <v>45.6</v>
                </pt>
                <pt idx="151">
                  <v>48.2</v>
                </pt>
                <pt idx="152">
                  <v>50.3</v>
                </pt>
                <pt idx="153">
                  <v>56.6</v>
                </pt>
                <pt idx="154">
                  <v>57.8</v>
                </pt>
                <pt idx="155">
                  <v>56.8</v>
                </pt>
                <pt idx="156">
                  <v>56.3</v>
                </pt>
                <pt idx="157">
                  <v>56.2</v>
                </pt>
                <pt idx="158">
                  <v>56.6</v>
                </pt>
                <pt idx="159">
                  <v>57.4</v>
                </pt>
                <pt idx="160">
                  <v>57</v>
                </pt>
                <pt idx="161">
                  <v>53.1</v>
                </pt>
                <pt idx="162">
                  <v>57.9</v>
                </pt>
                <pt idx="163">
                  <v>57.4</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7.xml><?xml version="1.0" encoding="utf-8"?>
<chartSpace xmlns="http://schemas.openxmlformats.org/drawingml/2006/chart">
  <chart>
    <title>
      <tx>
        <strRef>
          <f>Germany!$J$2</f>
          <strCache>
            <ptCount val="1"/>
            <pt idx="0">
              <v>Germany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Germany!$B$5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Germany!$A$6:$A$182</f>
              <numCache>
                <formatCode>m/d/yy</formatCode>
                <ptCount val="177"/>
                <pt idx="0">
                  <v>39264</v>
                </pt>
                <pt idx="1">
                  <v>39295</v>
                </pt>
                <pt idx="2">
                  <v>39326</v>
                </pt>
                <pt idx="3">
                  <v>39356</v>
                </pt>
                <pt idx="4">
                  <v>39387</v>
                </pt>
                <pt idx="5">
                  <v>39417</v>
                </pt>
                <pt idx="6">
                  <v>39448</v>
                </pt>
                <pt idx="7">
                  <v>39479</v>
                </pt>
                <pt idx="8">
                  <v>39508</v>
                </pt>
                <pt idx="9">
                  <v>39539</v>
                </pt>
                <pt idx="10">
                  <v>39569</v>
                </pt>
                <pt idx="11">
                  <v>39600</v>
                </pt>
                <pt idx="12">
                  <v>39630</v>
                </pt>
                <pt idx="13">
                  <v>39661</v>
                </pt>
                <pt idx="14">
                  <v>39692</v>
                </pt>
                <pt idx="15">
                  <v>39722</v>
                </pt>
                <pt idx="16">
                  <v>39753</v>
                </pt>
                <pt idx="17">
                  <v>39783</v>
                </pt>
                <pt idx="18">
                  <v>39814</v>
                </pt>
                <pt idx="19">
                  <v>39845</v>
                </pt>
                <pt idx="20">
                  <v>39873</v>
                </pt>
                <pt idx="21">
                  <v>39904</v>
                </pt>
                <pt idx="22">
                  <v>39934</v>
                </pt>
                <pt idx="23">
                  <v>39965</v>
                </pt>
                <pt idx="24">
                  <v>39995</v>
                </pt>
                <pt idx="25">
                  <v>40026</v>
                </pt>
                <pt idx="26">
                  <v>40057</v>
                </pt>
                <pt idx="27">
                  <v>40087</v>
                </pt>
                <pt idx="28">
                  <v>40118</v>
                </pt>
                <pt idx="29">
                  <v>40148</v>
                </pt>
                <pt idx="30">
                  <v>40179</v>
                </pt>
                <pt idx="31">
                  <v>40210</v>
                </pt>
                <pt idx="32">
                  <v>40238</v>
                </pt>
                <pt idx="33">
                  <v>40269</v>
                </pt>
                <pt idx="34">
                  <v>40299</v>
                </pt>
                <pt idx="35">
                  <v>40330</v>
                </pt>
                <pt idx="36">
                  <v>40360</v>
                </pt>
                <pt idx="37">
                  <v>40391</v>
                </pt>
                <pt idx="38">
                  <v>40422</v>
                </pt>
                <pt idx="39">
                  <v>40452</v>
                </pt>
                <pt idx="40">
                  <v>40483</v>
                </pt>
                <pt idx="41">
                  <v>40513</v>
                </pt>
                <pt idx="42">
                  <v>40544</v>
                </pt>
                <pt idx="43">
                  <v>40575</v>
                </pt>
                <pt idx="44">
                  <v>40603</v>
                </pt>
                <pt idx="45">
                  <v>40634</v>
                </pt>
                <pt idx="46">
                  <v>40664</v>
                </pt>
                <pt idx="47">
                  <v>40695</v>
                </pt>
                <pt idx="48">
                  <v>40725</v>
                </pt>
                <pt idx="49">
                  <v>40756</v>
                </pt>
                <pt idx="50">
                  <v>40787</v>
                </pt>
                <pt idx="51">
                  <v>40817</v>
                </pt>
                <pt idx="52">
                  <v>40848</v>
                </pt>
                <pt idx="53">
                  <v>40878</v>
                </pt>
                <pt idx="54">
                  <v>40909</v>
                </pt>
                <pt idx="55">
                  <v>40940</v>
                </pt>
                <pt idx="56">
                  <v>40969</v>
                </pt>
                <pt idx="57">
                  <v>41000</v>
                </pt>
                <pt idx="58">
                  <v>41030</v>
                </pt>
                <pt idx="59">
                  <v>41061</v>
                </pt>
                <pt idx="60">
                  <v>41091</v>
                </pt>
                <pt idx="61">
                  <v>41122</v>
                </pt>
                <pt idx="62">
                  <v>41153</v>
                </pt>
                <pt idx="63">
                  <v>41183</v>
                </pt>
                <pt idx="64">
                  <v>41214</v>
                </pt>
                <pt idx="65">
                  <v>41244</v>
                </pt>
                <pt idx="66">
                  <v>41275</v>
                </pt>
                <pt idx="67">
                  <v>41306</v>
                </pt>
                <pt idx="68">
                  <v>41334</v>
                </pt>
                <pt idx="69">
                  <v>41365</v>
                </pt>
                <pt idx="70">
                  <v>41395</v>
                </pt>
                <pt idx="71">
                  <v>41426</v>
                </pt>
                <pt idx="72">
                  <v>41456</v>
                </pt>
                <pt idx="73">
                  <v>41487</v>
                </pt>
                <pt idx="74">
                  <v>41518</v>
                </pt>
                <pt idx="75">
                  <v>41548</v>
                </pt>
                <pt idx="76">
                  <v>41579</v>
                </pt>
                <pt idx="77">
                  <v>41609</v>
                </pt>
                <pt idx="78">
                  <v>41640</v>
                </pt>
                <pt idx="79">
                  <v>41671</v>
                </pt>
                <pt idx="80">
                  <v>41699</v>
                </pt>
                <pt idx="81">
                  <v>41730</v>
                </pt>
                <pt idx="82">
                  <v>41760</v>
                </pt>
                <pt idx="83">
                  <v>41791</v>
                </pt>
                <pt idx="84">
                  <v>41821</v>
                </pt>
                <pt idx="85">
                  <v>41852</v>
                </pt>
                <pt idx="86">
                  <v>41883</v>
                </pt>
                <pt idx="87">
                  <v>41913</v>
                </pt>
                <pt idx="88">
                  <v>41944</v>
                </pt>
                <pt idx="89">
                  <v>41974</v>
                </pt>
                <pt idx="90">
                  <v>42005</v>
                </pt>
                <pt idx="91">
                  <v>42036</v>
                </pt>
                <pt idx="92">
                  <v>42064</v>
                </pt>
                <pt idx="93">
                  <v>42095</v>
                </pt>
                <pt idx="94">
                  <v>42125</v>
                </pt>
                <pt idx="95">
                  <v>42156</v>
                </pt>
                <pt idx="96">
                  <v>42186</v>
                </pt>
                <pt idx="97">
                  <v>42217</v>
                </pt>
                <pt idx="98">
                  <v>42248</v>
                </pt>
                <pt idx="99">
                  <v>42278</v>
                </pt>
                <pt idx="100">
                  <v>42309</v>
                </pt>
                <pt idx="101">
                  <v>42339</v>
                </pt>
                <pt idx="102">
                  <v>42370</v>
                </pt>
                <pt idx="103">
                  <v>42401</v>
                </pt>
                <pt idx="104">
                  <v>42430</v>
                </pt>
                <pt idx="105">
                  <v>42461</v>
                </pt>
                <pt idx="106">
                  <v>42491</v>
                </pt>
                <pt idx="107">
                  <v>42522</v>
                </pt>
                <pt idx="108">
                  <v>42552</v>
                </pt>
                <pt idx="109">
                  <v>42583</v>
                </pt>
                <pt idx="110">
                  <v>42614</v>
                </pt>
                <pt idx="111">
                  <v>42644</v>
                </pt>
                <pt idx="112">
                  <v>42675</v>
                </pt>
                <pt idx="113">
                  <v>42705</v>
                </pt>
                <pt idx="114">
                  <v>42736</v>
                </pt>
                <pt idx="115">
                  <v>42767</v>
                </pt>
                <pt idx="116">
                  <v>42795</v>
                </pt>
                <pt idx="117">
                  <v>42826</v>
                </pt>
                <pt idx="118">
                  <v>42856</v>
                </pt>
                <pt idx="119">
                  <v>42887</v>
                </pt>
                <pt idx="120">
                  <v>42917</v>
                </pt>
                <pt idx="121">
                  <v>42948</v>
                </pt>
                <pt idx="122">
                  <v>42979</v>
                </pt>
                <pt idx="123">
                  <v>43009</v>
                </pt>
                <pt idx="124">
                  <v>43040</v>
                </pt>
                <pt idx="125">
                  <v>43070</v>
                </pt>
                <pt idx="126">
                  <v>43101</v>
                </pt>
                <pt idx="127">
                  <v>43132</v>
                </pt>
                <pt idx="128">
                  <v>43160</v>
                </pt>
                <pt idx="129">
                  <v>43191</v>
                </pt>
                <pt idx="130">
                  <v>43221</v>
                </pt>
                <pt idx="131">
                  <v>43252</v>
                </pt>
                <pt idx="132">
                  <v>43282</v>
                </pt>
                <pt idx="133">
                  <v>43313</v>
                </pt>
                <pt idx="134">
                  <v>43344</v>
                </pt>
                <pt idx="135">
                  <v>43374</v>
                </pt>
                <pt idx="136">
                  <v>43405</v>
                </pt>
                <pt idx="137">
                  <v>43435</v>
                </pt>
                <pt idx="138">
                  <v>43466</v>
                </pt>
                <pt idx="139">
                  <v>43497</v>
                </pt>
                <pt idx="140">
                  <v>43525</v>
                </pt>
                <pt idx="141">
                  <v>43556</v>
                </pt>
                <pt idx="142">
                  <v>43586</v>
                </pt>
                <pt idx="143">
                  <v>43617</v>
                </pt>
                <pt idx="144">
                  <v>43647</v>
                </pt>
                <pt idx="145">
                  <v>43678</v>
                </pt>
                <pt idx="146">
                  <v>43709</v>
                </pt>
                <pt idx="147">
                  <v>43739</v>
                </pt>
                <pt idx="148">
                  <v>43770</v>
                </pt>
                <pt idx="149">
                  <v>43800</v>
                </pt>
                <pt idx="150">
                  <v>43831</v>
                </pt>
                <pt idx="151">
                  <v>43862</v>
                </pt>
                <pt idx="152">
                  <v>43891</v>
                </pt>
                <pt idx="153">
                  <v>43922</v>
                </pt>
                <pt idx="154">
                  <v>43952</v>
                </pt>
                <pt idx="155">
                  <v>43983</v>
                </pt>
                <pt idx="156">
                  <v>44013</v>
                </pt>
                <pt idx="157">
                  <v>44044</v>
                </pt>
                <pt idx="158">
                  <v>44075</v>
                </pt>
                <pt idx="159">
                  <v>44105</v>
                </pt>
                <pt idx="160">
                  <v>44136</v>
                </pt>
                <pt idx="161">
                  <v>44166</v>
                </pt>
                <pt idx="162">
                  <v>44197</v>
                </pt>
                <pt idx="163">
                  <v>44228</v>
                </pt>
                <pt idx="164">
                  <v>44256</v>
                </pt>
                <pt idx="165">
                  <v>44287</v>
                </pt>
                <pt idx="166">
                  <v>44317</v>
                </pt>
                <pt idx="167">
                  <v>44348</v>
                </pt>
                <pt idx="168">
                  <v>44378</v>
                </pt>
                <pt idx="169">
                  <v>44409</v>
                </pt>
                <pt idx="170">
                  <v>44440</v>
                </pt>
                <pt idx="171">
                  <v>44470</v>
                </pt>
                <pt idx="172">
                  <v>44501</v>
                </pt>
                <pt idx="173">
                  <v>44531</v>
                </pt>
                <pt idx="174">
                  <v>44562</v>
                </pt>
                <pt idx="175">
                  <v>44593</v>
                </pt>
                <pt idx="176">
                  <v>44621</v>
                </pt>
              </numCache>
            </numRef>
          </cat>
          <val>
            <numRef>
              <f>Germany!$B$6:$B$182</f>
              <numCache>
                <formatCode>General</formatCode>
                <ptCount val="177"/>
                <pt idx="0">
                  <v>58.9</v>
                </pt>
                <pt idx="1">
                  <v>59.8</v>
                </pt>
                <pt idx="2">
                  <v>53.1</v>
                </pt>
                <pt idx="3">
                  <v>55.1</v>
                </pt>
                <pt idx="4">
                  <v>53.1</v>
                </pt>
                <pt idx="5">
                  <v>51.5</v>
                </pt>
                <pt idx="6">
                  <v>49.2</v>
                </pt>
                <pt idx="7">
                  <v>52.2</v>
                </pt>
                <pt idx="8">
                  <v>51.8</v>
                </pt>
                <pt idx="9">
                  <v>54.9</v>
                </pt>
                <pt idx="10">
                  <v>53.8</v>
                </pt>
                <pt idx="11">
                  <v>52.1</v>
                </pt>
                <pt idx="12">
                  <v>53.1</v>
                </pt>
                <pt idx="13">
                  <v>51.4</v>
                </pt>
                <pt idx="14">
                  <v>50.2</v>
                </pt>
                <pt idx="15">
                  <v>48.3</v>
                </pt>
                <pt idx="16">
                  <v>45.1</v>
                </pt>
                <pt idx="17">
                  <v>43.1</v>
                </pt>
                <pt idx="18">
                  <v>45.2</v>
                </pt>
                <pt idx="19">
                  <v>41.3</v>
                </pt>
                <pt idx="20">
                  <v>42.3</v>
                </pt>
                <pt idx="21">
                  <v>43.8</v>
                </pt>
                <pt idx="22">
                  <v>45.2</v>
                </pt>
                <pt idx="23">
                  <v>45.2</v>
                </pt>
                <pt idx="24">
                  <v>48.1</v>
                </pt>
                <pt idx="25">
                  <v>53.8</v>
                </pt>
                <pt idx="26">
                  <v>52.2</v>
                </pt>
                <pt idx="27">
                  <v>50.7</v>
                </pt>
                <pt idx="28">
                  <v>51.4</v>
                </pt>
                <pt idx="29">
                  <v>52.1</v>
                </pt>
                <pt idx="30">
                  <v>52.2</v>
                </pt>
                <pt idx="31">
                  <v>51.9</v>
                </pt>
                <pt idx="32">
                  <v>54.9</v>
                </pt>
                <pt idx="33">
                  <v>53.7</v>
                </pt>
                <pt idx="34">
                  <v>54.8</v>
                </pt>
                <pt idx="35">
                  <v>54.8</v>
                </pt>
                <pt idx="36">
                  <v>56.5</v>
                </pt>
                <pt idx="37">
                  <v>57.2</v>
                </pt>
                <pt idx="38">
                  <v>54.9</v>
                </pt>
                <pt idx="39">
                  <v>56</v>
                </pt>
                <pt idx="40">
                  <v>59.2</v>
                </pt>
                <pt idx="41">
                  <v>59.5</v>
                </pt>
                <pt idx="42">
                  <v>60.3</v>
                </pt>
                <pt idx="43">
                  <v>58.6</v>
                </pt>
                <pt idx="44">
                  <v>60.1</v>
                </pt>
                <pt idx="45">
                  <v>56.8</v>
                </pt>
                <pt idx="46">
                  <v>56.1</v>
                </pt>
                <pt idx="47">
                  <v>56.7</v>
                </pt>
                <pt idx="48">
                  <v>52.9</v>
                </pt>
                <pt idx="49">
                  <v>51.1</v>
                </pt>
                <pt idx="50">
                  <v>49.7</v>
                </pt>
                <pt idx="51">
                  <v>50.6</v>
                </pt>
                <pt idx="52">
                  <v>50.3</v>
                </pt>
                <pt idx="53">
                  <v>52.4</v>
                </pt>
                <pt idx="54">
                  <v>53.7</v>
                </pt>
                <pt idx="55">
                  <v>52.8</v>
                </pt>
                <pt idx="56">
                  <v>52.1</v>
                </pt>
                <pt idx="57">
                  <v>52.2</v>
                </pt>
                <pt idx="58">
                  <v>51.8</v>
                </pt>
                <pt idx="59">
                  <v>49.9</v>
                </pt>
                <pt idx="60">
                  <v>50.3</v>
                </pt>
                <pt idx="61">
                  <v>48.3</v>
                </pt>
                <pt idx="62">
                  <v>49.7</v>
                </pt>
                <pt idx="63">
                  <v>48.4</v>
                </pt>
                <pt idx="64">
                  <v>49.7</v>
                </pt>
                <pt idx="65">
                  <v>55.7</v>
                </pt>
                <pt idx="66">
                  <v>54.7</v>
                </pt>
                <pt idx="67">
                  <v>50.9</v>
                </pt>
                <pt idx="68">
                  <v>49.6</v>
                </pt>
                <pt idx="69">
                  <v>49.7</v>
                </pt>
                <pt idx="70">
                  <v>50.4</v>
                </pt>
                <pt idx="71">
                  <v>51.3</v>
                </pt>
                <pt idx="72">
                  <v>52.8</v>
                </pt>
                <pt idx="73">
                  <v>53.7</v>
                </pt>
                <pt idx="74">
                  <v>52.9</v>
                </pt>
                <pt idx="75">
                  <v>55.7</v>
                </pt>
                <pt idx="76">
                  <v>53.5</v>
                </pt>
                <pt idx="77">
                  <v>53.1</v>
                </pt>
                <pt idx="78">
                  <v>55.9</v>
                </pt>
                <pt idx="79">
                  <v>53</v>
                </pt>
                <pt idx="80">
                  <v>54.7</v>
                </pt>
                <pt idx="81">
                  <v>56.4</v>
                </pt>
                <pt idx="82">
                  <v>56</v>
                </pt>
                <pt idx="83">
                  <v>54.6</v>
                </pt>
                <pt idx="84">
                  <v>56.7</v>
                </pt>
                <pt idx="85">
                  <v>54.9</v>
                </pt>
                <pt idx="86">
                  <v>55.7</v>
                </pt>
                <pt idx="87">
                  <v>54.4</v>
                </pt>
                <pt idx="88">
                  <v>52.1</v>
                </pt>
                <pt idx="89">
                  <v>52.1</v>
                </pt>
                <pt idx="90">
                  <v>54</v>
                </pt>
                <pt idx="91">
                  <v>54.7</v>
                </pt>
                <pt idx="92">
                  <v>55.4</v>
                </pt>
                <pt idx="93">
                  <v>54</v>
                </pt>
                <pt idx="94">
                  <v>53</v>
                </pt>
                <pt idx="95">
                  <v>53.8</v>
                </pt>
                <pt idx="96">
                  <v>53.8</v>
                </pt>
                <pt idx="97">
                  <v>54.9</v>
                </pt>
                <pt idx="98">
                  <v>54.1</v>
                </pt>
                <pt idx="99">
                  <v>54.5</v>
                </pt>
                <pt idx="100">
                  <v>55.6</v>
                </pt>
                <pt idx="101">
                  <v>56</v>
                </pt>
                <pt idx="102">
                  <v>55</v>
                </pt>
                <pt idx="103">
                  <v>55.3</v>
                </pt>
                <pt idx="104">
                  <v>55.1</v>
                </pt>
                <pt idx="105">
                  <v>54.5</v>
                </pt>
                <pt idx="106">
                  <v>55.2</v>
                </pt>
                <pt idx="107">
                  <v>53.7</v>
                </pt>
                <pt idx="108">
                  <v>54.4</v>
                </pt>
                <pt idx="109">
                  <v>51.7</v>
                </pt>
                <pt idx="110">
                  <v>50.9</v>
                </pt>
                <pt idx="111">
                  <v>54.2</v>
                </pt>
                <pt idx="112">
                  <v>55.1</v>
                </pt>
                <pt idx="113">
                  <v>54.3</v>
                </pt>
                <pt idx="114">
                  <v>53.4</v>
                </pt>
                <pt idx="115">
                  <v>54.4</v>
                </pt>
                <pt idx="116">
                  <v>55.6</v>
                </pt>
                <pt idx="117">
                  <v>55.4</v>
                </pt>
                <pt idx="118">
                  <v>55.4</v>
                </pt>
                <pt idx="119">
                  <v>54</v>
                </pt>
                <pt idx="120">
                  <v>53.1</v>
                </pt>
                <pt idx="121">
                  <v>53.5</v>
                </pt>
                <pt idx="122">
                  <v>55.6</v>
                </pt>
                <pt idx="123">
                  <v>54.7</v>
                </pt>
                <pt idx="124">
                  <v>54.3</v>
                </pt>
                <pt idx="125">
                  <v>55.8</v>
                </pt>
                <pt idx="126">
                  <v>57.3</v>
                </pt>
                <pt idx="127">
                  <v>55.3</v>
                </pt>
                <pt idx="128">
                  <v>53.9</v>
                </pt>
                <pt idx="129">
                  <v>53</v>
                </pt>
                <pt idx="130">
                  <v>52.1</v>
                </pt>
                <pt idx="131">
                  <v>54.5</v>
                </pt>
                <pt idx="132">
                  <v>54.1</v>
                </pt>
                <pt idx="133">
                  <v>55</v>
                </pt>
                <pt idx="134">
                  <v>55.9</v>
                </pt>
                <pt idx="135">
                  <v>54.7</v>
                </pt>
                <pt idx="136">
                  <v>53.3</v>
                </pt>
                <pt idx="137">
                  <v>51.8</v>
                </pt>
                <pt idx="138">
                  <v>53</v>
                </pt>
                <pt idx="139">
                  <v>55.3</v>
                </pt>
                <pt idx="140">
                  <v>55.4</v>
                </pt>
                <pt idx="141">
                  <v>55.7</v>
                </pt>
                <pt idx="142">
                  <v>55.4</v>
                </pt>
                <pt idx="143">
                  <v>55.8</v>
                </pt>
                <pt idx="144">
                  <v>54.5</v>
                </pt>
                <pt idx="145">
                  <v>54.8</v>
                </pt>
                <pt idx="146">
                  <v>51.4</v>
                </pt>
                <pt idx="147">
                  <v>51.6</v>
                </pt>
                <pt idx="148">
                  <v>51.7</v>
                </pt>
                <pt idx="149">
                  <v>52.9</v>
                </pt>
                <pt idx="150">
                  <v>54.2</v>
                </pt>
                <pt idx="151">
                  <v>52.5</v>
                </pt>
                <pt idx="152">
                  <v>31.7</v>
                </pt>
                <pt idx="153">
                  <v>16.2</v>
                </pt>
                <pt idx="154">
                  <v>32.6</v>
                </pt>
                <pt idx="155">
                  <v>47.3</v>
                </pt>
                <pt idx="156">
                  <v>55.6</v>
                </pt>
                <pt idx="157">
                  <v>52.5</v>
                </pt>
                <pt idx="158">
                  <v>50.6</v>
                </pt>
                <pt idx="159">
                  <v>49.5</v>
                </pt>
                <pt idx="160">
                  <v>46</v>
                </pt>
                <pt idx="161">
                  <v>47</v>
                </pt>
                <pt idx="162">
                  <v>46.7</v>
                </pt>
                <pt idx="163">
                  <v>45.7</v>
                </pt>
                <pt idx="164">
                  <v>51.5</v>
                </pt>
                <pt idx="165">
                  <v>49.9</v>
                </pt>
                <pt idx="166">
                  <v>52.8</v>
                </pt>
                <pt idx="167">
                  <v>57.5</v>
                </pt>
                <pt idx="168">
                  <v>61.8</v>
                </pt>
                <pt idx="169">
                  <v>60.8</v>
                </pt>
                <pt idx="170">
                  <v>56.2</v>
                </pt>
                <pt idx="171">
                  <v>52.4</v>
                </pt>
                <pt idx="172">
                  <v>52.7</v>
                </pt>
                <pt idx="173">
                  <v>48.7</v>
                </pt>
                <pt idx="174">
                  <v>52.2</v>
                </pt>
                <pt idx="175">
                  <v>56.6</v>
                </pt>
                <pt idx="176">
                  <v>55</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8.xml><?xml version="1.0" encoding="utf-8"?>
<chartSpace xmlns="http://schemas.openxmlformats.org/drawingml/2006/chart">
  <chart>
    <title>
      <tx>
        <strRef>
          <f>UK!$J$2</f>
          <strCache>
            <ptCount val="1"/>
            <pt idx="0">
              <v>U.K.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UK!$B$5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UK!$A$6:$A$143</f>
              <numCache>
                <formatCode>m/d/yy</formatCode>
                <ptCount val="13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UK!$B$6:$B$143</f>
              <numCache>
                <formatCode>General</formatCode>
                <ptCount val="138"/>
                <pt idx="0">
                  <v>53.2</v>
                </pt>
                <pt idx="1">
                  <v>53</v>
                </pt>
                <pt idx="2">
                  <v>53.9</v>
                </pt>
                <pt idx="3">
                  <v>54.5</v>
                </pt>
                <pt idx="4">
                  <v>52.6</v>
                </pt>
                <pt idx="5">
                  <v>57.1</v>
                </pt>
                <pt idx="6">
                  <v>54.3</v>
                </pt>
                <pt idx="7">
                  <v>53.8</v>
                </pt>
                <pt idx="8">
                  <v>53.9</v>
                </pt>
                <pt idx="9">
                  <v>55.4</v>
                </pt>
                <pt idx="10">
                  <v>51.1</v>
                </pt>
                <pt idx="11">
                  <v>52.9</v>
                </pt>
                <pt idx="12">
                  <v>51.3</v>
                </pt>
                <pt idx="13">
                  <v>52.1</v>
                </pt>
                <pt idx="14">
                  <v>54</v>
                </pt>
                <pt idx="15">
                  <v>56</v>
                </pt>
                <pt idx="16">
                  <v>53.8</v>
                </pt>
                <pt idx="17">
                  <v>55.3</v>
                </pt>
                <pt idx="18">
                  <v>53.3</v>
                </pt>
                <pt idx="19">
                  <v>53.3</v>
                </pt>
                <pt idx="20">
                  <v>51.3</v>
                </pt>
                <pt idx="21">
                  <v>51.3</v>
                </pt>
                <pt idx="22">
                  <v>51</v>
                </pt>
                <pt idx="23">
                  <v>53.7</v>
                </pt>
                <pt idx="24">
                  <v>52.2</v>
                </pt>
                <pt idx="25">
                  <v>50.6</v>
                </pt>
                <pt idx="26">
                  <v>50.2</v>
                </pt>
                <pt idx="27">
                  <v>51.5</v>
                </pt>
                <pt idx="28">
                  <v>51.8</v>
                </pt>
                <pt idx="29">
                  <v>52.4</v>
                </pt>
                <pt idx="30">
                  <v>52.9</v>
                </pt>
                <pt idx="31">
                  <v>54.9</v>
                </pt>
                <pt idx="32">
                  <v>56.9</v>
                </pt>
                <pt idx="33">
                  <v>60.2</v>
                </pt>
                <pt idx="34">
                  <v>60.5</v>
                </pt>
                <pt idx="35">
                  <v>60.3</v>
                </pt>
                <pt idx="36">
                  <v>62.5</v>
                </pt>
                <pt idx="37">
                  <v>60</v>
                </pt>
                <pt idx="38">
                  <v>58.8</v>
                </pt>
                <pt idx="39">
                  <v>58.3</v>
                </pt>
                <pt idx="40">
                  <v>58.2</v>
                </pt>
                <pt idx="41">
                  <v>57.6</v>
                </pt>
                <pt idx="42">
                  <v>58.7</v>
                </pt>
                <pt idx="43">
                  <v>58.6</v>
                </pt>
                <pt idx="44">
                  <v>57.7</v>
                </pt>
                <pt idx="45">
                  <v>59.1</v>
                </pt>
                <pt idx="46">
                  <v>60.5</v>
                </pt>
                <pt idx="47">
                  <v>58.7</v>
                </pt>
                <pt idx="48">
                  <v>56.2</v>
                </pt>
                <pt idx="49">
                  <v>58.6</v>
                </pt>
                <pt idx="50">
                  <v>55.8</v>
                </pt>
                <pt idx="51">
                  <v>57.2</v>
                </pt>
                <pt idx="52">
                  <v>56.7</v>
                </pt>
                <pt idx="53">
                  <v>58.9</v>
                </pt>
                <pt idx="54">
                  <v>59.5</v>
                </pt>
                <pt idx="55">
                  <v>56.5</v>
                </pt>
                <pt idx="56">
                  <v>58.5</v>
                </pt>
                <pt idx="57">
                  <v>57.4</v>
                </pt>
                <pt idx="58">
                  <v>55.6</v>
                </pt>
                <pt idx="59">
                  <v>53.3</v>
                </pt>
                <pt idx="60">
                  <v>54.9</v>
                </pt>
                <pt idx="61">
                  <v>55.9</v>
                </pt>
                <pt idx="62">
                  <v>55.5</v>
                </pt>
                <pt idx="63">
                  <v>55.6</v>
                </pt>
                <pt idx="64">
                  <v>52.7</v>
                </pt>
                <pt idx="65">
                  <v>53.7</v>
                </pt>
                <pt idx="66">
                  <v>52.3</v>
                </pt>
                <pt idx="67">
                  <v>53.5</v>
                </pt>
                <pt idx="68">
                  <v>52.3</v>
                </pt>
                <pt idx="69">
                  <v>47.4</v>
                </pt>
                <pt idx="70">
                  <v>52.9</v>
                </pt>
                <pt idx="71">
                  <v>52.6</v>
                </pt>
                <pt idx="72">
                  <v>54.5</v>
                </pt>
                <pt idx="73">
                  <v>55.2</v>
                </pt>
                <pt idx="74">
                  <v>56.2</v>
                </pt>
                <pt idx="75">
                  <v>54.5</v>
                </pt>
                <pt idx="76">
                  <v>53.3</v>
                </pt>
                <pt idx="77">
                  <v>55</v>
                </pt>
                <pt idx="78">
                  <v>55.8</v>
                </pt>
                <pt idx="79">
                  <v>53.8</v>
                </pt>
                <pt idx="80">
                  <v>53.4</v>
                </pt>
                <pt idx="81">
                  <v>53.8</v>
                </pt>
                <pt idx="82">
                  <v>53.2</v>
                </pt>
                <pt idx="83">
                  <v>53.6</v>
                </pt>
                <pt idx="84">
                  <v>55.6</v>
                </pt>
                <pt idx="85">
                  <v>53.8</v>
                </pt>
                <pt idx="86">
                  <v>54.2</v>
                </pt>
                <pt idx="87">
                  <v>53</v>
                </pt>
                <pt idx="88">
                  <v>54.5</v>
                </pt>
                <pt idx="89">
                  <v>51.7</v>
                </pt>
                <pt idx="90">
                  <v>52.8</v>
                </pt>
                <pt idx="91">
                  <v>54</v>
                </pt>
                <pt idx="92">
                  <v>55.1</v>
                </pt>
                <pt idx="93">
                  <v>53.5</v>
                </pt>
                <pt idx="94">
                  <v>54.3</v>
                </pt>
                <pt idx="95">
                  <v>53.9</v>
                </pt>
                <pt idx="96">
                  <v>52.2</v>
                </pt>
                <pt idx="97">
                  <v>50.4</v>
                </pt>
                <pt idx="98">
                  <v>51.2</v>
                </pt>
                <pt idx="99">
                  <v>50.1</v>
                </pt>
                <pt idx="100">
                  <v>51.3</v>
                </pt>
                <pt idx="101">
                  <v>48.9</v>
                </pt>
                <pt idx="102">
                  <v>50.4</v>
                </pt>
                <pt idx="103">
                  <v>51</v>
                </pt>
                <pt idx="104">
                  <v>50.2</v>
                </pt>
                <pt idx="105">
                  <v>51.4</v>
                </pt>
                <pt idx="106">
                  <v>50.6</v>
                </pt>
                <pt idx="107">
                  <v>49.5</v>
                </pt>
                <pt idx="108">
                  <v>50</v>
                </pt>
                <pt idx="109">
                  <v>49.3</v>
                </pt>
                <pt idx="110">
                  <v>50</v>
                </pt>
                <pt idx="111">
                  <v>53.9</v>
                </pt>
                <pt idx="112">
                  <v>53.2</v>
                </pt>
                <pt idx="113">
                  <v>34.5</v>
                </pt>
                <pt idx="114">
                  <v>13.4</v>
                </pt>
                <pt idx="115">
                  <v>29</v>
                </pt>
                <pt idx="116">
                  <v>47.1</v>
                </pt>
                <pt idx="117">
                  <v>56.5</v>
                </pt>
                <pt idx="118">
                  <v>58.8</v>
                </pt>
                <pt idx="119">
                  <v>56.1</v>
                </pt>
                <pt idx="120">
                  <v>51.4</v>
                </pt>
                <pt idx="121">
                  <v>47.6</v>
                </pt>
                <pt idx="122">
                  <v>49.4</v>
                </pt>
                <pt idx="123">
                  <v>39.5</v>
                </pt>
                <pt idx="124">
                  <v>49.5</v>
                </pt>
                <pt idx="125">
                  <v>56.3</v>
                </pt>
                <pt idx="126">
                  <v>60.1</v>
                </pt>
                <pt idx="127">
                  <v>62.9</v>
                </pt>
                <pt idx="128">
                  <v>62.4</v>
                </pt>
                <pt idx="129">
                  <v>59.6</v>
                </pt>
                <pt idx="130">
                  <v>55</v>
                </pt>
                <pt idx="131">
                  <v>55.4</v>
                </pt>
                <pt idx="132">
                  <v>59.1</v>
                </pt>
                <pt idx="133">
                  <v>58.5</v>
                </pt>
                <pt idx="134">
                  <v>53.6</v>
                </pt>
                <pt idx="135">
                  <v>54.1</v>
                </pt>
                <pt idx="136">
                  <v>60.8</v>
                </pt>
                <pt idx="137">
                  <v>61</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9.xml><?xml version="1.0" encoding="utf-8"?>
<chartSpace xmlns="http://schemas.openxmlformats.org/drawingml/2006/chart">
  <chart>
    <title>
      <tx>
        <strRef>
          <f>India!$J$2</f>
          <strCache>
            <ptCount val="1"/>
            <pt idx="0">
              <v>India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India!$B$5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India!$A$6:$A$143</f>
              <numCache>
                <formatCode>m/d/yy</formatCode>
                <ptCount val="13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India!$B$6:$B$143</f>
              <numCache>
                <formatCode>General</formatCode>
                <ptCount val="138"/>
                <pt idx="0">
                  <v>58.4</v>
                </pt>
                <pt idx="1">
                  <v>61.3</v>
                </pt>
                <pt idx="2">
                  <v>62.1</v>
                </pt>
                <pt idx="3">
                  <v>59.4</v>
                </pt>
                <pt idx="4">
                  <v>61</v>
                </pt>
                <pt idx="5">
                  <v>60</v>
                </pt>
                <pt idx="6">
                  <v>59.2</v>
                </pt>
                <pt idx="7">
                  <v>57.7</v>
                </pt>
                <pt idx="8">
                  <v>56.1</v>
                </pt>
                <pt idx="9">
                  <v>58.2</v>
                </pt>
                <pt idx="10">
                  <v>56.7</v>
                </pt>
                <pt idx="11">
                  <v>49.8</v>
                </pt>
                <pt idx="12">
                  <v>49.1</v>
                </pt>
                <pt idx="13">
                  <v>53.2</v>
                </pt>
                <pt idx="14">
                  <v>54.2</v>
                </pt>
                <pt idx="15">
                  <v>55.1</v>
                </pt>
                <pt idx="16">
                  <v>53.4</v>
                </pt>
                <pt idx="17">
                  <v>54.1</v>
                </pt>
                <pt idx="18">
                  <v>52.3</v>
                </pt>
                <pt idx="19">
                  <v>52.8</v>
                </pt>
                <pt idx="20">
                  <v>54.7</v>
                </pt>
                <pt idx="21">
                  <v>54.3</v>
                </pt>
                <pt idx="22">
                  <v>54.2</v>
                </pt>
                <pt idx="23">
                  <v>55</v>
                </pt>
                <pt idx="24">
                  <v>55.8</v>
                </pt>
                <pt idx="25">
                  <v>53.8</v>
                </pt>
                <pt idx="26">
                  <v>52.1</v>
                </pt>
                <pt idx="27">
                  <v>57.5</v>
                </pt>
                <pt idx="28">
                  <v>54.2</v>
                </pt>
                <pt idx="29">
                  <v>51.4</v>
                </pt>
                <pt idx="30">
                  <v>50.7</v>
                </pt>
                <pt idx="31">
                  <v>53.6</v>
                </pt>
                <pt idx="32">
                  <v>51.7</v>
                </pt>
                <pt idx="33">
                  <v>47.9</v>
                </pt>
                <pt idx="34">
                  <v>47.6</v>
                </pt>
                <pt idx="35">
                  <v>44.6</v>
                </pt>
                <pt idx="36">
                  <v>47.1</v>
                </pt>
                <pt idx="37">
                  <v>47.2</v>
                </pt>
                <pt idx="38">
                  <v>47.9</v>
                </pt>
                <pt idx="39">
                  <v>48.3</v>
                </pt>
                <pt idx="40">
                  <v>48.8</v>
                </pt>
                <pt idx="41">
                  <v>47.5</v>
                </pt>
                <pt idx="42">
                  <v>48.5</v>
                </pt>
                <pt idx="43">
                  <v>50.7</v>
                </pt>
                <pt idx="44">
                  <v>54.4</v>
                </pt>
                <pt idx="45">
                  <v>52.2</v>
                </pt>
                <pt idx="46">
                  <v>50.6</v>
                </pt>
                <pt idx="47">
                  <v>51.6</v>
                </pt>
                <pt idx="48">
                  <v>50</v>
                </pt>
                <pt idx="49">
                  <v>52.6</v>
                </pt>
                <pt idx="50">
                  <v>51.1</v>
                </pt>
                <pt idx="51">
                  <v>52.4</v>
                </pt>
                <pt idx="52">
                  <v>53.9</v>
                </pt>
                <pt idx="53">
                  <v>53</v>
                </pt>
                <pt idx="54">
                  <v>52.4</v>
                </pt>
                <pt idx="55">
                  <v>49.6</v>
                </pt>
                <pt idx="56">
                  <v>47.7</v>
                </pt>
                <pt idx="57">
                  <v>50.8</v>
                </pt>
                <pt idx="58">
                  <v>51.8</v>
                </pt>
                <pt idx="59">
                  <v>51.3</v>
                </pt>
                <pt idx="60">
                  <v>53.2</v>
                </pt>
                <pt idx="61">
                  <v>50.1</v>
                </pt>
                <pt idx="62">
                  <v>53.6</v>
                </pt>
                <pt idx="63">
                  <v>54.3</v>
                </pt>
                <pt idx="64">
                  <v>51.4</v>
                </pt>
                <pt idx="65">
                  <v>54.3</v>
                </pt>
                <pt idx="66">
                  <v>53.7</v>
                </pt>
                <pt idx="67">
                  <v>51</v>
                </pt>
                <pt idx="68">
                  <v>50.3</v>
                </pt>
                <pt idx="69">
                  <v>51.9</v>
                </pt>
                <pt idx="70">
                  <v>54.7</v>
                </pt>
                <pt idx="71">
                  <v>52</v>
                </pt>
                <pt idx="72">
                  <v>54.5</v>
                </pt>
                <pt idx="73">
                  <v>46.7</v>
                </pt>
                <pt idx="74">
                  <v>46.8</v>
                </pt>
                <pt idx="75">
                  <v>48.7</v>
                </pt>
                <pt idx="76">
                  <v>50.3</v>
                </pt>
                <pt idx="77">
                  <v>51.5</v>
                </pt>
                <pt idx="78">
                  <v>50.2</v>
                </pt>
                <pt idx="79">
                  <v>52.2</v>
                </pt>
                <pt idx="80">
                  <v>53.1</v>
                </pt>
                <pt idx="81">
                  <v>45.9</v>
                </pt>
                <pt idx="82">
                  <v>47.5</v>
                </pt>
                <pt idx="83">
                  <v>50.7</v>
                </pt>
                <pt idx="84">
                  <v>51.7</v>
                </pt>
                <pt idx="85">
                  <v>48.5</v>
                </pt>
                <pt idx="86">
                  <v>50.9</v>
                </pt>
                <pt idx="87">
                  <v>51.7</v>
                </pt>
                <pt idx="88">
                  <v>47.8</v>
                </pt>
                <pt idx="89">
                  <v>50.3</v>
                </pt>
                <pt idx="90">
                  <v>51.4</v>
                </pt>
                <pt idx="91">
                  <v>49.6</v>
                </pt>
                <pt idx="92">
                  <v>52.6</v>
                </pt>
                <pt idx="93">
                  <v>54.2</v>
                </pt>
                <pt idx="94">
                  <v>51.5</v>
                </pt>
                <pt idx="95">
                  <v>50.9</v>
                </pt>
                <pt idx="96">
                  <v>52.2</v>
                </pt>
                <pt idx="97">
                  <v>53.7</v>
                </pt>
                <pt idx="98">
                  <v>53.2</v>
                </pt>
                <pt idx="99">
                  <v>52.2</v>
                </pt>
                <pt idx="100">
                  <v>52.5</v>
                </pt>
                <pt idx="101">
                  <v>52</v>
                </pt>
                <pt idx="102">
                  <v>51</v>
                </pt>
                <pt idx="103">
                  <v>50.2</v>
                </pt>
                <pt idx="104">
                  <v>49.6</v>
                </pt>
                <pt idx="105">
                  <v>53.8</v>
                </pt>
                <pt idx="106">
                  <v>52.4</v>
                </pt>
                <pt idx="107">
                  <v>48.7</v>
                </pt>
                <pt idx="108">
                  <v>49.2</v>
                </pt>
                <pt idx="109">
                  <v>52.7</v>
                </pt>
                <pt idx="110">
                  <v>53.3</v>
                </pt>
                <pt idx="111">
                  <v>55.5</v>
                </pt>
                <pt idx="112">
                  <v>57.5</v>
                </pt>
                <pt idx="113">
                  <v>49.3</v>
                </pt>
                <pt idx="114">
                  <v>49.3</v>
                </pt>
                <pt idx="115">
                  <v>12.6</v>
                </pt>
                <pt idx="116">
                  <v>33.7</v>
                </pt>
                <pt idx="117">
                  <v>34.2</v>
                </pt>
                <pt idx="118">
                  <v>41.8</v>
                </pt>
                <pt idx="119">
                  <v>49.8</v>
                </pt>
                <pt idx="120">
                  <v>54.1</v>
                </pt>
                <pt idx="121">
                  <v>53.7</v>
                </pt>
                <pt idx="122">
                  <v>52.3</v>
                </pt>
                <pt idx="123">
                  <v>52.8</v>
                </pt>
                <pt idx="124">
                  <v>55.3</v>
                </pt>
                <pt idx="125">
                  <v>54.6</v>
                </pt>
                <pt idx="126">
                  <v>54</v>
                </pt>
                <pt idx="127">
                  <v>46.4</v>
                </pt>
                <pt idx="128">
                  <v>41.2</v>
                </pt>
                <pt idx="129">
                  <v>45.4</v>
                </pt>
                <pt idx="130">
                  <v>56.7</v>
                </pt>
                <pt idx="131">
                  <v>55.2</v>
                </pt>
                <pt idx="132">
                  <v>58.4</v>
                </pt>
                <pt idx="133">
                  <v>58.1</v>
                </pt>
                <pt idx="134">
                  <v>55.5</v>
                </pt>
                <pt idx="135">
                  <v>51.5</v>
                </pt>
                <pt idx="136">
                  <v>51.8</v>
                </pt>
                <pt idx="137">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0.xml><?xml version="1.0" encoding="utf-8"?>
<chartSpace xmlns="http://schemas.openxmlformats.org/drawingml/2006/chart">
  <chart>
    <title>
      <tx>
        <strRef>
          <f>Australia!$J$2</f>
          <strCache>
            <ptCount val="1"/>
            <pt idx="0">
              <v>Australia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Australia!$B$5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Australia!$A$6:$A$143</f>
              <numCache>
                <formatCode>m/d/yy</formatCode>
                <ptCount val="13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Australia!$B$6:$B$143</f>
              <numCache>
                <formatCode>General</formatCode>
                <ptCount val="138"/>
                <pt idx="0">
                  <v>50.7</v>
                </pt>
                <pt idx="1">
                  <v>46.2</v>
                </pt>
                <pt idx="2">
                  <v>47.1</v>
                </pt>
                <pt idx="3">
                  <v>45.5</v>
                </pt>
                <pt idx="4">
                  <v>48.7</v>
                </pt>
                <pt idx="5">
                  <v>46.5</v>
                </pt>
                <pt idx="6">
                  <v>51.5</v>
                </pt>
                <pt idx="7">
                  <v>49.9</v>
                </pt>
                <pt idx="8">
                  <v>48.5</v>
                </pt>
                <pt idx="9">
                  <v>48.8</v>
                </pt>
                <pt idx="10">
                  <v>52.1</v>
                </pt>
                <pt idx="11">
                  <v>50.3</v>
                </pt>
                <pt idx="12">
                  <v>48.8</v>
                </pt>
                <pt idx="13">
                  <v>47.7</v>
                </pt>
                <pt idx="14">
                  <v>49</v>
                </pt>
                <pt idx="15">
                  <v>51.9</v>
                </pt>
                <pt idx="16">
                  <v>46.7</v>
                </pt>
                <pt idx="17">
                  <v>47</v>
                </pt>
                <pt idx="18">
                  <v>39.6</v>
                </pt>
                <pt idx="19">
                  <v>43.5</v>
                </pt>
                <pt idx="20">
                  <v>48.8</v>
                </pt>
                <pt idx="21">
                  <v>46.5</v>
                </pt>
                <pt idx="22">
                  <v>42.4</v>
                </pt>
                <pt idx="23">
                  <v>41.9</v>
                </pt>
                <pt idx="24">
                  <v>42.8</v>
                </pt>
                <pt idx="25">
                  <v>47.1</v>
                </pt>
                <pt idx="26">
                  <v>46.3</v>
                </pt>
                <pt idx="27">
                  <v>45.4</v>
                </pt>
                <pt idx="28">
                  <v>48.5</v>
                </pt>
                <pt idx="29">
                  <v>49.6</v>
                </pt>
                <pt idx="30">
                  <v>44.1</v>
                </pt>
                <pt idx="31">
                  <v>40.6</v>
                </pt>
                <pt idx="32">
                  <v>41.5</v>
                </pt>
                <pt idx="33">
                  <v>39.4</v>
                </pt>
                <pt idx="34">
                  <v>39</v>
                </pt>
                <pt idx="35">
                  <v>47.1</v>
                </pt>
                <pt idx="36">
                  <v>47.9</v>
                </pt>
                <pt idx="37">
                  <v>48.9</v>
                </pt>
                <pt idx="38">
                  <v>46.1</v>
                </pt>
                <pt idx="39">
                  <v>49.3</v>
                </pt>
                <pt idx="40">
                  <v>55.2</v>
                </pt>
                <pt idx="41">
                  <v>48.9</v>
                </pt>
                <pt idx="42">
                  <v>48.6</v>
                </pt>
                <pt idx="43">
                  <v>49.9</v>
                </pt>
                <pt idx="44">
                  <v>47.6</v>
                </pt>
                <pt idx="45">
                  <v>49.3</v>
                </pt>
                <pt idx="46">
                  <v>49.4</v>
                </pt>
                <pt idx="47">
                  <v>45.5</v>
                </pt>
                <pt idx="48">
                  <v>43.6</v>
                </pt>
                <pt idx="49">
                  <v>43.8</v>
                </pt>
                <pt idx="50">
                  <v>47.5</v>
                </pt>
                <pt idx="51">
                  <v>49.5</v>
                </pt>
                <pt idx="52">
                  <v>51.7</v>
                </pt>
                <pt idx="53">
                  <v>50.2</v>
                </pt>
                <pt idx="54">
                  <v>49.7</v>
                </pt>
                <pt idx="55">
                  <v>49.6</v>
                </pt>
                <pt idx="56">
                  <v>51.2</v>
                </pt>
                <pt idx="57">
                  <v>54.1</v>
                </pt>
                <pt idx="58">
                  <v>55.6</v>
                </pt>
                <pt idx="59">
                  <v>52.3</v>
                </pt>
                <pt idx="60">
                  <v>48.9</v>
                </pt>
                <pt idx="61">
                  <v>48.2</v>
                </pt>
                <pt idx="62">
                  <v>46.3</v>
                </pt>
                <pt idx="63">
                  <v>48.4</v>
                </pt>
                <pt idx="64">
                  <v>51.8</v>
                </pt>
                <pt idx="65">
                  <v>49.5</v>
                </pt>
                <pt idx="66">
                  <v>49.7</v>
                </pt>
                <pt idx="67">
                  <v>51.5</v>
                </pt>
                <pt idx="68">
                  <v>51.3</v>
                </pt>
                <pt idx="69">
                  <v>53.9</v>
                </pt>
                <pt idx="70">
                  <v>45</v>
                </pt>
                <pt idx="71">
                  <v>48.9</v>
                </pt>
                <pt idx="72">
                  <v>50.5</v>
                </pt>
                <pt idx="73">
                  <v>51.1</v>
                </pt>
                <pt idx="74">
                  <v>57.7</v>
                </pt>
                <pt idx="75">
                  <v>54.5</v>
                </pt>
                <pt idx="76">
                  <v>49</v>
                </pt>
                <pt idx="77">
                  <v>51.7</v>
                </pt>
                <pt idx="78">
                  <v>53</v>
                </pt>
                <pt idx="79">
                  <v>51.5</v>
                </pt>
                <pt idx="80">
                  <v>54.8</v>
                </pt>
                <pt idx="81">
                  <v>56.4</v>
                </pt>
                <pt idx="82">
                  <v>53</v>
                </pt>
                <pt idx="83">
                  <v>52.1</v>
                </pt>
                <pt idx="84">
                  <v>51.4</v>
                </pt>
                <pt idx="85">
                  <v>51.7</v>
                </pt>
                <pt idx="86">
                  <v>52</v>
                </pt>
                <pt idx="87">
                  <v>54.9</v>
                </pt>
                <pt idx="88">
                  <v>54</v>
                </pt>
                <pt idx="89">
                  <v>56.9</v>
                </pt>
                <pt idx="90">
                  <v>55.2</v>
                </pt>
                <pt idx="91">
                  <v>59</v>
                </pt>
                <pt idx="92">
                  <v>63</v>
                </pt>
                <pt idx="93">
                  <v>53.6</v>
                </pt>
                <pt idx="94">
                  <v>52.2</v>
                </pt>
                <pt idx="95">
                  <v>52.5</v>
                </pt>
                <pt idx="96">
                  <v>51.1</v>
                </pt>
                <pt idx="97">
                  <v>55.1</v>
                </pt>
                <pt idx="98">
                  <v>52.1</v>
                </pt>
                <pt idx="99">
                  <v>44.3</v>
                </pt>
                <pt idx="100">
                  <v>44.5</v>
                </pt>
                <pt idx="101">
                  <v>44.8</v>
                </pt>
                <pt idx="102">
                  <v>46.5</v>
                </pt>
                <pt idx="103">
                  <v>52.5</v>
                </pt>
                <pt idx="104">
                  <v>52.2</v>
                </pt>
                <pt idx="105">
                  <v>43.9</v>
                </pt>
                <pt idx="106">
                  <v>51.4</v>
                </pt>
                <pt idx="107">
                  <v>51.5</v>
                </pt>
                <pt idx="108">
                  <v>54.2</v>
                </pt>
                <pt idx="109">
                  <v>53.7</v>
                </pt>
                <pt idx="110">
                  <v>48.7</v>
                </pt>
                <pt idx="111">
                  <v>46.6</v>
                </pt>
                <pt idx="112">
                  <v>47</v>
                </pt>
                <pt idx="113">
                  <v>38.7</v>
                </pt>
                <pt idx="114">
                  <v>27.1</v>
                </pt>
                <pt idx="115">
                  <v>31.6</v>
                </pt>
                <pt idx="116">
                  <v>31.5</v>
                </pt>
                <pt idx="117">
                  <v>44</v>
                </pt>
                <pt idx="118">
                  <v>43.5</v>
                </pt>
                <pt idx="119">
                  <v>36.2</v>
                </pt>
                <pt idx="120">
                  <v>51.4</v>
                </pt>
                <pt idx="121">
                  <v>52.9</v>
                </pt>
                <pt idx="122">
                  <v>54.3</v>
                </pt>
                <pt idx="123">
                  <v>54.3</v>
                </pt>
                <pt idx="124">
                  <v>55.8</v>
                </pt>
                <pt idx="125">
                  <v>58.7</v>
                </pt>
                <pt idx="126">
                  <v>61</v>
                </pt>
                <pt idx="127">
                  <v>61.2</v>
                </pt>
                <pt idx="128">
                  <v>57.8</v>
                </pt>
                <pt idx="129">
                  <v>51.7</v>
                </pt>
                <pt idx="130">
                  <v>45.6</v>
                </pt>
                <pt idx="131">
                  <v>45.7</v>
                </pt>
                <pt idx="132">
                  <v>47.6</v>
                </pt>
                <pt idx="133">
                  <v>47.6</v>
                </pt>
                <pt idx="134">
                  <v>49.6</v>
                </pt>
                <pt idx="135">
                  <v>56.2</v>
                </pt>
                <pt idx="136">
                  <v>60</v>
                </pt>
                <pt idx="137">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1.xml><?xml version="1.0" encoding="utf-8"?>
<chartSpace xmlns="http://schemas.openxmlformats.org/drawingml/2006/chart">
  <chart>
    <title>
      <tx>
        <strRef>
          <f>Ireland!$J$2</f>
          <strCache>
            <ptCount val="1"/>
            <pt idx="0">
              <v>Ireland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Ireland!$B$5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Ireland!$A$6:$A$143</f>
              <numCache>
                <formatCode>m/d/yy</formatCode>
                <ptCount val="13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Ireland!$B$6:$B$143</f>
              <numCache>
                <formatCode>General</formatCode>
                <ptCount val="138"/>
                <pt idx="0">
                  <v>50.9</v>
                </pt>
                <pt idx="1">
                  <v>50.8</v>
                </pt>
                <pt idx="2">
                  <v>52.1</v>
                </pt>
                <pt idx="3">
                  <v>53.6</v>
                </pt>
                <pt idx="4">
                  <v>55.1</v>
                </pt>
                <pt idx="5">
                  <v>51.1</v>
                </pt>
                <pt idx="6">
                  <v>50.2</v>
                </pt>
                <pt idx="7">
                  <v>50.5</v>
                </pt>
                <pt idx="8">
                  <v>52.4</v>
                </pt>
                <pt idx="9">
                  <v>51.7</v>
                </pt>
                <pt idx="10">
                  <v>51.1</v>
                </pt>
                <pt idx="11">
                  <v>51.3</v>
                </pt>
                <pt idx="12">
                  <v>51.5</v>
                </pt>
                <pt idx="13">
                  <v>52.7</v>
                </pt>
                <pt idx="14">
                  <v>48.4</v>
                </pt>
                <pt idx="15">
                  <v>48.3</v>
                </pt>
                <pt idx="16">
                  <v>53.3</v>
                </pt>
                <pt idx="17">
                  <v>52.1</v>
                </pt>
                <pt idx="18">
                  <v>52.2</v>
                </pt>
                <pt idx="19">
                  <v>48.9</v>
                </pt>
                <pt idx="20">
                  <v>49.7</v>
                </pt>
                <pt idx="21">
                  <v>49.1</v>
                </pt>
                <pt idx="22">
                  <v>51.7</v>
                </pt>
                <pt idx="23">
                  <v>53.9</v>
                </pt>
                <pt idx="24">
                  <v>56.1</v>
                </pt>
                <pt idx="25">
                  <v>56.1</v>
                </pt>
                <pt idx="26">
                  <v>56.5</v>
                </pt>
                <pt idx="27">
                  <v>56.8</v>
                </pt>
                <pt idx="28">
                  <v>53.6</v>
                </pt>
                <pt idx="29">
                  <v>52.3</v>
                </pt>
                <pt idx="30">
                  <v>55.2</v>
                </pt>
                <pt idx="31">
                  <v>52.7</v>
                </pt>
                <pt idx="32">
                  <v>61.6</v>
                </pt>
                <pt idx="33">
                  <v>59.6</v>
                </pt>
                <pt idx="34">
                  <v>57.2</v>
                </pt>
                <pt idx="35">
                  <v>56.8</v>
                </pt>
                <pt idx="36">
                  <v>60.1</v>
                </pt>
                <pt idx="37">
                  <v>57.1</v>
                </pt>
                <pt idx="38">
                  <v>59.3</v>
                </pt>
                <pt idx="39">
                  <v>61.5</v>
                </pt>
                <pt idx="40">
                  <v>57.5</v>
                </pt>
                <pt idx="41">
                  <v>60.7</v>
                </pt>
                <pt idx="42">
                  <v>61.9</v>
                </pt>
                <pt idx="43">
                  <v>61.7</v>
                </pt>
                <pt idx="44">
                  <v>62.6</v>
                </pt>
                <pt idx="45">
                  <v>61.3</v>
                </pt>
                <pt idx="46">
                  <v>62.4</v>
                </pt>
                <pt idx="47">
                  <v>62.5</v>
                </pt>
                <pt idx="48">
                  <v>61.5</v>
                </pt>
                <pt idx="49">
                  <v>61.6</v>
                </pt>
                <pt idx="50">
                  <v>62.6</v>
                </pt>
                <pt idx="51">
                  <v>62.5</v>
                </pt>
                <pt idx="52">
                  <v>61.4</v>
                </pt>
                <pt idx="53">
                  <v>60.9</v>
                </pt>
                <pt idx="54">
                  <v>60.6</v>
                </pt>
                <pt idx="55">
                  <v>61.4</v>
                </pt>
                <pt idx="56">
                  <v>63.3</v>
                </pt>
                <pt idx="57">
                  <v>63.4</v>
                </pt>
                <pt idx="58">
                  <v>62.1</v>
                </pt>
                <pt idx="59">
                  <v>62.4</v>
                </pt>
                <pt idx="60">
                  <v>60.1</v>
                </pt>
                <pt idx="61">
                  <v>63.6</v>
                </pt>
                <pt idx="62">
                  <v>61.8</v>
                </pt>
                <pt idx="63">
                  <v>64</v>
                </pt>
                <pt idx="64">
                  <v>62.1</v>
                </pt>
                <pt idx="65">
                  <v>62.8</v>
                </pt>
                <pt idx="66">
                  <v>59.8</v>
                </pt>
                <pt idx="67">
                  <v>61.7</v>
                </pt>
                <pt idx="68">
                  <v>61.2</v>
                </pt>
                <pt idx="69">
                  <v>59.5</v>
                </pt>
                <pt idx="70">
                  <v>59.7</v>
                </pt>
                <pt idx="71">
                  <v>56.2</v>
                </pt>
                <pt idx="72">
                  <v>54.6</v>
                </pt>
                <pt idx="73">
                  <v>56</v>
                </pt>
                <pt idx="74">
                  <v>59.1</v>
                </pt>
                <pt idx="75">
                  <v>61</v>
                </pt>
                <pt idx="76">
                  <v>60.6</v>
                </pt>
                <pt idx="77">
                  <v>59.1</v>
                </pt>
                <pt idx="78">
                  <v>61.1</v>
                </pt>
                <pt idx="79">
                  <v>59.5</v>
                </pt>
                <pt idx="80">
                  <v>57.6</v>
                </pt>
                <pt idx="81">
                  <v>58.3</v>
                </pt>
                <pt idx="82">
                  <v>58.4</v>
                </pt>
                <pt idx="83">
                  <v>58.7</v>
                </pt>
                <pt idx="84">
                  <v>57.5</v>
                </pt>
                <pt idx="85">
                  <v>56</v>
                </pt>
                <pt idx="86">
                  <v>60.4</v>
                </pt>
                <pt idx="87">
                  <v>59.8</v>
                </pt>
                <pt idx="88">
                  <v>57.2</v>
                </pt>
                <pt idx="89">
                  <v>56.5</v>
                </pt>
                <pt idx="90">
                  <v>58.3</v>
                </pt>
                <pt idx="91">
                  <v>59.3</v>
                </pt>
                <pt idx="92">
                  <v>59.5</v>
                </pt>
                <pt idx="93">
                  <v>57.4</v>
                </pt>
                <pt idx="94">
                  <v>58</v>
                </pt>
                <pt idx="95">
                  <v>58.7</v>
                </pt>
                <pt idx="96">
                  <v>57.2</v>
                </pt>
                <pt idx="97">
                  <v>57.1</v>
                </pt>
                <pt idx="98">
                  <v>56.3</v>
                </pt>
                <pt idx="99">
                  <v>54.2</v>
                </pt>
                <pt idx="100">
                  <v>55.9</v>
                </pt>
                <pt idx="101">
                  <v>55.3</v>
                </pt>
                <pt idx="102">
                  <v>54.7</v>
                </pt>
                <pt idx="103">
                  <v>57</v>
                </pt>
                <pt idx="104">
                  <v>56.9</v>
                </pt>
                <pt idx="105">
                  <v>55</v>
                </pt>
                <pt idx="106">
                  <v>54.6</v>
                </pt>
                <pt idx="107">
                  <v>53.1</v>
                </pt>
                <pt idx="108">
                  <v>50.6</v>
                </pt>
                <pt idx="109">
                  <v>52</v>
                </pt>
                <pt idx="110">
                  <v>55.9</v>
                </pt>
                <pt idx="111">
                  <v>56.9</v>
                </pt>
                <pt idx="112">
                  <v>59.9</v>
                </pt>
                <pt idx="113">
                  <v>32.5</v>
                </pt>
                <pt idx="114">
                  <v>13.9</v>
                </pt>
                <pt idx="115">
                  <v>23.4</v>
                </pt>
                <pt idx="116">
                  <v>39.7</v>
                </pt>
                <pt idx="117">
                  <v>51.9</v>
                </pt>
                <pt idx="118">
                  <v>52.4</v>
                </pt>
                <pt idx="119">
                  <v>45.8</v>
                </pt>
                <pt idx="120">
                  <v>48.3</v>
                </pt>
                <pt idx="121">
                  <v>45.4</v>
                </pt>
                <pt idx="122">
                  <v>50.1</v>
                </pt>
                <pt idx="123">
                  <v>36.2</v>
                </pt>
                <pt idx="124">
                  <v>41.2</v>
                </pt>
                <pt idx="125">
                  <v>54.6</v>
                </pt>
                <pt idx="126">
                  <v>57.7</v>
                </pt>
                <pt idx="127">
                  <v>62.1</v>
                </pt>
                <pt idx="128">
                  <v>63.1</v>
                </pt>
                <pt idx="129">
                  <v>66.59999999999999</v>
                </pt>
                <pt idx="130">
                  <v>63.7</v>
                </pt>
                <pt idx="131">
                  <v>63.7</v>
                </pt>
                <pt idx="132">
                  <v>63.4</v>
                </pt>
                <pt idx="133">
                  <v>59.3</v>
                </pt>
                <pt idx="134">
                  <v>55.4</v>
                </pt>
                <pt idx="135">
                  <v>56.2</v>
                </pt>
                <pt idx="136">
                  <v>61.8</v>
                </pt>
                <pt idx="137">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2.xml><?xml version="1.0" encoding="utf-8"?>
<chartSpace xmlns="http://schemas.openxmlformats.org/drawingml/2006/chart">
  <chart>
    <title>
      <tx>
        <strRef>
          <f>Italy!$J$2</f>
          <strCache>
            <ptCount val="1"/>
            <pt idx="0">
              <v>Italy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Italy!$B$5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Italy!$A$6:$A$143</f>
              <numCache>
                <formatCode>m/d/yy</formatCode>
                <ptCount val="13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Italy!$B$6:$B$143</f>
              <numCache>
                <formatCode>General</formatCode>
                <ptCount val="138"/>
                <pt idx="0">
                  <v>51</v>
                </pt>
                <pt idx="1">
                  <v>54.4</v>
                </pt>
                <pt idx="2">
                  <v>52.1</v>
                </pt>
                <pt idx="3">
                  <v>53.5</v>
                </pt>
                <pt idx="4">
                  <v>53.1</v>
                </pt>
                <pt idx="5">
                  <v>53.3</v>
                </pt>
                <pt idx="6">
                  <v>52.2</v>
                </pt>
                <pt idx="7">
                  <v>50.1</v>
                </pt>
                <pt idx="8">
                  <v>47.4</v>
                </pt>
                <pt idx="9">
                  <v>48.6</v>
                </pt>
                <pt idx="10">
                  <v>48.4</v>
                </pt>
                <pt idx="11">
                  <v>45.8</v>
                </pt>
                <pt idx="12">
                  <v>43.9</v>
                </pt>
                <pt idx="13">
                  <v>45.8</v>
                </pt>
                <pt idx="14">
                  <v>44.5</v>
                </pt>
                <pt idx="15">
                  <v>44.8</v>
                </pt>
                <pt idx="16">
                  <v>44.1</v>
                </pt>
                <pt idx="17">
                  <v>44.3</v>
                </pt>
                <pt idx="18">
                  <v>42.3</v>
                </pt>
                <pt idx="19">
                  <v>42.8</v>
                </pt>
                <pt idx="20">
                  <v>43.1</v>
                </pt>
                <pt idx="21">
                  <v>43</v>
                </pt>
                <pt idx="22">
                  <v>44</v>
                </pt>
                <pt idx="23">
                  <v>44.5</v>
                </pt>
                <pt idx="24">
                  <v>46</v>
                </pt>
                <pt idx="25">
                  <v>44.6</v>
                </pt>
                <pt idx="26">
                  <v>43.1</v>
                </pt>
                <pt idx="27">
                  <v>43.9</v>
                </pt>
                <pt idx="28">
                  <v>43.6</v>
                </pt>
                <pt idx="29">
                  <v>45.5</v>
                </pt>
                <pt idx="30">
                  <v>47</v>
                </pt>
                <pt idx="31">
                  <v>46.5</v>
                </pt>
                <pt idx="32">
                  <v>45.8</v>
                </pt>
                <pt idx="33">
                  <v>48.7</v>
                </pt>
                <pt idx="34">
                  <v>48.8</v>
                </pt>
                <pt idx="35">
                  <v>52.7</v>
                </pt>
                <pt idx="36">
                  <v>50.5</v>
                </pt>
                <pt idx="37">
                  <v>47.2</v>
                </pt>
                <pt idx="38">
                  <v>48.6</v>
                </pt>
                <pt idx="39">
                  <v>49.4</v>
                </pt>
                <pt idx="40">
                  <v>52.9</v>
                </pt>
                <pt idx="41">
                  <v>49.5</v>
                </pt>
                <pt idx="42">
                  <v>51.1</v>
                </pt>
                <pt idx="43">
                  <v>51.6</v>
                </pt>
                <pt idx="44">
                  <v>53.6</v>
                </pt>
                <pt idx="45">
                  <v>52.8</v>
                </pt>
                <pt idx="46">
                  <v>49.8</v>
                </pt>
                <pt idx="47">
                  <v>48.8</v>
                </pt>
                <pt idx="48">
                  <v>50.8</v>
                </pt>
                <pt idx="49">
                  <v>51.8</v>
                </pt>
                <pt idx="50">
                  <v>49.4</v>
                </pt>
                <pt idx="51">
                  <v>51.2</v>
                </pt>
                <pt idx="52">
                  <v>50</v>
                </pt>
                <pt idx="53">
                  <v>51.6</v>
                </pt>
                <pt idx="54">
                  <v>53.1</v>
                </pt>
                <pt idx="55">
                  <v>52.5</v>
                </pt>
                <pt idx="56">
                  <v>53.4</v>
                </pt>
                <pt idx="57">
                  <v>52</v>
                </pt>
                <pt idx="58">
                  <v>54.6</v>
                </pt>
                <pt idx="59">
                  <v>53.3</v>
                </pt>
                <pt idx="60">
                  <v>53.4</v>
                </pt>
                <pt idx="61">
                  <v>53.4</v>
                </pt>
                <pt idx="62">
                  <v>55.3</v>
                </pt>
                <pt idx="63">
                  <v>53.6</v>
                </pt>
                <pt idx="64">
                  <v>53.8</v>
                </pt>
                <pt idx="65">
                  <v>51.2</v>
                </pt>
                <pt idx="66">
                  <v>52.1</v>
                </pt>
                <pt idx="67">
                  <v>49.8</v>
                </pt>
                <pt idx="68">
                  <v>51.9</v>
                </pt>
                <pt idx="69">
                  <v>52</v>
                </pt>
                <pt idx="70">
                  <v>52.3</v>
                </pt>
                <pt idx="71">
                  <v>50.7</v>
                </pt>
                <pt idx="72">
                  <v>51</v>
                </pt>
                <pt idx="73">
                  <v>53.3</v>
                </pt>
                <pt idx="74">
                  <v>52.3</v>
                </pt>
                <pt idx="75">
                  <v>52.4</v>
                </pt>
                <pt idx="76">
                  <v>54.1</v>
                </pt>
                <pt idx="77">
                  <v>52.9</v>
                </pt>
                <pt idx="78">
                  <v>56.2</v>
                </pt>
                <pt idx="79">
                  <v>55.1</v>
                </pt>
                <pt idx="80">
                  <v>53.6</v>
                </pt>
                <pt idx="81">
                  <v>56.3</v>
                </pt>
                <pt idx="82">
                  <v>55.1</v>
                </pt>
                <pt idx="83">
                  <v>53.2</v>
                </pt>
                <pt idx="84">
                  <v>52.1</v>
                </pt>
                <pt idx="85">
                  <v>54.7</v>
                </pt>
                <pt idx="86">
                  <v>55.4</v>
                </pt>
                <pt idx="87">
                  <v>57.7</v>
                </pt>
                <pt idx="88">
                  <v>55</v>
                </pt>
                <pt idx="89">
                  <v>52.6</v>
                </pt>
                <pt idx="90">
                  <v>52.6</v>
                </pt>
                <pt idx="91">
                  <v>53.1</v>
                </pt>
                <pt idx="92">
                  <v>54.3</v>
                </pt>
                <pt idx="93">
                  <v>54</v>
                </pt>
                <pt idx="94">
                  <v>52.6</v>
                </pt>
                <pt idx="95">
                  <v>53.3</v>
                </pt>
                <pt idx="96">
                  <v>49.2</v>
                </pt>
                <pt idx="97">
                  <v>50.3</v>
                </pt>
                <pt idx="98">
                  <v>50.5</v>
                </pt>
                <pt idx="99">
                  <v>49.7</v>
                </pt>
                <pt idx="100">
                  <v>50.4</v>
                </pt>
                <pt idx="101">
                  <v>53.1</v>
                </pt>
                <pt idx="102">
                  <v>50.4</v>
                </pt>
                <pt idx="103">
                  <v>50</v>
                </pt>
                <pt idx="104">
                  <v>50.5</v>
                </pt>
                <pt idx="105">
                  <v>51.7</v>
                </pt>
                <pt idx="106">
                  <v>50.6</v>
                </pt>
                <pt idx="107">
                  <v>51.4</v>
                </pt>
                <pt idx="108">
                  <v>52.2</v>
                </pt>
                <pt idx="109">
                  <v>50.4</v>
                </pt>
                <pt idx="110">
                  <v>51.1</v>
                </pt>
                <pt idx="111">
                  <v>51.4</v>
                </pt>
                <pt idx="112">
                  <v>52.1</v>
                </pt>
                <pt idx="113">
                  <v>17.4</v>
                </pt>
                <pt idx="114">
                  <v>10.8</v>
                </pt>
                <pt idx="115">
                  <v>28.9</v>
                </pt>
                <pt idx="116">
                  <v>46.4</v>
                </pt>
                <pt idx="117">
                  <v>51.6</v>
                </pt>
                <pt idx="118">
                  <v>47.1</v>
                </pt>
                <pt idx="119">
                  <v>48.8</v>
                </pt>
                <pt idx="120">
                  <v>46.7</v>
                </pt>
                <pt idx="121">
                  <v>39.4</v>
                </pt>
                <pt idx="122">
                  <v>39.7</v>
                </pt>
                <pt idx="123">
                  <v>44.7</v>
                </pt>
                <pt idx="124">
                  <v>48.8</v>
                </pt>
                <pt idx="125">
                  <v>48.6</v>
                </pt>
                <pt idx="126">
                  <v>47.3</v>
                </pt>
                <pt idx="127">
                  <v>53.1</v>
                </pt>
                <pt idx="128">
                  <v>56.8</v>
                </pt>
                <pt idx="129">
                  <v>58</v>
                </pt>
                <pt idx="130">
                  <v>58</v>
                </pt>
                <pt idx="131">
                  <v>55.5</v>
                </pt>
                <pt idx="132">
                  <v>52.4</v>
                </pt>
                <pt idx="133">
                  <v>55.9</v>
                </pt>
                <pt idx="134">
                  <v>53</v>
                </pt>
                <pt idx="135">
                  <v>48.5</v>
                </pt>
                <pt idx="136">
                  <v>52.8</v>
                </pt>
                <pt idx="137">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3.xml><?xml version="1.0" encoding="utf-8"?>
<chartSpace xmlns="http://schemas.openxmlformats.org/drawingml/2006/chart">
  <chart>
    <title>
      <tx>
        <strRef>
          <f>Japan!$J$2</f>
          <strCache>
            <ptCount val="1"/>
            <pt idx="0">
              <v>Japan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Japan!$B$5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Japan!$A$6:$A$143</f>
              <numCache>
                <formatCode>m/d/yy</formatCode>
                <ptCount val="13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Japan!$B$6:$B$143</f>
              <numCache>
                <formatCode>General</formatCode>
                <ptCount val="138"/>
                <pt idx="0">
                  <v>47.2</v>
                </pt>
                <pt idx="1">
                  <v>49.5</v>
                </pt>
                <pt idx="2">
                  <v>50.1</v>
                </pt>
                <pt idx="3">
                  <v>48.1</v>
                </pt>
                <pt idx="4">
                  <v>49.8</v>
                </pt>
                <pt idx="5">
                  <v>35.3</v>
                </pt>
                <pt idx="6">
                  <v>35</v>
                </pt>
                <pt idx="7">
                  <v>43.8</v>
                </pt>
                <pt idx="8">
                  <v>45.4</v>
                </pt>
                <pt idx="9">
                  <v>45.3</v>
                </pt>
                <pt idx="10">
                  <v>44.1</v>
                </pt>
                <pt idx="11">
                  <v>46.4</v>
                </pt>
                <pt idx="12">
                  <v>52.3</v>
                </pt>
                <pt idx="13">
                  <v>49.5</v>
                </pt>
                <pt idx="14">
                  <v>50.4</v>
                </pt>
                <pt idx="15">
                  <v>51</v>
                </pt>
                <pt idx="16">
                  <v>51.2</v>
                </pt>
                <pt idx="17">
                  <v>53.7</v>
                </pt>
                <pt idx="18">
                  <v>51</v>
                </pt>
                <pt idx="19">
                  <v>50.5</v>
                </pt>
                <pt idx="20">
                  <v>49.5</v>
                </pt>
                <pt idx="21">
                  <v>48.7</v>
                </pt>
                <pt idx="22">
                  <v>47.5</v>
                </pt>
                <pt idx="23">
                  <v>48.8</v>
                </pt>
                <pt idx="24">
                  <v>49.7</v>
                </pt>
                <pt idx="25">
                  <v>49.1</v>
                </pt>
                <pt idx="26">
                  <v>50.1</v>
                </pt>
                <pt idx="27">
                  <v>50.4</v>
                </pt>
                <pt idx="28">
                  <v>51.3</v>
                </pt>
                <pt idx="29">
                  <v>53.4</v>
                </pt>
                <pt idx="30">
                  <v>52.5</v>
                </pt>
                <pt idx="31">
                  <v>54.8</v>
                </pt>
                <pt idx="32">
                  <v>52.1</v>
                </pt>
                <pt idx="33">
                  <v>50.6</v>
                </pt>
                <pt idx="34">
                  <v>51.2</v>
                </pt>
                <pt idx="35">
                  <v>53</v>
                </pt>
                <pt idx="36">
                  <v>55.3</v>
                </pt>
                <pt idx="37">
                  <v>51.8</v>
                </pt>
                <pt idx="38">
                  <v>52.1</v>
                </pt>
                <pt idx="39">
                  <v>51.2</v>
                </pt>
                <pt idx="40">
                  <v>49.3</v>
                </pt>
                <pt idx="41">
                  <v>52.2</v>
                </pt>
                <pt idx="42">
                  <v>46.4</v>
                </pt>
                <pt idx="43">
                  <v>49.3</v>
                </pt>
                <pt idx="44">
                  <v>49</v>
                </pt>
                <pt idx="45">
                  <v>50.4</v>
                </pt>
                <pt idx="46">
                  <v>49.9</v>
                </pt>
                <pt idx="47">
                  <v>52.5</v>
                </pt>
                <pt idx="48">
                  <v>48.7</v>
                </pt>
                <pt idx="49">
                  <v>50.6</v>
                </pt>
                <pt idx="50">
                  <v>51.7</v>
                </pt>
                <pt idx="51">
                  <v>51.3</v>
                </pt>
                <pt idx="52">
                  <v>48.5</v>
                </pt>
                <pt idx="53">
                  <v>48.4</v>
                </pt>
                <pt idx="54">
                  <v>51.3</v>
                </pt>
                <pt idx="55">
                  <v>51.5</v>
                </pt>
                <pt idx="56">
                  <v>51.8</v>
                </pt>
                <pt idx="57">
                  <v>51.2</v>
                </pt>
                <pt idx="58">
                  <v>53.7</v>
                </pt>
                <pt idx="59">
                  <v>51.4</v>
                </pt>
                <pt idx="60">
                  <v>52.2</v>
                </pt>
                <pt idx="61">
                  <v>51.6</v>
                </pt>
                <pt idx="62">
                  <v>51.5</v>
                </pt>
                <pt idx="63">
                  <v>52.4</v>
                </pt>
                <pt idx="64">
                  <v>51.2</v>
                </pt>
                <pt idx="65">
                  <v>50</v>
                </pt>
                <pt idx="66">
                  <v>49.3</v>
                </pt>
                <pt idx="67">
                  <v>50.4</v>
                </pt>
                <pt idx="68">
                  <v>49.4</v>
                </pt>
                <pt idx="69">
                  <v>50.4</v>
                </pt>
                <pt idx="70">
                  <v>49.6</v>
                </pt>
                <pt idx="71">
                  <v>48.2</v>
                </pt>
                <pt idx="72">
                  <v>50.5</v>
                </pt>
                <pt idx="73">
                  <v>51.8</v>
                </pt>
                <pt idx="74">
                  <v>52.3</v>
                </pt>
                <pt idx="75">
                  <v>51.9</v>
                </pt>
                <pt idx="76">
                  <v>51.3</v>
                </pt>
                <pt idx="77">
                  <v>52.9</v>
                </pt>
                <pt idx="78">
                  <v>52.2</v>
                </pt>
                <pt idx="79">
                  <v>53</v>
                </pt>
                <pt idx="80">
                  <v>53.3</v>
                </pt>
                <pt idx="81">
                  <v>52</v>
                </pt>
                <pt idx="82">
                  <v>51.6</v>
                </pt>
                <pt idx="83">
                  <v>51</v>
                </pt>
                <pt idx="84">
                  <v>53.4</v>
                </pt>
                <pt idx="85">
                  <v>51.2</v>
                </pt>
                <pt idx="86">
                  <v>51.1</v>
                </pt>
                <pt idx="87">
                  <v>51.9</v>
                </pt>
                <pt idx="88">
                  <v>51.7</v>
                </pt>
                <pt idx="89">
                  <v>50.9</v>
                </pt>
                <pt idx="90">
                  <v>52.5</v>
                </pt>
                <pt idx="91">
                  <v>51</v>
                </pt>
                <pt idx="92">
                  <v>51.4</v>
                </pt>
                <pt idx="93">
                  <v>51.3</v>
                </pt>
                <pt idx="94">
                  <v>51.5</v>
                </pt>
                <pt idx="95">
                  <v>50.2</v>
                </pt>
                <pt idx="96">
                  <v>52.4</v>
                </pt>
                <pt idx="97">
                  <v>52.3</v>
                </pt>
                <pt idx="98">
                  <v>51</v>
                </pt>
                <pt idx="99">
                  <v>51.6</v>
                </pt>
                <pt idx="100">
                  <v>52.3</v>
                </pt>
                <pt idx="101">
                  <v>52</v>
                </pt>
                <pt idx="102">
                  <v>51.8</v>
                </pt>
                <pt idx="103">
                  <v>51.7</v>
                </pt>
                <pt idx="104">
                  <v>51.9</v>
                </pt>
                <pt idx="105">
                  <v>51.8</v>
                </pt>
                <pt idx="106">
                  <v>53.3</v>
                </pt>
                <pt idx="107">
                  <v>52.8</v>
                </pt>
                <pt idx="108">
                  <v>49.7</v>
                </pt>
                <pt idx="109">
                  <v>50.3</v>
                </pt>
                <pt idx="110">
                  <v>49.4</v>
                </pt>
                <pt idx="111">
                  <v>51</v>
                </pt>
                <pt idx="112">
                  <v>46.8</v>
                </pt>
                <pt idx="113">
                  <v>33.8</v>
                </pt>
                <pt idx="114">
                  <v>22.8</v>
                </pt>
                <pt idx="115">
                  <v>26.5</v>
                </pt>
                <pt idx="116">
                  <v>45</v>
                </pt>
                <pt idx="117">
                  <v>45.4</v>
                </pt>
                <pt idx="118">
                  <v>45</v>
                </pt>
                <pt idx="119">
                  <v>46.9</v>
                </pt>
                <pt idx="120">
                  <v>47.7</v>
                </pt>
                <pt idx="121">
                  <v>47.8</v>
                </pt>
                <pt idx="122">
                  <v>47.2</v>
                </pt>
                <pt idx="123">
                  <v>46.1</v>
                </pt>
                <pt idx="124">
                  <v>46.3</v>
                </pt>
                <pt idx="125">
                  <v>48.3</v>
                </pt>
                <pt idx="126">
                  <v>49.5</v>
                </pt>
                <pt idx="127">
                  <v>46.5</v>
                </pt>
                <pt idx="128">
                  <v>48</v>
                </pt>
                <pt idx="129">
                  <v>47.4</v>
                </pt>
                <pt idx="130">
                  <v>42.9</v>
                </pt>
                <pt idx="131">
                  <v>47.8</v>
                </pt>
                <pt idx="132">
                  <v>50.7</v>
                </pt>
                <pt idx="133">
                  <v>53</v>
                </pt>
                <pt idx="134">
                  <v>52.1</v>
                </pt>
                <pt idx="135">
                  <v>47.6</v>
                </pt>
                <pt idx="136">
                  <v>42.7</v>
                </pt>
                <pt idx="137">
                  <v>48.7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4.xml><?xml version="1.0" encoding="utf-8"?>
<chartSpace xmlns="http://schemas.openxmlformats.org/drawingml/2006/chart">
  <chart>
    <title>
      <tx>
        <strRef>
          <f>Brazil!$J$2</f>
          <strCache>
            <ptCount val="1"/>
            <pt idx="0">
              <v>Brazil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Brazil!$B$5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Brazil!$A$6:$A$143</f>
              <numCache>
                <formatCode>m/d/yy</formatCode>
                <ptCount val="13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Brazil!$B$6:$B$143</f>
              <numCache>
                <formatCode>General</formatCode>
                <ptCount val="138"/>
                <pt idx="0">
                  <v>51.8</v>
                </pt>
                <pt idx="1">
                  <v>52.1</v>
                </pt>
                <pt idx="2">
                  <v>50.2</v>
                </pt>
                <pt idx="3">
                  <v>51.2</v>
                </pt>
                <pt idx="4">
                  <v>52.7</v>
                </pt>
                <pt idx="5">
                  <v>53.5</v>
                </pt>
                <pt idx="6">
                  <v>53.2</v>
                </pt>
                <pt idx="7">
                  <v>53.3</v>
                </pt>
                <pt idx="8">
                  <v>52.1</v>
                </pt>
                <pt idx="9">
                  <v>53.7</v>
                </pt>
                <pt idx="10">
                  <v>52.1</v>
                </pt>
                <pt idx="11">
                  <v>50.5</v>
                </pt>
                <pt idx="12">
                  <v>53.6</v>
                </pt>
                <pt idx="13">
                  <v>52.6</v>
                </pt>
                <pt idx="14">
                  <v>54.8</v>
                </pt>
                <pt idx="15">
                  <v>55</v>
                </pt>
                <pt idx="16">
                  <v>57.1</v>
                </pt>
                <pt idx="17">
                  <v>53.8</v>
                </pt>
                <pt idx="18">
                  <v>54.4</v>
                </pt>
                <pt idx="19">
                  <v>49.7</v>
                </pt>
                <pt idx="20">
                  <v>53</v>
                </pt>
                <pt idx="21">
                  <v>48.9</v>
                </pt>
                <pt idx="22">
                  <v>48.1</v>
                </pt>
                <pt idx="23">
                  <v>52.8</v>
                </pt>
                <pt idx="24">
                  <v>50.4</v>
                </pt>
                <pt idx="25">
                  <v>52.5</v>
                </pt>
                <pt idx="26">
                  <v>53.2</v>
                </pt>
                <pt idx="27">
                  <v>54.5</v>
                </pt>
                <pt idx="28">
                  <v>52.1</v>
                </pt>
                <pt idx="29">
                  <v>50.3</v>
                </pt>
                <pt idx="30">
                  <v>51</v>
                </pt>
                <pt idx="31">
                  <v>51</v>
                </pt>
                <pt idx="32">
                  <v>50.3</v>
                </pt>
                <pt idx="33">
                  <v>49.7</v>
                </pt>
                <pt idx="34">
                  <v>50.7</v>
                </pt>
                <pt idx="35">
                  <v>52.1</v>
                </pt>
                <pt idx="36">
                  <v>52.3</v>
                </pt>
                <pt idx="37">
                  <v>51.7</v>
                </pt>
                <pt idx="38">
                  <v>50.5</v>
                </pt>
                <pt idx="39">
                  <v>49.6</v>
                </pt>
                <pt idx="40">
                  <v>50.8</v>
                </pt>
                <pt idx="41">
                  <v>51</v>
                </pt>
                <pt idx="42">
                  <v>48.6</v>
                </pt>
                <pt idx="43">
                  <v>50.6</v>
                </pt>
                <pt idx="44">
                  <v>51.4</v>
                </pt>
                <pt idx="45">
                  <v>50.2</v>
                </pt>
                <pt idx="46">
                  <v>49.2</v>
                </pt>
                <pt idx="47">
                  <v>51.2</v>
                </pt>
                <pt idx="48">
                  <v>48.2</v>
                </pt>
                <pt idx="49">
                  <v>48.5</v>
                </pt>
                <pt idx="50">
                  <v>49.1</v>
                </pt>
                <pt idx="51">
                  <v>48.4</v>
                </pt>
                <pt idx="52">
                  <v>52.3</v>
                </pt>
                <pt idx="53">
                  <v>47.9</v>
                </pt>
                <pt idx="54">
                  <v>44.6</v>
                </pt>
                <pt idx="55">
                  <v>42.5</v>
                </pt>
                <pt idx="56">
                  <v>39.9</v>
                </pt>
                <pt idx="57">
                  <v>39.1</v>
                </pt>
                <pt idx="58">
                  <v>44.8</v>
                </pt>
                <pt idx="59">
                  <v>41.7</v>
                </pt>
                <pt idx="60">
                  <v>43</v>
                </pt>
                <pt idx="61">
                  <v>45.5</v>
                </pt>
                <pt idx="62">
                  <v>43.5</v>
                </pt>
                <pt idx="63">
                  <v>44.4</v>
                </pt>
                <pt idx="64">
                  <v>36.9</v>
                </pt>
                <pt idx="65">
                  <v>38.6</v>
                </pt>
                <pt idx="66">
                  <v>37.4</v>
                </pt>
                <pt idx="67">
                  <v>37.3</v>
                </pt>
                <pt idx="68">
                  <v>41.4</v>
                </pt>
                <pt idx="69">
                  <v>45.6</v>
                </pt>
                <pt idx="70">
                  <v>42.7</v>
                </pt>
                <pt idx="71">
                  <v>45.3</v>
                </pt>
                <pt idx="72">
                  <v>43.9</v>
                </pt>
                <pt idx="73">
                  <v>44.4</v>
                </pt>
                <pt idx="74">
                  <v>45.1</v>
                </pt>
                <pt idx="75">
                  <v>45.1</v>
                </pt>
                <pt idx="76">
                  <v>46.4</v>
                </pt>
                <pt idx="77">
                  <v>47.7</v>
                </pt>
                <pt idx="78">
                  <v>50.3</v>
                </pt>
                <pt idx="79">
                  <v>49.2</v>
                </pt>
                <pt idx="80">
                  <v>47.4</v>
                </pt>
                <pt idx="81">
                  <v>48.8</v>
                </pt>
                <pt idx="82">
                  <v>49</v>
                </pt>
                <pt idx="83">
                  <v>50.7</v>
                </pt>
                <pt idx="84">
                  <v>48.8</v>
                </pt>
                <pt idx="85">
                  <v>46.9</v>
                </pt>
                <pt idx="86">
                  <v>47.4</v>
                </pt>
                <pt idx="87">
                  <v>50</v>
                </pt>
                <pt idx="88">
                  <v>52.7</v>
                </pt>
                <pt idx="89">
                  <v>50.4</v>
                </pt>
                <pt idx="90">
                  <v>50</v>
                </pt>
                <pt idx="91">
                  <v>49.5</v>
                </pt>
                <pt idx="92">
                  <v>47</v>
                </pt>
                <pt idx="93">
                  <v>50.4</v>
                </pt>
                <pt idx="94">
                  <v>46.8</v>
                </pt>
                <pt idx="95">
                  <v>46.4</v>
                </pt>
                <pt idx="96">
                  <v>50.5</v>
                </pt>
                <pt idx="97">
                  <v>51.3</v>
                </pt>
                <pt idx="98">
                  <v>51.9</v>
                </pt>
                <pt idx="99">
                  <v>52</v>
                </pt>
                <pt idx="100">
                  <v>52.2</v>
                </pt>
                <pt idx="101">
                  <v>52.7</v>
                </pt>
                <pt idx="102">
                  <v>49.9</v>
                </pt>
                <pt idx="103">
                  <v>47.8</v>
                </pt>
                <pt idx="104">
                  <v>48.2</v>
                </pt>
                <pt idx="105">
                  <v>52.2</v>
                </pt>
                <pt idx="106">
                  <v>51.4</v>
                </pt>
                <pt idx="107">
                  <v>51.8</v>
                </pt>
                <pt idx="108">
                  <v>51.2</v>
                </pt>
                <pt idx="109">
                  <v>50.9</v>
                </pt>
                <pt idx="110">
                  <v>51</v>
                </pt>
                <pt idx="111">
                  <v>52.7</v>
                </pt>
                <pt idx="112">
                  <v>50.4</v>
                </pt>
                <pt idx="113">
                  <v>34.5</v>
                </pt>
                <pt idx="114">
                  <v>27.4</v>
                </pt>
                <pt idx="115">
                  <v>27.6</v>
                </pt>
                <pt idx="116">
                  <v>35.9</v>
                </pt>
                <pt idx="117">
                  <v>42.5</v>
                </pt>
                <pt idx="118">
                  <v>49.5</v>
                </pt>
                <pt idx="119">
                  <v>50.4</v>
                </pt>
                <pt idx="120">
                  <v>52.3</v>
                </pt>
                <pt idx="121">
                  <v>50.9</v>
                </pt>
                <pt idx="122">
                  <v>51.1</v>
                </pt>
                <pt idx="123">
                  <v>47</v>
                </pt>
                <pt idx="124">
                  <v>47.1</v>
                </pt>
                <pt idx="125">
                  <v>44.1</v>
                </pt>
                <pt idx="126">
                  <v>42.9</v>
                </pt>
                <pt idx="127">
                  <v>48.3</v>
                </pt>
                <pt idx="128">
                  <v>53.9</v>
                </pt>
                <pt idx="129">
                  <v>54.4</v>
                </pt>
                <pt idx="130">
                  <v>55.1</v>
                </pt>
                <pt idx="131">
                  <v>54.6</v>
                </pt>
                <pt idx="132">
                  <v>54.9</v>
                </pt>
                <pt idx="133">
                  <v>53.6</v>
                </pt>
                <pt idx="134">
                  <v>53.6</v>
                </pt>
                <pt idx="135">
                  <v>52.8</v>
                </pt>
                <pt idx="136">
                  <v>54.7</v>
                </pt>
                <pt idx="137">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5.xml><?xml version="1.0" encoding="utf-8"?>
<chartSpace xmlns="http://schemas.openxmlformats.org/drawingml/2006/chart">
  <chart>
    <title>
      <tx>
        <strRef>
          <f>Russia!$J$2</f>
          <strCache>
            <ptCount val="1"/>
            <pt idx="0">
              <v>Russia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Russia!$B$5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Russia!$A$6:$A$143</f>
              <numCache>
                <formatCode>m/d/yy</formatCode>
                <ptCount val="13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Russia!$B$6:$B$143</f>
              <numCache>
                <formatCode>General</formatCode>
                <ptCount val="138"/>
                <pt idx="0">
                  <v>54.7</v>
                </pt>
                <pt idx="1">
                  <v>54.1</v>
                </pt>
                <pt idx="2">
                  <v>53.4</v>
                </pt>
                <pt idx="3">
                  <v>52.4</v>
                </pt>
                <pt idx="4">
                  <v>53.4</v>
                </pt>
                <pt idx="5">
                  <v>53.3</v>
                </pt>
                <pt idx="6">
                  <v>55.8</v>
                </pt>
                <pt idx="7">
                  <v>57.6</v>
                </pt>
                <pt idx="8">
                  <v>55.1</v>
                </pt>
                <pt idx="9">
                  <v>56.9</v>
                </pt>
                <pt idx="10">
                  <v>55.1</v>
                </pt>
                <pt idx="11">
                  <v>53.3</v>
                </pt>
                <pt idx="12">
                  <v>53.5</v>
                </pt>
                <pt idx="13">
                  <v>54.8</v>
                </pt>
                <pt idx="14">
                  <v>53.8</v>
                </pt>
                <pt idx="15">
                  <v>56.5</v>
                </pt>
                <pt idx="16">
                  <v>55.3</v>
                </pt>
                <pt idx="17">
                  <v>54.4</v>
                </pt>
                <pt idx="18">
                  <v>52.6</v>
                </pt>
                <pt idx="19">
                  <v>54.9</v>
                </pt>
                <pt idx="20">
                  <v>53.2</v>
                </pt>
                <pt idx="21">
                  <v>52</v>
                </pt>
                <pt idx="22">
                  <v>52.6</v>
                </pt>
                <pt idx="23">
                  <v>54.5</v>
                </pt>
                <pt idx="24">
                  <v>57.3</v>
                </pt>
                <pt idx="25">
                  <v>57.1</v>
                </pt>
                <pt idx="26">
                  <v>56.1</v>
                </pt>
                <pt idx="27">
                  <v>55.7</v>
                </pt>
                <pt idx="28">
                  <v>56.1</v>
                </pt>
                <pt idx="29">
                  <v>54.6</v>
                </pt>
                <pt idx="30">
                  <v>53</v>
                </pt>
                <pt idx="31">
                  <v>51.4</v>
                </pt>
                <pt idx="32">
                  <v>48.8</v>
                </pt>
                <pt idx="33">
                  <v>48.7</v>
                </pt>
                <pt idx="34">
                  <v>51.8</v>
                </pt>
                <pt idx="35">
                  <v>51.5</v>
                </pt>
                <pt idx="36">
                  <v>52.5</v>
                </pt>
                <pt idx="37">
                  <v>52.9</v>
                </pt>
                <pt idx="38">
                  <v>51.4</v>
                </pt>
                <pt idx="39">
                  <v>50.2</v>
                </pt>
                <pt idx="40">
                  <v>50.8</v>
                </pt>
                <pt idx="41">
                  <v>47.7</v>
                </pt>
                <pt idx="42">
                  <v>46.8</v>
                </pt>
                <pt idx="43">
                  <v>46.1</v>
                </pt>
                <pt idx="44">
                  <v>49.8</v>
                </pt>
                <pt idx="45">
                  <v>49.7</v>
                </pt>
                <pt idx="46">
                  <v>50.3</v>
                </pt>
                <pt idx="47">
                  <v>50.5</v>
                </pt>
                <pt idx="48">
                  <v>47.4</v>
                </pt>
                <pt idx="49">
                  <v>44.5</v>
                </pt>
                <pt idx="50">
                  <v>45.8</v>
                </pt>
                <pt idx="51">
                  <v>43.9</v>
                </pt>
                <pt idx="52">
                  <v>41.3</v>
                </pt>
                <pt idx="53">
                  <v>46.1</v>
                </pt>
                <pt idx="54">
                  <v>50.7</v>
                </pt>
                <pt idx="55">
                  <v>52.8</v>
                </pt>
                <pt idx="56">
                  <v>49.5</v>
                </pt>
                <pt idx="57">
                  <v>51.6</v>
                </pt>
                <pt idx="58">
                  <v>49.1</v>
                </pt>
                <pt idx="59">
                  <v>51.3</v>
                </pt>
                <pt idx="60">
                  <v>47.8</v>
                </pt>
                <pt idx="61">
                  <v>49.8</v>
                </pt>
                <pt idx="62">
                  <v>47.8</v>
                </pt>
                <pt idx="63">
                  <v>47.1</v>
                </pt>
                <pt idx="64">
                  <v>50.9</v>
                </pt>
                <pt idx="65">
                  <v>52</v>
                </pt>
                <pt idx="66">
                  <v>54.2</v>
                </pt>
                <pt idx="67">
                  <v>51.8</v>
                </pt>
                <pt idx="68">
                  <v>53.8</v>
                </pt>
                <pt idx="69">
                  <v>55</v>
                </pt>
                <pt idx="70">
                  <v>53.5</v>
                </pt>
                <pt idx="71">
                  <v>53</v>
                </pt>
                <pt idx="72">
                  <v>52.7</v>
                </pt>
                <pt idx="73">
                  <v>54.7</v>
                </pt>
                <pt idx="74">
                  <v>56.5</v>
                </pt>
                <pt idx="75">
                  <v>58.4</v>
                </pt>
                <pt idx="76">
                  <v>55.5</v>
                </pt>
                <pt idx="77">
                  <v>56.6</v>
                </pt>
                <pt idx="78">
                  <v>56.1</v>
                </pt>
                <pt idx="79">
                  <v>56.3</v>
                </pt>
                <pt idx="80">
                  <v>55.5</v>
                </pt>
                <pt idx="81">
                  <v>52.6</v>
                </pt>
                <pt idx="82">
                  <v>54.2</v>
                </pt>
                <pt idx="83">
                  <v>55.2</v>
                </pt>
                <pt idx="84">
                  <v>53.9</v>
                </pt>
                <pt idx="85">
                  <v>57.4</v>
                </pt>
                <pt idx="86">
                  <v>56.8</v>
                </pt>
                <pt idx="87">
                  <v>55.1</v>
                </pt>
                <pt idx="88">
                  <v>56.5</v>
                </pt>
                <pt idx="89">
                  <v>53.7</v>
                </pt>
                <pt idx="90">
                  <v>55.5</v>
                </pt>
                <pt idx="91">
                  <v>54.1</v>
                </pt>
                <pt idx="92">
                  <v>52.3</v>
                </pt>
                <pt idx="93">
                  <v>52.8</v>
                </pt>
                <pt idx="94">
                  <v>53.3</v>
                </pt>
                <pt idx="95">
                  <v>54.7</v>
                </pt>
                <pt idx="96">
                  <v>56.9</v>
                </pt>
                <pt idx="97">
                  <v>55.6</v>
                </pt>
                <pt idx="98">
                  <v>54.4</v>
                </pt>
                <pt idx="99">
                  <v>54.9</v>
                </pt>
                <pt idx="100">
                  <v>55.3</v>
                </pt>
                <pt idx="101">
                  <v>54.4</v>
                </pt>
                <pt idx="102">
                  <v>52.6</v>
                </pt>
                <pt idx="103">
                  <v>52</v>
                </pt>
                <pt idx="104">
                  <v>49.7</v>
                </pt>
                <pt idx="105">
                  <v>50.4</v>
                </pt>
                <pt idx="106">
                  <v>52.1</v>
                </pt>
                <pt idx="107">
                  <v>53.6</v>
                </pt>
                <pt idx="108">
                  <v>55.8</v>
                </pt>
                <pt idx="109">
                  <v>55.6</v>
                </pt>
                <pt idx="110">
                  <v>53.1</v>
                </pt>
                <pt idx="111">
                  <v>54.1</v>
                </pt>
                <pt idx="112">
                  <v>52</v>
                </pt>
                <pt idx="113">
                  <v>37.1</v>
                </pt>
                <pt idx="114">
                  <v>12.2</v>
                </pt>
                <pt idx="115">
                  <v>35.9</v>
                </pt>
                <pt idx="116">
                  <v>47.8</v>
                </pt>
                <pt idx="117">
                  <v>58.5</v>
                </pt>
                <pt idx="118">
                  <v>58.2</v>
                </pt>
                <pt idx="119">
                  <v>53.7</v>
                </pt>
                <pt idx="120">
                  <v>46.9</v>
                </pt>
                <pt idx="121">
                  <v>48.2</v>
                </pt>
                <pt idx="122">
                  <v>48</v>
                </pt>
                <pt idx="123">
                  <v>52.7</v>
                </pt>
                <pt idx="124">
                  <v>52.2</v>
                </pt>
                <pt idx="125">
                  <v>55.8</v>
                </pt>
                <pt idx="126">
                  <v>55.2</v>
                </pt>
                <pt idx="127">
                  <v>57.5</v>
                </pt>
                <pt idx="128">
                  <v>56.5</v>
                </pt>
                <pt idx="129">
                  <v>53.5</v>
                </pt>
                <pt idx="130">
                  <v>49.3</v>
                </pt>
                <pt idx="131">
                  <v>50.5</v>
                </pt>
                <pt idx="132">
                  <v>58.8</v>
                </pt>
                <pt idx="133">
                  <v>47.1</v>
                </pt>
                <pt idx="134">
                  <v>49.5</v>
                </pt>
                <pt idx="135">
                  <v>49.8</v>
                </pt>
                <pt idx="136">
                  <v>52.1</v>
                </pt>
                <pt idx="137">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6.xml><?xml version="1.0" encoding="utf-8"?>
<chartSpace xmlns="http://schemas.openxmlformats.org/drawingml/2006/chart">
  <chart>
    <title>
      <tx>
        <strRef>
          <f>Spain!$J$2</f>
          <strCache>
            <ptCount val="1"/>
            <pt idx="0">
              <v>Spain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Spain!$B$5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Spain!$A$6:$A$143</f>
              <numCache>
                <formatCode>m/d/yy</formatCode>
                <ptCount val="138"/>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numCache>
            </numRef>
          </cat>
          <val>
            <numRef>
              <f>Spain!$B$6:$B$143</f>
              <numCache>
                <formatCode>General</formatCode>
                <ptCount val="138"/>
                <pt idx="0">
                  <v>46.5</v>
                </pt>
                <pt idx="1">
                  <v>48.3</v>
                </pt>
                <pt idx="2">
                  <v>49.1</v>
                </pt>
                <pt idx="3">
                  <v>50.1</v>
                </pt>
                <pt idx="4">
                  <v>50.8</v>
                </pt>
                <pt idx="5">
                  <v>48.7</v>
                </pt>
                <pt idx="6">
                  <v>50.4</v>
                </pt>
                <pt idx="7">
                  <v>50.9</v>
                </pt>
                <pt idx="8">
                  <v>50.2</v>
                </pt>
                <pt idx="9">
                  <v>46.5</v>
                </pt>
                <pt idx="10">
                  <v>45.2</v>
                </pt>
                <pt idx="11">
                  <v>44.8</v>
                </pt>
                <pt idx="12">
                  <v>41.8</v>
                </pt>
                <pt idx="13">
                  <v>36.8</v>
                </pt>
                <pt idx="14">
                  <v>42.1</v>
                </pt>
                <pt idx="15">
                  <v>46.1</v>
                </pt>
                <pt idx="16">
                  <v>41.9</v>
                </pt>
                <pt idx="17">
                  <v>46.3</v>
                </pt>
                <pt idx="18">
                  <v>42.1</v>
                </pt>
                <pt idx="19">
                  <v>41.8</v>
                </pt>
                <pt idx="20">
                  <v>43.4</v>
                </pt>
                <pt idx="21">
                  <v>43.7</v>
                </pt>
                <pt idx="22">
                  <v>44</v>
                </pt>
                <pt idx="23">
                  <v>40.2</v>
                </pt>
                <pt idx="24">
                  <v>41.2</v>
                </pt>
                <pt idx="25">
                  <v>42.4</v>
                </pt>
                <pt idx="26">
                  <v>44.1</v>
                </pt>
                <pt idx="27">
                  <v>47</v>
                </pt>
                <pt idx="28">
                  <v>44.7</v>
                </pt>
                <pt idx="29">
                  <v>45.3</v>
                </pt>
                <pt idx="30">
                  <v>44.4</v>
                </pt>
                <pt idx="31">
                  <v>47.3</v>
                </pt>
                <pt idx="32">
                  <v>47.8</v>
                </pt>
                <pt idx="33">
                  <v>48.5</v>
                </pt>
                <pt idx="34">
                  <v>50.5</v>
                </pt>
                <pt idx="35">
                  <v>49</v>
                </pt>
                <pt idx="36">
                  <v>49.6</v>
                </pt>
                <pt idx="37">
                  <v>51.5</v>
                </pt>
                <pt idx="38">
                  <v>53.2</v>
                </pt>
                <pt idx="39">
                  <v>54.9</v>
                </pt>
                <pt idx="40">
                  <v>53.7</v>
                </pt>
                <pt idx="41">
                  <v>54</v>
                </pt>
                <pt idx="42">
                  <v>56.5</v>
                </pt>
                <pt idx="43">
                  <v>55.7</v>
                </pt>
                <pt idx="44">
                  <v>54.8</v>
                </pt>
                <pt idx="45">
                  <v>56.2</v>
                </pt>
                <pt idx="46">
                  <v>58.1</v>
                </pt>
                <pt idx="47">
                  <v>55.8</v>
                </pt>
                <pt idx="48">
                  <v>55.9</v>
                </pt>
                <pt idx="49">
                  <v>52.7</v>
                </pt>
                <pt idx="50">
                  <v>54.3</v>
                </pt>
                <pt idx="51">
                  <v>56.7</v>
                </pt>
                <pt idx="52">
                  <v>56.2</v>
                </pt>
                <pt idx="53">
                  <v>57.3</v>
                </pt>
                <pt idx="54">
                  <v>60.3</v>
                </pt>
                <pt idx="55">
                  <v>58.4</v>
                </pt>
                <pt idx="56">
                  <v>56.1</v>
                </pt>
                <pt idx="57">
                  <v>59.7</v>
                </pt>
                <pt idx="58">
                  <v>59.6</v>
                </pt>
                <pt idx="59">
                  <v>55.1</v>
                </pt>
                <pt idx="60">
                  <v>55.9</v>
                </pt>
                <pt idx="61">
                  <v>56.7</v>
                </pt>
                <pt idx="62">
                  <v>55.1</v>
                </pt>
                <pt idx="63">
                  <v>54.6</v>
                </pt>
                <pt idx="64">
                  <v>54.1</v>
                </pt>
                <pt idx="65">
                  <v>55.3</v>
                </pt>
                <pt idx="66">
                  <v>55.1</v>
                </pt>
                <pt idx="67">
                  <v>55.4</v>
                </pt>
                <pt idx="68">
                  <v>56</v>
                </pt>
                <pt idx="69">
                  <v>54.1</v>
                </pt>
                <pt idx="70">
                  <v>56</v>
                </pt>
                <pt idx="71">
                  <v>54.7</v>
                </pt>
                <pt idx="72">
                  <v>54.6</v>
                </pt>
                <pt idx="73">
                  <v>55.1</v>
                </pt>
                <pt idx="74">
                  <v>55</v>
                </pt>
                <pt idx="75">
                  <v>54.2</v>
                </pt>
                <pt idx="76">
                  <v>57</v>
                </pt>
                <pt idx="77">
                  <v>57.4</v>
                </pt>
                <pt idx="78">
                  <v>57.8</v>
                </pt>
                <pt idx="79">
                  <v>57.3</v>
                </pt>
                <pt idx="80">
                  <v>58.3</v>
                </pt>
                <pt idx="81">
                  <v>57.6</v>
                </pt>
                <pt idx="82">
                  <v>56</v>
                </pt>
                <pt idx="83">
                  <v>56.7</v>
                </pt>
                <pt idx="84">
                  <v>54.6</v>
                </pt>
                <pt idx="85">
                  <v>54.4</v>
                </pt>
                <pt idx="86">
                  <v>54.6</v>
                </pt>
                <pt idx="87">
                  <v>56.9</v>
                </pt>
                <pt idx="88">
                  <v>57.3</v>
                </pt>
                <pt idx="89">
                  <v>56.2</v>
                </pt>
                <pt idx="90">
                  <v>55.6</v>
                </pt>
                <pt idx="91">
                  <v>56.4</v>
                </pt>
                <pt idx="92">
                  <v>55.4</v>
                </pt>
                <pt idx="93">
                  <v>52.6</v>
                </pt>
                <pt idx="94">
                  <v>52.7</v>
                </pt>
                <pt idx="95">
                  <v>52.5</v>
                </pt>
                <pt idx="96">
                  <v>54</v>
                </pt>
                <pt idx="97">
                  <v>54</v>
                </pt>
                <pt idx="98">
                  <v>54</v>
                </pt>
                <pt idx="99">
                  <v>54.7</v>
                </pt>
                <pt idx="100">
                  <v>54.5</v>
                </pt>
                <pt idx="101">
                  <v>56.8</v>
                </pt>
                <pt idx="102">
                  <v>53.1</v>
                </pt>
                <pt idx="103">
                  <v>52.8</v>
                </pt>
                <pt idx="104">
                  <v>53.6</v>
                </pt>
                <pt idx="105">
                  <v>52.9</v>
                </pt>
                <pt idx="106">
                  <v>54.3</v>
                </pt>
                <pt idx="107">
                  <v>53.3</v>
                </pt>
                <pt idx="108">
                  <v>52.7</v>
                </pt>
                <pt idx="109">
                  <v>53.2</v>
                </pt>
                <pt idx="110">
                  <v>54.9</v>
                </pt>
                <pt idx="111">
                  <v>52.3</v>
                </pt>
                <pt idx="112">
                  <v>52.1</v>
                </pt>
                <pt idx="113">
                  <v>23</v>
                </pt>
                <pt idx="114">
                  <v>7.1</v>
                </pt>
                <pt idx="115">
                  <v>27.9</v>
                </pt>
                <pt idx="116">
                  <v>50.2</v>
                </pt>
                <pt idx="117">
                  <v>51.9</v>
                </pt>
                <pt idx="118">
                  <v>47.7</v>
                </pt>
                <pt idx="119">
                  <v>42.4</v>
                </pt>
                <pt idx="120">
                  <v>41.4</v>
                </pt>
                <pt idx="121">
                  <v>39.5</v>
                </pt>
                <pt idx="122">
                  <v>48</v>
                </pt>
                <pt idx="123">
                  <v>41.7</v>
                </pt>
                <pt idx="124">
                  <v>43.1</v>
                </pt>
                <pt idx="125">
                  <v>48.1</v>
                </pt>
                <pt idx="126">
                  <v>54.6</v>
                </pt>
                <pt idx="127">
                  <v>59.4</v>
                </pt>
                <pt idx="128">
                  <v>62.5</v>
                </pt>
                <pt idx="129">
                  <v>61.9</v>
                </pt>
                <pt idx="130">
                  <v>60.1</v>
                </pt>
                <pt idx="131">
                  <v>56.9</v>
                </pt>
                <pt idx="132">
                  <v>56.6</v>
                </pt>
                <pt idx="133">
                  <v>59.8</v>
                </pt>
                <pt idx="134">
                  <v>55.8</v>
                </pt>
                <pt idx="135">
                  <v>46.6</v>
                </pt>
                <pt idx="136">
                  <v>56.6</v>
                </pt>
                <pt idx="137">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s>
</file>

<file path=xl/drawings/_rels/drawing3.xml.rels><Relationships xmlns="http://schemas.openxmlformats.org/package/2006/relationships"><Relationship Type="http://schemas.openxmlformats.org/officeDocument/2006/relationships/chart" Target="/xl/charts/chart3.xml" Id="rId1"/></Relationships>
</file>

<file path=xl/drawings/_rels/drawing4.xml.rels><Relationships xmlns="http://schemas.openxmlformats.org/package/2006/relationships"><Relationship Type="http://schemas.openxmlformats.org/officeDocument/2006/relationships/chart" Target="/xl/charts/chart4.xml" Id="rId1"/></Relationships>
</file>

<file path=xl/drawings/_rels/drawing5.xml.rels><Relationships xmlns="http://schemas.openxmlformats.org/package/2006/relationships"><Relationship Type="http://schemas.openxmlformats.org/officeDocument/2006/relationships/chart" Target="/xl/charts/chart5.xml" Id="rId1"/></Relationships>
</file>

<file path=xl/drawings/_rels/drawing6.xml.rels><Relationships xmlns="http://schemas.openxmlformats.org/package/2006/relationships"><Relationship Type="http://schemas.openxmlformats.org/officeDocument/2006/relationships/chart" Target="/xl/charts/chart6.xml" Id="rId1"/></Relationships>
</file>

<file path=xl/drawings/_rels/drawing7.xml.rels><Relationships xmlns="http://schemas.openxmlformats.org/package/2006/relationships"><Relationship Type="http://schemas.openxmlformats.org/officeDocument/2006/relationships/chart" Target="/xl/charts/chart7.xml" Id="rId1"/></Relationships>
</file>

<file path=xl/drawings/_rels/drawing8.xml.rels><Relationships xmlns="http://schemas.openxmlformats.org/package/2006/relationships"><Relationship Type="http://schemas.openxmlformats.org/officeDocument/2006/relationships/chart" Target="/xl/charts/chart8.xml" Id="rId1"/></Relationships>
</file>

<file path=xl/drawings/_rels/drawing9.xml.rels><Relationships xmlns="http://schemas.openxmlformats.org/package/2006/relationships"><Relationship Type="http://schemas.openxmlformats.org/officeDocument/2006/relationships/chart" Target="/xl/charts/chart9.xml" Id="rId1"/></Relationships>
</file>

<file path=xl/drawings/_rels/drawing10.xml.rels><Relationships xmlns="http://schemas.openxmlformats.org/package/2006/relationships"><Relationship Type="http://schemas.openxmlformats.org/officeDocument/2006/relationships/chart" Target="/xl/charts/chart10.xml" Id="rId1"/></Relationships>
</file>

<file path=xl/drawings/_rels/drawing11.xml.rels><Relationships xmlns="http://schemas.openxmlformats.org/package/2006/relationships"><Relationship Type="http://schemas.openxmlformats.org/officeDocument/2006/relationships/chart" Target="/xl/charts/chart11.xml" Id="rId1"/></Relationships>
</file>

<file path=xl/drawings/_rels/drawing12.xml.rels><Relationships xmlns="http://schemas.openxmlformats.org/package/2006/relationships"><Relationship Type="http://schemas.openxmlformats.org/officeDocument/2006/relationships/chart" Target="/xl/charts/chart12.xml" Id="rId1"/></Relationships>
</file>

<file path=xl/drawings/_rels/drawing13.xml.rels><Relationships xmlns="http://schemas.openxmlformats.org/package/2006/relationships"><Relationship Type="http://schemas.openxmlformats.org/officeDocument/2006/relationships/chart" Target="/xl/charts/chart13.xml" Id="rId1"/></Relationships>
</file>

<file path=xl/drawings/_rels/drawing14.xml.rels><Relationships xmlns="http://schemas.openxmlformats.org/package/2006/relationships"><Relationship Type="http://schemas.openxmlformats.org/officeDocument/2006/relationships/chart" Target="/xl/charts/chart14.xml" Id="rId1"/></Relationships>
</file>

<file path=xl/drawings/_rels/drawing15.xml.rels><Relationships xmlns="http://schemas.openxmlformats.org/package/2006/relationships"><Relationship Type="http://schemas.openxmlformats.org/officeDocument/2006/relationships/chart" Target="/xl/charts/chart15.xml" Id="rId1"/></Relationships>
</file>

<file path=xl/drawings/_rels/drawing16.xml.rels><Relationships xmlns="http://schemas.openxmlformats.org/package/2006/relationships"><Relationship Type="http://schemas.openxmlformats.org/officeDocument/2006/relationships/chart" Target="/xl/charts/chart16.xml" Id="rId1"/></Relationships>
</file>

<file path=xl/drawings/drawing1.xml><?xml version="1.0" encoding="utf-8"?>
<wsDr xmlns="http://schemas.openxmlformats.org/drawingml/2006/spreadsheetDrawing">
  <twoCellAnchor>
    <from>
      <col>17</col>
      <colOff>406218</colOff>
      <row>73</row>
      <rowOff>167994</rowOff>
    </from>
    <to>
      <col>25</col>
      <colOff>123076</colOff>
      <row>93</row>
      <rowOff>58456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3</col>
      <colOff>321467</colOff>
      <row>117</row>
      <rowOff>174625</rowOff>
    </from>
    <to>
      <col>12</col>
      <colOff>277812</colOff>
      <row>140</row>
      <rowOff>52391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xml><?xml version="1.0" encoding="utf-8"?>
<wsDr xmlns="http://schemas.openxmlformats.org/drawingml/2006/spreadsheetDrawing">
  <twoCellAnchor>
    <from>
      <col>3</col>
      <colOff>277811</colOff>
      <row>80</row>
      <rowOff>92868</rowOff>
    </from>
    <to>
      <col>12</col>
      <colOff>396874</colOff>
      <row>104</row>
      <rowOff>7937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4.xml><?xml version="1.0" encoding="utf-8"?>
<wsDr xmlns="http://schemas.openxmlformats.org/drawingml/2006/spreadsheetDrawing">
  <twoCellAnchor>
    <from>
      <col>3</col>
      <colOff>141939</colOff>
      <row>158</row>
      <rowOff>59764</rowOff>
    </from>
    <to>
      <col>12</col>
      <colOff>321235</colOff>
      <row>179</row>
      <rowOff>8217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5.xml><?xml version="1.0" encoding="utf-8"?>
<wsDr xmlns="http://schemas.openxmlformats.org/drawingml/2006/spreadsheetDrawing">
  <twoCellAnchor>
    <from>
      <col>3</col>
      <colOff>373061</colOff>
      <row>119</row>
      <rowOff>103188</rowOff>
    </from>
    <to>
      <col>11</col>
      <colOff>428624</colOff>
      <row>140</row>
      <rowOff>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6.xml><?xml version="1.0" encoding="utf-8"?>
<wsDr xmlns="http://schemas.openxmlformats.org/drawingml/2006/spreadsheetDrawing">
  <twoCellAnchor>
    <from>
      <col>3</col>
      <colOff>261939</colOff>
      <row>143</row>
      <rowOff>7938</rowOff>
    </from>
    <to>
      <col>12</col>
      <colOff>349249</colOff>
      <row>166</row>
      <rowOff>65882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7.xml><?xml version="1.0" encoding="utf-8"?>
<wsDr xmlns="http://schemas.openxmlformats.org/drawingml/2006/spreadsheetDrawing">
  <twoCellAnchor>
    <from>
      <col>3</col>
      <colOff>165100</colOff>
      <row>156</row>
      <rowOff>152401</rowOff>
    </from>
    <to>
      <col>12</col>
      <colOff>237066</colOff>
      <row>179</row>
      <rowOff>59267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8.xml><?xml version="1.0" encoding="utf-8"?>
<wsDr xmlns="http://schemas.openxmlformats.org/drawingml/2006/spreadsheetDrawing">
  <twoCellAnchor>
    <from>
      <col>3</col>
      <colOff>232832</colOff>
      <row>118</row>
      <rowOff>25399</rowOff>
    </from>
    <to>
      <col>12</col>
      <colOff>516465</colOff>
      <row>140</row>
      <rowOff>42332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9.xml><?xml version="1.0" encoding="utf-8"?>
<wsDr xmlns="http://schemas.openxmlformats.org/drawingml/2006/spreadsheetDrawing">
  <twoCellAnchor>
    <from>
      <col>3</col>
      <colOff>277812</colOff>
      <row>118</row>
      <rowOff>182563</rowOff>
    </from>
    <to>
      <col>12</col>
      <colOff>547687</colOff>
      <row>140</row>
      <rowOff>57944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0.xml><?xml version="1.0" encoding="utf-8"?>
<wsDr xmlns="http://schemas.openxmlformats.org/drawingml/2006/spreadsheetDrawing">
  <twoCellAnchor>
    <from>
      <col>3</col>
      <colOff>173568</colOff>
      <row>118</row>
      <rowOff>135466</rowOff>
    </from>
    <to>
      <col>11</col>
      <colOff>423334</colOff>
      <row>140</row>
      <rowOff>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1.xml><?xml version="1.0" encoding="utf-8"?>
<wsDr xmlns="http://schemas.openxmlformats.org/drawingml/2006/spreadsheetDrawing">
  <twoCellAnchor>
    <from>
      <col>3</col>
      <colOff>150813</colOff>
      <row>118</row>
      <rowOff>158750</rowOff>
    </from>
    <to>
      <col>12</col>
      <colOff>444499</colOff>
      <row>139</row>
      <rowOff>169070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2.xml><?xml version="1.0" encoding="utf-8"?>
<wsDr xmlns="http://schemas.openxmlformats.org/drawingml/2006/spreadsheetDrawing">
  <twoCellAnchor>
    <from>
      <col>3</col>
      <colOff>214311</colOff>
      <row>119</row>
      <rowOff>87313</rowOff>
    </from>
    <to>
      <col>11</col>
      <colOff>206375</colOff>
      <row>140</row>
      <rowOff>50007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3.xml><?xml version="1.0" encoding="utf-8"?>
<wsDr xmlns="http://schemas.openxmlformats.org/drawingml/2006/spreadsheetDrawing">
  <twoCellAnchor>
    <from>
      <col>3</col>
      <colOff>139701</colOff>
      <row>116</row>
      <rowOff>152399</rowOff>
    </from>
    <to>
      <col>13</col>
      <colOff>237067</colOff>
      <row>140</row>
      <rowOff>84667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4.xml><?xml version="1.0" encoding="utf-8"?>
<wsDr xmlns="http://schemas.openxmlformats.org/drawingml/2006/spreadsheetDrawing">
  <twoCellAnchor>
    <from>
      <col>3</col>
      <colOff>261939</colOff>
      <row>117</row>
      <rowOff>127000</rowOff>
    </from>
    <to>
      <col>12</col>
      <colOff>230187</colOff>
      <row>140</row>
      <rowOff>42070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5.xml><?xml version="1.0" encoding="utf-8"?>
<wsDr xmlns="http://schemas.openxmlformats.org/drawingml/2006/spreadsheetDrawing">
  <twoCellAnchor>
    <from>
      <col>3</col>
      <colOff>238126</colOff>
      <row>116</row>
      <rowOff>150813</rowOff>
    </from>
    <to>
      <col>12</col>
      <colOff>404812</colOff>
      <row>140</row>
      <rowOff>26194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6.xml><?xml version="1.0" encoding="utf-8"?>
<wsDr xmlns="http://schemas.openxmlformats.org/drawingml/2006/spreadsheetDrawing">
  <twoCellAnchor>
    <from>
      <col>3</col>
      <colOff>268940</colOff>
      <row>118</row>
      <rowOff>104588</rowOff>
    </from>
    <to>
      <col>12</col>
      <colOff>664882</colOff>
      <row>140</row>
      <rowOff>53042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tables/table1.xml><?xml version="1.0" encoding="utf-8"?>
<table xmlns="http://schemas.openxmlformats.org/spreadsheetml/2006/main" id="1" name="Table1" displayName="Table1" ref="A5:C142" headerRowCount="1" totalsRowShown="0" headerRowDxfId="129" dataDxfId="127" headerRowBorderDxfId="128" tableBorderDxfId="126" totalsRowBorderDxfId="125">
  <autoFilter ref="A5:C142"/>
  <tableColumns count="3">
    <tableColumn id="1" name="Date" dataDxfId="124"/>
    <tableColumn id="2" name="PMI" dataDxfId="123">
      <calculatedColumnFormula>IF(VLOOKUP(A6,'DB Country PMI'!$A:$V,MATCH($A$1,'DB Country PMI'!$A$1:$V$1,),)=0,#N/A,VLOOKUP(A6,'DB Country PMI'!$A:$V,MATCH($A$1,'DB Country PMI'!$A$1:$V$1,),))</calculatedColumnFormula>
    </tableColumn>
    <tableColumn id="3" name="mom" dataDxfId="122">
      <calculatedColumnFormula>Table1[[#This Row],[PMI]]-B5</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1346811" displayName="Table1346811" ref="A5:C107" headerRowCount="1" totalsRowShown="0" headerRowDxfId="121" dataDxfId="119" headerRowBorderDxfId="120" tableBorderDxfId="118" totalsRowBorderDxfId="117">
  <autoFilter ref="A5:C107"/>
  <tableColumns count="3">
    <tableColumn id="1" name="Date" dataDxfId="116"/>
    <tableColumn id="2" name="PMI" dataDxfId="115">
      <calculatedColumnFormula>IF(VLOOKUP(A6,'DB Country PMI'!$A:$V,MATCH($A$1,'DB Country PMI'!$A$1:$V$1,),)=0,#N/A,VLOOKUP(A6,'DB Country PMI'!$A:$V,MATCH($A$1,'DB Country PMI'!$A$1:$V$1,),))</calculatedColumnFormula>
    </tableColumn>
    <tableColumn id="3" name="mom" dataDxfId="114">
      <calculatedColumnFormula>Table1346811[[#This Row],[PMI]]-B5</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3" name="Table13468113" displayName="Table13468113" ref="A5:C182" headerRowCount="1" totalsRowShown="0" headerRowDxfId="113" dataDxfId="111" headerRowBorderDxfId="112" tableBorderDxfId="110" totalsRowBorderDxfId="109">
  <autoFilter ref="A5:C182"/>
  <tableColumns count="3">
    <tableColumn id="1" name="Date" dataDxfId="108"/>
    <tableColumn id="2" name="PMI" dataDxfId="107">
      <calculatedColumnFormula>IF(VLOOKUP(A6,'DB Country PMI'!$A:$V,MATCH($A$1,'DB Country PMI'!$A$1:$V$1,),)=0,#N/A,VLOOKUP(A6,'DB Country PMI'!$A:$V,MATCH($A$1,'DB Country PMI'!$A$1:$V$1,),))</calculatedColumnFormula>
    </tableColumn>
    <tableColumn id="3" name="mom" dataDxfId="106">
      <calculatedColumnFormula>Table13468113[[#This Row],[PMI]]-B5</calculatedColumnFormula>
    </tableColumn>
  </tableColumns>
  <tableStyleInfo name="TableStyleMedium2" showFirstColumn="0" showLastColumn="0" showRowStripes="1" showColumnStripes="0"/>
</table>
</file>

<file path=xl/tables/table4.xml><?xml version="1.0" encoding="utf-8"?>
<table xmlns="http://schemas.openxmlformats.org/spreadsheetml/2006/main" id="4" name="Table134681134" displayName="Table134681134" ref="A5:C143" headerRowCount="1" totalsRowShown="0" headerRowDxfId="105" dataDxfId="103" headerRowBorderDxfId="104" tableBorderDxfId="102" totalsRowBorderDxfId="101">
  <autoFilter ref="A5:C143"/>
  <tableColumns count="3">
    <tableColumn id="1" name="Date" dataDxfId="100"/>
    <tableColumn id="2" name="PMI" dataDxfId="99">
      <calculatedColumnFormula>IF(VLOOKUP(A6,'DB Country PMI'!$A:$W,MATCH($A$1,'DB Country PMI'!$A$1:$W$1,),)=0,#N/A,VLOOKUP(A6,'DB Country PMI'!$A:$W,MATCH($A$1,'DB Country PMI'!$A$1:$W$1,),))</calculatedColumnFormula>
    </tableColumn>
    <tableColumn id="3" name="mom" dataDxfId="98">
      <calculatedColumnFormula>Table134681134[[#This Row],[PMI]]-B5</calculatedColumnFormula>
    </tableColumn>
  </tableColumns>
  <tableStyleInfo name="TableStyleMedium2" showFirstColumn="0" showLastColumn="0" showRowStripes="1" showColumnStripes="0"/>
</table>
</file>

<file path=xl/tables/table5.xml><?xml version="1.0" encoding="utf-8"?>
<table xmlns="http://schemas.openxmlformats.org/spreadsheetml/2006/main" id="5" name="Table1346811345" displayName="Table1346811345" ref="A5:C169" headerRowCount="1" totalsRowShown="0" headerRowDxfId="97" dataDxfId="95" headerRowBorderDxfId="96" tableBorderDxfId="94" totalsRowBorderDxfId="93">
  <autoFilter ref="A5:C169"/>
  <tableColumns count="3">
    <tableColumn id="1" name="Date" dataDxfId="92"/>
    <tableColumn id="2" name="PMI" dataDxfId="91">
      <calculatedColumnFormula>IF(VLOOKUP(A6,'DB Country PMI'!$A:$W,MATCH($A$1,'DB Country PMI'!$A$1:$W$1,),)=0,#N/A,VLOOKUP(A6,'DB Country PMI'!$A:$W,MATCH($A$1,'DB Country PMI'!$A$1:$W$1,),))</calculatedColumnFormula>
    </tableColumn>
    <tableColumn id="3" name="mom" dataDxfId="90">
      <calculatedColumnFormula>Table1346811345[[#This Row],[PMI]]-B5</calculatedColumnFormula>
    </tableColumn>
  </tableColumns>
  <tableStyleInfo name="TableStyleMedium2" showFirstColumn="0" showLastColumn="0" showRowStripes="1" showColumnStripes="0"/>
</table>
</file>

<file path=xl/tables/table6.xml><?xml version="1.0" encoding="utf-8"?>
<table xmlns="http://schemas.openxmlformats.org/spreadsheetml/2006/main" id="6" name="Table13468113456" displayName="Table13468113456" ref="A5:C182" headerRowCount="1" totalsRowShown="0" headerRowDxfId="89" dataDxfId="87" headerRowBorderDxfId="88" tableBorderDxfId="86" totalsRowBorderDxfId="85">
  <autoFilter ref="A5:C182"/>
  <tableColumns count="3">
    <tableColumn id="1" name="Date" dataDxfId="84"/>
    <tableColumn id="2" name="PMI" dataDxfId="83">
      <calculatedColumnFormula>IF(VLOOKUP(A6,'DB Country PMI'!$A:$W,MATCH($A$1,'DB Country PMI'!$A$1:$W$1,),)=0,#N/A,VLOOKUP(A6,'DB Country PMI'!$A:$W,MATCH($A$1,'DB Country PMI'!$A$1:$W$1,),))</calculatedColumnFormula>
    </tableColumn>
    <tableColumn id="3" name="mom" dataDxfId="82">
      <calculatedColumnFormula>Table13468113456[[#This Row],[PMI]]-B5</calculatedColumnFormula>
    </tableColumn>
  </tableColumns>
  <tableStyleInfo name="TableStyleMedium2" showFirstColumn="0" showLastColumn="0" showRowStripes="1" showColumnStripes="0"/>
</table>
</file>

<file path=xl/tables/table7.xml><?xml version="1.0" encoding="utf-8"?>
<table xmlns="http://schemas.openxmlformats.org/spreadsheetml/2006/main" id="7" name="Table1346811345671012131415" displayName="Table1346811345671012131415" ref="A5:C143" headerRowCount="1" totalsRowShown="0" headerRowDxfId="81" dataDxfId="79" headerRowBorderDxfId="80" tableBorderDxfId="78" totalsRowBorderDxfId="77">
  <autoFilter ref="A5:C143"/>
  <tableColumns count="3">
    <tableColumn id="1" name="Date" dataDxfId="76"/>
    <tableColumn id="2" name="PMI" dataDxfId="75">
      <calculatedColumnFormula>IF(VLOOKUP(A6,'DB Country PMI'!$A:$W,MATCH($A$1,'DB Country PMI'!$A$1:$W$1,),)=0,#N/A,VLOOKUP(A6,'DB Country PMI'!$A:$W,MATCH($A$1,'DB Country PMI'!$A$1:$W$1,),))</calculatedColumnFormula>
    </tableColumn>
    <tableColumn id="3" name="mom" dataDxfId="74"/>
  </tableColumns>
  <tableStyleInfo name="TableStyleMedium2" showFirstColumn="0" showLastColumn="0" showRowStripes="1" showColumnStripes="0"/>
</table>
</file>

<file path=xl/tables/table8.xml><?xml version="1.0" encoding="utf-8"?>
<table xmlns="http://schemas.openxmlformats.org/spreadsheetml/2006/main" id="8" name="Table134681134567" displayName="Table134681134567" ref="A5:C143" headerRowCount="1" totalsRowShown="0" headerRowDxfId="73" dataDxfId="71" headerRowBorderDxfId="72" tableBorderDxfId="70" totalsRowBorderDxfId="69">
  <autoFilter ref="A5:C143"/>
  <tableColumns count="3">
    <tableColumn id="1" name="Date" dataDxfId="68"/>
    <tableColumn id="2" name="PMI" dataDxfId="67">
      <calculatedColumnFormula>IF(VLOOKUP(A6,'DB Country PMI'!$A:$W,MATCH($A$1,'DB Country PMI'!$A$1:$W$1,),)=0,#N/A,VLOOKUP(A6,'DB Country PMI'!$A:$W,MATCH($A$1,'DB Country PMI'!$A$1:$W$1,),))</calculatedColumnFormula>
    </tableColumn>
    <tableColumn id="3" name="mom" dataDxfId="66">
      <calculatedColumnFormula>Table134681134567[[#This Row],[PMI]]-B5</calculatedColumnFormula>
    </tableColumn>
  </tableColumns>
  <tableStyleInfo name="TableStyleMedium2" showFirstColumn="0" showLastColumn="0" showRowStripes="1" showColumnStripes="0"/>
</table>
</file>

<file path=xl/tables/table9.xml><?xml version="1.0" encoding="utf-8"?>
<table xmlns="http://schemas.openxmlformats.org/spreadsheetml/2006/main" id="9" name="Table13468113456716" displayName="Table13468113456716" ref="A5:C143" headerRowCount="1" totalsRowShown="0" headerRowDxfId="65" dataDxfId="63" headerRowBorderDxfId="64" tableBorderDxfId="62" totalsRowBorderDxfId="61">
  <autoFilter ref="A5:C143"/>
  <tableColumns count="3">
    <tableColumn id="1" name="Date" dataDxfId="60"/>
    <tableColumn id="2" name="PMI" dataDxfId="59">
      <calculatedColumnFormula>IF(VLOOKUP(A6,'DB Country PMI'!$A:$W,MATCH($A$1,'DB Country PMI'!$A$1:$W$1,),)=0,#N/A,VLOOKUP(A6,'DB Country PMI'!$A:$W,MATCH($A$1,'DB Country PMI'!$A$1:$W$1,),))</calculatedColumnFormula>
    </tableColumn>
    <tableColumn id="3" name="mom" dataDxfId="58">
      <calculatedColumnFormula>Table13468113456716[[#This Row],[PMI]]-B5</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id="10" name="Table1346811345678" displayName="Table1346811345678" ref="A5:C143" headerRowCount="1" totalsRowShown="0" headerRowDxfId="57" dataDxfId="55" headerRowBorderDxfId="56" tableBorderDxfId="54" totalsRowBorderDxfId="53">
  <autoFilter ref="A5:C143"/>
  <tableColumns count="3">
    <tableColumn id="1" name="Date" dataDxfId="52"/>
    <tableColumn id="2" name="PMI" dataDxfId="51">
      <calculatedColumnFormula>IF(VLOOKUP(A6,'DB Country PMI'!$A:$W,MATCH($A$1,'DB Country PMI'!$A$1:$W$1,),)=0,#N/A,VLOOKUP(A6,'DB Country PMI'!$A:$W,MATCH($A$1,'DB Country PMI'!$A$1:$W$1,),))</calculatedColumnFormula>
    </tableColumn>
    <tableColumn id="3" name="mom" dataDxfId="50">
      <calculatedColumnFormula>Table1346811345678[[#This Row],[PMI]]-B5</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id="11" name="Table13468113456789" displayName="Table13468113456789" ref="A5:C143" headerRowCount="1" totalsRowShown="0" headerRowDxfId="49" dataDxfId="47" headerRowBorderDxfId="48" tableBorderDxfId="46" totalsRowBorderDxfId="45">
  <autoFilter ref="A5:C143"/>
  <tableColumns count="3">
    <tableColumn id="1" name="Date" dataDxfId="44"/>
    <tableColumn id="2" name="PMI" dataDxfId="43">
      <calculatedColumnFormula>IF(VLOOKUP(A6,'DB Country PMI'!$A:$W,MATCH($A$1,'DB Country PMI'!$A$1:$W$1,),)=0,#N/A,VLOOKUP(A6,'DB Country PMI'!$A:$W,MATCH($A$1,'DB Country PMI'!$A$1:$W$1,),))</calculatedColumnFormula>
    </tableColumn>
    <tableColumn id="3" name="mom" dataDxfId="42">
      <calculatedColumnFormula>Table13468113456789[[#This Row],[PMI]]-B5</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id="12" name="Table13468113456710" displayName="Table13468113456710" ref="A5:C143" headerRowCount="1" totalsRowShown="0" headerRowDxfId="41" dataDxfId="39" headerRowBorderDxfId="40" tableBorderDxfId="38" totalsRowBorderDxfId="37">
  <autoFilter ref="A5:C143"/>
  <tableColumns count="3">
    <tableColumn id="1" name="Date" dataDxfId="36"/>
    <tableColumn id="2" name="PMI" dataDxfId="35">
      <calculatedColumnFormula>IF(VLOOKUP(A6,'DB Country PMI'!$A:$W,MATCH($A$1,'DB Country PMI'!$A$1:$W$1,),)=0,#N/A,VLOOKUP(A6,'DB Country PMI'!$A:$W,MATCH($A$1,'DB Country PMI'!$A$1:$W$1,),))</calculatedColumnFormula>
    </tableColumn>
    <tableColumn id="3" name="mom" dataDxfId="34">
      <calculatedColumnFormula>Table13468113456710[[#This Row],[PMI]]-B5</calculatedColumnFormula>
    </tableColumn>
  </tableColumns>
  <tableStyleInfo name="TableStyleMedium2" showFirstColumn="0" showLastColumn="0" showRowStripes="1" showColumnStripes="0"/>
</table>
</file>

<file path=xl/tables/table13.xml><?xml version="1.0" encoding="utf-8"?>
<table xmlns="http://schemas.openxmlformats.org/spreadsheetml/2006/main" id="13" name="Table1346811345671012" displayName="Table1346811345671012" ref="A5:C143" headerRowCount="1" totalsRowShown="0" headerRowDxfId="33" dataDxfId="31" headerRowBorderDxfId="32" tableBorderDxfId="30" totalsRowBorderDxfId="29">
  <autoFilter ref="A5:C143"/>
  <tableColumns count="3">
    <tableColumn id="1" name="Date" dataDxfId="28"/>
    <tableColumn id="2" name="PMI" dataDxfId="27"/>
    <tableColumn id="3" name="mom" dataDxfId="26">
      <calculatedColumnFormula>Table1346811345671012[[#This Row],[PMI]]-B5</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id="14" name="Table134681134567101213" displayName="Table134681134567101213" ref="A5:C143" headerRowCount="1" totalsRowShown="0" headerRowDxfId="25" dataDxfId="23" headerRowBorderDxfId="24" tableBorderDxfId="22" totalsRowBorderDxfId="21">
  <autoFilter ref="A5:C143"/>
  <tableColumns count="3">
    <tableColumn id="1" name="Date" dataDxfId="20"/>
    <tableColumn id="2" name="PMI" dataDxfId="19">
      <calculatedColumnFormula>IF(VLOOKUP(A6,'DB Country PMI'!$A:$W,MATCH($A$1,'DB Country PMI'!$A$1:$W$1,),)=0,#N/A,VLOOKUP(A6,'DB Country PMI'!$A:$W,MATCH($A$1,'DB Country PMI'!$A$1:$W$1,),))</calculatedColumnFormula>
    </tableColumn>
    <tableColumn id="3" name="mom" dataDxfId="18">
      <calculatedColumnFormula>Table134681134567101213[[#This Row],[PMI]]-B5</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id="15" name="Table13468113456710121314" displayName="Table13468113456710121314" ref="A5:C143" headerRowCount="1" totalsRowShown="0" headerRowDxfId="17" dataDxfId="15" headerRowBorderDxfId="16" tableBorderDxfId="14" totalsRowBorderDxfId="13">
  <autoFilter ref="A5:C143"/>
  <tableColumns count="3">
    <tableColumn id="1" name="Date" dataDxfId="12"/>
    <tableColumn id="2" name="PMI" dataDxfId="11">
      <calculatedColumnFormula>IF(VLOOKUP(A6,'DB Country PMI'!$A:$W,MATCH($A$1,'DB Country PMI'!$A$1:$W$1,),)=0,#N/A,VLOOKUP(A6,'DB Country PMI'!$A:$W,MATCH($A$1,'DB Country PMI'!$A$1:$W$1,),))</calculatedColumnFormula>
    </tableColumn>
    <tableColumn id="3" name="mom" dataDxfId="10">
      <calculatedColumnFormula>Table13468113456710121314[[#This Row],[PMI]]-B5</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tradingeconomics.com/country-list/services-pmi" TargetMode="External" Id="rId1"/></Relationships>
</file>

<file path=xl/worksheets/_rels/sheet3.xml.rels><Relationships xmlns="http://schemas.openxmlformats.org/package/2006/relationships"><Relationship Type="http://schemas.openxmlformats.org/officeDocument/2006/relationships/drawing" Target="/xl/drawings/drawing1.xml" Id="rId1"/></Relationships>
</file>

<file path=xl/worksheets/_rels/sheet4.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5.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_rels/sheet6.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3.xml" Id="rId2"/></Relationships>
</file>

<file path=xl/worksheets/_rels/sheet7.xml.rels><Relationships xmlns="http://schemas.openxmlformats.org/package/2006/relationships"><Relationship Type="http://schemas.openxmlformats.org/officeDocument/2006/relationships/drawing" Target="/xl/drawings/drawing5.xml" Id="rId1"/><Relationship Type="http://schemas.openxmlformats.org/officeDocument/2006/relationships/table" Target="/xl/tables/table4.xml" Id="rId2"/></Relationships>
</file>

<file path=xl/worksheets/_rels/sheet8.xml.rels><Relationships xmlns="http://schemas.openxmlformats.org/package/2006/relationships"><Relationship Type="http://schemas.openxmlformats.org/officeDocument/2006/relationships/drawing" Target="/xl/drawings/drawing6.xml" Id="rId1"/><Relationship Type="http://schemas.openxmlformats.org/officeDocument/2006/relationships/table" Target="/xl/tables/table5.xml" Id="rId2"/></Relationships>
</file>

<file path=xl/worksheets/_rels/sheet9.xml.rels><Relationships xmlns="http://schemas.openxmlformats.org/package/2006/relationships"><Relationship Type="http://schemas.openxmlformats.org/officeDocument/2006/relationships/drawing" Target="/xl/drawings/drawing7.xml" Id="rId1"/><Relationship Type="http://schemas.openxmlformats.org/officeDocument/2006/relationships/table" Target="/xl/tables/table6.xml" Id="rId2"/></Relationships>
</file>

<file path=xl/worksheets/_rels/sheet10.xml.rels><Relationships xmlns="http://schemas.openxmlformats.org/package/2006/relationships"><Relationship Type="http://schemas.openxmlformats.org/officeDocument/2006/relationships/drawing" Target="/xl/drawings/drawing8.xml" Id="rId1"/><Relationship Type="http://schemas.openxmlformats.org/officeDocument/2006/relationships/table" Target="/xl/tables/table7.xml" Id="rId2"/></Relationships>
</file>

<file path=xl/worksheets/_rels/sheet11.xml.rels><Relationships xmlns="http://schemas.openxmlformats.org/package/2006/relationships"><Relationship Type="http://schemas.openxmlformats.org/officeDocument/2006/relationships/drawing" Target="/xl/drawings/drawing9.xml" Id="rId1"/><Relationship Type="http://schemas.openxmlformats.org/officeDocument/2006/relationships/table" Target="/xl/tables/table8.xml" Id="rId2"/></Relationships>
</file>

<file path=xl/worksheets/_rels/sheet12.xml.rels><Relationships xmlns="http://schemas.openxmlformats.org/package/2006/relationships"><Relationship Type="http://schemas.openxmlformats.org/officeDocument/2006/relationships/drawing" Target="/xl/drawings/drawing10.xml" Id="rId1"/><Relationship Type="http://schemas.openxmlformats.org/officeDocument/2006/relationships/table" Target="/xl/tables/table9.xml" Id="rId2"/></Relationships>
</file>

<file path=xl/worksheets/_rels/sheet13.xml.rels><Relationships xmlns="http://schemas.openxmlformats.org/package/2006/relationships"><Relationship Type="http://schemas.openxmlformats.org/officeDocument/2006/relationships/drawing" Target="/xl/drawings/drawing11.xml" Id="rId1"/><Relationship Type="http://schemas.openxmlformats.org/officeDocument/2006/relationships/table" Target="/xl/tables/table10.xml" Id="rId2"/></Relationships>
</file>

<file path=xl/worksheets/_rels/sheet14.xml.rels><Relationships xmlns="http://schemas.openxmlformats.org/package/2006/relationships"><Relationship Type="http://schemas.openxmlformats.org/officeDocument/2006/relationships/drawing" Target="/xl/drawings/drawing12.xml" Id="rId1"/><Relationship Type="http://schemas.openxmlformats.org/officeDocument/2006/relationships/table" Target="/xl/tables/table11.xml" Id="rId2"/></Relationships>
</file>

<file path=xl/worksheets/_rels/sheet15.xml.rels><Relationships xmlns="http://schemas.openxmlformats.org/package/2006/relationships"><Relationship Type="http://schemas.openxmlformats.org/officeDocument/2006/relationships/drawing" Target="/xl/drawings/drawing13.xml" Id="rId1"/><Relationship Type="http://schemas.openxmlformats.org/officeDocument/2006/relationships/table" Target="/xl/tables/table12.xml" Id="rId2"/></Relationships>
</file>

<file path=xl/worksheets/_rels/sheet16.xml.rels><Relationships xmlns="http://schemas.openxmlformats.org/package/2006/relationships"><Relationship Type="http://schemas.openxmlformats.org/officeDocument/2006/relationships/drawing" Target="/xl/drawings/drawing14.xml" Id="rId1"/><Relationship Type="http://schemas.openxmlformats.org/officeDocument/2006/relationships/table" Target="/xl/tables/table13.xml" Id="rId2"/></Relationships>
</file>

<file path=xl/worksheets/_rels/sheet17.xml.rels><Relationships xmlns="http://schemas.openxmlformats.org/package/2006/relationships"><Relationship Type="http://schemas.openxmlformats.org/officeDocument/2006/relationships/drawing" Target="/xl/drawings/drawing15.xml" Id="rId1"/><Relationship Type="http://schemas.openxmlformats.org/officeDocument/2006/relationships/table" Target="/xl/tables/table14.xml" Id="rId2"/></Relationships>
</file>

<file path=xl/worksheets/_rels/sheet18.xml.rels><Relationships xmlns="http://schemas.openxmlformats.org/package/2006/relationships"><Relationship Type="http://schemas.openxmlformats.org/officeDocument/2006/relationships/drawing" Target="/xl/drawings/drawing16.xml" Id="rId1"/><Relationship Type="http://schemas.openxmlformats.org/officeDocument/2006/relationships/table" Target="/xl/tables/table15.xml" Id="rId2"/></Relationships>
</file>

<file path=xl/worksheets/sheet1.xml><?xml version="1.0" encoding="utf-8"?>
<worksheet xmlns="http://schemas.openxmlformats.org/spreadsheetml/2006/main">
  <sheetPr>
    <tabColor rgb="FFFFFF00"/>
    <outlinePr summaryBelow="1" summaryRight="1"/>
    <pageSetUpPr/>
  </sheetPr>
  <dimension ref="B1:S34"/>
  <sheetViews>
    <sheetView topLeftCell="G11" zoomScale="150" zoomScaleNormal="150" workbookViewId="0">
      <selection activeCell="P14" sqref="P14"/>
    </sheetView>
  </sheetViews>
  <sheetFormatPr baseColWidth="10" defaultColWidth="9.1640625" defaultRowHeight="15"/>
  <cols>
    <col width="4" customWidth="1" style="60" min="1" max="1"/>
    <col width="12.83203125" customWidth="1" style="60" min="2" max="5"/>
    <col width="13.6640625" customWidth="1" style="60" min="6" max="6"/>
    <col width="12.83203125" customWidth="1" style="60" min="7" max="10"/>
    <col width="2" customWidth="1" style="60" min="11" max="13"/>
    <col width="9.1640625" customWidth="1" style="60" min="14" max="14"/>
    <col width="15.5" customWidth="1" style="60" min="15" max="15"/>
    <col width="12.6640625" customWidth="1" style="60" min="16" max="18"/>
    <col width="11.6640625" customWidth="1" style="60" min="19" max="19"/>
    <col width="9.1640625" customWidth="1" style="60" min="20" max="24"/>
    <col width="9.1640625" customWidth="1" style="60" min="25" max="16384"/>
  </cols>
  <sheetData>
    <row r="1">
      <c r="B1" s="59" t="n"/>
    </row>
    <row r="2" ht="16" customHeight="1" s="38" thickBot="1">
      <c r="B2" s="61" t="n"/>
      <c r="C2" s="61" t="n"/>
      <c r="D2" s="61" t="n"/>
      <c r="E2" s="61" t="n"/>
      <c r="F2" s="61" t="n"/>
      <c r="G2" s="61" t="n"/>
      <c r="H2" s="61" t="n"/>
      <c r="I2" s="61" t="n"/>
      <c r="J2" s="61" t="n"/>
    </row>
    <row r="3" ht="16" customHeight="1" s="38" thickBot="1">
      <c r="B3" s="62" t="inlineStr">
        <is>
          <t>PMI Services World</t>
        </is>
      </c>
      <c r="C3" s="53" t="n"/>
      <c r="D3" s="53" t="n"/>
      <c r="E3" s="53" t="n"/>
      <c r="F3" s="53" t="n"/>
      <c r="G3" s="53" t="n"/>
      <c r="H3" s="53" t="n"/>
      <c r="I3" s="53" t="n"/>
      <c r="J3" s="54" t="n"/>
    </row>
    <row r="5">
      <c r="B5" s="63" t="inlineStr">
        <is>
          <t>Definition</t>
        </is>
      </c>
      <c r="C5" s="64" t="n"/>
      <c r="D5" s="64" t="n"/>
      <c r="E5" s="64" t="n"/>
      <c r="F5" s="64" t="n"/>
      <c r="G5" s="64" t="n"/>
      <c r="H5" s="64" t="n"/>
      <c r="I5" s="64" t="n"/>
      <c r="J5" s="58" t="n"/>
    </row>
    <row r="7" ht="225.75" customHeight="1" s="38">
      <c r="B7" s="65" t="inlineStr">
        <is>
          <t>PMIs are surveys conducted by the Markit Group, which produces metrics based on ISM’s work for over 30 countries. They are great leading indicators.
Like the ISM, they are diffusion index.
Each country PMI survey for the manufacturing or service sector is based on questionnaire responses from panels of senior purchasing executives (or similar) at over 400 companies. The survey panels are carefully recruited to accurately represent the true structure of that sector.
Weightings are different from ISM:
New orders 30%
Output 25%
Employment 20%
Suppliers' Delivery Times 15%
Stocks of purchases 10%</t>
        </is>
      </c>
    </row>
    <row r="8" ht="24" customHeight="1" s="38">
      <c r="B8" s="37" t="n"/>
      <c r="C8" s="66" t="n"/>
      <c r="D8" s="66" t="n"/>
      <c r="E8" s="66" t="n"/>
      <c r="F8" s="66" t="n"/>
      <c r="G8" s="66" t="n"/>
      <c r="H8" s="66" t="n"/>
      <c r="I8" s="66" t="n"/>
      <c r="J8" s="66" t="n"/>
    </row>
    <row r="9" ht="16" customHeight="1" s="38" thickBot="1">
      <c r="B9" s="1" t="n"/>
      <c r="C9" s="2" t="n"/>
      <c r="D9" s="2" t="n"/>
      <c r="E9" s="2" t="n"/>
    </row>
    <row r="10" ht="16" customHeight="1" s="38" thickBot="1">
      <c r="B10" s="63" t="inlineStr">
        <is>
          <t>Process / TO DO LIST</t>
        </is>
      </c>
      <c r="C10" s="64" t="n"/>
      <c r="D10" s="64" t="n"/>
      <c r="E10" s="64" t="n"/>
      <c r="F10" s="64" t="n"/>
      <c r="G10" s="64" t="n"/>
      <c r="H10" s="64" t="n"/>
      <c r="I10" s="64" t="n"/>
      <c r="J10" s="58" t="n"/>
      <c r="N10" s="52" t="inlineStr">
        <is>
          <t>Summary</t>
        </is>
      </c>
      <c r="O10" s="53" t="n"/>
      <c r="P10" s="53" t="n"/>
      <c r="Q10" s="53" t="n"/>
      <c r="R10" s="53" t="n"/>
      <c r="S10" s="54" t="n"/>
    </row>
    <row r="11">
      <c r="N11" s="3" t="inlineStr">
        <is>
          <t>* input new month</t>
        </is>
      </c>
    </row>
    <row r="12" ht="16" customHeight="1" s="38" thickBot="1">
      <c r="B12" s="63" t="inlineStr">
        <is>
          <t>TO DO LIST</t>
        </is>
      </c>
      <c r="C12" s="64" t="n"/>
      <c r="D12" s="64" t="n"/>
      <c r="E12" s="64" t="n"/>
      <c r="F12" s="58" t="n"/>
      <c r="G12" s="63" t="inlineStr">
        <is>
          <t>Comments</t>
        </is>
      </c>
      <c r="H12" s="64" t="n"/>
      <c r="I12" s="64" t="n"/>
      <c r="J12" s="58" t="n"/>
    </row>
    <row r="13">
      <c r="P13" s="4" t="n">
        <v>44593</v>
      </c>
      <c r="Q13" s="5">
        <f>DATE(YEAR(P13),MONTH(P13)-1,DAY(P13))</f>
        <v/>
      </c>
      <c r="R13" s="6" t="n"/>
      <c r="S13" s="15" t="inlineStr">
        <is>
          <t>%</t>
        </is>
      </c>
    </row>
    <row r="14" ht="16" customHeight="1" s="38" thickBot="1">
      <c r="B14" s="60" t="inlineStr">
        <is>
          <t>Global</t>
        </is>
      </c>
      <c r="G14" s="60" t="inlineStr">
        <is>
          <t>https://www.markiteconomics.com/Survey/Page.mvc/PressReleases</t>
        </is>
      </c>
      <c r="O14" s="60" t="inlineStr">
        <is>
          <t>Country</t>
        </is>
      </c>
      <c r="P14" s="39" t="inlineStr">
        <is>
          <t>ISM</t>
        </is>
      </c>
      <c r="Q14" s="39" t="inlineStr">
        <is>
          <t>ISM</t>
        </is>
      </c>
      <c r="R14" s="7" t="inlineStr">
        <is>
          <t>Change %</t>
        </is>
      </c>
      <c r="S14" s="32" t="inlineStr">
        <is>
          <t>World GDP</t>
        </is>
      </c>
    </row>
    <row r="15" ht="30.75" customHeight="1" s="38">
      <c r="G15" s="66" t="inlineStr">
        <is>
          <t>JPMorgan Global Services PMI</t>
        </is>
      </c>
      <c r="N15" s="55" t="inlineStr">
        <is>
          <t>Global</t>
        </is>
      </c>
      <c r="O15" s="56" t="n"/>
      <c r="P15" s="40">
        <f>VLOOKUP($P$13,Summary!$B:$AB,MATCH(Note!N15,Summary!$B$2:$AB$2,),)</f>
        <v/>
      </c>
      <c r="Q15" s="11">
        <f>VLOOKUP($Q$13,Summary!$B:$AB,MATCH(Note!N15,Summary!$B$2:$AB$2,),)</f>
        <v/>
      </c>
      <c r="R15" s="43" t="n">
        <v>-1</v>
      </c>
      <c r="S15" s="33" t="n"/>
    </row>
    <row r="16">
      <c r="B16" s="67" t="inlineStr">
        <is>
          <t>https://tradingeconomics.com/country-list/services-pmi</t>
        </is>
      </c>
      <c r="G16" s="60" t="inlineStr">
        <is>
          <t>Database</t>
        </is>
      </c>
      <c r="N16" s="57" t="inlineStr">
        <is>
          <t>US</t>
        </is>
      </c>
      <c r="O16" s="58" t="n"/>
      <c r="P16" s="41">
        <f>VLOOKUP($P$13,Summary!$B:$AB,MATCH(Note!N16,Summary!$B$2:$AB$2,),)</f>
        <v/>
      </c>
      <c r="Q16" s="14">
        <f>VLOOKUP($Q$13,Summary!$B:$AB,MATCH(Note!N16,Summary!$B$2:$AB$2,),)</f>
        <v/>
      </c>
      <c r="R16" s="44" t="n">
        <v>-0.3999999999999986</v>
      </c>
      <c r="S16" s="34" t="n">
        <v>0.241</v>
      </c>
    </row>
    <row r="17">
      <c r="B17" s="60" t="n"/>
      <c r="G17" s="60" t="inlineStr">
        <is>
          <t>Update each month for each country</t>
        </is>
      </c>
      <c r="N17" s="57" t="inlineStr">
        <is>
          <t xml:space="preserve">China </t>
        </is>
      </c>
      <c r="O17" s="58" t="n"/>
      <c r="P17" s="41">
        <f>VLOOKUP($P$13,Summary!$B:$AB,MATCH(Note!N17,Summary!$B$2:$AB$2,),)</f>
        <v/>
      </c>
      <c r="Q17" s="14">
        <f>VLOOKUP($Q$13,Summary!$B:$AB,MATCH(Note!N17,Summary!$B$2:$AB$2,),)</f>
        <v/>
      </c>
      <c r="R17" s="44" t="n">
        <v>1</v>
      </c>
      <c r="S17" s="34" t="n">
        <v>0.152</v>
      </c>
    </row>
    <row r="18">
      <c r="B18" s="60" t="n"/>
      <c r="N18" s="57" t="inlineStr">
        <is>
          <t>Eurozone</t>
        </is>
      </c>
      <c r="O18" s="58" t="n"/>
      <c r="P18" s="41">
        <f>VLOOKUP($P$13,Summary!$B:$AB,MATCH(Note!N18,Summary!$B$2:$AB$2,),)</f>
        <v/>
      </c>
      <c r="Q18" s="14">
        <f>VLOOKUP($Q$13,Summary!$B:$AB,MATCH(Note!N18,Summary!$B$2:$AB$2,),)</f>
        <v/>
      </c>
      <c r="R18" s="44" t="n">
        <v>-2.799999999999997</v>
      </c>
      <c r="S18" s="34" t="n">
        <v>0.156</v>
      </c>
    </row>
    <row r="19">
      <c r="N19" s="57" t="inlineStr">
        <is>
          <t xml:space="preserve">Japan </t>
        </is>
      </c>
      <c r="O19" s="58" t="n"/>
      <c r="P19" s="41">
        <f>VLOOKUP($P$13,Summary!$B:$AB,MATCH(Note!N19,Summary!$B$2:$AB$2,),)</f>
        <v/>
      </c>
      <c r="Q19" s="14">
        <f>VLOOKUP($Q$13,Summary!$B:$AB,MATCH(Note!N19,Summary!$B$2:$AB$2,),)</f>
        <v/>
      </c>
      <c r="R19" s="44" t="n">
        <v>-0.8999999999999986</v>
      </c>
      <c r="S19" s="34" t="n">
        <v>0.06</v>
      </c>
    </row>
    <row r="20">
      <c r="B20" s="60" t="n"/>
      <c r="G20" s="60" t="n"/>
      <c r="N20" s="57" t="inlineStr">
        <is>
          <t>Germany</t>
        </is>
      </c>
      <c r="O20" s="58" t="n"/>
      <c r="P20" s="41">
        <f>VLOOKUP($P$13,Summary!$B:$AB,MATCH(Note!N20,Summary!$B$2:$AB$2,),)</f>
        <v/>
      </c>
      <c r="Q20" s="14">
        <f>VLOOKUP($Q$13,Summary!$B:$AB,MATCH(Note!N20,Summary!$B$2:$AB$2,),)</f>
        <v/>
      </c>
      <c r="R20" s="44" t="n">
        <v>-4</v>
      </c>
      <c r="S20" s="34" t="n">
        <v>0.04564243244249699</v>
      </c>
    </row>
    <row r="21">
      <c r="B21" s="60" t="n"/>
      <c r="G21" s="60" t="n"/>
      <c r="N21" s="57" t="inlineStr">
        <is>
          <t>France</t>
        </is>
      </c>
      <c r="O21" s="58" t="n"/>
      <c r="P21" s="41">
        <f>VLOOKUP($P$13,Summary!$B:$AB,MATCH(Note!N21,Summary!$B$2:$AB$2,),)</f>
        <v/>
      </c>
      <c r="Q21" s="14">
        <f>VLOOKUP($Q$13,Summary!$B:$AB,MATCH(Note!N21,Summary!$B$2:$AB$2,),)</f>
        <v/>
      </c>
      <c r="R21" s="44" t="n">
        <v>-0.3999999999999986</v>
      </c>
      <c r="S21" s="34" t="n">
        <v>0.03206266059259443</v>
      </c>
    </row>
    <row r="22">
      <c r="B22" s="60" t="n"/>
      <c r="G22" s="60" t="n"/>
      <c r="N22" s="57" t="inlineStr">
        <is>
          <t>UK</t>
        </is>
      </c>
      <c r="O22" s="58" t="n"/>
      <c r="P22" s="41">
        <f>VLOOKUP($P$13,Summary!$B:$AB,MATCH(Note!N22,Summary!$B$2:$AB$2,),)</f>
        <v/>
      </c>
      <c r="Q22" s="14">
        <f>VLOOKUP($Q$13,Summary!$B:$AB,MATCH(Note!N22,Summary!$B$2:$AB$2,),)</f>
        <v/>
      </c>
      <c r="R22" s="44" t="n">
        <v>-4.899999999999999</v>
      </c>
      <c r="S22" s="34" t="n">
        <v>0.033</v>
      </c>
    </row>
    <row r="23">
      <c r="B23" s="60" t="n"/>
      <c r="N23" s="57" t="inlineStr">
        <is>
          <t xml:space="preserve">Italy </t>
        </is>
      </c>
      <c r="O23" s="58" t="n"/>
      <c r="P23" s="41">
        <f>VLOOKUP($P$13,Summary!$B:$AB,MATCH(Note!N23,Summary!$B$2:$AB$2,),)</f>
        <v/>
      </c>
      <c r="Q23" s="14">
        <f>VLOOKUP($Q$13,Summary!$B:$AB,MATCH(Note!N23,Summary!$B$2:$AB$2,),)</f>
        <v/>
      </c>
      <c r="R23" s="44" t="n">
        <v>-2.899999999999999</v>
      </c>
      <c r="S23" s="34" t="n">
        <v>0.024</v>
      </c>
    </row>
    <row r="24">
      <c r="B24" s="60" t="n"/>
      <c r="N24" s="57" t="inlineStr">
        <is>
          <t>Spain</t>
        </is>
      </c>
      <c r="O24" s="58" t="n"/>
      <c r="P24" s="41">
        <f>VLOOKUP($P$13,Summary!$B:$AB,MATCH(Note!N24,Summary!$B$2:$AB$2,),)</f>
        <v/>
      </c>
      <c r="Q24" s="14">
        <f>VLOOKUP($Q$13,Summary!$B:$AB,MATCH(Note!N24,Summary!$B$2:$AB$2,),)</f>
        <v/>
      </c>
      <c r="R24" s="44" t="n">
        <v>-4</v>
      </c>
      <c r="S24" s="34" t="n">
        <v>0.01627338290239694</v>
      </c>
    </row>
    <row r="25">
      <c r="N25" s="57" t="inlineStr">
        <is>
          <t>Brazil</t>
        </is>
      </c>
      <c r="O25" s="58" t="n"/>
      <c r="P25" s="41">
        <f>VLOOKUP($P$13,Summary!$B:$AB,MATCH(Note!N25,Summary!$B$2:$AB$2,),)</f>
        <v/>
      </c>
      <c r="Q25" s="14">
        <f>VLOOKUP($Q$13,Summary!$B:$AB,MATCH(Note!N25,Summary!$B$2:$AB$2,),)</f>
        <v/>
      </c>
      <c r="R25" s="44" t="n">
        <v>0</v>
      </c>
      <c r="S25" s="34" t="n">
        <v>0.02552103375082236</v>
      </c>
    </row>
    <row r="26">
      <c r="N26" s="57" t="inlineStr">
        <is>
          <t>Russia</t>
        </is>
      </c>
      <c r="O26" s="58" t="n"/>
      <c r="P26" s="41">
        <f>VLOOKUP($P$13,Summary!$B:$AB,MATCH(Note!N26,Summary!$B$2:$AB$2,),)</f>
        <v/>
      </c>
      <c r="Q26" s="14">
        <f>VLOOKUP($Q$13,Summary!$B:$AB,MATCH(Note!N26,Summary!$B$2:$AB$2,),)</f>
        <v/>
      </c>
      <c r="R26" s="44" t="n">
        <v>2.399999999999999</v>
      </c>
      <c r="S26" s="34" t="n">
        <v>0.01958764166283934</v>
      </c>
    </row>
    <row r="27">
      <c r="N27" s="57" t="inlineStr">
        <is>
          <t>India</t>
        </is>
      </c>
      <c r="O27" s="58" t="n"/>
      <c r="P27" s="41">
        <f>VLOOKUP($P$13,Summary!$B:$AB,MATCH(Note!N27,Summary!$B$2:$AB$2,),)</f>
        <v/>
      </c>
      <c r="Q27" s="14">
        <f>VLOOKUP($Q$13,Summary!$B:$AB,MATCH(Note!N27,Summary!$B$2:$AB$2,),)</f>
        <v/>
      </c>
      <c r="R27" s="44" t="n">
        <v>-2.600000000000001</v>
      </c>
      <c r="S27" s="34" t="n">
        <v>0.03228609376745572</v>
      </c>
    </row>
    <row r="28">
      <c r="N28" s="57" t="inlineStr">
        <is>
          <t>Australia</t>
        </is>
      </c>
      <c r="O28" s="58" t="n"/>
      <c r="P28" s="41">
        <f>VLOOKUP($P$13,Summary!$B:$AB,MATCH(Note!N28,Summary!$B$2:$AB$2,),)</f>
        <v/>
      </c>
      <c r="Q28" s="14">
        <f>VLOOKUP($Q$13,Summary!$B:$AB,MATCH(Note!N28,Summary!$B$2:$AB$2,),)</f>
        <v/>
      </c>
      <c r="R28" s="44" t="n">
        <v>2</v>
      </c>
      <c r="S28" s="34" t="n">
        <v>0.01642233835230446</v>
      </c>
    </row>
    <row r="29" ht="16" customHeight="1" s="38" thickBot="1">
      <c r="N29" s="70" t="inlineStr">
        <is>
          <t>Ireland</t>
        </is>
      </c>
      <c r="O29" s="71" t="n"/>
      <c r="P29" s="42">
        <f>VLOOKUP($P$13,Summary!$B:$AB,MATCH(Note!N29,Summary!$B$2:$AB$2,),)</f>
        <v/>
      </c>
      <c r="Q29" s="35">
        <f>VLOOKUP($Q$13,Summary!$B:$AB,MATCH(Note!N29,Summary!$B$2:$AB$2,),)</f>
        <v/>
      </c>
      <c r="R29" s="45" t="n">
        <v>-3.899999999999999</v>
      </c>
      <c r="S29" s="36" t="n">
        <v>0.004145926689092737</v>
      </c>
    </row>
    <row r="32">
      <c r="B32" s="68" t="n"/>
    </row>
    <row r="33">
      <c r="B33" s="66" t="n"/>
    </row>
    <row r="34">
      <c r="B34" s="69" t="n"/>
    </row>
  </sheetData>
  <mergeCells count="41">
    <mergeCell ref="N25:O25"/>
    <mergeCell ref="B32:S32"/>
    <mergeCell ref="B34:S34"/>
    <mergeCell ref="B22:F22"/>
    <mergeCell ref="G22:J22"/>
    <mergeCell ref="N22:O22"/>
    <mergeCell ref="B23:F23"/>
    <mergeCell ref="N23:O23"/>
    <mergeCell ref="B24:F24"/>
    <mergeCell ref="N24:O24"/>
    <mergeCell ref="N26:O26"/>
    <mergeCell ref="N27:O27"/>
    <mergeCell ref="N28:O28"/>
    <mergeCell ref="B33:S33"/>
    <mergeCell ref="N29:O29"/>
    <mergeCell ref="N19:O19"/>
    <mergeCell ref="B20:F20"/>
    <mergeCell ref="G20:J20"/>
    <mergeCell ref="N20:O20"/>
    <mergeCell ref="B21:F21"/>
    <mergeCell ref="G21:J21"/>
    <mergeCell ref="N21:O21"/>
    <mergeCell ref="B18:F18"/>
    <mergeCell ref="B12:F12"/>
    <mergeCell ref="G12:J12"/>
    <mergeCell ref="B14:F14"/>
    <mergeCell ref="G14:J14"/>
    <mergeCell ref="G15:J15"/>
    <mergeCell ref="B16:F16"/>
    <mergeCell ref="G16:J16"/>
    <mergeCell ref="B17:F17"/>
    <mergeCell ref="B1:J2"/>
    <mergeCell ref="B3:J3"/>
    <mergeCell ref="B5:J5"/>
    <mergeCell ref="B7:J7"/>
    <mergeCell ref="B10:J10"/>
    <mergeCell ref="N10:S10"/>
    <mergeCell ref="N15:O15"/>
    <mergeCell ref="N16:O16"/>
    <mergeCell ref="N17:O17"/>
    <mergeCell ref="N18:O18"/>
  </mergeCells>
  <conditionalFormatting sqref="R15:R29">
    <cfRule type="cellIs" priority="7" operator="lessThan" dxfId="0">
      <formula>0</formula>
    </cfRule>
    <cfRule type="cellIs" priority="8" operator="greaterThan" dxfId="8">
      <formula>0</formula>
    </cfRule>
  </conditionalFormatting>
  <conditionalFormatting sqref="S16:S29">
    <cfRule type="dataBar" priority="199">
      <dataBar>
        <cfvo type="min"/>
        <cfvo type="max"/>
        <color rgb="FF638EC6"/>
      </dataBar>
    </cfRule>
  </conditionalFormatting>
  <hyperlinks>
    <hyperlink xmlns:r="http://schemas.openxmlformats.org/officeDocument/2006/relationships" ref="B16" r:id="rId1"/>
  </hyperlinks>
  <pageMargins left="0.7" right="0.7" top="0.75" bottom="0.75" header="0.3" footer="0.3"/>
</worksheet>
</file>

<file path=xl/worksheets/sheet2.xml><?xml version="1.0" encoding="utf-8"?>
<worksheet xmlns="http://schemas.openxmlformats.org/spreadsheetml/2006/main">
  <sheetPr>
    <tabColor theme="6"/>
    <outlinePr summaryBelow="1" summaryRight="1"/>
    <pageSetUpPr/>
  </sheetPr>
  <dimension ref="A1:V180"/>
  <sheetViews>
    <sheetView zoomScale="170" zoomScaleNormal="170" workbookViewId="0">
      <pane ySplit="1" topLeftCell="A157" activePane="bottomLeft" state="frozen"/>
      <selection activeCell="V1" sqref="V1"/>
      <selection pane="bottomLeft" activeCell="V1" sqref="V1"/>
    </sheetView>
  </sheetViews>
  <sheetFormatPr baseColWidth="10" defaultRowHeight="15"/>
  <cols>
    <col width="10.83203125" customWidth="1" style="38" min="1" max="5"/>
    <col width="10.83203125" customWidth="1" style="38" min="6" max="16384"/>
  </cols>
  <sheetData>
    <row r="1">
      <c r="A1" t="inlineStr">
        <is>
          <t>Date</t>
        </is>
      </c>
      <c r="B1" t="inlineStr">
        <is>
          <t>Australia</t>
        </is>
      </c>
      <c r="C1" t="inlineStr">
        <is>
          <t>Brazil</t>
        </is>
      </c>
      <c r="D1" t="inlineStr">
        <is>
          <t>China</t>
        </is>
      </c>
      <c r="E1" t="inlineStr">
        <is>
          <t>Euro Area</t>
        </is>
      </c>
      <c r="F1" t="inlineStr">
        <is>
          <t>France</t>
        </is>
      </c>
      <c r="G1" t="inlineStr">
        <is>
          <t>Germany</t>
        </is>
      </c>
      <c r="H1" t="inlineStr">
        <is>
          <t>Global</t>
        </is>
      </c>
      <c r="I1" t="inlineStr">
        <is>
          <t>India</t>
        </is>
      </c>
      <c r="J1" t="inlineStr">
        <is>
          <t>Ireland</t>
        </is>
      </c>
      <c r="K1" t="inlineStr">
        <is>
          <t>Italy</t>
        </is>
      </c>
      <c r="L1" t="inlineStr">
        <is>
          <t>Japan</t>
        </is>
      </c>
      <c r="M1" t="inlineStr">
        <is>
          <t>Kazakhstan</t>
        </is>
      </c>
      <c r="N1" t="inlineStr">
        <is>
          <t>New Zealand</t>
        </is>
      </c>
      <c r="O1" t="inlineStr">
        <is>
          <t>Nigeria</t>
        </is>
      </c>
      <c r="P1" t="inlineStr">
        <is>
          <t>Russia</t>
        </is>
      </c>
      <c r="Q1" t="inlineStr">
        <is>
          <t>Spain</t>
        </is>
      </c>
      <c r="R1" t="inlineStr">
        <is>
          <t>Sri Lanka</t>
        </is>
      </c>
      <c r="S1" t="inlineStr">
        <is>
          <t>Sweden</t>
        </is>
      </c>
      <c r="T1" t="inlineStr">
        <is>
          <t>Switzerland</t>
        </is>
      </c>
      <c r="U1" t="inlineStr">
        <is>
          <t>United Kingdom</t>
        </is>
      </c>
      <c r="V1" t="inlineStr">
        <is>
          <t>United States</t>
        </is>
      </c>
    </row>
    <row r="2">
      <c r="A2" s="73" t="n">
        <v>39264</v>
      </c>
      <c r="B2" t="n">
        <v/>
      </c>
      <c r="C2" t="n">
        <v/>
      </c>
      <c r="D2" t="n">
        <v/>
      </c>
      <c r="E2" t="n">
        <v>58.3</v>
      </c>
      <c r="F2" t="n">
        <v/>
      </c>
      <c r="G2" t="n">
        <v>58.9</v>
      </c>
      <c r="H2" t="n">
        <v/>
      </c>
      <c r="I2" t="n">
        <v/>
      </c>
      <c r="J2" t="n">
        <v/>
      </c>
      <c r="K2" t="n">
        <v/>
      </c>
      <c r="L2" t="n">
        <v/>
      </c>
      <c r="M2" t="n">
        <v/>
      </c>
      <c r="N2" t="n">
        <v/>
      </c>
      <c r="O2" t="n">
        <v/>
      </c>
      <c r="P2" t="n">
        <v/>
      </c>
      <c r="Q2" t="n">
        <v/>
      </c>
      <c r="R2" t="n">
        <v/>
      </c>
      <c r="S2" t="n">
        <v/>
      </c>
      <c r="T2" t="n">
        <v/>
      </c>
      <c r="U2" t="n">
        <v/>
      </c>
      <c r="V2" t="n">
        <v/>
      </c>
    </row>
    <row r="3">
      <c r="A3" s="73" t="n">
        <v>39295</v>
      </c>
      <c r="B3" t="n">
        <v/>
      </c>
      <c r="C3" t="n">
        <v/>
      </c>
      <c r="D3" t="n">
        <v/>
      </c>
      <c r="E3" t="n">
        <v>58</v>
      </c>
      <c r="F3" t="n">
        <v/>
      </c>
      <c r="G3" t="n">
        <v>59.8</v>
      </c>
      <c r="H3" t="n">
        <v/>
      </c>
      <c r="I3" t="n">
        <v/>
      </c>
      <c r="J3" t="n">
        <v/>
      </c>
      <c r="K3" t="n">
        <v/>
      </c>
      <c r="L3" t="n">
        <v/>
      </c>
      <c r="M3" t="n">
        <v/>
      </c>
      <c r="N3" t="n">
        <v/>
      </c>
      <c r="O3" t="n">
        <v/>
      </c>
      <c r="P3" t="n">
        <v/>
      </c>
      <c r="Q3" t="n">
        <v/>
      </c>
      <c r="R3" t="n">
        <v/>
      </c>
      <c r="S3" t="n">
        <v/>
      </c>
      <c r="T3" t="n">
        <v/>
      </c>
      <c r="U3" t="n">
        <v/>
      </c>
      <c r="V3" t="n">
        <v/>
      </c>
    </row>
    <row r="4">
      <c r="A4" s="73" t="n">
        <v>39326</v>
      </c>
      <c r="B4" t="n">
        <v/>
      </c>
      <c r="C4" t="n">
        <v/>
      </c>
      <c r="D4" t="n">
        <v/>
      </c>
      <c r="E4" t="n">
        <v>54.2</v>
      </c>
      <c r="F4" t="n">
        <v/>
      </c>
      <c r="G4" t="n">
        <v>53.1</v>
      </c>
      <c r="H4" t="n">
        <v/>
      </c>
      <c r="I4" t="n">
        <v/>
      </c>
      <c r="J4" t="n">
        <v/>
      </c>
      <c r="K4" t="n">
        <v/>
      </c>
      <c r="L4" t="n">
        <v/>
      </c>
      <c r="M4" t="n">
        <v/>
      </c>
      <c r="N4" t="n">
        <v/>
      </c>
      <c r="O4" t="n">
        <v/>
      </c>
      <c r="P4" t="n">
        <v/>
      </c>
      <c r="Q4" t="n">
        <v/>
      </c>
      <c r="R4" t="n">
        <v/>
      </c>
      <c r="S4" t="n">
        <v/>
      </c>
      <c r="T4" t="n">
        <v/>
      </c>
      <c r="U4" t="n">
        <v/>
      </c>
      <c r="V4" t="n">
        <v/>
      </c>
    </row>
    <row r="5">
      <c r="A5" s="73" t="n">
        <v>39356</v>
      </c>
      <c r="B5" t="n">
        <v/>
      </c>
      <c r="C5" t="n">
        <v/>
      </c>
      <c r="D5" t="n">
        <v/>
      </c>
      <c r="E5" t="n">
        <v>55.8</v>
      </c>
      <c r="F5" t="n">
        <v/>
      </c>
      <c r="G5" t="n">
        <v>55.1</v>
      </c>
      <c r="H5" t="n">
        <v/>
      </c>
      <c r="I5" t="n">
        <v/>
      </c>
      <c r="J5" t="n">
        <v/>
      </c>
      <c r="K5" t="n">
        <v/>
      </c>
      <c r="L5" t="n">
        <v/>
      </c>
      <c r="M5" t="n">
        <v/>
      </c>
      <c r="N5" t="n">
        <v/>
      </c>
      <c r="O5" t="n">
        <v/>
      </c>
      <c r="P5" t="n">
        <v/>
      </c>
      <c r="Q5" t="n">
        <v/>
      </c>
      <c r="R5" t="n">
        <v/>
      </c>
      <c r="S5" t="n">
        <v/>
      </c>
      <c r="T5" t="n">
        <v/>
      </c>
      <c r="U5" t="n">
        <v/>
      </c>
      <c r="V5" t="n">
        <v/>
      </c>
    </row>
    <row r="6">
      <c r="A6" s="73" t="n">
        <v>39387</v>
      </c>
      <c r="B6" t="n">
        <v/>
      </c>
      <c r="C6" t="n">
        <v/>
      </c>
      <c r="D6" t="n">
        <v/>
      </c>
      <c r="E6" t="n">
        <v>54.1</v>
      </c>
      <c r="F6" t="n">
        <v/>
      </c>
      <c r="G6" t="n">
        <v>53.1</v>
      </c>
      <c r="H6" t="n">
        <v/>
      </c>
      <c r="I6" t="n">
        <v/>
      </c>
      <c r="J6" t="n">
        <v/>
      </c>
      <c r="K6" t="n">
        <v/>
      </c>
      <c r="L6" t="n">
        <v/>
      </c>
      <c r="M6" t="n">
        <v/>
      </c>
      <c r="N6" t="n">
        <v/>
      </c>
      <c r="O6" t="n">
        <v/>
      </c>
      <c r="P6" t="n">
        <v/>
      </c>
      <c r="Q6" t="n">
        <v/>
      </c>
      <c r="R6" t="n">
        <v/>
      </c>
      <c r="S6" t="n">
        <v/>
      </c>
      <c r="T6" t="n">
        <v/>
      </c>
      <c r="U6" t="n">
        <v/>
      </c>
      <c r="V6" t="n">
        <v/>
      </c>
    </row>
    <row r="7">
      <c r="A7" s="73" t="n">
        <v>39417</v>
      </c>
      <c r="B7" t="n">
        <v/>
      </c>
      <c r="C7" t="n">
        <v/>
      </c>
      <c r="D7" t="n">
        <v/>
      </c>
      <c r="E7" t="n">
        <v>53.1</v>
      </c>
      <c r="F7" t="n">
        <v/>
      </c>
      <c r="G7" t="n">
        <v>51.5</v>
      </c>
      <c r="H7" t="n">
        <v/>
      </c>
      <c r="I7" t="n">
        <v/>
      </c>
      <c r="J7" t="n">
        <v/>
      </c>
      <c r="K7" t="n">
        <v/>
      </c>
      <c r="L7" t="n">
        <v/>
      </c>
      <c r="M7" t="n">
        <v/>
      </c>
      <c r="N7" t="n">
        <v/>
      </c>
      <c r="O7" t="n">
        <v/>
      </c>
      <c r="P7" t="n">
        <v/>
      </c>
      <c r="Q7" t="n">
        <v/>
      </c>
      <c r="R7" t="n">
        <v/>
      </c>
      <c r="S7" t="n">
        <v/>
      </c>
      <c r="T7" t="n">
        <v/>
      </c>
      <c r="U7" t="n">
        <v/>
      </c>
      <c r="V7" t="n">
        <v/>
      </c>
    </row>
    <row r="8">
      <c r="A8" s="73" t="n">
        <v>39448</v>
      </c>
      <c r="B8" t="n">
        <v/>
      </c>
      <c r="C8" t="n">
        <v/>
      </c>
      <c r="D8" t="n">
        <v/>
      </c>
      <c r="E8" t="n">
        <v>50.6</v>
      </c>
      <c r="F8" t="n">
        <v/>
      </c>
      <c r="G8" t="n">
        <v>49.2</v>
      </c>
      <c r="H8" t="n">
        <v/>
      </c>
      <c r="I8" t="n">
        <v/>
      </c>
      <c r="J8" t="n">
        <v/>
      </c>
      <c r="K8" t="n">
        <v/>
      </c>
      <c r="L8" t="n">
        <v/>
      </c>
      <c r="M8" t="n">
        <v/>
      </c>
      <c r="N8" t="n">
        <v/>
      </c>
      <c r="O8" t="n">
        <v/>
      </c>
      <c r="P8" t="n">
        <v/>
      </c>
      <c r="Q8" t="n">
        <v/>
      </c>
      <c r="R8" t="n">
        <v/>
      </c>
      <c r="S8" t="n">
        <v/>
      </c>
      <c r="T8" t="n">
        <v/>
      </c>
      <c r="U8" t="n">
        <v/>
      </c>
      <c r="V8" t="n">
        <v/>
      </c>
    </row>
    <row r="9">
      <c r="A9" s="73" t="n">
        <v>39479</v>
      </c>
      <c r="B9" t="n">
        <v/>
      </c>
      <c r="C9" t="n">
        <v/>
      </c>
      <c r="D9" t="n">
        <v/>
      </c>
      <c r="E9" t="n">
        <v>51.7</v>
      </c>
      <c r="F9" t="n">
        <v/>
      </c>
      <c r="G9" t="n">
        <v>52.2</v>
      </c>
      <c r="H9" t="n">
        <v/>
      </c>
      <c r="I9" t="n">
        <v/>
      </c>
      <c r="J9" t="n">
        <v/>
      </c>
      <c r="K9" t="n">
        <v/>
      </c>
      <c r="L9" t="n">
        <v/>
      </c>
      <c r="M9" t="n">
        <v/>
      </c>
      <c r="N9" t="n">
        <v/>
      </c>
      <c r="O9" t="n">
        <v/>
      </c>
      <c r="P9" t="n">
        <v/>
      </c>
      <c r="Q9" t="n">
        <v/>
      </c>
      <c r="R9" t="n">
        <v/>
      </c>
      <c r="S9" t="n">
        <v/>
      </c>
      <c r="T9" t="n">
        <v/>
      </c>
      <c r="U9" t="n">
        <v/>
      </c>
      <c r="V9" t="n">
        <v/>
      </c>
    </row>
    <row r="10">
      <c r="A10" s="73" t="n">
        <v>39508</v>
      </c>
      <c r="B10" t="n">
        <v/>
      </c>
      <c r="C10" t="n">
        <v/>
      </c>
      <c r="D10" t="n">
        <v/>
      </c>
      <c r="E10" t="n">
        <v>51.6</v>
      </c>
      <c r="F10" t="n">
        <v/>
      </c>
      <c r="G10" t="n">
        <v>51.8</v>
      </c>
      <c r="H10" t="n">
        <v/>
      </c>
      <c r="I10" t="n">
        <v/>
      </c>
      <c r="J10" t="n">
        <v/>
      </c>
      <c r="K10" t="n">
        <v/>
      </c>
      <c r="L10" t="n">
        <v/>
      </c>
      <c r="M10" t="n">
        <v/>
      </c>
      <c r="N10" t="n">
        <v/>
      </c>
      <c r="O10" t="n">
        <v/>
      </c>
      <c r="P10" t="n">
        <v/>
      </c>
      <c r="Q10" t="n">
        <v/>
      </c>
      <c r="R10" t="n">
        <v/>
      </c>
      <c r="S10" t="n">
        <v/>
      </c>
      <c r="T10" t="n">
        <v/>
      </c>
      <c r="U10" t="n">
        <v/>
      </c>
      <c r="V10" t="n">
        <v/>
      </c>
    </row>
    <row r="11">
      <c r="A11" s="73" t="n">
        <v>39539</v>
      </c>
      <c r="B11" t="n">
        <v/>
      </c>
      <c r="C11" t="n">
        <v/>
      </c>
      <c r="D11" t="n">
        <v/>
      </c>
      <c r="E11" t="n">
        <v>52</v>
      </c>
      <c r="F11" t="n">
        <v/>
      </c>
      <c r="G11" t="n">
        <v>54.9</v>
      </c>
      <c r="H11" t="n">
        <v/>
      </c>
      <c r="I11" t="n">
        <v/>
      </c>
      <c r="J11" t="n">
        <v/>
      </c>
      <c r="K11" t="n">
        <v/>
      </c>
      <c r="L11" t="n">
        <v/>
      </c>
      <c r="M11" t="n">
        <v/>
      </c>
      <c r="N11" t="n">
        <v/>
      </c>
      <c r="O11" t="n">
        <v/>
      </c>
      <c r="P11" t="n">
        <v/>
      </c>
      <c r="Q11" t="n">
        <v/>
      </c>
      <c r="R11" t="n">
        <v/>
      </c>
      <c r="S11" t="n">
        <v/>
      </c>
      <c r="T11" t="n">
        <v/>
      </c>
      <c r="U11" t="n">
        <v/>
      </c>
      <c r="V11" t="n">
        <v/>
      </c>
    </row>
    <row r="12">
      <c r="A12" s="73" t="n">
        <v>39569</v>
      </c>
      <c r="B12" t="n">
        <v/>
      </c>
      <c r="C12" t="n">
        <v/>
      </c>
      <c r="D12" t="n">
        <v/>
      </c>
      <c r="E12" t="n">
        <v>50.6</v>
      </c>
      <c r="F12" t="n">
        <v/>
      </c>
      <c r="G12" t="n">
        <v>53.8</v>
      </c>
      <c r="H12" t="n">
        <v/>
      </c>
      <c r="I12" t="n">
        <v/>
      </c>
      <c r="J12" t="n">
        <v/>
      </c>
      <c r="K12" t="n">
        <v/>
      </c>
      <c r="L12" t="n">
        <v/>
      </c>
      <c r="M12" t="n">
        <v/>
      </c>
      <c r="N12" t="n">
        <v/>
      </c>
      <c r="O12" t="n">
        <v/>
      </c>
      <c r="P12" t="n">
        <v/>
      </c>
      <c r="Q12" t="n">
        <v/>
      </c>
      <c r="R12" t="n">
        <v/>
      </c>
      <c r="S12" t="n">
        <v/>
      </c>
      <c r="T12" t="n">
        <v/>
      </c>
      <c r="U12" t="n">
        <v/>
      </c>
      <c r="V12" t="n">
        <v/>
      </c>
    </row>
    <row r="13">
      <c r="A13" s="73" t="n">
        <v>39600</v>
      </c>
      <c r="B13" t="n">
        <v/>
      </c>
      <c r="C13" t="n">
        <v/>
      </c>
      <c r="D13" t="n">
        <v/>
      </c>
      <c r="E13" t="n">
        <v>49.1</v>
      </c>
      <c r="F13" t="n">
        <v/>
      </c>
      <c r="G13" t="n">
        <v>52.1</v>
      </c>
      <c r="H13" t="n">
        <v/>
      </c>
      <c r="I13" t="n">
        <v/>
      </c>
      <c r="J13" t="n">
        <v/>
      </c>
      <c r="K13" t="n">
        <v/>
      </c>
      <c r="L13" t="n">
        <v/>
      </c>
      <c r="M13" t="n">
        <v/>
      </c>
      <c r="N13" t="n">
        <v/>
      </c>
      <c r="O13" t="n">
        <v/>
      </c>
      <c r="P13" t="n">
        <v/>
      </c>
      <c r="Q13" t="n">
        <v/>
      </c>
      <c r="R13" t="n">
        <v/>
      </c>
      <c r="S13" t="n">
        <v/>
      </c>
      <c r="T13" t="n">
        <v/>
      </c>
      <c r="U13" t="n">
        <v/>
      </c>
      <c r="V13" t="n">
        <v/>
      </c>
    </row>
    <row r="14">
      <c r="A14" s="73" t="n">
        <v>39630</v>
      </c>
      <c r="B14" t="n">
        <v/>
      </c>
      <c r="C14" t="n">
        <v/>
      </c>
      <c r="D14" t="n">
        <v/>
      </c>
      <c r="E14" t="n">
        <v>48.3</v>
      </c>
      <c r="F14" t="n">
        <v/>
      </c>
      <c r="G14" t="n">
        <v>53.1</v>
      </c>
      <c r="H14" t="n">
        <v/>
      </c>
      <c r="I14" t="n">
        <v/>
      </c>
      <c r="J14" t="n">
        <v/>
      </c>
      <c r="K14" t="n">
        <v/>
      </c>
      <c r="L14" t="n">
        <v/>
      </c>
      <c r="M14" t="n">
        <v/>
      </c>
      <c r="N14" t="n">
        <v/>
      </c>
      <c r="O14" t="n">
        <v/>
      </c>
      <c r="P14" t="n">
        <v/>
      </c>
      <c r="Q14" t="n">
        <v/>
      </c>
      <c r="R14" t="n">
        <v/>
      </c>
      <c r="S14" t="n">
        <v/>
      </c>
      <c r="T14" t="n">
        <v/>
      </c>
      <c r="U14" t="n">
        <v/>
      </c>
      <c r="V14" t="n">
        <v/>
      </c>
    </row>
    <row r="15">
      <c r="A15" s="73" t="n">
        <v>39661</v>
      </c>
      <c r="B15" t="n">
        <v/>
      </c>
      <c r="C15" t="n">
        <v/>
      </c>
      <c r="D15" t="n">
        <v/>
      </c>
      <c r="E15" t="n">
        <v>48.5</v>
      </c>
      <c r="F15" t="n">
        <v>48</v>
      </c>
      <c r="G15" t="n">
        <v>51.4</v>
      </c>
      <c r="H15" t="n">
        <v/>
      </c>
      <c r="I15" t="n">
        <v/>
      </c>
      <c r="J15" t="n">
        <v/>
      </c>
      <c r="K15" t="n">
        <v/>
      </c>
      <c r="L15" t="n">
        <v/>
      </c>
      <c r="M15" t="n">
        <v/>
      </c>
      <c r="N15" t="n">
        <v/>
      </c>
      <c r="O15" t="n">
        <v/>
      </c>
      <c r="P15" t="n">
        <v/>
      </c>
      <c r="Q15" t="n">
        <v/>
      </c>
      <c r="R15" t="n">
        <v/>
      </c>
      <c r="S15" t="n">
        <v/>
      </c>
      <c r="T15" t="n">
        <v/>
      </c>
      <c r="U15" t="n">
        <v/>
      </c>
      <c r="V15" t="n">
        <v/>
      </c>
    </row>
    <row r="16">
      <c r="A16" s="73" t="n">
        <v>39692</v>
      </c>
      <c r="B16" t="n">
        <v/>
      </c>
      <c r="C16" t="n">
        <v/>
      </c>
      <c r="D16" t="n">
        <v/>
      </c>
      <c r="E16" t="n">
        <v>48.4</v>
      </c>
      <c r="F16" t="n">
        <v>50.1</v>
      </c>
      <c r="G16" t="n">
        <v>50.2</v>
      </c>
      <c r="H16" t="n">
        <v/>
      </c>
      <c r="I16" t="n">
        <v/>
      </c>
      <c r="J16" t="n">
        <v/>
      </c>
      <c r="K16" t="n">
        <v/>
      </c>
      <c r="L16" t="n">
        <v/>
      </c>
      <c r="M16" t="n">
        <v/>
      </c>
      <c r="N16" t="n">
        <v/>
      </c>
      <c r="O16" t="n">
        <v/>
      </c>
      <c r="P16" t="n">
        <v/>
      </c>
      <c r="Q16" t="n">
        <v/>
      </c>
      <c r="R16" t="n">
        <v/>
      </c>
      <c r="S16" t="n">
        <v/>
      </c>
      <c r="T16" t="n">
        <v/>
      </c>
      <c r="U16" t="n">
        <v/>
      </c>
      <c r="V16" t="n">
        <v/>
      </c>
    </row>
    <row r="17">
      <c r="A17" s="73" t="n">
        <v>39722</v>
      </c>
      <c r="B17" t="n">
        <v/>
      </c>
      <c r="C17" t="n">
        <v/>
      </c>
      <c r="D17" t="n">
        <v/>
      </c>
      <c r="E17" t="n">
        <v>45.8</v>
      </c>
      <c r="F17" t="n">
        <v>47.5</v>
      </c>
      <c r="G17" t="n">
        <v>48.3</v>
      </c>
      <c r="H17" t="n">
        <v/>
      </c>
      <c r="I17" t="n">
        <v/>
      </c>
      <c r="J17" t="n">
        <v/>
      </c>
      <c r="K17" t="n">
        <v/>
      </c>
      <c r="L17" t="n">
        <v/>
      </c>
      <c r="M17" t="n">
        <v/>
      </c>
      <c r="N17" t="n">
        <v/>
      </c>
      <c r="O17" t="n">
        <v/>
      </c>
      <c r="P17" t="n">
        <v/>
      </c>
      <c r="Q17" t="n">
        <v/>
      </c>
      <c r="R17" t="n">
        <v/>
      </c>
      <c r="S17" t="n">
        <v/>
      </c>
      <c r="T17" t="n">
        <v/>
      </c>
      <c r="U17" t="n">
        <v/>
      </c>
      <c r="V17" t="n">
        <v/>
      </c>
    </row>
    <row r="18">
      <c r="A18" s="73" t="n">
        <v>39753</v>
      </c>
      <c r="B18" t="n">
        <v/>
      </c>
      <c r="C18" t="n">
        <v/>
      </c>
      <c r="D18" t="n">
        <v/>
      </c>
      <c r="E18" t="n">
        <v>42.5</v>
      </c>
      <c r="F18" t="n">
        <v>46.2</v>
      </c>
      <c r="G18" t="n">
        <v>45.1</v>
      </c>
      <c r="H18" t="n">
        <v/>
      </c>
      <c r="I18" t="n">
        <v/>
      </c>
      <c r="J18" t="n">
        <v/>
      </c>
      <c r="K18" t="n">
        <v/>
      </c>
      <c r="L18" t="n">
        <v/>
      </c>
      <c r="M18" t="n">
        <v/>
      </c>
      <c r="N18" t="n">
        <v/>
      </c>
      <c r="O18" t="n">
        <v/>
      </c>
      <c r="P18" t="n">
        <v/>
      </c>
      <c r="Q18" t="n">
        <v/>
      </c>
      <c r="R18" t="n">
        <v/>
      </c>
      <c r="S18" t="n">
        <v/>
      </c>
      <c r="T18" t="n">
        <v/>
      </c>
      <c r="U18" t="n">
        <v/>
      </c>
      <c r="V18" t="n">
        <v/>
      </c>
    </row>
    <row r="19">
      <c r="A19" s="73" t="n">
        <v>39783</v>
      </c>
      <c r="B19" t="n">
        <v/>
      </c>
      <c r="C19" t="n">
        <v/>
      </c>
      <c r="D19" t="n">
        <v/>
      </c>
      <c r="E19" t="n">
        <v>42.3</v>
      </c>
      <c r="F19" t="n">
        <v>44.2</v>
      </c>
      <c r="G19" t="n">
        <v>43.1</v>
      </c>
      <c r="H19" t="n">
        <v/>
      </c>
      <c r="I19" t="n">
        <v/>
      </c>
      <c r="J19" t="n">
        <v/>
      </c>
      <c r="K19" t="n">
        <v/>
      </c>
      <c r="L19" t="n">
        <v/>
      </c>
      <c r="M19" t="n">
        <v/>
      </c>
      <c r="N19" t="n">
        <v/>
      </c>
      <c r="O19" t="n">
        <v/>
      </c>
      <c r="P19" t="n">
        <v/>
      </c>
      <c r="Q19" t="n">
        <v/>
      </c>
      <c r="R19" t="n">
        <v/>
      </c>
      <c r="S19" t="n">
        <v/>
      </c>
      <c r="T19" t="n">
        <v/>
      </c>
      <c r="U19" t="n">
        <v/>
      </c>
      <c r="V19" t="n">
        <v/>
      </c>
    </row>
    <row r="20">
      <c r="A20" s="73" t="n">
        <v>39814</v>
      </c>
      <c r="B20" t="n">
        <v/>
      </c>
      <c r="C20" t="n">
        <v/>
      </c>
      <c r="D20" t="n">
        <v/>
      </c>
      <c r="E20" t="n">
        <v>42.2</v>
      </c>
      <c r="F20" t="n">
        <v>42.6</v>
      </c>
      <c r="G20" t="n">
        <v>45.2</v>
      </c>
      <c r="H20" t="n">
        <v/>
      </c>
      <c r="I20" t="n">
        <v/>
      </c>
      <c r="J20" t="n">
        <v/>
      </c>
      <c r="K20" t="n">
        <v/>
      </c>
      <c r="L20" t="n">
        <v/>
      </c>
      <c r="M20" t="n">
        <v/>
      </c>
      <c r="N20" t="n">
        <v/>
      </c>
      <c r="O20" t="n">
        <v/>
      </c>
      <c r="P20" t="n">
        <v/>
      </c>
      <c r="Q20" t="n">
        <v/>
      </c>
      <c r="R20" t="n">
        <v/>
      </c>
      <c r="S20" t="n">
        <v/>
      </c>
      <c r="T20" t="n">
        <v/>
      </c>
      <c r="U20" t="n">
        <v/>
      </c>
      <c r="V20" t="n">
        <v/>
      </c>
    </row>
    <row r="21">
      <c r="A21" s="73" t="n">
        <v>39845</v>
      </c>
      <c r="B21" t="n">
        <v/>
      </c>
      <c r="C21" t="n">
        <v/>
      </c>
      <c r="D21" t="n">
        <v/>
      </c>
      <c r="E21" t="n">
        <v>39.2</v>
      </c>
      <c r="F21" t="n">
        <v>40.2</v>
      </c>
      <c r="G21" t="n">
        <v>41.3</v>
      </c>
      <c r="H21" t="n">
        <v/>
      </c>
      <c r="I21" t="n">
        <v/>
      </c>
      <c r="J21" t="n">
        <v/>
      </c>
      <c r="K21" t="n">
        <v/>
      </c>
      <c r="L21" t="n">
        <v/>
      </c>
      <c r="M21" t="n">
        <v/>
      </c>
      <c r="N21" t="n">
        <v/>
      </c>
      <c r="O21" t="n">
        <v/>
      </c>
      <c r="P21" t="n">
        <v/>
      </c>
      <c r="Q21" t="n">
        <v/>
      </c>
      <c r="R21" t="n">
        <v/>
      </c>
      <c r="S21" t="n">
        <v/>
      </c>
      <c r="T21" t="n">
        <v/>
      </c>
      <c r="U21" t="n">
        <v/>
      </c>
      <c r="V21" t="n">
        <v/>
      </c>
    </row>
    <row r="22">
      <c r="A22" s="73" t="n">
        <v>39873</v>
      </c>
      <c r="B22" t="n">
        <v/>
      </c>
      <c r="C22" t="n">
        <v/>
      </c>
      <c r="D22" t="n">
        <v/>
      </c>
      <c r="E22" t="n">
        <v>40.9</v>
      </c>
      <c r="F22" t="n">
        <v>43.6</v>
      </c>
      <c r="G22" t="n">
        <v>42.3</v>
      </c>
      <c r="H22" t="n">
        <v/>
      </c>
      <c r="I22" t="n">
        <v/>
      </c>
      <c r="J22" t="n">
        <v/>
      </c>
      <c r="K22" t="n">
        <v/>
      </c>
      <c r="L22" t="n">
        <v/>
      </c>
      <c r="M22" t="n">
        <v/>
      </c>
      <c r="N22" t="n">
        <v/>
      </c>
      <c r="O22" t="n">
        <v/>
      </c>
      <c r="P22" t="n">
        <v/>
      </c>
      <c r="Q22" t="n">
        <v/>
      </c>
      <c r="R22" t="n">
        <v/>
      </c>
      <c r="S22" t="n">
        <v/>
      </c>
      <c r="T22" t="n">
        <v/>
      </c>
      <c r="U22" t="n">
        <v/>
      </c>
      <c r="V22" t="n">
        <v/>
      </c>
    </row>
    <row r="23">
      <c r="A23" s="73" t="n">
        <v>39904</v>
      </c>
      <c r="B23" t="n">
        <v/>
      </c>
      <c r="C23" t="n">
        <v/>
      </c>
      <c r="D23" t="n">
        <v/>
      </c>
      <c r="E23" t="n">
        <v>43.8</v>
      </c>
      <c r="F23" t="n">
        <v>46.5</v>
      </c>
      <c r="G23" t="n">
        <v>43.8</v>
      </c>
      <c r="H23" t="n">
        <v/>
      </c>
      <c r="I23" t="n">
        <v/>
      </c>
      <c r="J23" t="n">
        <v/>
      </c>
      <c r="K23" t="n">
        <v/>
      </c>
      <c r="L23" t="n">
        <v/>
      </c>
      <c r="M23" t="n">
        <v/>
      </c>
      <c r="N23" t="n">
        <v/>
      </c>
      <c r="O23" t="n">
        <v/>
      </c>
      <c r="P23" t="n">
        <v/>
      </c>
      <c r="Q23" t="n">
        <v/>
      </c>
      <c r="R23" t="n">
        <v/>
      </c>
      <c r="S23" t="n">
        <v/>
      </c>
      <c r="T23" t="n">
        <v/>
      </c>
      <c r="U23" t="n">
        <v/>
      </c>
      <c r="V23" t="n">
        <v/>
      </c>
    </row>
    <row r="24">
      <c r="A24" s="73" t="n">
        <v>39934</v>
      </c>
      <c r="B24" t="n">
        <v/>
      </c>
      <c r="C24" t="n">
        <v/>
      </c>
      <c r="D24" t="n">
        <v/>
      </c>
      <c r="E24" t="n">
        <v>44.8</v>
      </c>
      <c r="F24" t="n">
        <v>48.3</v>
      </c>
      <c r="G24" t="n">
        <v>45.2</v>
      </c>
      <c r="H24" t="n">
        <v/>
      </c>
      <c r="I24" t="n">
        <v/>
      </c>
      <c r="J24" t="n">
        <v/>
      </c>
      <c r="K24" t="n">
        <v/>
      </c>
      <c r="L24" t="n">
        <v/>
      </c>
      <c r="M24" t="n">
        <v/>
      </c>
      <c r="N24" t="n">
        <v/>
      </c>
      <c r="O24" t="n">
        <v/>
      </c>
      <c r="P24" t="n">
        <v/>
      </c>
      <c r="Q24" t="n">
        <v/>
      </c>
      <c r="R24" t="n">
        <v/>
      </c>
      <c r="S24" t="n">
        <v/>
      </c>
      <c r="T24" t="n">
        <v/>
      </c>
      <c r="U24" t="n">
        <v/>
      </c>
      <c r="V24" t="n">
        <v/>
      </c>
    </row>
    <row r="25">
      <c r="A25" s="73" t="n">
        <v>39965</v>
      </c>
      <c r="B25" t="n">
        <v/>
      </c>
      <c r="C25" t="n">
        <v/>
      </c>
      <c r="D25" t="n">
        <v/>
      </c>
      <c r="E25" t="n">
        <v>44.7</v>
      </c>
      <c r="F25" t="n">
        <v>47.2</v>
      </c>
      <c r="G25" t="n">
        <v>45.2</v>
      </c>
      <c r="H25" t="n">
        <v/>
      </c>
      <c r="I25" t="n">
        <v/>
      </c>
      <c r="J25" t="n">
        <v/>
      </c>
      <c r="K25" t="n">
        <v/>
      </c>
      <c r="L25" t="n">
        <v/>
      </c>
      <c r="M25" t="n">
        <v/>
      </c>
      <c r="N25" t="n">
        <v/>
      </c>
      <c r="O25" t="n">
        <v/>
      </c>
      <c r="P25" t="n">
        <v/>
      </c>
      <c r="Q25" t="n">
        <v/>
      </c>
      <c r="R25" t="n">
        <v/>
      </c>
      <c r="S25" t="n">
        <v/>
      </c>
      <c r="T25" t="n">
        <v/>
      </c>
      <c r="U25" t="n">
        <v/>
      </c>
      <c r="V25" t="n">
        <v/>
      </c>
    </row>
    <row r="26">
      <c r="A26" s="73" t="n">
        <v>39995</v>
      </c>
      <c r="B26" t="n">
        <v/>
      </c>
      <c r="C26" t="n">
        <v/>
      </c>
      <c r="D26" t="n">
        <v/>
      </c>
      <c r="E26" t="n">
        <v>45.7</v>
      </c>
      <c r="F26" t="n">
        <v>45.5</v>
      </c>
      <c r="G26" t="n">
        <v>48.1</v>
      </c>
      <c r="H26" t="n">
        <v/>
      </c>
      <c r="I26" t="n">
        <v/>
      </c>
      <c r="J26" t="n">
        <v/>
      </c>
      <c r="K26" t="n">
        <v/>
      </c>
      <c r="L26" t="n">
        <v/>
      </c>
      <c r="M26" t="n">
        <v/>
      </c>
      <c r="N26" t="n">
        <v/>
      </c>
      <c r="O26" t="n">
        <v/>
      </c>
      <c r="P26" t="n">
        <v/>
      </c>
      <c r="Q26" t="n">
        <v/>
      </c>
      <c r="R26" t="n">
        <v/>
      </c>
      <c r="S26" t="n">
        <v/>
      </c>
      <c r="T26" t="n">
        <v/>
      </c>
      <c r="U26" t="n">
        <v/>
      </c>
      <c r="V26" t="n">
        <v/>
      </c>
    </row>
    <row r="27">
      <c r="A27" s="73" t="n">
        <v>40026</v>
      </c>
      <c r="B27" t="n">
        <v/>
      </c>
      <c r="C27" t="n">
        <v/>
      </c>
      <c r="D27" t="n">
        <v/>
      </c>
      <c r="E27" t="n">
        <v>49.9</v>
      </c>
      <c r="F27" t="n">
        <v>49.3</v>
      </c>
      <c r="G27" t="n">
        <v>53.8</v>
      </c>
      <c r="H27" t="n">
        <v/>
      </c>
      <c r="I27" t="n">
        <v/>
      </c>
      <c r="J27" t="n">
        <v/>
      </c>
      <c r="K27" t="n">
        <v/>
      </c>
      <c r="L27" t="n">
        <v/>
      </c>
      <c r="M27" t="n">
        <v/>
      </c>
      <c r="N27" t="n">
        <v/>
      </c>
      <c r="O27" t="n">
        <v/>
      </c>
      <c r="P27" t="n">
        <v/>
      </c>
      <c r="Q27" t="n">
        <v/>
      </c>
      <c r="R27" t="n">
        <v/>
      </c>
      <c r="S27" t="n">
        <v/>
      </c>
      <c r="T27" t="n">
        <v/>
      </c>
      <c r="U27" t="n">
        <v/>
      </c>
      <c r="V27" t="n">
        <v/>
      </c>
    </row>
    <row r="28">
      <c r="A28" s="73" t="n">
        <v>40057</v>
      </c>
      <c r="B28" t="n">
        <v/>
      </c>
      <c r="C28" t="n">
        <v/>
      </c>
      <c r="D28" t="n">
        <v/>
      </c>
      <c r="E28" t="n">
        <v>50.9</v>
      </c>
      <c r="F28" t="n">
        <v>53.2</v>
      </c>
      <c r="G28" t="n">
        <v>52.2</v>
      </c>
      <c r="H28" t="n">
        <v/>
      </c>
      <c r="I28" t="n">
        <v/>
      </c>
      <c r="J28" t="n">
        <v/>
      </c>
      <c r="K28" t="n">
        <v/>
      </c>
      <c r="L28" t="n">
        <v/>
      </c>
      <c r="M28" t="n">
        <v/>
      </c>
      <c r="N28" t="n">
        <v/>
      </c>
      <c r="O28" t="n">
        <v/>
      </c>
      <c r="P28" t="n">
        <v/>
      </c>
      <c r="Q28" t="n">
        <v/>
      </c>
      <c r="R28" t="n">
        <v/>
      </c>
      <c r="S28" t="n">
        <v/>
      </c>
      <c r="T28" t="n">
        <v/>
      </c>
      <c r="U28" t="n">
        <v/>
      </c>
      <c r="V28" t="n">
        <v/>
      </c>
    </row>
    <row r="29">
      <c r="A29" s="73" t="n">
        <v>40087</v>
      </c>
      <c r="B29" t="n">
        <v/>
      </c>
      <c r="C29" t="n">
        <v/>
      </c>
      <c r="D29" t="n">
        <v/>
      </c>
      <c r="E29" t="n">
        <v>52.6</v>
      </c>
      <c r="F29" t="n">
        <v>57.7</v>
      </c>
      <c r="G29" t="n">
        <v>50.7</v>
      </c>
      <c r="H29" t="n">
        <v/>
      </c>
      <c r="I29" t="n">
        <v/>
      </c>
      <c r="J29" t="n">
        <v/>
      </c>
      <c r="K29" t="n">
        <v/>
      </c>
      <c r="L29" t="n">
        <v/>
      </c>
      <c r="M29" t="n">
        <v/>
      </c>
      <c r="N29" t="n">
        <v/>
      </c>
      <c r="O29" t="n">
        <v/>
      </c>
      <c r="P29" t="n">
        <v/>
      </c>
      <c r="Q29" t="n">
        <v/>
      </c>
      <c r="R29" t="n">
        <v/>
      </c>
      <c r="S29" t="n">
        <v/>
      </c>
      <c r="T29" t="n">
        <v/>
      </c>
      <c r="U29" t="n">
        <v/>
      </c>
      <c r="V29" t="n">
        <v/>
      </c>
    </row>
    <row r="30">
      <c r="A30" s="73" t="n">
        <v>40118</v>
      </c>
      <c r="B30" t="n">
        <v/>
      </c>
      <c r="C30" t="n">
        <v/>
      </c>
      <c r="D30" t="n">
        <v/>
      </c>
      <c r="E30" t="n">
        <v>53</v>
      </c>
      <c r="F30" t="n">
        <v>60.9</v>
      </c>
      <c r="G30" t="n">
        <v>51.4</v>
      </c>
      <c r="H30" t="n">
        <v/>
      </c>
      <c r="I30" t="n">
        <v/>
      </c>
      <c r="J30" t="n">
        <v/>
      </c>
      <c r="K30" t="n">
        <v/>
      </c>
      <c r="L30" t="n">
        <v/>
      </c>
      <c r="M30" t="n">
        <v/>
      </c>
      <c r="N30" t="n">
        <v/>
      </c>
      <c r="O30" t="n">
        <v/>
      </c>
      <c r="P30" t="n">
        <v/>
      </c>
      <c r="Q30" t="n">
        <v/>
      </c>
      <c r="R30" t="n">
        <v/>
      </c>
      <c r="S30" t="n">
        <v/>
      </c>
      <c r="T30" t="n">
        <v/>
      </c>
      <c r="U30" t="n">
        <v/>
      </c>
      <c r="V30" t="n">
        <v/>
      </c>
    </row>
    <row r="31">
      <c r="A31" s="73" t="n">
        <v>40148</v>
      </c>
      <c r="B31" t="n">
        <v/>
      </c>
      <c r="C31" t="n">
        <v/>
      </c>
      <c r="D31" t="n">
        <v/>
      </c>
      <c r="E31" t="n">
        <v>52.9</v>
      </c>
      <c r="F31" t="n">
        <v>58.2</v>
      </c>
      <c r="G31" t="n">
        <v>52.1</v>
      </c>
      <c r="H31" t="n">
        <v/>
      </c>
      <c r="I31" t="n">
        <v/>
      </c>
      <c r="J31" t="n">
        <v/>
      </c>
      <c r="K31" t="n">
        <v/>
      </c>
      <c r="L31" t="n">
        <v/>
      </c>
      <c r="M31" t="n">
        <v/>
      </c>
      <c r="N31" t="n">
        <v/>
      </c>
      <c r="O31" t="n">
        <v/>
      </c>
      <c r="P31" t="n">
        <v/>
      </c>
      <c r="Q31" t="n">
        <v/>
      </c>
      <c r="R31" t="n">
        <v/>
      </c>
      <c r="S31" t="n">
        <v/>
      </c>
      <c r="T31" t="n">
        <v/>
      </c>
      <c r="U31" t="n">
        <v/>
      </c>
      <c r="V31" t="n">
        <v/>
      </c>
    </row>
    <row r="32">
      <c r="A32" s="73" t="n">
        <v>40179</v>
      </c>
      <c r="B32" t="n">
        <v/>
      </c>
      <c r="C32" t="n">
        <v/>
      </c>
      <c r="D32" t="n">
        <v/>
      </c>
      <c r="E32" t="n">
        <v>52.5</v>
      </c>
      <c r="F32" t="n">
        <v>56.3</v>
      </c>
      <c r="G32" t="n">
        <v>52.2</v>
      </c>
      <c r="H32" t="n">
        <v/>
      </c>
      <c r="I32" t="n">
        <v/>
      </c>
      <c r="J32" t="n">
        <v/>
      </c>
      <c r="K32" t="n">
        <v/>
      </c>
      <c r="L32" t="n">
        <v/>
      </c>
      <c r="M32" t="n">
        <v/>
      </c>
      <c r="N32" t="n">
        <v/>
      </c>
      <c r="O32" t="n">
        <v/>
      </c>
      <c r="P32" t="n">
        <v/>
      </c>
      <c r="Q32" t="n">
        <v/>
      </c>
      <c r="R32" t="n">
        <v/>
      </c>
      <c r="S32" t="n">
        <v/>
      </c>
      <c r="T32" t="n">
        <v/>
      </c>
      <c r="U32" t="n">
        <v/>
      </c>
      <c r="V32" t="n">
        <v/>
      </c>
    </row>
    <row r="33">
      <c r="A33" s="73" t="n">
        <v>40210</v>
      </c>
      <c r="B33" t="n">
        <v/>
      </c>
      <c r="C33" t="n">
        <v/>
      </c>
      <c r="D33" t="n">
        <v/>
      </c>
      <c r="E33" t="n">
        <v>51.8</v>
      </c>
      <c r="F33" t="n">
        <v>54.6</v>
      </c>
      <c r="G33" t="n">
        <v>51.9</v>
      </c>
      <c r="H33" t="n">
        <v/>
      </c>
      <c r="I33" t="n">
        <v/>
      </c>
      <c r="J33" t="n">
        <v/>
      </c>
      <c r="K33" t="n">
        <v/>
      </c>
      <c r="L33" t="n">
        <v/>
      </c>
      <c r="M33" t="n">
        <v/>
      </c>
      <c r="N33" t="n">
        <v/>
      </c>
      <c r="O33" t="n">
        <v/>
      </c>
      <c r="P33" t="n">
        <v/>
      </c>
      <c r="Q33" t="n">
        <v/>
      </c>
      <c r="R33" t="n">
        <v/>
      </c>
      <c r="S33" t="n">
        <v/>
      </c>
      <c r="T33" t="n">
        <v/>
      </c>
      <c r="U33" t="n">
        <v/>
      </c>
      <c r="V33" t="n">
        <v/>
      </c>
    </row>
    <row r="34">
      <c r="A34" s="73" t="n">
        <v>40238</v>
      </c>
      <c r="B34" t="n">
        <v/>
      </c>
      <c r="C34" t="n">
        <v/>
      </c>
      <c r="D34" t="n">
        <v/>
      </c>
      <c r="E34" t="n">
        <v>54.1</v>
      </c>
      <c r="F34" t="n">
        <v>53.8</v>
      </c>
      <c r="G34" t="n">
        <v>54.9</v>
      </c>
      <c r="H34" t="n">
        <v/>
      </c>
      <c r="I34" t="n">
        <v/>
      </c>
      <c r="J34" t="n">
        <v/>
      </c>
      <c r="K34" t="n">
        <v/>
      </c>
      <c r="L34" t="n">
        <v/>
      </c>
      <c r="M34" t="n">
        <v/>
      </c>
      <c r="N34" t="n">
        <v/>
      </c>
      <c r="O34" t="n">
        <v/>
      </c>
      <c r="P34" t="n">
        <v/>
      </c>
      <c r="Q34" t="n">
        <v/>
      </c>
      <c r="R34" t="n">
        <v/>
      </c>
      <c r="S34" t="n">
        <v/>
      </c>
      <c r="T34" t="n">
        <v/>
      </c>
      <c r="U34" t="n">
        <v/>
      </c>
      <c r="V34" t="n">
        <v/>
      </c>
    </row>
    <row r="35">
      <c r="A35" s="73" t="n">
        <v>40269</v>
      </c>
      <c r="B35" t="n">
        <v/>
      </c>
      <c r="C35" t="n">
        <v/>
      </c>
      <c r="D35" t="n">
        <v/>
      </c>
      <c r="E35" t="n">
        <v>55.6</v>
      </c>
      <c r="F35" t="n">
        <v>59.2</v>
      </c>
      <c r="G35" t="n">
        <v>53.7</v>
      </c>
      <c r="H35" t="n">
        <v/>
      </c>
      <c r="I35" t="n">
        <v/>
      </c>
      <c r="J35" t="n">
        <v/>
      </c>
      <c r="K35" t="n">
        <v/>
      </c>
      <c r="L35" t="n">
        <v/>
      </c>
      <c r="M35" t="n">
        <v/>
      </c>
      <c r="N35" t="n">
        <v/>
      </c>
      <c r="O35" t="n">
        <v/>
      </c>
      <c r="P35" t="n">
        <v/>
      </c>
      <c r="Q35" t="n">
        <v/>
      </c>
      <c r="R35" t="n">
        <v/>
      </c>
      <c r="S35" t="n">
        <v/>
      </c>
      <c r="T35" t="n">
        <v/>
      </c>
      <c r="U35" t="n">
        <v/>
      </c>
      <c r="V35" t="n">
        <v/>
      </c>
    </row>
    <row r="36">
      <c r="A36" s="73" t="n">
        <v>40299</v>
      </c>
      <c r="B36" t="n">
        <v/>
      </c>
      <c r="C36" t="n">
        <v/>
      </c>
      <c r="D36" t="n">
        <v/>
      </c>
      <c r="E36" t="n">
        <v>56.2</v>
      </c>
      <c r="F36" t="n">
        <v>61.4</v>
      </c>
      <c r="G36" t="n">
        <v>54.8</v>
      </c>
      <c r="H36" t="n">
        <v/>
      </c>
      <c r="I36" t="n">
        <v/>
      </c>
      <c r="J36" t="n">
        <v/>
      </c>
      <c r="K36" t="n">
        <v/>
      </c>
      <c r="L36" t="n">
        <v/>
      </c>
      <c r="M36" t="n">
        <v/>
      </c>
      <c r="N36" t="n">
        <v/>
      </c>
      <c r="O36" t="n">
        <v/>
      </c>
      <c r="P36" t="n">
        <v/>
      </c>
      <c r="Q36" t="n">
        <v/>
      </c>
      <c r="R36" t="n">
        <v/>
      </c>
      <c r="S36" t="n">
        <v/>
      </c>
      <c r="T36" t="n">
        <v/>
      </c>
      <c r="U36" t="n">
        <v/>
      </c>
      <c r="V36" t="n">
        <v/>
      </c>
    </row>
    <row r="37">
      <c r="A37" s="73" t="n">
        <v>40330</v>
      </c>
      <c r="B37" t="n">
        <v/>
      </c>
      <c r="C37" t="n">
        <v/>
      </c>
      <c r="D37" t="n">
        <v/>
      </c>
      <c r="E37" t="n">
        <v>55.5</v>
      </c>
      <c r="F37" t="n">
        <v>60.8</v>
      </c>
      <c r="G37" t="n">
        <v>54.8</v>
      </c>
      <c r="H37" t="n">
        <v/>
      </c>
      <c r="I37" t="n">
        <v/>
      </c>
      <c r="J37" t="n">
        <v/>
      </c>
      <c r="K37" t="n">
        <v/>
      </c>
      <c r="L37" t="n">
        <v/>
      </c>
      <c r="M37" t="n">
        <v/>
      </c>
      <c r="N37" t="n">
        <v/>
      </c>
      <c r="O37" t="n">
        <v/>
      </c>
      <c r="P37" t="n">
        <v/>
      </c>
      <c r="Q37" t="n">
        <v/>
      </c>
      <c r="R37" t="n">
        <v/>
      </c>
      <c r="S37" t="n">
        <v/>
      </c>
      <c r="T37" t="n">
        <v/>
      </c>
      <c r="U37" t="n">
        <v/>
      </c>
      <c r="V37" t="n">
        <v/>
      </c>
    </row>
    <row r="38">
      <c r="A38" s="73" t="n">
        <v>40360</v>
      </c>
      <c r="B38" t="n">
        <v/>
      </c>
      <c r="C38" t="n">
        <v/>
      </c>
      <c r="D38" t="n">
        <v/>
      </c>
      <c r="E38" t="n">
        <v>55.8</v>
      </c>
      <c r="F38" t="n">
        <v>61.1</v>
      </c>
      <c r="G38" t="n">
        <v>56.5</v>
      </c>
      <c r="H38" t="n">
        <v/>
      </c>
      <c r="I38" t="n">
        <v/>
      </c>
      <c r="J38" t="n">
        <v/>
      </c>
      <c r="K38" t="n">
        <v/>
      </c>
      <c r="L38" t="n">
        <v/>
      </c>
      <c r="M38" t="n">
        <v/>
      </c>
      <c r="N38" t="n">
        <v/>
      </c>
      <c r="O38" t="n">
        <v/>
      </c>
      <c r="P38" t="n">
        <v/>
      </c>
      <c r="Q38" t="n">
        <v/>
      </c>
      <c r="R38" t="n">
        <v/>
      </c>
      <c r="S38" t="n">
        <v/>
      </c>
      <c r="T38" t="n">
        <v/>
      </c>
      <c r="U38" t="n">
        <v/>
      </c>
      <c r="V38" t="n">
        <v/>
      </c>
    </row>
    <row r="39">
      <c r="A39" s="73" t="n">
        <v>40391</v>
      </c>
      <c r="B39" t="n">
        <v/>
      </c>
      <c r="C39" t="n">
        <v/>
      </c>
      <c r="D39" t="n">
        <v/>
      </c>
      <c r="E39" t="n">
        <v>55.9</v>
      </c>
      <c r="F39" t="n">
        <v>60.4</v>
      </c>
      <c r="G39" t="n">
        <v>57.2</v>
      </c>
      <c r="H39" t="n">
        <v/>
      </c>
      <c r="I39" t="n">
        <v/>
      </c>
      <c r="J39" t="n">
        <v/>
      </c>
      <c r="K39" t="n">
        <v/>
      </c>
      <c r="L39" t="n">
        <v/>
      </c>
      <c r="M39" t="n">
        <v/>
      </c>
      <c r="N39" t="n">
        <v/>
      </c>
      <c r="O39" t="n">
        <v/>
      </c>
      <c r="P39" t="n">
        <v/>
      </c>
      <c r="Q39" t="n">
        <v/>
      </c>
      <c r="R39" t="n">
        <v/>
      </c>
      <c r="S39" t="n">
        <v/>
      </c>
      <c r="T39" t="n">
        <v/>
      </c>
      <c r="U39" t="n">
        <v/>
      </c>
      <c r="V39" t="n">
        <v/>
      </c>
    </row>
    <row r="40">
      <c r="A40" s="73" t="n">
        <v>40422</v>
      </c>
      <c r="B40" t="n">
        <v/>
      </c>
      <c r="C40" t="n">
        <v/>
      </c>
      <c r="D40" t="n">
        <v/>
      </c>
      <c r="E40" t="n">
        <v>54.1</v>
      </c>
      <c r="F40" t="n">
        <v>58.2</v>
      </c>
      <c r="G40" t="n">
        <v>54.9</v>
      </c>
      <c r="H40" t="n">
        <v/>
      </c>
      <c r="I40" t="n">
        <v/>
      </c>
      <c r="J40" t="n">
        <v/>
      </c>
      <c r="K40" t="n">
        <v/>
      </c>
      <c r="L40" t="n">
        <v/>
      </c>
      <c r="M40" t="n">
        <v/>
      </c>
      <c r="N40" t="n">
        <v/>
      </c>
      <c r="O40" t="n">
        <v/>
      </c>
      <c r="P40" t="n">
        <v/>
      </c>
      <c r="Q40" t="n">
        <v/>
      </c>
      <c r="R40" t="n">
        <v/>
      </c>
      <c r="S40" t="n">
        <v/>
      </c>
      <c r="T40" t="n">
        <v/>
      </c>
      <c r="U40" t="n">
        <v/>
      </c>
      <c r="V40" t="n">
        <v/>
      </c>
    </row>
    <row r="41">
      <c r="A41" s="73" t="n">
        <v>40452</v>
      </c>
      <c r="B41" t="n">
        <v>50.7</v>
      </c>
      <c r="C41" t="n">
        <v>51.8</v>
      </c>
      <c r="D41" t="n">
        <v>60.5</v>
      </c>
      <c r="E41" t="n">
        <v>53.3</v>
      </c>
      <c r="F41" t="n">
        <v>54.8</v>
      </c>
      <c r="G41" t="n">
        <v>56</v>
      </c>
      <c r="H41" t="n">
        <v>54.6</v>
      </c>
      <c r="I41" t="n">
        <v>58.4</v>
      </c>
      <c r="J41" t="n">
        <v>50.9</v>
      </c>
      <c r="K41" t="n">
        <v>51</v>
      </c>
      <c r="L41" t="n">
        <v>47.2</v>
      </c>
      <c r="M41" t="n">
        <v/>
      </c>
      <c r="N41" t="n">
        <v/>
      </c>
      <c r="O41" t="n">
        <v/>
      </c>
      <c r="P41" t="n">
        <v>54.7</v>
      </c>
      <c r="Q41" t="n">
        <v>46.5</v>
      </c>
      <c r="R41" t="n">
        <v/>
      </c>
      <c r="S41" t="n">
        <v/>
      </c>
      <c r="T41" t="n">
        <v/>
      </c>
      <c r="U41" t="n">
        <v>53.2</v>
      </c>
      <c r="V41" t="n">
        <v/>
      </c>
    </row>
    <row r="42">
      <c r="A42" s="73" t="n">
        <v>40483</v>
      </c>
      <c r="B42" t="n">
        <v>46.2</v>
      </c>
      <c r="C42" t="n">
        <v>52.1</v>
      </c>
      <c r="D42" t="n">
        <v>53.2</v>
      </c>
      <c r="E42" t="n">
        <v>55.4</v>
      </c>
      <c r="F42" t="n">
        <v>55</v>
      </c>
      <c r="G42" t="n">
        <v>59.2</v>
      </c>
      <c r="H42" t="n">
        <v>54.8</v>
      </c>
      <c r="I42" t="n">
        <v>61.3</v>
      </c>
      <c r="J42" t="n">
        <v>50.8</v>
      </c>
      <c r="K42" t="n">
        <v>54.4</v>
      </c>
      <c r="L42" t="n">
        <v>49.5</v>
      </c>
      <c r="M42" t="n">
        <v/>
      </c>
      <c r="N42" t="n">
        <v/>
      </c>
      <c r="O42" t="n">
        <v/>
      </c>
      <c r="P42" t="n">
        <v>54.1</v>
      </c>
      <c r="Q42" t="n">
        <v>48.3</v>
      </c>
      <c r="R42" t="n">
        <v/>
      </c>
      <c r="S42" t="n">
        <v/>
      </c>
      <c r="T42" t="n">
        <v/>
      </c>
      <c r="U42" t="n">
        <v>53</v>
      </c>
      <c r="V42" t="n">
        <v/>
      </c>
    </row>
    <row r="43">
      <c r="A43" s="73" t="n">
        <v>40513</v>
      </c>
      <c r="B43" t="n">
        <v>47.1</v>
      </c>
      <c r="C43" t="n">
        <v>50.2</v>
      </c>
      <c r="D43" t="n">
        <v>48.1</v>
      </c>
      <c r="E43" t="n">
        <v>56.5</v>
      </c>
      <c r="F43" t="n">
        <v>57.1</v>
      </c>
      <c r="G43" t="n">
        <v>59.5</v>
      </c>
      <c r="H43" t="n">
        <v>56.3</v>
      </c>
      <c r="I43" t="n">
        <v>62.1</v>
      </c>
      <c r="J43" t="n">
        <v>52.1</v>
      </c>
      <c r="K43" t="n">
        <v>52.1</v>
      </c>
      <c r="L43" t="n">
        <v>50.1</v>
      </c>
      <c r="M43" t="n">
        <v/>
      </c>
      <c r="N43" t="n">
        <v/>
      </c>
      <c r="O43" t="n">
        <v/>
      </c>
      <c r="P43" t="n">
        <v>53.4</v>
      </c>
      <c r="Q43" t="n">
        <v>49.1</v>
      </c>
      <c r="R43" t="n">
        <v/>
      </c>
      <c r="S43" t="n">
        <v/>
      </c>
      <c r="T43" t="n">
        <v/>
      </c>
      <c r="U43" t="n">
        <v>53.9</v>
      </c>
      <c r="V43" t="n">
        <v/>
      </c>
    </row>
    <row r="44">
      <c r="A44" s="73" t="n">
        <v>40544</v>
      </c>
      <c r="B44" t="n">
        <v>45.5</v>
      </c>
      <c r="C44" t="n">
        <v>51.2</v>
      </c>
      <c r="D44" t="n">
        <v>46.5</v>
      </c>
      <c r="E44" t="n">
        <v>55.9</v>
      </c>
      <c r="F44" t="n">
        <v>58.3</v>
      </c>
      <c r="G44" t="n">
        <v>60.3</v>
      </c>
      <c r="H44" t="n">
        <v>57.1</v>
      </c>
      <c r="I44" t="n">
        <v>59.4</v>
      </c>
      <c r="J44" t="n">
        <v>53.6</v>
      </c>
      <c r="K44" t="n">
        <v>53.5</v>
      </c>
      <c r="L44" t="n">
        <v>48.1</v>
      </c>
      <c r="M44" t="n">
        <v/>
      </c>
      <c r="N44" t="n">
        <v/>
      </c>
      <c r="O44" t="n">
        <v/>
      </c>
      <c r="P44" t="n">
        <v>52.4</v>
      </c>
      <c r="Q44" t="n">
        <v>50.1</v>
      </c>
      <c r="R44" t="n">
        <v/>
      </c>
      <c r="S44" t="n">
        <v/>
      </c>
      <c r="T44" t="n">
        <v/>
      </c>
      <c r="U44" t="n">
        <v>54.5</v>
      </c>
      <c r="V44" t="n">
        <v/>
      </c>
    </row>
    <row r="45">
      <c r="A45" s="73" t="n">
        <v>40575</v>
      </c>
      <c r="B45" t="n">
        <v>48.7</v>
      </c>
      <c r="C45" t="n">
        <v>52.7</v>
      </c>
      <c r="D45" t="n">
        <v>44.1</v>
      </c>
      <c r="E45" t="n">
        <v>56.8</v>
      </c>
      <c r="F45" t="n">
        <v>59.7</v>
      </c>
      <c r="G45" t="n">
        <v>58.6</v>
      </c>
      <c r="H45" t="n">
        <v>59.3</v>
      </c>
      <c r="I45" t="n">
        <v>61</v>
      </c>
      <c r="J45" t="n">
        <v>55.1</v>
      </c>
      <c r="K45" t="n">
        <v>53.1</v>
      </c>
      <c r="L45" t="n">
        <v>49.8</v>
      </c>
      <c r="M45" t="n">
        <v/>
      </c>
      <c r="N45" t="n">
        <v/>
      </c>
      <c r="O45" t="n">
        <v/>
      </c>
      <c r="P45" t="n">
        <v>53.4</v>
      </c>
      <c r="Q45" t="n">
        <v>50.8</v>
      </c>
      <c r="R45" t="n">
        <v/>
      </c>
      <c r="S45" t="n">
        <v/>
      </c>
      <c r="T45" t="n">
        <v/>
      </c>
      <c r="U45" t="n">
        <v>52.6</v>
      </c>
      <c r="V45" t="n">
        <v/>
      </c>
    </row>
    <row r="46">
      <c r="A46" s="73" t="n">
        <v>40603</v>
      </c>
      <c r="B46" t="n">
        <v>46.5</v>
      </c>
      <c r="C46" t="n">
        <v>53.5</v>
      </c>
      <c r="D46" t="n">
        <v>60.2</v>
      </c>
      <c r="E46" t="n">
        <v>57.2</v>
      </c>
      <c r="F46" t="n">
        <v>60.4</v>
      </c>
      <c r="G46" t="n">
        <v>60.1</v>
      </c>
      <c r="H46" t="n">
        <v>54</v>
      </c>
      <c r="I46" t="n">
        <v>60</v>
      </c>
      <c r="J46" t="n">
        <v>51.1</v>
      </c>
      <c r="K46" t="n">
        <v>53.3</v>
      </c>
      <c r="L46" t="n">
        <v>35.3</v>
      </c>
      <c r="M46" t="n">
        <v/>
      </c>
      <c r="N46" t="n">
        <v/>
      </c>
      <c r="O46" t="n">
        <v/>
      </c>
      <c r="P46" t="n">
        <v>53.3</v>
      </c>
      <c r="Q46" t="n">
        <v>48.7</v>
      </c>
      <c r="R46" t="n">
        <v/>
      </c>
      <c r="S46" t="n">
        <v/>
      </c>
      <c r="T46" t="n">
        <v/>
      </c>
      <c r="U46" t="n">
        <v>57.1</v>
      </c>
      <c r="V46" t="n">
        <v/>
      </c>
    </row>
    <row r="47">
      <c r="A47" s="73" t="n">
        <v>40634</v>
      </c>
      <c r="B47" t="n">
        <v>51.5</v>
      </c>
      <c r="C47" t="n">
        <v>53.2</v>
      </c>
      <c r="D47" t="n">
        <v>62.5</v>
      </c>
      <c r="E47" t="n">
        <v>56.7</v>
      </c>
      <c r="F47" t="n">
        <v>62.9</v>
      </c>
      <c r="G47" t="n">
        <v>56.8</v>
      </c>
      <c r="H47" t="n">
        <v>51</v>
      </c>
      <c r="I47" t="n">
        <v>59.2</v>
      </c>
      <c r="J47" t="n">
        <v>50.2</v>
      </c>
      <c r="K47" t="n">
        <v>52.2</v>
      </c>
      <c r="L47" t="n">
        <v>35</v>
      </c>
      <c r="M47" t="n">
        <v/>
      </c>
      <c r="N47" t="n">
        <v/>
      </c>
      <c r="O47" t="n">
        <v/>
      </c>
      <c r="P47" t="n">
        <v>55.8</v>
      </c>
      <c r="Q47" t="n">
        <v>50.4</v>
      </c>
      <c r="R47" t="n">
        <v/>
      </c>
      <c r="S47" t="n">
        <v/>
      </c>
      <c r="T47" t="n">
        <v/>
      </c>
      <c r="U47" t="n">
        <v>54.3</v>
      </c>
      <c r="V47" t="n">
        <v/>
      </c>
    </row>
    <row r="48">
      <c r="A48" s="73" t="n">
        <v>40664</v>
      </c>
      <c r="B48" t="n">
        <v>49.9</v>
      </c>
      <c r="C48" t="n">
        <v>53.3</v>
      </c>
      <c r="D48" t="n">
        <v>61.9</v>
      </c>
      <c r="E48" t="n">
        <v>55.4</v>
      </c>
      <c r="F48" t="n">
        <v>62.5</v>
      </c>
      <c r="G48" t="n">
        <v>56.1</v>
      </c>
      <c r="H48" t="n">
        <v>52.5</v>
      </c>
      <c r="I48" t="n">
        <v>57.7</v>
      </c>
      <c r="J48" t="n">
        <v>50.5</v>
      </c>
      <c r="K48" t="n">
        <v>50.1</v>
      </c>
      <c r="L48" t="n">
        <v>43.8</v>
      </c>
      <c r="M48" t="n">
        <v/>
      </c>
      <c r="N48" t="n">
        <v/>
      </c>
      <c r="O48" t="n">
        <v/>
      </c>
      <c r="P48" t="n">
        <v>57.6</v>
      </c>
      <c r="Q48" t="n">
        <v>50.9</v>
      </c>
      <c r="R48" t="n">
        <v/>
      </c>
      <c r="S48" t="n">
        <v/>
      </c>
      <c r="T48" t="n">
        <v/>
      </c>
      <c r="U48" t="n">
        <v>53.8</v>
      </c>
      <c r="V48" t="n">
        <v/>
      </c>
    </row>
    <row r="49">
      <c r="A49" s="73" t="n">
        <v>40695</v>
      </c>
      <c r="B49" t="n">
        <v>48.5</v>
      </c>
      <c r="C49" t="n">
        <v>52.1</v>
      </c>
      <c r="D49" t="n">
        <v>57</v>
      </c>
      <c r="E49" t="n">
        <v>53.7</v>
      </c>
      <c r="F49" t="n">
        <v>56.1</v>
      </c>
      <c r="G49" t="n">
        <v>56.7</v>
      </c>
      <c r="H49" t="n">
        <v>52.1</v>
      </c>
      <c r="I49" t="n">
        <v>56.1</v>
      </c>
      <c r="J49" t="n">
        <v>52.4</v>
      </c>
      <c r="K49" t="n">
        <v>47.4</v>
      </c>
      <c r="L49" t="n">
        <v>45.4</v>
      </c>
      <c r="M49" t="n">
        <v/>
      </c>
      <c r="N49" t="n">
        <v/>
      </c>
      <c r="O49" t="n">
        <v/>
      </c>
      <c r="P49" t="n">
        <v>55.1</v>
      </c>
      <c r="Q49" t="n">
        <v>50.2</v>
      </c>
      <c r="R49" t="n">
        <v/>
      </c>
      <c r="S49" t="n">
        <v/>
      </c>
      <c r="T49" t="n">
        <v/>
      </c>
      <c r="U49" t="n">
        <v>53.9</v>
      </c>
      <c r="V49" t="n">
        <v/>
      </c>
    </row>
    <row r="50">
      <c r="A50" s="73" t="n">
        <v>40725</v>
      </c>
      <c r="B50" t="n">
        <v>48.8</v>
      </c>
      <c r="C50" t="n">
        <v>53.7</v>
      </c>
      <c r="D50" t="n">
        <v>59.6</v>
      </c>
      <c r="E50" t="n">
        <v>51.6</v>
      </c>
      <c r="F50" t="n">
        <v>54.2</v>
      </c>
      <c r="G50" t="n">
        <v>52.9</v>
      </c>
      <c r="H50" t="n">
        <v>53.1</v>
      </c>
      <c r="I50" t="n">
        <v>58.2</v>
      </c>
      <c r="J50" t="n">
        <v>51.7</v>
      </c>
      <c r="K50" t="n">
        <v>48.6</v>
      </c>
      <c r="L50" t="n">
        <v>45.3</v>
      </c>
      <c r="M50" t="n">
        <v/>
      </c>
      <c r="N50" t="n">
        <v/>
      </c>
      <c r="O50" t="n">
        <v/>
      </c>
      <c r="P50" t="n">
        <v>56.9</v>
      </c>
      <c r="Q50" t="n">
        <v>46.5</v>
      </c>
      <c r="R50" t="n">
        <v/>
      </c>
      <c r="S50" t="n">
        <v/>
      </c>
      <c r="T50" t="n">
        <v/>
      </c>
      <c r="U50" t="n">
        <v>55.4</v>
      </c>
      <c r="V50" t="n">
        <v/>
      </c>
    </row>
    <row r="51">
      <c r="A51" s="73" t="n">
        <v>40756</v>
      </c>
      <c r="B51" t="n">
        <v>52.1</v>
      </c>
      <c r="C51" t="n">
        <v>52.1</v>
      </c>
      <c r="D51" t="n">
        <v>58.1</v>
      </c>
      <c r="E51" t="n">
        <v>51.5</v>
      </c>
      <c r="F51" t="n">
        <v>52.3</v>
      </c>
      <c r="G51" t="n">
        <v>51.1</v>
      </c>
      <c r="H51" t="n">
        <v>52.4</v>
      </c>
      <c r="I51" t="n">
        <v>56.7</v>
      </c>
      <c r="J51" t="n">
        <v>51.1</v>
      </c>
      <c r="K51" t="n">
        <v>48.4</v>
      </c>
      <c r="L51" t="n">
        <v>44.1</v>
      </c>
      <c r="M51" t="n">
        <v/>
      </c>
      <c r="N51" t="n">
        <v/>
      </c>
      <c r="O51" t="n">
        <v/>
      </c>
      <c r="P51" t="n">
        <v>55.1</v>
      </c>
      <c r="Q51" t="n">
        <v>45.2</v>
      </c>
      <c r="R51" t="n">
        <v/>
      </c>
      <c r="S51" t="n">
        <v/>
      </c>
      <c r="T51" t="n">
        <v/>
      </c>
      <c r="U51" t="n">
        <v>51.1</v>
      </c>
      <c r="V51" t="n">
        <v/>
      </c>
    </row>
    <row r="52">
      <c r="A52" s="73" t="n">
        <v>40787</v>
      </c>
      <c r="B52" t="n">
        <v>50.3</v>
      </c>
      <c r="C52" t="n">
        <v>50.5</v>
      </c>
      <c r="D52" t="n">
        <v>57</v>
      </c>
      <c r="E52" t="n">
        <v>48.8</v>
      </c>
      <c r="F52" t="n">
        <v>51.5</v>
      </c>
      <c r="G52" t="n">
        <v>49.7</v>
      </c>
      <c r="H52" t="n">
        <v>52.6</v>
      </c>
      <c r="I52" t="n">
        <v>49.8</v>
      </c>
      <c r="J52" t="n">
        <v>51.3</v>
      </c>
      <c r="K52" t="n">
        <v>45.8</v>
      </c>
      <c r="L52" t="n">
        <v>46.4</v>
      </c>
      <c r="M52" t="n">
        <v/>
      </c>
      <c r="N52" t="n">
        <v/>
      </c>
      <c r="O52" t="n">
        <v/>
      </c>
      <c r="P52" t="n">
        <v>53.3</v>
      </c>
      <c r="Q52" t="n">
        <v>44.8</v>
      </c>
      <c r="R52" t="n">
        <v/>
      </c>
      <c r="S52" t="n">
        <v/>
      </c>
      <c r="T52" t="n">
        <v/>
      </c>
      <c r="U52" t="n">
        <v>52.9</v>
      </c>
      <c r="V52" t="n">
        <v/>
      </c>
    </row>
    <row r="53">
      <c r="A53" s="73" t="n">
        <v>40817</v>
      </c>
      <c r="B53" t="n">
        <v>48.8</v>
      </c>
      <c r="C53" t="n">
        <v>53.6</v>
      </c>
      <c r="D53" t="n">
        <v>54.6</v>
      </c>
      <c r="E53" t="n">
        <v>46.4</v>
      </c>
      <c r="F53" t="n">
        <v>44.6</v>
      </c>
      <c r="G53" t="n">
        <v>50.6</v>
      </c>
      <c r="H53" t="n">
        <v>51.8</v>
      </c>
      <c r="I53" t="n">
        <v>49.1</v>
      </c>
      <c r="J53" t="n">
        <v>51.5</v>
      </c>
      <c r="K53" t="n">
        <v>43.9</v>
      </c>
      <c r="L53" t="n">
        <v>52.3</v>
      </c>
      <c r="M53" t="n">
        <v/>
      </c>
      <c r="N53" t="n">
        <v/>
      </c>
      <c r="O53" t="n">
        <v/>
      </c>
      <c r="P53" t="n">
        <v>53.5</v>
      </c>
      <c r="Q53" t="n">
        <v>41.8</v>
      </c>
      <c r="R53" t="n">
        <v/>
      </c>
      <c r="S53" t="n">
        <v/>
      </c>
      <c r="T53" t="n">
        <v/>
      </c>
      <c r="U53" t="n">
        <v>51.3</v>
      </c>
      <c r="V53" t="n">
        <v/>
      </c>
    </row>
    <row r="54">
      <c r="A54" s="73" t="n">
        <v>40848</v>
      </c>
      <c r="B54" t="n">
        <v>47.7</v>
      </c>
      <c r="C54" t="n">
        <v>52.6</v>
      </c>
      <c r="D54" t="n">
        <v>49.7</v>
      </c>
      <c r="E54" t="n">
        <v>47.5</v>
      </c>
      <c r="F54" t="n">
        <v>49.6</v>
      </c>
      <c r="G54" t="n">
        <v>50.3</v>
      </c>
      <c r="H54" t="n">
        <v>52.6</v>
      </c>
      <c r="I54" t="n">
        <v>53.2</v>
      </c>
      <c r="J54" t="n">
        <v>52.7</v>
      </c>
      <c r="K54" t="n">
        <v>45.8</v>
      </c>
      <c r="L54" t="n">
        <v>49.5</v>
      </c>
      <c r="M54" t="n">
        <v/>
      </c>
      <c r="N54" t="n">
        <v/>
      </c>
      <c r="O54" t="n">
        <v/>
      </c>
      <c r="P54" t="n">
        <v>54.8</v>
      </c>
      <c r="Q54" t="n">
        <v>36.8</v>
      </c>
      <c r="R54" t="n">
        <v/>
      </c>
      <c r="S54" t="n">
        <v/>
      </c>
      <c r="T54" t="n">
        <v/>
      </c>
      <c r="U54" t="n">
        <v>52.1</v>
      </c>
      <c r="V54" t="n">
        <v/>
      </c>
    </row>
    <row r="55">
      <c r="A55" s="73" t="n">
        <v>40878</v>
      </c>
      <c r="B55" t="n">
        <v>49</v>
      </c>
      <c r="C55" t="n">
        <v>54.8</v>
      </c>
      <c r="D55" t="n">
        <v>56</v>
      </c>
      <c r="E55" t="n">
        <v>48.8</v>
      </c>
      <c r="F55" t="n">
        <v>50.3</v>
      </c>
      <c r="G55" t="n">
        <v>52.4</v>
      </c>
      <c r="H55" t="n">
        <v>53.2</v>
      </c>
      <c r="I55" t="n">
        <v>54.2</v>
      </c>
      <c r="J55" t="n">
        <v>48.4</v>
      </c>
      <c r="K55" t="n">
        <v>44.5</v>
      </c>
      <c r="L55" t="n">
        <v>50.4</v>
      </c>
      <c r="M55" t="n">
        <v/>
      </c>
      <c r="N55" t="n">
        <v/>
      </c>
      <c r="O55" t="n">
        <v/>
      </c>
      <c r="P55" t="n">
        <v>53.8</v>
      </c>
      <c r="Q55" t="n">
        <v>42.1</v>
      </c>
      <c r="R55" t="n">
        <v/>
      </c>
      <c r="S55" t="n">
        <v/>
      </c>
      <c r="T55" t="n">
        <v/>
      </c>
      <c r="U55" t="n">
        <v>54</v>
      </c>
      <c r="V55" t="n">
        <v/>
      </c>
    </row>
    <row r="56">
      <c r="A56" s="73" t="n">
        <v>40909</v>
      </c>
      <c r="B56" t="n">
        <v>51.9</v>
      </c>
      <c r="C56" t="n">
        <v>55</v>
      </c>
      <c r="D56" t="n">
        <v>52.5</v>
      </c>
      <c r="E56" t="n">
        <v>50.4</v>
      </c>
      <c r="F56" t="n">
        <v>52.3</v>
      </c>
      <c r="G56" t="n">
        <v>53.7</v>
      </c>
      <c r="H56" t="n">
        <v>55.4</v>
      </c>
      <c r="I56" t="n">
        <v>55.1</v>
      </c>
      <c r="J56" t="n">
        <v>48.3</v>
      </c>
      <c r="K56" t="n">
        <v>44.8</v>
      </c>
      <c r="L56" t="n">
        <v>51</v>
      </c>
      <c r="M56" t="n">
        <v/>
      </c>
      <c r="N56" t="n">
        <v/>
      </c>
      <c r="O56" t="n">
        <v/>
      </c>
      <c r="P56" t="n">
        <v>56.5</v>
      </c>
      <c r="Q56" t="n">
        <v>46.1</v>
      </c>
      <c r="R56" t="n">
        <v/>
      </c>
      <c r="S56" t="n">
        <v/>
      </c>
      <c r="T56" t="n">
        <v/>
      </c>
      <c r="U56" t="n">
        <v>56</v>
      </c>
      <c r="V56" t="n">
        <v/>
      </c>
    </row>
    <row r="57">
      <c r="A57" s="73" t="n">
        <v>40940</v>
      </c>
      <c r="B57" t="n">
        <v>46.7</v>
      </c>
      <c r="C57" t="n">
        <v>57.1</v>
      </c>
      <c r="D57" t="n">
        <v>53.9</v>
      </c>
      <c r="E57" t="n">
        <v>48.8</v>
      </c>
      <c r="F57" t="n">
        <v>50</v>
      </c>
      <c r="G57" t="n">
        <v>52.8</v>
      </c>
      <c r="H57" t="n">
        <v>56.5</v>
      </c>
      <c r="I57" t="n">
        <v>53.4</v>
      </c>
      <c r="J57" t="n">
        <v>53.3</v>
      </c>
      <c r="K57" t="n">
        <v>44.1</v>
      </c>
      <c r="L57" t="n">
        <v>51.2</v>
      </c>
      <c r="M57" t="n">
        <v/>
      </c>
      <c r="N57" t="n">
        <v/>
      </c>
      <c r="O57" t="n">
        <v/>
      </c>
      <c r="P57" t="n">
        <v>55.3</v>
      </c>
      <c r="Q57" t="n">
        <v>41.9</v>
      </c>
      <c r="R57" t="n">
        <v/>
      </c>
      <c r="S57" t="n">
        <v/>
      </c>
      <c r="T57" t="n">
        <v/>
      </c>
      <c r="U57" t="n">
        <v>53.8</v>
      </c>
      <c r="V57" t="n">
        <v/>
      </c>
    </row>
    <row r="58">
      <c r="A58" s="73" t="n">
        <v>40969</v>
      </c>
      <c r="B58" t="n">
        <v>47</v>
      </c>
      <c r="C58" t="n">
        <v>53.8</v>
      </c>
      <c r="D58" t="n">
        <v>53.3</v>
      </c>
      <c r="E58" t="n">
        <v>47.9</v>
      </c>
      <c r="F58" t="n">
        <v>50.1</v>
      </c>
      <c r="G58" t="n">
        <v>52.1</v>
      </c>
      <c r="H58" t="n">
        <v>54.3</v>
      </c>
      <c r="I58" t="n">
        <v>54.1</v>
      </c>
      <c r="J58" t="n">
        <v>52.1</v>
      </c>
      <c r="K58" t="n">
        <v>44.3</v>
      </c>
      <c r="L58" t="n">
        <v>53.7</v>
      </c>
      <c r="M58" t="n">
        <v/>
      </c>
      <c r="N58" t="n">
        <v/>
      </c>
      <c r="O58" t="n">
        <v/>
      </c>
      <c r="P58" t="n">
        <v>54.4</v>
      </c>
      <c r="Q58" t="n">
        <v>46.3</v>
      </c>
      <c r="R58" t="n">
        <v/>
      </c>
      <c r="S58" t="n">
        <v/>
      </c>
      <c r="T58" t="n">
        <v/>
      </c>
      <c r="U58" t="n">
        <v>55.3</v>
      </c>
      <c r="V58" t="n">
        <v/>
      </c>
    </row>
    <row r="59">
      <c r="A59" s="73" t="n">
        <v>41000</v>
      </c>
      <c r="B59" t="n">
        <v>39.6</v>
      </c>
      <c r="C59" t="n">
        <v>54.4</v>
      </c>
      <c r="D59" t="n">
        <v>54.1</v>
      </c>
      <c r="E59" t="n">
        <v>46.9</v>
      </c>
      <c r="F59" t="n">
        <v>45.2</v>
      </c>
      <c r="G59" t="n">
        <v>52.2</v>
      </c>
      <c r="H59" t="n">
        <v>53.2</v>
      </c>
      <c r="I59" t="n">
        <v>52.3</v>
      </c>
      <c r="J59" t="n">
        <v>52.2</v>
      </c>
      <c r="K59" t="n">
        <v>42.3</v>
      </c>
      <c r="L59" t="n">
        <v>51</v>
      </c>
      <c r="M59" t="n">
        <v/>
      </c>
      <c r="N59" t="n">
        <v/>
      </c>
      <c r="O59" t="n">
        <v/>
      </c>
      <c r="P59" t="n">
        <v>52.6</v>
      </c>
      <c r="Q59" t="n">
        <v>42.1</v>
      </c>
      <c r="R59" t="n">
        <v/>
      </c>
      <c r="S59" t="n">
        <v/>
      </c>
      <c r="T59" t="n">
        <v/>
      </c>
      <c r="U59" t="n">
        <v>53.3</v>
      </c>
      <c r="V59" t="n">
        <v/>
      </c>
    </row>
    <row r="60">
      <c r="A60" s="73" t="n">
        <v>41030</v>
      </c>
      <c r="B60" t="n">
        <v>43.5</v>
      </c>
      <c r="C60" t="n">
        <v>49.7</v>
      </c>
      <c r="D60" t="n">
        <v>54.7</v>
      </c>
      <c r="E60" t="n">
        <v>46.7</v>
      </c>
      <c r="F60" t="n">
        <v>45.1</v>
      </c>
      <c r="G60" t="n">
        <v>51.8</v>
      </c>
      <c r="H60" t="n">
        <v>53.3</v>
      </c>
      <c r="I60" t="n">
        <v>52.8</v>
      </c>
      <c r="J60" t="n">
        <v>48.9</v>
      </c>
      <c r="K60" t="n">
        <v>42.8</v>
      </c>
      <c r="L60" t="n">
        <v>50.5</v>
      </c>
      <c r="M60" t="n">
        <v/>
      </c>
      <c r="N60" t="n">
        <v/>
      </c>
      <c r="O60" t="n">
        <v/>
      </c>
      <c r="P60" t="n">
        <v>54.9</v>
      </c>
      <c r="Q60" t="n">
        <v>41.8</v>
      </c>
      <c r="R60" t="n">
        <v/>
      </c>
      <c r="S60" t="n">
        <v/>
      </c>
      <c r="T60" t="n">
        <v/>
      </c>
      <c r="U60" t="n">
        <v>53.3</v>
      </c>
      <c r="V60" t="n">
        <v/>
      </c>
    </row>
    <row r="61">
      <c r="A61" s="73" t="n">
        <v>41061</v>
      </c>
      <c r="B61" t="n">
        <v>48.8</v>
      </c>
      <c r="C61" t="n">
        <v>53</v>
      </c>
      <c r="D61" t="n">
        <v>52.3</v>
      </c>
      <c r="E61" t="n">
        <v>47.1</v>
      </c>
      <c r="F61" t="n">
        <v>47.9</v>
      </c>
      <c r="G61" t="n">
        <v>49.9</v>
      </c>
      <c r="H61" t="n">
        <v>50.1</v>
      </c>
      <c r="I61" t="n">
        <v>54.7</v>
      </c>
      <c r="J61" t="n">
        <v>49.7</v>
      </c>
      <c r="K61" t="n">
        <v>43.1</v>
      </c>
      <c r="L61" t="n">
        <v>49.5</v>
      </c>
      <c r="M61" t="n">
        <v/>
      </c>
      <c r="N61" t="n">
        <v/>
      </c>
      <c r="O61" t="n">
        <v/>
      </c>
      <c r="P61" t="n">
        <v>53.2</v>
      </c>
      <c r="Q61" t="n">
        <v>43.4</v>
      </c>
      <c r="R61" t="n">
        <v/>
      </c>
      <c r="S61" t="n">
        <v/>
      </c>
      <c r="T61" t="n">
        <v/>
      </c>
      <c r="U61" t="n">
        <v>51.3</v>
      </c>
      <c r="V61" t="n">
        <v/>
      </c>
    </row>
    <row r="62">
      <c r="A62" s="73" t="n">
        <v>41091</v>
      </c>
      <c r="B62" t="n">
        <v>46.5</v>
      </c>
      <c r="C62" t="n">
        <v>48.9</v>
      </c>
      <c r="D62" t="n">
        <v>53.1</v>
      </c>
      <c r="E62" t="n">
        <v>47.9</v>
      </c>
      <c r="F62" t="n">
        <v>50</v>
      </c>
      <c r="G62" t="n">
        <v>50.3</v>
      </c>
      <c r="H62" t="n">
        <v>49.2</v>
      </c>
      <c r="I62" t="n">
        <v>54.3</v>
      </c>
      <c r="J62" t="n">
        <v>49.1</v>
      </c>
      <c r="K62" t="n">
        <v>43</v>
      </c>
      <c r="L62" t="n">
        <v>48.7</v>
      </c>
      <c r="M62" t="n">
        <v/>
      </c>
      <c r="N62" t="n">
        <v/>
      </c>
      <c r="O62" t="n">
        <v/>
      </c>
      <c r="P62" t="n">
        <v>52</v>
      </c>
      <c r="Q62" t="n">
        <v>43.7</v>
      </c>
      <c r="R62" t="n">
        <v/>
      </c>
      <c r="S62" t="n">
        <v/>
      </c>
      <c r="T62" t="n">
        <v/>
      </c>
      <c r="U62" t="n">
        <v>51.3</v>
      </c>
      <c r="V62" t="n">
        <v/>
      </c>
    </row>
    <row r="63">
      <c r="A63" s="73" t="n">
        <v>41122</v>
      </c>
      <c r="B63" t="n">
        <v>42.4</v>
      </c>
      <c r="C63" t="n">
        <v>48.1</v>
      </c>
      <c r="D63" t="n">
        <v>52</v>
      </c>
      <c r="E63" t="n">
        <v>47.2</v>
      </c>
      <c r="F63" t="n">
        <v>49.2</v>
      </c>
      <c r="G63" t="n">
        <v>48.3</v>
      </c>
      <c r="H63" t="n">
        <v>52.4</v>
      </c>
      <c r="I63" t="n">
        <v>54.2</v>
      </c>
      <c r="J63" t="n">
        <v>51.7</v>
      </c>
      <c r="K63" t="n">
        <v>44</v>
      </c>
      <c r="L63" t="n">
        <v>47.5</v>
      </c>
      <c r="M63" t="n">
        <v/>
      </c>
      <c r="N63" t="n">
        <v/>
      </c>
      <c r="O63" t="n">
        <v/>
      </c>
      <c r="P63" t="n">
        <v>52.6</v>
      </c>
      <c r="Q63" t="n">
        <v>44</v>
      </c>
      <c r="R63" t="n">
        <v/>
      </c>
      <c r="S63" t="n">
        <v/>
      </c>
      <c r="T63" t="n">
        <v/>
      </c>
      <c r="U63" t="n">
        <v>51</v>
      </c>
      <c r="V63" t="n">
        <v/>
      </c>
    </row>
    <row r="64">
      <c r="A64" s="73" t="n">
        <v>41153</v>
      </c>
      <c r="B64" t="n">
        <v>41.9</v>
      </c>
      <c r="C64" t="n">
        <v>52.8</v>
      </c>
      <c r="D64" t="n">
        <v>54.3</v>
      </c>
      <c r="E64" t="n">
        <v>46.1</v>
      </c>
      <c r="F64" t="n">
        <v>45</v>
      </c>
      <c r="G64" t="n">
        <v>49.7</v>
      </c>
      <c r="H64" t="n">
        <v>53.1</v>
      </c>
      <c r="I64" t="n">
        <v>55</v>
      </c>
      <c r="J64" t="n">
        <v>53.9</v>
      </c>
      <c r="K64" t="n">
        <v>44.5</v>
      </c>
      <c r="L64" t="n">
        <v>48.8</v>
      </c>
      <c r="M64" t="n">
        <v/>
      </c>
      <c r="N64" t="n">
        <v/>
      </c>
      <c r="O64" t="n">
        <v/>
      </c>
      <c r="P64" t="n">
        <v>54.5</v>
      </c>
      <c r="Q64" t="n">
        <v>40.2</v>
      </c>
      <c r="R64" t="n">
        <v/>
      </c>
      <c r="S64" t="n">
        <v/>
      </c>
      <c r="T64" t="n">
        <v/>
      </c>
      <c r="U64" t="n">
        <v>53.7</v>
      </c>
      <c r="V64" t="n">
        <v/>
      </c>
    </row>
    <row r="65">
      <c r="A65" s="73" t="n">
        <v>41183</v>
      </c>
      <c r="B65" t="n">
        <v>42.8</v>
      </c>
      <c r="C65" t="n">
        <v>50.4</v>
      </c>
      <c r="D65" t="n">
        <v>53.5</v>
      </c>
      <c r="E65" t="n">
        <v>46</v>
      </c>
      <c r="F65" t="n">
        <v>44.6</v>
      </c>
      <c r="G65" t="n">
        <v>48.4</v>
      </c>
      <c r="H65" t="n">
        <v>53.6</v>
      </c>
      <c r="I65" t="n">
        <v>55.8</v>
      </c>
      <c r="J65" t="n">
        <v>56.1</v>
      </c>
      <c r="K65" t="n">
        <v>46</v>
      </c>
      <c r="L65" t="n">
        <v>49.7</v>
      </c>
      <c r="M65" t="n">
        <v/>
      </c>
      <c r="N65" t="n">
        <v/>
      </c>
      <c r="O65" t="n">
        <v/>
      </c>
      <c r="P65" t="n">
        <v>57.3</v>
      </c>
      <c r="Q65" t="n">
        <v>41.2</v>
      </c>
      <c r="R65" t="n">
        <v/>
      </c>
      <c r="S65" t="n">
        <v/>
      </c>
      <c r="T65" t="n">
        <v/>
      </c>
      <c r="U65" t="n">
        <v>52.2</v>
      </c>
      <c r="V65" t="n">
        <v/>
      </c>
    </row>
    <row r="66">
      <c r="A66" s="73" t="n">
        <v>41214</v>
      </c>
      <c r="B66" t="n">
        <v>47.1</v>
      </c>
      <c r="C66" t="n">
        <v>52.5</v>
      </c>
      <c r="D66" t="n">
        <v>52.1</v>
      </c>
      <c r="E66" t="n">
        <v>46.7</v>
      </c>
      <c r="F66" t="n">
        <v>45.8</v>
      </c>
      <c r="G66" t="n">
        <v>49.7</v>
      </c>
      <c r="H66" t="n">
        <v>54.8</v>
      </c>
      <c r="I66" t="n">
        <v>53.8</v>
      </c>
      <c r="J66" t="n">
        <v>56.1</v>
      </c>
      <c r="K66" t="n">
        <v>44.6</v>
      </c>
      <c r="L66" t="n">
        <v>49.1</v>
      </c>
      <c r="M66" t="n">
        <v/>
      </c>
      <c r="N66" t="n">
        <v/>
      </c>
      <c r="O66" t="n">
        <v/>
      </c>
      <c r="P66" t="n">
        <v>57.1</v>
      </c>
      <c r="Q66" t="n">
        <v>42.4</v>
      </c>
      <c r="R66" t="n">
        <v/>
      </c>
      <c r="S66" t="n">
        <v/>
      </c>
      <c r="T66" t="n">
        <v/>
      </c>
      <c r="U66" t="n">
        <v>50.6</v>
      </c>
      <c r="V66" t="n">
        <v/>
      </c>
    </row>
    <row r="67">
      <c r="A67" s="73" t="n">
        <v>41244</v>
      </c>
      <c r="B67" t="n">
        <v>46.3</v>
      </c>
      <c r="C67" t="n">
        <v>53.2</v>
      </c>
      <c r="D67" t="n">
        <v>53.5</v>
      </c>
      <c r="E67" t="n">
        <v>47.2</v>
      </c>
      <c r="F67" t="n">
        <v>44.1</v>
      </c>
      <c r="G67" t="n">
        <v>55.7</v>
      </c>
      <c r="H67" t="n">
        <v>54.8</v>
      </c>
      <c r="I67" t="n">
        <v>52.1</v>
      </c>
      <c r="J67" t="n">
        <v>56.5</v>
      </c>
      <c r="K67" t="n">
        <v>43.1</v>
      </c>
      <c r="L67" t="n">
        <v>50.1</v>
      </c>
      <c r="M67" t="n">
        <v/>
      </c>
      <c r="N67" t="n">
        <v/>
      </c>
      <c r="O67" t="n">
        <v/>
      </c>
      <c r="P67" t="n">
        <v>56.1</v>
      </c>
      <c r="Q67" t="n">
        <v>44.1</v>
      </c>
      <c r="R67" t="n">
        <v/>
      </c>
      <c r="S67" t="n">
        <v/>
      </c>
      <c r="T67" t="n">
        <v/>
      </c>
      <c r="U67" t="n">
        <v>50.2</v>
      </c>
      <c r="V67" t="n">
        <v/>
      </c>
    </row>
    <row r="68">
      <c r="A68" s="73" t="n">
        <v>41275</v>
      </c>
      <c r="B68" t="n">
        <v>45.4</v>
      </c>
      <c r="C68" t="n">
        <v>54.5</v>
      </c>
      <c r="D68" t="n">
        <v>54</v>
      </c>
      <c r="E68" t="n">
        <v>48.6</v>
      </c>
      <c r="F68" t="n">
        <v>43.6</v>
      </c>
      <c r="G68" t="n">
        <v>54.7</v>
      </c>
      <c r="H68" t="n">
        <v>53.6</v>
      </c>
      <c r="I68" t="n">
        <v>57.5</v>
      </c>
      <c r="J68" t="n">
        <v>56.8</v>
      </c>
      <c r="K68" t="n">
        <v>43.9</v>
      </c>
      <c r="L68" t="n">
        <v>50.4</v>
      </c>
      <c r="M68" t="n">
        <v/>
      </c>
      <c r="N68" t="n">
        <v/>
      </c>
      <c r="O68" t="n">
        <v/>
      </c>
      <c r="P68" t="n">
        <v>55.7</v>
      </c>
      <c r="Q68" t="n">
        <v>47</v>
      </c>
      <c r="R68" t="n">
        <v/>
      </c>
      <c r="S68" t="n">
        <v/>
      </c>
      <c r="T68" t="n">
        <v/>
      </c>
      <c r="U68" t="n">
        <v>51.5</v>
      </c>
      <c r="V68" t="n">
        <v/>
      </c>
    </row>
    <row r="69">
      <c r="A69" s="73" t="n">
        <v>41306</v>
      </c>
      <c r="B69" t="n">
        <v>48.5</v>
      </c>
      <c r="C69" t="n">
        <v>52.1</v>
      </c>
      <c r="D69" t="n">
        <v>52.1</v>
      </c>
      <c r="E69" t="n">
        <v>47.9</v>
      </c>
      <c r="F69" t="n">
        <v>43.7</v>
      </c>
      <c r="G69" t="n">
        <v>50.9</v>
      </c>
      <c r="H69" t="n">
        <v>53.2</v>
      </c>
      <c r="I69" t="n">
        <v>54.2</v>
      </c>
      <c r="J69" t="n">
        <v>53.6</v>
      </c>
      <c r="K69" t="n">
        <v>43.6</v>
      </c>
      <c r="L69" t="n">
        <v>51.3</v>
      </c>
      <c r="M69" t="n">
        <v/>
      </c>
      <c r="N69" t="n">
        <v/>
      </c>
      <c r="O69" t="n">
        <v/>
      </c>
      <c r="P69" t="n">
        <v>56.1</v>
      </c>
      <c r="Q69" t="n">
        <v>44.7</v>
      </c>
      <c r="R69" t="n">
        <v/>
      </c>
      <c r="S69" t="n">
        <v/>
      </c>
      <c r="T69" t="n">
        <v/>
      </c>
      <c r="U69" t="n">
        <v>51.8</v>
      </c>
      <c r="V69" t="n">
        <v/>
      </c>
    </row>
    <row r="70">
      <c r="A70" s="73" t="n">
        <v>41334</v>
      </c>
      <c r="B70" t="n">
        <v>49.6</v>
      </c>
      <c r="C70" t="n">
        <v>50.3</v>
      </c>
      <c r="D70" t="n">
        <v>54.3</v>
      </c>
      <c r="E70" t="n">
        <v>46.4</v>
      </c>
      <c r="F70" t="n">
        <v>41.3</v>
      </c>
      <c r="G70" t="n">
        <v>49.6</v>
      </c>
      <c r="H70" t="n">
        <v>53.4</v>
      </c>
      <c r="I70" t="n">
        <v>51.4</v>
      </c>
      <c r="J70" t="n">
        <v>52.3</v>
      </c>
      <c r="K70" t="n">
        <v>45.5</v>
      </c>
      <c r="L70" t="n">
        <v>53.4</v>
      </c>
      <c r="M70" t="n">
        <v/>
      </c>
      <c r="N70" t="n">
        <v/>
      </c>
      <c r="O70" t="n">
        <v/>
      </c>
      <c r="P70" t="n">
        <v>54.6</v>
      </c>
      <c r="Q70" t="n">
        <v>45.3</v>
      </c>
      <c r="R70" t="n">
        <v/>
      </c>
      <c r="S70" t="n">
        <v/>
      </c>
      <c r="T70" t="n">
        <v/>
      </c>
      <c r="U70" t="n">
        <v>52.4</v>
      </c>
      <c r="V70" t="n">
        <v/>
      </c>
    </row>
    <row r="71">
      <c r="A71" s="73" t="n">
        <v>41365</v>
      </c>
      <c r="B71" t="n">
        <v>44.1</v>
      </c>
      <c r="C71" t="n">
        <v>51</v>
      </c>
      <c r="D71" t="n">
        <v>51.1</v>
      </c>
      <c r="E71" t="n">
        <v>47</v>
      </c>
      <c r="F71" t="n">
        <v>44.3</v>
      </c>
      <c r="G71" t="n">
        <v>49.7</v>
      </c>
      <c r="H71" t="n">
        <v>52.1</v>
      </c>
      <c r="I71" t="n">
        <v>50.7</v>
      </c>
      <c r="J71" t="n">
        <v>55.2</v>
      </c>
      <c r="K71" t="n">
        <v>47</v>
      </c>
      <c r="L71" t="n">
        <v>52.5</v>
      </c>
      <c r="M71" t="n">
        <v/>
      </c>
      <c r="N71" t="n">
        <v/>
      </c>
      <c r="O71" t="n">
        <v/>
      </c>
      <c r="P71" t="n">
        <v>53</v>
      </c>
      <c r="Q71" t="n">
        <v>44.4</v>
      </c>
      <c r="R71" t="n">
        <v/>
      </c>
      <c r="S71" t="n">
        <v/>
      </c>
      <c r="T71" t="n">
        <v/>
      </c>
      <c r="U71" t="n">
        <v>52.9</v>
      </c>
      <c r="V71" t="n">
        <v/>
      </c>
    </row>
    <row r="72">
      <c r="A72" s="73" t="n">
        <v>41395</v>
      </c>
      <c r="B72" t="n">
        <v>40.6</v>
      </c>
      <c r="C72" t="n">
        <v>51</v>
      </c>
      <c r="D72" t="n">
        <v>51.2</v>
      </c>
      <c r="E72" t="n">
        <v>47.2</v>
      </c>
      <c r="F72" t="n">
        <v>44.3</v>
      </c>
      <c r="G72" t="n">
        <v>50.4</v>
      </c>
      <c r="H72" t="n">
        <v>53.7</v>
      </c>
      <c r="I72" t="n">
        <v>53.6</v>
      </c>
      <c r="J72" t="n">
        <v>52.7</v>
      </c>
      <c r="K72" t="n">
        <v>46.5</v>
      </c>
      <c r="L72" t="n">
        <v>54.8</v>
      </c>
      <c r="M72" t="n">
        <v/>
      </c>
      <c r="N72" t="n">
        <v/>
      </c>
      <c r="O72" t="n">
        <v/>
      </c>
      <c r="P72" t="n">
        <v>51.4</v>
      </c>
      <c r="Q72" t="n">
        <v>47.3</v>
      </c>
      <c r="R72" t="n">
        <v/>
      </c>
      <c r="S72" t="n">
        <v/>
      </c>
      <c r="T72" t="n">
        <v/>
      </c>
      <c r="U72" t="n">
        <v>54.9</v>
      </c>
      <c r="V72" t="n">
        <v/>
      </c>
    </row>
    <row r="73">
      <c r="A73" s="73" t="n">
        <v>41426</v>
      </c>
      <c r="B73" t="n">
        <v>41.5</v>
      </c>
      <c r="C73" t="n">
        <v>50.3</v>
      </c>
      <c r="D73" t="n">
        <v>51.3</v>
      </c>
      <c r="E73" t="n">
        <v>48.3</v>
      </c>
      <c r="F73" t="n">
        <v>47.2</v>
      </c>
      <c r="G73" t="n">
        <v>51.3</v>
      </c>
      <c r="H73" t="n">
        <v>51.3</v>
      </c>
      <c r="I73" t="n">
        <v>51.7</v>
      </c>
      <c r="J73" t="n">
        <v>61.6</v>
      </c>
      <c r="K73" t="n">
        <v>45.8</v>
      </c>
      <c r="L73" t="n">
        <v>52.1</v>
      </c>
      <c r="M73" t="n">
        <v/>
      </c>
      <c r="N73" t="n">
        <v/>
      </c>
      <c r="O73" t="n">
        <v/>
      </c>
      <c r="P73" t="n">
        <v>48.8</v>
      </c>
      <c r="Q73" t="n">
        <v>47.8</v>
      </c>
      <c r="R73" t="n">
        <v/>
      </c>
      <c r="S73" t="n">
        <v/>
      </c>
      <c r="T73" t="n">
        <v/>
      </c>
      <c r="U73" t="n">
        <v>56.9</v>
      </c>
      <c r="V73" t="n">
        <v/>
      </c>
    </row>
    <row r="74">
      <c r="A74" s="73" t="n">
        <v>41456</v>
      </c>
      <c r="B74" t="n">
        <v>39.4</v>
      </c>
      <c r="C74" t="n">
        <v>49.7</v>
      </c>
      <c r="D74" t="n">
        <v>51.3</v>
      </c>
      <c r="E74" t="n">
        <v>49.8</v>
      </c>
      <c r="F74" t="n">
        <v>48.6</v>
      </c>
      <c r="G74" t="n">
        <v>52.8</v>
      </c>
      <c r="H74" t="n">
        <v>54.9</v>
      </c>
      <c r="I74" t="n">
        <v>47.9</v>
      </c>
      <c r="J74" t="n">
        <v>59.6</v>
      </c>
      <c r="K74" t="n">
        <v>48.7</v>
      </c>
      <c r="L74" t="n">
        <v>50.6</v>
      </c>
      <c r="M74" t="n">
        <v/>
      </c>
      <c r="N74" t="n">
        <v/>
      </c>
      <c r="O74" t="n">
        <v/>
      </c>
      <c r="P74" t="n">
        <v>48.7</v>
      </c>
      <c r="Q74" t="n">
        <v>48.5</v>
      </c>
      <c r="R74" t="n">
        <v/>
      </c>
      <c r="S74" t="n">
        <v/>
      </c>
      <c r="T74" t="n">
        <v/>
      </c>
      <c r="U74" t="n">
        <v>60.2</v>
      </c>
      <c r="V74" t="n">
        <v/>
      </c>
    </row>
    <row r="75">
      <c r="A75" s="73" t="n">
        <v>41487</v>
      </c>
      <c r="B75" t="n">
        <v>39</v>
      </c>
      <c r="C75" t="n">
        <v>50.7</v>
      </c>
      <c r="D75" t="n">
        <v>52.8</v>
      </c>
      <c r="E75" t="n">
        <v>50.7</v>
      </c>
      <c r="F75" t="n">
        <v>48.9</v>
      </c>
      <c r="G75" t="n">
        <v>53.7</v>
      </c>
      <c r="H75" t="n">
        <v>56</v>
      </c>
      <c r="I75" t="n">
        <v>47.6</v>
      </c>
      <c r="J75" t="n">
        <v>57.2</v>
      </c>
      <c r="K75" t="n">
        <v>48.8</v>
      </c>
      <c r="L75" t="n">
        <v>51.2</v>
      </c>
      <c r="M75" t="n">
        <v/>
      </c>
      <c r="N75" t="n">
        <v/>
      </c>
      <c r="O75" t="n">
        <v/>
      </c>
      <c r="P75" t="n">
        <v>51.8</v>
      </c>
      <c r="Q75" t="n">
        <v>50.5</v>
      </c>
      <c r="R75" t="n">
        <v/>
      </c>
      <c r="S75" t="n">
        <v/>
      </c>
      <c r="T75" t="n">
        <v/>
      </c>
      <c r="U75" t="n">
        <v>60.5</v>
      </c>
      <c r="V75" t="n">
        <v/>
      </c>
    </row>
    <row r="76">
      <c r="A76" s="73" t="n">
        <v>41518</v>
      </c>
      <c r="B76" t="n">
        <v>47.1</v>
      </c>
      <c r="C76" t="n">
        <v>52.1</v>
      </c>
      <c r="D76" t="n">
        <v>52.4</v>
      </c>
      <c r="E76" t="n">
        <v>52.2</v>
      </c>
      <c r="F76" t="n">
        <v>51</v>
      </c>
      <c r="G76" t="n">
        <v>52.9</v>
      </c>
      <c r="H76" t="n">
        <v>53.6</v>
      </c>
      <c r="I76" t="n">
        <v>44.6</v>
      </c>
      <c r="J76" t="n">
        <v>56.8</v>
      </c>
      <c r="K76" t="n">
        <v>52.7</v>
      </c>
      <c r="L76" t="n">
        <v>53</v>
      </c>
      <c r="M76" t="n">
        <v/>
      </c>
      <c r="N76" t="n">
        <v/>
      </c>
      <c r="O76" t="n">
        <v/>
      </c>
      <c r="P76" t="n">
        <v>51.5</v>
      </c>
      <c r="Q76" t="n">
        <v>49</v>
      </c>
      <c r="R76" t="n">
        <v/>
      </c>
      <c r="S76" t="n">
        <v/>
      </c>
      <c r="T76" t="n">
        <v/>
      </c>
      <c r="U76" t="n">
        <v>60.3</v>
      </c>
      <c r="V76" t="n">
        <v/>
      </c>
    </row>
    <row r="77">
      <c r="A77" s="73" t="n">
        <v>41548</v>
      </c>
      <c r="B77" t="n">
        <v>47.9</v>
      </c>
      <c r="C77" t="n">
        <v>52.3</v>
      </c>
      <c r="D77" t="n">
        <v>52.6</v>
      </c>
      <c r="E77" t="n">
        <v>51.6</v>
      </c>
      <c r="F77" t="n">
        <v>50.9</v>
      </c>
      <c r="G77" t="n">
        <v>55.7</v>
      </c>
      <c r="H77" t="n">
        <v>51.8</v>
      </c>
      <c r="I77" t="n">
        <v>47.1</v>
      </c>
      <c r="J77" t="n">
        <v>60.1</v>
      </c>
      <c r="K77" t="n">
        <v>50.5</v>
      </c>
      <c r="L77" t="n">
        <v>55.3</v>
      </c>
      <c r="M77" t="n">
        <v/>
      </c>
      <c r="N77" t="n">
        <v/>
      </c>
      <c r="O77" t="n">
        <v/>
      </c>
      <c r="P77" t="n">
        <v>52.5</v>
      </c>
      <c r="Q77" t="n">
        <v>49.6</v>
      </c>
      <c r="R77" t="n">
        <v/>
      </c>
      <c r="S77" t="n">
        <v/>
      </c>
      <c r="T77" t="n">
        <v/>
      </c>
      <c r="U77" t="n">
        <v>62.5</v>
      </c>
      <c r="V77" t="n">
        <v>49.3</v>
      </c>
    </row>
    <row r="78">
      <c r="A78" s="73" t="n">
        <v>41579</v>
      </c>
      <c r="B78" t="n">
        <v>48.9</v>
      </c>
      <c r="C78" t="n">
        <v>51.7</v>
      </c>
      <c r="D78" t="n">
        <v>52.5</v>
      </c>
      <c r="E78" t="n">
        <v>51.2</v>
      </c>
      <c r="F78" t="n">
        <v>48</v>
      </c>
      <c r="G78" t="n">
        <v>53.5</v>
      </c>
      <c r="H78" t="n">
        <v>53.9</v>
      </c>
      <c r="I78" t="n">
        <v>47.2</v>
      </c>
      <c r="J78" t="n">
        <v>57.1</v>
      </c>
      <c r="K78" t="n">
        <v>47.2</v>
      </c>
      <c r="L78" t="n">
        <v>51.8</v>
      </c>
      <c r="M78" t="n">
        <v/>
      </c>
      <c r="N78" t="n">
        <v/>
      </c>
      <c r="O78" t="n">
        <v/>
      </c>
      <c r="P78" t="n">
        <v>52.9</v>
      </c>
      <c r="Q78" t="n">
        <v>51.5</v>
      </c>
      <c r="R78" t="n">
        <v/>
      </c>
      <c r="S78" t="n">
        <v/>
      </c>
      <c r="T78" t="n">
        <v/>
      </c>
      <c r="U78" t="n">
        <v>60</v>
      </c>
      <c r="V78" t="n">
        <v>55.9</v>
      </c>
    </row>
    <row r="79">
      <c r="A79" s="73" t="n">
        <v>41609</v>
      </c>
      <c r="B79" t="n">
        <v>46.1</v>
      </c>
      <c r="C79" t="n">
        <v>50.5</v>
      </c>
      <c r="D79" t="n">
        <v>51.4</v>
      </c>
      <c r="E79" t="n">
        <v>51</v>
      </c>
      <c r="F79" t="n">
        <v>48.1</v>
      </c>
      <c r="G79" t="n">
        <v>53.1</v>
      </c>
      <c r="H79" t="n">
        <v>53.5</v>
      </c>
      <c r="I79" t="n">
        <v>47.9</v>
      </c>
      <c r="J79" t="n">
        <v>59.3</v>
      </c>
      <c r="K79" t="n">
        <v>48.6</v>
      </c>
      <c r="L79" t="n">
        <v>52.1</v>
      </c>
      <c r="M79" t="n">
        <v/>
      </c>
      <c r="N79" t="n">
        <v/>
      </c>
      <c r="O79" t="n">
        <v/>
      </c>
      <c r="P79" t="n">
        <v>51.4</v>
      </c>
      <c r="Q79" t="n">
        <v>53.2</v>
      </c>
      <c r="R79" t="n">
        <v/>
      </c>
      <c r="S79" t="n">
        <v/>
      </c>
      <c r="T79" t="n">
        <v/>
      </c>
      <c r="U79" t="n">
        <v>58.8</v>
      </c>
      <c r="V79" t="n">
        <v>55.7</v>
      </c>
    </row>
    <row r="80">
      <c r="A80" s="73" t="n">
        <v>41640</v>
      </c>
      <c r="B80" t="n">
        <v>49.3</v>
      </c>
      <c r="C80" t="n">
        <v>49.6</v>
      </c>
      <c r="D80" t="n">
        <v>50.7</v>
      </c>
      <c r="E80" t="n">
        <v>51.6</v>
      </c>
      <c r="F80" t="n">
        <v>48.9</v>
      </c>
      <c r="G80" t="n">
        <v>55.9</v>
      </c>
      <c r="H80" t="n">
        <v>53.8</v>
      </c>
      <c r="I80" t="n">
        <v>48.3</v>
      </c>
      <c r="J80" t="n">
        <v>61.5</v>
      </c>
      <c r="K80" t="n">
        <v>49.4</v>
      </c>
      <c r="L80" t="n">
        <v>51.2</v>
      </c>
      <c r="M80" t="n">
        <v/>
      </c>
      <c r="N80" t="n">
        <v/>
      </c>
      <c r="O80" t="n">
        <v/>
      </c>
      <c r="P80" t="n">
        <v>50.2</v>
      </c>
      <c r="Q80" t="n">
        <v>54.9</v>
      </c>
      <c r="R80" t="n">
        <v/>
      </c>
      <c r="S80" t="n">
        <v/>
      </c>
      <c r="T80" t="n">
        <v/>
      </c>
      <c r="U80" t="n">
        <v>58.3</v>
      </c>
      <c r="V80" t="n">
        <v>56.7</v>
      </c>
    </row>
    <row r="81">
      <c r="A81" s="73" t="n">
        <v>41671</v>
      </c>
      <c r="B81" t="n">
        <v>55.2</v>
      </c>
      <c r="C81" t="n">
        <v>50.8</v>
      </c>
      <c r="D81" t="n">
        <v>51</v>
      </c>
      <c r="E81" t="n">
        <v>52.6</v>
      </c>
      <c r="F81" t="n">
        <v>47.2</v>
      </c>
      <c r="G81" t="n">
        <v>53</v>
      </c>
      <c r="H81" t="n">
        <v>52.7</v>
      </c>
      <c r="I81" t="n">
        <v>48.8</v>
      </c>
      <c r="J81" t="n">
        <v>57.5</v>
      </c>
      <c r="K81" t="n">
        <v>52.9</v>
      </c>
      <c r="L81" t="n">
        <v>49.3</v>
      </c>
      <c r="M81" t="n">
        <v/>
      </c>
      <c r="N81" t="n">
        <v/>
      </c>
      <c r="O81" t="n">
        <v/>
      </c>
      <c r="P81" t="n">
        <v>50.8</v>
      </c>
      <c r="Q81" t="n">
        <v>53.7</v>
      </c>
      <c r="R81" t="n">
        <v/>
      </c>
      <c r="S81" t="n">
        <v/>
      </c>
      <c r="T81" t="n">
        <v/>
      </c>
      <c r="U81" t="n">
        <v>58.2</v>
      </c>
      <c r="V81" t="n">
        <v>53.3</v>
      </c>
    </row>
    <row r="82">
      <c r="A82" s="73" t="n">
        <v>41699</v>
      </c>
      <c r="B82" t="n">
        <v>48.9</v>
      </c>
      <c r="C82" t="n">
        <v>51</v>
      </c>
      <c r="D82" t="n">
        <v>51.9</v>
      </c>
      <c r="E82" t="n">
        <v>52.2</v>
      </c>
      <c r="F82" t="n">
        <v>51.5</v>
      </c>
      <c r="G82" t="n">
        <v>54.7</v>
      </c>
      <c r="H82" t="n">
        <v>53.5</v>
      </c>
      <c r="I82" t="n">
        <v>47.5</v>
      </c>
      <c r="J82" t="n">
        <v>60.7</v>
      </c>
      <c r="K82" t="n">
        <v>49.5</v>
      </c>
      <c r="L82" t="n">
        <v>52.2</v>
      </c>
      <c r="M82" t="n">
        <v/>
      </c>
      <c r="N82" t="n">
        <v/>
      </c>
      <c r="O82" t="n">
        <v/>
      </c>
      <c r="P82" t="n">
        <v>47.7</v>
      </c>
      <c r="Q82" t="n">
        <v>54</v>
      </c>
      <c r="R82" t="n">
        <v/>
      </c>
      <c r="S82" t="n">
        <v/>
      </c>
      <c r="T82" t="n">
        <v/>
      </c>
      <c r="U82" t="n">
        <v>57.6</v>
      </c>
      <c r="V82" t="n">
        <v>55.3</v>
      </c>
    </row>
    <row r="83">
      <c r="A83" s="73" t="n">
        <v>41730</v>
      </c>
      <c r="B83" t="n">
        <v>48.6</v>
      </c>
      <c r="C83" t="n">
        <v>48.6</v>
      </c>
      <c r="D83" t="n">
        <v>51.4</v>
      </c>
      <c r="E83" t="n">
        <v>53.1</v>
      </c>
      <c r="F83" t="n">
        <v>50.4</v>
      </c>
      <c r="G83" t="n">
        <v>56.4</v>
      </c>
      <c r="H83" t="n">
        <v>52.7</v>
      </c>
      <c r="I83" t="n">
        <v>48.5</v>
      </c>
      <c r="J83" t="n">
        <v>61.9</v>
      </c>
      <c r="K83" t="n">
        <v>51.1</v>
      </c>
      <c r="L83" t="n">
        <v>46.4</v>
      </c>
      <c r="M83" t="n">
        <v/>
      </c>
      <c r="N83" t="n">
        <v/>
      </c>
      <c r="O83" t="n">
        <v/>
      </c>
      <c r="P83" t="n">
        <v>46.8</v>
      </c>
      <c r="Q83" t="n">
        <v>56.5</v>
      </c>
      <c r="R83" t="n">
        <v/>
      </c>
      <c r="S83" t="n">
        <v/>
      </c>
      <c r="T83" t="n">
        <v/>
      </c>
      <c r="U83" t="n">
        <v>58.7</v>
      </c>
      <c r="V83" t="n">
        <v>55</v>
      </c>
    </row>
    <row r="84">
      <c r="A84" s="73" t="n">
        <v>41760</v>
      </c>
      <c r="B84" t="n">
        <v>49.9</v>
      </c>
      <c r="C84" t="n">
        <v>50.6</v>
      </c>
      <c r="D84" t="n">
        <v>50.7</v>
      </c>
      <c r="E84" t="n">
        <v>53.2</v>
      </c>
      <c r="F84" t="n">
        <v>49.1</v>
      </c>
      <c r="G84" t="n">
        <v>56</v>
      </c>
      <c r="H84" t="n">
        <v>54.6</v>
      </c>
      <c r="I84" t="n">
        <v>50.7</v>
      </c>
      <c r="J84" t="n">
        <v>61.7</v>
      </c>
      <c r="K84" t="n">
        <v>51.6</v>
      </c>
      <c r="L84" t="n">
        <v>49.3</v>
      </c>
      <c r="M84" t="n">
        <v/>
      </c>
      <c r="N84" t="n">
        <v/>
      </c>
      <c r="O84" t="n">
        <v/>
      </c>
      <c r="P84" t="n">
        <v>46.1</v>
      </c>
      <c r="Q84" t="n">
        <v>55.7</v>
      </c>
      <c r="R84" t="n">
        <v/>
      </c>
      <c r="S84" t="n">
        <v/>
      </c>
      <c r="T84" t="n">
        <v/>
      </c>
      <c r="U84" t="n">
        <v>58.6</v>
      </c>
      <c r="V84" t="n">
        <v>58</v>
      </c>
    </row>
    <row r="85">
      <c r="A85" s="73" t="n">
        <v>41791</v>
      </c>
      <c r="B85" t="n">
        <v>47.6</v>
      </c>
      <c r="C85" t="n">
        <v>51.4</v>
      </c>
      <c r="D85" t="n">
        <v>53.1</v>
      </c>
      <c r="E85" t="n">
        <v>52.8</v>
      </c>
      <c r="F85" t="n">
        <v>48.2</v>
      </c>
      <c r="G85" t="n">
        <v>54.6</v>
      </c>
      <c r="H85" t="n">
        <v>55.8</v>
      </c>
      <c r="I85" t="n">
        <v>54.4</v>
      </c>
      <c r="J85" t="n">
        <v>62.6</v>
      </c>
      <c r="K85" t="n">
        <v>53.6</v>
      </c>
      <c r="L85" t="n">
        <v>49</v>
      </c>
      <c r="M85" t="n">
        <v/>
      </c>
      <c r="N85" t="n">
        <v/>
      </c>
      <c r="O85" t="n">
        <v/>
      </c>
      <c r="P85" t="n">
        <v>49.8</v>
      </c>
      <c r="Q85" t="n">
        <v>54.8</v>
      </c>
      <c r="R85" t="n">
        <v/>
      </c>
      <c r="S85" t="n">
        <v/>
      </c>
      <c r="T85" t="n">
        <v/>
      </c>
      <c r="U85" t="n">
        <v>57.7</v>
      </c>
      <c r="V85" t="n">
        <v>61</v>
      </c>
    </row>
    <row r="86">
      <c r="A86" s="73" t="n">
        <v>41821</v>
      </c>
      <c r="B86" t="n">
        <v>49.3</v>
      </c>
      <c r="C86" t="n">
        <v>50.2</v>
      </c>
      <c r="D86" t="n">
        <v>50</v>
      </c>
      <c r="E86" t="n">
        <v>54.2</v>
      </c>
      <c r="F86" t="n">
        <v>50.4</v>
      </c>
      <c r="G86" t="n">
        <v>56.7</v>
      </c>
      <c r="H86" t="n">
        <v>56</v>
      </c>
      <c r="I86" t="n">
        <v>52.2</v>
      </c>
      <c r="J86" t="n">
        <v>61.3</v>
      </c>
      <c r="K86" t="n">
        <v>52.8</v>
      </c>
      <c r="L86" t="n">
        <v>50.4</v>
      </c>
      <c r="M86" t="n">
        <v/>
      </c>
      <c r="N86" t="n">
        <v/>
      </c>
      <c r="O86" t="n">
        <v/>
      </c>
      <c r="P86" t="n">
        <v>49.7</v>
      </c>
      <c r="Q86" t="n">
        <v>56.2</v>
      </c>
      <c r="R86" t="n">
        <v/>
      </c>
      <c r="S86" t="n">
        <v/>
      </c>
      <c r="T86" t="n">
        <v/>
      </c>
      <c r="U86" t="n">
        <v>59.1</v>
      </c>
      <c r="V86" t="n">
        <v>60.8</v>
      </c>
    </row>
    <row r="87">
      <c r="A87" s="73" t="n">
        <v>41852</v>
      </c>
      <c r="B87" t="n">
        <v>49.4</v>
      </c>
      <c r="C87" t="n">
        <v>49.2</v>
      </c>
      <c r="D87" t="n">
        <v>54.1</v>
      </c>
      <c r="E87" t="n">
        <v>53.1</v>
      </c>
      <c r="F87" t="n">
        <v>50.3</v>
      </c>
      <c r="G87" t="n">
        <v>54.9</v>
      </c>
      <c r="H87" t="n">
        <v>55.5</v>
      </c>
      <c r="I87" t="n">
        <v>50.6</v>
      </c>
      <c r="J87" t="n">
        <v>62.4</v>
      </c>
      <c r="K87" t="n">
        <v>49.8</v>
      </c>
      <c r="L87" t="n">
        <v>49.9</v>
      </c>
      <c r="M87" t="n">
        <v/>
      </c>
      <c r="N87" t="n">
        <v/>
      </c>
      <c r="O87" t="n">
        <v/>
      </c>
      <c r="P87" t="n">
        <v>50.3</v>
      </c>
      <c r="Q87" t="n">
        <v>58.1</v>
      </c>
      <c r="R87" t="n">
        <v/>
      </c>
      <c r="S87" t="n">
        <v/>
      </c>
      <c r="T87" t="n">
        <v/>
      </c>
      <c r="U87" t="n">
        <v>60.5</v>
      </c>
      <c r="V87" t="n">
        <v>59.5</v>
      </c>
    </row>
    <row r="88">
      <c r="A88" s="73" t="n">
        <v>41883</v>
      </c>
      <c r="B88" t="n">
        <v>45.5</v>
      </c>
      <c r="C88" t="n">
        <v>51.2</v>
      </c>
      <c r="D88" t="n">
        <v>53.5</v>
      </c>
      <c r="E88" t="n">
        <v>52.4</v>
      </c>
      <c r="F88" t="n">
        <v>48.4</v>
      </c>
      <c r="G88" t="n">
        <v>55.7</v>
      </c>
      <c r="H88" t="n">
        <v>55.3</v>
      </c>
      <c r="I88" t="n">
        <v>51.6</v>
      </c>
      <c r="J88" t="n">
        <v>62.5</v>
      </c>
      <c r="K88" t="n">
        <v>48.8</v>
      </c>
      <c r="L88" t="n">
        <v>52.5</v>
      </c>
      <c r="M88" t="n">
        <v/>
      </c>
      <c r="N88" t="n">
        <v/>
      </c>
      <c r="O88" t="n">
        <v/>
      </c>
      <c r="P88" t="n">
        <v>50.5</v>
      </c>
      <c r="Q88" t="n">
        <v>55.8</v>
      </c>
      <c r="R88" t="n">
        <v/>
      </c>
      <c r="S88" t="n">
        <v/>
      </c>
      <c r="T88" t="n">
        <v/>
      </c>
      <c r="U88" t="n">
        <v>58.7</v>
      </c>
      <c r="V88" t="n">
        <v>58.9</v>
      </c>
    </row>
    <row r="89">
      <c r="A89" s="73" t="n">
        <v>41913</v>
      </c>
      <c r="B89" t="n">
        <v>43.6</v>
      </c>
      <c r="C89" t="n">
        <v>48.2</v>
      </c>
      <c r="D89" t="n">
        <v>52.9</v>
      </c>
      <c r="E89" t="n">
        <v>52.3</v>
      </c>
      <c r="F89" t="n">
        <v>48.3</v>
      </c>
      <c r="G89" t="n">
        <v>54.4</v>
      </c>
      <c r="H89" t="n">
        <v>53.7</v>
      </c>
      <c r="I89" t="n">
        <v>50</v>
      </c>
      <c r="J89" t="n">
        <v>61.5</v>
      </c>
      <c r="K89" t="n">
        <v>50.8</v>
      </c>
      <c r="L89" t="n">
        <v>48.7</v>
      </c>
      <c r="M89" t="n">
        <v/>
      </c>
      <c r="N89" t="n">
        <v/>
      </c>
      <c r="O89" t="n">
        <v/>
      </c>
      <c r="P89" t="n">
        <v>47.4</v>
      </c>
      <c r="Q89" t="n">
        <v>55.9</v>
      </c>
      <c r="R89" t="n">
        <v/>
      </c>
      <c r="S89" t="n">
        <v/>
      </c>
      <c r="T89" t="n">
        <v/>
      </c>
      <c r="U89" t="n">
        <v>56.2</v>
      </c>
      <c r="V89" t="n">
        <v>57.1</v>
      </c>
    </row>
    <row r="90">
      <c r="A90" s="73" t="n">
        <v>41944</v>
      </c>
      <c r="B90" t="n">
        <v>43.8</v>
      </c>
      <c r="C90" t="n">
        <v>48.5</v>
      </c>
      <c r="D90" t="n">
        <v>53</v>
      </c>
      <c r="E90" t="n">
        <v>51.1</v>
      </c>
      <c r="F90" t="n">
        <v>47.9</v>
      </c>
      <c r="G90" t="n">
        <v>52.1</v>
      </c>
      <c r="H90" t="n">
        <v>53.5</v>
      </c>
      <c r="I90" t="n">
        <v>52.6</v>
      </c>
      <c r="J90" t="n">
        <v>61.6</v>
      </c>
      <c r="K90" t="n">
        <v>51.8</v>
      </c>
      <c r="L90" t="n">
        <v>50.6</v>
      </c>
      <c r="M90" t="n">
        <v/>
      </c>
      <c r="N90" t="n">
        <v/>
      </c>
      <c r="O90" t="n">
        <v/>
      </c>
      <c r="P90" t="n">
        <v>44.5</v>
      </c>
      <c r="Q90" t="n">
        <v>52.7</v>
      </c>
      <c r="R90" t="n">
        <v/>
      </c>
      <c r="S90" t="n">
        <v/>
      </c>
      <c r="T90" t="n">
        <v/>
      </c>
      <c r="U90" t="n">
        <v>58.6</v>
      </c>
      <c r="V90" t="n">
        <v>56.2</v>
      </c>
    </row>
    <row r="91">
      <c r="A91" s="73" t="n">
        <v>41974</v>
      </c>
      <c r="B91" t="n">
        <v>47.5</v>
      </c>
      <c r="C91" t="n">
        <v>49.1</v>
      </c>
      <c r="D91" t="n">
        <v>53.4</v>
      </c>
      <c r="E91" t="n">
        <v>51.6</v>
      </c>
      <c r="F91" t="n">
        <v>50.6</v>
      </c>
      <c r="G91" t="n">
        <v>52.1</v>
      </c>
      <c r="H91" t="n">
        <v>52.3</v>
      </c>
      <c r="I91" t="n">
        <v>51.1</v>
      </c>
      <c r="J91" t="n">
        <v>62.6</v>
      </c>
      <c r="K91" t="n">
        <v>49.4</v>
      </c>
      <c r="L91" t="n">
        <v>51.7</v>
      </c>
      <c r="M91" t="n">
        <v/>
      </c>
      <c r="N91" t="n">
        <v/>
      </c>
      <c r="O91" t="n">
        <v/>
      </c>
      <c r="P91" t="n">
        <v>45.8</v>
      </c>
      <c r="Q91" t="n">
        <v>54.3</v>
      </c>
      <c r="R91" t="n">
        <v/>
      </c>
      <c r="S91" t="n">
        <v/>
      </c>
      <c r="T91" t="n">
        <v/>
      </c>
      <c r="U91" t="n">
        <v>55.8</v>
      </c>
      <c r="V91" t="n">
        <v>53.3</v>
      </c>
    </row>
    <row r="92">
      <c r="A92" s="73" t="n">
        <v>42005</v>
      </c>
      <c r="B92" t="n">
        <v>49.5</v>
      </c>
      <c r="C92" t="n">
        <v>48.4</v>
      </c>
      <c r="D92" t="n">
        <v>51.8</v>
      </c>
      <c r="E92" t="n">
        <v>52.7</v>
      </c>
      <c r="F92" t="n">
        <v>49.4</v>
      </c>
      <c r="G92" t="n">
        <v>54</v>
      </c>
      <c r="H92" t="n">
        <v>52.9</v>
      </c>
      <c r="I92" t="n">
        <v>52.4</v>
      </c>
      <c r="J92" t="n">
        <v>62.5</v>
      </c>
      <c r="K92" t="n">
        <v>51.2</v>
      </c>
      <c r="L92" t="n">
        <v>51.3</v>
      </c>
      <c r="M92" t="n">
        <v/>
      </c>
      <c r="N92" t="n">
        <v/>
      </c>
      <c r="O92" t="n">
        <v/>
      </c>
      <c r="P92" t="n">
        <v>43.9</v>
      </c>
      <c r="Q92" t="n">
        <v>56.7</v>
      </c>
      <c r="R92" t="n">
        <v/>
      </c>
      <c r="S92" t="n">
        <v/>
      </c>
      <c r="T92" t="n">
        <v/>
      </c>
      <c r="U92" t="n">
        <v>57.2</v>
      </c>
      <c r="V92" t="n">
        <v>54.2</v>
      </c>
    </row>
    <row r="93">
      <c r="A93" s="73" t="n">
        <v>42036</v>
      </c>
      <c r="B93" t="n">
        <v>51.7</v>
      </c>
      <c r="C93" t="n">
        <v>52.3</v>
      </c>
      <c r="D93" t="n">
        <v>52</v>
      </c>
      <c r="E93" t="n">
        <v>53.7</v>
      </c>
      <c r="F93" t="n">
        <v>53.4</v>
      </c>
      <c r="G93" t="n">
        <v>54.7</v>
      </c>
      <c r="H93" t="n">
        <v>54.1</v>
      </c>
      <c r="I93" t="n">
        <v>53.9</v>
      </c>
      <c r="J93" t="n">
        <v>61.4</v>
      </c>
      <c r="K93" t="n">
        <v>50</v>
      </c>
      <c r="L93" t="n">
        <v>48.5</v>
      </c>
      <c r="M93" t="n">
        <v/>
      </c>
      <c r="N93" t="n">
        <v/>
      </c>
      <c r="O93" t="n">
        <v/>
      </c>
      <c r="P93" t="n">
        <v>41.3</v>
      </c>
      <c r="Q93" t="n">
        <v>56.2</v>
      </c>
      <c r="R93" t="n">
        <v/>
      </c>
      <c r="S93" t="n">
        <v/>
      </c>
      <c r="T93" t="n">
        <v/>
      </c>
      <c r="U93" t="n">
        <v>56.7</v>
      </c>
      <c r="V93" t="n">
        <v>57.1</v>
      </c>
    </row>
    <row r="94">
      <c r="A94" s="73" t="n">
        <v>42064</v>
      </c>
      <c r="B94" t="n">
        <v>50.2</v>
      </c>
      <c r="C94" t="n">
        <v>47.9</v>
      </c>
      <c r="D94" t="n">
        <v>52.3</v>
      </c>
      <c r="E94" t="n">
        <v>54.2</v>
      </c>
      <c r="F94" t="n">
        <v>52.4</v>
      </c>
      <c r="G94" t="n">
        <v>55.4</v>
      </c>
      <c r="H94" t="n">
        <v>55.1</v>
      </c>
      <c r="I94" t="n">
        <v>53</v>
      </c>
      <c r="J94" t="n">
        <v>60.9</v>
      </c>
      <c r="K94" t="n">
        <v>51.6</v>
      </c>
      <c r="L94" t="n">
        <v>48.4</v>
      </c>
      <c r="M94" t="n">
        <v/>
      </c>
      <c r="N94" t="n">
        <v/>
      </c>
      <c r="O94" t="n">
        <v/>
      </c>
      <c r="P94" t="n">
        <v>46.1</v>
      </c>
      <c r="Q94" t="n">
        <v>57.3</v>
      </c>
      <c r="R94" t="n">
        <v/>
      </c>
      <c r="S94" t="n">
        <v/>
      </c>
      <c r="T94" t="n">
        <v/>
      </c>
      <c r="U94" t="n">
        <v>58.9</v>
      </c>
      <c r="V94" t="n">
        <v>59.2</v>
      </c>
    </row>
    <row r="95">
      <c r="A95" s="73" t="n">
        <v>42095</v>
      </c>
      <c r="B95" t="n">
        <v>49.7</v>
      </c>
      <c r="C95" t="n">
        <v>44.6</v>
      </c>
      <c r="D95" t="n">
        <v>52.9</v>
      </c>
      <c r="E95" t="n">
        <v>54.1</v>
      </c>
      <c r="F95" t="n">
        <v>51.4</v>
      </c>
      <c r="G95" t="n">
        <v>54</v>
      </c>
      <c r="H95" t="n">
        <v>54.8</v>
      </c>
      <c r="I95" t="n">
        <v>52.4</v>
      </c>
      <c r="J95" t="n">
        <v>60.6</v>
      </c>
      <c r="K95" t="n">
        <v>53.1</v>
      </c>
      <c r="L95" t="n">
        <v>51.3</v>
      </c>
      <c r="M95" t="n">
        <v/>
      </c>
      <c r="N95" t="n">
        <v/>
      </c>
      <c r="O95" t="n">
        <v/>
      </c>
      <c r="P95" t="n">
        <v>50.7</v>
      </c>
      <c r="Q95" t="n">
        <v>60.3</v>
      </c>
      <c r="R95" t="n">
        <v/>
      </c>
      <c r="S95" t="n">
        <v/>
      </c>
      <c r="T95" t="n">
        <v/>
      </c>
      <c r="U95" t="n">
        <v>59.5</v>
      </c>
      <c r="V95" t="n">
        <v>57.4</v>
      </c>
    </row>
    <row r="96">
      <c r="A96" s="73" t="n">
        <v>42125</v>
      </c>
      <c r="B96" t="n">
        <v>49.6</v>
      </c>
      <c r="C96" t="n">
        <v>42.5</v>
      </c>
      <c r="D96" t="n">
        <v>53.5</v>
      </c>
      <c r="E96" t="n">
        <v>53.8</v>
      </c>
      <c r="F96" t="n">
        <v>52.8</v>
      </c>
      <c r="G96" t="n">
        <v>53</v>
      </c>
      <c r="H96" t="n">
        <v>54.1</v>
      </c>
      <c r="I96" t="n">
        <v>49.6</v>
      </c>
      <c r="J96" t="n">
        <v>61.4</v>
      </c>
      <c r="K96" t="n">
        <v>52.5</v>
      </c>
      <c r="L96" t="n">
        <v>51.5</v>
      </c>
      <c r="M96" t="n">
        <v/>
      </c>
      <c r="N96" t="n">
        <v/>
      </c>
      <c r="O96" t="n">
        <v/>
      </c>
      <c r="P96" t="n">
        <v>52.8</v>
      </c>
      <c r="Q96" t="n">
        <v>58.4</v>
      </c>
      <c r="R96" t="n">
        <v/>
      </c>
      <c r="S96" t="n">
        <v/>
      </c>
      <c r="T96" t="n">
        <v/>
      </c>
      <c r="U96" t="n">
        <v>56.5</v>
      </c>
      <c r="V96" t="n">
        <v>56.2</v>
      </c>
    </row>
    <row r="97">
      <c r="A97" s="73" t="n">
        <v>42156</v>
      </c>
      <c r="B97" t="n">
        <v>51.2</v>
      </c>
      <c r="C97" t="n">
        <v>39.9</v>
      </c>
      <c r="D97" t="n">
        <v>51.8</v>
      </c>
      <c r="E97" t="n">
        <v>54.4</v>
      </c>
      <c r="F97" t="n">
        <v>54.1</v>
      </c>
      <c r="G97" t="n">
        <v>53.8</v>
      </c>
      <c r="H97" t="n">
        <v>53.5</v>
      </c>
      <c r="I97" t="n">
        <v>47.7</v>
      </c>
      <c r="J97" t="n">
        <v>63.3</v>
      </c>
      <c r="K97" t="n">
        <v>53.4</v>
      </c>
      <c r="L97" t="n">
        <v>51.8</v>
      </c>
      <c r="M97" t="n">
        <v/>
      </c>
      <c r="N97" t="n">
        <v/>
      </c>
      <c r="O97" t="n">
        <v/>
      </c>
      <c r="P97" t="n">
        <v>49.5</v>
      </c>
      <c r="Q97" t="n">
        <v>56.1</v>
      </c>
      <c r="R97" t="n">
        <v/>
      </c>
      <c r="S97" t="n">
        <v/>
      </c>
      <c r="T97" t="n">
        <v/>
      </c>
      <c r="U97" t="n">
        <v>58.5</v>
      </c>
      <c r="V97" t="n">
        <v>54.8</v>
      </c>
    </row>
    <row r="98">
      <c r="A98" s="73" t="n">
        <v>42186</v>
      </c>
      <c r="B98" t="n">
        <v>54.1</v>
      </c>
      <c r="C98" t="n">
        <v>39.1</v>
      </c>
      <c r="D98" t="n">
        <v>53.8</v>
      </c>
      <c r="E98" t="n">
        <v>54</v>
      </c>
      <c r="F98" t="n">
        <v>52</v>
      </c>
      <c r="G98" t="n">
        <v>53.8</v>
      </c>
      <c r="H98" t="n">
        <v>53.9</v>
      </c>
      <c r="I98" t="n">
        <v>50.8</v>
      </c>
      <c r="J98" t="n">
        <v>63.4</v>
      </c>
      <c r="K98" t="n">
        <v>52</v>
      </c>
      <c r="L98" t="n">
        <v>51.2</v>
      </c>
      <c r="M98" t="n">
        <v/>
      </c>
      <c r="N98" t="n">
        <v/>
      </c>
      <c r="O98" t="n">
        <v/>
      </c>
      <c r="P98" t="n">
        <v>51.6</v>
      </c>
      <c r="Q98" t="n">
        <v>59.7</v>
      </c>
      <c r="R98" t="n">
        <v/>
      </c>
      <c r="S98" t="n">
        <v/>
      </c>
      <c r="T98" t="n">
        <v/>
      </c>
      <c r="U98" t="n">
        <v>57.4</v>
      </c>
      <c r="V98" t="n">
        <v>55.7</v>
      </c>
    </row>
    <row r="99">
      <c r="A99" s="73" t="n">
        <v>42217</v>
      </c>
      <c r="B99" t="n">
        <v>55.6</v>
      </c>
      <c r="C99" t="n">
        <v>44.8</v>
      </c>
      <c r="D99" t="n">
        <v>51.5</v>
      </c>
      <c r="E99" t="n">
        <v>54.4</v>
      </c>
      <c r="F99" t="n">
        <v>50.6</v>
      </c>
      <c r="G99" t="n">
        <v>54.9</v>
      </c>
      <c r="H99" t="n">
        <v>54.4</v>
      </c>
      <c r="I99" t="n">
        <v>51.8</v>
      </c>
      <c r="J99" t="n">
        <v>62.1</v>
      </c>
      <c r="K99" t="n">
        <v>54.6</v>
      </c>
      <c r="L99" t="n">
        <v>53.7</v>
      </c>
      <c r="M99" t="n">
        <v/>
      </c>
      <c r="N99" t="n">
        <v/>
      </c>
      <c r="O99" t="n">
        <v/>
      </c>
      <c r="P99" t="n">
        <v>49.1</v>
      </c>
      <c r="Q99" t="n">
        <v>59.6</v>
      </c>
      <c r="R99" t="n">
        <v/>
      </c>
      <c r="S99" t="n">
        <v/>
      </c>
      <c r="T99" t="n">
        <v/>
      </c>
      <c r="U99" t="n">
        <v>55.6</v>
      </c>
      <c r="V99" t="n">
        <v>56.1</v>
      </c>
    </row>
    <row r="100">
      <c r="A100" s="73" t="n">
        <v>42248</v>
      </c>
      <c r="B100" t="n">
        <v>52.3</v>
      </c>
      <c r="C100" t="n">
        <v>41.7</v>
      </c>
      <c r="D100" t="n">
        <v>50.5</v>
      </c>
      <c r="E100" t="n">
        <v>53.7</v>
      </c>
      <c r="F100" t="n">
        <v>51.9</v>
      </c>
      <c r="G100" t="n">
        <v>54.1</v>
      </c>
      <c r="H100" t="n">
        <v>53.3</v>
      </c>
      <c r="I100" t="n">
        <v>51.3</v>
      </c>
      <c r="J100" t="n">
        <v>62.4</v>
      </c>
      <c r="K100" t="n">
        <v>53.3</v>
      </c>
      <c r="L100" t="n">
        <v>51.4</v>
      </c>
      <c r="M100" t="n">
        <v/>
      </c>
      <c r="N100" t="n">
        <v/>
      </c>
      <c r="O100" t="n">
        <v/>
      </c>
      <c r="P100" t="n">
        <v>51.3</v>
      </c>
      <c r="Q100" t="n">
        <v>55.1</v>
      </c>
      <c r="R100" t="n">
        <v/>
      </c>
      <c r="S100" t="n">
        <v/>
      </c>
      <c r="T100" t="n">
        <v/>
      </c>
      <c r="U100" t="n">
        <v>53.3</v>
      </c>
      <c r="V100" t="n">
        <v>55.1</v>
      </c>
    </row>
    <row r="101">
      <c r="A101" s="73" t="n">
        <v>42278</v>
      </c>
      <c r="B101" t="n">
        <v>48.9</v>
      </c>
      <c r="C101" t="n">
        <v>43</v>
      </c>
      <c r="D101" t="n">
        <v>52</v>
      </c>
      <c r="E101" t="n">
        <v>54.1</v>
      </c>
      <c r="F101" t="n">
        <v>52.7</v>
      </c>
      <c r="G101" t="n">
        <v>54.5</v>
      </c>
      <c r="H101" t="n">
        <v>53.7</v>
      </c>
      <c r="I101" t="n">
        <v>53.2</v>
      </c>
      <c r="J101" t="n">
        <v>60.1</v>
      </c>
      <c r="K101" t="n">
        <v>53.4</v>
      </c>
      <c r="L101" t="n">
        <v>52.2</v>
      </c>
      <c r="M101" t="n">
        <v/>
      </c>
      <c r="N101" t="n">
        <v/>
      </c>
      <c r="O101" t="n">
        <v/>
      </c>
      <c r="P101" t="n">
        <v>47.8</v>
      </c>
      <c r="Q101" t="n">
        <v>55.9</v>
      </c>
      <c r="R101" t="n">
        <v/>
      </c>
      <c r="S101" t="n">
        <v/>
      </c>
      <c r="T101" t="n">
        <v/>
      </c>
      <c r="U101" t="n">
        <v>54.9</v>
      </c>
      <c r="V101" t="n">
        <v>54.8</v>
      </c>
    </row>
    <row r="102">
      <c r="A102" s="73" t="n">
        <v>42309</v>
      </c>
      <c r="B102" t="n">
        <v>48.2</v>
      </c>
      <c r="C102" t="n">
        <v>45.5</v>
      </c>
      <c r="D102" t="n">
        <v>51.2</v>
      </c>
      <c r="E102" t="n">
        <v>54.2</v>
      </c>
      <c r="F102" t="n">
        <v>51</v>
      </c>
      <c r="G102" t="n">
        <v>55.6</v>
      </c>
      <c r="H102" t="n">
        <v>54.1</v>
      </c>
      <c r="I102" t="n">
        <v>50.1</v>
      </c>
      <c r="J102" t="n">
        <v>63.6</v>
      </c>
      <c r="K102" t="n">
        <v>53.4</v>
      </c>
      <c r="L102" t="n">
        <v>51.6</v>
      </c>
      <c r="M102" t="n">
        <v/>
      </c>
      <c r="N102" t="n">
        <v/>
      </c>
      <c r="O102" t="n">
        <v/>
      </c>
      <c r="P102" t="n">
        <v>49.8</v>
      </c>
      <c r="Q102" t="n">
        <v>56.7</v>
      </c>
      <c r="R102" t="n">
        <v/>
      </c>
      <c r="S102" t="n">
        <v/>
      </c>
      <c r="T102" t="n">
        <v/>
      </c>
      <c r="U102" t="n">
        <v>55.9</v>
      </c>
      <c r="V102" t="n">
        <v>56.1</v>
      </c>
    </row>
    <row r="103">
      <c r="A103" s="73" t="n">
        <v>42339</v>
      </c>
      <c r="B103" t="n">
        <v>46.3</v>
      </c>
      <c r="C103" t="n">
        <v>43.5</v>
      </c>
      <c r="D103" t="n">
        <v>50.2</v>
      </c>
      <c r="E103" t="n">
        <v>54.2</v>
      </c>
      <c r="F103" t="n">
        <v>49.8</v>
      </c>
      <c r="G103" t="n">
        <v>56</v>
      </c>
      <c r="H103" t="n">
        <v>53.1</v>
      </c>
      <c r="I103" t="n">
        <v>53.6</v>
      </c>
      <c r="J103" t="n">
        <v>61.8</v>
      </c>
      <c r="K103" t="n">
        <v>55.3</v>
      </c>
      <c r="L103" t="n">
        <v>51.5</v>
      </c>
      <c r="M103" t="n">
        <v/>
      </c>
      <c r="N103" t="n">
        <v/>
      </c>
      <c r="O103" t="n">
        <v/>
      </c>
      <c r="P103" t="n">
        <v>47.8</v>
      </c>
      <c r="Q103" t="n">
        <v>55.1</v>
      </c>
      <c r="R103" t="n">
        <v/>
      </c>
      <c r="S103" t="n">
        <v/>
      </c>
      <c r="T103" t="n">
        <v/>
      </c>
      <c r="U103" t="n">
        <v>55.5</v>
      </c>
      <c r="V103" t="n">
        <v>54.3</v>
      </c>
    </row>
    <row r="104">
      <c r="A104" s="73" t="n">
        <v>42370</v>
      </c>
      <c r="B104" t="n">
        <v>48.4</v>
      </c>
      <c r="C104" t="n">
        <v>44.4</v>
      </c>
      <c r="D104" t="n">
        <v>52.4</v>
      </c>
      <c r="E104" t="n">
        <v>53.6</v>
      </c>
      <c r="F104" t="n">
        <v>50.3</v>
      </c>
      <c r="G104" t="n">
        <v>55</v>
      </c>
      <c r="H104" t="n">
        <v>52.8</v>
      </c>
      <c r="I104" t="n">
        <v>54.3</v>
      </c>
      <c r="J104" t="n">
        <v>64</v>
      </c>
      <c r="K104" t="n">
        <v>53.6</v>
      </c>
      <c r="L104" t="n">
        <v>52.4</v>
      </c>
      <c r="M104" t="n">
        <v/>
      </c>
      <c r="N104" t="n">
        <v/>
      </c>
      <c r="O104" t="n">
        <v/>
      </c>
      <c r="P104" t="n">
        <v>47.1</v>
      </c>
      <c r="Q104" t="n">
        <v>54.6</v>
      </c>
      <c r="R104" t="n">
        <v/>
      </c>
      <c r="S104" t="n">
        <v/>
      </c>
      <c r="T104" t="n">
        <v/>
      </c>
      <c r="U104" t="n">
        <v>55.6</v>
      </c>
      <c r="V104" t="n">
        <v>53.2</v>
      </c>
    </row>
    <row r="105">
      <c r="A105" s="73" t="n">
        <v>42401</v>
      </c>
      <c r="B105" t="n">
        <v>51.8</v>
      </c>
      <c r="C105" t="n">
        <v>36.9</v>
      </c>
      <c r="D105" t="n">
        <v>51.2</v>
      </c>
      <c r="E105" t="n">
        <v>53.3</v>
      </c>
      <c r="F105" t="n">
        <v>49.2</v>
      </c>
      <c r="G105" t="n">
        <v>55.3</v>
      </c>
      <c r="H105" t="n">
        <v>50.7</v>
      </c>
      <c r="I105" t="n">
        <v>51.4</v>
      </c>
      <c r="J105" t="n">
        <v>62.1</v>
      </c>
      <c r="K105" t="n">
        <v>53.8</v>
      </c>
      <c r="L105" t="n">
        <v>51.2</v>
      </c>
      <c r="M105" t="n">
        <v/>
      </c>
      <c r="N105" t="n">
        <v/>
      </c>
      <c r="O105" t="n">
        <v/>
      </c>
      <c r="P105" t="n">
        <v>50.9</v>
      </c>
      <c r="Q105" t="n">
        <v>54.1</v>
      </c>
      <c r="R105" t="n">
        <v/>
      </c>
      <c r="S105" t="n">
        <v/>
      </c>
      <c r="T105" t="n">
        <v/>
      </c>
      <c r="U105" t="n">
        <v>52.7</v>
      </c>
      <c r="V105" t="n">
        <v>49.7</v>
      </c>
    </row>
    <row r="106">
      <c r="A106" s="73" t="n">
        <v>42430</v>
      </c>
      <c r="B106" t="n">
        <v>49.5</v>
      </c>
      <c r="C106" t="n">
        <v>38.6</v>
      </c>
      <c r="D106" t="n">
        <v>52.2</v>
      </c>
      <c r="E106" t="n">
        <v>53.1</v>
      </c>
      <c r="F106" t="n">
        <v>49.9</v>
      </c>
      <c r="G106" t="n">
        <v>55.1</v>
      </c>
      <c r="H106" t="n">
        <v>51.4</v>
      </c>
      <c r="I106" t="n">
        <v>54.3</v>
      </c>
      <c r="J106" t="n">
        <v>62.8</v>
      </c>
      <c r="K106" t="n">
        <v>51.2</v>
      </c>
      <c r="L106" t="n">
        <v>50</v>
      </c>
      <c r="M106" t="n">
        <v/>
      </c>
      <c r="N106" t="n">
        <v/>
      </c>
      <c r="O106" t="n">
        <v/>
      </c>
      <c r="P106" t="n">
        <v>52</v>
      </c>
      <c r="Q106" t="n">
        <v>55.3</v>
      </c>
      <c r="R106" t="n">
        <v/>
      </c>
      <c r="S106" t="n">
        <v/>
      </c>
      <c r="T106" t="n">
        <v/>
      </c>
      <c r="U106" t="n">
        <v>53.7</v>
      </c>
      <c r="V106" t="n">
        <v>51.3</v>
      </c>
    </row>
    <row r="107">
      <c r="A107" s="73" t="n">
        <v>42461</v>
      </c>
      <c r="B107" t="n">
        <v>49.7</v>
      </c>
      <c r="C107" t="n">
        <v>37.4</v>
      </c>
      <c r="D107" t="n">
        <v>51.8</v>
      </c>
      <c r="E107" t="n">
        <v>53.1</v>
      </c>
      <c r="F107" t="n">
        <v>50.6</v>
      </c>
      <c r="G107" t="n">
        <v>54.5</v>
      </c>
      <c r="H107" t="n">
        <v>51.9</v>
      </c>
      <c r="I107" t="n">
        <v>53.7</v>
      </c>
      <c r="J107" t="n">
        <v>59.8</v>
      </c>
      <c r="K107" t="n">
        <v>52.1</v>
      </c>
      <c r="L107" t="n">
        <v>49.3</v>
      </c>
      <c r="M107" t="n">
        <v/>
      </c>
      <c r="N107" t="n">
        <v/>
      </c>
      <c r="O107" t="n">
        <v/>
      </c>
      <c r="P107" t="n">
        <v>54.2</v>
      </c>
      <c r="Q107" t="n">
        <v>55.1</v>
      </c>
      <c r="R107" t="n">
        <v/>
      </c>
      <c r="S107" t="n">
        <v/>
      </c>
      <c r="T107" t="n">
        <v/>
      </c>
      <c r="U107" t="n">
        <v>52.3</v>
      </c>
      <c r="V107" t="n">
        <v>52.8</v>
      </c>
    </row>
    <row r="108">
      <c r="A108" s="73" t="n">
        <v>42491</v>
      </c>
      <c r="B108" t="n">
        <v>51.5</v>
      </c>
      <c r="C108" t="n">
        <v>37.3</v>
      </c>
      <c r="D108" t="n">
        <v>51.2</v>
      </c>
      <c r="E108" t="n">
        <v>53.3</v>
      </c>
      <c r="F108" t="n">
        <v>51.6</v>
      </c>
      <c r="G108" t="n">
        <v>55.2</v>
      </c>
      <c r="H108" t="n">
        <v>52.8</v>
      </c>
      <c r="I108" t="n">
        <v>51</v>
      </c>
      <c r="J108" t="n">
        <v>61.7</v>
      </c>
      <c r="K108" t="n">
        <v>49.8</v>
      </c>
      <c r="L108" t="n">
        <v>50.4</v>
      </c>
      <c r="M108" t="n">
        <v/>
      </c>
      <c r="N108" t="n">
        <v/>
      </c>
      <c r="O108" t="n">
        <v/>
      </c>
      <c r="P108" t="n">
        <v>51.8</v>
      </c>
      <c r="Q108" t="n">
        <v>55.4</v>
      </c>
      <c r="R108" t="n">
        <v/>
      </c>
      <c r="S108" t="n">
        <v/>
      </c>
      <c r="T108" t="n">
        <v/>
      </c>
      <c r="U108" t="n">
        <v>53.5</v>
      </c>
      <c r="V108" t="n">
        <v>51.3</v>
      </c>
    </row>
    <row r="109">
      <c r="A109" s="73" t="n">
        <v>42522</v>
      </c>
      <c r="B109" t="n">
        <v>51.3</v>
      </c>
      <c r="C109" t="n">
        <v>41.4</v>
      </c>
      <c r="D109" t="n">
        <v>52.7</v>
      </c>
      <c r="E109" t="n">
        <v>52.8</v>
      </c>
      <c r="F109" t="n">
        <v>49.9</v>
      </c>
      <c r="G109" t="n">
        <v>53.7</v>
      </c>
      <c r="H109" t="n">
        <v>51.3</v>
      </c>
      <c r="I109" t="n">
        <v>50.3</v>
      </c>
      <c r="J109" t="n">
        <v>61.2</v>
      </c>
      <c r="K109" t="n">
        <v>51.9</v>
      </c>
      <c r="L109" t="n">
        <v>49.4</v>
      </c>
      <c r="M109" t="n">
        <v/>
      </c>
      <c r="N109" t="n">
        <v/>
      </c>
      <c r="O109" t="n">
        <v/>
      </c>
      <c r="P109" t="n">
        <v>53.8</v>
      </c>
      <c r="Q109" t="n">
        <v>56</v>
      </c>
      <c r="R109" t="n">
        <v/>
      </c>
      <c r="S109" t="n">
        <v/>
      </c>
      <c r="T109" t="n">
        <v/>
      </c>
      <c r="U109" t="n">
        <v>52.3</v>
      </c>
      <c r="V109" t="n">
        <v>51.4</v>
      </c>
    </row>
    <row r="110">
      <c r="A110" s="73" t="n">
        <v>42552</v>
      </c>
      <c r="B110" t="n">
        <v>53.9</v>
      </c>
      <c r="C110" t="n">
        <v>45.6</v>
      </c>
      <c r="D110" t="n">
        <v>51.7</v>
      </c>
      <c r="E110" t="n">
        <v>52.9</v>
      </c>
      <c r="F110" t="n">
        <v>50.5</v>
      </c>
      <c r="G110" t="n">
        <v>54.4</v>
      </c>
      <c r="H110" t="n">
        <v>51.3</v>
      </c>
      <c r="I110" t="n">
        <v>51.9</v>
      </c>
      <c r="J110" t="n">
        <v>59.5</v>
      </c>
      <c r="K110" t="n">
        <v>52</v>
      </c>
      <c r="L110" t="n">
        <v>50.4</v>
      </c>
      <c r="M110" t="n">
        <v/>
      </c>
      <c r="N110" t="n">
        <v/>
      </c>
      <c r="O110" t="n">
        <v/>
      </c>
      <c r="P110" t="n">
        <v>55</v>
      </c>
      <c r="Q110" t="n">
        <v>54.1</v>
      </c>
      <c r="R110" t="n">
        <v/>
      </c>
      <c r="S110" t="n">
        <v/>
      </c>
      <c r="T110" t="n">
        <v/>
      </c>
      <c r="U110" t="n">
        <v>47.4</v>
      </c>
      <c r="V110" t="n">
        <v>51.4</v>
      </c>
    </row>
    <row r="111">
      <c r="A111" s="73" t="n">
        <v>42583</v>
      </c>
      <c r="B111" t="n">
        <v>45</v>
      </c>
      <c r="C111" t="n">
        <v>42.7</v>
      </c>
      <c r="D111" t="n">
        <v>52.1</v>
      </c>
      <c r="E111" t="n">
        <v>52.8</v>
      </c>
      <c r="F111" t="n">
        <v>52.3</v>
      </c>
      <c r="G111" t="n">
        <v>51.7</v>
      </c>
      <c r="H111" t="n">
        <v>51.5</v>
      </c>
      <c r="I111" t="n">
        <v>54.7</v>
      </c>
      <c r="J111" t="n">
        <v>59.7</v>
      </c>
      <c r="K111" t="n">
        <v>52.3</v>
      </c>
      <c r="L111" t="n">
        <v>49.6</v>
      </c>
      <c r="M111" t="n">
        <v/>
      </c>
      <c r="N111" t="n">
        <v/>
      </c>
      <c r="O111" t="n">
        <v/>
      </c>
      <c r="P111" t="n">
        <v>53.5</v>
      </c>
      <c r="Q111" t="n">
        <v>56</v>
      </c>
      <c r="R111" t="n">
        <v/>
      </c>
      <c r="S111" t="n">
        <v/>
      </c>
      <c r="T111" t="n">
        <v/>
      </c>
      <c r="U111" t="n">
        <v>52.9</v>
      </c>
      <c r="V111" t="n">
        <v>51</v>
      </c>
    </row>
    <row r="112">
      <c r="A112" s="73" t="n">
        <v>42614</v>
      </c>
      <c r="B112" t="n">
        <v>48.9</v>
      </c>
      <c r="C112" t="n">
        <v>45.3</v>
      </c>
      <c r="D112" t="n">
        <v>51</v>
      </c>
      <c r="E112" t="n">
        <v>52.2</v>
      </c>
      <c r="F112" t="n">
        <v>53.3</v>
      </c>
      <c r="G112" t="n">
        <v>50.9</v>
      </c>
      <c r="H112" t="n">
        <v>51.6</v>
      </c>
      <c r="I112" t="n">
        <v>52</v>
      </c>
      <c r="J112" t="n">
        <v>56.2</v>
      </c>
      <c r="K112" t="n">
        <v>50.7</v>
      </c>
      <c r="L112" t="n">
        <v>48.2</v>
      </c>
      <c r="M112" t="n">
        <v/>
      </c>
      <c r="N112" t="n">
        <v/>
      </c>
      <c r="O112" t="n">
        <v/>
      </c>
      <c r="P112" t="n">
        <v>53</v>
      </c>
      <c r="Q112" t="n">
        <v>54.7</v>
      </c>
      <c r="R112" t="n">
        <v/>
      </c>
      <c r="S112" t="n">
        <v/>
      </c>
      <c r="T112" t="n">
        <v/>
      </c>
      <c r="U112" t="n">
        <v>52.6</v>
      </c>
      <c r="V112" t="n">
        <v>52.3</v>
      </c>
    </row>
    <row r="113">
      <c r="A113" s="73" t="n">
        <v>42644</v>
      </c>
      <c r="B113" t="n">
        <v>50.5</v>
      </c>
      <c r="C113" t="n">
        <v>43.9</v>
      </c>
      <c r="D113" t="n">
        <v>52.4</v>
      </c>
      <c r="E113" t="n">
        <v>52.8</v>
      </c>
      <c r="F113" t="n">
        <v>51.4</v>
      </c>
      <c r="G113" t="n">
        <v>54.2</v>
      </c>
      <c r="H113" t="n">
        <v>53.2</v>
      </c>
      <c r="I113" t="n">
        <v>54.5</v>
      </c>
      <c r="J113" t="n">
        <v>54.6</v>
      </c>
      <c r="K113" t="n">
        <v>51</v>
      </c>
      <c r="L113" t="n">
        <v>50.5</v>
      </c>
      <c r="M113" t="n">
        <v/>
      </c>
      <c r="N113" t="n">
        <v/>
      </c>
      <c r="O113" t="n">
        <v/>
      </c>
      <c r="P113" t="n">
        <v>52.7</v>
      </c>
      <c r="Q113" t="n">
        <v>54.6</v>
      </c>
      <c r="R113" t="n">
        <v/>
      </c>
      <c r="S113" t="n">
        <v/>
      </c>
      <c r="T113" t="n">
        <v/>
      </c>
      <c r="U113" t="n">
        <v>54.5</v>
      </c>
      <c r="V113" t="n">
        <v>54.8</v>
      </c>
    </row>
    <row r="114">
      <c r="A114" s="73" t="n">
        <v>42675</v>
      </c>
      <c r="B114" t="n">
        <v>51.1</v>
      </c>
      <c r="C114" t="n">
        <v>44.4</v>
      </c>
      <c r="D114" t="n">
        <v>53.1</v>
      </c>
      <c r="E114" t="n">
        <v>53.8</v>
      </c>
      <c r="F114" t="n">
        <v>51.6</v>
      </c>
      <c r="G114" t="n">
        <v>55.1</v>
      </c>
      <c r="H114" t="n">
        <v>53.3</v>
      </c>
      <c r="I114" t="n">
        <v>46.7</v>
      </c>
      <c r="J114" t="n">
        <v>56</v>
      </c>
      <c r="K114" t="n">
        <v>53.3</v>
      </c>
      <c r="L114" t="n">
        <v>51.8</v>
      </c>
      <c r="M114" t="n">
        <v/>
      </c>
      <c r="N114" t="n">
        <v/>
      </c>
      <c r="O114" t="n">
        <v/>
      </c>
      <c r="P114" t="n">
        <v>54.7</v>
      </c>
      <c r="Q114" t="n">
        <v>55.1</v>
      </c>
      <c r="R114" t="n">
        <v/>
      </c>
      <c r="S114" t="n">
        <v/>
      </c>
      <c r="T114" t="n">
        <v/>
      </c>
      <c r="U114" t="n">
        <v>55.2</v>
      </c>
      <c r="V114" t="n">
        <v>54.6</v>
      </c>
    </row>
    <row r="115">
      <c r="A115" s="73" t="n">
        <v>42705</v>
      </c>
      <c r="B115" t="n">
        <v>57.7</v>
      </c>
      <c r="C115" t="n">
        <v>45.1</v>
      </c>
      <c r="D115" t="n">
        <v>53.4</v>
      </c>
      <c r="E115" t="n">
        <v>53.7</v>
      </c>
      <c r="F115" t="n">
        <v>52.9</v>
      </c>
      <c r="G115" t="n">
        <v>54.3</v>
      </c>
      <c r="H115" t="n">
        <v>53.3</v>
      </c>
      <c r="I115" t="n">
        <v>46.8</v>
      </c>
      <c r="J115" t="n">
        <v>59.1</v>
      </c>
      <c r="K115" t="n">
        <v>52.3</v>
      </c>
      <c r="L115" t="n">
        <v>52.3</v>
      </c>
      <c r="M115" t="n">
        <v/>
      </c>
      <c r="N115" t="n">
        <v/>
      </c>
      <c r="O115" t="n">
        <v/>
      </c>
      <c r="P115" t="n">
        <v>56.5</v>
      </c>
      <c r="Q115" t="n">
        <v>55</v>
      </c>
      <c r="R115" t="n">
        <v/>
      </c>
      <c r="S115" t="n">
        <v/>
      </c>
      <c r="T115" t="n">
        <v/>
      </c>
      <c r="U115" t="n">
        <v>56.2</v>
      </c>
      <c r="V115" t="n">
        <v>53.9</v>
      </c>
    </row>
    <row r="116">
      <c r="A116" s="73" t="n">
        <v>42736</v>
      </c>
      <c r="B116" t="n">
        <v>54.5</v>
      </c>
      <c r="C116" t="n">
        <v>45.1</v>
      </c>
      <c r="D116" t="n">
        <v>53.1</v>
      </c>
      <c r="E116" t="n">
        <v>53.7</v>
      </c>
      <c r="F116" t="n">
        <v>54.1</v>
      </c>
      <c r="G116" t="n">
        <v>53.4</v>
      </c>
      <c r="H116" t="n">
        <v>53.9</v>
      </c>
      <c r="I116" t="n">
        <v>48.7</v>
      </c>
      <c r="J116" t="n">
        <v>61</v>
      </c>
      <c r="K116" t="n">
        <v>52.4</v>
      </c>
      <c r="L116" t="n">
        <v>51.9</v>
      </c>
      <c r="M116" t="n">
        <v/>
      </c>
      <c r="N116" t="n">
        <v/>
      </c>
      <c r="O116" t="n">
        <v/>
      </c>
      <c r="P116" t="n">
        <v>58.4</v>
      </c>
      <c r="Q116" t="n">
        <v>54.2</v>
      </c>
      <c r="R116" t="n">
        <v/>
      </c>
      <c r="S116" t="n">
        <v/>
      </c>
      <c r="T116" t="n">
        <v/>
      </c>
      <c r="U116" t="n">
        <v>54.5</v>
      </c>
      <c r="V116" t="n">
        <v>55.6</v>
      </c>
    </row>
    <row r="117">
      <c r="A117" s="73" t="n">
        <v>42767</v>
      </c>
      <c r="B117" t="n">
        <v>49</v>
      </c>
      <c r="C117" t="n">
        <v>46.4</v>
      </c>
      <c r="D117" t="n">
        <v>52.6</v>
      </c>
      <c r="E117" t="n">
        <v>55.5</v>
      </c>
      <c r="F117" t="n">
        <v>56.4</v>
      </c>
      <c r="G117" t="n">
        <v>54.4</v>
      </c>
      <c r="H117" t="n">
        <v>53.3</v>
      </c>
      <c r="I117" t="n">
        <v>50.3</v>
      </c>
      <c r="J117" t="n">
        <v>60.6</v>
      </c>
      <c r="K117" t="n">
        <v>54.1</v>
      </c>
      <c r="L117" t="n">
        <v>51.3</v>
      </c>
      <c r="M117" t="n">
        <v/>
      </c>
      <c r="N117" t="n">
        <v/>
      </c>
      <c r="O117" t="n">
        <v/>
      </c>
      <c r="P117" t="n">
        <v>55.5</v>
      </c>
      <c r="Q117" t="n">
        <v>57</v>
      </c>
      <c r="R117" t="n">
        <v/>
      </c>
      <c r="S117" t="n">
        <v/>
      </c>
      <c r="T117" t="n">
        <v/>
      </c>
      <c r="U117" t="n">
        <v>53.3</v>
      </c>
      <c r="V117" t="n">
        <v>53.8</v>
      </c>
    </row>
    <row r="118">
      <c r="A118" s="73" t="n">
        <v>42795</v>
      </c>
      <c r="B118" t="n">
        <v>51.7</v>
      </c>
      <c r="C118" t="n">
        <v>47.7</v>
      </c>
      <c r="D118" t="n">
        <v>52.2</v>
      </c>
      <c r="E118" t="n">
        <v>56</v>
      </c>
      <c r="F118" t="n">
        <v>57.5</v>
      </c>
      <c r="G118" t="n">
        <v>55.6</v>
      </c>
      <c r="H118" t="n">
        <v>53.6</v>
      </c>
      <c r="I118" t="n">
        <v>51.5</v>
      </c>
      <c r="J118" t="n">
        <v>59.1</v>
      </c>
      <c r="K118" t="n">
        <v>52.9</v>
      </c>
      <c r="L118" t="n">
        <v>52.9</v>
      </c>
      <c r="M118" t="n">
        <v/>
      </c>
      <c r="N118" t="n">
        <v/>
      </c>
      <c r="O118" t="n">
        <v/>
      </c>
      <c r="P118" t="n">
        <v>56.6</v>
      </c>
      <c r="Q118" t="n">
        <v>57.4</v>
      </c>
      <c r="R118" t="n">
        <v/>
      </c>
      <c r="S118" t="n">
        <v/>
      </c>
      <c r="T118" t="n">
        <v/>
      </c>
      <c r="U118" t="n">
        <v>55</v>
      </c>
      <c r="V118" t="n">
        <v>52.8</v>
      </c>
    </row>
    <row r="119">
      <c r="A119" s="73" t="n">
        <v>42826</v>
      </c>
      <c r="B119" t="n">
        <v>53</v>
      </c>
      <c r="C119" t="n">
        <v>50.3</v>
      </c>
      <c r="D119" t="n">
        <v>51.5</v>
      </c>
      <c r="E119" t="n">
        <v>56.4</v>
      </c>
      <c r="F119" t="n">
        <v>56.7</v>
      </c>
      <c r="G119" t="n">
        <v>55.4</v>
      </c>
      <c r="H119" t="n">
        <v>53.6</v>
      </c>
      <c r="I119" t="n">
        <v>50.2</v>
      </c>
      <c r="J119" t="n">
        <v>61.1</v>
      </c>
      <c r="K119" t="n">
        <v>56.2</v>
      </c>
      <c r="L119" t="n">
        <v>52.2</v>
      </c>
      <c r="M119" t="n">
        <v/>
      </c>
      <c r="N119" t="n">
        <v/>
      </c>
      <c r="O119" t="n">
        <v/>
      </c>
      <c r="P119" t="n">
        <v>56.1</v>
      </c>
      <c r="Q119" t="n">
        <v>57.8</v>
      </c>
      <c r="R119" t="n">
        <v/>
      </c>
      <c r="S119" t="n">
        <v/>
      </c>
      <c r="T119" t="n">
        <v/>
      </c>
      <c r="U119" t="n">
        <v>55.8</v>
      </c>
      <c r="V119" t="n">
        <v>53.1</v>
      </c>
    </row>
    <row r="120">
      <c r="A120" s="73" t="n">
        <v>42856</v>
      </c>
      <c r="B120" t="n">
        <v>51.5</v>
      </c>
      <c r="C120" t="n">
        <v>49.2</v>
      </c>
      <c r="D120" t="n">
        <v>52.8</v>
      </c>
      <c r="E120" t="n">
        <v>56.3</v>
      </c>
      <c r="F120" t="n">
        <v>57.2</v>
      </c>
      <c r="G120" t="n">
        <v>55.4</v>
      </c>
      <c r="H120" t="n">
        <v>53.8</v>
      </c>
      <c r="I120" t="n">
        <v>52.2</v>
      </c>
      <c r="J120" t="n">
        <v>59.5</v>
      </c>
      <c r="K120" t="n">
        <v>55.1</v>
      </c>
      <c r="L120" t="n">
        <v>53</v>
      </c>
      <c r="M120" t="n">
        <v/>
      </c>
      <c r="N120" t="n">
        <v/>
      </c>
      <c r="O120" t="n">
        <v/>
      </c>
      <c r="P120" t="n">
        <v>56.3</v>
      </c>
      <c r="Q120" t="n">
        <v>57.3</v>
      </c>
      <c r="R120" t="n">
        <v/>
      </c>
      <c r="S120" t="n">
        <v/>
      </c>
      <c r="T120" t="n">
        <v/>
      </c>
      <c r="U120" t="n">
        <v>53.8</v>
      </c>
      <c r="V120" t="n">
        <v>53.6</v>
      </c>
    </row>
    <row r="121">
      <c r="A121" s="73" t="n">
        <v>42887</v>
      </c>
      <c r="B121" t="n">
        <v>54.8</v>
      </c>
      <c r="C121" t="n">
        <v>47.4</v>
      </c>
      <c r="D121" t="n">
        <v>51.6</v>
      </c>
      <c r="E121" t="n">
        <v>55.4</v>
      </c>
      <c r="F121" t="n">
        <v>56.9</v>
      </c>
      <c r="G121" t="n">
        <v>54</v>
      </c>
      <c r="H121" t="n">
        <v>53.8</v>
      </c>
      <c r="I121" t="n">
        <v>53.1</v>
      </c>
      <c r="J121" t="n">
        <v>57.6</v>
      </c>
      <c r="K121" t="n">
        <v>53.6</v>
      </c>
      <c r="L121" t="n">
        <v>53.3</v>
      </c>
      <c r="M121" t="n">
        <v/>
      </c>
      <c r="N121" t="n">
        <v/>
      </c>
      <c r="O121" t="n">
        <v/>
      </c>
      <c r="P121" t="n">
        <v>55.5</v>
      </c>
      <c r="Q121" t="n">
        <v>58.3</v>
      </c>
      <c r="R121" t="n">
        <v/>
      </c>
      <c r="S121" t="n">
        <v/>
      </c>
      <c r="T121" t="n">
        <v/>
      </c>
      <c r="U121" t="n">
        <v>53.4</v>
      </c>
      <c r="V121" t="n">
        <v>54.2</v>
      </c>
    </row>
    <row r="122">
      <c r="A122" s="73" t="n">
        <v>42917</v>
      </c>
      <c r="B122" t="n">
        <v>56.4</v>
      </c>
      <c r="C122" t="n">
        <v>48.8</v>
      </c>
      <c r="D122" t="n">
        <v>51.5</v>
      </c>
      <c r="E122" t="n">
        <v>55.4</v>
      </c>
      <c r="F122" t="n">
        <v>56</v>
      </c>
      <c r="G122" t="n">
        <v>53.1</v>
      </c>
      <c r="H122" t="n">
        <v>53.7</v>
      </c>
      <c r="I122" t="n">
        <v>45.9</v>
      </c>
      <c r="J122" t="n">
        <v>58.3</v>
      </c>
      <c r="K122" t="n">
        <v>56.3</v>
      </c>
      <c r="L122" t="n">
        <v>52</v>
      </c>
      <c r="M122" t="n">
        <v/>
      </c>
      <c r="N122" t="n">
        <v/>
      </c>
      <c r="O122" t="n">
        <v/>
      </c>
      <c r="P122" t="n">
        <v>52.6</v>
      </c>
      <c r="Q122" t="n">
        <v>57.6</v>
      </c>
      <c r="R122" t="n">
        <v/>
      </c>
      <c r="S122" t="n">
        <v/>
      </c>
      <c r="T122" t="n">
        <v/>
      </c>
      <c r="U122" t="n">
        <v>53.8</v>
      </c>
      <c r="V122" t="n">
        <v>54.7</v>
      </c>
    </row>
    <row r="123">
      <c r="A123" s="73" t="n">
        <v>42948</v>
      </c>
      <c r="B123" t="n">
        <v>53</v>
      </c>
      <c r="C123" t="n">
        <v>49</v>
      </c>
      <c r="D123" t="n">
        <v>52.7</v>
      </c>
      <c r="E123" t="n">
        <v>54.7</v>
      </c>
      <c r="F123" t="n">
        <v>54.9</v>
      </c>
      <c r="G123" t="n">
        <v>53.5</v>
      </c>
      <c r="H123" t="n">
        <v>54.1</v>
      </c>
      <c r="I123" t="n">
        <v>47.5</v>
      </c>
      <c r="J123" t="n">
        <v>58.4</v>
      </c>
      <c r="K123" t="n">
        <v>55.1</v>
      </c>
      <c r="L123" t="n">
        <v>51.6</v>
      </c>
      <c r="M123" t="n">
        <v/>
      </c>
      <c r="N123" t="n">
        <v/>
      </c>
      <c r="O123" t="n">
        <v/>
      </c>
      <c r="P123" t="n">
        <v>54.2</v>
      </c>
      <c r="Q123" t="n">
        <v>56</v>
      </c>
      <c r="R123" t="n">
        <v/>
      </c>
      <c r="S123" t="n">
        <v/>
      </c>
      <c r="T123" t="n">
        <v/>
      </c>
      <c r="U123" t="n">
        <v>53.2</v>
      </c>
      <c r="V123" t="n">
        <v>56</v>
      </c>
    </row>
    <row r="124">
      <c r="A124" s="73" t="n">
        <v>42979</v>
      </c>
      <c r="B124" t="n">
        <v>52.1</v>
      </c>
      <c r="C124" t="n">
        <v>50.7</v>
      </c>
      <c r="D124" t="n">
        <v>50.6</v>
      </c>
      <c r="E124" t="n">
        <v>55.8</v>
      </c>
      <c r="F124" t="n">
        <v>57</v>
      </c>
      <c r="G124" t="n">
        <v>55.6</v>
      </c>
      <c r="H124" t="n">
        <v>54</v>
      </c>
      <c r="I124" t="n">
        <v>50.7</v>
      </c>
      <c r="J124" t="n">
        <v>58.7</v>
      </c>
      <c r="K124" t="n">
        <v>53.2</v>
      </c>
      <c r="L124" t="n">
        <v>51</v>
      </c>
      <c r="M124" t="n">
        <v/>
      </c>
      <c r="N124" t="n">
        <v/>
      </c>
      <c r="O124" t="n">
        <v/>
      </c>
      <c r="P124" t="n">
        <v>55.2</v>
      </c>
      <c r="Q124" t="n">
        <v>56.7</v>
      </c>
      <c r="R124" t="n">
        <v/>
      </c>
      <c r="S124" t="n">
        <v/>
      </c>
      <c r="T124" t="n">
        <v/>
      </c>
      <c r="U124" t="n">
        <v>53.6</v>
      </c>
      <c r="V124" t="n">
        <v>55.3</v>
      </c>
    </row>
    <row r="125">
      <c r="A125" s="73" t="n">
        <v>43009</v>
      </c>
      <c r="B125" t="n">
        <v>51.4</v>
      </c>
      <c r="C125" t="n">
        <v>48.8</v>
      </c>
      <c r="D125" t="n">
        <v>51.2</v>
      </c>
      <c r="E125" t="n">
        <v>55</v>
      </c>
      <c r="F125" t="n">
        <v>57.3</v>
      </c>
      <c r="G125" t="n">
        <v>54.7</v>
      </c>
      <c r="H125" t="n">
        <v>54.1</v>
      </c>
      <c r="I125" t="n">
        <v>51.7</v>
      </c>
      <c r="J125" t="n">
        <v>57.5</v>
      </c>
      <c r="K125" t="n">
        <v>52.1</v>
      </c>
      <c r="L125" t="n">
        <v>53.4</v>
      </c>
      <c r="M125" t="n">
        <v/>
      </c>
      <c r="N125" t="n">
        <v/>
      </c>
      <c r="O125" t="n">
        <v/>
      </c>
      <c r="P125" t="n">
        <v>53.9</v>
      </c>
      <c r="Q125" t="n">
        <v>54.6</v>
      </c>
      <c r="R125" t="n">
        <v/>
      </c>
      <c r="S125" t="n">
        <v/>
      </c>
      <c r="T125" t="n">
        <v/>
      </c>
      <c r="U125" t="n">
        <v>55.6</v>
      </c>
      <c r="V125" t="n">
        <v>55.3</v>
      </c>
    </row>
    <row r="126">
      <c r="A126" s="73" t="n">
        <v>43040</v>
      </c>
      <c r="B126" t="n">
        <v>51.7</v>
      </c>
      <c r="C126" t="n">
        <v>46.9</v>
      </c>
      <c r="D126" t="n">
        <v>51.9</v>
      </c>
      <c r="E126" t="n">
        <v>56.2</v>
      </c>
      <c r="F126" t="n">
        <v>60.4</v>
      </c>
      <c r="G126" t="n">
        <v>54.3</v>
      </c>
      <c r="H126" t="n">
        <v>53.7</v>
      </c>
      <c r="I126" t="n">
        <v>48.5</v>
      </c>
      <c r="J126" t="n">
        <v>56</v>
      </c>
      <c r="K126" t="n">
        <v>54.7</v>
      </c>
      <c r="L126" t="n">
        <v>51.2</v>
      </c>
      <c r="M126" t="n">
        <v/>
      </c>
      <c r="N126" t="n">
        <v/>
      </c>
      <c r="O126" t="n">
        <v/>
      </c>
      <c r="P126" t="n">
        <v>57.4</v>
      </c>
      <c r="Q126" t="n">
        <v>54.4</v>
      </c>
      <c r="R126" t="n">
        <v/>
      </c>
      <c r="S126" t="n">
        <v/>
      </c>
      <c r="T126" t="n">
        <v/>
      </c>
      <c r="U126" t="n">
        <v>53.8</v>
      </c>
      <c r="V126" t="n">
        <v>54.5</v>
      </c>
    </row>
    <row r="127">
      <c r="A127" s="73" t="n">
        <v>43070</v>
      </c>
      <c r="B127" t="n">
        <v>52</v>
      </c>
      <c r="C127" t="n">
        <v>47.4</v>
      </c>
      <c r="D127" t="n">
        <v>53.9</v>
      </c>
      <c r="E127" t="n">
        <v>56.6</v>
      </c>
      <c r="F127" t="n">
        <v>59.1</v>
      </c>
      <c r="G127" t="n">
        <v>55.8</v>
      </c>
      <c r="H127" t="n">
        <v>53.8</v>
      </c>
      <c r="I127" t="n">
        <v>50.9</v>
      </c>
      <c r="J127" t="n">
        <v>60.4</v>
      </c>
      <c r="K127" t="n">
        <v>55.4</v>
      </c>
      <c r="L127" t="n">
        <v>51.1</v>
      </c>
      <c r="M127" t="n">
        <v/>
      </c>
      <c r="N127" t="n">
        <v/>
      </c>
      <c r="O127" t="n">
        <v/>
      </c>
      <c r="P127" t="n">
        <v>56.8</v>
      </c>
      <c r="Q127" t="n">
        <v>54.6</v>
      </c>
      <c r="R127" t="n">
        <v/>
      </c>
      <c r="S127" t="n">
        <v/>
      </c>
      <c r="T127" t="n">
        <v/>
      </c>
      <c r="U127" t="n">
        <v>54.2</v>
      </c>
      <c r="V127" t="n">
        <v>53.7</v>
      </c>
    </row>
    <row r="128">
      <c r="A128" s="73" t="n">
        <v>43101</v>
      </c>
      <c r="B128" t="n">
        <v>54.9</v>
      </c>
      <c r="C128" t="n">
        <v>50</v>
      </c>
      <c r="D128" t="n">
        <v>54.7</v>
      </c>
      <c r="E128" t="n">
        <v>58</v>
      </c>
      <c r="F128" t="n">
        <v>59.2</v>
      </c>
      <c r="G128" t="n">
        <v>57.3</v>
      </c>
      <c r="H128" t="n">
        <v>54.1</v>
      </c>
      <c r="I128" t="n">
        <v>51.7</v>
      </c>
      <c r="J128" t="n">
        <v>59.8</v>
      </c>
      <c r="K128" t="n">
        <v>57.7</v>
      </c>
      <c r="L128" t="n">
        <v>51.9</v>
      </c>
      <c r="M128" t="n">
        <v/>
      </c>
      <c r="N128" t="n">
        <v/>
      </c>
      <c r="O128" t="n">
        <v/>
      </c>
      <c r="P128" t="n">
        <v>55.1</v>
      </c>
      <c r="Q128" t="n">
        <v>56.9</v>
      </c>
      <c r="R128" t="n">
        <v/>
      </c>
      <c r="S128" t="n">
        <v/>
      </c>
      <c r="T128" t="n">
        <v/>
      </c>
      <c r="U128" t="n">
        <v>53</v>
      </c>
      <c r="V128" t="n">
        <v>53.3</v>
      </c>
    </row>
    <row r="129">
      <c r="A129" s="73" t="n">
        <v>43132</v>
      </c>
      <c r="B129" t="n">
        <v>54</v>
      </c>
      <c r="C129" t="n">
        <v>52.7</v>
      </c>
      <c r="D129" t="n">
        <v>54.2</v>
      </c>
      <c r="E129" t="n">
        <v>56.2</v>
      </c>
      <c r="F129" t="n">
        <v>57.4</v>
      </c>
      <c r="G129" t="n">
        <v>55.3</v>
      </c>
      <c r="H129" t="n">
        <v>54.8</v>
      </c>
      <c r="I129" t="n">
        <v>47.8</v>
      </c>
      <c r="J129" t="n">
        <v>57.2</v>
      </c>
      <c r="K129" t="n">
        <v>55</v>
      </c>
      <c r="L129" t="n">
        <v>51.7</v>
      </c>
      <c r="M129" t="n">
        <v/>
      </c>
      <c r="N129" t="n">
        <v/>
      </c>
      <c r="O129" t="n">
        <v/>
      </c>
      <c r="P129" t="n">
        <v>56.5</v>
      </c>
      <c r="Q129" t="n">
        <v>57.3</v>
      </c>
      <c r="R129" t="n">
        <v/>
      </c>
      <c r="S129" t="n">
        <v/>
      </c>
      <c r="T129" t="n">
        <v/>
      </c>
      <c r="U129" t="n">
        <v>54.5</v>
      </c>
      <c r="V129" t="n">
        <v>55.9</v>
      </c>
    </row>
    <row r="130">
      <c r="A130" s="73" t="n">
        <v>43160</v>
      </c>
      <c r="B130" t="n">
        <v>56.9</v>
      </c>
      <c r="C130" t="n">
        <v>50.4</v>
      </c>
      <c r="D130" t="n">
        <v>52.3</v>
      </c>
      <c r="E130" t="n">
        <v>54.9</v>
      </c>
      <c r="F130" t="n">
        <v>56.8</v>
      </c>
      <c r="G130" t="n">
        <v>53.9</v>
      </c>
      <c r="H130" t="n">
        <v>53.2</v>
      </c>
      <c r="I130" t="n">
        <v>50.3</v>
      </c>
      <c r="J130" t="n">
        <v>56.5</v>
      </c>
      <c r="K130" t="n">
        <v>52.6</v>
      </c>
      <c r="L130" t="n">
        <v>50.9</v>
      </c>
      <c r="M130" t="n">
        <v/>
      </c>
      <c r="N130" t="n">
        <v/>
      </c>
      <c r="O130" t="n">
        <v/>
      </c>
      <c r="P130" t="n">
        <v>53.7</v>
      </c>
      <c r="Q130" t="n">
        <v>56.2</v>
      </c>
      <c r="R130" t="n">
        <v/>
      </c>
      <c r="S130" t="n">
        <v/>
      </c>
      <c r="T130" t="n">
        <v/>
      </c>
      <c r="U130" t="n">
        <v>51.7</v>
      </c>
      <c r="V130" t="n">
        <v>54</v>
      </c>
    </row>
    <row r="131">
      <c r="A131" s="73" t="n">
        <v>43191</v>
      </c>
      <c r="B131" t="n">
        <v>55.2</v>
      </c>
      <c r="C131" t="n">
        <v>50</v>
      </c>
      <c r="D131" t="n">
        <v>52.9</v>
      </c>
      <c r="E131" t="n">
        <v>54.7</v>
      </c>
      <c r="F131" t="n">
        <v>57.4</v>
      </c>
      <c r="G131" t="n">
        <v>53</v>
      </c>
      <c r="H131" t="n">
        <v>53.8</v>
      </c>
      <c r="I131" t="n">
        <v>51.4</v>
      </c>
      <c r="J131" t="n">
        <v>58.3</v>
      </c>
      <c r="K131" t="n">
        <v>52.6</v>
      </c>
      <c r="L131" t="n">
        <v>52.5</v>
      </c>
      <c r="M131" t="n">
        <v/>
      </c>
      <c r="N131" t="n">
        <v/>
      </c>
      <c r="O131" t="n">
        <v/>
      </c>
      <c r="P131" t="n">
        <v>55.5</v>
      </c>
      <c r="Q131" t="n">
        <v>55.6</v>
      </c>
      <c r="R131" t="n">
        <v/>
      </c>
      <c r="S131" t="n">
        <v/>
      </c>
      <c r="T131" t="n">
        <v/>
      </c>
      <c r="U131" t="n">
        <v>52.8</v>
      </c>
      <c r="V131" t="n">
        <v>54.6</v>
      </c>
    </row>
    <row r="132">
      <c r="A132" s="73" t="n">
        <v>43221</v>
      </c>
      <c r="B132" t="n">
        <v>59</v>
      </c>
      <c r="C132" t="n">
        <v>49.5</v>
      </c>
      <c r="D132" t="n">
        <v>52.9</v>
      </c>
      <c r="E132" t="n">
        <v>53.8</v>
      </c>
      <c r="F132" t="n">
        <v>54.3</v>
      </c>
      <c r="G132" t="n">
        <v>52.1</v>
      </c>
      <c r="H132" t="n">
        <v>54.3</v>
      </c>
      <c r="I132" t="n">
        <v>49.6</v>
      </c>
      <c r="J132" t="n">
        <v>59.3</v>
      </c>
      <c r="K132" t="n">
        <v>53.1</v>
      </c>
      <c r="L132" t="n">
        <v>51</v>
      </c>
      <c r="M132" t="n">
        <v/>
      </c>
      <c r="N132" t="n">
        <v/>
      </c>
      <c r="O132" t="n">
        <v/>
      </c>
      <c r="P132" t="n">
        <v>54.1</v>
      </c>
      <c r="Q132" t="n">
        <v>56.4</v>
      </c>
      <c r="R132" t="n">
        <v/>
      </c>
      <c r="S132" t="n">
        <v/>
      </c>
      <c r="T132" t="n">
        <v/>
      </c>
      <c r="U132" t="n">
        <v>54</v>
      </c>
      <c r="V132" t="n">
        <v>56.8</v>
      </c>
    </row>
    <row r="133">
      <c r="A133" s="73" t="n">
        <v>43252</v>
      </c>
      <c r="B133" t="n">
        <v>63</v>
      </c>
      <c r="C133" t="n">
        <v>47</v>
      </c>
      <c r="D133" t="n">
        <v>53.9</v>
      </c>
      <c r="E133" t="n">
        <v>55.2</v>
      </c>
      <c r="F133" t="n">
        <v>55.9</v>
      </c>
      <c r="G133" t="n">
        <v>54.5</v>
      </c>
      <c r="H133" t="n">
        <v>54.6</v>
      </c>
      <c r="I133" t="n">
        <v>52.6</v>
      </c>
      <c r="J133" t="n">
        <v>59.5</v>
      </c>
      <c r="K133" t="n">
        <v>54.3</v>
      </c>
      <c r="L133" t="n">
        <v>51.4</v>
      </c>
      <c r="M133" t="n">
        <v/>
      </c>
      <c r="N133" t="n">
        <v/>
      </c>
      <c r="O133" t="n">
        <v/>
      </c>
      <c r="P133" t="n">
        <v>52.3</v>
      </c>
      <c r="Q133" t="n">
        <v>55.4</v>
      </c>
      <c r="R133" t="n">
        <v/>
      </c>
      <c r="S133" t="n">
        <v/>
      </c>
      <c r="T133" t="n">
        <v/>
      </c>
      <c r="U133" t="n">
        <v>55.1</v>
      </c>
      <c r="V133" t="n">
        <v>56.5</v>
      </c>
    </row>
    <row r="134">
      <c r="A134" s="73" t="n">
        <v>43282</v>
      </c>
      <c r="B134" t="n">
        <v>53.6</v>
      </c>
      <c r="C134" t="n">
        <v>50.4</v>
      </c>
      <c r="D134" t="n">
        <v>52.8</v>
      </c>
      <c r="E134" t="n">
        <v>54.2</v>
      </c>
      <c r="F134" t="n">
        <v>54.9</v>
      </c>
      <c r="G134" t="n">
        <v>54.1</v>
      </c>
      <c r="H134" t="n">
        <v>54</v>
      </c>
      <c r="I134" t="n">
        <v>54.2</v>
      </c>
      <c r="J134" t="n">
        <v>57.4</v>
      </c>
      <c r="K134" t="n">
        <v>54</v>
      </c>
      <c r="L134" t="n">
        <v>51.3</v>
      </c>
      <c r="M134" t="n">
        <v/>
      </c>
      <c r="N134" t="n">
        <v/>
      </c>
      <c r="O134" t="n">
        <v/>
      </c>
      <c r="P134" t="n">
        <v>52.8</v>
      </c>
      <c r="Q134" t="n">
        <v>52.6</v>
      </c>
      <c r="R134" t="n">
        <v/>
      </c>
      <c r="S134" t="n">
        <v/>
      </c>
      <c r="T134" t="n">
        <v/>
      </c>
      <c r="U134" t="n">
        <v>53.5</v>
      </c>
      <c r="V134" t="n">
        <v>56</v>
      </c>
    </row>
    <row r="135">
      <c r="A135" s="73" t="n">
        <v>43313</v>
      </c>
      <c r="B135" t="n">
        <v>52.2</v>
      </c>
      <c r="C135" t="n">
        <v>46.8</v>
      </c>
      <c r="D135" t="n">
        <v>51.5</v>
      </c>
      <c r="E135" t="n">
        <v>54.4</v>
      </c>
      <c r="F135" t="n">
        <v>55.4</v>
      </c>
      <c r="G135" t="n">
        <v>55</v>
      </c>
      <c r="H135" t="n">
        <v>53.5</v>
      </c>
      <c r="I135" t="n">
        <v>51.5</v>
      </c>
      <c r="J135" t="n">
        <v>58</v>
      </c>
      <c r="K135" t="n">
        <v>52.6</v>
      </c>
      <c r="L135" t="n">
        <v>51.5</v>
      </c>
      <c r="M135" t="n">
        <v/>
      </c>
      <c r="N135" t="n">
        <v/>
      </c>
      <c r="O135" t="n">
        <v/>
      </c>
      <c r="P135" t="n">
        <v>53.3</v>
      </c>
      <c r="Q135" t="n">
        <v>52.7</v>
      </c>
      <c r="R135" t="n">
        <v/>
      </c>
      <c r="S135" t="n">
        <v/>
      </c>
      <c r="T135" t="n">
        <v/>
      </c>
      <c r="U135" t="n">
        <v>54.3</v>
      </c>
      <c r="V135" t="n">
        <v>55.2</v>
      </c>
    </row>
    <row r="136">
      <c r="A136" s="73" t="n">
        <v>43344</v>
      </c>
      <c r="B136" t="n">
        <v>52.5</v>
      </c>
      <c r="C136" t="n">
        <v>46.4</v>
      </c>
      <c r="D136" t="n">
        <v>53.1</v>
      </c>
      <c r="E136" t="n">
        <v>54.7</v>
      </c>
      <c r="F136" t="n">
        <v>54.8</v>
      </c>
      <c r="G136" t="n">
        <v>55.9</v>
      </c>
      <c r="H136" t="n">
        <v>52.9</v>
      </c>
      <c r="I136" t="n">
        <v>50.9</v>
      </c>
      <c r="J136" t="n">
        <v>58.7</v>
      </c>
      <c r="K136" t="n">
        <v>53.3</v>
      </c>
      <c r="L136" t="n">
        <v>50.2</v>
      </c>
      <c r="M136" t="n">
        <v/>
      </c>
      <c r="N136" t="n">
        <v/>
      </c>
      <c r="O136" t="n">
        <v/>
      </c>
      <c r="P136" t="n">
        <v>54.7</v>
      </c>
      <c r="Q136" t="n">
        <v>52.5</v>
      </c>
      <c r="R136" t="n">
        <v/>
      </c>
      <c r="S136" t="n">
        <v/>
      </c>
      <c r="T136" t="n">
        <v/>
      </c>
      <c r="U136" t="n">
        <v>53.9</v>
      </c>
      <c r="V136" t="n">
        <v>52.9</v>
      </c>
    </row>
    <row r="137">
      <c r="A137" s="73" t="n">
        <v>43374</v>
      </c>
      <c r="B137" t="n">
        <v>51.1</v>
      </c>
      <c r="C137" t="n">
        <v>50.5</v>
      </c>
      <c r="D137" t="n">
        <v>50.8</v>
      </c>
      <c r="E137" t="n">
        <v>53.7</v>
      </c>
      <c r="F137" t="n">
        <v>55.3</v>
      </c>
      <c r="G137" t="n">
        <v>54.7</v>
      </c>
      <c r="H137" t="n">
        <v>53.4</v>
      </c>
      <c r="I137" t="n">
        <v>52.2</v>
      </c>
      <c r="J137" t="n">
        <v>57.2</v>
      </c>
      <c r="K137" t="n">
        <v>49.2</v>
      </c>
      <c r="L137" t="n">
        <v>52.4</v>
      </c>
      <c r="M137" t="n">
        <v/>
      </c>
      <c r="N137" t="n">
        <v/>
      </c>
      <c r="O137" t="n">
        <v/>
      </c>
      <c r="P137" t="n">
        <v>56.9</v>
      </c>
      <c r="Q137" t="n">
        <v>54</v>
      </c>
      <c r="R137" t="n">
        <v/>
      </c>
      <c r="S137" t="n">
        <v/>
      </c>
      <c r="T137" t="n">
        <v/>
      </c>
      <c r="U137" t="n">
        <v>52.2</v>
      </c>
      <c r="V137" t="n">
        <v>54.8</v>
      </c>
    </row>
    <row r="138">
      <c r="A138" s="73" t="n">
        <v>43405</v>
      </c>
      <c r="B138" t="n">
        <v>55.1</v>
      </c>
      <c r="C138" t="n">
        <v>51.3</v>
      </c>
      <c r="D138" t="n">
        <v>53.8</v>
      </c>
      <c r="E138" t="n">
        <v>53.4</v>
      </c>
      <c r="F138" t="n">
        <v>55.1</v>
      </c>
      <c r="G138" t="n">
        <v>53.3</v>
      </c>
      <c r="H138" t="n">
        <v>53.7</v>
      </c>
      <c r="I138" t="n">
        <v>53.7</v>
      </c>
      <c r="J138" t="n">
        <v>57.1</v>
      </c>
      <c r="K138" t="n">
        <v>50.3</v>
      </c>
      <c r="L138" t="n">
        <v>52.3</v>
      </c>
      <c r="M138" t="n">
        <v/>
      </c>
      <c r="N138" t="n">
        <v/>
      </c>
      <c r="O138" t="n">
        <v/>
      </c>
      <c r="P138" t="n">
        <v>55.6</v>
      </c>
      <c r="Q138" t="n">
        <v>54</v>
      </c>
      <c r="R138" t="n">
        <v/>
      </c>
      <c r="S138" t="n">
        <v/>
      </c>
      <c r="T138" t="n">
        <v/>
      </c>
      <c r="U138" t="n">
        <v>50.4</v>
      </c>
      <c r="V138" t="n">
        <v>54.4</v>
      </c>
    </row>
    <row r="139">
      <c r="A139" s="73" t="n">
        <v>43435</v>
      </c>
      <c r="B139" t="n">
        <v>52.1</v>
      </c>
      <c r="C139" t="n">
        <v>51.9</v>
      </c>
      <c r="D139" t="n">
        <v>53.9</v>
      </c>
      <c r="E139" t="n">
        <v>51.2</v>
      </c>
      <c r="F139" t="n">
        <v>49</v>
      </c>
      <c r="G139" t="n">
        <v>51.8</v>
      </c>
      <c r="H139" t="n">
        <v>53</v>
      </c>
      <c r="I139" t="n">
        <v>53.2</v>
      </c>
      <c r="J139" t="n">
        <v>56.3</v>
      </c>
      <c r="K139" t="n">
        <v>50.5</v>
      </c>
      <c r="L139" t="n">
        <v>51</v>
      </c>
      <c r="M139" t="n">
        <v/>
      </c>
      <c r="N139" t="n">
        <v/>
      </c>
      <c r="O139" t="n">
        <v/>
      </c>
      <c r="P139" t="n">
        <v>54.4</v>
      </c>
      <c r="Q139" t="n">
        <v>54</v>
      </c>
      <c r="R139" t="n">
        <v/>
      </c>
      <c r="S139" t="n">
        <v/>
      </c>
      <c r="T139" t="n">
        <v/>
      </c>
      <c r="U139" t="n">
        <v>51.2</v>
      </c>
      <c r="V139" t="n">
        <v>54.4</v>
      </c>
    </row>
    <row r="140">
      <c r="A140" s="73" t="n">
        <v>43466</v>
      </c>
      <c r="B140" t="n">
        <v>44.3</v>
      </c>
      <c r="C140" t="n">
        <v>52</v>
      </c>
      <c r="D140" t="n">
        <v>53.6</v>
      </c>
      <c r="E140" t="n">
        <v>51.2</v>
      </c>
      <c r="F140" t="n">
        <v>47.8</v>
      </c>
      <c r="G140" t="n">
        <v>53</v>
      </c>
      <c r="H140" t="n">
        <v>52.6</v>
      </c>
      <c r="I140" t="n">
        <v>52.2</v>
      </c>
      <c r="J140" t="n">
        <v>54.2</v>
      </c>
      <c r="K140" t="n">
        <v>49.7</v>
      </c>
      <c r="L140" t="n">
        <v>51.6</v>
      </c>
      <c r="M140" t="n">
        <v/>
      </c>
      <c r="N140" t="n">
        <v/>
      </c>
      <c r="O140" t="n">
        <v/>
      </c>
      <c r="P140" t="n">
        <v>54.9</v>
      </c>
      <c r="Q140" t="n">
        <v>54.7</v>
      </c>
      <c r="R140" t="n">
        <v/>
      </c>
      <c r="S140" t="n">
        <v/>
      </c>
      <c r="T140" t="n">
        <v/>
      </c>
      <c r="U140" t="n">
        <v>50.1</v>
      </c>
      <c r="V140" t="n">
        <v>54.2</v>
      </c>
    </row>
    <row r="141">
      <c r="A141" s="73" t="n">
        <v>43497</v>
      </c>
      <c r="B141" t="n">
        <v>44.5</v>
      </c>
      <c r="C141" t="n">
        <v>52.2</v>
      </c>
      <c r="D141" t="n">
        <v>51.1</v>
      </c>
      <c r="E141" t="n">
        <v>52.8</v>
      </c>
      <c r="F141" t="n">
        <v>50.2</v>
      </c>
      <c r="G141" t="n">
        <v>55.3</v>
      </c>
      <c r="H141" t="n">
        <v>53.3</v>
      </c>
      <c r="I141" t="n">
        <v>52.5</v>
      </c>
      <c r="J141" t="n">
        <v>55.9</v>
      </c>
      <c r="K141" t="n">
        <v>50.4</v>
      </c>
      <c r="L141" t="n">
        <v>52.3</v>
      </c>
      <c r="M141" t="n">
        <v/>
      </c>
      <c r="N141" t="n">
        <v/>
      </c>
      <c r="O141" t="n">
        <v/>
      </c>
      <c r="P141" t="n">
        <v>55.3</v>
      </c>
      <c r="Q141" t="n">
        <v>54.5</v>
      </c>
      <c r="R141" t="n">
        <v/>
      </c>
      <c r="S141" t="n">
        <v/>
      </c>
      <c r="T141" t="n">
        <v/>
      </c>
      <c r="U141" t="n">
        <v>51.3</v>
      </c>
      <c r="V141" t="n">
        <v>56.2</v>
      </c>
    </row>
    <row r="142">
      <c r="A142" s="73" t="n">
        <v>43525</v>
      </c>
      <c r="B142" t="n">
        <v>44.8</v>
      </c>
      <c r="C142" t="n">
        <v>52.7</v>
      </c>
      <c r="D142" t="n">
        <v>54.4</v>
      </c>
      <c r="E142" t="n">
        <v>53.3</v>
      </c>
      <c r="F142" t="n">
        <v>49.1</v>
      </c>
      <c r="G142" t="n">
        <v>55.4</v>
      </c>
      <c r="H142" t="n">
        <v>53.7</v>
      </c>
      <c r="I142" t="n">
        <v>52</v>
      </c>
      <c r="J142" t="n">
        <v>55.3</v>
      </c>
      <c r="K142" t="n">
        <v>53.1</v>
      </c>
      <c r="L142" t="n">
        <v>52</v>
      </c>
      <c r="M142" t="n">
        <v/>
      </c>
      <c r="N142" t="n">
        <v/>
      </c>
      <c r="O142" t="n">
        <v/>
      </c>
      <c r="P142" t="n">
        <v>54.4</v>
      </c>
      <c r="Q142" t="n">
        <v>56.8</v>
      </c>
      <c r="R142" t="n">
        <v/>
      </c>
      <c r="S142" t="n">
        <v/>
      </c>
      <c r="T142" t="n">
        <v/>
      </c>
      <c r="U142" t="n">
        <v>48.9</v>
      </c>
      <c r="V142" t="n">
        <v>54.8</v>
      </c>
    </row>
    <row r="143">
      <c r="A143" s="73" t="n">
        <v>43556</v>
      </c>
      <c r="B143" t="n">
        <v>46.5</v>
      </c>
      <c r="C143" t="n">
        <v>49.9</v>
      </c>
      <c r="D143" t="n">
        <v>54.5</v>
      </c>
      <c r="E143" t="n">
        <v>52.8</v>
      </c>
      <c r="F143" t="n">
        <v>50.5</v>
      </c>
      <c r="G143" t="n">
        <v>55.7</v>
      </c>
      <c r="H143" t="n">
        <v>52.7</v>
      </c>
      <c r="I143" t="n">
        <v>51</v>
      </c>
      <c r="J143" t="n">
        <v>54.7</v>
      </c>
      <c r="K143" t="n">
        <v>50.4</v>
      </c>
      <c r="L143" t="n">
        <v>51.8</v>
      </c>
      <c r="M143" t="n">
        <v/>
      </c>
      <c r="N143" t="n">
        <v/>
      </c>
      <c r="O143" t="n">
        <v/>
      </c>
      <c r="P143" t="n">
        <v>52.6</v>
      </c>
      <c r="Q143" t="n">
        <v>53.1</v>
      </c>
      <c r="R143" t="n">
        <v/>
      </c>
      <c r="S143" t="n">
        <v/>
      </c>
      <c r="T143" t="n">
        <v/>
      </c>
      <c r="U143" t="n">
        <v>50.4</v>
      </c>
      <c r="V143" t="n">
        <v>53</v>
      </c>
    </row>
    <row r="144">
      <c r="A144" s="73" t="n">
        <v>43586</v>
      </c>
      <c r="B144" t="n">
        <v>52.5</v>
      </c>
      <c r="C144" t="n">
        <v>47.8</v>
      </c>
      <c r="D144" t="n">
        <v>52.7</v>
      </c>
      <c r="E144" t="n">
        <v>52.9</v>
      </c>
      <c r="F144" t="n">
        <v>51.5</v>
      </c>
      <c r="G144" t="n">
        <v>55.4</v>
      </c>
      <c r="H144" t="n">
        <v>51.6</v>
      </c>
      <c r="I144" t="n">
        <v>50.2</v>
      </c>
      <c r="J144" t="n">
        <v>57</v>
      </c>
      <c r="K144" t="n">
        <v>50</v>
      </c>
      <c r="L144" t="n">
        <v>51.7</v>
      </c>
      <c r="M144" t="n">
        <v/>
      </c>
      <c r="N144" t="n">
        <v/>
      </c>
      <c r="O144" t="n">
        <v/>
      </c>
      <c r="P144" t="n">
        <v>52</v>
      </c>
      <c r="Q144" t="n">
        <v>52.8</v>
      </c>
      <c r="R144" t="n">
        <v/>
      </c>
      <c r="S144" t="n">
        <v/>
      </c>
      <c r="T144" t="n">
        <v/>
      </c>
      <c r="U144" t="n">
        <v>51</v>
      </c>
      <c r="V144" t="n">
        <v>50.9</v>
      </c>
    </row>
    <row r="145">
      <c r="A145" s="73" t="n">
        <v>43617</v>
      </c>
      <c r="B145" t="n">
        <v>52.2</v>
      </c>
      <c r="C145" t="n">
        <v>48.2</v>
      </c>
      <c r="D145" t="n">
        <v>52</v>
      </c>
      <c r="E145" t="n">
        <v>53.6</v>
      </c>
      <c r="F145" t="n">
        <v>52.9</v>
      </c>
      <c r="G145" t="n">
        <v>55.8</v>
      </c>
      <c r="H145" t="n">
        <v>51.9</v>
      </c>
      <c r="I145" t="n">
        <v>49.6</v>
      </c>
      <c r="J145" t="n">
        <v>56.9</v>
      </c>
      <c r="K145" t="n">
        <v>50.5</v>
      </c>
      <c r="L145" t="n">
        <v>51.9</v>
      </c>
      <c r="M145" t="n">
        <v/>
      </c>
      <c r="N145" t="n">
        <v/>
      </c>
      <c r="O145" t="n">
        <v/>
      </c>
      <c r="P145" t="n">
        <v>49.7</v>
      </c>
      <c r="Q145" t="n">
        <v>53.6</v>
      </c>
      <c r="R145" t="n">
        <v/>
      </c>
      <c r="S145" t="n">
        <v/>
      </c>
      <c r="T145" t="n">
        <v/>
      </c>
      <c r="U145" t="n">
        <v>50.2</v>
      </c>
      <c r="V145" t="n">
        <v>51.5</v>
      </c>
    </row>
    <row r="146">
      <c r="A146" s="73" t="n">
        <v>43647</v>
      </c>
      <c r="B146" t="n">
        <v>43.9</v>
      </c>
      <c r="C146" t="n">
        <v>52.2</v>
      </c>
      <c r="D146" t="n">
        <v>51.6</v>
      </c>
      <c r="E146" t="n">
        <v>53.2</v>
      </c>
      <c r="F146" t="n">
        <v>52.6</v>
      </c>
      <c r="G146" t="n">
        <v>54.5</v>
      </c>
      <c r="H146" t="n">
        <v>52.5</v>
      </c>
      <c r="I146" t="n">
        <v>53.8</v>
      </c>
      <c r="J146" t="n">
        <v>55</v>
      </c>
      <c r="K146" t="n">
        <v>51.7</v>
      </c>
      <c r="L146" t="n">
        <v>51.8</v>
      </c>
      <c r="M146" t="n">
        <v/>
      </c>
      <c r="N146" t="n">
        <v/>
      </c>
      <c r="O146" t="n">
        <v/>
      </c>
      <c r="P146" t="n">
        <v>50.4</v>
      </c>
      <c r="Q146" t="n">
        <v>52.9</v>
      </c>
      <c r="R146" t="n">
        <v/>
      </c>
      <c r="S146" t="n">
        <v/>
      </c>
      <c r="T146" t="n">
        <v/>
      </c>
      <c r="U146" t="n">
        <v>51.4</v>
      </c>
      <c r="V146" t="n">
        <v>53</v>
      </c>
    </row>
    <row r="147">
      <c r="A147" s="73" t="n">
        <v>43678</v>
      </c>
      <c r="B147" t="n">
        <v>51.4</v>
      </c>
      <c r="C147" t="n">
        <v>51.4</v>
      </c>
      <c r="D147" t="n">
        <v>52.1</v>
      </c>
      <c r="E147" t="n">
        <v>53.5</v>
      </c>
      <c r="F147" t="n">
        <v>53.4</v>
      </c>
      <c r="G147" t="n">
        <v>54.8</v>
      </c>
      <c r="H147" t="n">
        <v>51.8</v>
      </c>
      <c r="I147" t="n">
        <v>52.4</v>
      </c>
      <c r="J147" t="n">
        <v>54.6</v>
      </c>
      <c r="K147" t="n">
        <v>50.6</v>
      </c>
      <c r="L147" t="n">
        <v>53.3</v>
      </c>
      <c r="M147" t="n">
        <v/>
      </c>
      <c r="N147" t="n">
        <v/>
      </c>
      <c r="O147" t="n">
        <v/>
      </c>
      <c r="P147" t="n">
        <v>52.1</v>
      </c>
      <c r="Q147" t="n">
        <v>54.3</v>
      </c>
      <c r="R147" t="n">
        <v/>
      </c>
      <c r="S147" t="n">
        <v/>
      </c>
      <c r="T147" t="n">
        <v/>
      </c>
      <c r="U147" t="n">
        <v>50.6</v>
      </c>
      <c r="V147" t="n">
        <v>50.7</v>
      </c>
    </row>
    <row r="148">
      <c r="A148" s="73" t="n">
        <v>43709</v>
      </c>
      <c r="B148" t="n">
        <v>51.5</v>
      </c>
      <c r="C148" t="n">
        <v>51.8</v>
      </c>
      <c r="D148" t="n">
        <v>51.3</v>
      </c>
      <c r="E148" t="n">
        <v>51.6</v>
      </c>
      <c r="F148" t="n">
        <v>51.1</v>
      </c>
      <c r="G148" t="n">
        <v>51.4</v>
      </c>
      <c r="H148" t="n">
        <v>51.6</v>
      </c>
      <c r="I148" t="n">
        <v>48.7</v>
      </c>
      <c r="J148" t="n">
        <v>53.1</v>
      </c>
      <c r="K148" t="n">
        <v>51.4</v>
      </c>
      <c r="L148" t="n">
        <v>52.8</v>
      </c>
      <c r="M148" t="n">
        <v/>
      </c>
      <c r="N148" t="n">
        <v/>
      </c>
      <c r="O148" t="n">
        <v/>
      </c>
      <c r="P148" t="n">
        <v>53.6</v>
      </c>
      <c r="Q148" t="n">
        <v>53.3</v>
      </c>
      <c r="R148" t="n">
        <v/>
      </c>
      <c r="S148" t="n">
        <v/>
      </c>
      <c r="T148" t="n">
        <v/>
      </c>
      <c r="U148" t="n">
        <v>49.5</v>
      </c>
      <c r="V148" t="n">
        <v>50.9</v>
      </c>
    </row>
    <row r="149">
      <c r="A149" s="73" t="n">
        <v>43739</v>
      </c>
      <c r="B149" t="n">
        <v>54.2</v>
      </c>
      <c r="C149" t="n">
        <v>51.2</v>
      </c>
      <c r="D149" t="n">
        <v>51.1</v>
      </c>
      <c r="E149" t="n">
        <v>52.2</v>
      </c>
      <c r="F149" t="n">
        <v>52.9</v>
      </c>
      <c r="G149" t="n">
        <v>51.6</v>
      </c>
      <c r="H149" t="n">
        <v>51</v>
      </c>
      <c r="I149" t="n">
        <v>49.2</v>
      </c>
      <c r="J149" t="n">
        <v>50.6</v>
      </c>
      <c r="K149" t="n">
        <v>52.2</v>
      </c>
      <c r="L149" t="n">
        <v>49.7</v>
      </c>
      <c r="M149" t="n">
        <v/>
      </c>
      <c r="N149" t="n">
        <v/>
      </c>
      <c r="O149" t="n">
        <v/>
      </c>
      <c r="P149" t="n">
        <v>55.8</v>
      </c>
      <c r="Q149" t="n">
        <v>52.7</v>
      </c>
      <c r="R149" t="n">
        <v/>
      </c>
      <c r="S149" t="n">
        <v/>
      </c>
      <c r="T149" t="n">
        <v/>
      </c>
      <c r="U149" t="n">
        <v>50</v>
      </c>
      <c r="V149" t="n">
        <v>50.6</v>
      </c>
    </row>
    <row r="150">
      <c r="A150" s="73" t="n">
        <v>43770</v>
      </c>
      <c r="B150" t="n">
        <v>53.7</v>
      </c>
      <c r="C150" t="n">
        <v>50.9</v>
      </c>
      <c r="D150" t="n">
        <v>53.5</v>
      </c>
      <c r="E150" t="n">
        <v>51.9</v>
      </c>
      <c r="F150" t="n">
        <v>52.2</v>
      </c>
      <c r="G150" t="n">
        <v>51.7</v>
      </c>
      <c r="H150" t="n">
        <v>51.6</v>
      </c>
      <c r="I150" t="n">
        <v>52.7</v>
      </c>
      <c r="J150" t="n">
        <v>52</v>
      </c>
      <c r="K150" t="n">
        <v>50.4</v>
      </c>
      <c r="L150" t="n">
        <v>50.3</v>
      </c>
      <c r="M150" t="n">
        <v/>
      </c>
      <c r="N150" t="n">
        <v/>
      </c>
      <c r="O150" t="n">
        <v/>
      </c>
      <c r="P150" t="n">
        <v>55.6</v>
      </c>
      <c r="Q150" t="n">
        <v>53.2</v>
      </c>
      <c r="R150" t="n">
        <v/>
      </c>
      <c r="S150" t="n">
        <v/>
      </c>
      <c r="T150" t="n">
        <v/>
      </c>
      <c r="U150" t="n">
        <v>49.3</v>
      </c>
      <c r="V150" t="n">
        <v>51.6</v>
      </c>
    </row>
    <row r="151">
      <c r="A151" s="73" t="n">
        <v>43800</v>
      </c>
      <c r="B151" t="n">
        <v>48.7</v>
      </c>
      <c r="C151" t="n">
        <v>51</v>
      </c>
      <c r="D151" t="n">
        <v>52.5</v>
      </c>
      <c r="E151" t="n">
        <v>52.8</v>
      </c>
      <c r="F151" t="n">
        <v>52.4</v>
      </c>
      <c r="G151" t="n">
        <v>52.9</v>
      </c>
      <c r="H151" t="n">
        <v>52</v>
      </c>
      <c r="I151" t="n">
        <v>53.3</v>
      </c>
      <c r="J151" t="n">
        <v>55.9</v>
      </c>
      <c r="K151" t="n">
        <v>51.1</v>
      </c>
      <c r="L151" t="n">
        <v>49.4</v>
      </c>
      <c r="M151" t="n">
        <v/>
      </c>
      <c r="N151" t="n">
        <v/>
      </c>
      <c r="O151" t="n">
        <v/>
      </c>
      <c r="P151" t="n">
        <v>53.1</v>
      </c>
      <c r="Q151" t="n">
        <v>54.9</v>
      </c>
      <c r="R151" t="n">
        <v/>
      </c>
      <c r="S151" t="n">
        <v/>
      </c>
      <c r="T151" t="n">
        <v/>
      </c>
      <c r="U151" t="n">
        <v>50</v>
      </c>
      <c r="V151" t="n">
        <v>52.8</v>
      </c>
    </row>
    <row r="152">
      <c r="A152" s="73" t="n">
        <v>43831</v>
      </c>
      <c r="B152" t="n">
        <v>46.6</v>
      </c>
      <c r="C152" t="n">
        <v>52.7</v>
      </c>
      <c r="D152" t="n">
        <v>51.8</v>
      </c>
      <c r="E152" t="n">
        <v>52.5</v>
      </c>
      <c r="F152" t="n">
        <v>51</v>
      </c>
      <c r="G152" t="n">
        <v>54.2</v>
      </c>
      <c r="H152" t="n">
        <v>52.7</v>
      </c>
      <c r="I152" t="n">
        <v>55.5</v>
      </c>
      <c r="J152" t="n">
        <v>56.9</v>
      </c>
      <c r="K152" t="n">
        <v>51.4</v>
      </c>
      <c r="L152" t="n">
        <v>51</v>
      </c>
      <c r="M152" t="n">
        <v/>
      </c>
      <c r="N152" t="n">
        <v/>
      </c>
      <c r="O152" t="n">
        <v/>
      </c>
      <c r="P152" t="n">
        <v>54.1</v>
      </c>
      <c r="Q152" t="n">
        <v>52.3</v>
      </c>
      <c r="R152" t="n">
        <v/>
      </c>
      <c r="S152" t="n">
        <v/>
      </c>
      <c r="T152" t="n">
        <v/>
      </c>
      <c r="U152" t="n">
        <v>53.9</v>
      </c>
      <c r="V152" t="n">
        <v>53.4</v>
      </c>
    </row>
    <row r="153">
      <c r="A153" s="73" t="n">
        <v>43862</v>
      </c>
      <c r="B153" t="n">
        <v>47</v>
      </c>
      <c r="C153" t="n">
        <v>50.4</v>
      </c>
      <c r="D153" t="n">
        <v>26.5</v>
      </c>
      <c r="E153" t="n">
        <v>52.6</v>
      </c>
      <c r="F153" t="n">
        <v>52.5</v>
      </c>
      <c r="G153" t="n">
        <v>52.5</v>
      </c>
      <c r="H153" t="n">
        <v>47.1</v>
      </c>
      <c r="I153" t="n">
        <v>57.5</v>
      </c>
      <c r="J153" t="n">
        <v>59.9</v>
      </c>
      <c r="K153" t="n">
        <v>52.1</v>
      </c>
      <c r="L153" t="n">
        <v>46.8</v>
      </c>
      <c r="M153" t="n">
        <v/>
      </c>
      <c r="N153" t="n">
        <v/>
      </c>
      <c r="O153" t="n">
        <v/>
      </c>
      <c r="P153" t="n">
        <v>52</v>
      </c>
      <c r="Q153" t="n">
        <v>52.1</v>
      </c>
      <c r="R153" t="n">
        <v/>
      </c>
      <c r="S153" t="n">
        <v/>
      </c>
      <c r="T153" t="n">
        <v/>
      </c>
      <c r="U153" t="n">
        <v>53.2</v>
      </c>
      <c r="V153" t="n">
        <v>49.4</v>
      </c>
    </row>
    <row r="154">
      <c r="A154" s="73" t="n">
        <v>43891</v>
      </c>
      <c r="B154" t="n">
        <v>38.7</v>
      </c>
      <c r="C154" t="n">
        <v>34.5</v>
      </c>
      <c r="D154" t="n">
        <v>43</v>
      </c>
      <c r="E154" t="n">
        <v>26.4</v>
      </c>
      <c r="F154" t="n">
        <v>27.4</v>
      </c>
      <c r="G154" t="n">
        <v>31.7</v>
      </c>
      <c r="H154" t="n">
        <v>36.8</v>
      </c>
      <c r="I154" t="n">
        <v>49.3</v>
      </c>
      <c r="J154" t="n">
        <v>32.5</v>
      </c>
      <c r="K154" t="n">
        <v>17.4</v>
      </c>
      <c r="L154" t="n">
        <v>33.8</v>
      </c>
      <c r="M154" t="n">
        <v/>
      </c>
      <c r="N154" t="n">
        <v/>
      </c>
      <c r="O154" t="n">
        <v/>
      </c>
      <c r="P154" t="n">
        <v>37.1</v>
      </c>
      <c r="Q154" t="n">
        <v>23</v>
      </c>
      <c r="R154" t="n">
        <v/>
      </c>
      <c r="S154" t="n">
        <v/>
      </c>
      <c r="T154" t="n">
        <v/>
      </c>
      <c r="U154" t="n">
        <v>34.5</v>
      </c>
      <c r="V154" t="n">
        <v>39.8</v>
      </c>
    </row>
    <row r="155">
      <c r="A155" s="73" t="n">
        <v>43922</v>
      </c>
      <c r="B155" t="n">
        <v>27.1</v>
      </c>
      <c r="C155" t="n">
        <v>27.4</v>
      </c>
      <c r="D155" t="n">
        <v>44.4</v>
      </c>
      <c r="E155" t="n">
        <v>12</v>
      </c>
      <c r="F155" t="n">
        <v>10.2</v>
      </c>
      <c r="G155" t="n">
        <v>16.2</v>
      </c>
      <c r="H155" t="n">
        <v>24</v>
      </c>
      <c r="I155" t="n">
        <v>49.3</v>
      </c>
      <c r="J155" t="n">
        <v>13.9</v>
      </c>
      <c r="K155" t="n">
        <v>10.8</v>
      </c>
      <c r="L155" t="n">
        <v>22.8</v>
      </c>
      <c r="M155" t="n">
        <v/>
      </c>
      <c r="N155" t="n">
        <v/>
      </c>
      <c r="O155" t="n">
        <v/>
      </c>
      <c r="P155" t="n">
        <v>12.2</v>
      </c>
      <c r="Q155" t="n">
        <v>7.1</v>
      </c>
      <c r="R155" t="n">
        <v/>
      </c>
      <c r="S155" t="n">
        <v/>
      </c>
      <c r="T155" t="n">
        <v/>
      </c>
      <c r="U155" t="n">
        <v>13.4</v>
      </c>
      <c r="V155" t="n">
        <v>26.7</v>
      </c>
    </row>
    <row r="156">
      <c r="A156" s="73" t="n">
        <v>43952</v>
      </c>
      <c r="B156" t="n">
        <v>31.6</v>
      </c>
      <c r="C156" t="n">
        <v>27.6</v>
      </c>
      <c r="D156" t="n">
        <v>55</v>
      </c>
      <c r="E156" t="n">
        <v>30.5</v>
      </c>
      <c r="F156" t="n">
        <v>31.1</v>
      </c>
      <c r="G156" t="n">
        <v>32.6</v>
      </c>
      <c r="H156" t="n">
        <v>35.1</v>
      </c>
      <c r="I156" t="n">
        <v>12.6</v>
      </c>
      <c r="J156" t="n">
        <v>23.4</v>
      </c>
      <c r="K156" t="n">
        <v>28.9</v>
      </c>
      <c r="L156" t="n">
        <v>26.5</v>
      </c>
      <c r="M156" t="n">
        <v/>
      </c>
      <c r="N156" t="n">
        <v/>
      </c>
      <c r="O156" t="n">
        <v/>
      </c>
      <c r="P156" t="n">
        <v>35.9</v>
      </c>
      <c r="Q156" t="n">
        <v>27.9</v>
      </c>
      <c r="R156" t="n">
        <v/>
      </c>
      <c r="S156" t="n">
        <v/>
      </c>
      <c r="T156" t="n">
        <v/>
      </c>
      <c r="U156" t="n">
        <v>29</v>
      </c>
      <c r="V156" t="n">
        <v>37.5</v>
      </c>
    </row>
    <row r="157">
      <c r="A157" s="73" t="n">
        <v>43983</v>
      </c>
      <c r="B157" t="n">
        <v>31.5</v>
      </c>
      <c r="C157" t="n">
        <v>35.9</v>
      </c>
      <c r="D157" t="n">
        <v>58.4</v>
      </c>
      <c r="E157" t="n">
        <v>48.3</v>
      </c>
      <c r="F157" t="n">
        <v>50.7</v>
      </c>
      <c r="G157" t="n">
        <v>47.3</v>
      </c>
      <c r="H157" t="n">
        <v>48</v>
      </c>
      <c r="I157" t="n">
        <v>33.7</v>
      </c>
      <c r="J157" t="n">
        <v>39.7</v>
      </c>
      <c r="K157" t="n">
        <v>46.4</v>
      </c>
      <c r="L157" t="n">
        <v>45</v>
      </c>
      <c r="M157" t="n">
        <v/>
      </c>
      <c r="N157" t="n">
        <v/>
      </c>
      <c r="O157" t="n">
        <v/>
      </c>
      <c r="P157" t="n">
        <v>47.8</v>
      </c>
      <c r="Q157" t="n">
        <v>50.2</v>
      </c>
      <c r="R157" t="n">
        <v/>
      </c>
      <c r="S157" t="n">
        <v/>
      </c>
      <c r="T157" t="n">
        <v/>
      </c>
      <c r="U157" t="n">
        <v>47.1</v>
      </c>
      <c r="V157" t="n">
        <v>47.9</v>
      </c>
    </row>
    <row r="158">
      <c r="A158" s="73" t="n">
        <v>44013</v>
      </c>
      <c r="B158" t="n">
        <v>44</v>
      </c>
      <c r="C158" t="n">
        <v>42.5</v>
      </c>
      <c r="D158" t="n">
        <v>54.1</v>
      </c>
      <c r="E158" t="n">
        <v>54.7</v>
      </c>
      <c r="F158" t="n">
        <v>57.3</v>
      </c>
      <c r="G158" t="n">
        <v>55.6</v>
      </c>
      <c r="H158" t="n">
        <v>50.6</v>
      </c>
      <c r="I158" t="n">
        <v>34.2</v>
      </c>
      <c r="J158" t="n">
        <v>51.9</v>
      </c>
      <c r="K158" t="n">
        <v>51.6</v>
      </c>
      <c r="L158" t="n">
        <v>45.4</v>
      </c>
      <c r="M158" t="n">
        <v/>
      </c>
      <c r="N158" t="n">
        <v/>
      </c>
      <c r="O158" t="n">
        <v/>
      </c>
      <c r="P158" t="n">
        <v>58.5</v>
      </c>
      <c r="Q158" t="n">
        <v>51.9</v>
      </c>
      <c r="R158" t="n">
        <v/>
      </c>
      <c r="S158" t="n">
        <v/>
      </c>
      <c r="T158" t="n">
        <v/>
      </c>
      <c r="U158" t="n">
        <v>56.5</v>
      </c>
      <c r="V158" t="n">
        <v>50</v>
      </c>
    </row>
    <row r="159">
      <c r="A159" s="73" t="n">
        <v>44044</v>
      </c>
      <c r="B159" t="n">
        <v>43.5</v>
      </c>
      <c r="C159" t="n">
        <v>49.5</v>
      </c>
      <c r="D159" t="n">
        <v>54</v>
      </c>
      <c r="E159" t="n">
        <v>50.5</v>
      </c>
      <c r="F159" t="n">
        <v>51.5</v>
      </c>
      <c r="G159" t="n">
        <v>52.5</v>
      </c>
      <c r="H159" t="n">
        <v>52</v>
      </c>
      <c r="I159" t="n">
        <v>41.8</v>
      </c>
      <c r="J159" t="n">
        <v>52.4</v>
      </c>
      <c r="K159" t="n">
        <v>47.1</v>
      </c>
      <c r="L159" t="n">
        <v>45</v>
      </c>
      <c r="M159" t="n">
        <v/>
      </c>
      <c r="N159" t="n">
        <v/>
      </c>
      <c r="O159" t="n">
        <v/>
      </c>
      <c r="P159" t="n">
        <v>58.2</v>
      </c>
      <c r="Q159" t="n">
        <v>47.7</v>
      </c>
      <c r="R159" t="n">
        <v/>
      </c>
      <c r="S159" t="n">
        <v/>
      </c>
      <c r="T159" t="n">
        <v/>
      </c>
      <c r="U159" t="n">
        <v>58.8</v>
      </c>
      <c r="V159" t="n">
        <v>55</v>
      </c>
    </row>
    <row r="160">
      <c r="A160" s="73" t="n">
        <v>44075</v>
      </c>
      <c r="B160" t="n">
        <v>36.2</v>
      </c>
      <c r="C160" t="n">
        <v>50.4</v>
      </c>
      <c r="D160" t="n">
        <v>54.8</v>
      </c>
      <c r="E160" t="n">
        <v>48</v>
      </c>
      <c r="F160" t="n">
        <v>47.5</v>
      </c>
      <c r="G160" t="n">
        <v>50.6</v>
      </c>
      <c r="H160" t="n">
        <v>52</v>
      </c>
      <c r="I160" t="n">
        <v>49.8</v>
      </c>
      <c r="J160" t="n">
        <v>45.8</v>
      </c>
      <c r="K160" t="n">
        <v>48.8</v>
      </c>
      <c r="L160" t="n">
        <v>46.9</v>
      </c>
      <c r="M160" t="n">
        <v/>
      </c>
      <c r="N160" t="n">
        <v/>
      </c>
      <c r="O160" t="n">
        <v/>
      </c>
      <c r="P160" t="n">
        <v>53.7</v>
      </c>
      <c r="Q160" t="n">
        <v>42.4</v>
      </c>
      <c r="R160" t="n">
        <v/>
      </c>
      <c r="S160" t="n">
        <v/>
      </c>
      <c r="T160" t="n">
        <v/>
      </c>
      <c r="U160" t="n">
        <v>56.1</v>
      </c>
      <c r="V160" t="n">
        <v>54.6</v>
      </c>
    </row>
    <row r="161">
      <c r="A161" s="73" t="n">
        <v>44105</v>
      </c>
      <c r="B161" t="n">
        <v>51.4</v>
      </c>
      <c r="C161" t="n">
        <v>52.3</v>
      </c>
      <c r="D161" t="n">
        <v>56.8</v>
      </c>
      <c r="E161" t="n">
        <v>46.9</v>
      </c>
      <c r="F161" t="n">
        <v>46.5</v>
      </c>
      <c r="G161" t="n">
        <v>49.5</v>
      </c>
      <c r="H161" t="n">
        <v>52.9</v>
      </c>
      <c r="I161" t="n">
        <v>54.1</v>
      </c>
      <c r="J161" t="n">
        <v>48.3</v>
      </c>
      <c r="K161" t="n">
        <v>46.7</v>
      </c>
      <c r="L161" t="n">
        <v>47.7</v>
      </c>
      <c r="M161" t="n">
        <v/>
      </c>
      <c r="N161" t="n">
        <v/>
      </c>
      <c r="O161" t="n">
        <v/>
      </c>
      <c r="P161" t="n">
        <v>46.9</v>
      </c>
      <c r="Q161" t="n">
        <v>41.4</v>
      </c>
      <c r="R161" t="n">
        <v/>
      </c>
      <c r="S161" t="n">
        <v/>
      </c>
      <c r="T161" t="n">
        <v/>
      </c>
      <c r="U161" t="n">
        <v>51.4</v>
      </c>
      <c r="V161" t="n">
        <v>56.9</v>
      </c>
    </row>
    <row r="162">
      <c r="A162" s="73" t="n">
        <v>44136</v>
      </c>
      <c r="B162" t="n">
        <v>52.9</v>
      </c>
      <c r="C162" t="n">
        <v>50.9</v>
      </c>
      <c r="D162" t="n">
        <v>57.8</v>
      </c>
      <c r="E162" t="n">
        <v>41.7</v>
      </c>
      <c r="F162" t="n">
        <v>38.8</v>
      </c>
      <c r="G162" t="n">
        <v>46</v>
      </c>
      <c r="H162" t="n">
        <v>52.2</v>
      </c>
      <c r="I162" t="n">
        <v>53.7</v>
      </c>
      <c r="J162" t="n">
        <v>45.4</v>
      </c>
      <c r="K162" t="n">
        <v>39.4</v>
      </c>
      <c r="L162" t="n">
        <v>47.8</v>
      </c>
      <c r="M162" t="n">
        <v/>
      </c>
      <c r="N162" t="n">
        <v/>
      </c>
      <c r="O162" t="n">
        <v/>
      </c>
      <c r="P162" t="n">
        <v>48.2</v>
      </c>
      <c r="Q162" t="n">
        <v>39.5</v>
      </c>
      <c r="R162" t="n">
        <v/>
      </c>
      <c r="S162" t="n">
        <v/>
      </c>
      <c r="T162" t="n">
        <v/>
      </c>
      <c r="U162" t="n">
        <v>47.6</v>
      </c>
      <c r="V162" t="n">
        <v>58.4</v>
      </c>
    </row>
    <row r="163">
      <c r="A163" s="73" t="n">
        <v>44166</v>
      </c>
      <c r="B163" t="n">
        <v>54.3</v>
      </c>
      <c r="C163" t="n">
        <v>51.1</v>
      </c>
      <c r="D163" t="n">
        <v>56.3</v>
      </c>
      <c r="E163" t="n">
        <v>46.4</v>
      </c>
      <c r="F163" t="n">
        <v>49.1</v>
      </c>
      <c r="G163" t="n">
        <v>47</v>
      </c>
      <c r="H163" t="n">
        <v>51.8</v>
      </c>
      <c r="I163" t="n">
        <v>52.3</v>
      </c>
      <c r="J163" t="n">
        <v>50.1</v>
      </c>
      <c r="K163" t="n">
        <v>39.7</v>
      </c>
      <c r="L163" t="n">
        <v>47.2</v>
      </c>
      <c r="M163" t="n">
        <v/>
      </c>
      <c r="N163" t="n">
        <v/>
      </c>
      <c r="O163" t="n">
        <v/>
      </c>
      <c r="P163" t="n">
        <v>48</v>
      </c>
      <c r="Q163" t="n">
        <v>48</v>
      </c>
      <c r="R163" t="n">
        <v/>
      </c>
      <c r="S163" t="n">
        <v/>
      </c>
      <c r="T163" t="n">
        <v/>
      </c>
      <c r="U163" t="n">
        <v>49.4</v>
      </c>
      <c r="V163" t="n">
        <v>54.8</v>
      </c>
    </row>
    <row r="164">
      <c r="A164" s="73" t="n">
        <v>44197</v>
      </c>
      <c r="B164" t="n">
        <v>54.3</v>
      </c>
      <c r="C164" t="n">
        <v>47</v>
      </c>
      <c r="D164" t="n">
        <v>52</v>
      </c>
      <c r="E164" t="n">
        <v>45.4</v>
      </c>
      <c r="F164" t="n">
        <v>47.3</v>
      </c>
      <c r="G164" t="n">
        <v>46.7</v>
      </c>
      <c r="H164" t="n">
        <v>51.6</v>
      </c>
      <c r="I164" t="n">
        <v>52.8</v>
      </c>
      <c r="J164" t="n">
        <v>36.2</v>
      </c>
      <c r="K164" t="n">
        <v>44.7</v>
      </c>
      <c r="L164" t="n">
        <v>46.1</v>
      </c>
      <c r="M164" t="n">
        <v/>
      </c>
      <c r="N164" t="n">
        <v/>
      </c>
      <c r="O164" t="n">
        <v/>
      </c>
      <c r="P164" t="n">
        <v>52.7</v>
      </c>
      <c r="Q164" t="n">
        <v>41.7</v>
      </c>
      <c r="R164" t="n">
        <v/>
      </c>
      <c r="S164" t="n">
        <v/>
      </c>
      <c r="T164" t="n">
        <v/>
      </c>
      <c r="U164" t="n">
        <v>39.5</v>
      </c>
      <c r="V164" t="n">
        <v>58.3</v>
      </c>
    </row>
    <row r="165">
      <c r="A165" s="73" t="n">
        <v>44228</v>
      </c>
      <c r="B165" t="n">
        <v>55.8</v>
      </c>
      <c r="C165" t="n">
        <v>47.1</v>
      </c>
      <c r="D165" t="n">
        <v>51.5</v>
      </c>
      <c r="E165" t="n">
        <v>45.7</v>
      </c>
      <c r="F165" t="n">
        <v>45.6</v>
      </c>
      <c r="G165" t="n">
        <v>45.7</v>
      </c>
      <c r="H165" t="n">
        <v>52.8</v>
      </c>
      <c r="I165" t="n">
        <v>55.3</v>
      </c>
      <c r="J165" t="n">
        <v>41.2</v>
      </c>
      <c r="K165" t="n">
        <v>48.8</v>
      </c>
      <c r="L165" t="n">
        <v>46.3</v>
      </c>
      <c r="M165" t="n">
        <v/>
      </c>
      <c r="N165" t="n">
        <v/>
      </c>
      <c r="O165" t="n">
        <v/>
      </c>
      <c r="P165" t="n">
        <v>52.2</v>
      </c>
      <c r="Q165" t="n">
        <v>43.1</v>
      </c>
      <c r="R165" t="n">
        <v/>
      </c>
      <c r="S165" t="n">
        <v/>
      </c>
      <c r="T165" t="n">
        <v/>
      </c>
      <c r="U165" t="n">
        <v>49.5</v>
      </c>
      <c r="V165" t="n">
        <v>59.8</v>
      </c>
    </row>
    <row r="166">
      <c r="A166" s="73" t="n">
        <v>44256</v>
      </c>
      <c r="B166" t="n">
        <v>58.7</v>
      </c>
      <c r="C166" t="n">
        <v>44.1</v>
      </c>
      <c r="D166" t="n">
        <v>54.3</v>
      </c>
      <c r="E166" t="n">
        <v>49.6</v>
      </c>
      <c r="F166" t="n">
        <v>48.2</v>
      </c>
      <c r="G166" t="n">
        <v>51.5</v>
      </c>
      <c r="H166" t="n">
        <v>54.7</v>
      </c>
      <c r="I166" t="n">
        <v>54.6</v>
      </c>
      <c r="J166" t="n">
        <v>54.6</v>
      </c>
      <c r="K166" t="n">
        <v>48.6</v>
      </c>
      <c r="L166" t="n">
        <v>48.3</v>
      </c>
      <c r="M166" t="n">
        <v/>
      </c>
      <c r="N166" t="n">
        <v/>
      </c>
      <c r="O166" t="n">
        <v/>
      </c>
      <c r="P166" t="n">
        <v>55.8</v>
      </c>
      <c r="Q166" t="n">
        <v>48.1</v>
      </c>
      <c r="R166" t="n">
        <v/>
      </c>
      <c r="S166" t="n">
        <v/>
      </c>
      <c r="T166" t="n">
        <v/>
      </c>
      <c r="U166" t="n">
        <v>56.3</v>
      </c>
      <c r="V166" t="n">
        <v>60.4</v>
      </c>
    </row>
    <row r="167">
      <c r="A167" s="73" t="n">
        <v>44287</v>
      </c>
      <c r="B167" t="n">
        <v>61</v>
      </c>
      <c r="C167" t="n">
        <v>42.9</v>
      </c>
      <c r="D167" t="n">
        <v>56.3</v>
      </c>
      <c r="E167" t="n">
        <v>50.5</v>
      </c>
      <c r="F167" t="n">
        <v>50.3</v>
      </c>
      <c r="G167" t="n">
        <v>49.9</v>
      </c>
      <c r="H167" t="n">
        <v>57</v>
      </c>
      <c r="I167" t="n">
        <v>54</v>
      </c>
      <c r="J167" t="n">
        <v>57.7</v>
      </c>
      <c r="K167" t="n">
        <v>47.3</v>
      </c>
      <c r="L167" t="n">
        <v>49.5</v>
      </c>
      <c r="M167" t="n">
        <v/>
      </c>
      <c r="N167" t="n">
        <v/>
      </c>
      <c r="O167" t="n">
        <v/>
      </c>
      <c r="P167" t="n">
        <v>55.2</v>
      </c>
      <c r="Q167" t="n">
        <v>54.6</v>
      </c>
      <c r="R167" t="n">
        <v/>
      </c>
      <c r="S167" t="n">
        <v/>
      </c>
      <c r="T167" t="n">
        <v/>
      </c>
      <c r="U167" t="n">
        <v>60.1</v>
      </c>
      <c r="V167" t="n">
        <v>64.7</v>
      </c>
    </row>
    <row r="168">
      <c r="A168" s="73" t="n">
        <v>44317</v>
      </c>
      <c r="B168" t="n">
        <v>61.2</v>
      </c>
      <c r="C168" t="n">
        <v>48.3</v>
      </c>
      <c r="D168" t="n">
        <v>55.1</v>
      </c>
      <c r="E168" t="n">
        <v>55.2</v>
      </c>
      <c r="F168" t="n">
        <v>56.6</v>
      </c>
      <c r="G168" t="n">
        <v>52.8</v>
      </c>
      <c r="H168" t="n">
        <v>59.5</v>
      </c>
      <c r="I168" t="n">
        <v>46.4</v>
      </c>
      <c r="J168" t="n">
        <v>62.1</v>
      </c>
      <c r="K168" t="n">
        <v>53.1</v>
      </c>
      <c r="L168" t="n">
        <v>46.5</v>
      </c>
      <c r="M168" t="n">
        <v/>
      </c>
      <c r="N168" t="n">
        <v/>
      </c>
      <c r="O168" t="n">
        <v/>
      </c>
      <c r="P168" t="n">
        <v>57.5</v>
      </c>
      <c r="Q168" t="n">
        <v>59.4</v>
      </c>
      <c r="R168" t="n">
        <v/>
      </c>
      <c r="S168" t="n">
        <v/>
      </c>
      <c r="T168" t="n">
        <v/>
      </c>
      <c r="U168" t="n">
        <v>62.9</v>
      </c>
      <c r="V168" t="n">
        <v>70.40000000000001</v>
      </c>
    </row>
    <row r="169">
      <c r="A169" s="73" t="n">
        <v>44348</v>
      </c>
      <c r="B169" t="n">
        <v>57.8</v>
      </c>
      <c r="C169" t="n">
        <v>53.9</v>
      </c>
      <c r="D169" t="n">
        <v>50.3</v>
      </c>
      <c r="E169" t="n">
        <v>58.3</v>
      </c>
      <c r="F169" t="n">
        <v>57.8</v>
      </c>
      <c r="G169" t="n">
        <v>57.5</v>
      </c>
      <c r="H169" t="n">
        <v>57.4</v>
      </c>
      <c r="I169" t="n">
        <v>41.2</v>
      </c>
      <c r="J169" t="n">
        <v>63.1</v>
      </c>
      <c r="K169" t="n">
        <v>56.8</v>
      </c>
      <c r="L169" t="n">
        <v>48</v>
      </c>
      <c r="M169" t="n">
        <v/>
      </c>
      <c r="N169" t="n">
        <v/>
      </c>
      <c r="O169" t="n">
        <v/>
      </c>
      <c r="P169" t="n">
        <v>56.5</v>
      </c>
      <c r="Q169" t="n">
        <v>62.5</v>
      </c>
      <c r="R169" t="n">
        <v/>
      </c>
      <c r="S169" t="n">
        <v/>
      </c>
      <c r="T169" t="n">
        <v/>
      </c>
      <c r="U169" t="n">
        <v>62.4</v>
      </c>
      <c r="V169" t="n">
        <v>64.59999999999999</v>
      </c>
    </row>
    <row r="170">
      <c r="A170" s="73" t="n">
        <v>44378</v>
      </c>
      <c r="B170" t="n">
        <v>51.7</v>
      </c>
      <c r="C170" t="n">
        <v>54.4</v>
      </c>
      <c r="D170" t="n">
        <v>54.9</v>
      </c>
      <c r="E170" t="n">
        <v>59.8</v>
      </c>
      <c r="F170" t="n">
        <v>56.8</v>
      </c>
      <c r="G170" t="n">
        <v>61.8</v>
      </c>
      <c r="H170" t="n">
        <v>56.3</v>
      </c>
      <c r="I170" t="n">
        <v>45.4</v>
      </c>
      <c r="J170" t="n">
        <v>66.59999999999999</v>
      </c>
      <c r="K170" t="n">
        <v>58</v>
      </c>
      <c r="L170" t="n">
        <v>47.4</v>
      </c>
      <c r="M170" t="n">
        <v/>
      </c>
      <c r="N170" t="n">
        <v/>
      </c>
      <c r="O170" t="n">
        <v/>
      </c>
      <c r="P170" t="n">
        <v>53.5</v>
      </c>
      <c r="Q170" t="n">
        <v>61.9</v>
      </c>
      <c r="R170" t="n">
        <v/>
      </c>
      <c r="S170" t="n">
        <v/>
      </c>
      <c r="T170" t="n">
        <v/>
      </c>
      <c r="U170" t="n">
        <v>59.6</v>
      </c>
      <c r="V170" t="n">
        <v>59.9</v>
      </c>
    </row>
    <row r="171">
      <c r="A171" s="73" t="n">
        <v>44409</v>
      </c>
      <c r="B171" t="n">
        <v>45.6</v>
      </c>
      <c r="C171" t="n">
        <v>55.1</v>
      </c>
      <c r="D171" t="n">
        <v>46.7</v>
      </c>
      <c r="E171" t="n">
        <v>59</v>
      </c>
      <c r="F171" t="n">
        <v>56.3</v>
      </c>
      <c r="G171" t="n">
        <v>60.8</v>
      </c>
      <c r="H171" t="n">
        <v>52.8</v>
      </c>
      <c r="I171" t="n">
        <v>56.7</v>
      </c>
      <c r="J171" t="n">
        <v>63.7</v>
      </c>
      <c r="K171" t="n">
        <v>58</v>
      </c>
      <c r="L171" t="n">
        <v>42.9</v>
      </c>
      <c r="M171" t="n">
        <v/>
      </c>
      <c r="N171" t="n">
        <v/>
      </c>
      <c r="O171" t="n">
        <v/>
      </c>
      <c r="P171" t="n">
        <v>49.3</v>
      </c>
      <c r="Q171" t="n">
        <v>60.1</v>
      </c>
      <c r="R171" t="n">
        <v/>
      </c>
      <c r="S171" t="n">
        <v/>
      </c>
      <c r="T171" t="n">
        <v>61.3</v>
      </c>
      <c r="U171" t="n">
        <v>55</v>
      </c>
      <c r="V171" t="n">
        <v>55.1</v>
      </c>
    </row>
    <row r="172">
      <c r="A172" s="73" t="n">
        <v>44440</v>
      </c>
      <c r="B172" t="n">
        <v>45.7</v>
      </c>
      <c r="C172" t="n">
        <v>54.6</v>
      </c>
      <c r="D172" t="n">
        <v>53.4</v>
      </c>
      <c r="E172" t="n">
        <v>56.4</v>
      </c>
      <c r="F172" t="n">
        <v>56.2</v>
      </c>
      <c r="G172" t="n">
        <v>56.2</v>
      </c>
      <c r="H172" t="n">
        <v>53.8</v>
      </c>
      <c r="I172" t="n">
        <v>55.2</v>
      </c>
      <c r="J172" t="n">
        <v>63.7</v>
      </c>
      <c r="K172" t="n">
        <v>55.5</v>
      </c>
      <c r="L172" t="n">
        <v>47.8</v>
      </c>
      <c r="M172" t="n">
        <v/>
      </c>
      <c r="N172" t="n">
        <v/>
      </c>
      <c r="O172" t="n">
        <v/>
      </c>
      <c r="P172" t="n">
        <v>50.5</v>
      </c>
      <c r="Q172" t="n">
        <v>56.9</v>
      </c>
      <c r="R172" t="n">
        <v/>
      </c>
      <c r="S172" t="n">
        <v/>
      </c>
      <c r="T172" t="n">
        <v/>
      </c>
      <c r="U172" t="n">
        <v>55.4</v>
      </c>
      <c r="V172" t="n">
        <v>54.9</v>
      </c>
    </row>
    <row r="173">
      <c r="A173" s="73" t="n">
        <v>44470</v>
      </c>
      <c r="B173" t="n">
        <v>47.6</v>
      </c>
      <c r="C173" t="n">
        <v>54.9</v>
      </c>
      <c r="D173" t="n">
        <v>53.8</v>
      </c>
      <c r="E173" t="n">
        <v>54.6</v>
      </c>
      <c r="F173" t="n">
        <v>56.6</v>
      </c>
      <c r="G173" t="n">
        <v>52.4</v>
      </c>
      <c r="H173" t="n">
        <v>55.6</v>
      </c>
      <c r="I173" t="n">
        <v>58.4</v>
      </c>
      <c r="J173" t="n">
        <v>63.4</v>
      </c>
      <c r="K173" t="n">
        <v>52.4</v>
      </c>
      <c r="L173" t="n">
        <v>50.7</v>
      </c>
      <c r="M173" t="n">
        <v/>
      </c>
      <c r="N173" t="n">
        <v/>
      </c>
      <c r="O173" t="n">
        <v/>
      </c>
      <c r="P173" t="n">
        <v>58.8</v>
      </c>
      <c r="Q173" t="n">
        <v>56.6</v>
      </c>
      <c r="R173" t="n">
        <v/>
      </c>
      <c r="S173" t="n">
        <v/>
      </c>
      <c r="T173" t="n">
        <v/>
      </c>
      <c r="U173" t="n">
        <v>59.1</v>
      </c>
      <c r="V173" t="n">
        <v>58.7</v>
      </c>
    </row>
    <row r="174">
      <c r="A174" s="73" t="n">
        <v>44501</v>
      </c>
      <c r="B174" t="n">
        <v>47.6</v>
      </c>
      <c r="C174" t="n">
        <v>53.6</v>
      </c>
      <c r="D174" t="n">
        <v>52.1</v>
      </c>
      <c r="E174" t="n">
        <v>55.9</v>
      </c>
      <c r="F174" t="n">
        <v>57.4</v>
      </c>
      <c r="G174" t="n">
        <v>52.7</v>
      </c>
      <c r="H174" t="n">
        <v>55.6</v>
      </c>
      <c r="I174" t="n">
        <v>58.1</v>
      </c>
      <c r="J174" t="n">
        <v>59.3</v>
      </c>
      <c r="K174" t="n">
        <v>55.9</v>
      </c>
      <c r="L174" t="n">
        <v>53</v>
      </c>
      <c r="M174" t="n">
        <v/>
      </c>
      <c r="N174" t="n">
        <v/>
      </c>
      <c r="O174" t="n">
        <v/>
      </c>
      <c r="P174" t="n">
        <v>47.1</v>
      </c>
      <c r="Q174" t="n">
        <v>59.8</v>
      </c>
      <c r="R174" t="n">
        <v/>
      </c>
      <c r="S174" t="n">
        <v/>
      </c>
      <c r="T174" t="n">
        <v/>
      </c>
      <c r="U174" t="n">
        <v>58.5</v>
      </c>
      <c r="V174" t="n">
        <v>58</v>
      </c>
    </row>
    <row r="175">
      <c r="A175" s="73" t="n">
        <v>44531</v>
      </c>
      <c r="B175" t="n">
        <v>49.6</v>
      </c>
      <c r="C175" t="n">
        <v>53.6</v>
      </c>
      <c r="D175" t="n">
        <v>53.1</v>
      </c>
      <c r="E175" t="n">
        <v>53.1</v>
      </c>
      <c r="F175" t="n">
        <v>57</v>
      </c>
      <c r="G175" t="n">
        <v>48.7</v>
      </c>
      <c r="H175" t="n">
        <v>54.6</v>
      </c>
      <c r="I175" t="n">
        <v>55.5</v>
      </c>
      <c r="J175" t="n">
        <v>55.4</v>
      </c>
      <c r="K175" t="n">
        <v>53</v>
      </c>
      <c r="L175" t="n">
        <v>52.1</v>
      </c>
      <c r="M175" t="n">
        <v/>
      </c>
      <c r="N175" t="n">
        <v>49.7</v>
      </c>
      <c r="O175" t="n">
        <v>48</v>
      </c>
      <c r="P175" t="n">
        <v>49.5</v>
      </c>
      <c r="Q175" t="n">
        <v>55.8</v>
      </c>
      <c r="R175" t="n">
        <v>62.4</v>
      </c>
      <c r="S175" t="n">
        <v/>
      </c>
      <c r="T175" t="n">
        <v/>
      </c>
      <c r="U175" t="n">
        <v>53.6</v>
      </c>
      <c r="V175" t="n">
        <v>57.6</v>
      </c>
    </row>
    <row r="176">
      <c r="A176" s="73" t="n">
        <v>44562</v>
      </c>
      <c r="B176" t="n">
        <v>56.2</v>
      </c>
      <c r="C176" t="n">
        <v>52.8</v>
      </c>
      <c r="D176" t="n">
        <v>51.4</v>
      </c>
      <c r="E176" t="n">
        <v>51.1</v>
      </c>
      <c r="F176" t="n">
        <v>53.1</v>
      </c>
      <c r="G176" t="n">
        <v>52.2</v>
      </c>
      <c r="H176" t="n">
        <v>51.3</v>
      </c>
      <c r="I176" t="n">
        <v>51.5</v>
      </c>
      <c r="J176" t="n">
        <v>56.2</v>
      </c>
      <c r="K176" t="n">
        <v>48.5</v>
      </c>
      <c r="L176" t="n">
        <v>47.6</v>
      </c>
      <c r="M176" t="n">
        <v>27.3</v>
      </c>
      <c r="N176" t="n">
        <v>45.9</v>
      </c>
      <c r="O176" t="n">
        <v/>
      </c>
      <c r="P176" t="n">
        <v>49.8</v>
      </c>
      <c r="Q176" t="n">
        <v>46.6</v>
      </c>
      <c r="R176" t="n">
        <v>57.5</v>
      </c>
      <c r="S176" t="n">
        <v>68.59999999999999</v>
      </c>
      <c r="T176" t="n">
        <v>56.44</v>
      </c>
      <c r="U176" t="n">
        <v>54.1</v>
      </c>
      <c r="V176" t="n">
        <v>51.2</v>
      </c>
    </row>
    <row r="177">
      <c r="A177" s="73" t="n">
        <v>44593</v>
      </c>
      <c r="B177" t="n">
        <v>60</v>
      </c>
      <c r="C177" t="n">
        <v>54.7</v>
      </c>
      <c r="D177" t="n">
        <v>50.2</v>
      </c>
      <c r="E177" t="n">
        <v>55.8</v>
      </c>
      <c r="F177" t="n">
        <v>57.9</v>
      </c>
      <c r="G177" t="n">
        <v>56.6</v>
      </c>
      <c r="H177" t="n">
        <v/>
      </c>
      <c r="I177" t="n">
        <v>51.8</v>
      </c>
      <c r="J177" t="n">
        <v>61.8</v>
      </c>
      <c r="K177" t="n">
        <v>52.8</v>
      </c>
      <c r="L177" t="n">
        <v>42.7</v>
      </c>
      <c r="M177" t="n">
        <v>53.1</v>
      </c>
      <c r="N177" t="n">
        <v>48.6</v>
      </c>
      <c r="O177" t="n">
        <v/>
      </c>
      <c r="P177" t="n">
        <v>52.1</v>
      </c>
      <c r="Q177" t="n">
        <v>56.6</v>
      </c>
      <c r="R177" t="n">
        <v>51.8</v>
      </c>
      <c r="S177" t="n">
        <v>68</v>
      </c>
      <c r="T177" t="n">
        <v>64.28</v>
      </c>
      <c r="U177" t="n">
        <v>60.8</v>
      </c>
      <c r="V177" t="n">
        <v>56.7</v>
      </c>
    </row>
    <row r="178">
      <c r="A178" s="73" t="n">
        <v>44621</v>
      </c>
      <c r="B178" t="n">
        <v>56.2</v>
      </c>
      <c r="C178" t="n">
        <v>58.1</v>
      </c>
      <c r="D178" t="n">
        <v>42</v>
      </c>
      <c r="E178" t="n">
        <v>54.8</v>
      </c>
      <c r="F178" t="n">
        <v>57.4</v>
      </c>
      <c r="G178" t="n">
        <v>55</v>
      </c>
      <c r="H178" t="n">
        <v/>
      </c>
      <c r="I178" t="n">
        <v>53.6</v>
      </c>
      <c r="J178" t="n">
        <v>63.4</v>
      </c>
      <c r="K178" t="n">
        <v>52.1</v>
      </c>
      <c r="L178" t="n">
        <v>48.7</v>
      </c>
      <c r="M178" t="n">
        <v>49</v>
      </c>
      <c r="N178" t="n">
        <v>51.6</v>
      </c>
      <c r="O178" t="n">
        <v/>
      </c>
      <c r="P178" t="n">
        <v>38.1</v>
      </c>
      <c r="Q178" t="n">
        <v>53.4</v>
      </c>
      <c r="R178" t="n">
        <v>51.3</v>
      </c>
      <c r="S178" t="n">
        <v>65.3</v>
      </c>
      <c r="T178" t="n">
        <v>61.12</v>
      </c>
      <c r="U178" t="n">
        <v>61</v>
      </c>
      <c r="V178" t="n">
        <v>58.9</v>
      </c>
    </row>
    <row r="179">
      <c r="A179" s="73" t="n">
        <v>44652</v>
      </c>
      <c r="B179" t="n">
        <v>57.8</v>
      </c>
      <c r="C179" t="n">
        <v>60.6</v>
      </c>
      <c r="D179" t="n">
        <v>36.2</v>
      </c>
      <c r="E179" t="n">
        <v>57.7</v>
      </c>
      <c r="F179" t="n">
        <v>58.8</v>
      </c>
      <c r="G179" t="n">
        <v>57.9</v>
      </c>
      <c r="H179" t="n">
        <v/>
      </c>
      <c r="I179" t="n">
        <v>57.9</v>
      </c>
      <c r="J179" t="n">
        <v>61.7</v>
      </c>
      <c r="K179" t="n">
        <v>55.7</v>
      </c>
      <c r="L179" t="n">
        <v>50.5</v>
      </c>
      <c r="M179" t="n">
        <v>51.4</v>
      </c>
      <c r="N179" t="n">
        <v>51.4</v>
      </c>
      <c r="O179" t="n">
        <v/>
      </c>
      <c r="P179" t="n">
        <v>44.5</v>
      </c>
      <c r="Q179" t="n">
        <v>57.1</v>
      </c>
      <c r="R179" t="n">
        <v>43.8</v>
      </c>
      <c r="S179" t="n">
        <v>68.09999999999999</v>
      </c>
      <c r="T179" t="n">
        <v>56.22</v>
      </c>
      <c r="U179" t="n">
        <v>58.3</v>
      </c>
      <c r="V179" t="n">
        <v>54.7</v>
      </c>
    </row>
    <row r="180">
      <c r="A180" s="73" t="n">
        <v>44682</v>
      </c>
      <c r="B180" t="n">
        <v/>
      </c>
      <c r="C180" t="n">
        <v/>
      </c>
      <c r="D180" t="n">
        <v/>
      </c>
      <c r="E180" t="n">
        <v>56.3</v>
      </c>
      <c r="F180" t="n">
        <v>58.4</v>
      </c>
      <c r="G180" t="n">
        <v>56.3</v>
      </c>
      <c r="H180" t="n">
        <v/>
      </c>
      <c r="I180" t="n">
        <v/>
      </c>
      <c r="J180" t="n">
        <v/>
      </c>
      <c r="K180" t="n">
        <v/>
      </c>
      <c r="L180" t="n">
        <v>51.7</v>
      </c>
      <c r="M180" t="n">
        <v/>
      </c>
      <c r="N180" t="n">
        <v/>
      </c>
      <c r="O180" t="n">
        <v/>
      </c>
      <c r="P180" t="n">
        <v/>
      </c>
      <c r="Q180" t="n">
        <v/>
      </c>
      <c r="R180" t="n">
        <v/>
      </c>
      <c r="S180" t="n">
        <v/>
      </c>
      <c r="T180" t="n">
        <v/>
      </c>
      <c r="U180" t="n">
        <v>51.8</v>
      </c>
      <c r="V180" t="n">
        <v>53.5</v>
      </c>
    </row>
  </sheetData>
  <pageMargins left="0.7" right="0.7" top="0.75" bottom="0.75" header="0.3" footer="0.3"/>
</worksheet>
</file>

<file path=xl/worksheets/sheet3.xml><?xml version="1.0" encoding="utf-8"?>
<worksheet xmlns="http://schemas.openxmlformats.org/spreadsheetml/2006/main">
  <sheetPr>
    <tabColor rgb="FFFF0000"/>
    <outlinePr summaryBelow="1" summaryRight="1"/>
    <pageSetUpPr/>
  </sheetPr>
  <dimension ref="B1:Y95"/>
  <sheetViews>
    <sheetView zoomScale="170" zoomScaleNormal="170" workbookViewId="0">
      <pane xSplit="2" ySplit="11" topLeftCell="C91" activePane="bottomRight" state="frozen"/>
      <selection activeCell="V1" sqref="V1"/>
      <selection pane="topRight" activeCell="V1" sqref="V1"/>
      <selection pane="bottomLeft" activeCell="V1" sqref="V1"/>
      <selection pane="bottomRight" activeCell="V1" sqref="V1"/>
    </sheetView>
  </sheetViews>
  <sheetFormatPr baseColWidth="10" defaultColWidth="9.1640625" defaultRowHeight="15"/>
  <cols>
    <col width="9.1640625" customWidth="1" style="60" min="1" max="1"/>
    <col width="17.83203125" customWidth="1" style="38" min="2" max="2"/>
    <col width="6.1640625" customWidth="1" style="38" min="3" max="17"/>
    <col width="9.1640625" customWidth="1" style="60" min="18" max="18"/>
    <col width="12.33203125" customWidth="1" style="60" min="19" max="19"/>
    <col width="9.1640625" customWidth="1" style="60" min="20" max="20"/>
    <col width="10.5" customWidth="1" style="60" min="21" max="21"/>
    <col width="10.6640625" bestFit="1" customWidth="1" style="60" min="22" max="22"/>
    <col width="9.1640625" customWidth="1" style="60" min="23" max="63"/>
    <col width="9.1640625" customWidth="1" style="38" min="64" max="68"/>
    <col width="9.1640625" customWidth="1" style="38" min="69" max="16384"/>
  </cols>
  <sheetData>
    <row r="1" ht="16" customFormat="1" customHeight="1" s="60" thickBot="1">
      <c r="S1" s="16" t="inlineStr">
        <is>
          <t>*to update</t>
        </is>
      </c>
      <c r="T1" s="60" t="inlineStr">
        <is>
          <t>Last month</t>
        </is>
      </c>
      <c r="V1" s="47" t="n">
        <v>44593</v>
      </c>
      <c r="Y1" s="3" t="inlineStr">
        <is>
          <t>*modify max/min/avg</t>
        </is>
      </c>
    </row>
    <row r="2" ht="72.75" customHeight="1" s="38" thickBot="1">
      <c r="B2" s="17" t="n"/>
      <c r="C2" s="18" t="inlineStr">
        <is>
          <t>Global</t>
        </is>
      </c>
      <c r="D2" s="18" t="inlineStr">
        <is>
          <t>US</t>
        </is>
      </c>
      <c r="E2" s="18" t="inlineStr">
        <is>
          <t xml:space="preserve">China </t>
        </is>
      </c>
      <c r="F2" s="18" t="inlineStr">
        <is>
          <t>Eurozone</t>
        </is>
      </c>
      <c r="G2" s="18" t="inlineStr">
        <is>
          <t xml:space="preserve">Japan </t>
        </is>
      </c>
      <c r="H2" s="18" t="inlineStr">
        <is>
          <t>Germany</t>
        </is>
      </c>
      <c r="I2" s="18" t="inlineStr">
        <is>
          <t>France</t>
        </is>
      </c>
      <c r="J2" s="18" t="inlineStr">
        <is>
          <t>UK</t>
        </is>
      </c>
      <c r="K2" s="18" t="inlineStr">
        <is>
          <t xml:space="preserve">Italy </t>
        </is>
      </c>
      <c r="L2" s="18" t="inlineStr">
        <is>
          <t>Spain</t>
        </is>
      </c>
      <c r="M2" s="18" t="inlineStr">
        <is>
          <t>Brazil</t>
        </is>
      </c>
      <c r="N2" s="18" t="inlineStr">
        <is>
          <t>Russia</t>
        </is>
      </c>
      <c r="O2" s="18" t="inlineStr">
        <is>
          <t>India</t>
        </is>
      </c>
      <c r="P2" s="18" t="inlineStr">
        <is>
          <t>Australia</t>
        </is>
      </c>
      <c r="Q2" s="18" t="inlineStr">
        <is>
          <t>Ireland</t>
        </is>
      </c>
    </row>
    <row r="3" hidden="1" s="38">
      <c r="B3" s="20" t="inlineStr">
        <is>
          <t>max 12m</t>
        </is>
      </c>
      <c r="C3" s="21">
        <f>MAX(OFFSET(C$12,COUNT(C$12:C$105),0,-13,1))</f>
        <v/>
      </c>
      <c r="D3" s="21">
        <f>MAX(OFFSET(D$12,COUNT(D$12:D$105),0,-13,1))</f>
        <v/>
      </c>
      <c r="E3" s="21">
        <f>MAX(OFFSET(E$12,COUNT(E$12:E$105),0,-13,1))</f>
        <v/>
      </c>
      <c r="F3" s="21">
        <f>MAX(OFFSET(F$12,COUNT(F$12:F$105),0,-13,1))</f>
        <v/>
      </c>
      <c r="G3" s="21">
        <f>MAX(OFFSET(G$12,COUNT(G$12:G$105),0,-13,1))</f>
        <v/>
      </c>
      <c r="H3" s="21">
        <f>MAX(OFFSET(H$12,COUNT(H$12:H$105),0,-13,1))</f>
        <v/>
      </c>
      <c r="I3" s="21">
        <f>MAX(OFFSET(I$12,COUNT(I$12:I$105),0,-13,1))</f>
        <v/>
      </c>
      <c r="J3" s="21">
        <f>MAX(OFFSET(J$12,COUNT(J$12:J$105),0,-13,1))</f>
        <v/>
      </c>
      <c r="K3" s="21">
        <f>MAX(OFFSET(K$12,COUNT(K$12:K$105),0,-13,1))</f>
        <v/>
      </c>
      <c r="L3" s="21">
        <f>MAX(OFFSET(L$12,COUNT(L$12:L$105),0,-13,1))</f>
        <v/>
      </c>
      <c r="M3" s="21">
        <f>MAX(OFFSET(M$12,COUNT(M$12:M$105),0,-13,1))</f>
        <v/>
      </c>
      <c r="N3" s="21">
        <f>MAX(OFFSET(N$12,COUNT(N$12:N$105),0,-13,1))</f>
        <v/>
      </c>
      <c r="O3" s="21">
        <f>MAX(OFFSET(O$12,COUNT(O$12:O$105),0,-13,1))</f>
        <v/>
      </c>
      <c r="P3" s="21">
        <f>MAX(OFFSET(P$12,COUNT(P$12:P$105),0,-13,1))</f>
        <v/>
      </c>
      <c r="Q3" s="21">
        <f>MAX(OFFSET(Q$12,COUNT(Q$12:Q$105),0,-13,1))</f>
        <v/>
      </c>
      <c r="T3" s="60" t="inlineStr">
        <is>
          <t>Previous Month</t>
        </is>
      </c>
      <c r="V3" s="19">
        <f>DATE(YEAR(V1),MONTH(V1)-1,DAY(V1))</f>
        <v/>
      </c>
    </row>
    <row r="4" hidden="1" s="38">
      <c r="B4" s="20" t="inlineStr">
        <is>
          <t>min 12m</t>
        </is>
      </c>
      <c r="C4" s="21">
        <f>MIN(OFFSET(C$12,COUNT(C$12:C$105),0,-13,1))</f>
        <v/>
      </c>
      <c r="D4" s="21">
        <f>MIN(OFFSET(D$12,COUNT(D$12:D$105),0,-13,1))</f>
        <v/>
      </c>
      <c r="E4" s="21">
        <f>MIN(OFFSET(E$12,COUNT(E$12:E$105),0,-13,1))</f>
        <v/>
      </c>
      <c r="F4" s="21">
        <f>MIN(OFFSET(F$12,COUNT(F$12:F$105),0,-13,1))</f>
        <v/>
      </c>
      <c r="G4" s="21">
        <f>MIN(OFFSET(G$12,COUNT(G$12:G$105),0,-13,1))</f>
        <v/>
      </c>
      <c r="H4" s="21">
        <f>MIN(OFFSET(H$12,COUNT(H$12:H$105),0,-13,1))</f>
        <v/>
      </c>
      <c r="I4" s="21">
        <f>MIN(OFFSET(I$12,COUNT(I$12:I$105),0,-13,1))</f>
        <v/>
      </c>
      <c r="J4" s="21">
        <f>MIN(OFFSET(J$12,COUNT(J$12:J$105),0,-13,1))</f>
        <v/>
      </c>
      <c r="K4" s="21">
        <f>MIN(OFFSET(K$12,COUNT(K$12:K$105),0,-13,1))</f>
        <v/>
      </c>
      <c r="L4" s="21">
        <f>MIN(OFFSET(L$12,COUNT(L$12:L$105),0,-13,1))</f>
        <v/>
      </c>
      <c r="M4" s="21">
        <f>MIN(OFFSET(M$12,COUNT(M$12:M$105),0,-13,1))</f>
        <v/>
      </c>
      <c r="N4" s="21">
        <f>MIN(OFFSET(N$12,COUNT(N$12:N$105),0,-13,1))</f>
        <v/>
      </c>
      <c r="O4" s="21">
        <f>MIN(OFFSET(O$12,COUNT(O$12:O$105),0,-13,1))</f>
        <v/>
      </c>
      <c r="P4" s="21">
        <f>MIN(OFFSET(P$12,COUNT(P$12:P$105),0,-13,1))</f>
        <v/>
      </c>
      <c r="Q4" s="21">
        <f>MIN(OFFSET(Q$12,COUNT(Q$12:Q$105),0,-13,1))</f>
        <v/>
      </c>
      <c r="T4" s="60" t="inlineStr">
        <is>
          <t>12 months</t>
        </is>
      </c>
      <c r="V4" s="19">
        <f>DATE(YEAR(V1),MONTH(V1)-12,DAY(V1))</f>
        <v/>
      </c>
    </row>
    <row r="5" hidden="1" ht="16" customHeight="1" s="38" thickBot="1">
      <c r="B5" s="20" t="inlineStr">
        <is>
          <t>12m avg</t>
        </is>
      </c>
      <c r="C5" s="22">
        <f>AVERAGE(OFFSET(C$12,COUNT(C$12:C$105),0,-13,1))</f>
        <v/>
      </c>
      <c r="D5" s="22">
        <f>AVERAGE(OFFSET(D$12,COUNT(D$12:D$105),0,-13,1))</f>
        <v/>
      </c>
      <c r="E5" s="22">
        <f>AVERAGE(OFFSET(E$12,COUNT(E$12:E$105),0,-13,1))</f>
        <v/>
      </c>
      <c r="F5" s="22">
        <f>AVERAGE(OFFSET(F$12,COUNT(F$12:F$105),0,-13,1))</f>
        <v/>
      </c>
      <c r="G5" s="22">
        <f>AVERAGE(OFFSET(G$12,COUNT(G$12:G$105),0,-13,1))</f>
        <v/>
      </c>
      <c r="H5" s="22">
        <f>AVERAGE(OFFSET(H$12,COUNT(H$12:H$105),0,-13,1))</f>
        <v/>
      </c>
      <c r="I5" s="22">
        <f>AVERAGE(OFFSET(I$12,COUNT(I$12:I$105),0,-13,1))</f>
        <v/>
      </c>
      <c r="J5" s="22">
        <f>AVERAGE(OFFSET(J$12,COUNT(J$12:J$105),0,-13,1))</f>
        <v/>
      </c>
      <c r="K5" s="22">
        <f>AVERAGE(OFFSET(K$12,COUNT(K$12:K$105),0,-13,1))</f>
        <v/>
      </c>
      <c r="L5" s="22">
        <f>AVERAGE(OFFSET(L$12,COUNT(L$12:L$105),0,-13,1))</f>
        <v/>
      </c>
      <c r="M5" s="22">
        <f>AVERAGE(OFFSET(M$12,COUNT(M$12:M$105),0,-13,1))</f>
        <v/>
      </c>
      <c r="N5" s="22">
        <f>AVERAGE(OFFSET(N$12,COUNT(N$12:N$105),0,-13,1))</f>
        <v/>
      </c>
      <c r="O5" s="22">
        <f>AVERAGE(OFFSET(O$12,COUNT(O$12:O$105),0,-13,1))</f>
        <v/>
      </c>
      <c r="P5" s="22">
        <f>AVERAGE(OFFSET(P$12,COUNT(P$12:P$105),0,-13,1))</f>
        <v/>
      </c>
      <c r="Q5" s="22">
        <f>AVERAGE(OFFSET(Q$12,COUNT(Q$12:Q$105),0,-13,1))</f>
        <v/>
      </c>
      <c r="V5" s="46" t="n"/>
    </row>
    <row r="6">
      <c r="B6" s="23" t="inlineStr">
        <is>
          <t>Last vs 12m avg</t>
        </is>
      </c>
      <c r="C6" s="24">
        <f>IF((VLOOKUP($V$1,$B:$AA,MATCH(C2,$B$2:$AA$2,),))&gt;C5,"above","below")</f>
        <v/>
      </c>
      <c r="D6" s="24">
        <f>IF((VLOOKUP($V$1,$B:$AA,MATCH(D2,$B$2:$AA$2,),))&gt;D5,"above","below")</f>
        <v/>
      </c>
      <c r="E6" s="24">
        <f>IF((VLOOKUP($V$1,$B:$AA,MATCH(E2,$B$2:$AA$2,),))&gt;E5,"above","below")</f>
        <v/>
      </c>
      <c r="F6" s="24">
        <f>IF((VLOOKUP($V$1,$B:$AA,MATCH(F2,$B$2:$AA$2,),))&gt;F5,"above","below")</f>
        <v/>
      </c>
      <c r="G6" s="24">
        <f>IF((VLOOKUP($V$1,$B:$AA,MATCH(G2,$B$2:$AA$2,),))&gt;G5,"above","below")</f>
        <v/>
      </c>
      <c r="H6" s="24">
        <f>IF((VLOOKUP($V$1,$B:$AA,MATCH(H2,$B$2:$AA$2,),))&gt;H5,"above","below")</f>
        <v/>
      </c>
      <c r="I6" s="24">
        <f>IF((VLOOKUP($V$1,$B:$AA,MATCH(I2,$B$2:$AA$2,),))&gt;I5,"above","below")</f>
        <v/>
      </c>
      <c r="J6" s="24">
        <f>IF((VLOOKUP($V$1,$B:$AA,MATCH(J2,$B$2:$AA$2,),))&gt;J5,"above","below")</f>
        <v/>
      </c>
      <c r="K6" s="24">
        <f>IF((VLOOKUP($V$1,$B:$AA,MATCH(K2,$B$2:$AA$2,),))&gt;K5,"above","below")</f>
        <v/>
      </c>
      <c r="L6" s="24">
        <f>IF((VLOOKUP($V$1,$B:$AA,MATCH(L2,$B$2:$AA$2,),))&gt;L5,"above","below")</f>
        <v/>
      </c>
      <c r="M6" s="24">
        <f>IF((VLOOKUP($V$1,$B:$AA,MATCH(M2,$B$2:$AA$2,),))&gt;M5,"above","below")</f>
        <v/>
      </c>
      <c r="N6" s="24">
        <f>IF((VLOOKUP($V$1,$B:$AA,MATCH(N2,$B$2:$AA$2,),))&gt;N5,"above","below")</f>
        <v/>
      </c>
      <c r="O6" s="24">
        <f>IF((VLOOKUP($V$1,$B:$AA,MATCH(O2,$B$2:$AA$2,),))&gt;O5,"above","below")</f>
        <v/>
      </c>
      <c r="P6" s="24">
        <f>IF((VLOOKUP($V$1,$B:$AA,MATCH(P2,$B$2:$AA$2,),))&gt;P5,"above","below")</f>
        <v/>
      </c>
      <c r="Q6" s="24">
        <f>IF((VLOOKUP($V$1,$B:$AA,MATCH(Q2,$B$2:$AA$2,),))&gt;Q5,"above","below")</f>
        <v/>
      </c>
    </row>
    <row r="7">
      <c r="B7" s="23" t="inlineStr">
        <is>
          <t>Y/Y</t>
        </is>
      </c>
      <c r="C7" s="25">
        <f>VLOOKUP($V$1,$B:$AA,MATCH(C2,$B$2:$AA$2,),)-VLOOKUP($V$4,$B:$AA,MATCH(C2,$B$2:$AA$2,),)</f>
        <v/>
      </c>
      <c r="D7" s="25">
        <f>VLOOKUP($V$1,$B:$AA,MATCH(D2,$B$2:$AA$2,),)-VLOOKUP($V$4,$B:$AA,MATCH(D2,$B$2:$AA$2,),)</f>
        <v/>
      </c>
      <c r="E7" s="25">
        <f>VLOOKUP($V$1,$B:$AA,MATCH(E2,$B$2:$AA$2,),)-VLOOKUP($V$4,$B:$AA,MATCH(E2,$B$2:$AA$2,),)</f>
        <v/>
      </c>
      <c r="F7" s="25">
        <f>VLOOKUP($V$1,$B:$AA,MATCH(F2,$B$2:$AA$2,),)-VLOOKUP($V$4,$B:$AA,MATCH(F2,$B$2:$AA$2,),)</f>
        <v/>
      </c>
      <c r="G7" s="25">
        <f>VLOOKUP($V$1,$B:$AA,MATCH(G2,$B$2:$AA$2,),)-VLOOKUP($V$4,$B:$AA,MATCH(G2,$B$2:$AA$2,),)</f>
        <v/>
      </c>
      <c r="H7" s="25">
        <f>VLOOKUP($V$1,$B:$AA,MATCH(H2,$B$2:$AA$2,),)-VLOOKUP($V$4,$B:$AA,MATCH(H2,$B$2:$AA$2,),)</f>
        <v/>
      </c>
      <c r="I7" s="25">
        <f>VLOOKUP($V$1,$B:$AA,MATCH(I2,$B$2:$AA$2,),)-VLOOKUP($V$4,$B:$AA,MATCH(I2,$B$2:$AA$2,),)</f>
        <v/>
      </c>
      <c r="J7" s="25">
        <f>VLOOKUP($V$1,$B:$AA,MATCH(J2,$B$2:$AA$2,),)-VLOOKUP($V$4,$B:$AA,MATCH(J2,$B$2:$AA$2,),)</f>
        <v/>
      </c>
      <c r="K7" s="25">
        <f>VLOOKUP($V$1,$B:$AA,MATCH(K2,$B$2:$AA$2,),)-VLOOKUP($V$4,$B:$AA,MATCH(K2,$B$2:$AA$2,),)</f>
        <v/>
      </c>
      <c r="L7" s="25">
        <f>VLOOKUP($V$1,$B:$AA,MATCH(L2,$B$2:$AA$2,),)-VLOOKUP($V$4,$B:$AA,MATCH(L2,$B$2:$AA$2,),)</f>
        <v/>
      </c>
      <c r="M7" s="25">
        <f>VLOOKUP($V$1,$B:$AA,MATCH(M2,$B$2:$AA$2,),)-VLOOKUP($V$4,$B:$AA,MATCH(M2,$B$2:$AA$2,),)</f>
        <v/>
      </c>
      <c r="N7" s="25">
        <f>VLOOKUP($V$1,$B:$AA,MATCH(N2,$B$2:$AA$2,),)-VLOOKUP($V$4,$B:$AA,MATCH(N2,$B$2:$AA$2,),)</f>
        <v/>
      </c>
      <c r="O7" s="25">
        <f>VLOOKUP($V$1,$B:$AA,MATCH(O2,$B$2:$AA$2,),)-VLOOKUP($V$4,$B:$AA,MATCH(O2,$B$2:$AA$2,),)</f>
        <v/>
      </c>
      <c r="P7" s="25">
        <f>VLOOKUP($V$1,$B:$AA,MATCH(P2,$B$2:$AA$2,),)-VLOOKUP($V$4,$B:$AA,MATCH(P2,$B$2:$AA$2,),)</f>
        <v/>
      </c>
      <c r="Q7" s="25">
        <f>VLOOKUP($V$1,$B:$AA,MATCH(Q2,$B$2:$AA$2,),)-VLOOKUP($V$4,$B:$AA,MATCH(Q2,$B$2:$AA$2,),)</f>
        <v/>
      </c>
    </row>
    <row r="8">
      <c r="B8" s="23" t="inlineStr">
        <is>
          <t>M/M</t>
        </is>
      </c>
      <c r="C8" s="25">
        <f>VLOOKUP($V$1,$B:$AA,MATCH(C2,$B$2:$AA$2,),)-VLOOKUP($V$3,$B:$AA,MATCH(C2,$B$2:$AA$2,),)</f>
        <v/>
      </c>
      <c r="D8" s="25">
        <f>VLOOKUP($V$1,$B:$AA,MATCH(D2,$B$2:$AA$2,),)-VLOOKUP($V$3,$B:$AA,MATCH(D2,$B$2:$AA$2,),)</f>
        <v/>
      </c>
      <c r="E8" s="25">
        <f>VLOOKUP($V$1,$B:$AA,MATCH(E2,$B$2:$AA$2,),)-VLOOKUP($V$3,$B:$AA,MATCH(E2,$B$2:$AA$2,),)</f>
        <v/>
      </c>
      <c r="F8" s="25">
        <f>VLOOKUP($V$1,$B:$AA,MATCH(F2,$B$2:$AA$2,),)-VLOOKUP($V$3,$B:$AA,MATCH(F2,$B$2:$AA$2,),)</f>
        <v/>
      </c>
      <c r="G8" s="25">
        <f>VLOOKUP($V$1,$B:$AA,MATCH(G2,$B$2:$AA$2,),)-VLOOKUP($V$3,$B:$AA,MATCH(G2,$B$2:$AA$2,),)</f>
        <v/>
      </c>
      <c r="H8" s="25">
        <f>VLOOKUP($V$1,$B:$AA,MATCH(H2,$B$2:$AA$2,),)-VLOOKUP($V$3,$B:$AA,MATCH(H2,$B$2:$AA$2,),)</f>
        <v/>
      </c>
      <c r="I8" s="25">
        <f>VLOOKUP($V$1,$B:$AA,MATCH(I2,$B$2:$AA$2,),)-VLOOKUP($V$3,$B:$AA,MATCH(I2,$B$2:$AA$2,),)</f>
        <v/>
      </c>
      <c r="J8" s="25">
        <f>VLOOKUP($V$1,$B:$AA,MATCH(J2,$B$2:$AA$2,),)-VLOOKUP($V$3,$B:$AA,MATCH(J2,$B$2:$AA$2,),)</f>
        <v/>
      </c>
      <c r="K8" s="25">
        <f>VLOOKUP($V$1,$B:$AA,MATCH(K2,$B$2:$AA$2,),)-VLOOKUP($V$3,$B:$AA,MATCH(K2,$B$2:$AA$2,),)</f>
        <v/>
      </c>
      <c r="L8" s="25">
        <f>VLOOKUP($V$1,$B:$AA,MATCH(L2,$B$2:$AA$2,),)-VLOOKUP($V$3,$B:$AA,MATCH(L2,$B$2:$AA$2,),)</f>
        <v/>
      </c>
      <c r="M8" s="25">
        <f>VLOOKUP($V$1,$B:$AA,MATCH(M2,$B$2:$AA$2,),)-VLOOKUP($V$3,$B:$AA,MATCH(M2,$B$2:$AA$2,),)</f>
        <v/>
      </c>
      <c r="N8" s="25">
        <f>VLOOKUP($V$1,$B:$AA,MATCH(N2,$B$2:$AA$2,),)-VLOOKUP($V$3,$B:$AA,MATCH(N2,$B$2:$AA$2,),)</f>
        <v/>
      </c>
      <c r="O8" s="25">
        <f>VLOOKUP($V$1,$B:$AA,MATCH(O2,$B$2:$AA$2,),)-VLOOKUP($V$3,$B:$AA,MATCH(O2,$B$2:$AA$2,),)</f>
        <v/>
      </c>
      <c r="P8" s="25">
        <f>VLOOKUP($V$1,$B:$AA,MATCH(P2,$B$2:$AA$2,),)-VLOOKUP($V$3,$B:$AA,MATCH(P2,$B$2:$AA$2,),)</f>
        <v/>
      </c>
      <c r="Q8" s="25">
        <f>VLOOKUP($V$1,$B:$AA,MATCH(Q2,$B$2:$AA$2,),)-VLOOKUP($V$3,$B:$AA,MATCH(Q2,$B$2:$AA$2,),)</f>
        <v/>
      </c>
    </row>
    <row r="9" ht="66.75" customHeight="1" s="38">
      <c r="B9" s="26" t="inlineStr">
        <is>
          <t>Growth / Contraction</t>
        </is>
      </c>
      <c r="C9" s="27">
        <f>IF(VLOOKUP($V$1,$B:$AB,MATCH(C2,$B$2:$AB$2,),)&gt;50,"Growth","Contraction")</f>
        <v/>
      </c>
      <c r="D9" s="27">
        <f>IF(VLOOKUP($V$1,$B:$AB,MATCH(D2,$B$2:$AB$2,),)&gt;50,"Growth","Contraction")</f>
        <v/>
      </c>
      <c r="E9" s="27">
        <f>IF(VLOOKUP($V$1,$B:$AB,MATCH(E2,$B$2:$AB$2,),)&gt;50,"Growth","Contraction")</f>
        <v/>
      </c>
      <c r="F9" s="27">
        <f>IF(VLOOKUP($V$1,$B:$AB,MATCH(F2,$B$2:$AB$2,),)&gt;50,"Growth","Contraction")</f>
        <v/>
      </c>
      <c r="G9" s="27">
        <f>IF(VLOOKUP($V$1,$B:$AB,MATCH(G2,$B$2:$AB$2,),)&gt;50,"Growth","Contraction")</f>
        <v/>
      </c>
      <c r="H9" s="27">
        <f>IF(VLOOKUP($V$1,$B:$AB,MATCH(H2,$B$2:$AB$2,),)&gt;50,"Growth","Contraction")</f>
        <v/>
      </c>
      <c r="I9" s="27">
        <f>IF(VLOOKUP($V$1,$B:$AB,MATCH(I2,$B$2:$AB$2,),)&gt;50,"Growth","Contraction")</f>
        <v/>
      </c>
      <c r="J9" s="27">
        <f>IF(VLOOKUP($V$1,$B:$AB,MATCH(J2,$B$2:$AB$2,),)&gt;50,"Growth","Contraction")</f>
        <v/>
      </c>
      <c r="K9" s="27">
        <f>IF(VLOOKUP($V$1,$B:$AB,MATCH(K2,$B$2:$AB$2,),)&gt;50,"Growth","Contraction")</f>
        <v/>
      </c>
      <c r="L9" s="27">
        <f>IF(VLOOKUP($V$1,$B:$AB,MATCH(L2,$B$2:$AB$2,),)&gt;50,"Growth","Contraction")</f>
        <v/>
      </c>
      <c r="M9" s="27">
        <f>IF(VLOOKUP($V$1,$B:$AB,MATCH(M2,$B$2:$AB$2,),)&gt;50,"Growth","Contraction")</f>
        <v/>
      </c>
      <c r="N9" s="27">
        <f>IF(VLOOKUP($V$1,$B:$AB,MATCH(N2,$B$2:$AB$2,),)&gt;50,"Growth","Contraction")</f>
        <v/>
      </c>
      <c r="O9" s="27">
        <f>IF(VLOOKUP($V$1,$B:$AB,MATCH(O2,$B$2:$AB$2,),)&gt;50,"Growth","Contraction")</f>
        <v/>
      </c>
      <c r="P9" s="27">
        <f>IF(VLOOKUP($V$1,$B:$AB,MATCH(P2,$B$2:$AB$2,),)&gt;50,"Growth","Contraction")</f>
        <v/>
      </c>
      <c r="Q9" s="27">
        <f>IF(VLOOKUP($V$1,$B:$AB,MATCH(Q2,$B$2:$AB$2,),)&gt;50,"Growth","Contraction")</f>
        <v/>
      </c>
    </row>
    <row r="10" ht="26.25" customHeight="1" s="38" thickBot="1">
      <c r="B10" s="28" t="inlineStr">
        <is>
          <t>Slower/Faster</t>
        </is>
      </c>
      <c r="C10" s="29">
        <f>IF(C8&gt;0,"+","-")</f>
        <v/>
      </c>
      <c r="D10" s="29">
        <f>IF(D8&gt;0,"+","-")</f>
        <v/>
      </c>
      <c r="E10" s="29">
        <f>IF(E8&gt;0,"+","-")</f>
        <v/>
      </c>
      <c r="F10" s="29">
        <f>IF(F8&gt;0,"+","-")</f>
        <v/>
      </c>
      <c r="G10" s="29">
        <f>IF(G8&gt;0,"+","-")</f>
        <v/>
      </c>
      <c r="H10" s="29">
        <f>IF(H8&gt;0,"+","-")</f>
        <v/>
      </c>
      <c r="I10" s="29">
        <f>IF(I8&gt;0,"+","-")</f>
        <v/>
      </c>
      <c r="J10" s="29">
        <f>IF(J8&gt;0,"+","-")</f>
        <v/>
      </c>
      <c r="K10" s="29">
        <f>IF(K8&gt;0,"+","-")</f>
        <v/>
      </c>
      <c r="L10" s="29">
        <f>IF(L8&gt;0,"+","-")</f>
        <v/>
      </c>
      <c r="M10" s="29">
        <f>IF(M8&gt;0,"+","-")</f>
        <v/>
      </c>
      <c r="N10" s="29">
        <f>IF(N8&gt;0,"+","-")</f>
        <v/>
      </c>
      <c r="O10" s="29">
        <f>IF(O8&gt;0,"+","-")</f>
        <v/>
      </c>
      <c r="P10" s="29">
        <f>IF(P8&gt;0,"+","-")</f>
        <v/>
      </c>
      <c r="Q10" s="29">
        <f>IF(Q8&gt;0,"+","-")</f>
        <v/>
      </c>
    </row>
    <row r="11" ht="26.25" customHeight="1" s="38">
      <c r="B11" s="60" t="n"/>
      <c r="C11" s="60" t="n"/>
      <c r="D11" s="60" t="n"/>
      <c r="E11" s="60" t="n"/>
      <c r="F11" s="60" t="n"/>
      <c r="G11" s="60" t="n"/>
      <c r="H11" s="60" t="n"/>
      <c r="I11" s="60" t="n"/>
      <c r="J11" s="60" t="n"/>
      <c r="K11" s="60" t="n"/>
      <c r="L11" s="60" t="n"/>
      <c r="M11" s="60" t="n"/>
      <c r="N11" s="60" t="n"/>
      <c r="O11" s="60" t="n"/>
      <c r="P11" s="60" t="n"/>
      <c r="Q11" s="60" t="n"/>
    </row>
    <row r="12">
      <c r="B12" s="30" t="n">
        <v>42064</v>
      </c>
      <c r="C12" s="31">
        <f>VLOOKUP(B12,Global!$A:$B,2,)</f>
        <v/>
      </c>
      <c r="D12" s="31">
        <f>VLOOKUP(B12,US!$A:$B,2,)</f>
        <v/>
      </c>
      <c r="E12" s="31">
        <f>VLOOKUP(B12,China!$A:$B,2,)</f>
        <v/>
      </c>
      <c r="F12" s="31">
        <f>VLOOKUP(B12,EuroArea!$A:$B,2,)</f>
        <v/>
      </c>
      <c r="G12" s="31">
        <f>VLOOKUP(B12,Japan!$A:$B,2,)</f>
        <v/>
      </c>
      <c r="H12" s="31">
        <f>VLOOKUP(B12,Germany!$A:$B,2,)</f>
        <v/>
      </c>
      <c r="I12" s="31">
        <f>VLOOKUP(B12,France!$A:$B,2,)</f>
        <v/>
      </c>
      <c r="J12" s="31">
        <f>VLOOKUP(B12,UK!$A:$B,2,)</f>
        <v/>
      </c>
      <c r="K12" s="31">
        <f>VLOOKUP(B12,Italy!$A:$B,2,)</f>
        <v/>
      </c>
      <c r="L12" s="31">
        <f>VLOOKUP(B12,Spain!$A:$B,2,)</f>
        <v/>
      </c>
      <c r="M12" s="31">
        <f>VLOOKUP(B12,Brazil!$A:$B,2,)</f>
        <v/>
      </c>
      <c r="N12" s="31">
        <f>VLOOKUP(B12,Russia!$A:$B,2,)</f>
        <v/>
      </c>
      <c r="O12" s="31">
        <f>VLOOKUP(B12,India!$A:$B,2,)</f>
        <v/>
      </c>
      <c r="P12" s="31">
        <f>VLOOKUP(B12,Australia!$A:$B,2,)</f>
        <v/>
      </c>
      <c r="Q12" s="31">
        <f>VLOOKUP(B12,Ireland!$A:$B,2,)</f>
        <v/>
      </c>
    </row>
    <row r="13">
      <c r="B13" s="30" t="n">
        <v>42095</v>
      </c>
      <c r="C13" s="31">
        <f>VLOOKUP(B13,Global!$A:$B,2,)</f>
        <v/>
      </c>
      <c r="D13" s="31">
        <f>VLOOKUP(B13,US!$A:$B,2,)</f>
        <v/>
      </c>
      <c r="E13" s="31">
        <f>VLOOKUP(B13,China!$A:$B,2,)</f>
        <v/>
      </c>
      <c r="F13" s="31">
        <f>VLOOKUP(B13,EuroArea!$A:$B,2,)</f>
        <v/>
      </c>
      <c r="G13" s="31">
        <f>VLOOKUP(B13,Japan!$A:$B,2,)</f>
        <v/>
      </c>
      <c r="H13" s="31">
        <f>VLOOKUP(B13,Germany!$A:$B,2,)</f>
        <v/>
      </c>
      <c r="I13" s="31">
        <f>VLOOKUP(B13,France!$A:$B,2,)</f>
        <v/>
      </c>
      <c r="J13" s="31">
        <f>VLOOKUP(B13,UK!$A:$B,2,)</f>
        <v/>
      </c>
      <c r="K13" s="31">
        <f>VLOOKUP(B13,Italy!$A:$B,2,)</f>
        <v/>
      </c>
      <c r="L13" s="31">
        <f>VLOOKUP(B13,Spain!$A:$B,2,)</f>
        <v/>
      </c>
      <c r="M13" s="31">
        <f>VLOOKUP(B13,Brazil!$A:$B,2,)</f>
        <v/>
      </c>
      <c r="N13" s="31">
        <f>VLOOKUP(B13,Russia!$A:$B,2,)</f>
        <v/>
      </c>
      <c r="O13" s="31">
        <f>VLOOKUP(B13,India!$A:$B,2,)</f>
        <v/>
      </c>
      <c r="P13" s="31">
        <f>VLOOKUP(B13,Australia!$A:$B,2,)</f>
        <v/>
      </c>
      <c r="Q13" s="31">
        <f>VLOOKUP(B13,Ireland!$A:$B,2,)</f>
        <v/>
      </c>
    </row>
    <row r="14">
      <c r="B14" s="30" t="n">
        <v>42125</v>
      </c>
      <c r="C14" s="31">
        <f>VLOOKUP(B14,Global!$A:$B,2,)</f>
        <v/>
      </c>
      <c r="D14" s="31">
        <f>VLOOKUP(B14,US!$A:$B,2,)</f>
        <v/>
      </c>
      <c r="E14" s="31">
        <f>VLOOKUP(B14,China!$A:$B,2,)</f>
        <v/>
      </c>
      <c r="F14" s="31">
        <f>VLOOKUP(B14,EuroArea!$A:$B,2,)</f>
        <v/>
      </c>
      <c r="G14" s="31">
        <f>VLOOKUP(B14,Japan!$A:$B,2,)</f>
        <v/>
      </c>
      <c r="H14" s="31">
        <f>VLOOKUP(B14,Germany!$A:$B,2,)</f>
        <v/>
      </c>
      <c r="I14" s="31">
        <f>VLOOKUP(B14,France!$A:$B,2,)</f>
        <v/>
      </c>
      <c r="J14" s="31">
        <f>VLOOKUP(B14,UK!$A:$B,2,)</f>
        <v/>
      </c>
      <c r="K14" s="31">
        <f>VLOOKUP(B14,Italy!$A:$B,2,)</f>
        <v/>
      </c>
      <c r="L14" s="31">
        <f>VLOOKUP(B14,Spain!$A:$B,2,)</f>
        <v/>
      </c>
      <c r="M14" s="31">
        <f>VLOOKUP(B14,Brazil!$A:$B,2,)</f>
        <v/>
      </c>
      <c r="N14" s="31">
        <f>VLOOKUP(B14,Russia!$A:$B,2,)</f>
        <v/>
      </c>
      <c r="O14" s="31">
        <f>VLOOKUP(B14,India!$A:$B,2,)</f>
        <v/>
      </c>
      <c r="P14" s="31">
        <f>VLOOKUP(B14,Australia!$A:$B,2,)</f>
        <v/>
      </c>
      <c r="Q14" s="31">
        <f>VLOOKUP(B14,Ireland!$A:$B,2,)</f>
        <v/>
      </c>
    </row>
    <row r="15">
      <c r="B15" s="30" t="n">
        <v>42156</v>
      </c>
      <c r="C15" s="31">
        <f>VLOOKUP(B15,Global!$A:$B,2,)</f>
        <v/>
      </c>
      <c r="D15" s="31">
        <f>VLOOKUP(B15,US!$A:$B,2,)</f>
        <v/>
      </c>
      <c r="E15" s="31">
        <f>VLOOKUP(B15,China!$A:$B,2,)</f>
        <v/>
      </c>
      <c r="F15" s="31">
        <f>VLOOKUP(B15,EuroArea!$A:$B,2,)</f>
        <v/>
      </c>
      <c r="G15" s="31">
        <f>VLOOKUP(B15,Japan!$A:$B,2,)</f>
        <v/>
      </c>
      <c r="H15" s="31">
        <f>VLOOKUP(B15,Germany!$A:$B,2,)</f>
        <v/>
      </c>
      <c r="I15" s="31">
        <f>VLOOKUP(B15,France!$A:$B,2,)</f>
        <v/>
      </c>
      <c r="J15" s="31">
        <f>VLOOKUP(B15,UK!$A:$B,2,)</f>
        <v/>
      </c>
      <c r="K15" s="31">
        <f>VLOOKUP(B15,Italy!$A:$B,2,)</f>
        <v/>
      </c>
      <c r="L15" s="31">
        <f>VLOOKUP(B15,Spain!$A:$B,2,)</f>
        <v/>
      </c>
      <c r="M15" s="31">
        <f>VLOOKUP(B15,Brazil!$A:$B,2,)</f>
        <v/>
      </c>
      <c r="N15" s="31">
        <f>VLOOKUP(B15,Russia!$A:$B,2,)</f>
        <v/>
      </c>
      <c r="O15" s="31">
        <f>VLOOKUP(B15,India!$A:$B,2,)</f>
        <v/>
      </c>
      <c r="P15" s="31">
        <f>VLOOKUP(B15,Australia!$A:$B,2,)</f>
        <v/>
      </c>
      <c r="Q15" s="31">
        <f>VLOOKUP(B15,Ireland!$A:$B,2,)</f>
        <v/>
      </c>
    </row>
    <row r="16">
      <c r="B16" s="30" t="n">
        <v>42186</v>
      </c>
      <c r="C16" s="31">
        <f>VLOOKUP(B16,Global!$A:$B,2,)</f>
        <v/>
      </c>
      <c r="D16" s="31">
        <f>VLOOKUP(B16,US!$A:$B,2,)</f>
        <v/>
      </c>
      <c r="E16" s="31">
        <f>VLOOKUP(B16,China!$A:$B,2,)</f>
        <v/>
      </c>
      <c r="F16" s="31">
        <f>VLOOKUP(B16,EuroArea!$A:$B,2,)</f>
        <v/>
      </c>
      <c r="G16" s="31">
        <f>VLOOKUP(B16,Japan!$A:$B,2,)</f>
        <v/>
      </c>
      <c r="H16" s="31">
        <f>VLOOKUP(B16,Germany!$A:$B,2,)</f>
        <v/>
      </c>
      <c r="I16" s="31">
        <f>VLOOKUP(B16,France!$A:$B,2,)</f>
        <v/>
      </c>
      <c r="J16" s="31">
        <f>VLOOKUP(B16,UK!$A:$B,2,)</f>
        <v/>
      </c>
      <c r="K16" s="31">
        <f>VLOOKUP(B16,Italy!$A:$B,2,)</f>
        <v/>
      </c>
      <c r="L16" s="31">
        <f>VLOOKUP(B16,Spain!$A:$B,2,)</f>
        <v/>
      </c>
      <c r="M16" s="31">
        <f>VLOOKUP(B16,Brazil!$A:$B,2,)</f>
        <v/>
      </c>
      <c r="N16" s="31">
        <f>VLOOKUP(B16,Russia!$A:$B,2,)</f>
        <v/>
      </c>
      <c r="O16" s="31">
        <f>VLOOKUP(B16,India!$A:$B,2,)</f>
        <v/>
      </c>
      <c r="P16" s="31">
        <f>VLOOKUP(B16,Australia!$A:$B,2,)</f>
        <v/>
      </c>
      <c r="Q16" s="31">
        <f>VLOOKUP(B16,Ireland!$A:$B,2,)</f>
        <v/>
      </c>
    </row>
    <row r="17">
      <c r="B17" s="30" t="n">
        <v>42217</v>
      </c>
      <c r="C17" s="31">
        <f>VLOOKUP(B17,Global!$A:$B,2,)</f>
        <v/>
      </c>
      <c r="D17" s="31">
        <f>VLOOKUP(B17,US!$A:$B,2,)</f>
        <v/>
      </c>
      <c r="E17" s="31">
        <f>VLOOKUP(B17,China!$A:$B,2,)</f>
        <v/>
      </c>
      <c r="F17" s="31">
        <f>VLOOKUP(B17,EuroArea!$A:$B,2,)</f>
        <v/>
      </c>
      <c r="G17" s="31">
        <f>VLOOKUP(B17,Japan!$A:$B,2,)</f>
        <v/>
      </c>
      <c r="H17" s="31">
        <f>VLOOKUP(B17,Germany!$A:$B,2,)</f>
        <v/>
      </c>
      <c r="I17" s="31">
        <f>VLOOKUP(B17,France!$A:$B,2,)</f>
        <v/>
      </c>
      <c r="J17" s="31">
        <f>VLOOKUP(B17,UK!$A:$B,2,)</f>
        <v/>
      </c>
      <c r="K17" s="31">
        <f>VLOOKUP(B17,Italy!$A:$B,2,)</f>
        <v/>
      </c>
      <c r="L17" s="31">
        <f>VLOOKUP(B17,Spain!$A:$B,2,)</f>
        <v/>
      </c>
      <c r="M17" s="31">
        <f>VLOOKUP(B17,Brazil!$A:$B,2,)</f>
        <v/>
      </c>
      <c r="N17" s="31">
        <f>VLOOKUP(B17,Russia!$A:$B,2,)</f>
        <v/>
      </c>
      <c r="O17" s="31">
        <f>VLOOKUP(B17,India!$A:$B,2,)</f>
        <v/>
      </c>
      <c r="P17" s="31">
        <f>VLOOKUP(B17,Australia!$A:$B,2,)</f>
        <v/>
      </c>
      <c r="Q17" s="31">
        <f>VLOOKUP(B17,Ireland!$A:$B,2,)</f>
        <v/>
      </c>
    </row>
    <row r="18">
      <c r="B18" s="30" t="n">
        <v>42248</v>
      </c>
      <c r="C18" s="31">
        <f>VLOOKUP(B18,Global!$A:$B,2,)</f>
        <v/>
      </c>
      <c r="D18" s="31">
        <f>VLOOKUP(B18,US!$A:$B,2,)</f>
        <v/>
      </c>
      <c r="E18" s="31">
        <f>VLOOKUP(B18,China!$A:$B,2,)</f>
        <v/>
      </c>
      <c r="F18" s="31">
        <f>VLOOKUP(B18,EuroArea!$A:$B,2,)</f>
        <v/>
      </c>
      <c r="G18" s="31">
        <f>VLOOKUP(B18,Japan!$A:$B,2,)</f>
        <v/>
      </c>
      <c r="H18" s="31">
        <f>VLOOKUP(B18,Germany!$A:$B,2,)</f>
        <v/>
      </c>
      <c r="I18" s="31">
        <f>VLOOKUP(B18,France!$A:$B,2,)</f>
        <v/>
      </c>
      <c r="J18" s="31">
        <f>VLOOKUP(B18,UK!$A:$B,2,)</f>
        <v/>
      </c>
      <c r="K18" s="31">
        <f>VLOOKUP(B18,Italy!$A:$B,2,)</f>
        <v/>
      </c>
      <c r="L18" s="31">
        <f>VLOOKUP(B18,Spain!$A:$B,2,)</f>
        <v/>
      </c>
      <c r="M18" s="31">
        <f>VLOOKUP(B18,Brazil!$A:$B,2,)</f>
        <v/>
      </c>
      <c r="N18" s="31">
        <f>VLOOKUP(B18,Russia!$A:$B,2,)</f>
        <v/>
      </c>
      <c r="O18" s="31">
        <f>VLOOKUP(B18,India!$A:$B,2,)</f>
        <v/>
      </c>
      <c r="P18" s="31">
        <f>VLOOKUP(B18,Australia!$A:$B,2,)</f>
        <v/>
      </c>
      <c r="Q18" s="31">
        <f>VLOOKUP(B18,Ireland!$A:$B,2,)</f>
        <v/>
      </c>
    </row>
    <row r="19">
      <c r="B19" s="30" t="n">
        <v>42278</v>
      </c>
      <c r="C19" s="31">
        <f>VLOOKUP(B19,Global!$A:$B,2,)</f>
        <v/>
      </c>
      <c r="D19" s="31">
        <f>VLOOKUP(B19,US!$A:$B,2,)</f>
        <v/>
      </c>
      <c r="E19" s="31">
        <f>VLOOKUP(B19,China!$A:$B,2,)</f>
        <v/>
      </c>
      <c r="F19" s="31">
        <f>VLOOKUP(B19,EuroArea!$A:$B,2,)</f>
        <v/>
      </c>
      <c r="G19" s="31">
        <f>VLOOKUP(B19,Japan!$A:$B,2,)</f>
        <v/>
      </c>
      <c r="H19" s="31">
        <f>VLOOKUP(B19,Germany!$A:$B,2,)</f>
        <v/>
      </c>
      <c r="I19" s="31">
        <f>VLOOKUP(B19,France!$A:$B,2,)</f>
        <v/>
      </c>
      <c r="J19" s="31">
        <f>VLOOKUP(B19,UK!$A:$B,2,)</f>
        <v/>
      </c>
      <c r="K19" s="31">
        <f>VLOOKUP(B19,Italy!$A:$B,2,)</f>
        <v/>
      </c>
      <c r="L19" s="31">
        <f>VLOOKUP(B19,Spain!$A:$B,2,)</f>
        <v/>
      </c>
      <c r="M19" s="31">
        <f>VLOOKUP(B19,Brazil!$A:$B,2,)</f>
        <v/>
      </c>
      <c r="N19" s="31">
        <f>VLOOKUP(B19,Russia!$A:$B,2,)</f>
        <v/>
      </c>
      <c r="O19" s="31">
        <f>VLOOKUP(B19,India!$A:$B,2,)</f>
        <v/>
      </c>
      <c r="P19" s="31">
        <f>VLOOKUP(B19,Australia!$A:$B,2,)</f>
        <v/>
      </c>
      <c r="Q19" s="31">
        <f>VLOOKUP(B19,Ireland!$A:$B,2,)</f>
        <v/>
      </c>
    </row>
    <row r="20">
      <c r="B20" s="30" t="n">
        <v>42309</v>
      </c>
      <c r="C20" s="31">
        <f>VLOOKUP(B20,Global!$A:$B,2,)</f>
        <v/>
      </c>
      <c r="D20" s="31">
        <f>VLOOKUP(B20,US!$A:$B,2,)</f>
        <v/>
      </c>
      <c r="E20" s="31">
        <f>VLOOKUP(B20,China!$A:$B,2,)</f>
        <v/>
      </c>
      <c r="F20" s="31">
        <f>VLOOKUP(B20,EuroArea!$A:$B,2,)</f>
        <v/>
      </c>
      <c r="G20" s="31">
        <f>VLOOKUP(B20,Japan!$A:$B,2,)</f>
        <v/>
      </c>
      <c r="H20" s="31">
        <f>VLOOKUP(B20,Germany!$A:$B,2,)</f>
        <v/>
      </c>
      <c r="I20" s="31">
        <f>VLOOKUP(B20,France!$A:$B,2,)</f>
        <v/>
      </c>
      <c r="J20" s="31">
        <f>VLOOKUP(B20,UK!$A:$B,2,)</f>
        <v/>
      </c>
      <c r="K20" s="31">
        <f>VLOOKUP(B20,Italy!$A:$B,2,)</f>
        <v/>
      </c>
      <c r="L20" s="31">
        <f>VLOOKUP(B20,Spain!$A:$B,2,)</f>
        <v/>
      </c>
      <c r="M20" s="31">
        <f>VLOOKUP(B20,Brazil!$A:$B,2,)</f>
        <v/>
      </c>
      <c r="N20" s="31">
        <f>VLOOKUP(B20,Russia!$A:$B,2,)</f>
        <v/>
      </c>
      <c r="O20" s="31">
        <f>VLOOKUP(B20,India!$A:$B,2,)</f>
        <v/>
      </c>
      <c r="P20" s="31">
        <f>VLOOKUP(B20,Australia!$A:$B,2,)</f>
        <v/>
      </c>
      <c r="Q20" s="31">
        <f>VLOOKUP(B20,Ireland!$A:$B,2,)</f>
        <v/>
      </c>
    </row>
    <row r="21">
      <c r="B21" s="30" t="n">
        <v>42339</v>
      </c>
      <c r="C21" s="31">
        <f>VLOOKUP(B21,Global!$A:$B,2,)</f>
        <v/>
      </c>
      <c r="D21" s="31">
        <f>VLOOKUP(B21,US!$A:$B,2,)</f>
        <v/>
      </c>
      <c r="E21" s="31">
        <f>VLOOKUP(B21,China!$A:$B,2,)</f>
        <v/>
      </c>
      <c r="F21" s="31">
        <f>VLOOKUP(B21,EuroArea!$A:$B,2,)</f>
        <v/>
      </c>
      <c r="G21" s="31">
        <f>VLOOKUP(B21,Japan!$A:$B,2,)</f>
        <v/>
      </c>
      <c r="H21" s="31">
        <f>VLOOKUP(B21,Germany!$A:$B,2,)</f>
        <v/>
      </c>
      <c r="I21" s="31">
        <f>VLOOKUP(B21,France!$A:$B,2,)</f>
        <v/>
      </c>
      <c r="J21" s="31">
        <f>VLOOKUP(B21,UK!$A:$B,2,)</f>
        <v/>
      </c>
      <c r="K21" s="31">
        <f>VLOOKUP(B21,Italy!$A:$B,2,)</f>
        <v/>
      </c>
      <c r="L21" s="31">
        <f>VLOOKUP(B21,Spain!$A:$B,2,)</f>
        <v/>
      </c>
      <c r="M21" s="31">
        <f>VLOOKUP(B21,Brazil!$A:$B,2,)</f>
        <v/>
      </c>
      <c r="N21" s="31">
        <f>VLOOKUP(B21,Russia!$A:$B,2,)</f>
        <v/>
      </c>
      <c r="O21" s="31">
        <f>VLOOKUP(B21,India!$A:$B,2,)</f>
        <v/>
      </c>
      <c r="P21" s="31">
        <f>VLOOKUP(B21,Australia!$A:$B,2,)</f>
        <v/>
      </c>
      <c r="Q21" s="31">
        <f>VLOOKUP(B21,Ireland!$A:$B,2,)</f>
        <v/>
      </c>
    </row>
    <row r="22">
      <c r="B22" s="30" t="n">
        <v>42370</v>
      </c>
      <c r="C22" s="31">
        <f>VLOOKUP(B22,Global!$A:$B,2,)</f>
        <v/>
      </c>
      <c r="D22" s="31">
        <f>VLOOKUP(B22,US!$A:$B,2,)</f>
        <v/>
      </c>
      <c r="E22" s="31">
        <f>VLOOKUP(B22,China!$A:$B,2,)</f>
        <v/>
      </c>
      <c r="F22" s="31">
        <f>VLOOKUP(B22,EuroArea!$A:$B,2,)</f>
        <v/>
      </c>
      <c r="G22" s="31">
        <f>VLOOKUP(B22,Japan!$A:$B,2,)</f>
        <v/>
      </c>
      <c r="H22" s="31">
        <f>VLOOKUP(B22,Germany!$A:$B,2,)</f>
        <v/>
      </c>
      <c r="I22" s="31">
        <f>VLOOKUP(B22,France!$A:$B,2,)</f>
        <v/>
      </c>
      <c r="J22" s="31">
        <f>VLOOKUP(B22,UK!$A:$B,2,)</f>
        <v/>
      </c>
      <c r="K22" s="31">
        <f>VLOOKUP(B22,Italy!$A:$B,2,)</f>
        <v/>
      </c>
      <c r="L22" s="31">
        <f>VLOOKUP(B22,Spain!$A:$B,2,)</f>
        <v/>
      </c>
      <c r="M22" s="31">
        <f>VLOOKUP(B22,Brazil!$A:$B,2,)</f>
        <v/>
      </c>
      <c r="N22" s="31">
        <f>VLOOKUP(B22,Russia!$A:$B,2,)</f>
        <v/>
      </c>
      <c r="O22" s="31">
        <f>VLOOKUP(B22,India!$A:$B,2,)</f>
        <v/>
      </c>
      <c r="P22" s="31">
        <f>VLOOKUP(B22,Australia!$A:$B,2,)</f>
        <v/>
      </c>
      <c r="Q22" s="31">
        <f>VLOOKUP(B22,Ireland!$A:$B,2,)</f>
        <v/>
      </c>
    </row>
    <row r="23">
      <c r="B23" s="30" t="n">
        <v>42401</v>
      </c>
      <c r="C23" s="31">
        <f>VLOOKUP(B23,Global!$A:$B,2,)</f>
        <v/>
      </c>
      <c r="D23" s="31">
        <f>VLOOKUP(B23,US!$A:$B,2,)</f>
        <v/>
      </c>
      <c r="E23" s="31">
        <f>VLOOKUP(B23,China!$A:$B,2,)</f>
        <v/>
      </c>
      <c r="F23" s="31">
        <f>VLOOKUP(B23,EuroArea!$A:$B,2,)</f>
        <v/>
      </c>
      <c r="G23" s="31">
        <f>VLOOKUP(B23,Japan!$A:$B,2,)</f>
        <v/>
      </c>
      <c r="H23" s="31">
        <f>VLOOKUP(B23,Germany!$A:$B,2,)</f>
        <v/>
      </c>
      <c r="I23" s="31">
        <f>VLOOKUP(B23,France!$A:$B,2,)</f>
        <v/>
      </c>
      <c r="J23" s="31">
        <f>VLOOKUP(B23,UK!$A:$B,2,)</f>
        <v/>
      </c>
      <c r="K23" s="31">
        <f>VLOOKUP(B23,Italy!$A:$B,2,)</f>
        <v/>
      </c>
      <c r="L23" s="31">
        <f>VLOOKUP(B23,Spain!$A:$B,2,)</f>
        <v/>
      </c>
      <c r="M23" s="31">
        <f>VLOOKUP(B23,Brazil!$A:$B,2,)</f>
        <v/>
      </c>
      <c r="N23" s="31">
        <f>VLOOKUP(B23,Russia!$A:$B,2,)</f>
        <v/>
      </c>
      <c r="O23" s="31">
        <f>VLOOKUP(B23,India!$A:$B,2,)</f>
        <v/>
      </c>
      <c r="P23" s="31">
        <f>VLOOKUP(B23,Australia!$A:$B,2,)</f>
        <v/>
      </c>
      <c r="Q23" s="31">
        <f>VLOOKUP(B23,Ireland!$A:$B,2,)</f>
        <v/>
      </c>
    </row>
    <row r="24">
      <c r="B24" s="30" t="n">
        <v>42430</v>
      </c>
      <c r="C24" s="31">
        <f>VLOOKUP(B24,Global!$A:$B,2,)</f>
        <v/>
      </c>
      <c r="D24" s="31">
        <f>VLOOKUP(B24,US!$A:$B,2,)</f>
        <v/>
      </c>
      <c r="E24" s="31">
        <f>VLOOKUP(B24,China!$A:$B,2,)</f>
        <v/>
      </c>
      <c r="F24" s="31">
        <f>VLOOKUP(B24,EuroArea!$A:$B,2,)</f>
        <v/>
      </c>
      <c r="G24" s="31">
        <f>VLOOKUP(B24,Japan!$A:$B,2,)</f>
        <v/>
      </c>
      <c r="H24" s="31">
        <f>VLOOKUP(B24,Germany!$A:$B,2,)</f>
        <v/>
      </c>
      <c r="I24" s="31">
        <f>VLOOKUP(B24,France!$A:$B,2,)</f>
        <v/>
      </c>
      <c r="J24" s="31">
        <f>VLOOKUP(B24,UK!$A:$B,2,)</f>
        <v/>
      </c>
      <c r="K24" s="31">
        <f>VLOOKUP(B24,Italy!$A:$B,2,)</f>
        <v/>
      </c>
      <c r="L24" s="31">
        <f>VLOOKUP(B24,Spain!$A:$B,2,)</f>
        <v/>
      </c>
      <c r="M24" s="31">
        <f>VLOOKUP(B24,Brazil!$A:$B,2,)</f>
        <v/>
      </c>
      <c r="N24" s="31">
        <f>VLOOKUP(B24,Russia!$A:$B,2,)</f>
        <v/>
      </c>
      <c r="O24" s="31">
        <f>VLOOKUP(B24,India!$A:$B,2,)</f>
        <v/>
      </c>
      <c r="P24" s="31">
        <f>VLOOKUP(B24,Australia!$A:$B,2,)</f>
        <v/>
      </c>
      <c r="Q24" s="31">
        <f>VLOOKUP(B24,Ireland!$A:$B,2,)</f>
        <v/>
      </c>
    </row>
    <row r="25">
      <c r="B25" s="30" t="n">
        <v>42461</v>
      </c>
      <c r="C25" s="31">
        <f>VLOOKUP(B25,Global!$A:$B,2,)</f>
        <v/>
      </c>
      <c r="D25" s="31">
        <f>VLOOKUP(B25,US!$A:$B,2,)</f>
        <v/>
      </c>
      <c r="E25" s="31">
        <f>VLOOKUP(B25,China!$A:$B,2,)</f>
        <v/>
      </c>
      <c r="F25" s="31">
        <f>VLOOKUP(B25,EuroArea!$A:$B,2,)</f>
        <v/>
      </c>
      <c r="G25" s="31">
        <f>VLOOKUP(B25,Japan!$A:$B,2,)</f>
        <v/>
      </c>
      <c r="H25" s="31">
        <f>VLOOKUP(B25,Germany!$A:$B,2,)</f>
        <v/>
      </c>
      <c r="I25" s="31">
        <f>VLOOKUP(B25,France!$A:$B,2,)</f>
        <v/>
      </c>
      <c r="J25" s="31">
        <f>VLOOKUP(B25,UK!$A:$B,2,)</f>
        <v/>
      </c>
      <c r="K25" s="31">
        <f>VLOOKUP(B25,Italy!$A:$B,2,)</f>
        <v/>
      </c>
      <c r="L25" s="31">
        <f>VLOOKUP(B25,Spain!$A:$B,2,)</f>
        <v/>
      </c>
      <c r="M25" s="31">
        <f>VLOOKUP(B25,Brazil!$A:$B,2,)</f>
        <v/>
      </c>
      <c r="N25" s="31">
        <f>VLOOKUP(B25,Russia!$A:$B,2,)</f>
        <v/>
      </c>
      <c r="O25" s="31">
        <f>VLOOKUP(B25,India!$A:$B,2,)</f>
        <v/>
      </c>
      <c r="P25" s="31">
        <f>VLOOKUP(B25,Australia!$A:$B,2,)</f>
        <v/>
      </c>
      <c r="Q25" s="31">
        <f>VLOOKUP(B25,Ireland!$A:$B,2,)</f>
        <v/>
      </c>
    </row>
    <row r="26">
      <c r="B26" s="30" t="n">
        <v>42491</v>
      </c>
      <c r="C26" s="31">
        <f>VLOOKUP(B26,Global!$A:$B,2,)</f>
        <v/>
      </c>
      <c r="D26" s="31">
        <f>VLOOKUP(B26,US!$A:$B,2,)</f>
        <v/>
      </c>
      <c r="E26" s="31">
        <f>VLOOKUP(B26,China!$A:$B,2,)</f>
        <v/>
      </c>
      <c r="F26" s="31">
        <f>VLOOKUP(B26,EuroArea!$A:$B,2,)</f>
        <v/>
      </c>
      <c r="G26" s="31">
        <f>VLOOKUP(B26,Japan!$A:$B,2,)</f>
        <v/>
      </c>
      <c r="H26" s="31">
        <f>VLOOKUP(B26,Germany!$A:$B,2,)</f>
        <v/>
      </c>
      <c r="I26" s="31">
        <f>VLOOKUP(B26,France!$A:$B,2,)</f>
        <v/>
      </c>
      <c r="J26" s="31">
        <f>VLOOKUP(B26,UK!$A:$B,2,)</f>
        <v/>
      </c>
      <c r="K26" s="31">
        <f>VLOOKUP(B26,Italy!$A:$B,2,)</f>
        <v/>
      </c>
      <c r="L26" s="31">
        <f>VLOOKUP(B26,Spain!$A:$B,2,)</f>
        <v/>
      </c>
      <c r="M26" s="31">
        <f>VLOOKUP(B26,Brazil!$A:$B,2,)</f>
        <v/>
      </c>
      <c r="N26" s="31">
        <f>VLOOKUP(B26,Russia!$A:$B,2,)</f>
        <v/>
      </c>
      <c r="O26" s="31">
        <f>VLOOKUP(B26,India!$A:$B,2,)</f>
        <v/>
      </c>
      <c r="P26" s="31">
        <f>VLOOKUP(B26,Australia!$A:$B,2,)</f>
        <v/>
      </c>
      <c r="Q26" s="31">
        <f>VLOOKUP(B26,Ireland!$A:$B,2,)</f>
        <v/>
      </c>
    </row>
    <row r="27">
      <c r="B27" s="30" t="n">
        <v>42522</v>
      </c>
      <c r="C27" s="31">
        <f>VLOOKUP(B27,Global!$A:$B,2,)</f>
        <v/>
      </c>
      <c r="D27" s="31">
        <f>VLOOKUP(B27,US!$A:$B,2,)</f>
        <v/>
      </c>
      <c r="E27" s="31">
        <f>VLOOKUP(B27,China!$A:$B,2,)</f>
        <v/>
      </c>
      <c r="F27" s="31">
        <f>VLOOKUP(B27,EuroArea!$A:$B,2,)</f>
        <v/>
      </c>
      <c r="G27" s="31">
        <f>VLOOKUP(B27,Japan!$A:$B,2,)</f>
        <v/>
      </c>
      <c r="H27" s="31">
        <f>VLOOKUP(B27,Germany!$A:$B,2,)</f>
        <v/>
      </c>
      <c r="I27" s="31">
        <f>VLOOKUP(B27,France!$A:$B,2,)</f>
        <v/>
      </c>
      <c r="J27" s="31">
        <f>VLOOKUP(B27,UK!$A:$B,2,)</f>
        <v/>
      </c>
      <c r="K27" s="31">
        <f>VLOOKUP(B27,Italy!$A:$B,2,)</f>
        <v/>
      </c>
      <c r="L27" s="31">
        <f>VLOOKUP(B27,Spain!$A:$B,2,)</f>
        <v/>
      </c>
      <c r="M27" s="31">
        <f>VLOOKUP(B27,Brazil!$A:$B,2,)</f>
        <v/>
      </c>
      <c r="N27" s="31">
        <f>VLOOKUP(B27,Russia!$A:$B,2,)</f>
        <v/>
      </c>
      <c r="O27" s="31">
        <f>VLOOKUP(B27,India!$A:$B,2,)</f>
        <v/>
      </c>
      <c r="P27" s="31">
        <f>VLOOKUP(B27,Australia!$A:$B,2,)</f>
        <v/>
      </c>
      <c r="Q27" s="31">
        <f>VLOOKUP(B27,Ireland!$A:$B,2,)</f>
        <v/>
      </c>
    </row>
    <row r="28">
      <c r="B28" s="30" t="n">
        <v>42552</v>
      </c>
      <c r="C28" s="31">
        <f>VLOOKUP(B28,Global!$A:$B,2,)</f>
        <v/>
      </c>
      <c r="D28" s="31">
        <f>VLOOKUP(B28,US!$A:$B,2,)</f>
        <v/>
      </c>
      <c r="E28" s="31">
        <f>VLOOKUP(B28,China!$A:$B,2,)</f>
        <v/>
      </c>
      <c r="F28" s="31">
        <f>VLOOKUP(B28,EuroArea!$A:$B,2,)</f>
        <v/>
      </c>
      <c r="G28" s="31">
        <f>VLOOKUP(B28,Japan!$A:$B,2,)</f>
        <v/>
      </c>
      <c r="H28" s="31">
        <f>VLOOKUP(B28,Germany!$A:$B,2,)</f>
        <v/>
      </c>
      <c r="I28" s="31">
        <f>VLOOKUP(B28,France!$A:$B,2,)</f>
        <v/>
      </c>
      <c r="J28" s="31">
        <f>VLOOKUP(B28,UK!$A:$B,2,)</f>
        <v/>
      </c>
      <c r="K28" s="31">
        <f>VLOOKUP(B28,Italy!$A:$B,2,)</f>
        <v/>
      </c>
      <c r="L28" s="31">
        <f>VLOOKUP(B28,Spain!$A:$B,2,)</f>
        <v/>
      </c>
      <c r="M28" s="31">
        <f>VLOOKUP(B28,Brazil!$A:$B,2,)</f>
        <v/>
      </c>
      <c r="N28" s="31">
        <f>VLOOKUP(B28,Russia!$A:$B,2,)</f>
        <v/>
      </c>
      <c r="O28" s="31">
        <f>VLOOKUP(B28,India!$A:$B,2,)</f>
        <v/>
      </c>
      <c r="P28" s="31">
        <f>VLOOKUP(B28,Australia!$A:$B,2,)</f>
        <v/>
      </c>
      <c r="Q28" s="31">
        <f>VLOOKUP(B28,Ireland!$A:$B,2,)</f>
        <v/>
      </c>
    </row>
    <row r="29">
      <c r="B29" s="30" t="n">
        <v>42583</v>
      </c>
      <c r="C29" s="31">
        <f>VLOOKUP(B29,Global!$A:$B,2,)</f>
        <v/>
      </c>
      <c r="D29" s="31">
        <f>VLOOKUP(B29,US!$A:$B,2,)</f>
        <v/>
      </c>
      <c r="E29" s="31">
        <f>VLOOKUP(B29,China!$A:$B,2,)</f>
        <v/>
      </c>
      <c r="F29" s="31">
        <f>VLOOKUP(B29,EuroArea!$A:$B,2,)</f>
        <v/>
      </c>
      <c r="G29" s="31">
        <f>VLOOKUP(B29,Japan!$A:$B,2,)</f>
        <v/>
      </c>
      <c r="H29" s="31">
        <f>VLOOKUP(B29,Germany!$A:$B,2,)</f>
        <v/>
      </c>
      <c r="I29" s="31">
        <f>VLOOKUP(B29,France!$A:$B,2,)</f>
        <v/>
      </c>
      <c r="J29" s="31">
        <f>VLOOKUP(B29,UK!$A:$B,2,)</f>
        <v/>
      </c>
      <c r="K29" s="31">
        <f>VLOOKUP(B29,Italy!$A:$B,2,)</f>
        <v/>
      </c>
      <c r="L29" s="31">
        <f>VLOOKUP(B29,Spain!$A:$B,2,)</f>
        <v/>
      </c>
      <c r="M29" s="31">
        <f>VLOOKUP(B29,Brazil!$A:$B,2,)</f>
        <v/>
      </c>
      <c r="N29" s="31">
        <f>VLOOKUP(B29,Russia!$A:$B,2,)</f>
        <v/>
      </c>
      <c r="O29" s="31">
        <f>VLOOKUP(B29,India!$A:$B,2,)</f>
        <v/>
      </c>
      <c r="P29" s="31">
        <f>VLOOKUP(B29,Australia!$A:$B,2,)</f>
        <v/>
      </c>
      <c r="Q29" s="31">
        <f>VLOOKUP(B29,Ireland!$A:$B,2,)</f>
        <v/>
      </c>
    </row>
    <row r="30">
      <c r="B30" s="30" t="n">
        <v>42614</v>
      </c>
      <c r="C30" s="31">
        <f>VLOOKUP(B30,Global!$A:$B,2,)</f>
        <v/>
      </c>
      <c r="D30" s="31">
        <f>VLOOKUP(B30,US!$A:$B,2,)</f>
        <v/>
      </c>
      <c r="E30" s="31">
        <f>VLOOKUP(B30,China!$A:$B,2,)</f>
        <v/>
      </c>
      <c r="F30" s="31">
        <f>VLOOKUP(B30,EuroArea!$A:$B,2,)</f>
        <v/>
      </c>
      <c r="G30" s="31">
        <f>VLOOKUP(B30,Japan!$A:$B,2,)</f>
        <v/>
      </c>
      <c r="H30" s="31">
        <f>VLOOKUP(B30,Germany!$A:$B,2,)</f>
        <v/>
      </c>
      <c r="I30" s="31">
        <f>VLOOKUP(B30,France!$A:$B,2,)</f>
        <v/>
      </c>
      <c r="J30" s="31">
        <f>VLOOKUP(B30,UK!$A:$B,2,)</f>
        <v/>
      </c>
      <c r="K30" s="31">
        <f>VLOOKUP(B30,Italy!$A:$B,2,)</f>
        <v/>
      </c>
      <c r="L30" s="31">
        <f>VLOOKUP(B30,Spain!$A:$B,2,)</f>
        <v/>
      </c>
      <c r="M30" s="31">
        <f>VLOOKUP(B30,Brazil!$A:$B,2,)</f>
        <v/>
      </c>
      <c r="N30" s="31">
        <f>VLOOKUP(B30,Russia!$A:$B,2,)</f>
        <v/>
      </c>
      <c r="O30" s="31">
        <f>VLOOKUP(B30,India!$A:$B,2,)</f>
        <v/>
      </c>
      <c r="P30" s="31">
        <f>VLOOKUP(B30,Australia!$A:$B,2,)</f>
        <v/>
      </c>
      <c r="Q30" s="31">
        <f>VLOOKUP(B30,Ireland!$A:$B,2,)</f>
        <v/>
      </c>
    </row>
    <row r="31">
      <c r="B31" s="30" t="n">
        <v>42644</v>
      </c>
      <c r="C31" s="31">
        <f>VLOOKUP(B31,Global!$A:$B,2,)</f>
        <v/>
      </c>
      <c r="D31" s="31">
        <f>VLOOKUP(B31,US!$A:$B,2,)</f>
        <v/>
      </c>
      <c r="E31" s="31">
        <f>VLOOKUP(B31,China!$A:$B,2,)</f>
        <v/>
      </c>
      <c r="F31" s="31">
        <f>VLOOKUP(B31,EuroArea!$A:$B,2,)</f>
        <v/>
      </c>
      <c r="G31" s="31">
        <f>VLOOKUP(B31,Japan!$A:$B,2,)</f>
        <v/>
      </c>
      <c r="H31" s="31">
        <f>VLOOKUP(B31,Germany!$A:$B,2,)</f>
        <v/>
      </c>
      <c r="I31" s="31">
        <f>VLOOKUP(B31,France!$A:$B,2,)</f>
        <v/>
      </c>
      <c r="J31" s="31">
        <f>VLOOKUP(B31,UK!$A:$B,2,)</f>
        <v/>
      </c>
      <c r="K31" s="31">
        <f>VLOOKUP(B31,Italy!$A:$B,2,)</f>
        <v/>
      </c>
      <c r="L31" s="31">
        <f>VLOOKUP(B31,Spain!$A:$B,2,)</f>
        <v/>
      </c>
      <c r="M31" s="31">
        <f>VLOOKUP(B31,Brazil!$A:$B,2,)</f>
        <v/>
      </c>
      <c r="N31" s="31">
        <f>VLOOKUP(B31,Russia!$A:$B,2,)</f>
        <v/>
      </c>
      <c r="O31" s="31">
        <f>VLOOKUP(B31,India!$A:$B,2,)</f>
        <v/>
      </c>
      <c r="P31" s="31">
        <f>VLOOKUP(B31,Australia!$A:$B,2,)</f>
        <v/>
      </c>
      <c r="Q31" s="31">
        <f>VLOOKUP(B31,Ireland!$A:$B,2,)</f>
        <v/>
      </c>
    </row>
    <row r="32">
      <c r="B32" s="30" t="n">
        <v>42675</v>
      </c>
      <c r="C32" s="31">
        <f>VLOOKUP(B32,Global!$A:$B,2,)</f>
        <v/>
      </c>
      <c r="D32" s="31">
        <f>VLOOKUP(B32,US!$A:$B,2,)</f>
        <v/>
      </c>
      <c r="E32" s="31">
        <f>VLOOKUP(B32,China!$A:$B,2,)</f>
        <v/>
      </c>
      <c r="F32" s="31">
        <f>VLOOKUP(B32,EuroArea!$A:$B,2,)</f>
        <v/>
      </c>
      <c r="G32" s="31">
        <f>VLOOKUP(B32,Japan!$A:$B,2,)</f>
        <v/>
      </c>
      <c r="H32" s="31">
        <f>VLOOKUP(B32,Germany!$A:$B,2,)</f>
        <v/>
      </c>
      <c r="I32" s="31">
        <f>VLOOKUP(B32,France!$A:$B,2,)</f>
        <v/>
      </c>
      <c r="J32" s="31">
        <f>VLOOKUP(B32,UK!$A:$B,2,)</f>
        <v/>
      </c>
      <c r="K32" s="31">
        <f>VLOOKUP(B32,Italy!$A:$B,2,)</f>
        <v/>
      </c>
      <c r="L32" s="31">
        <f>VLOOKUP(B32,Spain!$A:$B,2,)</f>
        <v/>
      </c>
      <c r="M32" s="31">
        <f>VLOOKUP(B32,Brazil!$A:$B,2,)</f>
        <v/>
      </c>
      <c r="N32" s="31">
        <f>VLOOKUP(B32,Russia!$A:$B,2,)</f>
        <v/>
      </c>
      <c r="O32" s="31">
        <f>VLOOKUP(B32,India!$A:$B,2,)</f>
        <v/>
      </c>
      <c r="P32" s="31">
        <f>VLOOKUP(B32,Australia!$A:$B,2,)</f>
        <v/>
      </c>
      <c r="Q32" s="31">
        <f>VLOOKUP(B32,Ireland!$A:$B,2,)</f>
        <v/>
      </c>
    </row>
    <row r="33">
      <c r="B33" s="30" t="n">
        <v>42705</v>
      </c>
      <c r="C33" s="31">
        <f>VLOOKUP(B33,Global!$A:$B,2,)</f>
        <v/>
      </c>
      <c r="D33" s="31">
        <f>VLOOKUP(B33,US!$A:$B,2,)</f>
        <v/>
      </c>
      <c r="E33" s="31">
        <f>VLOOKUP(B33,China!$A:$B,2,)</f>
        <v/>
      </c>
      <c r="F33" s="31">
        <f>VLOOKUP(B33,EuroArea!$A:$B,2,)</f>
        <v/>
      </c>
      <c r="G33" s="31">
        <f>VLOOKUP(B33,Japan!$A:$B,2,)</f>
        <v/>
      </c>
      <c r="H33" s="31">
        <f>VLOOKUP(B33,Germany!$A:$B,2,)</f>
        <v/>
      </c>
      <c r="I33" s="31">
        <f>VLOOKUP(B33,France!$A:$B,2,)</f>
        <v/>
      </c>
      <c r="J33" s="31">
        <f>VLOOKUP(B33,UK!$A:$B,2,)</f>
        <v/>
      </c>
      <c r="K33" s="31">
        <f>VLOOKUP(B33,Italy!$A:$B,2,)</f>
        <v/>
      </c>
      <c r="L33" s="31">
        <f>VLOOKUP(B33,Spain!$A:$B,2,)</f>
        <v/>
      </c>
      <c r="M33" s="31">
        <f>VLOOKUP(B33,Brazil!$A:$B,2,)</f>
        <v/>
      </c>
      <c r="N33" s="31">
        <f>VLOOKUP(B33,Russia!$A:$B,2,)</f>
        <v/>
      </c>
      <c r="O33" s="31">
        <f>VLOOKUP(B33,India!$A:$B,2,)</f>
        <v/>
      </c>
      <c r="P33" s="31">
        <f>VLOOKUP(B33,Australia!$A:$B,2,)</f>
        <v/>
      </c>
      <c r="Q33" s="31">
        <f>VLOOKUP(B33,Ireland!$A:$B,2,)</f>
        <v/>
      </c>
    </row>
    <row r="34">
      <c r="B34" s="30" t="n">
        <v>42736</v>
      </c>
      <c r="C34" s="31">
        <f>VLOOKUP(B34,Global!$A:$B,2,)</f>
        <v/>
      </c>
      <c r="D34" s="31">
        <f>VLOOKUP(B34,US!$A:$B,2,)</f>
        <v/>
      </c>
      <c r="E34" s="31">
        <f>VLOOKUP(B34,China!$A:$B,2,)</f>
        <v/>
      </c>
      <c r="F34" s="31">
        <f>VLOOKUP(B34,EuroArea!$A:$B,2,)</f>
        <v/>
      </c>
      <c r="G34" s="31">
        <f>VLOOKUP(B34,Japan!$A:$B,2,)</f>
        <v/>
      </c>
      <c r="H34" s="31">
        <f>VLOOKUP(B34,Germany!$A:$B,2,)</f>
        <v/>
      </c>
      <c r="I34" s="31">
        <f>VLOOKUP(B34,France!$A:$B,2,)</f>
        <v/>
      </c>
      <c r="J34" s="31">
        <f>VLOOKUP(B34,UK!$A:$B,2,)</f>
        <v/>
      </c>
      <c r="K34" s="31">
        <f>VLOOKUP(B34,Italy!$A:$B,2,)</f>
        <v/>
      </c>
      <c r="L34" s="31">
        <f>VLOOKUP(B34,Spain!$A:$B,2,)</f>
        <v/>
      </c>
      <c r="M34" s="31">
        <f>VLOOKUP(B34,Brazil!$A:$B,2,)</f>
        <v/>
      </c>
      <c r="N34" s="31">
        <f>VLOOKUP(B34,Russia!$A:$B,2,)</f>
        <v/>
      </c>
      <c r="O34" s="31">
        <f>VLOOKUP(B34,India!$A:$B,2,)</f>
        <v/>
      </c>
      <c r="P34" s="31">
        <f>VLOOKUP(B34,Australia!$A:$B,2,)</f>
        <v/>
      </c>
      <c r="Q34" s="31">
        <f>VLOOKUP(B34,Ireland!$A:$B,2,)</f>
        <v/>
      </c>
    </row>
    <row r="35">
      <c r="B35" s="30" t="n">
        <v>42767</v>
      </c>
      <c r="C35" s="31">
        <f>VLOOKUP(B35,Global!$A:$B,2,)</f>
        <v/>
      </c>
      <c r="D35" s="31">
        <f>VLOOKUP(B35,US!$A:$B,2,)</f>
        <v/>
      </c>
      <c r="E35" s="31">
        <f>VLOOKUP(B35,China!$A:$B,2,)</f>
        <v/>
      </c>
      <c r="F35" s="31">
        <f>VLOOKUP(B35,EuroArea!$A:$B,2,)</f>
        <v/>
      </c>
      <c r="G35" s="31">
        <f>VLOOKUP(B35,Japan!$A:$B,2,)</f>
        <v/>
      </c>
      <c r="H35" s="31">
        <f>VLOOKUP(B35,Germany!$A:$B,2,)</f>
        <v/>
      </c>
      <c r="I35" s="31">
        <f>VLOOKUP(B35,France!$A:$B,2,)</f>
        <v/>
      </c>
      <c r="J35" s="31">
        <f>VLOOKUP(B35,UK!$A:$B,2,)</f>
        <v/>
      </c>
      <c r="K35" s="31">
        <f>VLOOKUP(B35,Italy!$A:$B,2,)</f>
        <v/>
      </c>
      <c r="L35" s="31">
        <f>VLOOKUP(B35,Spain!$A:$B,2,)</f>
        <v/>
      </c>
      <c r="M35" s="31">
        <f>VLOOKUP(B35,Brazil!$A:$B,2,)</f>
        <v/>
      </c>
      <c r="N35" s="31">
        <f>VLOOKUP(B35,Russia!$A:$B,2,)</f>
        <v/>
      </c>
      <c r="O35" s="31">
        <f>VLOOKUP(B35,India!$A:$B,2,)</f>
        <v/>
      </c>
      <c r="P35" s="31">
        <f>VLOOKUP(B35,Australia!$A:$B,2,)</f>
        <v/>
      </c>
      <c r="Q35" s="31">
        <f>VLOOKUP(B35,Ireland!$A:$B,2,)</f>
        <v/>
      </c>
    </row>
    <row r="36">
      <c r="B36" s="30" t="n">
        <v>42795</v>
      </c>
      <c r="C36" s="31">
        <f>VLOOKUP(B36,Global!$A:$B,2,)</f>
        <v/>
      </c>
      <c r="D36" s="31">
        <f>VLOOKUP(B36,US!$A:$B,2,)</f>
        <v/>
      </c>
      <c r="E36" s="31">
        <f>VLOOKUP(B36,China!$A:$B,2,)</f>
        <v/>
      </c>
      <c r="F36" s="31">
        <f>VLOOKUP(B36,EuroArea!$A:$B,2,)</f>
        <v/>
      </c>
      <c r="G36" s="31">
        <f>VLOOKUP(B36,Japan!$A:$B,2,)</f>
        <v/>
      </c>
      <c r="H36" s="31">
        <f>VLOOKUP(B36,Germany!$A:$B,2,)</f>
        <v/>
      </c>
      <c r="I36" s="31">
        <f>VLOOKUP(B36,France!$A:$B,2,)</f>
        <v/>
      </c>
      <c r="J36" s="31">
        <f>VLOOKUP(B36,UK!$A:$B,2,)</f>
        <v/>
      </c>
      <c r="K36" s="31">
        <f>VLOOKUP(B36,Italy!$A:$B,2,)</f>
        <v/>
      </c>
      <c r="L36" s="31">
        <f>VLOOKUP(B36,Spain!$A:$B,2,)</f>
        <v/>
      </c>
      <c r="M36" s="31">
        <f>VLOOKUP(B36,Brazil!$A:$B,2,)</f>
        <v/>
      </c>
      <c r="N36" s="31">
        <f>VLOOKUP(B36,Russia!$A:$B,2,)</f>
        <v/>
      </c>
      <c r="O36" s="31">
        <f>VLOOKUP(B36,India!$A:$B,2,)</f>
        <v/>
      </c>
      <c r="P36" s="31">
        <f>VLOOKUP(B36,Australia!$A:$B,2,)</f>
        <v/>
      </c>
      <c r="Q36" s="31">
        <f>VLOOKUP(B36,Ireland!$A:$B,2,)</f>
        <v/>
      </c>
    </row>
    <row r="37">
      <c r="B37" s="30" t="n">
        <v>42826</v>
      </c>
      <c r="C37" s="31">
        <f>VLOOKUP(B37,Global!$A:$B,2,)</f>
        <v/>
      </c>
      <c r="D37" s="31">
        <f>VLOOKUP(B37,US!$A:$B,2,)</f>
        <v/>
      </c>
      <c r="E37" s="31">
        <f>VLOOKUP(B37,China!$A:$B,2,)</f>
        <v/>
      </c>
      <c r="F37" s="31">
        <f>VLOOKUP(B37,EuroArea!$A:$B,2,)</f>
        <v/>
      </c>
      <c r="G37" s="31">
        <f>VLOOKUP(B37,Japan!$A:$B,2,)</f>
        <v/>
      </c>
      <c r="H37" s="31">
        <f>VLOOKUP(B37,Germany!$A:$B,2,)</f>
        <v/>
      </c>
      <c r="I37" s="31">
        <f>VLOOKUP(B37,France!$A:$B,2,)</f>
        <v/>
      </c>
      <c r="J37" s="31">
        <f>VLOOKUP(B37,UK!$A:$B,2,)</f>
        <v/>
      </c>
      <c r="K37" s="31">
        <f>VLOOKUP(B37,Italy!$A:$B,2,)</f>
        <v/>
      </c>
      <c r="L37" s="31">
        <f>VLOOKUP(B37,Spain!$A:$B,2,)</f>
        <v/>
      </c>
      <c r="M37" s="31">
        <f>VLOOKUP(B37,Brazil!$A:$B,2,)</f>
        <v/>
      </c>
      <c r="N37" s="31">
        <f>VLOOKUP(B37,Russia!$A:$B,2,)</f>
        <v/>
      </c>
      <c r="O37" s="31">
        <f>VLOOKUP(B37,India!$A:$B,2,)</f>
        <v/>
      </c>
      <c r="P37" s="31">
        <f>VLOOKUP(B37,Australia!$A:$B,2,)</f>
        <v/>
      </c>
      <c r="Q37" s="31">
        <f>VLOOKUP(B37,Ireland!$A:$B,2,)</f>
        <v/>
      </c>
    </row>
    <row r="38">
      <c r="B38" s="30" t="n">
        <v>42856</v>
      </c>
      <c r="C38" s="31">
        <f>VLOOKUP(B38,Global!$A:$B,2,)</f>
        <v/>
      </c>
      <c r="D38" s="31">
        <f>VLOOKUP(B38,US!$A:$B,2,)</f>
        <v/>
      </c>
      <c r="E38" s="31">
        <f>VLOOKUP(B38,China!$A:$B,2,)</f>
        <v/>
      </c>
      <c r="F38" s="31">
        <f>VLOOKUP(B38,EuroArea!$A:$B,2,)</f>
        <v/>
      </c>
      <c r="G38" s="31">
        <f>VLOOKUP(B38,Japan!$A:$B,2,)</f>
        <v/>
      </c>
      <c r="H38" s="31">
        <f>VLOOKUP(B38,Germany!$A:$B,2,)</f>
        <v/>
      </c>
      <c r="I38" s="31">
        <f>VLOOKUP(B38,France!$A:$B,2,)</f>
        <v/>
      </c>
      <c r="J38" s="31">
        <f>VLOOKUP(B38,UK!$A:$B,2,)</f>
        <v/>
      </c>
      <c r="K38" s="31">
        <f>VLOOKUP(B38,Italy!$A:$B,2,)</f>
        <v/>
      </c>
      <c r="L38" s="31">
        <f>VLOOKUP(B38,Spain!$A:$B,2,)</f>
        <v/>
      </c>
      <c r="M38" s="31">
        <f>VLOOKUP(B38,Brazil!$A:$B,2,)</f>
        <v/>
      </c>
      <c r="N38" s="31">
        <f>VLOOKUP(B38,Russia!$A:$B,2,)</f>
        <v/>
      </c>
      <c r="O38" s="31">
        <f>VLOOKUP(B38,India!$A:$B,2,)</f>
        <v/>
      </c>
      <c r="P38" s="31">
        <f>VLOOKUP(B38,Australia!$A:$B,2,)</f>
        <v/>
      </c>
      <c r="Q38" s="31">
        <f>VLOOKUP(B38,Ireland!$A:$B,2,)</f>
        <v/>
      </c>
    </row>
    <row r="39">
      <c r="B39" s="30" t="n">
        <v>42887</v>
      </c>
      <c r="C39" s="31">
        <f>VLOOKUP(B39,Global!$A:$B,2,)</f>
        <v/>
      </c>
      <c r="D39" s="31">
        <f>VLOOKUP(B39,US!$A:$B,2,)</f>
        <v/>
      </c>
      <c r="E39" s="31">
        <f>VLOOKUP(B39,China!$A:$B,2,)</f>
        <v/>
      </c>
      <c r="F39" s="31">
        <f>VLOOKUP(B39,EuroArea!$A:$B,2,)</f>
        <v/>
      </c>
      <c r="G39" s="31">
        <f>VLOOKUP(B39,Japan!$A:$B,2,)</f>
        <v/>
      </c>
      <c r="H39" s="31">
        <f>VLOOKUP(B39,Germany!$A:$B,2,)</f>
        <v/>
      </c>
      <c r="I39" s="31">
        <f>VLOOKUP(B39,France!$A:$B,2,)</f>
        <v/>
      </c>
      <c r="J39" s="31">
        <f>VLOOKUP(B39,UK!$A:$B,2,)</f>
        <v/>
      </c>
      <c r="K39" s="31">
        <f>VLOOKUP(B39,Italy!$A:$B,2,)</f>
        <v/>
      </c>
      <c r="L39" s="31">
        <f>VLOOKUP(B39,Spain!$A:$B,2,)</f>
        <v/>
      </c>
      <c r="M39" s="31">
        <f>VLOOKUP(B39,Brazil!$A:$B,2,)</f>
        <v/>
      </c>
      <c r="N39" s="31">
        <f>VLOOKUP(B39,Russia!$A:$B,2,)</f>
        <v/>
      </c>
      <c r="O39" s="31">
        <f>VLOOKUP(B39,India!$A:$B,2,)</f>
        <v/>
      </c>
      <c r="P39" s="31">
        <f>VLOOKUP(B39,Australia!$A:$B,2,)</f>
        <v/>
      </c>
      <c r="Q39" s="31">
        <f>VLOOKUP(B39,Ireland!$A:$B,2,)</f>
        <v/>
      </c>
    </row>
    <row r="40">
      <c r="B40" s="30" t="n">
        <v>42917</v>
      </c>
      <c r="C40" s="31">
        <f>VLOOKUP(B40,Global!$A:$B,2,)</f>
        <v/>
      </c>
      <c r="D40" s="31">
        <f>VLOOKUP(B40,US!$A:$B,2,)</f>
        <v/>
      </c>
      <c r="E40" s="31">
        <f>VLOOKUP(B40,China!$A:$B,2,)</f>
        <v/>
      </c>
      <c r="F40" s="31">
        <f>VLOOKUP(B40,EuroArea!$A:$B,2,)</f>
        <v/>
      </c>
      <c r="G40" s="31">
        <f>VLOOKUP(B40,Japan!$A:$B,2,)</f>
        <v/>
      </c>
      <c r="H40" s="31">
        <f>VLOOKUP(B40,Germany!$A:$B,2,)</f>
        <v/>
      </c>
      <c r="I40" s="31">
        <f>VLOOKUP(B40,France!$A:$B,2,)</f>
        <v/>
      </c>
      <c r="J40" s="31">
        <f>VLOOKUP(B40,UK!$A:$B,2,)</f>
        <v/>
      </c>
      <c r="K40" s="31">
        <f>VLOOKUP(B40,Italy!$A:$B,2,)</f>
        <v/>
      </c>
      <c r="L40" s="31">
        <f>VLOOKUP(B40,Spain!$A:$B,2,)</f>
        <v/>
      </c>
      <c r="M40" s="31">
        <f>VLOOKUP(B40,Brazil!$A:$B,2,)</f>
        <v/>
      </c>
      <c r="N40" s="31">
        <f>VLOOKUP(B40,Russia!$A:$B,2,)</f>
        <v/>
      </c>
      <c r="O40" s="31">
        <f>VLOOKUP(B40,India!$A:$B,2,)</f>
        <v/>
      </c>
      <c r="P40" s="31">
        <f>VLOOKUP(B40,Australia!$A:$B,2,)</f>
        <v/>
      </c>
      <c r="Q40" s="31">
        <f>VLOOKUP(B40,Ireland!$A:$B,2,)</f>
        <v/>
      </c>
    </row>
    <row r="41">
      <c r="B41" s="30" t="n">
        <v>42948</v>
      </c>
      <c r="C41" s="31">
        <f>VLOOKUP(B41,Global!$A:$B,2,)</f>
        <v/>
      </c>
      <c r="D41" s="31">
        <f>VLOOKUP(B41,US!$A:$B,2,)</f>
        <v/>
      </c>
      <c r="E41" s="31">
        <f>VLOOKUP(B41,China!$A:$B,2,)</f>
        <v/>
      </c>
      <c r="F41" s="31">
        <f>VLOOKUP(B41,EuroArea!$A:$B,2,)</f>
        <v/>
      </c>
      <c r="G41" s="31">
        <f>VLOOKUP(B41,Japan!$A:$B,2,)</f>
        <v/>
      </c>
      <c r="H41" s="31">
        <f>VLOOKUP(B41,Germany!$A:$B,2,)</f>
        <v/>
      </c>
      <c r="I41" s="31">
        <f>VLOOKUP(B41,France!$A:$B,2,)</f>
        <v/>
      </c>
      <c r="J41" s="31">
        <f>VLOOKUP(B41,UK!$A:$B,2,)</f>
        <v/>
      </c>
      <c r="K41" s="31">
        <f>VLOOKUP(B41,Italy!$A:$B,2,)</f>
        <v/>
      </c>
      <c r="L41" s="31">
        <f>VLOOKUP(B41,Spain!$A:$B,2,)</f>
        <v/>
      </c>
      <c r="M41" s="31">
        <f>VLOOKUP(B41,Brazil!$A:$B,2,)</f>
        <v/>
      </c>
      <c r="N41" s="31">
        <f>VLOOKUP(B41,Russia!$A:$B,2,)</f>
        <v/>
      </c>
      <c r="O41" s="31">
        <f>VLOOKUP(B41,India!$A:$B,2,)</f>
        <v/>
      </c>
      <c r="P41" s="31">
        <f>VLOOKUP(B41,Australia!$A:$B,2,)</f>
        <v/>
      </c>
      <c r="Q41" s="31">
        <f>VLOOKUP(B41,Ireland!$A:$B,2,)</f>
        <v/>
      </c>
    </row>
    <row r="42">
      <c r="B42" s="30" t="n">
        <v>42979</v>
      </c>
      <c r="C42" s="31">
        <f>VLOOKUP(B42,Global!$A:$B,2,)</f>
        <v/>
      </c>
      <c r="D42" s="31">
        <f>VLOOKUP(B42,US!$A:$B,2,)</f>
        <v/>
      </c>
      <c r="E42" s="31">
        <f>VLOOKUP(B42,China!$A:$B,2,)</f>
        <v/>
      </c>
      <c r="F42" s="31">
        <f>VLOOKUP(B42,EuroArea!$A:$B,2,)</f>
        <v/>
      </c>
      <c r="G42" s="31">
        <f>VLOOKUP(B42,Japan!$A:$B,2,)</f>
        <v/>
      </c>
      <c r="H42" s="31">
        <f>VLOOKUP(B42,Germany!$A:$B,2,)</f>
        <v/>
      </c>
      <c r="I42" s="31">
        <f>VLOOKUP(B42,France!$A:$B,2,)</f>
        <v/>
      </c>
      <c r="J42" s="31">
        <f>VLOOKUP(B42,UK!$A:$B,2,)</f>
        <v/>
      </c>
      <c r="K42" s="31">
        <f>VLOOKUP(B42,Italy!$A:$B,2,)</f>
        <v/>
      </c>
      <c r="L42" s="31">
        <f>VLOOKUP(B42,Spain!$A:$B,2,)</f>
        <v/>
      </c>
      <c r="M42" s="31">
        <f>VLOOKUP(B42,Brazil!$A:$B,2,)</f>
        <v/>
      </c>
      <c r="N42" s="31">
        <f>VLOOKUP(B42,Russia!$A:$B,2,)</f>
        <v/>
      </c>
      <c r="O42" s="31">
        <f>VLOOKUP(B42,India!$A:$B,2,)</f>
        <v/>
      </c>
      <c r="P42" s="31">
        <f>VLOOKUP(B42,Australia!$A:$B,2,)</f>
        <v/>
      </c>
      <c r="Q42" s="31">
        <f>VLOOKUP(B42,Ireland!$A:$B,2,)</f>
        <v/>
      </c>
    </row>
    <row r="43">
      <c r="B43" s="30" t="n">
        <v>43009</v>
      </c>
      <c r="C43" s="31">
        <f>VLOOKUP(B43,Global!$A:$B,2,)</f>
        <v/>
      </c>
      <c r="D43" s="31">
        <f>VLOOKUP(B43,US!$A:$B,2,)</f>
        <v/>
      </c>
      <c r="E43" s="31">
        <f>VLOOKUP(B43,China!$A:$B,2,)</f>
        <v/>
      </c>
      <c r="F43" s="31">
        <f>VLOOKUP(B43,EuroArea!$A:$B,2,)</f>
        <v/>
      </c>
      <c r="G43" s="31">
        <f>VLOOKUP(B43,Japan!$A:$B,2,)</f>
        <v/>
      </c>
      <c r="H43" s="31">
        <f>VLOOKUP(B43,Germany!$A:$B,2,)</f>
        <v/>
      </c>
      <c r="I43" s="31">
        <f>VLOOKUP(B43,France!$A:$B,2,)</f>
        <v/>
      </c>
      <c r="J43" s="31">
        <f>VLOOKUP(B43,UK!$A:$B,2,)</f>
        <v/>
      </c>
      <c r="K43" s="31">
        <f>VLOOKUP(B43,Italy!$A:$B,2,)</f>
        <v/>
      </c>
      <c r="L43" s="31">
        <f>VLOOKUP(B43,Spain!$A:$B,2,)</f>
        <v/>
      </c>
      <c r="M43" s="31">
        <f>VLOOKUP(B43,Brazil!$A:$B,2,)</f>
        <v/>
      </c>
      <c r="N43" s="31">
        <f>VLOOKUP(B43,Russia!$A:$B,2,)</f>
        <v/>
      </c>
      <c r="O43" s="31">
        <f>VLOOKUP(B43,India!$A:$B,2,)</f>
        <v/>
      </c>
      <c r="P43" s="31">
        <f>VLOOKUP(B43,Australia!$A:$B,2,)</f>
        <v/>
      </c>
      <c r="Q43" s="31">
        <f>VLOOKUP(B43,Ireland!$A:$B,2,)</f>
        <v/>
      </c>
    </row>
    <row r="44">
      <c r="B44" s="30" t="n">
        <v>43040</v>
      </c>
      <c r="C44" s="31">
        <f>VLOOKUP(B44,Global!$A:$B,2,)</f>
        <v/>
      </c>
      <c r="D44" s="31">
        <f>VLOOKUP(B44,US!$A:$B,2,)</f>
        <v/>
      </c>
      <c r="E44" s="31">
        <f>VLOOKUP(B44,China!$A:$B,2,)</f>
        <v/>
      </c>
      <c r="F44" s="31">
        <f>VLOOKUP(B44,EuroArea!$A:$B,2,)</f>
        <v/>
      </c>
      <c r="G44" s="31">
        <f>VLOOKUP(B44,Japan!$A:$B,2,)</f>
        <v/>
      </c>
      <c r="H44" s="31">
        <f>VLOOKUP(B44,Germany!$A:$B,2,)</f>
        <v/>
      </c>
      <c r="I44" s="31">
        <f>VLOOKUP(B44,France!$A:$B,2,)</f>
        <v/>
      </c>
      <c r="J44" s="31">
        <f>VLOOKUP(B44,UK!$A:$B,2,)</f>
        <v/>
      </c>
      <c r="K44" s="31">
        <f>VLOOKUP(B44,Italy!$A:$B,2,)</f>
        <v/>
      </c>
      <c r="L44" s="31">
        <f>VLOOKUP(B44,Spain!$A:$B,2,)</f>
        <v/>
      </c>
      <c r="M44" s="31">
        <f>VLOOKUP(B44,Brazil!$A:$B,2,)</f>
        <v/>
      </c>
      <c r="N44" s="31">
        <f>VLOOKUP(B44,Russia!$A:$B,2,)</f>
        <v/>
      </c>
      <c r="O44" s="31">
        <f>VLOOKUP(B44,India!$A:$B,2,)</f>
        <v/>
      </c>
      <c r="P44" s="31">
        <f>VLOOKUP(B44,Australia!$A:$B,2,)</f>
        <v/>
      </c>
      <c r="Q44" s="31">
        <f>VLOOKUP(B44,Ireland!$A:$B,2,)</f>
        <v/>
      </c>
    </row>
    <row r="45">
      <c r="B45" s="30" t="n">
        <v>43070</v>
      </c>
      <c r="C45" s="31">
        <f>VLOOKUP(B45,Global!$A:$B,2,)</f>
        <v/>
      </c>
      <c r="D45" s="31">
        <f>VLOOKUP(B45,US!$A:$B,2,)</f>
        <v/>
      </c>
      <c r="E45" s="31">
        <f>VLOOKUP(B45,China!$A:$B,2,)</f>
        <v/>
      </c>
      <c r="F45" s="31">
        <f>VLOOKUP(B45,EuroArea!$A:$B,2,)</f>
        <v/>
      </c>
      <c r="G45" s="31">
        <f>VLOOKUP(B45,Japan!$A:$B,2,)</f>
        <v/>
      </c>
      <c r="H45" s="31">
        <f>VLOOKUP(B45,Germany!$A:$B,2,)</f>
        <v/>
      </c>
      <c r="I45" s="31">
        <f>VLOOKUP(B45,France!$A:$B,2,)</f>
        <v/>
      </c>
      <c r="J45" s="31">
        <f>VLOOKUP(B45,UK!$A:$B,2,)</f>
        <v/>
      </c>
      <c r="K45" s="31">
        <f>VLOOKUP(B45,Italy!$A:$B,2,)</f>
        <v/>
      </c>
      <c r="L45" s="31">
        <f>VLOOKUP(B45,Spain!$A:$B,2,)</f>
        <v/>
      </c>
      <c r="M45" s="31">
        <f>VLOOKUP(B45,Brazil!$A:$B,2,)</f>
        <v/>
      </c>
      <c r="N45" s="31">
        <f>VLOOKUP(B45,Russia!$A:$B,2,)</f>
        <v/>
      </c>
      <c r="O45" s="31">
        <f>VLOOKUP(B45,India!$A:$B,2,)</f>
        <v/>
      </c>
      <c r="P45" s="31">
        <f>VLOOKUP(B45,Australia!$A:$B,2,)</f>
        <v/>
      </c>
      <c r="Q45" s="31">
        <f>VLOOKUP(B45,Ireland!$A:$B,2,)</f>
        <v/>
      </c>
    </row>
    <row r="46">
      <c r="B46" s="30" t="n">
        <v>43101</v>
      </c>
      <c r="C46" s="31">
        <f>VLOOKUP(B46,Global!$A:$B,2,)</f>
        <v/>
      </c>
      <c r="D46" s="31">
        <f>VLOOKUP(B46,US!$A:$B,2,)</f>
        <v/>
      </c>
      <c r="E46" s="31">
        <f>VLOOKUP(B46,China!$A:$B,2,)</f>
        <v/>
      </c>
      <c r="F46" s="31">
        <f>VLOOKUP(B46,EuroArea!$A:$B,2,)</f>
        <v/>
      </c>
      <c r="G46" s="31">
        <f>VLOOKUP(B46,Japan!$A:$B,2,)</f>
        <v/>
      </c>
      <c r="H46" s="31">
        <f>VLOOKUP(B46,Germany!$A:$B,2,)</f>
        <v/>
      </c>
      <c r="I46" s="31">
        <f>VLOOKUP(B46,France!$A:$B,2,)</f>
        <v/>
      </c>
      <c r="J46" s="31">
        <f>VLOOKUP(B46,UK!$A:$B,2,)</f>
        <v/>
      </c>
      <c r="K46" s="31">
        <f>VLOOKUP(B46,Italy!$A:$B,2,)</f>
        <v/>
      </c>
      <c r="L46" s="31">
        <f>VLOOKUP(B46,Spain!$A:$B,2,)</f>
        <v/>
      </c>
      <c r="M46" s="31">
        <f>VLOOKUP(B46,Brazil!$A:$B,2,)</f>
        <v/>
      </c>
      <c r="N46" s="31">
        <f>VLOOKUP(B46,Russia!$A:$B,2,)</f>
        <v/>
      </c>
      <c r="O46" s="31">
        <f>VLOOKUP(B46,India!$A:$B,2,)</f>
        <v/>
      </c>
      <c r="P46" s="31">
        <f>VLOOKUP(B46,Australia!$A:$B,2,)</f>
        <v/>
      </c>
      <c r="Q46" s="31">
        <f>VLOOKUP(B46,Ireland!$A:$B,2,)</f>
        <v/>
      </c>
    </row>
    <row r="47">
      <c r="B47" s="30" t="n">
        <v>43132</v>
      </c>
      <c r="C47" s="31">
        <f>VLOOKUP(B47,Global!$A:$B,2,)</f>
        <v/>
      </c>
      <c r="D47" s="31">
        <f>VLOOKUP(B47,US!$A:$B,2,)</f>
        <v/>
      </c>
      <c r="E47" s="31">
        <f>VLOOKUP(B47,China!$A:$B,2,)</f>
        <v/>
      </c>
      <c r="F47" s="31">
        <f>VLOOKUP(B47,EuroArea!$A:$B,2,)</f>
        <v/>
      </c>
      <c r="G47" s="31">
        <f>VLOOKUP(B47,Japan!$A:$B,2,)</f>
        <v/>
      </c>
      <c r="H47" s="31">
        <f>VLOOKUP(B47,Germany!$A:$B,2,)</f>
        <v/>
      </c>
      <c r="I47" s="31">
        <f>VLOOKUP(B47,France!$A:$B,2,)</f>
        <v/>
      </c>
      <c r="J47" s="31">
        <f>VLOOKUP(B47,UK!$A:$B,2,)</f>
        <v/>
      </c>
      <c r="K47" s="31">
        <f>VLOOKUP(B47,Italy!$A:$B,2,)</f>
        <v/>
      </c>
      <c r="L47" s="31">
        <f>VLOOKUP(B47,Spain!$A:$B,2,)</f>
        <v/>
      </c>
      <c r="M47" s="31">
        <f>VLOOKUP(B47,Brazil!$A:$B,2,)</f>
        <v/>
      </c>
      <c r="N47" s="31">
        <f>VLOOKUP(B47,Russia!$A:$B,2,)</f>
        <v/>
      </c>
      <c r="O47" s="31">
        <f>VLOOKUP(B47,India!$A:$B,2,)</f>
        <v/>
      </c>
      <c r="P47" s="31">
        <f>VLOOKUP(B47,Australia!$A:$B,2,)</f>
        <v/>
      </c>
      <c r="Q47" s="31">
        <f>VLOOKUP(B47,Ireland!$A:$B,2,)</f>
        <v/>
      </c>
    </row>
    <row r="48">
      <c r="B48" s="30" t="n">
        <v>43160</v>
      </c>
      <c r="C48" s="31">
        <f>VLOOKUP(B48,Global!$A:$B,2,)</f>
        <v/>
      </c>
      <c r="D48" s="31">
        <f>VLOOKUP(B48,US!$A:$B,2,)</f>
        <v/>
      </c>
      <c r="E48" s="31">
        <f>VLOOKUP(B48,China!$A:$B,2,)</f>
        <v/>
      </c>
      <c r="F48" s="31">
        <f>VLOOKUP(B48,EuroArea!$A:$B,2,)</f>
        <v/>
      </c>
      <c r="G48" s="31">
        <f>VLOOKUP(B48,Japan!$A:$B,2,)</f>
        <v/>
      </c>
      <c r="H48" s="31">
        <f>VLOOKUP(B48,Germany!$A:$B,2,)</f>
        <v/>
      </c>
      <c r="I48" s="31">
        <f>VLOOKUP(B48,France!$A:$B,2,)</f>
        <v/>
      </c>
      <c r="J48" s="31">
        <f>VLOOKUP(B48,UK!$A:$B,2,)</f>
        <v/>
      </c>
      <c r="K48" s="31">
        <f>VLOOKUP(B48,Italy!$A:$B,2,)</f>
        <v/>
      </c>
      <c r="L48" s="31">
        <f>VLOOKUP(B48,Spain!$A:$B,2,)</f>
        <v/>
      </c>
      <c r="M48" s="31">
        <f>VLOOKUP(B48,Brazil!$A:$B,2,)</f>
        <v/>
      </c>
      <c r="N48" s="31">
        <f>VLOOKUP(B48,Russia!$A:$B,2,)</f>
        <v/>
      </c>
      <c r="O48" s="31">
        <f>VLOOKUP(B48,India!$A:$B,2,)</f>
        <v/>
      </c>
      <c r="P48" s="31">
        <f>VLOOKUP(B48,Australia!$A:$B,2,)</f>
        <v/>
      </c>
      <c r="Q48" s="31">
        <f>VLOOKUP(B48,Ireland!$A:$B,2,)</f>
        <v/>
      </c>
    </row>
    <row r="49">
      <c r="B49" s="30" t="n">
        <v>43191</v>
      </c>
      <c r="C49" s="31">
        <f>VLOOKUP(B49,Global!$A:$B,2,)</f>
        <v/>
      </c>
      <c r="D49" s="31">
        <f>VLOOKUP(B49,US!$A:$B,2,)</f>
        <v/>
      </c>
      <c r="E49" s="31">
        <f>VLOOKUP(B49,China!$A:$B,2,)</f>
        <v/>
      </c>
      <c r="F49" s="31">
        <f>VLOOKUP(B49,EuroArea!$A:$B,2,)</f>
        <v/>
      </c>
      <c r="G49" s="31">
        <f>VLOOKUP(B49,Japan!$A:$B,2,)</f>
        <v/>
      </c>
      <c r="H49" s="31">
        <f>VLOOKUP(B49,Germany!$A:$B,2,)</f>
        <v/>
      </c>
      <c r="I49" s="31">
        <f>VLOOKUP(B49,France!$A:$B,2,)</f>
        <v/>
      </c>
      <c r="J49" s="31">
        <f>VLOOKUP(B49,UK!$A:$B,2,)</f>
        <v/>
      </c>
      <c r="K49" s="31">
        <f>VLOOKUP(B49,Italy!$A:$B,2,)</f>
        <v/>
      </c>
      <c r="L49" s="31">
        <f>VLOOKUP(B49,Spain!$A:$B,2,)</f>
        <v/>
      </c>
      <c r="M49" s="31">
        <f>VLOOKUP(B49,Brazil!$A:$B,2,)</f>
        <v/>
      </c>
      <c r="N49" s="31">
        <f>VLOOKUP(B49,Russia!$A:$B,2,)</f>
        <v/>
      </c>
      <c r="O49" s="31">
        <f>VLOOKUP(B49,India!$A:$B,2,)</f>
        <v/>
      </c>
      <c r="P49" s="31">
        <f>VLOOKUP(B49,Australia!$A:$B,2,)</f>
        <v/>
      </c>
      <c r="Q49" s="31">
        <f>VLOOKUP(B49,Ireland!$A:$B,2,)</f>
        <v/>
      </c>
    </row>
    <row r="50" customFormat="1" s="60">
      <c r="B50" s="30" t="n">
        <v>43221</v>
      </c>
      <c r="C50" s="31">
        <f>VLOOKUP(B50,Global!$A:$B,2,)</f>
        <v/>
      </c>
      <c r="D50" s="31">
        <f>VLOOKUP(B50,US!$A:$B,2,)</f>
        <v/>
      </c>
      <c r="E50" s="31">
        <f>VLOOKUP(B50,China!$A:$B,2,)</f>
        <v/>
      </c>
      <c r="F50" s="31">
        <f>VLOOKUP(B50,EuroArea!$A:$B,2,)</f>
        <v/>
      </c>
      <c r="G50" s="31">
        <f>VLOOKUP(B50,Japan!$A:$B,2,)</f>
        <v/>
      </c>
      <c r="H50" s="31">
        <f>VLOOKUP(B50,Germany!$A:$B,2,)</f>
        <v/>
      </c>
      <c r="I50" s="31">
        <f>VLOOKUP(B50,France!$A:$B,2,)</f>
        <v/>
      </c>
      <c r="J50" s="31">
        <f>VLOOKUP(B50,UK!$A:$B,2,)</f>
        <v/>
      </c>
      <c r="K50" s="31">
        <f>VLOOKUP(B50,Italy!$A:$B,2,)</f>
        <v/>
      </c>
      <c r="L50" s="31">
        <f>VLOOKUP(B50,Spain!$A:$B,2,)</f>
        <v/>
      </c>
      <c r="M50" s="31">
        <f>VLOOKUP(B50,Brazil!$A:$B,2,)</f>
        <v/>
      </c>
      <c r="N50" s="31">
        <f>VLOOKUP(B50,Russia!$A:$B,2,)</f>
        <v/>
      </c>
      <c r="O50" s="31">
        <f>VLOOKUP(B50,India!$A:$B,2,)</f>
        <v/>
      </c>
      <c r="P50" s="31">
        <f>VLOOKUP(B50,Australia!$A:$B,2,)</f>
        <v/>
      </c>
      <c r="Q50" s="31">
        <f>VLOOKUP(B50,Ireland!$A:$B,2,)</f>
        <v/>
      </c>
    </row>
    <row r="51" customFormat="1" s="60">
      <c r="B51" s="30" t="n">
        <v>43252</v>
      </c>
      <c r="C51" s="31">
        <f>VLOOKUP(B51,Global!$A:$B,2,)</f>
        <v/>
      </c>
      <c r="D51" s="31">
        <f>VLOOKUP(B51,US!$A:$B,2,)</f>
        <v/>
      </c>
      <c r="E51" s="31">
        <f>VLOOKUP(B51,China!$A:$B,2,)</f>
        <v/>
      </c>
      <c r="F51" s="31">
        <f>VLOOKUP(B51,EuroArea!$A:$B,2,)</f>
        <v/>
      </c>
      <c r="G51" s="31">
        <f>VLOOKUP(B51,Japan!$A:$B,2,)</f>
        <v/>
      </c>
      <c r="H51" s="31">
        <f>VLOOKUP(B51,Germany!$A:$B,2,)</f>
        <v/>
      </c>
      <c r="I51" s="31">
        <f>VLOOKUP(B51,France!$A:$B,2,)</f>
        <v/>
      </c>
      <c r="J51" s="31">
        <f>VLOOKUP(B51,UK!$A:$B,2,)</f>
        <v/>
      </c>
      <c r="K51" s="31">
        <f>VLOOKUP(B51,Italy!$A:$B,2,)</f>
        <v/>
      </c>
      <c r="L51" s="31">
        <f>VLOOKUP(B51,Spain!$A:$B,2,)</f>
        <v/>
      </c>
      <c r="M51" s="31">
        <f>VLOOKUP(B51,Brazil!$A:$B,2,)</f>
        <v/>
      </c>
      <c r="N51" s="31">
        <f>VLOOKUP(B51,Russia!$A:$B,2,)</f>
        <v/>
      </c>
      <c r="O51" s="31">
        <f>VLOOKUP(B51,India!$A:$B,2,)</f>
        <v/>
      </c>
      <c r="P51" s="31">
        <f>VLOOKUP(B51,Australia!$A:$B,2,)</f>
        <v/>
      </c>
      <c r="Q51" s="31">
        <f>VLOOKUP(B51,Ireland!$A:$B,2,)</f>
        <v/>
      </c>
    </row>
    <row r="52" customFormat="1" s="60">
      <c r="B52" s="30" t="n">
        <v>43282</v>
      </c>
      <c r="C52" s="31">
        <f>VLOOKUP(B52,Global!$A:$B,2,)</f>
        <v/>
      </c>
      <c r="D52" s="31">
        <f>VLOOKUP(B52,US!$A:$B,2,)</f>
        <v/>
      </c>
      <c r="E52" s="31">
        <f>VLOOKUP(B52,China!$A:$B,2,)</f>
        <v/>
      </c>
      <c r="F52" s="31">
        <f>VLOOKUP(B52,EuroArea!$A:$B,2,)</f>
        <v/>
      </c>
      <c r="G52" s="31">
        <f>VLOOKUP(B52,Japan!$A:$B,2,)</f>
        <v/>
      </c>
      <c r="H52" s="31">
        <f>VLOOKUP(B52,Germany!$A:$B,2,)</f>
        <v/>
      </c>
      <c r="I52" s="31">
        <f>VLOOKUP(B52,France!$A:$B,2,)</f>
        <v/>
      </c>
      <c r="J52" s="31">
        <f>VLOOKUP(B52,UK!$A:$B,2,)</f>
        <v/>
      </c>
      <c r="K52" s="31">
        <f>VLOOKUP(B52,Italy!$A:$B,2,)</f>
        <v/>
      </c>
      <c r="L52" s="31">
        <f>VLOOKUP(B52,Spain!$A:$B,2,)</f>
        <v/>
      </c>
      <c r="M52" s="31">
        <f>VLOOKUP(B52,Brazil!$A:$B,2,)</f>
        <v/>
      </c>
      <c r="N52" s="31">
        <f>VLOOKUP(B52,Russia!$A:$B,2,)</f>
        <v/>
      </c>
      <c r="O52" s="31">
        <f>VLOOKUP(B52,India!$A:$B,2,)</f>
        <v/>
      </c>
      <c r="P52" s="31">
        <f>VLOOKUP(B52,Australia!$A:$B,2,)</f>
        <v/>
      </c>
      <c r="Q52" s="31">
        <f>VLOOKUP(B52,Ireland!$A:$B,2,)</f>
        <v/>
      </c>
    </row>
    <row r="53" customFormat="1" s="60">
      <c r="B53" s="30" t="n">
        <v>43313</v>
      </c>
      <c r="C53" s="31">
        <f>VLOOKUP(B53,Global!$A:$B,2,)</f>
        <v/>
      </c>
      <c r="D53" s="31">
        <f>VLOOKUP(B53,US!$A:$B,2,)</f>
        <v/>
      </c>
      <c r="E53" s="31">
        <f>VLOOKUP(B53,China!$A:$B,2,)</f>
        <v/>
      </c>
      <c r="F53" s="31">
        <f>VLOOKUP(B53,EuroArea!$A:$B,2,)</f>
        <v/>
      </c>
      <c r="G53" s="31">
        <f>VLOOKUP(B53,Japan!$A:$B,2,)</f>
        <v/>
      </c>
      <c r="H53" s="31">
        <f>VLOOKUP(B53,Germany!$A:$B,2,)</f>
        <v/>
      </c>
      <c r="I53" s="31">
        <f>VLOOKUP(B53,France!$A:$B,2,)</f>
        <v/>
      </c>
      <c r="J53" s="31">
        <f>VLOOKUP(B53,UK!$A:$B,2,)</f>
        <v/>
      </c>
      <c r="K53" s="31">
        <f>VLOOKUP(B53,Italy!$A:$B,2,)</f>
        <v/>
      </c>
      <c r="L53" s="31">
        <f>VLOOKUP(B53,Spain!$A:$B,2,)</f>
        <v/>
      </c>
      <c r="M53" s="31">
        <f>VLOOKUP(B53,Brazil!$A:$B,2,)</f>
        <v/>
      </c>
      <c r="N53" s="31">
        <f>VLOOKUP(B53,Russia!$A:$B,2,)</f>
        <v/>
      </c>
      <c r="O53" s="31">
        <f>VLOOKUP(B53,India!$A:$B,2,)</f>
        <v/>
      </c>
      <c r="P53" s="31">
        <f>VLOOKUP(B53,Australia!$A:$B,2,)</f>
        <v/>
      </c>
      <c r="Q53" s="31">
        <f>VLOOKUP(B53,Ireland!$A:$B,2,)</f>
        <v/>
      </c>
    </row>
    <row r="54" customFormat="1" s="60">
      <c r="B54" s="30" t="n">
        <v>43344</v>
      </c>
      <c r="C54" s="31">
        <f>VLOOKUP(B54,Global!$A:$B,2,)</f>
        <v/>
      </c>
      <c r="D54" s="31">
        <f>VLOOKUP(B54,US!$A:$B,2,)</f>
        <v/>
      </c>
      <c r="E54" s="31">
        <f>VLOOKUP(B54,China!$A:$B,2,)</f>
        <v/>
      </c>
      <c r="F54" s="31">
        <f>VLOOKUP(B54,EuroArea!$A:$B,2,)</f>
        <v/>
      </c>
      <c r="G54" s="31">
        <f>VLOOKUP(B54,Japan!$A:$B,2,)</f>
        <v/>
      </c>
      <c r="H54" s="31">
        <f>VLOOKUP(B54,Germany!$A:$B,2,)</f>
        <v/>
      </c>
      <c r="I54" s="31">
        <f>VLOOKUP(B54,France!$A:$B,2,)</f>
        <v/>
      </c>
      <c r="J54" s="31">
        <f>VLOOKUP(B54,UK!$A:$B,2,)</f>
        <v/>
      </c>
      <c r="K54" s="31">
        <f>VLOOKUP(B54,Italy!$A:$B,2,)</f>
        <v/>
      </c>
      <c r="L54" s="31">
        <f>VLOOKUP(B54,Spain!$A:$B,2,)</f>
        <v/>
      </c>
      <c r="M54" s="31">
        <f>VLOOKUP(B54,Brazil!$A:$B,2,)</f>
        <v/>
      </c>
      <c r="N54" s="31">
        <f>VLOOKUP(B54,Russia!$A:$B,2,)</f>
        <v/>
      </c>
      <c r="O54" s="31">
        <f>VLOOKUP(B54,India!$A:$B,2,)</f>
        <v/>
      </c>
      <c r="P54" s="31">
        <f>VLOOKUP(B54,Australia!$A:$B,2,)</f>
        <v/>
      </c>
      <c r="Q54" s="31">
        <f>VLOOKUP(B54,Ireland!$A:$B,2,)</f>
        <v/>
      </c>
    </row>
    <row r="55" customFormat="1" s="60">
      <c r="B55" s="30" t="n">
        <v>43374</v>
      </c>
      <c r="C55" s="31">
        <f>VLOOKUP(B55,Global!$A:$B,2,)</f>
        <v/>
      </c>
      <c r="D55" s="31">
        <f>VLOOKUP(B55,US!$A:$B,2,)</f>
        <v/>
      </c>
      <c r="E55" s="31">
        <f>VLOOKUP(B55,China!$A:$B,2,)</f>
        <v/>
      </c>
      <c r="F55" s="31">
        <f>VLOOKUP(B55,EuroArea!$A:$B,2,)</f>
        <v/>
      </c>
      <c r="G55" s="31">
        <f>VLOOKUP(B55,Japan!$A:$B,2,)</f>
        <v/>
      </c>
      <c r="H55" s="31">
        <f>VLOOKUP(B55,Germany!$A:$B,2,)</f>
        <v/>
      </c>
      <c r="I55" s="31">
        <f>VLOOKUP(B55,France!$A:$B,2,)</f>
        <v/>
      </c>
      <c r="J55" s="31">
        <f>VLOOKUP(B55,UK!$A:$B,2,)</f>
        <v/>
      </c>
      <c r="K55" s="31">
        <f>VLOOKUP(B55,Italy!$A:$B,2,)</f>
        <v/>
      </c>
      <c r="L55" s="31">
        <f>VLOOKUP(B55,Spain!$A:$B,2,)</f>
        <v/>
      </c>
      <c r="M55" s="31">
        <f>VLOOKUP(B55,Brazil!$A:$B,2,)</f>
        <v/>
      </c>
      <c r="N55" s="31">
        <f>VLOOKUP(B55,Russia!$A:$B,2,)</f>
        <v/>
      </c>
      <c r="O55" s="31">
        <f>VLOOKUP(B55,India!$A:$B,2,)</f>
        <v/>
      </c>
      <c r="P55" s="31">
        <f>VLOOKUP(B55,Australia!$A:$B,2,)</f>
        <v/>
      </c>
      <c r="Q55" s="31">
        <f>VLOOKUP(B55,Ireland!$A:$B,2,)</f>
        <v/>
      </c>
    </row>
    <row r="56" customFormat="1" s="60">
      <c r="B56" s="30" t="n">
        <v>43405</v>
      </c>
      <c r="C56" s="31">
        <f>VLOOKUP(B56,Global!$A:$B,2,)</f>
        <v/>
      </c>
      <c r="D56" s="31">
        <f>VLOOKUP(B56,US!$A:$B,2,)</f>
        <v/>
      </c>
      <c r="E56" s="31">
        <f>VLOOKUP(B56,China!$A:$B,2,)</f>
        <v/>
      </c>
      <c r="F56" s="31">
        <f>VLOOKUP(B56,EuroArea!$A:$B,2,)</f>
        <v/>
      </c>
      <c r="G56" s="31">
        <f>VLOOKUP(B56,Japan!$A:$B,2,)</f>
        <v/>
      </c>
      <c r="H56" s="31">
        <f>VLOOKUP(B56,Germany!$A:$B,2,)</f>
        <v/>
      </c>
      <c r="I56" s="31">
        <f>VLOOKUP(B56,France!$A:$B,2,)</f>
        <v/>
      </c>
      <c r="J56" s="31">
        <f>VLOOKUP(B56,UK!$A:$B,2,)</f>
        <v/>
      </c>
      <c r="K56" s="31">
        <f>VLOOKUP(B56,Italy!$A:$B,2,)</f>
        <v/>
      </c>
      <c r="L56" s="31">
        <f>VLOOKUP(B56,Spain!$A:$B,2,)</f>
        <v/>
      </c>
      <c r="M56" s="31">
        <f>VLOOKUP(B56,Brazil!$A:$B,2,)</f>
        <v/>
      </c>
      <c r="N56" s="31">
        <f>VLOOKUP(B56,Russia!$A:$B,2,)</f>
        <v/>
      </c>
      <c r="O56" s="31">
        <f>VLOOKUP(B56,India!$A:$B,2,)</f>
        <v/>
      </c>
      <c r="P56" s="31">
        <f>VLOOKUP(B56,Australia!$A:$B,2,)</f>
        <v/>
      </c>
      <c r="Q56" s="31">
        <f>VLOOKUP(B56,Ireland!$A:$B,2,)</f>
        <v/>
      </c>
    </row>
    <row r="57" customFormat="1" s="60">
      <c r="B57" s="30" t="n">
        <v>43435</v>
      </c>
      <c r="C57" s="31">
        <f>VLOOKUP(B57,Global!$A:$B,2,)</f>
        <v/>
      </c>
      <c r="D57" s="31">
        <f>VLOOKUP(B57,US!$A:$B,2,)</f>
        <v/>
      </c>
      <c r="E57" s="31">
        <f>VLOOKUP(B57,China!$A:$B,2,)</f>
        <v/>
      </c>
      <c r="F57" s="31">
        <f>VLOOKUP(B57,EuroArea!$A:$B,2,)</f>
        <v/>
      </c>
      <c r="G57" s="31">
        <f>VLOOKUP(B57,Japan!$A:$B,2,)</f>
        <v/>
      </c>
      <c r="H57" s="31">
        <f>VLOOKUP(B57,Germany!$A:$B,2,)</f>
        <v/>
      </c>
      <c r="I57" s="31">
        <f>VLOOKUP(B57,France!$A:$B,2,)</f>
        <v/>
      </c>
      <c r="J57" s="31">
        <f>VLOOKUP(B57,UK!$A:$B,2,)</f>
        <v/>
      </c>
      <c r="K57" s="31">
        <f>VLOOKUP(B57,Italy!$A:$B,2,)</f>
        <v/>
      </c>
      <c r="L57" s="31">
        <f>VLOOKUP(B57,Spain!$A:$B,2,)</f>
        <v/>
      </c>
      <c r="M57" s="31">
        <f>VLOOKUP(B57,Brazil!$A:$B,2,)</f>
        <v/>
      </c>
      <c r="N57" s="31">
        <f>VLOOKUP(B57,Russia!$A:$B,2,)</f>
        <v/>
      </c>
      <c r="O57" s="31">
        <f>VLOOKUP(B57,India!$A:$B,2,)</f>
        <v/>
      </c>
      <c r="P57" s="31">
        <f>VLOOKUP(B57,Australia!$A:$B,2,)</f>
        <v/>
      </c>
      <c r="Q57" s="31">
        <f>VLOOKUP(B57,Ireland!$A:$B,2,)</f>
        <v/>
      </c>
    </row>
    <row r="58" customFormat="1" s="60">
      <c r="B58" s="30" t="n">
        <v>43466</v>
      </c>
      <c r="C58" s="31">
        <f>VLOOKUP(B58,Global!$A:$B,2,)</f>
        <v/>
      </c>
      <c r="D58" s="31">
        <f>VLOOKUP(B58,US!$A:$B,2,)</f>
        <v/>
      </c>
      <c r="E58" s="31">
        <f>VLOOKUP(B58,China!$A:$B,2,)</f>
        <v/>
      </c>
      <c r="F58" s="31">
        <f>VLOOKUP(B58,EuroArea!$A:$B,2,)</f>
        <v/>
      </c>
      <c r="G58" s="31">
        <f>VLOOKUP(B58,Japan!$A:$B,2,)</f>
        <v/>
      </c>
      <c r="H58" s="31">
        <f>VLOOKUP(B58,Germany!$A:$B,2,)</f>
        <v/>
      </c>
      <c r="I58" s="31">
        <f>VLOOKUP(B58,France!$A:$B,2,)</f>
        <v/>
      </c>
      <c r="J58" s="31">
        <f>VLOOKUP(B58,UK!$A:$B,2,)</f>
        <v/>
      </c>
      <c r="K58" s="31">
        <f>VLOOKUP(B58,Italy!$A:$B,2,)</f>
        <v/>
      </c>
      <c r="L58" s="31">
        <f>VLOOKUP(B58,Spain!$A:$B,2,)</f>
        <v/>
      </c>
      <c r="M58" s="31">
        <f>VLOOKUP(B58,Brazil!$A:$B,2,)</f>
        <v/>
      </c>
      <c r="N58" s="31">
        <f>VLOOKUP(B58,Russia!$A:$B,2,)</f>
        <v/>
      </c>
      <c r="O58" s="31">
        <f>VLOOKUP(B58,India!$A:$B,2,)</f>
        <v/>
      </c>
      <c r="P58" s="31">
        <f>VLOOKUP(B58,Australia!$A:$B,2,)</f>
        <v/>
      </c>
      <c r="Q58" s="31">
        <f>VLOOKUP(B58,Ireland!$A:$B,2,)</f>
        <v/>
      </c>
    </row>
    <row r="59" customFormat="1" s="60">
      <c r="B59" s="30" t="n">
        <v>43497</v>
      </c>
      <c r="C59" s="31">
        <f>VLOOKUP(B59,Global!$A:$B,2,)</f>
        <v/>
      </c>
      <c r="D59" s="31">
        <f>VLOOKUP(B59,US!$A:$B,2,)</f>
        <v/>
      </c>
      <c r="E59" s="31">
        <f>VLOOKUP(B59,China!$A:$B,2,)</f>
        <v/>
      </c>
      <c r="F59" s="31">
        <f>VLOOKUP(B59,EuroArea!$A:$B,2,)</f>
        <v/>
      </c>
      <c r="G59" s="31">
        <f>VLOOKUP(B59,Japan!$A:$B,2,)</f>
        <v/>
      </c>
      <c r="H59" s="31">
        <f>VLOOKUP(B59,Germany!$A:$B,2,)</f>
        <v/>
      </c>
      <c r="I59" s="31">
        <f>VLOOKUP(B59,France!$A:$B,2,)</f>
        <v/>
      </c>
      <c r="J59" s="31">
        <f>VLOOKUP(B59,UK!$A:$B,2,)</f>
        <v/>
      </c>
      <c r="K59" s="31">
        <f>VLOOKUP(B59,Italy!$A:$B,2,)</f>
        <v/>
      </c>
      <c r="L59" s="31">
        <f>VLOOKUP(B59,Spain!$A:$B,2,)</f>
        <v/>
      </c>
      <c r="M59" s="31">
        <f>VLOOKUP(B59,Brazil!$A:$B,2,)</f>
        <v/>
      </c>
      <c r="N59" s="31">
        <f>VLOOKUP(B59,Russia!$A:$B,2,)</f>
        <v/>
      </c>
      <c r="O59" s="31">
        <f>VLOOKUP(B59,India!$A:$B,2,)</f>
        <v/>
      </c>
      <c r="P59" s="31">
        <f>VLOOKUP(B59,Australia!$A:$B,2,)</f>
        <v/>
      </c>
      <c r="Q59" s="31">
        <f>VLOOKUP(B59,Ireland!$A:$B,2,)</f>
        <v/>
      </c>
    </row>
    <row r="60" customFormat="1" s="60">
      <c r="B60" s="30" t="n">
        <v>43525</v>
      </c>
      <c r="C60" s="31">
        <f>VLOOKUP(B60,Global!$A:$B,2,)</f>
        <v/>
      </c>
      <c r="D60" s="31">
        <f>VLOOKUP(B60,US!$A:$B,2,)</f>
        <v/>
      </c>
      <c r="E60" s="31">
        <f>VLOOKUP(B60,China!$A:$B,2,)</f>
        <v/>
      </c>
      <c r="F60" s="31">
        <f>VLOOKUP(B60,EuroArea!$A:$B,2,)</f>
        <v/>
      </c>
      <c r="G60" s="31">
        <f>VLOOKUP(B60,Japan!$A:$B,2,)</f>
        <v/>
      </c>
      <c r="H60" s="31">
        <f>VLOOKUP(B60,Germany!$A:$B,2,)</f>
        <v/>
      </c>
      <c r="I60" s="31">
        <f>VLOOKUP(B60,France!$A:$B,2,)</f>
        <v/>
      </c>
      <c r="J60" s="31">
        <f>VLOOKUP(B60,UK!$A:$B,2,)</f>
        <v/>
      </c>
      <c r="K60" s="31">
        <f>VLOOKUP(B60,Italy!$A:$B,2,)</f>
        <v/>
      </c>
      <c r="L60" s="31">
        <f>VLOOKUP(B60,Spain!$A:$B,2,)</f>
        <v/>
      </c>
      <c r="M60" s="31">
        <f>VLOOKUP(B60,Brazil!$A:$B,2,)</f>
        <v/>
      </c>
      <c r="N60" s="31">
        <f>VLOOKUP(B60,Russia!$A:$B,2,)</f>
        <v/>
      </c>
      <c r="O60" s="31">
        <f>VLOOKUP(B60,India!$A:$B,2,)</f>
        <v/>
      </c>
      <c r="P60" s="31">
        <f>VLOOKUP(B60,Australia!$A:$B,2,)</f>
        <v/>
      </c>
      <c r="Q60" s="31">
        <f>VLOOKUP(B60,Ireland!$A:$B,2,)</f>
        <v/>
      </c>
    </row>
    <row r="61" customFormat="1" s="60">
      <c r="B61" s="30" t="n">
        <v>43556</v>
      </c>
      <c r="C61" s="31">
        <f>VLOOKUP(B61,Global!$A:$B,2,)</f>
        <v/>
      </c>
      <c r="D61" s="31">
        <f>VLOOKUP(B61,US!$A:$B,2,)</f>
        <v/>
      </c>
      <c r="E61" s="31">
        <f>VLOOKUP(B61,China!$A:$B,2,)</f>
        <v/>
      </c>
      <c r="F61" s="31">
        <f>VLOOKUP(B61,EuroArea!$A:$B,2,)</f>
        <v/>
      </c>
      <c r="G61" s="31">
        <f>VLOOKUP(B61,Japan!$A:$B,2,)</f>
        <v/>
      </c>
      <c r="H61" s="31">
        <f>VLOOKUP(B61,Germany!$A:$B,2,)</f>
        <v/>
      </c>
      <c r="I61" s="31">
        <f>VLOOKUP(B61,France!$A:$B,2,)</f>
        <v/>
      </c>
      <c r="J61" s="31">
        <f>VLOOKUP(B61,UK!$A:$B,2,)</f>
        <v/>
      </c>
      <c r="K61" s="31">
        <f>VLOOKUP(B61,Italy!$A:$B,2,)</f>
        <v/>
      </c>
      <c r="L61" s="31">
        <f>VLOOKUP(B61,Spain!$A:$B,2,)</f>
        <v/>
      </c>
      <c r="M61" s="31">
        <f>VLOOKUP(B61,Brazil!$A:$B,2,)</f>
        <v/>
      </c>
      <c r="N61" s="31">
        <f>VLOOKUP(B61,Russia!$A:$B,2,)</f>
        <v/>
      </c>
      <c r="O61" s="31">
        <f>VLOOKUP(B61,India!$A:$B,2,)</f>
        <v/>
      </c>
      <c r="P61" s="31">
        <f>VLOOKUP(B61,Australia!$A:$B,2,)</f>
        <v/>
      </c>
      <c r="Q61" s="31">
        <f>VLOOKUP(B61,Ireland!$A:$B,2,)</f>
        <v/>
      </c>
    </row>
    <row r="62" customFormat="1" s="60">
      <c r="B62" s="30" t="n">
        <v>43586</v>
      </c>
      <c r="C62" s="31">
        <f>VLOOKUP(B62,Global!$A:$B,2,)</f>
        <v/>
      </c>
      <c r="D62" s="31">
        <f>VLOOKUP(B62,US!$A:$B,2,)</f>
        <v/>
      </c>
      <c r="E62" s="31">
        <f>VLOOKUP(B62,China!$A:$B,2,)</f>
        <v/>
      </c>
      <c r="F62" s="31">
        <f>VLOOKUP(B62,EuroArea!$A:$B,2,)</f>
        <v/>
      </c>
      <c r="G62" s="31">
        <f>VLOOKUP(B62,Japan!$A:$B,2,)</f>
        <v/>
      </c>
      <c r="H62" s="31">
        <f>VLOOKUP(B62,Germany!$A:$B,2,)</f>
        <v/>
      </c>
      <c r="I62" s="31">
        <f>VLOOKUP(B62,France!$A:$B,2,)</f>
        <v/>
      </c>
      <c r="J62" s="31">
        <f>VLOOKUP(B62,UK!$A:$B,2,)</f>
        <v/>
      </c>
      <c r="K62" s="31">
        <f>VLOOKUP(B62,Italy!$A:$B,2,)</f>
        <v/>
      </c>
      <c r="L62" s="31">
        <f>VLOOKUP(B62,Spain!$A:$B,2,)</f>
        <v/>
      </c>
      <c r="M62" s="31">
        <f>VLOOKUP(B62,Brazil!$A:$B,2,)</f>
        <v/>
      </c>
      <c r="N62" s="31">
        <f>VLOOKUP(B62,Russia!$A:$B,2,)</f>
        <v/>
      </c>
      <c r="O62" s="31">
        <f>VLOOKUP(B62,India!$A:$B,2,)</f>
        <v/>
      </c>
      <c r="P62" s="31">
        <f>VLOOKUP(B62,Australia!$A:$B,2,)</f>
        <v/>
      </c>
      <c r="Q62" s="31">
        <f>VLOOKUP(B62,Ireland!$A:$B,2,)</f>
        <v/>
      </c>
    </row>
    <row r="63" customFormat="1" s="60">
      <c r="B63" s="30" t="n">
        <v>43617</v>
      </c>
      <c r="C63" s="31">
        <f>VLOOKUP(B63,Global!$A:$B,2,)</f>
        <v/>
      </c>
      <c r="D63" s="31">
        <f>VLOOKUP(B63,US!$A:$B,2,)</f>
        <v/>
      </c>
      <c r="E63" s="31">
        <f>VLOOKUP(B63,China!$A:$B,2,)</f>
        <v/>
      </c>
      <c r="F63" s="31">
        <f>VLOOKUP(B63,EuroArea!$A:$B,2,)</f>
        <v/>
      </c>
      <c r="G63" s="31">
        <f>VLOOKUP(B63,Japan!$A:$B,2,)</f>
        <v/>
      </c>
      <c r="H63" s="31">
        <f>VLOOKUP(B63,Germany!$A:$B,2,)</f>
        <v/>
      </c>
      <c r="I63" s="31">
        <f>VLOOKUP(B63,France!$A:$B,2,)</f>
        <v/>
      </c>
      <c r="J63" s="31">
        <f>VLOOKUP(B63,UK!$A:$B,2,)</f>
        <v/>
      </c>
      <c r="K63" s="31">
        <f>VLOOKUP(B63,Italy!$A:$B,2,)</f>
        <v/>
      </c>
      <c r="L63" s="31">
        <f>VLOOKUP(B63,Spain!$A:$B,2,)</f>
        <v/>
      </c>
      <c r="M63" s="31">
        <f>VLOOKUP(B63,Brazil!$A:$B,2,)</f>
        <v/>
      </c>
      <c r="N63" s="31">
        <f>VLOOKUP(B63,Russia!$A:$B,2,)</f>
        <v/>
      </c>
      <c r="O63" s="31">
        <f>VLOOKUP(B63,India!$A:$B,2,)</f>
        <v/>
      </c>
      <c r="P63" s="31">
        <f>VLOOKUP(B63,Australia!$A:$B,2,)</f>
        <v/>
      </c>
      <c r="Q63" s="31">
        <f>VLOOKUP(B63,Ireland!$A:$B,2,)</f>
        <v/>
      </c>
    </row>
    <row r="64" customFormat="1" s="60">
      <c r="B64" s="30" t="n">
        <v>43647</v>
      </c>
      <c r="C64" s="31">
        <f>VLOOKUP(B64,Global!$A:$B,2,)</f>
        <v/>
      </c>
      <c r="D64" s="31">
        <f>VLOOKUP(B64,US!$A:$B,2,)</f>
        <v/>
      </c>
      <c r="E64" s="31">
        <f>VLOOKUP(B64,China!$A:$B,2,)</f>
        <v/>
      </c>
      <c r="F64" s="31">
        <f>VLOOKUP(B64,EuroArea!$A:$B,2,)</f>
        <v/>
      </c>
      <c r="G64" s="31">
        <f>VLOOKUP(B64,Japan!$A:$B,2,)</f>
        <v/>
      </c>
      <c r="H64" s="31">
        <f>VLOOKUP(B64,Germany!$A:$B,2,)</f>
        <v/>
      </c>
      <c r="I64" s="31">
        <f>VLOOKUP(B64,France!$A:$B,2,)</f>
        <v/>
      </c>
      <c r="J64" s="31">
        <f>VLOOKUP(B64,UK!$A:$B,2,)</f>
        <v/>
      </c>
      <c r="K64" s="31">
        <f>VLOOKUP(B64,Italy!$A:$B,2,)</f>
        <v/>
      </c>
      <c r="L64" s="31">
        <f>VLOOKUP(B64,Spain!$A:$B,2,)</f>
        <v/>
      </c>
      <c r="M64" s="31">
        <f>VLOOKUP(B64,Brazil!$A:$B,2,)</f>
        <v/>
      </c>
      <c r="N64" s="31">
        <f>VLOOKUP(B64,Russia!$A:$B,2,)</f>
        <v/>
      </c>
      <c r="O64" s="31">
        <f>VLOOKUP(B64,India!$A:$B,2,)</f>
        <v/>
      </c>
      <c r="P64" s="31">
        <f>VLOOKUP(B64,Australia!$A:$B,2,)</f>
        <v/>
      </c>
      <c r="Q64" s="31">
        <f>VLOOKUP(B64,Ireland!$A:$B,2,)</f>
        <v/>
      </c>
    </row>
    <row r="65" customFormat="1" s="60">
      <c r="B65" s="30" t="n">
        <v>43678</v>
      </c>
      <c r="C65" s="31">
        <f>VLOOKUP(B65,Global!$A:$B,2,)</f>
        <v/>
      </c>
      <c r="D65" s="31">
        <f>VLOOKUP(B65,US!$A:$B,2,)</f>
        <v/>
      </c>
      <c r="E65" s="31">
        <f>VLOOKUP(B65,China!$A:$B,2,)</f>
        <v/>
      </c>
      <c r="F65" s="31">
        <f>VLOOKUP(B65,EuroArea!$A:$B,2,)</f>
        <v/>
      </c>
      <c r="G65" s="31">
        <f>VLOOKUP(B65,Japan!$A:$B,2,)</f>
        <v/>
      </c>
      <c r="H65" s="31">
        <f>VLOOKUP(B65,Germany!$A:$B,2,)</f>
        <v/>
      </c>
      <c r="I65" s="31">
        <f>VLOOKUP(B65,France!$A:$B,2,)</f>
        <v/>
      </c>
      <c r="J65" s="31">
        <f>VLOOKUP(B65,UK!$A:$B,2,)</f>
        <v/>
      </c>
      <c r="K65" s="31">
        <f>VLOOKUP(B65,Italy!$A:$B,2,)</f>
        <v/>
      </c>
      <c r="L65" s="31">
        <f>VLOOKUP(B65,Spain!$A:$B,2,)</f>
        <v/>
      </c>
      <c r="M65" s="31">
        <f>VLOOKUP(B65,Brazil!$A:$B,2,)</f>
        <v/>
      </c>
      <c r="N65" s="31">
        <f>VLOOKUP(B65,Russia!$A:$B,2,)</f>
        <v/>
      </c>
      <c r="O65" s="31">
        <f>VLOOKUP(B65,India!$A:$B,2,)</f>
        <v/>
      </c>
      <c r="P65" s="31">
        <f>VLOOKUP(B65,Australia!$A:$B,2,)</f>
        <v/>
      </c>
      <c r="Q65" s="31">
        <f>VLOOKUP(B65,Ireland!$A:$B,2,)</f>
        <v/>
      </c>
    </row>
    <row r="66" customFormat="1" s="60">
      <c r="B66" s="30" t="n">
        <v>43709</v>
      </c>
      <c r="C66" s="31">
        <f>VLOOKUP(B66,Global!$A:$B,2,)</f>
        <v/>
      </c>
      <c r="D66" s="31">
        <f>VLOOKUP(B66,US!$A:$B,2,)</f>
        <v/>
      </c>
      <c r="E66" s="31">
        <f>VLOOKUP(B66,China!$A:$B,2,)</f>
        <v/>
      </c>
      <c r="F66" s="31">
        <f>VLOOKUP(B66,EuroArea!$A:$B,2,)</f>
        <v/>
      </c>
      <c r="G66" s="31">
        <f>VLOOKUP(B66,Japan!$A:$B,2,)</f>
        <v/>
      </c>
      <c r="H66" s="31">
        <f>VLOOKUP(B66,Germany!$A:$B,2,)</f>
        <v/>
      </c>
      <c r="I66" s="31">
        <f>VLOOKUP(B66,France!$A:$B,2,)</f>
        <v/>
      </c>
      <c r="J66" s="31">
        <f>VLOOKUP(B66,UK!$A:$B,2,)</f>
        <v/>
      </c>
      <c r="K66" s="31">
        <f>VLOOKUP(B66,Italy!$A:$B,2,)</f>
        <v/>
      </c>
      <c r="L66" s="31">
        <f>VLOOKUP(B66,Spain!$A:$B,2,)</f>
        <v/>
      </c>
      <c r="M66" s="31">
        <f>VLOOKUP(B66,Brazil!$A:$B,2,)</f>
        <v/>
      </c>
      <c r="N66" s="31">
        <f>VLOOKUP(B66,Russia!$A:$B,2,)</f>
        <v/>
      </c>
      <c r="O66" s="31">
        <f>VLOOKUP(B66,India!$A:$B,2,)</f>
        <v/>
      </c>
      <c r="P66" s="31">
        <f>VLOOKUP(B66,Australia!$A:$B,2,)</f>
        <v/>
      </c>
      <c r="Q66" s="31">
        <f>VLOOKUP(B66,Ireland!$A:$B,2,)</f>
        <v/>
      </c>
    </row>
    <row r="67" customFormat="1" s="60">
      <c r="B67" s="30" t="n">
        <v>43739</v>
      </c>
      <c r="C67" s="31">
        <f>VLOOKUP(B67,Global!$A:$B,2,)</f>
        <v/>
      </c>
      <c r="D67" s="31">
        <f>VLOOKUP(B67,US!$A:$B,2,)</f>
        <v/>
      </c>
      <c r="E67" s="31">
        <f>VLOOKUP(B67,China!$A:$B,2,)</f>
        <v/>
      </c>
      <c r="F67" s="31">
        <f>VLOOKUP(B67,EuroArea!$A:$B,2,)</f>
        <v/>
      </c>
      <c r="G67" s="31">
        <f>VLOOKUP(B67,Japan!$A:$B,2,)</f>
        <v/>
      </c>
      <c r="H67" s="31">
        <f>VLOOKUP(B67,Germany!$A:$B,2,)</f>
        <v/>
      </c>
      <c r="I67" s="31">
        <f>VLOOKUP(B67,France!$A:$B,2,)</f>
        <v/>
      </c>
      <c r="J67" s="31">
        <f>VLOOKUP(B67,UK!$A:$B,2,)</f>
        <v/>
      </c>
      <c r="K67" s="31">
        <f>VLOOKUP(B67,Italy!$A:$B,2,)</f>
        <v/>
      </c>
      <c r="L67" s="31">
        <f>VLOOKUP(B67,Spain!$A:$B,2,)</f>
        <v/>
      </c>
      <c r="M67" s="31">
        <f>VLOOKUP(B67,Brazil!$A:$B,2,)</f>
        <v/>
      </c>
      <c r="N67" s="31">
        <f>VLOOKUP(B67,Russia!$A:$B,2,)</f>
        <v/>
      </c>
      <c r="O67" s="31">
        <f>VLOOKUP(B67,India!$A:$B,2,)</f>
        <v/>
      </c>
      <c r="P67" s="31">
        <f>VLOOKUP(B67,Australia!$A:$B,2,)</f>
        <v/>
      </c>
      <c r="Q67" s="31">
        <f>VLOOKUP(B67,Ireland!$A:$B,2,)</f>
        <v/>
      </c>
    </row>
    <row r="68" customFormat="1" s="60">
      <c r="B68" s="30" t="n">
        <v>43770</v>
      </c>
      <c r="C68" s="31">
        <f>VLOOKUP(B68,Global!$A:$B,2,)</f>
        <v/>
      </c>
      <c r="D68" s="31">
        <f>VLOOKUP(B68,US!$A:$B,2,)</f>
        <v/>
      </c>
      <c r="E68" s="31">
        <f>VLOOKUP(B68,China!$A:$B,2,)</f>
        <v/>
      </c>
      <c r="F68" s="31">
        <f>VLOOKUP(B68,EuroArea!$A:$B,2,)</f>
        <v/>
      </c>
      <c r="G68" s="31">
        <f>VLOOKUP(B68,Japan!$A:$B,2,)</f>
        <v/>
      </c>
      <c r="H68" s="31">
        <f>VLOOKUP(B68,Germany!$A:$B,2,)</f>
        <v/>
      </c>
      <c r="I68" s="31">
        <f>VLOOKUP(B68,France!$A:$B,2,)</f>
        <v/>
      </c>
      <c r="J68" s="31">
        <f>VLOOKUP(B68,UK!$A:$B,2,)</f>
        <v/>
      </c>
      <c r="K68" s="31">
        <f>VLOOKUP(B68,Italy!$A:$B,2,)</f>
        <v/>
      </c>
      <c r="L68" s="31">
        <f>VLOOKUP(B68,Spain!$A:$B,2,)</f>
        <v/>
      </c>
      <c r="M68" s="31">
        <f>VLOOKUP(B68,Brazil!$A:$B,2,)</f>
        <v/>
      </c>
      <c r="N68" s="31">
        <f>VLOOKUP(B68,Russia!$A:$B,2,)</f>
        <v/>
      </c>
      <c r="O68" s="31">
        <f>VLOOKUP(B68,India!$A:$B,2,)</f>
        <v/>
      </c>
      <c r="P68" s="31">
        <f>VLOOKUP(B68,Australia!$A:$B,2,)</f>
        <v/>
      </c>
      <c r="Q68" s="31">
        <f>VLOOKUP(B68,Ireland!$A:$B,2,)</f>
        <v/>
      </c>
    </row>
    <row r="69" customFormat="1" s="60">
      <c r="B69" s="30" t="n">
        <v>43800</v>
      </c>
      <c r="C69" s="31">
        <f>VLOOKUP(B69,Global!$A:$B,2,)</f>
        <v/>
      </c>
      <c r="D69" s="31">
        <f>VLOOKUP(B69,US!$A:$B,2,)</f>
        <v/>
      </c>
      <c r="E69" s="31">
        <f>VLOOKUP(B69,China!$A:$B,2,)</f>
        <v/>
      </c>
      <c r="F69" s="31">
        <f>VLOOKUP(B69,EuroArea!$A:$B,2,)</f>
        <v/>
      </c>
      <c r="G69" s="31">
        <f>VLOOKUP(B69,Japan!$A:$B,2,)</f>
        <v/>
      </c>
      <c r="H69" s="31">
        <f>VLOOKUP(B69,Germany!$A:$B,2,)</f>
        <v/>
      </c>
      <c r="I69" s="31">
        <f>VLOOKUP(B69,France!$A:$B,2,)</f>
        <v/>
      </c>
      <c r="J69" s="31">
        <f>VLOOKUP(B69,UK!$A:$B,2,)</f>
        <v/>
      </c>
      <c r="K69" s="31">
        <f>VLOOKUP(B69,Italy!$A:$B,2,)</f>
        <v/>
      </c>
      <c r="L69" s="31">
        <f>VLOOKUP(B69,Spain!$A:$B,2,)</f>
        <v/>
      </c>
      <c r="M69" s="31">
        <f>VLOOKUP(B69,Brazil!$A:$B,2,)</f>
        <v/>
      </c>
      <c r="N69" s="31">
        <f>VLOOKUP(B69,Russia!$A:$B,2,)</f>
        <v/>
      </c>
      <c r="O69" s="31">
        <f>VLOOKUP(B69,India!$A:$B,2,)</f>
        <v/>
      </c>
      <c r="P69" s="31">
        <f>VLOOKUP(B69,Australia!$A:$B,2,)</f>
        <v/>
      </c>
      <c r="Q69" s="31">
        <f>VLOOKUP(B69,Ireland!$A:$B,2,)</f>
        <v/>
      </c>
    </row>
    <row r="70" customFormat="1" s="60">
      <c r="B70" s="30" t="n">
        <v>43831</v>
      </c>
      <c r="C70" s="31">
        <f>VLOOKUP(B70,Global!$A:$B,2,)</f>
        <v/>
      </c>
      <c r="D70" s="31">
        <f>VLOOKUP(B70,US!$A:$B,2,)</f>
        <v/>
      </c>
      <c r="E70" s="31">
        <f>VLOOKUP(B70,China!$A:$B,2,)</f>
        <v/>
      </c>
      <c r="F70" s="31">
        <f>VLOOKUP(B70,EuroArea!$A:$B,2,)</f>
        <v/>
      </c>
      <c r="G70" s="31">
        <f>VLOOKUP(B70,Japan!$A:$B,2,)</f>
        <v/>
      </c>
      <c r="H70" s="31">
        <f>VLOOKUP(B70,Germany!$A:$B,2,)</f>
        <v/>
      </c>
      <c r="I70" s="31">
        <f>VLOOKUP(B70,France!$A:$B,2,)</f>
        <v/>
      </c>
      <c r="J70" s="31">
        <f>VLOOKUP(B70,UK!$A:$B,2,)</f>
        <v/>
      </c>
      <c r="K70" s="31">
        <f>VLOOKUP(B70,Italy!$A:$B,2,)</f>
        <v/>
      </c>
      <c r="L70" s="31">
        <f>VLOOKUP(B70,Spain!$A:$B,2,)</f>
        <v/>
      </c>
      <c r="M70" s="31">
        <f>VLOOKUP(B70,Brazil!$A:$B,2,)</f>
        <v/>
      </c>
      <c r="N70" s="31">
        <f>VLOOKUP(B70,Russia!$A:$B,2,)</f>
        <v/>
      </c>
      <c r="O70" s="31">
        <f>VLOOKUP(B70,India!$A:$B,2,)</f>
        <v/>
      </c>
      <c r="P70" s="31">
        <f>VLOOKUP(B70,Australia!$A:$B,2,)</f>
        <v/>
      </c>
      <c r="Q70" s="31">
        <f>VLOOKUP(B70,Ireland!$A:$B,2,)</f>
        <v/>
      </c>
    </row>
    <row r="71" customFormat="1" s="60">
      <c r="B71" s="30" t="n">
        <v>43862</v>
      </c>
      <c r="C71" s="31">
        <f>VLOOKUP(B71,Global!$A:$B,2,)</f>
        <v/>
      </c>
      <c r="D71" s="31">
        <f>VLOOKUP(B71,US!$A:$B,2,)</f>
        <v/>
      </c>
      <c r="E71" s="31">
        <f>VLOOKUP(B71,China!$A:$B,2,)</f>
        <v/>
      </c>
      <c r="F71" s="31">
        <f>VLOOKUP(B71,EuroArea!$A:$B,2,)</f>
        <v/>
      </c>
      <c r="G71" s="31">
        <f>VLOOKUP(B71,Japan!$A:$B,2,)</f>
        <v/>
      </c>
      <c r="H71" s="31">
        <f>VLOOKUP(B71,Germany!$A:$B,2,)</f>
        <v/>
      </c>
      <c r="I71" s="31">
        <f>VLOOKUP(B71,France!$A:$B,2,)</f>
        <v/>
      </c>
      <c r="J71" s="31">
        <f>VLOOKUP(B71,UK!$A:$B,2,)</f>
        <v/>
      </c>
      <c r="K71" s="31">
        <f>VLOOKUP(B71,Italy!$A:$B,2,)</f>
        <v/>
      </c>
      <c r="L71" s="31">
        <f>VLOOKUP(B71,Spain!$A:$B,2,)</f>
        <v/>
      </c>
      <c r="M71" s="31">
        <f>VLOOKUP(B71,Brazil!$A:$B,2,)</f>
        <v/>
      </c>
      <c r="N71" s="31">
        <f>VLOOKUP(B71,Russia!$A:$B,2,)</f>
        <v/>
      </c>
      <c r="O71" s="31">
        <f>VLOOKUP(B71,India!$A:$B,2,)</f>
        <v/>
      </c>
      <c r="P71" s="31">
        <f>VLOOKUP(B71,Australia!$A:$B,2,)</f>
        <v/>
      </c>
      <c r="Q71" s="31">
        <f>VLOOKUP(B71,Ireland!$A:$B,2,)</f>
        <v/>
      </c>
    </row>
    <row r="72" customFormat="1" s="60">
      <c r="B72" s="30" t="n">
        <v>43891</v>
      </c>
      <c r="C72" s="31">
        <f>VLOOKUP(B72,Global!$A:$B,2,)</f>
        <v/>
      </c>
      <c r="D72" s="31">
        <f>VLOOKUP(B72,US!$A:$B,2,)</f>
        <v/>
      </c>
      <c r="E72" s="31">
        <f>VLOOKUP(B72,China!$A:$B,2,)</f>
        <v/>
      </c>
      <c r="F72" s="31">
        <f>VLOOKUP(B72,EuroArea!$A:$B,2,)</f>
        <v/>
      </c>
      <c r="G72" s="31">
        <f>VLOOKUP(B72,Japan!$A:$B,2,)</f>
        <v/>
      </c>
      <c r="H72" s="31">
        <f>VLOOKUP(B72,Germany!$A:$B,2,)</f>
        <v/>
      </c>
      <c r="I72" s="31">
        <f>VLOOKUP(B72,France!$A:$B,2,)</f>
        <v/>
      </c>
      <c r="J72" s="31">
        <f>VLOOKUP(B72,UK!$A:$B,2,)</f>
        <v/>
      </c>
      <c r="K72" s="31">
        <f>VLOOKUP(B72,Italy!$A:$B,2,)</f>
        <v/>
      </c>
      <c r="L72" s="31">
        <f>VLOOKUP(B72,Spain!$A:$B,2,)</f>
        <v/>
      </c>
      <c r="M72" s="31">
        <f>VLOOKUP(B72,Brazil!$A:$B,2,)</f>
        <v/>
      </c>
      <c r="N72" s="31">
        <f>VLOOKUP(B72,Russia!$A:$B,2,)</f>
        <v/>
      </c>
      <c r="O72" s="31">
        <f>VLOOKUP(B72,India!$A:$B,2,)</f>
        <v/>
      </c>
      <c r="P72" s="31">
        <f>VLOOKUP(B72,Australia!$A:$B,2,)</f>
        <v/>
      </c>
      <c r="Q72" s="31">
        <f>VLOOKUP(B72,Ireland!$A:$B,2,)</f>
        <v/>
      </c>
    </row>
    <row r="73" customFormat="1" s="60">
      <c r="B73" s="30" t="n">
        <v>43922</v>
      </c>
      <c r="C73" s="31">
        <f>VLOOKUP(B73,Global!$A:$B,2,)</f>
        <v/>
      </c>
      <c r="D73" s="31">
        <f>VLOOKUP(B73,US!$A:$B,2,)</f>
        <v/>
      </c>
      <c r="E73" s="31">
        <f>VLOOKUP(B73,China!$A:$B,2,)</f>
        <v/>
      </c>
      <c r="F73" s="31">
        <f>VLOOKUP(B73,EuroArea!$A:$B,2,)</f>
        <v/>
      </c>
      <c r="G73" s="31">
        <f>VLOOKUP(B73,Japan!$A:$B,2,)</f>
        <v/>
      </c>
      <c r="H73" s="31">
        <f>VLOOKUP(B73,Germany!$A:$B,2,)</f>
        <v/>
      </c>
      <c r="I73" s="31">
        <f>VLOOKUP(B73,France!$A:$B,2,)</f>
        <v/>
      </c>
      <c r="J73" s="31">
        <f>VLOOKUP(B73,UK!$A:$B,2,)</f>
        <v/>
      </c>
      <c r="K73" s="31">
        <f>VLOOKUP(B73,Italy!$A:$B,2,)</f>
        <v/>
      </c>
      <c r="L73" s="31">
        <f>VLOOKUP(B73,Spain!$A:$B,2,)</f>
        <v/>
      </c>
      <c r="M73" s="31">
        <f>VLOOKUP(B73,Brazil!$A:$B,2,)</f>
        <v/>
      </c>
      <c r="N73" s="31">
        <f>VLOOKUP(B73,Russia!$A:$B,2,)</f>
        <v/>
      </c>
      <c r="O73" s="31">
        <f>VLOOKUP(B73,India!$A:$B,2,)</f>
        <v/>
      </c>
      <c r="P73" s="31">
        <f>VLOOKUP(B73,Australia!$A:$B,2,)</f>
        <v/>
      </c>
      <c r="Q73" s="31">
        <f>VLOOKUP(B73,Ireland!$A:$B,2,)</f>
        <v/>
      </c>
    </row>
    <row r="74" customFormat="1" s="60">
      <c r="B74" s="30" t="n">
        <v>43952</v>
      </c>
      <c r="C74" s="31">
        <f>VLOOKUP(B74,Global!$A:$B,2,)</f>
        <v/>
      </c>
      <c r="D74" s="31">
        <f>VLOOKUP(B74,US!$A:$B,2,)</f>
        <v/>
      </c>
      <c r="E74" s="31">
        <f>VLOOKUP(B74,China!$A:$B,2,)</f>
        <v/>
      </c>
      <c r="F74" s="31">
        <f>VLOOKUP(B74,EuroArea!$A:$B,2,)</f>
        <v/>
      </c>
      <c r="G74" s="31">
        <f>VLOOKUP(B74,Japan!$A:$B,2,)</f>
        <v/>
      </c>
      <c r="H74" s="31">
        <f>VLOOKUP(B74,Germany!$A:$B,2,)</f>
        <v/>
      </c>
      <c r="I74" s="31">
        <f>VLOOKUP(B74,France!$A:$B,2,)</f>
        <v/>
      </c>
      <c r="J74" s="31">
        <f>VLOOKUP(B74,UK!$A:$B,2,)</f>
        <v/>
      </c>
      <c r="K74" s="31">
        <f>VLOOKUP(B74,Italy!$A:$B,2,)</f>
        <v/>
      </c>
      <c r="L74" s="31">
        <f>VLOOKUP(B74,Spain!$A:$B,2,)</f>
        <v/>
      </c>
      <c r="M74" s="31">
        <f>VLOOKUP(B74,Brazil!$A:$B,2,)</f>
        <v/>
      </c>
      <c r="N74" s="31">
        <f>VLOOKUP(B74,Russia!$A:$B,2,)</f>
        <v/>
      </c>
      <c r="O74" s="31">
        <f>VLOOKUP(B74,India!$A:$B,2,)</f>
        <v/>
      </c>
      <c r="P74" s="31">
        <f>VLOOKUP(B74,Australia!$A:$B,2,)</f>
        <v/>
      </c>
      <c r="Q74" s="31">
        <f>VLOOKUP(B74,Ireland!$A:$B,2,)</f>
        <v/>
      </c>
    </row>
    <row r="75" customFormat="1" s="60">
      <c r="B75" s="30" t="n">
        <v>43983</v>
      </c>
      <c r="C75" s="31">
        <f>VLOOKUP(B75,Global!$A:$B,2,)</f>
        <v/>
      </c>
      <c r="D75" s="31">
        <f>VLOOKUP(B75,US!$A:$B,2,)</f>
        <v/>
      </c>
      <c r="E75" s="31">
        <f>VLOOKUP(B75,China!$A:$B,2,)</f>
        <v/>
      </c>
      <c r="F75" s="31">
        <f>VLOOKUP(B75,EuroArea!$A:$B,2,)</f>
        <v/>
      </c>
      <c r="G75" s="31">
        <f>VLOOKUP(B75,Japan!$A:$B,2,)</f>
        <v/>
      </c>
      <c r="H75" s="31">
        <f>VLOOKUP(B75,Germany!$A:$B,2,)</f>
        <v/>
      </c>
      <c r="I75" s="31">
        <f>VLOOKUP(B75,France!$A:$B,2,)</f>
        <v/>
      </c>
      <c r="J75" s="31">
        <f>VLOOKUP(B75,UK!$A:$B,2,)</f>
        <v/>
      </c>
      <c r="K75" s="31">
        <f>VLOOKUP(B75,Italy!$A:$B,2,)</f>
        <v/>
      </c>
      <c r="L75" s="31">
        <f>VLOOKUP(B75,Spain!$A:$B,2,)</f>
        <v/>
      </c>
      <c r="M75" s="31">
        <f>VLOOKUP(B75,Brazil!$A:$B,2,)</f>
        <v/>
      </c>
      <c r="N75" s="31">
        <f>VLOOKUP(B75,Russia!$A:$B,2,)</f>
        <v/>
      </c>
      <c r="O75" s="31">
        <f>VLOOKUP(B75,India!$A:$B,2,)</f>
        <v/>
      </c>
      <c r="P75" s="31">
        <f>VLOOKUP(B75,Australia!$A:$B,2,)</f>
        <v/>
      </c>
      <c r="Q75" s="31">
        <f>VLOOKUP(B75,Ireland!$A:$B,2,)</f>
        <v/>
      </c>
    </row>
    <row r="76" customFormat="1" s="60">
      <c r="B76" s="30" t="n">
        <v>44013</v>
      </c>
      <c r="C76" s="31">
        <f>VLOOKUP(B76,Global!$A:$B,2,)</f>
        <v/>
      </c>
      <c r="D76" s="31">
        <f>VLOOKUP(B76,US!$A:$B,2,)</f>
        <v/>
      </c>
      <c r="E76" s="31">
        <f>VLOOKUP(B76,China!$A:$B,2,)</f>
        <v/>
      </c>
      <c r="F76" s="31">
        <f>VLOOKUP(B76,EuroArea!$A:$B,2,)</f>
        <v/>
      </c>
      <c r="G76" s="31">
        <f>VLOOKUP(B76,Japan!$A:$B,2,)</f>
        <v/>
      </c>
      <c r="H76" s="31">
        <f>VLOOKUP(B76,Germany!$A:$B,2,)</f>
        <v/>
      </c>
      <c r="I76" s="31">
        <f>VLOOKUP(B76,France!$A:$B,2,)</f>
        <v/>
      </c>
      <c r="J76" s="31">
        <f>VLOOKUP(B76,UK!$A:$B,2,)</f>
        <v/>
      </c>
      <c r="K76" s="31">
        <f>VLOOKUP(B76,Italy!$A:$B,2,)</f>
        <v/>
      </c>
      <c r="L76" s="31">
        <f>VLOOKUP(B76,Spain!$A:$B,2,)</f>
        <v/>
      </c>
      <c r="M76" s="31">
        <f>VLOOKUP(B76,Brazil!$A:$B,2,)</f>
        <v/>
      </c>
      <c r="N76" s="31">
        <f>VLOOKUP(B76,Russia!$A:$B,2,)</f>
        <v/>
      </c>
      <c r="O76" s="31">
        <f>VLOOKUP(B76,India!$A:$B,2,)</f>
        <v/>
      </c>
      <c r="P76" s="31">
        <f>VLOOKUP(B76,Australia!$A:$B,2,)</f>
        <v/>
      </c>
      <c r="Q76" s="31">
        <f>VLOOKUP(B76,Ireland!$A:$B,2,)</f>
        <v/>
      </c>
    </row>
    <row r="77" customFormat="1" s="60">
      <c r="B77" s="30" t="n">
        <v>44044</v>
      </c>
      <c r="C77" s="31">
        <f>VLOOKUP(B77,Global!$A:$B,2,)</f>
        <v/>
      </c>
      <c r="D77" s="31">
        <f>VLOOKUP(B77,US!$A:$B,2,)</f>
        <v/>
      </c>
      <c r="E77" s="31">
        <f>VLOOKUP(B77,China!$A:$B,2,)</f>
        <v/>
      </c>
      <c r="F77" s="31">
        <f>VLOOKUP(B77,EuroArea!$A:$B,2,)</f>
        <v/>
      </c>
      <c r="G77" s="31">
        <f>VLOOKUP(B77,Japan!$A:$B,2,)</f>
        <v/>
      </c>
      <c r="H77" s="31">
        <f>VLOOKUP(B77,Germany!$A:$B,2,)</f>
        <v/>
      </c>
      <c r="I77" s="31">
        <f>VLOOKUP(B77,France!$A:$B,2,)</f>
        <v/>
      </c>
      <c r="J77" s="31">
        <f>VLOOKUP(B77,UK!$A:$B,2,)</f>
        <v/>
      </c>
      <c r="K77" s="31">
        <f>VLOOKUP(B77,Italy!$A:$B,2,)</f>
        <v/>
      </c>
      <c r="L77" s="31">
        <f>VLOOKUP(B77,Spain!$A:$B,2,)</f>
        <v/>
      </c>
      <c r="M77" s="31">
        <f>VLOOKUP(B77,Brazil!$A:$B,2,)</f>
        <v/>
      </c>
      <c r="N77" s="31">
        <f>VLOOKUP(B77,Russia!$A:$B,2,)</f>
        <v/>
      </c>
      <c r="O77" s="31">
        <f>VLOOKUP(B77,India!$A:$B,2,)</f>
        <v/>
      </c>
      <c r="P77" s="31">
        <f>VLOOKUP(B77,Australia!$A:$B,2,)</f>
        <v/>
      </c>
      <c r="Q77" s="31">
        <f>VLOOKUP(B77,Ireland!$A:$B,2,)</f>
        <v/>
      </c>
    </row>
    <row r="78" customFormat="1" s="60">
      <c r="B78" s="30" t="n">
        <v>44075</v>
      </c>
      <c r="C78" s="31">
        <f>VLOOKUP(B78,Global!$A:$B,2,)</f>
        <v/>
      </c>
      <c r="D78" s="31">
        <f>VLOOKUP(B78,US!$A:$B,2,)</f>
        <v/>
      </c>
      <c r="E78" s="31">
        <f>VLOOKUP(B78,China!$A:$B,2,)</f>
        <v/>
      </c>
      <c r="F78" s="31">
        <f>VLOOKUP(B78,EuroArea!$A:$B,2,)</f>
        <v/>
      </c>
      <c r="G78" s="31">
        <f>VLOOKUP(B78,Japan!$A:$B,2,)</f>
        <v/>
      </c>
      <c r="H78" s="31">
        <f>VLOOKUP(B78,Germany!$A:$B,2,)</f>
        <v/>
      </c>
      <c r="I78" s="31">
        <f>VLOOKUP(B78,France!$A:$B,2,)</f>
        <v/>
      </c>
      <c r="J78" s="31">
        <f>VLOOKUP(B78,UK!$A:$B,2,)</f>
        <v/>
      </c>
      <c r="K78" s="31">
        <f>VLOOKUP(B78,Italy!$A:$B,2,)</f>
        <v/>
      </c>
      <c r="L78" s="31">
        <f>VLOOKUP(B78,Spain!$A:$B,2,)</f>
        <v/>
      </c>
      <c r="M78" s="31">
        <f>VLOOKUP(B78,Brazil!$A:$B,2,)</f>
        <v/>
      </c>
      <c r="N78" s="31">
        <f>VLOOKUP(B78,Russia!$A:$B,2,)</f>
        <v/>
      </c>
      <c r="O78" s="31">
        <f>VLOOKUP(B78,India!$A:$B,2,)</f>
        <v/>
      </c>
      <c r="P78" s="31">
        <f>VLOOKUP(B78,Australia!$A:$B,2,)</f>
        <v/>
      </c>
      <c r="Q78" s="31">
        <f>VLOOKUP(B78,Ireland!$A:$B,2,)</f>
        <v/>
      </c>
    </row>
    <row r="79" customFormat="1" s="60">
      <c r="B79" s="30" t="n">
        <v>44105</v>
      </c>
      <c r="C79" s="31">
        <f>VLOOKUP(B79,Global!$A:$B,2,)</f>
        <v/>
      </c>
      <c r="D79" s="31">
        <f>VLOOKUP(B79,US!$A:$B,2,)</f>
        <v/>
      </c>
      <c r="E79" s="31">
        <f>VLOOKUP(B79,China!$A:$B,2,)</f>
        <v/>
      </c>
      <c r="F79" s="31">
        <f>VLOOKUP(B79,EuroArea!$A:$B,2,)</f>
        <v/>
      </c>
      <c r="G79" s="31">
        <f>VLOOKUP(B79,Japan!$A:$B,2,)</f>
        <v/>
      </c>
      <c r="H79" s="31">
        <f>VLOOKUP(B79,Germany!$A:$B,2,)</f>
        <v/>
      </c>
      <c r="I79" s="31">
        <f>VLOOKUP(B79,France!$A:$B,2,)</f>
        <v/>
      </c>
      <c r="J79" s="31">
        <f>VLOOKUP(B79,UK!$A:$B,2,)</f>
        <v/>
      </c>
      <c r="K79" s="31">
        <f>VLOOKUP(B79,Italy!$A:$B,2,)</f>
        <v/>
      </c>
      <c r="L79" s="31">
        <f>VLOOKUP(B79,Spain!$A:$B,2,)</f>
        <v/>
      </c>
      <c r="M79" s="31">
        <f>VLOOKUP(B79,Brazil!$A:$B,2,)</f>
        <v/>
      </c>
      <c r="N79" s="31">
        <f>VLOOKUP(B79,Russia!$A:$B,2,)</f>
        <v/>
      </c>
      <c r="O79" s="31">
        <f>VLOOKUP(B79,India!$A:$B,2,)</f>
        <v/>
      </c>
      <c r="P79" s="31">
        <f>VLOOKUP(B79,Australia!$A:$B,2,)</f>
        <v/>
      </c>
      <c r="Q79" s="31">
        <f>VLOOKUP(B79,Ireland!$A:$B,2,)</f>
        <v/>
      </c>
    </row>
    <row r="80" customFormat="1" s="60">
      <c r="B80" s="30" t="n">
        <v>44136</v>
      </c>
      <c r="C80" s="31">
        <f>VLOOKUP(B80,Global!$A:$B,2,)</f>
        <v/>
      </c>
      <c r="D80" s="31">
        <f>VLOOKUP(B80,US!$A:$B,2,)</f>
        <v/>
      </c>
      <c r="E80" s="31">
        <f>VLOOKUP(B80,China!$A:$B,2,)</f>
        <v/>
      </c>
      <c r="F80" s="31">
        <f>VLOOKUP(B80,EuroArea!$A:$B,2,)</f>
        <v/>
      </c>
      <c r="G80" s="31">
        <f>VLOOKUP(B80,Japan!$A:$B,2,)</f>
        <v/>
      </c>
      <c r="H80" s="31">
        <f>VLOOKUP(B80,Germany!$A:$B,2,)</f>
        <v/>
      </c>
      <c r="I80" s="31">
        <f>VLOOKUP(B80,France!$A:$B,2,)</f>
        <v/>
      </c>
      <c r="J80" s="31">
        <f>VLOOKUP(B80,UK!$A:$B,2,)</f>
        <v/>
      </c>
      <c r="K80" s="31">
        <f>VLOOKUP(B80,Italy!$A:$B,2,)</f>
        <v/>
      </c>
      <c r="L80" s="31">
        <f>VLOOKUP(B80,Spain!$A:$B,2,)</f>
        <v/>
      </c>
      <c r="M80" s="31">
        <f>VLOOKUP(B80,Brazil!$A:$B,2,)</f>
        <v/>
      </c>
      <c r="N80" s="31">
        <f>VLOOKUP(B80,Russia!$A:$B,2,)</f>
        <v/>
      </c>
      <c r="O80" s="31">
        <f>VLOOKUP(B80,India!$A:$B,2,)</f>
        <v/>
      </c>
      <c r="P80" s="31">
        <f>VLOOKUP(B80,Australia!$A:$B,2,)</f>
        <v/>
      </c>
      <c r="Q80" s="31">
        <f>VLOOKUP(B80,Ireland!$A:$B,2,)</f>
        <v/>
      </c>
    </row>
    <row r="81" customFormat="1" s="60">
      <c r="B81" s="30" t="n">
        <v>44166</v>
      </c>
      <c r="C81" s="31">
        <f>VLOOKUP(B81,Global!$A:$B,2,)</f>
        <v/>
      </c>
      <c r="D81" s="31">
        <f>VLOOKUP(B81,US!$A:$B,2,)</f>
        <v/>
      </c>
      <c r="E81" s="31">
        <f>VLOOKUP(B81,China!$A:$B,2,)</f>
        <v/>
      </c>
      <c r="F81" s="31">
        <f>VLOOKUP(B81,EuroArea!$A:$B,2,)</f>
        <v/>
      </c>
      <c r="G81" s="31">
        <f>VLOOKUP(B81,Japan!$A:$B,2,)</f>
        <v/>
      </c>
      <c r="H81" s="31">
        <f>VLOOKUP(B81,Germany!$A:$B,2,)</f>
        <v/>
      </c>
      <c r="I81" s="31">
        <f>VLOOKUP(B81,France!$A:$B,2,)</f>
        <v/>
      </c>
      <c r="J81" s="31">
        <f>VLOOKUP(B81,UK!$A:$B,2,)</f>
        <v/>
      </c>
      <c r="K81" s="31">
        <f>VLOOKUP(B81,Italy!$A:$B,2,)</f>
        <v/>
      </c>
      <c r="L81" s="31">
        <f>VLOOKUP(B81,Spain!$A:$B,2,)</f>
        <v/>
      </c>
      <c r="M81" s="31">
        <f>VLOOKUP(B81,Brazil!$A:$B,2,)</f>
        <v/>
      </c>
      <c r="N81" s="31">
        <f>VLOOKUP(B81,Russia!$A:$B,2,)</f>
        <v/>
      </c>
      <c r="O81" s="31">
        <f>VLOOKUP(B81,India!$A:$B,2,)</f>
        <v/>
      </c>
      <c r="P81" s="31">
        <f>VLOOKUP(B81,Australia!$A:$B,2,)</f>
        <v/>
      </c>
      <c r="Q81" s="31">
        <f>VLOOKUP(B81,Ireland!$A:$B,2,)</f>
        <v/>
      </c>
    </row>
    <row r="82" customFormat="1" s="60">
      <c r="B82" s="30" t="n">
        <v>44197</v>
      </c>
      <c r="C82" s="31">
        <f>VLOOKUP(B82,Global!$A:$B,2,)</f>
        <v/>
      </c>
      <c r="D82" s="31">
        <f>VLOOKUP(B82,US!$A:$B,2,)</f>
        <v/>
      </c>
      <c r="E82" s="31">
        <f>VLOOKUP(B82,China!$A:$B,2,)</f>
        <v/>
      </c>
      <c r="F82" s="31">
        <f>VLOOKUP(B82,EuroArea!$A:$B,2,)</f>
        <v/>
      </c>
      <c r="G82" s="31">
        <f>VLOOKUP(B82,Japan!$A:$B,2,)</f>
        <v/>
      </c>
      <c r="H82" s="31">
        <f>VLOOKUP(B82,Germany!$A:$B,2,)</f>
        <v/>
      </c>
      <c r="I82" s="31">
        <f>VLOOKUP(B82,France!$A:$B,2,)</f>
        <v/>
      </c>
      <c r="J82" s="31">
        <f>VLOOKUP(B82,UK!$A:$B,2,)</f>
        <v/>
      </c>
      <c r="K82" s="31">
        <f>VLOOKUP(B82,Italy!$A:$B,2,)</f>
        <v/>
      </c>
      <c r="L82" s="31">
        <f>VLOOKUP(B82,Spain!$A:$B,2,)</f>
        <v/>
      </c>
      <c r="M82" s="31">
        <f>VLOOKUP(B82,Brazil!$A:$B,2,)</f>
        <v/>
      </c>
      <c r="N82" s="31">
        <f>VLOOKUP(B82,Russia!$A:$B,2,)</f>
        <v/>
      </c>
      <c r="O82" s="31">
        <f>VLOOKUP(B82,India!$A:$B,2,)</f>
        <v/>
      </c>
      <c r="P82" s="31">
        <f>VLOOKUP(B82,Australia!$A:$B,2,)</f>
        <v/>
      </c>
      <c r="Q82" s="31">
        <f>VLOOKUP(B82,Ireland!$A:$B,2,)</f>
        <v/>
      </c>
    </row>
    <row r="83" customFormat="1" s="60">
      <c r="B83" s="30" t="n">
        <v>44228</v>
      </c>
      <c r="C83" s="31">
        <f>VLOOKUP(B83,Global!$A:$B,2,)</f>
        <v/>
      </c>
      <c r="D83" s="31">
        <f>VLOOKUP(B83,US!$A:$B,2,)</f>
        <v/>
      </c>
      <c r="E83" s="31">
        <f>VLOOKUP(B83,China!$A:$B,2,)</f>
        <v/>
      </c>
      <c r="F83" s="31">
        <f>VLOOKUP(B83,EuroArea!$A:$B,2,)</f>
        <v/>
      </c>
      <c r="G83" s="31">
        <f>VLOOKUP(B83,Japan!$A:$B,2,)</f>
        <v/>
      </c>
      <c r="H83" s="31">
        <f>VLOOKUP(B83,Germany!$A:$B,2,)</f>
        <v/>
      </c>
      <c r="I83" s="31">
        <f>VLOOKUP(B83,France!$A:$B,2,)</f>
        <v/>
      </c>
      <c r="J83" s="31">
        <f>VLOOKUP(B83,UK!$A:$B,2,)</f>
        <v/>
      </c>
      <c r="K83" s="31">
        <f>VLOOKUP(B83,Italy!$A:$B,2,)</f>
        <v/>
      </c>
      <c r="L83" s="31">
        <f>VLOOKUP(B83,Spain!$A:$B,2,)</f>
        <v/>
      </c>
      <c r="M83" s="31">
        <f>VLOOKUP(B83,Brazil!$A:$B,2,)</f>
        <v/>
      </c>
      <c r="N83" s="31">
        <f>VLOOKUP(B83,Russia!$A:$B,2,)</f>
        <v/>
      </c>
      <c r="O83" s="31">
        <f>VLOOKUP(B83,India!$A:$B,2,)</f>
        <v/>
      </c>
      <c r="P83" s="31">
        <f>VLOOKUP(B83,Australia!$A:$B,2,)</f>
        <v/>
      </c>
      <c r="Q83" s="31">
        <f>VLOOKUP(B83,Ireland!$A:$B,2,)</f>
        <v/>
      </c>
    </row>
    <row r="84" customFormat="1" s="60">
      <c r="B84" s="30" t="n">
        <v>44256</v>
      </c>
      <c r="C84" s="31">
        <f>VLOOKUP(B84,Global!$A:$B,2,)</f>
        <v/>
      </c>
      <c r="D84" s="31">
        <f>VLOOKUP(B84,US!$A:$B,2,)</f>
        <v/>
      </c>
      <c r="E84" s="31">
        <f>VLOOKUP(B84,China!$A:$B,2,)</f>
        <v/>
      </c>
      <c r="F84" s="31">
        <f>VLOOKUP(B84,EuroArea!$A:$B,2,)</f>
        <v/>
      </c>
      <c r="G84" s="31">
        <f>VLOOKUP(B84,Japan!$A:$B,2,)</f>
        <v/>
      </c>
      <c r="H84" s="31">
        <f>VLOOKUP(B84,Germany!$A:$B,2,)</f>
        <v/>
      </c>
      <c r="I84" s="31">
        <f>VLOOKUP(B84,France!$A:$B,2,)</f>
        <v/>
      </c>
      <c r="J84" s="31">
        <f>VLOOKUP(B84,UK!$A:$B,2,)</f>
        <v/>
      </c>
      <c r="K84" s="31">
        <f>VLOOKUP(B84,Italy!$A:$B,2,)</f>
        <v/>
      </c>
      <c r="L84" s="31">
        <f>VLOOKUP(B84,Spain!$A:$B,2,)</f>
        <v/>
      </c>
      <c r="M84" s="31">
        <f>VLOOKUP(B84,Brazil!$A:$B,2,)</f>
        <v/>
      </c>
      <c r="N84" s="31">
        <f>VLOOKUP(B84,Russia!$A:$B,2,)</f>
        <v/>
      </c>
      <c r="O84" s="31">
        <f>VLOOKUP(B84,India!$A:$B,2,)</f>
        <v/>
      </c>
      <c r="P84" s="31">
        <f>VLOOKUP(B84,Australia!$A:$B,2,)</f>
        <v/>
      </c>
      <c r="Q84" s="31">
        <f>VLOOKUP(B84,Ireland!$A:$B,2,)</f>
        <v/>
      </c>
    </row>
    <row r="85" customFormat="1" s="60">
      <c r="B85" s="30" t="n">
        <v>44287</v>
      </c>
      <c r="C85" s="31">
        <f>VLOOKUP(B85,Global!$A:$B,2,)</f>
        <v/>
      </c>
      <c r="D85" s="31">
        <f>VLOOKUP(B85,US!$A:$B,2,)</f>
        <v/>
      </c>
      <c r="E85" s="31">
        <f>VLOOKUP(B85,China!$A:$B,2,)</f>
        <v/>
      </c>
      <c r="F85" s="31">
        <f>VLOOKUP(B85,EuroArea!$A:$B,2,)</f>
        <v/>
      </c>
      <c r="G85" s="31">
        <f>VLOOKUP(B85,Japan!$A:$B,2,)</f>
        <v/>
      </c>
      <c r="H85" s="31">
        <f>VLOOKUP(B85,Germany!$A:$B,2,)</f>
        <v/>
      </c>
      <c r="I85" s="31">
        <f>VLOOKUP(B85,France!$A:$B,2,)</f>
        <v/>
      </c>
      <c r="J85" s="31">
        <f>VLOOKUP(B85,UK!$A:$B,2,)</f>
        <v/>
      </c>
      <c r="K85" s="31">
        <f>VLOOKUP(B85,Italy!$A:$B,2,)</f>
        <v/>
      </c>
      <c r="L85" s="31">
        <f>VLOOKUP(B85,Spain!$A:$B,2,)</f>
        <v/>
      </c>
      <c r="M85" s="31">
        <f>VLOOKUP(B85,Brazil!$A:$B,2,)</f>
        <v/>
      </c>
      <c r="N85" s="31">
        <f>VLOOKUP(B85,Russia!$A:$B,2,)</f>
        <v/>
      </c>
      <c r="O85" s="31">
        <f>VLOOKUP(B85,India!$A:$B,2,)</f>
        <v/>
      </c>
      <c r="P85" s="31">
        <f>VLOOKUP(B85,Australia!$A:$B,2,)</f>
        <v/>
      </c>
      <c r="Q85" s="31">
        <f>VLOOKUP(B85,Ireland!$A:$B,2,)</f>
        <v/>
      </c>
    </row>
    <row r="86" customFormat="1" s="60">
      <c r="B86" s="30" t="n">
        <v>44317</v>
      </c>
      <c r="C86" s="31">
        <f>VLOOKUP(B86,Global!$A:$B,2,)</f>
        <v/>
      </c>
      <c r="D86" s="31">
        <f>VLOOKUP(B86,US!$A:$B,2,)</f>
        <v/>
      </c>
      <c r="E86" s="31">
        <f>VLOOKUP(B86,China!$A:$B,2,)</f>
        <v/>
      </c>
      <c r="F86" s="31">
        <f>VLOOKUP(B86,EuroArea!$A:$B,2,)</f>
        <v/>
      </c>
      <c r="G86" s="31">
        <f>VLOOKUP(B86,Japan!$A:$B,2,)</f>
        <v/>
      </c>
      <c r="H86" s="31">
        <f>VLOOKUP(B86,Germany!$A:$B,2,)</f>
        <v/>
      </c>
      <c r="I86" s="31">
        <f>VLOOKUP(B86,France!$A:$B,2,)</f>
        <v/>
      </c>
      <c r="J86" s="31">
        <f>VLOOKUP(B86,UK!$A:$B,2,)</f>
        <v/>
      </c>
      <c r="K86" s="31">
        <f>VLOOKUP(B86,Italy!$A:$B,2,)</f>
        <v/>
      </c>
      <c r="L86" s="31">
        <f>VLOOKUP(B86,Spain!$A:$B,2,)</f>
        <v/>
      </c>
      <c r="M86" s="31">
        <f>VLOOKUP(B86,Brazil!$A:$B,2,)</f>
        <v/>
      </c>
      <c r="N86" s="31">
        <f>VLOOKUP(B86,Russia!$A:$B,2,)</f>
        <v/>
      </c>
      <c r="O86" s="31">
        <f>VLOOKUP(B86,India!$A:$B,2,)</f>
        <v/>
      </c>
      <c r="P86" s="31">
        <f>VLOOKUP(B86,Australia!$A:$B,2,)</f>
        <v/>
      </c>
      <c r="Q86" s="31">
        <f>VLOOKUP(B86,Ireland!$A:$B,2,)</f>
        <v/>
      </c>
    </row>
    <row r="87" customFormat="1" s="60">
      <c r="B87" s="30" t="n">
        <v>44348</v>
      </c>
      <c r="C87" s="31">
        <f>VLOOKUP(B87,Global!$A:$B,2,)</f>
        <v/>
      </c>
      <c r="D87" s="31">
        <f>VLOOKUP(B87,US!$A:$B,2,)</f>
        <v/>
      </c>
      <c r="E87" s="31">
        <f>VLOOKUP(B87,China!$A:$B,2,)</f>
        <v/>
      </c>
      <c r="F87" s="31">
        <f>VLOOKUP(B87,EuroArea!$A:$B,2,)</f>
        <v/>
      </c>
      <c r="G87" s="31">
        <f>VLOOKUP(B87,Japan!$A:$B,2,)</f>
        <v/>
      </c>
      <c r="H87" s="31">
        <f>VLOOKUP(B87,Germany!$A:$B,2,)</f>
        <v/>
      </c>
      <c r="I87" s="31">
        <f>VLOOKUP(B87,France!$A:$B,2,)</f>
        <v/>
      </c>
      <c r="J87" s="31">
        <f>VLOOKUP(B87,UK!$A:$B,2,)</f>
        <v/>
      </c>
      <c r="K87" s="31">
        <f>VLOOKUP(B87,Italy!$A:$B,2,)</f>
        <v/>
      </c>
      <c r="L87" s="31">
        <f>VLOOKUP(B87,Spain!$A:$B,2,)</f>
        <v/>
      </c>
      <c r="M87" s="31">
        <f>VLOOKUP(B87,Brazil!$A:$B,2,)</f>
        <v/>
      </c>
      <c r="N87" s="31">
        <f>VLOOKUP(B87,Russia!$A:$B,2,)</f>
        <v/>
      </c>
      <c r="O87" s="31">
        <f>VLOOKUP(B87,India!$A:$B,2,)</f>
        <v/>
      </c>
      <c r="P87" s="31">
        <f>VLOOKUP(B87,Australia!$A:$B,2,)</f>
        <v/>
      </c>
      <c r="Q87" s="31">
        <f>VLOOKUP(B87,Ireland!$A:$B,2,)</f>
        <v/>
      </c>
    </row>
    <row r="88" customFormat="1" s="60">
      <c r="B88" s="30" t="n">
        <v>44378</v>
      </c>
      <c r="C88" s="31">
        <f>VLOOKUP(B88,Global!$A:$B,2,)</f>
        <v/>
      </c>
      <c r="D88" s="31">
        <f>VLOOKUP(B88,US!$A:$B,2,)</f>
        <v/>
      </c>
      <c r="E88" s="31">
        <f>VLOOKUP(B88,China!$A:$B,2,)</f>
        <v/>
      </c>
      <c r="F88" s="31">
        <f>VLOOKUP(B88,EuroArea!$A:$B,2,)</f>
        <v/>
      </c>
      <c r="G88" s="31">
        <f>VLOOKUP(B88,Japan!$A:$B,2,)</f>
        <v/>
      </c>
      <c r="H88" s="31">
        <f>VLOOKUP(B88,Germany!$A:$B,2,)</f>
        <v/>
      </c>
      <c r="I88" s="31">
        <f>VLOOKUP(B88,France!$A:$B,2,)</f>
        <v/>
      </c>
      <c r="J88" s="31">
        <f>VLOOKUP(B88,UK!$A:$B,2,)</f>
        <v/>
      </c>
      <c r="K88" s="31">
        <f>VLOOKUP(B88,Italy!$A:$B,2,)</f>
        <v/>
      </c>
      <c r="L88" s="31">
        <f>VLOOKUP(B88,Spain!$A:$B,2,)</f>
        <v/>
      </c>
      <c r="M88" s="31">
        <f>VLOOKUP(B88,Brazil!$A:$B,2,)</f>
        <v/>
      </c>
      <c r="N88" s="31">
        <f>VLOOKUP(B88,Russia!$A:$B,2,)</f>
        <v/>
      </c>
      <c r="O88" s="31">
        <f>VLOOKUP(B88,India!$A:$B,2,)</f>
        <v/>
      </c>
      <c r="P88" s="31">
        <f>VLOOKUP(B88,Australia!$A:$B,2,)</f>
        <v/>
      </c>
      <c r="Q88" s="31">
        <f>VLOOKUP(B88,Ireland!$A:$B,2,)</f>
        <v/>
      </c>
    </row>
    <row r="89" customFormat="1" s="60">
      <c r="B89" s="30" t="n">
        <v>44409</v>
      </c>
      <c r="C89" s="31">
        <f>VLOOKUP(B89,Global!$A:$B,2,)</f>
        <v/>
      </c>
      <c r="D89" s="31">
        <f>VLOOKUP(B89,US!$A:$B,2,)</f>
        <v/>
      </c>
      <c r="E89" s="31">
        <f>VLOOKUP(B89,China!$A:$B,2,)</f>
        <v/>
      </c>
      <c r="F89" s="31">
        <f>VLOOKUP(B89,EuroArea!$A:$B,2,)</f>
        <v/>
      </c>
      <c r="G89" s="31">
        <f>VLOOKUP(B89,Japan!$A:$B,2,)</f>
        <v/>
      </c>
      <c r="H89" s="31">
        <f>VLOOKUP(B89,Germany!$A:$B,2,)</f>
        <v/>
      </c>
      <c r="I89" s="31">
        <f>VLOOKUP(B89,France!$A:$B,2,)</f>
        <v/>
      </c>
      <c r="J89" s="31">
        <f>VLOOKUP(B89,UK!$A:$B,2,)</f>
        <v/>
      </c>
      <c r="K89" s="31">
        <f>VLOOKUP(B89,Italy!$A:$B,2,)</f>
        <v/>
      </c>
      <c r="L89" s="31">
        <f>VLOOKUP(B89,Spain!$A:$B,2,)</f>
        <v/>
      </c>
      <c r="M89" s="31">
        <f>VLOOKUP(B89,Brazil!$A:$B,2,)</f>
        <v/>
      </c>
      <c r="N89" s="31">
        <f>VLOOKUP(B89,Russia!$A:$B,2,)</f>
        <v/>
      </c>
      <c r="O89" s="31">
        <f>VLOOKUP(B89,India!$A:$B,2,)</f>
        <v/>
      </c>
      <c r="P89" s="31">
        <f>VLOOKUP(B89,Australia!$A:$B,2,)</f>
        <v/>
      </c>
      <c r="Q89" s="31">
        <f>VLOOKUP(B89,Ireland!$A:$B,2,)</f>
        <v/>
      </c>
    </row>
    <row r="90" customFormat="1" s="60">
      <c r="B90" s="30" t="n">
        <v>44440</v>
      </c>
      <c r="C90" s="31">
        <f>VLOOKUP(B90,Global!$A:$B,2,)</f>
        <v/>
      </c>
      <c r="D90" s="31">
        <f>VLOOKUP(B90,US!$A:$B,2,)</f>
        <v/>
      </c>
      <c r="E90" s="31">
        <f>VLOOKUP(B90,China!$A:$B,2,)</f>
        <v/>
      </c>
      <c r="F90" s="31">
        <f>VLOOKUP(B90,EuroArea!$A:$B,2,)</f>
        <v/>
      </c>
      <c r="G90" s="31">
        <f>VLOOKUP(B90,Japan!$A:$B,2,)</f>
        <v/>
      </c>
      <c r="H90" s="31">
        <f>VLOOKUP(B90,Germany!$A:$B,2,)</f>
        <v/>
      </c>
      <c r="I90" s="31">
        <f>VLOOKUP(B90,France!$A:$B,2,)</f>
        <v/>
      </c>
      <c r="J90" s="31">
        <f>VLOOKUP(B90,UK!$A:$B,2,)</f>
        <v/>
      </c>
      <c r="K90" s="31">
        <f>VLOOKUP(B90,Italy!$A:$B,2,)</f>
        <v/>
      </c>
      <c r="L90" s="31">
        <f>VLOOKUP(B90,Spain!$A:$B,2,)</f>
        <v/>
      </c>
      <c r="M90" s="31">
        <f>VLOOKUP(B90,Brazil!$A:$B,2,)</f>
        <v/>
      </c>
      <c r="N90" s="31">
        <f>VLOOKUP(B90,Russia!$A:$B,2,)</f>
        <v/>
      </c>
      <c r="O90" s="31">
        <f>VLOOKUP(B90,India!$A:$B,2,)</f>
        <v/>
      </c>
      <c r="P90" s="31">
        <f>VLOOKUP(B90,Australia!$A:$B,2,)</f>
        <v/>
      </c>
      <c r="Q90" s="31">
        <f>VLOOKUP(B90,Ireland!$A:$B,2,)</f>
        <v/>
      </c>
    </row>
    <row r="91" customFormat="1" s="60">
      <c r="B91" s="30" t="n">
        <v>44470</v>
      </c>
      <c r="C91" s="31">
        <f>VLOOKUP(B91,Global!$A:$B,2,)</f>
        <v/>
      </c>
      <c r="D91" s="31">
        <f>VLOOKUP(B91,US!$A:$B,2,)</f>
        <v/>
      </c>
      <c r="E91" s="31">
        <f>VLOOKUP(B91,China!$A:$B,2,)</f>
        <v/>
      </c>
      <c r="F91" s="31">
        <f>VLOOKUP(B91,EuroArea!$A:$B,2,)</f>
        <v/>
      </c>
      <c r="G91" s="31">
        <f>VLOOKUP(B91,Japan!$A:$B,2,)</f>
        <v/>
      </c>
      <c r="H91" s="31">
        <f>VLOOKUP(B91,Germany!$A:$B,2,)</f>
        <v/>
      </c>
      <c r="I91" s="31">
        <f>VLOOKUP(B91,France!$A:$B,2,)</f>
        <v/>
      </c>
      <c r="J91" s="31">
        <f>VLOOKUP(B91,UK!$A:$B,2,)</f>
        <v/>
      </c>
      <c r="K91" s="31">
        <f>VLOOKUP(B91,Italy!$A:$B,2,)</f>
        <v/>
      </c>
      <c r="L91" s="31">
        <f>VLOOKUP(B91,Spain!$A:$B,2,)</f>
        <v/>
      </c>
      <c r="M91" s="31">
        <f>VLOOKUP(B91,Brazil!$A:$B,2,)</f>
        <v/>
      </c>
      <c r="N91" s="31">
        <f>VLOOKUP(B91,Russia!$A:$B,2,)</f>
        <v/>
      </c>
      <c r="O91" s="31">
        <f>VLOOKUP(B91,India!$A:$B,2,)</f>
        <v/>
      </c>
      <c r="P91" s="31">
        <f>VLOOKUP(B91,Australia!$A:$B,2,)</f>
        <v/>
      </c>
      <c r="Q91" s="31">
        <f>VLOOKUP(B91,Ireland!$A:$B,2,)</f>
        <v/>
      </c>
    </row>
    <row r="92" customFormat="1" s="60">
      <c r="B92" s="30" t="n">
        <v>44501</v>
      </c>
      <c r="C92" s="31">
        <f>VLOOKUP(B92,Global!$A:$B,2,)</f>
        <v/>
      </c>
      <c r="D92" s="31">
        <f>VLOOKUP(B92,US!$A:$B,2,)</f>
        <v/>
      </c>
      <c r="E92" s="31">
        <f>VLOOKUP(B92,China!$A:$B,2,)</f>
        <v/>
      </c>
      <c r="F92" s="31">
        <f>VLOOKUP(B92,EuroArea!$A:$B,2,)</f>
        <v/>
      </c>
      <c r="G92" s="31">
        <f>VLOOKUP(B92,Japan!$A:$B,2,)</f>
        <v/>
      </c>
      <c r="H92" s="31">
        <f>VLOOKUP(B92,Germany!$A:$B,2,)</f>
        <v/>
      </c>
      <c r="I92" s="31">
        <f>VLOOKUP(B92,France!$A:$B,2,)</f>
        <v/>
      </c>
      <c r="J92" s="31">
        <f>VLOOKUP(B92,UK!$A:$B,2,)</f>
        <v/>
      </c>
      <c r="K92" s="31">
        <f>VLOOKUP(B92,Italy!$A:$B,2,)</f>
        <v/>
      </c>
      <c r="L92" s="31">
        <f>VLOOKUP(B92,Spain!$A:$B,2,)</f>
        <v/>
      </c>
      <c r="M92" s="31">
        <f>VLOOKUP(B92,Brazil!$A:$B,2,)</f>
        <v/>
      </c>
      <c r="N92" s="31">
        <f>VLOOKUP(B92,Russia!$A:$B,2,)</f>
        <v/>
      </c>
      <c r="O92" s="31">
        <f>VLOOKUP(B92,India!$A:$B,2,)</f>
        <v/>
      </c>
      <c r="P92" s="31">
        <f>VLOOKUP(B92,Australia!$A:$B,2,)</f>
        <v/>
      </c>
      <c r="Q92" s="31">
        <f>VLOOKUP(B92,Ireland!$A:$B,2,)</f>
        <v/>
      </c>
    </row>
    <row r="93" customFormat="1" s="60">
      <c r="B93" s="30" t="n">
        <v>44531</v>
      </c>
      <c r="C93" s="31">
        <f>VLOOKUP(B93,Global!$A:$B,2,)</f>
        <v/>
      </c>
      <c r="D93" s="31">
        <f>VLOOKUP(B93,US!$A:$B,2,)</f>
        <v/>
      </c>
      <c r="E93" s="31">
        <f>VLOOKUP(B93,China!$A:$B,2,)</f>
        <v/>
      </c>
      <c r="F93" s="31">
        <f>VLOOKUP(B93,EuroArea!$A:$B,2,)</f>
        <v/>
      </c>
      <c r="G93" s="31">
        <f>VLOOKUP(B93,Japan!$A:$B,2,)</f>
        <v/>
      </c>
      <c r="H93" s="31">
        <f>VLOOKUP(B93,Germany!$A:$B,2,)</f>
        <v/>
      </c>
      <c r="I93" s="31">
        <f>VLOOKUP(B93,France!$A:$B,2,)</f>
        <v/>
      </c>
      <c r="J93" s="31">
        <f>VLOOKUP(B93,UK!$A:$B,2,)</f>
        <v/>
      </c>
      <c r="K93" s="31">
        <f>VLOOKUP(B93,Italy!$A:$B,2,)</f>
        <v/>
      </c>
      <c r="L93" s="31">
        <f>VLOOKUP(B93,Spain!$A:$B,2,)</f>
        <v/>
      </c>
      <c r="M93" s="31">
        <f>VLOOKUP(B93,Brazil!$A:$B,2,)</f>
        <v/>
      </c>
      <c r="N93" s="31">
        <f>VLOOKUP(B93,Russia!$A:$B,2,)</f>
        <v/>
      </c>
      <c r="O93" s="31">
        <f>VLOOKUP(B93,India!$A:$B,2,)</f>
        <v/>
      </c>
      <c r="P93" s="31">
        <f>VLOOKUP(B93,Australia!$A:$B,2,)</f>
        <v/>
      </c>
      <c r="Q93" s="31">
        <f>VLOOKUP(B93,Ireland!$A:$B,2,)</f>
        <v/>
      </c>
    </row>
    <row r="94" customFormat="1" s="60">
      <c r="B94" s="30" t="n">
        <v>44562</v>
      </c>
      <c r="C94" s="31">
        <f>VLOOKUP(B94,Global!$A:$B,2,)</f>
        <v/>
      </c>
      <c r="D94" s="31">
        <f>VLOOKUP(B94,US!$A:$B,2,)</f>
        <v/>
      </c>
      <c r="E94" s="31">
        <f>VLOOKUP(B94,China!$A:$B,2,)</f>
        <v/>
      </c>
      <c r="F94" s="31">
        <f>VLOOKUP(B94,EuroArea!$A:$B,2,)</f>
        <v/>
      </c>
      <c r="G94" s="31">
        <f>VLOOKUP(B94,Japan!$A:$B,2,)</f>
        <v/>
      </c>
      <c r="H94" s="31">
        <f>VLOOKUP(B94,Germany!$A:$B,2,)</f>
        <v/>
      </c>
      <c r="I94" s="31">
        <f>VLOOKUP(B94,France!$A:$B,2,)</f>
        <v/>
      </c>
      <c r="J94" s="31">
        <f>VLOOKUP(B94,UK!$A:$B,2,)</f>
        <v/>
      </c>
      <c r="K94" s="31">
        <f>VLOOKUP(B94,Italy!$A:$B,2,)</f>
        <v/>
      </c>
      <c r="L94" s="31">
        <f>VLOOKUP(B94,Spain!$A:$B,2,)</f>
        <v/>
      </c>
      <c r="M94" s="31">
        <f>VLOOKUP(B94,Brazil!$A:$B,2,)</f>
        <v/>
      </c>
      <c r="N94" s="31">
        <f>VLOOKUP(B94,Russia!$A:$B,2,)</f>
        <v/>
      </c>
      <c r="O94" s="31">
        <f>VLOOKUP(B94,India!$A:$B,2,)</f>
        <v/>
      </c>
      <c r="P94" s="31">
        <f>VLOOKUP(B94,Australia!$A:$B,2,)</f>
        <v/>
      </c>
      <c r="Q94" s="31">
        <f>VLOOKUP(B94,Ireland!$A:$B,2,)</f>
        <v/>
      </c>
    </row>
    <row r="95" customFormat="1" s="60">
      <c r="B95" s="30" t="n">
        <v>44593</v>
      </c>
      <c r="C95" s="31">
        <f>VLOOKUP(B95,Global!$A:$B,2,)</f>
        <v/>
      </c>
      <c r="D95" s="31">
        <f>VLOOKUP(B95,US!$A:$B,2,)</f>
        <v/>
      </c>
      <c r="E95" s="31">
        <f>VLOOKUP(B95,China!$A:$B,2,)</f>
        <v/>
      </c>
      <c r="F95" s="31">
        <f>VLOOKUP(B95,EuroArea!$A:$B,2,)</f>
        <v/>
      </c>
      <c r="G95" s="31">
        <f>VLOOKUP(B95,Japan!$A:$B,2,)</f>
        <v/>
      </c>
      <c r="H95" s="31">
        <f>VLOOKUP(B95,Germany!$A:$B,2,)</f>
        <v/>
      </c>
      <c r="I95" s="31">
        <f>VLOOKUP(B95,France!$A:$B,2,)</f>
        <v/>
      </c>
      <c r="J95" s="31">
        <f>VLOOKUP(B95,UK!$A:$B,2,)</f>
        <v/>
      </c>
      <c r="K95" s="31">
        <f>VLOOKUP(B95,Italy!$A:$B,2,)</f>
        <v/>
      </c>
      <c r="L95" s="31">
        <f>VLOOKUP(B95,Spain!$A:$B,2,)</f>
        <v/>
      </c>
      <c r="M95" s="31">
        <f>VLOOKUP(B95,Brazil!$A:$B,2,)</f>
        <v/>
      </c>
      <c r="N95" s="31">
        <f>VLOOKUP(B95,Russia!$A:$B,2,)</f>
        <v/>
      </c>
      <c r="O95" s="31">
        <f>VLOOKUP(B95,India!$A:$B,2,)</f>
        <v/>
      </c>
      <c r="P95" s="31">
        <f>VLOOKUP(B95,Australia!$A:$B,2,)</f>
        <v/>
      </c>
      <c r="Q95" s="31">
        <f>VLOOKUP(B95,Ireland!$A:$B,2,)</f>
        <v/>
      </c>
    </row>
    <row r="96" customFormat="1" s="60"/>
    <row r="97" customFormat="1" s="60"/>
    <row r="98" customFormat="1" s="60"/>
    <row r="99" customFormat="1" s="60"/>
    <row r="100" customFormat="1" s="60"/>
    <row r="101" customFormat="1" s="60"/>
    <row r="102" customFormat="1" s="60"/>
    <row r="103" customFormat="1" s="60"/>
    <row r="104" customFormat="1" s="60"/>
    <row r="105" customFormat="1" s="60"/>
    <row r="106" customFormat="1" s="60"/>
    <row r="107" customFormat="1" s="60"/>
    <row r="108" customFormat="1" s="60"/>
    <row r="109" customFormat="1" s="60"/>
    <row r="110" customFormat="1" s="60"/>
    <row r="111" customFormat="1" s="60"/>
    <row r="112" customFormat="1" s="60"/>
    <row r="113" customFormat="1" s="60"/>
    <row r="114" customFormat="1" s="60"/>
    <row r="115" customFormat="1" s="60"/>
    <row r="116" customFormat="1" s="60"/>
    <row r="117" customFormat="1" s="60"/>
    <row r="118" customFormat="1" s="60"/>
    <row r="119" customFormat="1" s="60"/>
    <row r="120" customFormat="1" s="60"/>
    <row r="121" customFormat="1" s="60"/>
    <row r="122" customFormat="1" s="60"/>
    <row r="123" customFormat="1" s="60"/>
    <row r="124" customFormat="1" s="60"/>
    <row r="125" customFormat="1" s="60"/>
    <row r="126" customFormat="1" s="60"/>
    <row r="127" customFormat="1" s="60"/>
    <row r="128" customFormat="1" s="60"/>
    <row r="129" customFormat="1" s="60"/>
    <row r="130" customFormat="1" s="60"/>
    <row r="131" customFormat="1" s="60"/>
    <row r="132" customFormat="1" s="60"/>
    <row r="133" customFormat="1" s="60"/>
    <row r="134" customFormat="1" s="60"/>
    <row r="135" customFormat="1" s="60"/>
    <row r="136" customFormat="1" s="60"/>
    <row r="137" customFormat="1" s="60"/>
    <row r="138" customFormat="1" s="60"/>
    <row r="139" customFormat="1" s="60"/>
    <row r="140" customFormat="1" s="60"/>
    <row r="141" customFormat="1" s="60"/>
    <row r="142" customFormat="1" s="60"/>
    <row r="143" customFormat="1" s="60"/>
    <row r="144" customFormat="1" s="60"/>
    <row r="145" customFormat="1" s="60"/>
    <row r="146" customFormat="1" s="60"/>
    <row r="147" customFormat="1" s="60"/>
    <row r="148" customFormat="1" s="60"/>
    <row r="149" customFormat="1" s="60"/>
    <row r="150" customFormat="1" s="60"/>
    <row r="151" customFormat="1" s="60"/>
    <row r="152" customFormat="1" s="60"/>
    <row r="153" customFormat="1" s="60"/>
    <row r="154" customFormat="1" s="60"/>
    <row r="155" customFormat="1" s="60"/>
    <row r="156" customFormat="1" s="60"/>
    <row r="157" customFormat="1" s="60"/>
    <row r="158" customFormat="1" s="60"/>
    <row r="159" customFormat="1" s="60"/>
    <row r="160" customFormat="1" s="60"/>
    <row r="161" customFormat="1" s="60"/>
    <row r="162" customFormat="1" s="60"/>
    <row r="163" customFormat="1" s="60"/>
    <row r="164" customFormat="1" s="60"/>
    <row r="165" customFormat="1" s="60"/>
    <row r="166" customFormat="1" s="60"/>
    <row r="167" customFormat="1" s="60"/>
    <row r="168" customFormat="1" s="60"/>
    <row r="169" customFormat="1" s="60"/>
    <row r="170" customFormat="1" s="60"/>
    <row r="171" customFormat="1" s="60"/>
    <row r="172" customFormat="1" s="60"/>
    <row r="173" customFormat="1" s="60"/>
    <row r="174" customFormat="1" s="60"/>
    <row r="175" customFormat="1" s="60"/>
    <row r="176" customFormat="1" s="60"/>
    <row r="177" customFormat="1" s="60"/>
    <row r="178" customFormat="1" s="60"/>
    <row r="179" customFormat="1" s="60"/>
    <row r="180" customFormat="1" s="60"/>
    <row r="181" customFormat="1" s="60"/>
    <row r="182" customFormat="1" s="60"/>
    <row r="183" customFormat="1" s="60"/>
    <row r="184" customFormat="1" s="60"/>
    <row r="185" customFormat="1" s="60"/>
    <row r="186" customFormat="1" s="60"/>
    <row r="187" customFormat="1" s="60"/>
    <row r="188" customFormat="1" s="60"/>
    <row r="189" customFormat="1" s="60"/>
    <row r="190" customFormat="1" s="60"/>
    <row r="191" customFormat="1" s="60"/>
    <row r="192" customFormat="1" s="60"/>
    <row r="193" customFormat="1" s="60"/>
    <row r="194" customFormat="1" s="60"/>
    <row r="195" customFormat="1" s="60"/>
    <row r="196" customFormat="1" s="60"/>
    <row r="197" customFormat="1" s="60"/>
    <row r="198" customFormat="1" s="60"/>
    <row r="199" customFormat="1" s="60"/>
    <row r="200" customFormat="1" s="60"/>
    <row r="201" customFormat="1" s="60"/>
    <row r="202" customFormat="1" s="60"/>
    <row r="203" customFormat="1" s="60"/>
    <row r="204" customFormat="1" s="60"/>
    <row r="205" customFormat="1" s="60"/>
    <row r="206" customFormat="1" s="60"/>
    <row r="207" customFormat="1" s="60"/>
    <row r="208" customFormat="1" s="60"/>
    <row r="209" customFormat="1" s="60"/>
    <row r="210" customFormat="1" s="60"/>
    <row r="211" customFormat="1" s="60"/>
    <row r="212" customFormat="1" s="60"/>
    <row r="213" customFormat="1" s="60"/>
    <row r="214" customFormat="1" s="60"/>
    <row r="215" customFormat="1" s="60"/>
    <row r="216" customFormat="1" s="60"/>
    <row r="217" customFormat="1" s="60"/>
    <row r="218" customFormat="1" s="60"/>
    <row r="219" customFormat="1" s="60"/>
    <row r="220" customFormat="1" s="60"/>
    <row r="221" customFormat="1" s="60"/>
    <row r="222" customFormat="1" s="60"/>
    <row r="223" customFormat="1" s="60"/>
    <row r="224" customFormat="1" s="60"/>
    <row r="225" customFormat="1" s="60"/>
    <row r="226" customFormat="1" s="60"/>
    <row r="227" customFormat="1" s="60"/>
    <row r="228" customFormat="1" s="60"/>
    <row r="229" customFormat="1" s="60"/>
    <row r="230" customFormat="1" s="60"/>
    <row r="231" customFormat="1" s="60"/>
    <row r="232" customFormat="1" s="60"/>
    <row r="233" customFormat="1" s="60"/>
    <row r="234" customFormat="1" s="60"/>
    <row r="235" customFormat="1" s="60"/>
    <row r="236" customFormat="1" s="60"/>
    <row r="237" customFormat="1" s="60"/>
    <row r="238" customFormat="1" s="60"/>
    <row r="239" customFormat="1" s="60"/>
    <row r="240" customFormat="1" s="60"/>
    <row r="241" customFormat="1" s="60"/>
    <row r="242" customFormat="1" s="60"/>
    <row r="243" customFormat="1" s="60"/>
    <row r="244" customFormat="1" s="60"/>
    <row r="245" customFormat="1" s="60"/>
    <row r="246" customFormat="1" s="60"/>
    <row r="247" customFormat="1" s="60"/>
    <row r="248" customFormat="1" s="60"/>
    <row r="249" customFormat="1" s="60"/>
    <row r="250" customFormat="1" s="60"/>
    <row r="251" customFormat="1" s="60"/>
    <row r="252" customFormat="1" s="60"/>
    <row r="253" customFormat="1" s="60"/>
    <row r="254" customFormat="1" s="60"/>
    <row r="255" customFormat="1" s="60"/>
    <row r="256" customFormat="1" s="60"/>
    <row r="257" customFormat="1" s="60"/>
    <row r="258" customFormat="1" s="60"/>
    <row r="259" customFormat="1" s="60"/>
    <row r="260" customFormat="1" s="60"/>
    <row r="261" customFormat="1" s="60"/>
    <row r="262" customFormat="1" s="60"/>
    <row r="263" customFormat="1" s="60"/>
    <row r="264" customFormat="1" s="60"/>
    <row r="265" customFormat="1" s="60"/>
    <row r="266" customFormat="1" s="60"/>
    <row r="267" customFormat="1" s="60"/>
    <row r="268" customFormat="1" s="60"/>
    <row r="269" customFormat="1" s="60"/>
    <row r="270" customFormat="1" s="60"/>
    <row r="271" customFormat="1" s="60"/>
    <row r="272" customFormat="1" s="60"/>
    <row r="273" customFormat="1" s="60"/>
    <row r="274" customFormat="1" s="60"/>
    <row r="275" customFormat="1" s="60"/>
    <row r="276" customFormat="1" s="60"/>
    <row r="277" customFormat="1" s="60"/>
    <row r="278" customFormat="1" s="60"/>
    <row r="279" customFormat="1" s="60"/>
    <row r="280" customFormat="1" s="60"/>
    <row r="281" customFormat="1" s="60"/>
    <row r="282" customFormat="1" s="60"/>
    <row r="283" customFormat="1" s="60"/>
    <row r="284" customFormat="1" s="60"/>
    <row r="285" customFormat="1" s="60"/>
    <row r="286" customFormat="1" s="60"/>
    <row r="287" customFormat="1" s="60"/>
    <row r="288" customFormat="1" s="60"/>
    <row r="289" customFormat="1" s="60"/>
    <row r="290" customFormat="1" s="60"/>
    <row r="291" customFormat="1" s="60"/>
    <row r="292" customFormat="1" s="60"/>
    <row r="293" customFormat="1" s="60"/>
    <row r="294" customFormat="1" s="60"/>
    <row r="295" customFormat="1" s="60"/>
    <row r="296" customFormat="1" s="60"/>
    <row r="297" customFormat="1" s="60"/>
    <row r="298" customFormat="1" s="60"/>
    <row r="299" customFormat="1" s="60"/>
    <row r="300" customFormat="1" s="60"/>
    <row r="301" customFormat="1" s="60"/>
    <row r="302" customFormat="1" s="60"/>
    <row r="303" customFormat="1" s="60"/>
    <row r="304" customFormat="1" s="60"/>
    <row r="305" customFormat="1" s="60"/>
    <row r="306" customFormat="1" s="60"/>
    <row r="307" customFormat="1" s="60"/>
    <row r="308" customFormat="1" s="60"/>
    <row r="309" customFormat="1" s="60"/>
    <row r="310" customFormat="1" s="60"/>
    <row r="311" customFormat="1" s="60"/>
    <row r="312" customFormat="1" s="60"/>
    <row r="313" customFormat="1" s="60"/>
    <row r="314" customFormat="1" s="60"/>
    <row r="315" customFormat="1" s="60"/>
    <row r="316" customFormat="1" s="60"/>
    <row r="317" customFormat="1" s="60"/>
    <row r="318" customFormat="1" s="60"/>
    <row r="319" customFormat="1" s="60"/>
    <row r="320" customFormat="1" s="60"/>
    <row r="321" customFormat="1" s="60"/>
    <row r="322" customFormat="1" s="60"/>
    <row r="323" customFormat="1" s="60"/>
    <row r="324" customFormat="1" s="60"/>
    <row r="325" customFormat="1" s="60"/>
    <row r="326" customFormat="1" s="60"/>
    <row r="327" customFormat="1" s="60"/>
    <row r="328" customFormat="1" s="60"/>
    <row r="329" customFormat="1" s="60"/>
    <row r="330" customFormat="1" s="60"/>
    <row r="331" customFormat="1" s="60"/>
    <row r="332" customFormat="1" s="60"/>
    <row r="333" customFormat="1" s="60"/>
    <row r="334" customFormat="1" s="60"/>
    <row r="335" customFormat="1" s="60"/>
    <row r="336" customFormat="1" s="60"/>
    <row r="337" customFormat="1" s="60"/>
    <row r="338" customFormat="1" s="60"/>
    <row r="339" customFormat="1" s="60"/>
    <row r="340" customFormat="1" s="60"/>
    <row r="341" customFormat="1" s="60"/>
    <row r="342" customFormat="1" s="60"/>
    <row r="343" customFormat="1" s="60"/>
    <row r="344" customFormat="1" s="60"/>
    <row r="345" customFormat="1" s="60"/>
    <row r="346" customFormat="1" s="60"/>
    <row r="347" customFormat="1" s="60"/>
  </sheetData>
  <conditionalFormatting sqref="C12:Q95">
    <cfRule type="colorScale" priority="13">
      <colorScale>
        <cfvo type="num" val="45"/>
        <cfvo type="num" val="50"/>
        <cfvo type="num" val="58"/>
        <color rgb="FFF8696B"/>
        <color rgb="FFFFEB84"/>
        <color rgb="FF63BE7B"/>
      </colorScale>
    </cfRule>
    <cfRule type="colorScale" priority="183">
      <colorScale>
        <cfvo type="min"/>
        <cfvo type="percentile" val="50"/>
        <cfvo type="max"/>
        <color rgb="FFF8696B"/>
        <color rgb="FFFFEB84"/>
        <color rgb="FF63BE7B"/>
      </colorScale>
    </cfRule>
  </conditionalFormatting>
  <conditionalFormatting sqref="C6:Q6">
    <cfRule type="containsText" priority="11" operator="containsText" dxfId="7" text="below">
      <formula>NOT(ISERROR(SEARCH("below",C6)))</formula>
    </cfRule>
    <cfRule type="containsText" priority="12" operator="containsText" dxfId="6" text="above">
      <formula>NOT(ISERROR(SEARCH("above",C6)))</formula>
    </cfRule>
  </conditionalFormatting>
  <conditionalFormatting sqref="C8:Q8">
    <cfRule type="cellIs" priority="9" operator="lessThan" dxfId="5">
      <formula>0</formula>
    </cfRule>
    <cfRule type="cellIs" priority="10" operator="greaterThan" dxfId="4">
      <formula>0</formula>
    </cfRule>
  </conditionalFormatting>
  <conditionalFormatting sqref="C9:Q9">
    <cfRule type="cellIs" priority="3" operator="equal" dxfId="3">
      <formula>"Growth"</formula>
    </cfRule>
    <cfRule type="cellIs" priority="4" operator="equal" dxfId="2">
      <formula>"Contraction"</formula>
    </cfRule>
  </conditionalFormatting>
  <conditionalFormatting sqref="C10:Q10">
    <cfRule type="cellIs" priority="1" operator="equal" dxfId="1">
      <formula>"+"</formula>
    </cfRule>
    <cfRule type="cellIs" priority="2" operator="equal" dxfId="0">
      <formula>"-"</formula>
    </cfRule>
  </conditionalFormatting>
  <pageMargins left="0.7" right="0.7" top="0.75" bottom="0.75" header="0.3" footer="0.3"/>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H142"/>
  <sheetViews>
    <sheetView tabSelected="1" zoomScale="160" zoomScaleNormal="160" workbookViewId="0">
      <pane ySplit="5" topLeftCell="A113" activePane="bottomLeft" state="frozen"/>
      <selection pane="bottomLeft" activeCell="R139" sqref="R139"/>
    </sheetView>
  </sheetViews>
  <sheetFormatPr baseColWidth="10" defaultColWidth="9.1640625" defaultRowHeight="15"/>
  <cols>
    <col width="13.5" customWidth="1" style="60" min="1" max="1"/>
    <col width="11.33203125" customWidth="1" style="60" min="2" max="2"/>
    <col width="9.1640625" customWidth="1" style="60" min="3" max="7"/>
    <col width="9.1640625" customWidth="1" style="60" min="8" max="16384"/>
  </cols>
  <sheetData>
    <row r="1">
      <c r="A1" s="60" t="inlineStr">
        <is>
          <t>Global</t>
        </is>
      </c>
    </row>
    <row r="2">
      <c r="H2" s="60" t="inlineStr">
        <is>
          <t>Global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PMI'!$A:$V,MATCH($A$1,'DB Country PMI'!$A$1:$V$1,),)=0,#N/A,VLOOKUP(A6,'DB Country PMI'!$A:$V,MATCH($A$1,'DB Country PMI'!$A$1:$V$1,),))</f>
        <v/>
      </c>
      <c r="C6" s="11" t="n"/>
    </row>
    <row r="7">
      <c r="A7" s="8" t="n">
        <v>40483</v>
      </c>
      <c r="B7" s="11">
        <f>IF(VLOOKUP(A7,'DB Country PMI'!$A:$V,MATCH($A$1,'DB Country PMI'!$A$1:$V$1,),)=0,#N/A,VLOOKUP(A7,'DB Country PMI'!$A:$V,MATCH($A$1,'DB Country PMI'!$A$1:$V$1,),))</f>
        <v/>
      </c>
      <c r="C7" s="14">
        <f>Table1[[#This Row],[PMI]]-B6</f>
        <v/>
      </c>
    </row>
    <row r="8">
      <c r="A8" s="8" t="n">
        <v>40513</v>
      </c>
      <c r="B8" s="11">
        <f>IF(VLOOKUP(A8,'DB Country PMI'!$A:$V,MATCH($A$1,'DB Country PMI'!$A$1:$V$1,),)=0,#N/A,VLOOKUP(A8,'DB Country PMI'!$A:$V,MATCH($A$1,'DB Country PMI'!$A$1:$V$1,),))</f>
        <v/>
      </c>
      <c r="C8" s="14">
        <f>Table1[[#This Row],[PMI]]-B7</f>
        <v/>
      </c>
    </row>
    <row r="9">
      <c r="A9" s="8" t="n">
        <v>40544</v>
      </c>
      <c r="B9" s="11">
        <f>IF(VLOOKUP(A9,'DB Country PMI'!$A:$V,MATCH($A$1,'DB Country PMI'!$A$1:$V$1,),)=0,#N/A,VLOOKUP(A9,'DB Country PMI'!$A:$V,MATCH($A$1,'DB Country PMI'!$A$1:$V$1,),))</f>
        <v/>
      </c>
      <c r="C9" s="14">
        <f>Table1[[#This Row],[PMI]]-B8</f>
        <v/>
      </c>
    </row>
    <row r="10">
      <c r="A10" s="8" t="n">
        <v>40575</v>
      </c>
      <c r="B10" s="11">
        <f>IF(VLOOKUP(A10,'DB Country PMI'!$A:$V,MATCH($A$1,'DB Country PMI'!$A$1:$V$1,),)=0,#N/A,VLOOKUP(A10,'DB Country PMI'!$A:$V,MATCH($A$1,'DB Country PMI'!$A$1:$V$1,),))</f>
        <v/>
      </c>
      <c r="C10" s="14">
        <f>Table1[[#This Row],[PMI]]-B9</f>
        <v/>
      </c>
    </row>
    <row r="11">
      <c r="A11" s="8" t="n">
        <v>40603</v>
      </c>
      <c r="B11" s="11">
        <f>IF(VLOOKUP(A11,'DB Country PMI'!$A:$V,MATCH($A$1,'DB Country PMI'!$A$1:$V$1,),)=0,#N/A,VLOOKUP(A11,'DB Country PMI'!$A:$V,MATCH($A$1,'DB Country PMI'!$A$1:$V$1,),))</f>
        <v/>
      </c>
      <c r="C11" s="14">
        <f>Table1[[#This Row],[PMI]]-B10</f>
        <v/>
      </c>
    </row>
    <row r="12">
      <c r="A12" s="8" t="n">
        <v>40634</v>
      </c>
      <c r="B12" s="11">
        <f>IF(VLOOKUP(A12,'DB Country PMI'!$A:$V,MATCH($A$1,'DB Country PMI'!$A$1:$V$1,),)=0,#N/A,VLOOKUP(A12,'DB Country PMI'!$A:$V,MATCH($A$1,'DB Country PMI'!$A$1:$V$1,),))</f>
        <v/>
      </c>
      <c r="C12" s="14">
        <f>Table1[[#This Row],[PMI]]-B11</f>
        <v/>
      </c>
    </row>
    <row r="13">
      <c r="A13" s="8" t="n">
        <v>40664</v>
      </c>
      <c r="B13" s="11">
        <f>IF(VLOOKUP(A13,'DB Country PMI'!$A:$V,MATCH($A$1,'DB Country PMI'!$A$1:$V$1,),)=0,#N/A,VLOOKUP(A13,'DB Country PMI'!$A:$V,MATCH($A$1,'DB Country PMI'!$A$1:$V$1,),))</f>
        <v/>
      </c>
      <c r="C13" s="14">
        <f>Table1[[#This Row],[PMI]]-B12</f>
        <v/>
      </c>
    </row>
    <row r="14">
      <c r="A14" s="8" t="n">
        <v>40695</v>
      </c>
      <c r="B14" s="11">
        <f>IF(VLOOKUP(A14,'DB Country PMI'!$A:$V,MATCH($A$1,'DB Country PMI'!$A$1:$V$1,),)=0,#N/A,VLOOKUP(A14,'DB Country PMI'!$A:$V,MATCH($A$1,'DB Country PMI'!$A$1:$V$1,),))</f>
        <v/>
      </c>
      <c r="C14" s="14">
        <f>Table1[[#This Row],[PMI]]-B13</f>
        <v/>
      </c>
    </row>
    <row r="15">
      <c r="A15" s="8" t="n">
        <v>40725</v>
      </c>
      <c r="B15" s="11">
        <f>IF(VLOOKUP(A15,'DB Country PMI'!$A:$V,MATCH($A$1,'DB Country PMI'!$A$1:$V$1,),)=0,#N/A,VLOOKUP(A15,'DB Country PMI'!$A:$V,MATCH($A$1,'DB Country PMI'!$A$1:$V$1,),))</f>
        <v/>
      </c>
      <c r="C15" s="14">
        <f>Table1[[#This Row],[PMI]]-B14</f>
        <v/>
      </c>
    </row>
    <row r="16">
      <c r="A16" s="8" t="n">
        <v>40756</v>
      </c>
      <c r="B16" s="11">
        <f>IF(VLOOKUP(A16,'DB Country PMI'!$A:$V,MATCH($A$1,'DB Country PMI'!$A$1:$V$1,),)=0,#N/A,VLOOKUP(A16,'DB Country PMI'!$A:$V,MATCH($A$1,'DB Country PMI'!$A$1:$V$1,),))</f>
        <v/>
      </c>
      <c r="C16" s="14">
        <f>Table1[[#This Row],[PMI]]-B15</f>
        <v/>
      </c>
    </row>
    <row r="17">
      <c r="A17" s="8" t="n">
        <v>40787</v>
      </c>
      <c r="B17" s="11">
        <f>IF(VLOOKUP(A17,'DB Country PMI'!$A:$V,MATCH($A$1,'DB Country PMI'!$A$1:$V$1,),)=0,#N/A,VLOOKUP(A17,'DB Country PMI'!$A:$V,MATCH($A$1,'DB Country PMI'!$A$1:$V$1,),))</f>
        <v/>
      </c>
      <c r="C17" s="14">
        <f>Table1[[#This Row],[PMI]]-B16</f>
        <v/>
      </c>
    </row>
    <row r="18">
      <c r="A18" s="8" t="n">
        <v>40817</v>
      </c>
      <c r="B18" s="11">
        <f>IF(VLOOKUP(A18,'DB Country PMI'!$A:$V,MATCH($A$1,'DB Country PMI'!$A$1:$V$1,),)=0,#N/A,VLOOKUP(A18,'DB Country PMI'!$A:$V,MATCH($A$1,'DB Country PMI'!$A$1:$V$1,),))</f>
        <v/>
      </c>
      <c r="C18" s="14">
        <f>Table1[[#This Row],[PMI]]-B17</f>
        <v/>
      </c>
    </row>
    <row r="19">
      <c r="A19" s="8" t="n">
        <v>40848</v>
      </c>
      <c r="B19" s="11">
        <f>IF(VLOOKUP(A19,'DB Country PMI'!$A:$V,MATCH($A$1,'DB Country PMI'!$A$1:$V$1,),)=0,#N/A,VLOOKUP(A19,'DB Country PMI'!$A:$V,MATCH($A$1,'DB Country PMI'!$A$1:$V$1,),))</f>
        <v/>
      </c>
      <c r="C19" s="14">
        <f>Table1[[#This Row],[PMI]]-B18</f>
        <v/>
      </c>
    </row>
    <row r="20">
      <c r="A20" s="8" t="n">
        <v>40878</v>
      </c>
      <c r="B20" s="11">
        <f>IF(VLOOKUP(A20,'DB Country PMI'!$A:$V,MATCH($A$1,'DB Country PMI'!$A$1:$V$1,),)=0,#N/A,VLOOKUP(A20,'DB Country PMI'!$A:$V,MATCH($A$1,'DB Country PMI'!$A$1:$V$1,),))</f>
        <v/>
      </c>
      <c r="C20" s="14">
        <f>Table1[[#This Row],[PMI]]-B19</f>
        <v/>
      </c>
    </row>
    <row r="21">
      <c r="A21" s="8" t="n">
        <v>40909</v>
      </c>
      <c r="B21" s="11">
        <f>IF(VLOOKUP(A21,'DB Country PMI'!$A:$V,MATCH($A$1,'DB Country PMI'!$A$1:$V$1,),)=0,#N/A,VLOOKUP(A21,'DB Country PMI'!$A:$V,MATCH($A$1,'DB Country PMI'!$A$1:$V$1,),))</f>
        <v/>
      </c>
      <c r="C21" s="14">
        <f>Table1[[#This Row],[PMI]]-B20</f>
        <v/>
      </c>
    </row>
    <row r="22">
      <c r="A22" s="8" t="n">
        <v>40940</v>
      </c>
      <c r="B22" s="11">
        <f>IF(VLOOKUP(A22,'DB Country PMI'!$A:$V,MATCH($A$1,'DB Country PMI'!$A$1:$V$1,),)=0,#N/A,VLOOKUP(A22,'DB Country PMI'!$A:$V,MATCH($A$1,'DB Country PMI'!$A$1:$V$1,),))</f>
        <v/>
      </c>
      <c r="C22" s="14">
        <f>Table1[[#This Row],[PMI]]-B21</f>
        <v/>
      </c>
    </row>
    <row r="23">
      <c r="A23" s="8" t="n">
        <v>40969</v>
      </c>
      <c r="B23" s="11">
        <f>IF(VLOOKUP(A23,'DB Country PMI'!$A:$V,MATCH($A$1,'DB Country PMI'!$A$1:$V$1,),)=0,#N/A,VLOOKUP(A23,'DB Country PMI'!$A:$V,MATCH($A$1,'DB Country PMI'!$A$1:$V$1,),))</f>
        <v/>
      </c>
      <c r="C23" s="14">
        <f>Table1[[#This Row],[PMI]]-B22</f>
        <v/>
      </c>
    </row>
    <row r="24">
      <c r="A24" s="8" t="n">
        <v>41000</v>
      </c>
      <c r="B24" s="11">
        <f>IF(VLOOKUP(A24,'DB Country PMI'!$A:$V,MATCH($A$1,'DB Country PMI'!$A$1:$V$1,),)=0,#N/A,VLOOKUP(A24,'DB Country PMI'!$A:$V,MATCH($A$1,'DB Country PMI'!$A$1:$V$1,),))</f>
        <v/>
      </c>
      <c r="C24" s="14">
        <f>Table1[[#This Row],[PMI]]-B23</f>
        <v/>
      </c>
    </row>
    <row r="25">
      <c r="A25" s="8" t="n">
        <v>41030</v>
      </c>
      <c r="B25" s="11">
        <f>IF(VLOOKUP(A25,'DB Country PMI'!$A:$V,MATCH($A$1,'DB Country PMI'!$A$1:$V$1,),)=0,#N/A,VLOOKUP(A25,'DB Country PMI'!$A:$V,MATCH($A$1,'DB Country PMI'!$A$1:$V$1,),))</f>
        <v/>
      </c>
      <c r="C25" s="14">
        <f>Table1[[#This Row],[PMI]]-B24</f>
        <v/>
      </c>
    </row>
    <row r="26">
      <c r="A26" s="8" t="n">
        <v>41061</v>
      </c>
      <c r="B26" s="11">
        <f>IF(VLOOKUP(A26,'DB Country PMI'!$A:$V,MATCH($A$1,'DB Country PMI'!$A$1:$V$1,),)=0,#N/A,VLOOKUP(A26,'DB Country PMI'!$A:$V,MATCH($A$1,'DB Country PMI'!$A$1:$V$1,),))</f>
        <v/>
      </c>
      <c r="C26" s="14">
        <f>Table1[[#This Row],[PMI]]-B25</f>
        <v/>
      </c>
    </row>
    <row r="27">
      <c r="A27" s="8" t="n">
        <v>41091</v>
      </c>
      <c r="B27" s="11">
        <f>IF(VLOOKUP(A27,'DB Country PMI'!$A:$V,MATCH($A$1,'DB Country PMI'!$A$1:$V$1,),)=0,#N/A,VLOOKUP(A27,'DB Country PMI'!$A:$V,MATCH($A$1,'DB Country PMI'!$A$1:$V$1,),))</f>
        <v/>
      </c>
      <c r="C27" s="14">
        <f>Table1[[#This Row],[PMI]]-B26</f>
        <v/>
      </c>
    </row>
    <row r="28">
      <c r="A28" s="8" t="n">
        <v>41122</v>
      </c>
      <c r="B28" s="11">
        <f>IF(VLOOKUP(A28,'DB Country PMI'!$A:$V,MATCH($A$1,'DB Country PMI'!$A$1:$V$1,),)=0,#N/A,VLOOKUP(A28,'DB Country PMI'!$A:$V,MATCH($A$1,'DB Country PMI'!$A$1:$V$1,),))</f>
        <v/>
      </c>
      <c r="C28" s="14">
        <f>Table1[[#This Row],[PMI]]-B27</f>
        <v/>
      </c>
    </row>
    <row r="29">
      <c r="A29" s="8" t="n">
        <v>41153</v>
      </c>
      <c r="B29" s="11">
        <f>IF(VLOOKUP(A29,'DB Country PMI'!$A:$V,MATCH($A$1,'DB Country PMI'!$A$1:$V$1,),)=0,#N/A,VLOOKUP(A29,'DB Country PMI'!$A:$V,MATCH($A$1,'DB Country PMI'!$A$1:$V$1,),))</f>
        <v/>
      </c>
      <c r="C29" s="14">
        <f>Table1[[#This Row],[PMI]]-B28</f>
        <v/>
      </c>
    </row>
    <row r="30">
      <c r="A30" s="8" t="n">
        <v>41183</v>
      </c>
      <c r="B30" s="11">
        <f>IF(VLOOKUP(A30,'DB Country PMI'!$A:$V,MATCH($A$1,'DB Country PMI'!$A$1:$V$1,),)=0,#N/A,VLOOKUP(A30,'DB Country PMI'!$A:$V,MATCH($A$1,'DB Country PMI'!$A$1:$V$1,),))</f>
        <v/>
      </c>
      <c r="C30" s="14">
        <f>Table1[[#This Row],[PMI]]-B29</f>
        <v/>
      </c>
    </row>
    <row r="31">
      <c r="A31" s="8" t="n">
        <v>41214</v>
      </c>
      <c r="B31" s="11">
        <f>IF(VLOOKUP(A31,'DB Country PMI'!$A:$V,MATCH($A$1,'DB Country PMI'!$A$1:$V$1,),)=0,#N/A,VLOOKUP(A31,'DB Country PMI'!$A:$V,MATCH($A$1,'DB Country PMI'!$A$1:$V$1,),))</f>
        <v/>
      </c>
      <c r="C31" s="14">
        <f>Table1[[#This Row],[PMI]]-B30</f>
        <v/>
      </c>
    </row>
    <row r="32">
      <c r="A32" s="8" t="n">
        <v>41244</v>
      </c>
      <c r="B32" s="11">
        <f>IF(VLOOKUP(A32,'DB Country PMI'!$A:$V,MATCH($A$1,'DB Country PMI'!$A$1:$V$1,),)=0,#N/A,VLOOKUP(A32,'DB Country PMI'!$A:$V,MATCH($A$1,'DB Country PMI'!$A$1:$V$1,),))</f>
        <v/>
      </c>
      <c r="C32" s="14">
        <f>Table1[[#This Row],[PMI]]-B31</f>
        <v/>
      </c>
    </row>
    <row r="33">
      <c r="A33" s="8" t="n">
        <v>41275</v>
      </c>
      <c r="B33" s="11">
        <f>IF(VLOOKUP(A33,'DB Country PMI'!$A:$V,MATCH($A$1,'DB Country PMI'!$A$1:$V$1,),)=0,#N/A,VLOOKUP(A33,'DB Country PMI'!$A:$V,MATCH($A$1,'DB Country PMI'!$A$1:$V$1,),))</f>
        <v/>
      </c>
      <c r="C33" s="14">
        <f>Table1[[#This Row],[PMI]]-B32</f>
        <v/>
      </c>
    </row>
    <row r="34">
      <c r="A34" s="8" t="n">
        <v>41306</v>
      </c>
      <c r="B34" s="11">
        <f>IF(VLOOKUP(A34,'DB Country PMI'!$A:$V,MATCH($A$1,'DB Country PMI'!$A$1:$V$1,),)=0,#N/A,VLOOKUP(A34,'DB Country PMI'!$A:$V,MATCH($A$1,'DB Country PMI'!$A$1:$V$1,),))</f>
        <v/>
      </c>
      <c r="C34" s="14">
        <f>Table1[[#This Row],[PMI]]-B33</f>
        <v/>
      </c>
    </row>
    <row r="35">
      <c r="A35" s="8" t="n">
        <v>41334</v>
      </c>
      <c r="B35" s="11">
        <f>IF(VLOOKUP(A35,'DB Country PMI'!$A:$V,MATCH($A$1,'DB Country PMI'!$A$1:$V$1,),)=0,#N/A,VLOOKUP(A35,'DB Country PMI'!$A:$V,MATCH($A$1,'DB Country PMI'!$A$1:$V$1,),))</f>
        <v/>
      </c>
      <c r="C35" s="14">
        <f>Table1[[#This Row],[PMI]]-B34</f>
        <v/>
      </c>
    </row>
    <row r="36">
      <c r="A36" s="8" t="n">
        <v>41365</v>
      </c>
      <c r="B36" s="11">
        <f>IF(VLOOKUP(A36,'DB Country PMI'!$A:$V,MATCH($A$1,'DB Country PMI'!$A$1:$V$1,),)=0,#N/A,VLOOKUP(A36,'DB Country PMI'!$A:$V,MATCH($A$1,'DB Country PMI'!$A$1:$V$1,),))</f>
        <v/>
      </c>
      <c r="C36" s="14">
        <f>Table1[[#This Row],[PMI]]-B35</f>
        <v/>
      </c>
    </row>
    <row r="37">
      <c r="A37" s="8" t="n">
        <v>41395</v>
      </c>
      <c r="B37" s="11">
        <f>IF(VLOOKUP(A37,'DB Country PMI'!$A:$V,MATCH($A$1,'DB Country PMI'!$A$1:$V$1,),)=0,#N/A,VLOOKUP(A37,'DB Country PMI'!$A:$V,MATCH($A$1,'DB Country PMI'!$A$1:$V$1,),))</f>
        <v/>
      </c>
      <c r="C37" s="14">
        <f>Table1[[#This Row],[PMI]]-B36</f>
        <v/>
      </c>
    </row>
    <row r="38">
      <c r="A38" s="8" t="n">
        <v>41426</v>
      </c>
      <c r="B38" s="11">
        <f>IF(VLOOKUP(A38,'DB Country PMI'!$A:$V,MATCH($A$1,'DB Country PMI'!$A$1:$V$1,),)=0,#N/A,VLOOKUP(A38,'DB Country PMI'!$A:$V,MATCH($A$1,'DB Country PMI'!$A$1:$V$1,),))</f>
        <v/>
      </c>
      <c r="C38" s="14">
        <f>Table1[[#This Row],[PMI]]-B37</f>
        <v/>
      </c>
    </row>
    <row r="39">
      <c r="A39" s="8" t="n">
        <v>41456</v>
      </c>
      <c r="B39" s="11">
        <f>IF(VLOOKUP(A39,'DB Country PMI'!$A:$V,MATCH($A$1,'DB Country PMI'!$A$1:$V$1,),)=0,#N/A,VLOOKUP(A39,'DB Country PMI'!$A:$V,MATCH($A$1,'DB Country PMI'!$A$1:$V$1,),))</f>
        <v/>
      </c>
      <c r="C39" s="14">
        <f>Table1[[#This Row],[PMI]]-B38</f>
        <v/>
      </c>
    </row>
    <row r="40">
      <c r="A40" s="8" t="n">
        <v>41487</v>
      </c>
      <c r="B40" s="11">
        <f>IF(VLOOKUP(A40,'DB Country PMI'!$A:$V,MATCH($A$1,'DB Country PMI'!$A$1:$V$1,),)=0,#N/A,VLOOKUP(A40,'DB Country PMI'!$A:$V,MATCH($A$1,'DB Country PMI'!$A$1:$V$1,),))</f>
        <v/>
      </c>
      <c r="C40" s="14">
        <f>Table1[[#This Row],[PMI]]-B39</f>
        <v/>
      </c>
    </row>
    <row r="41">
      <c r="A41" s="8" t="n">
        <v>41518</v>
      </c>
      <c r="B41" s="11">
        <f>IF(VLOOKUP(A41,'DB Country PMI'!$A:$V,MATCH($A$1,'DB Country PMI'!$A$1:$V$1,),)=0,#N/A,VLOOKUP(A41,'DB Country PMI'!$A:$V,MATCH($A$1,'DB Country PMI'!$A$1:$V$1,),))</f>
        <v/>
      </c>
      <c r="C41" s="14">
        <f>Table1[[#This Row],[PMI]]-B40</f>
        <v/>
      </c>
    </row>
    <row r="42">
      <c r="A42" s="8" t="n">
        <v>41548</v>
      </c>
      <c r="B42" s="11">
        <f>IF(VLOOKUP(A42,'DB Country PMI'!$A:$V,MATCH($A$1,'DB Country PMI'!$A$1:$V$1,),)=0,#N/A,VLOOKUP(A42,'DB Country PMI'!$A:$V,MATCH($A$1,'DB Country PMI'!$A$1:$V$1,),))</f>
        <v/>
      </c>
      <c r="C42" s="14">
        <f>Table1[[#This Row],[PMI]]-B41</f>
        <v/>
      </c>
    </row>
    <row r="43">
      <c r="A43" s="8" t="n">
        <v>41579</v>
      </c>
      <c r="B43" s="11">
        <f>IF(VLOOKUP(A43,'DB Country PMI'!$A:$V,MATCH($A$1,'DB Country PMI'!$A$1:$V$1,),)=0,#N/A,VLOOKUP(A43,'DB Country PMI'!$A:$V,MATCH($A$1,'DB Country PMI'!$A$1:$V$1,),))</f>
        <v/>
      </c>
      <c r="C43" s="14">
        <f>Table1[[#This Row],[PMI]]-B42</f>
        <v/>
      </c>
    </row>
    <row r="44">
      <c r="A44" s="8" t="n">
        <v>41609</v>
      </c>
      <c r="B44" s="11">
        <f>IF(VLOOKUP(A44,'DB Country PMI'!$A:$V,MATCH($A$1,'DB Country PMI'!$A$1:$V$1,),)=0,#N/A,VLOOKUP(A44,'DB Country PMI'!$A:$V,MATCH($A$1,'DB Country PMI'!$A$1:$V$1,),))</f>
        <v/>
      </c>
      <c r="C44" s="14">
        <f>Table1[[#This Row],[PMI]]-B43</f>
        <v/>
      </c>
    </row>
    <row r="45">
      <c r="A45" s="8" t="n">
        <v>41640</v>
      </c>
      <c r="B45" s="11">
        <f>IF(VLOOKUP(A45,'DB Country PMI'!$A:$V,MATCH($A$1,'DB Country PMI'!$A$1:$V$1,),)=0,#N/A,VLOOKUP(A45,'DB Country PMI'!$A:$V,MATCH($A$1,'DB Country PMI'!$A$1:$V$1,),))</f>
        <v/>
      </c>
      <c r="C45" s="14">
        <f>Table1[[#This Row],[PMI]]-B44</f>
        <v/>
      </c>
    </row>
    <row r="46">
      <c r="A46" s="8" t="n">
        <v>41671</v>
      </c>
      <c r="B46" s="11">
        <f>IF(VLOOKUP(A46,'DB Country PMI'!$A:$V,MATCH($A$1,'DB Country PMI'!$A$1:$V$1,),)=0,#N/A,VLOOKUP(A46,'DB Country PMI'!$A:$V,MATCH($A$1,'DB Country PMI'!$A$1:$V$1,),))</f>
        <v/>
      </c>
      <c r="C46" s="14">
        <f>Table1[[#This Row],[PMI]]-B45</f>
        <v/>
      </c>
    </row>
    <row r="47">
      <c r="A47" s="8" t="n">
        <v>41699</v>
      </c>
      <c r="B47" s="11">
        <f>IF(VLOOKUP(A47,'DB Country PMI'!$A:$V,MATCH($A$1,'DB Country PMI'!$A$1:$V$1,),)=0,#N/A,VLOOKUP(A47,'DB Country PMI'!$A:$V,MATCH($A$1,'DB Country PMI'!$A$1:$V$1,),))</f>
        <v/>
      </c>
      <c r="C47" s="14">
        <f>Table1[[#This Row],[PMI]]-B46</f>
        <v/>
      </c>
    </row>
    <row r="48">
      <c r="A48" s="8" t="n">
        <v>41730</v>
      </c>
      <c r="B48" s="11">
        <f>IF(VLOOKUP(A48,'DB Country PMI'!$A:$V,MATCH($A$1,'DB Country PMI'!$A$1:$V$1,),)=0,#N/A,VLOOKUP(A48,'DB Country PMI'!$A:$V,MATCH($A$1,'DB Country PMI'!$A$1:$V$1,),))</f>
        <v/>
      </c>
      <c r="C48" s="14">
        <f>Table1[[#This Row],[PMI]]-B47</f>
        <v/>
      </c>
    </row>
    <row r="49">
      <c r="A49" s="8" t="n">
        <v>41760</v>
      </c>
      <c r="B49" s="11">
        <f>IF(VLOOKUP(A49,'DB Country PMI'!$A:$V,MATCH($A$1,'DB Country PMI'!$A$1:$V$1,),)=0,#N/A,VLOOKUP(A49,'DB Country PMI'!$A:$V,MATCH($A$1,'DB Country PMI'!$A$1:$V$1,),))</f>
        <v/>
      </c>
      <c r="C49" s="14">
        <f>Table1[[#This Row],[PMI]]-B48</f>
        <v/>
      </c>
    </row>
    <row r="50">
      <c r="A50" s="8" t="n">
        <v>41791</v>
      </c>
      <c r="B50" s="11">
        <f>IF(VLOOKUP(A50,'DB Country PMI'!$A:$V,MATCH($A$1,'DB Country PMI'!$A$1:$V$1,),)=0,#N/A,VLOOKUP(A50,'DB Country PMI'!$A:$V,MATCH($A$1,'DB Country PMI'!$A$1:$V$1,),))</f>
        <v/>
      </c>
      <c r="C50" s="14">
        <f>Table1[[#This Row],[PMI]]-B49</f>
        <v/>
      </c>
    </row>
    <row r="51">
      <c r="A51" s="8" t="n">
        <v>41821</v>
      </c>
      <c r="B51" s="11">
        <f>IF(VLOOKUP(A51,'DB Country PMI'!$A:$V,MATCH($A$1,'DB Country PMI'!$A$1:$V$1,),)=0,#N/A,VLOOKUP(A51,'DB Country PMI'!$A:$V,MATCH($A$1,'DB Country PMI'!$A$1:$V$1,),))</f>
        <v/>
      </c>
      <c r="C51" s="14">
        <f>Table1[[#This Row],[PMI]]-B50</f>
        <v/>
      </c>
    </row>
    <row r="52">
      <c r="A52" s="8" t="n">
        <v>41852</v>
      </c>
      <c r="B52" s="11">
        <f>IF(VLOOKUP(A52,'DB Country PMI'!$A:$V,MATCH($A$1,'DB Country PMI'!$A$1:$V$1,),)=0,#N/A,VLOOKUP(A52,'DB Country PMI'!$A:$V,MATCH($A$1,'DB Country PMI'!$A$1:$V$1,),))</f>
        <v/>
      </c>
      <c r="C52" s="14">
        <f>Table1[[#This Row],[PMI]]-B51</f>
        <v/>
      </c>
    </row>
    <row r="53">
      <c r="A53" s="8" t="n">
        <v>41883</v>
      </c>
      <c r="B53" s="11">
        <f>IF(VLOOKUP(A53,'DB Country PMI'!$A:$V,MATCH($A$1,'DB Country PMI'!$A$1:$V$1,),)=0,#N/A,VLOOKUP(A53,'DB Country PMI'!$A:$V,MATCH($A$1,'DB Country PMI'!$A$1:$V$1,),))</f>
        <v/>
      </c>
      <c r="C53" s="14">
        <f>Table1[[#This Row],[PMI]]-B52</f>
        <v/>
      </c>
    </row>
    <row r="54">
      <c r="A54" s="8" t="n">
        <v>41913</v>
      </c>
      <c r="B54" s="11">
        <f>IF(VLOOKUP(A54,'DB Country PMI'!$A:$V,MATCH($A$1,'DB Country PMI'!$A$1:$V$1,),)=0,#N/A,VLOOKUP(A54,'DB Country PMI'!$A:$V,MATCH($A$1,'DB Country PMI'!$A$1:$V$1,),))</f>
        <v/>
      </c>
      <c r="C54" s="14">
        <f>Table1[[#This Row],[PMI]]-B53</f>
        <v/>
      </c>
    </row>
    <row r="55">
      <c r="A55" s="8" t="n">
        <v>41944</v>
      </c>
      <c r="B55" s="11">
        <f>IF(VLOOKUP(A55,'DB Country PMI'!$A:$V,MATCH($A$1,'DB Country PMI'!$A$1:$V$1,),)=0,#N/A,VLOOKUP(A55,'DB Country PMI'!$A:$V,MATCH($A$1,'DB Country PMI'!$A$1:$V$1,),))</f>
        <v/>
      </c>
      <c r="C55" s="14">
        <f>Table1[[#This Row],[PMI]]-B54</f>
        <v/>
      </c>
    </row>
    <row r="56">
      <c r="A56" s="8" t="n">
        <v>41974</v>
      </c>
      <c r="B56" s="11">
        <f>IF(VLOOKUP(A56,'DB Country PMI'!$A:$V,MATCH($A$1,'DB Country PMI'!$A$1:$V$1,),)=0,#N/A,VLOOKUP(A56,'DB Country PMI'!$A:$V,MATCH($A$1,'DB Country PMI'!$A$1:$V$1,),))</f>
        <v/>
      </c>
      <c r="C56" s="14">
        <f>Table1[[#This Row],[PMI]]-B55</f>
        <v/>
      </c>
    </row>
    <row r="57">
      <c r="A57" s="8" t="n">
        <v>42005</v>
      </c>
      <c r="B57" s="11">
        <f>IF(VLOOKUP(A57,'DB Country PMI'!$A:$V,MATCH($A$1,'DB Country PMI'!$A$1:$V$1,),)=0,#N/A,VLOOKUP(A57,'DB Country PMI'!$A:$V,MATCH($A$1,'DB Country PMI'!$A$1:$V$1,),))</f>
        <v/>
      </c>
      <c r="C57" s="14">
        <f>Table1[[#This Row],[PMI]]-B56</f>
        <v/>
      </c>
    </row>
    <row r="58">
      <c r="A58" s="8" t="n">
        <v>42036</v>
      </c>
      <c r="B58" s="11">
        <f>IF(VLOOKUP(A58,'DB Country PMI'!$A:$V,MATCH($A$1,'DB Country PMI'!$A$1:$V$1,),)=0,#N/A,VLOOKUP(A58,'DB Country PMI'!$A:$V,MATCH($A$1,'DB Country PMI'!$A$1:$V$1,),))</f>
        <v/>
      </c>
      <c r="C58" s="14">
        <f>Table1[[#This Row],[PMI]]-B57</f>
        <v/>
      </c>
    </row>
    <row r="59">
      <c r="A59" s="8" t="n">
        <v>42064</v>
      </c>
      <c r="B59" s="11">
        <f>IF(VLOOKUP(A59,'DB Country PMI'!$A:$V,MATCH($A$1,'DB Country PMI'!$A$1:$V$1,),)=0,#N/A,VLOOKUP(A59,'DB Country PMI'!$A:$V,MATCH($A$1,'DB Country PMI'!$A$1:$V$1,),))</f>
        <v/>
      </c>
      <c r="C59" s="14">
        <f>Table1[[#This Row],[PMI]]-B58</f>
        <v/>
      </c>
    </row>
    <row r="60">
      <c r="A60" s="8" t="n">
        <v>42095</v>
      </c>
      <c r="B60" s="11">
        <f>IF(VLOOKUP(A60,'DB Country PMI'!$A:$V,MATCH($A$1,'DB Country PMI'!$A$1:$V$1,),)=0,#N/A,VLOOKUP(A60,'DB Country PMI'!$A:$V,MATCH($A$1,'DB Country PMI'!$A$1:$V$1,),))</f>
        <v/>
      </c>
      <c r="C60" s="14">
        <f>Table1[[#This Row],[PMI]]-B59</f>
        <v/>
      </c>
    </row>
    <row r="61">
      <c r="A61" s="8" t="n">
        <v>42125</v>
      </c>
      <c r="B61" s="11">
        <f>IF(VLOOKUP(A61,'DB Country PMI'!$A:$V,MATCH($A$1,'DB Country PMI'!$A$1:$V$1,),)=0,#N/A,VLOOKUP(A61,'DB Country PMI'!$A:$V,MATCH($A$1,'DB Country PMI'!$A$1:$V$1,),))</f>
        <v/>
      </c>
      <c r="C61" s="14">
        <f>Table1[[#This Row],[PMI]]-B60</f>
        <v/>
      </c>
    </row>
    <row r="62">
      <c r="A62" s="8" t="n">
        <v>42156</v>
      </c>
      <c r="B62" s="11">
        <f>IF(VLOOKUP(A62,'DB Country PMI'!$A:$V,MATCH($A$1,'DB Country PMI'!$A$1:$V$1,),)=0,#N/A,VLOOKUP(A62,'DB Country PMI'!$A:$V,MATCH($A$1,'DB Country PMI'!$A$1:$V$1,),))</f>
        <v/>
      </c>
      <c r="C62" s="14">
        <f>Table1[[#This Row],[PMI]]-B61</f>
        <v/>
      </c>
    </row>
    <row r="63">
      <c r="A63" s="8" t="n">
        <v>42186</v>
      </c>
      <c r="B63" s="11">
        <f>IF(VLOOKUP(A63,'DB Country PMI'!$A:$V,MATCH($A$1,'DB Country PMI'!$A$1:$V$1,),)=0,#N/A,VLOOKUP(A63,'DB Country PMI'!$A:$V,MATCH($A$1,'DB Country PMI'!$A$1:$V$1,),))</f>
        <v/>
      </c>
      <c r="C63" s="14">
        <f>Table1[[#This Row],[PMI]]-B62</f>
        <v/>
      </c>
    </row>
    <row r="64">
      <c r="A64" s="8" t="n">
        <v>42217</v>
      </c>
      <c r="B64" s="11">
        <f>IF(VLOOKUP(A64,'DB Country PMI'!$A:$V,MATCH($A$1,'DB Country PMI'!$A$1:$V$1,),)=0,#N/A,VLOOKUP(A64,'DB Country PMI'!$A:$V,MATCH($A$1,'DB Country PMI'!$A$1:$V$1,),))</f>
        <v/>
      </c>
      <c r="C64" s="14">
        <f>Table1[[#This Row],[PMI]]-B63</f>
        <v/>
      </c>
    </row>
    <row r="65">
      <c r="A65" s="8" t="n">
        <v>42248</v>
      </c>
      <c r="B65" s="11">
        <f>IF(VLOOKUP(A65,'DB Country PMI'!$A:$V,MATCH($A$1,'DB Country PMI'!$A$1:$V$1,),)=0,#N/A,VLOOKUP(A65,'DB Country PMI'!$A:$V,MATCH($A$1,'DB Country PMI'!$A$1:$V$1,),))</f>
        <v/>
      </c>
      <c r="C65" s="14">
        <f>Table1[[#This Row],[PMI]]-B64</f>
        <v/>
      </c>
    </row>
    <row r="66">
      <c r="A66" s="8" t="n">
        <v>42278</v>
      </c>
      <c r="B66" s="11">
        <f>IF(VLOOKUP(A66,'DB Country PMI'!$A:$V,MATCH($A$1,'DB Country PMI'!$A$1:$V$1,),)=0,#N/A,VLOOKUP(A66,'DB Country PMI'!$A:$V,MATCH($A$1,'DB Country PMI'!$A$1:$V$1,),))</f>
        <v/>
      </c>
      <c r="C66" s="14">
        <f>Table1[[#This Row],[PMI]]-B65</f>
        <v/>
      </c>
    </row>
    <row r="67">
      <c r="A67" s="8" t="n">
        <v>42309</v>
      </c>
      <c r="B67" s="11">
        <f>IF(VLOOKUP(A67,'DB Country PMI'!$A:$V,MATCH($A$1,'DB Country PMI'!$A$1:$V$1,),)=0,#N/A,VLOOKUP(A67,'DB Country PMI'!$A:$V,MATCH($A$1,'DB Country PMI'!$A$1:$V$1,),))</f>
        <v/>
      </c>
      <c r="C67" s="14">
        <f>Table1[[#This Row],[PMI]]-B66</f>
        <v/>
      </c>
    </row>
    <row r="68">
      <c r="A68" s="8" t="n">
        <v>42339</v>
      </c>
      <c r="B68" s="11">
        <f>IF(VLOOKUP(A68,'DB Country PMI'!$A:$V,MATCH($A$1,'DB Country PMI'!$A$1:$V$1,),)=0,#N/A,VLOOKUP(A68,'DB Country PMI'!$A:$V,MATCH($A$1,'DB Country PMI'!$A$1:$V$1,),))</f>
        <v/>
      </c>
      <c r="C68" s="14">
        <f>Table1[[#This Row],[PMI]]-B67</f>
        <v/>
      </c>
    </row>
    <row r="69">
      <c r="A69" s="8" t="n">
        <v>42370</v>
      </c>
      <c r="B69" s="11">
        <f>IF(VLOOKUP(A69,'DB Country PMI'!$A:$V,MATCH($A$1,'DB Country PMI'!$A$1:$V$1,),)=0,#N/A,VLOOKUP(A69,'DB Country PMI'!$A:$V,MATCH($A$1,'DB Country PMI'!$A$1:$V$1,),))</f>
        <v/>
      </c>
      <c r="C69" s="14">
        <f>Table1[[#This Row],[PMI]]-B68</f>
        <v/>
      </c>
    </row>
    <row r="70">
      <c r="A70" s="8" t="n">
        <v>42401</v>
      </c>
      <c r="B70" s="11">
        <f>IF(VLOOKUP(A70,'DB Country PMI'!$A:$V,MATCH($A$1,'DB Country PMI'!$A$1:$V$1,),)=0,#N/A,VLOOKUP(A70,'DB Country PMI'!$A:$V,MATCH($A$1,'DB Country PMI'!$A$1:$V$1,),))</f>
        <v/>
      </c>
      <c r="C70" s="14">
        <f>Table1[[#This Row],[PMI]]-B69</f>
        <v/>
      </c>
    </row>
    <row r="71">
      <c r="A71" s="8" t="n">
        <v>42430</v>
      </c>
      <c r="B71" s="11">
        <f>IF(VLOOKUP(A71,'DB Country PMI'!$A:$V,MATCH($A$1,'DB Country PMI'!$A$1:$V$1,),)=0,#N/A,VLOOKUP(A71,'DB Country PMI'!$A:$V,MATCH($A$1,'DB Country PMI'!$A$1:$V$1,),))</f>
        <v/>
      </c>
      <c r="C71" s="14">
        <f>Table1[[#This Row],[PMI]]-B70</f>
        <v/>
      </c>
    </row>
    <row r="72">
      <c r="A72" s="8" t="n">
        <v>42461</v>
      </c>
      <c r="B72" s="11">
        <f>IF(VLOOKUP(A72,'DB Country PMI'!$A:$V,MATCH($A$1,'DB Country PMI'!$A$1:$V$1,),)=0,#N/A,VLOOKUP(A72,'DB Country PMI'!$A:$V,MATCH($A$1,'DB Country PMI'!$A$1:$V$1,),))</f>
        <v/>
      </c>
      <c r="C72" s="14">
        <f>Table1[[#This Row],[PMI]]-B71</f>
        <v/>
      </c>
    </row>
    <row r="73">
      <c r="A73" s="8" t="n">
        <v>42491</v>
      </c>
      <c r="B73" s="11">
        <f>IF(VLOOKUP(A73,'DB Country PMI'!$A:$V,MATCH($A$1,'DB Country PMI'!$A$1:$V$1,),)=0,#N/A,VLOOKUP(A73,'DB Country PMI'!$A:$V,MATCH($A$1,'DB Country PMI'!$A$1:$V$1,),))</f>
        <v/>
      </c>
      <c r="C73" s="14">
        <f>Table1[[#This Row],[PMI]]-B72</f>
        <v/>
      </c>
    </row>
    <row r="74">
      <c r="A74" s="8" t="n">
        <v>42522</v>
      </c>
      <c r="B74" s="11">
        <f>IF(VLOOKUP(A74,'DB Country PMI'!$A:$V,MATCH($A$1,'DB Country PMI'!$A$1:$V$1,),)=0,#N/A,VLOOKUP(A74,'DB Country PMI'!$A:$V,MATCH($A$1,'DB Country PMI'!$A$1:$V$1,),))</f>
        <v/>
      </c>
      <c r="C74" s="14">
        <f>Table1[[#This Row],[PMI]]-B73</f>
        <v/>
      </c>
    </row>
    <row r="75">
      <c r="A75" s="8" t="n">
        <v>42552</v>
      </c>
      <c r="B75" s="11">
        <f>IF(VLOOKUP(A75,'DB Country PMI'!$A:$V,MATCH($A$1,'DB Country PMI'!$A$1:$V$1,),)=0,#N/A,VLOOKUP(A75,'DB Country PMI'!$A:$V,MATCH($A$1,'DB Country PMI'!$A$1:$V$1,),))</f>
        <v/>
      </c>
      <c r="C75" s="14">
        <f>Table1[[#This Row],[PMI]]-B74</f>
        <v/>
      </c>
    </row>
    <row r="76">
      <c r="A76" s="8" t="n">
        <v>42583</v>
      </c>
      <c r="B76" s="11">
        <f>IF(VLOOKUP(A76,'DB Country PMI'!$A:$V,MATCH($A$1,'DB Country PMI'!$A$1:$V$1,),)=0,#N/A,VLOOKUP(A76,'DB Country PMI'!$A:$V,MATCH($A$1,'DB Country PMI'!$A$1:$V$1,),))</f>
        <v/>
      </c>
      <c r="C76" s="14">
        <f>Table1[[#This Row],[PMI]]-B75</f>
        <v/>
      </c>
    </row>
    <row r="77">
      <c r="A77" s="8" t="n">
        <v>42614</v>
      </c>
      <c r="B77" s="11">
        <f>IF(VLOOKUP(A77,'DB Country PMI'!$A:$V,MATCH($A$1,'DB Country PMI'!$A$1:$V$1,),)=0,#N/A,VLOOKUP(A77,'DB Country PMI'!$A:$V,MATCH($A$1,'DB Country PMI'!$A$1:$V$1,),))</f>
        <v/>
      </c>
      <c r="C77" s="14">
        <f>Table1[[#This Row],[PMI]]-B76</f>
        <v/>
      </c>
    </row>
    <row r="78">
      <c r="A78" s="8" t="n">
        <v>42644</v>
      </c>
      <c r="B78" s="11">
        <f>IF(VLOOKUP(A78,'DB Country PMI'!$A:$V,MATCH($A$1,'DB Country PMI'!$A$1:$V$1,),)=0,#N/A,VLOOKUP(A78,'DB Country PMI'!$A:$V,MATCH($A$1,'DB Country PMI'!$A$1:$V$1,),))</f>
        <v/>
      </c>
      <c r="C78" s="14">
        <f>Table1[[#This Row],[PMI]]-B77</f>
        <v/>
      </c>
    </row>
    <row r="79">
      <c r="A79" s="8" t="n">
        <v>42675</v>
      </c>
      <c r="B79" s="11">
        <f>IF(VLOOKUP(A79,'DB Country PMI'!$A:$V,MATCH($A$1,'DB Country PMI'!$A$1:$V$1,),)=0,#N/A,VLOOKUP(A79,'DB Country PMI'!$A:$V,MATCH($A$1,'DB Country PMI'!$A$1:$V$1,),))</f>
        <v/>
      </c>
      <c r="C79" s="14">
        <f>Table1[[#This Row],[PMI]]-B78</f>
        <v/>
      </c>
    </row>
    <row r="80">
      <c r="A80" s="8" t="n">
        <v>42705</v>
      </c>
      <c r="B80" s="11">
        <f>IF(VLOOKUP(A80,'DB Country PMI'!$A:$V,MATCH($A$1,'DB Country PMI'!$A$1:$V$1,),)=0,#N/A,VLOOKUP(A80,'DB Country PMI'!$A:$V,MATCH($A$1,'DB Country PMI'!$A$1:$V$1,),))</f>
        <v/>
      </c>
      <c r="C80" s="14">
        <f>Table1[[#This Row],[PMI]]-B79</f>
        <v/>
      </c>
    </row>
    <row r="81">
      <c r="A81" s="8" t="n">
        <v>42736</v>
      </c>
      <c r="B81" s="11">
        <f>IF(VLOOKUP(A81,'DB Country PMI'!$A:$V,MATCH($A$1,'DB Country PMI'!$A$1:$V$1,),)=0,#N/A,VLOOKUP(A81,'DB Country PMI'!$A:$V,MATCH($A$1,'DB Country PMI'!$A$1:$V$1,),))</f>
        <v/>
      </c>
      <c r="C81" s="14">
        <f>Table1[[#This Row],[PMI]]-B80</f>
        <v/>
      </c>
    </row>
    <row r="82">
      <c r="A82" s="8" t="n">
        <v>42767</v>
      </c>
      <c r="B82" s="11">
        <f>IF(VLOOKUP(A82,'DB Country PMI'!$A:$V,MATCH($A$1,'DB Country PMI'!$A$1:$V$1,),)=0,#N/A,VLOOKUP(A82,'DB Country PMI'!$A:$V,MATCH($A$1,'DB Country PMI'!$A$1:$V$1,),))</f>
        <v/>
      </c>
      <c r="C82" s="14">
        <f>Table1[[#This Row],[PMI]]-B81</f>
        <v/>
      </c>
    </row>
    <row r="83">
      <c r="A83" s="8" t="n">
        <v>42795</v>
      </c>
      <c r="B83" s="11">
        <f>IF(VLOOKUP(A83,'DB Country PMI'!$A:$V,MATCH($A$1,'DB Country PMI'!$A$1:$V$1,),)=0,#N/A,VLOOKUP(A83,'DB Country PMI'!$A:$V,MATCH($A$1,'DB Country PMI'!$A$1:$V$1,),))</f>
        <v/>
      </c>
      <c r="C83" s="14">
        <f>Table1[[#This Row],[PMI]]-B82</f>
        <v/>
      </c>
    </row>
    <row r="84">
      <c r="A84" s="8" t="n">
        <v>42826</v>
      </c>
      <c r="B84" s="11">
        <f>IF(VLOOKUP(A84,'DB Country PMI'!$A:$V,MATCH($A$1,'DB Country PMI'!$A$1:$V$1,),)=0,#N/A,VLOOKUP(A84,'DB Country PMI'!$A:$V,MATCH($A$1,'DB Country PMI'!$A$1:$V$1,),))</f>
        <v/>
      </c>
      <c r="C84" s="14">
        <f>Table1[[#This Row],[PMI]]-B83</f>
        <v/>
      </c>
    </row>
    <row r="85">
      <c r="A85" s="8" t="n">
        <v>42856</v>
      </c>
      <c r="B85" s="11">
        <f>IF(VLOOKUP(A85,'DB Country PMI'!$A:$V,MATCH($A$1,'DB Country PMI'!$A$1:$V$1,),)=0,#N/A,VLOOKUP(A85,'DB Country PMI'!$A:$V,MATCH($A$1,'DB Country PMI'!$A$1:$V$1,),))</f>
        <v/>
      </c>
      <c r="C85" s="14">
        <f>Table1[[#This Row],[PMI]]-B84</f>
        <v/>
      </c>
    </row>
    <row r="86">
      <c r="A86" s="8" t="n">
        <v>42887</v>
      </c>
      <c r="B86" s="11">
        <f>IF(VLOOKUP(A86,'DB Country PMI'!$A:$V,MATCH($A$1,'DB Country PMI'!$A$1:$V$1,),)=0,#N/A,VLOOKUP(A86,'DB Country PMI'!$A:$V,MATCH($A$1,'DB Country PMI'!$A$1:$V$1,),))</f>
        <v/>
      </c>
      <c r="C86" s="14">
        <f>Table1[[#This Row],[PMI]]-B85</f>
        <v/>
      </c>
    </row>
    <row r="87">
      <c r="A87" s="8" t="n">
        <v>42917</v>
      </c>
      <c r="B87" s="11">
        <f>IF(VLOOKUP(A87,'DB Country PMI'!$A:$V,MATCH($A$1,'DB Country PMI'!$A$1:$V$1,),)=0,#N/A,VLOOKUP(A87,'DB Country PMI'!$A:$V,MATCH($A$1,'DB Country PMI'!$A$1:$V$1,),))</f>
        <v/>
      </c>
      <c r="C87" s="14">
        <f>Table1[[#This Row],[PMI]]-B86</f>
        <v/>
      </c>
    </row>
    <row r="88">
      <c r="A88" s="8" t="n">
        <v>42948</v>
      </c>
      <c r="B88" s="11">
        <f>IF(VLOOKUP(A88,'DB Country PMI'!$A:$V,MATCH($A$1,'DB Country PMI'!$A$1:$V$1,),)=0,#N/A,VLOOKUP(A88,'DB Country PMI'!$A:$V,MATCH($A$1,'DB Country PMI'!$A$1:$V$1,),))</f>
        <v/>
      </c>
      <c r="C88" s="14">
        <f>Table1[[#This Row],[PMI]]-B87</f>
        <v/>
      </c>
    </row>
    <row r="89">
      <c r="A89" s="8" t="n">
        <v>42979</v>
      </c>
      <c r="B89" s="11">
        <f>IF(VLOOKUP(A89,'DB Country PMI'!$A:$V,MATCH($A$1,'DB Country PMI'!$A$1:$V$1,),)=0,#N/A,VLOOKUP(A89,'DB Country PMI'!$A:$V,MATCH($A$1,'DB Country PMI'!$A$1:$V$1,),))</f>
        <v/>
      </c>
      <c r="C89" s="14">
        <f>Table1[[#This Row],[PMI]]-B88</f>
        <v/>
      </c>
    </row>
    <row r="90">
      <c r="A90" s="8" t="n">
        <v>43009</v>
      </c>
      <c r="B90" s="11">
        <f>IF(VLOOKUP(A90,'DB Country PMI'!$A:$V,MATCH($A$1,'DB Country PMI'!$A$1:$V$1,),)=0,#N/A,VLOOKUP(A90,'DB Country PMI'!$A:$V,MATCH($A$1,'DB Country PMI'!$A$1:$V$1,),))</f>
        <v/>
      </c>
      <c r="C90" s="14">
        <f>Table1[[#This Row],[PMI]]-B89</f>
        <v/>
      </c>
    </row>
    <row r="91">
      <c r="A91" s="8" t="n">
        <v>43040</v>
      </c>
      <c r="B91" s="11">
        <f>IF(VLOOKUP(A91,'DB Country PMI'!$A:$V,MATCH($A$1,'DB Country PMI'!$A$1:$V$1,),)=0,#N/A,VLOOKUP(A91,'DB Country PMI'!$A:$V,MATCH($A$1,'DB Country PMI'!$A$1:$V$1,),))</f>
        <v/>
      </c>
      <c r="C91" s="14">
        <f>Table1[[#This Row],[PMI]]-B90</f>
        <v/>
      </c>
    </row>
    <row r="92">
      <c r="A92" s="8" t="n">
        <v>43070</v>
      </c>
      <c r="B92" s="11">
        <f>IF(VLOOKUP(A92,'DB Country PMI'!$A:$V,MATCH($A$1,'DB Country PMI'!$A$1:$V$1,),)=0,#N/A,VLOOKUP(A92,'DB Country PMI'!$A:$V,MATCH($A$1,'DB Country PMI'!$A$1:$V$1,),))</f>
        <v/>
      </c>
      <c r="C92" s="14">
        <f>Table1[[#This Row],[PMI]]-B91</f>
        <v/>
      </c>
    </row>
    <row r="93">
      <c r="A93" s="8" t="n">
        <v>43101</v>
      </c>
      <c r="B93" s="11">
        <f>IF(VLOOKUP(A93,'DB Country PMI'!$A:$V,MATCH($A$1,'DB Country PMI'!$A$1:$V$1,),)=0,#N/A,VLOOKUP(A93,'DB Country PMI'!$A:$V,MATCH($A$1,'DB Country PMI'!$A$1:$V$1,),))</f>
        <v/>
      </c>
      <c r="C93" s="14">
        <f>Table1[[#This Row],[PMI]]-B92</f>
        <v/>
      </c>
    </row>
    <row r="94">
      <c r="A94" s="8" t="n">
        <v>43132</v>
      </c>
      <c r="B94" s="11">
        <f>IF(VLOOKUP(A94,'DB Country PMI'!$A:$V,MATCH($A$1,'DB Country PMI'!$A$1:$V$1,),)=0,#N/A,VLOOKUP(A94,'DB Country PMI'!$A:$V,MATCH($A$1,'DB Country PMI'!$A$1:$V$1,),))</f>
        <v/>
      </c>
      <c r="C94" s="14">
        <f>Table1[[#This Row],[PMI]]-B93</f>
        <v/>
      </c>
    </row>
    <row r="95">
      <c r="A95" s="8" t="n">
        <v>43160</v>
      </c>
      <c r="B95" s="11">
        <f>IF(VLOOKUP(A95,'DB Country PMI'!$A:$V,MATCH($A$1,'DB Country PMI'!$A$1:$V$1,),)=0,#N/A,VLOOKUP(A95,'DB Country PMI'!$A:$V,MATCH($A$1,'DB Country PMI'!$A$1:$V$1,),))</f>
        <v/>
      </c>
      <c r="C95" s="14">
        <f>Table1[[#This Row],[PMI]]-B94</f>
        <v/>
      </c>
    </row>
    <row r="96">
      <c r="A96" s="8" t="n">
        <v>43191</v>
      </c>
      <c r="B96" s="11">
        <f>IF(VLOOKUP(A96,'DB Country PMI'!$A:$V,MATCH($A$1,'DB Country PMI'!$A$1:$V$1,),)=0,#N/A,VLOOKUP(A96,'DB Country PMI'!$A:$V,MATCH($A$1,'DB Country PMI'!$A$1:$V$1,),))</f>
        <v/>
      </c>
      <c r="C96" s="14">
        <f>Table1[[#This Row],[PMI]]-B95</f>
        <v/>
      </c>
    </row>
    <row r="97">
      <c r="A97" s="8" t="n">
        <v>43221</v>
      </c>
      <c r="B97" s="11">
        <f>IF(VLOOKUP(A97,'DB Country PMI'!$A:$V,MATCH($A$1,'DB Country PMI'!$A$1:$V$1,),)=0,#N/A,VLOOKUP(A97,'DB Country PMI'!$A:$V,MATCH($A$1,'DB Country PMI'!$A$1:$V$1,),))</f>
        <v/>
      </c>
      <c r="C97" s="14">
        <f>Table1[[#This Row],[PMI]]-B96</f>
        <v/>
      </c>
    </row>
    <row r="98">
      <c r="A98" s="8" t="n">
        <v>43252</v>
      </c>
      <c r="B98" s="11">
        <f>IF(VLOOKUP(A98,'DB Country PMI'!$A:$V,MATCH($A$1,'DB Country PMI'!$A$1:$V$1,),)=0,#N/A,VLOOKUP(A98,'DB Country PMI'!$A:$V,MATCH($A$1,'DB Country PMI'!$A$1:$V$1,),))</f>
        <v/>
      </c>
      <c r="C98" s="14">
        <f>Table1[[#This Row],[PMI]]-B97</f>
        <v/>
      </c>
    </row>
    <row r="99">
      <c r="A99" s="8" t="n">
        <v>43282</v>
      </c>
      <c r="B99" s="11">
        <f>IF(VLOOKUP(A99,'DB Country PMI'!$A:$V,MATCH($A$1,'DB Country PMI'!$A$1:$V$1,),)=0,#N/A,VLOOKUP(A99,'DB Country PMI'!$A:$V,MATCH($A$1,'DB Country PMI'!$A$1:$V$1,),))</f>
        <v/>
      </c>
      <c r="C99" s="14">
        <f>Table1[[#This Row],[PMI]]-B98</f>
        <v/>
      </c>
    </row>
    <row r="100">
      <c r="A100" s="8" t="n">
        <v>43313</v>
      </c>
      <c r="B100" s="11">
        <f>IF(VLOOKUP(A100,'DB Country PMI'!$A:$V,MATCH($A$1,'DB Country PMI'!$A$1:$V$1,),)=0,#N/A,VLOOKUP(A100,'DB Country PMI'!$A:$V,MATCH($A$1,'DB Country PMI'!$A$1:$V$1,),))</f>
        <v/>
      </c>
      <c r="C100" s="14">
        <f>Table1[[#This Row],[PMI]]-B99</f>
        <v/>
      </c>
    </row>
    <row r="101">
      <c r="A101" s="8" t="n">
        <v>43344</v>
      </c>
      <c r="B101" s="11">
        <f>IF(VLOOKUP(A101,'DB Country PMI'!$A:$V,MATCH($A$1,'DB Country PMI'!$A$1:$V$1,),)=0,#N/A,VLOOKUP(A101,'DB Country PMI'!$A:$V,MATCH($A$1,'DB Country PMI'!$A$1:$V$1,),))</f>
        <v/>
      </c>
      <c r="C101" s="14">
        <f>Table1[[#This Row],[PMI]]-B100</f>
        <v/>
      </c>
    </row>
    <row r="102">
      <c r="A102" s="8" t="n">
        <v>43374</v>
      </c>
      <c r="B102" s="11">
        <f>IF(VLOOKUP(A102,'DB Country PMI'!$A:$V,MATCH($A$1,'DB Country PMI'!$A$1:$V$1,),)=0,#N/A,VLOOKUP(A102,'DB Country PMI'!$A:$V,MATCH($A$1,'DB Country PMI'!$A$1:$V$1,),))</f>
        <v/>
      </c>
      <c r="C102" s="14">
        <f>Table1[[#This Row],[PMI]]-B101</f>
        <v/>
      </c>
    </row>
    <row r="103">
      <c r="A103" s="8" t="n">
        <v>43405</v>
      </c>
      <c r="B103" s="11">
        <f>IF(VLOOKUP(A103,'DB Country PMI'!$A:$V,MATCH($A$1,'DB Country PMI'!$A$1:$V$1,),)=0,#N/A,VLOOKUP(A103,'DB Country PMI'!$A:$V,MATCH($A$1,'DB Country PMI'!$A$1:$V$1,),))</f>
        <v/>
      </c>
      <c r="C103" s="14">
        <f>Table1[[#This Row],[PMI]]-B102</f>
        <v/>
      </c>
    </row>
    <row r="104">
      <c r="A104" s="8" t="n">
        <v>43435</v>
      </c>
      <c r="B104" s="11">
        <f>IF(VLOOKUP(A104,'DB Country PMI'!$A:$V,MATCH($A$1,'DB Country PMI'!$A$1:$V$1,),)=0,#N/A,VLOOKUP(A104,'DB Country PMI'!$A:$V,MATCH($A$1,'DB Country PMI'!$A$1:$V$1,),))</f>
        <v/>
      </c>
      <c r="C104" s="14">
        <f>Table1[[#This Row],[PMI]]-B103</f>
        <v/>
      </c>
    </row>
    <row r="105">
      <c r="A105" s="8" t="n">
        <v>43466</v>
      </c>
      <c r="B105" s="11">
        <f>IF(VLOOKUP(A105,'DB Country PMI'!$A:$V,MATCH($A$1,'DB Country PMI'!$A$1:$V$1,),)=0,#N/A,VLOOKUP(A105,'DB Country PMI'!$A:$V,MATCH($A$1,'DB Country PMI'!$A$1:$V$1,),))</f>
        <v/>
      </c>
      <c r="C105" s="14">
        <f>Table1[[#This Row],[PMI]]-B104</f>
        <v/>
      </c>
    </row>
    <row r="106">
      <c r="A106" s="8" t="n">
        <v>43497</v>
      </c>
      <c r="B106" s="11">
        <f>IF(VLOOKUP(A106,'DB Country PMI'!$A:$V,MATCH($A$1,'DB Country PMI'!$A$1:$V$1,),)=0,#N/A,VLOOKUP(A106,'DB Country PMI'!$A:$V,MATCH($A$1,'DB Country PMI'!$A$1:$V$1,),))</f>
        <v/>
      </c>
      <c r="C106" s="14">
        <f>Table1[[#This Row],[PMI]]-B105</f>
        <v/>
      </c>
    </row>
    <row r="107">
      <c r="A107" s="8" t="n">
        <v>43525</v>
      </c>
      <c r="B107" s="11">
        <f>IF(VLOOKUP(A107,'DB Country PMI'!$A:$V,MATCH($A$1,'DB Country PMI'!$A$1:$V$1,),)=0,#N/A,VLOOKUP(A107,'DB Country PMI'!$A:$V,MATCH($A$1,'DB Country PMI'!$A$1:$V$1,),))</f>
        <v/>
      </c>
      <c r="C107" s="14">
        <f>Table1[[#This Row],[PMI]]-B106</f>
        <v/>
      </c>
    </row>
    <row r="108">
      <c r="A108" s="8" t="n">
        <v>43556</v>
      </c>
      <c r="B108" s="11">
        <f>IF(VLOOKUP(A108,'DB Country PMI'!$A:$V,MATCH($A$1,'DB Country PMI'!$A$1:$V$1,),)=0,#N/A,VLOOKUP(A108,'DB Country PMI'!$A:$V,MATCH($A$1,'DB Country PMI'!$A$1:$V$1,),))</f>
        <v/>
      </c>
      <c r="C108" s="14">
        <f>Table1[[#This Row],[PMI]]-B107</f>
        <v/>
      </c>
    </row>
    <row r="109">
      <c r="A109" s="8" t="n">
        <v>43586</v>
      </c>
      <c r="B109" s="11">
        <f>IF(VLOOKUP(A109,'DB Country PMI'!$A:$V,MATCH($A$1,'DB Country PMI'!$A$1:$V$1,),)=0,#N/A,VLOOKUP(A109,'DB Country PMI'!$A:$V,MATCH($A$1,'DB Country PMI'!$A$1:$V$1,),))</f>
        <v/>
      </c>
      <c r="C109" s="14">
        <f>Table1[[#This Row],[PMI]]-B108</f>
        <v/>
      </c>
    </row>
    <row r="110">
      <c r="A110" s="8" t="n">
        <v>43617</v>
      </c>
      <c r="B110" s="11">
        <f>IF(VLOOKUP(A110,'DB Country PMI'!$A:$V,MATCH($A$1,'DB Country PMI'!$A$1:$V$1,),)=0,#N/A,VLOOKUP(A110,'DB Country PMI'!$A:$V,MATCH($A$1,'DB Country PMI'!$A$1:$V$1,),))</f>
        <v/>
      </c>
      <c r="C110" s="14">
        <f>Table1[[#This Row],[PMI]]-B109</f>
        <v/>
      </c>
    </row>
    <row r="111">
      <c r="A111" s="8" t="n">
        <v>43647</v>
      </c>
      <c r="B111" s="11">
        <f>IF(VLOOKUP(A111,'DB Country PMI'!$A:$V,MATCH($A$1,'DB Country PMI'!$A$1:$V$1,),)=0,#N/A,VLOOKUP(A111,'DB Country PMI'!$A:$V,MATCH($A$1,'DB Country PMI'!$A$1:$V$1,),))</f>
        <v/>
      </c>
      <c r="C111" s="14">
        <f>Table1[[#This Row],[PMI]]-B110</f>
        <v/>
      </c>
    </row>
    <row r="112">
      <c r="A112" s="9" t="n">
        <v>43678</v>
      </c>
      <c r="B112" s="11">
        <f>IF(VLOOKUP(A112,'DB Country PMI'!$A:$V,MATCH($A$1,'DB Country PMI'!$A$1:$V$1,),)=0,#N/A,VLOOKUP(A112,'DB Country PMI'!$A:$V,MATCH($A$1,'DB Country PMI'!$A$1:$V$1,),))</f>
        <v/>
      </c>
      <c r="C112" s="14">
        <f>Table1[[#This Row],[PMI]]-B111</f>
        <v/>
      </c>
    </row>
    <row r="113">
      <c r="A113" s="8" t="n">
        <v>43709</v>
      </c>
      <c r="B113" s="11">
        <f>IF(VLOOKUP(A113,'DB Country PMI'!$A:$V,MATCH($A$1,'DB Country PMI'!$A$1:$V$1,),)=0,#N/A,VLOOKUP(A113,'DB Country PMI'!$A:$V,MATCH($A$1,'DB Country PMI'!$A$1:$V$1,),))</f>
        <v/>
      </c>
      <c r="C113" s="14">
        <f>Table1[[#This Row],[PMI]]-B112</f>
        <v/>
      </c>
    </row>
    <row r="114">
      <c r="A114" s="9" t="n">
        <v>43739</v>
      </c>
      <c r="B114" s="11">
        <f>IF(VLOOKUP(A114,'DB Country PMI'!$A:$V,MATCH($A$1,'DB Country PMI'!$A$1:$V$1,),)=0,#N/A,VLOOKUP(A114,'DB Country PMI'!$A:$V,MATCH($A$1,'DB Country PMI'!$A$1:$V$1,),))</f>
        <v/>
      </c>
      <c r="C114" s="14">
        <f>Table1[[#This Row],[PMI]]-B113</f>
        <v/>
      </c>
    </row>
    <row r="115">
      <c r="A115" s="8" t="n">
        <v>43770</v>
      </c>
      <c r="B115" s="11">
        <f>IF(VLOOKUP(A115,'DB Country PMI'!$A:$V,MATCH($A$1,'DB Country PMI'!$A$1:$V$1,),)=0,#N/A,VLOOKUP(A115,'DB Country PMI'!$A:$V,MATCH($A$1,'DB Country PMI'!$A$1:$V$1,),))</f>
        <v/>
      </c>
      <c r="C115" s="14">
        <f>Table1[[#This Row],[PMI]]-B114</f>
        <v/>
      </c>
    </row>
    <row r="116">
      <c r="A116" s="9" t="n">
        <v>43800</v>
      </c>
      <c r="B116" s="11">
        <f>IF(VLOOKUP(A116,'DB Country PMI'!$A:$V,MATCH($A$1,'DB Country PMI'!$A$1:$V$1,),)=0,#N/A,VLOOKUP(A116,'DB Country PMI'!$A:$V,MATCH($A$1,'DB Country PMI'!$A$1:$V$1,),))</f>
        <v/>
      </c>
      <c r="C116" s="14">
        <f>Table1[[#This Row],[PMI]]-B115</f>
        <v/>
      </c>
    </row>
    <row r="117">
      <c r="A117" s="8" t="n">
        <v>43831</v>
      </c>
      <c r="B117" s="11">
        <f>IF(VLOOKUP(A117,'DB Country PMI'!$A:$V,MATCH($A$1,'DB Country PMI'!$A$1:$V$1,),)=0,#N/A,VLOOKUP(A117,'DB Country PMI'!$A:$V,MATCH($A$1,'DB Country PMI'!$A$1:$V$1,),))</f>
        <v/>
      </c>
      <c r="C117" s="14">
        <f>Table1[[#This Row],[PMI]]-B116</f>
        <v/>
      </c>
    </row>
    <row r="118">
      <c r="A118" s="9" t="n">
        <v>43862</v>
      </c>
      <c r="B118" s="11">
        <f>IF(VLOOKUP(A118,'DB Country PMI'!$A:$V,MATCH($A$1,'DB Country PMI'!$A$1:$V$1,),)=0,#N/A,VLOOKUP(A118,'DB Country PMI'!$A:$V,MATCH($A$1,'DB Country PMI'!$A$1:$V$1,),))</f>
        <v/>
      </c>
      <c r="C118" s="14">
        <f>Table1[[#This Row],[PMI]]-B117</f>
        <v/>
      </c>
    </row>
    <row r="119">
      <c r="A119" s="8" t="n">
        <v>43891</v>
      </c>
      <c r="B119" s="11">
        <f>IF(VLOOKUP(A119,'DB Country PMI'!$A:$V,MATCH($A$1,'DB Country PMI'!$A$1:$V$1,),)=0,#N/A,VLOOKUP(A119,'DB Country PMI'!$A:$V,MATCH($A$1,'DB Country PMI'!$A$1:$V$1,),))</f>
        <v/>
      </c>
      <c r="C119" s="14">
        <f>Table1[[#This Row],[PMI]]-B118</f>
        <v/>
      </c>
    </row>
    <row r="120">
      <c r="A120" s="9" t="n">
        <v>43922</v>
      </c>
      <c r="B120" s="11">
        <f>IF(VLOOKUP(A120,'DB Country PMI'!$A:$V,MATCH($A$1,'DB Country PMI'!$A$1:$V$1,),)=0,#N/A,VLOOKUP(A120,'DB Country PMI'!$A:$V,MATCH($A$1,'DB Country PMI'!$A$1:$V$1,),))</f>
        <v/>
      </c>
      <c r="C120" s="14">
        <f>Table1[[#This Row],[PMI]]-B119</f>
        <v/>
      </c>
    </row>
    <row r="121">
      <c r="A121" s="8" t="n">
        <v>43952</v>
      </c>
      <c r="B121" s="11">
        <f>IF(VLOOKUP(A121,'DB Country PMI'!$A:$V,MATCH($A$1,'DB Country PMI'!$A$1:$V$1,),)=0,#N/A,VLOOKUP(A121,'DB Country PMI'!$A:$V,MATCH($A$1,'DB Country PMI'!$A$1:$V$1,),))</f>
        <v/>
      </c>
      <c r="C121" s="14">
        <f>Table1[[#This Row],[PMI]]-B120</f>
        <v/>
      </c>
    </row>
    <row r="122">
      <c r="A122" s="9" t="n">
        <v>43983</v>
      </c>
      <c r="B122" s="11">
        <f>IF(VLOOKUP(A122,'DB Country PMI'!$A:$V,MATCH($A$1,'DB Country PMI'!$A$1:$V$1,),)=0,#N/A,VLOOKUP(A122,'DB Country PMI'!$A:$V,MATCH($A$1,'DB Country PMI'!$A$1:$V$1,),))</f>
        <v/>
      </c>
      <c r="C122" s="14">
        <f>Table1[[#This Row],[PMI]]-B121</f>
        <v/>
      </c>
    </row>
    <row r="123">
      <c r="A123" s="8" t="n">
        <v>44013</v>
      </c>
      <c r="B123" s="11">
        <f>IF(VLOOKUP(A123,'DB Country PMI'!$A:$V,MATCH($A$1,'DB Country PMI'!$A$1:$V$1,),)=0,#N/A,VLOOKUP(A123,'DB Country PMI'!$A:$V,MATCH($A$1,'DB Country PMI'!$A$1:$V$1,),))</f>
        <v/>
      </c>
      <c r="C123" s="14">
        <f>Table1[[#This Row],[PMI]]-B122</f>
        <v/>
      </c>
    </row>
    <row r="124">
      <c r="A124" s="9" t="n">
        <v>44044</v>
      </c>
      <c r="B124" s="11">
        <f>IF(VLOOKUP(A124,'DB Country PMI'!$A:$V,MATCH($A$1,'DB Country PMI'!$A$1:$V$1,),)=0,#N/A,VLOOKUP(A124,'DB Country PMI'!$A:$V,MATCH($A$1,'DB Country PMI'!$A$1:$V$1,),))</f>
        <v/>
      </c>
      <c r="C124" s="14">
        <f>Table1[[#This Row],[PMI]]-B123</f>
        <v/>
      </c>
    </row>
    <row r="125">
      <c r="A125" s="8" t="n">
        <v>44075</v>
      </c>
      <c r="B125" s="11">
        <f>IF(VLOOKUP(A125,'DB Country PMI'!$A:$V,MATCH($A$1,'DB Country PMI'!$A$1:$V$1,),)=0,#N/A,VLOOKUP(A125,'DB Country PMI'!$A:$V,MATCH($A$1,'DB Country PMI'!$A$1:$V$1,),))</f>
        <v/>
      </c>
      <c r="C125" s="14">
        <f>Table1[[#This Row],[PMI]]-B124</f>
        <v/>
      </c>
    </row>
    <row r="126">
      <c r="A126" s="9" t="n">
        <v>44105</v>
      </c>
      <c r="B126" s="11">
        <f>IF(VLOOKUP(A126,'DB Country PMI'!$A:$V,MATCH($A$1,'DB Country PMI'!$A$1:$V$1,),)=0,#N/A,VLOOKUP(A126,'DB Country PMI'!$A:$V,MATCH($A$1,'DB Country PMI'!$A$1:$V$1,),))</f>
        <v/>
      </c>
      <c r="C126" s="14">
        <f>Table1[[#This Row],[PMI]]-B125</f>
        <v/>
      </c>
    </row>
    <row r="127">
      <c r="A127" s="8" t="n">
        <v>44136</v>
      </c>
      <c r="B127" s="11">
        <f>IF(VLOOKUP(A127,'DB Country PMI'!$A:$V,MATCH($A$1,'DB Country PMI'!$A$1:$V$1,),)=0,#N/A,VLOOKUP(A127,'DB Country PMI'!$A:$V,MATCH($A$1,'DB Country PMI'!$A$1:$V$1,),))</f>
        <v/>
      </c>
      <c r="C127" s="14">
        <f>Table1[[#This Row],[PMI]]-B126</f>
        <v/>
      </c>
    </row>
    <row r="128">
      <c r="A128" s="9" t="n">
        <v>44166</v>
      </c>
      <c r="B128" s="11">
        <f>IF(VLOOKUP(A128,'DB Country PMI'!$A:$V,MATCH($A$1,'DB Country PMI'!$A$1:$V$1,),)=0,#N/A,VLOOKUP(A128,'DB Country PMI'!$A:$V,MATCH($A$1,'DB Country PMI'!$A$1:$V$1,),))</f>
        <v/>
      </c>
      <c r="C128" s="14">
        <f>Table1[[#This Row],[PMI]]-B127</f>
        <v/>
      </c>
    </row>
    <row r="129">
      <c r="A129" s="8" t="n">
        <v>44197</v>
      </c>
      <c r="B129" s="11">
        <f>IF(VLOOKUP(A129,'DB Country PMI'!$A:$V,MATCH($A$1,'DB Country PMI'!$A$1:$V$1,),)=0,#N/A,VLOOKUP(A129,'DB Country PMI'!$A:$V,MATCH($A$1,'DB Country PMI'!$A$1:$V$1,),))</f>
        <v/>
      </c>
      <c r="C129" s="14">
        <f>Table1[[#This Row],[PMI]]-B128</f>
        <v/>
      </c>
    </row>
    <row r="130">
      <c r="A130" s="9" t="n">
        <v>44228</v>
      </c>
      <c r="B130" s="11">
        <f>IF(VLOOKUP(A130,'DB Country PMI'!$A:$V,MATCH($A$1,'DB Country PMI'!$A$1:$V$1,),)=0,#N/A,VLOOKUP(A130,'DB Country PMI'!$A:$V,MATCH($A$1,'DB Country PMI'!$A$1:$V$1,),))</f>
        <v/>
      </c>
      <c r="C130" s="14">
        <f>Table1[[#This Row],[PMI]]-B129</f>
        <v/>
      </c>
    </row>
    <row r="131">
      <c r="A131" s="8" t="n">
        <v>44256</v>
      </c>
      <c r="B131" s="11">
        <f>IF(VLOOKUP(A131,'DB Country PMI'!$A:$V,MATCH($A$1,'DB Country PMI'!$A$1:$V$1,),)=0,#N/A,VLOOKUP(A131,'DB Country PMI'!$A:$V,MATCH($A$1,'DB Country PMI'!$A$1:$V$1,),))</f>
        <v/>
      </c>
      <c r="C131" s="14">
        <f>Table1[[#This Row],[PMI]]-B130</f>
        <v/>
      </c>
    </row>
    <row r="132">
      <c r="A132" s="9" t="n">
        <v>44287</v>
      </c>
      <c r="B132" s="11">
        <f>IF(VLOOKUP(A132,'DB Country PMI'!$A:$V,MATCH($A$1,'DB Country PMI'!$A$1:$V$1,),)=0,#N/A,VLOOKUP(A132,'DB Country PMI'!$A:$V,MATCH($A$1,'DB Country PMI'!$A$1:$V$1,),))</f>
        <v/>
      </c>
      <c r="C132" s="14">
        <f>Table1[[#This Row],[PMI]]-B131</f>
        <v/>
      </c>
    </row>
    <row r="133">
      <c r="A133" s="8" t="n">
        <v>44317</v>
      </c>
      <c r="B133" s="11">
        <f>IF(VLOOKUP(A133,'DB Country PMI'!$A:$V,MATCH($A$1,'DB Country PMI'!$A$1:$V$1,),)=0,#N/A,VLOOKUP(A133,'DB Country PMI'!$A:$V,MATCH($A$1,'DB Country PMI'!$A$1:$V$1,),))</f>
        <v/>
      </c>
      <c r="C133" s="14">
        <f>Table1[[#This Row],[PMI]]-B132</f>
        <v/>
      </c>
    </row>
    <row r="134">
      <c r="A134" s="9" t="n">
        <v>44348</v>
      </c>
      <c r="B134" s="11">
        <f>IF(VLOOKUP(A134,'DB Country PMI'!$A:$V,MATCH($A$1,'DB Country PMI'!$A$1:$V$1,),)=0,#N/A,VLOOKUP(A134,'DB Country PMI'!$A:$V,MATCH($A$1,'DB Country PMI'!$A$1:$V$1,),))</f>
        <v/>
      </c>
      <c r="C134" s="14">
        <f>Table1[[#This Row],[PMI]]-B133</f>
        <v/>
      </c>
    </row>
    <row r="135">
      <c r="A135" s="8" t="n">
        <v>44378</v>
      </c>
      <c r="B135" s="11">
        <f>IF(VLOOKUP(A135,'DB Country PMI'!$A:$V,MATCH($A$1,'DB Country PMI'!$A$1:$V$1,),)=0,#N/A,VLOOKUP(A135,'DB Country PMI'!$A:$V,MATCH($A$1,'DB Country PMI'!$A$1:$V$1,),))</f>
        <v/>
      </c>
      <c r="C135" s="14">
        <f>Table1[[#This Row],[PMI]]-B134</f>
        <v/>
      </c>
    </row>
    <row r="136">
      <c r="A136" s="9" t="n">
        <v>44409</v>
      </c>
      <c r="B136" s="11">
        <f>IF(VLOOKUP(A136,'DB Country PMI'!$A:$V,MATCH($A$1,'DB Country PMI'!$A$1:$V$1,),)=0,#N/A,VLOOKUP(A136,'DB Country PMI'!$A:$V,MATCH($A$1,'DB Country PMI'!$A$1:$V$1,),))</f>
        <v/>
      </c>
      <c r="C136" s="14">
        <f>Table1[[#This Row],[PMI]]-B135</f>
        <v/>
      </c>
    </row>
    <row r="137">
      <c r="A137" s="8" t="n">
        <v>44440</v>
      </c>
      <c r="B137" s="11">
        <f>IF(VLOOKUP(A137,'DB Country PMI'!$A:$V,MATCH($A$1,'DB Country PMI'!$A$1:$V$1,),)=0,#N/A,VLOOKUP(A137,'DB Country PMI'!$A:$V,MATCH($A$1,'DB Country PMI'!$A$1:$V$1,),))</f>
        <v/>
      </c>
      <c r="C137" s="14">
        <f>Table1[[#This Row],[PMI]]-B136</f>
        <v/>
      </c>
    </row>
    <row r="138">
      <c r="A138" s="9" t="n">
        <v>44470</v>
      </c>
      <c r="B138" s="11">
        <f>IF(VLOOKUP(A138,'DB Country PMI'!$A:$V,MATCH($A$1,'DB Country PMI'!$A$1:$V$1,),)=0,#N/A,VLOOKUP(A138,'DB Country PMI'!$A:$V,MATCH($A$1,'DB Country PMI'!$A$1:$V$1,),))</f>
        <v/>
      </c>
      <c r="C138" s="14">
        <f>Table1[[#This Row],[PMI]]-B137</f>
        <v/>
      </c>
    </row>
    <row r="139">
      <c r="A139" s="8" t="n">
        <v>44501</v>
      </c>
      <c r="B139" s="11">
        <f>IF(VLOOKUP(A139,'DB Country PMI'!$A:$V,MATCH($A$1,'DB Country PMI'!$A$1:$V$1,),)=0,#N/A,VLOOKUP(A139,'DB Country PMI'!$A:$V,MATCH($A$1,'DB Country PMI'!$A$1:$V$1,),))</f>
        <v/>
      </c>
      <c r="C139" s="14">
        <f>Table1[[#This Row],[PMI]]-B138</f>
        <v/>
      </c>
    </row>
    <row r="140">
      <c r="A140" s="9" t="n">
        <v>44531</v>
      </c>
      <c r="B140" s="11">
        <f>IF(VLOOKUP(A140,'DB Country PMI'!$A:$V,MATCH($A$1,'DB Country PMI'!$A$1:$V$1,),)=0,#N/A,VLOOKUP(A140,'DB Country PMI'!$A:$V,MATCH($A$1,'DB Country PMI'!$A$1:$V$1,),))</f>
        <v/>
      </c>
      <c r="C140" s="14">
        <f>Table1[[#This Row],[PMI]]-B139</f>
        <v/>
      </c>
    </row>
    <row r="141">
      <c r="A141" s="9" t="n">
        <v>44562</v>
      </c>
      <c r="B141" s="11">
        <f>IF(VLOOKUP(A141,'DB Country PMI'!$A:$V,MATCH($A$1,'DB Country PMI'!$A$1:$V$1,),)=0,#N/A,VLOOKUP(A141,'DB Country PMI'!$A:$V,MATCH($A$1,'DB Country PMI'!$A$1:$V$1,),))</f>
        <v/>
      </c>
      <c r="C141" s="14">
        <f>Table1[[#This Row],[PMI]]-B140</f>
        <v/>
      </c>
    </row>
    <row r="142">
      <c r="A142" s="9" t="n">
        <v>44593</v>
      </c>
      <c r="B142" s="11">
        <f>IF(VLOOKUP(A142,'DB Country PMI'!$A:$V,MATCH($A$1,'DB Country PMI'!$A$1:$V$1,),)=0,#N/A,VLOOKUP(A142,'DB Country PMI'!$A:$V,MATCH($A$1,'DB Country PMI'!$A$1:$V$1,),))</f>
        <v/>
      </c>
      <c r="C142" s="14">
        <f>Table1[[#This Row],[PMI]]-B141</f>
        <v/>
      </c>
    </row>
  </sheetData>
  <conditionalFormatting sqref="B6:B142">
    <cfRule type="colorScale" priority="203">
      <colorScale>
        <cfvo type="min"/>
        <cfvo type="percentile" val="50"/>
        <cfvo type="max"/>
        <color rgb="FFF8696B"/>
        <color rgb="FFFFEB84"/>
        <color rgb="FF63BE7B"/>
      </colorScale>
    </cfRule>
  </conditionalFormatting>
  <conditionalFormatting sqref="C7:C142">
    <cfRule type="colorScale" priority="204">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5.xml><?xml version="1.0" encoding="utf-8"?>
<worksheet xmlns="http://schemas.openxmlformats.org/spreadsheetml/2006/main">
  <sheetPr>
    <outlinePr summaryBelow="1" summaryRight="1"/>
    <pageSetUpPr/>
  </sheetPr>
  <dimension ref="A1:J107"/>
  <sheetViews>
    <sheetView zoomScale="160" zoomScaleNormal="160" workbookViewId="0">
      <pane ySplit="5" topLeftCell="A93" activePane="bottomLeft" state="frozen"/>
      <selection pane="bottomLeft" activeCell="A103" sqref="A103:C107"/>
    </sheetView>
  </sheetViews>
  <sheetFormatPr baseColWidth="10" defaultColWidth="9.1640625" defaultRowHeight="15"/>
  <cols>
    <col width="13.5" customWidth="1" style="60" min="1" max="1"/>
    <col width="11.33203125" customWidth="1" style="60" min="2" max="2"/>
    <col width="9.1640625" customWidth="1" style="60" min="3" max="7"/>
    <col width="9.1640625" customWidth="1" style="60" min="8" max="16384"/>
  </cols>
  <sheetData>
    <row r="1">
      <c r="A1" s="60" t="inlineStr">
        <is>
          <t>United States</t>
        </is>
      </c>
      <c r="J1" s="60" t="inlineStr">
        <is>
          <t xml:space="preserve"> Services PMI</t>
        </is>
      </c>
    </row>
    <row r="2">
      <c r="J2" s="60" t="inlineStr">
        <is>
          <t>U.S. Services PMI</t>
        </is>
      </c>
    </row>
    <row r="4" ht="16" customHeight="1" s="38" thickBot="1"/>
    <row r="5" ht="16" customHeight="1" s="38" thickBot="1">
      <c r="A5" s="12" t="inlineStr">
        <is>
          <t>Date</t>
        </is>
      </c>
      <c r="B5" s="13" t="inlineStr">
        <is>
          <t>PMI</t>
        </is>
      </c>
      <c r="C5" s="13" t="inlineStr">
        <is>
          <t>mom</t>
        </is>
      </c>
    </row>
    <row r="6">
      <c r="A6" s="10" t="n">
        <v>41548</v>
      </c>
      <c r="B6" s="11">
        <f>IF(VLOOKUP(A6,'DB Country PMI'!$A:$V,MATCH($A$1,'DB Country PMI'!$A$1:$V$1,),)=0,#N/A,VLOOKUP(A6,'DB Country PMI'!$A:$V,MATCH($A$1,'DB Country PMI'!$A$1:$V$1,),))</f>
        <v/>
      </c>
      <c r="C6" s="11" t="n"/>
    </row>
    <row r="7">
      <c r="A7" s="8" t="n">
        <v>41579</v>
      </c>
      <c r="B7" s="11">
        <f>IF(VLOOKUP(A7,'DB Country PMI'!$A:$V,MATCH($A$1,'DB Country PMI'!$A$1:$V$1,),)=0,#N/A,VLOOKUP(A7,'DB Country PMI'!$A:$V,MATCH($A$1,'DB Country PMI'!$A$1:$V$1,),))</f>
        <v/>
      </c>
      <c r="C7" s="14">
        <f>Table1346811[[#This Row],[PMI]]-B6</f>
        <v/>
      </c>
    </row>
    <row r="8">
      <c r="A8" s="8" t="n">
        <v>41609</v>
      </c>
      <c r="B8" s="11">
        <f>IF(VLOOKUP(A8,'DB Country PMI'!$A:$V,MATCH($A$1,'DB Country PMI'!$A$1:$V$1,),)=0,#N/A,VLOOKUP(A8,'DB Country PMI'!$A:$V,MATCH($A$1,'DB Country PMI'!$A$1:$V$1,),))</f>
        <v/>
      </c>
      <c r="C8" s="14">
        <f>Table1346811[[#This Row],[PMI]]-B7</f>
        <v/>
      </c>
    </row>
    <row r="9">
      <c r="A9" s="8" t="n">
        <v>41640</v>
      </c>
      <c r="B9" s="11">
        <f>IF(VLOOKUP(A9,'DB Country PMI'!$A:$V,MATCH($A$1,'DB Country PMI'!$A$1:$V$1,),)=0,#N/A,VLOOKUP(A9,'DB Country PMI'!$A:$V,MATCH($A$1,'DB Country PMI'!$A$1:$V$1,),))</f>
        <v/>
      </c>
      <c r="C9" s="14">
        <f>Table1346811[[#This Row],[PMI]]-B8</f>
        <v/>
      </c>
    </row>
    <row r="10">
      <c r="A10" s="8" t="n">
        <v>41671</v>
      </c>
      <c r="B10" s="11">
        <f>IF(VLOOKUP(A10,'DB Country PMI'!$A:$V,MATCH($A$1,'DB Country PMI'!$A$1:$V$1,),)=0,#N/A,VLOOKUP(A10,'DB Country PMI'!$A:$V,MATCH($A$1,'DB Country PMI'!$A$1:$V$1,),))</f>
        <v/>
      </c>
      <c r="C10" s="14">
        <f>Table1346811[[#This Row],[PMI]]-B9</f>
        <v/>
      </c>
    </row>
    <row r="11">
      <c r="A11" s="8" t="n">
        <v>41699</v>
      </c>
      <c r="B11" s="11">
        <f>IF(VLOOKUP(A11,'DB Country PMI'!$A:$V,MATCH($A$1,'DB Country PMI'!$A$1:$V$1,),)=0,#N/A,VLOOKUP(A11,'DB Country PMI'!$A:$V,MATCH($A$1,'DB Country PMI'!$A$1:$V$1,),))</f>
        <v/>
      </c>
      <c r="C11" s="14">
        <f>Table1346811[[#This Row],[PMI]]-B10</f>
        <v/>
      </c>
    </row>
    <row r="12">
      <c r="A12" s="8" t="n">
        <v>41730</v>
      </c>
      <c r="B12" s="11">
        <f>IF(VLOOKUP(A12,'DB Country PMI'!$A:$V,MATCH($A$1,'DB Country PMI'!$A$1:$V$1,),)=0,#N/A,VLOOKUP(A12,'DB Country PMI'!$A:$V,MATCH($A$1,'DB Country PMI'!$A$1:$V$1,),))</f>
        <v/>
      </c>
      <c r="C12" s="14">
        <f>Table1346811[[#This Row],[PMI]]-B11</f>
        <v/>
      </c>
    </row>
    <row r="13">
      <c r="A13" s="8" t="n">
        <v>41760</v>
      </c>
      <c r="B13" s="11">
        <f>IF(VLOOKUP(A13,'DB Country PMI'!$A:$V,MATCH($A$1,'DB Country PMI'!$A$1:$V$1,),)=0,#N/A,VLOOKUP(A13,'DB Country PMI'!$A:$V,MATCH($A$1,'DB Country PMI'!$A$1:$V$1,),))</f>
        <v/>
      </c>
      <c r="C13" s="14">
        <f>Table1346811[[#This Row],[PMI]]-B12</f>
        <v/>
      </c>
    </row>
    <row r="14">
      <c r="A14" s="8" t="n">
        <v>41791</v>
      </c>
      <c r="B14" s="11">
        <f>IF(VLOOKUP(A14,'DB Country PMI'!$A:$V,MATCH($A$1,'DB Country PMI'!$A$1:$V$1,),)=0,#N/A,VLOOKUP(A14,'DB Country PMI'!$A:$V,MATCH($A$1,'DB Country PMI'!$A$1:$V$1,),))</f>
        <v/>
      </c>
      <c r="C14" s="14">
        <f>Table1346811[[#This Row],[PMI]]-B13</f>
        <v/>
      </c>
    </row>
    <row r="15">
      <c r="A15" s="8" t="n">
        <v>41821</v>
      </c>
      <c r="B15" s="11">
        <f>IF(VLOOKUP(A15,'DB Country PMI'!$A:$V,MATCH($A$1,'DB Country PMI'!$A$1:$V$1,),)=0,#N/A,VLOOKUP(A15,'DB Country PMI'!$A:$V,MATCH($A$1,'DB Country PMI'!$A$1:$V$1,),))</f>
        <v/>
      </c>
      <c r="C15" s="14">
        <f>Table1346811[[#This Row],[PMI]]-B14</f>
        <v/>
      </c>
    </row>
    <row r="16">
      <c r="A16" s="8" t="n">
        <v>41852</v>
      </c>
      <c r="B16" s="11">
        <f>IF(VLOOKUP(A16,'DB Country PMI'!$A:$V,MATCH($A$1,'DB Country PMI'!$A$1:$V$1,),)=0,#N/A,VLOOKUP(A16,'DB Country PMI'!$A:$V,MATCH($A$1,'DB Country PMI'!$A$1:$V$1,),))</f>
        <v/>
      </c>
      <c r="C16" s="14">
        <f>Table1346811[[#This Row],[PMI]]-B15</f>
        <v/>
      </c>
    </row>
    <row r="17">
      <c r="A17" s="8" t="n">
        <v>41883</v>
      </c>
      <c r="B17" s="11">
        <f>IF(VLOOKUP(A17,'DB Country PMI'!$A:$V,MATCH($A$1,'DB Country PMI'!$A$1:$V$1,),)=0,#N/A,VLOOKUP(A17,'DB Country PMI'!$A:$V,MATCH($A$1,'DB Country PMI'!$A$1:$V$1,),))</f>
        <v/>
      </c>
      <c r="C17" s="14">
        <f>Table1346811[[#This Row],[PMI]]-B16</f>
        <v/>
      </c>
    </row>
    <row r="18">
      <c r="A18" s="8" t="n">
        <v>41913</v>
      </c>
      <c r="B18" s="11">
        <f>IF(VLOOKUP(A18,'DB Country PMI'!$A:$V,MATCH($A$1,'DB Country PMI'!$A$1:$V$1,),)=0,#N/A,VLOOKUP(A18,'DB Country PMI'!$A:$V,MATCH($A$1,'DB Country PMI'!$A$1:$V$1,),))</f>
        <v/>
      </c>
      <c r="C18" s="14">
        <f>Table1346811[[#This Row],[PMI]]-B17</f>
        <v/>
      </c>
    </row>
    <row r="19">
      <c r="A19" s="8" t="n">
        <v>41944</v>
      </c>
      <c r="B19" s="11">
        <f>IF(VLOOKUP(A19,'DB Country PMI'!$A:$V,MATCH($A$1,'DB Country PMI'!$A$1:$V$1,),)=0,#N/A,VLOOKUP(A19,'DB Country PMI'!$A:$V,MATCH($A$1,'DB Country PMI'!$A$1:$V$1,),))</f>
        <v/>
      </c>
      <c r="C19" s="14">
        <f>Table1346811[[#This Row],[PMI]]-B18</f>
        <v/>
      </c>
    </row>
    <row r="20">
      <c r="A20" s="8" t="n">
        <v>41974</v>
      </c>
      <c r="B20" s="11">
        <f>IF(VLOOKUP(A20,'DB Country PMI'!$A:$V,MATCH($A$1,'DB Country PMI'!$A$1:$V$1,),)=0,#N/A,VLOOKUP(A20,'DB Country PMI'!$A:$V,MATCH($A$1,'DB Country PMI'!$A$1:$V$1,),))</f>
        <v/>
      </c>
      <c r="C20" s="14">
        <f>Table1346811[[#This Row],[PMI]]-B19</f>
        <v/>
      </c>
    </row>
    <row r="21">
      <c r="A21" s="8" t="n">
        <v>42005</v>
      </c>
      <c r="B21" s="11">
        <f>IF(VLOOKUP(A21,'DB Country PMI'!$A:$V,MATCH($A$1,'DB Country PMI'!$A$1:$V$1,),)=0,#N/A,VLOOKUP(A21,'DB Country PMI'!$A:$V,MATCH($A$1,'DB Country PMI'!$A$1:$V$1,),))</f>
        <v/>
      </c>
      <c r="C21" s="14">
        <f>Table1346811[[#This Row],[PMI]]-B20</f>
        <v/>
      </c>
    </row>
    <row r="22">
      <c r="A22" s="8" t="n">
        <v>42036</v>
      </c>
      <c r="B22" s="11">
        <f>IF(VLOOKUP(A22,'DB Country PMI'!$A:$V,MATCH($A$1,'DB Country PMI'!$A$1:$V$1,),)=0,#N/A,VLOOKUP(A22,'DB Country PMI'!$A:$V,MATCH($A$1,'DB Country PMI'!$A$1:$V$1,),))</f>
        <v/>
      </c>
      <c r="C22" s="14">
        <f>Table1346811[[#This Row],[PMI]]-B21</f>
        <v/>
      </c>
    </row>
    <row r="23">
      <c r="A23" s="8" t="n">
        <v>42064</v>
      </c>
      <c r="B23" s="11">
        <f>IF(VLOOKUP(A23,'DB Country PMI'!$A:$V,MATCH($A$1,'DB Country PMI'!$A$1:$V$1,),)=0,#N/A,VLOOKUP(A23,'DB Country PMI'!$A:$V,MATCH($A$1,'DB Country PMI'!$A$1:$V$1,),))</f>
        <v/>
      </c>
      <c r="C23" s="14">
        <f>Table1346811[[#This Row],[PMI]]-B22</f>
        <v/>
      </c>
    </row>
    <row r="24">
      <c r="A24" s="8" t="n">
        <v>42095</v>
      </c>
      <c r="B24" s="11">
        <f>IF(VLOOKUP(A24,'DB Country PMI'!$A:$V,MATCH($A$1,'DB Country PMI'!$A$1:$V$1,),)=0,#N/A,VLOOKUP(A24,'DB Country PMI'!$A:$V,MATCH($A$1,'DB Country PMI'!$A$1:$V$1,),))</f>
        <v/>
      </c>
      <c r="C24" s="14">
        <f>Table1346811[[#This Row],[PMI]]-B23</f>
        <v/>
      </c>
    </row>
    <row r="25">
      <c r="A25" s="8" t="n">
        <v>42125</v>
      </c>
      <c r="B25" s="11">
        <f>IF(VLOOKUP(A25,'DB Country PMI'!$A:$V,MATCH($A$1,'DB Country PMI'!$A$1:$V$1,),)=0,#N/A,VLOOKUP(A25,'DB Country PMI'!$A:$V,MATCH($A$1,'DB Country PMI'!$A$1:$V$1,),))</f>
        <v/>
      </c>
      <c r="C25" s="14">
        <f>Table1346811[[#This Row],[PMI]]-B24</f>
        <v/>
      </c>
    </row>
    <row r="26">
      <c r="A26" s="8" t="n">
        <v>42156</v>
      </c>
      <c r="B26" s="11">
        <f>IF(VLOOKUP(A26,'DB Country PMI'!$A:$V,MATCH($A$1,'DB Country PMI'!$A$1:$V$1,),)=0,#N/A,VLOOKUP(A26,'DB Country PMI'!$A:$V,MATCH($A$1,'DB Country PMI'!$A$1:$V$1,),))</f>
        <v/>
      </c>
      <c r="C26" s="14">
        <f>Table1346811[[#This Row],[PMI]]-B25</f>
        <v/>
      </c>
    </row>
    <row r="27">
      <c r="A27" s="8" t="n">
        <v>42186</v>
      </c>
      <c r="B27" s="11">
        <f>IF(VLOOKUP(A27,'DB Country PMI'!$A:$V,MATCH($A$1,'DB Country PMI'!$A$1:$V$1,),)=0,#N/A,VLOOKUP(A27,'DB Country PMI'!$A:$V,MATCH($A$1,'DB Country PMI'!$A$1:$V$1,),))</f>
        <v/>
      </c>
      <c r="C27" s="14">
        <f>Table1346811[[#This Row],[PMI]]-B26</f>
        <v/>
      </c>
    </row>
    <row r="28">
      <c r="A28" s="8" t="n">
        <v>42217</v>
      </c>
      <c r="B28" s="11">
        <f>IF(VLOOKUP(A28,'DB Country PMI'!$A:$V,MATCH($A$1,'DB Country PMI'!$A$1:$V$1,),)=0,#N/A,VLOOKUP(A28,'DB Country PMI'!$A:$V,MATCH($A$1,'DB Country PMI'!$A$1:$V$1,),))</f>
        <v/>
      </c>
      <c r="C28" s="14">
        <f>Table1346811[[#This Row],[PMI]]-B27</f>
        <v/>
      </c>
    </row>
    <row r="29">
      <c r="A29" s="8" t="n">
        <v>42248</v>
      </c>
      <c r="B29" s="11">
        <f>IF(VLOOKUP(A29,'DB Country PMI'!$A:$V,MATCH($A$1,'DB Country PMI'!$A$1:$V$1,),)=0,#N/A,VLOOKUP(A29,'DB Country PMI'!$A:$V,MATCH($A$1,'DB Country PMI'!$A$1:$V$1,),))</f>
        <v/>
      </c>
      <c r="C29" s="14">
        <f>Table1346811[[#This Row],[PMI]]-B28</f>
        <v/>
      </c>
    </row>
    <row r="30">
      <c r="A30" s="8" t="n">
        <v>42278</v>
      </c>
      <c r="B30" s="11">
        <f>IF(VLOOKUP(A30,'DB Country PMI'!$A:$V,MATCH($A$1,'DB Country PMI'!$A$1:$V$1,),)=0,#N/A,VLOOKUP(A30,'DB Country PMI'!$A:$V,MATCH($A$1,'DB Country PMI'!$A$1:$V$1,),))</f>
        <v/>
      </c>
      <c r="C30" s="14">
        <f>Table1346811[[#This Row],[PMI]]-B29</f>
        <v/>
      </c>
    </row>
    <row r="31">
      <c r="A31" s="8" t="n">
        <v>42309</v>
      </c>
      <c r="B31" s="11">
        <f>IF(VLOOKUP(A31,'DB Country PMI'!$A:$V,MATCH($A$1,'DB Country PMI'!$A$1:$V$1,),)=0,#N/A,VLOOKUP(A31,'DB Country PMI'!$A:$V,MATCH($A$1,'DB Country PMI'!$A$1:$V$1,),))</f>
        <v/>
      </c>
      <c r="C31" s="14">
        <f>Table1346811[[#This Row],[PMI]]-B30</f>
        <v/>
      </c>
    </row>
    <row r="32">
      <c r="A32" s="8" t="n">
        <v>42339</v>
      </c>
      <c r="B32" s="11">
        <f>IF(VLOOKUP(A32,'DB Country PMI'!$A:$V,MATCH($A$1,'DB Country PMI'!$A$1:$V$1,),)=0,#N/A,VLOOKUP(A32,'DB Country PMI'!$A:$V,MATCH($A$1,'DB Country PMI'!$A$1:$V$1,),))</f>
        <v/>
      </c>
      <c r="C32" s="14">
        <f>Table1346811[[#This Row],[PMI]]-B31</f>
        <v/>
      </c>
    </row>
    <row r="33">
      <c r="A33" s="8" t="n">
        <v>42370</v>
      </c>
      <c r="B33" s="11">
        <f>IF(VLOOKUP(A33,'DB Country PMI'!$A:$V,MATCH($A$1,'DB Country PMI'!$A$1:$V$1,),)=0,#N/A,VLOOKUP(A33,'DB Country PMI'!$A:$V,MATCH($A$1,'DB Country PMI'!$A$1:$V$1,),))</f>
        <v/>
      </c>
      <c r="C33" s="14">
        <f>Table1346811[[#This Row],[PMI]]-B32</f>
        <v/>
      </c>
    </row>
    <row r="34">
      <c r="A34" s="8" t="n">
        <v>42401</v>
      </c>
      <c r="B34" s="11">
        <f>IF(VLOOKUP(A34,'DB Country PMI'!$A:$V,MATCH($A$1,'DB Country PMI'!$A$1:$V$1,),)=0,#N/A,VLOOKUP(A34,'DB Country PMI'!$A:$V,MATCH($A$1,'DB Country PMI'!$A$1:$V$1,),))</f>
        <v/>
      </c>
      <c r="C34" s="14">
        <f>Table1346811[[#This Row],[PMI]]-B33</f>
        <v/>
      </c>
    </row>
    <row r="35">
      <c r="A35" s="8" t="n">
        <v>42430</v>
      </c>
      <c r="B35" s="11">
        <f>IF(VLOOKUP(A35,'DB Country PMI'!$A:$V,MATCH($A$1,'DB Country PMI'!$A$1:$V$1,),)=0,#N/A,VLOOKUP(A35,'DB Country PMI'!$A:$V,MATCH($A$1,'DB Country PMI'!$A$1:$V$1,),))</f>
        <v/>
      </c>
      <c r="C35" s="14">
        <f>Table1346811[[#This Row],[PMI]]-B34</f>
        <v/>
      </c>
    </row>
    <row r="36">
      <c r="A36" s="8" t="n">
        <v>42461</v>
      </c>
      <c r="B36" s="11">
        <f>IF(VLOOKUP(A36,'DB Country PMI'!$A:$V,MATCH($A$1,'DB Country PMI'!$A$1:$V$1,),)=0,#N/A,VLOOKUP(A36,'DB Country PMI'!$A:$V,MATCH($A$1,'DB Country PMI'!$A$1:$V$1,),))</f>
        <v/>
      </c>
      <c r="C36" s="14">
        <f>Table1346811[[#This Row],[PMI]]-B35</f>
        <v/>
      </c>
    </row>
    <row r="37">
      <c r="A37" s="8" t="n">
        <v>42491</v>
      </c>
      <c r="B37" s="11">
        <f>IF(VLOOKUP(A37,'DB Country PMI'!$A:$V,MATCH($A$1,'DB Country PMI'!$A$1:$V$1,),)=0,#N/A,VLOOKUP(A37,'DB Country PMI'!$A:$V,MATCH($A$1,'DB Country PMI'!$A$1:$V$1,),))</f>
        <v/>
      </c>
      <c r="C37" s="14">
        <f>Table1346811[[#This Row],[PMI]]-B36</f>
        <v/>
      </c>
    </row>
    <row r="38">
      <c r="A38" s="8" t="n">
        <v>42522</v>
      </c>
      <c r="B38" s="11">
        <f>IF(VLOOKUP(A38,'DB Country PMI'!$A:$V,MATCH($A$1,'DB Country PMI'!$A$1:$V$1,),)=0,#N/A,VLOOKUP(A38,'DB Country PMI'!$A:$V,MATCH($A$1,'DB Country PMI'!$A$1:$V$1,),))</f>
        <v/>
      </c>
      <c r="C38" s="14">
        <f>Table1346811[[#This Row],[PMI]]-B37</f>
        <v/>
      </c>
    </row>
    <row r="39">
      <c r="A39" s="8" t="n">
        <v>42552</v>
      </c>
      <c r="B39" s="11">
        <f>IF(VLOOKUP(A39,'DB Country PMI'!$A:$V,MATCH($A$1,'DB Country PMI'!$A$1:$V$1,),)=0,#N/A,VLOOKUP(A39,'DB Country PMI'!$A:$V,MATCH($A$1,'DB Country PMI'!$A$1:$V$1,),))</f>
        <v/>
      </c>
      <c r="C39" s="14">
        <f>Table1346811[[#This Row],[PMI]]-B38</f>
        <v/>
      </c>
    </row>
    <row r="40">
      <c r="A40" s="8" t="n">
        <v>42583</v>
      </c>
      <c r="B40" s="11">
        <f>IF(VLOOKUP(A40,'DB Country PMI'!$A:$V,MATCH($A$1,'DB Country PMI'!$A$1:$V$1,),)=0,#N/A,VLOOKUP(A40,'DB Country PMI'!$A:$V,MATCH($A$1,'DB Country PMI'!$A$1:$V$1,),))</f>
        <v/>
      </c>
      <c r="C40" s="14">
        <f>Table1346811[[#This Row],[PMI]]-B39</f>
        <v/>
      </c>
    </row>
    <row r="41">
      <c r="A41" s="8" t="n">
        <v>42614</v>
      </c>
      <c r="B41" s="11">
        <f>IF(VLOOKUP(A41,'DB Country PMI'!$A:$V,MATCH($A$1,'DB Country PMI'!$A$1:$V$1,),)=0,#N/A,VLOOKUP(A41,'DB Country PMI'!$A:$V,MATCH($A$1,'DB Country PMI'!$A$1:$V$1,),))</f>
        <v/>
      </c>
      <c r="C41" s="14">
        <f>Table1346811[[#This Row],[PMI]]-B40</f>
        <v/>
      </c>
    </row>
    <row r="42">
      <c r="A42" s="8" t="n">
        <v>42644</v>
      </c>
      <c r="B42" s="11">
        <f>IF(VLOOKUP(A42,'DB Country PMI'!$A:$V,MATCH($A$1,'DB Country PMI'!$A$1:$V$1,),)=0,#N/A,VLOOKUP(A42,'DB Country PMI'!$A:$V,MATCH($A$1,'DB Country PMI'!$A$1:$V$1,),))</f>
        <v/>
      </c>
      <c r="C42" s="14">
        <f>Table1346811[[#This Row],[PMI]]-B41</f>
        <v/>
      </c>
    </row>
    <row r="43">
      <c r="A43" s="8" t="n">
        <v>42675</v>
      </c>
      <c r="B43" s="11">
        <f>IF(VLOOKUP(A43,'DB Country PMI'!$A:$V,MATCH($A$1,'DB Country PMI'!$A$1:$V$1,),)=0,#N/A,VLOOKUP(A43,'DB Country PMI'!$A:$V,MATCH($A$1,'DB Country PMI'!$A$1:$V$1,),))</f>
        <v/>
      </c>
      <c r="C43" s="14">
        <f>Table1346811[[#This Row],[PMI]]-B42</f>
        <v/>
      </c>
    </row>
    <row r="44">
      <c r="A44" s="8" t="n">
        <v>42705</v>
      </c>
      <c r="B44" s="11">
        <f>IF(VLOOKUP(A44,'DB Country PMI'!$A:$V,MATCH($A$1,'DB Country PMI'!$A$1:$V$1,),)=0,#N/A,VLOOKUP(A44,'DB Country PMI'!$A:$V,MATCH($A$1,'DB Country PMI'!$A$1:$V$1,),))</f>
        <v/>
      </c>
      <c r="C44" s="14">
        <f>Table1346811[[#This Row],[PMI]]-B43</f>
        <v/>
      </c>
    </row>
    <row r="45">
      <c r="A45" s="8" t="n">
        <v>42736</v>
      </c>
      <c r="B45" s="11">
        <f>IF(VLOOKUP(A45,'DB Country PMI'!$A:$V,MATCH($A$1,'DB Country PMI'!$A$1:$V$1,),)=0,#N/A,VLOOKUP(A45,'DB Country PMI'!$A:$V,MATCH($A$1,'DB Country PMI'!$A$1:$V$1,),))</f>
        <v/>
      </c>
      <c r="C45" s="14">
        <f>Table1346811[[#This Row],[PMI]]-B44</f>
        <v/>
      </c>
    </row>
    <row r="46">
      <c r="A46" s="8" t="n">
        <v>42767</v>
      </c>
      <c r="B46" s="11">
        <f>IF(VLOOKUP(A46,'DB Country PMI'!$A:$V,MATCH($A$1,'DB Country PMI'!$A$1:$V$1,),)=0,#N/A,VLOOKUP(A46,'DB Country PMI'!$A:$V,MATCH($A$1,'DB Country PMI'!$A$1:$V$1,),))</f>
        <v/>
      </c>
      <c r="C46" s="14">
        <f>Table1346811[[#This Row],[PMI]]-B45</f>
        <v/>
      </c>
    </row>
    <row r="47">
      <c r="A47" s="8" t="n">
        <v>42795</v>
      </c>
      <c r="B47" s="11">
        <f>IF(VLOOKUP(A47,'DB Country PMI'!$A:$V,MATCH($A$1,'DB Country PMI'!$A$1:$V$1,),)=0,#N/A,VLOOKUP(A47,'DB Country PMI'!$A:$V,MATCH($A$1,'DB Country PMI'!$A$1:$V$1,),))</f>
        <v/>
      </c>
      <c r="C47" s="14">
        <f>Table1346811[[#This Row],[PMI]]-B46</f>
        <v/>
      </c>
    </row>
    <row r="48">
      <c r="A48" s="8" t="n">
        <v>42826</v>
      </c>
      <c r="B48" s="11">
        <f>IF(VLOOKUP(A48,'DB Country PMI'!$A:$V,MATCH($A$1,'DB Country PMI'!$A$1:$V$1,),)=0,#N/A,VLOOKUP(A48,'DB Country PMI'!$A:$V,MATCH($A$1,'DB Country PMI'!$A$1:$V$1,),))</f>
        <v/>
      </c>
      <c r="C48" s="14">
        <f>Table1346811[[#This Row],[PMI]]-B47</f>
        <v/>
      </c>
    </row>
    <row r="49">
      <c r="A49" s="8" t="n">
        <v>42856</v>
      </c>
      <c r="B49" s="11">
        <f>IF(VLOOKUP(A49,'DB Country PMI'!$A:$V,MATCH($A$1,'DB Country PMI'!$A$1:$V$1,),)=0,#N/A,VLOOKUP(A49,'DB Country PMI'!$A:$V,MATCH($A$1,'DB Country PMI'!$A$1:$V$1,),))</f>
        <v/>
      </c>
      <c r="C49" s="14">
        <f>Table1346811[[#This Row],[PMI]]-B48</f>
        <v/>
      </c>
    </row>
    <row r="50">
      <c r="A50" s="8" t="n">
        <v>42887</v>
      </c>
      <c r="B50" s="11">
        <f>IF(VLOOKUP(A50,'DB Country PMI'!$A:$V,MATCH($A$1,'DB Country PMI'!$A$1:$V$1,),)=0,#N/A,VLOOKUP(A50,'DB Country PMI'!$A:$V,MATCH($A$1,'DB Country PMI'!$A$1:$V$1,),))</f>
        <v/>
      </c>
      <c r="C50" s="14">
        <f>Table1346811[[#This Row],[PMI]]-B49</f>
        <v/>
      </c>
    </row>
    <row r="51">
      <c r="A51" s="8" t="n">
        <v>42917</v>
      </c>
      <c r="B51" s="11">
        <f>IF(VLOOKUP(A51,'DB Country PMI'!$A:$V,MATCH($A$1,'DB Country PMI'!$A$1:$V$1,),)=0,#N/A,VLOOKUP(A51,'DB Country PMI'!$A:$V,MATCH($A$1,'DB Country PMI'!$A$1:$V$1,),))</f>
        <v/>
      </c>
      <c r="C51" s="14">
        <f>Table1346811[[#This Row],[PMI]]-B50</f>
        <v/>
      </c>
    </row>
    <row r="52">
      <c r="A52" s="8" t="n">
        <v>42948</v>
      </c>
      <c r="B52" s="11">
        <f>IF(VLOOKUP(A52,'DB Country PMI'!$A:$V,MATCH($A$1,'DB Country PMI'!$A$1:$V$1,),)=0,#N/A,VLOOKUP(A52,'DB Country PMI'!$A:$V,MATCH($A$1,'DB Country PMI'!$A$1:$V$1,),))</f>
        <v/>
      </c>
      <c r="C52" s="14">
        <f>Table1346811[[#This Row],[PMI]]-B51</f>
        <v/>
      </c>
    </row>
    <row r="53">
      <c r="A53" s="8" t="n">
        <v>42979</v>
      </c>
      <c r="B53" s="11">
        <f>IF(VLOOKUP(A53,'DB Country PMI'!$A:$V,MATCH($A$1,'DB Country PMI'!$A$1:$V$1,),)=0,#N/A,VLOOKUP(A53,'DB Country PMI'!$A:$V,MATCH($A$1,'DB Country PMI'!$A$1:$V$1,),))</f>
        <v/>
      </c>
      <c r="C53" s="14">
        <f>Table1346811[[#This Row],[PMI]]-B52</f>
        <v/>
      </c>
    </row>
    <row r="54">
      <c r="A54" s="8" t="n">
        <v>43009</v>
      </c>
      <c r="B54" s="11">
        <f>IF(VLOOKUP(A54,'DB Country PMI'!$A:$V,MATCH($A$1,'DB Country PMI'!$A$1:$V$1,),)=0,#N/A,VLOOKUP(A54,'DB Country PMI'!$A:$V,MATCH($A$1,'DB Country PMI'!$A$1:$V$1,),))</f>
        <v/>
      </c>
      <c r="C54" s="14">
        <f>Table1346811[[#This Row],[PMI]]-B53</f>
        <v/>
      </c>
    </row>
    <row r="55">
      <c r="A55" s="8" t="n">
        <v>43040</v>
      </c>
      <c r="B55" s="11">
        <f>IF(VLOOKUP(A55,'DB Country PMI'!$A:$V,MATCH($A$1,'DB Country PMI'!$A$1:$V$1,),)=0,#N/A,VLOOKUP(A55,'DB Country PMI'!$A:$V,MATCH($A$1,'DB Country PMI'!$A$1:$V$1,),))</f>
        <v/>
      </c>
      <c r="C55" s="14">
        <f>Table1346811[[#This Row],[PMI]]-B54</f>
        <v/>
      </c>
    </row>
    <row r="56">
      <c r="A56" s="8" t="n">
        <v>43070</v>
      </c>
      <c r="B56" s="11">
        <f>IF(VLOOKUP(A56,'DB Country PMI'!$A:$V,MATCH($A$1,'DB Country PMI'!$A$1:$V$1,),)=0,#N/A,VLOOKUP(A56,'DB Country PMI'!$A:$V,MATCH($A$1,'DB Country PMI'!$A$1:$V$1,),))</f>
        <v/>
      </c>
      <c r="C56" s="14">
        <f>Table1346811[[#This Row],[PMI]]-B55</f>
        <v/>
      </c>
    </row>
    <row r="57">
      <c r="A57" s="8" t="n">
        <v>43101</v>
      </c>
      <c r="B57" s="11">
        <f>IF(VLOOKUP(A57,'DB Country PMI'!$A:$V,MATCH($A$1,'DB Country PMI'!$A$1:$V$1,),)=0,#N/A,VLOOKUP(A57,'DB Country PMI'!$A:$V,MATCH($A$1,'DB Country PMI'!$A$1:$V$1,),))</f>
        <v/>
      </c>
      <c r="C57" s="14">
        <f>Table1346811[[#This Row],[PMI]]-B56</f>
        <v/>
      </c>
    </row>
    <row r="58">
      <c r="A58" s="8" t="n">
        <v>43132</v>
      </c>
      <c r="B58" s="11">
        <f>IF(VLOOKUP(A58,'DB Country PMI'!$A:$V,MATCH($A$1,'DB Country PMI'!$A$1:$V$1,),)=0,#N/A,VLOOKUP(A58,'DB Country PMI'!$A:$V,MATCH($A$1,'DB Country PMI'!$A$1:$V$1,),))</f>
        <v/>
      </c>
      <c r="C58" s="14">
        <f>Table1346811[[#This Row],[PMI]]-B57</f>
        <v/>
      </c>
    </row>
    <row r="59">
      <c r="A59" s="8" t="n">
        <v>43160</v>
      </c>
      <c r="B59" s="11">
        <f>IF(VLOOKUP(A59,'DB Country PMI'!$A:$V,MATCH($A$1,'DB Country PMI'!$A$1:$V$1,),)=0,#N/A,VLOOKUP(A59,'DB Country PMI'!$A:$V,MATCH($A$1,'DB Country PMI'!$A$1:$V$1,),))</f>
        <v/>
      </c>
      <c r="C59" s="14">
        <f>Table1346811[[#This Row],[PMI]]-B58</f>
        <v/>
      </c>
    </row>
    <row r="60">
      <c r="A60" s="8" t="n">
        <v>43191</v>
      </c>
      <c r="B60" s="11">
        <f>IF(VLOOKUP(A60,'DB Country PMI'!$A:$V,MATCH($A$1,'DB Country PMI'!$A$1:$V$1,),)=0,#N/A,VLOOKUP(A60,'DB Country PMI'!$A:$V,MATCH($A$1,'DB Country PMI'!$A$1:$V$1,),))</f>
        <v/>
      </c>
      <c r="C60" s="14">
        <f>Table1346811[[#This Row],[PMI]]-B59</f>
        <v/>
      </c>
    </row>
    <row r="61">
      <c r="A61" s="8" t="n">
        <v>43221</v>
      </c>
      <c r="B61" s="11">
        <f>IF(VLOOKUP(A61,'DB Country PMI'!$A:$V,MATCH($A$1,'DB Country PMI'!$A$1:$V$1,),)=0,#N/A,VLOOKUP(A61,'DB Country PMI'!$A:$V,MATCH($A$1,'DB Country PMI'!$A$1:$V$1,),))</f>
        <v/>
      </c>
      <c r="C61" s="14">
        <f>Table1346811[[#This Row],[PMI]]-B60</f>
        <v/>
      </c>
    </row>
    <row r="62">
      <c r="A62" s="8" t="n">
        <v>43252</v>
      </c>
      <c r="B62" s="11">
        <f>IF(VLOOKUP(A62,'DB Country PMI'!$A:$V,MATCH($A$1,'DB Country PMI'!$A$1:$V$1,),)=0,#N/A,VLOOKUP(A62,'DB Country PMI'!$A:$V,MATCH($A$1,'DB Country PMI'!$A$1:$V$1,),))</f>
        <v/>
      </c>
      <c r="C62" s="14">
        <f>Table1346811[[#This Row],[PMI]]-B61</f>
        <v/>
      </c>
    </row>
    <row r="63">
      <c r="A63" s="8" t="n">
        <v>43282</v>
      </c>
      <c r="B63" s="11">
        <f>IF(VLOOKUP(A63,'DB Country PMI'!$A:$V,MATCH($A$1,'DB Country PMI'!$A$1:$V$1,),)=0,#N/A,VLOOKUP(A63,'DB Country PMI'!$A:$V,MATCH($A$1,'DB Country PMI'!$A$1:$V$1,),))</f>
        <v/>
      </c>
      <c r="C63" s="14">
        <f>Table1346811[[#This Row],[PMI]]-B62</f>
        <v/>
      </c>
    </row>
    <row r="64">
      <c r="A64" s="8" t="n">
        <v>43313</v>
      </c>
      <c r="B64" s="11">
        <f>IF(VLOOKUP(A64,'DB Country PMI'!$A:$V,MATCH($A$1,'DB Country PMI'!$A$1:$V$1,),)=0,#N/A,VLOOKUP(A64,'DB Country PMI'!$A:$V,MATCH($A$1,'DB Country PMI'!$A$1:$V$1,),))</f>
        <v/>
      </c>
      <c r="C64" s="14">
        <f>Table1346811[[#This Row],[PMI]]-B63</f>
        <v/>
      </c>
    </row>
    <row r="65">
      <c r="A65" s="8" t="n">
        <v>43344</v>
      </c>
      <c r="B65" s="11">
        <f>IF(VLOOKUP(A65,'DB Country PMI'!$A:$V,MATCH($A$1,'DB Country PMI'!$A$1:$V$1,),)=0,#N/A,VLOOKUP(A65,'DB Country PMI'!$A:$V,MATCH($A$1,'DB Country PMI'!$A$1:$V$1,),))</f>
        <v/>
      </c>
      <c r="C65" s="14">
        <f>Table1346811[[#This Row],[PMI]]-B64</f>
        <v/>
      </c>
    </row>
    <row r="66">
      <c r="A66" s="8" t="n">
        <v>43374</v>
      </c>
      <c r="B66" s="11">
        <f>IF(VLOOKUP(A66,'DB Country PMI'!$A:$V,MATCH($A$1,'DB Country PMI'!$A$1:$V$1,),)=0,#N/A,VLOOKUP(A66,'DB Country PMI'!$A:$V,MATCH($A$1,'DB Country PMI'!$A$1:$V$1,),))</f>
        <v/>
      </c>
      <c r="C66" s="14">
        <f>Table1346811[[#This Row],[PMI]]-B65</f>
        <v/>
      </c>
    </row>
    <row r="67">
      <c r="A67" s="8" t="n">
        <v>43405</v>
      </c>
      <c r="B67" s="11">
        <f>IF(VLOOKUP(A67,'DB Country PMI'!$A:$V,MATCH($A$1,'DB Country PMI'!$A$1:$V$1,),)=0,#N/A,VLOOKUP(A67,'DB Country PMI'!$A:$V,MATCH($A$1,'DB Country PMI'!$A$1:$V$1,),))</f>
        <v/>
      </c>
      <c r="C67" s="14">
        <f>Table1346811[[#This Row],[PMI]]-B66</f>
        <v/>
      </c>
    </row>
    <row r="68">
      <c r="A68" s="8" t="n">
        <v>43435</v>
      </c>
      <c r="B68" s="11">
        <f>IF(VLOOKUP(A68,'DB Country PMI'!$A:$V,MATCH($A$1,'DB Country PMI'!$A$1:$V$1,),)=0,#N/A,VLOOKUP(A68,'DB Country PMI'!$A:$V,MATCH($A$1,'DB Country PMI'!$A$1:$V$1,),))</f>
        <v/>
      </c>
      <c r="C68" s="14">
        <f>Table1346811[[#This Row],[PMI]]-B67</f>
        <v/>
      </c>
    </row>
    <row r="69">
      <c r="A69" s="8" t="n">
        <v>43466</v>
      </c>
      <c r="B69" s="11">
        <f>IF(VLOOKUP(A69,'DB Country PMI'!$A:$V,MATCH($A$1,'DB Country PMI'!$A$1:$V$1,),)=0,#N/A,VLOOKUP(A69,'DB Country PMI'!$A:$V,MATCH($A$1,'DB Country PMI'!$A$1:$V$1,),))</f>
        <v/>
      </c>
      <c r="C69" s="14">
        <f>Table1346811[[#This Row],[PMI]]-B68</f>
        <v/>
      </c>
    </row>
    <row r="70">
      <c r="A70" s="8" t="n">
        <v>43497</v>
      </c>
      <c r="B70" s="11">
        <f>IF(VLOOKUP(A70,'DB Country PMI'!$A:$V,MATCH($A$1,'DB Country PMI'!$A$1:$V$1,),)=0,#N/A,VLOOKUP(A70,'DB Country PMI'!$A:$V,MATCH($A$1,'DB Country PMI'!$A$1:$V$1,),))</f>
        <v/>
      </c>
      <c r="C70" s="14">
        <f>Table1346811[[#This Row],[PMI]]-B69</f>
        <v/>
      </c>
    </row>
    <row r="71">
      <c r="A71" s="8" t="n">
        <v>43525</v>
      </c>
      <c r="B71" s="11">
        <f>IF(VLOOKUP(A71,'DB Country PMI'!$A:$V,MATCH($A$1,'DB Country PMI'!$A$1:$V$1,),)=0,#N/A,VLOOKUP(A71,'DB Country PMI'!$A:$V,MATCH($A$1,'DB Country PMI'!$A$1:$V$1,),))</f>
        <v/>
      </c>
      <c r="C71" s="14">
        <f>Table1346811[[#This Row],[PMI]]-B70</f>
        <v/>
      </c>
    </row>
    <row r="72">
      <c r="A72" s="8" t="n">
        <v>43556</v>
      </c>
      <c r="B72" s="11">
        <f>IF(VLOOKUP(A72,'DB Country PMI'!$A:$V,MATCH($A$1,'DB Country PMI'!$A$1:$V$1,),)=0,#N/A,VLOOKUP(A72,'DB Country PMI'!$A:$V,MATCH($A$1,'DB Country PMI'!$A$1:$V$1,),))</f>
        <v/>
      </c>
      <c r="C72" s="14">
        <f>Table1346811[[#This Row],[PMI]]-B71</f>
        <v/>
      </c>
    </row>
    <row r="73">
      <c r="A73" s="8" t="n">
        <v>43586</v>
      </c>
      <c r="B73" s="11">
        <f>IF(VLOOKUP(A73,'DB Country PMI'!$A:$V,MATCH($A$1,'DB Country PMI'!$A$1:$V$1,),)=0,#N/A,VLOOKUP(A73,'DB Country PMI'!$A:$V,MATCH($A$1,'DB Country PMI'!$A$1:$V$1,),))</f>
        <v/>
      </c>
      <c r="C73" s="14">
        <f>Table1346811[[#This Row],[PMI]]-B72</f>
        <v/>
      </c>
    </row>
    <row r="74">
      <c r="A74" s="8" t="n">
        <v>43617</v>
      </c>
      <c r="B74" s="11">
        <f>IF(VLOOKUP(A74,'DB Country PMI'!$A:$V,MATCH($A$1,'DB Country PMI'!$A$1:$V$1,),)=0,#N/A,VLOOKUP(A74,'DB Country PMI'!$A:$V,MATCH($A$1,'DB Country PMI'!$A$1:$V$1,),))</f>
        <v/>
      </c>
      <c r="C74" s="14">
        <f>Table1346811[[#This Row],[PMI]]-B73</f>
        <v/>
      </c>
    </row>
    <row r="75">
      <c r="A75" s="8" t="n">
        <v>43647</v>
      </c>
      <c r="B75" s="11">
        <f>IF(VLOOKUP(A75,'DB Country PMI'!$A:$V,MATCH($A$1,'DB Country PMI'!$A$1:$V$1,),)=0,#N/A,VLOOKUP(A75,'DB Country PMI'!$A:$V,MATCH($A$1,'DB Country PMI'!$A$1:$V$1,),))</f>
        <v/>
      </c>
      <c r="C75" s="14">
        <f>Table1346811[[#This Row],[PMI]]-B74</f>
        <v/>
      </c>
    </row>
    <row r="76">
      <c r="A76" s="8" t="n">
        <v>43678</v>
      </c>
      <c r="B76" s="11">
        <f>IF(VLOOKUP(A76,'DB Country PMI'!$A:$V,MATCH($A$1,'DB Country PMI'!$A$1:$V$1,),)=0,#N/A,VLOOKUP(A76,'DB Country PMI'!$A:$V,MATCH($A$1,'DB Country PMI'!$A$1:$V$1,),))</f>
        <v/>
      </c>
      <c r="C76" s="14">
        <f>Table1346811[[#This Row],[PMI]]-B75</f>
        <v/>
      </c>
    </row>
    <row r="77">
      <c r="A77" s="8" t="n">
        <v>43709</v>
      </c>
      <c r="B77" s="11">
        <f>IF(VLOOKUP(A77,'DB Country PMI'!$A:$V,MATCH($A$1,'DB Country PMI'!$A$1:$V$1,),)=0,#N/A,VLOOKUP(A77,'DB Country PMI'!$A:$V,MATCH($A$1,'DB Country PMI'!$A$1:$V$1,),))</f>
        <v/>
      </c>
      <c r="C77" s="14">
        <f>Table1346811[[#This Row],[PMI]]-B76</f>
        <v/>
      </c>
    </row>
    <row r="78">
      <c r="A78" s="8" t="n">
        <v>43739</v>
      </c>
      <c r="B78" s="11">
        <f>IF(VLOOKUP(A78,'DB Country PMI'!$A:$V,MATCH($A$1,'DB Country PMI'!$A$1:$V$1,),)=0,#N/A,VLOOKUP(A78,'DB Country PMI'!$A:$V,MATCH($A$1,'DB Country PMI'!$A$1:$V$1,),))</f>
        <v/>
      </c>
      <c r="C78" s="14">
        <f>Table1346811[[#This Row],[PMI]]-B77</f>
        <v/>
      </c>
    </row>
    <row r="79">
      <c r="A79" s="8" t="n">
        <v>43770</v>
      </c>
      <c r="B79" s="11">
        <f>IF(VLOOKUP(A79,'DB Country PMI'!$A:$V,MATCH($A$1,'DB Country PMI'!$A$1:$V$1,),)=0,#N/A,VLOOKUP(A79,'DB Country PMI'!$A:$V,MATCH($A$1,'DB Country PMI'!$A$1:$V$1,),))</f>
        <v/>
      </c>
      <c r="C79" s="14">
        <f>Table1346811[[#This Row],[PMI]]-B78</f>
        <v/>
      </c>
    </row>
    <row r="80">
      <c r="A80" s="8" t="n">
        <v>43800</v>
      </c>
      <c r="B80" s="11">
        <f>IF(VLOOKUP(A80,'DB Country PMI'!$A:$V,MATCH($A$1,'DB Country PMI'!$A$1:$V$1,),)=0,#N/A,VLOOKUP(A80,'DB Country PMI'!$A:$V,MATCH($A$1,'DB Country PMI'!$A$1:$V$1,),))</f>
        <v/>
      </c>
      <c r="C80" s="14">
        <f>Table1346811[[#This Row],[PMI]]-B79</f>
        <v/>
      </c>
    </row>
    <row r="81">
      <c r="A81" s="8" t="n">
        <v>43831</v>
      </c>
      <c r="B81" s="11">
        <f>IF(VLOOKUP(A81,'DB Country PMI'!$A:$V,MATCH($A$1,'DB Country PMI'!$A$1:$V$1,),)=0,#N/A,VLOOKUP(A81,'DB Country PMI'!$A:$V,MATCH($A$1,'DB Country PMI'!$A$1:$V$1,),))</f>
        <v/>
      </c>
      <c r="C81" s="14">
        <f>Table1346811[[#This Row],[PMI]]-B80</f>
        <v/>
      </c>
    </row>
    <row r="82">
      <c r="A82" s="8" t="n">
        <v>43862</v>
      </c>
      <c r="B82" s="11">
        <f>IF(VLOOKUP(A82,'DB Country PMI'!$A:$V,MATCH($A$1,'DB Country PMI'!$A$1:$V$1,),)=0,#N/A,VLOOKUP(A82,'DB Country PMI'!$A:$V,MATCH($A$1,'DB Country PMI'!$A$1:$V$1,),))</f>
        <v/>
      </c>
      <c r="C82" s="14">
        <f>Table1346811[[#This Row],[PMI]]-B81</f>
        <v/>
      </c>
    </row>
    <row r="83">
      <c r="A83" s="8" t="n">
        <v>43891</v>
      </c>
      <c r="B83" s="11">
        <f>IF(VLOOKUP(A83,'DB Country PMI'!$A:$V,MATCH($A$1,'DB Country PMI'!$A$1:$V$1,),)=0,#N/A,VLOOKUP(A83,'DB Country PMI'!$A:$V,MATCH($A$1,'DB Country PMI'!$A$1:$V$1,),))</f>
        <v/>
      </c>
      <c r="C83" s="14">
        <f>Table1346811[[#This Row],[PMI]]-B82</f>
        <v/>
      </c>
    </row>
    <row r="84">
      <c r="A84" s="8" t="n">
        <v>43922</v>
      </c>
      <c r="B84" s="11">
        <f>IF(VLOOKUP(A84,'DB Country PMI'!$A:$V,MATCH($A$1,'DB Country PMI'!$A$1:$V$1,),)=0,#N/A,VLOOKUP(A84,'DB Country PMI'!$A:$V,MATCH($A$1,'DB Country PMI'!$A$1:$V$1,),))</f>
        <v/>
      </c>
      <c r="C84" s="14">
        <f>Table1346811[[#This Row],[PMI]]-B83</f>
        <v/>
      </c>
    </row>
    <row r="85">
      <c r="A85" s="8" t="n">
        <v>43952</v>
      </c>
      <c r="B85" s="11">
        <f>IF(VLOOKUP(A85,'DB Country PMI'!$A:$V,MATCH($A$1,'DB Country PMI'!$A$1:$V$1,),)=0,#N/A,VLOOKUP(A85,'DB Country PMI'!$A:$V,MATCH($A$1,'DB Country PMI'!$A$1:$V$1,),))</f>
        <v/>
      </c>
      <c r="C85" s="14">
        <f>Table1346811[[#This Row],[PMI]]-B84</f>
        <v/>
      </c>
    </row>
    <row r="86">
      <c r="A86" s="8" t="n">
        <v>43983</v>
      </c>
      <c r="B86" s="11">
        <f>IF(VLOOKUP(A86,'DB Country PMI'!$A:$V,MATCH($A$1,'DB Country PMI'!$A$1:$V$1,),)=0,#N/A,VLOOKUP(A86,'DB Country PMI'!$A:$V,MATCH($A$1,'DB Country PMI'!$A$1:$V$1,),))</f>
        <v/>
      </c>
      <c r="C86" s="14">
        <f>Table1346811[[#This Row],[PMI]]-B85</f>
        <v/>
      </c>
    </row>
    <row r="87">
      <c r="A87" s="8" t="n">
        <v>44013</v>
      </c>
      <c r="B87" s="11">
        <f>IF(VLOOKUP(A87,'DB Country PMI'!$A:$V,MATCH($A$1,'DB Country PMI'!$A$1:$V$1,),)=0,#N/A,VLOOKUP(A87,'DB Country PMI'!$A:$V,MATCH($A$1,'DB Country PMI'!$A$1:$V$1,),))</f>
        <v/>
      </c>
      <c r="C87" s="14">
        <f>Table1346811[[#This Row],[PMI]]-B86</f>
        <v/>
      </c>
    </row>
    <row r="88">
      <c r="A88" s="8" t="n">
        <v>44044</v>
      </c>
      <c r="B88" s="11">
        <f>IF(VLOOKUP(A88,'DB Country PMI'!$A:$V,MATCH($A$1,'DB Country PMI'!$A$1:$V$1,),)=0,#N/A,VLOOKUP(A88,'DB Country PMI'!$A:$V,MATCH($A$1,'DB Country PMI'!$A$1:$V$1,),))</f>
        <v/>
      </c>
      <c r="C88" s="14">
        <f>Table1346811[[#This Row],[PMI]]-B87</f>
        <v/>
      </c>
    </row>
    <row r="89">
      <c r="A89" s="8" t="n">
        <v>44075</v>
      </c>
      <c r="B89" s="11">
        <f>IF(VLOOKUP(A89,'DB Country PMI'!$A:$V,MATCH($A$1,'DB Country PMI'!$A$1:$V$1,),)=0,#N/A,VLOOKUP(A89,'DB Country PMI'!$A:$V,MATCH($A$1,'DB Country PMI'!$A$1:$V$1,),))</f>
        <v/>
      </c>
      <c r="C89" s="14">
        <f>Table1346811[[#This Row],[PMI]]-B88</f>
        <v/>
      </c>
    </row>
    <row r="90">
      <c r="A90" s="8" t="n">
        <v>44105</v>
      </c>
      <c r="B90" s="11">
        <f>IF(VLOOKUP(A90,'DB Country PMI'!$A:$V,MATCH($A$1,'DB Country PMI'!$A$1:$V$1,),)=0,#N/A,VLOOKUP(A90,'DB Country PMI'!$A:$V,MATCH($A$1,'DB Country PMI'!$A$1:$V$1,),))</f>
        <v/>
      </c>
      <c r="C90" s="14">
        <f>Table1346811[[#This Row],[PMI]]-B89</f>
        <v/>
      </c>
    </row>
    <row r="91">
      <c r="A91" s="8" t="n">
        <v>44136</v>
      </c>
      <c r="B91" s="11">
        <f>IF(VLOOKUP(A91,'DB Country PMI'!$A:$V,MATCH($A$1,'DB Country PMI'!$A$1:$V$1,),)=0,#N/A,VLOOKUP(A91,'DB Country PMI'!$A:$V,MATCH($A$1,'DB Country PMI'!$A$1:$V$1,),))</f>
        <v/>
      </c>
      <c r="C91" s="14">
        <f>Table1346811[[#This Row],[PMI]]-B90</f>
        <v/>
      </c>
    </row>
    <row r="92">
      <c r="A92" s="8" t="n">
        <v>44166</v>
      </c>
      <c r="B92" s="11">
        <f>IF(VLOOKUP(A92,'DB Country PMI'!$A:$V,MATCH($A$1,'DB Country PMI'!$A$1:$V$1,),)=0,#N/A,VLOOKUP(A92,'DB Country PMI'!$A:$V,MATCH($A$1,'DB Country PMI'!$A$1:$V$1,),))</f>
        <v/>
      </c>
      <c r="C92" s="14">
        <f>Table1346811[[#This Row],[PMI]]-B91</f>
        <v/>
      </c>
    </row>
    <row r="93">
      <c r="A93" s="8" t="n">
        <v>44197</v>
      </c>
      <c r="B93" s="11">
        <f>IF(VLOOKUP(A93,'DB Country PMI'!$A:$V,MATCH($A$1,'DB Country PMI'!$A$1:$V$1,),)=0,#N/A,VLOOKUP(A93,'DB Country PMI'!$A:$V,MATCH($A$1,'DB Country PMI'!$A$1:$V$1,),))</f>
        <v/>
      </c>
      <c r="C93" s="14">
        <f>Table1346811[[#This Row],[PMI]]-B92</f>
        <v/>
      </c>
    </row>
    <row r="94">
      <c r="A94" s="8" t="n">
        <v>44228</v>
      </c>
      <c r="B94" s="11">
        <f>IF(VLOOKUP(A94,'DB Country PMI'!$A:$V,MATCH($A$1,'DB Country PMI'!$A$1:$V$1,),)=0,#N/A,VLOOKUP(A94,'DB Country PMI'!$A:$V,MATCH($A$1,'DB Country PMI'!$A$1:$V$1,),))</f>
        <v/>
      </c>
      <c r="C94" s="14">
        <f>Table1346811[[#This Row],[PMI]]-B93</f>
        <v/>
      </c>
    </row>
    <row r="95">
      <c r="A95" s="8" t="n">
        <v>44256</v>
      </c>
      <c r="B95" s="11">
        <f>IF(VLOOKUP(A95,'DB Country PMI'!$A:$V,MATCH($A$1,'DB Country PMI'!$A$1:$V$1,),)=0,#N/A,VLOOKUP(A95,'DB Country PMI'!$A:$V,MATCH($A$1,'DB Country PMI'!$A$1:$V$1,),))</f>
        <v/>
      </c>
      <c r="C95" s="14">
        <f>Table1346811[[#This Row],[PMI]]-B94</f>
        <v/>
      </c>
    </row>
    <row r="96">
      <c r="A96" s="8" t="n">
        <v>44287</v>
      </c>
      <c r="B96" s="11">
        <f>IF(VLOOKUP(A96,'DB Country PMI'!$A:$V,MATCH($A$1,'DB Country PMI'!$A$1:$V$1,),)=0,#N/A,VLOOKUP(A96,'DB Country PMI'!$A:$V,MATCH($A$1,'DB Country PMI'!$A$1:$V$1,),))</f>
        <v/>
      </c>
      <c r="C96" s="14">
        <f>Table1346811[[#This Row],[PMI]]-B95</f>
        <v/>
      </c>
    </row>
    <row r="97">
      <c r="A97" s="8" t="n">
        <v>44317</v>
      </c>
      <c r="B97" s="11">
        <f>IF(VLOOKUP(A97,'DB Country PMI'!$A:$V,MATCH($A$1,'DB Country PMI'!$A$1:$V$1,),)=0,#N/A,VLOOKUP(A97,'DB Country PMI'!$A:$V,MATCH($A$1,'DB Country PMI'!$A$1:$V$1,),))</f>
        <v/>
      </c>
      <c r="C97" s="14">
        <f>Table1346811[[#This Row],[PMI]]-B96</f>
        <v/>
      </c>
    </row>
    <row r="98">
      <c r="A98" s="8" t="n">
        <v>44348</v>
      </c>
      <c r="B98" s="11">
        <f>IF(VLOOKUP(A98,'DB Country PMI'!$A:$V,MATCH($A$1,'DB Country PMI'!$A$1:$V$1,),)=0,#N/A,VLOOKUP(A98,'DB Country PMI'!$A:$V,MATCH($A$1,'DB Country PMI'!$A$1:$V$1,),))</f>
        <v/>
      </c>
      <c r="C98" s="14">
        <f>Table1346811[[#This Row],[PMI]]-B97</f>
        <v/>
      </c>
    </row>
    <row r="99">
      <c r="A99" s="8" t="n">
        <v>44378</v>
      </c>
      <c r="B99" s="11">
        <f>IF(VLOOKUP(A99,'DB Country PMI'!$A:$V,MATCH($A$1,'DB Country PMI'!$A$1:$V$1,),)=0,#N/A,VLOOKUP(A99,'DB Country PMI'!$A:$V,MATCH($A$1,'DB Country PMI'!$A$1:$V$1,),))</f>
        <v/>
      </c>
      <c r="C99" s="14">
        <f>Table1346811[[#This Row],[PMI]]-B98</f>
        <v/>
      </c>
    </row>
    <row r="100">
      <c r="A100" s="8" t="n">
        <v>44409</v>
      </c>
      <c r="B100" s="11">
        <f>IF(VLOOKUP(A100,'DB Country PMI'!$A:$V,MATCH($A$1,'DB Country PMI'!$A$1:$V$1,),)=0,#N/A,VLOOKUP(A100,'DB Country PMI'!$A:$V,MATCH($A$1,'DB Country PMI'!$A$1:$V$1,),))</f>
        <v/>
      </c>
      <c r="C100" s="14">
        <f>Table1346811[[#This Row],[PMI]]-B99</f>
        <v/>
      </c>
    </row>
    <row r="101">
      <c r="A101" s="8" t="n">
        <v>44440</v>
      </c>
      <c r="B101" s="11">
        <f>IF(VLOOKUP(A101,'DB Country PMI'!$A:$V,MATCH($A$1,'DB Country PMI'!$A$1:$V$1,),)=0,#N/A,VLOOKUP(A101,'DB Country PMI'!$A:$V,MATCH($A$1,'DB Country PMI'!$A$1:$V$1,),))</f>
        <v/>
      </c>
      <c r="C101" s="14">
        <f>Table1346811[[#This Row],[PMI]]-B100</f>
        <v/>
      </c>
    </row>
    <row r="102">
      <c r="A102" s="8" t="n">
        <v>44470</v>
      </c>
      <c r="B102" s="11">
        <f>IF(VLOOKUP(A102,'DB Country PMI'!$A:$V,MATCH($A$1,'DB Country PMI'!$A$1:$V$1,),)=0,#N/A,VLOOKUP(A102,'DB Country PMI'!$A:$V,MATCH($A$1,'DB Country PMI'!$A$1:$V$1,),))</f>
        <v/>
      </c>
      <c r="C102" s="14">
        <f>Table1346811[[#This Row],[PMI]]-B101</f>
        <v/>
      </c>
    </row>
    <row r="103">
      <c r="A103" s="8" t="n">
        <v>44501</v>
      </c>
      <c r="B103" s="11">
        <f>IF(VLOOKUP(A103,'DB Country PMI'!$A:$V,MATCH($A$1,'DB Country PMI'!$A$1:$V$1,),)=0,#N/A,VLOOKUP(A103,'DB Country PMI'!$A:$V,MATCH($A$1,'DB Country PMI'!$A$1:$V$1,),))</f>
        <v/>
      </c>
      <c r="C103" s="14">
        <f>Table1346811[[#This Row],[PMI]]-B102</f>
        <v/>
      </c>
    </row>
    <row r="104">
      <c r="A104" s="8" t="n">
        <v>44531</v>
      </c>
      <c r="B104" s="11">
        <f>IF(VLOOKUP(A104,'DB Country PMI'!$A:$V,MATCH($A$1,'DB Country PMI'!$A$1:$V$1,),)=0,#N/A,VLOOKUP(A104,'DB Country PMI'!$A:$V,MATCH($A$1,'DB Country PMI'!$A$1:$V$1,),))</f>
        <v/>
      </c>
      <c r="C104" s="14">
        <f>Table1346811[[#This Row],[PMI]]-B103</f>
        <v/>
      </c>
    </row>
    <row r="105">
      <c r="A105" s="8" t="n">
        <v>44562</v>
      </c>
      <c r="B105" s="11">
        <f>IF(VLOOKUP(A105,'DB Country PMI'!$A:$V,MATCH($A$1,'DB Country PMI'!$A$1:$V$1,),)=0,#N/A,VLOOKUP(A105,'DB Country PMI'!$A:$V,MATCH($A$1,'DB Country PMI'!$A$1:$V$1,),))</f>
        <v/>
      </c>
      <c r="C105" s="14">
        <f>Table1346811[[#This Row],[PMI]]-B104</f>
        <v/>
      </c>
    </row>
    <row r="106">
      <c r="A106" s="8" t="n">
        <v>44593</v>
      </c>
      <c r="B106" s="11">
        <f>IF(VLOOKUP(A106,'DB Country PMI'!$A:$V,MATCH($A$1,'DB Country PMI'!$A$1:$V$1,),)=0,#N/A,VLOOKUP(A106,'DB Country PMI'!$A:$V,MATCH($A$1,'DB Country PMI'!$A$1:$V$1,),))</f>
        <v/>
      </c>
      <c r="C106" s="14">
        <f>Table1346811[[#This Row],[PMI]]-B105</f>
        <v/>
      </c>
    </row>
    <row r="107">
      <c r="A107" s="8" t="n">
        <v>44621</v>
      </c>
      <c r="B107" s="11">
        <f>IF(VLOOKUP(A107,'DB Country PMI'!$A:$V,MATCH($A$1,'DB Country PMI'!$A$1:$V$1,),)=0,#N/A,VLOOKUP(A107,'DB Country PMI'!$A:$V,MATCH($A$1,'DB Country PMI'!$A$1:$V$1,),))</f>
        <v/>
      </c>
      <c r="C107" s="14">
        <f>Table1346811[[#This Row],[PMI]]-B106</f>
        <v/>
      </c>
    </row>
  </sheetData>
  <conditionalFormatting sqref="B6:B107">
    <cfRule type="colorScale" priority="46">
      <colorScale>
        <cfvo type="min"/>
        <cfvo type="percentile" val="50"/>
        <cfvo type="max"/>
        <color rgb="FFF8696B"/>
        <color rgb="FFFFEB84"/>
        <color rgb="FF63BE7B"/>
      </colorScale>
    </cfRule>
  </conditionalFormatting>
  <conditionalFormatting sqref="C7:C107">
    <cfRule type="colorScale" priority="47">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6.xml><?xml version="1.0" encoding="utf-8"?>
<worksheet xmlns="http://schemas.openxmlformats.org/spreadsheetml/2006/main">
  <sheetPr>
    <outlinePr summaryBelow="1" summaryRight="1"/>
    <pageSetUpPr/>
  </sheetPr>
  <dimension ref="A1:J182"/>
  <sheetViews>
    <sheetView zoomScale="170" zoomScaleNormal="170" workbookViewId="0">
      <pane ySplit="5" topLeftCell="A166" activePane="bottomLeft" state="frozen"/>
      <selection pane="bottomLeft" activeCell="A178" sqref="A178:C182"/>
    </sheetView>
  </sheetViews>
  <sheetFormatPr baseColWidth="10" defaultColWidth="9.1640625" defaultRowHeight="15"/>
  <cols>
    <col width="13.5" customWidth="1" style="60" min="1" max="1"/>
    <col width="11.33203125" customWidth="1" style="60" min="2" max="2"/>
    <col width="9.1640625" customWidth="1" style="60" min="3" max="7"/>
    <col width="9.1640625" customWidth="1" style="60" min="8" max="16384"/>
  </cols>
  <sheetData>
    <row r="1">
      <c r="A1" s="60" t="inlineStr">
        <is>
          <t>Euro Area</t>
        </is>
      </c>
      <c r="J1" s="60" t="inlineStr">
        <is>
          <t xml:space="preserve"> Services PMI</t>
        </is>
      </c>
    </row>
    <row r="2">
      <c r="J2" s="60" t="inlineStr">
        <is>
          <t>Euro Area Services PMI</t>
        </is>
      </c>
    </row>
    <row r="4" ht="16" customHeight="1" s="38" thickBot="1"/>
    <row r="5" ht="16" customHeight="1" s="38" thickBot="1">
      <c r="A5" s="12" t="inlineStr">
        <is>
          <t>Date</t>
        </is>
      </c>
      <c r="B5" s="13" t="inlineStr">
        <is>
          <t>PMI</t>
        </is>
      </c>
      <c r="C5" s="13" t="inlineStr">
        <is>
          <t>mom</t>
        </is>
      </c>
    </row>
    <row r="6">
      <c r="A6" s="10" t="n">
        <v>39264</v>
      </c>
      <c r="B6" s="11">
        <f>IF(VLOOKUP(A6,'DB Country PMI'!$A:$V,MATCH($A$1,'DB Country PMI'!$A$1:$V$1,),)=0,#N/A,VLOOKUP(A6,'DB Country PMI'!$A:$V,MATCH($A$1,'DB Country PMI'!$A$1:$V$1,),))</f>
        <v/>
      </c>
      <c r="C6" s="11" t="n"/>
    </row>
    <row r="7">
      <c r="A7" s="8" t="n">
        <v>39295</v>
      </c>
      <c r="B7" s="11">
        <f>IF(VLOOKUP(A7,'DB Country PMI'!$A:$V,MATCH($A$1,'DB Country PMI'!$A$1:$V$1,),)=0,#N/A,VLOOKUP(A7,'DB Country PMI'!$A:$V,MATCH($A$1,'DB Country PMI'!$A$1:$V$1,),))</f>
        <v/>
      </c>
      <c r="C7" s="14">
        <f>Table13468113[[#This Row],[PMI]]-B6</f>
        <v/>
      </c>
    </row>
    <row r="8">
      <c r="A8" s="8" t="n">
        <v>39326</v>
      </c>
      <c r="B8" s="11">
        <f>IF(VLOOKUP(A8,'DB Country PMI'!$A:$V,MATCH($A$1,'DB Country PMI'!$A$1:$V$1,),)=0,#N/A,VLOOKUP(A8,'DB Country PMI'!$A:$V,MATCH($A$1,'DB Country PMI'!$A$1:$V$1,),))</f>
        <v/>
      </c>
      <c r="C8" s="14">
        <f>Table13468113[[#This Row],[PMI]]-B7</f>
        <v/>
      </c>
    </row>
    <row r="9">
      <c r="A9" s="8" t="n">
        <v>39356</v>
      </c>
      <c r="B9" s="11">
        <f>IF(VLOOKUP(A9,'DB Country PMI'!$A:$V,MATCH($A$1,'DB Country PMI'!$A$1:$V$1,),)=0,#N/A,VLOOKUP(A9,'DB Country PMI'!$A:$V,MATCH($A$1,'DB Country PMI'!$A$1:$V$1,),))</f>
        <v/>
      </c>
      <c r="C9" s="14">
        <f>Table13468113[[#This Row],[PMI]]-B8</f>
        <v/>
      </c>
    </row>
    <row r="10">
      <c r="A10" s="8" t="n">
        <v>39387</v>
      </c>
      <c r="B10" s="11">
        <f>IF(VLOOKUP(A10,'DB Country PMI'!$A:$V,MATCH($A$1,'DB Country PMI'!$A$1:$V$1,),)=0,#N/A,VLOOKUP(A10,'DB Country PMI'!$A:$V,MATCH($A$1,'DB Country PMI'!$A$1:$V$1,),))</f>
        <v/>
      </c>
      <c r="C10" s="14">
        <f>Table13468113[[#This Row],[PMI]]-B9</f>
        <v/>
      </c>
    </row>
    <row r="11">
      <c r="A11" s="8" t="n">
        <v>39417</v>
      </c>
      <c r="B11" s="11">
        <f>IF(VLOOKUP(A11,'DB Country PMI'!$A:$V,MATCH($A$1,'DB Country PMI'!$A$1:$V$1,),)=0,#N/A,VLOOKUP(A11,'DB Country PMI'!$A:$V,MATCH($A$1,'DB Country PMI'!$A$1:$V$1,),))</f>
        <v/>
      </c>
      <c r="C11" s="14">
        <f>Table13468113[[#This Row],[PMI]]-B10</f>
        <v/>
      </c>
    </row>
    <row r="12">
      <c r="A12" s="8" t="n">
        <v>39448</v>
      </c>
      <c r="B12" s="11">
        <f>IF(VLOOKUP(A12,'DB Country PMI'!$A:$V,MATCH($A$1,'DB Country PMI'!$A$1:$V$1,),)=0,#N/A,VLOOKUP(A12,'DB Country PMI'!$A:$V,MATCH($A$1,'DB Country PMI'!$A$1:$V$1,),))</f>
        <v/>
      </c>
      <c r="C12" s="14">
        <f>Table13468113[[#This Row],[PMI]]-B11</f>
        <v/>
      </c>
    </row>
    <row r="13">
      <c r="A13" s="8" t="n">
        <v>39479</v>
      </c>
      <c r="B13" s="11">
        <f>IF(VLOOKUP(A13,'DB Country PMI'!$A:$V,MATCH($A$1,'DB Country PMI'!$A$1:$V$1,),)=0,#N/A,VLOOKUP(A13,'DB Country PMI'!$A:$V,MATCH($A$1,'DB Country PMI'!$A$1:$V$1,),))</f>
        <v/>
      </c>
      <c r="C13" s="14">
        <f>Table13468113[[#This Row],[PMI]]-B12</f>
        <v/>
      </c>
    </row>
    <row r="14">
      <c r="A14" s="8" t="n">
        <v>39508</v>
      </c>
      <c r="B14" s="11">
        <f>IF(VLOOKUP(A14,'DB Country PMI'!$A:$V,MATCH($A$1,'DB Country PMI'!$A$1:$V$1,),)=0,#N/A,VLOOKUP(A14,'DB Country PMI'!$A:$V,MATCH($A$1,'DB Country PMI'!$A$1:$V$1,),))</f>
        <v/>
      </c>
      <c r="C14" s="14">
        <f>Table13468113[[#This Row],[PMI]]-B13</f>
        <v/>
      </c>
    </row>
    <row r="15">
      <c r="A15" s="8" t="n">
        <v>39539</v>
      </c>
      <c r="B15" s="11">
        <f>IF(VLOOKUP(A15,'DB Country PMI'!$A:$V,MATCH($A$1,'DB Country PMI'!$A$1:$V$1,),)=0,#N/A,VLOOKUP(A15,'DB Country PMI'!$A:$V,MATCH($A$1,'DB Country PMI'!$A$1:$V$1,),))</f>
        <v/>
      </c>
      <c r="C15" s="14">
        <f>Table13468113[[#This Row],[PMI]]-B14</f>
        <v/>
      </c>
    </row>
    <row r="16">
      <c r="A16" s="8" t="n">
        <v>39569</v>
      </c>
      <c r="B16" s="11">
        <f>IF(VLOOKUP(A16,'DB Country PMI'!$A:$V,MATCH($A$1,'DB Country PMI'!$A$1:$V$1,),)=0,#N/A,VLOOKUP(A16,'DB Country PMI'!$A:$V,MATCH($A$1,'DB Country PMI'!$A$1:$V$1,),))</f>
        <v/>
      </c>
      <c r="C16" s="14">
        <f>Table13468113[[#This Row],[PMI]]-B15</f>
        <v/>
      </c>
    </row>
    <row r="17">
      <c r="A17" s="8" t="n">
        <v>39600</v>
      </c>
      <c r="B17" s="11">
        <f>IF(VLOOKUP(A17,'DB Country PMI'!$A:$V,MATCH($A$1,'DB Country PMI'!$A$1:$V$1,),)=0,#N/A,VLOOKUP(A17,'DB Country PMI'!$A:$V,MATCH($A$1,'DB Country PMI'!$A$1:$V$1,),))</f>
        <v/>
      </c>
      <c r="C17" s="14">
        <f>Table13468113[[#This Row],[PMI]]-B16</f>
        <v/>
      </c>
    </row>
    <row r="18">
      <c r="A18" s="8" t="n">
        <v>39630</v>
      </c>
      <c r="B18" s="11">
        <f>IF(VLOOKUP(A18,'DB Country PMI'!$A:$V,MATCH($A$1,'DB Country PMI'!$A$1:$V$1,),)=0,#N/A,VLOOKUP(A18,'DB Country PMI'!$A:$V,MATCH($A$1,'DB Country PMI'!$A$1:$V$1,),))</f>
        <v/>
      </c>
      <c r="C18" s="14">
        <f>Table13468113[[#This Row],[PMI]]-B17</f>
        <v/>
      </c>
    </row>
    <row r="19">
      <c r="A19" s="8" t="n">
        <v>39661</v>
      </c>
      <c r="B19" s="11">
        <f>IF(VLOOKUP(A19,'DB Country PMI'!$A:$V,MATCH($A$1,'DB Country PMI'!$A$1:$V$1,),)=0,#N/A,VLOOKUP(A19,'DB Country PMI'!$A:$V,MATCH($A$1,'DB Country PMI'!$A$1:$V$1,),))</f>
        <v/>
      </c>
      <c r="C19" s="14">
        <f>Table13468113[[#This Row],[PMI]]-B18</f>
        <v/>
      </c>
    </row>
    <row r="20">
      <c r="A20" s="8" t="n">
        <v>39692</v>
      </c>
      <c r="B20" s="11">
        <f>IF(VLOOKUP(A20,'DB Country PMI'!$A:$V,MATCH($A$1,'DB Country PMI'!$A$1:$V$1,),)=0,#N/A,VLOOKUP(A20,'DB Country PMI'!$A:$V,MATCH($A$1,'DB Country PMI'!$A$1:$V$1,),))</f>
        <v/>
      </c>
      <c r="C20" s="14">
        <f>Table13468113[[#This Row],[PMI]]-B19</f>
        <v/>
      </c>
    </row>
    <row r="21">
      <c r="A21" s="8" t="n">
        <v>39722</v>
      </c>
      <c r="B21" s="11">
        <f>IF(VLOOKUP(A21,'DB Country PMI'!$A:$V,MATCH($A$1,'DB Country PMI'!$A$1:$V$1,),)=0,#N/A,VLOOKUP(A21,'DB Country PMI'!$A:$V,MATCH($A$1,'DB Country PMI'!$A$1:$V$1,),))</f>
        <v/>
      </c>
      <c r="C21" s="14">
        <f>Table13468113[[#This Row],[PMI]]-B20</f>
        <v/>
      </c>
    </row>
    <row r="22">
      <c r="A22" s="8" t="n">
        <v>39753</v>
      </c>
      <c r="B22" s="11">
        <f>IF(VLOOKUP(A22,'DB Country PMI'!$A:$V,MATCH($A$1,'DB Country PMI'!$A$1:$V$1,),)=0,#N/A,VLOOKUP(A22,'DB Country PMI'!$A:$V,MATCH($A$1,'DB Country PMI'!$A$1:$V$1,),))</f>
        <v/>
      </c>
      <c r="C22" s="14">
        <f>Table13468113[[#This Row],[PMI]]-B21</f>
        <v/>
      </c>
    </row>
    <row r="23">
      <c r="A23" s="8" t="n">
        <v>39783</v>
      </c>
      <c r="B23" s="11">
        <f>IF(VLOOKUP(A23,'DB Country PMI'!$A:$V,MATCH($A$1,'DB Country PMI'!$A$1:$V$1,),)=0,#N/A,VLOOKUP(A23,'DB Country PMI'!$A:$V,MATCH($A$1,'DB Country PMI'!$A$1:$V$1,),))</f>
        <v/>
      </c>
      <c r="C23" s="14">
        <f>Table13468113[[#This Row],[PMI]]-B22</f>
        <v/>
      </c>
    </row>
    <row r="24">
      <c r="A24" s="8" t="n">
        <v>39814</v>
      </c>
      <c r="B24" s="11">
        <f>IF(VLOOKUP(A24,'DB Country PMI'!$A:$V,MATCH($A$1,'DB Country PMI'!$A$1:$V$1,),)=0,#N/A,VLOOKUP(A24,'DB Country PMI'!$A:$V,MATCH($A$1,'DB Country PMI'!$A$1:$V$1,),))</f>
        <v/>
      </c>
      <c r="C24" s="14">
        <f>Table13468113[[#This Row],[PMI]]-B23</f>
        <v/>
      </c>
    </row>
    <row r="25">
      <c r="A25" s="8" t="n">
        <v>39845</v>
      </c>
      <c r="B25" s="11">
        <f>IF(VLOOKUP(A25,'DB Country PMI'!$A:$V,MATCH($A$1,'DB Country PMI'!$A$1:$V$1,),)=0,#N/A,VLOOKUP(A25,'DB Country PMI'!$A:$V,MATCH($A$1,'DB Country PMI'!$A$1:$V$1,),))</f>
        <v/>
      </c>
      <c r="C25" s="14">
        <f>Table13468113[[#This Row],[PMI]]-B24</f>
        <v/>
      </c>
    </row>
    <row r="26">
      <c r="A26" s="8" t="n">
        <v>39873</v>
      </c>
      <c r="B26" s="11">
        <f>IF(VLOOKUP(A26,'DB Country PMI'!$A:$V,MATCH($A$1,'DB Country PMI'!$A$1:$V$1,),)=0,#N/A,VLOOKUP(A26,'DB Country PMI'!$A:$V,MATCH($A$1,'DB Country PMI'!$A$1:$V$1,),))</f>
        <v/>
      </c>
      <c r="C26" s="14">
        <f>Table13468113[[#This Row],[PMI]]-B25</f>
        <v/>
      </c>
    </row>
    <row r="27">
      <c r="A27" s="8" t="n">
        <v>39904</v>
      </c>
      <c r="B27" s="11">
        <f>IF(VLOOKUP(A27,'DB Country PMI'!$A:$V,MATCH($A$1,'DB Country PMI'!$A$1:$V$1,),)=0,#N/A,VLOOKUP(A27,'DB Country PMI'!$A:$V,MATCH($A$1,'DB Country PMI'!$A$1:$V$1,),))</f>
        <v/>
      </c>
      <c r="C27" s="14">
        <f>Table13468113[[#This Row],[PMI]]-B26</f>
        <v/>
      </c>
    </row>
    <row r="28">
      <c r="A28" s="8" t="n">
        <v>39934</v>
      </c>
      <c r="B28" s="11">
        <f>IF(VLOOKUP(A28,'DB Country PMI'!$A:$V,MATCH($A$1,'DB Country PMI'!$A$1:$V$1,),)=0,#N/A,VLOOKUP(A28,'DB Country PMI'!$A:$V,MATCH($A$1,'DB Country PMI'!$A$1:$V$1,),))</f>
        <v/>
      </c>
      <c r="C28" s="14">
        <f>Table13468113[[#This Row],[PMI]]-B27</f>
        <v/>
      </c>
    </row>
    <row r="29">
      <c r="A29" s="8" t="n">
        <v>39965</v>
      </c>
      <c r="B29" s="11">
        <f>IF(VLOOKUP(A29,'DB Country PMI'!$A:$V,MATCH($A$1,'DB Country PMI'!$A$1:$V$1,),)=0,#N/A,VLOOKUP(A29,'DB Country PMI'!$A:$V,MATCH($A$1,'DB Country PMI'!$A$1:$V$1,),))</f>
        <v/>
      </c>
      <c r="C29" s="14">
        <f>Table13468113[[#This Row],[PMI]]-B28</f>
        <v/>
      </c>
    </row>
    <row r="30">
      <c r="A30" s="8" t="n">
        <v>39995</v>
      </c>
      <c r="B30" s="11">
        <f>IF(VLOOKUP(A30,'DB Country PMI'!$A:$V,MATCH($A$1,'DB Country PMI'!$A$1:$V$1,),)=0,#N/A,VLOOKUP(A30,'DB Country PMI'!$A:$V,MATCH($A$1,'DB Country PMI'!$A$1:$V$1,),))</f>
        <v/>
      </c>
      <c r="C30" s="14">
        <f>Table13468113[[#This Row],[PMI]]-B29</f>
        <v/>
      </c>
    </row>
    <row r="31">
      <c r="A31" s="8" t="n">
        <v>40026</v>
      </c>
      <c r="B31" s="11">
        <f>IF(VLOOKUP(A31,'DB Country PMI'!$A:$V,MATCH($A$1,'DB Country PMI'!$A$1:$V$1,),)=0,#N/A,VLOOKUP(A31,'DB Country PMI'!$A:$V,MATCH($A$1,'DB Country PMI'!$A$1:$V$1,),))</f>
        <v/>
      </c>
      <c r="C31" s="14">
        <f>Table13468113[[#This Row],[PMI]]-B30</f>
        <v/>
      </c>
    </row>
    <row r="32">
      <c r="A32" s="8" t="n">
        <v>40057</v>
      </c>
      <c r="B32" s="11">
        <f>IF(VLOOKUP(A32,'DB Country PMI'!$A:$V,MATCH($A$1,'DB Country PMI'!$A$1:$V$1,),)=0,#N/A,VLOOKUP(A32,'DB Country PMI'!$A:$V,MATCH($A$1,'DB Country PMI'!$A$1:$V$1,),))</f>
        <v/>
      </c>
      <c r="C32" s="14">
        <f>Table13468113[[#This Row],[PMI]]-B31</f>
        <v/>
      </c>
    </row>
    <row r="33">
      <c r="A33" s="8" t="n">
        <v>40087</v>
      </c>
      <c r="B33" s="11">
        <f>IF(VLOOKUP(A33,'DB Country PMI'!$A:$V,MATCH($A$1,'DB Country PMI'!$A$1:$V$1,),)=0,#N/A,VLOOKUP(A33,'DB Country PMI'!$A:$V,MATCH($A$1,'DB Country PMI'!$A$1:$V$1,),))</f>
        <v/>
      </c>
      <c r="C33" s="14">
        <f>Table13468113[[#This Row],[PMI]]-B32</f>
        <v/>
      </c>
    </row>
    <row r="34">
      <c r="A34" s="8" t="n">
        <v>40118</v>
      </c>
      <c r="B34" s="11">
        <f>IF(VLOOKUP(A34,'DB Country PMI'!$A:$V,MATCH($A$1,'DB Country PMI'!$A$1:$V$1,),)=0,#N/A,VLOOKUP(A34,'DB Country PMI'!$A:$V,MATCH($A$1,'DB Country PMI'!$A$1:$V$1,),))</f>
        <v/>
      </c>
      <c r="C34" s="14">
        <f>Table13468113[[#This Row],[PMI]]-B33</f>
        <v/>
      </c>
    </row>
    <row r="35">
      <c r="A35" s="8" t="n">
        <v>40148</v>
      </c>
      <c r="B35" s="11">
        <f>IF(VLOOKUP(A35,'DB Country PMI'!$A:$V,MATCH($A$1,'DB Country PMI'!$A$1:$V$1,),)=0,#N/A,VLOOKUP(A35,'DB Country PMI'!$A:$V,MATCH($A$1,'DB Country PMI'!$A$1:$V$1,),))</f>
        <v/>
      </c>
      <c r="C35" s="14">
        <f>Table13468113[[#This Row],[PMI]]-B34</f>
        <v/>
      </c>
    </row>
    <row r="36">
      <c r="A36" s="8" t="n">
        <v>40179</v>
      </c>
      <c r="B36" s="11">
        <f>IF(VLOOKUP(A36,'DB Country PMI'!$A:$V,MATCH($A$1,'DB Country PMI'!$A$1:$V$1,),)=0,#N/A,VLOOKUP(A36,'DB Country PMI'!$A:$V,MATCH($A$1,'DB Country PMI'!$A$1:$V$1,),))</f>
        <v/>
      </c>
      <c r="C36" s="14">
        <f>Table13468113[[#This Row],[PMI]]-B35</f>
        <v/>
      </c>
    </row>
    <row r="37">
      <c r="A37" s="8" t="n">
        <v>40210</v>
      </c>
      <c r="B37" s="11">
        <f>IF(VLOOKUP(A37,'DB Country PMI'!$A:$V,MATCH($A$1,'DB Country PMI'!$A$1:$V$1,),)=0,#N/A,VLOOKUP(A37,'DB Country PMI'!$A:$V,MATCH($A$1,'DB Country PMI'!$A$1:$V$1,),))</f>
        <v/>
      </c>
      <c r="C37" s="14">
        <f>Table13468113[[#This Row],[PMI]]-B36</f>
        <v/>
      </c>
    </row>
    <row r="38">
      <c r="A38" s="8" t="n">
        <v>40238</v>
      </c>
      <c r="B38" s="11">
        <f>IF(VLOOKUP(A38,'DB Country PMI'!$A:$V,MATCH($A$1,'DB Country PMI'!$A$1:$V$1,),)=0,#N/A,VLOOKUP(A38,'DB Country PMI'!$A:$V,MATCH($A$1,'DB Country PMI'!$A$1:$V$1,),))</f>
        <v/>
      </c>
      <c r="C38" s="14">
        <f>Table13468113[[#This Row],[PMI]]-B37</f>
        <v/>
      </c>
    </row>
    <row r="39">
      <c r="A39" s="8" t="n">
        <v>40269</v>
      </c>
      <c r="B39" s="11">
        <f>IF(VLOOKUP(A39,'DB Country PMI'!$A:$V,MATCH($A$1,'DB Country PMI'!$A$1:$V$1,),)=0,#N/A,VLOOKUP(A39,'DB Country PMI'!$A:$V,MATCH($A$1,'DB Country PMI'!$A$1:$V$1,),))</f>
        <v/>
      </c>
      <c r="C39" s="14">
        <f>Table13468113[[#This Row],[PMI]]-B38</f>
        <v/>
      </c>
    </row>
    <row r="40">
      <c r="A40" s="8" t="n">
        <v>40299</v>
      </c>
      <c r="B40" s="11">
        <f>IF(VLOOKUP(A40,'DB Country PMI'!$A:$V,MATCH($A$1,'DB Country PMI'!$A$1:$V$1,),)=0,#N/A,VLOOKUP(A40,'DB Country PMI'!$A:$V,MATCH($A$1,'DB Country PMI'!$A$1:$V$1,),))</f>
        <v/>
      </c>
      <c r="C40" s="14">
        <f>Table13468113[[#This Row],[PMI]]-B39</f>
        <v/>
      </c>
    </row>
    <row r="41">
      <c r="A41" s="8" t="n">
        <v>40330</v>
      </c>
      <c r="B41" s="11">
        <f>IF(VLOOKUP(A41,'DB Country PMI'!$A:$V,MATCH($A$1,'DB Country PMI'!$A$1:$V$1,),)=0,#N/A,VLOOKUP(A41,'DB Country PMI'!$A:$V,MATCH($A$1,'DB Country PMI'!$A$1:$V$1,),))</f>
        <v/>
      </c>
      <c r="C41" s="14">
        <f>Table13468113[[#This Row],[PMI]]-B40</f>
        <v/>
      </c>
    </row>
    <row r="42">
      <c r="A42" s="8" t="n">
        <v>40360</v>
      </c>
      <c r="B42" s="11">
        <f>IF(VLOOKUP(A42,'DB Country PMI'!$A:$V,MATCH($A$1,'DB Country PMI'!$A$1:$V$1,),)=0,#N/A,VLOOKUP(A42,'DB Country PMI'!$A:$V,MATCH($A$1,'DB Country PMI'!$A$1:$V$1,),))</f>
        <v/>
      </c>
      <c r="C42" s="14">
        <f>Table13468113[[#This Row],[PMI]]-B41</f>
        <v/>
      </c>
    </row>
    <row r="43">
      <c r="A43" s="8" t="n">
        <v>40391</v>
      </c>
      <c r="B43" s="11">
        <f>IF(VLOOKUP(A43,'DB Country PMI'!$A:$V,MATCH($A$1,'DB Country PMI'!$A$1:$V$1,),)=0,#N/A,VLOOKUP(A43,'DB Country PMI'!$A:$V,MATCH($A$1,'DB Country PMI'!$A$1:$V$1,),))</f>
        <v/>
      </c>
      <c r="C43" s="14">
        <f>Table13468113[[#This Row],[PMI]]-B42</f>
        <v/>
      </c>
    </row>
    <row r="44">
      <c r="A44" s="8" t="n">
        <v>40422</v>
      </c>
      <c r="B44" s="11">
        <f>IF(VLOOKUP(A44,'DB Country PMI'!$A:$V,MATCH($A$1,'DB Country PMI'!$A$1:$V$1,),)=0,#N/A,VLOOKUP(A44,'DB Country PMI'!$A:$V,MATCH($A$1,'DB Country PMI'!$A$1:$V$1,),))</f>
        <v/>
      </c>
      <c r="C44" s="14">
        <f>Table13468113[[#This Row],[PMI]]-B43</f>
        <v/>
      </c>
    </row>
    <row r="45">
      <c r="A45" s="8" t="n">
        <v>40452</v>
      </c>
      <c r="B45" s="11">
        <f>IF(VLOOKUP(A45,'DB Country PMI'!$A:$V,MATCH($A$1,'DB Country PMI'!$A$1:$V$1,),)=0,#N/A,VLOOKUP(A45,'DB Country PMI'!$A:$V,MATCH($A$1,'DB Country PMI'!$A$1:$V$1,),))</f>
        <v/>
      </c>
      <c r="C45" s="14">
        <f>Table13468113[[#This Row],[PMI]]-B44</f>
        <v/>
      </c>
    </row>
    <row r="46">
      <c r="A46" s="8" t="n">
        <v>40483</v>
      </c>
      <c r="B46" s="11">
        <f>IF(VLOOKUP(A46,'DB Country PMI'!$A:$V,MATCH($A$1,'DB Country PMI'!$A$1:$V$1,),)=0,#N/A,VLOOKUP(A46,'DB Country PMI'!$A:$V,MATCH($A$1,'DB Country PMI'!$A$1:$V$1,),))</f>
        <v/>
      </c>
      <c r="C46" s="14">
        <f>Table13468113[[#This Row],[PMI]]-B45</f>
        <v/>
      </c>
    </row>
    <row r="47">
      <c r="A47" s="8" t="n">
        <v>40513</v>
      </c>
      <c r="B47" s="11">
        <f>IF(VLOOKUP(A47,'DB Country PMI'!$A:$V,MATCH($A$1,'DB Country PMI'!$A$1:$V$1,),)=0,#N/A,VLOOKUP(A47,'DB Country PMI'!$A:$V,MATCH($A$1,'DB Country PMI'!$A$1:$V$1,),))</f>
        <v/>
      </c>
      <c r="C47" s="14">
        <f>Table13468113[[#This Row],[PMI]]-B46</f>
        <v/>
      </c>
    </row>
    <row r="48">
      <c r="A48" s="8" t="n">
        <v>40544</v>
      </c>
      <c r="B48" s="11">
        <f>IF(VLOOKUP(A48,'DB Country PMI'!$A:$V,MATCH($A$1,'DB Country PMI'!$A$1:$V$1,),)=0,#N/A,VLOOKUP(A48,'DB Country PMI'!$A:$V,MATCH($A$1,'DB Country PMI'!$A$1:$V$1,),))</f>
        <v/>
      </c>
      <c r="C48" s="14">
        <f>Table13468113[[#This Row],[PMI]]-B47</f>
        <v/>
      </c>
    </row>
    <row r="49">
      <c r="A49" s="8" t="n">
        <v>40575</v>
      </c>
      <c r="B49" s="11">
        <f>IF(VLOOKUP(A49,'DB Country PMI'!$A:$V,MATCH($A$1,'DB Country PMI'!$A$1:$V$1,),)=0,#N/A,VLOOKUP(A49,'DB Country PMI'!$A:$V,MATCH($A$1,'DB Country PMI'!$A$1:$V$1,),))</f>
        <v/>
      </c>
      <c r="C49" s="14">
        <f>Table13468113[[#This Row],[PMI]]-B48</f>
        <v/>
      </c>
    </row>
    <row r="50">
      <c r="A50" s="8" t="n">
        <v>40603</v>
      </c>
      <c r="B50" s="11">
        <f>IF(VLOOKUP(A50,'DB Country PMI'!$A:$V,MATCH($A$1,'DB Country PMI'!$A$1:$V$1,),)=0,#N/A,VLOOKUP(A50,'DB Country PMI'!$A:$V,MATCH($A$1,'DB Country PMI'!$A$1:$V$1,),))</f>
        <v/>
      </c>
      <c r="C50" s="14">
        <f>Table13468113[[#This Row],[PMI]]-B49</f>
        <v/>
      </c>
    </row>
    <row r="51">
      <c r="A51" s="8" t="n">
        <v>40634</v>
      </c>
      <c r="B51" s="11">
        <f>IF(VLOOKUP(A51,'DB Country PMI'!$A:$V,MATCH($A$1,'DB Country PMI'!$A$1:$V$1,),)=0,#N/A,VLOOKUP(A51,'DB Country PMI'!$A:$V,MATCH($A$1,'DB Country PMI'!$A$1:$V$1,),))</f>
        <v/>
      </c>
      <c r="C51" s="14">
        <f>Table13468113[[#This Row],[PMI]]-B50</f>
        <v/>
      </c>
    </row>
    <row r="52">
      <c r="A52" s="8" t="n">
        <v>40664</v>
      </c>
      <c r="B52" s="11">
        <f>IF(VLOOKUP(A52,'DB Country PMI'!$A:$V,MATCH($A$1,'DB Country PMI'!$A$1:$V$1,),)=0,#N/A,VLOOKUP(A52,'DB Country PMI'!$A:$V,MATCH($A$1,'DB Country PMI'!$A$1:$V$1,),))</f>
        <v/>
      </c>
      <c r="C52" s="14">
        <f>Table13468113[[#This Row],[PMI]]-B51</f>
        <v/>
      </c>
    </row>
    <row r="53">
      <c r="A53" s="8" t="n">
        <v>40695</v>
      </c>
      <c r="B53" s="11">
        <f>IF(VLOOKUP(A53,'DB Country PMI'!$A:$V,MATCH($A$1,'DB Country PMI'!$A$1:$V$1,),)=0,#N/A,VLOOKUP(A53,'DB Country PMI'!$A:$V,MATCH($A$1,'DB Country PMI'!$A$1:$V$1,),))</f>
        <v/>
      </c>
      <c r="C53" s="14">
        <f>Table13468113[[#This Row],[PMI]]-B52</f>
        <v/>
      </c>
    </row>
    <row r="54">
      <c r="A54" s="8" t="n">
        <v>40725</v>
      </c>
      <c r="B54" s="11">
        <f>IF(VLOOKUP(A54,'DB Country PMI'!$A:$V,MATCH($A$1,'DB Country PMI'!$A$1:$V$1,),)=0,#N/A,VLOOKUP(A54,'DB Country PMI'!$A:$V,MATCH($A$1,'DB Country PMI'!$A$1:$V$1,),))</f>
        <v/>
      </c>
      <c r="C54" s="14">
        <f>Table13468113[[#This Row],[PMI]]-B53</f>
        <v/>
      </c>
    </row>
    <row r="55">
      <c r="A55" s="8" t="n">
        <v>40756</v>
      </c>
      <c r="B55" s="11">
        <f>IF(VLOOKUP(A55,'DB Country PMI'!$A:$V,MATCH($A$1,'DB Country PMI'!$A$1:$V$1,),)=0,#N/A,VLOOKUP(A55,'DB Country PMI'!$A:$V,MATCH($A$1,'DB Country PMI'!$A$1:$V$1,),))</f>
        <v/>
      </c>
      <c r="C55" s="14">
        <f>Table13468113[[#This Row],[PMI]]-B54</f>
        <v/>
      </c>
    </row>
    <row r="56">
      <c r="A56" s="8" t="n">
        <v>40787</v>
      </c>
      <c r="B56" s="11">
        <f>IF(VLOOKUP(A56,'DB Country PMI'!$A:$V,MATCH($A$1,'DB Country PMI'!$A$1:$V$1,),)=0,#N/A,VLOOKUP(A56,'DB Country PMI'!$A:$V,MATCH($A$1,'DB Country PMI'!$A$1:$V$1,),))</f>
        <v/>
      </c>
      <c r="C56" s="14">
        <f>Table13468113[[#This Row],[PMI]]-B55</f>
        <v/>
      </c>
    </row>
    <row r="57">
      <c r="A57" s="8" t="n">
        <v>40817</v>
      </c>
      <c r="B57" s="11">
        <f>IF(VLOOKUP(A57,'DB Country PMI'!$A:$V,MATCH($A$1,'DB Country PMI'!$A$1:$V$1,),)=0,#N/A,VLOOKUP(A57,'DB Country PMI'!$A:$V,MATCH($A$1,'DB Country PMI'!$A$1:$V$1,),))</f>
        <v/>
      </c>
      <c r="C57" s="14">
        <f>Table13468113[[#This Row],[PMI]]-B56</f>
        <v/>
      </c>
    </row>
    <row r="58">
      <c r="A58" s="8" t="n">
        <v>40848</v>
      </c>
      <c r="B58" s="11">
        <f>IF(VLOOKUP(A58,'DB Country PMI'!$A:$V,MATCH($A$1,'DB Country PMI'!$A$1:$V$1,),)=0,#N/A,VLOOKUP(A58,'DB Country PMI'!$A:$V,MATCH($A$1,'DB Country PMI'!$A$1:$V$1,),))</f>
        <v/>
      </c>
      <c r="C58" s="14">
        <f>Table13468113[[#This Row],[PMI]]-B57</f>
        <v/>
      </c>
    </row>
    <row r="59">
      <c r="A59" s="8" t="n">
        <v>40878</v>
      </c>
      <c r="B59" s="11">
        <f>IF(VLOOKUP(A59,'DB Country PMI'!$A:$V,MATCH($A$1,'DB Country PMI'!$A$1:$V$1,),)=0,#N/A,VLOOKUP(A59,'DB Country PMI'!$A:$V,MATCH($A$1,'DB Country PMI'!$A$1:$V$1,),))</f>
        <v/>
      </c>
      <c r="C59" s="14">
        <f>Table13468113[[#This Row],[PMI]]-B58</f>
        <v/>
      </c>
    </row>
    <row r="60">
      <c r="A60" s="8" t="n">
        <v>40909</v>
      </c>
      <c r="B60" s="11">
        <f>IF(VLOOKUP(A60,'DB Country PMI'!$A:$V,MATCH($A$1,'DB Country PMI'!$A$1:$V$1,),)=0,#N/A,VLOOKUP(A60,'DB Country PMI'!$A:$V,MATCH($A$1,'DB Country PMI'!$A$1:$V$1,),))</f>
        <v/>
      </c>
      <c r="C60" s="14">
        <f>Table13468113[[#This Row],[PMI]]-B59</f>
        <v/>
      </c>
    </row>
    <row r="61">
      <c r="A61" s="8" t="n">
        <v>40940</v>
      </c>
      <c r="B61" s="11">
        <f>IF(VLOOKUP(A61,'DB Country PMI'!$A:$V,MATCH($A$1,'DB Country PMI'!$A$1:$V$1,),)=0,#N/A,VLOOKUP(A61,'DB Country PMI'!$A:$V,MATCH($A$1,'DB Country PMI'!$A$1:$V$1,),))</f>
        <v/>
      </c>
      <c r="C61" s="14">
        <f>Table13468113[[#This Row],[PMI]]-B60</f>
        <v/>
      </c>
    </row>
    <row r="62">
      <c r="A62" s="8" t="n">
        <v>40969</v>
      </c>
      <c r="B62" s="11">
        <f>IF(VLOOKUP(A62,'DB Country PMI'!$A:$V,MATCH($A$1,'DB Country PMI'!$A$1:$V$1,),)=0,#N/A,VLOOKUP(A62,'DB Country PMI'!$A:$V,MATCH($A$1,'DB Country PMI'!$A$1:$V$1,),))</f>
        <v/>
      </c>
      <c r="C62" s="14">
        <f>Table13468113[[#This Row],[PMI]]-B61</f>
        <v/>
      </c>
    </row>
    <row r="63">
      <c r="A63" s="8" t="n">
        <v>41000</v>
      </c>
      <c r="B63" s="11">
        <f>IF(VLOOKUP(A63,'DB Country PMI'!$A:$V,MATCH($A$1,'DB Country PMI'!$A$1:$V$1,),)=0,#N/A,VLOOKUP(A63,'DB Country PMI'!$A:$V,MATCH($A$1,'DB Country PMI'!$A$1:$V$1,),))</f>
        <v/>
      </c>
      <c r="C63" s="14">
        <f>Table13468113[[#This Row],[PMI]]-B62</f>
        <v/>
      </c>
    </row>
    <row r="64">
      <c r="A64" s="8" t="n">
        <v>41030</v>
      </c>
      <c r="B64" s="11">
        <f>IF(VLOOKUP(A64,'DB Country PMI'!$A:$V,MATCH($A$1,'DB Country PMI'!$A$1:$V$1,),)=0,#N/A,VLOOKUP(A64,'DB Country PMI'!$A:$V,MATCH($A$1,'DB Country PMI'!$A$1:$V$1,),))</f>
        <v/>
      </c>
      <c r="C64" s="14">
        <f>Table13468113[[#This Row],[PMI]]-B63</f>
        <v/>
      </c>
    </row>
    <row r="65">
      <c r="A65" s="8" t="n">
        <v>41061</v>
      </c>
      <c r="B65" s="11">
        <f>IF(VLOOKUP(A65,'DB Country PMI'!$A:$V,MATCH($A$1,'DB Country PMI'!$A$1:$V$1,),)=0,#N/A,VLOOKUP(A65,'DB Country PMI'!$A:$V,MATCH($A$1,'DB Country PMI'!$A$1:$V$1,),))</f>
        <v/>
      </c>
      <c r="C65" s="14">
        <f>Table13468113[[#This Row],[PMI]]-B64</f>
        <v/>
      </c>
    </row>
    <row r="66">
      <c r="A66" s="8" t="n">
        <v>41091</v>
      </c>
      <c r="B66" s="11">
        <f>IF(VLOOKUP(A66,'DB Country PMI'!$A:$V,MATCH($A$1,'DB Country PMI'!$A$1:$V$1,),)=0,#N/A,VLOOKUP(A66,'DB Country PMI'!$A:$V,MATCH($A$1,'DB Country PMI'!$A$1:$V$1,),))</f>
        <v/>
      </c>
      <c r="C66" s="14">
        <f>Table13468113[[#This Row],[PMI]]-B65</f>
        <v/>
      </c>
    </row>
    <row r="67">
      <c r="A67" s="8" t="n">
        <v>41122</v>
      </c>
      <c r="B67" s="11">
        <f>IF(VLOOKUP(A67,'DB Country PMI'!$A:$V,MATCH($A$1,'DB Country PMI'!$A$1:$V$1,),)=0,#N/A,VLOOKUP(A67,'DB Country PMI'!$A:$V,MATCH($A$1,'DB Country PMI'!$A$1:$V$1,),))</f>
        <v/>
      </c>
      <c r="C67" s="14">
        <f>Table13468113[[#This Row],[PMI]]-B66</f>
        <v/>
      </c>
    </row>
    <row r="68">
      <c r="A68" s="8" t="n">
        <v>41153</v>
      </c>
      <c r="B68" s="11">
        <f>IF(VLOOKUP(A68,'DB Country PMI'!$A:$V,MATCH($A$1,'DB Country PMI'!$A$1:$V$1,),)=0,#N/A,VLOOKUP(A68,'DB Country PMI'!$A:$V,MATCH($A$1,'DB Country PMI'!$A$1:$V$1,),))</f>
        <v/>
      </c>
      <c r="C68" s="14">
        <f>Table13468113[[#This Row],[PMI]]-B67</f>
        <v/>
      </c>
    </row>
    <row r="69">
      <c r="A69" s="8" t="n">
        <v>41183</v>
      </c>
      <c r="B69" s="11">
        <f>IF(VLOOKUP(A69,'DB Country PMI'!$A:$V,MATCH($A$1,'DB Country PMI'!$A$1:$V$1,),)=0,#N/A,VLOOKUP(A69,'DB Country PMI'!$A:$V,MATCH($A$1,'DB Country PMI'!$A$1:$V$1,),))</f>
        <v/>
      </c>
      <c r="C69" s="14">
        <f>Table13468113[[#This Row],[PMI]]-B68</f>
        <v/>
      </c>
    </row>
    <row r="70">
      <c r="A70" s="8" t="n">
        <v>41214</v>
      </c>
      <c r="B70" s="11">
        <f>IF(VLOOKUP(A70,'DB Country PMI'!$A:$V,MATCH($A$1,'DB Country PMI'!$A$1:$V$1,),)=0,#N/A,VLOOKUP(A70,'DB Country PMI'!$A:$V,MATCH($A$1,'DB Country PMI'!$A$1:$V$1,),))</f>
        <v/>
      </c>
      <c r="C70" s="14">
        <f>Table13468113[[#This Row],[PMI]]-B69</f>
        <v/>
      </c>
    </row>
    <row r="71">
      <c r="A71" s="8" t="n">
        <v>41244</v>
      </c>
      <c r="B71" s="11">
        <f>IF(VLOOKUP(A71,'DB Country PMI'!$A:$V,MATCH($A$1,'DB Country PMI'!$A$1:$V$1,),)=0,#N/A,VLOOKUP(A71,'DB Country PMI'!$A:$V,MATCH($A$1,'DB Country PMI'!$A$1:$V$1,),))</f>
        <v/>
      </c>
      <c r="C71" s="14">
        <f>Table13468113[[#This Row],[PMI]]-B70</f>
        <v/>
      </c>
    </row>
    <row r="72">
      <c r="A72" s="8" t="n">
        <v>41275</v>
      </c>
      <c r="B72" s="11">
        <f>IF(VLOOKUP(A72,'DB Country PMI'!$A:$V,MATCH($A$1,'DB Country PMI'!$A$1:$V$1,),)=0,#N/A,VLOOKUP(A72,'DB Country PMI'!$A:$V,MATCH($A$1,'DB Country PMI'!$A$1:$V$1,),))</f>
        <v/>
      </c>
      <c r="C72" s="14">
        <f>Table13468113[[#This Row],[PMI]]-B71</f>
        <v/>
      </c>
    </row>
    <row r="73">
      <c r="A73" s="8" t="n">
        <v>41306</v>
      </c>
      <c r="B73" s="11">
        <f>IF(VLOOKUP(A73,'DB Country PMI'!$A:$V,MATCH($A$1,'DB Country PMI'!$A$1:$V$1,),)=0,#N/A,VLOOKUP(A73,'DB Country PMI'!$A:$V,MATCH($A$1,'DB Country PMI'!$A$1:$V$1,),))</f>
        <v/>
      </c>
      <c r="C73" s="14">
        <f>Table13468113[[#This Row],[PMI]]-B72</f>
        <v/>
      </c>
    </row>
    <row r="74">
      <c r="A74" s="8" t="n">
        <v>41334</v>
      </c>
      <c r="B74" s="11">
        <f>IF(VLOOKUP(A74,'DB Country PMI'!$A:$V,MATCH($A$1,'DB Country PMI'!$A$1:$V$1,),)=0,#N/A,VLOOKUP(A74,'DB Country PMI'!$A:$V,MATCH($A$1,'DB Country PMI'!$A$1:$V$1,),))</f>
        <v/>
      </c>
      <c r="C74" s="14">
        <f>Table13468113[[#This Row],[PMI]]-B73</f>
        <v/>
      </c>
    </row>
    <row r="75">
      <c r="A75" s="8" t="n">
        <v>41365</v>
      </c>
      <c r="B75" s="11">
        <f>IF(VLOOKUP(A75,'DB Country PMI'!$A:$V,MATCH($A$1,'DB Country PMI'!$A$1:$V$1,),)=0,#N/A,VLOOKUP(A75,'DB Country PMI'!$A:$V,MATCH($A$1,'DB Country PMI'!$A$1:$V$1,),))</f>
        <v/>
      </c>
      <c r="C75" s="14">
        <f>Table13468113[[#This Row],[PMI]]-B74</f>
        <v/>
      </c>
    </row>
    <row r="76">
      <c r="A76" s="8" t="n">
        <v>41395</v>
      </c>
      <c r="B76" s="11">
        <f>IF(VLOOKUP(A76,'DB Country PMI'!$A:$V,MATCH($A$1,'DB Country PMI'!$A$1:$V$1,),)=0,#N/A,VLOOKUP(A76,'DB Country PMI'!$A:$V,MATCH($A$1,'DB Country PMI'!$A$1:$V$1,),))</f>
        <v/>
      </c>
      <c r="C76" s="14">
        <f>Table13468113[[#This Row],[PMI]]-B75</f>
        <v/>
      </c>
    </row>
    <row r="77">
      <c r="A77" s="8" t="n">
        <v>41426</v>
      </c>
      <c r="B77" s="11">
        <f>IF(VLOOKUP(A77,'DB Country PMI'!$A:$V,MATCH($A$1,'DB Country PMI'!$A$1:$V$1,),)=0,#N/A,VLOOKUP(A77,'DB Country PMI'!$A:$V,MATCH($A$1,'DB Country PMI'!$A$1:$V$1,),))</f>
        <v/>
      </c>
      <c r="C77" s="14">
        <f>Table13468113[[#This Row],[PMI]]-B76</f>
        <v/>
      </c>
    </row>
    <row r="78">
      <c r="A78" s="8" t="n">
        <v>41456</v>
      </c>
      <c r="B78" s="11">
        <f>IF(VLOOKUP(A78,'DB Country PMI'!$A:$V,MATCH($A$1,'DB Country PMI'!$A$1:$V$1,),)=0,#N/A,VLOOKUP(A78,'DB Country PMI'!$A:$V,MATCH($A$1,'DB Country PMI'!$A$1:$V$1,),))</f>
        <v/>
      </c>
      <c r="C78" s="14">
        <f>Table13468113[[#This Row],[PMI]]-B77</f>
        <v/>
      </c>
    </row>
    <row r="79">
      <c r="A79" s="8" t="n">
        <v>41487</v>
      </c>
      <c r="B79" s="11">
        <f>IF(VLOOKUP(A79,'DB Country PMI'!$A:$V,MATCH($A$1,'DB Country PMI'!$A$1:$V$1,),)=0,#N/A,VLOOKUP(A79,'DB Country PMI'!$A:$V,MATCH($A$1,'DB Country PMI'!$A$1:$V$1,),))</f>
        <v/>
      </c>
      <c r="C79" s="14">
        <f>Table13468113[[#This Row],[PMI]]-B78</f>
        <v/>
      </c>
    </row>
    <row r="80">
      <c r="A80" s="8" t="n">
        <v>41518</v>
      </c>
      <c r="B80" s="11">
        <f>IF(VLOOKUP(A80,'DB Country PMI'!$A:$V,MATCH($A$1,'DB Country PMI'!$A$1:$V$1,),)=0,#N/A,VLOOKUP(A80,'DB Country PMI'!$A:$V,MATCH($A$1,'DB Country PMI'!$A$1:$V$1,),))</f>
        <v/>
      </c>
      <c r="C80" s="14">
        <f>Table13468113[[#This Row],[PMI]]-B79</f>
        <v/>
      </c>
    </row>
    <row r="81">
      <c r="A81" s="8" t="n">
        <v>41548</v>
      </c>
      <c r="B81" s="11">
        <f>IF(VLOOKUP(A81,'DB Country PMI'!$A:$V,MATCH($A$1,'DB Country PMI'!$A$1:$V$1,),)=0,#N/A,VLOOKUP(A81,'DB Country PMI'!$A:$V,MATCH($A$1,'DB Country PMI'!$A$1:$V$1,),))</f>
        <v/>
      </c>
      <c r="C81" s="14">
        <f>Table13468113[[#This Row],[PMI]]-B80</f>
        <v/>
      </c>
    </row>
    <row r="82">
      <c r="A82" s="8" t="n">
        <v>41579</v>
      </c>
      <c r="B82" s="11">
        <f>IF(VLOOKUP(A82,'DB Country PMI'!$A:$V,MATCH($A$1,'DB Country PMI'!$A$1:$V$1,),)=0,#N/A,VLOOKUP(A82,'DB Country PMI'!$A:$V,MATCH($A$1,'DB Country PMI'!$A$1:$V$1,),))</f>
        <v/>
      </c>
      <c r="C82" s="14">
        <f>Table13468113[[#This Row],[PMI]]-B81</f>
        <v/>
      </c>
    </row>
    <row r="83">
      <c r="A83" s="8" t="n">
        <v>41609</v>
      </c>
      <c r="B83" s="11">
        <f>IF(VLOOKUP(A83,'DB Country PMI'!$A:$V,MATCH($A$1,'DB Country PMI'!$A$1:$V$1,),)=0,#N/A,VLOOKUP(A83,'DB Country PMI'!$A:$V,MATCH($A$1,'DB Country PMI'!$A$1:$V$1,),))</f>
        <v/>
      </c>
      <c r="C83" s="14">
        <f>Table13468113[[#This Row],[PMI]]-B82</f>
        <v/>
      </c>
    </row>
    <row r="84">
      <c r="A84" s="8" t="n">
        <v>41640</v>
      </c>
      <c r="B84" s="11">
        <f>IF(VLOOKUP(A84,'DB Country PMI'!$A:$V,MATCH($A$1,'DB Country PMI'!$A$1:$V$1,),)=0,#N/A,VLOOKUP(A84,'DB Country PMI'!$A:$V,MATCH($A$1,'DB Country PMI'!$A$1:$V$1,),))</f>
        <v/>
      </c>
      <c r="C84" s="14">
        <f>Table13468113[[#This Row],[PMI]]-B83</f>
        <v/>
      </c>
    </row>
    <row r="85">
      <c r="A85" s="8" t="n">
        <v>41671</v>
      </c>
      <c r="B85" s="11">
        <f>IF(VLOOKUP(A85,'DB Country PMI'!$A:$V,MATCH($A$1,'DB Country PMI'!$A$1:$V$1,),)=0,#N/A,VLOOKUP(A85,'DB Country PMI'!$A:$V,MATCH($A$1,'DB Country PMI'!$A$1:$V$1,),))</f>
        <v/>
      </c>
      <c r="C85" s="14">
        <f>Table13468113[[#This Row],[PMI]]-B84</f>
        <v/>
      </c>
    </row>
    <row r="86">
      <c r="A86" s="8" t="n">
        <v>41699</v>
      </c>
      <c r="B86" s="11">
        <f>IF(VLOOKUP(A86,'DB Country PMI'!$A:$V,MATCH($A$1,'DB Country PMI'!$A$1:$V$1,),)=0,#N/A,VLOOKUP(A86,'DB Country PMI'!$A:$V,MATCH($A$1,'DB Country PMI'!$A$1:$V$1,),))</f>
        <v/>
      </c>
      <c r="C86" s="14">
        <f>Table13468113[[#This Row],[PMI]]-B85</f>
        <v/>
      </c>
    </row>
    <row r="87">
      <c r="A87" s="8" t="n">
        <v>41730</v>
      </c>
      <c r="B87" s="11">
        <f>IF(VLOOKUP(A87,'DB Country PMI'!$A:$V,MATCH($A$1,'DB Country PMI'!$A$1:$V$1,),)=0,#N/A,VLOOKUP(A87,'DB Country PMI'!$A:$V,MATCH($A$1,'DB Country PMI'!$A$1:$V$1,),))</f>
        <v/>
      </c>
      <c r="C87" s="14">
        <f>Table13468113[[#This Row],[PMI]]-B86</f>
        <v/>
      </c>
    </row>
    <row r="88">
      <c r="A88" s="8" t="n">
        <v>41760</v>
      </c>
      <c r="B88" s="11">
        <f>IF(VLOOKUP(A88,'DB Country PMI'!$A:$V,MATCH($A$1,'DB Country PMI'!$A$1:$V$1,),)=0,#N/A,VLOOKUP(A88,'DB Country PMI'!$A:$V,MATCH($A$1,'DB Country PMI'!$A$1:$V$1,),))</f>
        <v/>
      </c>
      <c r="C88" s="14">
        <f>Table13468113[[#This Row],[PMI]]-B87</f>
        <v/>
      </c>
    </row>
    <row r="89">
      <c r="A89" s="8" t="n">
        <v>41791</v>
      </c>
      <c r="B89" s="11">
        <f>IF(VLOOKUP(A89,'DB Country PMI'!$A:$V,MATCH($A$1,'DB Country PMI'!$A$1:$V$1,),)=0,#N/A,VLOOKUP(A89,'DB Country PMI'!$A:$V,MATCH($A$1,'DB Country PMI'!$A$1:$V$1,),))</f>
        <v/>
      </c>
      <c r="C89" s="14">
        <f>Table13468113[[#This Row],[PMI]]-B88</f>
        <v/>
      </c>
    </row>
    <row r="90">
      <c r="A90" s="8" t="n">
        <v>41821</v>
      </c>
      <c r="B90" s="11">
        <f>IF(VLOOKUP(A90,'DB Country PMI'!$A:$V,MATCH($A$1,'DB Country PMI'!$A$1:$V$1,),)=0,#N/A,VLOOKUP(A90,'DB Country PMI'!$A:$V,MATCH($A$1,'DB Country PMI'!$A$1:$V$1,),))</f>
        <v/>
      </c>
      <c r="C90" s="14">
        <f>Table13468113[[#This Row],[PMI]]-B89</f>
        <v/>
      </c>
    </row>
    <row r="91">
      <c r="A91" s="8" t="n">
        <v>41852</v>
      </c>
      <c r="B91" s="11">
        <f>IF(VLOOKUP(A91,'DB Country PMI'!$A:$V,MATCH($A$1,'DB Country PMI'!$A$1:$V$1,),)=0,#N/A,VLOOKUP(A91,'DB Country PMI'!$A:$V,MATCH($A$1,'DB Country PMI'!$A$1:$V$1,),))</f>
        <v/>
      </c>
      <c r="C91" s="14">
        <f>Table13468113[[#This Row],[PMI]]-B90</f>
        <v/>
      </c>
    </row>
    <row r="92">
      <c r="A92" s="8" t="n">
        <v>41883</v>
      </c>
      <c r="B92" s="11">
        <f>IF(VLOOKUP(A92,'DB Country PMI'!$A:$V,MATCH($A$1,'DB Country PMI'!$A$1:$V$1,),)=0,#N/A,VLOOKUP(A92,'DB Country PMI'!$A:$V,MATCH($A$1,'DB Country PMI'!$A$1:$V$1,),))</f>
        <v/>
      </c>
      <c r="C92" s="14">
        <f>Table13468113[[#This Row],[PMI]]-B91</f>
        <v/>
      </c>
    </row>
    <row r="93">
      <c r="A93" s="8" t="n">
        <v>41913</v>
      </c>
      <c r="B93" s="11">
        <f>IF(VLOOKUP(A93,'DB Country PMI'!$A:$V,MATCH($A$1,'DB Country PMI'!$A$1:$V$1,),)=0,#N/A,VLOOKUP(A93,'DB Country PMI'!$A:$V,MATCH($A$1,'DB Country PMI'!$A$1:$V$1,),))</f>
        <v/>
      </c>
      <c r="C93" s="14">
        <f>Table13468113[[#This Row],[PMI]]-B92</f>
        <v/>
      </c>
    </row>
    <row r="94">
      <c r="A94" s="8" t="n">
        <v>41944</v>
      </c>
      <c r="B94" s="11">
        <f>IF(VLOOKUP(A94,'DB Country PMI'!$A:$V,MATCH($A$1,'DB Country PMI'!$A$1:$V$1,),)=0,#N/A,VLOOKUP(A94,'DB Country PMI'!$A:$V,MATCH($A$1,'DB Country PMI'!$A$1:$V$1,),))</f>
        <v/>
      </c>
      <c r="C94" s="14">
        <f>Table13468113[[#This Row],[PMI]]-B93</f>
        <v/>
      </c>
    </row>
    <row r="95">
      <c r="A95" s="8" t="n">
        <v>41974</v>
      </c>
      <c r="B95" s="11">
        <f>IF(VLOOKUP(A95,'DB Country PMI'!$A:$V,MATCH($A$1,'DB Country PMI'!$A$1:$V$1,),)=0,#N/A,VLOOKUP(A95,'DB Country PMI'!$A:$V,MATCH($A$1,'DB Country PMI'!$A$1:$V$1,),))</f>
        <v/>
      </c>
      <c r="C95" s="14">
        <f>Table13468113[[#This Row],[PMI]]-B94</f>
        <v/>
      </c>
    </row>
    <row r="96">
      <c r="A96" s="8" t="n">
        <v>42005</v>
      </c>
      <c r="B96" s="11">
        <f>IF(VLOOKUP(A96,'DB Country PMI'!$A:$V,MATCH($A$1,'DB Country PMI'!$A$1:$V$1,),)=0,#N/A,VLOOKUP(A96,'DB Country PMI'!$A:$V,MATCH($A$1,'DB Country PMI'!$A$1:$V$1,),))</f>
        <v/>
      </c>
      <c r="C96" s="14">
        <f>Table13468113[[#This Row],[PMI]]-B95</f>
        <v/>
      </c>
    </row>
    <row r="97">
      <c r="A97" s="8" t="n">
        <v>42036</v>
      </c>
      <c r="B97" s="11">
        <f>IF(VLOOKUP(A97,'DB Country PMI'!$A:$V,MATCH($A$1,'DB Country PMI'!$A$1:$V$1,),)=0,#N/A,VLOOKUP(A97,'DB Country PMI'!$A:$V,MATCH($A$1,'DB Country PMI'!$A$1:$V$1,),))</f>
        <v/>
      </c>
      <c r="C97" s="14">
        <f>Table13468113[[#This Row],[PMI]]-B96</f>
        <v/>
      </c>
    </row>
    <row r="98">
      <c r="A98" s="8" t="n">
        <v>42064</v>
      </c>
      <c r="B98" s="11">
        <f>IF(VLOOKUP(A98,'DB Country PMI'!$A:$V,MATCH($A$1,'DB Country PMI'!$A$1:$V$1,),)=0,#N/A,VLOOKUP(A98,'DB Country PMI'!$A:$V,MATCH($A$1,'DB Country PMI'!$A$1:$V$1,),))</f>
        <v/>
      </c>
      <c r="C98" s="14">
        <f>Table13468113[[#This Row],[PMI]]-B97</f>
        <v/>
      </c>
    </row>
    <row r="99">
      <c r="A99" s="8" t="n">
        <v>42095</v>
      </c>
      <c r="B99" s="11">
        <f>IF(VLOOKUP(A99,'DB Country PMI'!$A:$V,MATCH($A$1,'DB Country PMI'!$A$1:$V$1,),)=0,#N/A,VLOOKUP(A99,'DB Country PMI'!$A:$V,MATCH($A$1,'DB Country PMI'!$A$1:$V$1,),))</f>
        <v/>
      </c>
      <c r="C99" s="14">
        <f>Table13468113[[#This Row],[PMI]]-B98</f>
        <v/>
      </c>
    </row>
    <row r="100">
      <c r="A100" s="8" t="n">
        <v>42125</v>
      </c>
      <c r="B100" s="11">
        <f>IF(VLOOKUP(A100,'DB Country PMI'!$A:$V,MATCH($A$1,'DB Country PMI'!$A$1:$V$1,),)=0,#N/A,VLOOKUP(A100,'DB Country PMI'!$A:$V,MATCH($A$1,'DB Country PMI'!$A$1:$V$1,),))</f>
        <v/>
      </c>
      <c r="C100" s="14">
        <f>Table13468113[[#This Row],[PMI]]-B99</f>
        <v/>
      </c>
    </row>
    <row r="101">
      <c r="A101" s="8" t="n">
        <v>42156</v>
      </c>
      <c r="B101" s="11">
        <f>IF(VLOOKUP(A101,'DB Country PMI'!$A:$V,MATCH($A$1,'DB Country PMI'!$A$1:$V$1,),)=0,#N/A,VLOOKUP(A101,'DB Country PMI'!$A:$V,MATCH($A$1,'DB Country PMI'!$A$1:$V$1,),))</f>
        <v/>
      </c>
      <c r="C101" s="14">
        <f>Table13468113[[#This Row],[PMI]]-B100</f>
        <v/>
      </c>
    </row>
    <row r="102">
      <c r="A102" s="8" t="n">
        <v>42186</v>
      </c>
      <c r="B102" s="11">
        <f>IF(VLOOKUP(A102,'DB Country PMI'!$A:$V,MATCH($A$1,'DB Country PMI'!$A$1:$V$1,),)=0,#N/A,VLOOKUP(A102,'DB Country PMI'!$A:$V,MATCH($A$1,'DB Country PMI'!$A$1:$V$1,),))</f>
        <v/>
      </c>
      <c r="C102" s="14">
        <f>Table13468113[[#This Row],[PMI]]-B101</f>
        <v/>
      </c>
    </row>
    <row r="103">
      <c r="A103" s="8" t="n">
        <v>42217</v>
      </c>
      <c r="B103" s="11">
        <f>IF(VLOOKUP(A103,'DB Country PMI'!$A:$V,MATCH($A$1,'DB Country PMI'!$A$1:$V$1,),)=0,#N/A,VLOOKUP(A103,'DB Country PMI'!$A:$V,MATCH($A$1,'DB Country PMI'!$A$1:$V$1,),))</f>
        <v/>
      </c>
      <c r="C103" s="14">
        <f>Table13468113[[#This Row],[PMI]]-B102</f>
        <v/>
      </c>
    </row>
    <row r="104">
      <c r="A104" s="8" t="n">
        <v>42248</v>
      </c>
      <c r="B104" s="11">
        <f>IF(VLOOKUP(A104,'DB Country PMI'!$A:$V,MATCH($A$1,'DB Country PMI'!$A$1:$V$1,),)=0,#N/A,VLOOKUP(A104,'DB Country PMI'!$A:$V,MATCH($A$1,'DB Country PMI'!$A$1:$V$1,),))</f>
        <v/>
      </c>
      <c r="C104" s="14">
        <f>Table13468113[[#This Row],[PMI]]-B103</f>
        <v/>
      </c>
    </row>
    <row r="105">
      <c r="A105" s="8" t="n">
        <v>42278</v>
      </c>
      <c r="B105" s="11">
        <f>IF(VLOOKUP(A105,'DB Country PMI'!$A:$V,MATCH($A$1,'DB Country PMI'!$A$1:$V$1,),)=0,#N/A,VLOOKUP(A105,'DB Country PMI'!$A:$V,MATCH($A$1,'DB Country PMI'!$A$1:$V$1,),))</f>
        <v/>
      </c>
      <c r="C105" s="14">
        <f>Table13468113[[#This Row],[PMI]]-B104</f>
        <v/>
      </c>
    </row>
    <row r="106">
      <c r="A106" s="8" t="n">
        <v>42309</v>
      </c>
      <c r="B106" s="11">
        <f>IF(VLOOKUP(A106,'DB Country PMI'!$A:$V,MATCH($A$1,'DB Country PMI'!$A$1:$V$1,),)=0,#N/A,VLOOKUP(A106,'DB Country PMI'!$A:$V,MATCH($A$1,'DB Country PMI'!$A$1:$V$1,),))</f>
        <v/>
      </c>
      <c r="C106" s="14">
        <f>Table13468113[[#This Row],[PMI]]-B105</f>
        <v/>
      </c>
    </row>
    <row r="107">
      <c r="A107" s="8" t="n">
        <v>42339</v>
      </c>
      <c r="B107" s="11">
        <f>IF(VLOOKUP(A107,'DB Country PMI'!$A:$V,MATCH($A$1,'DB Country PMI'!$A$1:$V$1,),)=0,#N/A,VLOOKUP(A107,'DB Country PMI'!$A:$V,MATCH($A$1,'DB Country PMI'!$A$1:$V$1,),))</f>
        <v/>
      </c>
      <c r="C107" s="14">
        <f>Table13468113[[#This Row],[PMI]]-B106</f>
        <v/>
      </c>
    </row>
    <row r="108">
      <c r="A108" s="8" t="n">
        <v>42370</v>
      </c>
      <c r="B108" s="11">
        <f>IF(VLOOKUP(A108,'DB Country PMI'!$A:$V,MATCH($A$1,'DB Country PMI'!$A$1:$V$1,),)=0,#N/A,VLOOKUP(A108,'DB Country PMI'!$A:$V,MATCH($A$1,'DB Country PMI'!$A$1:$V$1,),))</f>
        <v/>
      </c>
      <c r="C108" s="14">
        <f>Table13468113[[#This Row],[PMI]]-B107</f>
        <v/>
      </c>
    </row>
    <row r="109">
      <c r="A109" s="8" t="n">
        <v>42401</v>
      </c>
      <c r="B109" s="11">
        <f>IF(VLOOKUP(A109,'DB Country PMI'!$A:$V,MATCH($A$1,'DB Country PMI'!$A$1:$V$1,),)=0,#N/A,VLOOKUP(A109,'DB Country PMI'!$A:$V,MATCH($A$1,'DB Country PMI'!$A$1:$V$1,),))</f>
        <v/>
      </c>
      <c r="C109" s="14">
        <f>Table13468113[[#This Row],[PMI]]-B108</f>
        <v/>
      </c>
    </row>
    <row r="110">
      <c r="A110" s="8" t="n">
        <v>42430</v>
      </c>
      <c r="B110" s="11">
        <f>IF(VLOOKUP(A110,'DB Country PMI'!$A:$V,MATCH($A$1,'DB Country PMI'!$A$1:$V$1,),)=0,#N/A,VLOOKUP(A110,'DB Country PMI'!$A:$V,MATCH($A$1,'DB Country PMI'!$A$1:$V$1,),))</f>
        <v/>
      </c>
      <c r="C110" s="14">
        <f>Table13468113[[#This Row],[PMI]]-B109</f>
        <v/>
      </c>
    </row>
    <row r="111">
      <c r="A111" s="8" t="n">
        <v>42461</v>
      </c>
      <c r="B111" s="11">
        <f>IF(VLOOKUP(A111,'DB Country PMI'!$A:$V,MATCH($A$1,'DB Country PMI'!$A$1:$V$1,),)=0,#N/A,VLOOKUP(A111,'DB Country PMI'!$A:$V,MATCH($A$1,'DB Country PMI'!$A$1:$V$1,),))</f>
        <v/>
      </c>
      <c r="C111" s="14">
        <f>Table13468113[[#This Row],[PMI]]-B110</f>
        <v/>
      </c>
    </row>
    <row r="112">
      <c r="A112" s="8" t="n">
        <v>42491</v>
      </c>
      <c r="B112" s="11">
        <f>IF(VLOOKUP(A112,'DB Country PMI'!$A:$V,MATCH($A$1,'DB Country PMI'!$A$1:$V$1,),)=0,#N/A,VLOOKUP(A112,'DB Country PMI'!$A:$V,MATCH($A$1,'DB Country PMI'!$A$1:$V$1,),))</f>
        <v/>
      </c>
      <c r="C112" s="14">
        <f>Table13468113[[#This Row],[PMI]]-B111</f>
        <v/>
      </c>
    </row>
    <row r="113">
      <c r="A113" s="8" t="n">
        <v>42522</v>
      </c>
      <c r="B113" s="11">
        <f>IF(VLOOKUP(A113,'DB Country PMI'!$A:$V,MATCH($A$1,'DB Country PMI'!$A$1:$V$1,),)=0,#N/A,VLOOKUP(A113,'DB Country PMI'!$A:$V,MATCH($A$1,'DB Country PMI'!$A$1:$V$1,),))</f>
        <v/>
      </c>
      <c r="C113" s="14">
        <f>Table13468113[[#This Row],[PMI]]-B112</f>
        <v/>
      </c>
    </row>
    <row r="114">
      <c r="A114" s="8" t="n">
        <v>42552</v>
      </c>
      <c r="B114" s="11">
        <f>IF(VLOOKUP(A114,'DB Country PMI'!$A:$V,MATCH($A$1,'DB Country PMI'!$A$1:$V$1,),)=0,#N/A,VLOOKUP(A114,'DB Country PMI'!$A:$V,MATCH($A$1,'DB Country PMI'!$A$1:$V$1,),))</f>
        <v/>
      </c>
      <c r="C114" s="14">
        <f>Table13468113[[#This Row],[PMI]]-B113</f>
        <v/>
      </c>
    </row>
    <row r="115">
      <c r="A115" s="8" t="n">
        <v>42583</v>
      </c>
      <c r="B115" s="11">
        <f>IF(VLOOKUP(A115,'DB Country PMI'!$A:$V,MATCH($A$1,'DB Country PMI'!$A$1:$V$1,),)=0,#N/A,VLOOKUP(A115,'DB Country PMI'!$A:$V,MATCH($A$1,'DB Country PMI'!$A$1:$V$1,),))</f>
        <v/>
      </c>
      <c r="C115" s="14">
        <f>Table13468113[[#This Row],[PMI]]-B114</f>
        <v/>
      </c>
    </row>
    <row r="116">
      <c r="A116" s="8" t="n">
        <v>42614</v>
      </c>
      <c r="B116" s="11">
        <f>IF(VLOOKUP(A116,'DB Country PMI'!$A:$V,MATCH($A$1,'DB Country PMI'!$A$1:$V$1,),)=0,#N/A,VLOOKUP(A116,'DB Country PMI'!$A:$V,MATCH($A$1,'DB Country PMI'!$A$1:$V$1,),))</f>
        <v/>
      </c>
      <c r="C116" s="14">
        <f>Table13468113[[#This Row],[PMI]]-B115</f>
        <v/>
      </c>
    </row>
    <row r="117">
      <c r="A117" s="8" t="n">
        <v>42644</v>
      </c>
      <c r="B117" s="11">
        <f>IF(VLOOKUP(A117,'DB Country PMI'!$A:$V,MATCH($A$1,'DB Country PMI'!$A$1:$V$1,),)=0,#N/A,VLOOKUP(A117,'DB Country PMI'!$A:$V,MATCH($A$1,'DB Country PMI'!$A$1:$V$1,),))</f>
        <v/>
      </c>
      <c r="C117" s="14">
        <f>Table13468113[[#This Row],[PMI]]-B116</f>
        <v/>
      </c>
    </row>
    <row r="118">
      <c r="A118" s="8" t="n">
        <v>42675</v>
      </c>
      <c r="B118" s="11">
        <f>IF(VLOOKUP(A118,'DB Country PMI'!$A:$V,MATCH($A$1,'DB Country PMI'!$A$1:$V$1,),)=0,#N/A,VLOOKUP(A118,'DB Country PMI'!$A:$V,MATCH($A$1,'DB Country PMI'!$A$1:$V$1,),))</f>
        <v/>
      </c>
      <c r="C118" s="14">
        <f>Table13468113[[#This Row],[PMI]]-B117</f>
        <v/>
      </c>
    </row>
    <row r="119">
      <c r="A119" s="8" t="n">
        <v>42705</v>
      </c>
      <c r="B119" s="11">
        <f>IF(VLOOKUP(A119,'DB Country PMI'!$A:$V,MATCH($A$1,'DB Country PMI'!$A$1:$V$1,),)=0,#N/A,VLOOKUP(A119,'DB Country PMI'!$A:$V,MATCH($A$1,'DB Country PMI'!$A$1:$V$1,),))</f>
        <v/>
      </c>
      <c r="C119" s="14">
        <f>Table13468113[[#This Row],[PMI]]-B118</f>
        <v/>
      </c>
    </row>
    <row r="120">
      <c r="A120" s="8" t="n">
        <v>42736</v>
      </c>
      <c r="B120" s="11">
        <f>IF(VLOOKUP(A120,'DB Country PMI'!$A:$V,MATCH($A$1,'DB Country PMI'!$A$1:$V$1,),)=0,#N/A,VLOOKUP(A120,'DB Country PMI'!$A:$V,MATCH($A$1,'DB Country PMI'!$A$1:$V$1,),))</f>
        <v/>
      </c>
      <c r="C120" s="14">
        <f>Table13468113[[#This Row],[PMI]]-B119</f>
        <v/>
      </c>
    </row>
    <row r="121">
      <c r="A121" s="8" t="n">
        <v>42767</v>
      </c>
      <c r="B121" s="11">
        <f>IF(VLOOKUP(A121,'DB Country PMI'!$A:$V,MATCH($A$1,'DB Country PMI'!$A$1:$V$1,),)=0,#N/A,VLOOKUP(A121,'DB Country PMI'!$A:$V,MATCH($A$1,'DB Country PMI'!$A$1:$V$1,),))</f>
        <v/>
      </c>
      <c r="C121" s="14">
        <f>Table13468113[[#This Row],[PMI]]-B120</f>
        <v/>
      </c>
    </row>
    <row r="122">
      <c r="A122" s="8" t="n">
        <v>42795</v>
      </c>
      <c r="B122" s="11">
        <f>IF(VLOOKUP(A122,'DB Country PMI'!$A:$V,MATCH($A$1,'DB Country PMI'!$A$1:$V$1,),)=0,#N/A,VLOOKUP(A122,'DB Country PMI'!$A:$V,MATCH($A$1,'DB Country PMI'!$A$1:$V$1,),))</f>
        <v/>
      </c>
      <c r="C122" s="14">
        <f>Table13468113[[#This Row],[PMI]]-B121</f>
        <v/>
      </c>
    </row>
    <row r="123">
      <c r="A123" s="8" t="n">
        <v>42826</v>
      </c>
      <c r="B123" s="11">
        <f>IF(VLOOKUP(A123,'DB Country PMI'!$A:$V,MATCH($A$1,'DB Country PMI'!$A$1:$V$1,),)=0,#N/A,VLOOKUP(A123,'DB Country PMI'!$A:$V,MATCH($A$1,'DB Country PMI'!$A$1:$V$1,),))</f>
        <v/>
      </c>
      <c r="C123" s="14">
        <f>Table13468113[[#This Row],[PMI]]-B122</f>
        <v/>
      </c>
    </row>
    <row r="124">
      <c r="A124" s="8" t="n">
        <v>42856</v>
      </c>
      <c r="B124" s="11">
        <f>IF(VLOOKUP(A124,'DB Country PMI'!$A:$V,MATCH($A$1,'DB Country PMI'!$A$1:$V$1,),)=0,#N/A,VLOOKUP(A124,'DB Country PMI'!$A:$V,MATCH($A$1,'DB Country PMI'!$A$1:$V$1,),))</f>
        <v/>
      </c>
      <c r="C124" s="14">
        <f>Table13468113[[#This Row],[PMI]]-B123</f>
        <v/>
      </c>
    </row>
    <row r="125">
      <c r="A125" s="8" t="n">
        <v>42887</v>
      </c>
      <c r="B125" s="11">
        <f>IF(VLOOKUP(A125,'DB Country PMI'!$A:$V,MATCH($A$1,'DB Country PMI'!$A$1:$V$1,),)=0,#N/A,VLOOKUP(A125,'DB Country PMI'!$A:$V,MATCH($A$1,'DB Country PMI'!$A$1:$V$1,),))</f>
        <v/>
      </c>
      <c r="C125" s="14">
        <f>Table13468113[[#This Row],[PMI]]-B124</f>
        <v/>
      </c>
    </row>
    <row r="126">
      <c r="A126" s="8" t="n">
        <v>42917</v>
      </c>
      <c r="B126" s="11">
        <f>IF(VLOOKUP(A126,'DB Country PMI'!$A:$V,MATCH($A$1,'DB Country PMI'!$A$1:$V$1,),)=0,#N/A,VLOOKUP(A126,'DB Country PMI'!$A:$V,MATCH($A$1,'DB Country PMI'!$A$1:$V$1,),))</f>
        <v/>
      </c>
      <c r="C126" s="14">
        <f>Table13468113[[#This Row],[PMI]]-B125</f>
        <v/>
      </c>
    </row>
    <row r="127">
      <c r="A127" s="8" t="n">
        <v>42948</v>
      </c>
      <c r="B127" s="11">
        <f>IF(VLOOKUP(A127,'DB Country PMI'!$A:$V,MATCH($A$1,'DB Country PMI'!$A$1:$V$1,),)=0,#N/A,VLOOKUP(A127,'DB Country PMI'!$A:$V,MATCH($A$1,'DB Country PMI'!$A$1:$V$1,),))</f>
        <v/>
      </c>
      <c r="C127" s="14">
        <f>Table13468113[[#This Row],[PMI]]-B126</f>
        <v/>
      </c>
    </row>
    <row r="128">
      <c r="A128" s="8" t="n">
        <v>42979</v>
      </c>
      <c r="B128" s="11">
        <f>IF(VLOOKUP(A128,'DB Country PMI'!$A:$V,MATCH($A$1,'DB Country PMI'!$A$1:$V$1,),)=0,#N/A,VLOOKUP(A128,'DB Country PMI'!$A:$V,MATCH($A$1,'DB Country PMI'!$A$1:$V$1,),))</f>
        <v/>
      </c>
      <c r="C128" s="14">
        <f>Table13468113[[#This Row],[PMI]]-B127</f>
        <v/>
      </c>
    </row>
    <row r="129">
      <c r="A129" s="8" t="n">
        <v>43009</v>
      </c>
      <c r="B129" s="11">
        <f>IF(VLOOKUP(A129,'DB Country PMI'!$A:$V,MATCH($A$1,'DB Country PMI'!$A$1:$V$1,),)=0,#N/A,VLOOKUP(A129,'DB Country PMI'!$A:$V,MATCH($A$1,'DB Country PMI'!$A$1:$V$1,),))</f>
        <v/>
      </c>
      <c r="C129" s="14">
        <f>Table13468113[[#This Row],[PMI]]-B128</f>
        <v/>
      </c>
    </row>
    <row r="130">
      <c r="A130" s="8" t="n">
        <v>43040</v>
      </c>
      <c r="B130" s="11">
        <f>IF(VLOOKUP(A130,'DB Country PMI'!$A:$V,MATCH($A$1,'DB Country PMI'!$A$1:$V$1,),)=0,#N/A,VLOOKUP(A130,'DB Country PMI'!$A:$V,MATCH($A$1,'DB Country PMI'!$A$1:$V$1,),))</f>
        <v/>
      </c>
      <c r="C130" s="14">
        <f>Table13468113[[#This Row],[PMI]]-B129</f>
        <v/>
      </c>
    </row>
    <row r="131">
      <c r="A131" s="8" t="n">
        <v>43070</v>
      </c>
      <c r="B131" s="11">
        <f>IF(VLOOKUP(A131,'DB Country PMI'!$A:$V,MATCH($A$1,'DB Country PMI'!$A$1:$V$1,),)=0,#N/A,VLOOKUP(A131,'DB Country PMI'!$A:$V,MATCH($A$1,'DB Country PMI'!$A$1:$V$1,),))</f>
        <v/>
      </c>
      <c r="C131" s="14">
        <f>Table13468113[[#This Row],[PMI]]-B130</f>
        <v/>
      </c>
    </row>
    <row r="132">
      <c r="A132" s="8" t="n">
        <v>43101</v>
      </c>
      <c r="B132" s="11">
        <f>IF(VLOOKUP(A132,'DB Country PMI'!$A:$V,MATCH($A$1,'DB Country PMI'!$A$1:$V$1,),)=0,#N/A,VLOOKUP(A132,'DB Country PMI'!$A:$V,MATCH($A$1,'DB Country PMI'!$A$1:$V$1,),))</f>
        <v/>
      </c>
      <c r="C132" s="14">
        <f>Table13468113[[#This Row],[PMI]]-B131</f>
        <v/>
      </c>
    </row>
    <row r="133">
      <c r="A133" s="8" t="n">
        <v>43132</v>
      </c>
      <c r="B133" s="11">
        <f>IF(VLOOKUP(A133,'DB Country PMI'!$A:$V,MATCH($A$1,'DB Country PMI'!$A$1:$V$1,),)=0,#N/A,VLOOKUP(A133,'DB Country PMI'!$A:$V,MATCH($A$1,'DB Country PMI'!$A$1:$V$1,),))</f>
        <v/>
      </c>
      <c r="C133" s="14">
        <f>Table13468113[[#This Row],[PMI]]-B132</f>
        <v/>
      </c>
    </row>
    <row r="134">
      <c r="A134" s="8" t="n">
        <v>43160</v>
      </c>
      <c r="B134" s="11">
        <f>IF(VLOOKUP(A134,'DB Country PMI'!$A:$V,MATCH($A$1,'DB Country PMI'!$A$1:$V$1,),)=0,#N/A,VLOOKUP(A134,'DB Country PMI'!$A:$V,MATCH($A$1,'DB Country PMI'!$A$1:$V$1,),))</f>
        <v/>
      </c>
      <c r="C134" s="14">
        <f>Table13468113[[#This Row],[PMI]]-B133</f>
        <v/>
      </c>
    </row>
    <row r="135">
      <c r="A135" s="8" t="n">
        <v>43191</v>
      </c>
      <c r="B135" s="11">
        <f>IF(VLOOKUP(A135,'DB Country PMI'!$A:$V,MATCH($A$1,'DB Country PMI'!$A$1:$V$1,),)=0,#N/A,VLOOKUP(A135,'DB Country PMI'!$A:$V,MATCH($A$1,'DB Country PMI'!$A$1:$V$1,),))</f>
        <v/>
      </c>
      <c r="C135" s="14">
        <f>Table13468113[[#This Row],[PMI]]-B134</f>
        <v/>
      </c>
    </row>
    <row r="136">
      <c r="A136" s="8" t="n">
        <v>43221</v>
      </c>
      <c r="B136" s="11">
        <f>IF(VLOOKUP(A136,'DB Country PMI'!$A:$V,MATCH($A$1,'DB Country PMI'!$A$1:$V$1,),)=0,#N/A,VLOOKUP(A136,'DB Country PMI'!$A:$V,MATCH($A$1,'DB Country PMI'!$A$1:$V$1,),))</f>
        <v/>
      </c>
      <c r="C136" s="14">
        <f>Table13468113[[#This Row],[PMI]]-B135</f>
        <v/>
      </c>
    </row>
    <row r="137">
      <c r="A137" s="8" t="n">
        <v>43252</v>
      </c>
      <c r="B137" s="11">
        <f>IF(VLOOKUP(A137,'DB Country PMI'!$A:$V,MATCH($A$1,'DB Country PMI'!$A$1:$V$1,),)=0,#N/A,VLOOKUP(A137,'DB Country PMI'!$A:$V,MATCH($A$1,'DB Country PMI'!$A$1:$V$1,),))</f>
        <v/>
      </c>
      <c r="C137" s="14">
        <f>Table13468113[[#This Row],[PMI]]-B136</f>
        <v/>
      </c>
    </row>
    <row r="138">
      <c r="A138" s="8" t="n">
        <v>43282</v>
      </c>
      <c r="B138" s="11">
        <f>IF(VLOOKUP(A138,'DB Country PMI'!$A:$V,MATCH($A$1,'DB Country PMI'!$A$1:$V$1,),)=0,#N/A,VLOOKUP(A138,'DB Country PMI'!$A:$V,MATCH($A$1,'DB Country PMI'!$A$1:$V$1,),))</f>
        <v/>
      </c>
      <c r="C138" s="14">
        <f>Table13468113[[#This Row],[PMI]]-B137</f>
        <v/>
      </c>
    </row>
    <row r="139">
      <c r="A139" s="8" t="n">
        <v>43313</v>
      </c>
      <c r="B139" s="11">
        <f>IF(VLOOKUP(A139,'DB Country PMI'!$A:$V,MATCH($A$1,'DB Country PMI'!$A$1:$V$1,),)=0,#N/A,VLOOKUP(A139,'DB Country PMI'!$A:$V,MATCH($A$1,'DB Country PMI'!$A$1:$V$1,),))</f>
        <v/>
      </c>
      <c r="C139" s="14">
        <f>Table13468113[[#This Row],[PMI]]-B138</f>
        <v/>
      </c>
    </row>
    <row r="140">
      <c r="A140" s="8" t="n">
        <v>43344</v>
      </c>
      <c r="B140" s="11">
        <f>IF(VLOOKUP(A140,'DB Country PMI'!$A:$V,MATCH($A$1,'DB Country PMI'!$A$1:$V$1,),)=0,#N/A,VLOOKUP(A140,'DB Country PMI'!$A:$V,MATCH($A$1,'DB Country PMI'!$A$1:$V$1,),))</f>
        <v/>
      </c>
      <c r="C140" s="14">
        <f>Table13468113[[#This Row],[PMI]]-B139</f>
        <v/>
      </c>
    </row>
    <row r="141">
      <c r="A141" s="8" t="n">
        <v>43374</v>
      </c>
      <c r="B141" s="11">
        <f>IF(VLOOKUP(A141,'DB Country PMI'!$A:$V,MATCH($A$1,'DB Country PMI'!$A$1:$V$1,),)=0,#N/A,VLOOKUP(A141,'DB Country PMI'!$A:$V,MATCH($A$1,'DB Country PMI'!$A$1:$V$1,),))</f>
        <v/>
      </c>
      <c r="C141" s="14">
        <f>Table13468113[[#This Row],[PMI]]-B140</f>
        <v/>
      </c>
    </row>
    <row r="142">
      <c r="A142" s="8" t="n">
        <v>43405</v>
      </c>
      <c r="B142" s="11">
        <f>IF(VLOOKUP(A142,'DB Country PMI'!$A:$V,MATCH($A$1,'DB Country PMI'!$A$1:$V$1,),)=0,#N/A,VLOOKUP(A142,'DB Country PMI'!$A:$V,MATCH($A$1,'DB Country PMI'!$A$1:$V$1,),))</f>
        <v/>
      </c>
      <c r="C142" s="14">
        <f>Table13468113[[#This Row],[PMI]]-B141</f>
        <v/>
      </c>
    </row>
    <row r="143">
      <c r="A143" s="8" t="n">
        <v>43435</v>
      </c>
      <c r="B143" s="11">
        <f>IF(VLOOKUP(A143,'DB Country PMI'!$A:$V,MATCH($A$1,'DB Country PMI'!$A$1:$V$1,),)=0,#N/A,VLOOKUP(A143,'DB Country PMI'!$A:$V,MATCH($A$1,'DB Country PMI'!$A$1:$V$1,),))</f>
        <v/>
      </c>
      <c r="C143" s="14">
        <f>Table13468113[[#This Row],[PMI]]-B142</f>
        <v/>
      </c>
    </row>
    <row r="144">
      <c r="A144" s="8" t="n">
        <v>43466</v>
      </c>
      <c r="B144" s="11">
        <f>IF(VLOOKUP(A144,'DB Country PMI'!$A:$V,MATCH($A$1,'DB Country PMI'!$A$1:$V$1,),)=0,#N/A,VLOOKUP(A144,'DB Country PMI'!$A:$V,MATCH($A$1,'DB Country PMI'!$A$1:$V$1,),))</f>
        <v/>
      </c>
      <c r="C144" s="14">
        <f>Table13468113[[#This Row],[PMI]]-B143</f>
        <v/>
      </c>
    </row>
    <row r="145">
      <c r="A145" s="8" t="n">
        <v>43497</v>
      </c>
      <c r="B145" s="11">
        <f>IF(VLOOKUP(A145,'DB Country PMI'!$A:$V,MATCH($A$1,'DB Country PMI'!$A$1:$V$1,),)=0,#N/A,VLOOKUP(A145,'DB Country PMI'!$A:$V,MATCH($A$1,'DB Country PMI'!$A$1:$V$1,),))</f>
        <v/>
      </c>
      <c r="C145" s="14">
        <f>Table13468113[[#This Row],[PMI]]-B144</f>
        <v/>
      </c>
    </row>
    <row r="146">
      <c r="A146" s="8" t="n">
        <v>43525</v>
      </c>
      <c r="B146" s="11">
        <f>IF(VLOOKUP(A146,'DB Country PMI'!$A:$V,MATCH($A$1,'DB Country PMI'!$A$1:$V$1,),)=0,#N/A,VLOOKUP(A146,'DB Country PMI'!$A:$V,MATCH($A$1,'DB Country PMI'!$A$1:$V$1,),))</f>
        <v/>
      </c>
      <c r="C146" s="14">
        <f>Table13468113[[#This Row],[PMI]]-B145</f>
        <v/>
      </c>
    </row>
    <row r="147">
      <c r="A147" s="8" t="n">
        <v>43556</v>
      </c>
      <c r="B147" s="11">
        <f>IF(VLOOKUP(A147,'DB Country PMI'!$A:$V,MATCH($A$1,'DB Country PMI'!$A$1:$V$1,),)=0,#N/A,VLOOKUP(A147,'DB Country PMI'!$A:$V,MATCH($A$1,'DB Country PMI'!$A$1:$V$1,),))</f>
        <v/>
      </c>
      <c r="C147" s="14">
        <f>Table13468113[[#This Row],[PMI]]-B146</f>
        <v/>
      </c>
    </row>
    <row r="148">
      <c r="A148" s="8" t="n">
        <v>43586</v>
      </c>
      <c r="B148" s="11">
        <f>IF(VLOOKUP(A148,'DB Country PMI'!$A:$V,MATCH($A$1,'DB Country PMI'!$A$1:$V$1,),)=0,#N/A,VLOOKUP(A148,'DB Country PMI'!$A:$V,MATCH($A$1,'DB Country PMI'!$A$1:$V$1,),))</f>
        <v/>
      </c>
      <c r="C148" s="14">
        <f>Table13468113[[#This Row],[PMI]]-B147</f>
        <v/>
      </c>
    </row>
    <row r="149">
      <c r="A149" s="8" t="n">
        <v>43617</v>
      </c>
      <c r="B149" s="11">
        <f>IF(VLOOKUP(A149,'DB Country PMI'!$A:$V,MATCH($A$1,'DB Country PMI'!$A$1:$V$1,),)=0,#N/A,VLOOKUP(A149,'DB Country PMI'!$A:$V,MATCH($A$1,'DB Country PMI'!$A$1:$V$1,),))</f>
        <v/>
      </c>
      <c r="C149" s="14">
        <f>Table13468113[[#This Row],[PMI]]-B148</f>
        <v/>
      </c>
    </row>
    <row r="150">
      <c r="A150" s="8" t="n">
        <v>43647</v>
      </c>
      <c r="B150" s="11">
        <f>IF(VLOOKUP(A150,'DB Country PMI'!$A:$V,MATCH($A$1,'DB Country PMI'!$A$1:$V$1,),)=0,#N/A,VLOOKUP(A150,'DB Country PMI'!$A:$V,MATCH($A$1,'DB Country PMI'!$A$1:$V$1,),))</f>
        <v/>
      </c>
      <c r="C150" s="14">
        <f>Table13468113[[#This Row],[PMI]]-B149</f>
        <v/>
      </c>
    </row>
    <row r="151">
      <c r="A151" s="8" t="n">
        <v>43678</v>
      </c>
      <c r="B151" s="11">
        <f>IF(VLOOKUP(A151,'DB Country PMI'!$A:$V,MATCH($A$1,'DB Country PMI'!$A$1:$V$1,),)=0,#N/A,VLOOKUP(A151,'DB Country PMI'!$A:$V,MATCH($A$1,'DB Country PMI'!$A$1:$V$1,),))</f>
        <v/>
      </c>
      <c r="C151" s="14">
        <f>Table13468113[[#This Row],[PMI]]-B150</f>
        <v/>
      </c>
    </row>
    <row r="152">
      <c r="A152" s="8" t="n">
        <v>43709</v>
      </c>
      <c r="B152" s="11">
        <f>IF(VLOOKUP(A152,'DB Country PMI'!$A:$V,MATCH($A$1,'DB Country PMI'!$A$1:$V$1,),)=0,#N/A,VLOOKUP(A152,'DB Country PMI'!$A:$V,MATCH($A$1,'DB Country PMI'!$A$1:$V$1,),))</f>
        <v/>
      </c>
      <c r="C152" s="14">
        <f>Table13468113[[#This Row],[PMI]]-B151</f>
        <v/>
      </c>
    </row>
    <row r="153">
      <c r="A153" s="8" t="n">
        <v>43739</v>
      </c>
      <c r="B153" s="11">
        <f>IF(VLOOKUP(A153,'DB Country PMI'!$A:$V,MATCH($A$1,'DB Country PMI'!$A$1:$V$1,),)=0,#N/A,VLOOKUP(A153,'DB Country PMI'!$A:$V,MATCH($A$1,'DB Country PMI'!$A$1:$V$1,),))</f>
        <v/>
      </c>
      <c r="C153" s="14">
        <f>Table13468113[[#This Row],[PMI]]-B152</f>
        <v/>
      </c>
    </row>
    <row r="154">
      <c r="A154" s="8" t="n">
        <v>43770</v>
      </c>
      <c r="B154" s="11">
        <f>IF(VLOOKUP(A154,'DB Country PMI'!$A:$V,MATCH($A$1,'DB Country PMI'!$A$1:$V$1,),)=0,#N/A,VLOOKUP(A154,'DB Country PMI'!$A:$V,MATCH($A$1,'DB Country PMI'!$A$1:$V$1,),))</f>
        <v/>
      </c>
      <c r="C154" s="14">
        <f>Table13468113[[#This Row],[PMI]]-B153</f>
        <v/>
      </c>
    </row>
    <row r="155">
      <c r="A155" s="8" t="n">
        <v>43800</v>
      </c>
      <c r="B155" s="11">
        <f>IF(VLOOKUP(A155,'DB Country PMI'!$A:$V,MATCH($A$1,'DB Country PMI'!$A$1:$V$1,),)=0,#N/A,VLOOKUP(A155,'DB Country PMI'!$A:$V,MATCH($A$1,'DB Country PMI'!$A$1:$V$1,),))</f>
        <v/>
      </c>
      <c r="C155" s="14">
        <f>Table13468113[[#This Row],[PMI]]-B154</f>
        <v/>
      </c>
    </row>
    <row r="156">
      <c r="A156" s="8" t="n">
        <v>43831</v>
      </c>
      <c r="B156" s="11">
        <f>IF(VLOOKUP(A156,'DB Country PMI'!$A:$V,MATCH($A$1,'DB Country PMI'!$A$1:$V$1,),)=0,#N/A,VLOOKUP(A156,'DB Country PMI'!$A:$V,MATCH($A$1,'DB Country PMI'!$A$1:$V$1,),))</f>
        <v/>
      </c>
      <c r="C156" s="14">
        <f>Table13468113[[#This Row],[PMI]]-B155</f>
        <v/>
      </c>
    </row>
    <row r="157">
      <c r="A157" s="8" t="n">
        <v>43862</v>
      </c>
      <c r="B157" s="11">
        <f>IF(VLOOKUP(A157,'DB Country PMI'!$A:$V,MATCH($A$1,'DB Country PMI'!$A$1:$V$1,),)=0,#N/A,VLOOKUP(A157,'DB Country PMI'!$A:$V,MATCH($A$1,'DB Country PMI'!$A$1:$V$1,),))</f>
        <v/>
      </c>
      <c r="C157" s="14">
        <f>Table13468113[[#This Row],[PMI]]-B156</f>
        <v/>
      </c>
    </row>
    <row r="158">
      <c r="A158" s="8" t="n">
        <v>43891</v>
      </c>
      <c r="B158" s="11">
        <f>IF(VLOOKUP(A158,'DB Country PMI'!$A:$V,MATCH($A$1,'DB Country PMI'!$A$1:$V$1,),)=0,#N/A,VLOOKUP(A158,'DB Country PMI'!$A:$V,MATCH($A$1,'DB Country PMI'!$A$1:$V$1,),))</f>
        <v/>
      </c>
      <c r="C158" s="14">
        <f>Table13468113[[#This Row],[PMI]]-B157</f>
        <v/>
      </c>
    </row>
    <row r="159">
      <c r="A159" s="8" t="n">
        <v>43922</v>
      </c>
      <c r="B159" s="11">
        <f>IF(VLOOKUP(A159,'DB Country PMI'!$A:$V,MATCH($A$1,'DB Country PMI'!$A$1:$V$1,),)=0,#N/A,VLOOKUP(A159,'DB Country PMI'!$A:$V,MATCH($A$1,'DB Country PMI'!$A$1:$V$1,),))</f>
        <v/>
      </c>
      <c r="C159" s="14">
        <f>Table13468113[[#This Row],[PMI]]-B158</f>
        <v/>
      </c>
    </row>
    <row r="160">
      <c r="A160" s="8" t="n">
        <v>43952</v>
      </c>
      <c r="B160" s="11">
        <f>IF(VLOOKUP(A160,'DB Country PMI'!$A:$V,MATCH($A$1,'DB Country PMI'!$A$1:$V$1,),)=0,#N/A,VLOOKUP(A160,'DB Country PMI'!$A:$V,MATCH($A$1,'DB Country PMI'!$A$1:$V$1,),))</f>
        <v/>
      </c>
      <c r="C160" s="14">
        <f>Table13468113[[#This Row],[PMI]]-B159</f>
        <v/>
      </c>
    </row>
    <row r="161">
      <c r="A161" s="8" t="n">
        <v>43983</v>
      </c>
      <c r="B161" s="11">
        <f>IF(VLOOKUP(A161,'DB Country PMI'!$A:$V,MATCH($A$1,'DB Country PMI'!$A$1:$V$1,),)=0,#N/A,VLOOKUP(A161,'DB Country PMI'!$A:$V,MATCH($A$1,'DB Country PMI'!$A$1:$V$1,),))</f>
        <v/>
      </c>
      <c r="C161" s="14">
        <f>Table13468113[[#This Row],[PMI]]-B160</f>
        <v/>
      </c>
    </row>
    <row r="162">
      <c r="A162" s="8" t="n">
        <v>44013</v>
      </c>
      <c r="B162" s="11">
        <f>IF(VLOOKUP(A162,'DB Country PMI'!$A:$V,MATCH($A$1,'DB Country PMI'!$A$1:$V$1,),)=0,#N/A,VLOOKUP(A162,'DB Country PMI'!$A:$V,MATCH($A$1,'DB Country PMI'!$A$1:$V$1,),))</f>
        <v/>
      </c>
      <c r="C162" s="14">
        <f>Table13468113[[#This Row],[PMI]]-B161</f>
        <v/>
      </c>
    </row>
    <row r="163">
      <c r="A163" s="8" t="n">
        <v>44044</v>
      </c>
      <c r="B163" s="11">
        <f>IF(VLOOKUP(A163,'DB Country PMI'!$A:$V,MATCH($A$1,'DB Country PMI'!$A$1:$V$1,),)=0,#N/A,VLOOKUP(A163,'DB Country PMI'!$A:$V,MATCH($A$1,'DB Country PMI'!$A$1:$V$1,),))</f>
        <v/>
      </c>
      <c r="C163" s="14">
        <f>Table13468113[[#This Row],[PMI]]-B162</f>
        <v/>
      </c>
    </row>
    <row r="164">
      <c r="A164" s="8" t="n">
        <v>44075</v>
      </c>
      <c r="B164" s="11">
        <f>IF(VLOOKUP(A164,'DB Country PMI'!$A:$V,MATCH($A$1,'DB Country PMI'!$A$1:$V$1,),)=0,#N/A,VLOOKUP(A164,'DB Country PMI'!$A:$V,MATCH($A$1,'DB Country PMI'!$A$1:$V$1,),))</f>
        <v/>
      </c>
      <c r="C164" s="14">
        <f>Table13468113[[#This Row],[PMI]]-B163</f>
        <v/>
      </c>
    </row>
    <row r="165">
      <c r="A165" s="8" t="n">
        <v>44105</v>
      </c>
      <c r="B165" s="11">
        <f>IF(VLOOKUP(A165,'DB Country PMI'!$A:$V,MATCH($A$1,'DB Country PMI'!$A$1:$V$1,),)=0,#N/A,VLOOKUP(A165,'DB Country PMI'!$A:$V,MATCH($A$1,'DB Country PMI'!$A$1:$V$1,),))</f>
        <v/>
      </c>
      <c r="C165" s="14">
        <f>Table13468113[[#This Row],[PMI]]-B164</f>
        <v/>
      </c>
    </row>
    <row r="166">
      <c r="A166" s="8" t="n">
        <v>44136</v>
      </c>
      <c r="B166" s="11">
        <f>IF(VLOOKUP(A166,'DB Country PMI'!$A:$V,MATCH($A$1,'DB Country PMI'!$A$1:$V$1,),)=0,#N/A,VLOOKUP(A166,'DB Country PMI'!$A:$V,MATCH($A$1,'DB Country PMI'!$A$1:$V$1,),))</f>
        <v/>
      </c>
      <c r="C166" s="14">
        <f>Table13468113[[#This Row],[PMI]]-B165</f>
        <v/>
      </c>
    </row>
    <row r="167">
      <c r="A167" s="8" t="n">
        <v>44166</v>
      </c>
      <c r="B167" s="11">
        <f>IF(VLOOKUP(A167,'DB Country PMI'!$A:$V,MATCH($A$1,'DB Country PMI'!$A$1:$V$1,),)=0,#N/A,VLOOKUP(A167,'DB Country PMI'!$A:$V,MATCH($A$1,'DB Country PMI'!$A$1:$V$1,),))</f>
        <v/>
      </c>
      <c r="C167" s="14">
        <f>Table13468113[[#This Row],[PMI]]-B166</f>
        <v/>
      </c>
    </row>
    <row r="168">
      <c r="A168" s="8" t="n">
        <v>44197</v>
      </c>
      <c r="B168" s="11">
        <f>IF(VLOOKUP(A168,'DB Country PMI'!$A:$V,MATCH($A$1,'DB Country PMI'!$A$1:$V$1,),)=0,#N/A,VLOOKUP(A168,'DB Country PMI'!$A:$V,MATCH($A$1,'DB Country PMI'!$A$1:$V$1,),))</f>
        <v/>
      </c>
      <c r="C168" s="14">
        <f>Table13468113[[#This Row],[PMI]]-B167</f>
        <v/>
      </c>
    </row>
    <row r="169">
      <c r="A169" s="8" t="n">
        <v>44228</v>
      </c>
      <c r="B169" s="11">
        <f>IF(VLOOKUP(A169,'DB Country PMI'!$A:$V,MATCH($A$1,'DB Country PMI'!$A$1:$V$1,),)=0,#N/A,VLOOKUP(A169,'DB Country PMI'!$A:$V,MATCH($A$1,'DB Country PMI'!$A$1:$V$1,),))</f>
        <v/>
      </c>
      <c r="C169" s="14">
        <f>Table13468113[[#This Row],[PMI]]-B168</f>
        <v/>
      </c>
    </row>
    <row r="170">
      <c r="A170" s="8" t="n">
        <v>44256</v>
      </c>
      <c r="B170" s="11">
        <f>IF(VLOOKUP(A170,'DB Country PMI'!$A:$V,MATCH($A$1,'DB Country PMI'!$A$1:$V$1,),)=0,#N/A,VLOOKUP(A170,'DB Country PMI'!$A:$V,MATCH($A$1,'DB Country PMI'!$A$1:$V$1,),))</f>
        <v/>
      </c>
      <c r="C170" s="14">
        <f>Table13468113[[#This Row],[PMI]]-B169</f>
        <v/>
      </c>
    </row>
    <row r="171">
      <c r="A171" s="8" t="n">
        <v>44287</v>
      </c>
      <c r="B171" s="11">
        <f>IF(VLOOKUP(A171,'DB Country PMI'!$A:$V,MATCH($A$1,'DB Country PMI'!$A$1:$V$1,),)=0,#N/A,VLOOKUP(A171,'DB Country PMI'!$A:$V,MATCH($A$1,'DB Country PMI'!$A$1:$V$1,),))</f>
        <v/>
      </c>
      <c r="C171" s="14">
        <f>Table13468113[[#This Row],[PMI]]-B170</f>
        <v/>
      </c>
    </row>
    <row r="172">
      <c r="A172" s="8" t="n">
        <v>44317</v>
      </c>
      <c r="B172" s="11">
        <f>IF(VLOOKUP(A172,'DB Country PMI'!$A:$V,MATCH($A$1,'DB Country PMI'!$A$1:$V$1,),)=0,#N/A,VLOOKUP(A172,'DB Country PMI'!$A:$V,MATCH($A$1,'DB Country PMI'!$A$1:$V$1,),))</f>
        <v/>
      </c>
      <c r="C172" s="14">
        <f>Table13468113[[#This Row],[PMI]]-B171</f>
        <v/>
      </c>
    </row>
    <row r="173">
      <c r="A173" s="8" t="n">
        <v>44348</v>
      </c>
      <c r="B173" s="11">
        <f>IF(VLOOKUP(A173,'DB Country PMI'!$A:$V,MATCH($A$1,'DB Country PMI'!$A$1:$V$1,),)=0,#N/A,VLOOKUP(A173,'DB Country PMI'!$A:$V,MATCH($A$1,'DB Country PMI'!$A$1:$V$1,),))</f>
        <v/>
      </c>
      <c r="C173" s="14">
        <f>Table13468113[[#This Row],[PMI]]-B172</f>
        <v/>
      </c>
    </row>
    <row r="174">
      <c r="A174" s="8" t="n">
        <v>44378</v>
      </c>
      <c r="B174" s="11">
        <f>IF(VLOOKUP(A174,'DB Country PMI'!$A:$V,MATCH($A$1,'DB Country PMI'!$A$1:$V$1,),)=0,#N/A,VLOOKUP(A174,'DB Country PMI'!$A:$V,MATCH($A$1,'DB Country PMI'!$A$1:$V$1,),))</f>
        <v/>
      </c>
      <c r="C174" s="14">
        <f>Table13468113[[#This Row],[PMI]]-B173</f>
        <v/>
      </c>
    </row>
    <row r="175">
      <c r="A175" s="8" t="n">
        <v>44409</v>
      </c>
      <c r="B175" s="11">
        <f>IF(VLOOKUP(A175,'DB Country PMI'!$A:$V,MATCH($A$1,'DB Country PMI'!$A$1:$V$1,),)=0,#N/A,VLOOKUP(A175,'DB Country PMI'!$A:$V,MATCH($A$1,'DB Country PMI'!$A$1:$V$1,),))</f>
        <v/>
      </c>
      <c r="C175" s="14">
        <f>Table13468113[[#This Row],[PMI]]-B174</f>
        <v/>
      </c>
    </row>
    <row r="176">
      <c r="A176" s="8" t="n">
        <v>44440</v>
      </c>
      <c r="B176" s="11">
        <f>IF(VLOOKUP(A176,'DB Country PMI'!$A:$V,MATCH($A$1,'DB Country PMI'!$A$1:$V$1,),)=0,#N/A,VLOOKUP(A176,'DB Country PMI'!$A:$V,MATCH($A$1,'DB Country PMI'!$A$1:$V$1,),))</f>
        <v/>
      </c>
      <c r="C176" s="14">
        <f>Table13468113[[#This Row],[PMI]]-B175</f>
        <v/>
      </c>
    </row>
    <row r="177">
      <c r="A177" s="8" t="n">
        <v>44470</v>
      </c>
      <c r="B177" s="11">
        <f>IF(VLOOKUP(A177,'DB Country PMI'!$A:$V,MATCH($A$1,'DB Country PMI'!$A$1:$V$1,),)=0,#N/A,VLOOKUP(A177,'DB Country PMI'!$A:$V,MATCH($A$1,'DB Country PMI'!$A$1:$V$1,),))</f>
        <v/>
      </c>
      <c r="C177" s="14">
        <f>Table13468113[[#This Row],[PMI]]-B176</f>
        <v/>
      </c>
    </row>
    <row r="178">
      <c r="A178" s="8" t="n">
        <v>44501</v>
      </c>
      <c r="B178" s="11">
        <f>IF(VLOOKUP(A178,'DB Country PMI'!$A:$V,MATCH($A$1,'DB Country PMI'!$A$1:$V$1,),)=0,#N/A,VLOOKUP(A178,'DB Country PMI'!$A:$V,MATCH($A$1,'DB Country PMI'!$A$1:$V$1,),))</f>
        <v/>
      </c>
      <c r="C178" s="14">
        <f>Table13468113[[#This Row],[PMI]]-B177</f>
        <v/>
      </c>
    </row>
    <row r="179">
      <c r="A179" s="8" t="n">
        <v>44531</v>
      </c>
      <c r="B179" s="11">
        <f>IF(VLOOKUP(A179,'DB Country PMI'!$A:$V,MATCH($A$1,'DB Country PMI'!$A$1:$V$1,),)=0,#N/A,VLOOKUP(A179,'DB Country PMI'!$A:$V,MATCH($A$1,'DB Country PMI'!$A$1:$V$1,),))</f>
        <v/>
      </c>
      <c r="C179" s="14">
        <f>Table13468113[[#This Row],[PMI]]-B178</f>
        <v/>
      </c>
    </row>
    <row r="180">
      <c r="A180" s="8" t="n">
        <v>44562</v>
      </c>
      <c r="B180" s="11">
        <f>IF(VLOOKUP(A180,'DB Country PMI'!$A:$V,MATCH($A$1,'DB Country PMI'!$A$1:$V$1,),)=0,#N/A,VLOOKUP(A180,'DB Country PMI'!$A:$V,MATCH($A$1,'DB Country PMI'!$A$1:$V$1,),))</f>
        <v/>
      </c>
      <c r="C180" s="14">
        <f>Table13468113[[#This Row],[PMI]]-B179</f>
        <v/>
      </c>
    </row>
    <row r="181">
      <c r="A181" s="8" t="n">
        <v>44593</v>
      </c>
      <c r="B181" s="11">
        <f>IF(VLOOKUP(A181,'DB Country PMI'!$A:$V,MATCH($A$1,'DB Country PMI'!$A$1:$V$1,),)=0,#N/A,VLOOKUP(A181,'DB Country PMI'!$A:$V,MATCH($A$1,'DB Country PMI'!$A$1:$V$1,),))</f>
        <v/>
      </c>
      <c r="C181" s="14">
        <f>Table13468113[[#This Row],[PMI]]-B180</f>
        <v/>
      </c>
    </row>
    <row r="182">
      <c r="A182" s="8" t="n">
        <v>44621</v>
      </c>
      <c r="B182" s="11">
        <f>IF(VLOOKUP(A182,'DB Country PMI'!$A:$V,MATCH($A$1,'DB Country PMI'!$A$1:$V$1,),)=0,#N/A,VLOOKUP(A182,'DB Country PMI'!$A:$V,MATCH($A$1,'DB Country PMI'!$A$1:$V$1,),))</f>
        <v/>
      </c>
      <c r="C182" s="14">
        <f>Table13468113[[#This Row],[PMI]]-B181</f>
        <v/>
      </c>
    </row>
  </sheetData>
  <conditionalFormatting sqref="B6:B182">
    <cfRule type="colorScale" priority="3">
      <colorScale>
        <cfvo type="min"/>
        <cfvo type="percentile" val="50"/>
        <cfvo type="max"/>
        <color rgb="FFF8696B"/>
        <color rgb="FFFFEB84"/>
        <color rgb="FF63BE7B"/>
      </colorScale>
    </cfRule>
  </conditionalFormatting>
  <conditionalFormatting sqref="C7:C182">
    <cfRule type="colorScale" priority="1">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7.xml><?xml version="1.0" encoding="utf-8"?>
<worksheet xmlns="http://schemas.openxmlformats.org/spreadsheetml/2006/main">
  <sheetPr>
    <outlinePr summaryBelow="1" summaryRight="1"/>
    <pageSetUpPr/>
  </sheetPr>
  <dimension ref="A1:J143"/>
  <sheetViews>
    <sheetView zoomScale="160" zoomScaleNormal="160" workbookViewId="0">
      <pane ySplit="5" topLeftCell="A124" activePane="bottomLeft" state="frozen"/>
      <selection pane="bottomLeft" activeCell="A134" sqref="A134:C143"/>
    </sheetView>
  </sheetViews>
  <sheetFormatPr baseColWidth="10" defaultColWidth="9.1640625" defaultRowHeight="15"/>
  <cols>
    <col width="13.5" customWidth="1" style="60" min="1" max="1"/>
    <col width="11.33203125" customWidth="1" style="60" min="2" max="2"/>
    <col width="9.1640625" customWidth="1" style="60" min="3" max="7"/>
    <col width="9.1640625" customWidth="1" style="60" min="8" max="16384"/>
  </cols>
  <sheetData>
    <row r="1">
      <c r="A1" s="60" t="inlineStr">
        <is>
          <t>China</t>
        </is>
      </c>
      <c r="J1" s="60" t="inlineStr">
        <is>
          <t xml:space="preserve"> Services PMI</t>
        </is>
      </c>
    </row>
    <row r="2">
      <c r="J2" s="60" t="inlineStr">
        <is>
          <t>China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Table134681134[[#This Row],[PMI]]-B6</f>
        <v/>
      </c>
    </row>
    <row r="8">
      <c r="A8" s="8" t="n">
        <v>40513</v>
      </c>
      <c r="B8" s="11">
        <f>IF(VLOOKUP(A8,'DB Country PMI'!$A:$W,MATCH($A$1,'DB Country PMI'!$A$1:$W$1,),)=0,#N/A,VLOOKUP(A8,'DB Country PMI'!$A:$W,MATCH($A$1,'DB Country PMI'!$A$1:$W$1,),))</f>
        <v/>
      </c>
      <c r="C8" s="14">
        <f>Table134681134[[#This Row],[PMI]]-B7</f>
        <v/>
      </c>
    </row>
    <row r="9">
      <c r="A9" s="8" t="n">
        <v>40544</v>
      </c>
      <c r="B9" s="11">
        <f>IF(VLOOKUP(A9,'DB Country PMI'!$A:$W,MATCH($A$1,'DB Country PMI'!$A$1:$W$1,),)=0,#N/A,VLOOKUP(A9,'DB Country PMI'!$A:$W,MATCH($A$1,'DB Country PMI'!$A$1:$W$1,),))</f>
        <v/>
      </c>
      <c r="C9" s="14">
        <f>Table134681134[[#This Row],[PMI]]-B8</f>
        <v/>
      </c>
    </row>
    <row r="10">
      <c r="A10" s="8" t="n">
        <v>40575</v>
      </c>
      <c r="B10" s="11">
        <f>IF(VLOOKUP(A10,'DB Country PMI'!$A:$W,MATCH($A$1,'DB Country PMI'!$A$1:$W$1,),)=0,#N/A,VLOOKUP(A10,'DB Country PMI'!$A:$W,MATCH($A$1,'DB Country PMI'!$A$1:$W$1,),))</f>
        <v/>
      </c>
      <c r="C10" s="14">
        <f>Table134681134[[#This Row],[PMI]]-B9</f>
        <v/>
      </c>
    </row>
    <row r="11">
      <c r="A11" s="8" t="n">
        <v>40603</v>
      </c>
      <c r="B11" s="11">
        <f>IF(VLOOKUP(A11,'DB Country PMI'!$A:$W,MATCH($A$1,'DB Country PMI'!$A$1:$W$1,),)=0,#N/A,VLOOKUP(A11,'DB Country PMI'!$A:$W,MATCH($A$1,'DB Country PMI'!$A$1:$W$1,),))</f>
        <v/>
      </c>
      <c r="C11" s="14">
        <f>Table134681134[[#This Row],[PMI]]-B10</f>
        <v/>
      </c>
    </row>
    <row r="12">
      <c r="A12" s="8" t="n">
        <v>40634</v>
      </c>
      <c r="B12" s="11">
        <f>IF(VLOOKUP(A12,'DB Country PMI'!$A:$W,MATCH($A$1,'DB Country PMI'!$A$1:$W$1,),)=0,#N/A,VLOOKUP(A12,'DB Country PMI'!$A:$W,MATCH($A$1,'DB Country PMI'!$A$1:$W$1,),))</f>
        <v/>
      </c>
      <c r="C12" s="14">
        <f>Table134681134[[#This Row],[PMI]]-B11</f>
        <v/>
      </c>
    </row>
    <row r="13">
      <c r="A13" s="8" t="n">
        <v>40664</v>
      </c>
      <c r="B13" s="11">
        <f>IF(VLOOKUP(A13,'DB Country PMI'!$A:$W,MATCH($A$1,'DB Country PMI'!$A$1:$W$1,),)=0,#N/A,VLOOKUP(A13,'DB Country PMI'!$A:$W,MATCH($A$1,'DB Country PMI'!$A$1:$W$1,),))</f>
        <v/>
      </c>
      <c r="C13" s="14">
        <f>Table134681134[[#This Row],[PMI]]-B12</f>
        <v/>
      </c>
    </row>
    <row r="14">
      <c r="A14" s="8" t="n">
        <v>40695</v>
      </c>
      <c r="B14" s="11">
        <f>IF(VLOOKUP(A14,'DB Country PMI'!$A:$W,MATCH($A$1,'DB Country PMI'!$A$1:$W$1,),)=0,#N/A,VLOOKUP(A14,'DB Country PMI'!$A:$W,MATCH($A$1,'DB Country PMI'!$A$1:$W$1,),))</f>
        <v/>
      </c>
      <c r="C14" s="14">
        <f>Table134681134[[#This Row],[PMI]]-B13</f>
        <v/>
      </c>
    </row>
    <row r="15">
      <c r="A15" s="8" t="n">
        <v>40725</v>
      </c>
      <c r="B15" s="11">
        <f>IF(VLOOKUP(A15,'DB Country PMI'!$A:$W,MATCH($A$1,'DB Country PMI'!$A$1:$W$1,),)=0,#N/A,VLOOKUP(A15,'DB Country PMI'!$A:$W,MATCH($A$1,'DB Country PMI'!$A$1:$W$1,),))</f>
        <v/>
      </c>
      <c r="C15" s="14">
        <f>Table134681134[[#This Row],[PMI]]-B14</f>
        <v/>
      </c>
    </row>
    <row r="16">
      <c r="A16" s="8" t="n">
        <v>40756</v>
      </c>
      <c r="B16" s="11">
        <f>IF(VLOOKUP(A16,'DB Country PMI'!$A:$W,MATCH($A$1,'DB Country PMI'!$A$1:$W$1,),)=0,#N/A,VLOOKUP(A16,'DB Country PMI'!$A:$W,MATCH($A$1,'DB Country PMI'!$A$1:$W$1,),))</f>
        <v/>
      </c>
      <c r="C16" s="14">
        <f>Table134681134[[#This Row],[PMI]]-B15</f>
        <v/>
      </c>
    </row>
    <row r="17">
      <c r="A17" s="8" t="n">
        <v>40787</v>
      </c>
      <c r="B17" s="11">
        <f>IF(VLOOKUP(A17,'DB Country PMI'!$A:$W,MATCH($A$1,'DB Country PMI'!$A$1:$W$1,),)=0,#N/A,VLOOKUP(A17,'DB Country PMI'!$A:$W,MATCH($A$1,'DB Country PMI'!$A$1:$W$1,),))</f>
        <v/>
      </c>
      <c r="C17" s="14">
        <f>Table134681134[[#This Row],[PMI]]-B16</f>
        <v/>
      </c>
    </row>
    <row r="18">
      <c r="A18" s="8" t="n">
        <v>40817</v>
      </c>
      <c r="B18" s="11">
        <f>IF(VLOOKUP(A18,'DB Country PMI'!$A:$W,MATCH($A$1,'DB Country PMI'!$A$1:$W$1,),)=0,#N/A,VLOOKUP(A18,'DB Country PMI'!$A:$W,MATCH($A$1,'DB Country PMI'!$A$1:$W$1,),))</f>
        <v/>
      </c>
      <c r="C18" s="14">
        <f>Table134681134[[#This Row],[PMI]]-B17</f>
        <v/>
      </c>
    </row>
    <row r="19">
      <c r="A19" s="8" t="n">
        <v>40848</v>
      </c>
      <c r="B19" s="11">
        <f>IF(VLOOKUP(A19,'DB Country PMI'!$A:$W,MATCH($A$1,'DB Country PMI'!$A$1:$W$1,),)=0,#N/A,VLOOKUP(A19,'DB Country PMI'!$A:$W,MATCH($A$1,'DB Country PMI'!$A$1:$W$1,),))</f>
        <v/>
      </c>
      <c r="C19" s="14">
        <f>Table134681134[[#This Row],[PMI]]-B18</f>
        <v/>
      </c>
    </row>
    <row r="20">
      <c r="A20" s="8" t="n">
        <v>40878</v>
      </c>
      <c r="B20" s="11">
        <f>IF(VLOOKUP(A20,'DB Country PMI'!$A:$W,MATCH($A$1,'DB Country PMI'!$A$1:$W$1,),)=0,#N/A,VLOOKUP(A20,'DB Country PMI'!$A:$W,MATCH($A$1,'DB Country PMI'!$A$1:$W$1,),))</f>
        <v/>
      </c>
      <c r="C20" s="14">
        <f>Table134681134[[#This Row],[PMI]]-B19</f>
        <v/>
      </c>
    </row>
    <row r="21">
      <c r="A21" s="8" t="n">
        <v>40909</v>
      </c>
      <c r="B21" s="11">
        <f>IF(VLOOKUP(A21,'DB Country PMI'!$A:$W,MATCH($A$1,'DB Country PMI'!$A$1:$W$1,),)=0,#N/A,VLOOKUP(A21,'DB Country PMI'!$A:$W,MATCH($A$1,'DB Country PMI'!$A$1:$W$1,),))</f>
        <v/>
      </c>
      <c r="C21" s="14">
        <f>Table134681134[[#This Row],[PMI]]-B20</f>
        <v/>
      </c>
    </row>
    <row r="22">
      <c r="A22" s="8" t="n">
        <v>40940</v>
      </c>
      <c r="B22" s="11">
        <f>IF(VLOOKUP(A22,'DB Country PMI'!$A:$W,MATCH($A$1,'DB Country PMI'!$A$1:$W$1,),)=0,#N/A,VLOOKUP(A22,'DB Country PMI'!$A:$W,MATCH($A$1,'DB Country PMI'!$A$1:$W$1,),))</f>
        <v/>
      </c>
      <c r="C22" s="14">
        <f>Table134681134[[#This Row],[PMI]]-B21</f>
        <v/>
      </c>
    </row>
    <row r="23">
      <c r="A23" s="8" t="n">
        <v>40969</v>
      </c>
      <c r="B23" s="11">
        <f>IF(VLOOKUP(A23,'DB Country PMI'!$A:$W,MATCH($A$1,'DB Country PMI'!$A$1:$W$1,),)=0,#N/A,VLOOKUP(A23,'DB Country PMI'!$A:$W,MATCH($A$1,'DB Country PMI'!$A$1:$W$1,),))</f>
        <v/>
      </c>
      <c r="C23" s="14">
        <f>Table134681134[[#This Row],[PMI]]-B22</f>
        <v/>
      </c>
    </row>
    <row r="24">
      <c r="A24" s="8" t="n">
        <v>41000</v>
      </c>
      <c r="B24" s="11">
        <f>IF(VLOOKUP(A24,'DB Country PMI'!$A:$W,MATCH($A$1,'DB Country PMI'!$A$1:$W$1,),)=0,#N/A,VLOOKUP(A24,'DB Country PMI'!$A:$W,MATCH($A$1,'DB Country PMI'!$A$1:$W$1,),))</f>
        <v/>
      </c>
      <c r="C24" s="14">
        <f>Table134681134[[#This Row],[PMI]]-B23</f>
        <v/>
      </c>
    </row>
    <row r="25">
      <c r="A25" s="8" t="n">
        <v>41030</v>
      </c>
      <c r="B25" s="11">
        <f>IF(VLOOKUP(A25,'DB Country PMI'!$A:$W,MATCH($A$1,'DB Country PMI'!$A$1:$W$1,),)=0,#N/A,VLOOKUP(A25,'DB Country PMI'!$A:$W,MATCH($A$1,'DB Country PMI'!$A$1:$W$1,),))</f>
        <v/>
      </c>
      <c r="C25" s="14">
        <f>Table134681134[[#This Row],[PMI]]-B24</f>
        <v/>
      </c>
    </row>
    <row r="26">
      <c r="A26" s="8" t="n">
        <v>41061</v>
      </c>
      <c r="B26" s="11">
        <f>IF(VLOOKUP(A26,'DB Country PMI'!$A:$W,MATCH($A$1,'DB Country PMI'!$A$1:$W$1,),)=0,#N/A,VLOOKUP(A26,'DB Country PMI'!$A:$W,MATCH($A$1,'DB Country PMI'!$A$1:$W$1,),))</f>
        <v/>
      </c>
      <c r="C26" s="14">
        <f>Table134681134[[#This Row],[PMI]]-B25</f>
        <v/>
      </c>
    </row>
    <row r="27">
      <c r="A27" s="8" t="n">
        <v>41091</v>
      </c>
      <c r="B27" s="11">
        <f>IF(VLOOKUP(A27,'DB Country PMI'!$A:$W,MATCH($A$1,'DB Country PMI'!$A$1:$W$1,),)=0,#N/A,VLOOKUP(A27,'DB Country PMI'!$A:$W,MATCH($A$1,'DB Country PMI'!$A$1:$W$1,),))</f>
        <v/>
      </c>
      <c r="C27" s="14">
        <f>Table134681134[[#This Row],[PMI]]-B26</f>
        <v/>
      </c>
    </row>
    <row r="28">
      <c r="A28" s="8" t="n">
        <v>41122</v>
      </c>
      <c r="B28" s="11">
        <f>IF(VLOOKUP(A28,'DB Country PMI'!$A:$W,MATCH($A$1,'DB Country PMI'!$A$1:$W$1,),)=0,#N/A,VLOOKUP(A28,'DB Country PMI'!$A:$W,MATCH($A$1,'DB Country PMI'!$A$1:$W$1,),))</f>
        <v/>
      </c>
      <c r="C28" s="14">
        <f>Table134681134[[#This Row],[PMI]]-B27</f>
        <v/>
      </c>
    </row>
    <row r="29">
      <c r="A29" s="8" t="n">
        <v>41153</v>
      </c>
      <c r="B29" s="11">
        <f>IF(VLOOKUP(A29,'DB Country PMI'!$A:$W,MATCH($A$1,'DB Country PMI'!$A$1:$W$1,),)=0,#N/A,VLOOKUP(A29,'DB Country PMI'!$A:$W,MATCH($A$1,'DB Country PMI'!$A$1:$W$1,),))</f>
        <v/>
      </c>
      <c r="C29" s="14">
        <f>Table134681134[[#This Row],[PMI]]-B28</f>
        <v/>
      </c>
    </row>
    <row r="30">
      <c r="A30" s="8" t="n">
        <v>41183</v>
      </c>
      <c r="B30" s="11">
        <f>IF(VLOOKUP(A30,'DB Country PMI'!$A:$W,MATCH($A$1,'DB Country PMI'!$A$1:$W$1,),)=0,#N/A,VLOOKUP(A30,'DB Country PMI'!$A:$W,MATCH($A$1,'DB Country PMI'!$A$1:$W$1,),))</f>
        <v/>
      </c>
      <c r="C30" s="14">
        <f>Table134681134[[#This Row],[PMI]]-B29</f>
        <v/>
      </c>
    </row>
    <row r="31">
      <c r="A31" s="8" t="n">
        <v>41214</v>
      </c>
      <c r="B31" s="11">
        <f>IF(VLOOKUP(A31,'DB Country PMI'!$A:$W,MATCH($A$1,'DB Country PMI'!$A$1:$W$1,),)=0,#N/A,VLOOKUP(A31,'DB Country PMI'!$A:$W,MATCH($A$1,'DB Country PMI'!$A$1:$W$1,),))</f>
        <v/>
      </c>
      <c r="C31" s="14">
        <f>Table134681134[[#This Row],[PMI]]-B30</f>
        <v/>
      </c>
    </row>
    <row r="32">
      <c r="A32" s="8" t="n">
        <v>41244</v>
      </c>
      <c r="B32" s="11">
        <f>IF(VLOOKUP(A32,'DB Country PMI'!$A:$W,MATCH($A$1,'DB Country PMI'!$A$1:$W$1,),)=0,#N/A,VLOOKUP(A32,'DB Country PMI'!$A:$W,MATCH($A$1,'DB Country PMI'!$A$1:$W$1,),))</f>
        <v/>
      </c>
      <c r="C32" s="14">
        <f>Table134681134[[#This Row],[PMI]]-B31</f>
        <v/>
      </c>
    </row>
    <row r="33">
      <c r="A33" s="8" t="n">
        <v>41275</v>
      </c>
      <c r="B33" s="11">
        <f>IF(VLOOKUP(A33,'DB Country PMI'!$A:$W,MATCH($A$1,'DB Country PMI'!$A$1:$W$1,),)=0,#N/A,VLOOKUP(A33,'DB Country PMI'!$A:$W,MATCH($A$1,'DB Country PMI'!$A$1:$W$1,),))</f>
        <v/>
      </c>
      <c r="C33" s="14">
        <f>Table134681134[[#This Row],[PMI]]-B32</f>
        <v/>
      </c>
    </row>
    <row r="34">
      <c r="A34" s="8" t="n">
        <v>41306</v>
      </c>
      <c r="B34" s="11">
        <f>IF(VLOOKUP(A34,'DB Country PMI'!$A:$W,MATCH($A$1,'DB Country PMI'!$A$1:$W$1,),)=0,#N/A,VLOOKUP(A34,'DB Country PMI'!$A:$W,MATCH($A$1,'DB Country PMI'!$A$1:$W$1,),))</f>
        <v/>
      </c>
      <c r="C34" s="14">
        <f>Table134681134[[#This Row],[PMI]]-B33</f>
        <v/>
      </c>
    </row>
    <row r="35">
      <c r="A35" s="8" t="n">
        <v>41334</v>
      </c>
      <c r="B35" s="11">
        <f>IF(VLOOKUP(A35,'DB Country PMI'!$A:$W,MATCH($A$1,'DB Country PMI'!$A$1:$W$1,),)=0,#N/A,VLOOKUP(A35,'DB Country PMI'!$A:$W,MATCH($A$1,'DB Country PMI'!$A$1:$W$1,),))</f>
        <v/>
      </c>
      <c r="C35" s="14">
        <f>Table134681134[[#This Row],[PMI]]-B34</f>
        <v/>
      </c>
    </row>
    <row r="36">
      <c r="A36" s="8" t="n">
        <v>41365</v>
      </c>
      <c r="B36" s="11">
        <f>IF(VLOOKUP(A36,'DB Country PMI'!$A:$W,MATCH($A$1,'DB Country PMI'!$A$1:$W$1,),)=0,#N/A,VLOOKUP(A36,'DB Country PMI'!$A:$W,MATCH($A$1,'DB Country PMI'!$A$1:$W$1,),))</f>
        <v/>
      </c>
      <c r="C36" s="14">
        <f>Table134681134[[#This Row],[PMI]]-B35</f>
        <v/>
      </c>
    </row>
    <row r="37">
      <c r="A37" s="8" t="n">
        <v>41395</v>
      </c>
      <c r="B37" s="11">
        <f>IF(VLOOKUP(A37,'DB Country PMI'!$A:$W,MATCH($A$1,'DB Country PMI'!$A$1:$W$1,),)=0,#N/A,VLOOKUP(A37,'DB Country PMI'!$A:$W,MATCH($A$1,'DB Country PMI'!$A$1:$W$1,),))</f>
        <v/>
      </c>
      <c r="C37" s="14">
        <f>Table134681134[[#This Row],[PMI]]-B36</f>
        <v/>
      </c>
    </row>
    <row r="38">
      <c r="A38" s="8" t="n">
        <v>41426</v>
      </c>
      <c r="B38" s="11">
        <f>IF(VLOOKUP(A38,'DB Country PMI'!$A:$W,MATCH($A$1,'DB Country PMI'!$A$1:$W$1,),)=0,#N/A,VLOOKUP(A38,'DB Country PMI'!$A:$W,MATCH($A$1,'DB Country PMI'!$A$1:$W$1,),))</f>
        <v/>
      </c>
      <c r="C38" s="14">
        <f>Table134681134[[#This Row],[PMI]]-B37</f>
        <v/>
      </c>
    </row>
    <row r="39">
      <c r="A39" s="8" t="n">
        <v>41456</v>
      </c>
      <c r="B39" s="11">
        <f>IF(VLOOKUP(A39,'DB Country PMI'!$A:$W,MATCH($A$1,'DB Country PMI'!$A$1:$W$1,),)=0,#N/A,VLOOKUP(A39,'DB Country PMI'!$A:$W,MATCH($A$1,'DB Country PMI'!$A$1:$W$1,),))</f>
        <v/>
      </c>
      <c r="C39" s="14">
        <f>Table134681134[[#This Row],[PMI]]-B38</f>
        <v/>
      </c>
    </row>
    <row r="40">
      <c r="A40" s="8" t="n">
        <v>41487</v>
      </c>
      <c r="B40" s="11">
        <f>IF(VLOOKUP(A40,'DB Country PMI'!$A:$W,MATCH($A$1,'DB Country PMI'!$A$1:$W$1,),)=0,#N/A,VLOOKUP(A40,'DB Country PMI'!$A:$W,MATCH($A$1,'DB Country PMI'!$A$1:$W$1,),))</f>
        <v/>
      </c>
      <c r="C40" s="14">
        <f>Table134681134[[#This Row],[PMI]]-B39</f>
        <v/>
      </c>
    </row>
    <row r="41">
      <c r="A41" s="8" t="n">
        <v>41518</v>
      </c>
      <c r="B41" s="11">
        <f>IF(VLOOKUP(A41,'DB Country PMI'!$A:$W,MATCH($A$1,'DB Country PMI'!$A$1:$W$1,),)=0,#N/A,VLOOKUP(A41,'DB Country PMI'!$A:$W,MATCH($A$1,'DB Country PMI'!$A$1:$W$1,),))</f>
        <v/>
      </c>
      <c r="C41" s="14">
        <f>Table134681134[[#This Row],[PMI]]-B40</f>
        <v/>
      </c>
    </row>
    <row r="42">
      <c r="A42" s="8" t="n">
        <v>41548</v>
      </c>
      <c r="B42" s="11">
        <f>IF(VLOOKUP(A42,'DB Country PMI'!$A:$W,MATCH($A$1,'DB Country PMI'!$A$1:$W$1,),)=0,#N/A,VLOOKUP(A42,'DB Country PMI'!$A:$W,MATCH($A$1,'DB Country PMI'!$A$1:$W$1,),))</f>
        <v/>
      </c>
      <c r="C42" s="14">
        <f>Table134681134[[#This Row],[PMI]]-B41</f>
        <v/>
      </c>
    </row>
    <row r="43">
      <c r="A43" s="8" t="n">
        <v>41579</v>
      </c>
      <c r="B43" s="11">
        <f>IF(VLOOKUP(A43,'DB Country PMI'!$A:$W,MATCH($A$1,'DB Country PMI'!$A$1:$W$1,),)=0,#N/A,VLOOKUP(A43,'DB Country PMI'!$A:$W,MATCH($A$1,'DB Country PMI'!$A$1:$W$1,),))</f>
        <v/>
      </c>
      <c r="C43" s="14">
        <f>Table134681134[[#This Row],[PMI]]-B42</f>
        <v/>
      </c>
    </row>
    <row r="44">
      <c r="A44" s="8" t="n">
        <v>41609</v>
      </c>
      <c r="B44" s="11">
        <f>IF(VLOOKUP(A44,'DB Country PMI'!$A:$W,MATCH($A$1,'DB Country PMI'!$A$1:$W$1,),)=0,#N/A,VLOOKUP(A44,'DB Country PMI'!$A:$W,MATCH($A$1,'DB Country PMI'!$A$1:$W$1,),))</f>
        <v/>
      </c>
      <c r="C44" s="14">
        <f>Table134681134[[#This Row],[PMI]]-B43</f>
        <v/>
      </c>
    </row>
    <row r="45">
      <c r="A45" s="8" t="n">
        <v>41640</v>
      </c>
      <c r="B45" s="11">
        <f>IF(VLOOKUP(A45,'DB Country PMI'!$A:$W,MATCH($A$1,'DB Country PMI'!$A$1:$W$1,),)=0,#N/A,VLOOKUP(A45,'DB Country PMI'!$A:$W,MATCH($A$1,'DB Country PMI'!$A$1:$W$1,),))</f>
        <v/>
      </c>
      <c r="C45" s="14">
        <f>Table134681134[[#This Row],[PMI]]-B44</f>
        <v/>
      </c>
    </row>
    <row r="46">
      <c r="A46" s="8" t="n">
        <v>41671</v>
      </c>
      <c r="B46" s="11">
        <f>IF(VLOOKUP(A46,'DB Country PMI'!$A:$W,MATCH($A$1,'DB Country PMI'!$A$1:$W$1,),)=0,#N/A,VLOOKUP(A46,'DB Country PMI'!$A:$W,MATCH($A$1,'DB Country PMI'!$A$1:$W$1,),))</f>
        <v/>
      </c>
      <c r="C46" s="14">
        <f>Table134681134[[#This Row],[PMI]]-B45</f>
        <v/>
      </c>
    </row>
    <row r="47">
      <c r="A47" s="8" t="n">
        <v>41699</v>
      </c>
      <c r="B47" s="11">
        <f>IF(VLOOKUP(A47,'DB Country PMI'!$A:$W,MATCH($A$1,'DB Country PMI'!$A$1:$W$1,),)=0,#N/A,VLOOKUP(A47,'DB Country PMI'!$A:$W,MATCH($A$1,'DB Country PMI'!$A$1:$W$1,),))</f>
        <v/>
      </c>
      <c r="C47" s="14">
        <f>Table134681134[[#This Row],[PMI]]-B46</f>
        <v/>
      </c>
    </row>
    <row r="48">
      <c r="A48" s="8" t="n">
        <v>41730</v>
      </c>
      <c r="B48" s="11">
        <f>IF(VLOOKUP(A48,'DB Country PMI'!$A:$W,MATCH($A$1,'DB Country PMI'!$A$1:$W$1,),)=0,#N/A,VLOOKUP(A48,'DB Country PMI'!$A:$W,MATCH($A$1,'DB Country PMI'!$A$1:$W$1,),))</f>
        <v/>
      </c>
      <c r="C48" s="14">
        <f>Table134681134[[#This Row],[PMI]]-B47</f>
        <v/>
      </c>
    </row>
    <row r="49">
      <c r="A49" s="8" t="n">
        <v>41760</v>
      </c>
      <c r="B49" s="11">
        <f>IF(VLOOKUP(A49,'DB Country PMI'!$A:$W,MATCH($A$1,'DB Country PMI'!$A$1:$W$1,),)=0,#N/A,VLOOKUP(A49,'DB Country PMI'!$A:$W,MATCH($A$1,'DB Country PMI'!$A$1:$W$1,),))</f>
        <v/>
      </c>
      <c r="C49" s="14">
        <f>Table134681134[[#This Row],[PMI]]-B48</f>
        <v/>
      </c>
    </row>
    <row r="50">
      <c r="A50" s="8" t="n">
        <v>41791</v>
      </c>
      <c r="B50" s="11">
        <f>IF(VLOOKUP(A50,'DB Country PMI'!$A:$W,MATCH($A$1,'DB Country PMI'!$A$1:$W$1,),)=0,#N/A,VLOOKUP(A50,'DB Country PMI'!$A:$W,MATCH($A$1,'DB Country PMI'!$A$1:$W$1,),))</f>
        <v/>
      </c>
      <c r="C50" s="14">
        <f>Table134681134[[#This Row],[PMI]]-B49</f>
        <v/>
      </c>
    </row>
    <row r="51">
      <c r="A51" s="8" t="n">
        <v>41821</v>
      </c>
      <c r="B51" s="11">
        <f>IF(VLOOKUP(A51,'DB Country PMI'!$A:$W,MATCH($A$1,'DB Country PMI'!$A$1:$W$1,),)=0,#N/A,VLOOKUP(A51,'DB Country PMI'!$A:$W,MATCH($A$1,'DB Country PMI'!$A$1:$W$1,),))</f>
        <v/>
      </c>
      <c r="C51" s="14">
        <f>Table134681134[[#This Row],[PMI]]-B50</f>
        <v/>
      </c>
    </row>
    <row r="52">
      <c r="A52" s="8" t="n">
        <v>41852</v>
      </c>
      <c r="B52" s="11">
        <f>IF(VLOOKUP(A52,'DB Country PMI'!$A:$W,MATCH($A$1,'DB Country PMI'!$A$1:$W$1,),)=0,#N/A,VLOOKUP(A52,'DB Country PMI'!$A:$W,MATCH($A$1,'DB Country PMI'!$A$1:$W$1,),))</f>
        <v/>
      </c>
      <c r="C52" s="14">
        <f>Table134681134[[#This Row],[PMI]]-B51</f>
        <v/>
      </c>
    </row>
    <row r="53">
      <c r="A53" s="8" t="n">
        <v>41883</v>
      </c>
      <c r="B53" s="11">
        <f>IF(VLOOKUP(A53,'DB Country PMI'!$A:$W,MATCH($A$1,'DB Country PMI'!$A$1:$W$1,),)=0,#N/A,VLOOKUP(A53,'DB Country PMI'!$A:$W,MATCH($A$1,'DB Country PMI'!$A$1:$W$1,),))</f>
        <v/>
      </c>
      <c r="C53" s="14">
        <f>Table134681134[[#This Row],[PMI]]-B52</f>
        <v/>
      </c>
    </row>
    <row r="54">
      <c r="A54" s="8" t="n">
        <v>41913</v>
      </c>
      <c r="B54" s="11">
        <f>IF(VLOOKUP(A54,'DB Country PMI'!$A:$W,MATCH($A$1,'DB Country PMI'!$A$1:$W$1,),)=0,#N/A,VLOOKUP(A54,'DB Country PMI'!$A:$W,MATCH($A$1,'DB Country PMI'!$A$1:$W$1,),))</f>
        <v/>
      </c>
      <c r="C54" s="14">
        <f>Table134681134[[#This Row],[PMI]]-B53</f>
        <v/>
      </c>
    </row>
    <row r="55">
      <c r="A55" s="8" t="n">
        <v>41944</v>
      </c>
      <c r="B55" s="11">
        <f>IF(VLOOKUP(A55,'DB Country PMI'!$A:$W,MATCH($A$1,'DB Country PMI'!$A$1:$W$1,),)=0,#N/A,VLOOKUP(A55,'DB Country PMI'!$A:$W,MATCH($A$1,'DB Country PMI'!$A$1:$W$1,),))</f>
        <v/>
      </c>
      <c r="C55" s="14">
        <f>Table134681134[[#This Row],[PMI]]-B54</f>
        <v/>
      </c>
    </row>
    <row r="56">
      <c r="A56" s="8" t="n">
        <v>41974</v>
      </c>
      <c r="B56" s="11">
        <f>IF(VLOOKUP(A56,'DB Country PMI'!$A:$W,MATCH($A$1,'DB Country PMI'!$A$1:$W$1,),)=0,#N/A,VLOOKUP(A56,'DB Country PMI'!$A:$W,MATCH($A$1,'DB Country PMI'!$A$1:$W$1,),))</f>
        <v/>
      </c>
      <c r="C56" s="14">
        <f>Table134681134[[#This Row],[PMI]]-B55</f>
        <v/>
      </c>
    </row>
    <row r="57">
      <c r="A57" s="8" t="n">
        <v>42005</v>
      </c>
      <c r="B57" s="11">
        <f>IF(VLOOKUP(A57,'DB Country PMI'!$A:$W,MATCH($A$1,'DB Country PMI'!$A$1:$W$1,),)=0,#N/A,VLOOKUP(A57,'DB Country PMI'!$A:$W,MATCH($A$1,'DB Country PMI'!$A$1:$W$1,),))</f>
        <v/>
      </c>
      <c r="C57" s="14">
        <f>Table134681134[[#This Row],[PMI]]-B56</f>
        <v/>
      </c>
    </row>
    <row r="58">
      <c r="A58" s="8" t="n">
        <v>42036</v>
      </c>
      <c r="B58" s="11">
        <f>IF(VLOOKUP(A58,'DB Country PMI'!$A:$W,MATCH($A$1,'DB Country PMI'!$A$1:$W$1,),)=0,#N/A,VLOOKUP(A58,'DB Country PMI'!$A:$W,MATCH($A$1,'DB Country PMI'!$A$1:$W$1,),))</f>
        <v/>
      </c>
      <c r="C58" s="14">
        <f>Table134681134[[#This Row],[PMI]]-B57</f>
        <v/>
      </c>
    </row>
    <row r="59">
      <c r="A59" s="8" t="n">
        <v>42064</v>
      </c>
      <c r="B59" s="11">
        <f>IF(VLOOKUP(A59,'DB Country PMI'!$A:$W,MATCH($A$1,'DB Country PMI'!$A$1:$W$1,),)=0,#N/A,VLOOKUP(A59,'DB Country PMI'!$A:$W,MATCH($A$1,'DB Country PMI'!$A$1:$W$1,),))</f>
        <v/>
      </c>
      <c r="C59" s="14">
        <f>Table134681134[[#This Row],[PMI]]-B58</f>
        <v/>
      </c>
    </row>
    <row r="60">
      <c r="A60" s="8" t="n">
        <v>42095</v>
      </c>
      <c r="B60" s="11">
        <f>IF(VLOOKUP(A60,'DB Country PMI'!$A:$W,MATCH($A$1,'DB Country PMI'!$A$1:$W$1,),)=0,#N/A,VLOOKUP(A60,'DB Country PMI'!$A:$W,MATCH($A$1,'DB Country PMI'!$A$1:$W$1,),))</f>
        <v/>
      </c>
      <c r="C60" s="14">
        <f>Table134681134[[#This Row],[PMI]]-B59</f>
        <v/>
      </c>
    </row>
    <row r="61">
      <c r="A61" s="8" t="n">
        <v>42125</v>
      </c>
      <c r="B61" s="11">
        <f>IF(VLOOKUP(A61,'DB Country PMI'!$A:$W,MATCH($A$1,'DB Country PMI'!$A$1:$W$1,),)=0,#N/A,VLOOKUP(A61,'DB Country PMI'!$A:$W,MATCH($A$1,'DB Country PMI'!$A$1:$W$1,),))</f>
        <v/>
      </c>
      <c r="C61" s="14">
        <f>Table134681134[[#This Row],[PMI]]-B60</f>
        <v/>
      </c>
    </row>
    <row r="62">
      <c r="A62" s="8" t="n">
        <v>42156</v>
      </c>
      <c r="B62" s="11">
        <f>IF(VLOOKUP(A62,'DB Country PMI'!$A:$W,MATCH($A$1,'DB Country PMI'!$A$1:$W$1,),)=0,#N/A,VLOOKUP(A62,'DB Country PMI'!$A:$W,MATCH($A$1,'DB Country PMI'!$A$1:$W$1,),))</f>
        <v/>
      </c>
      <c r="C62" s="14">
        <f>Table134681134[[#This Row],[PMI]]-B61</f>
        <v/>
      </c>
    </row>
    <row r="63">
      <c r="A63" s="8" t="n">
        <v>42186</v>
      </c>
      <c r="B63" s="11">
        <f>IF(VLOOKUP(A63,'DB Country PMI'!$A:$W,MATCH($A$1,'DB Country PMI'!$A$1:$W$1,),)=0,#N/A,VLOOKUP(A63,'DB Country PMI'!$A:$W,MATCH($A$1,'DB Country PMI'!$A$1:$W$1,),))</f>
        <v/>
      </c>
      <c r="C63" s="14">
        <f>Table134681134[[#This Row],[PMI]]-B62</f>
        <v/>
      </c>
    </row>
    <row r="64">
      <c r="A64" s="8" t="n">
        <v>42217</v>
      </c>
      <c r="B64" s="11">
        <f>IF(VLOOKUP(A64,'DB Country PMI'!$A:$W,MATCH($A$1,'DB Country PMI'!$A$1:$W$1,),)=0,#N/A,VLOOKUP(A64,'DB Country PMI'!$A:$W,MATCH($A$1,'DB Country PMI'!$A$1:$W$1,),))</f>
        <v/>
      </c>
      <c r="C64" s="14">
        <f>Table134681134[[#This Row],[PMI]]-B63</f>
        <v/>
      </c>
    </row>
    <row r="65">
      <c r="A65" s="8" t="n">
        <v>42248</v>
      </c>
      <c r="B65" s="11">
        <f>IF(VLOOKUP(A65,'DB Country PMI'!$A:$W,MATCH($A$1,'DB Country PMI'!$A$1:$W$1,),)=0,#N/A,VLOOKUP(A65,'DB Country PMI'!$A:$W,MATCH($A$1,'DB Country PMI'!$A$1:$W$1,),))</f>
        <v/>
      </c>
      <c r="C65" s="14">
        <f>Table134681134[[#This Row],[PMI]]-B64</f>
        <v/>
      </c>
    </row>
    <row r="66">
      <c r="A66" s="8" t="n">
        <v>42278</v>
      </c>
      <c r="B66" s="11">
        <f>IF(VLOOKUP(A66,'DB Country PMI'!$A:$W,MATCH($A$1,'DB Country PMI'!$A$1:$W$1,),)=0,#N/A,VLOOKUP(A66,'DB Country PMI'!$A:$W,MATCH($A$1,'DB Country PMI'!$A$1:$W$1,),))</f>
        <v/>
      </c>
      <c r="C66" s="14">
        <f>Table134681134[[#This Row],[PMI]]-B65</f>
        <v/>
      </c>
    </row>
    <row r="67">
      <c r="A67" s="8" t="n">
        <v>42309</v>
      </c>
      <c r="B67" s="11">
        <f>IF(VLOOKUP(A67,'DB Country PMI'!$A:$W,MATCH($A$1,'DB Country PMI'!$A$1:$W$1,),)=0,#N/A,VLOOKUP(A67,'DB Country PMI'!$A:$W,MATCH($A$1,'DB Country PMI'!$A$1:$W$1,),))</f>
        <v/>
      </c>
      <c r="C67" s="14">
        <f>Table134681134[[#This Row],[PMI]]-B66</f>
        <v/>
      </c>
    </row>
    <row r="68">
      <c r="A68" s="8" t="n">
        <v>42339</v>
      </c>
      <c r="B68" s="11">
        <f>IF(VLOOKUP(A68,'DB Country PMI'!$A:$W,MATCH($A$1,'DB Country PMI'!$A$1:$W$1,),)=0,#N/A,VLOOKUP(A68,'DB Country PMI'!$A:$W,MATCH($A$1,'DB Country PMI'!$A$1:$W$1,),))</f>
        <v/>
      </c>
      <c r="C68" s="14">
        <f>Table134681134[[#This Row],[PMI]]-B67</f>
        <v/>
      </c>
    </row>
    <row r="69">
      <c r="A69" s="8" t="n">
        <v>42370</v>
      </c>
      <c r="B69" s="11">
        <f>IF(VLOOKUP(A69,'DB Country PMI'!$A:$W,MATCH($A$1,'DB Country PMI'!$A$1:$W$1,),)=0,#N/A,VLOOKUP(A69,'DB Country PMI'!$A:$W,MATCH($A$1,'DB Country PMI'!$A$1:$W$1,),))</f>
        <v/>
      </c>
      <c r="C69" s="14">
        <f>Table134681134[[#This Row],[PMI]]-B68</f>
        <v/>
      </c>
    </row>
    <row r="70">
      <c r="A70" s="8" t="n">
        <v>42401</v>
      </c>
      <c r="B70" s="11">
        <f>IF(VLOOKUP(A70,'DB Country PMI'!$A:$W,MATCH($A$1,'DB Country PMI'!$A$1:$W$1,),)=0,#N/A,VLOOKUP(A70,'DB Country PMI'!$A:$W,MATCH($A$1,'DB Country PMI'!$A$1:$W$1,),))</f>
        <v/>
      </c>
      <c r="C70" s="14">
        <f>Table134681134[[#This Row],[PMI]]-B69</f>
        <v/>
      </c>
    </row>
    <row r="71">
      <c r="A71" s="8" t="n">
        <v>42430</v>
      </c>
      <c r="B71" s="11">
        <f>IF(VLOOKUP(A71,'DB Country PMI'!$A:$W,MATCH($A$1,'DB Country PMI'!$A$1:$W$1,),)=0,#N/A,VLOOKUP(A71,'DB Country PMI'!$A:$W,MATCH($A$1,'DB Country PMI'!$A$1:$W$1,),))</f>
        <v/>
      </c>
      <c r="C71" s="14">
        <f>Table134681134[[#This Row],[PMI]]-B70</f>
        <v/>
      </c>
    </row>
    <row r="72">
      <c r="A72" s="8" t="n">
        <v>42461</v>
      </c>
      <c r="B72" s="11">
        <f>IF(VLOOKUP(A72,'DB Country PMI'!$A:$W,MATCH($A$1,'DB Country PMI'!$A$1:$W$1,),)=0,#N/A,VLOOKUP(A72,'DB Country PMI'!$A:$W,MATCH($A$1,'DB Country PMI'!$A$1:$W$1,),))</f>
        <v/>
      </c>
      <c r="C72" s="14">
        <f>Table134681134[[#This Row],[PMI]]-B71</f>
        <v/>
      </c>
    </row>
    <row r="73">
      <c r="A73" s="8" t="n">
        <v>42491</v>
      </c>
      <c r="B73" s="11">
        <f>IF(VLOOKUP(A73,'DB Country PMI'!$A:$W,MATCH($A$1,'DB Country PMI'!$A$1:$W$1,),)=0,#N/A,VLOOKUP(A73,'DB Country PMI'!$A:$W,MATCH($A$1,'DB Country PMI'!$A$1:$W$1,),))</f>
        <v/>
      </c>
      <c r="C73" s="14">
        <f>Table134681134[[#This Row],[PMI]]-B72</f>
        <v/>
      </c>
    </row>
    <row r="74">
      <c r="A74" s="8" t="n">
        <v>42522</v>
      </c>
      <c r="B74" s="11">
        <f>IF(VLOOKUP(A74,'DB Country PMI'!$A:$W,MATCH($A$1,'DB Country PMI'!$A$1:$W$1,),)=0,#N/A,VLOOKUP(A74,'DB Country PMI'!$A:$W,MATCH($A$1,'DB Country PMI'!$A$1:$W$1,),))</f>
        <v/>
      </c>
      <c r="C74" s="14">
        <f>Table134681134[[#This Row],[PMI]]-B73</f>
        <v/>
      </c>
    </row>
    <row r="75">
      <c r="A75" s="8" t="n">
        <v>42552</v>
      </c>
      <c r="B75" s="11">
        <f>IF(VLOOKUP(A75,'DB Country PMI'!$A:$W,MATCH($A$1,'DB Country PMI'!$A$1:$W$1,),)=0,#N/A,VLOOKUP(A75,'DB Country PMI'!$A:$W,MATCH($A$1,'DB Country PMI'!$A$1:$W$1,),))</f>
        <v/>
      </c>
      <c r="C75" s="14">
        <f>Table134681134[[#This Row],[PMI]]-B74</f>
        <v/>
      </c>
    </row>
    <row r="76">
      <c r="A76" s="8" t="n">
        <v>42583</v>
      </c>
      <c r="B76" s="11">
        <f>IF(VLOOKUP(A76,'DB Country PMI'!$A:$W,MATCH($A$1,'DB Country PMI'!$A$1:$W$1,),)=0,#N/A,VLOOKUP(A76,'DB Country PMI'!$A:$W,MATCH($A$1,'DB Country PMI'!$A$1:$W$1,),))</f>
        <v/>
      </c>
      <c r="C76" s="14">
        <f>Table134681134[[#This Row],[PMI]]-B75</f>
        <v/>
      </c>
    </row>
    <row r="77">
      <c r="A77" s="8" t="n">
        <v>42614</v>
      </c>
      <c r="B77" s="11">
        <f>IF(VLOOKUP(A77,'DB Country PMI'!$A:$W,MATCH($A$1,'DB Country PMI'!$A$1:$W$1,),)=0,#N/A,VLOOKUP(A77,'DB Country PMI'!$A:$W,MATCH($A$1,'DB Country PMI'!$A$1:$W$1,),))</f>
        <v/>
      </c>
      <c r="C77" s="14">
        <f>Table134681134[[#This Row],[PMI]]-B76</f>
        <v/>
      </c>
    </row>
    <row r="78">
      <c r="A78" s="8" t="n">
        <v>42644</v>
      </c>
      <c r="B78" s="11">
        <f>IF(VLOOKUP(A78,'DB Country PMI'!$A:$W,MATCH($A$1,'DB Country PMI'!$A$1:$W$1,),)=0,#N/A,VLOOKUP(A78,'DB Country PMI'!$A:$W,MATCH($A$1,'DB Country PMI'!$A$1:$W$1,),))</f>
        <v/>
      </c>
      <c r="C78" s="14">
        <f>Table134681134[[#This Row],[PMI]]-B77</f>
        <v/>
      </c>
    </row>
    <row r="79">
      <c r="A79" s="8" t="n">
        <v>42675</v>
      </c>
      <c r="B79" s="11">
        <f>IF(VLOOKUP(A79,'DB Country PMI'!$A:$W,MATCH($A$1,'DB Country PMI'!$A$1:$W$1,),)=0,#N/A,VLOOKUP(A79,'DB Country PMI'!$A:$W,MATCH($A$1,'DB Country PMI'!$A$1:$W$1,),))</f>
        <v/>
      </c>
      <c r="C79" s="14">
        <f>Table134681134[[#This Row],[PMI]]-B78</f>
        <v/>
      </c>
    </row>
    <row r="80">
      <c r="A80" s="8" t="n">
        <v>42705</v>
      </c>
      <c r="B80" s="11">
        <f>IF(VLOOKUP(A80,'DB Country PMI'!$A:$W,MATCH($A$1,'DB Country PMI'!$A$1:$W$1,),)=0,#N/A,VLOOKUP(A80,'DB Country PMI'!$A:$W,MATCH($A$1,'DB Country PMI'!$A$1:$W$1,),))</f>
        <v/>
      </c>
      <c r="C80" s="14">
        <f>Table134681134[[#This Row],[PMI]]-B79</f>
        <v/>
      </c>
    </row>
    <row r="81">
      <c r="A81" s="8" t="n">
        <v>42736</v>
      </c>
      <c r="B81" s="11">
        <f>IF(VLOOKUP(A81,'DB Country PMI'!$A:$W,MATCH($A$1,'DB Country PMI'!$A$1:$W$1,),)=0,#N/A,VLOOKUP(A81,'DB Country PMI'!$A:$W,MATCH($A$1,'DB Country PMI'!$A$1:$W$1,),))</f>
        <v/>
      </c>
      <c r="C81" s="14">
        <f>Table134681134[[#This Row],[PMI]]-B80</f>
        <v/>
      </c>
    </row>
    <row r="82">
      <c r="A82" s="8" t="n">
        <v>42767</v>
      </c>
      <c r="B82" s="11">
        <f>IF(VLOOKUP(A82,'DB Country PMI'!$A:$W,MATCH($A$1,'DB Country PMI'!$A$1:$W$1,),)=0,#N/A,VLOOKUP(A82,'DB Country PMI'!$A:$W,MATCH($A$1,'DB Country PMI'!$A$1:$W$1,),))</f>
        <v/>
      </c>
      <c r="C82" s="14">
        <f>Table134681134[[#This Row],[PMI]]-B81</f>
        <v/>
      </c>
    </row>
    <row r="83">
      <c r="A83" s="8" t="n">
        <v>42795</v>
      </c>
      <c r="B83" s="11">
        <f>IF(VLOOKUP(A83,'DB Country PMI'!$A:$W,MATCH($A$1,'DB Country PMI'!$A$1:$W$1,),)=0,#N/A,VLOOKUP(A83,'DB Country PMI'!$A:$W,MATCH($A$1,'DB Country PMI'!$A$1:$W$1,),))</f>
        <v/>
      </c>
      <c r="C83" s="14">
        <f>Table134681134[[#This Row],[PMI]]-B82</f>
        <v/>
      </c>
    </row>
    <row r="84">
      <c r="A84" s="8" t="n">
        <v>42826</v>
      </c>
      <c r="B84" s="11">
        <f>IF(VLOOKUP(A84,'DB Country PMI'!$A:$W,MATCH($A$1,'DB Country PMI'!$A$1:$W$1,),)=0,#N/A,VLOOKUP(A84,'DB Country PMI'!$A:$W,MATCH($A$1,'DB Country PMI'!$A$1:$W$1,),))</f>
        <v/>
      </c>
      <c r="C84" s="14">
        <f>Table134681134[[#This Row],[PMI]]-B83</f>
        <v/>
      </c>
    </row>
    <row r="85">
      <c r="A85" s="8" t="n">
        <v>42856</v>
      </c>
      <c r="B85" s="11">
        <f>IF(VLOOKUP(A85,'DB Country PMI'!$A:$W,MATCH($A$1,'DB Country PMI'!$A$1:$W$1,),)=0,#N/A,VLOOKUP(A85,'DB Country PMI'!$A:$W,MATCH($A$1,'DB Country PMI'!$A$1:$W$1,),))</f>
        <v/>
      </c>
      <c r="C85" s="14">
        <f>Table134681134[[#This Row],[PMI]]-B84</f>
        <v/>
      </c>
    </row>
    <row r="86">
      <c r="A86" s="8" t="n">
        <v>42887</v>
      </c>
      <c r="B86" s="11">
        <f>IF(VLOOKUP(A86,'DB Country PMI'!$A:$W,MATCH($A$1,'DB Country PMI'!$A$1:$W$1,),)=0,#N/A,VLOOKUP(A86,'DB Country PMI'!$A:$W,MATCH($A$1,'DB Country PMI'!$A$1:$W$1,),))</f>
        <v/>
      </c>
      <c r="C86" s="14">
        <f>Table134681134[[#This Row],[PMI]]-B85</f>
        <v/>
      </c>
    </row>
    <row r="87">
      <c r="A87" s="8" t="n">
        <v>42917</v>
      </c>
      <c r="B87" s="11">
        <f>IF(VLOOKUP(A87,'DB Country PMI'!$A:$W,MATCH($A$1,'DB Country PMI'!$A$1:$W$1,),)=0,#N/A,VLOOKUP(A87,'DB Country PMI'!$A:$W,MATCH($A$1,'DB Country PMI'!$A$1:$W$1,),))</f>
        <v/>
      </c>
      <c r="C87" s="14">
        <f>Table134681134[[#This Row],[PMI]]-B86</f>
        <v/>
      </c>
    </row>
    <row r="88">
      <c r="A88" s="8" t="n">
        <v>42948</v>
      </c>
      <c r="B88" s="11">
        <f>IF(VLOOKUP(A88,'DB Country PMI'!$A:$W,MATCH($A$1,'DB Country PMI'!$A$1:$W$1,),)=0,#N/A,VLOOKUP(A88,'DB Country PMI'!$A:$W,MATCH($A$1,'DB Country PMI'!$A$1:$W$1,),))</f>
        <v/>
      </c>
      <c r="C88" s="14">
        <f>Table134681134[[#This Row],[PMI]]-B87</f>
        <v/>
      </c>
    </row>
    <row r="89">
      <c r="A89" s="8" t="n">
        <v>42979</v>
      </c>
      <c r="B89" s="11">
        <f>IF(VLOOKUP(A89,'DB Country PMI'!$A:$W,MATCH($A$1,'DB Country PMI'!$A$1:$W$1,),)=0,#N/A,VLOOKUP(A89,'DB Country PMI'!$A:$W,MATCH($A$1,'DB Country PMI'!$A$1:$W$1,),))</f>
        <v/>
      </c>
      <c r="C89" s="14">
        <f>Table134681134[[#This Row],[PMI]]-B88</f>
        <v/>
      </c>
    </row>
    <row r="90">
      <c r="A90" s="8" t="n">
        <v>43009</v>
      </c>
      <c r="B90" s="11">
        <f>IF(VLOOKUP(A90,'DB Country PMI'!$A:$W,MATCH($A$1,'DB Country PMI'!$A$1:$W$1,),)=0,#N/A,VLOOKUP(A90,'DB Country PMI'!$A:$W,MATCH($A$1,'DB Country PMI'!$A$1:$W$1,),))</f>
        <v/>
      </c>
      <c r="C90" s="14">
        <f>Table134681134[[#This Row],[PMI]]-B89</f>
        <v/>
      </c>
    </row>
    <row r="91">
      <c r="A91" s="8" t="n">
        <v>43040</v>
      </c>
      <c r="B91" s="11">
        <f>IF(VLOOKUP(A91,'DB Country PMI'!$A:$W,MATCH($A$1,'DB Country PMI'!$A$1:$W$1,),)=0,#N/A,VLOOKUP(A91,'DB Country PMI'!$A:$W,MATCH($A$1,'DB Country PMI'!$A$1:$W$1,),))</f>
        <v/>
      </c>
      <c r="C91" s="14">
        <f>Table134681134[[#This Row],[PMI]]-B90</f>
        <v/>
      </c>
    </row>
    <row r="92">
      <c r="A92" s="8" t="n">
        <v>43070</v>
      </c>
      <c r="B92" s="11">
        <f>IF(VLOOKUP(A92,'DB Country PMI'!$A:$W,MATCH($A$1,'DB Country PMI'!$A$1:$W$1,),)=0,#N/A,VLOOKUP(A92,'DB Country PMI'!$A:$W,MATCH($A$1,'DB Country PMI'!$A$1:$W$1,),))</f>
        <v/>
      </c>
      <c r="C92" s="14">
        <f>Table134681134[[#This Row],[PMI]]-B91</f>
        <v/>
      </c>
    </row>
    <row r="93">
      <c r="A93" s="8" t="n">
        <v>43101</v>
      </c>
      <c r="B93" s="11">
        <f>IF(VLOOKUP(A93,'DB Country PMI'!$A:$W,MATCH($A$1,'DB Country PMI'!$A$1:$W$1,),)=0,#N/A,VLOOKUP(A93,'DB Country PMI'!$A:$W,MATCH($A$1,'DB Country PMI'!$A$1:$W$1,),))</f>
        <v/>
      </c>
      <c r="C93" s="14">
        <f>Table134681134[[#This Row],[PMI]]-B92</f>
        <v/>
      </c>
    </row>
    <row r="94">
      <c r="A94" s="8" t="n">
        <v>43132</v>
      </c>
      <c r="B94" s="11">
        <f>IF(VLOOKUP(A94,'DB Country PMI'!$A:$W,MATCH($A$1,'DB Country PMI'!$A$1:$W$1,),)=0,#N/A,VLOOKUP(A94,'DB Country PMI'!$A:$W,MATCH($A$1,'DB Country PMI'!$A$1:$W$1,),))</f>
        <v/>
      </c>
      <c r="C94" s="14">
        <f>Table134681134[[#This Row],[PMI]]-B93</f>
        <v/>
      </c>
    </row>
    <row r="95">
      <c r="A95" s="8" t="n">
        <v>43160</v>
      </c>
      <c r="B95" s="11">
        <f>IF(VLOOKUP(A95,'DB Country PMI'!$A:$W,MATCH($A$1,'DB Country PMI'!$A$1:$W$1,),)=0,#N/A,VLOOKUP(A95,'DB Country PMI'!$A:$W,MATCH($A$1,'DB Country PMI'!$A$1:$W$1,),))</f>
        <v/>
      </c>
      <c r="C95" s="14">
        <f>Table134681134[[#This Row],[PMI]]-B94</f>
        <v/>
      </c>
    </row>
    <row r="96">
      <c r="A96" s="8" t="n">
        <v>43191</v>
      </c>
      <c r="B96" s="11">
        <f>IF(VLOOKUP(A96,'DB Country PMI'!$A:$W,MATCH($A$1,'DB Country PMI'!$A$1:$W$1,),)=0,#N/A,VLOOKUP(A96,'DB Country PMI'!$A:$W,MATCH($A$1,'DB Country PMI'!$A$1:$W$1,),))</f>
        <v/>
      </c>
      <c r="C96" s="14">
        <f>Table134681134[[#This Row],[PMI]]-B95</f>
        <v/>
      </c>
    </row>
    <row r="97">
      <c r="A97" s="8" t="n">
        <v>43221</v>
      </c>
      <c r="B97" s="11">
        <f>IF(VLOOKUP(A97,'DB Country PMI'!$A:$W,MATCH($A$1,'DB Country PMI'!$A$1:$W$1,),)=0,#N/A,VLOOKUP(A97,'DB Country PMI'!$A:$W,MATCH($A$1,'DB Country PMI'!$A$1:$W$1,),))</f>
        <v/>
      </c>
      <c r="C97" s="14">
        <f>Table134681134[[#This Row],[PMI]]-B96</f>
        <v/>
      </c>
    </row>
    <row r="98">
      <c r="A98" s="8" t="n">
        <v>43252</v>
      </c>
      <c r="B98" s="11">
        <f>IF(VLOOKUP(A98,'DB Country PMI'!$A:$W,MATCH($A$1,'DB Country PMI'!$A$1:$W$1,),)=0,#N/A,VLOOKUP(A98,'DB Country PMI'!$A:$W,MATCH($A$1,'DB Country PMI'!$A$1:$W$1,),))</f>
        <v/>
      </c>
      <c r="C98" s="14">
        <f>Table134681134[[#This Row],[PMI]]-B97</f>
        <v/>
      </c>
    </row>
    <row r="99">
      <c r="A99" s="8" t="n">
        <v>43282</v>
      </c>
      <c r="B99" s="11">
        <f>IF(VLOOKUP(A99,'DB Country PMI'!$A:$W,MATCH($A$1,'DB Country PMI'!$A$1:$W$1,),)=0,#N/A,VLOOKUP(A99,'DB Country PMI'!$A:$W,MATCH($A$1,'DB Country PMI'!$A$1:$W$1,),))</f>
        <v/>
      </c>
      <c r="C99" s="14">
        <f>Table134681134[[#This Row],[PMI]]-B98</f>
        <v/>
      </c>
    </row>
    <row r="100">
      <c r="A100" s="8" t="n">
        <v>43313</v>
      </c>
      <c r="B100" s="11">
        <f>IF(VLOOKUP(A100,'DB Country PMI'!$A:$W,MATCH($A$1,'DB Country PMI'!$A$1:$W$1,),)=0,#N/A,VLOOKUP(A100,'DB Country PMI'!$A:$W,MATCH($A$1,'DB Country PMI'!$A$1:$W$1,),))</f>
        <v/>
      </c>
      <c r="C100" s="14">
        <f>Table134681134[[#This Row],[PMI]]-B99</f>
        <v/>
      </c>
    </row>
    <row r="101">
      <c r="A101" s="8" t="n">
        <v>43344</v>
      </c>
      <c r="B101" s="11">
        <f>IF(VLOOKUP(A101,'DB Country PMI'!$A:$W,MATCH($A$1,'DB Country PMI'!$A$1:$W$1,),)=0,#N/A,VLOOKUP(A101,'DB Country PMI'!$A:$W,MATCH($A$1,'DB Country PMI'!$A$1:$W$1,),))</f>
        <v/>
      </c>
      <c r="C101" s="14">
        <f>Table134681134[[#This Row],[PMI]]-B100</f>
        <v/>
      </c>
    </row>
    <row r="102">
      <c r="A102" s="8" t="n">
        <v>43374</v>
      </c>
      <c r="B102" s="11">
        <f>IF(VLOOKUP(A102,'DB Country PMI'!$A:$W,MATCH($A$1,'DB Country PMI'!$A$1:$W$1,),)=0,#N/A,VLOOKUP(A102,'DB Country PMI'!$A:$W,MATCH($A$1,'DB Country PMI'!$A$1:$W$1,),))</f>
        <v/>
      </c>
      <c r="C102" s="14">
        <f>Table134681134[[#This Row],[PMI]]-B101</f>
        <v/>
      </c>
    </row>
    <row r="103">
      <c r="A103" s="8" t="n">
        <v>43405</v>
      </c>
      <c r="B103" s="11">
        <f>IF(VLOOKUP(A103,'DB Country PMI'!$A:$W,MATCH($A$1,'DB Country PMI'!$A$1:$W$1,),)=0,#N/A,VLOOKUP(A103,'DB Country PMI'!$A:$W,MATCH($A$1,'DB Country PMI'!$A$1:$W$1,),))</f>
        <v/>
      </c>
      <c r="C103" s="14">
        <f>Table134681134[[#This Row],[PMI]]-B102</f>
        <v/>
      </c>
    </row>
    <row r="104">
      <c r="A104" s="8" t="n">
        <v>43435</v>
      </c>
      <c r="B104" s="11">
        <f>IF(VLOOKUP(A104,'DB Country PMI'!$A:$W,MATCH($A$1,'DB Country PMI'!$A$1:$W$1,),)=0,#N/A,VLOOKUP(A104,'DB Country PMI'!$A:$W,MATCH($A$1,'DB Country PMI'!$A$1:$W$1,),))</f>
        <v/>
      </c>
      <c r="C104" s="14">
        <f>Table134681134[[#This Row],[PMI]]-B103</f>
        <v/>
      </c>
    </row>
    <row r="105">
      <c r="A105" s="8" t="n">
        <v>43466</v>
      </c>
      <c r="B105" s="11">
        <f>IF(VLOOKUP(A105,'DB Country PMI'!$A:$W,MATCH($A$1,'DB Country PMI'!$A$1:$W$1,),)=0,#N/A,VLOOKUP(A105,'DB Country PMI'!$A:$W,MATCH($A$1,'DB Country PMI'!$A$1:$W$1,),))</f>
        <v/>
      </c>
      <c r="C105" s="14">
        <f>Table134681134[[#This Row],[PMI]]-B104</f>
        <v/>
      </c>
    </row>
    <row r="106">
      <c r="A106" s="8" t="n">
        <v>43497</v>
      </c>
      <c r="B106" s="11">
        <f>IF(VLOOKUP(A106,'DB Country PMI'!$A:$W,MATCH($A$1,'DB Country PMI'!$A$1:$W$1,),)=0,#N/A,VLOOKUP(A106,'DB Country PMI'!$A:$W,MATCH($A$1,'DB Country PMI'!$A$1:$W$1,),))</f>
        <v/>
      </c>
      <c r="C106" s="14">
        <f>Table134681134[[#This Row],[PMI]]-B105</f>
        <v/>
      </c>
    </row>
    <row r="107">
      <c r="A107" s="8" t="n">
        <v>43525</v>
      </c>
      <c r="B107" s="11">
        <f>IF(VLOOKUP(A107,'DB Country PMI'!$A:$W,MATCH($A$1,'DB Country PMI'!$A$1:$W$1,),)=0,#N/A,VLOOKUP(A107,'DB Country PMI'!$A:$W,MATCH($A$1,'DB Country PMI'!$A$1:$W$1,),))</f>
        <v/>
      </c>
      <c r="C107" s="14">
        <f>Table134681134[[#This Row],[PMI]]-B106</f>
        <v/>
      </c>
    </row>
    <row r="108">
      <c r="A108" s="8" t="n">
        <v>43556</v>
      </c>
      <c r="B108" s="11">
        <f>IF(VLOOKUP(A108,'DB Country PMI'!$A:$W,MATCH($A$1,'DB Country PMI'!$A$1:$W$1,),)=0,#N/A,VLOOKUP(A108,'DB Country PMI'!$A:$W,MATCH($A$1,'DB Country PMI'!$A$1:$W$1,),))</f>
        <v/>
      </c>
      <c r="C108" s="14">
        <f>Table134681134[[#This Row],[PMI]]-B107</f>
        <v/>
      </c>
    </row>
    <row r="109">
      <c r="A109" s="8" t="n">
        <v>43586</v>
      </c>
      <c r="B109" s="11">
        <f>IF(VLOOKUP(A109,'DB Country PMI'!$A:$W,MATCH($A$1,'DB Country PMI'!$A$1:$W$1,),)=0,#N/A,VLOOKUP(A109,'DB Country PMI'!$A:$W,MATCH($A$1,'DB Country PMI'!$A$1:$W$1,),))</f>
        <v/>
      </c>
      <c r="C109" s="14">
        <f>Table134681134[[#This Row],[PMI]]-B108</f>
        <v/>
      </c>
    </row>
    <row r="110">
      <c r="A110" s="8" t="n">
        <v>43617</v>
      </c>
      <c r="B110" s="11">
        <f>IF(VLOOKUP(A110,'DB Country PMI'!$A:$W,MATCH($A$1,'DB Country PMI'!$A$1:$W$1,),)=0,#N/A,VLOOKUP(A110,'DB Country PMI'!$A:$W,MATCH($A$1,'DB Country PMI'!$A$1:$W$1,),))</f>
        <v/>
      </c>
      <c r="C110" s="14">
        <f>Table134681134[[#This Row],[PMI]]-B109</f>
        <v/>
      </c>
    </row>
    <row r="111">
      <c r="A111" s="8" t="n">
        <v>43647</v>
      </c>
      <c r="B111" s="11">
        <f>IF(VLOOKUP(A111,'DB Country PMI'!$A:$W,MATCH($A$1,'DB Country PMI'!$A$1:$W$1,),)=0,#N/A,VLOOKUP(A111,'DB Country PMI'!$A:$W,MATCH($A$1,'DB Country PMI'!$A$1:$W$1,),))</f>
        <v/>
      </c>
      <c r="C111" s="14">
        <f>Table134681134[[#This Row],[PMI]]-B110</f>
        <v/>
      </c>
    </row>
    <row r="112">
      <c r="A112" s="8" t="n">
        <v>43678</v>
      </c>
      <c r="B112" s="11">
        <f>IF(VLOOKUP(A112,'DB Country PMI'!$A:$W,MATCH($A$1,'DB Country PMI'!$A$1:$W$1,),)=0,#N/A,VLOOKUP(A112,'DB Country PMI'!$A:$W,MATCH($A$1,'DB Country PMI'!$A$1:$W$1,),))</f>
        <v/>
      </c>
      <c r="C112" s="14">
        <f>Table134681134[[#This Row],[PMI]]-B111</f>
        <v/>
      </c>
    </row>
    <row r="113">
      <c r="A113" s="8" t="n">
        <v>43709</v>
      </c>
      <c r="B113" s="11">
        <f>IF(VLOOKUP(A113,'DB Country PMI'!$A:$W,MATCH($A$1,'DB Country PMI'!$A$1:$W$1,),)=0,#N/A,VLOOKUP(A113,'DB Country PMI'!$A:$W,MATCH($A$1,'DB Country PMI'!$A$1:$W$1,),))</f>
        <v/>
      </c>
      <c r="C113" s="14">
        <f>Table134681134[[#This Row],[PMI]]-B112</f>
        <v/>
      </c>
    </row>
    <row r="114">
      <c r="A114" s="8" t="n">
        <v>43739</v>
      </c>
      <c r="B114" s="11">
        <f>IF(VLOOKUP(A114,'DB Country PMI'!$A:$W,MATCH($A$1,'DB Country PMI'!$A$1:$W$1,),)=0,#N/A,VLOOKUP(A114,'DB Country PMI'!$A:$W,MATCH($A$1,'DB Country PMI'!$A$1:$W$1,),))</f>
        <v/>
      </c>
      <c r="C114" s="14">
        <f>Table134681134[[#This Row],[PMI]]-B113</f>
        <v/>
      </c>
      <c r="F114" s="68" t="n"/>
    </row>
    <row r="115">
      <c r="A115" s="8" t="n">
        <v>43770</v>
      </c>
      <c r="B115" s="11">
        <f>IF(VLOOKUP(A115,'DB Country PMI'!$A:$W,MATCH($A$1,'DB Country PMI'!$A$1:$W$1,),)=0,#N/A,VLOOKUP(A115,'DB Country PMI'!$A:$W,MATCH($A$1,'DB Country PMI'!$A$1:$W$1,),))</f>
        <v/>
      </c>
      <c r="C115" s="14">
        <f>Table134681134[[#This Row],[PMI]]-B114</f>
        <v/>
      </c>
    </row>
    <row r="116">
      <c r="A116" s="8" t="n">
        <v>43800</v>
      </c>
      <c r="B116" s="11">
        <f>IF(VLOOKUP(A116,'DB Country PMI'!$A:$W,MATCH($A$1,'DB Country PMI'!$A$1:$W$1,),)=0,#N/A,VLOOKUP(A116,'DB Country PMI'!$A:$W,MATCH($A$1,'DB Country PMI'!$A$1:$W$1,),))</f>
        <v/>
      </c>
      <c r="C116" s="14">
        <f>Table134681134[[#This Row],[PMI]]-B115</f>
        <v/>
      </c>
    </row>
    <row r="117">
      <c r="A117" s="8" t="n">
        <v>43831</v>
      </c>
      <c r="B117" s="11">
        <f>IF(VLOOKUP(A117,'DB Country PMI'!$A:$W,MATCH($A$1,'DB Country PMI'!$A$1:$W$1,),)=0,#N/A,VLOOKUP(A117,'DB Country PMI'!$A:$W,MATCH($A$1,'DB Country PMI'!$A$1:$W$1,),))</f>
        <v/>
      </c>
      <c r="C117" s="14">
        <f>Table134681134[[#This Row],[PMI]]-B116</f>
        <v/>
      </c>
    </row>
    <row r="118">
      <c r="A118" s="8" t="n">
        <v>43862</v>
      </c>
      <c r="B118" s="11">
        <f>IF(VLOOKUP(A118,'DB Country PMI'!$A:$W,MATCH($A$1,'DB Country PMI'!$A$1:$W$1,),)=0,#N/A,VLOOKUP(A118,'DB Country PMI'!$A:$W,MATCH($A$1,'DB Country PMI'!$A$1:$W$1,),))</f>
        <v/>
      </c>
      <c r="C118" s="14">
        <f>Table134681134[[#This Row],[PMI]]-B117</f>
        <v/>
      </c>
    </row>
    <row r="119">
      <c r="A119" s="8" t="n">
        <v>43891</v>
      </c>
      <c r="B119" s="11">
        <f>IF(VLOOKUP(A119,'DB Country PMI'!$A:$W,MATCH($A$1,'DB Country PMI'!$A$1:$W$1,),)=0,#N/A,VLOOKUP(A119,'DB Country PMI'!$A:$W,MATCH($A$1,'DB Country PMI'!$A$1:$W$1,),))</f>
        <v/>
      </c>
      <c r="C119" s="14">
        <f>Table134681134[[#This Row],[PMI]]-B118</f>
        <v/>
      </c>
    </row>
    <row r="120">
      <c r="A120" s="8" t="n">
        <v>43922</v>
      </c>
      <c r="B120" s="11">
        <f>IF(VLOOKUP(A120,'DB Country PMI'!$A:$W,MATCH($A$1,'DB Country PMI'!$A$1:$W$1,),)=0,#N/A,VLOOKUP(A120,'DB Country PMI'!$A:$W,MATCH($A$1,'DB Country PMI'!$A$1:$W$1,),))</f>
        <v/>
      </c>
      <c r="C120" s="14">
        <f>Table134681134[[#This Row],[PMI]]-B119</f>
        <v/>
      </c>
    </row>
    <row r="121">
      <c r="A121" s="8" t="n">
        <v>43952</v>
      </c>
      <c r="B121" s="11">
        <f>IF(VLOOKUP(A121,'DB Country PMI'!$A:$W,MATCH($A$1,'DB Country PMI'!$A$1:$W$1,),)=0,#N/A,VLOOKUP(A121,'DB Country PMI'!$A:$W,MATCH($A$1,'DB Country PMI'!$A$1:$W$1,),))</f>
        <v/>
      </c>
      <c r="C121" s="14">
        <f>Table134681134[[#This Row],[PMI]]-B120</f>
        <v/>
      </c>
    </row>
    <row r="122">
      <c r="A122" s="8" t="n">
        <v>43983</v>
      </c>
      <c r="B122" s="11">
        <f>IF(VLOOKUP(A122,'DB Country PMI'!$A:$W,MATCH($A$1,'DB Country PMI'!$A$1:$W$1,),)=0,#N/A,VLOOKUP(A122,'DB Country PMI'!$A:$W,MATCH($A$1,'DB Country PMI'!$A$1:$W$1,),))</f>
        <v/>
      </c>
      <c r="C122" s="14">
        <f>Table134681134[[#This Row],[PMI]]-B121</f>
        <v/>
      </c>
    </row>
    <row r="123">
      <c r="A123" s="8" t="n">
        <v>44013</v>
      </c>
      <c r="B123" s="11">
        <f>IF(VLOOKUP(A123,'DB Country PMI'!$A:$W,MATCH($A$1,'DB Country PMI'!$A$1:$W$1,),)=0,#N/A,VLOOKUP(A123,'DB Country PMI'!$A:$W,MATCH($A$1,'DB Country PMI'!$A$1:$W$1,),))</f>
        <v/>
      </c>
      <c r="C123" s="14">
        <f>Table134681134[[#This Row],[PMI]]-B122</f>
        <v/>
      </c>
    </row>
    <row r="124">
      <c r="A124" s="8" t="n">
        <v>44044</v>
      </c>
      <c r="B124" s="11">
        <f>IF(VLOOKUP(A124,'DB Country PMI'!$A:$W,MATCH($A$1,'DB Country PMI'!$A$1:$W$1,),)=0,#N/A,VLOOKUP(A124,'DB Country PMI'!$A:$W,MATCH($A$1,'DB Country PMI'!$A$1:$W$1,),))</f>
        <v/>
      </c>
      <c r="C124" s="14">
        <f>Table134681134[[#This Row],[PMI]]-B123</f>
        <v/>
      </c>
    </row>
    <row r="125">
      <c r="A125" s="8" t="n">
        <v>44075</v>
      </c>
      <c r="B125" s="11">
        <f>IF(VLOOKUP(A125,'DB Country PMI'!$A:$W,MATCH($A$1,'DB Country PMI'!$A$1:$W$1,),)=0,#N/A,VLOOKUP(A125,'DB Country PMI'!$A:$W,MATCH($A$1,'DB Country PMI'!$A$1:$W$1,),))</f>
        <v/>
      </c>
      <c r="C125" s="14">
        <f>Table134681134[[#This Row],[PMI]]-B124</f>
        <v/>
      </c>
    </row>
    <row r="126">
      <c r="A126" s="8" t="n">
        <v>44105</v>
      </c>
      <c r="B126" s="11">
        <f>IF(VLOOKUP(A126,'DB Country PMI'!$A:$W,MATCH($A$1,'DB Country PMI'!$A$1:$W$1,),)=0,#N/A,VLOOKUP(A126,'DB Country PMI'!$A:$W,MATCH($A$1,'DB Country PMI'!$A$1:$W$1,),))</f>
        <v/>
      </c>
      <c r="C126" s="14">
        <f>Table134681134[[#This Row],[PMI]]-B125</f>
        <v/>
      </c>
    </row>
    <row r="127">
      <c r="A127" s="8" t="n">
        <v>44136</v>
      </c>
      <c r="B127" s="11">
        <f>IF(VLOOKUP(A127,'DB Country PMI'!$A:$W,MATCH($A$1,'DB Country PMI'!$A$1:$W$1,),)=0,#N/A,VLOOKUP(A127,'DB Country PMI'!$A:$W,MATCH($A$1,'DB Country PMI'!$A$1:$W$1,),))</f>
        <v/>
      </c>
      <c r="C127" s="14">
        <f>Table134681134[[#This Row],[PMI]]-B126</f>
        <v/>
      </c>
    </row>
    <row r="128">
      <c r="A128" s="8" t="n">
        <v>44166</v>
      </c>
      <c r="B128" s="11">
        <f>IF(VLOOKUP(A128,'DB Country PMI'!$A:$W,MATCH($A$1,'DB Country PMI'!$A$1:$W$1,),)=0,#N/A,VLOOKUP(A128,'DB Country PMI'!$A:$W,MATCH($A$1,'DB Country PMI'!$A$1:$W$1,),))</f>
        <v/>
      </c>
      <c r="C128" s="14">
        <f>Table134681134[[#This Row],[PMI]]-B127</f>
        <v/>
      </c>
    </row>
    <row r="129">
      <c r="A129" s="8" t="n">
        <v>44197</v>
      </c>
      <c r="B129" s="11">
        <f>IF(VLOOKUP(A129,'DB Country PMI'!$A:$W,MATCH($A$1,'DB Country PMI'!$A$1:$W$1,),)=0,#N/A,VLOOKUP(A129,'DB Country PMI'!$A:$W,MATCH($A$1,'DB Country PMI'!$A$1:$W$1,),))</f>
        <v/>
      </c>
      <c r="C129" s="14">
        <f>Table134681134[[#This Row],[PMI]]-B128</f>
        <v/>
      </c>
    </row>
    <row r="130">
      <c r="A130" s="8" t="n">
        <v>44228</v>
      </c>
      <c r="B130" s="11">
        <f>IF(VLOOKUP(A130,'DB Country PMI'!$A:$W,MATCH($A$1,'DB Country PMI'!$A$1:$W$1,),)=0,#N/A,VLOOKUP(A130,'DB Country PMI'!$A:$W,MATCH($A$1,'DB Country PMI'!$A$1:$W$1,),))</f>
        <v/>
      </c>
      <c r="C130" s="14">
        <f>Table134681134[[#This Row],[PMI]]-B129</f>
        <v/>
      </c>
    </row>
    <row r="131">
      <c r="A131" s="8" t="n">
        <v>44256</v>
      </c>
      <c r="B131" s="11">
        <f>IF(VLOOKUP(A131,'DB Country PMI'!$A:$W,MATCH($A$1,'DB Country PMI'!$A$1:$W$1,),)=0,#N/A,VLOOKUP(A131,'DB Country PMI'!$A:$W,MATCH($A$1,'DB Country PMI'!$A$1:$W$1,),))</f>
        <v/>
      </c>
      <c r="C131" s="14">
        <f>Table134681134[[#This Row],[PMI]]-B130</f>
        <v/>
      </c>
    </row>
    <row r="132">
      <c r="A132" s="8" t="n">
        <v>44287</v>
      </c>
      <c r="B132" s="11">
        <f>IF(VLOOKUP(A132,'DB Country PMI'!$A:$W,MATCH($A$1,'DB Country PMI'!$A$1:$W$1,),)=0,#N/A,VLOOKUP(A132,'DB Country PMI'!$A:$W,MATCH($A$1,'DB Country PMI'!$A$1:$W$1,),))</f>
        <v/>
      </c>
      <c r="C132" s="14">
        <f>Table134681134[[#This Row],[PMI]]-B131</f>
        <v/>
      </c>
    </row>
    <row r="133">
      <c r="A133" s="8" t="n">
        <v>44317</v>
      </c>
      <c r="B133" s="11">
        <f>IF(VLOOKUP(A133,'DB Country PMI'!$A:$W,MATCH($A$1,'DB Country PMI'!$A$1:$W$1,),)=0,#N/A,VLOOKUP(A133,'DB Country PMI'!$A:$W,MATCH($A$1,'DB Country PMI'!$A$1:$W$1,),))</f>
        <v/>
      </c>
      <c r="C133" s="14">
        <f>Table134681134[[#This Row],[PMI]]-B132</f>
        <v/>
      </c>
    </row>
    <row r="134">
      <c r="A134" s="8" t="n">
        <v>44348</v>
      </c>
      <c r="B134" s="11">
        <f>IF(VLOOKUP(A134,'DB Country PMI'!$A:$W,MATCH($A$1,'DB Country PMI'!$A$1:$W$1,),)=0,#N/A,VLOOKUP(A134,'DB Country PMI'!$A:$W,MATCH($A$1,'DB Country PMI'!$A$1:$W$1,),))</f>
        <v/>
      </c>
      <c r="C134" s="14">
        <f>Table134681134[[#This Row],[PMI]]-B133</f>
        <v/>
      </c>
    </row>
    <row r="135">
      <c r="A135" s="8" t="n">
        <v>44378</v>
      </c>
      <c r="B135" s="11">
        <f>IF(VLOOKUP(A135,'DB Country PMI'!$A:$W,MATCH($A$1,'DB Country PMI'!$A$1:$W$1,),)=0,#N/A,VLOOKUP(A135,'DB Country PMI'!$A:$W,MATCH($A$1,'DB Country PMI'!$A$1:$W$1,),))</f>
        <v/>
      </c>
      <c r="C135" s="14">
        <f>Table134681134[[#This Row],[PMI]]-B134</f>
        <v/>
      </c>
    </row>
    <row r="136">
      <c r="A136" s="8" t="n">
        <v>44409</v>
      </c>
      <c r="B136" s="11">
        <f>IF(VLOOKUP(A136,'DB Country PMI'!$A:$W,MATCH($A$1,'DB Country PMI'!$A$1:$W$1,),)=0,#N/A,VLOOKUP(A136,'DB Country PMI'!$A:$W,MATCH($A$1,'DB Country PMI'!$A$1:$W$1,),))</f>
        <v/>
      </c>
      <c r="C136" s="14">
        <f>Table134681134[[#This Row],[PMI]]-B135</f>
        <v/>
      </c>
    </row>
    <row r="137">
      <c r="A137" s="8" t="n">
        <v>44440</v>
      </c>
      <c r="B137" s="11">
        <f>IF(VLOOKUP(A137,'DB Country PMI'!$A:$W,MATCH($A$1,'DB Country PMI'!$A$1:$W$1,),)=0,#N/A,VLOOKUP(A137,'DB Country PMI'!$A:$W,MATCH($A$1,'DB Country PMI'!$A$1:$W$1,),))</f>
        <v/>
      </c>
      <c r="C137" s="14">
        <f>Table134681134[[#This Row],[PMI]]-B136</f>
        <v/>
      </c>
    </row>
    <row r="138">
      <c r="A138" s="8" t="n">
        <v>44470</v>
      </c>
      <c r="B138" s="11">
        <f>IF(VLOOKUP(A138,'DB Country PMI'!$A:$W,MATCH($A$1,'DB Country PMI'!$A$1:$W$1,),)=0,#N/A,VLOOKUP(A138,'DB Country PMI'!$A:$W,MATCH($A$1,'DB Country PMI'!$A$1:$W$1,),))</f>
        <v/>
      </c>
      <c r="C138" s="14">
        <f>Table134681134[[#This Row],[PMI]]-B137</f>
        <v/>
      </c>
    </row>
    <row r="139">
      <c r="A139" s="8" t="n">
        <v>44501</v>
      </c>
      <c r="B139" s="11">
        <f>IF(VLOOKUP(A139,'DB Country PMI'!$A:$W,MATCH($A$1,'DB Country PMI'!$A$1:$W$1,),)=0,#N/A,VLOOKUP(A139,'DB Country PMI'!$A:$W,MATCH($A$1,'DB Country PMI'!$A$1:$W$1,),))</f>
        <v/>
      </c>
      <c r="C139" s="14">
        <f>Table134681134[[#This Row],[PMI]]-B138</f>
        <v/>
      </c>
    </row>
    <row r="140">
      <c r="A140" s="8" t="n">
        <v>44531</v>
      </c>
      <c r="B140" s="11">
        <f>IF(VLOOKUP(A140,'DB Country PMI'!$A:$W,MATCH($A$1,'DB Country PMI'!$A$1:$W$1,),)=0,#N/A,VLOOKUP(A140,'DB Country PMI'!$A:$W,MATCH($A$1,'DB Country PMI'!$A$1:$W$1,),))</f>
        <v/>
      </c>
      <c r="C140" s="14">
        <f>Table134681134[[#This Row],[PMI]]-B139</f>
        <v/>
      </c>
    </row>
    <row r="141">
      <c r="A141" s="8" t="n">
        <v>44562</v>
      </c>
      <c r="B141" s="11">
        <f>IF(VLOOKUP(A141,'DB Country PMI'!$A:$W,MATCH($A$1,'DB Country PMI'!$A$1:$W$1,),)=0,#N/A,VLOOKUP(A141,'DB Country PMI'!$A:$W,MATCH($A$1,'DB Country PMI'!$A$1:$W$1,),))</f>
        <v/>
      </c>
      <c r="C141" s="14">
        <f>Table134681134[[#This Row],[PMI]]-B140</f>
        <v/>
      </c>
    </row>
    <row r="142">
      <c r="A142" s="8" t="n">
        <v>44593</v>
      </c>
      <c r="B142" s="11">
        <f>IF(VLOOKUP(A142,'DB Country PMI'!$A:$W,MATCH($A$1,'DB Country PMI'!$A$1:$W$1,),)=0,#N/A,VLOOKUP(A142,'DB Country PMI'!$A:$W,MATCH($A$1,'DB Country PMI'!$A$1:$W$1,),))</f>
        <v/>
      </c>
      <c r="C142" s="14">
        <f>Table134681134[[#This Row],[PMI]]-B141</f>
        <v/>
      </c>
    </row>
    <row r="143">
      <c r="A143" s="8" t="n">
        <v>44621</v>
      </c>
      <c r="B143" s="11">
        <f>IF(VLOOKUP(A143,'DB Country PMI'!$A:$W,MATCH($A$1,'DB Country PMI'!$A$1:$W$1,),)=0,#N/A,VLOOKUP(A143,'DB Country PMI'!$A:$W,MATCH($A$1,'DB Country PMI'!$A$1:$W$1,),))</f>
        <v/>
      </c>
      <c r="C143" s="14">
        <f>Table134681134[[#This Row],[PMI]]-B142</f>
        <v/>
      </c>
    </row>
  </sheetData>
  <conditionalFormatting sqref="C7:C143">
    <cfRule type="colorScale" priority="205">
      <colorScale>
        <cfvo type="min"/>
        <cfvo type="percentile" val="50"/>
        <cfvo type="max"/>
        <color rgb="FFF8696B"/>
        <color rgb="FFFCFCFF"/>
        <color rgb="FF5A8AC6"/>
      </colorScale>
    </cfRule>
  </conditionalFormatting>
  <conditionalFormatting sqref="B6:B143">
    <cfRule type="colorScale" priority="206">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outlinePr summaryBelow="1" summaryRight="1"/>
    <pageSetUpPr/>
  </sheetPr>
  <dimension ref="A1:J169"/>
  <sheetViews>
    <sheetView zoomScale="160" zoomScaleNormal="160" workbookViewId="0">
      <pane ySplit="5" topLeftCell="A151" activePane="bottomLeft" state="frozen"/>
      <selection pane="bottomLeft" activeCell="P162" sqref="P162"/>
    </sheetView>
  </sheetViews>
  <sheetFormatPr baseColWidth="10" defaultColWidth="9.1640625" defaultRowHeight="15"/>
  <cols>
    <col width="13.5" customWidth="1" style="60" min="1" max="1"/>
    <col width="11.33203125" customWidth="1" style="60" min="2" max="2"/>
    <col width="9.1640625" customWidth="1" style="60" min="3" max="7"/>
    <col width="9.1640625" customWidth="1" style="60" min="8" max="16384"/>
  </cols>
  <sheetData>
    <row r="1">
      <c r="A1" s="60" t="inlineStr">
        <is>
          <t>France</t>
        </is>
      </c>
      <c r="J1" s="60" t="inlineStr">
        <is>
          <t xml:space="preserve"> Services PMI</t>
        </is>
      </c>
    </row>
    <row r="2">
      <c r="J2" s="60" t="inlineStr">
        <is>
          <t>France Services PMI</t>
        </is>
      </c>
    </row>
    <row r="4" ht="16" customHeight="1" s="38" thickBot="1"/>
    <row r="5" ht="16" customHeight="1" s="38" thickBot="1">
      <c r="A5" s="12" t="inlineStr">
        <is>
          <t>Date</t>
        </is>
      </c>
      <c r="B5" s="13" t="inlineStr">
        <is>
          <t>PMI</t>
        </is>
      </c>
      <c r="C5" s="13" t="inlineStr">
        <is>
          <t>mom</t>
        </is>
      </c>
    </row>
    <row r="6">
      <c r="A6" s="10" t="n">
        <v>39661</v>
      </c>
      <c r="B6" s="11">
        <f>IF(VLOOKUP(A6,'DB Country PMI'!$A:$W,MATCH($A$1,'DB Country PMI'!$A$1:$W$1,),)=0,#N/A,VLOOKUP(A6,'DB Country PMI'!$A:$W,MATCH($A$1,'DB Country PMI'!$A$1:$W$1,),))</f>
        <v/>
      </c>
      <c r="C6" s="11" t="n"/>
    </row>
    <row r="7">
      <c r="A7" s="8" t="n">
        <v>39692</v>
      </c>
      <c r="B7" s="11">
        <f>IF(VLOOKUP(A7,'DB Country PMI'!$A:$W,MATCH($A$1,'DB Country PMI'!$A$1:$W$1,),)=0,#N/A,VLOOKUP(A7,'DB Country PMI'!$A:$W,MATCH($A$1,'DB Country PMI'!$A$1:$W$1,),))</f>
        <v/>
      </c>
      <c r="C7" s="14">
        <f>Table1346811345[[#This Row],[PMI]]-B6</f>
        <v/>
      </c>
    </row>
    <row r="8">
      <c r="A8" s="8" t="n">
        <v>39722</v>
      </c>
      <c r="B8" s="11">
        <f>IF(VLOOKUP(A8,'DB Country PMI'!$A:$W,MATCH($A$1,'DB Country PMI'!$A$1:$W$1,),)=0,#N/A,VLOOKUP(A8,'DB Country PMI'!$A:$W,MATCH($A$1,'DB Country PMI'!$A$1:$W$1,),))</f>
        <v/>
      </c>
      <c r="C8" s="14">
        <f>Table1346811345[[#This Row],[PMI]]-B7</f>
        <v/>
      </c>
    </row>
    <row r="9">
      <c r="A9" s="8" t="n">
        <v>39753</v>
      </c>
      <c r="B9" s="11">
        <f>IF(VLOOKUP(A9,'DB Country PMI'!$A:$W,MATCH($A$1,'DB Country PMI'!$A$1:$W$1,),)=0,#N/A,VLOOKUP(A9,'DB Country PMI'!$A:$W,MATCH($A$1,'DB Country PMI'!$A$1:$W$1,),))</f>
        <v/>
      </c>
      <c r="C9" s="14">
        <f>Table1346811345[[#This Row],[PMI]]-B8</f>
        <v/>
      </c>
    </row>
    <row r="10">
      <c r="A10" s="8" t="n">
        <v>39783</v>
      </c>
      <c r="B10" s="11">
        <f>IF(VLOOKUP(A10,'DB Country PMI'!$A:$W,MATCH($A$1,'DB Country PMI'!$A$1:$W$1,),)=0,#N/A,VLOOKUP(A10,'DB Country PMI'!$A:$W,MATCH($A$1,'DB Country PMI'!$A$1:$W$1,),))</f>
        <v/>
      </c>
      <c r="C10" s="14">
        <f>Table1346811345[[#This Row],[PMI]]-B9</f>
        <v/>
      </c>
    </row>
    <row r="11">
      <c r="A11" s="8" t="n">
        <v>39814</v>
      </c>
      <c r="B11" s="11">
        <f>IF(VLOOKUP(A11,'DB Country PMI'!$A:$W,MATCH($A$1,'DB Country PMI'!$A$1:$W$1,),)=0,#N/A,VLOOKUP(A11,'DB Country PMI'!$A:$W,MATCH($A$1,'DB Country PMI'!$A$1:$W$1,),))</f>
        <v/>
      </c>
      <c r="C11" s="14">
        <f>Table1346811345[[#This Row],[PMI]]-B10</f>
        <v/>
      </c>
    </row>
    <row r="12">
      <c r="A12" s="8" t="n">
        <v>39845</v>
      </c>
      <c r="B12" s="11">
        <f>IF(VLOOKUP(A12,'DB Country PMI'!$A:$W,MATCH($A$1,'DB Country PMI'!$A$1:$W$1,),)=0,#N/A,VLOOKUP(A12,'DB Country PMI'!$A:$W,MATCH($A$1,'DB Country PMI'!$A$1:$W$1,),))</f>
        <v/>
      </c>
      <c r="C12" s="14">
        <f>Table1346811345[[#This Row],[PMI]]-B11</f>
        <v/>
      </c>
    </row>
    <row r="13">
      <c r="A13" s="8" t="n">
        <v>39873</v>
      </c>
      <c r="B13" s="11">
        <f>IF(VLOOKUP(A13,'DB Country PMI'!$A:$W,MATCH($A$1,'DB Country PMI'!$A$1:$W$1,),)=0,#N/A,VLOOKUP(A13,'DB Country PMI'!$A:$W,MATCH($A$1,'DB Country PMI'!$A$1:$W$1,),))</f>
        <v/>
      </c>
      <c r="C13" s="14">
        <f>Table1346811345[[#This Row],[PMI]]-B12</f>
        <v/>
      </c>
    </row>
    <row r="14">
      <c r="A14" s="8" t="n">
        <v>39904</v>
      </c>
      <c r="B14" s="11">
        <f>IF(VLOOKUP(A14,'DB Country PMI'!$A:$W,MATCH($A$1,'DB Country PMI'!$A$1:$W$1,),)=0,#N/A,VLOOKUP(A14,'DB Country PMI'!$A:$W,MATCH($A$1,'DB Country PMI'!$A$1:$W$1,),))</f>
        <v/>
      </c>
      <c r="C14" s="14">
        <f>Table1346811345[[#This Row],[PMI]]-B13</f>
        <v/>
      </c>
    </row>
    <row r="15">
      <c r="A15" s="8" t="n">
        <v>39934</v>
      </c>
      <c r="B15" s="11">
        <f>IF(VLOOKUP(A15,'DB Country PMI'!$A:$W,MATCH($A$1,'DB Country PMI'!$A$1:$W$1,),)=0,#N/A,VLOOKUP(A15,'DB Country PMI'!$A:$W,MATCH($A$1,'DB Country PMI'!$A$1:$W$1,),))</f>
        <v/>
      </c>
      <c r="C15" s="14">
        <f>Table1346811345[[#This Row],[PMI]]-B14</f>
        <v/>
      </c>
    </row>
    <row r="16">
      <c r="A16" s="8" t="n">
        <v>39965</v>
      </c>
      <c r="B16" s="11">
        <f>IF(VLOOKUP(A16,'DB Country PMI'!$A:$W,MATCH($A$1,'DB Country PMI'!$A$1:$W$1,),)=0,#N/A,VLOOKUP(A16,'DB Country PMI'!$A:$W,MATCH($A$1,'DB Country PMI'!$A$1:$W$1,),))</f>
        <v/>
      </c>
      <c r="C16" s="14">
        <f>Table1346811345[[#This Row],[PMI]]-B15</f>
        <v/>
      </c>
    </row>
    <row r="17">
      <c r="A17" s="8" t="n">
        <v>39995</v>
      </c>
      <c r="B17" s="11">
        <f>IF(VLOOKUP(A17,'DB Country PMI'!$A:$W,MATCH($A$1,'DB Country PMI'!$A$1:$W$1,),)=0,#N/A,VLOOKUP(A17,'DB Country PMI'!$A:$W,MATCH($A$1,'DB Country PMI'!$A$1:$W$1,),))</f>
        <v/>
      </c>
      <c r="C17" s="14">
        <f>Table1346811345[[#This Row],[PMI]]-B16</f>
        <v/>
      </c>
    </row>
    <row r="18">
      <c r="A18" s="8" t="n">
        <v>40026</v>
      </c>
      <c r="B18" s="11">
        <f>IF(VLOOKUP(A18,'DB Country PMI'!$A:$W,MATCH($A$1,'DB Country PMI'!$A$1:$W$1,),)=0,#N/A,VLOOKUP(A18,'DB Country PMI'!$A:$W,MATCH($A$1,'DB Country PMI'!$A$1:$W$1,),))</f>
        <v/>
      </c>
      <c r="C18" s="14">
        <f>Table1346811345[[#This Row],[PMI]]-B17</f>
        <v/>
      </c>
    </row>
    <row r="19">
      <c r="A19" s="8" t="n">
        <v>40057</v>
      </c>
      <c r="B19" s="11">
        <f>IF(VLOOKUP(A19,'DB Country PMI'!$A:$W,MATCH($A$1,'DB Country PMI'!$A$1:$W$1,),)=0,#N/A,VLOOKUP(A19,'DB Country PMI'!$A:$W,MATCH($A$1,'DB Country PMI'!$A$1:$W$1,),))</f>
        <v/>
      </c>
      <c r="C19" s="14">
        <f>Table1346811345[[#This Row],[PMI]]-B18</f>
        <v/>
      </c>
    </row>
    <row r="20">
      <c r="A20" s="8" t="n">
        <v>40087</v>
      </c>
      <c r="B20" s="11">
        <f>IF(VLOOKUP(A20,'DB Country PMI'!$A:$W,MATCH($A$1,'DB Country PMI'!$A$1:$W$1,),)=0,#N/A,VLOOKUP(A20,'DB Country PMI'!$A:$W,MATCH($A$1,'DB Country PMI'!$A$1:$W$1,),))</f>
        <v/>
      </c>
      <c r="C20" s="14">
        <f>Table1346811345[[#This Row],[PMI]]-B19</f>
        <v/>
      </c>
    </row>
    <row r="21">
      <c r="A21" s="8" t="n">
        <v>40118</v>
      </c>
      <c r="B21" s="11">
        <f>IF(VLOOKUP(A21,'DB Country PMI'!$A:$W,MATCH($A$1,'DB Country PMI'!$A$1:$W$1,),)=0,#N/A,VLOOKUP(A21,'DB Country PMI'!$A:$W,MATCH($A$1,'DB Country PMI'!$A$1:$W$1,),))</f>
        <v/>
      </c>
      <c r="C21" s="14">
        <f>Table1346811345[[#This Row],[PMI]]-B20</f>
        <v/>
      </c>
    </row>
    <row r="22">
      <c r="A22" s="8" t="n">
        <v>40148</v>
      </c>
      <c r="B22" s="11">
        <f>IF(VLOOKUP(A22,'DB Country PMI'!$A:$W,MATCH($A$1,'DB Country PMI'!$A$1:$W$1,),)=0,#N/A,VLOOKUP(A22,'DB Country PMI'!$A:$W,MATCH($A$1,'DB Country PMI'!$A$1:$W$1,),))</f>
        <v/>
      </c>
      <c r="C22" s="14">
        <f>Table1346811345[[#This Row],[PMI]]-B21</f>
        <v/>
      </c>
    </row>
    <row r="23">
      <c r="A23" s="8" t="n">
        <v>40179</v>
      </c>
      <c r="B23" s="11">
        <f>IF(VLOOKUP(A23,'DB Country PMI'!$A:$W,MATCH($A$1,'DB Country PMI'!$A$1:$W$1,),)=0,#N/A,VLOOKUP(A23,'DB Country PMI'!$A:$W,MATCH($A$1,'DB Country PMI'!$A$1:$W$1,),))</f>
        <v/>
      </c>
      <c r="C23" s="14">
        <f>Table1346811345[[#This Row],[PMI]]-B22</f>
        <v/>
      </c>
    </row>
    <row r="24">
      <c r="A24" s="8" t="n">
        <v>40210</v>
      </c>
      <c r="B24" s="11">
        <f>IF(VLOOKUP(A24,'DB Country PMI'!$A:$W,MATCH($A$1,'DB Country PMI'!$A$1:$W$1,),)=0,#N/A,VLOOKUP(A24,'DB Country PMI'!$A:$W,MATCH($A$1,'DB Country PMI'!$A$1:$W$1,),))</f>
        <v/>
      </c>
      <c r="C24" s="14">
        <f>Table1346811345[[#This Row],[PMI]]-B23</f>
        <v/>
      </c>
    </row>
    <row r="25">
      <c r="A25" s="8" t="n">
        <v>40238</v>
      </c>
      <c r="B25" s="11">
        <f>IF(VLOOKUP(A25,'DB Country PMI'!$A:$W,MATCH($A$1,'DB Country PMI'!$A$1:$W$1,),)=0,#N/A,VLOOKUP(A25,'DB Country PMI'!$A:$W,MATCH($A$1,'DB Country PMI'!$A$1:$W$1,),))</f>
        <v/>
      </c>
      <c r="C25" s="14">
        <f>Table1346811345[[#This Row],[PMI]]-B24</f>
        <v/>
      </c>
    </row>
    <row r="26">
      <c r="A26" s="8" t="n">
        <v>40269</v>
      </c>
      <c r="B26" s="11">
        <f>IF(VLOOKUP(A26,'DB Country PMI'!$A:$W,MATCH($A$1,'DB Country PMI'!$A$1:$W$1,),)=0,#N/A,VLOOKUP(A26,'DB Country PMI'!$A:$W,MATCH($A$1,'DB Country PMI'!$A$1:$W$1,),))</f>
        <v/>
      </c>
      <c r="C26" s="14">
        <f>Table1346811345[[#This Row],[PMI]]-B25</f>
        <v/>
      </c>
    </row>
    <row r="27">
      <c r="A27" s="8" t="n">
        <v>40299</v>
      </c>
      <c r="B27" s="11">
        <f>IF(VLOOKUP(A27,'DB Country PMI'!$A:$W,MATCH($A$1,'DB Country PMI'!$A$1:$W$1,),)=0,#N/A,VLOOKUP(A27,'DB Country PMI'!$A:$W,MATCH($A$1,'DB Country PMI'!$A$1:$W$1,),))</f>
        <v/>
      </c>
      <c r="C27" s="14">
        <f>Table1346811345[[#This Row],[PMI]]-B26</f>
        <v/>
      </c>
    </row>
    <row r="28">
      <c r="A28" s="8" t="n">
        <v>40330</v>
      </c>
      <c r="B28" s="11">
        <f>IF(VLOOKUP(A28,'DB Country PMI'!$A:$W,MATCH($A$1,'DB Country PMI'!$A$1:$W$1,),)=0,#N/A,VLOOKUP(A28,'DB Country PMI'!$A:$W,MATCH($A$1,'DB Country PMI'!$A$1:$W$1,),))</f>
        <v/>
      </c>
      <c r="C28" s="14">
        <f>Table1346811345[[#This Row],[PMI]]-B27</f>
        <v/>
      </c>
    </row>
    <row r="29">
      <c r="A29" s="8" t="n">
        <v>40360</v>
      </c>
      <c r="B29" s="11">
        <f>IF(VLOOKUP(A29,'DB Country PMI'!$A:$W,MATCH($A$1,'DB Country PMI'!$A$1:$W$1,),)=0,#N/A,VLOOKUP(A29,'DB Country PMI'!$A:$W,MATCH($A$1,'DB Country PMI'!$A$1:$W$1,),))</f>
        <v/>
      </c>
      <c r="C29" s="14">
        <f>Table1346811345[[#This Row],[PMI]]-B28</f>
        <v/>
      </c>
    </row>
    <row r="30">
      <c r="A30" s="8" t="n">
        <v>40391</v>
      </c>
      <c r="B30" s="11">
        <f>IF(VLOOKUP(A30,'DB Country PMI'!$A:$W,MATCH($A$1,'DB Country PMI'!$A$1:$W$1,),)=0,#N/A,VLOOKUP(A30,'DB Country PMI'!$A:$W,MATCH($A$1,'DB Country PMI'!$A$1:$W$1,),))</f>
        <v/>
      </c>
      <c r="C30" s="14">
        <f>Table1346811345[[#This Row],[PMI]]-B29</f>
        <v/>
      </c>
    </row>
    <row r="31">
      <c r="A31" s="8" t="n">
        <v>40422</v>
      </c>
      <c r="B31" s="11">
        <f>IF(VLOOKUP(A31,'DB Country PMI'!$A:$W,MATCH($A$1,'DB Country PMI'!$A$1:$W$1,),)=0,#N/A,VLOOKUP(A31,'DB Country PMI'!$A:$W,MATCH($A$1,'DB Country PMI'!$A$1:$W$1,),))</f>
        <v/>
      </c>
      <c r="C31" s="14">
        <f>Table1346811345[[#This Row],[PMI]]-B30</f>
        <v/>
      </c>
    </row>
    <row r="32">
      <c r="A32" s="8" t="n">
        <v>40452</v>
      </c>
      <c r="B32" s="11">
        <f>IF(VLOOKUP(A32,'DB Country PMI'!$A:$W,MATCH($A$1,'DB Country PMI'!$A$1:$W$1,),)=0,#N/A,VLOOKUP(A32,'DB Country PMI'!$A:$W,MATCH($A$1,'DB Country PMI'!$A$1:$W$1,),))</f>
        <v/>
      </c>
      <c r="C32" s="14">
        <f>Table1346811345[[#This Row],[PMI]]-B31</f>
        <v/>
      </c>
    </row>
    <row r="33">
      <c r="A33" s="8" t="n">
        <v>40483</v>
      </c>
      <c r="B33" s="11">
        <f>IF(VLOOKUP(A33,'DB Country PMI'!$A:$W,MATCH($A$1,'DB Country PMI'!$A$1:$W$1,),)=0,#N/A,VLOOKUP(A33,'DB Country PMI'!$A:$W,MATCH($A$1,'DB Country PMI'!$A$1:$W$1,),))</f>
        <v/>
      </c>
      <c r="C33" s="14">
        <f>Table1346811345[[#This Row],[PMI]]-B32</f>
        <v/>
      </c>
    </row>
    <row r="34">
      <c r="A34" s="8" t="n">
        <v>40513</v>
      </c>
      <c r="B34" s="11">
        <f>IF(VLOOKUP(A34,'DB Country PMI'!$A:$W,MATCH($A$1,'DB Country PMI'!$A$1:$W$1,),)=0,#N/A,VLOOKUP(A34,'DB Country PMI'!$A:$W,MATCH($A$1,'DB Country PMI'!$A$1:$W$1,),))</f>
        <v/>
      </c>
      <c r="C34" s="14">
        <f>Table1346811345[[#This Row],[PMI]]-B33</f>
        <v/>
      </c>
    </row>
    <row r="35">
      <c r="A35" s="8" t="n">
        <v>40544</v>
      </c>
      <c r="B35" s="11">
        <f>IF(VLOOKUP(A35,'DB Country PMI'!$A:$W,MATCH($A$1,'DB Country PMI'!$A$1:$W$1,),)=0,#N/A,VLOOKUP(A35,'DB Country PMI'!$A:$W,MATCH($A$1,'DB Country PMI'!$A$1:$W$1,),))</f>
        <v/>
      </c>
      <c r="C35" s="14">
        <f>Table1346811345[[#This Row],[PMI]]-B34</f>
        <v/>
      </c>
    </row>
    <row r="36">
      <c r="A36" s="8" t="n">
        <v>40575</v>
      </c>
      <c r="B36" s="11">
        <f>IF(VLOOKUP(A36,'DB Country PMI'!$A:$W,MATCH($A$1,'DB Country PMI'!$A$1:$W$1,),)=0,#N/A,VLOOKUP(A36,'DB Country PMI'!$A:$W,MATCH($A$1,'DB Country PMI'!$A$1:$W$1,),))</f>
        <v/>
      </c>
      <c r="C36" s="14">
        <f>Table1346811345[[#This Row],[PMI]]-B35</f>
        <v/>
      </c>
    </row>
    <row r="37">
      <c r="A37" s="8" t="n">
        <v>40603</v>
      </c>
      <c r="B37" s="11">
        <f>IF(VLOOKUP(A37,'DB Country PMI'!$A:$W,MATCH($A$1,'DB Country PMI'!$A$1:$W$1,),)=0,#N/A,VLOOKUP(A37,'DB Country PMI'!$A:$W,MATCH($A$1,'DB Country PMI'!$A$1:$W$1,),))</f>
        <v/>
      </c>
      <c r="C37" s="14">
        <f>Table1346811345[[#This Row],[PMI]]-B36</f>
        <v/>
      </c>
    </row>
    <row r="38">
      <c r="A38" s="8" t="n">
        <v>40634</v>
      </c>
      <c r="B38" s="11">
        <f>IF(VLOOKUP(A38,'DB Country PMI'!$A:$W,MATCH($A$1,'DB Country PMI'!$A$1:$W$1,),)=0,#N/A,VLOOKUP(A38,'DB Country PMI'!$A:$W,MATCH($A$1,'DB Country PMI'!$A$1:$W$1,),))</f>
        <v/>
      </c>
      <c r="C38" s="14">
        <f>Table1346811345[[#This Row],[PMI]]-B37</f>
        <v/>
      </c>
    </row>
    <row r="39">
      <c r="A39" s="8" t="n">
        <v>40664</v>
      </c>
      <c r="B39" s="11">
        <f>IF(VLOOKUP(A39,'DB Country PMI'!$A:$W,MATCH($A$1,'DB Country PMI'!$A$1:$W$1,),)=0,#N/A,VLOOKUP(A39,'DB Country PMI'!$A:$W,MATCH($A$1,'DB Country PMI'!$A$1:$W$1,),))</f>
        <v/>
      </c>
      <c r="C39" s="14">
        <f>Table1346811345[[#This Row],[PMI]]-B38</f>
        <v/>
      </c>
    </row>
    <row r="40">
      <c r="A40" s="8" t="n">
        <v>40695</v>
      </c>
      <c r="B40" s="11">
        <f>IF(VLOOKUP(A40,'DB Country PMI'!$A:$W,MATCH($A$1,'DB Country PMI'!$A$1:$W$1,),)=0,#N/A,VLOOKUP(A40,'DB Country PMI'!$A:$W,MATCH($A$1,'DB Country PMI'!$A$1:$W$1,),))</f>
        <v/>
      </c>
      <c r="C40" s="14">
        <f>Table1346811345[[#This Row],[PMI]]-B39</f>
        <v/>
      </c>
    </row>
    <row r="41">
      <c r="A41" s="8" t="n">
        <v>40725</v>
      </c>
      <c r="B41" s="11">
        <f>IF(VLOOKUP(A41,'DB Country PMI'!$A:$W,MATCH($A$1,'DB Country PMI'!$A$1:$W$1,),)=0,#N/A,VLOOKUP(A41,'DB Country PMI'!$A:$W,MATCH($A$1,'DB Country PMI'!$A$1:$W$1,),))</f>
        <v/>
      </c>
      <c r="C41" s="14">
        <f>Table1346811345[[#This Row],[PMI]]-B40</f>
        <v/>
      </c>
    </row>
    <row r="42">
      <c r="A42" s="8" t="n">
        <v>40756</v>
      </c>
      <c r="B42" s="11">
        <f>IF(VLOOKUP(A42,'DB Country PMI'!$A:$W,MATCH($A$1,'DB Country PMI'!$A$1:$W$1,),)=0,#N/A,VLOOKUP(A42,'DB Country PMI'!$A:$W,MATCH($A$1,'DB Country PMI'!$A$1:$W$1,),))</f>
        <v/>
      </c>
      <c r="C42" s="14">
        <f>Table1346811345[[#This Row],[PMI]]-B41</f>
        <v/>
      </c>
    </row>
    <row r="43">
      <c r="A43" s="8" t="n">
        <v>40787</v>
      </c>
      <c r="B43" s="11">
        <f>IF(VLOOKUP(A43,'DB Country PMI'!$A:$W,MATCH($A$1,'DB Country PMI'!$A$1:$W$1,),)=0,#N/A,VLOOKUP(A43,'DB Country PMI'!$A:$W,MATCH($A$1,'DB Country PMI'!$A$1:$W$1,),))</f>
        <v/>
      </c>
      <c r="C43" s="14">
        <f>Table1346811345[[#This Row],[PMI]]-B42</f>
        <v/>
      </c>
    </row>
    <row r="44">
      <c r="A44" s="8" t="n">
        <v>40817</v>
      </c>
      <c r="B44" s="11">
        <f>IF(VLOOKUP(A44,'DB Country PMI'!$A:$W,MATCH($A$1,'DB Country PMI'!$A$1:$W$1,),)=0,#N/A,VLOOKUP(A44,'DB Country PMI'!$A:$W,MATCH($A$1,'DB Country PMI'!$A$1:$W$1,),))</f>
        <v/>
      </c>
      <c r="C44" s="14">
        <f>Table1346811345[[#This Row],[PMI]]-B43</f>
        <v/>
      </c>
    </row>
    <row r="45">
      <c r="A45" s="8" t="n">
        <v>40848</v>
      </c>
      <c r="B45" s="11">
        <f>IF(VLOOKUP(A45,'DB Country PMI'!$A:$W,MATCH($A$1,'DB Country PMI'!$A$1:$W$1,),)=0,#N/A,VLOOKUP(A45,'DB Country PMI'!$A:$W,MATCH($A$1,'DB Country PMI'!$A$1:$W$1,),))</f>
        <v/>
      </c>
      <c r="C45" s="14">
        <f>Table1346811345[[#This Row],[PMI]]-B44</f>
        <v/>
      </c>
    </row>
    <row r="46">
      <c r="A46" s="8" t="n">
        <v>40878</v>
      </c>
      <c r="B46" s="11">
        <f>IF(VLOOKUP(A46,'DB Country PMI'!$A:$W,MATCH($A$1,'DB Country PMI'!$A$1:$W$1,),)=0,#N/A,VLOOKUP(A46,'DB Country PMI'!$A:$W,MATCH($A$1,'DB Country PMI'!$A$1:$W$1,),))</f>
        <v/>
      </c>
      <c r="C46" s="14">
        <f>Table1346811345[[#This Row],[PMI]]-B45</f>
        <v/>
      </c>
    </row>
    <row r="47">
      <c r="A47" s="8" t="n">
        <v>40909</v>
      </c>
      <c r="B47" s="11">
        <f>IF(VLOOKUP(A47,'DB Country PMI'!$A:$W,MATCH($A$1,'DB Country PMI'!$A$1:$W$1,),)=0,#N/A,VLOOKUP(A47,'DB Country PMI'!$A:$W,MATCH($A$1,'DB Country PMI'!$A$1:$W$1,),))</f>
        <v/>
      </c>
      <c r="C47" s="14">
        <f>Table1346811345[[#This Row],[PMI]]-B46</f>
        <v/>
      </c>
    </row>
    <row r="48">
      <c r="A48" s="8" t="n">
        <v>40940</v>
      </c>
      <c r="B48" s="11">
        <f>IF(VLOOKUP(A48,'DB Country PMI'!$A:$W,MATCH($A$1,'DB Country PMI'!$A$1:$W$1,),)=0,#N/A,VLOOKUP(A48,'DB Country PMI'!$A:$W,MATCH($A$1,'DB Country PMI'!$A$1:$W$1,),))</f>
        <v/>
      </c>
      <c r="C48" s="14">
        <f>Table1346811345[[#This Row],[PMI]]-B47</f>
        <v/>
      </c>
    </row>
    <row r="49">
      <c r="A49" s="8" t="n">
        <v>40969</v>
      </c>
      <c r="B49" s="11">
        <f>IF(VLOOKUP(A49,'DB Country PMI'!$A:$W,MATCH($A$1,'DB Country PMI'!$A$1:$W$1,),)=0,#N/A,VLOOKUP(A49,'DB Country PMI'!$A:$W,MATCH($A$1,'DB Country PMI'!$A$1:$W$1,),))</f>
        <v/>
      </c>
      <c r="C49" s="14">
        <f>Table1346811345[[#This Row],[PMI]]-B48</f>
        <v/>
      </c>
    </row>
    <row r="50">
      <c r="A50" s="8" t="n">
        <v>41000</v>
      </c>
      <c r="B50" s="11">
        <f>IF(VLOOKUP(A50,'DB Country PMI'!$A:$W,MATCH($A$1,'DB Country PMI'!$A$1:$W$1,),)=0,#N/A,VLOOKUP(A50,'DB Country PMI'!$A:$W,MATCH($A$1,'DB Country PMI'!$A$1:$W$1,),))</f>
        <v/>
      </c>
      <c r="C50" s="14">
        <f>Table1346811345[[#This Row],[PMI]]-B49</f>
        <v/>
      </c>
    </row>
    <row r="51">
      <c r="A51" s="8" t="n">
        <v>41030</v>
      </c>
      <c r="B51" s="11">
        <f>IF(VLOOKUP(A51,'DB Country PMI'!$A:$W,MATCH($A$1,'DB Country PMI'!$A$1:$W$1,),)=0,#N/A,VLOOKUP(A51,'DB Country PMI'!$A:$W,MATCH($A$1,'DB Country PMI'!$A$1:$W$1,),))</f>
        <v/>
      </c>
      <c r="C51" s="14">
        <f>Table1346811345[[#This Row],[PMI]]-B50</f>
        <v/>
      </c>
    </row>
    <row r="52">
      <c r="A52" s="8" t="n">
        <v>41061</v>
      </c>
      <c r="B52" s="11">
        <f>IF(VLOOKUP(A52,'DB Country PMI'!$A:$W,MATCH($A$1,'DB Country PMI'!$A$1:$W$1,),)=0,#N/A,VLOOKUP(A52,'DB Country PMI'!$A:$W,MATCH($A$1,'DB Country PMI'!$A$1:$W$1,),))</f>
        <v/>
      </c>
      <c r="C52" s="14">
        <f>Table1346811345[[#This Row],[PMI]]-B51</f>
        <v/>
      </c>
    </row>
    <row r="53">
      <c r="A53" s="8" t="n">
        <v>41091</v>
      </c>
      <c r="B53" s="11">
        <f>IF(VLOOKUP(A53,'DB Country PMI'!$A:$W,MATCH($A$1,'DB Country PMI'!$A$1:$W$1,),)=0,#N/A,VLOOKUP(A53,'DB Country PMI'!$A:$W,MATCH($A$1,'DB Country PMI'!$A$1:$W$1,),))</f>
        <v/>
      </c>
      <c r="C53" s="14">
        <f>Table1346811345[[#This Row],[PMI]]-B52</f>
        <v/>
      </c>
    </row>
    <row r="54">
      <c r="A54" s="8" t="n">
        <v>41122</v>
      </c>
      <c r="B54" s="11">
        <f>IF(VLOOKUP(A54,'DB Country PMI'!$A:$W,MATCH($A$1,'DB Country PMI'!$A$1:$W$1,),)=0,#N/A,VLOOKUP(A54,'DB Country PMI'!$A:$W,MATCH($A$1,'DB Country PMI'!$A$1:$W$1,),))</f>
        <v/>
      </c>
      <c r="C54" s="14">
        <f>Table1346811345[[#This Row],[PMI]]-B53</f>
        <v/>
      </c>
    </row>
    <row r="55">
      <c r="A55" s="8" t="n">
        <v>41153</v>
      </c>
      <c r="B55" s="11">
        <f>IF(VLOOKUP(A55,'DB Country PMI'!$A:$W,MATCH($A$1,'DB Country PMI'!$A$1:$W$1,),)=0,#N/A,VLOOKUP(A55,'DB Country PMI'!$A:$W,MATCH($A$1,'DB Country PMI'!$A$1:$W$1,),))</f>
        <v/>
      </c>
      <c r="C55" s="14">
        <f>Table1346811345[[#This Row],[PMI]]-B54</f>
        <v/>
      </c>
    </row>
    <row r="56">
      <c r="A56" s="8" t="n">
        <v>41183</v>
      </c>
      <c r="B56" s="11">
        <f>IF(VLOOKUP(A56,'DB Country PMI'!$A:$W,MATCH($A$1,'DB Country PMI'!$A$1:$W$1,),)=0,#N/A,VLOOKUP(A56,'DB Country PMI'!$A:$W,MATCH($A$1,'DB Country PMI'!$A$1:$W$1,),))</f>
        <v/>
      </c>
      <c r="C56" s="14">
        <f>Table1346811345[[#This Row],[PMI]]-B55</f>
        <v/>
      </c>
    </row>
    <row r="57">
      <c r="A57" s="8" t="n">
        <v>41214</v>
      </c>
      <c r="B57" s="11">
        <f>IF(VLOOKUP(A57,'DB Country PMI'!$A:$W,MATCH($A$1,'DB Country PMI'!$A$1:$W$1,),)=0,#N/A,VLOOKUP(A57,'DB Country PMI'!$A:$W,MATCH($A$1,'DB Country PMI'!$A$1:$W$1,),))</f>
        <v/>
      </c>
      <c r="C57" s="14">
        <f>Table1346811345[[#This Row],[PMI]]-B56</f>
        <v/>
      </c>
    </row>
    <row r="58">
      <c r="A58" s="8" t="n">
        <v>41244</v>
      </c>
      <c r="B58" s="11">
        <f>IF(VLOOKUP(A58,'DB Country PMI'!$A:$W,MATCH($A$1,'DB Country PMI'!$A$1:$W$1,),)=0,#N/A,VLOOKUP(A58,'DB Country PMI'!$A:$W,MATCH($A$1,'DB Country PMI'!$A$1:$W$1,),))</f>
        <v/>
      </c>
      <c r="C58" s="14">
        <f>Table1346811345[[#This Row],[PMI]]-B57</f>
        <v/>
      </c>
    </row>
    <row r="59">
      <c r="A59" s="8" t="n">
        <v>41275</v>
      </c>
      <c r="B59" s="11">
        <f>IF(VLOOKUP(A59,'DB Country PMI'!$A:$W,MATCH($A$1,'DB Country PMI'!$A$1:$W$1,),)=0,#N/A,VLOOKUP(A59,'DB Country PMI'!$A:$W,MATCH($A$1,'DB Country PMI'!$A$1:$W$1,),))</f>
        <v/>
      </c>
      <c r="C59" s="14">
        <f>Table1346811345[[#This Row],[PMI]]-B58</f>
        <v/>
      </c>
    </row>
    <row r="60">
      <c r="A60" s="8" t="n">
        <v>41306</v>
      </c>
      <c r="B60" s="11">
        <f>IF(VLOOKUP(A60,'DB Country PMI'!$A:$W,MATCH($A$1,'DB Country PMI'!$A$1:$W$1,),)=0,#N/A,VLOOKUP(A60,'DB Country PMI'!$A:$W,MATCH($A$1,'DB Country PMI'!$A$1:$W$1,),))</f>
        <v/>
      </c>
      <c r="C60" s="14">
        <f>Table1346811345[[#This Row],[PMI]]-B59</f>
        <v/>
      </c>
    </row>
    <row r="61">
      <c r="A61" s="8" t="n">
        <v>41334</v>
      </c>
      <c r="B61" s="11">
        <f>IF(VLOOKUP(A61,'DB Country PMI'!$A:$W,MATCH($A$1,'DB Country PMI'!$A$1:$W$1,),)=0,#N/A,VLOOKUP(A61,'DB Country PMI'!$A:$W,MATCH($A$1,'DB Country PMI'!$A$1:$W$1,),))</f>
        <v/>
      </c>
      <c r="C61" s="14">
        <f>Table1346811345[[#This Row],[PMI]]-B60</f>
        <v/>
      </c>
    </row>
    <row r="62">
      <c r="A62" s="8" t="n">
        <v>41365</v>
      </c>
      <c r="B62" s="11">
        <f>IF(VLOOKUP(A62,'DB Country PMI'!$A:$W,MATCH($A$1,'DB Country PMI'!$A$1:$W$1,),)=0,#N/A,VLOOKUP(A62,'DB Country PMI'!$A:$W,MATCH($A$1,'DB Country PMI'!$A$1:$W$1,),))</f>
        <v/>
      </c>
      <c r="C62" s="14">
        <f>Table1346811345[[#This Row],[PMI]]-B61</f>
        <v/>
      </c>
    </row>
    <row r="63">
      <c r="A63" s="8" t="n">
        <v>41395</v>
      </c>
      <c r="B63" s="11">
        <f>IF(VLOOKUP(A63,'DB Country PMI'!$A:$W,MATCH($A$1,'DB Country PMI'!$A$1:$W$1,),)=0,#N/A,VLOOKUP(A63,'DB Country PMI'!$A:$W,MATCH($A$1,'DB Country PMI'!$A$1:$W$1,),))</f>
        <v/>
      </c>
      <c r="C63" s="14">
        <f>Table1346811345[[#This Row],[PMI]]-B62</f>
        <v/>
      </c>
    </row>
    <row r="64">
      <c r="A64" s="8" t="n">
        <v>41426</v>
      </c>
      <c r="B64" s="11">
        <f>IF(VLOOKUP(A64,'DB Country PMI'!$A:$W,MATCH($A$1,'DB Country PMI'!$A$1:$W$1,),)=0,#N/A,VLOOKUP(A64,'DB Country PMI'!$A:$W,MATCH($A$1,'DB Country PMI'!$A$1:$W$1,),))</f>
        <v/>
      </c>
      <c r="C64" s="14">
        <f>Table1346811345[[#This Row],[PMI]]-B63</f>
        <v/>
      </c>
    </row>
    <row r="65">
      <c r="A65" s="8" t="n">
        <v>41456</v>
      </c>
      <c r="B65" s="11">
        <f>IF(VLOOKUP(A65,'DB Country PMI'!$A:$W,MATCH($A$1,'DB Country PMI'!$A$1:$W$1,),)=0,#N/A,VLOOKUP(A65,'DB Country PMI'!$A:$W,MATCH($A$1,'DB Country PMI'!$A$1:$W$1,),))</f>
        <v/>
      </c>
      <c r="C65" s="14">
        <f>Table1346811345[[#This Row],[PMI]]-B64</f>
        <v/>
      </c>
    </row>
    <row r="66">
      <c r="A66" s="8" t="n">
        <v>41487</v>
      </c>
      <c r="B66" s="11">
        <f>IF(VLOOKUP(A66,'DB Country PMI'!$A:$W,MATCH($A$1,'DB Country PMI'!$A$1:$W$1,),)=0,#N/A,VLOOKUP(A66,'DB Country PMI'!$A:$W,MATCH($A$1,'DB Country PMI'!$A$1:$W$1,),))</f>
        <v/>
      </c>
      <c r="C66" s="14">
        <f>Table1346811345[[#This Row],[PMI]]-B65</f>
        <v/>
      </c>
    </row>
    <row r="67">
      <c r="A67" s="8" t="n">
        <v>41518</v>
      </c>
      <c r="B67" s="11">
        <f>IF(VLOOKUP(A67,'DB Country PMI'!$A:$W,MATCH($A$1,'DB Country PMI'!$A$1:$W$1,),)=0,#N/A,VLOOKUP(A67,'DB Country PMI'!$A:$W,MATCH($A$1,'DB Country PMI'!$A$1:$W$1,),))</f>
        <v/>
      </c>
      <c r="C67" s="14">
        <f>Table1346811345[[#This Row],[PMI]]-B66</f>
        <v/>
      </c>
    </row>
    <row r="68">
      <c r="A68" s="8" t="n">
        <v>41548</v>
      </c>
      <c r="B68" s="11">
        <f>IF(VLOOKUP(A68,'DB Country PMI'!$A:$W,MATCH($A$1,'DB Country PMI'!$A$1:$W$1,),)=0,#N/A,VLOOKUP(A68,'DB Country PMI'!$A:$W,MATCH($A$1,'DB Country PMI'!$A$1:$W$1,),))</f>
        <v/>
      </c>
      <c r="C68" s="14">
        <f>Table1346811345[[#This Row],[PMI]]-B67</f>
        <v/>
      </c>
    </row>
    <row r="69">
      <c r="A69" s="8" t="n">
        <v>41579</v>
      </c>
      <c r="B69" s="11">
        <f>IF(VLOOKUP(A69,'DB Country PMI'!$A:$W,MATCH($A$1,'DB Country PMI'!$A$1:$W$1,),)=0,#N/A,VLOOKUP(A69,'DB Country PMI'!$A:$W,MATCH($A$1,'DB Country PMI'!$A$1:$W$1,),))</f>
        <v/>
      </c>
      <c r="C69" s="14">
        <f>Table1346811345[[#This Row],[PMI]]-B68</f>
        <v/>
      </c>
    </row>
    <row r="70">
      <c r="A70" s="8" t="n">
        <v>41609</v>
      </c>
      <c r="B70" s="11">
        <f>IF(VLOOKUP(A70,'DB Country PMI'!$A:$W,MATCH($A$1,'DB Country PMI'!$A$1:$W$1,),)=0,#N/A,VLOOKUP(A70,'DB Country PMI'!$A:$W,MATCH($A$1,'DB Country PMI'!$A$1:$W$1,),))</f>
        <v/>
      </c>
      <c r="C70" s="14">
        <f>Table1346811345[[#This Row],[PMI]]-B69</f>
        <v/>
      </c>
    </row>
    <row r="71">
      <c r="A71" s="8" t="n">
        <v>41640</v>
      </c>
      <c r="B71" s="11">
        <f>IF(VLOOKUP(A71,'DB Country PMI'!$A:$W,MATCH($A$1,'DB Country PMI'!$A$1:$W$1,),)=0,#N/A,VLOOKUP(A71,'DB Country PMI'!$A:$W,MATCH($A$1,'DB Country PMI'!$A$1:$W$1,),))</f>
        <v/>
      </c>
      <c r="C71" s="14">
        <f>Table1346811345[[#This Row],[PMI]]-B70</f>
        <v/>
      </c>
    </row>
    <row r="72">
      <c r="A72" s="8" t="n">
        <v>41671</v>
      </c>
      <c r="B72" s="11">
        <f>IF(VLOOKUP(A72,'DB Country PMI'!$A:$W,MATCH($A$1,'DB Country PMI'!$A$1:$W$1,),)=0,#N/A,VLOOKUP(A72,'DB Country PMI'!$A:$W,MATCH($A$1,'DB Country PMI'!$A$1:$W$1,),))</f>
        <v/>
      </c>
      <c r="C72" s="14">
        <f>Table1346811345[[#This Row],[PMI]]-B71</f>
        <v/>
      </c>
    </row>
    <row r="73">
      <c r="A73" s="8" t="n">
        <v>41699</v>
      </c>
      <c r="B73" s="11">
        <f>IF(VLOOKUP(A73,'DB Country PMI'!$A:$W,MATCH($A$1,'DB Country PMI'!$A$1:$W$1,),)=0,#N/A,VLOOKUP(A73,'DB Country PMI'!$A:$W,MATCH($A$1,'DB Country PMI'!$A$1:$W$1,),))</f>
        <v/>
      </c>
      <c r="C73" s="14">
        <f>Table1346811345[[#This Row],[PMI]]-B72</f>
        <v/>
      </c>
    </row>
    <row r="74">
      <c r="A74" s="8" t="n">
        <v>41730</v>
      </c>
      <c r="B74" s="11">
        <f>IF(VLOOKUP(A74,'DB Country PMI'!$A:$W,MATCH($A$1,'DB Country PMI'!$A$1:$W$1,),)=0,#N/A,VLOOKUP(A74,'DB Country PMI'!$A:$W,MATCH($A$1,'DB Country PMI'!$A$1:$W$1,),))</f>
        <v/>
      </c>
      <c r="C74" s="14">
        <f>Table1346811345[[#This Row],[PMI]]-B73</f>
        <v/>
      </c>
    </row>
    <row r="75">
      <c r="A75" s="8" t="n">
        <v>41760</v>
      </c>
      <c r="B75" s="11">
        <f>IF(VLOOKUP(A75,'DB Country PMI'!$A:$W,MATCH($A$1,'DB Country PMI'!$A$1:$W$1,),)=0,#N/A,VLOOKUP(A75,'DB Country PMI'!$A:$W,MATCH($A$1,'DB Country PMI'!$A$1:$W$1,),))</f>
        <v/>
      </c>
      <c r="C75" s="14">
        <f>Table1346811345[[#This Row],[PMI]]-B74</f>
        <v/>
      </c>
    </row>
    <row r="76">
      <c r="A76" s="8" t="n">
        <v>41791</v>
      </c>
      <c r="B76" s="11">
        <f>IF(VLOOKUP(A76,'DB Country PMI'!$A:$W,MATCH($A$1,'DB Country PMI'!$A$1:$W$1,),)=0,#N/A,VLOOKUP(A76,'DB Country PMI'!$A:$W,MATCH($A$1,'DB Country PMI'!$A$1:$W$1,),))</f>
        <v/>
      </c>
      <c r="C76" s="14">
        <f>Table1346811345[[#This Row],[PMI]]-B75</f>
        <v/>
      </c>
    </row>
    <row r="77">
      <c r="A77" s="8" t="n">
        <v>41821</v>
      </c>
      <c r="B77" s="11">
        <f>IF(VLOOKUP(A77,'DB Country PMI'!$A:$W,MATCH($A$1,'DB Country PMI'!$A$1:$W$1,),)=0,#N/A,VLOOKUP(A77,'DB Country PMI'!$A:$W,MATCH($A$1,'DB Country PMI'!$A$1:$W$1,),))</f>
        <v/>
      </c>
      <c r="C77" s="14">
        <f>Table1346811345[[#This Row],[PMI]]-B76</f>
        <v/>
      </c>
    </row>
    <row r="78">
      <c r="A78" s="8" t="n">
        <v>41852</v>
      </c>
      <c r="B78" s="11">
        <f>IF(VLOOKUP(A78,'DB Country PMI'!$A:$W,MATCH($A$1,'DB Country PMI'!$A$1:$W$1,),)=0,#N/A,VLOOKUP(A78,'DB Country PMI'!$A:$W,MATCH($A$1,'DB Country PMI'!$A$1:$W$1,),))</f>
        <v/>
      </c>
      <c r="C78" s="14">
        <f>Table1346811345[[#This Row],[PMI]]-B77</f>
        <v/>
      </c>
    </row>
    <row r="79">
      <c r="A79" s="8" t="n">
        <v>41883</v>
      </c>
      <c r="B79" s="11">
        <f>IF(VLOOKUP(A79,'DB Country PMI'!$A:$W,MATCH($A$1,'DB Country PMI'!$A$1:$W$1,),)=0,#N/A,VLOOKUP(A79,'DB Country PMI'!$A:$W,MATCH($A$1,'DB Country PMI'!$A$1:$W$1,),))</f>
        <v/>
      </c>
      <c r="C79" s="14">
        <f>Table1346811345[[#This Row],[PMI]]-B78</f>
        <v/>
      </c>
    </row>
    <row r="80">
      <c r="A80" s="8" t="n">
        <v>41913</v>
      </c>
      <c r="B80" s="11">
        <f>IF(VLOOKUP(A80,'DB Country PMI'!$A:$W,MATCH($A$1,'DB Country PMI'!$A$1:$W$1,),)=0,#N/A,VLOOKUP(A80,'DB Country PMI'!$A:$W,MATCH($A$1,'DB Country PMI'!$A$1:$W$1,),))</f>
        <v/>
      </c>
      <c r="C80" s="14">
        <f>Table1346811345[[#This Row],[PMI]]-B79</f>
        <v/>
      </c>
    </row>
    <row r="81">
      <c r="A81" s="8" t="n">
        <v>41944</v>
      </c>
      <c r="B81" s="11">
        <f>IF(VLOOKUP(A81,'DB Country PMI'!$A:$W,MATCH($A$1,'DB Country PMI'!$A$1:$W$1,),)=0,#N/A,VLOOKUP(A81,'DB Country PMI'!$A:$W,MATCH($A$1,'DB Country PMI'!$A$1:$W$1,),))</f>
        <v/>
      </c>
      <c r="C81" s="14">
        <f>Table1346811345[[#This Row],[PMI]]-B80</f>
        <v/>
      </c>
    </row>
    <row r="82">
      <c r="A82" s="8" t="n">
        <v>41974</v>
      </c>
      <c r="B82" s="11">
        <f>IF(VLOOKUP(A82,'DB Country PMI'!$A:$W,MATCH($A$1,'DB Country PMI'!$A$1:$W$1,),)=0,#N/A,VLOOKUP(A82,'DB Country PMI'!$A:$W,MATCH($A$1,'DB Country PMI'!$A$1:$W$1,),))</f>
        <v/>
      </c>
      <c r="C82" s="14">
        <f>Table1346811345[[#This Row],[PMI]]-B81</f>
        <v/>
      </c>
    </row>
    <row r="83">
      <c r="A83" s="8" t="n">
        <v>42005</v>
      </c>
      <c r="B83" s="11">
        <f>IF(VLOOKUP(A83,'DB Country PMI'!$A:$W,MATCH($A$1,'DB Country PMI'!$A$1:$W$1,),)=0,#N/A,VLOOKUP(A83,'DB Country PMI'!$A:$W,MATCH($A$1,'DB Country PMI'!$A$1:$W$1,),))</f>
        <v/>
      </c>
      <c r="C83" s="14">
        <f>Table1346811345[[#This Row],[PMI]]-B82</f>
        <v/>
      </c>
    </row>
    <row r="84">
      <c r="A84" s="8" t="n">
        <v>42036</v>
      </c>
      <c r="B84" s="11">
        <f>IF(VLOOKUP(A84,'DB Country PMI'!$A:$W,MATCH($A$1,'DB Country PMI'!$A$1:$W$1,),)=0,#N/A,VLOOKUP(A84,'DB Country PMI'!$A:$W,MATCH($A$1,'DB Country PMI'!$A$1:$W$1,),))</f>
        <v/>
      </c>
      <c r="C84" s="14">
        <f>Table1346811345[[#This Row],[PMI]]-B83</f>
        <v/>
      </c>
    </row>
    <row r="85">
      <c r="A85" s="8" t="n">
        <v>42064</v>
      </c>
      <c r="B85" s="11">
        <f>IF(VLOOKUP(A85,'DB Country PMI'!$A:$W,MATCH($A$1,'DB Country PMI'!$A$1:$W$1,),)=0,#N/A,VLOOKUP(A85,'DB Country PMI'!$A:$W,MATCH($A$1,'DB Country PMI'!$A$1:$W$1,),))</f>
        <v/>
      </c>
      <c r="C85" s="14">
        <f>Table1346811345[[#This Row],[PMI]]-B84</f>
        <v/>
      </c>
    </row>
    <row r="86">
      <c r="A86" s="8" t="n">
        <v>42095</v>
      </c>
      <c r="B86" s="11">
        <f>IF(VLOOKUP(A86,'DB Country PMI'!$A:$W,MATCH($A$1,'DB Country PMI'!$A$1:$W$1,),)=0,#N/A,VLOOKUP(A86,'DB Country PMI'!$A:$W,MATCH($A$1,'DB Country PMI'!$A$1:$W$1,),))</f>
        <v/>
      </c>
      <c r="C86" s="14">
        <f>Table1346811345[[#This Row],[PMI]]-B85</f>
        <v/>
      </c>
    </row>
    <row r="87">
      <c r="A87" s="8" t="n">
        <v>42125</v>
      </c>
      <c r="B87" s="11">
        <f>IF(VLOOKUP(A87,'DB Country PMI'!$A:$W,MATCH($A$1,'DB Country PMI'!$A$1:$W$1,),)=0,#N/A,VLOOKUP(A87,'DB Country PMI'!$A:$W,MATCH($A$1,'DB Country PMI'!$A$1:$W$1,),))</f>
        <v/>
      </c>
      <c r="C87" s="14">
        <f>Table1346811345[[#This Row],[PMI]]-B86</f>
        <v/>
      </c>
    </row>
    <row r="88">
      <c r="A88" s="8" t="n">
        <v>42156</v>
      </c>
      <c r="B88" s="11">
        <f>IF(VLOOKUP(A88,'DB Country PMI'!$A:$W,MATCH($A$1,'DB Country PMI'!$A$1:$W$1,),)=0,#N/A,VLOOKUP(A88,'DB Country PMI'!$A:$W,MATCH($A$1,'DB Country PMI'!$A$1:$W$1,),))</f>
        <v/>
      </c>
      <c r="C88" s="14">
        <f>Table1346811345[[#This Row],[PMI]]-B87</f>
        <v/>
      </c>
    </row>
    <row r="89">
      <c r="A89" s="8" t="n">
        <v>42186</v>
      </c>
      <c r="B89" s="11">
        <f>IF(VLOOKUP(A89,'DB Country PMI'!$A:$W,MATCH($A$1,'DB Country PMI'!$A$1:$W$1,),)=0,#N/A,VLOOKUP(A89,'DB Country PMI'!$A:$W,MATCH($A$1,'DB Country PMI'!$A$1:$W$1,),))</f>
        <v/>
      </c>
      <c r="C89" s="14">
        <f>Table1346811345[[#This Row],[PMI]]-B88</f>
        <v/>
      </c>
    </row>
    <row r="90">
      <c r="A90" s="8" t="n">
        <v>42217</v>
      </c>
      <c r="B90" s="11">
        <f>IF(VLOOKUP(A90,'DB Country PMI'!$A:$W,MATCH($A$1,'DB Country PMI'!$A$1:$W$1,),)=0,#N/A,VLOOKUP(A90,'DB Country PMI'!$A:$W,MATCH($A$1,'DB Country PMI'!$A$1:$W$1,),))</f>
        <v/>
      </c>
      <c r="C90" s="14">
        <f>Table1346811345[[#This Row],[PMI]]-B89</f>
        <v/>
      </c>
    </row>
    <row r="91">
      <c r="A91" s="8" t="n">
        <v>42248</v>
      </c>
      <c r="B91" s="11">
        <f>IF(VLOOKUP(A91,'DB Country PMI'!$A:$W,MATCH($A$1,'DB Country PMI'!$A$1:$W$1,),)=0,#N/A,VLOOKUP(A91,'DB Country PMI'!$A:$W,MATCH($A$1,'DB Country PMI'!$A$1:$W$1,),))</f>
        <v/>
      </c>
      <c r="C91" s="14">
        <f>Table1346811345[[#This Row],[PMI]]-B90</f>
        <v/>
      </c>
    </row>
    <row r="92">
      <c r="A92" s="8" t="n">
        <v>42278</v>
      </c>
      <c r="B92" s="11">
        <f>IF(VLOOKUP(A92,'DB Country PMI'!$A:$W,MATCH($A$1,'DB Country PMI'!$A$1:$W$1,),)=0,#N/A,VLOOKUP(A92,'DB Country PMI'!$A:$W,MATCH($A$1,'DB Country PMI'!$A$1:$W$1,),))</f>
        <v/>
      </c>
      <c r="C92" s="14">
        <f>Table1346811345[[#This Row],[PMI]]-B91</f>
        <v/>
      </c>
    </row>
    <row r="93">
      <c r="A93" s="8" t="n">
        <v>42309</v>
      </c>
      <c r="B93" s="11">
        <f>IF(VLOOKUP(A93,'DB Country PMI'!$A:$W,MATCH($A$1,'DB Country PMI'!$A$1:$W$1,),)=0,#N/A,VLOOKUP(A93,'DB Country PMI'!$A:$W,MATCH($A$1,'DB Country PMI'!$A$1:$W$1,),))</f>
        <v/>
      </c>
      <c r="C93" s="14">
        <f>Table1346811345[[#This Row],[PMI]]-B92</f>
        <v/>
      </c>
    </row>
    <row r="94">
      <c r="A94" s="8" t="n">
        <v>42339</v>
      </c>
      <c r="B94" s="11">
        <f>IF(VLOOKUP(A94,'DB Country PMI'!$A:$W,MATCH($A$1,'DB Country PMI'!$A$1:$W$1,),)=0,#N/A,VLOOKUP(A94,'DB Country PMI'!$A:$W,MATCH($A$1,'DB Country PMI'!$A$1:$W$1,),))</f>
        <v/>
      </c>
      <c r="C94" s="14">
        <f>Table1346811345[[#This Row],[PMI]]-B93</f>
        <v/>
      </c>
    </row>
    <row r="95">
      <c r="A95" s="8" t="n">
        <v>42370</v>
      </c>
      <c r="B95" s="11">
        <f>IF(VLOOKUP(A95,'DB Country PMI'!$A:$W,MATCH($A$1,'DB Country PMI'!$A$1:$W$1,),)=0,#N/A,VLOOKUP(A95,'DB Country PMI'!$A:$W,MATCH($A$1,'DB Country PMI'!$A$1:$W$1,),))</f>
        <v/>
      </c>
      <c r="C95" s="14">
        <f>Table1346811345[[#This Row],[PMI]]-B94</f>
        <v/>
      </c>
    </row>
    <row r="96">
      <c r="A96" s="8" t="n">
        <v>42401</v>
      </c>
      <c r="B96" s="11">
        <f>IF(VLOOKUP(A96,'DB Country PMI'!$A:$W,MATCH($A$1,'DB Country PMI'!$A$1:$W$1,),)=0,#N/A,VLOOKUP(A96,'DB Country PMI'!$A:$W,MATCH($A$1,'DB Country PMI'!$A$1:$W$1,),))</f>
        <v/>
      </c>
      <c r="C96" s="14">
        <f>Table1346811345[[#This Row],[PMI]]-B95</f>
        <v/>
      </c>
    </row>
    <row r="97">
      <c r="A97" s="8" t="n">
        <v>42430</v>
      </c>
      <c r="B97" s="11">
        <f>IF(VLOOKUP(A97,'DB Country PMI'!$A:$W,MATCH($A$1,'DB Country PMI'!$A$1:$W$1,),)=0,#N/A,VLOOKUP(A97,'DB Country PMI'!$A:$W,MATCH($A$1,'DB Country PMI'!$A$1:$W$1,),))</f>
        <v/>
      </c>
      <c r="C97" s="14">
        <f>Table1346811345[[#This Row],[PMI]]-B96</f>
        <v/>
      </c>
    </row>
    <row r="98">
      <c r="A98" s="8" t="n">
        <v>42461</v>
      </c>
      <c r="B98" s="11">
        <f>IF(VLOOKUP(A98,'DB Country PMI'!$A:$W,MATCH($A$1,'DB Country PMI'!$A$1:$W$1,),)=0,#N/A,VLOOKUP(A98,'DB Country PMI'!$A:$W,MATCH($A$1,'DB Country PMI'!$A$1:$W$1,),))</f>
        <v/>
      </c>
      <c r="C98" s="14">
        <f>Table1346811345[[#This Row],[PMI]]-B97</f>
        <v/>
      </c>
    </row>
    <row r="99">
      <c r="A99" s="8" t="n">
        <v>42491</v>
      </c>
      <c r="B99" s="11">
        <f>IF(VLOOKUP(A99,'DB Country PMI'!$A:$W,MATCH($A$1,'DB Country PMI'!$A$1:$W$1,),)=0,#N/A,VLOOKUP(A99,'DB Country PMI'!$A:$W,MATCH($A$1,'DB Country PMI'!$A$1:$W$1,),))</f>
        <v/>
      </c>
      <c r="C99" s="14">
        <f>Table1346811345[[#This Row],[PMI]]-B98</f>
        <v/>
      </c>
    </row>
    <row r="100">
      <c r="A100" s="8" t="n">
        <v>42522</v>
      </c>
      <c r="B100" s="11">
        <f>IF(VLOOKUP(A100,'DB Country PMI'!$A:$W,MATCH($A$1,'DB Country PMI'!$A$1:$W$1,),)=0,#N/A,VLOOKUP(A100,'DB Country PMI'!$A:$W,MATCH($A$1,'DB Country PMI'!$A$1:$W$1,),))</f>
        <v/>
      </c>
      <c r="C100" s="14">
        <f>Table1346811345[[#This Row],[PMI]]-B99</f>
        <v/>
      </c>
    </row>
    <row r="101">
      <c r="A101" s="8" t="n">
        <v>42552</v>
      </c>
      <c r="B101" s="11">
        <f>IF(VLOOKUP(A101,'DB Country PMI'!$A:$W,MATCH($A$1,'DB Country PMI'!$A$1:$W$1,),)=0,#N/A,VLOOKUP(A101,'DB Country PMI'!$A:$W,MATCH($A$1,'DB Country PMI'!$A$1:$W$1,),))</f>
        <v/>
      </c>
      <c r="C101" s="14">
        <f>Table1346811345[[#This Row],[PMI]]-B100</f>
        <v/>
      </c>
    </row>
    <row r="102">
      <c r="A102" s="8" t="n">
        <v>42583</v>
      </c>
      <c r="B102" s="11">
        <f>IF(VLOOKUP(A102,'DB Country PMI'!$A:$W,MATCH($A$1,'DB Country PMI'!$A$1:$W$1,),)=0,#N/A,VLOOKUP(A102,'DB Country PMI'!$A:$W,MATCH($A$1,'DB Country PMI'!$A$1:$W$1,),))</f>
        <v/>
      </c>
      <c r="C102" s="14">
        <f>Table1346811345[[#This Row],[PMI]]-B101</f>
        <v/>
      </c>
    </row>
    <row r="103">
      <c r="A103" s="8" t="n">
        <v>42614</v>
      </c>
      <c r="B103" s="11">
        <f>IF(VLOOKUP(A103,'DB Country PMI'!$A:$W,MATCH($A$1,'DB Country PMI'!$A$1:$W$1,),)=0,#N/A,VLOOKUP(A103,'DB Country PMI'!$A:$W,MATCH($A$1,'DB Country PMI'!$A$1:$W$1,),))</f>
        <v/>
      </c>
      <c r="C103" s="14">
        <f>Table1346811345[[#This Row],[PMI]]-B102</f>
        <v/>
      </c>
    </row>
    <row r="104">
      <c r="A104" s="8" t="n">
        <v>42644</v>
      </c>
      <c r="B104" s="11">
        <f>IF(VLOOKUP(A104,'DB Country PMI'!$A:$W,MATCH($A$1,'DB Country PMI'!$A$1:$W$1,),)=0,#N/A,VLOOKUP(A104,'DB Country PMI'!$A:$W,MATCH($A$1,'DB Country PMI'!$A$1:$W$1,),))</f>
        <v/>
      </c>
      <c r="C104" s="14">
        <f>Table1346811345[[#This Row],[PMI]]-B103</f>
        <v/>
      </c>
    </row>
    <row r="105">
      <c r="A105" s="8" t="n">
        <v>42675</v>
      </c>
      <c r="B105" s="11">
        <f>IF(VLOOKUP(A105,'DB Country PMI'!$A:$W,MATCH($A$1,'DB Country PMI'!$A$1:$W$1,),)=0,#N/A,VLOOKUP(A105,'DB Country PMI'!$A:$W,MATCH($A$1,'DB Country PMI'!$A$1:$W$1,),))</f>
        <v/>
      </c>
      <c r="C105" s="14">
        <f>Table1346811345[[#This Row],[PMI]]-B104</f>
        <v/>
      </c>
    </row>
    <row r="106">
      <c r="A106" s="8" t="n">
        <v>42705</v>
      </c>
      <c r="B106" s="11">
        <f>IF(VLOOKUP(A106,'DB Country PMI'!$A:$W,MATCH($A$1,'DB Country PMI'!$A$1:$W$1,),)=0,#N/A,VLOOKUP(A106,'DB Country PMI'!$A:$W,MATCH($A$1,'DB Country PMI'!$A$1:$W$1,),))</f>
        <v/>
      </c>
      <c r="C106" s="14">
        <f>Table1346811345[[#This Row],[PMI]]-B105</f>
        <v/>
      </c>
    </row>
    <row r="107">
      <c r="A107" s="8" t="n">
        <v>42736</v>
      </c>
      <c r="B107" s="11">
        <f>IF(VLOOKUP(A107,'DB Country PMI'!$A:$W,MATCH($A$1,'DB Country PMI'!$A$1:$W$1,),)=0,#N/A,VLOOKUP(A107,'DB Country PMI'!$A:$W,MATCH($A$1,'DB Country PMI'!$A$1:$W$1,),))</f>
        <v/>
      </c>
      <c r="C107" s="14">
        <f>Table1346811345[[#This Row],[PMI]]-B106</f>
        <v/>
      </c>
    </row>
    <row r="108">
      <c r="A108" s="8" t="n">
        <v>42767</v>
      </c>
      <c r="B108" s="11">
        <f>IF(VLOOKUP(A108,'DB Country PMI'!$A:$W,MATCH($A$1,'DB Country PMI'!$A$1:$W$1,),)=0,#N/A,VLOOKUP(A108,'DB Country PMI'!$A:$W,MATCH($A$1,'DB Country PMI'!$A$1:$W$1,),))</f>
        <v/>
      </c>
      <c r="C108" s="14">
        <f>Table1346811345[[#This Row],[PMI]]-B107</f>
        <v/>
      </c>
    </row>
    <row r="109">
      <c r="A109" s="8" t="n">
        <v>42795</v>
      </c>
      <c r="B109" s="11">
        <f>IF(VLOOKUP(A109,'DB Country PMI'!$A:$W,MATCH($A$1,'DB Country PMI'!$A$1:$W$1,),)=0,#N/A,VLOOKUP(A109,'DB Country PMI'!$A:$W,MATCH($A$1,'DB Country PMI'!$A$1:$W$1,),))</f>
        <v/>
      </c>
      <c r="C109" s="14">
        <f>Table1346811345[[#This Row],[PMI]]-B108</f>
        <v/>
      </c>
    </row>
    <row r="110">
      <c r="A110" s="8" t="n">
        <v>42826</v>
      </c>
      <c r="B110" s="11">
        <f>IF(VLOOKUP(A110,'DB Country PMI'!$A:$W,MATCH($A$1,'DB Country PMI'!$A$1:$W$1,),)=0,#N/A,VLOOKUP(A110,'DB Country PMI'!$A:$W,MATCH($A$1,'DB Country PMI'!$A$1:$W$1,),))</f>
        <v/>
      </c>
      <c r="C110" s="14">
        <f>Table1346811345[[#This Row],[PMI]]-B109</f>
        <v/>
      </c>
    </row>
    <row r="111">
      <c r="A111" s="8" t="n">
        <v>42856</v>
      </c>
      <c r="B111" s="11">
        <f>IF(VLOOKUP(A111,'DB Country PMI'!$A:$W,MATCH($A$1,'DB Country PMI'!$A$1:$W$1,),)=0,#N/A,VLOOKUP(A111,'DB Country PMI'!$A:$W,MATCH($A$1,'DB Country PMI'!$A$1:$W$1,),))</f>
        <v/>
      </c>
      <c r="C111" s="14">
        <f>Table1346811345[[#This Row],[PMI]]-B110</f>
        <v/>
      </c>
    </row>
    <row r="112">
      <c r="A112" s="8" t="n">
        <v>42887</v>
      </c>
      <c r="B112" s="11">
        <f>IF(VLOOKUP(A112,'DB Country PMI'!$A:$W,MATCH($A$1,'DB Country PMI'!$A$1:$W$1,),)=0,#N/A,VLOOKUP(A112,'DB Country PMI'!$A:$W,MATCH($A$1,'DB Country PMI'!$A$1:$W$1,),))</f>
        <v/>
      </c>
      <c r="C112" s="14">
        <f>Table1346811345[[#This Row],[PMI]]-B111</f>
        <v/>
      </c>
    </row>
    <row r="113">
      <c r="A113" s="8" t="n">
        <v>42917</v>
      </c>
      <c r="B113" s="11">
        <f>IF(VLOOKUP(A113,'DB Country PMI'!$A:$W,MATCH($A$1,'DB Country PMI'!$A$1:$W$1,),)=0,#N/A,VLOOKUP(A113,'DB Country PMI'!$A:$W,MATCH($A$1,'DB Country PMI'!$A$1:$W$1,),))</f>
        <v/>
      </c>
      <c r="C113" s="14">
        <f>Table1346811345[[#This Row],[PMI]]-B112</f>
        <v/>
      </c>
    </row>
    <row r="114">
      <c r="A114" s="8" t="n">
        <v>42948</v>
      </c>
      <c r="B114" s="11">
        <f>IF(VLOOKUP(A114,'DB Country PMI'!$A:$W,MATCH($A$1,'DB Country PMI'!$A$1:$W$1,),)=0,#N/A,VLOOKUP(A114,'DB Country PMI'!$A:$W,MATCH($A$1,'DB Country PMI'!$A$1:$W$1,),))</f>
        <v/>
      </c>
      <c r="C114" s="14">
        <f>Table1346811345[[#This Row],[PMI]]-B113</f>
        <v/>
      </c>
    </row>
    <row r="115">
      <c r="A115" s="8" t="n">
        <v>42979</v>
      </c>
      <c r="B115" s="11">
        <f>IF(VLOOKUP(A115,'DB Country PMI'!$A:$W,MATCH($A$1,'DB Country PMI'!$A$1:$W$1,),)=0,#N/A,VLOOKUP(A115,'DB Country PMI'!$A:$W,MATCH($A$1,'DB Country PMI'!$A$1:$W$1,),))</f>
        <v/>
      </c>
      <c r="C115" s="14">
        <f>Table1346811345[[#This Row],[PMI]]-B114</f>
        <v/>
      </c>
    </row>
    <row r="116">
      <c r="A116" s="8" t="n">
        <v>43009</v>
      </c>
      <c r="B116" s="11">
        <f>IF(VLOOKUP(A116,'DB Country PMI'!$A:$W,MATCH($A$1,'DB Country PMI'!$A$1:$W$1,),)=0,#N/A,VLOOKUP(A116,'DB Country PMI'!$A:$W,MATCH($A$1,'DB Country PMI'!$A$1:$W$1,),))</f>
        <v/>
      </c>
      <c r="C116" s="14">
        <f>Table1346811345[[#This Row],[PMI]]-B115</f>
        <v/>
      </c>
    </row>
    <row r="117">
      <c r="A117" s="8" t="n">
        <v>43040</v>
      </c>
      <c r="B117" s="11">
        <f>IF(VLOOKUP(A117,'DB Country PMI'!$A:$W,MATCH($A$1,'DB Country PMI'!$A$1:$W$1,),)=0,#N/A,VLOOKUP(A117,'DB Country PMI'!$A:$W,MATCH($A$1,'DB Country PMI'!$A$1:$W$1,),))</f>
        <v/>
      </c>
      <c r="C117" s="14">
        <f>Table1346811345[[#This Row],[PMI]]-B116</f>
        <v/>
      </c>
    </row>
    <row r="118">
      <c r="A118" s="8" t="n">
        <v>43070</v>
      </c>
      <c r="B118" s="11">
        <f>IF(VLOOKUP(A118,'DB Country PMI'!$A:$W,MATCH($A$1,'DB Country PMI'!$A$1:$W$1,),)=0,#N/A,VLOOKUP(A118,'DB Country PMI'!$A:$W,MATCH($A$1,'DB Country PMI'!$A$1:$W$1,),))</f>
        <v/>
      </c>
      <c r="C118" s="14">
        <f>Table1346811345[[#This Row],[PMI]]-B117</f>
        <v/>
      </c>
    </row>
    <row r="119">
      <c r="A119" s="8" t="n">
        <v>43101</v>
      </c>
      <c r="B119" s="11">
        <f>IF(VLOOKUP(A119,'DB Country PMI'!$A:$W,MATCH($A$1,'DB Country PMI'!$A$1:$W$1,),)=0,#N/A,VLOOKUP(A119,'DB Country PMI'!$A:$W,MATCH($A$1,'DB Country PMI'!$A$1:$W$1,),))</f>
        <v/>
      </c>
      <c r="C119" s="14">
        <f>Table1346811345[[#This Row],[PMI]]-B118</f>
        <v/>
      </c>
    </row>
    <row r="120">
      <c r="A120" s="8" t="n">
        <v>43132</v>
      </c>
      <c r="B120" s="11">
        <f>IF(VLOOKUP(A120,'DB Country PMI'!$A:$W,MATCH($A$1,'DB Country PMI'!$A$1:$W$1,),)=0,#N/A,VLOOKUP(A120,'DB Country PMI'!$A:$W,MATCH($A$1,'DB Country PMI'!$A$1:$W$1,),))</f>
        <v/>
      </c>
      <c r="C120" s="14">
        <f>Table1346811345[[#This Row],[PMI]]-B119</f>
        <v/>
      </c>
    </row>
    <row r="121">
      <c r="A121" s="8" t="n">
        <v>43160</v>
      </c>
      <c r="B121" s="11">
        <f>IF(VLOOKUP(A121,'DB Country PMI'!$A:$W,MATCH($A$1,'DB Country PMI'!$A$1:$W$1,),)=0,#N/A,VLOOKUP(A121,'DB Country PMI'!$A:$W,MATCH($A$1,'DB Country PMI'!$A$1:$W$1,),))</f>
        <v/>
      </c>
      <c r="C121" s="14">
        <f>Table1346811345[[#This Row],[PMI]]-B120</f>
        <v/>
      </c>
    </row>
    <row r="122">
      <c r="A122" s="8" t="n">
        <v>43191</v>
      </c>
      <c r="B122" s="11">
        <f>IF(VLOOKUP(A122,'DB Country PMI'!$A:$W,MATCH($A$1,'DB Country PMI'!$A$1:$W$1,),)=0,#N/A,VLOOKUP(A122,'DB Country PMI'!$A:$W,MATCH($A$1,'DB Country PMI'!$A$1:$W$1,),))</f>
        <v/>
      </c>
      <c r="C122" s="14">
        <f>Table1346811345[[#This Row],[PMI]]-B121</f>
        <v/>
      </c>
    </row>
    <row r="123">
      <c r="A123" s="8" t="n">
        <v>43221</v>
      </c>
      <c r="B123" s="11">
        <f>IF(VLOOKUP(A123,'DB Country PMI'!$A:$W,MATCH($A$1,'DB Country PMI'!$A$1:$W$1,),)=0,#N/A,VLOOKUP(A123,'DB Country PMI'!$A:$W,MATCH($A$1,'DB Country PMI'!$A$1:$W$1,),))</f>
        <v/>
      </c>
      <c r="C123" s="14">
        <f>Table1346811345[[#This Row],[PMI]]-B122</f>
        <v/>
      </c>
    </row>
    <row r="124">
      <c r="A124" s="8" t="n">
        <v>43252</v>
      </c>
      <c r="B124" s="11">
        <f>IF(VLOOKUP(A124,'DB Country PMI'!$A:$W,MATCH($A$1,'DB Country PMI'!$A$1:$W$1,),)=0,#N/A,VLOOKUP(A124,'DB Country PMI'!$A:$W,MATCH($A$1,'DB Country PMI'!$A$1:$W$1,),))</f>
        <v/>
      </c>
      <c r="C124" s="14">
        <f>Table1346811345[[#This Row],[PMI]]-B123</f>
        <v/>
      </c>
    </row>
    <row r="125">
      <c r="A125" s="8" t="n">
        <v>43282</v>
      </c>
      <c r="B125" s="11">
        <f>IF(VLOOKUP(A125,'DB Country PMI'!$A:$W,MATCH($A$1,'DB Country PMI'!$A$1:$W$1,),)=0,#N/A,VLOOKUP(A125,'DB Country PMI'!$A:$W,MATCH($A$1,'DB Country PMI'!$A$1:$W$1,),))</f>
        <v/>
      </c>
      <c r="C125" s="14">
        <f>Table1346811345[[#This Row],[PMI]]-B124</f>
        <v/>
      </c>
    </row>
    <row r="126">
      <c r="A126" s="8" t="n">
        <v>43313</v>
      </c>
      <c r="B126" s="11">
        <f>IF(VLOOKUP(A126,'DB Country PMI'!$A:$W,MATCH($A$1,'DB Country PMI'!$A$1:$W$1,),)=0,#N/A,VLOOKUP(A126,'DB Country PMI'!$A:$W,MATCH($A$1,'DB Country PMI'!$A$1:$W$1,),))</f>
        <v/>
      </c>
      <c r="C126" s="14">
        <f>Table1346811345[[#This Row],[PMI]]-B125</f>
        <v/>
      </c>
    </row>
    <row r="127">
      <c r="A127" s="8" t="n">
        <v>43344</v>
      </c>
      <c r="B127" s="11">
        <f>IF(VLOOKUP(A127,'DB Country PMI'!$A:$W,MATCH($A$1,'DB Country PMI'!$A$1:$W$1,),)=0,#N/A,VLOOKUP(A127,'DB Country PMI'!$A:$W,MATCH($A$1,'DB Country PMI'!$A$1:$W$1,),))</f>
        <v/>
      </c>
      <c r="C127" s="14">
        <f>Table1346811345[[#This Row],[PMI]]-B126</f>
        <v/>
      </c>
    </row>
    <row r="128">
      <c r="A128" s="8" t="n">
        <v>43374</v>
      </c>
      <c r="B128" s="11">
        <f>IF(VLOOKUP(A128,'DB Country PMI'!$A:$W,MATCH($A$1,'DB Country PMI'!$A$1:$W$1,),)=0,#N/A,VLOOKUP(A128,'DB Country PMI'!$A:$W,MATCH($A$1,'DB Country PMI'!$A$1:$W$1,),))</f>
        <v/>
      </c>
      <c r="C128" s="14">
        <f>Table1346811345[[#This Row],[PMI]]-B127</f>
        <v/>
      </c>
    </row>
    <row r="129">
      <c r="A129" s="8" t="n">
        <v>43405</v>
      </c>
      <c r="B129" s="11">
        <f>IF(VLOOKUP(A129,'DB Country PMI'!$A:$W,MATCH($A$1,'DB Country PMI'!$A$1:$W$1,),)=0,#N/A,VLOOKUP(A129,'DB Country PMI'!$A:$W,MATCH($A$1,'DB Country PMI'!$A$1:$W$1,),))</f>
        <v/>
      </c>
      <c r="C129" s="14">
        <f>Table1346811345[[#This Row],[PMI]]-B128</f>
        <v/>
      </c>
    </row>
    <row r="130">
      <c r="A130" s="8" t="n">
        <v>43435</v>
      </c>
      <c r="B130" s="11">
        <f>IF(VLOOKUP(A130,'DB Country PMI'!$A:$W,MATCH($A$1,'DB Country PMI'!$A$1:$W$1,),)=0,#N/A,VLOOKUP(A130,'DB Country PMI'!$A:$W,MATCH($A$1,'DB Country PMI'!$A$1:$W$1,),))</f>
        <v/>
      </c>
      <c r="C130" s="14">
        <f>Table1346811345[[#This Row],[PMI]]-B129</f>
        <v/>
      </c>
    </row>
    <row r="131">
      <c r="A131" s="8" t="n">
        <v>43466</v>
      </c>
      <c r="B131" s="11">
        <f>IF(VLOOKUP(A131,'DB Country PMI'!$A:$W,MATCH($A$1,'DB Country PMI'!$A$1:$W$1,),)=0,#N/A,VLOOKUP(A131,'DB Country PMI'!$A:$W,MATCH($A$1,'DB Country PMI'!$A$1:$W$1,),))</f>
        <v/>
      </c>
      <c r="C131" s="14">
        <f>Table1346811345[[#This Row],[PMI]]-B130</f>
        <v/>
      </c>
    </row>
    <row r="132">
      <c r="A132" s="8" t="n">
        <v>43497</v>
      </c>
      <c r="B132" s="11">
        <f>IF(VLOOKUP(A132,'DB Country PMI'!$A:$W,MATCH($A$1,'DB Country PMI'!$A$1:$W$1,),)=0,#N/A,VLOOKUP(A132,'DB Country PMI'!$A:$W,MATCH($A$1,'DB Country PMI'!$A$1:$W$1,),))</f>
        <v/>
      </c>
      <c r="C132" s="14">
        <f>Table1346811345[[#This Row],[PMI]]-B131</f>
        <v/>
      </c>
    </row>
    <row r="133">
      <c r="A133" s="8" t="n">
        <v>43525</v>
      </c>
      <c r="B133" s="11">
        <f>IF(VLOOKUP(A133,'DB Country PMI'!$A:$W,MATCH($A$1,'DB Country PMI'!$A$1:$W$1,),)=0,#N/A,VLOOKUP(A133,'DB Country PMI'!$A:$W,MATCH($A$1,'DB Country PMI'!$A$1:$W$1,),))</f>
        <v/>
      </c>
      <c r="C133" s="14">
        <f>Table1346811345[[#This Row],[PMI]]-B132</f>
        <v/>
      </c>
    </row>
    <row r="134">
      <c r="A134" s="8" t="n">
        <v>43556</v>
      </c>
      <c r="B134" s="11">
        <f>IF(VLOOKUP(A134,'DB Country PMI'!$A:$W,MATCH($A$1,'DB Country PMI'!$A$1:$W$1,),)=0,#N/A,VLOOKUP(A134,'DB Country PMI'!$A:$W,MATCH($A$1,'DB Country PMI'!$A$1:$W$1,),))</f>
        <v/>
      </c>
      <c r="C134" s="14">
        <f>Table1346811345[[#This Row],[PMI]]-B133</f>
        <v/>
      </c>
    </row>
    <row r="135">
      <c r="A135" s="8" t="n">
        <v>43586</v>
      </c>
      <c r="B135" s="11">
        <f>IF(VLOOKUP(A135,'DB Country PMI'!$A:$W,MATCH($A$1,'DB Country PMI'!$A$1:$W$1,),)=0,#N/A,VLOOKUP(A135,'DB Country PMI'!$A:$W,MATCH($A$1,'DB Country PMI'!$A$1:$W$1,),))</f>
        <v/>
      </c>
      <c r="C135" s="14">
        <f>Table1346811345[[#This Row],[PMI]]-B134</f>
        <v/>
      </c>
    </row>
    <row r="136">
      <c r="A136" s="8" t="n">
        <v>43617</v>
      </c>
      <c r="B136" s="11">
        <f>IF(VLOOKUP(A136,'DB Country PMI'!$A:$W,MATCH($A$1,'DB Country PMI'!$A$1:$W$1,),)=0,#N/A,VLOOKUP(A136,'DB Country PMI'!$A:$W,MATCH($A$1,'DB Country PMI'!$A$1:$W$1,),))</f>
        <v/>
      </c>
      <c r="C136" s="14">
        <f>Table1346811345[[#This Row],[PMI]]-B135</f>
        <v/>
      </c>
    </row>
    <row r="137">
      <c r="A137" s="8" t="n">
        <v>43647</v>
      </c>
      <c r="B137" s="11">
        <f>IF(VLOOKUP(A137,'DB Country PMI'!$A:$W,MATCH($A$1,'DB Country PMI'!$A$1:$W$1,),)=0,#N/A,VLOOKUP(A137,'DB Country PMI'!$A:$W,MATCH($A$1,'DB Country PMI'!$A$1:$W$1,),))</f>
        <v/>
      </c>
      <c r="C137" s="14">
        <f>Table1346811345[[#This Row],[PMI]]-B136</f>
        <v/>
      </c>
    </row>
    <row r="138">
      <c r="A138" s="8" t="n">
        <v>43678</v>
      </c>
      <c r="B138" s="11">
        <f>IF(VLOOKUP(A138,'DB Country PMI'!$A:$W,MATCH($A$1,'DB Country PMI'!$A$1:$W$1,),)=0,#N/A,VLOOKUP(A138,'DB Country PMI'!$A:$W,MATCH($A$1,'DB Country PMI'!$A$1:$W$1,),))</f>
        <v/>
      </c>
      <c r="C138" s="14">
        <f>Table1346811345[[#This Row],[PMI]]-B137</f>
        <v/>
      </c>
    </row>
    <row r="139">
      <c r="A139" s="8" t="n">
        <v>43709</v>
      </c>
      <c r="B139" s="11">
        <f>IF(VLOOKUP(A139,'DB Country PMI'!$A:$W,MATCH($A$1,'DB Country PMI'!$A$1:$W$1,),)=0,#N/A,VLOOKUP(A139,'DB Country PMI'!$A:$W,MATCH($A$1,'DB Country PMI'!$A$1:$W$1,),))</f>
        <v/>
      </c>
      <c r="C139" s="14">
        <f>Table1346811345[[#This Row],[PMI]]-B138</f>
        <v/>
      </c>
    </row>
    <row r="140">
      <c r="A140" s="8" t="n">
        <v>43739</v>
      </c>
      <c r="B140" s="11">
        <f>IF(VLOOKUP(A140,'DB Country PMI'!$A:$W,MATCH($A$1,'DB Country PMI'!$A$1:$W$1,),)=0,#N/A,VLOOKUP(A140,'DB Country PMI'!$A:$W,MATCH($A$1,'DB Country PMI'!$A$1:$W$1,),))</f>
        <v/>
      </c>
      <c r="C140" s="14">
        <f>Table1346811345[[#This Row],[PMI]]-B139</f>
        <v/>
      </c>
    </row>
    <row r="141">
      <c r="A141" s="8" t="n">
        <v>43770</v>
      </c>
      <c r="B141" s="11">
        <f>IF(VLOOKUP(A141,'DB Country PMI'!$A:$W,MATCH($A$1,'DB Country PMI'!$A$1:$W$1,),)=0,#N/A,VLOOKUP(A141,'DB Country PMI'!$A:$W,MATCH($A$1,'DB Country PMI'!$A$1:$W$1,),))</f>
        <v/>
      </c>
      <c r="C141" s="14">
        <f>Table1346811345[[#This Row],[PMI]]-B140</f>
        <v/>
      </c>
    </row>
    <row r="142">
      <c r="A142" s="8" t="n">
        <v>43800</v>
      </c>
      <c r="B142" s="11">
        <f>IF(VLOOKUP(A142,'DB Country PMI'!$A:$W,MATCH($A$1,'DB Country PMI'!$A$1:$W$1,),)=0,#N/A,VLOOKUP(A142,'DB Country PMI'!$A:$W,MATCH($A$1,'DB Country PMI'!$A$1:$W$1,),))</f>
        <v/>
      </c>
      <c r="C142" s="14">
        <f>Table1346811345[[#This Row],[PMI]]-B141</f>
        <v/>
      </c>
    </row>
    <row r="143">
      <c r="A143" s="8" t="n">
        <v>43831</v>
      </c>
      <c r="B143" s="11">
        <f>IF(VLOOKUP(A143,'DB Country PMI'!$A:$W,MATCH($A$1,'DB Country PMI'!$A$1:$W$1,),)=0,#N/A,VLOOKUP(A143,'DB Country PMI'!$A:$W,MATCH($A$1,'DB Country PMI'!$A$1:$W$1,),))</f>
        <v/>
      </c>
      <c r="C143" s="14">
        <f>Table1346811345[[#This Row],[PMI]]-B142</f>
        <v/>
      </c>
    </row>
    <row r="144">
      <c r="A144" s="8" t="n">
        <v>43862</v>
      </c>
      <c r="B144" s="11">
        <f>IF(VLOOKUP(A144,'DB Country PMI'!$A:$W,MATCH($A$1,'DB Country PMI'!$A$1:$W$1,),)=0,#N/A,VLOOKUP(A144,'DB Country PMI'!$A:$W,MATCH($A$1,'DB Country PMI'!$A$1:$W$1,),))</f>
        <v/>
      </c>
      <c r="C144" s="14">
        <f>Table1346811345[[#This Row],[PMI]]-B143</f>
        <v/>
      </c>
    </row>
    <row r="145">
      <c r="A145" s="8" t="n">
        <v>43891</v>
      </c>
      <c r="B145" s="11">
        <f>IF(VLOOKUP(A145,'DB Country PMI'!$A:$W,MATCH($A$1,'DB Country PMI'!$A$1:$W$1,),)=0,#N/A,VLOOKUP(A145,'DB Country PMI'!$A:$W,MATCH($A$1,'DB Country PMI'!$A$1:$W$1,),))</f>
        <v/>
      </c>
      <c r="C145" s="14">
        <f>Table1346811345[[#This Row],[PMI]]-B144</f>
        <v/>
      </c>
    </row>
    <row r="146">
      <c r="A146" s="8" t="n">
        <v>43922</v>
      </c>
      <c r="B146" s="11">
        <f>IF(VLOOKUP(A146,'DB Country PMI'!$A:$W,MATCH($A$1,'DB Country PMI'!$A$1:$W$1,),)=0,#N/A,VLOOKUP(A146,'DB Country PMI'!$A:$W,MATCH($A$1,'DB Country PMI'!$A$1:$W$1,),))</f>
        <v/>
      </c>
      <c r="C146" s="14">
        <f>Table1346811345[[#This Row],[PMI]]-B145</f>
        <v/>
      </c>
    </row>
    <row r="147">
      <c r="A147" s="8" t="n">
        <v>43952</v>
      </c>
      <c r="B147" s="11">
        <f>IF(VLOOKUP(A147,'DB Country PMI'!$A:$W,MATCH($A$1,'DB Country PMI'!$A$1:$W$1,),)=0,#N/A,VLOOKUP(A147,'DB Country PMI'!$A:$W,MATCH($A$1,'DB Country PMI'!$A$1:$W$1,),))</f>
        <v/>
      </c>
      <c r="C147" s="14">
        <f>Table1346811345[[#This Row],[PMI]]-B146</f>
        <v/>
      </c>
    </row>
    <row r="148">
      <c r="A148" s="8" t="n">
        <v>43983</v>
      </c>
      <c r="B148" s="11">
        <f>IF(VLOOKUP(A148,'DB Country PMI'!$A:$W,MATCH($A$1,'DB Country PMI'!$A$1:$W$1,),)=0,#N/A,VLOOKUP(A148,'DB Country PMI'!$A:$W,MATCH($A$1,'DB Country PMI'!$A$1:$W$1,),))</f>
        <v/>
      </c>
      <c r="C148" s="14">
        <f>Table1346811345[[#This Row],[PMI]]-B147</f>
        <v/>
      </c>
    </row>
    <row r="149">
      <c r="A149" s="8" t="n">
        <v>44013</v>
      </c>
      <c r="B149" s="11">
        <f>IF(VLOOKUP(A149,'DB Country PMI'!$A:$W,MATCH($A$1,'DB Country PMI'!$A$1:$W$1,),)=0,#N/A,VLOOKUP(A149,'DB Country PMI'!$A:$W,MATCH($A$1,'DB Country PMI'!$A$1:$W$1,),))</f>
        <v/>
      </c>
      <c r="C149" s="14">
        <f>Table1346811345[[#This Row],[PMI]]-B148</f>
        <v/>
      </c>
    </row>
    <row r="150">
      <c r="A150" s="8" t="n">
        <v>44044</v>
      </c>
      <c r="B150" s="11">
        <f>IF(VLOOKUP(A150,'DB Country PMI'!$A:$W,MATCH($A$1,'DB Country PMI'!$A$1:$W$1,),)=0,#N/A,VLOOKUP(A150,'DB Country PMI'!$A:$W,MATCH($A$1,'DB Country PMI'!$A$1:$W$1,),))</f>
        <v/>
      </c>
      <c r="C150" s="14">
        <f>Table1346811345[[#This Row],[PMI]]-B149</f>
        <v/>
      </c>
    </row>
    <row r="151">
      <c r="A151" s="8" t="n">
        <v>44075</v>
      </c>
      <c r="B151" s="11">
        <f>IF(VLOOKUP(A151,'DB Country PMI'!$A:$W,MATCH($A$1,'DB Country PMI'!$A$1:$W$1,),)=0,#N/A,VLOOKUP(A151,'DB Country PMI'!$A:$W,MATCH($A$1,'DB Country PMI'!$A$1:$W$1,),))</f>
        <v/>
      </c>
      <c r="C151" s="14">
        <f>Table1346811345[[#This Row],[PMI]]-B150</f>
        <v/>
      </c>
    </row>
    <row r="152">
      <c r="A152" s="8" t="n">
        <v>44105</v>
      </c>
      <c r="B152" s="11">
        <f>IF(VLOOKUP(A152,'DB Country PMI'!$A:$W,MATCH($A$1,'DB Country PMI'!$A$1:$W$1,),)=0,#N/A,VLOOKUP(A152,'DB Country PMI'!$A:$W,MATCH($A$1,'DB Country PMI'!$A$1:$W$1,),))</f>
        <v/>
      </c>
      <c r="C152" s="14">
        <f>Table1346811345[[#This Row],[PMI]]-B151</f>
        <v/>
      </c>
    </row>
    <row r="153">
      <c r="A153" s="8" t="n">
        <v>44136</v>
      </c>
      <c r="B153" s="11">
        <f>IF(VLOOKUP(A153,'DB Country PMI'!$A:$W,MATCH($A$1,'DB Country PMI'!$A$1:$W$1,),)=0,#N/A,VLOOKUP(A153,'DB Country PMI'!$A:$W,MATCH($A$1,'DB Country PMI'!$A$1:$W$1,),))</f>
        <v/>
      </c>
      <c r="C153" s="14">
        <f>Table1346811345[[#This Row],[PMI]]-B152</f>
        <v/>
      </c>
    </row>
    <row r="154">
      <c r="A154" s="8" t="n">
        <v>44166</v>
      </c>
      <c r="B154" s="11">
        <f>IF(VLOOKUP(A154,'DB Country PMI'!$A:$W,MATCH($A$1,'DB Country PMI'!$A$1:$W$1,),)=0,#N/A,VLOOKUP(A154,'DB Country PMI'!$A:$W,MATCH($A$1,'DB Country PMI'!$A$1:$W$1,),))</f>
        <v/>
      </c>
      <c r="C154" s="14">
        <f>Table1346811345[[#This Row],[PMI]]-B153</f>
        <v/>
      </c>
    </row>
    <row r="155">
      <c r="A155" s="8" t="n">
        <v>44197</v>
      </c>
      <c r="B155" s="11">
        <f>IF(VLOOKUP(A155,'DB Country PMI'!$A:$W,MATCH($A$1,'DB Country PMI'!$A$1:$W$1,),)=0,#N/A,VLOOKUP(A155,'DB Country PMI'!$A:$W,MATCH($A$1,'DB Country PMI'!$A$1:$W$1,),))</f>
        <v/>
      </c>
      <c r="C155" s="14">
        <f>Table1346811345[[#This Row],[PMI]]-B154</f>
        <v/>
      </c>
    </row>
    <row r="156">
      <c r="A156" s="8" t="n">
        <v>44228</v>
      </c>
      <c r="B156" s="11">
        <f>IF(VLOOKUP(A156,'DB Country PMI'!$A:$W,MATCH($A$1,'DB Country PMI'!$A$1:$W$1,),)=0,#N/A,VLOOKUP(A156,'DB Country PMI'!$A:$W,MATCH($A$1,'DB Country PMI'!$A$1:$W$1,),))</f>
        <v/>
      </c>
      <c r="C156" s="14">
        <f>Table1346811345[[#This Row],[PMI]]-B155</f>
        <v/>
      </c>
    </row>
    <row r="157">
      <c r="A157" s="8" t="n">
        <v>44256</v>
      </c>
      <c r="B157" s="11">
        <f>IF(VLOOKUP(A157,'DB Country PMI'!$A:$W,MATCH($A$1,'DB Country PMI'!$A$1:$W$1,),)=0,#N/A,VLOOKUP(A157,'DB Country PMI'!$A:$W,MATCH($A$1,'DB Country PMI'!$A$1:$W$1,),))</f>
        <v/>
      </c>
      <c r="C157" s="14">
        <f>Table1346811345[[#This Row],[PMI]]-B156</f>
        <v/>
      </c>
    </row>
    <row r="158">
      <c r="A158" s="8" t="n">
        <v>44287</v>
      </c>
      <c r="B158" s="11">
        <f>IF(VLOOKUP(A158,'DB Country PMI'!$A:$W,MATCH($A$1,'DB Country PMI'!$A$1:$W$1,),)=0,#N/A,VLOOKUP(A158,'DB Country PMI'!$A:$W,MATCH($A$1,'DB Country PMI'!$A$1:$W$1,),))</f>
        <v/>
      </c>
      <c r="C158" s="14">
        <f>Table1346811345[[#This Row],[PMI]]-B157</f>
        <v/>
      </c>
    </row>
    <row r="159">
      <c r="A159" s="8" t="n">
        <v>44317</v>
      </c>
      <c r="B159" s="11">
        <f>IF(VLOOKUP(A159,'DB Country PMI'!$A:$W,MATCH($A$1,'DB Country PMI'!$A$1:$W$1,),)=0,#N/A,VLOOKUP(A159,'DB Country PMI'!$A:$W,MATCH($A$1,'DB Country PMI'!$A$1:$W$1,),))</f>
        <v/>
      </c>
      <c r="C159" s="14">
        <f>Table1346811345[[#This Row],[PMI]]-B158</f>
        <v/>
      </c>
    </row>
    <row r="160">
      <c r="A160" s="8" t="n">
        <v>44348</v>
      </c>
      <c r="B160" s="11">
        <f>IF(VLOOKUP(A160,'DB Country PMI'!$A:$W,MATCH($A$1,'DB Country PMI'!$A$1:$W$1,),)=0,#N/A,VLOOKUP(A160,'DB Country PMI'!$A:$W,MATCH($A$1,'DB Country PMI'!$A$1:$W$1,),))</f>
        <v/>
      </c>
      <c r="C160" s="14">
        <f>Table1346811345[[#This Row],[PMI]]-B159</f>
        <v/>
      </c>
    </row>
    <row r="161">
      <c r="A161" s="8" t="n">
        <v>44378</v>
      </c>
      <c r="B161" s="11">
        <f>IF(VLOOKUP(A161,'DB Country PMI'!$A:$W,MATCH($A$1,'DB Country PMI'!$A$1:$W$1,),)=0,#N/A,VLOOKUP(A161,'DB Country PMI'!$A:$W,MATCH($A$1,'DB Country PMI'!$A$1:$W$1,),))</f>
        <v/>
      </c>
      <c r="C161" s="14">
        <f>Table1346811345[[#This Row],[PMI]]-B160</f>
        <v/>
      </c>
    </row>
    <row r="162">
      <c r="A162" s="8" t="n">
        <v>44409</v>
      </c>
      <c r="B162" s="11">
        <f>IF(VLOOKUP(A162,'DB Country PMI'!$A:$W,MATCH($A$1,'DB Country PMI'!$A$1:$W$1,),)=0,#N/A,VLOOKUP(A162,'DB Country PMI'!$A:$W,MATCH($A$1,'DB Country PMI'!$A$1:$W$1,),))</f>
        <v/>
      </c>
      <c r="C162" s="14">
        <f>Table1346811345[[#This Row],[PMI]]-B161</f>
        <v/>
      </c>
    </row>
    <row r="163">
      <c r="A163" s="8" t="n">
        <v>44440</v>
      </c>
      <c r="B163" s="11">
        <f>IF(VLOOKUP(A163,'DB Country PMI'!$A:$W,MATCH($A$1,'DB Country PMI'!$A$1:$W$1,),)=0,#N/A,VLOOKUP(A163,'DB Country PMI'!$A:$W,MATCH($A$1,'DB Country PMI'!$A$1:$W$1,),))</f>
        <v/>
      </c>
      <c r="C163" s="14">
        <f>Table1346811345[[#This Row],[PMI]]-B162</f>
        <v/>
      </c>
    </row>
    <row r="164">
      <c r="A164" s="8" t="n">
        <v>44470</v>
      </c>
      <c r="B164" s="11">
        <f>IF(VLOOKUP(A164,'DB Country PMI'!$A:$W,MATCH($A$1,'DB Country PMI'!$A$1:$W$1,),)=0,#N/A,VLOOKUP(A164,'DB Country PMI'!$A:$W,MATCH($A$1,'DB Country PMI'!$A$1:$W$1,),))</f>
        <v/>
      </c>
      <c r="C164" s="14">
        <f>Table1346811345[[#This Row],[PMI]]-B163</f>
        <v/>
      </c>
    </row>
    <row r="165">
      <c r="A165" s="8" t="n">
        <v>44501</v>
      </c>
      <c r="B165" s="11">
        <f>IF(VLOOKUP(A165,'DB Country PMI'!$A:$W,MATCH($A$1,'DB Country PMI'!$A$1:$W$1,),)=0,#N/A,VLOOKUP(A165,'DB Country PMI'!$A:$W,MATCH($A$1,'DB Country PMI'!$A$1:$W$1,),))</f>
        <v/>
      </c>
      <c r="C165" s="14">
        <f>Table1346811345[[#This Row],[PMI]]-B164</f>
        <v/>
      </c>
    </row>
    <row r="166">
      <c r="A166" s="8" t="n">
        <v>44531</v>
      </c>
      <c r="B166" s="11">
        <f>IF(VLOOKUP(A166,'DB Country PMI'!$A:$W,MATCH($A$1,'DB Country PMI'!$A$1:$W$1,),)=0,#N/A,VLOOKUP(A166,'DB Country PMI'!$A:$W,MATCH($A$1,'DB Country PMI'!$A$1:$W$1,),))</f>
        <v/>
      </c>
      <c r="C166" s="14">
        <f>Table1346811345[[#This Row],[PMI]]-B165</f>
        <v/>
      </c>
    </row>
    <row r="167">
      <c r="A167" s="8" t="n">
        <v>44562</v>
      </c>
      <c r="B167" s="11">
        <f>IF(VLOOKUP(A167,'DB Country PMI'!$A:$W,MATCH($A$1,'DB Country PMI'!$A$1:$W$1,),)=0,#N/A,VLOOKUP(A167,'DB Country PMI'!$A:$W,MATCH($A$1,'DB Country PMI'!$A$1:$W$1,),))</f>
        <v/>
      </c>
      <c r="C167" s="14">
        <f>Table1346811345[[#This Row],[PMI]]-B166</f>
        <v/>
      </c>
    </row>
    <row r="168">
      <c r="A168" s="8" t="n">
        <v>44593</v>
      </c>
      <c r="B168" s="11">
        <f>IF(VLOOKUP(A168,'DB Country PMI'!$A:$W,MATCH($A$1,'DB Country PMI'!$A$1:$W$1,),)=0,#N/A,VLOOKUP(A168,'DB Country PMI'!$A:$W,MATCH($A$1,'DB Country PMI'!$A$1:$W$1,),))</f>
        <v/>
      </c>
      <c r="C168" s="14">
        <f>Table1346811345[[#This Row],[PMI]]-B167</f>
        <v/>
      </c>
    </row>
    <row r="169">
      <c r="A169" s="8" t="n">
        <v>44621</v>
      </c>
      <c r="B169" s="11">
        <f>IF(VLOOKUP(A169,'DB Country PMI'!$A:$W,MATCH($A$1,'DB Country PMI'!$A$1:$W$1,),)=0,#N/A,VLOOKUP(A169,'DB Country PMI'!$A:$W,MATCH($A$1,'DB Country PMI'!$A$1:$W$1,),))</f>
        <v/>
      </c>
      <c r="C169" s="14">
        <f>Table1346811345[[#This Row],[PMI]]-B168</f>
        <v/>
      </c>
    </row>
  </sheetData>
  <conditionalFormatting sqref="C7:C169">
    <cfRule type="colorScale" priority="1">
      <colorScale>
        <cfvo type="min"/>
        <cfvo type="percentile" val="50"/>
        <cfvo type="max"/>
        <color rgb="FFF8696B"/>
        <color rgb="FFFCFCFF"/>
        <color rgb="FF5A8AC6"/>
      </colorScale>
    </cfRule>
  </conditionalFormatting>
  <conditionalFormatting sqref="B6:B169">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9.xml><?xml version="1.0" encoding="utf-8"?>
<worksheet xmlns="http://schemas.openxmlformats.org/spreadsheetml/2006/main">
  <sheetPr>
    <outlinePr summaryBelow="1" summaryRight="1"/>
    <pageSetUpPr/>
  </sheetPr>
  <dimension ref="A1:J182"/>
  <sheetViews>
    <sheetView zoomScale="150" zoomScaleNormal="150" workbookViewId="0">
      <pane ySplit="5" topLeftCell="A163" activePane="bottomLeft" state="frozen"/>
      <selection pane="bottomLeft" activeCell="A178" sqref="A178:C182"/>
    </sheetView>
  </sheetViews>
  <sheetFormatPr baseColWidth="10" defaultColWidth="9.1640625" defaultRowHeight="15"/>
  <cols>
    <col width="13.5" customWidth="1" style="60" min="1" max="1"/>
    <col width="11.33203125" customWidth="1" style="60" min="2" max="2"/>
    <col width="9.1640625" customWidth="1" style="60" min="3" max="7"/>
    <col width="9.1640625" customWidth="1" style="60" min="8" max="16384"/>
  </cols>
  <sheetData>
    <row r="1">
      <c r="A1" s="60" t="inlineStr">
        <is>
          <t>Germany</t>
        </is>
      </c>
      <c r="J1" s="60" t="inlineStr">
        <is>
          <t xml:space="preserve"> Services PMI</t>
        </is>
      </c>
    </row>
    <row r="2">
      <c r="J2" s="60" t="inlineStr">
        <is>
          <t>Germany Services PMI</t>
        </is>
      </c>
    </row>
    <row r="4" ht="16" customHeight="1" s="38" thickBot="1"/>
    <row r="5" ht="16" customHeight="1" s="38" thickBot="1">
      <c r="A5" s="12" t="inlineStr">
        <is>
          <t>Date</t>
        </is>
      </c>
      <c r="B5" s="13" t="inlineStr">
        <is>
          <t>PMI</t>
        </is>
      </c>
      <c r="C5" s="13" t="inlineStr">
        <is>
          <t>mom</t>
        </is>
      </c>
    </row>
    <row r="6">
      <c r="A6" s="10" t="n">
        <v>39264</v>
      </c>
      <c r="B6" s="11">
        <f>IF(VLOOKUP(A6,'DB Country PMI'!$A:$W,MATCH($A$1,'DB Country PMI'!$A$1:$W$1,),)=0,#N/A,VLOOKUP(A6,'DB Country PMI'!$A:$W,MATCH($A$1,'DB Country PMI'!$A$1:$W$1,),))</f>
        <v/>
      </c>
      <c r="C6" s="11" t="n"/>
    </row>
    <row r="7">
      <c r="A7" s="8" t="n">
        <v>39295</v>
      </c>
      <c r="B7" s="11">
        <f>IF(VLOOKUP(A7,'DB Country PMI'!$A:$W,MATCH($A$1,'DB Country PMI'!$A$1:$W$1,),)=0,#N/A,VLOOKUP(A7,'DB Country PMI'!$A:$W,MATCH($A$1,'DB Country PMI'!$A$1:$W$1,),))</f>
        <v/>
      </c>
      <c r="C7" s="14">
        <f>Table13468113456[[#This Row],[PMI]]-B6</f>
        <v/>
      </c>
    </row>
    <row r="8">
      <c r="A8" s="8" t="n">
        <v>39326</v>
      </c>
      <c r="B8" s="11">
        <f>IF(VLOOKUP(A8,'DB Country PMI'!$A:$W,MATCH($A$1,'DB Country PMI'!$A$1:$W$1,),)=0,#N/A,VLOOKUP(A8,'DB Country PMI'!$A:$W,MATCH($A$1,'DB Country PMI'!$A$1:$W$1,),))</f>
        <v/>
      </c>
      <c r="C8" s="14">
        <f>Table13468113456[[#This Row],[PMI]]-B7</f>
        <v/>
      </c>
    </row>
    <row r="9">
      <c r="A9" s="8" t="n">
        <v>39356</v>
      </c>
      <c r="B9" s="11">
        <f>IF(VLOOKUP(A9,'DB Country PMI'!$A:$W,MATCH($A$1,'DB Country PMI'!$A$1:$W$1,),)=0,#N/A,VLOOKUP(A9,'DB Country PMI'!$A:$W,MATCH($A$1,'DB Country PMI'!$A$1:$W$1,),))</f>
        <v/>
      </c>
      <c r="C9" s="14">
        <f>Table13468113456[[#This Row],[PMI]]-B8</f>
        <v/>
      </c>
    </row>
    <row r="10">
      <c r="A10" s="8" t="n">
        <v>39387</v>
      </c>
      <c r="B10" s="11">
        <f>IF(VLOOKUP(A10,'DB Country PMI'!$A:$W,MATCH($A$1,'DB Country PMI'!$A$1:$W$1,),)=0,#N/A,VLOOKUP(A10,'DB Country PMI'!$A:$W,MATCH($A$1,'DB Country PMI'!$A$1:$W$1,),))</f>
        <v/>
      </c>
      <c r="C10" s="14">
        <f>Table13468113456[[#This Row],[PMI]]-B9</f>
        <v/>
      </c>
    </row>
    <row r="11">
      <c r="A11" s="8" t="n">
        <v>39417</v>
      </c>
      <c r="B11" s="11">
        <f>IF(VLOOKUP(A11,'DB Country PMI'!$A:$W,MATCH($A$1,'DB Country PMI'!$A$1:$W$1,),)=0,#N/A,VLOOKUP(A11,'DB Country PMI'!$A:$W,MATCH($A$1,'DB Country PMI'!$A$1:$W$1,),))</f>
        <v/>
      </c>
      <c r="C11" s="14">
        <f>Table13468113456[[#This Row],[PMI]]-B10</f>
        <v/>
      </c>
    </row>
    <row r="12">
      <c r="A12" s="8" t="n">
        <v>39448</v>
      </c>
      <c r="B12" s="11">
        <f>IF(VLOOKUP(A12,'DB Country PMI'!$A:$W,MATCH($A$1,'DB Country PMI'!$A$1:$W$1,),)=0,#N/A,VLOOKUP(A12,'DB Country PMI'!$A:$W,MATCH($A$1,'DB Country PMI'!$A$1:$W$1,),))</f>
        <v/>
      </c>
      <c r="C12" s="14">
        <f>Table13468113456[[#This Row],[PMI]]-B11</f>
        <v/>
      </c>
    </row>
    <row r="13">
      <c r="A13" s="8" t="n">
        <v>39479</v>
      </c>
      <c r="B13" s="11">
        <f>IF(VLOOKUP(A13,'DB Country PMI'!$A:$W,MATCH($A$1,'DB Country PMI'!$A$1:$W$1,),)=0,#N/A,VLOOKUP(A13,'DB Country PMI'!$A:$W,MATCH($A$1,'DB Country PMI'!$A$1:$W$1,),))</f>
        <v/>
      </c>
      <c r="C13" s="14">
        <f>Table13468113456[[#This Row],[PMI]]-B12</f>
        <v/>
      </c>
    </row>
    <row r="14">
      <c r="A14" s="8" t="n">
        <v>39508</v>
      </c>
      <c r="B14" s="11">
        <f>IF(VLOOKUP(A14,'DB Country PMI'!$A:$W,MATCH($A$1,'DB Country PMI'!$A$1:$W$1,),)=0,#N/A,VLOOKUP(A14,'DB Country PMI'!$A:$W,MATCH($A$1,'DB Country PMI'!$A$1:$W$1,),))</f>
        <v/>
      </c>
      <c r="C14" s="14">
        <f>Table13468113456[[#This Row],[PMI]]-B13</f>
        <v/>
      </c>
    </row>
    <row r="15">
      <c r="A15" s="8" t="n">
        <v>39539</v>
      </c>
      <c r="B15" s="11">
        <f>IF(VLOOKUP(A15,'DB Country PMI'!$A:$W,MATCH($A$1,'DB Country PMI'!$A$1:$W$1,),)=0,#N/A,VLOOKUP(A15,'DB Country PMI'!$A:$W,MATCH($A$1,'DB Country PMI'!$A$1:$W$1,),))</f>
        <v/>
      </c>
      <c r="C15" s="14">
        <f>Table13468113456[[#This Row],[PMI]]-B14</f>
        <v/>
      </c>
    </row>
    <row r="16">
      <c r="A16" s="8" t="n">
        <v>39569</v>
      </c>
      <c r="B16" s="11">
        <f>IF(VLOOKUP(A16,'DB Country PMI'!$A:$W,MATCH($A$1,'DB Country PMI'!$A$1:$W$1,),)=0,#N/A,VLOOKUP(A16,'DB Country PMI'!$A:$W,MATCH($A$1,'DB Country PMI'!$A$1:$W$1,),))</f>
        <v/>
      </c>
      <c r="C16" s="14">
        <f>Table13468113456[[#This Row],[PMI]]-B15</f>
        <v/>
      </c>
    </row>
    <row r="17">
      <c r="A17" s="8" t="n">
        <v>39600</v>
      </c>
      <c r="B17" s="11">
        <f>IF(VLOOKUP(A17,'DB Country PMI'!$A:$W,MATCH($A$1,'DB Country PMI'!$A$1:$W$1,),)=0,#N/A,VLOOKUP(A17,'DB Country PMI'!$A:$W,MATCH($A$1,'DB Country PMI'!$A$1:$W$1,),))</f>
        <v/>
      </c>
      <c r="C17" s="14">
        <f>Table13468113456[[#This Row],[PMI]]-B16</f>
        <v/>
      </c>
    </row>
    <row r="18">
      <c r="A18" s="8" t="n">
        <v>39630</v>
      </c>
      <c r="B18" s="11">
        <f>IF(VLOOKUP(A18,'DB Country PMI'!$A:$W,MATCH($A$1,'DB Country PMI'!$A$1:$W$1,),)=0,#N/A,VLOOKUP(A18,'DB Country PMI'!$A:$W,MATCH($A$1,'DB Country PMI'!$A$1:$W$1,),))</f>
        <v/>
      </c>
      <c r="C18" s="14">
        <f>Table13468113456[[#This Row],[PMI]]-B17</f>
        <v/>
      </c>
    </row>
    <row r="19">
      <c r="A19" s="8" t="n">
        <v>39661</v>
      </c>
      <c r="B19" s="11">
        <f>IF(VLOOKUP(A19,'DB Country PMI'!$A:$W,MATCH($A$1,'DB Country PMI'!$A$1:$W$1,),)=0,#N/A,VLOOKUP(A19,'DB Country PMI'!$A:$W,MATCH($A$1,'DB Country PMI'!$A$1:$W$1,),))</f>
        <v/>
      </c>
      <c r="C19" s="14">
        <f>Table13468113456[[#This Row],[PMI]]-B18</f>
        <v/>
      </c>
    </row>
    <row r="20">
      <c r="A20" s="8" t="n">
        <v>39692</v>
      </c>
      <c r="B20" s="11">
        <f>IF(VLOOKUP(A20,'DB Country PMI'!$A:$W,MATCH($A$1,'DB Country PMI'!$A$1:$W$1,),)=0,#N/A,VLOOKUP(A20,'DB Country PMI'!$A:$W,MATCH($A$1,'DB Country PMI'!$A$1:$W$1,),))</f>
        <v/>
      </c>
      <c r="C20" s="14">
        <f>Table13468113456[[#This Row],[PMI]]-B19</f>
        <v/>
      </c>
    </row>
    <row r="21">
      <c r="A21" s="8" t="n">
        <v>39722</v>
      </c>
      <c r="B21" s="11">
        <f>IF(VLOOKUP(A21,'DB Country PMI'!$A:$W,MATCH($A$1,'DB Country PMI'!$A$1:$W$1,),)=0,#N/A,VLOOKUP(A21,'DB Country PMI'!$A:$W,MATCH($A$1,'DB Country PMI'!$A$1:$W$1,),))</f>
        <v/>
      </c>
      <c r="C21" s="14">
        <f>Table13468113456[[#This Row],[PMI]]-B20</f>
        <v/>
      </c>
    </row>
    <row r="22">
      <c r="A22" s="8" t="n">
        <v>39753</v>
      </c>
      <c r="B22" s="11">
        <f>IF(VLOOKUP(A22,'DB Country PMI'!$A:$W,MATCH($A$1,'DB Country PMI'!$A$1:$W$1,),)=0,#N/A,VLOOKUP(A22,'DB Country PMI'!$A:$W,MATCH($A$1,'DB Country PMI'!$A$1:$W$1,),))</f>
        <v/>
      </c>
      <c r="C22" s="14">
        <f>Table13468113456[[#This Row],[PMI]]-B21</f>
        <v/>
      </c>
    </row>
    <row r="23">
      <c r="A23" s="8" t="n">
        <v>39783</v>
      </c>
      <c r="B23" s="11">
        <f>IF(VLOOKUP(A23,'DB Country PMI'!$A:$W,MATCH($A$1,'DB Country PMI'!$A$1:$W$1,),)=0,#N/A,VLOOKUP(A23,'DB Country PMI'!$A:$W,MATCH($A$1,'DB Country PMI'!$A$1:$W$1,),))</f>
        <v/>
      </c>
      <c r="C23" s="14">
        <f>Table13468113456[[#This Row],[PMI]]-B22</f>
        <v/>
      </c>
    </row>
    <row r="24">
      <c r="A24" s="8" t="n">
        <v>39814</v>
      </c>
      <c r="B24" s="11">
        <f>IF(VLOOKUP(A24,'DB Country PMI'!$A:$W,MATCH($A$1,'DB Country PMI'!$A$1:$W$1,),)=0,#N/A,VLOOKUP(A24,'DB Country PMI'!$A:$W,MATCH($A$1,'DB Country PMI'!$A$1:$W$1,),))</f>
        <v/>
      </c>
      <c r="C24" s="14">
        <f>Table13468113456[[#This Row],[PMI]]-B23</f>
        <v/>
      </c>
    </row>
    <row r="25">
      <c r="A25" s="8" t="n">
        <v>39845</v>
      </c>
      <c r="B25" s="11">
        <f>IF(VLOOKUP(A25,'DB Country PMI'!$A:$W,MATCH($A$1,'DB Country PMI'!$A$1:$W$1,),)=0,#N/A,VLOOKUP(A25,'DB Country PMI'!$A:$W,MATCH($A$1,'DB Country PMI'!$A$1:$W$1,),))</f>
        <v/>
      </c>
      <c r="C25" s="14">
        <f>Table13468113456[[#This Row],[PMI]]-B24</f>
        <v/>
      </c>
    </row>
    <row r="26">
      <c r="A26" s="8" t="n">
        <v>39873</v>
      </c>
      <c r="B26" s="11">
        <f>IF(VLOOKUP(A26,'DB Country PMI'!$A:$W,MATCH($A$1,'DB Country PMI'!$A$1:$W$1,),)=0,#N/A,VLOOKUP(A26,'DB Country PMI'!$A:$W,MATCH($A$1,'DB Country PMI'!$A$1:$W$1,),))</f>
        <v/>
      </c>
      <c r="C26" s="14">
        <f>Table13468113456[[#This Row],[PMI]]-B25</f>
        <v/>
      </c>
    </row>
    <row r="27">
      <c r="A27" s="8" t="n">
        <v>39904</v>
      </c>
      <c r="B27" s="11">
        <f>IF(VLOOKUP(A27,'DB Country PMI'!$A:$W,MATCH($A$1,'DB Country PMI'!$A$1:$W$1,),)=0,#N/A,VLOOKUP(A27,'DB Country PMI'!$A:$W,MATCH($A$1,'DB Country PMI'!$A$1:$W$1,),))</f>
        <v/>
      </c>
      <c r="C27" s="14">
        <f>Table13468113456[[#This Row],[PMI]]-B26</f>
        <v/>
      </c>
    </row>
    <row r="28">
      <c r="A28" s="8" t="n">
        <v>39934</v>
      </c>
      <c r="B28" s="11">
        <f>IF(VLOOKUP(A28,'DB Country PMI'!$A:$W,MATCH($A$1,'DB Country PMI'!$A$1:$W$1,),)=0,#N/A,VLOOKUP(A28,'DB Country PMI'!$A:$W,MATCH($A$1,'DB Country PMI'!$A$1:$W$1,),))</f>
        <v/>
      </c>
      <c r="C28" s="14">
        <f>Table13468113456[[#This Row],[PMI]]-B27</f>
        <v/>
      </c>
    </row>
    <row r="29">
      <c r="A29" s="8" t="n">
        <v>39965</v>
      </c>
      <c r="B29" s="11">
        <f>IF(VLOOKUP(A29,'DB Country PMI'!$A:$W,MATCH($A$1,'DB Country PMI'!$A$1:$W$1,),)=0,#N/A,VLOOKUP(A29,'DB Country PMI'!$A:$W,MATCH($A$1,'DB Country PMI'!$A$1:$W$1,),))</f>
        <v/>
      </c>
      <c r="C29" s="14">
        <f>Table13468113456[[#This Row],[PMI]]-B28</f>
        <v/>
      </c>
    </row>
    <row r="30">
      <c r="A30" s="8" t="n">
        <v>39995</v>
      </c>
      <c r="B30" s="11">
        <f>IF(VLOOKUP(A30,'DB Country PMI'!$A:$W,MATCH($A$1,'DB Country PMI'!$A$1:$W$1,),)=0,#N/A,VLOOKUP(A30,'DB Country PMI'!$A:$W,MATCH($A$1,'DB Country PMI'!$A$1:$W$1,),))</f>
        <v/>
      </c>
      <c r="C30" s="14">
        <f>Table13468113456[[#This Row],[PMI]]-B29</f>
        <v/>
      </c>
    </row>
    <row r="31">
      <c r="A31" s="8" t="n">
        <v>40026</v>
      </c>
      <c r="B31" s="11">
        <f>IF(VLOOKUP(A31,'DB Country PMI'!$A:$W,MATCH($A$1,'DB Country PMI'!$A$1:$W$1,),)=0,#N/A,VLOOKUP(A31,'DB Country PMI'!$A:$W,MATCH($A$1,'DB Country PMI'!$A$1:$W$1,),))</f>
        <v/>
      </c>
      <c r="C31" s="14">
        <f>Table13468113456[[#This Row],[PMI]]-B30</f>
        <v/>
      </c>
    </row>
    <row r="32">
      <c r="A32" s="8" t="n">
        <v>40057</v>
      </c>
      <c r="B32" s="11">
        <f>IF(VLOOKUP(A32,'DB Country PMI'!$A:$W,MATCH($A$1,'DB Country PMI'!$A$1:$W$1,),)=0,#N/A,VLOOKUP(A32,'DB Country PMI'!$A:$W,MATCH($A$1,'DB Country PMI'!$A$1:$W$1,),))</f>
        <v/>
      </c>
      <c r="C32" s="14">
        <f>Table13468113456[[#This Row],[PMI]]-B31</f>
        <v/>
      </c>
    </row>
    <row r="33">
      <c r="A33" s="8" t="n">
        <v>40087</v>
      </c>
      <c r="B33" s="11">
        <f>IF(VLOOKUP(A33,'DB Country PMI'!$A:$W,MATCH($A$1,'DB Country PMI'!$A$1:$W$1,),)=0,#N/A,VLOOKUP(A33,'DB Country PMI'!$A:$W,MATCH($A$1,'DB Country PMI'!$A$1:$W$1,),))</f>
        <v/>
      </c>
      <c r="C33" s="14">
        <f>Table13468113456[[#This Row],[PMI]]-B32</f>
        <v/>
      </c>
    </row>
    <row r="34">
      <c r="A34" s="8" t="n">
        <v>40118</v>
      </c>
      <c r="B34" s="11">
        <f>IF(VLOOKUP(A34,'DB Country PMI'!$A:$W,MATCH($A$1,'DB Country PMI'!$A$1:$W$1,),)=0,#N/A,VLOOKUP(A34,'DB Country PMI'!$A:$W,MATCH($A$1,'DB Country PMI'!$A$1:$W$1,),))</f>
        <v/>
      </c>
      <c r="C34" s="14">
        <f>Table13468113456[[#This Row],[PMI]]-B33</f>
        <v/>
      </c>
    </row>
    <row r="35">
      <c r="A35" s="8" t="n">
        <v>40148</v>
      </c>
      <c r="B35" s="11">
        <f>IF(VLOOKUP(A35,'DB Country PMI'!$A:$W,MATCH($A$1,'DB Country PMI'!$A$1:$W$1,),)=0,#N/A,VLOOKUP(A35,'DB Country PMI'!$A:$W,MATCH($A$1,'DB Country PMI'!$A$1:$W$1,),))</f>
        <v/>
      </c>
      <c r="C35" s="14">
        <f>Table13468113456[[#This Row],[PMI]]-B34</f>
        <v/>
      </c>
    </row>
    <row r="36">
      <c r="A36" s="8" t="n">
        <v>40179</v>
      </c>
      <c r="B36" s="11">
        <f>IF(VLOOKUP(A36,'DB Country PMI'!$A:$W,MATCH($A$1,'DB Country PMI'!$A$1:$W$1,),)=0,#N/A,VLOOKUP(A36,'DB Country PMI'!$A:$W,MATCH($A$1,'DB Country PMI'!$A$1:$W$1,),))</f>
        <v/>
      </c>
      <c r="C36" s="14">
        <f>Table13468113456[[#This Row],[PMI]]-B35</f>
        <v/>
      </c>
    </row>
    <row r="37">
      <c r="A37" s="8" t="n">
        <v>40210</v>
      </c>
      <c r="B37" s="11">
        <f>IF(VLOOKUP(A37,'DB Country PMI'!$A:$W,MATCH($A$1,'DB Country PMI'!$A$1:$W$1,),)=0,#N/A,VLOOKUP(A37,'DB Country PMI'!$A:$W,MATCH($A$1,'DB Country PMI'!$A$1:$W$1,),))</f>
        <v/>
      </c>
      <c r="C37" s="14">
        <f>Table13468113456[[#This Row],[PMI]]-B36</f>
        <v/>
      </c>
    </row>
    <row r="38">
      <c r="A38" s="8" t="n">
        <v>40238</v>
      </c>
      <c r="B38" s="11">
        <f>IF(VLOOKUP(A38,'DB Country PMI'!$A:$W,MATCH($A$1,'DB Country PMI'!$A$1:$W$1,),)=0,#N/A,VLOOKUP(A38,'DB Country PMI'!$A:$W,MATCH($A$1,'DB Country PMI'!$A$1:$W$1,),))</f>
        <v/>
      </c>
      <c r="C38" s="14">
        <f>Table13468113456[[#This Row],[PMI]]-B37</f>
        <v/>
      </c>
    </row>
    <row r="39">
      <c r="A39" s="8" t="n">
        <v>40269</v>
      </c>
      <c r="B39" s="11">
        <f>IF(VLOOKUP(A39,'DB Country PMI'!$A:$W,MATCH($A$1,'DB Country PMI'!$A$1:$W$1,),)=0,#N/A,VLOOKUP(A39,'DB Country PMI'!$A:$W,MATCH($A$1,'DB Country PMI'!$A$1:$W$1,),))</f>
        <v/>
      </c>
      <c r="C39" s="14">
        <f>Table13468113456[[#This Row],[PMI]]-B38</f>
        <v/>
      </c>
    </row>
    <row r="40">
      <c r="A40" s="8" t="n">
        <v>40299</v>
      </c>
      <c r="B40" s="11">
        <f>IF(VLOOKUP(A40,'DB Country PMI'!$A:$W,MATCH($A$1,'DB Country PMI'!$A$1:$W$1,),)=0,#N/A,VLOOKUP(A40,'DB Country PMI'!$A:$W,MATCH($A$1,'DB Country PMI'!$A$1:$W$1,),))</f>
        <v/>
      </c>
      <c r="C40" s="14">
        <f>Table13468113456[[#This Row],[PMI]]-B39</f>
        <v/>
      </c>
    </row>
    <row r="41">
      <c r="A41" s="8" t="n">
        <v>40330</v>
      </c>
      <c r="B41" s="11">
        <f>IF(VLOOKUP(A41,'DB Country PMI'!$A:$W,MATCH($A$1,'DB Country PMI'!$A$1:$W$1,),)=0,#N/A,VLOOKUP(A41,'DB Country PMI'!$A:$W,MATCH($A$1,'DB Country PMI'!$A$1:$W$1,),))</f>
        <v/>
      </c>
      <c r="C41" s="14">
        <f>Table13468113456[[#This Row],[PMI]]-B40</f>
        <v/>
      </c>
    </row>
    <row r="42">
      <c r="A42" s="8" t="n">
        <v>40360</v>
      </c>
      <c r="B42" s="11">
        <f>IF(VLOOKUP(A42,'DB Country PMI'!$A:$W,MATCH($A$1,'DB Country PMI'!$A$1:$W$1,),)=0,#N/A,VLOOKUP(A42,'DB Country PMI'!$A:$W,MATCH($A$1,'DB Country PMI'!$A$1:$W$1,),))</f>
        <v/>
      </c>
      <c r="C42" s="14">
        <f>Table13468113456[[#This Row],[PMI]]-B41</f>
        <v/>
      </c>
    </row>
    <row r="43">
      <c r="A43" s="8" t="n">
        <v>40391</v>
      </c>
      <c r="B43" s="11">
        <f>IF(VLOOKUP(A43,'DB Country PMI'!$A:$W,MATCH($A$1,'DB Country PMI'!$A$1:$W$1,),)=0,#N/A,VLOOKUP(A43,'DB Country PMI'!$A:$W,MATCH($A$1,'DB Country PMI'!$A$1:$W$1,),))</f>
        <v/>
      </c>
      <c r="C43" s="14">
        <f>Table13468113456[[#This Row],[PMI]]-B42</f>
        <v/>
      </c>
    </row>
    <row r="44">
      <c r="A44" s="8" t="n">
        <v>40422</v>
      </c>
      <c r="B44" s="11">
        <f>IF(VLOOKUP(A44,'DB Country PMI'!$A:$W,MATCH($A$1,'DB Country PMI'!$A$1:$W$1,),)=0,#N/A,VLOOKUP(A44,'DB Country PMI'!$A:$W,MATCH($A$1,'DB Country PMI'!$A$1:$W$1,),))</f>
        <v/>
      </c>
      <c r="C44" s="14">
        <f>Table13468113456[[#This Row],[PMI]]-B43</f>
        <v/>
      </c>
    </row>
    <row r="45">
      <c r="A45" s="8" t="n">
        <v>40452</v>
      </c>
      <c r="B45" s="11">
        <f>IF(VLOOKUP(A45,'DB Country PMI'!$A:$W,MATCH($A$1,'DB Country PMI'!$A$1:$W$1,),)=0,#N/A,VLOOKUP(A45,'DB Country PMI'!$A:$W,MATCH($A$1,'DB Country PMI'!$A$1:$W$1,),))</f>
        <v/>
      </c>
      <c r="C45" s="14">
        <f>Table13468113456[[#This Row],[PMI]]-B44</f>
        <v/>
      </c>
    </row>
    <row r="46">
      <c r="A46" s="8" t="n">
        <v>40483</v>
      </c>
      <c r="B46" s="11">
        <f>IF(VLOOKUP(A46,'DB Country PMI'!$A:$W,MATCH($A$1,'DB Country PMI'!$A$1:$W$1,),)=0,#N/A,VLOOKUP(A46,'DB Country PMI'!$A:$W,MATCH($A$1,'DB Country PMI'!$A$1:$W$1,),))</f>
        <v/>
      </c>
      <c r="C46" s="14">
        <f>Table13468113456[[#This Row],[PMI]]-B45</f>
        <v/>
      </c>
    </row>
    <row r="47">
      <c r="A47" s="8" t="n">
        <v>40513</v>
      </c>
      <c r="B47" s="11">
        <f>IF(VLOOKUP(A47,'DB Country PMI'!$A:$W,MATCH($A$1,'DB Country PMI'!$A$1:$W$1,),)=0,#N/A,VLOOKUP(A47,'DB Country PMI'!$A:$W,MATCH($A$1,'DB Country PMI'!$A$1:$W$1,),))</f>
        <v/>
      </c>
      <c r="C47" s="14">
        <f>Table13468113456[[#This Row],[PMI]]-B46</f>
        <v/>
      </c>
    </row>
    <row r="48">
      <c r="A48" s="8" t="n">
        <v>40544</v>
      </c>
      <c r="B48" s="11">
        <f>IF(VLOOKUP(A48,'DB Country PMI'!$A:$W,MATCH($A$1,'DB Country PMI'!$A$1:$W$1,),)=0,#N/A,VLOOKUP(A48,'DB Country PMI'!$A:$W,MATCH($A$1,'DB Country PMI'!$A$1:$W$1,),))</f>
        <v/>
      </c>
      <c r="C48" s="14">
        <f>Table13468113456[[#This Row],[PMI]]-B47</f>
        <v/>
      </c>
    </row>
    <row r="49">
      <c r="A49" s="8" t="n">
        <v>40575</v>
      </c>
      <c r="B49" s="11">
        <f>IF(VLOOKUP(A49,'DB Country PMI'!$A:$W,MATCH($A$1,'DB Country PMI'!$A$1:$W$1,),)=0,#N/A,VLOOKUP(A49,'DB Country PMI'!$A:$W,MATCH($A$1,'DB Country PMI'!$A$1:$W$1,),))</f>
        <v/>
      </c>
      <c r="C49" s="14">
        <f>Table13468113456[[#This Row],[PMI]]-B48</f>
        <v/>
      </c>
    </row>
    <row r="50">
      <c r="A50" s="8" t="n">
        <v>40603</v>
      </c>
      <c r="B50" s="11">
        <f>IF(VLOOKUP(A50,'DB Country PMI'!$A:$W,MATCH($A$1,'DB Country PMI'!$A$1:$W$1,),)=0,#N/A,VLOOKUP(A50,'DB Country PMI'!$A:$W,MATCH($A$1,'DB Country PMI'!$A$1:$W$1,),))</f>
        <v/>
      </c>
      <c r="C50" s="14">
        <f>Table13468113456[[#This Row],[PMI]]-B49</f>
        <v/>
      </c>
    </row>
    <row r="51">
      <c r="A51" s="8" t="n">
        <v>40634</v>
      </c>
      <c r="B51" s="11">
        <f>IF(VLOOKUP(A51,'DB Country PMI'!$A:$W,MATCH($A$1,'DB Country PMI'!$A$1:$W$1,),)=0,#N/A,VLOOKUP(A51,'DB Country PMI'!$A:$W,MATCH($A$1,'DB Country PMI'!$A$1:$W$1,),))</f>
        <v/>
      </c>
      <c r="C51" s="14">
        <f>Table13468113456[[#This Row],[PMI]]-B50</f>
        <v/>
      </c>
    </row>
    <row r="52">
      <c r="A52" s="8" t="n">
        <v>40664</v>
      </c>
      <c r="B52" s="11">
        <f>IF(VLOOKUP(A52,'DB Country PMI'!$A:$W,MATCH($A$1,'DB Country PMI'!$A$1:$W$1,),)=0,#N/A,VLOOKUP(A52,'DB Country PMI'!$A:$W,MATCH($A$1,'DB Country PMI'!$A$1:$W$1,),))</f>
        <v/>
      </c>
      <c r="C52" s="14">
        <f>Table13468113456[[#This Row],[PMI]]-B51</f>
        <v/>
      </c>
    </row>
    <row r="53">
      <c r="A53" s="8" t="n">
        <v>40695</v>
      </c>
      <c r="B53" s="11">
        <f>IF(VLOOKUP(A53,'DB Country PMI'!$A:$W,MATCH($A$1,'DB Country PMI'!$A$1:$W$1,),)=0,#N/A,VLOOKUP(A53,'DB Country PMI'!$A:$W,MATCH($A$1,'DB Country PMI'!$A$1:$W$1,),))</f>
        <v/>
      </c>
      <c r="C53" s="14">
        <f>Table13468113456[[#This Row],[PMI]]-B52</f>
        <v/>
      </c>
    </row>
    <row r="54">
      <c r="A54" s="8" t="n">
        <v>40725</v>
      </c>
      <c r="B54" s="11">
        <f>IF(VLOOKUP(A54,'DB Country PMI'!$A:$W,MATCH($A$1,'DB Country PMI'!$A$1:$W$1,),)=0,#N/A,VLOOKUP(A54,'DB Country PMI'!$A:$W,MATCH($A$1,'DB Country PMI'!$A$1:$W$1,),))</f>
        <v/>
      </c>
      <c r="C54" s="14">
        <f>Table13468113456[[#This Row],[PMI]]-B53</f>
        <v/>
      </c>
    </row>
    <row r="55">
      <c r="A55" s="8" t="n">
        <v>40756</v>
      </c>
      <c r="B55" s="11">
        <f>IF(VLOOKUP(A55,'DB Country PMI'!$A:$W,MATCH($A$1,'DB Country PMI'!$A$1:$W$1,),)=0,#N/A,VLOOKUP(A55,'DB Country PMI'!$A:$W,MATCH($A$1,'DB Country PMI'!$A$1:$W$1,),))</f>
        <v/>
      </c>
      <c r="C55" s="14">
        <f>Table13468113456[[#This Row],[PMI]]-B54</f>
        <v/>
      </c>
    </row>
    <row r="56">
      <c r="A56" s="8" t="n">
        <v>40787</v>
      </c>
      <c r="B56" s="11">
        <f>IF(VLOOKUP(A56,'DB Country PMI'!$A:$W,MATCH($A$1,'DB Country PMI'!$A$1:$W$1,),)=0,#N/A,VLOOKUP(A56,'DB Country PMI'!$A:$W,MATCH($A$1,'DB Country PMI'!$A$1:$W$1,),))</f>
        <v/>
      </c>
      <c r="C56" s="14">
        <f>Table13468113456[[#This Row],[PMI]]-B55</f>
        <v/>
      </c>
    </row>
    <row r="57">
      <c r="A57" s="8" t="n">
        <v>40817</v>
      </c>
      <c r="B57" s="11">
        <f>IF(VLOOKUP(A57,'DB Country PMI'!$A:$W,MATCH($A$1,'DB Country PMI'!$A$1:$W$1,),)=0,#N/A,VLOOKUP(A57,'DB Country PMI'!$A:$W,MATCH($A$1,'DB Country PMI'!$A$1:$W$1,),))</f>
        <v/>
      </c>
      <c r="C57" s="14">
        <f>Table13468113456[[#This Row],[PMI]]-B56</f>
        <v/>
      </c>
    </row>
    <row r="58">
      <c r="A58" s="8" t="n">
        <v>40848</v>
      </c>
      <c r="B58" s="11">
        <f>IF(VLOOKUP(A58,'DB Country PMI'!$A:$W,MATCH($A$1,'DB Country PMI'!$A$1:$W$1,),)=0,#N/A,VLOOKUP(A58,'DB Country PMI'!$A:$W,MATCH($A$1,'DB Country PMI'!$A$1:$W$1,),))</f>
        <v/>
      </c>
      <c r="C58" s="14">
        <f>Table13468113456[[#This Row],[PMI]]-B57</f>
        <v/>
      </c>
    </row>
    <row r="59">
      <c r="A59" s="8" t="n">
        <v>40878</v>
      </c>
      <c r="B59" s="11">
        <f>IF(VLOOKUP(A59,'DB Country PMI'!$A:$W,MATCH($A$1,'DB Country PMI'!$A$1:$W$1,),)=0,#N/A,VLOOKUP(A59,'DB Country PMI'!$A:$W,MATCH($A$1,'DB Country PMI'!$A$1:$W$1,),))</f>
        <v/>
      </c>
      <c r="C59" s="14">
        <f>Table13468113456[[#This Row],[PMI]]-B58</f>
        <v/>
      </c>
    </row>
    <row r="60">
      <c r="A60" s="8" t="n">
        <v>40909</v>
      </c>
      <c r="B60" s="11">
        <f>IF(VLOOKUP(A60,'DB Country PMI'!$A:$W,MATCH($A$1,'DB Country PMI'!$A$1:$W$1,),)=0,#N/A,VLOOKUP(A60,'DB Country PMI'!$A:$W,MATCH($A$1,'DB Country PMI'!$A$1:$W$1,),))</f>
        <v/>
      </c>
      <c r="C60" s="14">
        <f>Table13468113456[[#This Row],[PMI]]-B59</f>
        <v/>
      </c>
    </row>
    <row r="61">
      <c r="A61" s="8" t="n">
        <v>40940</v>
      </c>
      <c r="B61" s="11">
        <f>IF(VLOOKUP(A61,'DB Country PMI'!$A:$W,MATCH($A$1,'DB Country PMI'!$A$1:$W$1,),)=0,#N/A,VLOOKUP(A61,'DB Country PMI'!$A:$W,MATCH($A$1,'DB Country PMI'!$A$1:$W$1,),))</f>
        <v/>
      </c>
      <c r="C61" s="14">
        <f>Table13468113456[[#This Row],[PMI]]-B60</f>
        <v/>
      </c>
    </row>
    <row r="62">
      <c r="A62" s="8" t="n">
        <v>40969</v>
      </c>
      <c r="B62" s="11">
        <f>IF(VLOOKUP(A62,'DB Country PMI'!$A:$W,MATCH($A$1,'DB Country PMI'!$A$1:$W$1,),)=0,#N/A,VLOOKUP(A62,'DB Country PMI'!$A:$W,MATCH($A$1,'DB Country PMI'!$A$1:$W$1,),))</f>
        <v/>
      </c>
      <c r="C62" s="14">
        <f>Table13468113456[[#This Row],[PMI]]-B61</f>
        <v/>
      </c>
    </row>
    <row r="63">
      <c r="A63" s="8" t="n">
        <v>41000</v>
      </c>
      <c r="B63" s="11">
        <f>IF(VLOOKUP(A63,'DB Country PMI'!$A:$W,MATCH($A$1,'DB Country PMI'!$A$1:$W$1,),)=0,#N/A,VLOOKUP(A63,'DB Country PMI'!$A:$W,MATCH($A$1,'DB Country PMI'!$A$1:$W$1,),))</f>
        <v/>
      </c>
      <c r="C63" s="14">
        <f>Table13468113456[[#This Row],[PMI]]-B62</f>
        <v/>
      </c>
    </row>
    <row r="64">
      <c r="A64" s="8" t="n">
        <v>41030</v>
      </c>
      <c r="B64" s="11">
        <f>IF(VLOOKUP(A64,'DB Country PMI'!$A:$W,MATCH($A$1,'DB Country PMI'!$A$1:$W$1,),)=0,#N/A,VLOOKUP(A64,'DB Country PMI'!$A:$W,MATCH($A$1,'DB Country PMI'!$A$1:$W$1,),))</f>
        <v/>
      </c>
      <c r="C64" s="14">
        <f>Table13468113456[[#This Row],[PMI]]-B63</f>
        <v/>
      </c>
    </row>
    <row r="65">
      <c r="A65" s="8" t="n">
        <v>41061</v>
      </c>
      <c r="B65" s="11">
        <f>IF(VLOOKUP(A65,'DB Country PMI'!$A:$W,MATCH($A$1,'DB Country PMI'!$A$1:$W$1,),)=0,#N/A,VLOOKUP(A65,'DB Country PMI'!$A:$W,MATCH($A$1,'DB Country PMI'!$A$1:$W$1,),))</f>
        <v/>
      </c>
      <c r="C65" s="14">
        <f>Table13468113456[[#This Row],[PMI]]-B64</f>
        <v/>
      </c>
    </row>
    <row r="66">
      <c r="A66" s="8" t="n">
        <v>41091</v>
      </c>
      <c r="B66" s="11">
        <f>IF(VLOOKUP(A66,'DB Country PMI'!$A:$W,MATCH($A$1,'DB Country PMI'!$A$1:$W$1,),)=0,#N/A,VLOOKUP(A66,'DB Country PMI'!$A:$W,MATCH($A$1,'DB Country PMI'!$A$1:$W$1,),))</f>
        <v/>
      </c>
      <c r="C66" s="14">
        <f>Table13468113456[[#This Row],[PMI]]-B65</f>
        <v/>
      </c>
    </row>
    <row r="67">
      <c r="A67" s="8" t="n">
        <v>41122</v>
      </c>
      <c r="B67" s="11">
        <f>IF(VLOOKUP(A67,'DB Country PMI'!$A:$W,MATCH($A$1,'DB Country PMI'!$A$1:$W$1,),)=0,#N/A,VLOOKUP(A67,'DB Country PMI'!$A:$W,MATCH($A$1,'DB Country PMI'!$A$1:$W$1,),))</f>
        <v/>
      </c>
      <c r="C67" s="14">
        <f>Table13468113456[[#This Row],[PMI]]-B66</f>
        <v/>
      </c>
    </row>
    <row r="68">
      <c r="A68" s="8" t="n">
        <v>41153</v>
      </c>
      <c r="B68" s="11">
        <f>IF(VLOOKUP(A68,'DB Country PMI'!$A:$W,MATCH($A$1,'DB Country PMI'!$A$1:$W$1,),)=0,#N/A,VLOOKUP(A68,'DB Country PMI'!$A:$W,MATCH($A$1,'DB Country PMI'!$A$1:$W$1,),))</f>
        <v/>
      </c>
      <c r="C68" s="14">
        <f>Table13468113456[[#This Row],[PMI]]-B67</f>
        <v/>
      </c>
    </row>
    <row r="69">
      <c r="A69" s="8" t="n">
        <v>41183</v>
      </c>
      <c r="B69" s="11">
        <f>IF(VLOOKUP(A69,'DB Country PMI'!$A:$W,MATCH($A$1,'DB Country PMI'!$A$1:$W$1,),)=0,#N/A,VLOOKUP(A69,'DB Country PMI'!$A:$W,MATCH($A$1,'DB Country PMI'!$A$1:$W$1,),))</f>
        <v/>
      </c>
      <c r="C69" s="14">
        <f>Table13468113456[[#This Row],[PMI]]-B68</f>
        <v/>
      </c>
    </row>
    <row r="70">
      <c r="A70" s="8" t="n">
        <v>41214</v>
      </c>
      <c r="B70" s="11">
        <f>IF(VLOOKUP(A70,'DB Country PMI'!$A:$W,MATCH($A$1,'DB Country PMI'!$A$1:$W$1,),)=0,#N/A,VLOOKUP(A70,'DB Country PMI'!$A:$W,MATCH($A$1,'DB Country PMI'!$A$1:$W$1,),))</f>
        <v/>
      </c>
      <c r="C70" s="14">
        <f>Table13468113456[[#This Row],[PMI]]-B69</f>
        <v/>
      </c>
    </row>
    <row r="71">
      <c r="A71" s="8" t="n">
        <v>41244</v>
      </c>
      <c r="B71" s="11">
        <f>IF(VLOOKUP(A71,'DB Country PMI'!$A:$W,MATCH($A$1,'DB Country PMI'!$A$1:$W$1,),)=0,#N/A,VLOOKUP(A71,'DB Country PMI'!$A:$W,MATCH($A$1,'DB Country PMI'!$A$1:$W$1,),))</f>
        <v/>
      </c>
      <c r="C71" s="14">
        <f>Table13468113456[[#This Row],[PMI]]-B70</f>
        <v/>
      </c>
    </row>
    <row r="72">
      <c r="A72" s="8" t="n">
        <v>41275</v>
      </c>
      <c r="B72" s="11">
        <f>IF(VLOOKUP(A72,'DB Country PMI'!$A:$W,MATCH($A$1,'DB Country PMI'!$A$1:$W$1,),)=0,#N/A,VLOOKUP(A72,'DB Country PMI'!$A:$W,MATCH($A$1,'DB Country PMI'!$A$1:$W$1,),))</f>
        <v/>
      </c>
      <c r="C72" s="14">
        <f>Table13468113456[[#This Row],[PMI]]-B71</f>
        <v/>
      </c>
    </row>
    <row r="73">
      <c r="A73" s="8" t="n">
        <v>41306</v>
      </c>
      <c r="B73" s="11">
        <f>IF(VLOOKUP(A73,'DB Country PMI'!$A:$W,MATCH($A$1,'DB Country PMI'!$A$1:$W$1,),)=0,#N/A,VLOOKUP(A73,'DB Country PMI'!$A:$W,MATCH($A$1,'DB Country PMI'!$A$1:$W$1,),))</f>
        <v/>
      </c>
      <c r="C73" s="14">
        <f>Table13468113456[[#This Row],[PMI]]-B72</f>
        <v/>
      </c>
    </row>
    <row r="74">
      <c r="A74" s="8" t="n">
        <v>41334</v>
      </c>
      <c r="B74" s="11">
        <f>IF(VLOOKUP(A74,'DB Country PMI'!$A:$W,MATCH($A$1,'DB Country PMI'!$A$1:$W$1,),)=0,#N/A,VLOOKUP(A74,'DB Country PMI'!$A:$W,MATCH($A$1,'DB Country PMI'!$A$1:$W$1,),))</f>
        <v/>
      </c>
      <c r="C74" s="14">
        <f>Table13468113456[[#This Row],[PMI]]-B73</f>
        <v/>
      </c>
    </row>
    <row r="75">
      <c r="A75" s="8" t="n">
        <v>41365</v>
      </c>
      <c r="B75" s="11">
        <f>IF(VLOOKUP(A75,'DB Country PMI'!$A:$W,MATCH($A$1,'DB Country PMI'!$A$1:$W$1,),)=0,#N/A,VLOOKUP(A75,'DB Country PMI'!$A:$W,MATCH($A$1,'DB Country PMI'!$A$1:$W$1,),))</f>
        <v/>
      </c>
      <c r="C75" s="14">
        <f>Table13468113456[[#This Row],[PMI]]-B74</f>
        <v/>
      </c>
    </row>
    <row r="76">
      <c r="A76" s="8" t="n">
        <v>41395</v>
      </c>
      <c r="B76" s="11">
        <f>IF(VLOOKUP(A76,'DB Country PMI'!$A:$W,MATCH($A$1,'DB Country PMI'!$A$1:$W$1,),)=0,#N/A,VLOOKUP(A76,'DB Country PMI'!$A:$W,MATCH($A$1,'DB Country PMI'!$A$1:$W$1,),))</f>
        <v/>
      </c>
      <c r="C76" s="14">
        <f>Table13468113456[[#This Row],[PMI]]-B75</f>
        <v/>
      </c>
    </row>
    <row r="77">
      <c r="A77" s="8" t="n">
        <v>41426</v>
      </c>
      <c r="B77" s="11">
        <f>IF(VLOOKUP(A77,'DB Country PMI'!$A:$W,MATCH($A$1,'DB Country PMI'!$A$1:$W$1,),)=0,#N/A,VLOOKUP(A77,'DB Country PMI'!$A:$W,MATCH($A$1,'DB Country PMI'!$A$1:$W$1,),))</f>
        <v/>
      </c>
      <c r="C77" s="14">
        <f>Table13468113456[[#This Row],[PMI]]-B76</f>
        <v/>
      </c>
    </row>
    <row r="78">
      <c r="A78" s="8" t="n">
        <v>41456</v>
      </c>
      <c r="B78" s="11">
        <f>IF(VLOOKUP(A78,'DB Country PMI'!$A:$W,MATCH($A$1,'DB Country PMI'!$A$1:$W$1,),)=0,#N/A,VLOOKUP(A78,'DB Country PMI'!$A:$W,MATCH($A$1,'DB Country PMI'!$A$1:$W$1,),))</f>
        <v/>
      </c>
      <c r="C78" s="14">
        <f>Table13468113456[[#This Row],[PMI]]-B77</f>
        <v/>
      </c>
    </row>
    <row r="79">
      <c r="A79" s="8" t="n">
        <v>41487</v>
      </c>
      <c r="B79" s="11">
        <f>IF(VLOOKUP(A79,'DB Country PMI'!$A:$W,MATCH($A$1,'DB Country PMI'!$A$1:$W$1,),)=0,#N/A,VLOOKUP(A79,'DB Country PMI'!$A:$W,MATCH($A$1,'DB Country PMI'!$A$1:$W$1,),))</f>
        <v/>
      </c>
      <c r="C79" s="14">
        <f>Table13468113456[[#This Row],[PMI]]-B78</f>
        <v/>
      </c>
    </row>
    <row r="80">
      <c r="A80" s="8" t="n">
        <v>41518</v>
      </c>
      <c r="B80" s="11">
        <f>IF(VLOOKUP(A80,'DB Country PMI'!$A:$W,MATCH($A$1,'DB Country PMI'!$A$1:$W$1,),)=0,#N/A,VLOOKUP(A80,'DB Country PMI'!$A:$W,MATCH($A$1,'DB Country PMI'!$A$1:$W$1,),))</f>
        <v/>
      </c>
      <c r="C80" s="14">
        <f>Table13468113456[[#This Row],[PMI]]-B79</f>
        <v/>
      </c>
    </row>
    <row r="81">
      <c r="A81" s="8" t="n">
        <v>41548</v>
      </c>
      <c r="B81" s="11">
        <f>IF(VLOOKUP(A81,'DB Country PMI'!$A:$W,MATCH($A$1,'DB Country PMI'!$A$1:$W$1,),)=0,#N/A,VLOOKUP(A81,'DB Country PMI'!$A:$W,MATCH($A$1,'DB Country PMI'!$A$1:$W$1,),))</f>
        <v/>
      </c>
      <c r="C81" s="14">
        <f>Table13468113456[[#This Row],[PMI]]-B80</f>
        <v/>
      </c>
    </row>
    <row r="82">
      <c r="A82" s="8" t="n">
        <v>41579</v>
      </c>
      <c r="B82" s="11">
        <f>IF(VLOOKUP(A82,'DB Country PMI'!$A:$W,MATCH($A$1,'DB Country PMI'!$A$1:$W$1,),)=0,#N/A,VLOOKUP(A82,'DB Country PMI'!$A:$W,MATCH($A$1,'DB Country PMI'!$A$1:$W$1,),))</f>
        <v/>
      </c>
      <c r="C82" s="14">
        <f>Table13468113456[[#This Row],[PMI]]-B81</f>
        <v/>
      </c>
    </row>
    <row r="83">
      <c r="A83" s="8" t="n">
        <v>41609</v>
      </c>
      <c r="B83" s="11">
        <f>IF(VLOOKUP(A83,'DB Country PMI'!$A:$W,MATCH($A$1,'DB Country PMI'!$A$1:$W$1,),)=0,#N/A,VLOOKUP(A83,'DB Country PMI'!$A:$W,MATCH($A$1,'DB Country PMI'!$A$1:$W$1,),))</f>
        <v/>
      </c>
      <c r="C83" s="14">
        <f>Table13468113456[[#This Row],[PMI]]-B82</f>
        <v/>
      </c>
    </row>
    <row r="84">
      <c r="A84" s="8" t="n">
        <v>41640</v>
      </c>
      <c r="B84" s="11">
        <f>IF(VLOOKUP(A84,'DB Country PMI'!$A:$W,MATCH($A$1,'DB Country PMI'!$A$1:$W$1,),)=0,#N/A,VLOOKUP(A84,'DB Country PMI'!$A:$W,MATCH($A$1,'DB Country PMI'!$A$1:$W$1,),))</f>
        <v/>
      </c>
      <c r="C84" s="14">
        <f>Table13468113456[[#This Row],[PMI]]-B83</f>
        <v/>
      </c>
    </row>
    <row r="85">
      <c r="A85" s="8" t="n">
        <v>41671</v>
      </c>
      <c r="B85" s="11">
        <f>IF(VLOOKUP(A85,'DB Country PMI'!$A:$W,MATCH($A$1,'DB Country PMI'!$A$1:$W$1,),)=0,#N/A,VLOOKUP(A85,'DB Country PMI'!$A:$W,MATCH($A$1,'DB Country PMI'!$A$1:$W$1,),))</f>
        <v/>
      </c>
      <c r="C85" s="14">
        <f>Table13468113456[[#This Row],[PMI]]-B84</f>
        <v/>
      </c>
    </row>
    <row r="86">
      <c r="A86" s="8" t="n">
        <v>41699</v>
      </c>
      <c r="B86" s="11">
        <f>IF(VLOOKUP(A86,'DB Country PMI'!$A:$W,MATCH($A$1,'DB Country PMI'!$A$1:$W$1,),)=0,#N/A,VLOOKUP(A86,'DB Country PMI'!$A:$W,MATCH($A$1,'DB Country PMI'!$A$1:$W$1,),))</f>
        <v/>
      </c>
      <c r="C86" s="14">
        <f>Table13468113456[[#This Row],[PMI]]-B85</f>
        <v/>
      </c>
    </row>
    <row r="87">
      <c r="A87" s="8" t="n">
        <v>41730</v>
      </c>
      <c r="B87" s="11">
        <f>IF(VLOOKUP(A87,'DB Country PMI'!$A:$W,MATCH($A$1,'DB Country PMI'!$A$1:$W$1,),)=0,#N/A,VLOOKUP(A87,'DB Country PMI'!$A:$W,MATCH($A$1,'DB Country PMI'!$A$1:$W$1,),))</f>
        <v/>
      </c>
      <c r="C87" s="14">
        <f>Table13468113456[[#This Row],[PMI]]-B86</f>
        <v/>
      </c>
    </row>
    <row r="88">
      <c r="A88" s="8" t="n">
        <v>41760</v>
      </c>
      <c r="B88" s="11">
        <f>IF(VLOOKUP(A88,'DB Country PMI'!$A:$W,MATCH($A$1,'DB Country PMI'!$A$1:$W$1,),)=0,#N/A,VLOOKUP(A88,'DB Country PMI'!$A:$W,MATCH($A$1,'DB Country PMI'!$A$1:$W$1,),))</f>
        <v/>
      </c>
      <c r="C88" s="14">
        <f>Table13468113456[[#This Row],[PMI]]-B87</f>
        <v/>
      </c>
    </row>
    <row r="89">
      <c r="A89" s="8" t="n">
        <v>41791</v>
      </c>
      <c r="B89" s="11">
        <f>IF(VLOOKUP(A89,'DB Country PMI'!$A:$W,MATCH($A$1,'DB Country PMI'!$A$1:$W$1,),)=0,#N/A,VLOOKUP(A89,'DB Country PMI'!$A:$W,MATCH($A$1,'DB Country PMI'!$A$1:$W$1,),))</f>
        <v/>
      </c>
      <c r="C89" s="14">
        <f>Table13468113456[[#This Row],[PMI]]-B88</f>
        <v/>
      </c>
    </row>
    <row r="90">
      <c r="A90" s="8" t="n">
        <v>41821</v>
      </c>
      <c r="B90" s="11">
        <f>IF(VLOOKUP(A90,'DB Country PMI'!$A:$W,MATCH($A$1,'DB Country PMI'!$A$1:$W$1,),)=0,#N/A,VLOOKUP(A90,'DB Country PMI'!$A:$W,MATCH($A$1,'DB Country PMI'!$A$1:$W$1,),))</f>
        <v/>
      </c>
      <c r="C90" s="14">
        <f>Table13468113456[[#This Row],[PMI]]-B89</f>
        <v/>
      </c>
    </row>
    <row r="91">
      <c r="A91" s="8" t="n">
        <v>41852</v>
      </c>
      <c r="B91" s="11">
        <f>IF(VLOOKUP(A91,'DB Country PMI'!$A:$W,MATCH($A$1,'DB Country PMI'!$A$1:$W$1,),)=0,#N/A,VLOOKUP(A91,'DB Country PMI'!$A:$W,MATCH($A$1,'DB Country PMI'!$A$1:$W$1,),))</f>
        <v/>
      </c>
      <c r="C91" s="14">
        <f>Table13468113456[[#This Row],[PMI]]-B90</f>
        <v/>
      </c>
    </row>
    <row r="92">
      <c r="A92" s="8" t="n">
        <v>41883</v>
      </c>
      <c r="B92" s="11">
        <f>IF(VLOOKUP(A92,'DB Country PMI'!$A:$W,MATCH($A$1,'DB Country PMI'!$A$1:$W$1,),)=0,#N/A,VLOOKUP(A92,'DB Country PMI'!$A:$W,MATCH($A$1,'DB Country PMI'!$A$1:$W$1,),))</f>
        <v/>
      </c>
      <c r="C92" s="14">
        <f>Table13468113456[[#This Row],[PMI]]-B91</f>
        <v/>
      </c>
    </row>
    <row r="93">
      <c r="A93" s="8" t="n">
        <v>41913</v>
      </c>
      <c r="B93" s="11">
        <f>IF(VLOOKUP(A93,'DB Country PMI'!$A:$W,MATCH($A$1,'DB Country PMI'!$A$1:$W$1,),)=0,#N/A,VLOOKUP(A93,'DB Country PMI'!$A:$W,MATCH($A$1,'DB Country PMI'!$A$1:$W$1,),))</f>
        <v/>
      </c>
      <c r="C93" s="14">
        <f>Table13468113456[[#This Row],[PMI]]-B92</f>
        <v/>
      </c>
    </row>
    <row r="94">
      <c r="A94" s="8" t="n">
        <v>41944</v>
      </c>
      <c r="B94" s="11">
        <f>IF(VLOOKUP(A94,'DB Country PMI'!$A:$W,MATCH($A$1,'DB Country PMI'!$A$1:$W$1,),)=0,#N/A,VLOOKUP(A94,'DB Country PMI'!$A:$W,MATCH($A$1,'DB Country PMI'!$A$1:$W$1,),))</f>
        <v/>
      </c>
      <c r="C94" s="14">
        <f>Table13468113456[[#This Row],[PMI]]-B93</f>
        <v/>
      </c>
    </row>
    <row r="95">
      <c r="A95" s="8" t="n">
        <v>41974</v>
      </c>
      <c r="B95" s="11">
        <f>IF(VLOOKUP(A95,'DB Country PMI'!$A:$W,MATCH($A$1,'DB Country PMI'!$A$1:$W$1,),)=0,#N/A,VLOOKUP(A95,'DB Country PMI'!$A:$W,MATCH($A$1,'DB Country PMI'!$A$1:$W$1,),))</f>
        <v/>
      </c>
      <c r="C95" s="14">
        <f>Table13468113456[[#This Row],[PMI]]-B94</f>
        <v/>
      </c>
    </row>
    <row r="96">
      <c r="A96" s="8" t="n">
        <v>42005</v>
      </c>
      <c r="B96" s="11">
        <f>IF(VLOOKUP(A96,'DB Country PMI'!$A:$W,MATCH($A$1,'DB Country PMI'!$A$1:$W$1,),)=0,#N/A,VLOOKUP(A96,'DB Country PMI'!$A:$W,MATCH($A$1,'DB Country PMI'!$A$1:$W$1,),))</f>
        <v/>
      </c>
      <c r="C96" s="14">
        <f>Table13468113456[[#This Row],[PMI]]-B95</f>
        <v/>
      </c>
    </row>
    <row r="97">
      <c r="A97" s="8" t="n">
        <v>42036</v>
      </c>
      <c r="B97" s="11">
        <f>IF(VLOOKUP(A97,'DB Country PMI'!$A:$W,MATCH($A$1,'DB Country PMI'!$A$1:$W$1,),)=0,#N/A,VLOOKUP(A97,'DB Country PMI'!$A:$W,MATCH($A$1,'DB Country PMI'!$A$1:$W$1,),))</f>
        <v/>
      </c>
      <c r="C97" s="14">
        <f>Table13468113456[[#This Row],[PMI]]-B96</f>
        <v/>
      </c>
    </row>
    <row r="98">
      <c r="A98" s="8" t="n">
        <v>42064</v>
      </c>
      <c r="B98" s="11">
        <f>IF(VLOOKUP(A98,'DB Country PMI'!$A:$W,MATCH($A$1,'DB Country PMI'!$A$1:$W$1,),)=0,#N/A,VLOOKUP(A98,'DB Country PMI'!$A:$W,MATCH($A$1,'DB Country PMI'!$A$1:$W$1,),))</f>
        <v/>
      </c>
      <c r="C98" s="14">
        <f>Table13468113456[[#This Row],[PMI]]-B97</f>
        <v/>
      </c>
    </row>
    <row r="99">
      <c r="A99" s="8" t="n">
        <v>42095</v>
      </c>
      <c r="B99" s="11">
        <f>IF(VLOOKUP(A99,'DB Country PMI'!$A:$W,MATCH($A$1,'DB Country PMI'!$A$1:$W$1,),)=0,#N/A,VLOOKUP(A99,'DB Country PMI'!$A:$W,MATCH($A$1,'DB Country PMI'!$A$1:$W$1,),))</f>
        <v/>
      </c>
      <c r="C99" s="14">
        <f>Table13468113456[[#This Row],[PMI]]-B98</f>
        <v/>
      </c>
    </row>
    <row r="100">
      <c r="A100" s="8" t="n">
        <v>42125</v>
      </c>
      <c r="B100" s="11">
        <f>IF(VLOOKUP(A100,'DB Country PMI'!$A:$W,MATCH($A$1,'DB Country PMI'!$A$1:$W$1,),)=0,#N/A,VLOOKUP(A100,'DB Country PMI'!$A:$W,MATCH($A$1,'DB Country PMI'!$A$1:$W$1,),))</f>
        <v/>
      </c>
      <c r="C100" s="14">
        <f>Table13468113456[[#This Row],[PMI]]-B99</f>
        <v/>
      </c>
    </row>
    <row r="101">
      <c r="A101" s="8" t="n">
        <v>42156</v>
      </c>
      <c r="B101" s="11">
        <f>IF(VLOOKUP(A101,'DB Country PMI'!$A:$W,MATCH($A$1,'DB Country PMI'!$A$1:$W$1,),)=0,#N/A,VLOOKUP(A101,'DB Country PMI'!$A:$W,MATCH($A$1,'DB Country PMI'!$A$1:$W$1,),))</f>
        <v/>
      </c>
      <c r="C101" s="14">
        <f>Table13468113456[[#This Row],[PMI]]-B100</f>
        <v/>
      </c>
    </row>
    <row r="102">
      <c r="A102" s="8" t="n">
        <v>42186</v>
      </c>
      <c r="B102" s="11">
        <f>IF(VLOOKUP(A102,'DB Country PMI'!$A:$W,MATCH($A$1,'DB Country PMI'!$A$1:$W$1,),)=0,#N/A,VLOOKUP(A102,'DB Country PMI'!$A:$W,MATCH($A$1,'DB Country PMI'!$A$1:$W$1,),))</f>
        <v/>
      </c>
      <c r="C102" s="14">
        <f>Table13468113456[[#This Row],[PMI]]-B101</f>
        <v/>
      </c>
    </row>
    <row r="103">
      <c r="A103" s="8" t="n">
        <v>42217</v>
      </c>
      <c r="B103" s="11">
        <f>IF(VLOOKUP(A103,'DB Country PMI'!$A:$W,MATCH($A$1,'DB Country PMI'!$A$1:$W$1,),)=0,#N/A,VLOOKUP(A103,'DB Country PMI'!$A:$W,MATCH($A$1,'DB Country PMI'!$A$1:$W$1,),))</f>
        <v/>
      </c>
      <c r="C103" s="14">
        <f>Table13468113456[[#This Row],[PMI]]-B102</f>
        <v/>
      </c>
    </row>
    <row r="104">
      <c r="A104" s="8" t="n">
        <v>42248</v>
      </c>
      <c r="B104" s="11">
        <f>IF(VLOOKUP(A104,'DB Country PMI'!$A:$W,MATCH($A$1,'DB Country PMI'!$A$1:$W$1,),)=0,#N/A,VLOOKUP(A104,'DB Country PMI'!$A:$W,MATCH($A$1,'DB Country PMI'!$A$1:$W$1,),))</f>
        <v/>
      </c>
      <c r="C104" s="14">
        <f>Table13468113456[[#This Row],[PMI]]-B103</f>
        <v/>
      </c>
    </row>
    <row r="105">
      <c r="A105" s="8" t="n">
        <v>42278</v>
      </c>
      <c r="B105" s="11">
        <f>IF(VLOOKUP(A105,'DB Country PMI'!$A:$W,MATCH($A$1,'DB Country PMI'!$A$1:$W$1,),)=0,#N/A,VLOOKUP(A105,'DB Country PMI'!$A:$W,MATCH($A$1,'DB Country PMI'!$A$1:$W$1,),))</f>
        <v/>
      </c>
      <c r="C105" s="14">
        <f>Table13468113456[[#This Row],[PMI]]-B104</f>
        <v/>
      </c>
    </row>
    <row r="106">
      <c r="A106" s="8" t="n">
        <v>42309</v>
      </c>
      <c r="B106" s="11">
        <f>IF(VLOOKUP(A106,'DB Country PMI'!$A:$W,MATCH($A$1,'DB Country PMI'!$A$1:$W$1,),)=0,#N/A,VLOOKUP(A106,'DB Country PMI'!$A:$W,MATCH($A$1,'DB Country PMI'!$A$1:$W$1,),))</f>
        <v/>
      </c>
      <c r="C106" s="14">
        <f>Table13468113456[[#This Row],[PMI]]-B105</f>
        <v/>
      </c>
    </row>
    <row r="107">
      <c r="A107" s="8" t="n">
        <v>42339</v>
      </c>
      <c r="B107" s="11">
        <f>IF(VLOOKUP(A107,'DB Country PMI'!$A:$W,MATCH($A$1,'DB Country PMI'!$A$1:$W$1,),)=0,#N/A,VLOOKUP(A107,'DB Country PMI'!$A:$W,MATCH($A$1,'DB Country PMI'!$A$1:$W$1,),))</f>
        <v/>
      </c>
      <c r="C107" s="14">
        <f>Table13468113456[[#This Row],[PMI]]-B106</f>
        <v/>
      </c>
    </row>
    <row r="108">
      <c r="A108" s="8" t="n">
        <v>42370</v>
      </c>
      <c r="B108" s="11">
        <f>IF(VLOOKUP(A108,'DB Country PMI'!$A:$W,MATCH($A$1,'DB Country PMI'!$A$1:$W$1,),)=0,#N/A,VLOOKUP(A108,'DB Country PMI'!$A:$W,MATCH($A$1,'DB Country PMI'!$A$1:$W$1,),))</f>
        <v/>
      </c>
      <c r="C108" s="14">
        <f>Table13468113456[[#This Row],[PMI]]-B107</f>
        <v/>
      </c>
    </row>
    <row r="109">
      <c r="A109" s="8" t="n">
        <v>42401</v>
      </c>
      <c r="B109" s="11">
        <f>IF(VLOOKUP(A109,'DB Country PMI'!$A:$W,MATCH($A$1,'DB Country PMI'!$A$1:$W$1,),)=0,#N/A,VLOOKUP(A109,'DB Country PMI'!$A:$W,MATCH($A$1,'DB Country PMI'!$A$1:$W$1,),))</f>
        <v/>
      </c>
      <c r="C109" s="14">
        <f>Table13468113456[[#This Row],[PMI]]-B108</f>
        <v/>
      </c>
    </row>
    <row r="110">
      <c r="A110" s="8" t="n">
        <v>42430</v>
      </c>
      <c r="B110" s="11">
        <f>IF(VLOOKUP(A110,'DB Country PMI'!$A:$W,MATCH($A$1,'DB Country PMI'!$A$1:$W$1,),)=0,#N/A,VLOOKUP(A110,'DB Country PMI'!$A:$W,MATCH($A$1,'DB Country PMI'!$A$1:$W$1,),))</f>
        <v/>
      </c>
      <c r="C110" s="14">
        <f>Table13468113456[[#This Row],[PMI]]-B109</f>
        <v/>
      </c>
    </row>
    <row r="111">
      <c r="A111" s="8" t="n">
        <v>42461</v>
      </c>
      <c r="B111" s="11">
        <f>IF(VLOOKUP(A111,'DB Country PMI'!$A:$W,MATCH($A$1,'DB Country PMI'!$A$1:$W$1,),)=0,#N/A,VLOOKUP(A111,'DB Country PMI'!$A:$W,MATCH($A$1,'DB Country PMI'!$A$1:$W$1,),))</f>
        <v/>
      </c>
      <c r="C111" s="14">
        <f>Table13468113456[[#This Row],[PMI]]-B110</f>
        <v/>
      </c>
    </row>
    <row r="112">
      <c r="A112" s="8" t="n">
        <v>42491</v>
      </c>
      <c r="B112" s="11">
        <f>IF(VLOOKUP(A112,'DB Country PMI'!$A:$W,MATCH($A$1,'DB Country PMI'!$A$1:$W$1,),)=0,#N/A,VLOOKUP(A112,'DB Country PMI'!$A:$W,MATCH($A$1,'DB Country PMI'!$A$1:$W$1,),))</f>
        <v/>
      </c>
      <c r="C112" s="14">
        <f>Table13468113456[[#This Row],[PMI]]-B111</f>
        <v/>
      </c>
    </row>
    <row r="113">
      <c r="A113" s="8" t="n">
        <v>42522</v>
      </c>
      <c r="B113" s="11">
        <f>IF(VLOOKUP(A113,'DB Country PMI'!$A:$W,MATCH($A$1,'DB Country PMI'!$A$1:$W$1,),)=0,#N/A,VLOOKUP(A113,'DB Country PMI'!$A:$W,MATCH($A$1,'DB Country PMI'!$A$1:$W$1,),))</f>
        <v/>
      </c>
      <c r="C113" s="14">
        <f>Table13468113456[[#This Row],[PMI]]-B112</f>
        <v/>
      </c>
    </row>
    <row r="114">
      <c r="A114" s="8" t="n">
        <v>42552</v>
      </c>
      <c r="B114" s="11">
        <f>IF(VLOOKUP(A114,'DB Country PMI'!$A:$W,MATCH($A$1,'DB Country PMI'!$A$1:$W$1,),)=0,#N/A,VLOOKUP(A114,'DB Country PMI'!$A:$W,MATCH($A$1,'DB Country PMI'!$A$1:$W$1,),))</f>
        <v/>
      </c>
      <c r="C114" s="14">
        <f>Table13468113456[[#This Row],[PMI]]-B113</f>
        <v/>
      </c>
    </row>
    <row r="115">
      <c r="A115" s="8" t="n">
        <v>42583</v>
      </c>
      <c r="B115" s="11">
        <f>IF(VLOOKUP(A115,'DB Country PMI'!$A:$W,MATCH($A$1,'DB Country PMI'!$A$1:$W$1,),)=0,#N/A,VLOOKUP(A115,'DB Country PMI'!$A:$W,MATCH($A$1,'DB Country PMI'!$A$1:$W$1,),))</f>
        <v/>
      </c>
      <c r="C115" s="14">
        <f>Table13468113456[[#This Row],[PMI]]-B114</f>
        <v/>
      </c>
    </row>
    <row r="116">
      <c r="A116" s="8" t="n">
        <v>42614</v>
      </c>
      <c r="B116" s="11">
        <f>IF(VLOOKUP(A116,'DB Country PMI'!$A:$W,MATCH($A$1,'DB Country PMI'!$A$1:$W$1,),)=0,#N/A,VLOOKUP(A116,'DB Country PMI'!$A:$W,MATCH($A$1,'DB Country PMI'!$A$1:$W$1,),))</f>
        <v/>
      </c>
      <c r="C116" s="14">
        <f>Table13468113456[[#This Row],[PMI]]-B115</f>
        <v/>
      </c>
    </row>
    <row r="117">
      <c r="A117" s="8" t="n">
        <v>42644</v>
      </c>
      <c r="B117" s="11">
        <f>IF(VLOOKUP(A117,'DB Country PMI'!$A:$W,MATCH($A$1,'DB Country PMI'!$A$1:$W$1,),)=0,#N/A,VLOOKUP(A117,'DB Country PMI'!$A:$W,MATCH($A$1,'DB Country PMI'!$A$1:$W$1,),))</f>
        <v/>
      </c>
      <c r="C117" s="14">
        <f>Table13468113456[[#This Row],[PMI]]-B116</f>
        <v/>
      </c>
    </row>
    <row r="118">
      <c r="A118" s="8" t="n">
        <v>42675</v>
      </c>
      <c r="B118" s="11">
        <f>IF(VLOOKUP(A118,'DB Country PMI'!$A:$W,MATCH($A$1,'DB Country PMI'!$A$1:$W$1,),)=0,#N/A,VLOOKUP(A118,'DB Country PMI'!$A:$W,MATCH($A$1,'DB Country PMI'!$A$1:$W$1,),))</f>
        <v/>
      </c>
      <c r="C118" s="14">
        <f>Table13468113456[[#This Row],[PMI]]-B117</f>
        <v/>
      </c>
    </row>
    <row r="119">
      <c r="A119" s="8" t="n">
        <v>42705</v>
      </c>
      <c r="B119" s="11">
        <f>IF(VLOOKUP(A119,'DB Country PMI'!$A:$W,MATCH($A$1,'DB Country PMI'!$A$1:$W$1,),)=0,#N/A,VLOOKUP(A119,'DB Country PMI'!$A:$W,MATCH($A$1,'DB Country PMI'!$A$1:$W$1,),))</f>
        <v/>
      </c>
      <c r="C119" s="14">
        <f>Table13468113456[[#This Row],[PMI]]-B118</f>
        <v/>
      </c>
    </row>
    <row r="120">
      <c r="A120" s="8" t="n">
        <v>42736</v>
      </c>
      <c r="B120" s="11">
        <f>IF(VLOOKUP(A120,'DB Country PMI'!$A:$W,MATCH($A$1,'DB Country PMI'!$A$1:$W$1,),)=0,#N/A,VLOOKUP(A120,'DB Country PMI'!$A:$W,MATCH($A$1,'DB Country PMI'!$A$1:$W$1,),))</f>
        <v/>
      </c>
      <c r="C120" s="14">
        <f>Table13468113456[[#This Row],[PMI]]-B119</f>
        <v/>
      </c>
    </row>
    <row r="121">
      <c r="A121" s="8" t="n">
        <v>42767</v>
      </c>
      <c r="B121" s="11">
        <f>IF(VLOOKUP(A121,'DB Country PMI'!$A:$W,MATCH($A$1,'DB Country PMI'!$A$1:$W$1,),)=0,#N/A,VLOOKUP(A121,'DB Country PMI'!$A:$W,MATCH($A$1,'DB Country PMI'!$A$1:$W$1,),))</f>
        <v/>
      </c>
      <c r="C121" s="14">
        <f>Table13468113456[[#This Row],[PMI]]-B120</f>
        <v/>
      </c>
    </row>
    <row r="122">
      <c r="A122" s="8" t="n">
        <v>42795</v>
      </c>
      <c r="B122" s="11">
        <f>IF(VLOOKUP(A122,'DB Country PMI'!$A:$W,MATCH($A$1,'DB Country PMI'!$A$1:$W$1,),)=0,#N/A,VLOOKUP(A122,'DB Country PMI'!$A:$W,MATCH($A$1,'DB Country PMI'!$A$1:$W$1,),))</f>
        <v/>
      </c>
      <c r="C122" s="14">
        <f>Table13468113456[[#This Row],[PMI]]-B121</f>
        <v/>
      </c>
    </row>
    <row r="123">
      <c r="A123" s="8" t="n">
        <v>42826</v>
      </c>
      <c r="B123" s="11">
        <f>IF(VLOOKUP(A123,'DB Country PMI'!$A:$W,MATCH($A$1,'DB Country PMI'!$A$1:$W$1,),)=0,#N/A,VLOOKUP(A123,'DB Country PMI'!$A:$W,MATCH($A$1,'DB Country PMI'!$A$1:$W$1,),))</f>
        <v/>
      </c>
      <c r="C123" s="14">
        <f>Table13468113456[[#This Row],[PMI]]-B122</f>
        <v/>
      </c>
    </row>
    <row r="124">
      <c r="A124" s="8" t="n">
        <v>42856</v>
      </c>
      <c r="B124" s="11">
        <f>IF(VLOOKUP(A124,'DB Country PMI'!$A:$W,MATCH($A$1,'DB Country PMI'!$A$1:$W$1,),)=0,#N/A,VLOOKUP(A124,'DB Country PMI'!$A:$W,MATCH($A$1,'DB Country PMI'!$A$1:$W$1,),))</f>
        <v/>
      </c>
      <c r="C124" s="14">
        <f>Table13468113456[[#This Row],[PMI]]-B123</f>
        <v/>
      </c>
    </row>
    <row r="125">
      <c r="A125" s="8" t="n">
        <v>42887</v>
      </c>
      <c r="B125" s="11">
        <f>IF(VLOOKUP(A125,'DB Country PMI'!$A:$W,MATCH($A$1,'DB Country PMI'!$A$1:$W$1,),)=0,#N/A,VLOOKUP(A125,'DB Country PMI'!$A:$W,MATCH($A$1,'DB Country PMI'!$A$1:$W$1,),))</f>
        <v/>
      </c>
      <c r="C125" s="14">
        <f>Table13468113456[[#This Row],[PMI]]-B124</f>
        <v/>
      </c>
    </row>
    <row r="126">
      <c r="A126" s="8" t="n">
        <v>42917</v>
      </c>
      <c r="B126" s="11">
        <f>IF(VLOOKUP(A126,'DB Country PMI'!$A:$W,MATCH($A$1,'DB Country PMI'!$A$1:$W$1,),)=0,#N/A,VLOOKUP(A126,'DB Country PMI'!$A:$W,MATCH($A$1,'DB Country PMI'!$A$1:$W$1,),))</f>
        <v/>
      </c>
      <c r="C126" s="14">
        <f>Table13468113456[[#This Row],[PMI]]-B125</f>
        <v/>
      </c>
    </row>
    <row r="127">
      <c r="A127" s="8" t="n">
        <v>42948</v>
      </c>
      <c r="B127" s="11">
        <f>IF(VLOOKUP(A127,'DB Country PMI'!$A:$W,MATCH($A$1,'DB Country PMI'!$A$1:$W$1,),)=0,#N/A,VLOOKUP(A127,'DB Country PMI'!$A:$W,MATCH($A$1,'DB Country PMI'!$A$1:$W$1,),))</f>
        <v/>
      </c>
      <c r="C127" s="14">
        <f>Table13468113456[[#This Row],[PMI]]-B126</f>
        <v/>
      </c>
    </row>
    <row r="128">
      <c r="A128" s="8" t="n">
        <v>42979</v>
      </c>
      <c r="B128" s="11">
        <f>IF(VLOOKUP(A128,'DB Country PMI'!$A:$W,MATCH($A$1,'DB Country PMI'!$A$1:$W$1,),)=0,#N/A,VLOOKUP(A128,'DB Country PMI'!$A:$W,MATCH($A$1,'DB Country PMI'!$A$1:$W$1,),))</f>
        <v/>
      </c>
      <c r="C128" s="14">
        <f>Table13468113456[[#This Row],[PMI]]-B127</f>
        <v/>
      </c>
    </row>
    <row r="129">
      <c r="A129" s="8" t="n">
        <v>43009</v>
      </c>
      <c r="B129" s="11">
        <f>IF(VLOOKUP(A129,'DB Country PMI'!$A:$W,MATCH($A$1,'DB Country PMI'!$A$1:$W$1,),)=0,#N/A,VLOOKUP(A129,'DB Country PMI'!$A:$W,MATCH($A$1,'DB Country PMI'!$A$1:$W$1,),))</f>
        <v/>
      </c>
      <c r="C129" s="14">
        <f>Table13468113456[[#This Row],[PMI]]-B128</f>
        <v/>
      </c>
    </row>
    <row r="130">
      <c r="A130" s="8" t="n">
        <v>43040</v>
      </c>
      <c r="B130" s="11">
        <f>IF(VLOOKUP(A130,'DB Country PMI'!$A:$W,MATCH($A$1,'DB Country PMI'!$A$1:$W$1,),)=0,#N/A,VLOOKUP(A130,'DB Country PMI'!$A:$W,MATCH($A$1,'DB Country PMI'!$A$1:$W$1,),))</f>
        <v/>
      </c>
      <c r="C130" s="14">
        <f>Table13468113456[[#This Row],[PMI]]-B129</f>
        <v/>
      </c>
    </row>
    <row r="131">
      <c r="A131" s="8" t="n">
        <v>43070</v>
      </c>
      <c r="B131" s="11">
        <f>IF(VLOOKUP(A131,'DB Country PMI'!$A:$W,MATCH($A$1,'DB Country PMI'!$A$1:$W$1,),)=0,#N/A,VLOOKUP(A131,'DB Country PMI'!$A:$W,MATCH($A$1,'DB Country PMI'!$A$1:$W$1,),))</f>
        <v/>
      </c>
      <c r="C131" s="14">
        <f>Table13468113456[[#This Row],[PMI]]-B130</f>
        <v/>
      </c>
    </row>
    <row r="132">
      <c r="A132" s="8" t="n">
        <v>43101</v>
      </c>
      <c r="B132" s="11">
        <f>IF(VLOOKUP(A132,'DB Country PMI'!$A:$W,MATCH($A$1,'DB Country PMI'!$A$1:$W$1,),)=0,#N/A,VLOOKUP(A132,'DB Country PMI'!$A:$W,MATCH($A$1,'DB Country PMI'!$A$1:$W$1,),))</f>
        <v/>
      </c>
      <c r="C132" s="14">
        <f>Table13468113456[[#This Row],[PMI]]-B131</f>
        <v/>
      </c>
    </row>
    <row r="133">
      <c r="A133" s="8" t="n">
        <v>43132</v>
      </c>
      <c r="B133" s="11">
        <f>IF(VLOOKUP(A133,'DB Country PMI'!$A:$W,MATCH($A$1,'DB Country PMI'!$A$1:$W$1,),)=0,#N/A,VLOOKUP(A133,'DB Country PMI'!$A:$W,MATCH($A$1,'DB Country PMI'!$A$1:$W$1,),))</f>
        <v/>
      </c>
      <c r="C133" s="14">
        <f>Table13468113456[[#This Row],[PMI]]-B132</f>
        <v/>
      </c>
    </row>
    <row r="134">
      <c r="A134" s="8" t="n">
        <v>43160</v>
      </c>
      <c r="B134" s="11">
        <f>IF(VLOOKUP(A134,'DB Country PMI'!$A:$W,MATCH($A$1,'DB Country PMI'!$A$1:$W$1,),)=0,#N/A,VLOOKUP(A134,'DB Country PMI'!$A:$W,MATCH($A$1,'DB Country PMI'!$A$1:$W$1,),))</f>
        <v/>
      </c>
      <c r="C134" s="14">
        <f>Table13468113456[[#This Row],[PMI]]-B133</f>
        <v/>
      </c>
    </row>
    <row r="135">
      <c r="A135" s="8" t="n">
        <v>43191</v>
      </c>
      <c r="B135" s="11">
        <f>IF(VLOOKUP(A135,'DB Country PMI'!$A:$W,MATCH($A$1,'DB Country PMI'!$A$1:$W$1,),)=0,#N/A,VLOOKUP(A135,'DB Country PMI'!$A:$W,MATCH($A$1,'DB Country PMI'!$A$1:$W$1,),))</f>
        <v/>
      </c>
      <c r="C135" s="14">
        <f>Table13468113456[[#This Row],[PMI]]-B134</f>
        <v/>
      </c>
    </row>
    <row r="136">
      <c r="A136" s="8" t="n">
        <v>43221</v>
      </c>
      <c r="B136" s="11">
        <f>IF(VLOOKUP(A136,'DB Country PMI'!$A:$W,MATCH($A$1,'DB Country PMI'!$A$1:$W$1,),)=0,#N/A,VLOOKUP(A136,'DB Country PMI'!$A:$W,MATCH($A$1,'DB Country PMI'!$A$1:$W$1,),))</f>
        <v/>
      </c>
      <c r="C136" s="14">
        <f>Table13468113456[[#This Row],[PMI]]-B135</f>
        <v/>
      </c>
    </row>
    <row r="137">
      <c r="A137" s="8" t="n">
        <v>43252</v>
      </c>
      <c r="B137" s="11">
        <f>IF(VLOOKUP(A137,'DB Country PMI'!$A:$W,MATCH($A$1,'DB Country PMI'!$A$1:$W$1,),)=0,#N/A,VLOOKUP(A137,'DB Country PMI'!$A:$W,MATCH($A$1,'DB Country PMI'!$A$1:$W$1,),))</f>
        <v/>
      </c>
      <c r="C137" s="14">
        <f>Table13468113456[[#This Row],[PMI]]-B136</f>
        <v/>
      </c>
    </row>
    <row r="138">
      <c r="A138" s="8" t="n">
        <v>43282</v>
      </c>
      <c r="B138" s="11">
        <f>IF(VLOOKUP(A138,'DB Country PMI'!$A:$W,MATCH($A$1,'DB Country PMI'!$A$1:$W$1,),)=0,#N/A,VLOOKUP(A138,'DB Country PMI'!$A:$W,MATCH($A$1,'DB Country PMI'!$A$1:$W$1,),))</f>
        <v/>
      </c>
      <c r="C138" s="14">
        <f>Table13468113456[[#This Row],[PMI]]-B137</f>
        <v/>
      </c>
    </row>
    <row r="139">
      <c r="A139" s="8" t="n">
        <v>43313</v>
      </c>
      <c r="B139" s="11">
        <f>IF(VLOOKUP(A139,'DB Country PMI'!$A:$W,MATCH($A$1,'DB Country PMI'!$A$1:$W$1,),)=0,#N/A,VLOOKUP(A139,'DB Country PMI'!$A:$W,MATCH($A$1,'DB Country PMI'!$A$1:$W$1,),))</f>
        <v/>
      </c>
      <c r="C139" s="14">
        <f>Table13468113456[[#This Row],[PMI]]-B138</f>
        <v/>
      </c>
    </row>
    <row r="140">
      <c r="A140" s="8" t="n">
        <v>43344</v>
      </c>
      <c r="B140" s="11">
        <f>IF(VLOOKUP(A140,'DB Country PMI'!$A:$W,MATCH($A$1,'DB Country PMI'!$A$1:$W$1,),)=0,#N/A,VLOOKUP(A140,'DB Country PMI'!$A:$W,MATCH($A$1,'DB Country PMI'!$A$1:$W$1,),))</f>
        <v/>
      </c>
      <c r="C140" s="14">
        <f>Table13468113456[[#This Row],[PMI]]-B139</f>
        <v/>
      </c>
    </row>
    <row r="141">
      <c r="A141" s="8" t="n">
        <v>43374</v>
      </c>
      <c r="B141" s="11">
        <f>IF(VLOOKUP(A141,'DB Country PMI'!$A:$W,MATCH($A$1,'DB Country PMI'!$A$1:$W$1,),)=0,#N/A,VLOOKUP(A141,'DB Country PMI'!$A:$W,MATCH($A$1,'DB Country PMI'!$A$1:$W$1,),))</f>
        <v/>
      </c>
      <c r="C141" s="14">
        <f>Table13468113456[[#This Row],[PMI]]-B140</f>
        <v/>
      </c>
    </row>
    <row r="142">
      <c r="A142" s="8" t="n">
        <v>43405</v>
      </c>
      <c r="B142" s="11">
        <f>IF(VLOOKUP(A142,'DB Country PMI'!$A:$W,MATCH($A$1,'DB Country PMI'!$A$1:$W$1,),)=0,#N/A,VLOOKUP(A142,'DB Country PMI'!$A:$W,MATCH($A$1,'DB Country PMI'!$A$1:$W$1,),))</f>
        <v/>
      </c>
      <c r="C142" s="14">
        <f>Table13468113456[[#This Row],[PMI]]-B141</f>
        <v/>
      </c>
    </row>
    <row r="143">
      <c r="A143" s="8" t="n">
        <v>43435</v>
      </c>
      <c r="B143" s="11">
        <f>IF(VLOOKUP(A143,'DB Country PMI'!$A:$W,MATCH($A$1,'DB Country PMI'!$A$1:$W$1,),)=0,#N/A,VLOOKUP(A143,'DB Country PMI'!$A:$W,MATCH($A$1,'DB Country PMI'!$A$1:$W$1,),))</f>
        <v/>
      </c>
      <c r="C143" s="14">
        <f>Table13468113456[[#This Row],[PMI]]-B142</f>
        <v/>
      </c>
    </row>
    <row r="144">
      <c r="A144" s="8" t="n">
        <v>43466</v>
      </c>
      <c r="B144" s="11">
        <f>IF(VLOOKUP(A144,'DB Country PMI'!$A:$W,MATCH($A$1,'DB Country PMI'!$A$1:$W$1,),)=0,#N/A,VLOOKUP(A144,'DB Country PMI'!$A:$W,MATCH($A$1,'DB Country PMI'!$A$1:$W$1,),))</f>
        <v/>
      </c>
      <c r="C144" s="14">
        <f>Table13468113456[[#This Row],[PMI]]-B143</f>
        <v/>
      </c>
    </row>
    <row r="145">
      <c r="A145" s="8" t="n">
        <v>43497</v>
      </c>
      <c r="B145" s="11">
        <f>IF(VLOOKUP(A145,'DB Country PMI'!$A:$W,MATCH($A$1,'DB Country PMI'!$A$1:$W$1,),)=0,#N/A,VLOOKUP(A145,'DB Country PMI'!$A:$W,MATCH($A$1,'DB Country PMI'!$A$1:$W$1,),))</f>
        <v/>
      </c>
      <c r="C145" s="14">
        <f>Table13468113456[[#This Row],[PMI]]-B144</f>
        <v/>
      </c>
    </row>
    <row r="146">
      <c r="A146" s="8" t="n">
        <v>43525</v>
      </c>
      <c r="B146" s="11">
        <f>IF(VLOOKUP(A146,'DB Country PMI'!$A:$W,MATCH($A$1,'DB Country PMI'!$A$1:$W$1,),)=0,#N/A,VLOOKUP(A146,'DB Country PMI'!$A:$W,MATCH($A$1,'DB Country PMI'!$A$1:$W$1,),))</f>
        <v/>
      </c>
      <c r="C146" s="14">
        <f>Table13468113456[[#This Row],[PMI]]-B145</f>
        <v/>
      </c>
    </row>
    <row r="147">
      <c r="A147" s="8" t="n">
        <v>43556</v>
      </c>
      <c r="B147" s="11">
        <f>IF(VLOOKUP(A147,'DB Country PMI'!$A:$W,MATCH($A$1,'DB Country PMI'!$A$1:$W$1,),)=0,#N/A,VLOOKUP(A147,'DB Country PMI'!$A:$W,MATCH($A$1,'DB Country PMI'!$A$1:$W$1,),))</f>
        <v/>
      </c>
      <c r="C147" s="14">
        <f>Table13468113456[[#This Row],[PMI]]-B146</f>
        <v/>
      </c>
    </row>
    <row r="148">
      <c r="A148" s="8" t="n">
        <v>43586</v>
      </c>
      <c r="B148" s="11">
        <f>IF(VLOOKUP(A148,'DB Country PMI'!$A:$W,MATCH($A$1,'DB Country PMI'!$A$1:$W$1,),)=0,#N/A,VLOOKUP(A148,'DB Country PMI'!$A:$W,MATCH($A$1,'DB Country PMI'!$A$1:$W$1,),))</f>
        <v/>
      </c>
      <c r="C148" s="14">
        <f>Table13468113456[[#This Row],[PMI]]-B147</f>
        <v/>
      </c>
    </row>
    <row r="149">
      <c r="A149" s="8" t="n">
        <v>43617</v>
      </c>
      <c r="B149" s="11">
        <f>IF(VLOOKUP(A149,'DB Country PMI'!$A:$W,MATCH($A$1,'DB Country PMI'!$A$1:$W$1,),)=0,#N/A,VLOOKUP(A149,'DB Country PMI'!$A:$W,MATCH($A$1,'DB Country PMI'!$A$1:$W$1,),))</f>
        <v/>
      </c>
      <c r="C149" s="14">
        <f>Table13468113456[[#This Row],[PMI]]-B148</f>
        <v/>
      </c>
    </row>
    <row r="150">
      <c r="A150" s="8" t="n">
        <v>43647</v>
      </c>
      <c r="B150" s="11">
        <f>IF(VLOOKUP(A150,'DB Country PMI'!$A:$W,MATCH($A$1,'DB Country PMI'!$A$1:$W$1,),)=0,#N/A,VLOOKUP(A150,'DB Country PMI'!$A:$W,MATCH($A$1,'DB Country PMI'!$A$1:$W$1,),))</f>
        <v/>
      </c>
      <c r="C150" s="14">
        <f>Table13468113456[[#This Row],[PMI]]-B149</f>
        <v/>
      </c>
    </row>
    <row r="151">
      <c r="A151" s="8" t="n">
        <v>43678</v>
      </c>
      <c r="B151" s="11">
        <f>IF(VLOOKUP(A151,'DB Country PMI'!$A:$W,MATCH($A$1,'DB Country PMI'!$A$1:$W$1,),)=0,#N/A,VLOOKUP(A151,'DB Country PMI'!$A:$W,MATCH($A$1,'DB Country PMI'!$A$1:$W$1,),))</f>
        <v/>
      </c>
      <c r="C151" s="14">
        <f>Table13468113456[[#This Row],[PMI]]-B150</f>
        <v/>
      </c>
    </row>
    <row r="152">
      <c r="A152" s="8" t="n">
        <v>43709</v>
      </c>
      <c r="B152" s="11">
        <f>IF(VLOOKUP(A152,'DB Country PMI'!$A:$W,MATCH($A$1,'DB Country PMI'!$A$1:$W$1,),)=0,#N/A,VLOOKUP(A152,'DB Country PMI'!$A:$W,MATCH($A$1,'DB Country PMI'!$A$1:$W$1,),))</f>
        <v/>
      </c>
      <c r="C152" s="14">
        <f>Table13468113456[[#This Row],[PMI]]-B151</f>
        <v/>
      </c>
    </row>
    <row r="153">
      <c r="A153" s="8" t="n">
        <v>43739</v>
      </c>
      <c r="B153" s="11">
        <f>IF(VLOOKUP(A153,'DB Country PMI'!$A:$W,MATCH($A$1,'DB Country PMI'!$A$1:$W$1,),)=0,#N/A,VLOOKUP(A153,'DB Country PMI'!$A:$W,MATCH($A$1,'DB Country PMI'!$A$1:$W$1,),))</f>
        <v/>
      </c>
      <c r="C153" s="14">
        <f>Table13468113456[[#This Row],[PMI]]-B152</f>
        <v/>
      </c>
    </row>
    <row r="154">
      <c r="A154" s="8" t="n">
        <v>43770</v>
      </c>
      <c r="B154" s="11">
        <f>IF(VLOOKUP(A154,'DB Country PMI'!$A:$W,MATCH($A$1,'DB Country PMI'!$A$1:$W$1,),)=0,#N/A,VLOOKUP(A154,'DB Country PMI'!$A:$W,MATCH($A$1,'DB Country PMI'!$A$1:$W$1,),))</f>
        <v/>
      </c>
      <c r="C154" s="14">
        <f>Table13468113456[[#This Row],[PMI]]-B153</f>
        <v/>
      </c>
    </row>
    <row r="155">
      <c r="A155" s="8" t="n">
        <v>43800</v>
      </c>
      <c r="B155" s="11">
        <f>IF(VLOOKUP(A155,'DB Country PMI'!$A:$W,MATCH($A$1,'DB Country PMI'!$A$1:$W$1,),)=0,#N/A,VLOOKUP(A155,'DB Country PMI'!$A:$W,MATCH($A$1,'DB Country PMI'!$A$1:$W$1,),))</f>
        <v/>
      </c>
      <c r="C155" s="14">
        <f>Table13468113456[[#This Row],[PMI]]-B154</f>
        <v/>
      </c>
    </row>
    <row r="156">
      <c r="A156" s="8" t="n">
        <v>43831</v>
      </c>
      <c r="B156" s="11">
        <f>IF(VLOOKUP(A156,'DB Country PMI'!$A:$W,MATCH($A$1,'DB Country PMI'!$A$1:$W$1,),)=0,#N/A,VLOOKUP(A156,'DB Country PMI'!$A:$W,MATCH($A$1,'DB Country PMI'!$A$1:$W$1,),))</f>
        <v/>
      </c>
      <c r="C156" s="14">
        <f>Table13468113456[[#This Row],[PMI]]-B155</f>
        <v/>
      </c>
    </row>
    <row r="157">
      <c r="A157" s="8" t="n">
        <v>43862</v>
      </c>
      <c r="B157" s="11">
        <f>IF(VLOOKUP(A157,'DB Country PMI'!$A:$W,MATCH($A$1,'DB Country PMI'!$A$1:$W$1,),)=0,#N/A,VLOOKUP(A157,'DB Country PMI'!$A:$W,MATCH($A$1,'DB Country PMI'!$A$1:$W$1,),))</f>
        <v/>
      </c>
      <c r="C157" s="14">
        <f>Table13468113456[[#This Row],[PMI]]-B156</f>
        <v/>
      </c>
    </row>
    <row r="158">
      <c r="A158" s="8" t="n">
        <v>43891</v>
      </c>
      <c r="B158" s="11">
        <f>IF(VLOOKUP(A158,'DB Country PMI'!$A:$W,MATCH($A$1,'DB Country PMI'!$A$1:$W$1,),)=0,#N/A,VLOOKUP(A158,'DB Country PMI'!$A:$W,MATCH($A$1,'DB Country PMI'!$A$1:$W$1,),))</f>
        <v/>
      </c>
      <c r="C158" s="14">
        <f>Table13468113456[[#This Row],[PMI]]-B157</f>
        <v/>
      </c>
    </row>
    <row r="159">
      <c r="A159" s="8" t="n">
        <v>43922</v>
      </c>
      <c r="B159" s="11">
        <f>IF(VLOOKUP(A159,'DB Country PMI'!$A:$W,MATCH($A$1,'DB Country PMI'!$A$1:$W$1,),)=0,#N/A,VLOOKUP(A159,'DB Country PMI'!$A:$W,MATCH($A$1,'DB Country PMI'!$A$1:$W$1,),))</f>
        <v/>
      </c>
      <c r="C159" s="14">
        <f>Table13468113456[[#This Row],[PMI]]-B158</f>
        <v/>
      </c>
    </row>
    <row r="160">
      <c r="A160" s="8" t="n">
        <v>43952</v>
      </c>
      <c r="B160" s="11">
        <f>IF(VLOOKUP(A160,'DB Country PMI'!$A:$W,MATCH($A$1,'DB Country PMI'!$A$1:$W$1,),)=0,#N/A,VLOOKUP(A160,'DB Country PMI'!$A:$W,MATCH($A$1,'DB Country PMI'!$A$1:$W$1,),))</f>
        <v/>
      </c>
      <c r="C160" s="14">
        <f>Table13468113456[[#This Row],[PMI]]-B159</f>
        <v/>
      </c>
    </row>
    <row r="161">
      <c r="A161" s="8" t="n">
        <v>43983</v>
      </c>
      <c r="B161" s="11">
        <f>IF(VLOOKUP(A161,'DB Country PMI'!$A:$W,MATCH($A$1,'DB Country PMI'!$A$1:$W$1,),)=0,#N/A,VLOOKUP(A161,'DB Country PMI'!$A:$W,MATCH($A$1,'DB Country PMI'!$A$1:$W$1,),))</f>
        <v/>
      </c>
      <c r="C161" s="14">
        <f>Table13468113456[[#This Row],[PMI]]-B160</f>
        <v/>
      </c>
    </row>
    <row r="162">
      <c r="A162" s="8" t="n">
        <v>44013</v>
      </c>
      <c r="B162" s="11">
        <f>IF(VLOOKUP(A162,'DB Country PMI'!$A:$W,MATCH($A$1,'DB Country PMI'!$A$1:$W$1,),)=0,#N/A,VLOOKUP(A162,'DB Country PMI'!$A:$W,MATCH($A$1,'DB Country PMI'!$A$1:$W$1,),))</f>
        <v/>
      </c>
      <c r="C162" s="14">
        <f>Table13468113456[[#This Row],[PMI]]-B161</f>
        <v/>
      </c>
    </row>
    <row r="163">
      <c r="A163" s="8" t="n">
        <v>44044</v>
      </c>
      <c r="B163" s="11">
        <f>IF(VLOOKUP(A163,'DB Country PMI'!$A:$W,MATCH($A$1,'DB Country PMI'!$A$1:$W$1,),)=0,#N/A,VLOOKUP(A163,'DB Country PMI'!$A:$W,MATCH($A$1,'DB Country PMI'!$A$1:$W$1,),))</f>
        <v/>
      </c>
      <c r="C163" s="14">
        <f>Table13468113456[[#This Row],[PMI]]-B162</f>
        <v/>
      </c>
    </row>
    <row r="164">
      <c r="A164" s="8" t="n">
        <v>44075</v>
      </c>
      <c r="B164" s="11">
        <f>IF(VLOOKUP(A164,'DB Country PMI'!$A:$W,MATCH($A$1,'DB Country PMI'!$A$1:$W$1,),)=0,#N/A,VLOOKUP(A164,'DB Country PMI'!$A:$W,MATCH($A$1,'DB Country PMI'!$A$1:$W$1,),))</f>
        <v/>
      </c>
      <c r="C164" s="14">
        <f>Table13468113456[[#This Row],[PMI]]-B163</f>
        <v/>
      </c>
    </row>
    <row r="165">
      <c r="A165" s="8" t="n">
        <v>44105</v>
      </c>
      <c r="B165" s="11">
        <f>IF(VLOOKUP(A165,'DB Country PMI'!$A:$W,MATCH($A$1,'DB Country PMI'!$A$1:$W$1,),)=0,#N/A,VLOOKUP(A165,'DB Country PMI'!$A:$W,MATCH($A$1,'DB Country PMI'!$A$1:$W$1,),))</f>
        <v/>
      </c>
      <c r="C165" s="14">
        <f>Table13468113456[[#This Row],[PMI]]-B164</f>
        <v/>
      </c>
    </row>
    <row r="166">
      <c r="A166" s="8" t="n">
        <v>44136</v>
      </c>
      <c r="B166" s="11">
        <f>IF(VLOOKUP(A166,'DB Country PMI'!$A:$W,MATCH($A$1,'DB Country PMI'!$A$1:$W$1,),)=0,#N/A,VLOOKUP(A166,'DB Country PMI'!$A:$W,MATCH($A$1,'DB Country PMI'!$A$1:$W$1,),))</f>
        <v/>
      </c>
      <c r="C166" s="14">
        <f>Table13468113456[[#This Row],[PMI]]-B165</f>
        <v/>
      </c>
    </row>
    <row r="167">
      <c r="A167" s="8" t="n">
        <v>44166</v>
      </c>
      <c r="B167" s="11">
        <f>IF(VLOOKUP(A167,'DB Country PMI'!$A:$W,MATCH($A$1,'DB Country PMI'!$A$1:$W$1,),)=0,#N/A,VLOOKUP(A167,'DB Country PMI'!$A:$W,MATCH($A$1,'DB Country PMI'!$A$1:$W$1,),))</f>
        <v/>
      </c>
      <c r="C167" s="14">
        <f>Table13468113456[[#This Row],[PMI]]-B166</f>
        <v/>
      </c>
    </row>
    <row r="168">
      <c r="A168" s="8" t="n">
        <v>44197</v>
      </c>
      <c r="B168" s="11">
        <f>IF(VLOOKUP(A168,'DB Country PMI'!$A:$W,MATCH($A$1,'DB Country PMI'!$A$1:$W$1,),)=0,#N/A,VLOOKUP(A168,'DB Country PMI'!$A:$W,MATCH($A$1,'DB Country PMI'!$A$1:$W$1,),))</f>
        <v/>
      </c>
      <c r="C168" s="14">
        <f>Table13468113456[[#This Row],[PMI]]-B167</f>
        <v/>
      </c>
    </row>
    <row r="169">
      <c r="A169" s="8" t="n">
        <v>44228</v>
      </c>
      <c r="B169" s="11">
        <f>IF(VLOOKUP(A169,'DB Country PMI'!$A:$W,MATCH($A$1,'DB Country PMI'!$A$1:$W$1,),)=0,#N/A,VLOOKUP(A169,'DB Country PMI'!$A:$W,MATCH($A$1,'DB Country PMI'!$A$1:$W$1,),))</f>
        <v/>
      </c>
      <c r="C169" s="14">
        <f>Table13468113456[[#This Row],[PMI]]-B168</f>
        <v/>
      </c>
    </row>
    <row r="170">
      <c r="A170" s="8" t="n">
        <v>44256</v>
      </c>
      <c r="B170" s="11">
        <f>IF(VLOOKUP(A170,'DB Country PMI'!$A:$W,MATCH($A$1,'DB Country PMI'!$A$1:$W$1,),)=0,#N/A,VLOOKUP(A170,'DB Country PMI'!$A:$W,MATCH($A$1,'DB Country PMI'!$A$1:$W$1,),))</f>
        <v/>
      </c>
      <c r="C170" s="14">
        <f>Table13468113456[[#This Row],[PMI]]-B169</f>
        <v/>
      </c>
    </row>
    <row r="171">
      <c r="A171" s="8" t="n">
        <v>44287</v>
      </c>
      <c r="B171" s="11">
        <f>IF(VLOOKUP(A171,'DB Country PMI'!$A:$W,MATCH($A$1,'DB Country PMI'!$A$1:$W$1,),)=0,#N/A,VLOOKUP(A171,'DB Country PMI'!$A:$W,MATCH($A$1,'DB Country PMI'!$A$1:$W$1,),))</f>
        <v/>
      </c>
      <c r="C171" s="14">
        <f>Table13468113456[[#This Row],[PMI]]-B170</f>
        <v/>
      </c>
    </row>
    <row r="172">
      <c r="A172" s="8" t="n">
        <v>44317</v>
      </c>
      <c r="B172" s="11">
        <f>IF(VLOOKUP(A172,'DB Country PMI'!$A:$W,MATCH($A$1,'DB Country PMI'!$A$1:$W$1,),)=0,#N/A,VLOOKUP(A172,'DB Country PMI'!$A:$W,MATCH($A$1,'DB Country PMI'!$A$1:$W$1,),))</f>
        <v/>
      </c>
      <c r="C172" s="14">
        <f>Table13468113456[[#This Row],[PMI]]-B171</f>
        <v/>
      </c>
    </row>
    <row r="173">
      <c r="A173" s="8" t="n">
        <v>44348</v>
      </c>
      <c r="B173" s="11">
        <f>IF(VLOOKUP(A173,'DB Country PMI'!$A:$W,MATCH($A$1,'DB Country PMI'!$A$1:$W$1,),)=0,#N/A,VLOOKUP(A173,'DB Country PMI'!$A:$W,MATCH($A$1,'DB Country PMI'!$A$1:$W$1,),))</f>
        <v/>
      </c>
      <c r="C173" s="14">
        <f>Table13468113456[[#This Row],[PMI]]-B172</f>
        <v/>
      </c>
    </row>
    <row r="174">
      <c r="A174" s="8" t="n">
        <v>44378</v>
      </c>
      <c r="B174" s="11">
        <f>IF(VLOOKUP(A174,'DB Country PMI'!$A:$W,MATCH($A$1,'DB Country PMI'!$A$1:$W$1,),)=0,#N/A,VLOOKUP(A174,'DB Country PMI'!$A:$W,MATCH($A$1,'DB Country PMI'!$A$1:$W$1,),))</f>
        <v/>
      </c>
      <c r="C174" s="14">
        <f>Table13468113456[[#This Row],[PMI]]-B173</f>
        <v/>
      </c>
    </row>
    <row r="175">
      <c r="A175" s="8" t="n">
        <v>44409</v>
      </c>
      <c r="B175" s="11">
        <f>IF(VLOOKUP(A175,'DB Country PMI'!$A:$W,MATCH($A$1,'DB Country PMI'!$A$1:$W$1,),)=0,#N/A,VLOOKUP(A175,'DB Country PMI'!$A:$W,MATCH($A$1,'DB Country PMI'!$A$1:$W$1,),))</f>
        <v/>
      </c>
      <c r="C175" s="14">
        <f>Table13468113456[[#This Row],[PMI]]-B174</f>
        <v/>
      </c>
    </row>
    <row r="176">
      <c r="A176" s="8" t="n">
        <v>44440</v>
      </c>
      <c r="B176" s="11">
        <f>IF(VLOOKUP(A176,'DB Country PMI'!$A:$W,MATCH($A$1,'DB Country PMI'!$A$1:$W$1,),)=0,#N/A,VLOOKUP(A176,'DB Country PMI'!$A:$W,MATCH($A$1,'DB Country PMI'!$A$1:$W$1,),))</f>
        <v/>
      </c>
      <c r="C176" s="14">
        <f>Table13468113456[[#This Row],[PMI]]-B175</f>
        <v/>
      </c>
    </row>
    <row r="177">
      <c r="A177" s="8" t="n">
        <v>44470</v>
      </c>
      <c r="B177" s="11">
        <f>IF(VLOOKUP(A177,'DB Country PMI'!$A:$W,MATCH($A$1,'DB Country PMI'!$A$1:$W$1,),)=0,#N/A,VLOOKUP(A177,'DB Country PMI'!$A:$W,MATCH($A$1,'DB Country PMI'!$A$1:$W$1,),))</f>
        <v/>
      </c>
      <c r="C177" s="14">
        <f>Table13468113456[[#This Row],[PMI]]-B176</f>
        <v/>
      </c>
    </row>
    <row r="178">
      <c r="A178" s="8" t="n">
        <v>44501</v>
      </c>
      <c r="B178" s="11">
        <f>IF(VLOOKUP(A178,'DB Country PMI'!$A:$W,MATCH($A$1,'DB Country PMI'!$A$1:$W$1,),)=0,#N/A,VLOOKUP(A178,'DB Country PMI'!$A:$W,MATCH($A$1,'DB Country PMI'!$A$1:$W$1,),))</f>
        <v/>
      </c>
      <c r="C178" s="14">
        <f>Table13468113456[[#This Row],[PMI]]-B177</f>
        <v/>
      </c>
    </row>
    <row r="179">
      <c r="A179" s="8" t="n">
        <v>44531</v>
      </c>
      <c r="B179" s="11">
        <f>IF(VLOOKUP(A179,'DB Country PMI'!$A:$W,MATCH($A$1,'DB Country PMI'!$A$1:$W$1,),)=0,#N/A,VLOOKUP(A179,'DB Country PMI'!$A:$W,MATCH($A$1,'DB Country PMI'!$A$1:$W$1,),))</f>
        <v/>
      </c>
      <c r="C179" s="14">
        <f>Table13468113456[[#This Row],[PMI]]-B178</f>
        <v/>
      </c>
    </row>
    <row r="180">
      <c r="A180" s="8" t="n">
        <v>44562</v>
      </c>
      <c r="B180" s="11">
        <f>IF(VLOOKUP(A180,'DB Country PMI'!$A:$W,MATCH($A$1,'DB Country PMI'!$A$1:$W$1,),)=0,#N/A,VLOOKUP(A180,'DB Country PMI'!$A:$W,MATCH($A$1,'DB Country PMI'!$A$1:$W$1,),))</f>
        <v/>
      </c>
      <c r="C180" s="14">
        <f>Table13468113456[[#This Row],[PMI]]-B179</f>
        <v/>
      </c>
    </row>
    <row r="181">
      <c r="A181" s="8" t="n">
        <v>44593</v>
      </c>
      <c r="B181" s="11">
        <f>IF(VLOOKUP(A181,'DB Country PMI'!$A:$W,MATCH($A$1,'DB Country PMI'!$A$1:$W$1,),)=0,#N/A,VLOOKUP(A181,'DB Country PMI'!$A:$W,MATCH($A$1,'DB Country PMI'!$A$1:$W$1,),))</f>
        <v/>
      </c>
      <c r="C181" s="14">
        <f>Table13468113456[[#This Row],[PMI]]-B180</f>
        <v/>
      </c>
    </row>
    <row r="182">
      <c r="A182" s="8" t="n">
        <v>44621</v>
      </c>
      <c r="B182" s="11">
        <f>IF(VLOOKUP(A182,'DB Country PMI'!$A:$W,MATCH($A$1,'DB Country PMI'!$A$1:$W$1,),)=0,#N/A,VLOOKUP(A182,'DB Country PMI'!$A:$W,MATCH($A$1,'DB Country PMI'!$A$1:$W$1,),))</f>
        <v/>
      </c>
      <c r="C182" s="14">
        <f>Table13468113456[[#This Row],[PMI]]-B181</f>
        <v/>
      </c>
    </row>
  </sheetData>
  <conditionalFormatting sqref="C7:C182">
    <cfRule type="colorScale" priority="1">
      <colorScale>
        <cfvo type="min"/>
        <cfvo type="percentile" val="50"/>
        <cfvo type="max"/>
        <color rgb="FFF8696B"/>
        <color rgb="FFFCFCFF"/>
        <color rgb="FF5A8AC6"/>
      </colorScale>
    </cfRule>
  </conditionalFormatting>
  <conditionalFormatting sqref="B6:B182">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0.xml><?xml version="1.0" encoding="utf-8"?>
<worksheet xmlns="http://schemas.openxmlformats.org/spreadsheetml/2006/main">
  <sheetPr>
    <outlinePr summaryBelow="1" summaryRight="1"/>
    <pageSetUpPr/>
  </sheetPr>
  <dimension ref="A1:J143"/>
  <sheetViews>
    <sheetView zoomScale="150" zoomScaleNormal="150" workbookViewId="0">
      <pane ySplit="5" topLeftCell="A125" activePane="bottomLeft" state="frozen"/>
      <selection pane="bottomLeft" activeCell="A139" sqref="A139:C143"/>
    </sheetView>
  </sheetViews>
  <sheetFormatPr baseColWidth="10" defaultColWidth="9.1640625" defaultRowHeight="15"/>
  <cols>
    <col width="13.5" customWidth="1" style="60" min="1" max="1"/>
    <col width="11.33203125" customWidth="1" style="60" min="2" max="2"/>
    <col width="9.1640625" customWidth="1" style="60" min="3" max="7"/>
    <col width="9.1640625" customWidth="1" style="60" min="8" max="16384"/>
  </cols>
  <sheetData>
    <row r="1">
      <c r="A1" s="60" t="inlineStr">
        <is>
          <t>United Kingdom</t>
        </is>
      </c>
      <c r="J1" s="60" t="inlineStr">
        <is>
          <t xml:space="preserve"> Services PMI</t>
        </is>
      </c>
    </row>
    <row r="2">
      <c r="J2" s="60" t="inlineStr">
        <is>
          <t>U.K.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Table1346811345671012131415[[#This Row],[PMI]]-B6</f>
        <v/>
      </c>
    </row>
    <row r="8">
      <c r="A8" s="8" t="n">
        <v>40513</v>
      </c>
      <c r="B8" s="11">
        <f>IF(VLOOKUP(A8,'DB Country PMI'!$A:$W,MATCH($A$1,'DB Country PMI'!$A$1:$W$1,),)=0,#N/A,VLOOKUP(A8,'DB Country PMI'!$A:$W,MATCH($A$1,'DB Country PMI'!$A$1:$W$1,),))</f>
        <v/>
      </c>
      <c r="C8" s="14">
        <f>Table1346811345671012131415[[#This Row],[PMI]]-B7</f>
        <v/>
      </c>
    </row>
    <row r="9">
      <c r="A9" s="8" t="n">
        <v>40544</v>
      </c>
      <c r="B9" s="11">
        <f>IF(VLOOKUP(A9,'DB Country PMI'!$A:$W,MATCH($A$1,'DB Country PMI'!$A$1:$W$1,),)=0,#N/A,VLOOKUP(A9,'DB Country PMI'!$A:$W,MATCH($A$1,'DB Country PMI'!$A$1:$W$1,),))</f>
        <v/>
      </c>
      <c r="C9" s="14">
        <f>Table1346811345671012131415[[#This Row],[PMI]]-B8</f>
        <v/>
      </c>
    </row>
    <row r="10">
      <c r="A10" s="8" t="n">
        <v>40575</v>
      </c>
      <c r="B10" s="11">
        <f>IF(VLOOKUP(A10,'DB Country PMI'!$A:$W,MATCH($A$1,'DB Country PMI'!$A$1:$W$1,),)=0,#N/A,VLOOKUP(A10,'DB Country PMI'!$A:$W,MATCH($A$1,'DB Country PMI'!$A$1:$W$1,),))</f>
        <v/>
      </c>
      <c r="C10" s="14">
        <f>Table1346811345671012131415[[#This Row],[PMI]]-B9</f>
        <v/>
      </c>
    </row>
    <row r="11">
      <c r="A11" s="8" t="n">
        <v>40603</v>
      </c>
      <c r="B11" s="11">
        <f>IF(VLOOKUP(A11,'DB Country PMI'!$A:$W,MATCH($A$1,'DB Country PMI'!$A$1:$W$1,),)=0,#N/A,VLOOKUP(A11,'DB Country PMI'!$A:$W,MATCH($A$1,'DB Country PMI'!$A$1:$W$1,),))</f>
        <v/>
      </c>
      <c r="C11" s="14">
        <f>Table1346811345671012131415[[#This Row],[PMI]]-B10</f>
        <v/>
      </c>
    </row>
    <row r="12">
      <c r="A12" s="8" t="n">
        <v>40634</v>
      </c>
      <c r="B12" s="11">
        <f>IF(VLOOKUP(A12,'DB Country PMI'!$A:$W,MATCH($A$1,'DB Country PMI'!$A$1:$W$1,),)=0,#N/A,VLOOKUP(A12,'DB Country PMI'!$A:$W,MATCH($A$1,'DB Country PMI'!$A$1:$W$1,),))</f>
        <v/>
      </c>
      <c r="C12" s="14">
        <f>Table1346811345671012131415[[#This Row],[PMI]]-B11</f>
        <v/>
      </c>
    </row>
    <row r="13">
      <c r="A13" s="8" t="n">
        <v>40664</v>
      </c>
      <c r="B13" s="11">
        <f>IF(VLOOKUP(A13,'DB Country PMI'!$A:$W,MATCH($A$1,'DB Country PMI'!$A$1:$W$1,),)=0,#N/A,VLOOKUP(A13,'DB Country PMI'!$A:$W,MATCH($A$1,'DB Country PMI'!$A$1:$W$1,),))</f>
        <v/>
      </c>
      <c r="C13" s="14">
        <f>Table1346811345671012131415[[#This Row],[PMI]]-B12</f>
        <v/>
      </c>
    </row>
    <row r="14">
      <c r="A14" s="8" t="n">
        <v>40695</v>
      </c>
      <c r="B14" s="11">
        <f>IF(VLOOKUP(A14,'DB Country PMI'!$A:$W,MATCH($A$1,'DB Country PMI'!$A$1:$W$1,),)=0,#N/A,VLOOKUP(A14,'DB Country PMI'!$A:$W,MATCH($A$1,'DB Country PMI'!$A$1:$W$1,),))</f>
        <v/>
      </c>
      <c r="C14" s="14">
        <f>Table1346811345671012131415[[#This Row],[PMI]]-B13</f>
        <v/>
      </c>
    </row>
    <row r="15">
      <c r="A15" s="8" t="n">
        <v>40725</v>
      </c>
      <c r="B15" s="11">
        <f>IF(VLOOKUP(A15,'DB Country PMI'!$A:$W,MATCH($A$1,'DB Country PMI'!$A$1:$W$1,),)=0,#N/A,VLOOKUP(A15,'DB Country PMI'!$A:$W,MATCH($A$1,'DB Country PMI'!$A$1:$W$1,),))</f>
        <v/>
      </c>
      <c r="C15" s="14">
        <f>Table1346811345671012131415[[#This Row],[PMI]]-B14</f>
        <v/>
      </c>
    </row>
    <row r="16">
      <c r="A16" s="8" t="n">
        <v>40756</v>
      </c>
      <c r="B16" s="11">
        <f>IF(VLOOKUP(A16,'DB Country PMI'!$A:$W,MATCH($A$1,'DB Country PMI'!$A$1:$W$1,),)=0,#N/A,VLOOKUP(A16,'DB Country PMI'!$A:$W,MATCH($A$1,'DB Country PMI'!$A$1:$W$1,),))</f>
        <v/>
      </c>
      <c r="C16" s="14">
        <f>Table1346811345671012131415[[#This Row],[PMI]]-B15</f>
        <v/>
      </c>
    </row>
    <row r="17">
      <c r="A17" s="8" t="n">
        <v>40787</v>
      </c>
      <c r="B17" s="11">
        <f>IF(VLOOKUP(A17,'DB Country PMI'!$A:$W,MATCH($A$1,'DB Country PMI'!$A$1:$W$1,),)=0,#N/A,VLOOKUP(A17,'DB Country PMI'!$A:$W,MATCH($A$1,'DB Country PMI'!$A$1:$W$1,),))</f>
        <v/>
      </c>
      <c r="C17" s="14">
        <f>Table1346811345671012131415[[#This Row],[PMI]]-B16</f>
        <v/>
      </c>
    </row>
    <row r="18">
      <c r="A18" s="8" t="n">
        <v>40817</v>
      </c>
      <c r="B18" s="11">
        <f>IF(VLOOKUP(A18,'DB Country PMI'!$A:$W,MATCH($A$1,'DB Country PMI'!$A$1:$W$1,),)=0,#N/A,VLOOKUP(A18,'DB Country PMI'!$A:$W,MATCH($A$1,'DB Country PMI'!$A$1:$W$1,),))</f>
        <v/>
      </c>
      <c r="C18" s="14">
        <f>Table1346811345671012131415[[#This Row],[PMI]]-B17</f>
        <v/>
      </c>
    </row>
    <row r="19">
      <c r="A19" s="8" t="n">
        <v>40848</v>
      </c>
      <c r="B19" s="11">
        <f>IF(VLOOKUP(A19,'DB Country PMI'!$A:$W,MATCH($A$1,'DB Country PMI'!$A$1:$W$1,),)=0,#N/A,VLOOKUP(A19,'DB Country PMI'!$A:$W,MATCH($A$1,'DB Country PMI'!$A$1:$W$1,),))</f>
        <v/>
      </c>
      <c r="C19" s="14">
        <f>Table1346811345671012131415[[#This Row],[PMI]]-B18</f>
        <v/>
      </c>
    </row>
    <row r="20">
      <c r="A20" s="8" t="n">
        <v>40878</v>
      </c>
      <c r="B20" s="11">
        <f>IF(VLOOKUP(A20,'DB Country PMI'!$A:$W,MATCH($A$1,'DB Country PMI'!$A$1:$W$1,),)=0,#N/A,VLOOKUP(A20,'DB Country PMI'!$A:$W,MATCH($A$1,'DB Country PMI'!$A$1:$W$1,),))</f>
        <v/>
      </c>
      <c r="C20" s="14">
        <f>Table1346811345671012131415[[#This Row],[PMI]]-B19</f>
        <v/>
      </c>
    </row>
    <row r="21">
      <c r="A21" s="8" t="n">
        <v>40909</v>
      </c>
      <c r="B21" s="11">
        <f>IF(VLOOKUP(A21,'DB Country PMI'!$A:$W,MATCH($A$1,'DB Country PMI'!$A$1:$W$1,),)=0,#N/A,VLOOKUP(A21,'DB Country PMI'!$A:$W,MATCH($A$1,'DB Country PMI'!$A$1:$W$1,),))</f>
        <v/>
      </c>
      <c r="C21" s="14">
        <f>Table1346811345671012131415[[#This Row],[PMI]]-B20</f>
        <v/>
      </c>
    </row>
    <row r="22">
      <c r="A22" s="8" t="n">
        <v>40940</v>
      </c>
      <c r="B22" s="11">
        <f>IF(VLOOKUP(A22,'DB Country PMI'!$A:$W,MATCH($A$1,'DB Country PMI'!$A$1:$W$1,),)=0,#N/A,VLOOKUP(A22,'DB Country PMI'!$A:$W,MATCH($A$1,'DB Country PMI'!$A$1:$W$1,),))</f>
        <v/>
      </c>
      <c r="C22" s="14">
        <f>Table1346811345671012131415[[#This Row],[PMI]]-B21</f>
        <v/>
      </c>
    </row>
    <row r="23">
      <c r="A23" s="8" t="n">
        <v>40969</v>
      </c>
      <c r="B23" s="11">
        <f>IF(VLOOKUP(A23,'DB Country PMI'!$A:$W,MATCH($A$1,'DB Country PMI'!$A$1:$W$1,),)=0,#N/A,VLOOKUP(A23,'DB Country PMI'!$A:$W,MATCH($A$1,'DB Country PMI'!$A$1:$W$1,),))</f>
        <v/>
      </c>
      <c r="C23" s="14">
        <f>Table1346811345671012131415[[#This Row],[PMI]]-B22</f>
        <v/>
      </c>
    </row>
    <row r="24">
      <c r="A24" s="8" t="n">
        <v>41000</v>
      </c>
      <c r="B24" s="11">
        <f>IF(VLOOKUP(A24,'DB Country PMI'!$A:$W,MATCH($A$1,'DB Country PMI'!$A$1:$W$1,),)=0,#N/A,VLOOKUP(A24,'DB Country PMI'!$A:$W,MATCH($A$1,'DB Country PMI'!$A$1:$W$1,),))</f>
        <v/>
      </c>
      <c r="C24" s="14">
        <f>Table1346811345671012131415[[#This Row],[PMI]]-B23</f>
        <v/>
      </c>
    </row>
    <row r="25">
      <c r="A25" s="8" t="n">
        <v>41030</v>
      </c>
      <c r="B25" s="11">
        <f>IF(VLOOKUP(A25,'DB Country PMI'!$A:$W,MATCH($A$1,'DB Country PMI'!$A$1:$W$1,),)=0,#N/A,VLOOKUP(A25,'DB Country PMI'!$A:$W,MATCH($A$1,'DB Country PMI'!$A$1:$W$1,),))</f>
        <v/>
      </c>
      <c r="C25" s="14">
        <f>Table1346811345671012131415[[#This Row],[PMI]]-B24</f>
        <v/>
      </c>
    </row>
    <row r="26">
      <c r="A26" s="8" t="n">
        <v>41061</v>
      </c>
      <c r="B26" s="11">
        <f>IF(VLOOKUP(A26,'DB Country PMI'!$A:$W,MATCH($A$1,'DB Country PMI'!$A$1:$W$1,),)=0,#N/A,VLOOKUP(A26,'DB Country PMI'!$A:$W,MATCH($A$1,'DB Country PMI'!$A$1:$W$1,),))</f>
        <v/>
      </c>
      <c r="C26" s="14">
        <f>Table1346811345671012131415[[#This Row],[PMI]]-B25</f>
        <v/>
      </c>
    </row>
    <row r="27">
      <c r="A27" s="8" t="n">
        <v>41091</v>
      </c>
      <c r="B27" s="11">
        <f>IF(VLOOKUP(A27,'DB Country PMI'!$A:$W,MATCH($A$1,'DB Country PMI'!$A$1:$W$1,),)=0,#N/A,VLOOKUP(A27,'DB Country PMI'!$A:$W,MATCH($A$1,'DB Country PMI'!$A$1:$W$1,),))</f>
        <v/>
      </c>
      <c r="C27" s="14">
        <f>Table1346811345671012131415[[#This Row],[PMI]]-B26</f>
        <v/>
      </c>
    </row>
    <row r="28">
      <c r="A28" s="8" t="n">
        <v>41122</v>
      </c>
      <c r="B28" s="11">
        <f>IF(VLOOKUP(A28,'DB Country PMI'!$A:$W,MATCH($A$1,'DB Country PMI'!$A$1:$W$1,),)=0,#N/A,VLOOKUP(A28,'DB Country PMI'!$A:$W,MATCH($A$1,'DB Country PMI'!$A$1:$W$1,),))</f>
        <v/>
      </c>
      <c r="C28" s="14">
        <f>Table1346811345671012131415[[#This Row],[PMI]]-B27</f>
        <v/>
      </c>
    </row>
    <row r="29">
      <c r="A29" s="8" t="n">
        <v>41153</v>
      </c>
      <c r="B29" s="11">
        <f>IF(VLOOKUP(A29,'DB Country PMI'!$A:$W,MATCH($A$1,'DB Country PMI'!$A$1:$W$1,),)=0,#N/A,VLOOKUP(A29,'DB Country PMI'!$A:$W,MATCH($A$1,'DB Country PMI'!$A$1:$W$1,),))</f>
        <v/>
      </c>
      <c r="C29" s="14">
        <f>Table1346811345671012131415[[#This Row],[PMI]]-B28</f>
        <v/>
      </c>
    </row>
    <row r="30">
      <c r="A30" s="8" t="n">
        <v>41183</v>
      </c>
      <c r="B30" s="11">
        <f>IF(VLOOKUP(A30,'DB Country PMI'!$A:$W,MATCH($A$1,'DB Country PMI'!$A$1:$W$1,),)=0,#N/A,VLOOKUP(A30,'DB Country PMI'!$A:$W,MATCH($A$1,'DB Country PMI'!$A$1:$W$1,),))</f>
        <v/>
      </c>
      <c r="C30" s="14">
        <f>Table1346811345671012131415[[#This Row],[PMI]]-B29</f>
        <v/>
      </c>
    </row>
    <row r="31">
      <c r="A31" s="8" t="n">
        <v>41214</v>
      </c>
      <c r="B31" s="11">
        <f>IF(VLOOKUP(A31,'DB Country PMI'!$A:$W,MATCH($A$1,'DB Country PMI'!$A$1:$W$1,),)=0,#N/A,VLOOKUP(A31,'DB Country PMI'!$A:$W,MATCH($A$1,'DB Country PMI'!$A$1:$W$1,),))</f>
        <v/>
      </c>
      <c r="C31" s="14">
        <f>Table1346811345671012131415[[#This Row],[PMI]]-B30</f>
        <v/>
      </c>
    </row>
    <row r="32">
      <c r="A32" s="8" t="n">
        <v>41244</v>
      </c>
      <c r="B32" s="11">
        <f>IF(VLOOKUP(A32,'DB Country PMI'!$A:$W,MATCH($A$1,'DB Country PMI'!$A$1:$W$1,),)=0,#N/A,VLOOKUP(A32,'DB Country PMI'!$A:$W,MATCH($A$1,'DB Country PMI'!$A$1:$W$1,),))</f>
        <v/>
      </c>
      <c r="C32" s="14">
        <f>Table1346811345671012131415[[#This Row],[PMI]]-B31</f>
        <v/>
      </c>
    </row>
    <row r="33">
      <c r="A33" s="8" t="n">
        <v>41275</v>
      </c>
      <c r="B33" s="11">
        <f>IF(VLOOKUP(A33,'DB Country PMI'!$A:$W,MATCH($A$1,'DB Country PMI'!$A$1:$W$1,),)=0,#N/A,VLOOKUP(A33,'DB Country PMI'!$A:$W,MATCH($A$1,'DB Country PMI'!$A$1:$W$1,),))</f>
        <v/>
      </c>
      <c r="C33" s="14">
        <f>Table1346811345671012131415[[#This Row],[PMI]]-B32</f>
        <v/>
      </c>
    </row>
    <row r="34">
      <c r="A34" s="8" t="n">
        <v>41306</v>
      </c>
      <c r="B34" s="11">
        <f>IF(VLOOKUP(A34,'DB Country PMI'!$A:$W,MATCH($A$1,'DB Country PMI'!$A$1:$W$1,),)=0,#N/A,VLOOKUP(A34,'DB Country PMI'!$A:$W,MATCH($A$1,'DB Country PMI'!$A$1:$W$1,),))</f>
        <v/>
      </c>
      <c r="C34" s="14">
        <f>Table1346811345671012131415[[#This Row],[PMI]]-B33</f>
        <v/>
      </c>
    </row>
    <row r="35">
      <c r="A35" s="8" t="n">
        <v>41334</v>
      </c>
      <c r="B35" s="11">
        <f>IF(VLOOKUP(A35,'DB Country PMI'!$A:$W,MATCH($A$1,'DB Country PMI'!$A$1:$W$1,),)=0,#N/A,VLOOKUP(A35,'DB Country PMI'!$A:$W,MATCH($A$1,'DB Country PMI'!$A$1:$W$1,),))</f>
        <v/>
      </c>
      <c r="C35" s="14">
        <f>Table1346811345671012131415[[#This Row],[PMI]]-B34</f>
        <v/>
      </c>
    </row>
    <row r="36">
      <c r="A36" s="8" t="n">
        <v>41365</v>
      </c>
      <c r="B36" s="11">
        <f>IF(VLOOKUP(A36,'DB Country PMI'!$A:$W,MATCH($A$1,'DB Country PMI'!$A$1:$W$1,),)=0,#N/A,VLOOKUP(A36,'DB Country PMI'!$A:$W,MATCH($A$1,'DB Country PMI'!$A$1:$W$1,),))</f>
        <v/>
      </c>
      <c r="C36" s="14">
        <f>Table1346811345671012131415[[#This Row],[PMI]]-B35</f>
        <v/>
      </c>
    </row>
    <row r="37">
      <c r="A37" s="8" t="n">
        <v>41395</v>
      </c>
      <c r="B37" s="11">
        <f>IF(VLOOKUP(A37,'DB Country PMI'!$A:$W,MATCH($A$1,'DB Country PMI'!$A$1:$W$1,),)=0,#N/A,VLOOKUP(A37,'DB Country PMI'!$A:$W,MATCH($A$1,'DB Country PMI'!$A$1:$W$1,),))</f>
        <v/>
      </c>
      <c r="C37" s="14">
        <f>Table1346811345671012131415[[#This Row],[PMI]]-B36</f>
        <v/>
      </c>
    </row>
    <row r="38">
      <c r="A38" s="8" t="n">
        <v>41426</v>
      </c>
      <c r="B38" s="11">
        <f>IF(VLOOKUP(A38,'DB Country PMI'!$A:$W,MATCH($A$1,'DB Country PMI'!$A$1:$W$1,),)=0,#N/A,VLOOKUP(A38,'DB Country PMI'!$A:$W,MATCH($A$1,'DB Country PMI'!$A$1:$W$1,),))</f>
        <v/>
      </c>
      <c r="C38" s="14">
        <f>Table1346811345671012131415[[#This Row],[PMI]]-B37</f>
        <v/>
      </c>
    </row>
    <row r="39">
      <c r="A39" s="8" t="n">
        <v>41456</v>
      </c>
      <c r="B39" s="11">
        <f>IF(VLOOKUP(A39,'DB Country PMI'!$A:$W,MATCH($A$1,'DB Country PMI'!$A$1:$W$1,),)=0,#N/A,VLOOKUP(A39,'DB Country PMI'!$A:$W,MATCH($A$1,'DB Country PMI'!$A$1:$W$1,),))</f>
        <v/>
      </c>
      <c r="C39" s="14">
        <f>Table1346811345671012131415[[#This Row],[PMI]]-B38</f>
        <v/>
      </c>
    </row>
    <row r="40">
      <c r="A40" s="8" t="n">
        <v>41487</v>
      </c>
      <c r="B40" s="11">
        <f>IF(VLOOKUP(A40,'DB Country PMI'!$A:$W,MATCH($A$1,'DB Country PMI'!$A$1:$W$1,),)=0,#N/A,VLOOKUP(A40,'DB Country PMI'!$A:$W,MATCH($A$1,'DB Country PMI'!$A$1:$W$1,),))</f>
        <v/>
      </c>
      <c r="C40" s="14">
        <f>Table1346811345671012131415[[#This Row],[PMI]]-B39</f>
        <v/>
      </c>
    </row>
    <row r="41">
      <c r="A41" s="8" t="n">
        <v>41518</v>
      </c>
      <c r="B41" s="11">
        <f>IF(VLOOKUP(A41,'DB Country PMI'!$A:$W,MATCH($A$1,'DB Country PMI'!$A$1:$W$1,),)=0,#N/A,VLOOKUP(A41,'DB Country PMI'!$A:$W,MATCH($A$1,'DB Country PMI'!$A$1:$W$1,),))</f>
        <v/>
      </c>
      <c r="C41" s="14">
        <f>Table1346811345671012131415[[#This Row],[PMI]]-B40</f>
        <v/>
      </c>
    </row>
    <row r="42">
      <c r="A42" s="8" t="n">
        <v>41548</v>
      </c>
      <c r="B42" s="11">
        <f>IF(VLOOKUP(A42,'DB Country PMI'!$A:$W,MATCH($A$1,'DB Country PMI'!$A$1:$W$1,),)=0,#N/A,VLOOKUP(A42,'DB Country PMI'!$A:$W,MATCH($A$1,'DB Country PMI'!$A$1:$W$1,),))</f>
        <v/>
      </c>
      <c r="C42" s="14">
        <f>Table1346811345671012131415[[#This Row],[PMI]]-B41</f>
        <v/>
      </c>
    </row>
    <row r="43">
      <c r="A43" s="8" t="n">
        <v>41579</v>
      </c>
      <c r="B43" s="11">
        <f>IF(VLOOKUP(A43,'DB Country PMI'!$A:$W,MATCH($A$1,'DB Country PMI'!$A$1:$W$1,),)=0,#N/A,VLOOKUP(A43,'DB Country PMI'!$A:$W,MATCH($A$1,'DB Country PMI'!$A$1:$W$1,),))</f>
        <v/>
      </c>
      <c r="C43" s="14">
        <f>Table1346811345671012131415[[#This Row],[PMI]]-B42</f>
        <v/>
      </c>
    </row>
    <row r="44">
      <c r="A44" s="8" t="n">
        <v>41609</v>
      </c>
      <c r="B44" s="11">
        <f>IF(VLOOKUP(A44,'DB Country PMI'!$A:$W,MATCH($A$1,'DB Country PMI'!$A$1:$W$1,),)=0,#N/A,VLOOKUP(A44,'DB Country PMI'!$A:$W,MATCH($A$1,'DB Country PMI'!$A$1:$W$1,),))</f>
        <v/>
      </c>
      <c r="C44" s="14">
        <f>Table1346811345671012131415[[#This Row],[PMI]]-B43</f>
        <v/>
      </c>
    </row>
    <row r="45">
      <c r="A45" s="8" t="n">
        <v>41640</v>
      </c>
      <c r="B45" s="11">
        <f>IF(VLOOKUP(A45,'DB Country PMI'!$A:$W,MATCH($A$1,'DB Country PMI'!$A$1:$W$1,),)=0,#N/A,VLOOKUP(A45,'DB Country PMI'!$A:$W,MATCH($A$1,'DB Country PMI'!$A$1:$W$1,),))</f>
        <v/>
      </c>
      <c r="C45" s="14">
        <f>Table1346811345671012131415[[#This Row],[PMI]]-B44</f>
        <v/>
      </c>
    </row>
    <row r="46">
      <c r="A46" s="8" t="n">
        <v>41671</v>
      </c>
      <c r="B46" s="11">
        <f>IF(VLOOKUP(A46,'DB Country PMI'!$A:$W,MATCH($A$1,'DB Country PMI'!$A$1:$W$1,),)=0,#N/A,VLOOKUP(A46,'DB Country PMI'!$A:$W,MATCH($A$1,'DB Country PMI'!$A$1:$W$1,),))</f>
        <v/>
      </c>
      <c r="C46" s="14">
        <f>Table1346811345671012131415[[#This Row],[PMI]]-B45</f>
        <v/>
      </c>
    </row>
    <row r="47">
      <c r="A47" s="8" t="n">
        <v>41699</v>
      </c>
      <c r="B47" s="11">
        <f>IF(VLOOKUP(A47,'DB Country PMI'!$A:$W,MATCH($A$1,'DB Country PMI'!$A$1:$W$1,),)=0,#N/A,VLOOKUP(A47,'DB Country PMI'!$A:$W,MATCH($A$1,'DB Country PMI'!$A$1:$W$1,),))</f>
        <v/>
      </c>
      <c r="C47" s="14">
        <f>Table1346811345671012131415[[#This Row],[PMI]]-B46</f>
        <v/>
      </c>
    </row>
    <row r="48">
      <c r="A48" s="8" t="n">
        <v>41730</v>
      </c>
      <c r="B48" s="11">
        <f>IF(VLOOKUP(A48,'DB Country PMI'!$A:$W,MATCH($A$1,'DB Country PMI'!$A$1:$W$1,),)=0,#N/A,VLOOKUP(A48,'DB Country PMI'!$A:$W,MATCH($A$1,'DB Country PMI'!$A$1:$W$1,),))</f>
        <v/>
      </c>
      <c r="C48" s="14">
        <f>Table1346811345671012131415[[#This Row],[PMI]]-B47</f>
        <v/>
      </c>
    </row>
    <row r="49">
      <c r="A49" s="8" t="n">
        <v>41760</v>
      </c>
      <c r="B49" s="11">
        <f>IF(VLOOKUP(A49,'DB Country PMI'!$A:$W,MATCH($A$1,'DB Country PMI'!$A$1:$W$1,),)=0,#N/A,VLOOKUP(A49,'DB Country PMI'!$A:$W,MATCH($A$1,'DB Country PMI'!$A$1:$W$1,),))</f>
        <v/>
      </c>
      <c r="C49" s="14">
        <f>Table1346811345671012131415[[#This Row],[PMI]]-B48</f>
        <v/>
      </c>
    </row>
    <row r="50">
      <c r="A50" s="8" t="n">
        <v>41791</v>
      </c>
      <c r="B50" s="11">
        <f>IF(VLOOKUP(A50,'DB Country PMI'!$A:$W,MATCH($A$1,'DB Country PMI'!$A$1:$W$1,),)=0,#N/A,VLOOKUP(A50,'DB Country PMI'!$A:$W,MATCH($A$1,'DB Country PMI'!$A$1:$W$1,),))</f>
        <v/>
      </c>
      <c r="C50" s="14">
        <f>Table1346811345671012131415[[#This Row],[PMI]]-B49</f>
        <v/>
      </c>
    </row>
    <row r="51">
      <c r="A51" s="8" t="n">
        <v>41821</v>
      </c>
      <c r="B51" s="11">
        <f>IF(VLOOKUP(A51,'DB Country PMI'!$A:$W,MATCH($A$1,'DB Country PMI'!$A$1:$W$1,),)=0,#N/A,VLOOKUP(A51,'DB Country PMI'!$A:$W,MATCH($A$1,'DB Country PMI'!$A$1:$W$1,),))</f>
        <v/>
      </c>
      <c r="C51" s="14">
        <f>Table1346811345671012131415[[#This Row],[PMI]]-B50</f>
        <v/>
      </c>
    </row>
    <row r="52">
      <c r="A52" s="8" t="n">
        <v>41852</v>
      </c>
      <c r="B52" s="11">
        <f>IF(VLOOKUP(A52,'DB Country PMI'!$A:$W,MATCH($A$1,'DB Country PMI'!$A$1:$W$1,),)=0,#N/A,VLOOKUP(A52,'DB Country PMI'!$A:$W,MATCH($A$1,'DB Country PMI'!$A$1:$W$1,),))</f>
        <v/>
      </c>
      <c r="C52" s="14">
        <f>Table1346811345671012131415[[#This Row],[PMI]]-B51</f>
        <v/>
      </c>
    </row>
    <row r="53">
      <c r="A53" s="8" t="n">
        <v>41883</v>
      </c>
      <c r="B53" s="11">
        <f>IF(VLOOKUP(A53,'DB Country PMI'!$A:$W,MATCH($A$1,'DB Country PMI'!$A$1:$W$1,),)=0,#N/A,VLOOKUP(A53,'DB Country PMI'!$A:$W,MATCH($A$1,'DB Country PMI'!$A$1:$W$1,),))</f>
        <v/>
      </c>
      <c r="C53" s="14">
        <f>Table1346811345671012131415[[#This Row],[PMI]]-B52</f>
        <v/>
      </c>
    </row>
    <row r="54">
      <c r="A54" s="8" t="n">
        <v>41913</v>
      </c>
      <c r="B54" s="11">
        <f>IF(VLOOKUP(A54,'DB Country PMI'!$A:$W,MATCH($A$1,'DB Country PMI'!$A$1:$W$1,),)=0,#N/A,VLOOKUP(A54,'DB Country PMI'!$A:$W,MATCH($A$1,'DB Country PMI'!$A$1:$W$1,),))</f>
        <v/>
      </c>
      <c r="C54" s="14">
        <f>Table1346811345671012131415[[#This Row],[PMI]]-B53</f>
        <v/>
      </c>
    </row>
    <row r="55">
      <c r="A55" s="8" t="n">
        <v>41944</v>
      </c>
      <c r="B55" s="11">
        <f>IF(VLOOKUP(A55,'DB Country PMI'!$A:$W,MATCH($A$1,'DB Country PMI'!$A$1:$W$1,),)=0,#N/A,VLOOKUP(A55,'DB Country PMI'!$A:$W,MATCH($A$1,'DB Country PMI'!$A$1:$W$1,),))</f>
        <v/>
      </c>
      <c r="C55" s="14">
        <f>Table1346811345671012131415[[#This Row],[PMI]]-B54</f>
        <v/>
      </c>
    </row>
    <row r="56">
      <c r="A56" s="8" t="n">
        <v>41974</v>
      </c>
      <c r="B56" s="11">
        <f>IF(VLOOKUP(A56,'DB Country PMI'!$A:$W,MATCH($A$1,'DB Country PMI'!$A$1:$W$1,),)=0,#N/A,VLOOKUP(A56,'DB Country PMI'!$A:$W,MATCH($A$1,'DB Country PMI'!$A$1:$W$1,),))</f>
        <v/>
      </c>
      <c r="C56" s="14">
        <f>Table1346811345671012131415[[#This Row],[PMI]]-B55</f>
        <v/>
      </c>
    </row>
    <row r="57">
      <c r="A57" s="8" t="n">
        <v>42005</v>
      </c>
      <c r="B57" s="11">
        <f>IF(VLOOKUP(A57,'DB Country PMI'!$A:$W,MATCH($A$1,'DB Country PMI'!$A$1:$W$1,),)=0,#N/A,VLOOKUP(A57,'DB Country PMI'!$A:$W,MATCH($A$1,'DB Country PMI'!$A$1:$W$1,),))</f>
        <v/>
      </c>
      <c r="C57" s="14">
        <f>Table1346811345671012131415[[#This Row],[PMI]]-B56</f>
        <v/>
      </c>
    </row>
    <row r="58">
      <c r="A58" s="8" t="n">
        <v>42036</v>
      </c>
      <c r="B58" s="11">
        <f>IF(VLOOKUP(A58,'DB Country PMI'!$A:$W,MATCH($A$1,'DB Country PMI'!$A$1:$W$1,),)=0,#N/A,VLOOKUP(A58,'DB Country PMI'!$A:$W,MATCH($A$1,'DB Country PMI'!$A$1:$W$1,),))</f>
        <v/>
      </c>
      <c r="C58" s="14">
        <f>Table1346811345671012131415[[#This Row],[PMI]]-B57</f>
        <v/>
      </c>
    </row>
    <row r="59">
      <c r="A59" s="8" t="n">
        <v>42064</v>
      </c>
      <c r="B59" s="11">
        <f>IF(VLOOKUP(A59,'DB Country PMI'!$A:$W,MATCH($A$1,'DB Country PMI'!$A$1:$W$1,),)=0,#N/A,VLOOKUP(A59,'DB Country PMI'!$A:$W,MATCH($A$1,'DB Country PMI'!$A$1:$W$1,),))</f>
        <v/>
      </c>
      <c r="C59" s="14">
        <f>Table1346811345671012131415[[#This Row],[PMI]]-B58</f>
        <v/>
      </c>
    </row>
    <row r="60">
      <c r="A60" s="8" t="n">
        <v>42095</v>
      </c>
      <c r="B60" s="11">
        <f>IF(VLOOKUP(A60,'DB Country PMI'!$A:$W,MATCH($A$1,'DB Country PMI'!$A$1:$W$1,),)=0,#N/A,VLOOKUP(A60,'DB Country PMI'!$A:$W,MATCH($A$1,'DB Country PMI'!$A$1:$W$1,),))</f>
        <v/>
      </c>
      <c r="C60" s="14">
        <f>Table1346811345671012131415[[#This Row],[PMI]]-B59</f>
        <v/>
      </c>
    </row>
    <row r="61">
      <c r="A61" s="8" t="n">
        <v>42125</v>
      </c>
      <c r="B61" s="11">
        <f>IF(VLOOKUP(A61,'DB Country PMI'!$A:$W,MATCH($A$1,'DB Country PMI'!$A$1:$W$1,),)=0,#N/A,VLOOKUP(A61,'DB Country PMI'!$A:$W,MATCH($A$1,'DB Country PMI'!$A$1:$W$1,),))</f>
        <v/>
      </c>
      <c r="C61" s="14">
        <f>Table1346811345671012131415[[#This Row],[PMI]]-B60</f>
        <v/>
      </c>
    </row>
    <row r="62">
      <c r="A62" s="8" t="n">
        <v>42156</v>
      </c>
      <c r="B62" s="11">
        <f>IF(VLOOKUP(A62,'DB Country PMI'!$A:$W,MATCH($A$1,'DB Country PMI'!$A$1:$W$1,),)=0,#N/A,VLOOKUP(A62,'DB Country PMI'!$A:$W,MATCH($A$1,'DB Country PMI'!$A$1:$W$1,),))</f>
        <v/>
      </c>
      <c r="C62" s="14">
        <f>Table1346811345671012131415[[#This Row],[PMI]]-B61</f>
        <v/>
      </c>
    </row>
    <row r="63">
      <c r="A63" s="8" t="n">
        <v>42186</v>
      </c>
      <c r="B63" s="11">
        <f>IF(VLOOKUP(A63,'DB Country PMI'!$A:$W,MATCH($A$1,'DB Country PMI'!$A$1:$W$1,),)=0,#N/A,VLOOKUP(A63,'DB Country PMI'!$A:$W,MATCH($A$1,'DB Country PMI'!$A$1:$W$1,),))</f>
        <v/>
      </c>
      <c r="C63" s="14">
        <f>Table1346811345671012131415[[#This Row],[PMI]]-B62</f>
        <v/>
      </c>
    </row>
    <row r="64">
      <c r="A64" s="8" t="n">
        <v>42217</v>
      </c>
      <c r="B64" s="11">
        <f>IF(VLOOKUP(A64,'DB Country PMI'!$A:$W,MATCH($A$1,'DB Country PMI'!$A$1:$W$1,),)=0,#N/A,VLOOKUP(A64,'DB Country PMI'!$A:$W,MATCH($A$1,'DB Country PMI'!$A$1:$W$1,),))</f>
        <v/>
      </c>
      <c r="C64" s="14">
        <f>Table1346811345671012131415[[#This Row],[PMI]]-B63</f>
        <v/>
      </c>
    </row>
    <row r="65">
      <c r="A65" s="8" t="n">
        <v>42248</v>
      </c>
      <c r="B65" s="11">
        <f>IF(VLOOKUP(A65,'DB Country PMI'!$A:$W,MATCH($A$1,'DB Country PMI'!$A$1:$W$1,),)=0,#N/A,VLOOKUP(A65,'DB Country PMI'!$A:$W,MATCH($A$1,'DB Country PMI'!$A$1:$W$1,),))</f>
        <v/>
      </c>
      <c r="C65" s="14">
        <f>Table1346811345671012131415[[#This Row],[PMI]]-B64</f>
        <v/>
      </c>
    </row>
    <row r="66">
      <c r="A66" s="8" t="n">
        <v>42278</v>
      </c>
      <c r="B66" s="11">
        <f>IF(VLOOKUP(A66,'DB Country PMI'!$A:$W,MATCH($A$1,'DB Country PMI'!$A$1:$W$1,),)=0,#N/A,VLOOKUP(A66,'DB Country PMI'!$A:$W,MATCH($A$1,'DB Country PMI'!$A$1:$W$1,),))</f>
        <v/>
      </c>
      <c r="C66" s="14">
        <f>Table1346811345671012131415[[#This Row],[PMI]]-B65</f>
        <v/>
      </c>
    </row>
    <row r="67">
      <c r="A67" s="8" t="n">
        <v>42309</v>
      </c>
      <c r="B67" s="11">
        <f>IF(VLOOKUP(A67,'DB Country PMI'!$A:$W,MATCH($A$1,'DB Country PMI'!$A$1:$W$1,),)=0,#N/A,VLOOKUP(A67,'DB Country PMI'!$A:$W,MATCH($A$1,'DB Country PMI'!$A$1:$W$1,),))</f>
        <v/>
      </c>
      <c r="C67" s="14">
        <f>Table1346811345671012131415[[#This Row],[PMI]]-B66</f>
        <v/>
      </c>
    </row>
    <row r="68">
      <c r="A68" s="8" t="n">
        <v>42339</v>
      </c>
      <c r="B68" s="11">
        <f>IF(VLOOKUP(A68,'DB Country PMI'!$A:$W,MATCH($A$1,'DB Country PMI'!$A$1:$W$1,),)=0,#N/A,VLOOKUP(A68,'DB Country PMI'!$A:$W,MATCH($A$1,'DB Country PMI'!$A$1:$W$1,),))</f>
        <v/>
      </c>
      <c r="C68" s="14">
        <f>Table1346811345671012131415[[#This Row],[PMI]]-B67</f>
        <v/>
      </c>
    </row>
    <row r="69">
      <c r="A69" s="8" t="n">
        <v>42370</v>
      </c>
      <c r="B69" s="11">
        <f>IF(VLOOKUP(A69,'DB Country PMI'!$A:$W,MATCH($A$1,'DB Country PMI'!$A$1:$W$1,),)=0,#N/A,VLOOKUP(A69,'DB Country PMI'!$A:$W,MATCH($A$1,'DB Country PMI'!$A$1:$W$1,),))</f>
        <v/>
      </c>
      <c r="C69" s="14">
        <f>Table1346811345671012131415[[#This Row],[PMI]]-B68</f>
        <v/>
      </c>
    </row>
    <row r="70">
      <c r="A70" s="8" t="n">
        <v>42401</v>
      </c>
      <c r="B70" s="11">
        <f>IF(VLOOKUP(A70,'DB Country PMI'!$A:$W,MATCH($A$1,'DB Country PMI'!$A$1:$W$1,),)=0,#N/A,VLOOKUP(A70,'DB Country PMI'!$A:$W,MATCH($A$1,'DB Country PMI'!$A$1:$W$1,),))</f>
        <v/>
      </c>
      <c r="C70" s="14">
        <f>Table1346811345671012131415[[#This Row],[PMI]]-B69</f>
        <v/>
      </c>
    </row>
    <row r="71">
      <c r="A71" s="8" t="n">
        <v>42430</v>
      </c>
      <c r="B71" s="11">
        <f>IF(VLOOKUP(A71,'DB Country PMI'!$A:$W,MATCH($A$1,'DB Country PMI'!$A$1:$W$1,),)=0,#N/A,VLOOKUP(A71,'DB Country PMI'!$A:$W,MATCH($A$1,'DB Country PMI'!$A$1:$W$1,),))</f>
        <v/>
      </c>
      <c r="C71" s="14">
        <f>Table1346811345671012131415[[#This Row],[PMI]]-B70</f>
        <v/>
      </c>
    </row>
    <row r="72">
      <c r="A72" s="8" t="n">
        <v>42461</v>
      </c>
      <c r="B72" s="11">
        <f>IF(VLOOKUP(A72,'DB Country PMI'!$A:$W,MATCH($A$1,'DB Country PMI'!$A$1:$W$1,),)=0,#N/A,VLOOKUP(A72,'DB Country PMI'!$A:$W,MATCH($A$1,'DB Country PMI'!$A$1:$W$1,),))</f>
        <v/>
      </c>
      <c r="C72" s="14">
        <f>Table1346811345671012131415[[#This Row],[PMI]]-B71</f>
        <v/>
      </c>
    </row>
    <row r="73">
      <c r="A73" s="8" t="n">
        <v>42491</v>
      </c>
      <c r="B73" s="11">
        <f>IF(VLOOKUP(A73,'DB Country PMI'!$A:$W,MATCH($A$1,'DB Country PMI'!$A$1:$W$1,),)=0,#N/A,VLOOKUP(A73,'DB Country PMI'!$A:$W,MATCH($A$1,'DB Country PMI'!$A$1:$W$1,),))</f>
        <v/>
      </c>
      <c r="C73" s="14">
        <f>Table1346811345671012131415[[#This Row],[PMI]]-B72</f>
        <v/>
      </c>
    </row>
    <row r="74">
      <c r="A74" s="8" t="n">
        <v>42522</v>
      </c>
      <c r="B74" s="11">
        <f>IF(VLOOKUP(A74,'DB Country PMI'!$A:$W,MATCH($A$1,'DB Country PMI'!$A$1:$W$1,),)=0,#N/A,VLOOKUP(A74,'DB Country PMI'!$A:$W,MATCH($A$1,'DB Country PMI'!$A$1:$W$1,),))</f>
        <v/>
      </c>
      <c r="C74" s="14">
        <f>Table1346811345671012131415[[#This Row],[PMI]]-B73</f>
        <v/>
      </c>
    </row>
    <row r="75">
      <c r="A75" s="8" t="n">
        <v>42552</v>
      </c>
      <c r="B75" s="11">
        <f>IF(VLOOKUP(A75,'DB Country PMI'!$A:$W,MATCH($A$1,'DB Country PMI'!$A$1:$W$1,),)=0,#N/A,VLOOKUP(A75,'DB Country PMI'!$A:$W,MATCH($A$1,'DB Country PMI'!$A$1:$W$1,),))</f>
        <v/>
      </c>
      <c r="C75" s="14">
        <f>Table1346811345671012131415[[#This Row],[PMI]]-B74</f>
        <v/>
      </c>
    </row>
    <row r="76">
      <c r="A76" s="8" t="n">
        <v>42583</v>
      </c>
      <c r="B76" s="11">
        <f>IF(VLOOKUP(A76,'DB Country PMI'!$A:$W,MATCH($A$1,'DB Country PMI'!$A$1:$W$1,),)=0,#N/A,VLOOKUP(A76,'DB Country PMI'!$A:$W,MATCH($A$1,'DB Country PMI'!$A$1:$W$1,),))</f>
        <v/>
      </c>
      <c r="C76" s="14">
        <f>Table1346811345671012131415[[#This Row],[PMI]]-B75</f>
        <v/>
      </c>
    </row>
    <row r="77">
      <c r="A77" s="8" t="n">
        <v>42614</v>
      </c>
      <c r="B77" s="11">
        <f>IF(VLOOKUP(A77,'DB Country PMI'!$A:$W,MATCH($A$1,'DB Country PMI'!$A$1:$W$1,),)=0,#N/A,VLOOKUP(A77,'DB Country PMI'!$A:$W,MATCH($A$1,'DB Country PMI'!$A$1:$W$1,),))</f>
        <v/>
      </c>
      <c r="C77" s="14">
        <f>Table1346811345671012131415[[#This Row],[PMI]]-B76</f>
        <v/>
      </c>
    </row>
    <row r="78">
      <c r="A78" s="8" t="n">
        <v>42644</v>
      </c>
      <c r="B78" s="11">
        <f>IF(VLOOKUP(A78,'DB Country PMI'!$A:$W,MATCH($A$1,'DB Country PMI'!$A$1:$W$1,),)=0,#N/A,VLOOKUP(A78,'DB Country PMI'!$A:$W,MATCH($A$1,'DB Country PMI'!$A$1:$W$1,),))</f>
        <v/>
      </c>
      <c r="C78" s="14">
        <f>Table1346811345671012131415[[#This Row],[PMI]]-B77</f>
        <v/>
      </c>
    </row>
    <row r="79">
      <c r="A79" s="8" t="n">
        <v>42675</v>
      </c>
      <c r="B79" s="11">
        <f>IF(VLOOKUP(A79,'DB Country PMI'!$A:$W,MATCH($A$1,'DB Country PMI'!$A$1:$W$1,),)=0,#N/A,VLOOKUP(A79,'DB Country PMI'!$A:$W,MATCH($A$1,'DB Country PMI'!$A$1:$W$1,),))</f>
        <v/>
      </c>
      <c r="C79" s="14">
        <f>Table1346811345671012131415[[#This Row],[PMI]]-B78</f>
        <v/>
      </c>
    </row>
    <row r="80">
      <c r="A80" s="8" t="n">
        <v>42705</v>
      </c>
      <c r="B80" s="11">
        <f>IF(VLOOKUP(A80,'DB Country PMI'!$A:$W,MATCH($A$1,'DB Country PMI'!$A$1:$W$1,),)=0,#N/A,VLOOKUP(A80,'DB Country PMI'!$A:$W,MATCH($A$1,'DB Country PMI'!$A$1:$W$1,),))</f>
        <v/>
      </c>
      <c r="C80" s="14">
        <f>Table1346811345671012131415[[#This Row],[PMI]]-B79</f>
        <v/>
      </c>
    </row>
    <row r="81">
      <c r="A81" s="8" t="n">
        <v>42736</v>
      </c>
      <c r="B81" s="11">
        <f>IF(VLOOKUP(A81,'DB Country PMI'!$A:$W,MATCH($A$1,'DB Country PMI'!$A$1:$W$1,),)=0,#N/A,VLOOKUP(A81,'DB Country PMI'!$A:$W,MATCH($A$1,'DB Country PMI'!$A$1:$W$1,),))</f>
        <v/>
      </c>
      <c r="C81" s="14">
        <f>Table1346811345671012131415[[#This Row],[PMI]]-B80</f>
        <v/>
      </c>
    </row>
    <row r="82">
      <c r="A82" s="8" t="n">
        <v>42767</v>
      </c>
      <c r="B82" s="11">
        <f>IF(VLOOKUP(A82,'DB Country PMI'!$A:$W,MATCH($A$1,'DB Country PMI'!$A$1:$W$1,),)=0,#N/A,VLOOKUP(A82,'DB Country PMI'!$A:$W,MATCH($A$1,'DB Country PMI'!$A$1:$W$1,),))</f>
        <v/>
      </c>
      <c r="C82" s="14">
        <f>Table1346811345671012131415[[#This Row],[PMI]]-B81</f>
        <v/>
      </c>
    </row>
    <row r="83">
      <c r="A83" s="8" t="n">
        <v>42795</v>
      </c>
      <c r="B83" s="11">
        <f>IF(VLOOKUP(A83,'DB Country PMI'!$A:$W,MATCH($A$1,'DB Country PMI'!$A$1:$W$1,),)=0,#N/A,VLOOKUP(A83,'DB Country PMI'!$A:$W,MATCH($A$1,'DB Country PMI'!$A$1:$W$1,),))</f>
        <v/>
      </c>
      <c r="C83" s="14">
        <f>Table1346811345671012131415[[#This Row],[PMI]]-B82</f>
        <v/>
      </c>
    </row>
    <row r="84">
      <c r="A84" s="8" t="n">
        <v>42826</v>
      </c>
      <c r="B84" s="11">
        <f>IF(VLOOKUP(A84,'DB Country PMI'!$A:$W,MATCH($A$1,'DB Country PMI'!$A$1:$W$1,),)=0,#N/A,VLOOKUP(A84,'DB Country PMI'!$A:$W,MATCH($A$1,'DB Country PMI'!$A$1:$W$1,),))</f>
        <v/>
      </c>
      <c r="C84" s="14">
        <f>Table1346811345671012131415[[#This Row],[PMI]]-B83</f>
        <v/>
      </c>
    </row>
    <row r="85">
      <c r="A85" s="8" t="n">
        <v>42856</v>
      </c>
      <c r="B85" s="11">
        <f>IF(VLOOKUP(A85,'DB Country PMI'!$A:$W,MATCH($A$1,'DB Country PMI'!$A$1:$W$1,),)=0,#N/A,VLOOKUP(A85,'DB Country PMI'!$A:$W,MATCH($A$1,'DB Country PMI'!$A$1:$W$1,),))</f>
        <v/>
      </c>
      <c r="C85" s="14">
        <f>Table1346811345671012131415[[#This Row],[PMI]]-B84</f>
        <v/>
      </c>
    </row>
    <row r="86">
      <c r="A86" s="8" t="n">
        <v>42887</v>
      </c>
      <c r="B86" s="11">
        <f>IF(VLOOKUP(A86,'DB Country PMI'!$A:$W,MATCH($A$1,'DB Country PMI'!$A$1:$W$1,),)=0,#N/A,VLOOKUP(A86,'DB Country PMI'!$A:$W,MATCH($A$1,'DB Country PMI'!$A$1:$W$1,),))</f>
        <v/>
      </c>
      <c r="C86" s="14">
        <f>Table1346811345671012131415[[#This Row],[PMI]]-B85</f>
        <v/>
      </c>
    </row>
    <row r="87">
      <c r="A87" s="8" t="n">
        <v>42917</v>
      </c>
      <c r="B87" s="11">
        <f>IF(VLOOKUP(A87,'DB Country PMI'!$A:$W,MATCH($A$1,'DB Country PMI'!$A$1:$W$1,),)=0,#N/A,VLOOKUP(A87,'DB Country PMI'!$A:$W,MATCH($A$1,'DB Country PMI'!$A$1:$W$1,),))</f>
        <v/>
      </c>
      <c r="C87" s="14">
        <f>Table1346811345671012131415[[#This Row],[PMI]]-B86</f>
        <v/>
      </c>
    </row>
    <row r="88">
      <c r="A88" s="8" t="n">
        <v>42948</v>
      </c>
      <c r="B88" s="11">
        <f>IF(VLOOKUP(A88,'DB Country PMI'!$A:$W,MATCH($A$1,'DB Country PMI'!$A$1:$W$1,),)=0,#N/A,VLOOKUP(A88,'DB Country PMI'!$A:$W,MATCH($A$1,'DB Country PMI'!$A$1:$W$1,),))</f>
        <v/>
      </c>
      <c r="C88" s="14">
        <f>Table1346811345671012131415[[#This Row],[PMI]]-B87</f>
        <v/>
      </c>
    </row>
    <row r="89">
      <c r="A89" s="8" t="n">
        <v>42979</v>
      </c>
      <c r="B89" s="11">
        <f>IF(VLOOKUP(A89,'DB Country PMI'!$A:$W,MATCH($A$1,'DB Country PMI'!$A$1:$W$1,),)=0,#N/A,VLOOKUP(A89,'DB Country PMI'!$A:$W,MATCH($A$1,'DB Country PMI'!$A$1:$W$1,),))</f>
        <v/>
      </c>
      <c r="C89" s="14">
        <f>Table1346811345671012131415[[#This Row],[PMI]]-B88</f>
        <v/>
      </c>
    </row>
    <row r="90">
      <c r="A90" s="8" t="n">
        <v>43009</v>
      </c>
      <c r="B90" s="11">
        <f>IF(VLOOKUP(A90,'DB Country PMI'!$A:$W,MATCH($A$1,'DB Country PMI'!$A$1:$W$1,),)=0,#N/A,VLOOKUP(A90,'DB Country PMI'!$A:$W,MATCH($A$1,'DB Country PMI'!$A$1:$W$1,),))</f>
        <v/>
      </c>
      <c r="C90" s="14">
        <f>Table1346811345671012131415[[#This Row],[PMI]]-B89</f>
        <v/>
      </c>
    </row>
    <row r="91">
      <c r="A91" s="8" t="n">
        <v>43040</v>
      </c>
      <c r="B91" s="11">
        <f>IF(VLOOKUP(A91,'DB Country PMI'!$A:$W,MATCH($A$1,'DB Country PMI'!$A$1:$W$1,),)=0,#N/A,VLOOKUP(A91,'DB Country PMI'!$A:$W,MATCH($A$1,'DB Country PMI'!$A$1:$W$1,),))</f>
        <v/>
      </c>
      <c r="C91" s="14">
        <f>Table1346811345671012131415[[#This Row],[PMI]]-B90</f>
        <v/>
      </c>
    </row>
    <row r="92">
      <c r="A92" s="8" t="n">
        <v>43070</v>
      </c>
      <c r="B92" s="11">
        <f>IF(VLOOKUP(A92,'DB Country PMI'!$A:$W,MATCH($A$1,'DB Country PMI'!$A$1:$W$1,),)=0,#N/A,VLOOKUP(A92,'DB Country PMI'!$A:$W,MATCH($A$1,'DB Country PMI'!$A$1:$W$1,),))</f>
        <v/>
      </c>
      <c r="C92" s="14">
        <f>Table1346811345671012131415[[#This Row],[PMI]]-B91</f>
        <v/>
      </c>
    </row>
    <row r="93">
      <c r="A93" s="8" t="n">
        <v>43101</v>
      </c>
      <c r="B93" s="11">
        <f>IF(VLOOKUP(A93,'DB Country PMI'!$A:$W,MATCH($A$1,'DB Country PMI'!$A$1:$W$1,),)=0,#N/A,VLOOKUP(A93,'DB Country PMI'!$A:$W,MATCH($A$1,'DB Country PMI'!$A$1:$W$1,),))</f>
        <v/>
      </c>
      <c r="C93" s="14">
        <f>Table1346811345671012131415[[#This Row],[PMI]]-B92</f>
        <v/>
      </c>
    </row>
    <row r="94">
      <c r="A94" s="8" t="n">
        <v>43132</v>
      </c>
      <c r="B94" s="11">
        <f>IF(VLOOKUP(A94,'DB Country PMI'!$A:$W,MATCH($A$1,'DB Country PMI'!$A$1:$W$1,),)=0,#N/A,VLOOKUP(A94,'DB Country PMI'!$A:$W,MATCH($A$1,'DB Country PMI'!$A$1:$W$1,),))</f>
        <v/>
      </c>
      <c r="C94" s="14">
        <f>Table1346811345671012131415[[#This Row],[PMI]]-B93</f>
        <v/>
      </c>
    </row>
    <row r="95">
      <c r="A95" s="8" t="n">
        <v>43160</v>
      </c>
      <c r="B95" s="11">
        <f>IF(VLOOKUP(A95,'DB Country PMI'!$A:$W,MATCH($A$1,'DB Country PMI'!$A$1:$W$1,),)=0,#N/A,VLOOKUP(A95,'DB Country PMI'!$A:$W,MATCH($A$1,'DB Country PMI'!$A$1:$W$1,),))</f>
        <v/>
      </c>
      <c r="C95" s="14">
        <f>Table1346811345671012131415[[#This Row],[PMI]]-B94</f>
        <v/>
      </c>
    </row>
    <row r="96">
      <c r="A96" s="8" t="n">
        <v>43191</v>
      </c>
      <c r="B96" s="11">
        <f>IF(VLOOKUP(A96,'DB Country PMI'!$A:$W,MATCH($A$1,'DB Country PMI'!$A$1:$W$1,),)=0,#N/A,VLOOKUP(A96,'DB Country PMI'!$A:$W,MATCH($A$1,'DB Country PMI'!$A$1:$W$1,),))</f>
        <v/>
      </c>
      <c r="C96" s="14">
        <f>Table1346811345671012131415[[#This Row],[PMI]]-B95</f>
        <v/>
      </c>
    </row>
    <row r="97">
      <c r="A97" s="8" t="n">
        <v>43221</v>
      </c>
      <c r="B97" s="11">
        <f>IF(VLOOKUP(A97,'DB Country PMI'!$A:$W,MATCH($A$1,'DB Country PMI'!$A$1:$W$1,),)=0,#N/A,VLOOKUP(A97,'DB Country PMI'!$A:$W,MATCH($A$1,'DB Country PMI'!$A$1:$W$1,),))</f>
        <v/>
      </c>
      <c r="C97" s="14">
        <f>Table1346811345671012131415[[#This Row],[PMI]]-B96</f>
        <v/>
      </c>
    </row>
    <row r="98">
      <c r="A98" s="8" t="n">
        <v>43252</v>
      </c>
      <c r="B98" s="11">
        <f>IF(VLOOKUP(A98,'DB Country PMI'!$A:$W,MATCH($A$1,'DB Country PMI'!$A$1:$W$1,),)=0,#N/A,VLOOKUP(A98,'DB Country PMI'!$A:$W,MATCH($A$1,'DB Country PMI'!$A$1:$W$1,),))</f>
        <v/>
      </c>
      <c r="C98" s="14">
        <f>Table1346811345671012131415[[#This Row],[PMI]]-B97</f>
        <v/>
      </c>
    </row>
    <row r="99">
      <c r="A99" s="8" t="n">
        <v>43282</v>
      </c>
      <c r="B99" s="11">
        <f>IF(VLOOKUP(A99,'DB Country PMI'!$A:$W,MATCH($A$1,'DB Country PMI'!$A$1:$W$1,),)=0,#N/A,VLOOKUP(A99,'DB Country PMI'!$A:$W,MATCH($A$1,'DB Country PMI'!$A$1:$W$1,),))</f>
        <v/>
      </c>
      <c r="C99" s="14">
        <f>Table1346811345671012131415[[#This Row],[PMI]]-B98</f>
        <v/>
      </c>
    </row>
    <row r="100">
      <c r="A100" s="8" t="n">
        <v>43313</v>
      </c>
      <c r="B100" s="11">
        <f>IF(VLOOKUP(A100,'DB Country PMI'!$A:$W,MATCH($A$1,'DB Country PMI'!$A$1:$W$1,),)=0,#N/A,VLOOKUP(A100,'DB Country PMI'!$A:$W,MATCH($A$1,'DB Country PMI'!$A$1:$W$1,),))</f>
        <v/>
      </c>
      <c r="C100" s="14">
        <f>Table1346811345671012131415[[#This Row],[PMI]]-B99</f>
        <v/>
      </c>
    </row>
    <row r="101">
      <c r="A101" s="8" t="n">
        <v>43344</v>
      </c>
      <c r="B101" s="11">
        <f>IF(VLOOKUP(A101,'DB Country PMI'!$A:$W,MATCH($A$1,'DB Country PMI'!$A$1:$W$1,),)=0,#N/A,VLOOKUP(A101,'DB Country PMI'!$A:$W,MATCH($A$1,'DB Country PMI'!$A$1:$W$1,),))</f>
        <v/>
      </c>
      <c r="C101" s="14">
        <f>Table1346811345671012131415[[#This Row],[PMI]]-B100</f>
        <v/>
      </c>
    </row>
    <row r="102">
      <c r="A102" s="8" t="n">
        <v>43374</v>
      </c>
      <c r="B102" s="11">
        <f>IF(VLOOKUP(A102,'DB Country PMI'!$A:$W,MATCH($A$1,'DB Country PMI'!$A$1:$W$1,),)=0,#N/A,VLOOKUP(A102,'DB Country PMI'!$A:$W,MATCH($A$1,'DB Country PMI'!$A$1:$W$1,),))</f>
        <v/>
      </c>
      <c r="C102" s="14">
        <f>Table1346811345671012131415[[#This Row],[PMI]]-B101</f>
        <v/>
      </c>
    </row>
    <row r="103">
      <c r="A103" s="8" t="n">
        <v>43405</v>
      </c>
      <c r="B103" s="11">
        <f>IF(VLOOKUP(A103,'DB Country PMI'!$A:$W,MATCH($A$1,'DB Country PMI'!$A$1:$W$1,),)=0,#N/A,VLOOKUP(A103,'DB Country PMI'!$A:$W,MATCH($A$1,'DB Country PMI'!$A$1:$W$1,),))</f>
        <v/>
      </c>
      <c r="C103" s="14">
        <f>Table1346811345671012131415[[#This Row],[PMI]]-B102</f>
        <v/>
      </c>
    </row>
    <row r="104">
      <c r="A104" s="8" t="n">
        <v>43435</v>
      </c>
      <c r="B104" s="11">
        <f>IF(VLOOKUP(A104,'DB Country PMI'!$A:$W,MATCH($A$1,'DB Country PMI'!$A$1:$W$1,),)=0,#N/A,VLOOKUP(A104,'DB Country PMI'!$A:$W,MATCH($A$1,'DB Country PMI'!$A$1:$W$1,),))</f>
        <v/>
      </c>
      <c r="C104" s="14">
        <f>Table1346811345671012131415[[#This Row],[PMI]]-B103</f>
        <v/>
      </c>
    </row>
    <row r="105">
      <c r="A105" s="8" t="n">
        <v>43466</v>
      </c>
      <c r="B105" s="11">
        <f>IF(VLOOKUP(A105,'DB Country PMI'!$A:$W,MATCH($A$1,'DB Country PMI'!$A$1:$W$1,),)=0,#N/A,VLOOKUP(A105,'DB Country PMI'!$A:$W,MATCH($A$1,'DB Country PMI'!$A$1:$W$1,),))</f>
        <v/>
      </c>
      <c r="C105" s="14">
        <f>Table1346811345671012131415[[#This Row],[PMI]]-B104</f>
        <v/>
      </c>
    </row>
    <row r="106">
      <c r="A106" s="8" t="n">
        <v>43497</v>
      </c>
      <c r="B106" s="11">
        <f>IF(VLOOKUP(A106,'DB Country PMI'!$A:$W,MATCH($A$1,'DB Country PMI'!$A$1:$W$1,),)=0,#N/A,VLOOKUP(A106,'DB Country PMI'!$A:$W,MATCH($A$1,'DB Country PMI'!$A$1:$W$1,),))</f>
        <v/>
      </c>
      <c r="C106" s="14">
        <f>Table1346811345671012131415[[#This Row],[PMI]]-B105</f>
        <v/>
      </c>
    </row>
    <row r="107">
      <c r="A107" s="8" t="n">
        <v>43525</v>
      </c>
      <c r="B107" s="11">
        <f>IF(VLOOKUP(A107,'DB Country PMI'!$A:$W,MATCH($A$1,'DB Country PMI'!$A$1:$W$1,),)=0,#N/A,VLOOKUP(A107,'DB Country PMI'!$A:$W,MATCH($A$1,'DB Country PMI'!$A$1:$W$1,),))</f>
        <v/>
      </c>
      <c r="C107" s="14">
        <f>Table1346811345671012131415[[#This Row],[PMI]]-B106</f>
        <v/>
      </c>
    </row>
    <row r="108">
      <c r="A108" s="8" t="n">
        <v>43556</v>
      </c>
      <c r="B108" s="11">
        <f>IF(VLOOKUP(A108,'DB Country PMI'!$A:$W,MATCH($A$1,'DB Country PMI'!$A$1:$W$1,),)=0,#N/A,VLOOKUP(A108,'DB Country PMI'!$A:$W,MATCH($A$1,'DB Country PMI'!$A$1:$W$1,),))</f>
        <v/>
      </c>
      <c r="C108" s="14">
        <f>Table1346811345671012131415[[#This Row],[PMI]]-B107</f>
        <v/>
      </c>
    </row>
    <row r="109">
      <c r="A109" s="8" t="n">
        <v>43586</v>
      </c>
      <c r="B109" s="11">
        <f>IF(VLOOKUP(A109,'DB Country PMI'!$A:$W,MATCH($A$1,'DB Country PMI'!$A$1:$W$1,),)=0,#N/A,VLOOKUP(A109,'DB Country PMI'!$A:$W,MATCH($A$1,'DB Country PMI'!$A$1:$W$1,),))</f>
        <v/>
      </c>
      <c r="C109" s="14">
        <f>Table1346811345671012131415[[#This Row],[PMI]]-B108</f>
        <v/>
      </c>
    </row>
    <row r="110">
      <c r="A110" s="8" t="n">
        <v>43617</v>
      </c>
      <c r="B110" s="11">
        <f>IF(VLOOKUP(A110,'DB Country PMI'!$A:$W,MATCH($A$1,'DB Country PMI'!$A$1:$W$1,),)=0,#N/A,VLOOKUP(A110,'DB Country PMI'!$A:$W,MATCH($A$1,'DB Country PMI'!$A$1:$W$1,),))</f>
        <v/>
      </c>
      <c r="C110" s="14">
        <f>Table1346811345671012131415[[#This Row],[PMI]]-B109</f>
        <v/>
      </c>
    </row>
    <row r="111">
      <c r="A111" s="8" t="n">
        <v>43647</v>
      </c>
      <c r="B111" s="11">
        <f>IF(VLOOKUP(A111,'DB Country PMI'!$A:$W,MATCH($A$1,'DB Country PMI'!$A$1:$W$1,),)=0,#N/A,VLOOKUP(A111,'DB Country PMI'!$A:$W,MATCH($A$1,'DB Country PMI'!$A$1:$W$1,),))</f>
        <v/>
      </c>
      <c r="C111" s="14">
        <f>Table1346811345671012131415[[#This Row],[PMI]]-B110</f>
        <v/>
      </c>
    </row>
    <row r="112">
      <c r="A112" s="8" t="n">
        <v>43678</v>
      </c>
      <c r="B112" s="11">
        <f>IF(VLOOKUP(A112,'DB Country PMI'!$A:$W,MATCH($A$1,'DB Country PMI'!$A$1:$W$1,),)=0,#N/A,VLOOKUP(A112,'DB Country PMI'!$A:$W,MATCH($A$1,'DB Country PMI'!$A$1:$W$1,),))</f>
        <v/>
      </c>
      <c r="C112" s="14">
        <f>Table1346811345671012131415[[#This Row],[PMI]]-B111</f>
        <v/>
      </c>
    </row>
    <row r="113">
      <c r="A113" s="8" t="n">
        <v>43709</v>
      </c>
      <c r="B113" s="11">
        <f>IF(VLOOKUP(A113,'DB Country PMI'!$A:$W,MATCH($A$1,'DB Country PMI'!$A$1:$W$1,),)=0,#N/A,VLOOKUP(A113,'DB Country PMI'!$A:$W,MATCH($A$1,'DB Country PMI'!$A$1:$W$1,),))</f>
        <v/>
      </c>
      <c r="C113" s="14">
        <f>Table1346811345671012131415[[#This Row],[PMI]]-B112</f>
        <v/>
      </c>
    </row>
    <row r="114">
      <c r="A114" s="8" t="n">
        <v>43739</v>
      </c>
      <c r="B114" s="11">
        <f>IF(VLOOKUP(A114,'DB Country PMI'!$A:$W,MATCH($A$1,'DB Country PMI'!$A$1:$W$1,),)=0,#N/A,VLOOKUP(A114,'DB Country PMI'!$A:$W,MATCH($A$1,'DB Country PMI'!$A$1:$W$1,),))</f>
        <v/>
      </c>
      <c r="C114" s="14">
        <f>Table1346811345671012131415[[#This Row],[PMI]]-B113</f>
        <v/>
      </c>
    </row>
    <row r="115">
      <c r="A115" s="8" t="n">
        <v>43770</v>
      </c>
      <c r="B115" s="11">
        <f>IF(VLOOKUP(A115,'DB Country PMI'!$A:$W,MATCH($A$1,'DB Country PMI'!$A$1:$W$1,),)=0,#N/A,VLOOKUP(A115,'DB Country PMI'!$A:$W,MATCH($A$1,'DB Country PMI'!$A$1:$W$1,),))</f>
        <v/>
      </c>
      <c r="C115" s="14">
        <f>Table1346811345671012131415[[#This Row],[PMI]]-B114</f>
        <v/>
      </c>
    </row>
    <row r="116">
      <c r="A116" s="8" t="n">
        <v>43800</v>
      </c>
      <c r="B116" s="11">
        <f>IF(VLOOKUP(A116,'DB Country PMI'!$A:$W,MATCH($A$1,'DB Country PMI'!$A$1:$W$1,),)=0,#N/A,VLOOKUP(A116,'DB Country PMI'!$A:$W,MATCH($A$1,'DB Country PMI'!$A$1:$W$1,),))</f>
        <v/>
      </c>
      <c r="C116" s="14">
        <f>Table1346811345671012131415[[#This Row],[PMI]]-B115</f>
        <v/>
      </c>
    </row>
    <row r="117">
      <c r="A117" s="8" t="n">
        <v>43831</v>
      </c>
      <c r="B117" s="11">
        <f>IF(VLOOKUP(A117,'DB Country PMI'!$A:$W,MATCH($A$1,'DB Country PMI'!$A$1:$W$1,),)=0,#N/A,VLOOKUP(A117,'DB Country PMI'!$A:$W,MATCH($A$1,'DB Country PMI'!$A$1:$W$1,),))</f>
        <v/>
      </c>
      <c r="C117" s="14">
        <f>Table1346811345671012131415[[#This Row],[PMI]]-B116</f>
        <v/>
      </c>
    </row>
    <row r="118">
      <c r="A118" s="8" t="n">
        <v>43862</v>
      </c>
      <c r="B118" s="11">
        <f>IF(VLOOKUP(A118,'DB Country PMI'!$A:$W,MATCH($A$1,'DB Country PMI'!$A$1:$W$1,),)=0,#N/A,VLOOKUP(A118,'DB Country PMI'!$A:$W,MATCH($A$1,'DB Country PMI'!$A$1:$W$1,),))</f>
        <v/>
      </c>
      <c r="C118" s="14">
        <f>Table1346811345671012131415[[#This Row],[PMI]]-B117</f>
        <v/>
      </c>
    </row>
    <row r="119">
      <c r="A119" s="8" t="n">
        <v>43891</v>
      </c>
      <c r="B119" s="11">
        <f>IF(VLOOKUP(A119,'DB Country PMI'!$A:$W,MATCH($A$1,'DB Country PMI'!$A$1:$W$1,),)=0,#N/A,VLOOKUP(A119,'DB Country PMI'!$A:$W,MATCH($A$1,'DB Country PMI'!$A$1:$W$1,),))</f>
        <v/>
      </c>
      <c r="C119" s="14">
        <f>Table1346811345671012131415[[#This Row],[PMI]]-B118</f>
        <v/>
      </c>
    </row>
    <row r="120">
      <c r="A120" s="8" t="n">
        <v>43922</v>
      </c>
      <c r="B120" s="11">
        <f>IF(VLOOKUP(A120,'DB Country PMI'!$A:$W,MATCH($A$1,'DB Country PMI'!$A$1:$W$1,),)=0,#N/A,VLOOKUP(A120,'DB Country PMI'!$A:$W,MATCH($A$1,'DB Country PMI'!$A$1:$W$1,),))</f>
        <v/>
      </c>
      <c r="C120" s="14">
        <f>Table1346811345671012131415[[#This Row],[PMI]]-B119</f>
        <v/>
      </c>
    </row>
    <row r="121">
      <c r="A121" s="8" t="n">
        <v>43952</v>
      </c>
      <c r="B121" s="11">
        <f>IF(VLOOKUP(A121,'DB Country PMI'!$A:$W,MATCH($A$1,'DB Country PMI'!$A$1:$W$1,),)=0,#N/A,VLOOKUP(A121,'DB Country PMI'!$A:$W,MATCH($A$1,'DB Country PMI'!$A$1:$W$1,),))</f>
        <v/>
      </c>
      <c r="C121" s="14">
        <f>Table1346811345671012131415[[#This Row],[PMI]]-B120</f>
        <v/>
      </c>
    </row>
    <row r="122">
      <c r="A122" s="8" t="n">
        <v>43983</v>
      </c>
      <c r="B122" s="11">
        <f>IF(VLOOKUP(A122,'DB Country PMI'!$A:$W,MATCH($A$1,'DB Country PMI'!$A$1:$W$1,),)=0,#N/A,VLOOKUP(A122,'DB Country PMI'!$A:$W,MATCH($A$1,'DB Country PMI'!$A$1:$W$1,),))</f>
        <v/>
      </c>
      <c r="C122" s="14">
        <f>Table1346811345671012131415[[#This Row],[PMI]]-B121</f>
        <v/>
      </c>
    </row>
    <row r="123">
      <c r="A123" s="8" t="n">
        <v>44013</v>
      </c>
      <c r="B123" s="11">
        <f>IF(VLOOKUP(A123,'DB Country PMI'!$A:$W,MATCH($A$1,'DB Country PMI'!$A$1:$W$1,),)=0,#N/A,VLOOKUP(A123,'DB Country PMI'!$A:$W,MATCH($A$1,'DB Country PMI'!$A$1:$W$1,),))</f>
        <v/>
      </c>
      <c r="C123" s="14">
        <f>Table1346811345671012131415[[#This Row],[PMI]]-B122</f>
        <v/>
      </c>
    </row>
    <row r="124">
      <c r="A124" s="8" t="n">
        <v>44044</v>
      </c>
      <c r="B124" s="11">
        <f>IF(VLOOKUP(A124,'DB Country PMI'!$A:$W,MATCH($A$1,'DB Country PMI'!$A$1:$W$1,),)=0,#N/A,VLOOKUP(A124,'DB Country PMI'!$A:$W,MATCH($A$1,'DB Country PMI'!$A$1:$W$1,),))</f>
        <v/>
      </c>
      <c r="C124" s="14">
        <f>Table1346811345671012131415[[#This Row],[PMI]]-B123</f>
        <v/>
      </c>
    </row>
    <row r="125">
      <c r="A125" s="8" t="n">
        <v>44075</v>
      </c>
      <c r="B125" s="11">
        <f>IF(VLOOKUP(A125,'DB Country PMI'!$A:$W,MATCH($A$1,'DB Country PMI'!$A$1:$W$1,),)=0,#N/A,VLOOKUP(A125,'DB Country PMI'!$A:$W,MATCH($A$1,'DB Country PMI'!$A$1:$W$1,),))</f>
        <v/>
      </c>
      <c r="C125" s="14">
        <f>Table1346811345671012131415[[#This Row],[PMI]]-B124</f>
        <v/>
      </c>
    </row>
    <row r="126">
      <c r="A126" s="8" t="n">
        <v>44105</v>
      </c>
      <c r="B126" s="11">
        <f>IF(VLOOKUP(A126,'DB Country PMI'!$A:$W,MATCH($A$1,'DB Country PMI'!$A$1:$W$1,),)=0,#N/A,VLOOKUP(A126,'DB Country PMI'!$A:$W,MATCH($A$1,'DB Country PMI'!$A$1:$W$1,),))</f>
        <v/>
      </c>
      <c r="C126" s="14">
        <f>Table1346811345671012131415[[#This Row],[PMI]]-B125</f>
        <v/>
      </c>
    </row>
    <row r="127">
      <c r="A127" s="8" t="n">
        <v>44136</v>
      </c>
      <c r="B127" s="11">
        <f>IF(VLOOKUP(A127,'DB Country PMI'!$A:$W,MATCH($A$1,'DB Country PMI'!$A$1:$W$1,),)=0,#N/A,VLOOKUP(A127,'DB Country PMI'!$A:$W,MATCH($A$1,'DB Country PMI'!$A$1:$W$1,),))</f>
        <v/>
      </c>
      <c r="C127" s="14">
        <f>Table1346811345671012131415[[#This Row],[PMI]]-B126</f>
        <v/>
      </c>
    </row>
    <row r="128">
      <c r="A128" s="8" t="n">
        <v>44166</v>
      </c>
      <c r="B128" s="11">
        <f>IF(VLOOKUP(A128,'DB Country PMI'!$A:$W,MATCH($A$1,'DB Country PMI'!$A$1:$W$1,),)=0,#N/A,VLOOKUP(A128,'DB Country PMI'!$A:$W,MATCH($A$1,'DB Country PMI'!$A$1:$W$1,),))</f>
        <v/>
      </c>
      <c r="C128" s="14">
        <f>Table1346811345671012131415[[#This Row],[PMI]]-B127</f>
        <v/>
      </c>
    </row>
    <row r="129">
      <c r="A129" s="8" t="n">
        <v>44197</v>
      </c>
      <c r="B129" s="11">
        <f>IF(VLOOKUP(A129,'DB Country PMI'!$A:$W,MATCH($A$1,'DB Country PMI'!$A$1:$W$1,),)=0,#N/A,VLOOKUP(A129,'DB Country PMI'!$A:$W,MATCH($A$1,'DB Country PMI'!$A$1:$W$1,),))</f>
        <v/>
      </c>
      <c r="C129" s="14">
        <f>Table1346811345671012131415[[#This Row],[PMI]]-B128</f>
        <v/>
      </c>
    </row>
    <row r="130">
      <c r="A130" s="8" t="n">
        <v>44228</v>
      </c>
      <c r="B130" s="11">
        <f>IF(VLOOKUP(A130,'DB Country PMI'!$A:$W,MATCH($A$1,'DB Country PMI'!$A$1:$W$1,),)=0,#N/A,VLOOKUP(A130,'DB Country PMI'!$A:$W,MATCH($A$1,'DB Country PMI'!$A$1:$W$1,),))</f>
        <v/>
      </c>
      <c r="C130" s="14">
        <f>Table1346811345671012131415[[#This Row],[PMI]]-B129</f>
        <v/>
      </c>
    </row>
    <row r="131">
      <c r="A131" s="8" t="n">
        <v>44256</v>
      </c>
      <c r="B131" s="11">
        <f>IF(VLOOKUP(A131,'DB Country PMI'!$A:$W,MATCH($A$1,'DB Country PMI'!$A$1:$W$1,),)=0,#N/A,VLOOKUP(A131,'DB Country PMI'!$A:$W,MATCH($A$1,'DB Country PMI'!$A$1:$W$1,),))</f>
        <v/>
      </c>
      <c r="C131" s="14">
        <f>Table1346811345671012131415[[#This Row],[PMI]]-B130</f>
        <v/>
      </c>
    </row>
    <row r="132">
      <c r="A132" s="8" t="n">
        <v>44287</v>
      </c>
      <c r="B132" s="11">
        <f>IF(VLOOKUP(A132,'DB Country PMI'!$A:$W,MATCH($A$1,'DB Country PMI'!$A$1:$W$1,),)=0,#N/A,VLOOKUP(A132,'DB Country PMI'!$A:$W,MATCH($A$1,'DB Country PMI'!$A$1:$W$1,),))</f>
        <v/>
      </c>
      <c r="C132" s="14">
        <f>Table1346811345671012131415[[#This Row],[PMI]]-B131</f>
        <v/>
      </c>
    </row>
    <row r="133">
      <c r="A133" s="8" t="n">
        <v>44317</v>
      </c>
      <c r="B133" s="11">
        <f>IF(VLOOKUP(A133,'DB Country PMI'!$A:$W,MATCH($A$1,'DB Country PMI'!$A$1:$W$1,),)=0,#N/A,VLOOKUP(A133,'DB Country PMI'!$A:$W,MATCH($A$1,'DB Country PMI'!$A$1:$W$1,),))</f>
        <v/>
      </c>
      <c r="C133" s="14">
        <f>Table1346811345671012131415[[#This Row],[PMI]]-B132</f>
        <v/>
      </c>
    </row>
    <row r="134">
      <c r="A134" s="8" t="n">
        <v>44348</v>
      </c>
      <c r="B134" s="11">
        <f>IF(VLOOKUP(A134,'DB Country PMI'!$A:$W,MATCH($A$1,'DB Country PMI'!$A$1:$W$1,),)=0,#N/A,VLOOKUP(A134,'DB Country PMI'!$A:$W,MATCH($A$1,'DB Country PMI'!$A$1:$W$1,),))</f>
        <v/>
      </c>
      <c r="C134" s="14">
        <f>Table1346811345671012131415[[#This Row],[PMI]]-B133</f>
        <v/>
      </c>
    </row>
    <row r="135">
      <c r="A135" s="8" t="n">
        <v>44378</v>
      </c>
      <c r="B135" s="11">
        <f>IF(VLOOKUP(A135,'DB Country PMI'!$A:$W,MATCH($A$1,'DB Country PMI'!$A$1:$W$1,),)=0,#N/A,VLOOKUP(A135,'DB Country PMI'!$A:$W,MATCH($A$1,'DB Country PMI'!$A$1:$W$1,),))</f>
        <v/>
      </c>
      <c r="C135" s="14">
        <f>Table1346811345671012131415[[#This Row],[PMI]]-B134</f>
        <v/>
      </c>
    </row>
    <row r="136">
      <c r="A136" s="8" t="n">
        <v>44409</v>
      </c>
      <c r="B136" s="11">
        <f>IF(VLOOKUP(A136,'DB Country PMI'!$A:$W,MATCH($A$1,'DB Country PMI'!$A$1:$W$1,),)=0,#N/A,VLOOKUP(A136,'DB Country PMI'!$A:$W,MATCH($A$1,'DB Country PMI'!$A$1:$W$1,),))</f>
        <v/>
      </c>
      <c r="C136" s="14">
        <f>Table1346811345671012131415[[#This Row],[PMI]]-B135</f>
        <v/>
      </c>
    </row>
    <row r="137">
      <c r="A137" s="8" t="n">
        <v>44440</v>
      </c>
      <c r="B137" s="11">
        <f>IF(VLOOKUP(A137,'DB Country PMI'!$A:$W,MATCH($A$1,'DB Country PMI'!$A$1:$W$1,),)=0,#N/A,VLOOKUP(A137,'DB Country PMI'!$A:$W,MATCH($A$1,'DB Country PMI'!$A$1:$W$1,),))</f>
        <v/>
      </c>
      <c r="C137" s="14">
        <f>Table1346811345671012131415[[#This Row],[PMI]]-B136</f>
        <v/>
      </c>
    </row>
    <row r="138">
      <c r="A138" s="8" t="n">
        <v>44470</v>
      </c>
      <c r="B138" s="11">
        <f>IF(VLOOKUP(A138,'DB Country PMI'!$A:$W,MATCH($A$1,'DB Country PMI'!$A$1:$W$1,),)=0,#N/A,VLOOKUP(A138,'DB Country PMI'!$A:$W,MATCH($A$1,'DB Country PMI'!$A$1:$W$1,),))</f>
        <v/>
      </c>
      <c r="C138" s="14">
        <f>Table1346811345671012131415[[#This Row],[PMI]]-B137</f>
        <v/>
      </c>
    </row>
    <row r="139">
      <c r="A139" s="8" t="n">
        <v>44501</v>
      </c>
      <c r="B139" s="11">
        <f>IF(VLOOKUP(A139,'DB Country PMI'!$A:$W,MATCH($A$1,'DB Country PMI'!$A$1:$W$1,),)=0,#N/A,VLOOKUP(A139,'DB Country PMI'!$A:$W,MATCH($A$1,'DB Country PMI'!$A$1:$W$1,),))</f>
        <v/>
      </c>
      <c r="C139" s="14">
        <f>Table1346811345671012131415[[#This Row],[PMI]]-B138</f>
        <v/>
      </c>
    </row>
    <row r="140">
      <c r="A140" s="8" t="n">
        <v>44531</v>
      </c>
      <c r="B140" s="11">
        <f>IF(VLOOKUP(A140,'DB Country PMI'!$A:$W,MATCH($A$1,'DB Country PMI'!$A$1:$W$1,),)=0,#N/A,VLOOKUP(A140,'DB Country PMI'!$A:$W,MATCH($A$1,'DB Country PMI'!$A$1:$W$1,),))</f>
        <v/>
      </c>
      <c r="C140" s="14">
        <f>Table1346811345671012131415[[#This Row],[PMI]]-B139</f>
        <v/>
      </c>
    </row>
    <row r="141">
      <c r="A141" s="8" t="n">
        <v>44562</v>
      </c>
      <c r="B141" s="11">
        <f>IF(VLOOKUP(A141,'DB Country PMI'!$A:$W,MATCH($A$1,'DB Country PMI'!$A$1:$W$1,),)=0,#N/A,VLOOKUP(A141,'DB Country PMI'!$A:$W,MATCH($A$1,'DB Country PMI'!$A$1:$W$1,),))</f>
        <v/>
      </c>
      <c r="C141" s="14">
        <f>Table1346811345671012131415[[#This Row],[PMI]]-B140</f>
        <v/>
      </c>
    </row>
    <row r="142">
      <c r="A142" s="8" t="n">
        <v>44593</v>
      </c>
      <c r="B142" s="11">
        <f>IF(VLOOKUP(A142,'DB Country PMI'!$A:$W,MATCH($A$1,'DB Country PMI'!$A$1:$W$1,),)=0,#N/A,VLOOKUP(A142,'DB Country PMI'!$A:$W,MATCH($A$1,'DB Country PMI'!$A$1:$W$1,),))</f>
        <v/>
      </c>
      <c r="C142" s="14">
        <f>Table1346811345671012131415[[#This Row],[PMI]]-B141</f>
        <v/>
      </c>
    </row>
    <row r="143">
      <c r="A143" s="8" t="n">
        <v>44621</v>
      </c>
      <c r="B143" s="11">
        <f>IF(VLOOKUP(A143,'DB Country PMI'!$A:$W,MATCH($A$1,'DB Country PMI'!$A$1:$W$1,),)=0,#N/A,VLOOKUP(A143,'DB Country PMI'!$A:$W,MATCH($A$1,'DB Country PMI'!$A$1:$W$1,),))</f>
        <v/>
      </c>
      <c r="C143" s="14">
        <f>Table1346811345671012131415[[#This Row],[PMI]]-B142</f>
        <v/>
      </c>
    </row>
  </sheetData>
  <conditionalFormatting sqref="C7:C143">
    <cfRule type="colorScale" priority="1">
      <colorScale>
        <cfvo type="min"/>
        <cfvo type="percentile" val="50"/>
        <cfvo type="max"/>
        <color rgb="FFF8696B"/>
        <color rgb="FFFCFCFF"/>
        <color rgb="FF5A8AC6"/>
      </colorScale>
    </cfRule>
  </conditionalFormatting>
  <conditionalFormatting sqref="B6:B143">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1.xml><?xml version="1.0" encoding="utf-8"?>
<worksheet xmlns="http://schemas.openxmlformats.org/spreadsheetml/2006/main">
  <sheetPr>
    <outlinePr summaryBelow="1" summaryRight="1"/>
    <pageSetUpPr/>
  </sheetPr>
  <dimension ref="A1:J143"/>
  <sheetViews>
    <sheetView zoomScale="160" zoomScaleNormal="160" workbookViewId="0">
      <pane ySplit="5" topLeftCell="A123" activePane="bottomLeft" state="frozen"/>
      <selection pane="bottomLeft" activeCell="A135" sqref="A135:C143"/>
    </sheetView>
  </sheetViews>
  <sheetFormatPr baseColWidth="10" defaultColWidth="9.1640625" defaultRowHeight="15"/>
  <cols>
    <col width="13.5" customWidth="1" style="60" min="1" max="1"/>
    <col width="11.33203125" customWidth="1" style="60" min="2" max="2"/>
    <col width="9.1640625" customWidth="1" style="60" min="3" max="7"/>
    <col width="9.1640625" customWidth="1" style="60" min="8" max="16384"/>
  </cols>
  <sheetData>
    <row r="1">
      <c r="A1" s="60" t="inlineStr">
        <is>
          <t>India</t>
        </is>
      </c>
      <c r="J1" s="60" t="inlineStr">
        <is>
          <t xml:space="preserve"> Services PMI</t>
        </is>
      </c>
    </row>
    <row r="2">
      <c r="J2" s="60" t="inlineStr">
        <is>
          <t>India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Table134681134567[[#This Row],[PMI]]-B6</f>
        <v/>
      </c>
    </row>
    <row r="8">
      <c r="A8" s="8" t="n">
        <v>40513</v>
      </c>
      <c r="B8" s="11">
        <f>IF(VLOOKUP(A8,'DB Country PMI'!$A:$W,MATCH($A$1,'DB Country PMI'!$A$1:$W$1,),)=0,#N/A,VLOOKUP(A8,'DB Country PMI'!$A:$W,MATCH($A$1,'DB Country PMI'!$A$1:$W$1,),))</f>
        <v/>
      </c>
      <c r="C8" s="14">
        <f>Table134681134567[[#This Row],[PMI]]-B7</f>
        <v/>
      </c>
    </row>
    <row r="9">
      <c r="A9" s="8" t="n">
        <v>40544</v>
      </c>
      <c r="B9" s="11">
        <f>IF(VLOOKUP(A9,'DB Country PMI'!$A:$W,MATCH($A$1,'DB Country PMI'!$A$1:$W$1,),)=0,#N/A,VLOOKUP(A9,'DB Country PMI'!$A:$W,MATCH($A$1,'DB Country PMI'!$A$1:$W$1,),))</f>
        <v/>
      </c>
      <c r="C9" s="14">
        <f>Table134681134567[[#This Row],[PMI]]-B8</f>
        <v/>
      </c>
    </row>
    <row r="10">
      <c r="A10" s="8" t="n">
        <v>40575</v>
      </c>
      <c r="B10" s="11">
        <f>IF(VLOOKUP(A10,'DB Country PMI'!$A:$W,MATCH($A$1,'DB Country PMI'!$A$1:$W$1,),)=0,#N/A,VLOOKUP(A10,'DB Country PMI'!$A:$W,MATCH($A$1,'DB Country PMI'!$A$1:$W$1,),))</f>
        <v/>
      </c>
      <c r="C10" s="14">
        <f>Table134681134567[[#This Row],[PMI]]-B9</f>
        <v/>
      </c>
    </row>
    <row r="11">
      <c r="A11" s="8" t="n">
        <v>40603</v>
      </c>
      <c r="B11" s="11">
        <f>IF(VLOOKUP(A11,'DB Country PMI'!$A:$W,MATCH($A$1,'DB Country PMI'!$A$1:$W$1,),)=0,#N/A,VLOOKUP(A11,'DB Country PMI'!$A:$W,MATCH($A$1,'DB Country PMI'!$A$1:$W$1,),))</f>
        <v/>
      </c>
      <c r="C11" s="14">
        <f>Table134681134567[[#This Row],[PMI]]-B10</f>
        <v/>
      </c>
    </row>
    <row r="12">
      <c r="A12" s="8" t="n">
        <v>40634</v>
      </c>
      <c r="B12" s="11">
        <f>IF(VLOOKUP(A12,'DB Country PMI'!$A:$W,MATCH($A$1,'DB Country PMI'!$A$1:$W$1,),)=0,#N/A,VLOOKUP(A12,'DB Country PMI'!$A:$W,MATCH($A$1,'DB Country PMI'!$A$1:$W$1,),))</f>
        <v/>
      </c>
      <c r="C12" s="14">
        <f>Table134681134567[[#This Row],[PMI]]-B11</f>
        <v/>
      </c>
    </row>
    <row r="13">
      <c r="A13" s="8" t="n">
        <v>40664</v>
      </c>
      <c r="B13" s="11">
        <f>IF(VLOOKUP(A13,'DB Country PMI'!$A:$W,MATCH($A$1,'DB Country PMI'!$A$1:$W$1,),)=0,#N/A,VLOOKUP(A13,'DB Country PMI'!$A:$W,MATCH($A$1,'DB Country PMI'!$A$1:$W$1,),))</f>
        <v/>
      </c>
      <c r="C13" s="14">
        <f>Table134681134567[[#This Row],[PMI]]-B12</f>
        <v/>
      </c>
    </row>
    <row r="14">
      <c r="A14" s="8" t="n">
        <v>40695</v>
      </c>
      <c r="B14" s="11">
        <f>IF(VLOOKUP(A14,'DB Country PMI'!$A:$W,MATCH($A$1,'DB Country PMI'!$A$1:$W$1,),)=0,#N/A,VLOOKUP(A14,'DB Country PMI'!$A:$W,MATCH($A$1,'DB Country PMI'!$A$1:$W$1,),))</f>
        <v/>
      </c>
      <c r="C14" s="14">
        <f>Table134681134567[[#This Row],[PMI]]-B13</f>
        <v/>
      </c>
    </row>
    <row r="15">
      <c r="A15" s="8" t="n">
        <v>40725</v>
      </c>
      <c r="B15" s="11">
        <f>IF(VLOOKUP(A15,'DB Country PMI'!$A:$W,MATCH($A$1,'DB Country PMI'!$A$1:$W$1,),)=0,#N/A,VLOOKUP(A15,'DB Country PMI'!$A:$W,MATCH($A$1,'DB Country PMI'!$A$1:$W$1,),))</f>
        <v/>
      </c>
      <c r="C15" s="14">
        <f>Table134681134567[[#This Row],[PMI]]-B14</f>
        <v/>
      </c>
    </row>
    <row r="16">
      <c r="A16" s="8" t="n">
        <v>40756</v>
      </c>
      <c r="B16" s="11">
        <f>IF(VLOOKUP(A16,'DB Country PMI'!$A:$W,MATCH($A$1,'DB Country PMI'!$A$1:$W$1,),)=0,#N/A,VLOOKUP(A16,'DB Country PMI'!$A:$W,MATCH($A$1,'DB Country PMI'!$A$1:$W$1,),))</f>
        <v/>
      </c>
      <c r="C16" s="14">
        <f>Table134681134567[[#This Row],[PMI]]-B15</f>
        <v/>
      </c>
    </row>
    <row r="17">
      <c r="A17" s="8" t="n">
        <v>40787</v>
      </c>
      <c r="B17" s="11">
        <f>IF(VLOOKUP(A17,'DB Country PMI'!$A:$W,MATCH($A$1,'DB Country PMI'!$A$1:$W$1,),)=0,#N/A,VLOOKUP(A17,'DB Country PMI'!$A:$W,MATCH($A$1,'DB Country PMI'!$A$1:$W$1,),))</f>
        <v/>
      </c>
      <c r="C17" s="14">
        <f>Table134681134567[[#This Row],[PMI]]-B16</f>
        <v/>
      </c>
    </row>
    <row r="18">
      <c r="A18" s="8" t="n">
        <v>40817</v>
      </c>
      <c r="B18" s="11">
        <f>IF(VLOOKUP(A18,'DB Country PMI'!$A:$W,MATCH($A$1,'DB Country PMI'!$A$1:$W$1,),)=0,#N/A,VLOOKUP(A18,'DB Country PMI'!$A:$W,MATCH($A$1,'DB Country PMI'!$A$1:$W$1,),))</f>
        <v/>
      </c>
      <c r="C18" s="14">
        <f>Table134681134567[[#This Row],[PMI]]-B17</f>
        <v/>
      </c>
    </row>
    <row r="19">
      <c r="A19" s="8" t="n">
        <v>40848</v>
      </c>
      <c r="B19" s="11">
        <f>IF(VLOOKUP(A19,'DB Country PMI'!$A:$W,MATCH($A$1,'DB Country PMI'!$A$1:$W$1,),)=0,#N/A,VLOOKUP(A19,'DB Country PMI'!$A:$W,MATCH($A$1,'DB Country PMI'!$A$1:$W$1,),))</f>
        <v/>
      </c>
      <c r="C19" s="14">
        <f>Table134681134567[[#This Row],[PMI]]-B18</f>
        <v/>
      </c>
    </row>
    <row r="20">
      <c r="A20" s="8" t="n">
        <v>40878</v>
      </c>
      <c r="B20" s="11">
        <f>IF(VLOOKUP(A20,'DB Country PMI'!$A:$W,MATCH($A$1,'DB Country PMI'!$A$1:$W$1,),)=0,#N/A,VLOOKUP(A20,'DB Country PMI'!$A:$W,MATCH($A$1,'DB Country PMI'!$A$1:$W$1,),))</f>
        <v/>
      </c>
      <c r="C20" s="14">
        <f>Table134681134567[[#This Row],[PMI]]-B19</f>
        <v/>
      </c>
    </row>
    <row r="21">
      <c r="A21" s="8" t="n">
        <v>40909</v>
      </c>
      <c r="B21" s="11">
        <f>IF(VLOOKUP(A21,'DB Country PMI'!$A:$W,MATCH($A$1,'DB Country PMI'!$A$1:$W$1,),)=0,#N/A,VLOOKUP(A21,'DB Country PMI'!$A:$W,MATCH($A$1,'DB Country PMI'!$A$1:$W$1,),))</f>
        <v/>
      </c>
      <c r="C21" s="14">
        <f>Table134681134567[[#This Row],[PMI]]-B20</f>
        <v/>
      </c>
    </row>
    <row r="22">
      <c r="A22" s="8" t="n">
        <v>40940</v>
      </c>
      <c r="B22" s="11">
        <f>IF(VLOOKUP(A22,'DB Country PMI'!$A:$W,MATCH($A$1,'DB Country PMI'!$A$1:$W$1,),)=0,#N/A,VLOOKUP(A22,'DB Country PMI'!$A:$W,MATCH($A$1,'DB Country PMI'!$A$1:$W$1,),))</f>
        <v/>
      </c>
      <c r="C22" s="14">
        <f>Table134681134567[[#This Row],[PMI]]-B21</f>
        <v/>
      </c>
    </row>
    <row r="23">
      <c r="A23" s="8" t="n">
        <v>40969</v>
      </c>
      <c r="B23" s="11">
        <f>IF(VLOOKUP(A23,'DB Country PMI'!$A:$W,MATCH($A$1,'DB Country PMI'!$A$1:$W$1,),)=0,#N/A,VLOOKUP(A23,'DB Country PMI'!$A:$W,MATCH($A$1,'DB Country PMI'!$A$1:$W$1,),))</f>
        <v/>
      </c>
      <c r="C23" s="14">
        <f>Table134681134567[[#This Row],[PMI]]-B22</f>
        <v/>
      </c>
    </row>
    <row r="24">
      <c r="A24" s="8" t="n">
        <v>41000</v>
      </c>
      <c r="B24" s="11">
        <f>IF(VLOOKUP(A24,'DB Country PMI'!$A:$W,MATCH($A$1,'DB Country PMI'!$A$1:$W$1,),)=0,#N/A,VLOOKUP(A24,'DB Country PMI'!$A:$W,MATCH($A$1,'DB Country PMI'!$A$1:$W$1,),))</f>
        <v/>
      </c>
      <c r="C24" s="14">
        <f>Table134681134567[[#This Row],[PMI]]-B23</f>
        <v/>
      </c>
    </row>
    <row r="25">
      <c r="A25" s="8" t="n">
        <v>41030</v>
      </c>
      <c r="B25" s="11">
        <f>IF(VLOOKUP(A25,'DB Country PMI'!$A:$W,MATCH($A$1,'DB Country PMI'!$A$1:$W$1,),)=0,#N/A,VLOOKUP(A25,'DB Country PMI'!$A:$W,MATCH($A$1,'DB Country PMI'!$A$1:$W$1,),))</f>
        <v/>
      </c>
      <c r="C25" s="14">
        <f>Table134681134567[[#This Row],[PMI]]-B24</f>
        <v/>
      </c>
    </row>
    <row r="26">
      <c r="A26" s="8" t="n">
        <v>41061</v>
      </c>
      <c r="B26" s="11">
        <f>IF(VLOOKUP(A26,'DB Country PMI'!$A:$W,MATCH($A$1,'DB Country PMI'!$A$1:$W$1,),)=0,#N/A,VLOOKUP(A26,'DB Country PMI'!$A:$W,MATCH($A$1,'DB Country PMI'!$A$1:$W$1,),))</f>
        <v/>
      </c>
      <c r="C26" s="14">
        <f>Table134681134567[[#This Row],[PMI]]-B25</f>
        <v/>
      </c>
    </row>
    <row r="27">
      <c r="A27" s="8" t="n">
        <v>41091</v>
      </c>
      <c r="B27" s="11">
        <f>IF(VLOOKUP(A27,'DB Country PMI'!$A:$W,MATCH($A$1,'DB Country PMI'!$A$1:$W$1,),)=0,#N/A,VLOOKUP(A27,'DB Country PMI'!$A:$W,MATCH($A$1,'DB Country PMI'!$A$1:$W$1,),))</f>
        <v/>
      </c>
      <c r="C27" s="14">
        <f>Table134681134567[[#This Row],[PMI]]-B26</f>
        <v/>
      </c>
    </row>
    <row r="28">
      <c r="A28" s="8" t="n">
        <v>41122</v>
      </c>
      <c r="B28" s="11">
        <f>IF(VLOOKUP(A28,'DB Country PMI'!$A:$W,MATCH($A$1,'DB Country PMI'!$A$1:$W$1,),)=0,#N/A,VLOOKUP(A28,'DB Country PMI'!$A:$W,MATCH($A$1,'DB Country PMI'!$A$1:$W$1,),))</f>
        <v/>
      </c>
      <c r="C28" s="14">
        <f>Table134681134567[[#This Row],[PMI]]-B27</f>
        <v/>
      </c>
    </row>
    <row r="29">
      <c r="A29" s="8" t="n">
        <v>41153</v>
      </c>
      <c r="B29" s="11">
        <f>IF(VLOOKUP(A29,'DB Country PMI'!$A:$W,MATCH($A$1,'DB Country PMI'!$A$1:$W$1,),)=0,#N/A,VLOOKUP(A29,'DB Country PMI'!$A:$W,MATCH($A$1,'DB Country PMI'!$A$1:$W$1,),))</f>
        <v/>
      </c>
      <c r="C29" s="14">
        <f>Table134681134567[[#This Row],[PMI]]-B28</f>
        <v/>
      </c>
    </row>
    <row r="30">
      <c r="A30" s="8" t="n">
        <v>41183</v>
      </c>
      <c r="B30" s="11">
        <f>IF(VLOOKUP(A30,'DB Country PMI'!$A:$W,MATCH($A$1,'DB Country PMI'!$A$1:$W$1,),)=0,#N/A,VLOOKUP(A30,'DB Country PMI'!$A:$W,MATCH($A$1,'DB Country PMI'!$A$1:$W$1,),))</f>
        <v/>
      </c>
      <c r="C30" s="14">
        <f>Table134681134567[[#This Row],[PMI]]-B29</f>
        <v/>
      </c>
    </row>
    <row r="31">
      <c r="A31" s="8" t="n">
        <v>41214</v>
      </c>
      <c r="B31" s="11">
        <f>IF(VLOOKUP(A31,'DB Country PMI'!$A:$W,MATCH($A$1,'DB Country PMI'!$A$1:$W$1,),)=0,#N/A,VLOOKUP(A31,'DB Country PMI'!$A:$W,MATCH($A$1,'DB Country PMI'!$A$1:$W$1,),))</f>
        <v/>
      </c>
      <c r="C31" s="14">
        <f>Table134681134567[[#This Row],[PMI]]-B30</f>
        <v/>
      </c>
    </row>
    <row r="32">
      <c r="A32" s="8" t="n">
        <v>41244</v>
      </c>
      <c r="B32" s="11">
        <f>IF(VLOOKUP(A32,'DB Country PMI'!$A:$W,MATCH($A$1,'DB Country PMI'!$A$1:$W$1,),)=0,#N/A,VLOOKUP(A32,'DB Country PMI'!$A:$W,MATCH($A$1,'DB Country PMI'!$A$1:$W$1,),))</f>
        <v/>
      </c>
      <c r="C32" s="14">
        <f>Table134681134567[[#This Row],[PMI]]-B31</f>
        <v/>
      </c>
    </row>
    <row r="33">
      <c r="A33" s="8" t="n">
        <v>41275</v>
      </c>
      <c r="B33" s="11">
        <f>IF(VLOOKUP(A33,'DB Country PMI'!$A:$W,MATCH($A$1,'DB Country PMI'!$A$1:$W$1,),)=0,#N/A,VLOOKUP(A33,'DB Country PMI'!$A:$W,MATCH($A$1,'DB Country PMI'!$A$1:$W$1,),))</f>
        <v/>
      </c>
      <c r="C33" s="14">
        <f>Table134681134567[[#This Row],[PMI]]-B32</f>
        <v/>
      </c>
    </row>
    <row r="34">
      <c r="A34" s="8" t="n">
        <v>41306</v>
      </c>
      <c r="B34" s="11">
        <f>IF(VLOOKUP(A34,'DB Country PMI'!$A:$W,MATCH($A$1,'DB Country PMI'!$A$1:$W$1,),)=0,#N/A,VLOOKUP(A34,'DB Country PMI'!$A:$W,MATCH($A$1,'DB Country PMI'!$A$1:$W$1,),))</f>
        <v/>
      </c>
      <c r="C34" s="14">
        <f>Table134681134567[[#This Row],[PMI]]-B33</f>
        <v/>
      </c>
    </row>
    <row r="35">
      <c r="A35" s="8" t="n">
        <v>41334</v>
      </c>
      <c r="B35" s="11">
        <f>IF(VLOOKUP(A35,'DB Country PMI'!$A:$W,MATCH($A$1,'DB Country PMI'!$A$1:$W$1,),)=0,#N/A,VLOOKUP(A35,'DB Country PMI'!$A:$W,MATCH($A$1,'DB Country PMI'!$A$1:$W$1,),))</f>
        <v/>
      </c>
      <c r="C35" s="14">
        <f>Table134681134567[[#This Row],[PMI]]-B34</f>
        <v/>
      </c>
    </row>
    <row r="36">
      <c r="A36" s="8" t="n">
        <v>41365</v>
      </c>
      <c r="B36" s="11">
        <f>IF(VLOOKUP(A36,'DB Country PMI'!$A:$W,MATCH($A$1,'DB Country PMI'!$A$1:$W$1,),)=0,#N/A,VLOOKUP(A36,'DB Country PMI'!$A:$W,MATCH($A$1,'DB Country PMI'!$A$1:$W$1,),))</f>
        <v/>
      </c>
      <c r="C36" s="14">
        <f>Table134681134567[[#This Row],[PMI]]-B35</f>
        <v/>
      </c>
    </row>
    <row r="37">
      <c r="A37" s="8" t="n">
        <v>41395</v>
      </c>
      <c r="B37" s="11">
        <f>IF(VLOOKUP(A37,'DB Country PMI'!$A:$W,MATCH($A$1,'DB Country PMI'!$A$1:$W$1,),)=0,#N/A,VLOOKUP(A37,'DB Country PMI'!$A:$W,MATCH($A$1,'DB Country PMI'!$A$1:$W$1,),))</f>
        <v/>
      </c>
      <c r="C37" s="14">
        <f>Table134681134567[[#This Row],[PMI]]-B36</f>
        <v/>
      </c>
    </row>
    <row r="38">
      <c r="A38" s="8" t="n">
        <v>41426</v>
      </c>
      <c r="B38" s="11">
        <f>IF(VLOOKUP(A38,'DB Country PMI'!$A:$W,MATCH($A$1,'DB Country PMI'!$A$1:$W$1,),)=0,#N/A,VLOOKUP(A38,'DB Country PMI'!$A:$W,MATCH($A$1,'DB Country PMI'!$A$1:$W$1,),))</f>
        <v/>
      </c>
      <c r="C38" s="14">
        <f>Table134681134567[[#This Row],[PMI]]-B37</f>
        <v/>
      </c>
    </row>
    <row r="39">
      <c r="A39" s="8" t="n">
        <v>41456</v>
      </c>
      <c r="B39" s="11">
        <f>IF(VLOOKUP(A39,'DB Country PMI'!$A:$W,MATCH($A$1,'DB Country PMI'!$A$1:$W$1,),)=0,#N/A,VLOOKUP(A39,'DB Country PMI'!$A:$W,MATCH($A$1,'DB Country PMI'!$A$1:$W$1,),))</f>
        <v/>
      </c>
      <c r="C39" s="14">
        <f>Table134681134567[[#This Row],[PMI]]-B38</f>
        <v/>
      </c>
    </row>
    <row r="40">
      <c r="A40" s="8" t="n">
        <v>41487</v>
      </c>
      <c r="B40" s="11">
        <f>IF(VLOOKUP(A40,'DB Country PMI'!$A:$W,MATCH($A$1,'DB Country PMI'!$A$1:$W$1,),)=0,#N/A,VLOOKUP(A40,'DB Country PMI'!$A:$W,MATCH($A$1,'DB Country PMI'!$A$1:$W$1,),))</f>
        <v/>
      </c>
      <c r="C40" s="14">
        <f>Table134681134567[[#This Row],[PMI]]-B39</f>
        <v/>
      </c>
    </row>
    <row r="41">
      <c r="A41" s="8" t="n">
        <v>41518</v>
      </c>
      <c r="B41" s="11">
        <f>IF(VLOOKUP(A41,'DB Country PMI'!$A:$W,MATCH($A$1,'DB Country PMI'!$A$1:$W$1,),)=0,#N/A,VLOOKUP(A41,'DB Country PMI'!$A:$W,MATCH($A$1,'DB Country PMI'!$A$1:$W$1,),))</f>
        <v/>
      </c>
      <c r="C41" s="14">
        <f>Table134681134567[[#This Row],[PMI]]-B40</f>
        <v/>
      </c>
    </row>
    <row r="42">
      <c r="A42" s="8" t="n">
        <v>41548</v>
      </c>
      <c r="B42" s="11">
        <f>IF(VLOOKUP(A42,'DB Country PMI'!$A:$W,MATCH($A$1,'DB Country PMI'!$A$1:$W$1,),)=0,#N/A,VLOOKUP(A42,'DB Country PMI'!$A:$W,MATCH($A$1,'DB Country PMI'!$A$1:$W$1,),))</f>
        <v/>
      </c>
      <c r="C42" s="14">
        <f>Table134681134567[[#This Row],[PMI]]-B41</f>
        <v/>
      </c>
    </row>
    <row r="43">
      <c r="A43" s="8" t="n">
        <v>41579</v>
      </c>
      <c r="B43" s="11">
        <f>IF(VLOOKUP(A43,'DB Country PMI'!$A:$W,MATCH($A$1,'DB Country PMI'!$A$1:$W$1,),)=0,#N/A,VLOOKUP(A43,'DB Country PMI'!$A:$W,MATCH($A$1,'DB Country PMI'!$A$1:$W$1,),))</f>
        <v/>
      </c>
      <c r="C43" s="14">
        <f>Table134681134567[[#This Row],[PMI]]-B42</f>
        <v/>
      </c>
    </row>
    <row r="44">
      <c r="A44" s="8" t="n">
        <v>41609</v>
      </c>
      <c r="B44" s="11">
        <f>IF(VLOOKUP(A44,'DB Country PMI'!$A:$W,MATCH($A$1,'DB Country PMI'!$A$1:$W$1,),)=0,#N/A,VLOOKUP(A44,'DB Country PMI'!$A:$W,MATCH($A$1,'DB Country PMI'!$A$1:$W$1,),))</f>
        <v/>
      </c>
      <c r="C44" s="14">
        <f>Table134681134567[[#This Row],[PMI]]-B43</f>
        <v/>
      </c>
    </row>
    <row r="45">
      <c r="A45" s="8" t="n">
        <v>41640</v>
      </c>
      <c r="B45" s="11">
        <f>IF(VLOOKUP(A45,'DB Country PMI'!$A:$W,MATCH($A$1,'DB Country PMI'!$A$1:$W$1,),)=0,#N/A,VLOOKUP(A45,'DB Country PMI'!$A:$W,MATCH($A$1,'DB Country PMI'!$A$1:$W$1,),))</f>
        <v/>
      </c>
      <c r="C45" s="14">
        <f>Table134681134567[[#This Row],[PMI]]-B44</f>
        <v/>
      </c>
    </row>
    <row r="46">
      <c r="A46" s="8" t="n">
        <v>41671</v>
      </c>
      <c r="B46" s="11">
        <f>IF(VLOOKUP(A46,'DB Country PMI'!$A:$W,MATCH($A$1,'DB Country PMI'!$A$1:$W$1,),)=0,#N/A,VLOOKUP(A46,'DB Country PMI'!$A:$W,MATCH($A$1,'DB Country PMI'!$A$1:$W$1,),))</f>
        <v/>
      </c>
      <c r="C46" s="14">
        <f>Table134681134567[[#This Row],[PMI]]-B45</f>
        <v/>
      </c>
    </row>
    <row r="47">
      <c r="A47" s="8" t="n">
        <v>41699</v>
      </c>
      <c r="B47" s="11">
        <f>IF(VLOOKUP(A47,'DB Country PMI'!$A:$W,MATCH($A$1,'DB Country PMI'!$A$1:$W$1,),)=0,#N/A,VLOOKUP(A47,'DB Country PMI'!$A:$W,MATCH($A$1,'DB Country PMI'!$A$1:$W$1,),))</f>
        <v/>
      </c>
      <c r="C47" s="14">
        <f>Table134681134567[[#This Row],[PMI]]-B46</f>
        <v/>
      </c>
    </row>
    <row r="48">
      <c r="A48" s="8" t="n">
        <v>41730</v>
      </c>
      <c r="B48" s="11">
        <f>IF(VLOOKUP(A48,'DB Country PMI'!$A:$W,MATCH($A$1,'DB Country PMI'!$A$1:$W$1,),)=0,#N/A,VLOOKUP(A48,'DB Country PMI'!$A:$W,MATCH($A$1,'DB Country PMI'!$A$1:$W$1,),))</f>
        <v/>
      </c>
      <c r="C48" s="14">
        <f>Table134681134567[[#This Row],[PMI]]-B47</f>
        <v/>
      </c>
    </row>
    <row r="49">
      <c r="A49" s="8" t="n">
        <v>41760</v>
      </c>
      <c r="B49" s="11">
        <f>IF(VLOOKUP(A49,'DB Country PMI'!$A:$W,MATCH($A$1,'DB Country PMI'!$A$1:$W$1,),)=0,#N/A,VLOOKUP(A49,'DB Country PMI'!$A:$W,MATCH($A$1,'DB Country PMI'!$A$1:$W$1,),))</f>
        <v/>
      </c>
      <c r="C49" s="14">
        <f>Table134681134567[[#This Row],[PMI]]-B48</f>
        <v/>
      </c>
    </row>
    <row r="50">
      <c r="A50" s="8" t="n">
        <v>41791</v>
      </c>
      <c r="B50" s="11">
        <f>IF(VLOOKUP(A50,'DB Country PMI'!$A:$W,MATCH($A$1,'DB Country PMI'!$A$1:$W$1,),)=0,#N/A,VLOOKUP(A50,'DB Country PMI'!$A:$W,MATCH($A$1,'DB Country PMI'!$A$1:$W$1,),))</f>
        <v/>
      </c>
      <c r="C50" s="14">
        <f>Table134681134567[[#This Row],[PMI]]-B49</f>
        <v/>
      </c>
    </row>
    <row r="51">
      <c r="A51" s="8" t="n">
        <v>41821</v>
      </c>
      <c r="B51" s="11">
        <f>IF(VLOOKUP(A51,'DB Country PMI'!$A:$W,MATCH($A$1,'DB Country PMI'!$A$1:$W$1,),)=0,#N/A,VLOOKUP(A51,'DB Country PMI'!$A:$W,MATCH($A$1,'DB Country PMI'!$A$1:$W$1,),))</f>
        <v/>
      </c>
      <c r="C51" s="14">
        <f>Table134681134567[[#This Row],[PMI]]-B50</f>
        <v/>
      </c>
    </row>
    <row r="52">
      <c r="A52" s="8" t="n">
        <v>41852</v>
      </c>
      <c r="B52" s="11">
        <f>IF(VLOOKUP(A52,'DB Country PMI'!$A:$W,MATCH($A$1,'DB Country PMI'!$A$1:$W$1,),)=0,#N/A,VLOOKUP(A52,'DB Country PMI'!$A:$W,MATCH($A$1,'DB Country PMI'!$A$1:$W$1,),))</f>
        <v/>
      </c>
      <c r="C52" s="14">
        <f>Table134681134567[[#This Row],[PMI]]-B51</f>
        <v/>
      </c>
    </row>
    <row r="53">
      <c r="A53" s="8" t="n">
        <v>41883</v>
      </c>
      <c r="B53" s="11">
        <f>IF(VLOOKUP(A53,'DB Country PMI'!$A:$W,MATCH($A$1,'DB Country PMI'!$A$1:$W$1,),)=0,#N/A,VLOOKUP(A53,'DB Country PMI'!$A:$W,MATCH($A$1,'DB Country PMI'!$A$1:$W$1,),))</f>
        <v/>
      </c>
      <c r="C53" s="14">
        <f>Table134681134567[[#This Row],[PMI]]-B52</f>
        <v/>
      </c>
    </row>
    <row r="54">
      <c r="A54" s="8" t="n">
        <v>41913</v>
      </c>
      <c r="B54" s="11">
        <f>IF(VLOOKUP(A54,'DB Country PMI'!$A:$W,MATCH($A$1,'DB Country PMI'!$A$1:$W$1,),)=0,#N/A,VLOOKUP(A54,'DB Country PMI'!$A:$W,MATCH($A$1,'DB Country PMI'!$A$1:$W$1,),))</f>
        <v/>
      </c>
      <c r="C54" s="14">
        <f>Table134681134567[[#This Row],[PMI]]-B53</f>
        <v/>
      </c>
    </row>
    <row r="55">
      <c r="A55" s="8" t="n">
        <v>41944</v>
      </c>
      <c r="B55" s="11">
        <f>IF(VLOOKUP(A55,'DB Country PMI'!$A:$W,MATCH($A$1,'DB Country PMI'!$A$1:$W$1,),)=0,#N/A,VLOOKUP(A55,'DB Country PMI'!$A:$W,MATCH($A$1,'DB Country PMI'!$A$1:$W$1,),))</f>
        <v/>
      </c>
      <c r="C55" s="14">
        <f>Table134681134567[[#This Row],[PMI]]-B54</f>
        <v/>
      </c>
    </row>
    <row r="56">
      <c r="A56" s="8" t="n">
        <v>41974</v>
      </c>
      <c r="B56" s="11">
        <f>IF(VLOOKUP(A56,'DB Country PMI'!$A:$W,MATCH($A$1,'DB Country PMI'!$A$1:$W$1,),)=0,#N/A,VLOOKUP(A56,'DB Country PMI'!$A:$W,MATCH($A$1,'DB Country PMI'!$A$1:$W$1,),))</f>
        <v/>
      </c>
      <c r="C56" s="14">
        <f>Table134681134567[[#This Row],[PMI]]-B55</f>
        <v/>
      </c>
    </row>
    <row r="57">
      <c r="A57" s="8" t="n">
        <v>42005</v>
      </c>
      <c r="B57" s="11">
        <f>IF(VLOOKUP(A57,'DB Country PMI'!$A:$W,MATCH($A$1,'DB Country PMI'!$A$1:$W$1,),)=0,#N/A,VLOOKUP(A57,'DB Country PMI'!$A:$W,MATCH($A$1,'DB Country PMI'!$A$1:$W$1,),))</f>
        <v/>
      </c>
      <c r="C57" s="14">
        <f>Table134681134567[[#This Row],[PMI]]-B56</f>
        <v/>
      </c>
    </row>
    <row r="58">
      <c r="A58" s="8" t="n">
        <v>42036</v>
      </c>
      <c r="B58" s="11">
        <f>IF(VLOOKUP(A58,'DB Country PMI'!$A:$W,MATCH($A$1,'DB Country PMI'!$A$1:$W$1,),)=0,#N/A,VLOOKUP(A58,'DB Country PMI'!$A:$W,MATCH($A$1,'DB Country PMI'!$A$1:$W$1,),))</f>
        <v/>
      </c>
      <c r="C58" s="14">
        <f>Table134681134567[[#This Row],[PMI]]-B57</f>
        <v/>
      </c>
    </row>
    <row r="59">
      <c r="A59" s="8" t="n">
        <v>42064</v>
      </c>
      <c r="B59" s="11">
        <f>IF(VLOOKUP(A59,'DB Country PMI'!$A:$W,MATCH($A$1,'DB Country PMI'!$A$1:$W$1,),)=0,#N/A,VLOOKUP(A59,'DB Country PMI'!$A:$W,MATCH($A$1,'DB Country PMI'!$A$1:$W$1,),))</f>
        <v/>
      </c>
      <c r="C59" s="14">
        <f>Table134681134567[[#This Row],[PMI]]-B58</f>
        <v/>
      </c>
    </row>
    <row r="60">
      <c r="A60" s="8" t="n">
        <v>42095</v>
      </c>
      <c r="B60" s="11">
        <f>IF(VLOOKUP(A60,'DB Country PMI'!$A:$W,MATCH($A$1,'DB Country PMI'!$A$1:$W$1,),)=0,#N/A,VLOOKUP(A60,'DB Country PMI'!$A:$W,MATCH($A$1,'DB Country PMI'!$A$1:$W$1,),))</f>
        <v/>
      </c>
      <c r="C60" s="14">
        <f>Table134681134567[[#This Row],[PMI]]-B59</f>
        <v/>
      </c>
    </row>
    <row r="61">
      <c r="A61" s="8" t="n">
        <v>42125</v>
      </c>
      <c r="B61" s="11">
        <f>IF(VLOOKUP(A61,'DB Country PMI'!$A:$W,MATCH($A$1,'DB Country PMI'!$A$1:$W$1,),)=0,#N/A,VLOOKUP(A61,'DB Country PMI'!$A:$W,MATCH($A$1,'DB Country PMI'!$A$1:$W$1,),))</f>
        <v/>
      </c>
      <c r="C61" s="14">
        <f>Table134681134567[[#This Row],[PMI]]-B60</f>
        <v/>
      </c>
    </row>
    <row r="62">
      <c r="A62" s="8" t="n">
        <v>42156</v>
      </c>
      <c r="B62" s="11">
        <f>IF(VLOOKUP(A62,'DB Country PMI'!$A:$W,MATCH($A$1,'DB Country PMI'!$A$1:$W$1,),)=0,#N/A,VLOOKUP(A62,'DB Country PMI'!$A:$W,MATCH($A$1,'DB Country PMI'!$A$1:$W$1,),))</f>
        <v/>
      </c>
      <c r="C62" s="14">
        <f>Table134681134567[[#This Row],[PMI]]-B61</f>
        <v/>
      </c>
    </row>
    <row r="63">
      <c r="A63" s="8" t="n">
        <v>42186</v>
      </c>
      <c r="B63" s="11">
        <f>IF(VLOOKUP(A63,'DB Country PMI'!$A:$W,MATCH($A$1,'DB Country PMI'!$A$1:$W$1,),)=0,#N/A,VLOOKUP(A63,'DB Country PMI'!$A:$W,MATCH($A$1,'DB Country PMI'!$A$1:$W$1,),))</f>
        <v/>
      </c>
      <c r="C63" s="14">
        <f>Table134681134567[[#This Row],[PMI]]-B62</f>
        <v/>
      </c>
    </row>
    <row r="64">
      <c r="A64" s="8" t="n">
        <v>42217</v>
      </c>
      <c r="B64" s="11">
        <f>IF(VLOOKUP(A64,'DB Country PMI'!$A:$W,MATCH($A$1,'DB Country PMI'!$A$1:$W$1,),)=0,#N/A,VLOOKUP(A64,'DB Country PMI'!$A:$W,MATCH($A$1,'DB Country PMI'!$A$1:$W$1,),))</f>
        <v/>
      </c>
      <c r="C64" s="14">
        <f>Table134681134567[[#This Row],[PMI]]-B63</f>
        <v/>
      </c>
    </row>
    <row r="65">
      <c r="A65" s="8" t="n">
        <v>42248</v>
      </c>
      <c r="B65" s="11">
        <f>IF(VLOOKUP(A65,'DB Country PMI'!$A:$W,MATCH($A$1,'DB Country PMI'!$A$1:$W$1,),)=0,#N/A,VLOOKUP(A65,'DB Country PMI'!$A:$W,MATCH($A$1,'DB Country PMI'!$A$1:$W$1,),))</f>
        <v/>
      </c>
      <c r="C65" s="14">
        <f>Table134681134567[[#This Row],[PMI]]-B64</f>
        <v/>
      </c>
    </row>
    <row r="66">
      <c r="A66" s="8" t="n">
        <v>42278</v>
      </c>
      <c r="B66" s="11">
        <f>IF(VLOOKUP(A66,'DB Country PMI'!$A:$W,MATCH($A$1,'DB Country PMI'!$A$1:$W$1,),)=0,#N/A,VLOOKUP(A66,'DB Country PMI'!$A:$W,MATCH($A$1,'DB Country PMI'!$A$1:$W$1,),))</f>
        <v/>
      </c>
      <c r="C66" s="14">
        <f>Table134681134567[[#This Row],[PMI]]-B65</f>
        <v/>
      </c>
    </row>
    <row r="67">
      <c r="A67" s="8" t="n">
        <v>42309</v>
      </c>
      <c r="B67" s="11">
        <f>IF(VLOOKUP(A67,'DB Country PMI'!$A:$W,MATCH($A$1,'DB Country PMI'!$A$1:$W$1,),)=0,#N/A,VLOOKUP(A67,'DB Country PMI'!$A:$W,MATCH($A$1,'DB Country PMI'!$A$1:$W$1,),))</f>
        <v/>
      </c>
      <c r="C67" s="14">
        <f>Table134681134567[[#This Row],[PMI]]-B66</f>
        <v/>
      </c>
    </row>
    <row r="68">
      <c r="A68" s="8" t="n">
        <v>42339</v>
      </c>
      <c r="B68" s="11">
        <f>IF(VLOOKUP(A68,'DB Country PMI'!$A:$W,MATCH($A$1,'DB Country PMI'!$A$1:$W$1,),)=0,#N/A,VLOOKUP(A68,'DB Country PMI'!$A:$W,MATCH($A$1,'DB Country PMI'!$A$1:$W$1,),))</f>
        <v/>
      </c>
      <c r="C68" s="14">
        <f>Table134681134567[[#This Row],[PMI]]-B67</f>
        <v/>
      </c>
    </row>
    <row r="69">
      <c r="A69" s="8" t="n">
        <v>42370</v>
      </c>
      <c r="B69" s="11">
        <f>IF(VLOOKUP(A69,'DB Country PMI'!$A:$W,MATCH($A$1,'DB Country PMI'!$A$1:$W$1,),)=0,#N/A,VLOOKUP(A69,'DB Country PMI'!$A:$W,MATCH($A$1,'DB Country PMI'!$A$1:$W$1,),))</f>
        <v/>
      </c>
      <c r="C69" s="14">
        <f>Table134681134567[[#This Row],[PMI]]-B68</f>
        <v/>
      </c>
    </row>
    <row r="70">
      <c r="A70" s="8" t="n">
        <v>42401</v>
      </c>
      <c r="B70" s="11">
        <f>IF(VLOOKUP(A70,'DB Country PMI'!$A:$W,MATCH($A$1,'DB Country PMI'!$A$1:$W$1,),)=0,#N/A,VLOOKUP(A70,'DB Country PMI'!$A:$W,MATCH($A$1,'DB Country PMI'!$A$1:$W$1,),))</f>
        <v/>
      </c>
      <c r="C70" s="14">
        <f>Table134681134567[[#This Row],[PMI]]-B69</f>
        <v/>
      </c>
    </row>
    <row r="71">
      <c r="A71" s="8" t="n">
        <v>42430</v>
      </c>
      <c r="B71" s="11">
        <f>IF(VLOOKUP(A71,'DB Country PMI'!$A:$W,MATCH($A$1,'DB Country PMI'!$A$1:$W$1,),)=0,#N/A,VLOOKUP(A71,'DB Country PMI'!$A:$W,MATCH($A$1,'DB Country PMI'!$A$1:$W$1,),))</f>
        <v/>
      </c>
      <c r="C71" s="14">
        <f>Table134681134567[[#This Row],[PMI]]-B70</f>
        <v/>
      </c>
    </row>
    <row r="72">
      <c r="A72" s="8" t="n">
        <v>42461</v>
      </c>
      <c r="B72" s="11">
        <f>IF(VLOOKUP(A72,'DB Country PMI'!$A:$W,MATCH($A$1,'DB Country PMI'!$A$1:$W$1,),)=0,#N/A,VLOOKUP(A72,'DB Country PMI'!$A:$W,MATCH($A$1,'DB Country PMI'!$A$1:$W$1,),))</f>
        <v/>
      </c>
      <c r="C72" s="14">
        <f>Table134681134567[[#This Row],[PMI]]-B71</f>
        <v/>
      </c>
    </row>
    <row r="73">
      <c r="A73" s="8" t="n">
        <v>42491</v>
      </c>
      <c r="B73" s="11">
        <f>IF(VLOOKUP(A73,'DB Country PMI'!$A:$W,MATCH($A$1,'DB Country PMI'!$A$1:$W$1,),)=0,#N/A,VLOOKUP(A73,'DB Country PMI'!$A:$W,MATCH($A$1,'DB Country PMI'!$A$1:$W$1,),))</f>
        <v/>
      </c>
      <c r="C73" s="14">
        <f>Table134681134567[[#This Row],[PMI]]-B72</f>
        <v/>
      </c>
    </row>
    <row r="74">
      <c r="A74" s="8" t="n">
        <v>42522</v>
      </c>
      <c r="B74" s="11">
        <f>IF(VLOOKUP(A74,'DB Country PMI'!$A:$W,MATCH($A$1,'DB Country PMI'!$A$1:$W$1,),)=0,#N/A,VLOOKUP(A74,'DB Country PMI'!$A:$W,MATCH($A$1,'DB Country PMI'!$A$1:$W$1,),))</f>
        <v/>
      </c>
      <c r="C74" s="14">
        <f>Table134681134567[[#This Row],[PMI]]-B73</f>
        <v/>
      </c>
    </row>
    <row r="75">
      <c r="A75" s="8" t="n">
        <v>42552</v>
      </c>
      <c r="B75" s="11">
        <f>IF(VLOOKUP(A75,'DB Country PMI'!$A:$W,MATCH($A$1,'DB Country PMI'!$A$1:$W$1,),)=0,#N/A,VLOOKUP(A75,'DB Country PMI'!$A:$W,MATCH($A$1,'DB Country PMI'!$A$1:$W$1,),))</f>
        <v/>
      </c>
      <c r="C75" s="14">
        <f>Table134681134567[[#This Row],[PMI]]-B74</f>
        <v/>
      </c>
    </row>
    <row r="76">
      <c r="A76" s="8" t="n">
        <v>42583</v>
      </c>
      <c r="B76" s="11">
        <f>IF(VLOOKUP(A76,'DB Country PMI'!$A:$W,MATCH($A$1,'DB Country PMI'!$A$1:$W$1,),)=0,#N/A,VLOOKUP(A76,'DB Country PMI'!$A:$W,MATCH($A$1,'DB Country PMI'!$A$1:$W$1,),))</f>
        <v/>
      </c>
      <c r="C76" s="14">
        <f>Table134681134567[[#This Row],[PMI]]-B75</f>
        <v/>
      </c>
    </row>
    <row r="77">
      <c r="A77" s="8" t="n">
        <v>42614</v>
      </c>
      <c r="B77" s="11">
        <f>IF(VLOOKUP(A77,'DB Country PMI'!$A:$W,MATCH($A$1,'DB Country PMI'!$A$1:$W$1,),)=0,#N/A,VLOOKUP(A77,'DB Country PMI'!$A:$W,MATCH($A$1,'DB Country PMI'!$A$1:$W$1,),))</f>
        <v/>
      </c>
      <c r="C77" s="14">
        <f>Table134681134567[[#This Row],[PMI]]-B76</f>
        <v/>
      </c>
    </row>
    <row r="78">
      <c r="A78" s="8" t="n">
        <v>42644</v>
      </c>
      <c r="B78" s="11">
        <f>IF(VLOOKUP(A78,'DB Country PMI'!$A:$W,MATCH($A$1,'DB Country PMI'!$A$1:$W$1,),)=0,#N/A,VLOOKUP(A78,'DB Country PMI'!$A:$W,MATCH($A$1,'DB Country PMI'!$A$1:$W$1,),))</f>
        <v/>
      </c>
      <c r="C78" s="14">
        <f>Table134681134567[[#This Row],[PMI]]-B77</f>
        <v/>
      </c>
    </row>
    <row r="79">
      <c r="A79" s="8" t="n">
        <v>42675</v>
      </c>
      <c r="B79" s="11">
        <f>IF(VLOOKUP(A79,'DB Country PMI'!$A:$W,MATCH($A$1,'DB Country PMI'!$A$1:$W$1,),)=0,#N/A,VLOOKUP(A79,'DB Country PMI'!$A:$W,MATCH($A$1,'DB Country PMI'!$A$1:$W$1,),))</f>
        <v/>
      </c>
      <c r="C79" s="14">
        <f>Table134681134567[[#This Row],[PMI]]-B78</f>
        <v/>
      </c>
    </row>
    <row r="80">
      <c r="A80" s="8" t="n">
        <v>42705</v>
      </c>
      <c r="B80" s="11">
        <f>IF(VLOOKUP(A80,'DB Country PMI'!$A:$W,MATCH($A$1,'DB Country PMI'!$A$1:$W$1,),)=0,#N/A,VLOOKUP(A80,'DB Country PMI'!$A:$W,MATCH($A$1,'DB Country PMI'!$A$1:$W$1,),))</f>
        <v/>
      </c>
      <c r="C80" s="14">
        <f>Table134681134567[[#This Row],[PMI]]-B79</f>
        <v/>
      </c>
    </row>
    <row r="81">
      <c r="A81" s="8" t="n">
        <v>42736</v>
      </c>
      <c r="B81" s="11">
        <f>IF(VLOOKUP(A81,'DB Country PMI'!$A:$W,MATCH($A$1,'DB Country PMI'!$A$1:$W$1,),)=0,#N/A,VLOOKUP(A81,'DB Country PMI'!$A:$W,MATCH($A$1,'DB Country PMI'!$A$1:$W$1,),))</f>
        <v/>
      </c>
      <c r="C81" s="14">
        <f>Table134681134567[[#This Row],[PMI]]-B80</f>
        <v/>
      </c>
    </row>
    <row r="82">
      <c r="A82" s="8" t="n">
        <v>42767</v>
      </c>
      <c r="B82" s="11">
        <f>IF(VLOOKUP(A82,'DB Country PMI'!$A:$W,MATCH($A$1,'DB Country PMI'!$A$1:$W$1,),)=0,#N/A,VLOOKUP(A82,'DB Country PMI'!$A:$W,MATCH($A$1,'DB Country PMI'!$A$1:$W$1,),))</f>
        <v/>
      </c>
      <c r="C82" s="14">
        <f>Table134681134567[[#This Row],[PMI]]-B81</f>
        <v/>
      </c>
    </row>
    <row r="83">
      <c r="A83" s="8" t="n">
        <v>42795</v>
      </c>
      <c r="B83" s="11">
        <f>IF(VLOOKUP(A83,'DB Country PMI'!$A:$W,MATCH($A$1,'DB Country PMI'!$A$1:$W$1,),)=0,#N/A,VLOOKUP(A83,'DB Country PMI'!$A:$W,MATCH($A$1,'DB Country PMI'!$A$1:$W$1,),))</f>
        <v/>
      </c>
      <c r="C83" s="14">
        <f>Table134681134567[[#This Row],[PMI]]-B82</f>
        <v/>
      </c>
    </row>
    <row r="84">
      <c r="A84" s="8" t="n">
        <v>42826</v>
      </c>
      <c r="B84" s="11">
        <f>IF(VLOOKUP(A84,'DB Country PMI'!$A:$W,MATCH($A$1,'DB Country PMI'!$A$1:$W$1,),)=0,#N/A,VLOOKUP(A84,'DB Country PMI'!$A:$W,MATCH($A$1,'DB Country PMI'!$A$1:$W$1,),))</f>
        <v/>
      </c>
      <c r="C84" s="14">
        <f>Table134681134567[[#This Row],[PMI]]-B83</f>
        <v/>
      </c>
    </row>
    <row r="85">
      <c r="A85" s="8" t="n">
        <v>42856</v>
      </c>
      <c r="B85" s="11">
        <f>IF(VLOOKUP(A85,'DB Country PMI'!$A:$W,MATCH($A$1,'DB Country PMI'!$A$1:$W$1,),)=0,#N/A,VLOOKUP(A85,'DB Country PMI'!$A:$W,MATCH($A$1,'DB Country PMI'!$A$1:$W$1,),))</f>
        <v/>
      </c>
      <c r="C85" s="14">
        <f>Table134681134567[[#This Row],[PMI]]-B84</f>
        <v/>
      </c>
    </row>
    <row r="86">
      <c r="A86" s="8" t="n">
        <v>42887</v>
      </c>
      <c r="B86" s="11">
        <f>IF(VLOOKUP(A86,'DB Country PMI'!$A:$W,MATCH($A$1,'DB Country PMI'!$A$1:$W$1,),)=0,#N/A,VLOOKUP(A86,'DB Country PMI'!$A:$W,MATCH($A$1,'DB Country PMI'!$A$1:$W$1,),))</f>
        <v/>
      </c>
      <c r="C86" s="14">
        <f>Table134681134567[[#This Row],[PMI]]-B85</f>
        <v/>
      </c>
    </row>
    <row r="87">
      <c r="A87" s="8" t="n">
        <v>42917</v>
      </c>
      <c r="B87" s="11">
        <f>IF(VLOOKUP(A87,'DB Country PMI'!$A:$W,MATCH($A$1,'DB Country PMI'!$A$1:$W$1,),)=0,#N/A,VLOOKUP(A87,'DB Country PMI'!$A:$W,MATCH($A$1,'DB Country PMI'!$A$1:$W$1,),))</f>
        <v/>
      </c>
      <c r="C87" s="14">
        <f>Table134681134567[[#This Row],[PMI]]-B86</f>
        <v/>
      </c>
    </row>
    <row r="88">
      <c r="A88" s="8" t="n">
        <v>42948</v>
      </c>
      <c r="B88" s="11">
        <f>IF(VLOOKUP(A88,'DB Country PMI'!$A:$W,MATCH($A$1,'DB Country PMI'!$A$1:$W$1,),)=0,#N/A,VLOOKUP(A88,'DB Country PMI'!$A:$W,MATCH($A$1,'DB Country PMI'!$A$1:$W$1,),))</f>
        <v/>
      </c>
      <c r="C88" s="14">
        <f>Table134681134567[[#This Row],[PMI]]-B87</f>
        <v/>
      </c>
    </row>
    <row r="89">
      <c r="A89" s="8" t="n">
        <v>42979</v>
      </c>
      <c r="B89" s="11">
        <f>IF(VLOOKUP(A89,'DB Country PMI'!$A:$W,MATCH($A$1,'DB Country PMI'!$A$1:$W$1,),)=0,#N/A,VLOOKUP(A89,'DB Country PMI'!$A:$W,MATCH($A$1,'DB Country PMI'!$A$1:$W$1,),))</f>
        <v/>
      </c>
      <c r="C89" s="14">
        <f>Table134681134567[[#This Row],[PMI]]-B88</f>
        <v/>
      </c>
    </row>
    <row r="90">
      <c r="A90" s="8" t="n">
        <v>43009</v>
      </c>
      <c r="B90" s="11">
        <f>IF(VLOOKUP(A90,'DB Country PMI'!$A:$W,MATCH($A$1,'DB Country PMI'!$A$1:$W$1,),)=0,#N/A,VLOOKUP(A90,'DB Country PMI'!$A:$W,MATCH($A$1,'DB Country PMI'!$A$1:$W$1,),))</f>
        <v/>
      </c>
      <c r="C90" s="14">
        <f>Table134681134567[[#This Row],[PMI]]-B89</f>
        <v/>
      </c>
    </row>
    <row r="91">
      <c r="A91" s="8" t="n">
        <v>43040</v>
      </c>
      <c r="B91" s="11">
        <f>IF(VLOOKUP(A91,'DB Country PMI'!$A:$W,MATCH($A$1,'DB Country PMI'!$A$1:$W$1,),)=0,#N/A,VLOOKUP(A91,'DB Country PMI'!$A:$W,MATCH($A$1,'DB Country PMI'!$A$1:$W$1,),))</f>
        <v/>
      </c>
      <c r="C91" s="14">
        <f>Table134681134567[[#This Row],[PMI]]-B90</f>
        <v/>
      </c>
    </row>
    <row r="92">
      <c r="A92" s="8" t="n">
        <v>43070</v>
      </c>
      <c r="B92" s="11">
        <f>IF(VLOOKUP(A92,'DB Country PMI'!$A:$W,MATCH($A$1,'DB Country PMI'!$A$1:$W$1,),)=0,#N/A,VLOOKUP(A92,'DB Country PMI'!$A:$W,MATCH($A$1,'DB Country PMI'!$A$1:$W$1,),))</f>
        <v/>
      </c>
      <c r="C92" s="14">
        <f>Table134681134567[[#This Row],[PMI]]-B91</f>
        <v/>
      </c>
    </row>
    <row r="93">
      <c r="A93" s="8" t="n">
        <v>43101</v>
      </c>
      <c r="B93" s="11">
        <f>IF(VLOOKUP(A93,'DB Country PMI'!$A:$W,MATCH($A$1,'DB Country PMI'!$A$1:$W$1,),)=0,#N/A,VLOOKUP(A93,'DB Country PMI'!$A:$W,MATCH($A$1,'DB Country PMI'!$A$1:$W$1,),))</f>
        <v/>
      </c>
      <c r="C93" s="14">
        <f>Table134681134567[[#This Row],[PMI]]-B92</f>
        <v/>
      </c>
    </row>
    <row r="94">
      <c r="A94" s="8" t="n">
        <v>43132</v>
      </c>
      <c r="B94" s="11">
        <f>IF(VLOOKUP(A94,'DB Country PMI'!$A:$W,MATCH($A$1,'DB Country PMI'!$A$1:$W$1,),)=0,#N/A,VLOOKUP(A94,'DB Country PMI'!$A:$W,MATCH($A$1,'DB Country PMI'!$A$1:$W$1,),))</f>
        <v/>
      </c>
      <c r="C94" s="14">
        <f>Table134681134567[[#This Row],[PMI]]-B93</f>
        <v/>
      </c>
    </row>
    <row r="95">
      <c r="A95" s="8" t="n">
        <v>43160</v>
      </c>
      <c r="B95" s="11">
        <f>IF(VLOOKUP(A95,'DB Country PMI'!$A:$W,MATCH($A$1,'DB Country PMI'!$A$1:$W$1,),)=0,#N/A,VLOOKUP(A95,'DB Country PMI'!$A:$W,MATCH($A$1,'DB Country PMI'!$A$1:$W$1,),))</f>
        <v/>
      </c>
      <c r="C95" s="14">
        <f>Table134681134567[[#This Row],[PMI]]-B94</f>
        <v/>
      </c>
    </row>
    <row r="96">
      <c r="A96" s="8" t="n">
        <v>43191</v>
      </c>
      <c r="B96" s="11">
        <f>IF(VLOOKUP(A96,'DB Country PMI'!$A:$W,MATCH($A$1,'DB Country PMI'!$A$1:$W$1,),)=0,#N/A,VLOOKUP(A96,'DB Country PMI'!$A:$W,MATCH($A$1,'DB Country PMI'!$A$1:$W$1,),))</f>
        <v/>
      </c>
      <c r="C96" s="14">
        <f>Table134681134567[[#This Row],[PMI]]-B95</f>
        <v/>
      </c>
    </row>
    <row r="97">
      <c r="A97" s="8" t="n">
        <v>43221</v>
      </c>
      <c r="B97" s="11">
        <f>IF(VLOOKUP(A97,'DB Country PMI'!$A:$W,MATCH($A$1,'DB Country PMI'!$A$1:$W$1,),)=0,#N/A,VLOOKUP(A97,'DB Country PMI'!$A:$W,MATCH($A$1,'DB Country PMI'!$A$1:$W$1,),))</f>
        <v/>
      </c>
      <c r="C97" s="14">
        <f>Table134681134567[[#This Row],[PMI]]-B96</f>
        <v/>
      </c>
    </row>
    <row r="98">
      <c r="A98" s="8" t="n">
        <v>43252</v>
      </c>
      <c r="B98" s="11">
        <f>IF(VLOOKUP(A98,'DB Country PMI'!$A:$W,MATCH($A$1,'DB Country PMI'!$A$1:$W$1,),)=0,#N/A,VLOOKUP(A98,'DB Country PMI'!$A:$W,MATCH($A$1,'DB Country PMI'!$A$1:$W$1,),))</f>
        <v/>
      </c>
      <c r="C98" s="14">
        <f>Table134681134567[[#This Row],[PMI]]-B97</f>
        <v/>
      </c>
    </row>
    <row r="99">
      <c r="A99" s="8" t="n">
        <v>43282</v>
      </c>
      <c r="B99" s="11">
        <f>IF(VLOOKUP(A99,'DB Country PMI'!$A:$W,MATCH($A$1,'DB Country PMI'!$A$1:$W$1,),)=0,#N/A,VLOOKUP(A99,'DB Country PMI'!$A:$W,MATCH($A$1,'DB Country PMI'!$A$1:$W$1,),))</f>
        <v/>
      </c>
      <c r="C99" s="14">
        <f>Table134681134567[[#This Row],[PMI]]-B98</f>
        <v/>
      </c>
    </row>
    <row r="100">
      <c r="A100" s="8" t="n">
        <v>43313</v>
      </c>
      <c r="B100" s="11">
        <f>IF(VLOOKUP(A100,'DB Country PMI'!$A:$W,MATCH($A$1,'DB Country PMI'!$A$1:$W$1,),)=0,#N/A,VLOOKUP(A100,'DB Country PMI'!$A:$W,MATCH($A$1,'DB Country PMI'!$A$1:$W$1,),))</f>
        <v/>
      </c>
      <c r="C100" s="14">
        <f>Table134681134567[[#This Row],[PMI]]-B99</f>
        <v/>
      </c>
    </row>
    <row r="101">
      <c r="A101" s="8" t="n">
        <v>43344</v>
      </c>
      <c r="B101" s="11">
        <f>IF(VLOOKUP(A101,'DB Country PMI'!$A:$W,MATCH($A$1,'DB Country PMI'!$A$1:$W$1,),)=0,#N/A,VLOOKUP(A101,'DB Country PMI'!$A:$W,MATCH($A$1,'DB Country PMI'!$A$1:$W$1,),))</f>
        <v/>
      </c>
      <c r="C101" s="14">
        <f>Table134681134567[[#This Row],[PMI]]-B100</f>
        <v/>
      </c>
    </row>
    <row r="102">
      <c r="A102" s="8" t="n">
        <v>43374</v>
      </c>
      <c r="B102" s="11">
        <f>IF(VLOOKUP(A102,'DB Country PMI'!$A:$W,MATCH($A$1,'DB Country PMI'!$A$1:$W$1,),)=0,#N/A,VLOOKUP(A102,'DB Country PMI'!$A:$W,MATCH($A$1,'DB Country PMI'!$A$1:$W$1,),))</f>
        <v/>
      </c>
      <c r="C102" s="14">
        <f>Table134681134567[[#This Row],[PMI]]-B101</f>
        <v/>
      </c>
    </row>
    <row r="103">
      <c r="A103" s="8" t="n">
        <v>43405</v>
      </c>
      <c r="B103" s="11">
        <f>IF(VLOOKUP(A103,'DB Country PMI'!$A:$W,MATCH($A$1,'DB Country PMI'!$A$1:$W$1,),)=0,#N/A,VLOOKUP(A103,'DB Country PMI'!$A:$W,MATCH($A$1,'DB Country PMI'!$A$1:$W$1,),))</f>
        <v/>
      </c>
      <c r="C103" s="14">
        <f>Table134681134567[[#This Row],[PMI]]-B102</f>
        <v/>
      </c>
    </row>
    <row r="104">
      <c r="A104" s="8" t="n">
        <v>43435</v>
      </c>
      <c r="B104" s="11">
        <f>IF(VLOOKUP(A104,'DB Country PMI'!$A:$W,MATCH($A$1,'DB Country PMI'!$A$1:$W$1,),)=0,#N/A,VLOOKUP(A104,'DB Country PMI'!$A:$W,MATCH($A$1,'DB Country PMI'!$A$1:$W$1,),))</f>
        <v/>
      </c>
      <c r="C104" s="14">
        <f>Table134681134567[[#This Row],[PMI]]-B103</f>
        <v/>
      </c>
    </row>
    <row r="105">
      <c r="A105" s="8" t="n">
        <v>43466</v>
      </c>
      <c r="B105" s="11">
        <f>IF(VLOOKUP(A105,'DB Country PMI'!$A:$W,MATCH($A$1,'DB Country PMI'!$A$1:$W$1,),)=0,#N/A,VLOOKUP(A105,'DB Country PMI'!$A:$W,MATCH($A$1,'DB Country PMI'!$A$1:$W$1,),))</f>
        <v/>
      </c>
      <c r="C105" s="14">
        <f>Table134681134567[[#This Row],[PMI]]-B104</f>
        <v/>
      </c>
    </row>
    <row r="106">
      <c r="A106" s="8" t="n">
        <v>43497</v>
      </c>
      <c r="B106" s="11">
        <f>IF(VLOOKUP(A106,'DB Country PMI'!$A:$W,MATCH($A$1,'DB Country PMI'!$A$1:$W$1,),)=0,#N/A,VLOOKUP(A106,'DB Country PMI'!$A:$W,MATCH($A$1,'DB Country PMI'!$A$1:$W$1,),))</f>
        <v/>
      </c>
      <c r="C106" s="14">
        <f>Table134681134567[[#This Row],[PMI]]-B105</f>
        <v/>
      </c>
    </row>
    <row r="107">
      <c r="A107" s="8" t="n">
        <v>43525</v>
      </c>
      <c r="B107" s="11">
        <f>IF(VLOOKUP(A107,'DB Country PMI'!$A:$W,MATCH($A$1,'DB Country PMI'!$A$1:$W$1,),)=0,#N/A,VLOOKUP(A107,'DB Country PMI'!$A:$W,MATCH($A$1,'DB Country PMI'!$A$1:$W$1,),))</f>
        <v/>
      </c>
      <c r="C107" s="14">
        <f>Table134681134567[[#This Row],[PMI]]-B106</f>
        <v/>
      </c>
    </row>
    <row r="108">
      <c r="A108" s="8" t="n">
        <v>43556</v>
      </c>
      <c r="B108" s="11">
        <f>IF(VLOOKUP(A108,'DB Country PMI'!$A:$W,MATCH($A$1,'DB Country PMI'!$A$1:$W$1,),)=0,#N/A,VLOOKUP(A108,'DB Country PMI'!$A:$W,MATCH($A$1,'DB Country PMI'!$A$1:$W$1,),))</f>
        <v/>
      </c>
      <c r="C108" s="14">
        <f>Table134681134567[[#This Row],[PMI]]-B107</f>
        <v/>
      </c>
    </row>
    <row r="109">
      <c r="A109" s="8" t="n">
        <v>43586</v>
      </c>
      <c r="B109" s="11">
        <f>IF(VLOOKUP(A109,'DB Country PMI'!$A:$W,MATCH($A$1,'DB Country PMI'!$A$1:$W$1,),)=0,#N/A,VLOOKUP(A109,'DB Country PMI'!$A:$W,MATCH($A$1,'DB Country PMI'!$A$1:$W$1,),))</f>
        <v/>
      </c>
      <c r="C109" s="14">
        <f>Table134681134567[[#This Row],[PMI]]-B108</f>
        <v/>
      </c>
    </row>
    <row r="110">
      <c r="A110" s="8" t="n">
        <v>43617</v>
      </c>
      <c r="B110" s="11">
        <f>IF(VLOOKUP(A110,'DB Country PMI'!$A:$W,MATCH($A$1,'DB Country PMI'!$A$1:$W$1,),)=0,#N/A,VLOOKUP(A110,'DB Country PMI'!$A:$W,MATCH($A$1,'DB Country PMI'!$A$1:$W$1,),))</f>
        <v/>
      </c>
      <c r="C110" s="14">
        <f>Table134681134567[[#This Row],[PMI]]-B109</f>
        <v/>
      </c>
    </row>
    <row r="111">
      <c r="A111" s="8" t="n">
        <v>43647</v>
      </c>
      <c r="B111" s="11">
        <f>IF(VLOOKUP(A111,'DB Country PMI'!$A:$W,MATCH($A$1,'DB Country PMI'!$A$1:$W$1,),)=0,#N/A,VLOOKUP(A111,'DB Country PMI'!$A:$W,MATCH($A$1,'DB Country PMI'!$A$1:$W$1,),))</f>
        <v/>
      </c>
      <c r="C111" s="14">
        <f>Table134681134567[[#This Row],[PMI]]-B110</f>
        <v/>
      </c>
    </row>
    <row r="112">
      <c r="A112" s="8" t="n">
        <v>43678</v>
      </c>
      <c r="B112" s="11">
        <f>IF(VLOOKUP(A112,'DB Country PMI'!$A:$W,MATCH($A$1,'DB Country PMI'!$A$1:$W$1,),)=0,#N/A,VLOOKUP(A112,'DB Country PMI'!$A:$W,MATCH($A$1,'DB Country PMI'!$A$1:$W$1,),))</f>
        <v/>
      </c>
      <c r="C112" s="14">
        <f>Table134681134567[[#This Row],[PMI]]-B111</f>
        <v/>
      </c>
    </row>
    <row r="113">
      <c r="A113" s="8" t="n">
        <v>43709</v>
      </c>
      <c r="B113" s="11">
        <f>IF(VLOOKUP(A113,'DB Country PMI'!$A:$W,MATCH($A$1,'DB Country PMI'!$A$1:$W$1,),)=0,#N/A,VLOOKUP(A113,'DB Country PMI'!$A:$W,MATCH($A$1,'DB Country PMI'!$A$1:$W$1,),))</f>
        <v/>
      </c>
      <c r="C113" s="14">
        <f>Table134681134567[[#This Row],[PMI]]-B112</f>
        <v/>
      </c>
    </row>
    <row r="114">
      <c r="A114" s="8" t="n">
        <v>43739</v>
      </c>
      <c r="B114" s="11">
        <f>IF(VLOOKUP(A114,'DB Country PMI'!$A:$W,MATCH($A$1,'DB Country PMI'!$A$1:$W$1,),)=0,#N/A,VLOOKUP(A114,'DB Country PMI'!$A:$W,MATCH($A$1,'DB Country PMI'!$A$1:$W$1,),))</f>
        <v/>
      </c>
      <c r="C114" s="14">
        <f>Table134681134567[[#This Row],[PMI]]-B113</f>
        <v/>
      </c>
    </row>
    <row r="115">
      <c r="A115" s="8" t="n">
        <v>43770</v>
      </c>
      <c r="B115" s="11">
        <f>IF(VLOOKUP(A115,'DB Country PMI'!$A:$W,MATCH($A$1,'DB Country PMI'!$A$1:$W$1,),)=0,#N/A,VLOOKUP(A115,'DB Country PMI'!$A:$W,MATCH($A$1,'DB Country PMI'!$A$1:$W$1,),))</f>
        <v/>
      </c>
      <c r="C115" s="14">
        <f>Table134681134567[[#This Row],[PMI]]-B114</f>
        <v/>
      </c>
    </row>
    <row r="116">
      <c r="A116" s="8" t="n">
        <v>43800</v>
      </c>
      <c r="B116" s="11">
        <f>IF(VLOOKUP(A116,'DB Country PMI'!$A:$W,MATCH($A$1,'DB Country PMI'!$A$1:$W$1,),)=0,#N/A,VLOOKUP(A116,'DB Country PMI'!$A:$W,MATCH($A$1,'DB Country PMI'!$A$1:$W$1,),))</f>
        <v/>
      </c>
      <c r="C116" s="14">
        <f>Table134681134567[[#This Row],[PMI]]-B115</f>
        <v/>
      </c>
    </row>
    <row r="117">
      <c r="A117" s="8" t="n">
        <v>43831</v>
      </c>
      <c r="B117" s="11">
        <f>IF(VLOOKUP(A117,'DB Country PMI'!$A:$W,MATCH($A$1,'DB Country PMI'!$A$1:$W$1,),)=0,#N/A,VLOOKUP(A117,'DB Country PMI'!$A:$W,MATCH($A$1,'DB Country PMI'!$A$1:$W$1,),))</f>
        <v/>
      </c>
      <c r="C117" s="14">
        <f>Table134681134567[[#This Row],[PMI]]-B116</f>
        <v/>
      </c>
    </row>
    <row r="118">
      <c r="A118" s="8" t="n">
        <v>43862</v>
      </c>
      <c r="B118" s="11">
        <f>IF(VLOOKUP(A118,'DB Country PMI'!$A:$W,MATCH($A$1,'DB Country PMI'!$A$1:$W$1,),)=0,#N/A,VLOOKUP(A118,'DB Country PMI'!$A:$W,MATCH($A$1,'DB Country PMI'!$A$1:$W$1,),))</f>
        <v/>
      </c>
      <c r="C118" s="14">
        <f>Table134681134567[[#This Row],[PMI]]-B117</f>
        <v/>
      </c>
    </row>
    <row r="119">
      <c r="A119" s="8" t="n">
        <v>43891</v>
      </c>
      <c r="B119" s="11">
        <f>IF(VLOOKUP(A119,'DB Country PMI'!$A:$W,MATCH($A$1,'DB Country PMI'!$A$1:$W$1,),)=0,#N/A,VLOOKUP(A119,'DB Country PMI'!$A:$W,MATCH($A$1,'DB Country PMI'!$A$1:$W$1,),))</f>
        <v/>
      </c>
      <c r="C119" s="14">
        <f>Table134681134567[[#This Row],[PMI]]-B118</f>
        <v/>
      </c>
    </row>
    <row r="120">
      <c r="A120" s="8" t="n">
        <v>43922</v>
      </c>
      <c r="B120" s="11">
        <f>IF(VLOOKUP(A120,'DB Country PMI'!$A:$W,MATCH($A$1,'DB Country PMI'!$A$1:$W$1,),)=0,#N/A,VLOOKUP(A120,'DB Country PMI'!$A:$W,MATCH($A$1,'DB Country PMI'!$A$1:$W$1,),))</f>
        <v/>
      </c>
      <c r="C120" s="14">
        <f>Table134681134567[[#This Row],[PMI]]-B119</f>
        <v/>
      </c>
    </row>
    <row r="121">
      <c r="A121" s="8" t="n">
        <v>43952</v>
      </c>
      <c r="B121" s="11">
        <f>IF(VLOOKUP(A121,'DB Country PMI'!$A:$W,MATCH($A$1,'DB Country PMI'!$A$1:$W$1,),)=0,#N/A,VLOOKUP(A121,'DB Country PMI'!$A:$W,MATCH($A$1,'DB Country PMI'!$A$1:$W$1,),))</f>
        <v/>
      </c>
      <c r="C121" s="14">
        <f>Table134681134567[[#This Row],[PMI]]-B120</f>
        <v/>
      </c>
    </row>
    <row r="122">
      <c r="A122" s="8" t="n">
        <v>43983</v>
      </c>
      <c r="B122" s="11">
        <f>IF(VLOOKUP(A122,'DB Country PMI'!$A:$W,MATCH($A$1,'DB Country PMI'!$A$1:$W$1,),)=0,#N/A,VLOOKUP(A122,'DB Country PMI'!$A:$W,MATCH($A$1,'DB Country PMI'!$A$1:$W$1,),))</f>
        <v/>
      </c>
      <c r="C122" s="14">
        <f>Table134681134567[[#This Row],[PMI]]-B121</f>
        <v/>
      </c>
    </row>
    <row r="123">
      <c r="A123" s="8" t="n">
        <v>44013</v>
      </c>
      <c r="B123" s="11">
        <f>IF(VLOOKUP(A123,'DB Country PMI'!$A:$W,MATCH($A$1,'DB Country PMI'!$A$1:$W$1,),)=0,#N/A,VLOOKUP(A123,'DB Country PMI'!$A:$W,MATCH($A$1,'DB Country PMI'!$A$1:$W$1,),))</f>
        <v/>
      </c>
      <c r="C123" s="14">
        <f>Table134681134567[[#This Row],[PMI]]-B122</f>
        <v/>
      </c>
    </row>
    <row r="124">
      <c r="A124" s="8" t="n">
        <v>44044</v>
      </c>
      <c r="B124" s="11">
        <f>IF(VLOOKUP(A124,'DB Country PMI'!$A:$W,MATCH($A$1,'DB Country PMI'!$A$1:$W$1,),)=0,#N/A,VLOOKUP(A124,'DB Country PMI'!$A:$W,MATCH($A$1,'DB Country PMI'!$A$1:$W$1,),))</f>
        <v/>
      </c>
      <c r="C124" s="14">
        <f>Table134681134567[[#This Row],[PMI]]-B123</f>
        <v/>
      </c>
    </row>
    <row r="125">
      <c r="A125" s="8" t="n">
        <v>44075</v>
      </c>
      <c r="B125" s="11">
        <f>IF(VLOOKUP(A125,'DB Country PMI'!$A:$W,MATCH($A$1,'DB Country PMI'!$A$1:$W$1,),)=0,#N/A,VLOOKUP(A125,'DB Country PMI'!$A:$W,MATCH($A$1,'DB Country PMI'!$A$1:$W$1,),))</f>
        <v/>
      </c>
      <c r="C125" s="14">
        <f>Table134681134567[[#This Row],[PMI]]-B124</f>
        <v/>
      </c>
    </row>
    <row r="126">
      <c r="A126" s="8" t="n">
        <v>44105</v>
      </c>
      <c r="B126" s="11">
        <f>IF(VLOOKUP(A126,'DB Country PMI'!$A:$W,MATCH($A$1,'DB Country PMI'!$A$1:$W$1,),)=0,#N/A,VLOOKUP(A126,'DB Country PMI'!$A:$W,MATCH($A$1,'DB Country PMI'!$A$1:$W$1,),))</f>
        <v/>
      </c>
      <c r="C126" s="14">
        <f>Table134681134567[[#This Row],[PMI]]-B125</f>
        <v/>
      </c>
    </row>
    <row r="127">
      <c r="A127" s="8" t="n">
        <v>44136</v>
      </c>
      <c r="B127" s="11">
        <f>IF(VLOOKUP(A127,'DB Country PMI'!$A:$W,MATCH($A$1,'DB Country PMI'!$A$1:$W$1,),)=0,#N/A,VLOOKUP(A127,'DB Country PMI'!$A:$W,MATCH($A$1,'DB Country PMI'!$A$1:$W$1,),))</f>
        <v/>
      </c>
      <c r="C127" s="14">
        <f>Table134681134567[[#This Row],[PMI]]-B126</f>
        <v/>
      </c>
    </row>
    <row r="128">
      <c r="A128" s="8" t="n">
        <v>44166</v>
      </c>
      <c r="B128" s="11">
        <f>IF(VLOOKUP(A128,'DB Country PMI'!$A:$W,MATCH($A$1,'DB Country PMI'!$A$1:$W$1,),)=0,#N/A,VLOOKUP(A128,'DB Country PMI'!$A:$W,MATCH($A$1,'DB Country PMI'!$A$1:$W$1,),))</f>
        <v/>
      </c>
      <c r="C128" s="14">
        <f>Table134681134567[[#This Row],[PMI]]-B127</f>
        <v/>
      </c>
    </row>
    <row r="129">
      <c r="A129" s="8" t="n">
        <v>44197</v>
      </c>
      <c r="B129" s="11">
        <f>IF(VLOOKUP(A129,'DB Country PMI'!$A:$W,MATCH($A$1,'DB Country PMI'!$A$1:$W$1,),)=0,#N/A,VLOOKUP(A129,'DB Country PMI'!$A:$W,MATCH($A$1,'DB Country PMI'!$A$1:$W$1,),))</f>
        <v/>
      </c>
      <c r="C129" s="14">
        <f>Table134681134567[[#This Row],[PMI]]-B128</f>
        <v/>
      </c>
    </row>
    <row r="130">
      <c r="A130" s="8" t="n">
        <v>44228</v>
      </c>
      <c r="B130" s="11">
        <f>IF(VLOOKUP(A130,'DB Country PMI'!$A:$W,MATCH($A$1,'DB Country PMI'!$A$1:$W$1,),)=0,#N/A,VLOOKUP(A130,'DB Country PMI'!$A:$W,MATCH($A$1,'DB Country PMI'!$A$1:$W$1,),))</f>
        <v/>
      </c>
      <c r="C130" s="14">
        <f>Table134681134567[[#This Row],[PMI]]-B129</f>
        <v/>
      </c>
    </row>
    <row r="131">
      <c r="A131" s="8" t="n">
        <v>44256</v>
      </c>
      <c r="B131" s="11">
        <f>IF(VLOOKUP(A131,'DB Country PMI'!$A:$W,MATCH($A$1,'DB Country PMI'!$A$1:$W$1,),)=0,#N/A,VLOOKUP(A131,'DB Country PMI'!$A:$W,MATCH($A$1,'DB Country PMI'!$A$1:$W$1,),))</f>
        <v/>
      </c>
      <c r="C131" s="14">
        <f>Table134681134567[[#This Row],[PMI]]-B130</f>
        <v/>
      </c>
    </row>
    <row r="132">
      <c r="A132" s="8" t="n">
        <v>44287</v>
      </c>
      <c r="B132" s="11">
        <f>IF(VLOOKUP(A132,'DB Country PMI'!$A:$W,MATCH($A$1,'DB Country PMI'!$A$1:$W$1,),)=0,#N/A,VLOOKUP(A132,'DB Country PMI'!$A:$W,MATCH($A$1,'DB Country PMI'!$A$1:$W$1,),))</f>
        <v/>
      </c>
      <c r="C132" s="14">
        <f>Table134681134567[[#This Row],[PMI]]-B131</f>
        <v/>
      </c>
    </row>
    <row r="133">
      <c r="A133" s="8" t="n">
        <v>44317</v>
      </c>
      <c r="B133" s="11">
        <f>IF(VLOOKUP(A133,'DB Country PMI'!$A:$W,MATCH($A$1,'DB Country PMI'!$A$1:$W$1,),)=0,#N/A,VLOOKUP(A133,'DB Country PMI'!$A:$W,MATCH($A$1,'DB Country PMI'!$A$1:$W$1,),))</f>
        <v/>
      </c>
      <c r="C133" s="14">
        <f>Table134681134567[[#This Row],[PMI]]-B132</f>
        <v/>
      </c>
    </row>
    <row r="134">
      <c r="A134" s="8" t="n">
        <v>44348</v>
      </c>
      <c r="B134" s="11">
        <f>IF(VLOOKUP(A134,'DB Country PMI'!$A:$W,MATCH($A$1,'DB Country PMI'!$A$1:$W$1,),)=0,#N/A,VLOOKUP(A134,'DB Country PMI'!$A:$W,MATCH($A$1,'DB Country PMI'!$A$1:$W$1,),))</f>
        <v/>
      </c>
      <c r="C134" s="14">
        <f>Table134681134567[[#This Row],[PMI]]-B133</f>
        <v/>
      </c>
    </row>
    <row r="135">
      <c r="A135" s="8" t="n">
        <v>44378</v>
      </c>
      <c r="B135" s="11">
        <f>IF(VLOOKUP(A135,'DB Country PMI'!$A:$W,MATCH($A$1,'DB Country PMI'!$A$1:$W$1,),)=0,#N/A,VLOOKUP(A135,'DB Country PMI'!$A:$W,MATCH($A$1,'DB Country PMI'!$A$1:$W$1,),))</f>
        <v/>
      </c>
      <c r="C135" s="14">
        <f>Table134681134567[[#This Row],[PMI]]-B134</f>
        <v/>
      </c>
    </row>
    <row r="136">
      <c r="A136" s="8" t="n">
        <v>44409</v>
      </c>
      <c r="B136" s="11">
        <f>IF(VLOOKUP(A136,'DB Country PMI'!$A:$W,MATCH($A$1,'DB Country PMI'!$A$1:$W$1,),)=0,#N/A,VLOOKUP(A136,'DB Country PMI'!$A:$W,MATCH($A$1,'DB Country PMI'!$A$1:$W$1,),))</f>
        <v/>
      </c>
      <c r="C136" s="14">
        <f>Table134681134567[[#This Row],[PMI]]-B135</f>
        <v/>
      </c>
    </row>
    <row r="137">
      <c r="A137" s="8" t="n">
        <v>44440</v>
      </c>
      <c r="B137" s="11">
        <f>IF(VLOOKUP(A137,'DB Country PMI'!$A:$W,MATCH($A$1,'DB Country PMI'!$A$1:$W$1,),)=0,#N/A,VLOOKUP(A137,'DB Country PMI'!$A:$W,MATCH($A$1,'DB Country PMI'!$A$1:$W$1,),))</f>
        <v/>
      </c>
      <c r="C137" s="14">
        <f>Table134681134567[[#This Row],[PMI]]-B136</f>
        <v/>
      </c>
    </row>
    <row r="138">
      <c r="A138" s="8" t="n">
        <v>44470</v>
      </c>
      <c r="B138" s="11">
        <f>IF(VLOOKUP(A138,'DB Country PMI'!$A:$W,MATCH($A$1,'DB Country PMI'!$A$1:$W$1,),)=0,#N/A,VLOOKUP(A138,'DB Country PMI'!$A:$W,MATCH($A$1,'DB Country PMI'!$A$1:$W$1,),))</f>
        <v/>
      </c>
      <c r="C138" s="14">
        <f>Table134681134567[[#This Row],[PMI]]-B137</f>
        <v/>
      </c>
    </row>
    <row r="139">
      <c r="A139" s="8" t="n">
        <v>44501</v>
      </c>
      <c r="B139" s="11">
        <f>IF(VLOOKUP(A139,'DB Country PMI'!$A:$W,MATCH($A$1,'DB Country PMI'!$A$1:$W$1,),)=0,#N/A,VLOOKUP(A139,'DB Country PMI'!$A:$W,MATCH($A$1,'DB Country PMI'!$A$1:$W$1,),))</f>
        <v/>
      </c>
      <c r="C139" s="14">
        <f>Table134681134567[[#This Row],[PMI]]-B138</f>
        <v/>
      </c>
    </row>
    <row r="140">
      <c r="A140" s="8" t="n">
        <v>44531</v>
      </c>
      <c r="B140" s="11">
        <f>IF(VLOOKUP(A140,'DB Country PMI'!$A:$W,MATCH($A$1,'DB Country PMI'!$A$1:$W$1,),)=0,#N/A,VLOOKUP(A140,'DB Country PMI'!$A:$W,MATCH($A$1,'DB Country PMI'!$A$1:$W$1,),))</f>
        <v/>
      </c>
      <c r="C140" s="14">
        <f>Table134681134567[[#This Row],[PMI]]-B139</f>
        <v/>
      </c>
    </row>
    <row r="141">
      <c r="A141" s="8" t="n">
        <v>44562</v>
      </c>
      <c r="B141" s="11">
        <f>IF(VLOOKUP(A141,'DB Country PMI'!$A:$W,MATCH($A$1,'DB Country PMI'!$A$1:$W$1,),)=0,#N/A,VLOOKUP(A141,'DB Country PMI'!$A:$W,MATCH($A$1,'DB Country PMI'!$A$1:$W$1,),))</f>
        <v/>
      </c>
      <c r="C141" s="14">
        <f>Table134681134567[[#This Row],[PMI]]-B140</f>
        <v/>
      </c>
    </row>
    <row r="142">
      <c r="A142" s="8" t="n">
        <v>44593</v>
      </c>
      <c r="B142" s="11">
        <f>IF(VLOOKUP(A142,'DB Country PMI'!$A:$W,MATCH($A$1,'DB Country PMI'!$A$1:$W$1,),)=0,#N/A,VLOOKUP(A142,'DB Country PMI'!$A:$W,MATCH($A$1,'DB Country PMI'!$A$1:$W$1,),))</f>
        <v/>
      </c>
      <c r="C142" s="14">
        <f>Table134681134567[[#This Row],[PMI]]-B141</f>
        <v/>
      </c>
    </row>
    <row r="143">
      <c r="A143" s="8" t="n">
        <v>44621</v>
      </c>
      <c r="B143" s="11">
        <f>IF(VLOOKUP(A143,'DB Country PMI'!$A:$W,MATCH($A$1,'DB Country PMI'!$A$1:$W$1,),)=0,#N/A,VLOOKUP(A143,'DB Country PMI'!$A:$W,MATCH($A$1,'DB Country PMI'!$A$1:$W$1,),))</f>
        <v/>
      </c>
      <c r="C143" s="14">
        <f>Table134681134567[[#This Row],[PMI]]-B142</f>
        <v/>
      </c>
    </row>
  </sheetData>
  <conditionalFormatting sqref="C7:C143">
    <cfRule type="colorScale" priority="1">
      <colorScale>
        <cfvo type="min"/>
        <cfvo type="percentile" val="50"/>
        <cfvo type="max"/>
        <color rgb="FFF8696B"/>
        <color rgb="FFFCFCFF"/>
        <color rgb="FF5A8AC6"/>
      </colorScale>
    </cfRule>
  </conditionalFormatting>
  <conditionalFormatting sqref="B6:B143">
    <cfRule type="colorScale" priority="49">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2.xml><?xml version="1.0" encoding="utf-8"?>
<worksheet xmlns="http://schemas.openxmlformats.org/spreadsheetml/2006/main">
  <sheetPr>
    <outlinePr summaryBelow="1" summaryRight="1"/>
    <pageSetUpPr/>
  </sheetPr>
  <dimension ref="A1:J143"/>
  <sheetViews>
    <sheetView zoomScale="150" zoomScaleNormal="150" workbookViewId="0">
      <pane ySplit="5" topLeftCell="A120" activePane="bottomLeft" state="frozen"/>
      <selection pane="bottomLeft" activeCell="A139" sqref="A139:C143"/>
    </sheetView>
  </sheetViews>
  <sheetFormatPr baseColWidth="10" defaultColWidth="9.1640625" defaultRowHeight="15"/>
  <cols>
    <col width="13.5" customWidth="1" style="60" min="1" max="1"/>
    <col width="11.33203125" customWidth="1" style="60" min="2" max="2"/>
    <col width="9.1640625" customWidth="1" style="60" min="3" max="7"/>
    <col width="9.1640625" customWidth="1" style="60" min="8" max="16384"/>
  </cols>
  <sheetData>
    <row r="1">
      <c r="A1" s="60" t="inlineStr">
        <is>
          <t>Australia</t>
        </is>
      </c>
      <c r="J1" s="60" t="inlineStr">
        <is>
          <t xml:space="preserve"> Services PMI</t>
        </is>
      </c>
    </row>
    <row r="2">
      <c r="J2" s="60" t="inlineStr">
        <is>
          <t>Australia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Table13468113456716[[#This Row],[PMI]]-B6</f>
        <v/>
      </c>
    </row>
    <row r="8">
      <c r="A8" s="8" t="n">
        <v>40513</v>
      </c>
      <c r="B8" s="11">
        <f>IF(VLOOKUP(A8,'DB Country PMI'!$A:$W,MATCH($A$1,'DB Country PMI'!$A$1:$W$1,),)=0,#N/A,VLOOKUP(A8,'DB Country PMI'!$A:$W,MATCH($A$1,'DB Country PMI'!$A$1:$W$1,),))</f>
        <v/>
      </c>
      <c r="C8" s="14">
        <f>Table13468113456716[[#This Row],[PMI]]-B7</f>
        <v/>
      </c>
    </row>
    <row r="9">
      <c r="A9" s="8" t="n">
        <v>40544</v>
      </c>
      <c r="B9" s="11">
        <f>IF(VLOOKUP(A9,'DB Country PMI'!$A:$W,MATCH($A$1,'DB Country PMI'!$A$1:$W$1,),)=0,#N/A,VLOOKUP(A9,'DB Country PMI'!$A:$W,MATCH($A$1,'DB Country PMI'!$A$1:$W$1,),))</f>
        <v/>
      </c>
      <c r="C9" s="14">
        <f>Table13468113456716[[#This Row],[PMI]]-B8</f>
        <v/>
      </c>
    </row>
    <row r="10">
      <c r="A10" s="8" t="n">
        <v>40575</v>
      </c>
      <c r="B10" s="11">
        <f>IF(VLOOKUP(A10,'DB Country PMI'!$A:$W,MATCH($A$1,'DB Country PMI'!$A$1:$W$1,),)=0,#N/A,VLOOKUP(A10,'DB Country PMI'!$A:$W,MATCH($A$1,'DB Country PMI'!$A$1:$W$1,),))</f>
        <v/>
      </c>
      <c r="C10" s="14">
        <f>Table13468113456716[[#This Row],[PMI]]-B9</f>
        <v/>
      </c>
    </row>
    <row r="11">
      <c r="A11" s="8" t="n">
        <v>40603</v>
      </c>
      <c r="B11" s="11">
        <f>IF(VLOOKUP(A11,'DB Country PMI'!$A:$W,MATCH($A$1,'DB Country PMI'!$A$1:$W$1,),)=0,#N/A,VLOOKUP(A11,'DB Country PMI'!$A:$W,MATCH($A$1,'DB Country PMI'!$A$1:$W$1,),))</f>
        <v/>
      </c>
      <c r="C11" s="14">
        <f>Table13468113456716[[#This Row],[PMI]]-B10</f>
        <v/>
      </c>
    </row>
    <row r="12">
      <c r="A12" s="8" t="n">
        <v>40634</v>
      </c>
      <c r="B12" s="11">
        <f>IF(VLOOKUP(A12,'DB Country PMI'!$A:$W,MATCH($A$1,'DB Country PMI'!$A$1:$W$1,),)=0,#N/A,VLOOKUP(A12,'DB Country PMI'!$A:$W,MATCH($A$1,'DB Country PMI'!$A$1:$W$1,),))</f>
        <v/>
      </c>
      <c r="C12" s="14">
        <f>Table13468113456716[[#This Row],[PMI]]-B11</f>
        <v/>
      </c>
    </row>
    <row r="13">
      <c r="A13" s="8" t="n">
        <v>40664</v>
      </c>
      <c r="B13" s="11">
        <f>IF(VLOOKUP(A13,'DB Country PMI'!$A:$W,MATCH($A$1,'DB Country PMI'!$A$1:$W$1,),)=0,#N/A,VLOOKUP(A13,'DB Country PMI'!$A:$W,MATCH($A$1,'DB Country PMI'!$A$1:$W$1,),))</f>
        <v/>
      </c>
      <c r="C13" s="14">
        <f>Table13468113456716[[#This Row],[PMI]]-B12</f>
        <v/>
      </c>
    </row>
    <row r="14">
      <c r="A14" s="8" t="n">
        <v>40695</v>
      </c>
      <c r="B14" s="11">
        <f>IF(VLOOKUP(A14,'DB Country PMI'!$A:$W,MATCH($A$1,'DB Country PMI'!$A$1:$W$1,),)=0,#N/A,VLOOKUP(A14,'DB Country PMI'!$A:$W,MATCH($A$1,'DB Country PMI'!$A$1:$W$1,),))</f>
        <v/>
      </c>
      <c r="C14" s="14">
        <f>Table13468113456716[[#This Row],[PMI]]-B13</f>
        <v/>
      </c>
    </row>
    <row r="15">
      <c r="A15" s="8" t="n">
        <v>40725</v>
      </c>
      <c r="B15" s="11">
        <f>IF(VLOOKUP(A15,'DB Country PMI'!$A:$W,MATCH($A$1,'DB Country PMI'!$A$1:$W$1,),)=0,#N/A,VLOOKUP(A15,'DB Country PMI'!$A:$W,MATCH($A$1,'DB Country PMI'!$A$1:$W$1,),))</f>
        <v/>
      </c>
      <c r="C15" s="14">
        <f>Table13468113456716[[#This Row],[PMI]]-B14</f>
        <v/>
      </c>
    </row>
    <row r="16">
      <c r="A16" s="8" t="n">
        <v>40756</v>
      </c>
      <c r="B16" s="11">
        <f>IF(VLOOKUP(A16,'DB Country PMI'!$A:$W,MATCH($A$1,'DB Country PMI'!$A$1:$W$1,),)=0,#N/A,VLOOKUP(A16,'DB Country PMI'!$A:$W,MATCH($A$1,'DB Country PMI'!$A$1:$W$1,),))</f>
        <v/>
      </c>
      <c r="C16" s="14">
        <f>Table13468113456716[[#This Row],[PMI]]-B15</f>
        <v/>
      </c>
    </row>
    <row r="17">
      <c r="A17" s="8" t="n">
        <v>40787</v>
      </c>
      <c r="B17" s="11">
        <f>IF(VLOOKUP(A17,'DB Country PMI'!$A:$W,MATCH($A$1,'DB Country PMI'!$A$1:$W$1,),)=0,#N/A,VLOOKUP(A17,'DB Country PMI'!$A:$W,MATCH($A$1,'DB Country PMI'!$A$1:$W$1,),))</f>
        <v/>
      </c>
      <c r="C17" s="14">
        <f>Table13468113456716[[#This Row],[PMI]]-B16</f>
        <v/>
      </c>
    </row>
    <row r="18">
      <c r="A18" s="8" t="n">
        <v>40817</v>
      </c>
      <c r="B18" s="11">
        <f>IF(VLOOKUP(A18,'DB Country PMI'!$A:$W,MATCH($A$1,'DB Country PMI'!$A$1:$W$1,),)=0,#N/A,VLOOKUP(A18,'DB Country PMI'!$A:$W,MATCH($A$1,'DB Country PMI'!$A$1:$W$1,),))</f>
        <v/>
      </c>
      <c r="C18" s="14">
        <f>Table13468113456716[[#This Row],[PMI]]-B17</f>
        <v/>
      </c>
    </row>
    <row r="19">
      <c r="A19" s="8" t="n">
        <v>40848</v>
      </c>
      <c r="B19" s="11">
        <f>IF(VLOOKUP(A19,'DB Country PMI'!$A:$W,MATCH($A$1,'DB Country PMI'!$A$1:$W$1,),)=0,#N/A,VLOOKUP(A19,'DB Country PMI'!$A:$W,MATCH($A$1,'DB Country PMI'!$A$1:$W$1,),))</f>
        <v/>
      </c>
      <c r="C19" s="14">
        <f>Table13468113456716[[#This Row],[PMI]]-B18</f>
        <v/>
      </c>
    </row>
    <row r="20">
      <c r="A20" s="8" t="n">
        <v>40878</v>
      </c>
      <c r="B20" s="11">
        <f>IF(VLOOKUP(A20,'DB Country PMI'!$A:$W,MATCH($A$1,'DB Country PMI'!$A$1:$W$1,),)=0,#N/A,VLOOKUP(A20,'DB Country PMI'!$A:$W,MATCH($A$1,'DB Country PMI'!$A$1:$W$1,),))</f>
        <v/>
      </c>
      <c r="C20" s="14">
        <f>Table13468113456716[[#This Row],[PMI]]-B19</f>
        <v/>
      </c>
    </row>
    <row r="21">
      <c r="A21" s="8" t="n">
        <v>40909</v>
      </c>
      <c r="B21" s="11">
        <f>IF(VLOOKUP(A21,'DB Country PMI'!$A:$W,MATCH($A$1,'DB Country PMI'!$A$1:$W$1,),)=0,#N/A,VLOOKUP(A21,'DB Country PMI'!$A:$W,MATCH($A$1,'DB Country PMI'!$A$1:$W$1,),))</f>
        <v/>
      </c>
      <c r="C21" s="14">
        <f>Table13468113456716[[#This Row],[PMI]]-B20</f>
        <v/>
      </c>
    </row>
    <row r="22">
      <c r="A22" s="8" t="n">
        <v>40940</v>
      </c>
      <c r="B22" s="11">
        <f>IF(VLOOKUP(A22,'DB Country PMI'!$A:$W,MATCH($A$1,'DB Country PMI'!$A$1:$W$1,),)=0,#N/A,VLOOKUP(A22,'DB Country PMI'!$A:$W,MATCH($A$1,'DB Country PMI'!$A$1:$W$1,),))</f>
        <v/>
      </c>
      <c r="C22" s="14">
        <f>Table13468113456716[[#This Row],[PMI]]-B21</f>
        <v/>
      </c>
    </row>
    <row r="23">
      <c r="A23" s="8" t="n">
        <v>40969</v>
      </c>
      <c r="B23" s="11">
        <f>IF(VLOOKUP(A23,'DB Country PMI'!$A:$W,MATCH($A$1,'DB Country PMI'!$A$1:$W$1,),)=0,#N/A,VLOOKUP(A23,'DB Country PMI'!$A:$W,MATCH($A$1,'DB Country PMI'!$A$1:$W$1,),))</f>
        <v/>
      </c>
      <c r="C23" s="14">
        <f>Table13468113456716[[#This Row],[PMI]]-B22</f>
        <v/>
      </c>
    </row>
    <row r="24">
      <c r="A24" s="8" t="n">
        <v>41000</v>
      </c>
      <c r="B24" s="11">
        <f>IF(VLOOKUP(A24,'DB Country PMI'!$A:$W,MATCH($A$1,'DB Country PMI'!$A$1:$W$1,),)=0,#N/A,VLOOKUP(A24,'DB Country PMI'!$A:$W,MATCH($A$1,'DB Country PMI'!$A$1:$W$1,),))</f>
        <v/>
      </c>
      <c r="C24" s="14">
        <f>Table13468113456716[[#This Row],[PMI]]-B23</f>
        <v/>
      </c>
    </row>
    <row r="25">
      <c r="A25" s="8" t="n">
        <v>41030</v>
      </c>
      <c r="B25" s="11">
        <f>IF(VLOOKUP(A25,'DB Country PMI'!$A:$W,MATCH($A$1,'DB Country PMI'!$A$1:$W$1,),)=0,#N/A,VLOOKUP(A25,'DB Country PMI'!$A:$W,MATCH($A$1,'DB Country PMI'!$A$1:$W$1,),))</f>
        <v/>
      </c>
      <c r="C25" s="14">
        <f>Table13468113456716[[#This Row],[PMI]]-B24</f>
        <v/>
      </c>
    </row>
    <row r="26">
      <c r="A26" s="8" t="n">
        <v>41061</v>
      </c>
      <c r="B26" s="11">
        <f>IF(VLOOKUP(A26,'DB Country PMI'!$A:$W,MATCH($A$1,'DB Country PMI'!$A$1:$W$1,),)=0,#N/A,VLOOKUP(A26,'DB Country PMI'!$A:$W,MATCH($A$1,'DB Country PMI'!$A$1:$W$1,),))</f>
        <v/>
      </c>
      <c r="C26" s="14">
        <f>Table13468113456716[[#This Row],[PMI]]-B25</f>
        <v/>
      </c>
    </row>
    <row r="27">
      <c r="A27" s="8" t="n">
        <v>41091</v>
      </c>
      <c r="B27" s="11">
        <f>IF(VLOOKUP(A27,'DB Country PMI'!$A:$W,MATCH($A$1,'DB Country PMI'!$A$1:$W$1,),)=0,#N/A,VLOOKUP(A27,'DB Country PMI'!$A:$W,MATCH($A$1,'DB Country PMI'!$A$1:$W$1,),))</f>
        <v/>
      </c>
      <c r="C27" s="14">
        <f>Table13468113456716[[#This Row],[PMI]]-B26</f>
        <v/>
      </c>
    </row>
    <row r="28">
      <c r="A28" s="8" t="n">
        <v>41122</v>
      </c>
      <c r="B28" s="11">
        <f>IF(VLOOKUP(A28,'DB Country PMI'!$A:$W,MATCH($A$1,'DB Country PMI'!$A$1:$W$1,),)=0,#N/A,VLOOKUP(A28,'DB Country PMI'!$A:$W,MATCH($A$1,'DB Country PMI'!$A$1:$W$1,),))</f>
        <v/>
      </c>
      <c r="C28" s="14">
        <f>Table13468113456716[[#This Row],[PMI]]-B27</f>
        <v/>
      </c>
    </row>
    <row r="29">
      <c r="A29" s="8" t="n">
        <v>41153</v>
      </c>
      <c r="B29" s="11">
        <f>IF(VLOOKUP(A29,'DB Country PMI'!$A:$W,MATCH($A$1,'DB Country PMI'!$A$1:$W$1,),)=0,#N/A,VLOOKUP(A29,'DB Country PMI'!$A:$W,MATCH($A$1,'DB Country PMI'!$A$1:$W$1,),))</f>
        <v/>
      </c>
      <c r="C29" s="14">
        <f>Table13468113456716[[#This Row],[PMI]]-B28</f>
        <v/>
      </c>
    </row>
    <row r="30">
      <c r="A30" s="8" t="n">
        <v>41183</v>
      </c>
      <c r="B30" s="11">
        <f>IF(VLOOKUP(A30,'DB Country PMI'!$A:$W,MATCH($A$1,'DB Country PMI'!$A$1:$W$1,),)=0,#N/A,VLOOKUP(A30,'DB Country PMI'!$A:$W,MATCH($A$1,'DB Country PMI'!$A$1:$W$1,),))</f>
        <v/>
      </c>
      <c r="C30" s="14">
        <f>Table13468113456716[[#This Row],[PMI]]-B29</f>
        <v/>
      </c>
    </row>
    <row r="31">
      <c r="A31" s="8" t="n">
        <v>41214</v>
      </c>
      <c r="B31" s="11">
        <f>IF(VLOOKUP(A31,'DB Country PMI'!$A:$W,MATCH($A$1,'DB Country PMI'!$A$1:$W$1,),)=0,#N/A,VLOOKUP(A31,'DB Country PMI'!$A:$W,MATCH($A$1,'DB Country PMI'!$A$1:$W$1,),))</f>
        <v/>
      </c>
      <c r="C31" s="14">
        <f>Table13468113456716[[#This Row],[PMI]]-B30</f>
        <v/>
      </c>
    </row>
    <row r="32">
      <c r="A32" s="8" t="n">
        <v>41244</v>
      </c>
      <c r="B32" s="11">
        <f>IF(VLOOKUP(A32,'DB Country PMI'!$A:$W,MATCH($A$1,'DB Country PMI'!$A$1:$W$1,),)=0,#N/A,VLOOKUP(A32,'DB Country PMI'!$A:$W,MATCH($A$1,'DB Country PMI'!$A$1:$W$1,),))</f>
        <v/>
      </c>
      <c r="C32" s="14">
        <f>Table13468113456716[[#This Row],[PMI]]-B31</f>
        <v/>
      </c>
    </row>
    <row r="33">
      <c r="A33" s="8" t="n">
        <v>41275</v>
      </c>
      <c r="B33" s="11">
        <f>IF(VLOOKUP(A33,'DB Country PMI'!$A:$W,MATCH($A$1,'DB Country PMI'!$A$1:$W$1,),)=0,#N/A,VLOOKUP(A33,'DB Country PMI'!$A:$W,MATCH($A$1,'DB Country PMI'!$A$1:$W$1,),))</f>
        <v/>
      </c>
      <c r="C33" s="14">
        <f>Table13468113456716[[#This Row],[PMI]]-B32</f>
        <v/>
      </c>
    </row>
    <row r="34">
      <c r="A34" s="8" t="n">
        <v>41306</v>
      </c>
      <c r="B34" s="11">
        <f>IF(VLOOKUP(A34,'DB Country PMI'!$A:$W,MATCH($A$1,'DB Country PMI'!$A$1:$W$1,),)=0,#N/A,VLOOKUP(A34,'DB Country PMI'!$A:$W,MATCH($A$1,'DB Country PMI'!$A$1:$W$1,),))</f>
        <v/>
      </c>
      <c r="C34" s="14">
        <f>Table13468113456716[[#This Row],[PMI]]-B33</f>
        <v/>
      </c>
    </row>
    <row r="35">
      <c r="A35" s="8" t="n">
        <v>41334</v>
      </c>
      <c r="B35" s="11">
        <f>IF(VLOOKUP(A35,'DB Country PMI'!$A:$W,MATCH($A$1,'DB Country PMI'!$A$1:$W$1,),)=0,#N/A,VLOOKUP(A35,'DB Country PMI'!$A:$W,MATCH($A$1,'DB Country PMI'!$A$1:$W$1,),))</f>
        <v/>
      </c>
      <c r="C35" s="14">
        <f>Table13468113456716[[#This Row],[PMI]]-B34</f>
        <v/>
      </c>
    </row>
    <row r="36">
      <c r="A36" s="8" t="n">
        <v>41365</v>
      </c>
      <c r="B36" s="11">
        <f>IF(VLOOKUP(A36,'DB Country PMI'!$A:$W,MATCH($A$1,'DB Country PMI'!$A$1:$W$1,),)=0,#N/A,VLOOKUP(A36,'DB Country PMI'!$A:$W,MATCH($A$1,'DB Country PMI'!$A$1:$W$1,),))</f>
        <v/>
      </c>
      <c r="C36" s="14">
        <f>Table13468113456716[[#This Row],[PMI]]-B35</f>
        <v/>
      </c>
    </row>
    <row r="37">
      <c r="A37" s="8" t="n">
        <v>41395</v>
      </c>
      <c r="B37" s="11">
        <f>IF(VLOOKUP(A37,'DB Country PMI'!$A:$W,MATCH($A$1,'DB Country PMI'!$A$1:$W$1,),)=0,#N/A,VLOOKUP(A37,'DB Country PMI'!$A:$W,MATCH($A$1,'DB Country PMI'!$A$1:$W$1,),))</f>
        <v/>
      </c>
      <c r="C37" s="14">
        <f>Table13468113456716[[#This Row],[PMI]]-B36</f>
        <v/>
      </c>
    </row>
    <row r="38">
      <c r="A38" s="8" t="n">
        <v>41426</v>
      </c>
      <c r="B38" s="11">
        <f>IF(VLOOKUP(A38,'DB Country PMI'!$A:$W,MATCH($A$1,'DB Country PMI'!$A$1:$W$1,),)=0,#N/A,VLOOKUP(A38,'DB Country PMI'!$A:$W,MATCH($A$1,'DB Country PMI'!$A$1:$W$1,),))</f>
        <v/>
      </c>
      <c r="C38" s="14">
        <f>Table13468113456716[[#This Row],[PMI]]-B37</f>
        <v/>
      </c>
    </row>
    <row r="39">
      <c r="A39" s="8" t="n">
        <v>41456</v>
      </c>
      <c r="B39" s="11">
        <f>IF(VLOOKUP(A39,'DB Country PMI'!$A:$W,MATCH($A$1,'DB Country PMI'!$A$1:$W$1,),)=0,#N/A,VLOOKUP(A39,'DB Country PMI'!$A:$W,MATCH($A$1,'DB Country PMI'!$A$1:$W$1,),))</f>
        <v/>
      </c>
      <c r="C39" s="14">
        <f>Table13468113456716[[#This Row],[PMI]]-B38</f>
        <v/>
      </c>
    </row>
    <row r="40">
      <c r="A40" s="8" t="n">
        <v>41487</v>
      </c>
      <c r="B40" s="11">
        <f>IF(VLOOKUP(A40,'DB Country PMI'!$A:$W,MATCH($A$1,'DB Country PMI'!$A$1:$W$1,),)=0,#N/A,VLOOKUP(A40,'DB Country PMI'!$A:$W,MATCH($A$1,'DB Country PMI'!$A$1:$W$1,),))</f>
        <v/>
      </c>
      <c r="C40" s="14">
        <f>Table13468113456716[[#This Row],[PMI]]-B39</f>
        <v/>
      </c>
    </row>
    <row r="41">
      <c r="A41" s="8" t="n">
        <v>41518</v>
      </c>
      <c r="B41" s="11">
        <f>IF(VLOOKUP(A41,'DB Country PMI'!$A:$W,MATCH($A$1,'DB Country PMI'!$A$1:$W$1,),)=0,#N/A,VLOOKUP(A41,'DB Country PMI'!$A:$W,MATCH($A$1,'DB Country PMI'!$A$1:$W$1,),))</f>
        <v/>
      </c>
      <c r="C41" s="14">
        <f>Table13468113456716[[#This Row],[PMI]]-B40</f>
        <v/>
      </c>
    </row>
    <row r="42">
      <c r="A42" s="8" t="n">
        <v>41548</v>
      </c>
      <c r="B42" s="11">
        <f>IF(VLOOKUP(A42,'DB Country PMI'!$A:$W,MATCH($A$1,'DB Country PMI'!$A$1:$W$1,),)=0,#N/A,VLOOKUP(A42,'DB Country PMI'!$A:$W,MATCH($A$1,'DB Country PMI'!$A$1:$W$1,),))</f>
        <v/>
      </c>
      <c r="C42" s="14">
        <f>Table13468113456716[[#This Row],[PMI]]-B41</f>
        <v/>
      </c>
    </row>
    <row r="43">
      <c r="A43" s="8" t="n">
        <v>41579</v>
      </c>
      <c r="B43" s="11">
        <f>IF(VLOOKUP(A43,'DB Country PMI'!$A:$W,MATCH($A$1,'DB Country PMI'!$A$1:$W$1,),)=0,#N/A,VLOOKUP(A43,'DB Country PMI'!$A:$W,MATCH($A$1,'DB Country PMI'!$A$1:$W$1,),))</f>
        <v/>
      </c>
      <c r="C43" s="14">
        <f>Table13468113456716[[#This Row],[PMI]]-B42</f>
        <v/>
      </c>
    </row>
    <row r="44">
      <c r="A44" s="8" t="n">
        <v>41609</v>
      </c>
      <c r="B44" s="11">
        <f>IF(VLOOKUP(A44,'DB Country PMI'!$A:$W,MATCH($A$1,'DB Country PMI'!$A$1:$W$1,),)=0,#N/A,VLOOKUP(A44,'DB Country PMI'!$A:$W,MATCH($A$1,'DB Country PMI'!$A$1:$W$1,),))</f>
        <v/>
      </c>
      <c r="C44" s="14">
        <f>Table13468113456716[[#This Row],[PMI]]-B43</f>
        <v/>
      </c>
    </row>
    <row r="45">
      <c r="A45" s="8" t="n">
        <v>41640</v>
      </c>
      <c r="B45" s="11">
        <f>IF(VLOOKUP(A45,'DB Country PMI'!$A:$W,MATCH($A$1,'DB Country PMI'!$A$1:$W$1,),)=0,#N/A,VLOOKUP(A45,'DB Country PMI'!$A:$W,MATCH($A$1,'DB Country PMI'!$A$1:$W$1,),))</f>
        <v/>
      </c>
      <c r="C45" s="14">
        <f>Table13468113456716[[#This Row],[PMI]]-B44</f>
        <v/>
      </c>
    </row>
    <row r="46">
      <c r="A46" s="8" t="n">
        <v>41671</v>
      </c>
      <c r="B46" s="11">
        <f>IF(VLOOKUP(A46,'DB Country PMI'!$A:$W,MATCH($A$1,'DB Country PMI'!$A$1:$W$1,),)=0,#N/A,VLOOKUP(A46,'DB Country PMI'!$A:$W,MATCH($A$1,'DB Country PMI'!$A$1:$W$1,),))</f>
        <v/>
      </c>
      <c r="C46" s="14">
        <f>Table13468113456716[[#This Row],[PMI]]-B45</f>
        <v/>
      </c>
    </row>
    <row r="47">
      <c r="A47" s="8" t="n">
        <v>41699</v>
      </c>
      <c r="B47" s="11">
        <f>IF(VLOOKUP(A47,'DB Country PMI'!$A:$W,MATCH($A$1,'DB Country PMI'!$A$1:$W$1,),)=0,#N/A,VLOOKUP(A47,'DB Country PMI'!$A:$W,MATCH($A$1,'DB Country PMI'!$A$1:$W$1,),))</f>
        <v/>
      </c>
      <c r="C47" s="14">
        <f>Table13468113456716[[#This Row],[PMI]]-B46</f>
        <v/>
      </c>
    </row>
    <row r="48">
      <c r="A48" s="8" t="n">
        <v>41730</v>
      </c>
      <c r="B48" s="11">
        <f>IF(VLOOKUP(A48,'DB Country PMI'!$A:$W,MATCH($A$1,'DB Country PMI'!$A$1:$W$1,),)=0,#N/A,VLOOKUP(A48,'DB Country PMI'!$A:$W,MATCH($A$1,'DB Country PMI'!$A$1:$W$1,),))</f>
        <v/>
      </c>
      <c r="C48" s="14">
        <f>Table13468113456716[[#This Row],[PMI]]-B47</f>
        <v/>
      </c>
    </row>
    <row r="49">
      <c r="A49" s="8" t="n">
        <v>41760</v>
      </c>
      <c r="B49" s="11">
        <f>IF(VLOOKUP(A49,'DB Country PMI'!$A:$W,MATCH($A$1,'DB Country PMI'!$A$1:$W$1,),)=0,#N/A,VLOOKUP(A49,'DB Country PMI'!$A:$W,MATCH($A$1,'DB Country PMI'!$A$1:$W$1,),))</f>
        <v/>
      </c>
      <c r="C49" s="14">
        <f>Table13468113456716[[#This Row],[PMI]]-B48</f>
        <v/>
      </c>
    </row>
    <row r="50">
      <c r="A50" s="8" t="n">
        <v>41791</v>
      </c>
      <c r="B50" s="11">
        <f>IF(VLOOKUP(A50,'DB Country PMI'!$A:$W,MATCH($A$1,'DB Country PMI'!$A$1:$W$1,),)=0,#N/A,VLOOKUP(A50,'DB Country PMI'!$A:$W,MATCH($A$1,'DB Country PMI'!$A$1:$W$1,),))</f>
        <v/>
      </c>
      <c r="C50" s="14">
        <f>Table13468113456716[[#This Row],[PMI]]-B49</f>
        <v/>
      </c>
    </row>
    <row r="51">
      <c r="A51" s="8" t="n">
        <v>41821</v>
      </c>
      <c r="B51" s="11">
        <f>IF(VLOOKUP(A51,'DB Country PMI'!$A:$W,MATCH($A$1,'DB Country PMI'!$A$1:$W$1,),)=0,#N/A,VLOOKUP(A51,'DB Country PMI'!$A:$W,MATCH($A$1,'DB Country PMI'!$A$1:$W$1,),))</f>
        <v/>
      </c>
      <c r="C51" s="14">
        <f>Table13468113456716[[#This Row],[PMI]]-B50</f>
        <v/>
      </c>
    </row>
    <row r="52">
      <c r="A52" s="8" t="n">
        <v>41852</v>
      </c>
      <c r="B52" s="11">
        <f>IF(VLOOKUP(A52,'DB Country PMI'!$A:$W,MATCH($A$1,'DB Country PMI'!$A$1:$W$1,),)=0,#N/A,VLOOKUP(A52,'DB Country PMI'!$A:$W,MATCH($A$1,'DB Country PMI'!$A$1:$W$1,),))</f>
        <v/>
      </c>
      <c r="C52" s="14">
        <f>Table13468113456716[[#This Row],[PMI]]-B51</f>
        <v/>
      </c>
    </row>
    <row r="53">
      <c r="A53" s="8" t="n">
        <v>41883</v>
      </c>
      <c r="B53" s="11">
        <f>IF(VLOOKUP(A53,'DB Country PMI'!$A:$W,MATCH($A$1,'DB Country PMI'!$A$1:$W$1,),)=0,#N/A,VLOOKUP(A53,'DB Country PMI'!$A:$W,MATCH($A$1,'DB Country PMI'!$A$1:$W$1,),))</f>
        <v/>
      </c>
      <c r="C53" s="14">
        <f>Table13468113456716[[#This Row],[PMI]]-B52</f>
        <v/>
      </c>
    </row>
    <row r="54">
      <c r="A54" s="8" t="n">
        <v>41913</v>
      </c>
      <c r="B54" s="11">
        <f>IF(VLOOKUP(A54,'DB Country PMI'!$A:$W,MATCH($A$1,'DB Country PMI'!$A$1:$W$1,),)=0,#N/A,VLOOKUP(A54,'DB Country PMI'!$A:$W,MATCH($A$1,'DB Country PMI'!$A$1:$W$1,),))</f>
        <v/>
      </c>
      <c r="C54" s="14">
        <f>Table13468113456716[[#This Row],[PMI]]-B53</f>
        <v/>
      </c>
    </row>
    <row r="55">
      <c r="A55" s="8" t="n">
        <v>41944</v>
      </c>
      <c r="B55" s="11">
        <f>IF(VLOOKUP(A55,'DB Country PMI'!$A:$W,MATCH($A$1,'DB Country PMI'!$A$1:$W$1,),)=0,#N/A,VLOOKUP(A55,'DB Country PMI'!$A:$W,MATCH($A$1,'DB Country PMI'!$A$1:$W$1,),))</f>
        <v/>
      </c>
      <c r="C55" s="14">
        <f>Table13468113456716[[#This Row],[PMI]]-B54</f>
        <v/>
      </c>
    </row>
    <row r="56">
      <c r="A56" s="8" t="n">
        <v>41974</v>
      </c>
      <c r="B56" s="11">
        <f>IF(VLOOKUP(A56,'DB Country PMI'!$A:$W,MATCH($A$1,'DB Country PMI'!$A$1:$W$1,),)=0,#N/A,VLOOKUP(A56,'DB Country PMI'!$A:$W,MATCH($A$1,'DB Country PMI'!$A$1:$W$1,),))</f>
        <v/>
      </c>
      <c r="C56" s="14">
        <f>Table13468113456716[[#This Row],[PMI]]-B55</f>
        <v/>
      </c>
    </row>
    <row r="57">
      <c r="A57" s="8" t="n">
        <v>42005</v>
      </c>
      <c r="B57" s="11">
        <f>IF(VLOOKUP(A57,'DB Country PMI'!$A:$W,MATCH($A$1,'DB Country PMI'!$A$1:$W$1,),)=0,#N/A,VLOOKUP(A57,'DB Country PMI'!$A:$W,MATCH($A$1,'DB Country PMI'!$A$1:$W$1,),))</f>
        <v/>
      </c>
      <c r="C57" s="14">
        <f>Table13468113456716[[#This Row],[PMI]]-B56</f>
        <v/>
      </c>
    </row>
    <row r="58">
      <c r="A58" s="8" t="n">
        <v>42036</v>
      </c>
      <c r="B58" s="11">
        <f>IF(VLOOKUP(A58,'DB Country PMI'!$A:$W,MATCH($A$1,'DB Country PMI'!$A$1:$W$1,),)=0,#N/A,VLOOKUP(A58,'DB Country PMI'!$A:$W,MATCH($A$1,'DB Country PMI'!$A$1:$W$1,),))</f>
        <v/>
      </c>
      <c r="C58" s="14">
        <f>Table13468113456716[[#This Row],[PMI]]-B57</f>
        <v/>
      </c>
    </row>
    <row r="59">
      <c r="A59" s="8" t="n">
        <v>42064</v>
      </c>
      <c r="B59" s="11">
        <f>IF(VLOOKUP(A59,'DB Country PMI'!$A:$W,MATCH($A$1,'DB Country PMI'!$A$1:$W$1,),)=0,#N/A,VLOOKUP(A59,'DB Country PMI'!$A:$W,MATCH($A$1,'DB Country PMI'!$A$1:$W$1,),))</f>
        <v/>
      </c>
      <c r="C59" s="14">
        <f>Table13468113456716[[#This Row],[PMI]]-B58</f>
        <v/>
      </c>
    </row>
    <row r="60">
      <c r="A60" s="8" t="n">
        <v>42095</v>
      </c>
      <c r="B60" s="11">
        <f>IF(VLOOKUP(A60,'DB Country PMI'!$A:$W,MATCH($A$1,'DB Country PMI'!$A$1:$W$1,),)=0,#N/A,VLOOKUP(A60,'DB Country PMI'!$A:$W,MATCH($A$1,'DB Country PMI'!$A$1:$W$1,),))</f>
        <v/>
      </c>
      <c r="C60" s="14">
        <f>Table13468113456716[[#This Row],[PMI]]-B59</f>
        <v/>
      </c>
    </row>
    <row r="61">
      <c r="A61" s="8" t="n">
        <v>42125</v>
      </c>
      <c r="B61" s="11">
        <f>IF(VLOOKUP(A61,'DB Country PMI'!$A:$W,MATCH($A$1,'DB Country PMI'!$A$1:$W$1,),)=0,#N/A,VLOOKUP(A61,'DB Country PMI'!$A:$W,MATCH($A$1,'DB Country PMI'!$A$1:$W$1,),))</f>
        <v/>
      </c>
      <c r="C61" s="14">
        <f>Table13468113456716[[#This Row],[PMI]]-B60</f>
        <v/>
      </c>
    </row>
    <row r="62">
      <c r="A62" s="8" t="n">
        <v>42156</v>
      </c>
      <c r="B62" s="11">
        <f>IF(VLOOKUP(A62,'DB Country PMI'!$A:$W,MATCH($A$1,'DB Country PMI'!$A$1:$W$1,),)=0,#N/A,VLOOKUP(A62,'DB Country PMI'!$A:$W,MATCH($A$1,'DB Country PMI'!$A$1:$W$1,),))</f>
        <v/>
      </c>
      <c r="C62" s="14">
        <f>Table13468113456716[[#This Row],[PMI]]-B61</f>
        <v/>
      </c>
    </row>
    <row r="63">
      <c r="A63" s="8" t="n">
        <v>42186</v>
      </c>
      <c r="B63" s="11">
        <f>IF(VLOOKUP(A63,'DB Country PMI'!$A:$W,MATCH($A$1,'DB Country PMI'!$A$1:$W$1,),)=0,#N/A,VLOOKUP(A63,'DB Country PMI'!$A:$W,MATCH($A$1,'DB Country PMI'!$A$1:$W$1,),))</f>
        <v/>
      </c>
      <c r="C63" s="14">
        <f>Table13468113456716[[#This Row],[PMI]]-B62</f>
        <v/>
      </c>
    </row>
    <row r="64">
      <c r="A64" s="8" t="n">
        <v>42217</v>
      </c>
      <c r="B64" s="11">
        <f>IF(VLOOKUP(A64,'DB Country PMI'!$A:$W,MATCH($A$1,'DB Country PMI'!$A$1:$W$1,),)=0,#N/A,VLOOKUP(A64,'DB Country PMI'!$A:$W,MATCH($A$1,'DB Country PMI'!$A$1:$W$1,),))</f>
        <v/>
      </c>
      <c r="C64" s="14">
        <f>Table13468113456716[[#This Row],[PMI]]-B63</f>
        <v/>
      </c>
    </row>
    <row r="65">
      <c r="A65" s="8" t="n">
        <v>42248</v>
      </c>
      <c r="B65" s="11">
        <f>IF(VLOOKUP(A65,'DB Country PMI'!$A:$W,MATCH($A$1,'DB Country PMI'!$A$1:$W$1,),)=0,#N/A,VLOOKUP(A65,'DB Country PMI'!$A:$W,MATCH($A$1,'DB Country PMI'!$A$1:$W$1,),))</f>
        <v/>
      </c>
      <c r="C65" s="14">
        <f>Table13468113456716[[#This Row],[PMI]]-B64</f>
        <v/>
      </c>
    </row>
    <row r="66">
      <c r="A66" s="8" t="n">
        <v>42278</v>
      </c>
      <c r="B66" s="11">
        <f>IF(VLOOKUP(A66,'DB Country PMI'!$A:$W,MATCH($A$1,'DB Country PMI'!$A$1:$W$1,),)=0,#N/A,VLOOKUP(A66,'DB Country PMI'!$A:$W,MATCH($A$1,'DB Country PMI'!$A$1:$W$1,),))</f>
        <v/>
      </c>
      <c r="C66" s="14">
        <f>Table13468113456716[[#This Row],[PMI]]-B65</f>
        <v/>
      </c>
    </row>
    <row r="67">
      <c r="A67" s="8" t="n">
        <v>42309</v>
      </c>
      <c r="B67" s="11">
        <f>IF(VLOOKUP(A67,'DB Country PMI'!$A:$W,MATCH($A$1,'DB Country PMI'!$A$1:$W$1,),)=0,#N/A,VLOOKUP(A67,'DB Country PMI'!$A:$W,MATCH($A$1,'DB Country PMI'!$A$1:$W$1,),))</f>
        <v/>
      </c>
      <c r="C67" s="14">
        <f>Table13468113456716[[#This Row],[PMI]]-B66</f>
        <v/>
      </c>
    </row>
    <row r="68">
      <c r="A68" s="8" t="n">
        <v>42339</v>
      </c>
      <c r="B68" s="11">
        <f>IF(VLOOKUP(A68,'DB Country PMI'!$A:$W,MATCH($A$1,'DB Country PMI'!$A$1:$W$1,),)=0,#N/A,VLOOKUP(A68,'DB Country PMI'!$A:$W,MATCH($A$1,'DB Country PMI'!$A$1:$W$1,),))</f>
        <v/>
      </c>
      <c r="C68" s="14">
        <f>Table13468113456716[[#This Row],[PMI]]-B67</f>
        <v/>
      </c>
    </row>
    <row r="69">
      <c r="A69" s="8" t="n">
        <v>42370</v>
      </c>
      <c r="B69" s="11">
        <f>IF(VLOOKUP(A69,'DB Country PMI'!$A:$W,MATCH($A$1,'DB Country PMI'!$A$1:$W$1,),)=0,#N/A,VLOOKUP(A69,'DB Country PMI'!$A:$W,MATCH($A$1,'DB Country PMI'!$A$1:$W$1,),))</f>
        <v/>
      </c>
      <c r="C69" s="14">
        <f>Table13468113456716[[#This Row],[PMI]]-B68</f>
        <v/>
      </c>
    </row>
    <row r="70">
      <c r="A70" s="8" t="n">
        <v>42401</v>
      </c>
      <c r="B70" s="11">
        <f>IF(VLOOKUP(A70,'DB Country PMI'!$A:$W,MATCH($A$1,'DB Country PMI'!$A$1:$W$1,),)=0,#N/A,VLOOKUP(A70,'DB Country PMI'!$A:$W,MATCH($A$1,'DB Country PMI'!$A$1:$W$1,),))</f>
        <v/>
      </c>
      <c r="C70" s="14">
        <f>Table13468113456716[[#This Row],[PMI]]-B69</f>
        <v/>
      </c>
    </row>
    <row r="71">
      <c r="A71" s="8" t="n">
        <v>42430</v>
      </c>
      <c r="B71" s="11">
        <f>IF(VLOOKUP(A71,'DB Country PMI'!$A:$W,MATCH($A$1,'DB Country PMI'!$A$1:$W$1,),)=0,#N/A,VLOOKUP(A71,'DB Country PMI'!$A:$W,MATCH($A$1,'DB Country PMI'!$A$1:$W$1,),))</f>
        <v/>
      </c>
      <c r="C71" s="14">
        <f>Table13468113456716[[#This Row],[PMI]]-B70</f>
        <v/>
      </c>
    </row>
    <row r="72">
      <c r="A72" s="8" t="n">
        <v>42461</v>
      </c>
      <c r="B72" s="11">
        <f>IF(VLOOKUP(A72,'DB Country PMI'!$A:$W,MATCH($A$1,'DB Country PMI'!$A$1:$W$1,),)=0,#N/A,VLOOKUP(A72,'DB Country PMI'!$A:$W,MATCH($A$1,'DB Country PMI'!$A$1:$W$1,),))</f>
        <v/>
      </c>
      <c r="C72" s="14">
        <f>Table13468113456716[[#This Row],[PMI]]-B71</f>
        <v/>
      </c>
    </row>
    <row r="73">
      <c r="A73" s="8" t="n">
        <v>42491</v>
      </c>
      <c r="B73" s="11">
        <f>IF(VLOOKUP(A73,'DB Country PMI'!$A:$W,MATCH($A$1,'DB Country PMI'!$A$1:$W$1,),)=0,#N/A,VLOOKUP(A73,'DB Country PMI'!$A:$W,MATCH($A$1,'DB Country PMI'!$A$1:$W$1,),))</f>
        <v/>
      </c>
      <c r="C73" s="14">
        <f>Table13468113456716[[#This Row],[PMI]]-B72</f>
        <v/>
      </c>
    </row>
    <row r="74">
      <c r="A74" s="8" t="n">
        <v>42522</v>
      </c>
      <c r="B74" s="11">
        <f>IF(VLOOKUP(A74,'DB Country PMI'!$A:$W,MATCH($A$1,'DB Country PMI'!$A$1:$W$1,),)=0,#N/A,VLOOKUP(A74,'DB Country PMI'!$A:$W,MATCH($A$1,'DB Country PMI'!$A$1:$W$1,),))</f>
        <v/>
      </c>
      <c r="C74" s="14">
        <f>Table13468113456716[[#This Row],[PMI]]-B73</f>
        <v/>
      </c>
    </row>
    <row r="75">
      <c r="A75" s="8" t="n">
        <v>42552</v>
      </c>
      <c r="B75" s="11">
        <f>IF(VLOOKUP(A75,'DB Country PMI'!$A:$W,MATCH($A$1,'DB Country PMI'!$A$1:$W$1,),)=0,#N/A,VLOOKUP(A75,'DB Country PMI'!$A:$W,MATCH($A$1,'DB Country PMI'!$A$1:$W$1,),))</f>
        <v/>
      </c>
      <c r="C75" s="14">
        <f>Table13468113456716[[#This Row],[PMI]]-B74</f>
        <v/>
      </c>
    </row>
    <row r="76">
      <c r="A76" s="8" t="n">
        <v>42583</v>
      </c>
      <c r="B76" s="11">
        <f>IF(VLOOKUP(A76,'DB Country PMI'!$A:$W,MATCH($A$1,'DB Country PMI'!$A$1:$W$1,),)=0,#N/A,VLOOKUP(A76,'DB Country PMI'!$A:$W,MATCH($A$1,'DB Country PMI'!$A$1:$W$1,),))</f>
        <v/>
      </c>
      <c r="C76" s="14">
        <f>Table13468113456716[[#This Row],[PMI]]-B75</f>
        <v/>
      </c>
    </row>
    <row r="77">
      <c r="A77" s="8" t="n">
        <v>42614</v>
      </c>
      <c r="B77" s="11">
        <f>IF(VLOOKUP(A77,'DB Country PMI'!$A:$W,MATCH($A$1,'DB Country PMI'!$A$1:$W$1,),)=0,#N/A,VLOOKUP(A77,'DB Country PMI'!$A:$W,MATCH($A$1,'DB Country PMI'!$A$1:$W$1,),))</f>
        <v/>
      </c>
      <c r="C77" s="14">
        <f>Table13468113456716[[#This Row],[PMI]]-B76</f>
        <v/>
      </c>
    </row>
    <row r="78">
      <c r="A78" s="8" t="n">
        <v>42644</v>
      </c>
      <c r="B78" s="11">
        <f>IF(VLOOKUP(A78,'DB Country PMI'!$A:$W,MATCH($A$1,'DB Country PMI'!$A$1:$W$1,),)=0,#N/A,VLOOKUP(A78,'DB Country PMI'!$A:$W,MATCH($A$1,'DB Country PMI'!$A$1:$W$1,),))</f>
        <v/>
      </c>
      <c r="C78" s="14">
        <f>Table13468113456716[[#This Row],[PMI]]-B77</f>
        <v/>
      </c>
    </row>
    <row r="79">
      <c r="A79" s="8" t="n">
        <v>42675</v>
      </c>
      <c r="B79" s="11">
        <f>IF(VLOOKUP(A79,'DB Country PMI'!$A:$W,MATCH($A$1,'DB Country PMI'!$A$1:$W$1,),)=0,#N/A,VLOOKUP(A79,'DB Country PMI'!$A:$W,MATCH($A$1,'DB Country PMI'!$A$1:$W$1,),))</f>
        <v/>
      </c>
      <c r="C79" s="14">
        <f>Table13468113456716[[#This Row],[PMI]]-B78</f>
        <v/>
      </c>
    </row>
    <row r="80">
      <c r="A80" s="8" t="n">
        <v>42705</v>
      </c>
      <c r="B80" s="11">
        <f>IF(VLOOKUP(A80,'DB Country PMI'!$A:$W,MATCH($A$1,'DB Country PMI'!$A$1:$W$1,),)=0,#N/A,VLOOKUP(A80,'DB Country PMI'!$A:$W,MATCH($A$1,'DB Country PMI'!$A$1:$W$1,),))</f>
        <v/>
      </c>
      <c r="C80" s="14">
        <f>Table13468113456716[[#This Row],[PMI]]-B79</f>
        <v/>
      </c>
    </row>
    <row r="81">
      <c r="A81" s="8" t="n">
        <v>42736</v>
      </c>
      <c r="B81" s="11">
        <f>IF(VLOOKUP(A81,'DB Country PMI'!$A:$W,MATCH($A$1,'DB Country PMI'!$A$1:$W$1,),)=0,#N/A,VLOOKUP(A81,'DB Country PMI'!$A:$W,MATCH($A$1,'DB Country PMI'!$A$1:$W$1,),))</f>
        <v/>
      </c>
      <c r="C81" s="14">
        <f>Table13468113456716[[#This Row],[PMI]]-B80</f>
        <v/>
      </c>
    </row>
    <row r="82">
      <c r="A82" s="8" t="n">
        <v>42767</v>
      </c>
      <c r="B82" s="11">
        <f>IF(VLOOKUP(A82,'DB Country PMI'!$A:$W,MATCH($A$1,'DB Country PMI'!$A$1:$W$1,),)=0,#N/A,VLOOKUP(A82,'DB Country PMI'!$A:$W,MATCH($A$1,'DB Country PMI'!$A$1:$W$1,),))</f>
        <v/>
      </c>
      <c r="C82" s="14">
        <f>Table13468113456716[[#This Row],[PMI]]-B81</f>
        <v/>
      </c>
    </row>
    <row r="83">
      <c r="A83" s="8" t="n">
        <v>42795</v>
      </c>
      <c r="B83" s="11">
        <f>IF(VLOOKUP(A83,'DB Country PMI'!$A:$W,MATCH($A$1,'DB Country PMI'!$A$1:$W$1,),)=0,#N/A,VLOOKUP(A83,'DB Country PMI'!$A:$W,MATCH($A$1,'DB Country PMI'!$A$1:$W$1,),))</f>
        <v/>
      </c>
      <c r="C83" s="14">
        <f>Table13468113456716[[#This Row],[PMI]]-B82</f>
        <v/>
      </c>
    </row>
    <row r="84">
      <c r="A84" s="8" t="n">
        <v>42826</v>
      </c>
      <c r="B84" s="11">
        <f>IF(VLOOKUP(A84,'DB Country PMI'!$A:$W,MATCH($A$1,'DB Country PMI'!$A$1:$W$1,),)=0,#N/A,VLOOKUP(A84,'DB Country PMI'!$A:$W,MATCH($A$1,'DB Country PMI'!$A$1:$W$1,),))</f>
        <v/>
      </c>
      <c r="C84" s="14">
        <f>Table13468113456716[[#This Row],[PMI]]-B83</f>
        <v/>
      </c>
    </row>
    <row r="85">
      <c r="A85" s="8" t="n">
        <v>42856</v>
      </c>
      <c r="B85" s="11">
        <f>IF(VLOOKUP(A85,'DB Country PMI'!$A:$W,MATCH($A$1,'DB Country PMI'!$A$1:$W$1,),)=0,#N/A,VLOOKUP(A85,'DB Country PMI'!$A:$W,MATCH($A$1,'DB Country PMI'!$A$1:$W$1,),))</f>
        <v/>
      </c>
      <c r="C85" s="14">
        <f>Table13468113456716[[#This Row],[PMI]]-B84</f>
        <v/>
      </c>
    </row>
    <row r="86">
      <c r="A86" s="8" t="n">
        <v>42887</v>
      </c>
      <c r="B86" s="11">
        <f>IF(VLOOKUP(A86,'DB Country PMI'!$A:$W,MATCH($A$1,'DB Country PMI'!$A$1:$W$1,),)=0,#N/A,VLOOKUP(A86,'DB Country PMI'!$A:$W,MATCH($A$1,'DB Country PMI'!$A$1:$W$1,),))</f>
        <v/>
      </c>
      <c r="C86" s="14">
        <f>Table13468113456716[[#This Row],[PMI]]-B85</f>
        <v/>
      </c>
    </row>
    <row r="87">
      <c r="A87" s="8" t="n">
        <v>42917</v>
      </c>
      <c r="B87" s="11">
        <f>IF(VLOOKUP(A87,'DB Country PMI'!$A:$W,MATCH($A$1,'DB Country PMI'!$A$1:$W$1,),)=0,#N/A,VLOOKUP(A87,'DB Country PMI'!$A:$W,MATCH($A$1,'DB Country PMI'!$A$1:$W$1,),))</f>
        <v/>
      </c>
      <c r="C87" s="14">
        <f>Table13468113456716[[#This Row],[PMI]]-B86</f>
        <v/>
      </c>
    </row>
    <row r="88">
      <c r="A88" s="8" t="n">
        <v>42948</v>
      </c>
      <c r="B88" s="11">
        <f>IF(VLOOKUP(A88,'DB Country PMI'!$A:$W,MATCH($A$1,'DB Country PMI'!$A$1:$W$1,),)=0,#N/A,VLOOKUP(A88,'DB Country PMI'!$A:$W,MATCH($A$1,'DB Country PMI'!$A$1:$W$1,),))</f>
        <v/>
      </c>
      <c r="C88" s="14">
        <f>Table13468113456716[[#This Row],[PMI]]-B87</f>
        <v/>
      </c>
    </row>
    <row r="89">
      <c r="A89" s="8" t="n">
        <v>42979</v>
      </c>
      <c r="B89" s="11">
        <f>IF(VLOOKUP(A89,'DB Country PMI'!$A:$W,MATCH($A$1,'DB Country PMI'!$A$1:$W$1,),)=0,#N/A,VLOOKUP(A89,'DB Country PMI'!$A:$W,MATCH($A$1,'DB Country PMI'!$A$1:$W$1,),))</f>
        <v/>
      </c>
      <c r="C89" s="14">
        <f>Table13468113456716[[#This Row],[PMI]]-B88</f>
        <v/>
      </c>
    </row>
    <row r="90">
      <c r="A90" s="8" t="n">
        <v>43009</v>
      </c>
      <c r="B90" s="11">
        <f>IF(VLOOKUP(A90,'DB Country PMI'!$A:$W,MATCH($A$1,'DB Country PMI'!$A$1:$W$1,),)=0,#N/A,VLOOKUP(A90,'DB Country PMI'!$A:$W,MATCH($A$1,'DB Country PMI'!$A$1:$W$1,),))</f>
        <v/>
      </c>
      <c r="C90" s="14">
        <f>Table13468113456716[[#This Row],[PMI]]-B89</f>
        <v/>
      </c>
    </row>
    <row r="91">
      <c r="A91" s="8" t="n">
        <v>43040</v>
      </c>
      <c r="B91" s="11">
        <f>IF(VLOOKUP(A91,'DB Country PMI'!$A:$W,MATCH($A$1,'DB Country PMI'!$A$1:$W$1,),)=0,#N/A,VLOOKUP(A91,'DB Country PMI'!$A:$W,MATCH($A$1,'DB Country PMI'!$A$1:$W$1,),))</f>
        <v/>
      </c>
      <c r="C91" s="14">
        <f>Table13468113456716[[#This Row],[PMI]]-B90</f>
        <v/>
      </c>
    </row>
    <row r="92">
      <c r="A92" s="8" t="n">
        <v>43070</v>
      </c>
      <c r="B92" s="11">
        <f>IF(VLOOKUP(A92,'DB Country PMI'!$A:$W,MATCH($A$1,'DB Country PMI'!$A$1:$W$1,),)=0,#N/A,VLOOKUP(A92,'DB Country PMI'!$A:$W,MATCH($A$1,'DB Country PMI'!$A$1:$W$1,),))</f>
        <v/>
      </c>
      <c r="C92" s="14">
        <f>Table13468113456716[[#This Row],[PMI]]-B91</f>
        <v/>
      </c>
    </row>
    <row r="93">
      <c r="A93" s="8" t="n">
        <v>43101</v>
      </c>
      <c r="B93" s="11">
        <f>IF(VLOOKUP(A93,'DB Country PMI'!$A:$W,MATCH($A$1,'DB Country PMI'!$A$1:$W$1,),)=0,#N/A,VLOOKUP(A93,'DB Country PMI'!$A:$W,MATCH($A$1,'DB Country PMI'!$A$1:$W$1,),))</f>
        <v/>
      </c>
      <c r="C93" s="14">
        <f>Table13468113456716[[#This Row],[PMI]]-B92</f>
        <v/>
      </c>
    </row>
    <row r="94">
      <c r="A94" s="8" t="n">
        <v>43132</v>
      </c>
      <c r="B94" s="11">
        <f>IF(VLOOKUP(A94,'DB Country PMI'!$A:$W,MATCH($A$1,'DB Country PMI'!$A$1:$W$1,),)=0,#N/A,VLOOKUP(A94,'DB Country PMI'!$A:$W,MATCH($A$1,'DB Country PMI'!$A$1:$W$1,),))</f>
        <v/>
      </c>
      <c r="C94" s="14">
        <f>Table13468113456716[[#This Row],[PMI]]-B93</f>
        <v/>
      </c>
    </row>
    <row r="95">
      <c r="A95" s="8" t="n">
        <v>43160</v>
      </c>
      <c r="B95" s="11">
        <f>IF(VLOOKUP(A95,'DB Country PMI'!$A:$W,MATCH($A$1,'DB Country PMI'!$A$1:$W$1,),)=0,#N/A,VLOOKUP(A95,'DB Country PMI'!$A:$W,MATCH($A$1,'DB Country PMI'!$A$1:$W$1,),))</f>
        <v/>
      </c>
      <c r="C95" s="14">
        <f>Table13468113456716[[#This Row],[PMI]]-B94</f>
        <v/>
      </c>
    </row>
    <row r="96">
      <c r="A96" s="8" t="n">
        <v>43191</v>
      </c>
      <c r="B96" s="11">
        <f>IF(VLOOKUP(A96,'DB Country PMI'!$A:$W,MATCH($A$1,'DB Country PMI'!$A$1:$W$1,),)=0,#N/A,VLOOKUP(A96,'DB Country PMI'!$A:$W,MATCH($A$1,'DB Country PMI'!$A$1:$W$1,),))</f>
        <v/>
      </c>
      <c r="C96" s="14">
        <f>Table13468113456716[[#This Row],[PMI]]-B95</f>
        <v/>
      </c>
    </row>
    <row r="97">
      <c r="A97" s="8" t="n">
        <v>43221</v>
      </c>
      <c r="B97" s="11">
        <f>IF(VLOOKUP(A97,'DB Country PMI'!$A:$W,MATCH($A$1,'DB Country PMI'!$A$1:$W$1,),)=0,#N/A,VLOOKUP(A97,'DB Country PMI'!$A:$W,MATCH($A$1,'DB Country PMI'!$A$1:$W$1,),))</f>
        <v/>
      </c>
      <c r="C97" s="14">
        <f>Table13468113456716[[#This Row],[PMI]]-B96</f>
        <v/>
      </c>
    </row>
    <row r="98">
      <c r="A98" s="8" t="n">
        <v>43252</v>
      </c>
      <c r="B98" s="11">
        <f>IF(VLOOKUP(A98,'DB Country PMI'!$A:$W,MATCH($A$1,'DB Country PMI'!$A$1:$W$1,),)=0,#N/A,VLOOKUP(A98,'DB Country PMI'!$A:$W,MATCH($A$1,'DB Country PMI'!$A$1:$W$1,),))</f>
        <v/>
      </c>
      <c r="C98" s="14">
        <f>Table13468113456716[[#This Row],[PMI]]-B97</f>
        <v/>
      </c>
    </row>
    <row r="99">
      <c r="A99" s="8" t="n">
        <v>43282</v>
      </c>
      <c r="B99" s="11">
        <f>IF(VLOOKUP(A99,'DB Country PMI'!$A:$W,MATCH($A$1,'DB Country PMI'!$A$1:$W$1,),)=0,#N/A,VLOOKUP(A99,'DB Country PMI'!$A:$W,MATCH($A$1,'DB Country PMI'!$A$1:$W$1,),))</f>
        <v/>
      </c>
      <c r="C99" s="14">
        <f>Table13468113456716[[#This Row],[PMI]]-B98</f>
        <v/>
      </c>
    </row>
    <row r="100">
      <c r="A100" s="8" t="n">
        <v>43313</v>
      </c>
      <c r="B100" s="11">
        <f>IF(VLOOKUP(A100,'DB Country PMI'!$A:$W,MATCH($A$1,'DB Country PMI'!$A$1:$W$1,),)=0,#N/A,VLOOKUP(A100,'DB Country PMI'!$A:$W,MATCH($A$1,'DB Country PMI'!$A$1:$W$1,),))</f>
        <v/>
      </c>
      <c r="C100" s="14">
        <f>Table13468113456716[[#This Row],[PMI]]-B99</f>
        <v/>
      </c>
    </row>
    <row r="101">
      <c r="A101" s="8" t="n">
        <v>43344</v>
      </c>
      <c r="B101" s="11">
        <f>IF(VLOOKUP(A101,'DB Country PMI'!$A:$W,MATCH($A$1,'DB Country PMI'!$A$1:$W$1,),)=0,#N/A,VLOOKUP(A101,'DB Country PMI'!$A:$W,MATCH($A$1,'DB Country PMI'!$A$1:$W$1,),))</f>
        <v/>
      </c>
      <c r="C101" s="14">
        <f>Table13468113456716[[#This Row],[PMI]]-B100</f>
        <v/>
      </c>
    </row>
    <row r="102">
      <c r="A102" s="8" t="n">
        <v>43374</v>
      </c>
      <c r="B102" s="11">
        <f>IF(VLOOKUP(A102,'DB Country PMI'!$A:$W,MATCH($A$1,'DB Country PMI'!$A$1:$W$1,),)=0,#N/A,VLOOKUP(A102,'DB Country PMI'!$A:$W,MATCH($A$1,'DB Country PMI'!$A$1:$W$1,),))</f>
        <v/>
      </c>
      <c r="C102" s="14">
        <f>Table13468113456716[[#This Row],[PMI]]-B101</f>
        <v/>
      </c>
    </row>
    <row r="103">
      <c r="A103" s="8" t="n">
        <v>43405</v>
      </c>
      <c r="B103" s="11">
        <f>IF(VLOOKUP(A103,'DB Country PMI'!$A:$W,MATCH($A$1,'DB Country PMI'!$A$1:$W$1,),)=0,#N/A,VLOOKUP(A103,'DB Country PMI'!$A:$W,MATCH($A$1,'DB Country PMI'!$A$1:$W$1,),))</f>
        <v/>
      </c>
      <c r="C103" s="14">
        <f>Table13468113456716[[#This Row],[PMI]]-B102</f>
        <v/>
      </c>
    </row>
    <row r="104">
      <c r="A104" s="8" t="n">
        <v>43435</v>
      </c>
      <c r="B104" s="11">
        <f>IF(VLOOKUP(A104,'DB Country PMI'!$A:$W,MATCH($A$1,'DB Country PMI'!$A$1:$W$1,),)=0,#N/A,VLOOKUP(A104,'DB Country PMI'!$A:$W,MATCH($A$1,'DB Country PMI'!$A$1:$W$1,),))</f>
        <v/>
      </c>
      <c r="C104" s="14">
        <f>Table13468113456716[[#This Row],[PMI]]-B103</f>
        <v/>
      </c>
    </row>
    <row r="105">
      <c r="A105" s="8" t="n">
        <v>43466</v>
      </c>
      <c r="B105" s="11">
        <f>IF(VLOOKUP(A105,'DB Country PMI'!$A:$W,MATCH($A$1,'DB Country PMI'!$A$1:$W$1,),)=0,#N/A,VLOOKUP(A105,'DB Country PMI'!$A:$W,MATCH($A$1,'DB Country PMI'!$A$1:$W$1,),))</f>
        <v/>
      </c>
      <c r="C105" s="14">
        <f>Table13468113456716[[#This Row],[PMI]]-B104</f>
        <v/>
      </c>
    </row>
    <row r="106">
      <c r="A106" s="8" t="n">
        <v>43497</v>
      </c>
      <c r="B106" s="11">
        <f>IF(VLOOKUP(A106,'DB Country PMI'!$A:$W,MATCH($A$1,'DB Country PMI'!$A$1:$W$1,),)=0,#N/A,VLOOKUP(A106,'DB Country PMI'!$A:$W,MATCH($A$1,'DB Country PMI'!$A$1:$W$1,),))</f>
        <v/>
      </c>
      <c r="C106" s="14">
        <f>Table13468113456716[[#This Row],[PMI]]-B105</f>
        <v/>
      </c>
    </row>
    <row r="107">
      <c r="A107" s="8" t="n">
        <v>43525</v>
      </c>
      <c r="B107" s="11">
        <f>IF(VLOOKUP(A107,'DB Country PMI'!$A:$W,MATCH($A$1,'DB Country PMI'!$A$1:$W$1,),)=0,#N/A,VLOOKUP(A107,'DB Country PMI'!$A:$W,MATCH($A$1,'DB Country PMI'!$A$1:$W$1,),))</f>
        <v/>
      </c>
      <c r="C107" s="14">
        <f>Table13468113456716[[#This Row],[PMI]]-B106</f>
        <v/>
      </c>
    </row>
    <row r="108">
      <c r="A108" s="8" t="n">
        <v>43556</v>
      </c>
      <c r="B108" s="11">
        <f>IF(VLOOKUP(A108,'DB Country PMI'!$A:$W,MATCH($A$1,'DB Country PMI'!$A$1:$W$1,),)=0,#N/A,VLOOKUP(A108,'DB Country PMI'!$A:$W,MATCH($A$1,'DB Country PMI'!$A$1:$W$1,),))</f>
        <v/>
      </c>
      <c r="C108" s="14">
        <f>Table13468113456716[[#This Row],[PMI]]-B107</f>
        <v/>
      </c>
    </row>
    <row r="109">
      <c r="A109" s="8" t="n">
        <v>43586</v>
      </c>
      <c r="B109" s="11">
        <f>IF(VLOOKUP(A109,'DB Country PMI'!$A:$W,MATCH($A$1,'DB Country PMI'!$A$1:$W$1,),)=0,#N/A,VLOOKUP(A109,'DB Country PMI'!$A:$W,MATCH($A$1,'DB Country PMI'!$A$1:$W$1,),))</f>
        <v/>
      </c>
      <c r="C109" s="14">
        <f>Table13468113456716[[#This Row],[PMI]]-B108</f>
        <v/>
      </c>
    </row>
    <row r="110">
      <c r="A110" s="8" t="n">
        <v>43617</v>
      </c>
      <c r="B110" s="11">
        <f>IF(VLOOKUP(A110,'DB Country PMI'!$A:$W,MATCH($A$1,'DB Country PMI'!$A$1:$W$1,),)=0,#N/A,VLOOKUP(A110,'DB Country PMI'!$A:$W,MATCH($A$1,'DB Country PMI'!$A$1:$W$1,),))</f>
        <v/>
      </c>
      <c r="C110" s="14">
        <f>Table13468113456716[[#This Row],[PMI]]-B109</f>
        <v/>
      </c>
    </row>
    <row r="111">
      <c r="A111" s="8" t="n">
        <v>43647</v>
      </c>
      <c r="B111" s="11">
        <f>IF(VLOOKUP(A111,'DB Country PMI'!$A:$W,MATCH($A$1,'DB Country PMI'!$A$1:$W$1,),)=0,#N/A,VLOOKUP(A111,'DB Country PMI'!$A:$W,MATCH($A$1,'DB Country PMI'!$A$1:$W$1,),))</f>
        <v/>
      </c>
      <c r="C111" s="14">
        <f>Table13468113456716[[#This Row],[PMI]]-B110</f>
        <v/>
      </c>
    </row>
    <row r="112">
      <c r="A112" s="8" t="n">
        <v>43678</v>
      </c>
      <c r="B112" s="11">
        <f>IF(VLOOKUP(A112,'DB Country PMI'!$A:$W,MATCH($A$1,'DB Country PMI'!$A$1:$W$1,),)=0,#N/A,VLOOKUP(A112,'DB Country PMI'!$A:$W,MATCH($A$1,'DB Country PMI'!$A$1:$W$1,),))</f>
        <v/>
      </c>
      <c r="C112" s="14">
        <f>Table13468113456716[[#This Row],[PMI]]-B111</f>
        <v/>
      </c>
    </row>
    <row r="113">
      <c r="A113" s="8" t="n">
        <v>43709</v>
      </c>
      <c r="B113" s="11">
        <f>IF(VLOOKUP(A113,'DB Country PMI'!$A:$W,MATCH($A$1,'DB Country PMI'!$A$1:$W$1,),)=0,#N/A,VLOOKUP(A113,'DB Country PMI'!$A:$W,MATCH($A$1,'DB Country PMI'!$A$1:$W$1,),))</f>
        <v/>
      </c>
      <c r="C113" s="14">
        <f>Table13468113456716[[#This Row],[PMI]]-B112</f>
        <v/>
      </c>
    </row>
    <row r="114">
      <c r="A114" s="8" t="n">
        <v>43739</v>
      </c>
      <c r="B114" s="11">
        <f>IF(VLOOKUP(A114,'DB Country PMI'!$A:$W,MATCH($A$1,'DB Country PMI'!$A$1:$W$1,),)=0,#N/A,VLOOKUP(A114,'DB Country PMI'!$A:$W,MATCH($A$1,'DB Country PMI'!$A$1:$W$1,),))</f>
        <v/>
      </c>
      <c r="C114" s="14">
        <f>Table13468113456716[[#This Row],[PMI]]-B113</f>
        <v/>
      </c>
    </row>
    <row r="115">
      <c r="A115" s="8" t="n">
        <v>43770</v>
      </c>
      <c r="B115" s="11">
        <f>IF(VLOOKUP(A115,'DB Country PMI'!$A:$W,MATCH($A$1,'DB Country PMI'!$A$1:$W$1,),)=0,#N/A,VLOOKUP(A115,'DB Country PMI'!$A:$W,MATCH($A$1,'DB Country PMI'!$A$1:$W$1,),))</f>
        <v/>
      </c>
      <c r="C115" s="14">
        <f>Table13468113456716[[#This Row],[PMI]]-B114</f>
        <v/>
      </c>
    </row>
    <row r="116">
      <c r="A116" s="8" t="n">
        <v>43800</v>
      </c>
      <c r="B116" s="11">
        <f>IF(VLOOKUP(A116,'DB Country PMI'!$A:$W,MATCH($A$1,'DB Country PMI'!$A$1:$W$1,),)=0,#N/A,VLOOKUP(A116,'DB Country PMI'!$A:$W,MATCH($A$1,'DB Country PMI'!$A$1:$W$1,),))</f>
        <v/>
      </c>
      <c r="C116" s="14">
        <f>Table13468113456716[[#This Row],[PMI]]-B115</f>
        <v/>
      </c>
    </row>
    <row r="117">
      <c r="A117" s="8" t="n">
        <v>43831</v>
      </c>
      <c r="B117" s="11">
        <f>IF(VLOOKUP(A117,'DB Country PMI'!$A:$W,MATCH($A$1,'DB Country PMI'!$A$1:$W$1,),)=0,#N/A,VLOOKUP(A117,'DB Country PMI'!$A:$W,MATCH($A$1,'DB Country PMI'!$A$1:$W$1,),))</f>
        <v/>
      </c>
      <c r="C117" s="14">
        <f>Table13468113456716[[#This Row],[PMI]]-B116</f>
        <v/>
      </c>
    </row>
    <row r="118">
      <c r="A118" s="8" t="n">
        <v>43862</v>
      </c>
      <c r="B118" s="11">
        <f>IF(VLOOKUP(A118,'DB Country PMI'!$A:$W,MATCH($A$1,'DB Country PMI'!$A$1:$W$1,),)=0,#N/A,VLOOKUP(A118,'DB Country PMI'!$A:$W,MATCH($A$1,'DB Country PMI'!$A$1:$W$1,),))</f>
        <v/>
      </c>
      <c r="C118" s="14">
        <f>Table13468113456716[[#This Row],[PMI]]-B117</f>
        <v/>
      </c>
    </row>
    <row r="119">
      <c r="A119" s="8" t="n">
        <v>43891</v>
      </c>
      <c r="B119" s="11">
        <f>IF(VLOOKUP(A119,'DB Country PMI'!$A:$W,MATCH($A$1,'DB Country PMI'!$A$1:$W$1,),)=0,#N/A,VLOOKUP(A119,'DB Country PMI'!$A:$W,MATCH($A$1,'DB Country PMI'!$A$1:$W$1,),))</f>
        <v/>
      </c>
      <c r="C119" s="14">
        <f>Table13468113456716[[#This Row],[PMI]]-B118</f>
        <v/>
      </c>
    </row>
    <row r="120">
      <c r="A120" s="8" t="n">
        <v>43922</v>
      </c>
      <c r="B120" s="11">
        <f>IF(VLOOKUP(A120,'DB Country PMI'!$A:$W,MATCH($A$1,'DB Country PMI'!$A$1:$W$1,),)=0,#N/A,VLOOKUP(A120,'DB Country PMI'!$A:$W,MATCH($A$1,'DB Country PMI'!$A$1:$W$1,),))</f>
        <v/>
      </c>
      <c r="C120" s="14">
        <f>Table13468113456716[[#This Row],[PMI]]-B119</f>
        <v/>
      </c>
    </row>
    <row r="121">
      <c r="A121" s="8" t="n">
        <v>43952</v>
      </c>
      <c r="B121" s="11">
        <f>IF(VLOOKUP(A121,'DB Country PMI'!$A:$W,MATCH($A$1,'DB Country PMI'!$A$1:$W$1,),)=0,#N/A,VLOOKUP(A121,'DB Country PMI'!$A:$W,MATCH($A$1,'DB Country PMI'!$A$1:$W$1,),))</f>
        <v/>
      </c>
      <c r="C121" s="14">
        <f>Table13468113456716[[#This Row],[PMI]]-B120</f>
        <v/>
      </c>
    </row>
    <row r="122">
      <c r="A122" s="8" t="n">
        <v>43983</v>
      </c>
      <c r="B122" s="11">
        <f>IF(VLOOKUP(A122,'DB Country PMI'!$A:$W,MATCH($A$1,'DB Country PMI'!$A$1:$W$1,),)=0,#N/A,VLOOKUP(A122,'DB Country PMI'!$A:$W,MATCH($A$1,'DB Country PMI'!$A$1:$W$1,),))</f>
        <v/>
      </c>
      <c r="C122" s="14">
        <f>Table13468113456716[[#This Row],[PMI]]-B121</f>
        <v/>
      </c>
    </row>
    <row r="123">
      <c r="A123" s="8" t="n">
        <v>44013</v>
      </c>
      <c r="B123" s="11">
        <f>IF(VLOOKUP(A123,'DB Country PMI'!$A:$W,MATCH($A$1,'DB Country PMI'!$A$1:$W$1,),)=0,#N/A,VLOOKUP(A123,'DB Country PMI'!$A:$W,MATCH($A$1,'DB Country PMI'!$A$1:$W$1,),))</f>
        <v/>
      </c>
      <c r="C123" s="14">
        <f>Table13468113456716[[#This Row],[PMI]]-B122</f>
        <v/>
      </c>
    </row>
    <row r="124">
      <c r="A124" s="8" t="n">
        <v>44044</v>
      </c>
      <c r="B124" s="11">
        <f>IF(VLOOKUP(A124,'DB Country PMI'!$A:$W,MATCH($A$1,'DB Country PMI'!$A$1:$W$1,),)=0,#N/A,VLOOKUP(A124,'DB Country PMI'!$A:$W,MATCH($A$1,'DB Country PMI'!$A$1:$W$1,),))</f>
        <v/>
      </c>
      <c r="C124" s="14">
        <f>Table13468113456716[[#This Row],[PMI]]-B123</f>
        <v/>
      </c>
    </row>
    <row r="125">
      <c r="A125" s="8" t="n">
        <v>44075</v>
      </c>
      <c r="B125" s="11">
        <f>IF(VLOOKUP(A125,'DB Country PMI'!$A:$W,MATCH($A$1,'DB Country PMI'!$A$1:$W$1,),)=0,#N/A,VLOOKUP(A125,'DB Country PMI'!$A:$W,MATCH($A$1,'DB Country PMI'!$A$1:$W$1,),))</f>
        <v/>
      </c>
      <c r="C125" s="14">
        <f>Table13468113456716[[#This Row],[PMI]]-B124</f>
        <v/>
      </c>
    </row>
    <row r="126">
      <c r="A126" s="8" t="n">
        <v>44105</v>
      </c>
      <c r="B126" s="11">
        <f>IF(VLOOKUP(A126,'DB Country PMI'!$A:$W,MATCH($A$1,'DB Country PMI'!$A$1:$W$1,),)=0,#N/A,VLOOKUP(A126,'DB Country PMI'!$A:$W,MATCH($A$1,'DB Country PMI'!$A$1:$W$1,),))</f>
        <v/>
      </c>
      <c r="C126" s="14">
        <f>Table13468113456716[[#This Row],[PMI]]-B125</f>
        <v/>
      </c>
    </row>
    <row r="127">
      <c r="A127" s="8" t="n">
        <v>44136</v>
      </c>
      <c r="B127" s="11">
        <f>IF(VLOOKUP(A127,'DB Country PMI'!$A:$W,MATCH($A$1,'DB Country PMI'!$A$1:$W$1,),)=0,#N/A,VLOOKUP(A127,'DB Country PMI'!$A:$W,MATCH($A$1,'DB Country PMI'!$A$1:$W$1,),))</f>
        <v/>
      </c>
      <c r="C127" s="14">
        <f>Table13468113456716[[#This Row],[PMI]]-B126</f>
        <v/>
      </c>
    </row>
    <row r="128">
      <c r="A128" s="8" t="n">
        <v>44166</v>
      </c>
      <c r="B128" s="11">
        <f>IF(VLOOKUP(A128,'DB Country PMI'!$A:$W,MATCH($A$1,'DB Country PMI'!$A$1:$W$1,),)=0,#N/A,VLOOKUP(A128,'DB Country PMI'!$A:$W,MATCH($A$1,'DB Country PMI'!$A$1:$W$1,),))</f>
        <v/>
      </c>
      <c r="C128" s="14">
        <f>Table13468113456716[[#This Row],[PMI]]-B127</f>
        <v/>
      </c>
    </row>
    <row r="129">
      <c r="A129" s="8" t="n">
        <v>44197</v>
      </c>
      <c r="B129" s="11">
        <f>IF(VLOOKUP(A129,'DB Country PMI'!$A:$W,MATCH($A$1,'DB Country PMI'!$A$1:$W$1,),)=0,#N/A,VLOOKUP(A129,'DB Country PMI'!$A:$W,MATCH($A$1,'DB Country PMI'!$A$1:$W$1,),))</f>
        <v/>
      </c>
      <c r="C129" s="14">
        <f>Table13468113456716[[#This Row],[PMI]]-B128</f>
        <v/>
      </c>
    </row>
    <row r="130">
      <c r="A130" s="8" t="n">
        <v>44228</v>
      </c>
      <c r="B130" s="11">
        <f>IF(VLOOKUP(A130,'DB Country PMI'!$A:$W,MATCH($A$1,'DB Country PMI'!$A$1:$W$1,),)=0,#N/A,VLOOKUP(A130,'DB Country PMI'!$A:$W,MATCH($A$1,'DB Country PMI'!$A$1:$W$1,),))</f>
        <v/>
      </c>
      <c r="C130" s="14">
        <f>Table13468113456716[[#This Row],[PMI]]-B129</f>
        <v/>
      </c>
    </row>
    <row r="131">
      <c r="A131" s="8" t="n">
        <v>44256</v>
      </c>
      <c r="B131" s="11">
        <f>IF(VLOOKUP(A131,'DB Country PMI'!$A:$W,MATCH($A$1,'DB Country PMI'!$A$1:$W$1,),)=0,#N/A,VLOOKUP(A131,'DB Country PMI'!$A:$W,MATCH($A$1,'DB Country PMI'!$A$1:$W$1,),))</f>
        <v/>
      </c>
      <c r="C131" s="14">
        <f>Table13468113456716[[#This Row],[PMI]]-B130</f>
        <v/>
      </c>
    </row>
    <row r="132">
      <c r="A132" s="8" t="n">
        <v>44287</v>
      </c>
      <c r="B132" s="11">
        <f>IF(VLOOKUP(A132,'DB Country PMI'!$A:$W,MATCH($A$1,'DB Country PMI'!$A$1:$W$1,),)=0,#N/A,VLOOKUP(A132,'DB Country PMI'!$A:$W,MATCH($A$1,'DB Country PMI'!$A$1:$W$1,),))</f>
        <v/>
      </c>
      <c r="C132" s="14">
        <f>Table13468113456716[[#This Row],[PMI]]-B131</f>
        <v/>
      </c>
    </row>
    <row r="133">
      <c r="A133" s="8" t="n">
        <v>44317</v>
      </c>
      <c r="B133" s="11">
        <f>IF(VLOOKUP(A133,'DB Country PMI'!$A:$W,MATCH($A$1,'DB Country PMI'!$A$1:$W$1,),)=0,#N/A,VLOOKUP(A133,'DB Country PMI'!$A:$W,MATCH($A$1,'DB Country PMI'!$A$1:$W$1,),))</f>
        <v/>
      </c>
      <c r="C133" s="14">
        <f>Table13468113456716[[#This Row],[PMI]]-B132</f>
        <v/>
      </c>
    </row>
    <row r="134">
      <c r="A134" s="8" t="n">
        <v>44348</v>
      </c>
      <c r="B134" s="11">
        <f>IF(VLOOKUP(A134,'DB Country PMI'!$A:$W,MATCH($A$1,'DB Country PMI'!$A$1:$W$1,),)=0,#N/A,VLOOKUP(A134,'DB Country PMI'!$A:$W,MATCH($A$1,'DB Country PMI'!$A$1:$W$1,),))</f>
        <v/>
      </c>
      <c r="C134" s="14">
        <f>Table13468113456716[[#This Row],[PMI]]-B133</f>
        <v/>
      </c>
    </row>
    <row r="135">
      <c r="A135" s="8" t="n">
        <v>44378</v>
      </c>
      <c r="B135" s="11">
        <f>IF(VLOOKUP(A135,'DB Country PMI'!$A:$W,MATCH($A$1,'DB Country PMI'!$A$1:$W$1,),)=0,#N/A,VLOOKUP(A135,'DB Country PMI'!$A:$W,MATCH($A$1,'DB Country PMI'!$A$1:$W$1,),))</f>
        <v/>
      </c>
      <c r="C135" s="14">
        <f>Table13468113456716[[#This Row],[PMI]]-B134</f>
        <v/>
      </c>
    </row>
    <row r="136">
      <c r="A136" s="8" t="n">
        <v>44409</v>
      </c>
      <c r="B136" s="11">
        <f>IF(VLOOKUP(A136,'DB Country PMI'!$A:$W,MATCH($A$1,'DB Country PMI'!$A$1:$W$1,),)=0,#N/A,VLOOKUP(A136,'DB Country PMI'!$A:$W,MATCH($A$1,'DB Country PMI'!$A$1:$W$1,),))</f>
        <v/>
      </c>
      <c r="C136" s="14">
        <f>Table13468113456716[[#This Row],[PMI]]-B135</f>
        <v/>
      </c>
    </row>
    <row r="137">
      <c r="A137" s="8" t="n">
        <v>44440</v>
      </c>
      <c r="B137" s="11">
        <f>IF(VLOOKUP(A137,'DB Country PMI'!$A:$W,MATCH($A$1,'DB Country PMI'!$A$1:$W$1,),)=0,#N/A,VLOOKUP(A137,'DB Country PMI'!$A:$W,MATCH($A$1,'DB Country PMI'!$A$1:$W$1,),))</f>
        <v/>
      </c>
      <c r="C137" s="14">
        <f>Table13468113456716[[#This Row],[PMI]]-B136</f>
        <v/>
      </c>
    </row>
    <row r="138">
      <c r="A138" s="8" t="n">
        <v>44470</v>
      </c>
      <c r="B138" s="11">
        <f>IF(VLOOKUP(A138,'DB Country PMI'!$A:$W,MATCH($A$1,'DB Country PMI'!$A$1:$W$1,),)=0,#N/A,VLOOKUP(A138,'DB Country PMI'!$A:$W,MATCH($A$1,'DB Country PMI'!$A$1:$W$1,),))</f>
        <v/>
      </c>
      <c r="C138" s="14">
        <f>Table13468113456716[[#This Row],[PMI]]-B137</f>
        <v/>
      </c>
    </row>
    <row r="139">
      <c r="A139" s="8" t="n">
        <v>44501</v>
      </c>
      <c r="B139" s="11">
        <f>IF(VLOOKUP(A139,'DB Country PMI'!$A:$W,MATCH($A$1,'DB Country PMI'!$A$1:$W$1,),)=0,#N/A,VLOOKUP(A139,'DB Country PMI'!$A:$W,MATCH($A$1,'DB Country PMI'!$A$1:$W$1,),))</f>
        <v/>
      </c>
      <c r="C139" s="14">
        <f>Table13468113456716[[#This Row],[PMI]]-B138</f>
        <v/>
      </c>
    </row>
    <row r="140">
      <c r="A140" s="8" t="n">
        <v>44531</v>
      </c>
      <c r="B140" s="11">
        <f>IF(VLOOKUP(A140,'DB Country PMI'!$A:$W,MATCH($A$1,'DB Country PMI'!$A$1:$W$1,),)=0,#N/A,VLOOKUP(A140,'DB Country PMI'!$A:$W,MATCH($A$1,'DB Country PMI'!$A$1:$W$1,),))</f>
        <v/>
      </c>
      <c r="C140" s="14">
        <f>Table13468113456716[[#This Row],[PMI]]-B139</f>
        <v/>
      </c>
    </row>
    <row r="141">
      <c r="A141" s="8" t="n">
        <v>44562</v>
      </c>
      <c r="B141" s="11">
        <f>IF(VLOOKUP(A141,'DB Country PMI'!$A:$W,MATCH($A$1,'DB Country PMI'!$A$1:$W$1,),)=0,#N/A,VLOOKUP(A141,'DB Country PMI'!$A:$W,MATCH($A$1,'DB Country PMI'!$A$1:$W$1,),))</f>
        <v/>
      </c>
      <c r="C141" s="14">
        <f>Table13468113456716[[#This Row],[PMI]]-B140</f>
        <v/>
      </c>
    </row>
    <row r="142">
      <c r="A142" s="8" t="n">
        <v>44593</v>
      </c>
      <c r="B142" s="11">
        <f>IF(VLOOKUP(A142,'DB Country PMI'!$A:$W,MATCH($A$1,'DB Country PMI'!$A$1:$W$1,),)=0,#N/A,VLOOKUP(A142,'DB Country PMI'!$A:$W,MATCH($A$1,'DB Country PMI'!$A$1:$W$1,),))</f>
        <v/>
      </c>
      <c r="C142" s="14">
        <f>Table13468113456716[[#This Row],[PMI]]-B141</f>
        <v/>
      </c>
    </row>
    <row r="143">
      <c r="A143" s="8" t="n">
        <v>44621</v>
      </c>
      <c r="B143" s="11">
        <f>IF(VLOOKUP(A143,'DB Country PMI'!$A:$W,MATCH($A$1,'DB Country PMI'!$A$1:$W$1,),)=0,#N/A,VLOOKUP(A143,'DB Country PMI'!$A:$W,MATCH($A$1,'DB Country PMI'!$A$1:$W$1,),))</f>
        <v/>
      </c>
      <c r="C143" s="14">
        <f>Table13468113456716[[#This Row],[PMI]]-B142</f>
        <v/>
      </c>
    </row>
  </sheetData>
  <conditionalFormatting sqref="C7:C143">
    <cfRule type="colorScale" priority="207">
      <colorScale>
        <cfvo type="min"/>
        <cfvo type="percentile" val="50"/>
        <cfvo type="max"/>
        <color rgb="FFF8696B"/>
        <color rgb="FFFCFCFF"/>
        <color rgb="FF5A8AC6"/>
      </colorScale>
    </cfRule>
  </conditionalFormatting>
  <conditionalFormatting sqref="B6:B143">
    <cfRule type="colorScale" priority="208">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3.xml><?xml version="1.0" encoding="utf-8"?>
<worksheet xmlns="http://schemas.openxmlformats.org/spreadsheetml/2006/main">
  <sheetPr>
    <outlinePr summaryBelow="1" summaryRight="1"/>
    <pageSetUpPr/>
  </sheetPr>
  <dimension ref="A1:J143"/>
  <sheetViews>
    <sheetView zoomScale="160" zoomScaleNormal="160" workbookViewId="0">
      <pane ySplit="5" topLeftCell="A118" activePane="bottomLeft" state="frozen"/>
      <selection pane="bottomLeft" activeCell="A138" sqref="A138:C143"/>
    </sheetView>
  </sheetViews>
  <sheetFormatPr baseColWidth="10" defaultColWidth="9.1640625" defaultRowHeight="15"/>
  <cols>
    <col width="13.5" customWidth="1" style="60" min="1" max="1"/>
    <col width="11.33203125" customWidth="1" style="60" min="2" max="2"/>
    <col width="9.1640625" customWidth="1" style="60" min="3" max="7"/>
    <col width="9.1640625" customWidth="1" style="60" min="8" max="16384"/>
  </cols>
  <sheetData>
    <row r="1">
      <c r="A1" s="60" t="inlineStr">
        <is>
          <t>Ireland</t>
        </is>
      </c>
      <c r="J1" s="60" t="inlineStr">
        <is>
          <t xml:space="preserve"> Services PMI</t>
        </is>
      </c>
    </row>
    <row r="2">
      <c r="J2" s="60" t="inlineStr">
        <is>
          <t>Ireland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Table1346811345678[[#This Row],[PMI]]-B6</f>
        <v/>
      </c>
    </row>
    <row r="8">
      <c r="A8" s="8" t="n">
        <v>40513</v>
      </c>
      <c r="B8" s="11">
        <f>IF(VLOOKUP(A8,'DB Country PMI'!$A:$W,MATCH($A$1,'DB Country PMI'!$A$1:$W$1,),)=0,#N/A,VLOOKUP(A8,'DB Country PMI'!$A:$W,MATCH($A$1,'DB Country PMI'!$A$1:$W$1,),))</f>
        <v/>
      </c>
      <c r="C8" s="14">
        <f>Table1346811345678[[#This Row],[PMI]]-B7</f>
        <v/>
      </c>
    </row>
    <row r="9">
      <c r="A9" s="8" t="n">
        <v>40544</v>
      </c>
      <c r="B9" s="11">
        <f>IF(VLOOKUP(A9,'DB Country PMI'!$A:$W,MATCH($A$1,'DB Country PMI'!$A$1:$W$1,),)=0,#N/A,VLOOKUP(A9,'DB Country PMI'!$A:$W,MATCH($A$1,'DB Country PMI'!$A$1:$W$1,),))</f>
        <v/>
      </c>
      <c r="C9" s="14">
        <f>Table1346811345678[[#This Row],[PMI]]-B8</f>
        <v/>
      </c>
    </row>
    <row r="10">
      <c r="A10" s="8" t="n">
        <v>40575</v>
      </c>
      <c r="B10" s="11">
        <f>IF(VLOOKUP(A10,'DB Country PMI'!$A:$W,MATCH($A$1,'DB Country PMI'!$A$1:$W$1,),)=0,#N/A,VLOOKUP(A10,'DB Country PMI'!$A:$W,MATCH($A$1,'DB Country PMI'!$A$1:$W$1,),))</f>
        <v/>
      </c>
      <c r="C10" s="14">
        <f>Table1346811345678[[#This Row],[PMI]]-B9</f>
        <v/>
      </c>
    </row>
    <row r="11">
      <c r="A11" s="8" t="n">
        <v>40603</v>
      </c>
      <c r="B11" s="11">
        <f>IF(VLOOKUP(A11,'DB Country PMI'!$A:$W,MATCH($A$1,'DB Country PMI'!$A$1:$W$1,),)=0,#N/A,VLOOKUP(A11,'DB Country PMI'!$A:$W,MATCH($A$1,'DB Country PMI'!$A$1:$W$1,),))</f>
        <v/>
      </c>
      <c r="C11" s="14">
        <f>Table1346811345678[[#This Row],[PMI]]-B10</f>
        <v/>
      </c>
    </row>
    <row r="12">
      <c r="A12" s="8" t="n">
        <v>40634</v>
      </c>
      <c r="B12" s="11">
        <f>IF(VLOOKUP(A12,'DB Country PMI'!$A:$W,MATCH($A$1,'DB Country PMI'!$A$1:$W$1,),)=0,#N/A,VLOOKUP(A12,'DB Country PMI'!$A:$W,MATCH($A$1,'DB Country PMI'!$A$1:$W$1,),))</f>
        <v/>
      </c>
      <c r="C12" s="14">
        <f>Table1346811345678[[#This Row],[PMI]]-B11</f>
        <v/>
      </c>
    </row>
    <row r="13">
      <c r="A13" s="8" t="n">
        <v>40664</v>
      </c>
      <c r="B13" s="11">
        <f>IF(VLOOKUP(A13,'DB Country PMI'!$A:$W,MATCH($A$1,'DB Country PMI'!$A$1:$W$1,),)=0,#N/A,VLOOKUP(A13,'DB Country PMI'!$A:$W,MATCH($A$1,'DB Country PMI'!$A$1:$W$1,),))</f>
        <v/>
      </c>
      <c r="C13" s="14">
        <f>Table1346811345678[[#This Row],[PMI]]-B12</f>
        <v/>
      </c>
    </row>
    <row r="14">
      <c r="A14" s="8" t="n">
        <v>40695</v>
      </c>
      <c r="B14" s="11">
        <f>IF(VLOOKUP(A14,'DB Country PMI'!$A:$W,MATCH($A$1,'DB Country PMI'!$A$1:$W$1,),)=0,#N/A,VLOOKUP(A14,'DB Country PMI'!$A:$W,MATCH($A$1,'DB Country PMI'!$A$1:$W$1,),))</f>
        <v/>
      </c>
      <c r="C14" s="14">
        <f>Table1346811345678[[#This Row],[PMI]]-B13</f>
        <v/>
      </c>
    </row>
    <row r="15">
      <c r="A15" s="8" t="n">
        <v>40725</v>
      </c>
      <c r="B15" s="11">
        <f>IF(VLOOKUP(A15,'DB Country PMI'!$A:$W,MATCH($A$1,'DB Country PMI'!$A$1:$W$1,),)=0,#N/A,VLOOKUP(A15,'DB Country PMI'!$A:$W,MATCH($A$1,'DB Country PMI'!$A$1:$W$1,),))</f>
        <v/>
      </c>
      <c r="C15" s="14">
        <f>Table1346811345678[[#This Row],[PMI]]-B14</f>
        <v/>
      </c>
    </row>
    <row r="16">
      <c r="A16" s="8" t="n">
        <v>40756</v>
      </c>
      <c r="B16" s="11">
        <f>IF(VLOOKUP(A16,'DB Country PMI'!$A:$W,MATCH($A$1,'DB Country PMI'!$A$1:$W$1,),)=0,#N/A,VLOOKUP(A16,'DB Country PMI'!$A:$W,MATCH($A$1,'DB Country PMI'!$A$1:$W$1,),))</f>
        <v/>
      </c>
      <c r="C16" s="14">
        <f>Table1346811345678[[#This Row],[PMI]]-B15</f>
        <v/>
      </c>
    </row>
    <row r="17">
      <c r="A17" s="8" t="n">
        <v>40787</v>
      </c>
      <c r="B17" s="11">
        <f>IF(VLOOKUP(A17,'DB Country PMI'!$A:$W,MATCH($A$1,'DB Country PMI'!$A$1:$W$1,),)=0,#N/A,VLOOKUP(A17,'DB Country PMI'!$A:$W,MATCH($A$1,'DB Country PMI'!$A$1:$W$1,),))</f>
        <v/>
      </c>
      <c r="C17" s="14">
        <f>Table1346811345678[[#This Row],[PMI]]-B16</f>
        <v/>
      </c>
    </row>
    <row r="18">
      <c r="A18" s="8" t="n">
        <v>40817</v>
      </c>
      <c r="B18" s="11">
        <f>IF(VLOOKUP(A18,'DB Country PMI'!$A:$W,MATCH($A$1,'DB Country PMI'!$A$1:$W$1,),)=0,#N/A,VLOOKUP(A18,'DB Country PMI'!$A:$W,MATCH($A$1,'DB Country PMI'!$A$1:$W$1,),))</f>
        <v/>
      </c>
      <c r="C18" s="14">
        <f>Table1346811345678[[#This Row],[PMI]]-B17</f>
        <v/>
      </c>
    </row>
    <row r="19">
      <c r="A19" s="8" t="n">
        <v>40848</v>
      </c>
      <c r="B19" s="11">
        <f>IF(VLOOKUP(A19,'DB Country PMI'!$A:$W,MATCH($A$1,'DB Country PMI'!$A$1:$W$1,),)=0,#N/A,VLOOKUP(A19,'DB Country PMI'!$A:$W,MATCH($A$1,'DB Country PMI'!$A$1:$W$1,),))</f>
        <v/>
      </c>
      <c r="C19" s="14">
        <f>Table1346811345678[[#This Row],[PMI]]-B18</f>
        <v/>
      </c>
    </row>
    <row r="20">
      <c r="A20" s="8" t="n">
        <v>40878</v>
      </c>
      <c r="B20" s="11">
        <f>IF(VLOOKUP(A20,'DB Country PMI'!$A:$W,MATCH($A$1,'DB Country PMI'!$A$1:$W$1,),)=0,#N/A,VLOOKUP(A20,'DB Country PMI'!$A:$W,MATCH($A$1,'DB Country PMI'!$A$1:$W$1,),))</f>
        <v/>
      </c>
      <c r="C20" s="14">
        <f>Table1346811345678[[#This Row],[PMI]]-B19</f>
        <v/>
      </c>
    </row>
    <row r="21">
      <c r="A21" s="8" t="n">
        <v>40909</v>
      </c>
      <c r="B21" s="11">
        <f>IF(VLOOKUP(A21,'DB Country PMI'!$A:$W,MATCH($A$1,'DB Country PMI'!$A$1:$W$1,),)=0,#N/A,VLOOKUP(A21,'DB Country PMI'!$A:$W,MATCH($A$1,'DB Country PMI'!$A$1:$W$1,),))</f>
        <v/>
      </c>
      <c r="C21" s="14">
        <f>Table1346811345678[[#This Row],[PMI]]-B20</f>
        <v/>
      </c>
    </row>
    <row r="22">
      <c r="A22" s="8" t="n">
        <v>40940</v>
      </c>
      <c r="B22" s="11">
        <f>IF(VLOOKUP(A22,'DB Country PMI'!$A:$W,MATCH($A$1,'DB Country PMI'!$A$1:$W$1,),)=0,#N/A,VLOOKUP(A22,'DB Country PMI'!$A:$W,MATCH($A$1,'DB Country PMI'!$A$1:$W$1,),))</f>
        <v/>
      </c>
      <c r="C22" s="14">
        <f>Table1346811345678[[#This Row],[PMI]]-B21</f>
        <v/>
      </c>
    </row>
    <row r="23">
      <c r="A23" s="8" t="n">
        <v>40969</v>
      </c>
      <c r="B23" s="11">
        <f>IF(VLOOKUP(A23,'DB Country PMI'!$A:$W,MATCH($A$1,'DB Country PMI'!$A$1:$W$1,),)=0,#N/A,VLOOKUP(A23,'DB Country PMI'!$A:$W,MATCH($A$1,'DB Country PMI'!$A$1:$W$1,),))</f>
        <v/>
      </c>
      <c r="C23" s="14">
        <f>Table1346811345678[[#This Row],[PMI]]-B22</f>
        <v/>
      </c>
    </row>
    <row r="24">
      <c r="A24" s="8" t="n">
        <v>41000</v>
      </c>
      <c r="B24" s="11">
        <f>IF(VLOOKUP(A24,'DB Country PMI'!$A:$W,MATCH($A$1,'DB Country PMI'!$A$1:$W$1,),)=0,#N/A,VLOOKUP(A24,'DB Country PMI'!$A:$W,MATCH($A$1,'DB Country PMI'!$A$1:$W$1,),))</f>
        <v/>
      </c>
      <c r="C24" s="14">
        <f>Table1346811345678[[#This Row],[PMI]]-B23</f>
        <v/>
      </c>
    </row>
    <row r="25">
      <c r="A25" s="8" t="n">
        <v>41030</v>
      </c>
      <c r="B25" s="11">
        <f>IF(VLOOKUP(A25,'DB Country PMI'!$A:$W,MATCH($A$1,'DB Country PMI'!$A$1:$W$1,),)=0,#N/A,VLOOKUP(A25,'DB Country PMI'!$A:$W,MATCH($A$1,'DB Country PMI'!$A$1:$W$1,),))</f>
        <v/>
      </c>
      <c r="C25" s="14">
        <f>Table1346811345678[[#This Row],[PMI]]-B24</f>
        <v/>
      </c>
    </row>
    <row r="26">
      <c r="A26" s="8" t="n">
        <v>41061</v>
      </c>
      <c r="B26" s="11">
        <f>IF(VLOOKUP(A26,'DB Country PMI'!$A:$W,MATCH($A$1,'DB Country PMI'!$A$1:$W$1,),)=0,#N/A,VLOOKUP(A26,'DB Country PMI'!$A:$W,MATCH($A$1,'DB Country PMI'!$A$1:$W$1,),))</f>
        <v/>
      </c>
      <c r="C26" s="14">
        <f>Table1346811345678[[#This Row],[PMI]]-B25</f>
        <v/>
      </c>
    </row>
    <row r="27">
      <c r="A27" s="8" t="n">
        <v>41091</v>
      </c>
      <c r="B27" s="11">
        <f>IF(VLOOKUP(A27,'DB Country PMI'!$A:$W,MATCH($A$1,'DB Country PMI'!$A$1:$W$1,),)=0,#N/A,VLOOKUP(A27,'DB Country PMI'!$A:$W,MATCH($A$1,'DB Country PMI'!$A$1:$W$1,),))</f>
        <v/>
      </c>
      <c r="C27" s="14">
        <f>Table1346811345678[[#This Row],[PMI]]-B26</f>
        <v/>
      </c>
    </row>
    <row r="28">
      <c r="A28" s="8" t="n">
        <v>41122</v>
      </c>
      <c r="B28" s="11">
        <f>IF(VLOOKUP(A28,'DB Country PMI'!$A:$W,MATCH($A$1,'DB Country PMI'!$A$1:$W$1,),)=0,#N/A,VLOOKUP(A28,'DB Country PMI'!$A:$W,MATCH($A$1,'DB Country PMI'!$A$1:$W$1,),))</f>
        <v/>
      </c>
      <c r="C28" s="14">
        <f>Table1346811345678[[#This Row],[PMI]]-B27</f>
        <v/>
      </c>
    </row>
    <row r="29">
      <c r="A29" s="8" t="n">
        <v>41153</v>
      </c>
      <c r="B29" s="11">
        <f>IF(VLOOKUP(A29,'DB Country PMI'!$A:$W,MATCH($A$1,'DB Country PMI'!$A$1:$W$1,),)=0,#N/A,VLOOKUP(A29,'DB Country PMI'!$A:$W,MATCH($A$1,'DB Country PMI'!$A$1:$W$1,),))</f>
        <v/>
      </c>
      <c r="C29" s="14">
        <f>Table1346811345678[[#This Row],[PMI]]-B28</f>
        <v/>
      </c>
    </row>
    <row r="30">
      <c r="A30" s="8" t="n">
        <v>41183</v>
      </c>
      <c r="B30" s="11">
        <f>IF(VLOOKUP(A30,'DB Country PMI'!$A:$W,MATCH($A$1,'DB Country PMI'!$A$1:$W$1,),)=0,#N/A,VLOOKUP(A30,'DB Country PMI'!$A:$W,MATCH($A$1,'DB Country PMI'!$A$1:$W$1,),))</f>
        <v/>
      </c>
      <c r="C30" s="14">
        <f>Table1346811345678[[#This Row],[PMI]]-B29</f>
        <v/>
      </c>
    </row>
    <row r="31">
      <c r="A31" s="8" t="n">
        <v>41214</v>
      </c>
      <c r="B31" s="11">
        <f>IF(VLOOKUP(A31,'DB Country PMI'!$A:$W,MATCH($A$1,'DB Country PMI'!$A$1:$W$1,),)=0,#N/A,VLOOKUP(A31,'DB Country PMI'!$A:$W,MATCH($A$1,'DB Country PMI'!$A$1:$W$1,),))</f>
        <v/>
      </c>
      <c r="C31" s="14">
        <f>Table1346811345678[[#This Row],[PMI]]-B30</f>
        <v/>
      </c>
    </row>
    <row r="32">
      <c r="A32" s="8" t="n">
        <v>41244</v>
      </c>
      <c r="B32" s="11">
        <f>IF(VLOOKUP(A32,'DB Country PMI'!$A:$W,MATCH($A$1,'DB Country PMI'!$A$1:$W$1,),)=0,#N/A,VLOOKUP(A32,'DB Country PMI'!$A:$W,MATCH($A$1,'DB Country PMI'!$A$1:$W$1,),))</f>
        <v/>
      </c>
      <c r="C32" s="14">
        <f>Table1346811345678[[#This Row],[PMI]]-B31</f>
        <v/>
      </c>
    </row>
    <row r="33">
      <c r="A33" s="8" t="n">
        <v>41275</v>
      </c>
      <c r="B33" s="11">
        <f>IF(VLOOKUP(A33,'DB Country PMI'!$A:$W,MATCH($A$1,'DB Country PMI'!$A$1:$W$1,),)=0,#N/A,VLOOKUP(A33,'DB Country PMI'!$A:$W,MATCH($A$1,'DB Country PMI'!$A$1:$W$1,),))</f>
        <v/>
      </c>
      <c r="C33" s="14">
        <f>Table1346811345678[[#This Row],[PMI]]-B32</f>
        <v/>
      </c>
    </row>
    <row r="34">
      <c r="A34" s="8" t="n">
        <v>41306</v>
      </c>
      <c r="B34" s="11">
        <f>IF(VLOOKUP(A34,'DB Country PMI'!$A:$W,MATCH($A$1,'DB Country PMI'!$A$1:$W$1,),)=0,#N/A,VLOOKUP(A34,'DB Country PMI'!$A:$W,MATCH($A$1,'DB Country PMI'!$A$1:$W$1,),))</f>
        <v/>
      </c>
      <c r="C34" s="14">
        <f>Table1346811345678[[#This Row],[PMI]]-B33</f>
        <v/>
      </c>
    </row>
    <row r="35">
      <c r="A35" s="8" t="n">
        <v>41334</v>
      </c>
      <c r="B35" s="11">
        <f>IF(VLOOKUP(A35,'DB Country PMI'!$A:$W,MATCH($A$1,'DB Country PMI'!$A$1:$W$1,),)=0,#N/A,VLOOKUP(A35,'DB Country PMI'!$A:$W,MATCH($A$1,'DB Country PMI'!$A$1:$W$1,),))</f>
        <v/>
      </c>
      <c r="C35" s="14">
        <f>Table1346811345678[[#This Row],[PMI]]-B34</f>
        <v/>
      </c>
    </row>
    <row r="36">
      <c r="A36" s="8" t="n">
        <v>41365</v>
      </c>
      <c r="B36" s="11">
        <f>IF(VLOOKUP(A36,'DB Country PMI'!$A:$W,MATCH($A$1,'DB Country PMI'!$A$1:$W$1,),)=0,#N/A,VLOOKUP(A36,'DB Country PMI'!$A:$W,MATCH($A$1,'DB Country PMI'!$A$1:$W$1,),))</f>
        <v/>
      </c>
      <c r="C36" s="14">
        <f>Table1346811345678[[#This Row],[PMI]]-B35</f>
        <v/>
      </c>
    </row>
    <row r="37">
      <c r="A37" s="8" t="n">
        <v>41395</v>
      </c>
      <c r="B37" s="11">
        <f>IF(VLOOKUP(A37,'DB Country PMI'!$A:$W,MATCH($A$1,'DB Country PMI'!$A$1:$W$1,),)=0,#N/A,VLOOKUP(A37,'DB Country PMI'!$A:$W,MATCH($A$1,'DB Country PMI'!$A$1:$W$1,),))</f>
        <v/>
      </c>
      <c r="C37" s="14">
        <f>Table1346811345678[[#This Row],[PMI]]-B36</f>
        <v/>
      </c>
    </row>
    <row r="38">
      <c r="A38" s="8" t="n">
        <v>41426</v>
      </c>
      <c r="B38" s="11">
        <f>IF(VLOOKUP(A38,'DB Country PMI'!$A:$W,MATCH($A$1,'DB Country PMI'!$A$1:$W$1,),)=0,#N/A,VLOOKUP(A38,'DB Country PMI'!$A:$W,MATCH($A$1,'DB Country PMI'!$A$1:$W$1,),))</f>
        <v/>
      </c>
      <c r="C38" s="14">
        <f>Table1346811345678[[#This Row],[PMI]]-B37</f>
        <v/>
      </c>
    </row>
    <row r="39">
      <c r="A39" s="8" t="n">
        <v>41456</v>
      </c>
      <c r="B39" s="11">
        <f>IF(VLOOKUP(A39,'DB Country PMI'!$A:$W,MATCH($A$1,'DB Country PMI'!$A$1:$W$1,),)=0,#N/A,VLOOKUP(A39,'DB Country PMI'!$A:$W,MATCH($A$1,'DB Country PMI'!$A$1:$W$1,),))</f>
        <v/>
      </c>
      <c r="C39" s="14">
        <f>Table1346811345678[[#This Row],[PMI]]-B38</f>
        <v/>
      </c>
    </row>
    <row r="40">
      <c r="A40" s="8" t="n">
        <v>41487</v>
      </c>
      <c r="B40" s="11">
        <f>IF(VLOOKUP(A40,'DB Country PMI'!$A:$W,MATCH($A$1,'DB Country PMI'!$A$1:$W$1,),)=0,#N/A,VLOOKUP(A40,'DB Country PMI'!$A:$W,MATCH($A$1,'DB Country PMI'!$A$1:$W$1,),))</f>
        <v/>
      </c>
      <c r="C40" s="14">
        <f>Table1346811345678[[#This Row],[PMI]]-B39</f>
        <v/>
      </c>
    </row>
    <row r="41">
      <c r="A41" s="8" t="n">
        <v>41518</v>
      </c>
      <c r="B41" s="11">
        <f>IF(VLOOKUP(A41,'DB Country PMI'!$A:$W,MATCH($A$1,'DB Country PMI'!$A$1:$W$1,),)=0,#N/A,VLOOKUP(A41,'DB Country PMI'!$A:$W,MATCH($A$1,'DB Country PMI'!$A$1:$W$1,),))</f>
        <v/>
      </c>
      <c r="C41" s="14">
        <f>Table1346811345678[[#This Row],[PMI]]-B40</f>
        <v/>
      </c>
    </row>
    <row r="42">
      <c r="A42" s="8" t="n">
        <v>41548</v>
      </c>
      <c r="B42" s="11">
        <f>IF(VLOOKUP(A42,'DB Country PMI'!$A:$W,MATCH($A$1,'DB Country PMI'!$A$1:$W$1,),)=0,#N/A,VLOOKUP(A42,'DB Country PMI'!$A:$W,MATCH($A$1,'DB Country PMI'!$A$1:$W$1,),))</f>
        <v/>
      </c>
      <c r="C42" s="14">
        <f>Table1346811345678[[#This Row],[PMI]]-B41</f>
        <v/>
      </c>
    </row>
    <row r="43">
      <c r="A43" s="8" t="n">
        <v>41579</v>
      </c>
      <c r="B43" s="11">
        <f>IF(VLOOKUP(A43,'DB Country PMI'!$A:$W,MATCH($A$1,'DB Country PMI'!$A$1:$W$1,),)=0,#N/A,VLOOKUP(A43,'DB Country PMI'!$A:$W,MATCH($A$1,'DB Country PMI'!$A$1:$W$1,),))</f>
        <v/>
      </c>
      <c r="C43" s="14">
        <f>Table1346811345678[[#This Row],[PMI]]-B42</f>
        <v/>
      </c>
    </row>
    <row r="44">
      <c r="A44" s="8" t="n">
        <v>41609</v>
      </c>
      <c r="B44" s="11">
        <f>IF(VLOOKUP(A44,'DB Country PMI'!$A:$W,MATCH($A$1,'DB Country PMI'!$A$1:$W$1,),)=0,#N/A,VLOOKUP(A44,'DB Country PMI'!$A:$W,MATCH($A$1,'DB Country PMI'!$A$1:$W$1,),))</f>
        <v/>
      </c>
      <c r="C44" s="14">
        <f>Table1346811345678[[#This Row],[PMI]]-B43</f>
        <v/>
      </c>
    </row>
    <row r="45">
      <c r="A45" s="8" t="n">
        <v>41640</v>
      </c>
      <c r="B45" s="11">
        <f>IF(VLOOKUP(A45,'DB Country PMI'!$A:$W,MATCH($A$1,'DB Country PMI'!$A$1:$W$1,),)=0,#N/A,VLOOKUP(A45,'DB Country PMI'!$A:$W,MATCH($A$1,'DB Country PMI'!$A$1:$W$1,),))</f>
        <v/>
      </c>
      <c r="C45" s="14">
        <f>Table1346811345678[[#This Row],[PMI]]-B44</f>
        <v/>
      </c>
    </row>
    <row r="46">
      <c r="A46" s="8" t="n">
        <v>41671</v>
      </c>
      <c r="B46" s="11">
        <f>IF(VLOOKUP(A46,'DB Country PMI'!$A:$W,MATCH($A$1,'DB Country PMI'!$A$1:$W$1,),)=0,#N/A,VLOOKUP(A46,'DB Country PMI'!$A:$W,MATCH($A$1,'DB Country PMI'!$A$1:$W$1,),))</f>
        <v/>
      </c>
      <c r="C46" s="14">
        <f>Table1346811345678[[#This Row],[PMI]]-B45</f>
        <v/>
      </c>
    </row>
    <row r="47">
      <c r="A47" s="8" t="n">
        <v>41699</v>
      </c>
      <c r="B47" s="11">
        <f>IF(VLOOKUP(A47,'DB Country PMI'!$A:$W,MATCH($A$1,'DB Country PMI'!$A$1:$W$1,),)=0,#N/A,VLOOKUP(A47,'DB Country PMI'!$A:$W,MATCH($A$1,'DB Country PMI'!$A$1:$W$1,),))</f>
        <v/>
      </c>
      <c r="C47" s="14">
        <f>Table1346811345678[[#This Row],[PMI]]-B46</f>
        <v/>
      </c>
    </row>
    <row r="48">
      <c r="A48" s="8" t="n">
        <v>41730</v>
      </c>
      <c r="B48" s="11">
        <f>IF(VLOOKUP(A48,'DB Country PMI'!$A:$W,MATCH($A$1,'DB Country PMI'!$A$1:$W$1,),)=0,#N/A,VLOOKUP(A48,'DB Country PMI'!$A:$W,MATCH($A$1,'DB Country PMI'!$A$1:$W$1,),))</f>
        <v/>
      </c>
      <c r="C48" s="14">
        <f>Table1346811345678[[#This Row],[PMI]]-B47</f>
        <v/>
      </c>
    </row>
    <row r="49">
      <c r="A49" s="8" t="n">
        <v>41760</v>
      </c>
      <c r="B49" s="11">
        <f>IF(VLOOKUP(A49,'DB Country PMI'!$A:$W,MATCH($A$1,'DB Country PMI'!$A$1:$W$1,),)=0,#N/A,VLOOKUP(A49,'DB Country PMI'!$A:$W,MATCH($A$1,'DB Country PMI'!$A$1:$W$1,),))</f>
        <v/>
      </c>
      <c r="C49" s="14">
        <f>Table1346811345678[[#This Row],[PMI]]-B48</f>
        <v/>
      </c>
    </row>
    <row r="50">
      <c r="A50" s="8" t="n">
        <v>41791</v>
      </c>
      <c r="B50" s="11">
        <f>IF(VLOOKUP(A50,'DB Country PMI'!$A:$W,MATCH($A$1,'DB Country PMI'!$A$1:$W$1,),)=0,#N/A,VLOOKUP(A50,'DB Country PMI'!$A:$W,MATCH($A$1,'DB Country PMI'!$A$1:$W$1,),))</f>
        <v/>
      </c>
      <c r="C50" s="14">
        <f>Table1346811345678[[#This Row],[PMI]]-B49</f>
        <v/>
      </c>
    </row>
    <row r="51">
      <c r="A51" s="8" t="n">
        <v>41821</v>
      </c>
      <c r="B51" s="11">
        <f>IF(VLOOKUP(A51,'DB Country PMI'!$A:$W,MATCH($A$1,'DB Country PMI'!$A$1:$W$1,),)=0,#N/A,VLOOKUP(A51,'DB Country PMI'!$A:$W,MATCH($A$1,'DB Country PMI'!$A$1:$W$1,),))</f>
        <v/>
      </c>
      <c r="C51" s="14">
        <f>Table1346811345678[[#This Row],[PMI]]-B50</f>
        <v/>
      </c>
    </row>
    <row r="52">
      <c r="A52" s="8" t="n">
        <v>41852</v>
      </c>
      <c r="B52" s="11">
        <f>IF(VLOOKUP(A52,'DB Country PMI'!$A:$W,MATCH($A$1,'DB Country PMI'!$A$1:$W$1,),)=0,#N/A,VLOOKUP(A52,'DB Country PMI'!$A:$W,MATCH($A$1,'DB Country PMI'!$A$1:$W$1,),))</f>
        <v/>
      </c>
      <c r="C52" s="14">
        <f>Table1346811345678[[#This Row],[PMI]]-B51</f>
        <v/>
      </c>
    </row>
    <row r="53">
      <c r="A53" s="8" t="n">
        <v>41883</v>
      </c>
      <c r="B53" s="11">
        <f>IF(VLOOKUP(A53,'DB Country PMI'!$A:$W,MATCH($A$1,'DB Country PMI'!$A$1:$W$1,),)=0,#N/A,VLOOKUP(A53,'DB Country PMI'!$A:$W,MATCH($A$1,'DB Country PMI'!$A$1:$W$1,),))</f>
        <v/>
      </c>
      <c r="C53" s="14">
        <f>Table1346811345678[[#This Row],[PMI]]-B52</f>
        <v/>
      </c>
    </row>
    <row r="54">
      <c r="A54" s="8" t="n">
        <v>41913</v>
      </c>
      <c r="B54" s="11">
        <f>IF(VLOOKUP(A54,'DB Country PMI'!$A:$W,MATCH($A$1,'DB Country PMI'!$A$1:$W$1,),)=0,#N/A,VLOOKUP(A54,'DB Country PMI'!$A:$W,MATCH($A$1,'DB Country PMI'!$A$1:$W$1,),))</f>
        <v/>
      </c>
      <c r="C54" s="14">
        <f>Table1346811345678[[#This Row],[PMI]]-B53</f>
        <v/>
      </c>
    </row>
    <row r="55">
      <c r="A55" s="8" t="n">
        <v>41944</v>
      </c>
      <c r="B55" s="11">
        <f>IF(VLOOKUP(A55,'DB Country PMI'!$A:$W,MATCH($A$1,'DB Country PMI'!$A$1:$W$1,),)=0,#N/A,VLOOKUP(A55,'DB Country PMI'!$A:$W,MATCH($A$1,'DB Country PMI'!$A$1:$W$1,),))</f>
        <v/>
      </c>
      <c r="C55" s="14">
        <f>Table1346811345678[[#This Row],[PMI]]-B54</f>
        <v/>
      </c>
    </row>
    <row r="56">
      <c r="A56" s="8" t="n">
        <v>41974</v>
      </c>
      <c r="B56" s="11">
        <f>IF(VLOOKUP(A56,'DB Country PMI'!$A:$W,MATCH($A$1,'DB Country PMI'!$A$1:$W$1,),)=0,#N/A,VLOOKUP(A56,'DB Country PMI'!$A:$W,MATCH($A$1,'DB Country PMI'!$A$1:$W$1,),))</f>
        <v/>
      </c>
      <c r="C56" s="14">
        <f>Table1346811345678[[#This Row],[PMI]]-B55</f>
        <v/>
      </c>
    </row>
    <row r="57">
      <c r="A57" s="8" t="n">
        <v>42005</v>
      </c>
      <c r="B57" s="11">
        <f>IF(VLOOKUP(A57,'DB Country PMI'!$A:$W,MATCH($A$1,'DB Country PMI'!$A$1:$W$1,),)=0,#N/A,VLOOKUP(A57,'DB Country PMI'!$A:$W,MATCH($A$1,'DB Country PMI'!$A$1:$W$1,),))</f>
        <v/>
      </c>
      <c r="C57" s="14">
        <f>Table1346811345678[[#This Row],[PMI]]-B56</f>
        <v/>
      </c>
    </row>
    <row r="58">
      <c r="A58" s="8" t="n">
        <v>42036</v>
      </c>
      <c r="B58" s="11">
        <f>IF(VLOOKUP(A58,'DB Country PMI'!$A:$W,MATCH($A$1,'DB Country PMI'!$A$1:$W$1,),)=0,#N/A,VLOOKUP(A58,'DB Country PMI'!$A:$W,MATCH($A$1,'DB Country PMI'!$A$1:$W$1,),))</f>
        <v/>
      </c>
      <c r="C58" s="14">
        <f>Table1346811345678[[#This Row],[PMI]]-B57</f>
        <v/>
      </c>
    </row>
    <row r="59">
      <c r="A59" s="8" t="n">
        <v>42064</v>
      </c>
      <c r="B59" s="11">
        <f>IF(VLOOKUP(A59,'DB Country PMI'!$A:$W,MATCH($A$1,'DB Country PMI'!$A$1:$W$1,),)=0,#N/A,VLOOKUP(A59,'DB Country PMI'!$A:$W,MATCH($A$1,'DB Country PMI'!$A$1:$W$1,),))</f>
        <v/>
      </c>
      <c r="C59" s="14">
        <f>Table1346811345678[[#This Row],[PMI]]-B58</f>
        <v/>
      </c>
    </row>
    <row r="60">
      <c r="A60" s="8" t="n">
        <v>42095</v>
      </c>
      <c r="B60" s="11">
        <f>IF(VLOOKUP(A60,'DB Country PMI'!$A:$W,MATCH($A$1,'DB Country PMI'!$A$1:$W$1,),)=0,#N/A,VLOOKUP(A60,'DB Country PMI'!$A:$W,MATCH($A$1,'DB Country PMI'!$A$1:$W$1,),))</f>
        <v/>
      </c>
      <c r="C60" s="14">
        <f>Table1346811345678[[#This Row],[PMI]]-B59</f>
        <v/>
      </c>
    </row>
    <row r="61">
      <c r="A61" s="8" t="n">
        <v>42125</v>
      </c>
      <c r="B61" s="11">
        <f>IF(VLOOKUP(A61,'DB Country PMI'!$A:$W,MATCH($A$1,'DB Country PMI'!$A$1:$W$1,),)=0,#N/A,VLOOKUP(A61,'DB Country PMI'!$A:$W,MATCH($A$1,'DB Country PMI'!$A$1:$W$1,),))</f>
        <v/>
      </c>
      <c r="C61" s="14">
        <f>Table1346811345678[[#This Row],[PMI]]-B60</f>
        <v/>
      </c>
    </row>
    <row r="62">
      <c r="A62" s="8" t="n">
        <v>42156</v>
      </c>
      <c r="B62" s="11">
        <f>IF(VLOOKUP(A62,'DB Country PMI'!$A:$W,MATCH($A$1,'DB Country PMI'!$A$1:$W$1,),)=0,#N/A,VLOOKUP(A62,'DB Country PMI'!$A:$W,MATCH($A$1,'DB Country PMI'!$A$1:$W$1,),))</f>
        <v/>
      </c>
      <c r="C62" s="14">
        <f>Table1346811345678[[#This Row],[PMI]]-B61</f>
        <v/>
      </c>
    </row>
    <row r="63">
      <c r="A63" s="8" t="n">
        <v>42186</v>
      </c>
      <c r="B63" s="11">
        <f>IF(VLOOKUP(A63,'DB Country PMI'!$A:$W,MATCH($A$1,'DB Country PMI'!$A$1:$W$1,),)=0,#N/A,VLOOKUP(A63,'DB Country PMI'!$A:$W,MATCH($A$1,'DB Country PMI'!$A$1:$W$1,),))</f>
        <v/>
      </c>
      <c r="C63" s="14">
        <f>Table1346811345678[[#This Row],[PMI]]-B62</f>
        <v/>
      </c>
    </row>
    <row r="64">
      <c r="A64" s="8" t="n">
        <v>42217</v>
      </c>
      <c r="B64" s="11">
        <f>IF(VLOOKUP(A64,'DB Country PMI'!$A:$W,MATCH($A$1,'DB Country PMI'!$A$1:$W$1,),)=0,#N/A,VLOOKUP(A64,'DB Country PMI'!$A:$W,MATCH($A$1,'DB Country PMI'!$A$1:$W$1,),))</f>
        <v/>
      </c>
      <c r="C64" s="14">
        <f>Table1346811345678[[#This Row],[PMI]]-B63</f>
        <v/>
      </c>
    </row>
    <row r="65">
      <c r="A65" s="8" t="n">
        <v>42248</v>
      </c>
      <c r="B65" s="11">
        <f>IF(VLOOKUP(A65,'DB Country PMI'!$A:$W,MATCH($A$1,'DB Country PMI'!$A$1:$W$1,),)=0,#N/A,VLOOKUP(A65,'DB Country PMI'!$A:$W,MATCH($A$1,'DB Country PMI'!$A$1:$W$1,),))</f>
        <v/>
      </c>
      <c r="C65" s="14">
        <f>Table1346811345678[[#This Row],[PMI]]-B64</f>
        <v/>
      </c>
    </row>
    <row r="66">
      <c r="A66" s="8" t="n">
        <v>42278</v>
      </c>
      <c r="B66" s="11">
        <f>IF(VLOOKUP(A66,'DB Country PMI'!$A:$W,MATCH($A$1,'DB Country PMI'!$A$1:$W$1,),)=0,#N/A,VLOOKUP(A66,'DB Country PMI'!$A:$W,MATCH($A$1,'DB Country PMI'!$A$1:$W$1,),))</f>
        <v/>
      </c>
      <c r="C66" s="14">
        <f>Table1346811345678[[#This Row],[PMI]]-B65</f>
        <v/>
      </c>
    </row>
    <row r="67">
      <c r="A67" s="8" t="n">
        <v>42309</v>
      </c>
      <c r="B67" s="11">
        <f>IF(VLOOKUP(A67,'DB Country PMI'!$A:$W,MATCH($A$1,'DB Country PMI'!$A$1:$W$1,),)=0,#N/A,VLOOKUP(A67,'DB Country PMI'!$A:$W,MATCH($A$1,'DB Country PMI'!$A$1:$W$1,),))</f>
        <v/>
      </c>
      <c r="C67" s="14">
        <f>Table1346811345678[[#This Row],[PMI]]-B66</f>
        <v/>
      </c>
    </row>
    <row r="68">
      <c r="A68" s="8" t="n">
        <v>42339</v>
      </c>
      <c r="B68" s="11">
        <f>IF(VLOOKUP(A68,'DB Country PMI'!$A:$W,MATCH($A$1,'DB Country PMI'!$A$1:$W$1,),)=0,#N/A,VLOOKUP(A68,'DB Country PMI'!$A:$W,MATCH($A$1,'DB Country PMI'!$A$1:$W$1,),))</f>
        <v/>
      </c>
      <c r="C68" s="14">
        <f>Table1346811345678[[#This Row],[PMI]]-B67</f>
        <v/>
      </c>
    </row>
    <row r="69">
      <c r="A69" s="8" t="n">
        <v>42370</v>
      </c>
      <c r="B69" s="11">
        <f>IF(VLOOKUP(A69,'DB Country PMI'!$A:$W,MATCH($A$1,'DB Country PMI'!$A$1:$W$1,),)=0,#N/A,VLOOKUP(A69,'DB Country PMI'!$A:$W,MATCH($A$1,'DB Country PMI'!$A$1:$W$1,),))</f>
        <v/>
      </c>
      <c r="C69" s="14">
        <f>Table1346811345678[[#This Row],[PMI]]-B68</f>
        <v/>
      </c>
    </row>
    <row r="70">
      <c r="A70" s="8" t="n">
        <v>42401</v>
      </c>
      <c r="B70" s="11">
        <f>IF(VLOOKUP(A70,'DB Country PMI'!$A:$W,MATCH($A$1,'DB Country PMI'!$A$1:$W$1,),)=0,#N/A,VLOOKUP(A70,'DB Country PMI'!$A:$W,MATCH($A$1,'DB Country PMI'!$A$1:$W$1,),))</f>
        <v/>
      </c>
      <c r="C70" s="14">
        <f>Table1346811345678[[#This Row],[PMI]]-B69</f>
        <v/>
      </c>
    </row>
    <row r="71">
      <c r="A71" s="8" t="n">
        <v>42430</v>
      </c>
      <c r="B71" s="11">
        <f>IF(VLOOKUP(A71,'DB Country PMI'!$A:$W,MATCH($A$1,'DB Country PMI'!$A$1:$W$1,),)=0,#N/A,VLOOKUP(A71,'DB Country PMI'!$A:$W,MATCH($A$1,'DB Country PMI'!$A$1:$W$1,),))</f>
        <v/>
      </c>
      <c r="C71" s="14">
        <f>Table1346811345678[[#This Row],[PMI]]-B70</f>
        <v/>
      </c>
    </row>
    <row r="72">
      <c r="A72" s="8" t="n">
        <v>42461</v>
      </c>
      <c r="B72" s="11">
        <f>IF(VLOOKUP(A72,'DB Country PMI'!$A:$W,MATCH($A$1,'DB Country PMI'!$A$1:$W$1,),)=0,#N/A,VLOOKUP(A72,'DB Country PMI'!$A:$W,MATCH($A$1,'DB Country PMI'!$A$1:$W$1,),))</f>
        <v/>
      </c>
      <c r="C72" s="14">
        <f>Table1346811345678[[#This Row],[PMI]]-B71</f>
        <v/>
      </c>
    </row>
    <row r="73">
      <c r="A73" s="8" t="n">
        <v>42491</v>
      </c>
      <c r="B73" s="11">
        <f>IF(VLOOKUP(A73,'DB Country PMI'!$A:$W,MATCH($A$1,'DB Country PMI'!$A$1:$W$1,),)=0,#N/A,VLOOKUP(A73,'DB Country PMI'!$A:$W,MATCH($A$1,'DB Country PMI'!$A$1:$W$1,),))</f>
        <v/>
      </c>
      <c r="C73" s="14">
        <f>Table1346811345678[[#This Row],[PMI]]-B72</f>
        <v/>
      </c>
    </row>
    <row r="74">
      <c r="A74" s="8" t="n">
        <v>42522</v>
      </c>
      <c r="B74" s="11">
        <f>IF(VLOOKUP(A74,'DB Country PMI'!$A:$W,MATCH($A$1,'DB Country PMI'!$A$1:$W$1,),)=0,#N/A,VLOOKUP(A74,'DB Country PMI'!$A:$W,MATCH($A$1,'DB Country PMI'!$A$1:$W$1,),))</f>
        <v/>
      </c>
      <c r="C74" s="14">
        <f>Table1346811345678[[#This Row],[PMI]]-B73</f>
        <v/>
      </c>
    </row>
    <row r="75">
      <c r="A75" s="8" t="n">
        <v>42552</v>
      </c>
      <c r="B75" s="11">
        <f>IF(VLOOKUP(A75,'DB Country PMI'!$A:$W,MATCH($A$1,'DB Country PMI'!$A$1:$W$1,),)=0,#N/A,VLOOKUP(A75,'DB Country PMI'!$A:$W,MATCH($A$1,'DB Country PMI'!$A$1:$W$1,),))</f>
        <v/>
      </c>
      <c r="C75" s="14">
        <f>Table1346811345678[[#This Row],[PMI]]-B74</f>
        <v/>
      </c>
    </row>
    <row r="76">
      <c r="A76" s="8" t="n">
        <v>42583</v>
      </c>
      <c r="B76" s="11">
        <f>IF(VLOOKUP(A76,'DB Country PMI'!$A:$W,MATCH($A$1,'DB Country PMI'!$A$1:$W$1,),)=0,#N/A,VLOOKUP(A76,'DB Country PMI'!$A:$W,MATCH($A$1,'DB Country PMI'!$A$1:$W$1,),))</f>
        <v/>
      </c>
      <c r="C76" s="14">
        <f>Table1346811345678[[#This Row],[PMI]]-B75</f>
        <v/>
      </c>
    </row>
    <row r="77">
      <c r="A77" s="8" t="n">
        <v>42614</v>
      </c>
      <c r="B77" s="11">
        <f>IF(VLOOKUP(A77,'DB Country PMI'!$A:$W,MATCH($A$1,'DB Country PMI'!$A$1:$W$1,),)=0,#N/A,VLOOKUP(A77,'DB Country PMI'!$A:$W,MATCH($A$1,'DB Country PMI'!$A$1:$W$1,),))</f>
        <v/>
      </c>
      <c r="C77" s="14">
        <f>Table1346811345678[[#This Row],[PMI]]-B76</f>
        <v/>
      </c>
    </row>
    <row r="78">
      <c r="A78" s="8" t="n">
        <v>42644</v>
      </c>
      <c r="B78" s="11">
        <f>IF(VLOOKUP(A78,'DB Country PMI'!$A:$W,MATCH($A$1,'DB Country PMI'!$A$1:$W$1,),)=0,#N/A,VLOOKUP(A78,'DB Country PMI'!$A:$W,MATCH($A$1,'DB Country PMI'!$A$1:$W$1,),))</f>
        <v/>
      </c>
      <c r="C78" s="14">
        <f>Table1346811345678[[#This Row],[PMI]]-B77</f>
        <v/>
      </c>
    </row>
    <row r="79">
      <c r="A79" s="8" t="n">
        <v>42675</v>
      </c>
      <c r="B79" s="11">
        <f>IF(VLOOKUP(A79,'DB Country PMI'!$A:$W,MATCH($A$1,'DB Country PMI'!$A$1:$W$1,),)=0,#N/A,VLOOKUP(A79,'DB Country PMI'!$A:$W,MATCH($A$1,'DB Country PMI'!$A$1:$W$1,),))</f>
        <v/>
      </c>
      <c r="C79" s="14">
        <f>Table1346811345678[[#This Row],[PMI]]-B78</f>
        <v/>
      </c>
    </row>
    <row r="80">
      <c r="A80" s="8" t="n">
        <v>42705</v>
      </c>
      <c r="B80" s="11">
        <f>IF(VLOOKUP(A80,'DB Country PMI'!$A:$W,MATCH($A$1,'DB Country PMI'!$A$1:$W$1,),)=0,#N/A,VLOOKUP(A80,'DB Country PMI'!$A:$W,MATCH($A$1,'DB Country PMI'!$A$1:$W$1,),))</f>
        <v/>
      </c>
      <c r="C80" s="14">
        <f>Table1346811345678[[#This Row],[PMI]]-B79</f>
        <v/>
      </c>
    </row>
    <row r="81">
      <c r="A81" s="8" t="n">
        <v>42736</v>
      </c>
      <c r="B81" s="11">
        <f>IF(VLOOKUP(A81,'DB Country PMI'!$A:$W,MATCH($A$1,'DB Country PMI'!$A$1:$W$1,),)=0,#N/A,VLOOKUP(A81,'DB Country PMI'!$A:$W,MATCH($A$1,'DB Country PMI'!$A$1:$W$1,),))</f>
        <v/>
      </c>
      <c r="C81" s="14">
        <f>Table1346811345678[[#This Row],[PMI]]-B80</f>
        <v/>
      </c>
    </row>
    <row r="82">
      <c r="A82" s="8" t="n">
        <v>42767</v>
      </c>
      <c r="B82" s="11">
        <f>IF(VLOOKUP(A82,'DB Country PMI'!$A:$W,MATCH($A$1,'DB Country PMI'!$A$1:$W$1,),)=0,#N/A,VLOOKUP(A82,'DB Country PMI'!$A:$W,MATCH($A$1,'DB Country PMI'!$A$1:$W$1,),))</f>
        <v/>
      </c>
      <c r="C82" s="14">
        <f>Table1346811345678[[#This Row],[PMI]]-B81</f>
        <v/>
      </c>
    </row>
    <row r="83">
      <c r="A83" s="8" t="n">
        <v>42795</v>
      </c>
      <c r="B83" s="11">
        <f>IF(VLOOKUP(A83,'DB Country PMI'!$A:$W,MATCH($A$1,'DB Country PMI'!$A$1:$W$1,),)=0,#N/A,VLOOKUP(A83,'DB Country PMI'!$A:$W,MATCH($A$1,'DB Country PMI'!$A$1:$W$1,),))</f>
        <v/>
      </c>
      <c r="C83" s="14">
        <f>Table1346811345678[[#This Row],[PMI]]-B82</f>
        <v/>
      </c>
    </row>
    <row r="84">
      <c r="A84" s="8" t="n">
        <v>42826</v>
      </c>
      <c r="B84" s="11">
        <f>IF(VLOOKUP(A84,'DB Country PMI'!$A:$W,MATCH($A$1,'DB Country PMI'!$A$1:$W$1,),)=0,#N/A,VLOOKUP(A84,'DB Country PMI'!$A:$W,MATCH($A$1,'DB Country PMI'!$A$1:$W$1,),))</f>
        <v/>
      </c>
      <c r="C84" s="14">
        <f>Table1346811345678[[#This Row],[PMI]]-B83</f>
        <v/>
      </c>
    </row>
    <row r="85">
      <c r="A85" s="8" t="n">
        <v>42856</v>
      </c>
      <c r="B85" s="11">
        <f>IF(VLOOKUP(A85,'DB Country PMI'!$A:$W,MATCH($A$1,'DB Country PMI'!$A$1:$W$1,),)=0,#N/A,VLOOKUP(A85,'DB Country PMI'!$A:$W,MATCH($A$1,'DB Country PMI'!$A$1:$W$1,),))</f>
        <v/>
      </c>
      <c r="C85" s="14">
        <f>Table1346811345678[[#This Row],[PMI]]-B84</f>
        <v/>
      </c>
    </row>
    <row r="86">
      <c r="A86" s="8" t="n">
        <v>42887</v>
      </c>
      <c r="B86" s="11">
        <f>IF(VLOOKUP(A86,'DB Country PMI'!$A:$W,MATCH($A$1,'DB Country PMI'!$A$1:$W$1,),)=0,#N/A,VLOOKUP(A86,'DB Country PMI'!$A:$W,MATCH($A$1,'DB Country PMI'!$A$1:$W$1,),))</f>
        <v/>
      </c>
      <c r="C86" s="14">
        <f>Table1346811345678[[#This Row],[PMI]]-B85</f>
        <v/>
      </c>
    </row>
    <row r="87">
      <c r="A87" s="8" t="n">
        <v>42917</v>
      </c>
      <c r="B87" s="11">
        <f>IF(VLOOKUP(A87,'DB Country PMI'!$A:$W,MATCH($A$1,'DB Country PMI'!$A$1:$W$1,),)=0,#N/A,VLOOKUP(A87,'DB Country PMI'!$A:$W,MATCH($A$1,'DB Country PMI'!$A$1:$W$1,),))</f>
        <v/>
      </c>
      <c r="C87" s="14">
        <f>Table1346811345678[[#This Row],[PMI]]-B86</f>
        <v/>
      </c>
    </row>
    <row r="88">
      <c r="A88" s="8" t="n">
        <v>42948</v>
      </c>
      <c r="B88" s="11">
        <f>IF(VLOOKUP(A88,'DB Country PMI'!$A:$W,MATCH($A$1,'DB Country PMI'!$A$1:$W$1,),)=0,#N/A,VLOOKUP(A88,'DB Country PMI'!$A:$W,MATCH($A$1,'DB Country PMI'!$A$1:$W$1,),))</f>
        <v/>
      </c>
      <c r="C88" s="14">
        <f>Table1346811345678[[#This Row],[PMI]]-B87</f>
        <v/>
      </c>
    </row>
    <row r="89">
      <c r="A89" s="8" t="n">
        <v>42979</v>
      </c>
      <c r="B89" s="11">
        <f>IF(VLOOKUP(A89,'DB Country PMI'!$A:$W,MATCH($A$1,'DB Country PMI'!$A$1:$W$1,),)=0,#N/A,VLOOKUP(A89,'DB Country PMI'!$A:$W,MATCH($A$1,'DB Country PMI'!$A$1:$W$1,),))</f>
        <v/>
      </c>
      <c r="C89" s="14">
        <f>Table1346811345678[[#This Row],[PMI]]-B88</f>
        <v/>
      </c>
    </row>
    <row r="90">
      <c r="A90" s="8" t="n">
        <v>43009</v>
      </c>
      <c r="B90" s="11">
        <f>IF(VLOOKUP(A90,'DB Country PMI'!$A:$W,MATCH($A$1,'DB Country PMI'!$A$1:$W$1,),)=0,#N/A,VLOOKUP(A90,'DB Country PMI'!$A:$W,MATCH($A$1,'DB Country PMI'!$A$1:$W$1,),))</f>
        <v/>
      </c>
      <c r="C90" s="14">
        <f>Table1346811345678[[#This Row],[PMI]]-B89</f>
        <v/>
      </c>
    </row>
    <row r="91">
      <c r="A91" s="8" t="n">
        <v>43040</v>
      </c>
      <c r="B91" s="11">
        <f>IF(VLOOKUP(A91,'DB Country PMI'!$A:$W,MATCH($A$1,'DB Country PMI'!$A$1:$W$1,),)=0,#N/A,VLOOKUP(A91,'DB Country PMI'!$A:$W,MATCH($A$1,'DB Country PMI'!$A$1:$W$1,),))</f>
        <v/>
      </c>
      <c r="C91" s="14">
        <f>Table1346811345678[[#This Row],[PMI]]-B90</f>
        <v/>
      </c>
    </row>
    <row r="92">
      <c r="A92" s="8" t="n">
        <v>43070</v>
      </c>
      <c r="B92" s="11">
        <f>IF(VLOOKUP(A92,'DB Country PMI'!$A:$W,MATCH($A$1,'DB Country PMI'!$A$1:$W$1,),)=0,#N/A,VLOOKUP(A92,'DB Country PMI'!$A:$W,MATCH($A$1,'DB Country PMI'!$A$1:$W$1,),))</f>
        <v/>
      </c>
      <c r="C92" s="14">
        <f>Table1346811345678[[#This Row],[PMI]]-B91</f>
        <v/>
      </c>
    </row>
    <row r="93">
      <c r="A93" s="8" t="n">
        <v>43101</v>
      </c>
      <c r="B93" s="11">
        <f>IF(VLOOKUP(A93,'DB Country PMI'!$A:$W,MATCH($A$1,'DB Country PMI'!$A$1:$W$1,),)=0,#N/A,VLOOKUP(A93,'DB Country PMI'!$A:$W,MATCH($A$1,'DB Country PMI'!$A$1:$W$1,),))</f>
        <v/>
      </c>
      <c r="C93" s="14">
        <f>Table1346811345678[[#This Row],[PMI]]-B92</f>
        <v/>
      </c>
    </row>
    <row r="94">
      <c r="A94" s="8" t="n">
        <v>43132</v>
      </c>
      <c r="B94" s="11">
        <f>IF(VLOOKUP(A94,'DB Country PMI'!$A:$W,MATCH($A$1,'DB Country PMI'!$A$1:$W$1,),)=0,#N/A,VLOOKUP(A94,'DB Country PMI'!$A:$W,MATCH($A$1,'DB Country PMI'!$A$1:$W$1,),))</f>
        <v/>
      </c>
      <c r="C94" s="14">
        <f>Table1346811345678[[#This Row],[PMI]]-B93</f>
        <v/>
      </c>
    </row>
    <row r="95">
      <c r="A95" s="8" t="n">
        <v>43160</v>
      </c>
      <c r="B95" s="11">
        <f>IF(VLOOKUP(A95,'DB Country PMI'!$A:$W,MATCH($A$1,'DB Country PMI'!$A$1:$W$1,),)=0,#N/A,VLOOKUP(A95,'DB Country PMI'!$A:$W,MATCH($A$1,'DB Country PMI'!$A$1:$W$1,),))</f>
        <v/>
      </c>
      <c r="C95" s="14">
        <f>Table1346811345678[[#This Row],[PMI]]-B94</f>
        <v/>
      </c>
    </row>
    <row r="96">
      <c r="A96" s="8" t="n">
        <v>43191</v>
      </c>
      <c r="B96" s="11">
        <f>IF(VLOOKUP(A96,'DB Country PMI'!$A:$W,MATCH($A$1,'DB Country PMI'!$A$1:$W$1,),)=0,#N/A,VLOOKUP(A96,'DB Country PMI'!$A:$W,MATCH($A$1,'DB Country PMI'!$A$1:$W$1,),))</f>
        <v/>
      </c>
      <c r="C96" s="14">
        <f>Table1346811345678[[#This Row],[PMI]]-B95</f>
        <v/>
      </c>
    </row>
    <row r="97">
      <c r="A97" s="8" t="n">
        <v>43221</v>
      </c>
      <c r="B97" s="11">
        <f>IF(VLOOKUP(A97,'DB Country PMI'!$A:$W,MATCH($A$1,'DB Country PMI'!$A$1:$W$1,),)=0,#N/A,VLOOKUP(A97,'DB Country PMI'!$A:$W,MATCH($A$1,'DB Country PMI'!$A$1:$W$1,),))</f>
        <v/>
      </c>
      <c r="C97" s="14">
        <f>Table1346811345678[[#This Row],[PMI]]-B96</f>
        <v/>
      </c>
    </row>
    <row r="98">
      <c r="A98" s="8" t="n">
        <v>43252</v>
      </c>
      <c r="B98" s="11">
        <f>IF(VLOOKUP(A98,'DB Country PMI'!$A:$W,MATCH($A$1,'DB Country PMI'!$A$1:$W$1,),)=0,#N/A,VLOOKUP(A98,'DB Country PMI'!$A:$W,MATCH($A$1,'DB Country PMI'!$A$1:$W$1,),))</f>
        <v/>
      </c>
      <c r="C98" s="14">
        <f>Table1346811345678[[#This Row],[PMI]]-B97</f>
        <v/>
      </c>
    </row>
    <row r="99">
      <c r="A99" s="8" t="n">
        <v>43282</v>
      </c>
      <c r="B99" s="11">
        <f>IF(VLOOKUP(A99,'DB Country PMI'!$A:$W,MATCH($A$1,'DB Country PMI'!$A$1:$W$1,),)=0,#N/A,VLOOKUP(A99,'DB Country PMI'!$A:$W,MATCH($A$1,'DB Country PMI'!$A$1:$W$1,),))</f>
        <v/>
      </c>
      <c r="C99" s="14">
        <f>Table1346811345678[[#This Row],[PMI]]-B98</f>
        <v/>
      </c>
    </row>
    <row r="100">
      <c r="A100" s="8" t="n">
        <v>43313</v>
      </c>
      <c r="B100" s="11">
        <f>IF(VLOOKUP(A100,'DB Country PMI'!$A:$W,MATCH($A$1,'DB Country PMI'!$A$1:$W$1,),)=0,#N/A,VLOOKUP(A100,'DB Country PMI'!$A:$W,MATCH($A$1,'DB Country PMI'!$A$1:$W$1,),))</f>
        <v/>
      </c>
      <c r="C100" s="14">
        <f>Table1346811345678[[#This Row],[PMI]]-B99</f>
        <v/>
      </c>
    </row>
    <row r="101">
      <c r="A101" s="8" t="n">
        <v>43344</v>
      </c>
      <c r="B101" s="11">
        <f>IF(VLOOKUP(A101,'DB Country PMI'!$A:$W,MATCH($A$1,'DB Country PMI'!$A$1:$W$1,),)=0,#N/A,VLOOKUP(A101,'DB Country PMI'!$A:$W,MATCH($A$1,'DB Country PMI'!$A$1:$W$1,),))</f>
        <v/>
      </c>
      <c r="C101" s="14">
        <f>Table1346811345678[[#This Row],[PMI]]-B100</f>
        <v/>
      </c>
    </row>
    <row r="102">
      <c r="A102" s="8" t="n">
        <v>43374</v>
      </c>
      <c r="B102" s="11">
        <f>IF(VLOOKUP(A102,'DB Country PMI'!$A:$W,MATCH($A$1,'DB Country PMI'!$A$1:$W$1,),)=0,#N/A,VLOOKUP(A102,'DB Country PMI'!$A:$W,MATCH($A$1,'DB Country PMI'!$A$1:$W$1,),))</f>
        <v/>
      </c>
      <c r="C102" s="14">
        <f>Table1346811345678[[#This Row],[PMI]]-B101</f>
        <v/>
      </c>
    </row>
    <row r="103">
      <c r="A103" s="8" t="n">
        <v>43405</v>
      </c>
      <c r="B103" s="11">
        <f>IF(VLOOKUP(A103,'DB Country PMI'!$A:$W,MATCH($A$1,'DB Country PMI'!$A$1:$W$1,),)=0,#N/A,VLOOKUP(A103,'DB Country PMI'!$A:$W,MATCH($A$1,'DB Country PMI'!$A$1:$W$1,),))</f>
        <v/>
      </c>
      <c r="C103" s="14">
        <f>Table1346811345678[[#This Row],[PMI]]-B102</f>
        <v/>
      </c>
    </row>
    <row r="104">
      <c r="A104" s="8" t="n">
        <v>43435</v>
      </c>
      <c r="B104" s="11">
        <f>IF(VLOOKUP(A104,'DB Country PMI'!$A:$W,MATCH($A$1,'DB Country PMI'!$A$1:$W$1,),)=0,#N/A,VLOOKUP(A104,'DB Country PMI'!$A:$W,MATCH($A$1,'DB Country PMI'!$A$1:$W$1,),))</f>
        <v/>
      </c>
      <c r="C104" s="14">
        <f>Table1346811345678[[#This Row],[PMI]]-B103</f>
        <v/>
      </c>
    </row>
    <row r="105">
      <c r="A105" s="8" t="n">
        <v>43466</v>
      </c>
      <c r="B105" s="11">
        <f>IF(VLOOKUP(A105,'DB Country PMI'!$A:$W,MATCH($A$1,'DB Country PMI'!$A$1:$W$1,),)=0,#N/A,VLOOKUP(A105,'DB Country PMI'!$A:$W,MATCH($A$1,'DB Country PMI'!$A$1:$W$1,),))</f>
        <v/>
      </c>
      <c r="C105" s="14">
        <f>Table1346811345678[[#This Row],[PMI]]-B104</f>
        <v/>
      </c>
    </row>
    <row r="106">
      <c r="A106" s="8" t="n">
        <v>43497</v>
      </c>
      <c r="B106" s="11">
        <f>IF(VLOOKUP(A106,'DB Country PMI'!$A:$W,MATCH($A$1,'DB Country PMI'!$A$1:$W$1,),)=0,#N/A,VLOOKUP(A106,'DB Country PMI'!$A:$W,MATCH($A$1,'DB Country PMI'!$A$1:$W$1,),))</f>
        <v/>
      </c>
      <c r="C106" s="14">
        <f>Table1346811345678[[#This Row],[PMI]]-B105</f>
        <v/>
      </c>
    </row>
    <row r="107">
      <c r="A107" s="8" t="n">
        <v>43525</v>
      </c>
      <c r="B107" s="11">
        <f>IF(VLOOKUP(A107,'DB Country PMI'!$A:$W,MATCH($A$1,'DB Country PMI'!$A$1:$W$1,),)=0,#N/A,VLOOKUP(A107,'DB Country PMI'!$A:$W,MATCH($A$1,'DB Country PMI'!$A$1:$W$1,),))</f>
        <v/>
      </c>
      <c r="C107" s="14">
        <f>Table1346811345678[[#This Row],[PMI]]-B106</f>
        <v/>
      </c>
    </row>
    <row r="108">
      <c r="A108" s="8" t="n">
        <v>43556</v>
      </c>
      <c r="B108" s="11">
        <f>IF(VLOOKUP(A108,'DB Country PMI'!$A:$W,MATCH($A$1,'DB Country PMI'!$A$1:$W$1,),)=0,#N/A,VLOOKUP(A108,'DB Country PMI'!$A:$W,MATCH($A$1,'DB Country PMI'!$A$1:$W$1,),))</f>
        <v/>
      </c>
      <c r="C108" s="14">
        <f>Table1346811345678[[#This Row],[PMI]]-B107</f>
        <v/>
      </c>
    </row>
    <row r="109">
      <c r="A109" s="8" t="n">
        <v>43586</v>
      </c>
      <c r="B109" s="11">
        <f>IF(VLOOKUP(A109,'DB Country PMI'!$A:$W,MATCH($A$1,'DB Country PMI'!$A$1:$W$1,),)=0,#N/A,VLOOKUP(A109,'DB Country PMI'!$A:$W,MATCH($A$1,'DB Country PMI'!$A$1:$W$1,),))</f>
        <v/>
      </c>
      <c r="C109" s="14">
        <f>Table1346811345678[[#This Row],[PMI]]-B108</f>
        <v/>
      </c>
    </row>
    <row r="110">
      <c r="A110" s="8" t="n">
        <v>43617</v>
      </c>
      <c r="B110" s="11">
        <f>IF(VLOOKUP(A110,'DB Country PMI'!$A:$W,MATCH($A$1,'DB Country PMI'!$A$1:$W$1,),)=0,#N/A,VLOOKUP(A110,'DB Country PMI'!$A:$W,MATCH($A$1,'DB Country PMI'!$A$1:$W$1,),))</f>
        <v/>
      </c>
      <c r="C110" s="14">
        <f>Table1346811345678[[#This Row],[PMI]]-B109</f>
        <v/>
      </c>
    </row>
    <row r="111">
      <c r="A111" s="8" t="n">
        <v>43647</v>
      </c>
      <c r="B111" s="11">
        <f>IF(VLOOKUP(A111,'DB Country PMI'!$A:$W,MATCH($A$1,'DB Country PMI'!$A$1:$W$1,),)=0,#N/A,VLOOKUP(A111,'DB Country PMI'!$A:$W,MATCH($A$1,'DB Country PMI'!$A$1:$W$1,),))</f>
        <v/>
      </c>
      <c r="C111" s="14">
        <f>Table1346811345678[[#This Row],[PMI]]-B110</f>
        <v/>
      </c>
    </row>
    <row r="112">
      <c r="A112" s="8" t="n">
        <v>43678</v>
      </c>
      <c r="B112" s="11">
        <f>IF(VLOOKUP(A112,'DB Country PMI'!$A:$W,MATCH($A$1,'DB Country PMI'!$A$1:$W$1,),)=0,#N/A,VLOOKUP(A112,'DB Country PMI'!$A:$W,MATCH($A$1,'DB Country PMI'!$A$1:$W$1,),))</f>
        <v/>
      </c>
      <c r="C112" s="14">
        <f>Table1346811345678[[#This Row],[PMI]]-B111</f>
        <v/>
      </c>
    </row>
    <row r="113">
      <c r="A113" s="8" t="n">
        <v>43709</v>
      </c>
      <c r="B113" s="11">
        <f>IF(VLOOKUP(A113,'DB Country PMI'!$A:$W,MATCH($A$1,'DB Country PMI'!$A$1:$W$1,),)=0,#N/A,VLOOKUP(A113,'DB Country PMI'!$A:$W,MATCH($A$1,'DB Country PMI'!$A$1:$W$1,),))</f>
        <v/>
      </c>
      <c r="C113" s="14">
        <f>Table1346811345678[[#This Row],[PMI]]-B112</f>
        <v/>
      </c>
    </row>
    <row r="114">
      <c r="A114" s="8" t="n">
        <v>43739</v>
      </c>
      <c r="B114" s="11">
        <f>IF(VLOOKUP(A114,'DB Country PMI'!$A:$W,MATCH($A$1,'DB Country PMI'!$A$1:$W$1,),)=0,#N/A,VLOOKUP(A114,'DB Country PMI'!$A:$W,MATCH($A$1,'DB Country PMI'!$A$1:$W$1,),))</f>
        <v/>
      </c>
      <c r="C114" s="14">
        <f>Table1346811345678[[#This Row],[PMI]]-B113</f>
        <v/>
      </c>
    </row>
    <row r="115">
      <c r="A115" s="8" t="n">
        <v>43770</v>
      </c>
      <c r="B115" s="11">
        <f>IF(VLOOKUP(A115,'DB Country PMI'!$A:$W,MATCH($A$1,'DB Country PMI'!$A$1:$W$1,),)=0,#N/A,VLOOKUP(A115,'DB Country PMI'!$A:$W,MATCH($A$1,'DB Country PMI'!$A$1:$W$1,),))</f>
        <v/>
      </c>
      <c r="C115" s="14">
        <f>Table1346811345678[[#This Row],[PMI]]-B114</f>
        <v/>
      </c>
    </row>
    <row r="116">
      <c r="A116" s="8" t="n">
        <v>43800</v>
      </c>
      <c r="B116" s="11">
        <f>IF(VLOOKUP(A116,'DB Country PMI'!$A:$W,MATCH($A$1,'DB Country PMI'!$A$1:$W$1,),)=0,#N/A,VLOOKUP(A116,'DB Country PMI'!$A:$W,MATCH($A$1,'DB Country PMI'!$A$1:$W$1,),))</f>
        <v/>
      </c>
      <c r="C116" s="14">
        <f>Table1346811345678[[#This Row],[PMI]]-B115</f>
        <v/>
      </c>
    </row>
    <row r="117">
      <c r="A117" s="8" t="n">
        <v>43831</v>
      </c>
      <c r="B117" s="11">
        <f>IF(VLOOKUP(A117,'DB Country PMI'!$A:$W,MATCH($A$1,'DB Country PMI'!$A$1:$W$1,),)=0,#N/A,VLOOKUP(A117,'DB Country PMI'!$A:$W,MATCH($A$1,'DB Country PMI'!$A$1:$W$1,),))</f>
        <v/>
      </c>
      <c r="C117" s="14">
        <f>Table1346811345678[[#This Row],[PMI]]-B116</f>
        <v/>
      </c>
    </row>
    <row r="118">
      <c r="A118" s="8" t="n">
        <v>43862</v>
      </c>
      <c r="B118" s="11">
        <f>IF(VLOOKUP(A118,'DB Country PMI'!$A:$W,MATCH($A$1,'DB Country PMI'!$A$1:$W$1,),)=0,#N/A,VLOOKUP(A118,'DB Country PMI'!$A:$W,MATCH($A$1,'DB Country PMI'!$A$1:$W$1,),))</f>
        <v/>
      </c>
      <c r="C118" s="14">
        <f>Table1346811345678[[#This Row],[PMI]]-B117</f>
        <v/>
      </c>
    </row>
    <row r="119">
      <c r="A119" s="8" t="n">
        <v>43891</v>
      </c>
      <c r="B119" s="11">
        <f>IF(VLOOKUP(A119,'DB Country PMI'!$A:$W,MATCH($A$1,'DB Country PMI'!$A$1:$W$1,),)=0,#N/A,VLOOKUP(A119,'DB Country PMI'!$A:$W,MATCH($A$1,'DB Country PMI'!$A$1:$W$1,),))</f>
        <v/>
      </c>
      <c r="C119" s="14">
        <f>Table1346811345678[[#This Row],[PMI]]-B118</f>
        <v/>
      </c>
    </row>
    <row r="120">
      <c r="A120" s="8" t="n">
        <v>43922</v>
      </c>
      <c r="B120" s="11">
        <f>IF(VLOOKUP(A120,'DB Country PMI'!$A:$W,MATCH($A$1,'DB Country PMI'!$A$1:$W$1,),)=0,#N/A,VLOOKUP(A120,'DB Country PMI'!$A:$W,MATCH($A$1,'DB Country PMI'!$A$1:$W$1,),))</f>
        <v/>
      </c>
      <c r="C120" s="14">
        <f>Table1346811345678[[#This Row],[PMI]]-B119</f>
        <v/>
      </c>
    </row>
    <row r="121">
      <c r="A121" s="8" t="n">
        <v>43952</v>
      </c>
      <c r="B121" s="11">
        <f>IF(VLOOKUP(A121,'DB Country PMI'!$A:$W,MATCH($A$1,'DB Country PMI'!$A$1:$W$1,),)=0,#N/A,VLOOKUP(A121,'DB Country PMI'!$A:$W,MATCH($A$1,'DB Country PMI'!$A$1:$W$1,),))</f>
        <v/>
      </c>
      <c r="C121" s="14">
        <f>Table1346811345678[[#This Row],[PMI]]-B120</f>
        <v/>
      </c>
    </row>
    <row r="122">
      <c r="A122" s="8" t="n">
        <v>43983</v>
      </c>
      <c r="B122" s="11">
        <f>IF(VLOOKUP(A122,'DB Country PMI'!$A:$W,MATCH($A$1,'DB Country PMI'!$A$1:$W$1,),)=0,#N/A,VLOOKUP(A122,'DB Country PMI'!$A:$W,MATCH($A$1,'DB Country PMI'!$A$1:$W$1,),))</f>
        <v/>
      </c>
      <c r="C122" s="14">
        <f>Table1346811345678[[#This Row],[PMI]]-B121</f>
        <v/>
      </c>
    </row>
    <row r="123">
      <c r="A123" s="8" t="n">
        <v>44013</v>
      </c>
      <c r="B123" s="11">
        <f>IF(VLOOKUP(A123,'DB Country PMI'!$A:$W,MATCH($A$1,'DB Country PMI'!$A$1:$W$1,),)=0,#N/A,VLOOKUP(A123,'DB Country PMI'!$A:$W,MATCH($A$1,'DB Country PMI'!$A$1:$W$1,),))</f>
        <v/>
      </c>
      <c r="C123" s="14">
        <f>Table1346811345678[[#This Row],[PMI]]-B122</f>
        <v/>
      </c>
    </row>
    <row r="124">
      <c r="A124" s="8" t="n">
        <v>44044</v>
      </c>
      <c r="B124" s="11">
        <f>IF(VLOOKUP(A124,'DB Country PMI'!$A:$W,MATCH($A$1,'DB Country PMI'!$A$1:$W$1,),)=0,#N/A,VLOOKUP(A124,'DB Country PMI'!$A:$W,MATCH($A$1,'DB Country PMI'!$A$1:$W$1,),))</f>
        <v/>
      </c>
      <c r="C124" s="14">
        <f>Table1346811345678[[#This Row],[PMI]]-B123</f>
        <v/>
      </c>
    </row>
    <row r="125">
      <c r="A125" s="8" t="n">
        <v>44075</v>
      </c>
      <c r="B125" s="11">
        <f>IF(VLOOKUP(A125,'DB Country PMI'!$A:$W,MATCH($A$1,'DB Country PMI'!$A$1:$W$1,),)=0,#N/A,VLOOKUP(A125,'DB Country PMI'!$A:$W,MATCH($A$1,'DB Country PMI'!$A$1:$W$1,),))</f>
        <v/>
      </c>
      <c r="C125" s="14">
        <f>Table1346811345678[[#This Row],[PMI]]-B124</f>
        <v/>
      </c>
    </row>
    <row r="126">
      <c r="A126" s="8" t="n">
        <v>44105</v>
      </c>
      <c r="B126" s="11">
        <f>IF(VLOOKUP(A126,'DB Country PMI'!$A:$W,MATCH($A$1,'DB Country PMI'!$A$1:$W$1,),)=0,#N/A,VLOOKUP(A126,'DB Country PMI'!$A:$W,MATCH($A$1,'DB Country PMI'!$A$1:$W$1,),))</f>
        <v/>
      </c>
      <c r="C126" s="14">
        <f>Table1346811345678[[#This Row],[PMI]]-B125</f>
        <v/>
      </c>
    </row>
    <row r="127">
      <c r="A127" s="8" t="n">
        <v>44136</v>
      </c>
      <c r="B127" s="11">
        <f>IF(VLOOKUP(A127,'DB Country PMI'!$A:$W,MATCH($A$1,'DB Country PMI'!$A$1:$W$1,),)=0,#N/A,VLOOKUP(A127,'DB Country PMI'!$A:$W,MATCH($A$1,'DB Country PMI'!$A$1:$W$1,),))</f>
        <v/>
      </c>
      <c r="C127" s="14">
        <f>Table1346811345678[[#This Row],[PMI]]-B126</f>
        <v/>
      </c>
    </row>
    <row r="128">
      <c r="A128" s="8" t="n">
        <v>44166</v>
      </c>
      <c r="B128" s="11">
        <f>IF(VLOOKUP(A128,'DB Country PMI'!$A:$W,MATCH($A$1,'DB Country PMI'!$A$1:$W$1,),)=0,#N/A,VLOOKUP(A128,'DB Country PMI'!$A:$W,MATCH($A$1,'DB Country PMI'!$A$1:$W$1,),))</f>
        <v/>
      </c>
      <c r="C128" s="14">
        <f>Table1346811345678[[#This Row],[PMI]]-B127</f>
        <v/>
      </c>
    </row>
    <row r="129">
      <c r="A129" s="8" t="n">
        <v>44197</v>
      </c>
      <c r="B129" s="11">
        <f>IF(VLOOKUP(A129,'DB Country PMI'!$A:$W,MATCH($A$1,'DB Country PMI'!$A$1:$W$1,),)=0,#N/A,VLOOKUP(A129,'DB Country PMI'!$A:$W,MATCH($A$1,'DB Country PMI'!$A$1:$W$1,),))</f>
        <v/>
      </c>
      <c r="C129" s="14">
        <f>Table1346811345678[[#This Row],[PMI]]-B128</f>
        <v/>
      </c>
    </row>
    <row r="130">
      <c r="A130" s="8" t="n">
        <v>44228</v>
      </c>
      <c r="B130" s="11">
        <f>IF(VLOOKUP(A130,'DB Country PMI'!$A:$W,MATCH($A$1,'DB Country PMI'!$A$1:$W$1,),)=0,#N/A,VLOOKUP(A130,'DB Country PMI'!$A:$W,MATCH($A$1,'DB Country PMI'!$A$1:$W$1,),))</f>
        <v/>
      </c>
      <c r="C130" s="14">
        <f>Table1346811345678[[#This Row],[PMI]]-B129</f>
        <v/>
      </c>
    </row>
    <row r="131">
      <c r="A131" s="8" t="n">
        <v>44256</v>
      </c>
      <c r="B131" s="11">
        <f>IF(VLOOKUP(A131,'DB Country PMI'!$A:$W,MATCH($A$1,'DB Country PMI'!$A$1:$W$1,),)=0,#N/A,VLOOKUP(A131,'DB Country PMI'!$A:$W,MATCH($A$1,'DB Country PMI'!$A$1:$W$1,),))</f>
        <v/>
      </c>
      <c r="C131" s="14">
        <f>Table1346811345678[[#This Row],[PMI]]-B130</f>
        <v/>
      </c>
    </row>
    <row r="132">
      <c r="A132" s="8" t="n">
        <v>44287</v>
      </c>
      <c r="B132" s="11">
        <f>IF(VLOOKUP(A132,'DB Country PMI'!$A:$W,MATCH($A$1,'DB Country PMI'!$A$1:$W$1,),)=0,#N/A,VLOOKUP(A132,'DB Country PMI'!$A:$W,MATCH($A$1,'DB Country PMI'!$A$1:$W$1,),))</f>
        <v/>
      </c>
      <c r="C132" s="14">
        <f>Table1346811345678[[#This Row],[PMI]]-B131</f>
        <v/>
      </c>
    </row>
    <row r="133">
      <c r="A133" s="8" t="n">
        <v>44317</v>
      </c>
      <c r="B133" s="11">
        <f>IF(VLOOKUP(A133,'DB Country PMI'!$A:$W,MATCH($A$1,'DB Country PMI'!$A$1:$W$1,),)=0,#N/A,VLOOKUP(A133,'DB Country PMI'!$A:$W,MATCH($A$1,'DB Country PMI'!$A$1:$W$1,),))</f>
        <v/>
      </c>
      <c r="C133" s="14">
        <f>Table1346811345678[[#This Row],[PMI]]-B132</f>
        <v/>
      </c>
    </row>
    <row r="134">
      <c r="A134" s="8" t="n">
        <v>44348</v>
      </c>
      <c r="B134" s="11">
        <f>IF(VLOOKUP(A134,'DB Country PMI'!$A:$W,MATCH($A$1,'DB Country PMI'!$A$1:$W$1,),)=0,#N/A,VLOOKUP(A134,'DB Country PMI'!$A:$W,MATCH($A$1,'DB Country PMI'!$A$1:$W$1,),))</f>
        <v/>
      </c>
      <c r="C134" s="14">
        <f>Table1346811345678[[#This Row],[PMI]]-B133</f>
        <v/>
      </c>
    </row>
    <row r="135">
      <c r="A135" s="8" t="n">
        <v>44378</v>
      </c>
      <c r="B135" s="11">
        <f>IF(VLOOKUP(A135,'DB Country PMI'!$A:$W,MATCH($A$1,'DB Country PMI'!$A$1:$W$1,),)=0,#N/A,VLOOKUP(A135,'DB Country PMI'!$A:$W,MATCH($A$1,'DB Country PMI'!$A$1:$W$1,),))</f>
        <v/>
      </c>
      <c r="C135" s="14">
        <f>Table1346811345678[[#This Row],[PMI]]-B134</f>
        <v/>
      </c>
    </row>
    <row r="136">
      <c r="A136" s="8" t="n">
        <v>44409</v>
      </c>
      <c r="B136" s="11">
        <f>IF(VLOOKUP(A136,'DB Country PMI'!$A:$W,MATCH($A$1,'DB Country PMI'!$A$1:$W$1,),)=0,#N/A,VLOOKUP(A136,'DB Country PMI'!$A:$W,MATCH($A$1,'DB Country PMI'!$A$1:$W$1,),))</f>
        <v/>
      </c>
      <c r="C136" s="14">
        <f>Table1346811345678[[#This Row],[PMI]]-B135</f>
        <v/>
      </c>
    </row>
    <row r="137">
      <c r="A137" s="8" t="n">
        <v>44440</v>
      </c>
      <c r="B137" s="11">
        <f>IF(VLOOKUP(A137,'DB Country PMI'!$A:$W,MATCH($A$1,'DB Country PMI'!$A$1:$W$1,),)=0,#N/A,VLOOKUP(A137,'DB Country PMI'!$A:$W,MATCH($A$1,'DB Country PMI'!$A$1:$W$1,),))</f>
        <v/>
      </c>
      <c r="C137" s="14">
        <f>Table1346811345678[[#This Row],[PMI]]-B136</f>
        <v/>
      </c>
    </row>
    <row r="138">
      <c r="A138" s="8" t="n">
        <v>44470</v>
      </c>
      <c r="B138" s="11">
        <f>IF(VLOOKUP(A138,'DB Country PMI'!$A:$W,MATCH($A$1,'DB Country PMI'!$A$1:$W$1,),)=0,#N/A,VLOOKUP(A138,'DB Country PMI'!$A:$W,MATCH($A$1,'DB Country PMI'!$A$1:$W$1,),))</f>
        <v/>
      </c>
      <c r="C138" s="14">
        <f>Table1346811345678[[#This Row],[PMI]]-B137</f>
        <v/>
      </c>
    </row>
    <row r="139">
      <c r="A139" s="8" t="n">
        <v>44501</v>
      </c>
      <c r="B139" s="11">
        <f>IF(VLOOKUP(A139,'DB Country PMI'!$A:$W,MATCH($A$1,'DB Country PMI'!$A$1:$W$1,),)=0,#N/A,VLOOKUP(A139,'DB Country PMI'!$A:$W,MATCH($A$1,'DB Country PMI'!$A$1:$W$1,),))</f>
        <v/>
      </c>
      <c r="C139" s="14">
        <f>Table1346811345678[[#This Row],[PMI]]-B138</f>
        <v/>
      </c>
    </row>
    <row r="140">
      <c r="A140" s="8" t="n">
        <v>44531</v>
      </c>
      <c r="B140" s="11">
        <f>IF(VLOOKUP(A140,'DB Country PMI'!$A:$W,MATCH($A$1,'DB Country PMI'!$A$1:$W$1,),)=0,#N/A,VLOOKUP(A140,'DB Country PMI'!$A:$W,MATCH($A$1,'DB Country PMI'!$A$1:$W$1,),))</f>
        <v/>
      </c>
      <c r="C140" s="14">
        <f>Table1346811345678[[#This Row],[PMI]]-B139</f>
        <v/>
      </c>
    </row>
    <row r="141">
      <c r="A141" s="8" t="n">
        <v>44562</v>
      </c>
      <c r="B141" s="11">
        <f>IF(VLOOKUP(A141,'DB Country PMI'!$A:$W,MATCH($A$1,'DB Country PMI'!$A$1:$W$1,),)=0,#N/A,VLOOKUP(A141,'DB Country PMI'!$A:$W,MATCH($A$1,'DB Country PMI'!$A$1:$W$1,),))</f>
        <v/>
      </c>
      <c r="C141" s="14">
        <f>Table1346811345678[[#This Row],[PMI]]-B140</f>
        <v/>
      </c>
    </row>
    <row r="142">
      <c r="A142" s="8" t="n">
        <v>44593</v>
      </c>
      <c r="B142" s="11">
        <f>IF(VLOOKUP(A142,'DB Country PMI'!$A:$W,MATCH($A$1,'DB Country PMI'!$A$1:$W$1,),)=0,#N/A,VLOOKUP(A142,'DB Country PMI'!$A:$W,MATCH($A$1,'DB Country PMI'!$A$1:$W$1,),))</f>
        <v/>
      </c>
      <c r="C142" s="14">
        <f>Table1346811345678[[#This Row],[PMI]]-B141</f>
        <v/>
      </c>
    </row>
    <row r="143">
      <c r="A143" s="8" t="n">
        <v>44621</v>
      </c>
      <c r="B143" s="11">
        <f>IF(VLOOKUP(A143,'DB Country PMI'!$A:$W,MATCH($A$1,'DB Country PMI'!$A$1:$W$1,),)=0,#N/A,VLOOKUP(A143,'DB Country PMI'!$A:$W,MATCH($A$1,'DB Country PMI'!$A$1:$W$1,),))</f>
        <v/>
      </c>
      <c r="C143" s="14">
        <f>Table1346811345678[[#This Row],[PMI]]-B142</f>
        <v/>
      </c>
    </row>
  </sheetData>
  <conditionalFormatting sqref="C7:C143">
    <cfRule type="colorScale" priority="1">
      <colorScale>
        <cfvo type="min"/>
        <cfvo type="percentile" val="50"/>
        <cfvo type="max"/>
        <color rgb="FFF8696B"/>
        <color rgb="FFFCFCFF"/>
        <color rgb="FF5A8AC6"/>
      </colorScale>
    </cfRule>
  </conditionalFormatting>
  <conditionalFormatting sqref="B6:B143">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4.xml><?xml version="1.0" encoding="utf-8"?>
<worksheet xmlns="http://schemas.openxmlformats.org/spreadsheetml/2006/main">
  <sheetPr>
    <outlinePr summaryBelow="1" summaryRight="1"/>
    <pageSetUpPr/>
  </sheetPr>
  <dimension ref="A1:J143"/>
  <sheetViews>
    <sheetView zoomScale="160" zoomScaleNormal="160" workbookViewId="0">
      <pane ySplit="5" topLeftCell="A128" activePane="bottomLeft" state="frozen"/>
      <selection pane="bottomLeft" activeCell="A135" sqref="A135:C143"/>
    </sheetView>
  </sheetViews>
  <sheetFormatPr baseColWidth="10" defaultColWidth="9.1640625" defaultRowHeight="15"/>
  <cols>
    <col width="13.5" customWidth="1" style="60" min="1" max="1"/>
    <col width="11.33203125" customWidth="1" style="60" min="2" max="2"/>
    <col width="9.1640625" customWidth="1" style="60" min="3" max="7"/>
    <col width="9.1640625" customWidth="1" style="60" min="8" max="16384"/>
  </cols>
  <sheetData>
    <row r="1">
      <c r="A1" s="60" t="inlineStr">
        <is>
          <t>Italy</t>
        </is>
      </c>
      <c r="J1" s="60" t="inlineStr">
        <is>
          <t xml:space="preserve"> Services PMI</t>
        </is>
      </c>
    </row>
    <row r="2">
      <c r="J2" s="60" t="inlineStr">
        <is>
          <t>Italy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Table13468113456789[[#This Row],[PMI]]-B6</f>
        <v/>
      </c>
    </row>
    <row r="8">
      <c r="A8" s="8" t="n">
        <v>40513</v>
      </c>
      <c r="B8" s="11">
        <f>IF(VLOOKUP(A8,'DB Country PMI'!$A:$W,MATCH($A$1,'DB Country PMI'!$A$1:$W$1,),)=0,#N/A,VLOOKUP(A8,'DB Country PMI'!$A:$W,MATCH($A$1,'DB Country PMI'!$A$1:$W$1,),))</f>
        <v/>
      </c>
      <c r="C8" s="14">
        <f>Table13468113456789[[#This Row],[PMI]]-B7</f>
        <v/>
      </c>
    </row>
    <row r="9">
      <c r="A9" s="8" t="n">
        <v>40544</v>
      </c>
      <c r="B9" s="11">
        <f>IF(VLOOKUP(A9,'DB Country PMI'!$A:$W,MATCH($A$1,'DB Country PMI'!$A$1:$W$1,),)=0,#N/A,VLOOKUP(A9,'DB Country PMI'!$A:$W,MATCH($A$1,'DB Country PMI'!$A$1:$W$1,),))</f>
        <v/>
      </c>
      <c r="C9" s="14">
        <f>Table13468113456789[[#This Row],[PMI]]-B8</f>
        <v/>
      </c>
    </row>
    <row r="10">
      <c r="A10" s="8" t="n">
        <v>40575</v>
      </c>
      <c r="B10" s="11">
        <f>IF(VLOOKUP(A10,'DB Country PMI'!$A:$W,MATCH($A$1,'DB Country PMI'!$A$1:$W$1,),)=0,#N/A,VLOOKUP(A10,'DB Country PMI'!$A:$W,MATCH($A$1,'DB Country PMI'!$A$1:$W$1,),))</f>
        <v/>
      </c>
      <c r="C10" s="14">
        <f>Table13468113456789[[#This Row],[PMI]]-B9</f>
        <v/>
      </c>
    </row>
    <row r="11">
      <c r="A11" s="8" t="n">
        <v>40603</v>
      </c>
      <c r="B11" s="11">
        <f>IF(VLOOKUP(A11,'DB Country PMI'!$A:$W,MATCH($A$1,'DB Country PMI'!$A$1:$W$1,),)=0,#N/A,VLOOKUP(A11,'DB Country PMI'!$A:$W,MATCH($A$1,'DB Country PMI'!$A$1:$W$1,),))</f>
        <v/>
      </c>
      <c r="C11" s="14">
        <f>Table13468113456789[[#This Row],[PMI]]-B10</f>
        <v/>
      </c>
    </row>
    <row r="12">
      <c r="A12" s="8" t="n">
        <v>40634</v>
      </c>
      <c r="B12" s="11">
        <f>IF(VLOOKUP(A12,'DB Country PMI'!$A:$W,MATCH($A$1,'DB Country PMI'!$A$1:$W$1,),)=0,#N/A,VLOOKUP(A12,'DB Country PMI'!$A:$W,MATCH($A$1,'DB Country PMI'!$A$1:$W$1,),))</f>
        <v/>
      </c>
      <c r="C12" s="14">
        <f>Table13468113456789[[#This Row],[PMI]]-B11</f>
        <v/>
      </c>
    </row>
    <row r="13">
      <c r="A13" s="8" t="n">
        <v>40664</v>
      </c>
      <c r="B13" s="11">
        <f>IF(VLOOKUP(A13,'DB Country PMI'!$A:$W,MATCH($A$1,'DB Country PMI'!$A$1:$W$1,),)=0,#N/A,VLOOKUP(A13,'DB Country PMI'!$A:$W,MATCH($A$1,'DB Country PMI'!$A$1:$W$1,),))</f>
        <v/>
      </c>
      <c r="C13" s="14">
        <f>Table13468113456789[[#This Row],[PMI]]-B12</f>
        <v/>
      </c>
    </row>
    <row r="14">
      <c r="A14" s="8" t="n">
        <v>40695</v>
      </c>
      <c r="B14" s="11">
        <f>IF(VLOOKUP(A14,'DB Country PMI'!$A:$W,MATCH($A$1,'DB Country PMI'!$A$1:$W$1,),)=0,#N/A,VLOOKUP(A14,'DB Country PMI'!$A:$W,MATCH($A$1,'DB Country PMI'!$A$1:$W$1,),))</f>
        <v/>
      </c>
      <c r="C14" s="14">
        <f>Table13468113456789[[#This Row],[PMI]]-B13</f>
        <v/>
      </c>
    </row>
    <row r="15">
      <c r="A15" s="8" t="n">
        <v>40725</v>
      </c>
      <c r="B15" s="11">
        <f>IF(VLOOKUP(A15,'DB Country PMI'!$A:$W,MATCH($A$1,'DB Country PMI'!$A$1:$W$1,),)=0,#N/A,VLOOKUP(A15,'DB Country PMI'!$A:$W,MATCH($A$1,'DB Country PMI'!$A$1:$W$1,),))</f>
        <v/>
      </c>
      <c r="C15" s="14">
        <f>Table13468113456789[[#This Row],[PMI]]-B14</f>
        <v/>
      </c>
    </row>
    <row r="16">
      <c r="A16" s="8" t="n">
        <v>40756</v>
      </c>
      <c r="B16" s="11">
        <f>IF(VLOOKUP(A16,'DB Country PMI'!$A:$W,MATCH($A$1,'DB Country PMI'!$A$1:$W$1,),)=0,#N/A,VLOOKUP(A16,'DB Country PMI'!$A:$W,MATCH($A$1,'DB Country PMI'!$A$1:$W$1,),))</f>
        <v/>
      </c>
      <c r="C16" s="14">
        <f>Table13468113456789[[#This Row],[PMI]]-B15</f>
        <v/>
      </c>
    </row>
    <row r="17">
      <c r="A17" s="8" t="n">
        <v>40787</v>
      </c>
      <c r="B17" s="11">
        <f>IF(VLOOKUP(A17,'DB Country PMI'!$A:$W,MATCH($A$1,'DB Country PMI'!$A$1:$W$1,),)=0,#N/A,VLOOKUP(A17,'DB Country PMI'!$A:$W,MATCH($A$1,'DB Country PMI'!$A$1:$W$1,),))</f>
        <v/>
      </c>
      <c r="C17" s="14">
        <f>Table13468113456789[[#This Row],[PMI]]-B16</f>
        <v/>
      </c>
    </row>
    <row r="18">
      <c r="A18" s="8" t="n">
        <v>40817</v>
      </c>
      <c r="B18" s="11">
        <f>IF(VLOOKUP(A18,'DB Country PMI'!$A:$W,MATCH($A$1,'DB Country PMI'!$A$1:$W$1,),)=0,#N/A,VLOOKUP(A18,'DB Country PMI'!$A:$W,MATCH($A$1,'DB Country PMI'!$A$1:$W$1,),))</f>
        <v/>
      </c>
      <c r="C18" s="14">
        <f>Table13468113456789[[#This Row],[PMI]]-B17</f>
        <v/>
      </c>
    </row>
    <row r="19">
      <c r="A19" s="8" t="n">
        <v>40848</v>
      </c>
      <c r="B19" s="11">
        <f>IF(VLOOKUP(A19,'DB Country PMI'!$A:$W,MATCH($A$1,'DB Country PMI'!$A$1:$W$1,),)=0,#N/A,VLOOKUP(A19,'DB Country PMI'!$A:$W,MATCH($A$1,'DB Country PMI'!$A$1:$W$1,),))</f>
        <v/>
      </c>
      <c r="C19" s="14">
        <f>Table13468113456789[[#This Row],[PMI]]-B18</f>
        <v/>
      </c>
    </row>
    <row r="20">
      <c r="A20" s="8" t="n">
        <v>40878</v>
      </c>
      <c r="B20" s="11">
        <f>IF(VLOOKUP(A20,'DB Country PMI'!$A:$W,MATCH($A$1,'DB Country PMI'!$A$1:$W$1,),)=0,#N/A,VLOOKUP(A20,'DB Country PMI'!$A:$W,MATCH($A$1,'DB Country PMI'!$A$1:$W$1,),))</f>
        <v/>
      </c>
      <c r="C20" s="14">
        <f>Table13468113456789[[#This Row],[PMI]]-B19</f>
        <v/>
      </c>
    </row>
    <row r="21">
      <c r="A21" s="8" t="n">
        <v>40909</v>
      </c>
      <c r="B21" s="11">
        <f>IF(VLOOKUP(A21,'DB Country PMI'!$A:$W,MATCH($A$1,'DB Country PMI'!$A$1:$W$1,),)=0,#N/A,VLOOKUP(A21,'DB Country PMI'!$A:$W,MATCH($A$1,'DB Country PMI'!$A$1:$W$1,),))</f>
        <v/>
      </c>
      <c r="C21" s="14">
        <f>Table13468113456789[[#This Row],[PMI]]-B20</f>
        <v/>
      </c>
    </row>
    <row r="22">
      <c r="A22" s="8" t="n">
        <v>40940</v>
      </c>
      <c r="B22" s="11">
        <f>IF(VLOOKUP(A22,'DB Country PMI'!$A:$W,MATCH($A$1,'DB Country PMI'!$A$1:$W$1,),)=0,#N/A,VLOOKUP(A22,'DB Country PMI'!$A:$W,MATCH($A$1,'DB Country PMI'!$A$1:$W$1,),))</f>
        <v/>
      </c>
      <c r="C22" s="14">
        <f>Table13468113456789[[#This Row],[PMI]]-B21</f>
        <v/>
      </c>
    </row>
    <row r="23">
      <c r="A23" s="8" t="n">
        <v>40969</v>
      </c>
      <c r="B23" s="11">
        <f>IF(VLOOKUP(A23,'DB Country PMI'!$A:$W,MATCH($A$1,'DB Country PMI'!$A$1:$W$1,),)=0,#N/A,VLOOKUP(A23,'DB Country PMI'!$A:$W,MATCH($A$1,'DB Country PMI'!$A$1:$W$1,),))</f>
        <v/>
      </c>
      <c r="C23" s="14">
        <f>Table13468113456789[[#This Row],[PMI]]-B22</f>
        <v/>
      </c>
    </row>
    <row r="24">
      <c r="A24" s="8" t="n">
        <v>41000</v>
      </c>
      <c r="B24" s="11">
        <f>IF(VLOOKUP(A24,'DB Country PMI'!$A:$W,MATCH($A$1,'DB Country PMI'!$A$1:$W$1,),)=0,#N/A,VLOOKUP(A24,'DB Country PMI'!$A:$W,MATCH($A$1,'DB Country PMI'!$A$1:$W$1,),))</f>
        <v/>
      </c>
      <c r="C24" s="14">
        <f>Table13468113456789[[#This Row],[PMI]]-B23</f>
        <v/>
      </c>
    </row>
    <row r="25">
      <c r="A25" s="8" t="n">
        <v>41030</v>
      </c>
      <c r="B25" s="11">
        <f>IF(VLOOKUP(A25,'DB Country PMI'!$A:$W,MATCH($A$1,'DB Country PMI'!$A$1:$W$1,),)=0,#N/A,VLOOKUP(A25,'DB Country PMI'!$A:$W,MATCH($A$1,'DB Country PMI'!$A$1:$W$1,),))</f>
        <v/>
      </c>
      <c r="C25" s="14">
        <f>Table13468113456789[[#This Row],[PMI]]-B24</f>
        <v/>
      </c>
    </row>
    <row r="26">
      <c r="A26" s="8" t="n">
        <v>41061</v>
      </c>
      <c r="B26" s="11">
        <f>IF(VLOOKUP(A26,'DB Country PMI'!$A:$W,MATCH($A$1,'DB Country PMI'!$A$1:$W$1,),)=0,#N/A,VLOOKUP(A26,'DB Country PMI'!$A:$W,MATCH($A$1,'DB Country PMI'!$A$1:$W$1,),))</f>
        <v/>
      </c>
      <c r="C26" s="14">
        <f>Table13468113456789[[#This Row],[PMI]]-B25</f>
        <v/>
      </c>
    </row>
    <row r="27">
      <c r="A27" s="8" t="n">
        <v>41091</v>
      </c>
      <c r="B27" s="11">
        <f>IF(VLOOKUP(A27,'DB Country PMI'!$A:$W,MATCH($A$1,'DB Country PMI'!$A$1:$W$1,),)=0,#N/A,VLOOKUP(A27,'DB Country PMI'!$A:$W,MATCH($A$1,'DB Country PMI'!$A$1:$W$1,),))</f>
        <v/>
      </c>
      <c r="C27" s="14">
        <f>Table13468113456789[[#This Row],[PMI]]-B26</f>
        <v/>
      </c>
    </row>
    <row r="28">
      <c r="A28" s="8" t="n">
        <v>41122</v>
      </c>
      <c r="B28" s="11">
        <f>IF(VLOOKUP(A28,'DB Country PMI'!$A:$W,MATCH($A$1,'DB Country PMI'!$A$1:$W$1,),)=0,#N/A,VLOOKUP(A28,'DB Country PMI'!$A:$W,MATCH($A$1,'DB Country PMI'!$A$1:$W$1,),))</f>
        <v/>
      </c>
      <c r="C28" s="14">
        <f>Table13468113456789[[#This Row],[PMI]]-B27</f>
        <v/>
      </c>
    </row>
    <row r="29">
      <c r="A29" s="8" t="n">
        <v>41153</v>
      </c>
      <c r="B29" s="11">
        <f>IF(VLOOKUP(A29,'DB Country PMI'!$A:$W,MATCH($A$1,'DB Country PMI'!$A$1:$W$1,),)=0,#N/A,VLOOKUP(A29,'DB Country PMI'!$A:$W,MATCH($A$1,'DB Country PMI'!$A$1:$W$1,),))</f>
        <v/>
      </c>
      <c r="C29" s="14">
        <f>Table13468113456789[[#This Row],[PMI]]-B28</f>
        <v/>
      </c>
    </row>
    <row r="30">
      <c r="A30" s="8" t="n">
        <v>41183</v>
      </c>
      <c r="B30" s="11">
        <f>IF(VLOOKUP(A30,'DB Country PMI'!$A:$W,MATCH($A$1,'DB Country PMI'!$A$1:$W$1,),)=0,#N/A,VLOOKUP(A30,'DB Country PMI'!$A:$W,MATCH($A$1,'DB Country PMI'!$A$1:$W$1,),))</f>
        <v/>
      </c>
      <c r="C30" s="14">
        <f>Table13468113456789[[#This Row],[PMI]]-B29</f>
        <v/>
      </c>
    </row>
    <row r="31">
      <c r="A31" s="8" t="n">
        <v>41214</v>
      </c>
      <c r="B31" s="11">
        <f>IF(VLOOKUP(A31,'DB Country PMI'!$A:$W,MATCH($A$1,'DB Country PMI'!$A$1:$W$1,),)=0,#N/A,VLOOKUP(A31,'DB Country PMI'!$A:$W,MATCH($A$1,'DB Country PMI'!$A$1:$W$1,),))</f>
        <v/>
      </c>
      <c r="C31" s="14">
        <f>Table13468113456789[[#This Row],[PMI]]-B30</f>
        <v/>
      </c>
    </row>
    <row r="32">
      <c r="A32" s="8" t="n">
        <v>41244</v>
      </c>
      <c r="B32" s="11">
        <f>IF(VLOOKUP(A32,'DB Country PMI'!$A:$W,MATCH($A$1,'DB Country PMI'!$A$1:$W$1,),)=0,#N/A,VLOOKUP(A32,'DB Country PMI'!$A:$W,MATCH($A$1,'DB Country PMI'!$A$1:$W$1,),))</f>
        <v/>
      </c>
      <c r="C32" s="14">
        <f>Table13468113456789[[#This Row],[PMI]]-B31</f>
        <v/>
      </c>
    </row>
    <row r="33">
      <c r="A33" s="8" t="n">
        <v>41275</v>
      </c>
      <c r="B33" s="11">
        <f>IF(VLOOKUP(A33,'DB Country PMI'!$A:$W,MATCH($A$1,'DB Country PMI'!$A$1:$W$1,),)=0,#N/A,VLOOKUP(A33,'DB Country PMI'!$A:$W,MATCH($A$1,'DB Country PMI'!$A$1:$W$1,),))</f>
        <v/>
      </c>
      <c r="C33" s="14">
        <f>Table13468113456789[[#This Row],[PMI]]-B32</f>
        <v/>
      </c>
    </row>
    <row r="34">
      <c r="A34" s="8" t="n">
        <v>41306</v>
      </c>
      <c r="B34" s="11">
        <f>IF(VLOOKUP(A34,'DB Country PMI'!$A:$W,MATCH($A$1,'DB Country PMI'!$A$1:$W$1,),)=0,#N/A,VLOOKUP(A34,'DB Country PMI'!$A:$W,MATCH($A$1,'DB Country PMI'!$A$1:$W$1,),))</f>
        <v/>
      </c>
      <c r="C34" s="14">
        <f>Table13468113456789[[#This Row],[PMI]]-B33</f>
        <v/>
      </c>
    </row>
    <row r="35">
      <c r="A35" s="8" t="n">
        <v>41334</v>
      </c>
      <c r="B35" s="11">
        <f>IF(VLOOKUP(A35,'DB Country PMI'!$A:$W,MATCH($A$1,'DB Country PMI'!$A$1:$W$1,),)=0,#N/A,VLOOKUP(A35,'DB Country PMI'!$A:$W,MATCH($A$1,'DB Country PMI'!$A$1:$W$1,),))</f>
        <v/>
      </c>
      <c r="C35" s="14">
        <f>Table13468113456789[[#This Row],[PMI]]-B34</f>
        <v/>
      </c>
    </row>
    <row r="36">
      <c r="A36" s="8" t="n">
        <v>41365</v>
      </c>
      <c r="B36" s="11">
        <f>IF(VLOOKUP(A36,'DB Country PMI'!$A:$W,MATCH($A$1,'DB Country PMI'!$A$1:$W$1,),)=0,#N/A,VLOOKUP(A36,'DB Country PMI'!$A:$W,MATCH($A$1,'DB Country PMI'!$A$1:$W$1,),))</f>
        <v/>
      </c>
      <c r="C36" s="14">
        <f>Table13468113456789[[#This Row],[PMI]]-B35</f>
        <v/>
      </c>
    </row>
    <row r="37">
      <c r="A37" s="8" t="n">
        <v>41395</v>
      </c>
      <c r="B37" s="11">
        <f>IF(VLOOKUP(A37,'DB Country PMI'!$A:$W,MATCH($A$1,'DB Country PMI'!$A$1:$W$1,),)=0,#N/A,VLOOKUP(A37,'DB Country PMI'!$A:$W,MATCH($A$1,'DB Country PMI'!$A$1:$W$1,),))</f>
        <v/>
      </c>
      <c r="C37" s="14">
        <f>Table13468113456789[[#This Row],[PMI]]-B36</f>
        <v/>
      </c>
    </row>
    <row r="38">
      <c r="A38" s="8" t="n">
        <v>41426</v>
      </c>
      <c r="B38" s="11">
        <f>IF(VLOOKUP(A38,'DB Country PMI'!$A:$W,MATCH($A$1,'DB Country PMI'!$A$1:$W$1,),)=0,#N/A,VLOOKUP(A38,'DB Country PMI'!$A:$W,MATCH($A$1,'DB Country PMI'!$A$1:$W$1,),))</f>
        <v/>
      </c>
      <c r="C38" s="14">
        <f>Table13468113456789[[#This Row],[PMI]]-B37</f>
        <v/>
      </c>
    </row>
    <row r="39">
      <c r="A39" s="8" t="n">
        <v>41456</v>
      </c>
      <c r="B39" s="11">
        <f>IF(VLOOKUP(A39,'DB Country PMI'!$A:$W,MATCH($A$1,'DB Country PMI'!$A$1:$W$1,),)=0,#N/A,VLOOKUP(A39,'DB Country PMI'!$A:$W,MATCH($A$1,'DB Country PMI'!$A$1:$W$1,),))</f>
        <v/>
      </c>
      <c r="C39" s="14">
        <f>Table13468113456789[[#This Row],[PMI]]-B38</f>
        <v/>
      </c>
    </row>
    <row r="40">
      <c r="A40" s="8" t="n">
        <v>41487</v>
      </c>
      <c r="B40" s="11">
        <f>IF(VLOOKUP(A40,'DB Country PMI'!$A:$W,MATCH($A$1,'DB Country PMI'!$A$1:$W$1,),)=0,#N/A,VLOOKUP(A40,'DB Country PMI'!$A:$W,MATCH($A$1,'DB Country PMI'!$A$1:$W$1,),))</f>
        <v/>
      </c>
      <c r="C40" s="14">
        <f>Table13468113456789[[#This Row],[PMI]]-B39</f>
        <v/>
      </c>
    </row>
    <row r="41">
      <c r="A41" s="8" t="n">
        <v>41518</v>
      </c>
      <c r="B41" s="11">
        <f>IF(VLOOKUP(A41,'DB Country PMI'!$A:$W,MATCH($A$1,'DB Country PMI'!$A$1:$W$1,),)=0,#N/A,VLOOKUP(A41,'DB Country PMI'!$A:$W,MATCH($A$1,'DB Country PMI'!$A$1:$W$1,),))</f>
        <v/>
      </c>
      <c r="C41" s="14">
        <f>Table13468113456789[[#This Row],[PMI]]-B40</f>
        <v/>
      </c>
    </row>
    <row r="42">
      <c r="A42" s="8" t="n">
        <v>41548</v>
      </c>
      <c r="B42" s="11">
        <f>IF(VLOOKUP(A42,'DB Country PMI'!$A:$W,MATCH($A$1,'DB Country PMI'!$A$1:$W$1,),)=0,#N/A,VLOOKUP(A42,'DB Country PMI'!$A:$W,MATCH($A$1,'DB Country PMI'!$A$1:$W$1,),))</f>
        <v/>
      </c>
      <c r="C42" s="14">
        <f>Table13468113456789[[#This Row],[PMI]]-B41</f>
        <v/>
      </c>
    </row>
    <row r="43">
      <c r="A43" s="8" t="n">
        <v>41579</v>
      </c>
      <c r="B43" s="11">
        <f>IF(VLOOKUP(A43,'DB Country PMI'!$A:$W,MATCH($A$1,'DB Country PMI'!$A$1:$W$1,),)=0,#N/A,VLOOKUP(A43,'DB Country PMI'!$A:$W,MATCH($A$1,'DB Country PMI'!$A$1:$W$1,),))</f>
        <v/>
      </c>
      <c r="C43" s="14">
        <f>Table13468113456789[[#This Row],[PMI]]-B42</f>
        <v/>
      </c>
    </row>
    <row r="44">
      <c r="A44" s="8" t="n">
        <v>41609</v>
      </c>
      <c r="B44" s="11">
        <f>IF(VLOOKUP(A44,'DB Country PMI'!$A:$W,MATCH($A$1,'DB Country PMI'!$A$1:$W$1,),)=0,#N/A,VLOOKUP(A44,'DB Country PMI'!$A:$W,MATCH($A$1,'DB Country PMI'!$A$1:$W$1,),))</f>
        <v/>
      </c>
      <c r="C44" s="14">
        <f>Table13468113456789[[#This Row],[PMI]]-B43</f>
        <v/>
      </c>
    </row>
    <row r="45">
      <c r="A45" s="8" t="n">
        <v>41640</v>
      </c>
      <c r="B45" s="11">
        <f>IF(VLOOKUP(A45,'DB Country PMI'!$A:$W,MATCH($A$1,'DB Country PMI'!$A$1:$W$1,),)=0,#N/A,VLOOKUP(A45,'DB Country PMI'!$A:$W,MATCH($A$1,'DB Country PMI'!$A$1:$W$1,),))</f>
        <v/>
      </c>
      <c r="C45" s="14">
        <f>Table13468113456789[[#This Row],[PMI]]-B44</f>
        <v/>
      </c>
    </row>
    <row r="46">
      <c r="A46" s="8" t="n">
        <v>41671</v>
      </c>
      <c r="B46" s="11">
        <f>IF(VLOOKUP(A46,'DB Country PMI'!$A:$W,MATCH($A$1,'DB Country PMI'!$A$1:$W$1,),)=0,#N/A,VLOOKUP(A46,'DB Country PMI'!$A:$W,MATCH($A$1,'DB Country PMI'!$A$1:$W$1,),))</f>
        <v/>
      </c>
      <c r="C46" s="14">
        <f>Table13468113456789[[#This Row],[PMI]]-B45</f>
        <v/>
      </c>
    </row>
    <row r="47">
      <c r="A47" s="8" t="n">
        <v>41699</v>
      </c>
      <c r="B47" s="11">
        <f>IF(VLOOKUP(A47,'DB Country PMI'!$A:$W,MATCH($A$1,'DB Country PMI'!$A$1:$W$1,),)=0,#N/A,VLOOKUP(A47,'DB Country PMI'!$A:$W,MATCH($A$1,'DB Country PMI'!$A$1:$W$1,),))</f>
        <v/>
      </c>
      <c r="C47" s="14">
        <f>Table13468113456789[[#This Row],[PMI]]-B46</f>
        <v/>
      </c>
    </row>
    <row r="48">
      <c r="A48" s="8" t="n">
        <v>41730</v>
      </c>
      <c r="B48" s="11">
        <f>IF(VLOOKUP(A48,'DB Country PMI'!$A:$W,MATCH($A$1,'DB Country PMI'!$A$1:$W$1,),)=0,#N/A,VLOOKUP(A48,'DB Country PMI'!$A:$W,MATCH($A$1,'DB Country PMI'!$A$1:$W$1,),))</f>
        <v/>
      </c>
      <c r="C48" s="14">
        <f>Table13468113456789[[#This Row],[PMI]]-B47</f>
        <v/>
      </c>
    </row>
    <row r="49">
      <c r="A49" s="8" t="n">
        <v>41760</v>
      </c>
      <c r="B49" s="11">
        <f>IF(VLOOKUP(A49,'DB Country PMI'!$A:$W,MATCH($A$1,'DB Country PMI'!$A$1:$W$1,),)=0,#N/A,VLOOKUP(A49,'DB Country PMI'!$A:$W,MATCH($A$1,'DB Country PMI'!$A$1:$W$1,),))</f>
        <v/>
      </c>
      <c r="C49" s="14">
        <f>Table13468113456789[[#This Row],[PMI]]-B48</f>
        <v/>
      </c>
    </row>
    <row r="50">
      <c r="A50" s="8" t="n">
        <v>41791</v>
      </c>
      <c r="B50" s="11">
        <f>IF(VLOOKUP(A50,'DB Country PMI'!$A:$W,MATCH($A$1,'DB Country PMI'!$A$1:$W$1,),)=0,#N/A,VLOOKUP(A50,'DB Country PMI'!$A:$W,MATCH($A$1,'DB Country PMI'!$A$1:$W$1,),))</f>
        <v/>
      </c>
      <c r="C50" s="14">
        <f>Table13468113456789[[#This Row],[PMI]]-B49</f>
        <v/>
      </c>
    </row>
    <row r="51">
      <c r="A51" s="8" t="n">
        <v>41821</v>
      </c>
      <c r="B51" s="11">
        <f>IF(VLOOKUP(A51,'DB Country PMI'!$A:$W,MATCH($A$1,'DB Country PMI'!$A$1:$W$1,),)=0,#N/A,VLOOKUP(A51,'DB Country PMI'!$A:$W,MATCH($A$1,'DB Country PMI'!$A$1:$W$1,),))</f>
        <v/>
      </c>
      <c r="C51" s="14">
        <f>Table13468113456789[[#This Row],[PMI]]-B50</f>
        <v/>
      </c>
    </row>
    <row r="52">
      <c r="A52" s="8" t="n">
        <v>41852</v>
      </c>
      <c r="B52" s="11">
        <f>IF(VLOOKUP(A52,'DB Country PMI'!$A:$W,MATCH($A$1,'DB Country PMI'!$A$1:$W$1,),)=0,#N/A,VLOOKUP(A52,'DB Country PMI'!$A:$W,MATCH($A$1,'DB Country PMI'!$A$1:$W$1,),))</f>
        <v/>
      </c>
      <c r="C52" s="14">
        <f>Table13468113456789[[#This Row],[PMI]]-B51</f>
        <v/>
      </c>
    </row>
    <row r="53">
      <c r="A53" s="8" t="n">
        <v>41883</v>
      </c>
      <c r="B53" s="11">
        <f>IF(VLOOKUP(A53,'DB Country PMI'!$A:$W,MATCH($A$1,'DB Country PMI'!$A$1:$W$1,),)=0,#N/A,VLOOKUP(A53,'DB Country PMI'!$A:$W,MATCH($A$1,'DB Country PMI'!$A$1:$W$1,),))</f>
        <v/>
      </c>
      <c r="C53" s="14">
        <f>Table13468113456789[[#This Row],[PMI]]-B52</f>
        <v/>
      </c>
    </row>
    <row r="54">
      <c r="A54" s="8" t="n">
        <v>41913</v>
      </c>
      <c r="B54" s="11">
        <f>IF(VLOOKUP(A54,'DB Country PMI'!$A:$W,MATCH($A$1,'DB Country PMI'!$A$1:$W$1,),)=0,#N/A,VLOOKUP(A54,'DB Country PMI'!$A:$W,MATCH($A$1,'DB Country PMI'!$A$1:$W$1,),))</f>
        <v/>
      </c>
      <c r="C54" s="14">
        <f>Table13468113456789[[#This Row],[PMI]]-B53</f>
        <v/>
      </c>
    </row>
    <row r="55">
      <c r="A55" s="8" t="n">
        <v>41944</v>
      </c>
      <c r="B55" s="11">
        <f>IF(VLOOKUP(A55,'DB Country PMI'!$A:$W,MATCH($A$1,'DB Country PMI'!$A$1:$W$1,),)=0,#N/A,VLOOKUP(A55,'DB Country PMI'!$A:$W,MATCH($A$1,'DB Country PMI'!$A$1:$W$1,),))</f>
        <v/>
      </c>
      <c r="C55" s="14">
        <f>Table13468113456789[[#This Row],[PMI]]-B54</f>
        <v/>
      </c>
    </row>
    <row r="56">
      <c r="A56" s="8" t="n">
        <v>41974</v>
      </c>
      <c r="B56" s="11">
        <f>IF(VLOOKUP(A56,'DB Country PMI'!$A:$W,MATCH($A$1,'DB Country PMI'!$A$1:$W$1,),)=0,#N/A,VLOOKUP(A56,'DB Country PMI'!$A:$W,MATCH($A$1,'DB Country PMI'!$A$1:$W$1,),))</f>
        <v/>
      </c>
      <c r="C56" s="14">
        <f>Table13468113456789[[#This Row],[PMI]]-B55</f>
        <v/>
      </c>
    </row>
    <row r="57">
      <c r="A57" s="8" t="n">
        <v>42005</v>
      </c>
      <c r="B57" s="11">
        <f>IF(VLOOKUP(A57,'DB Country PMI'!$A:$W,MATCH($A$1,'DB Country PMI'!$A$1:$W$1,),)=0,#N/A,VLOOKUP(A57,'DB Country PMI'!$A:$W,MATCH($A$1,'DB Country PMI'!$A$1:$W$1,),))</f>
        <v/>
      </c>
      <c r="C57" s="14">
        <f>Table13468113456789[[#This Row],[PMI]]-B56</f>
        <v/>
      </c>
    </row>
    <row r="58">
      <c r="A58" s="8" t="n">
        <v>42036</v>
      </c>
      <c r="B58" s="11">
        <f>IF(VLOOKUP(A58,'DB Country PMI'!$A:$W,MATCH($A$1,'DB Country PMI'!$A$1:$W$1,),)=0,#N/A,VLOOKUP(A58,'DB Country PMI'!$A:$W,MATCH($A$1,'DB Country PMI'!$A$1:$W$1,),))</f>
        <v/>
      </c>
      <c r="C58" s="14">
        <f>Table13468113456789[[#This Row],[PMI]]-B57</f>
        <v/>
      </c>
    </row>
    <row r="59">
      <c r="A59" s="8" t="n">
        <v>42064</v>
      </c>
      <c r="B59" s="11">
        <f>IF(VLOOKUP(A59,'DB Country PMI'!$A:$W,MATCH($A$1,'DB Country PMI'!$A$1:$W$1,),)=0,#N/A,VLOOKUP(A59,'DB Country PMI'!$A:$W,MATCH($A$1,'DB Country PMI'!$A$1:$W$1,),))</f>
        <v/>
      </c>
      <c r="C59" s="14">
        <f>Table13468113456789[[#This Row],[PMI]]-B58</f>
        <v/>
      </c>
    </row>
    <row r="60">
      <c r="A60" s="8" t="n">
        <v>42095</v>
      </c>
      <c r="B60" s="11">
        <f>IF(VLOOKUP(A60,'DB Country PMI'!$A:$W,MATCH($A$1,'DB Country PMI'!$A$1:$W$1,),)=0,#N/A,VLOOKUP(A60,'DB Country PMI'!$A:$W,MATCH($A$1,'DB Country PMI'!$A$1:$W$1,),))</f>
        <v/>
      </c>
      <c r="C60" s="14">
        <f>Table13468113456789[[#This Row],[PMI]]-B59</f>
        <v/>
      </c>
    </row>
    <row r="61">
      <c r="A61" s="8" t="n">
        <v>42125</v>
      </c>
      <c r="B61" s="11">
        <f>IF(VLOOKUP(A61,'DB Country PMI'!$A:$W,MATCH($A$1,'DB Country PMI'!$A$1:$W$1,),)=0,#N/A,VLOOKUP(A61,'DB Country PMI'!$A:$W,MATCH($A$1,'DB Country PMI'!$A$1:$W$1,),))</f>
        <v/>
      </c>
      <c r="C61" s="14">
        <f>Table13468113456789[[#This Row],[PMI]]-B60</f>
        <v/>
      </c>
    </row>
    <row r="62">
      <c r="A62" s="8" t="n">
        <v>42156</v>
      </c>
      <c r="B62" s="11">
        <f>IF(VLOOKUP(A62,'DB Country PMI'!$A:$W,MATCH($A$1,'DB Country PMI'!$A$1:$W$1,),)=0,#N/A,VLOOKUP(A62,'DB Country PMI'!$A:$W,MATCH($A$1,'DB Country PMI'!$A$1:$W$1,),))</f>
        <v/>
      </c>
      <c r="C62" s="14">
        <f>Table13468113456789[[#This Row],[PMI]]-B61</f>
        <v/>
      </c>
    </row>
    <row r="63">
      <c r="A63" s="8" t="n">
        <v>42186</v>
      </c>
      <c r="B63" s="11">
        <f>IF(VLOOKUP(A63,'DB Country PMI'!$A:$W,MATCH($A$1,'DB Country PMI'!$A$1:$W$1,),)=0,#N/A,VLOOKUP(A63,'DB Country PMI'!$A:$W,MATCH($A$1,'DB Country PMI'!$A$1:$W$1,),))</f>
        <v/>
      </c>
      <c r="C63" s="14">
        <f>Table13468113456789[[#This Row],[PMI]]-B62</f>
        <v/>
      </c>
    </row>
    <row r="64">
      <c r="A64" s="8" t="n">
        <v>42217</v>
      </c>
      <c r="B64" s="11">
        <f>IF(VLOOKUP(A64,'DB Country PMI'!$A:$W,MATCH($A$1,'DB Country PMI'!$A$1:$W$1,),)=0,#N/A,VLOOKUP(A64,'DB Country PMI'!$A:$W,MATCH($A$1,'DB Country PMI'!$A$1:$W$1,),))</f>
        <v/>
      </c>
      <c r="C64" s="14">
        <f>Table13468113456789[[#This Row],[PMI]]-B63</f>
        <v/>
      </c>
    </row>
    <row r="65">
      <c r="A65" s="8" t="n">
        <v>42248</v>
      </c>
      <c r="B65" s="11">
        <f>IF(VLOOKUP(A65,'DB Country PMI'!$A:$W,MATCH($A$1,'DB Country PMI'!$A$1:$W$1,),)=0,#N/A,VLOOKUP(A65,'DB Country PMI'!$A:$W,MATCH($A$1,'DB Country PMI'!$A$1:$W$1,),))</f>
        <v/>
      </c>
      <c r="C65" s="14">
        <f>Table13468113456789[[#This Row],[PMI]]-B64</f>
        <v/>
      </c>
    </row>
    <row r="66">
      <c r="A66" s="8" t="n">
        <v>42278</v>
      </c>
      <c r="B66" s="11">
        <f>IF(VLOOKUP(A66,'DB Country PMI'!$A:$W,MATCH($A$1,'DB Country PMI'!$A$1:$W$1,),)=0,#N/A,VLOOKUP(A66,'DB Country PMI'!$A:$W,MATCH($A$1,'DB Country PMI'!$A$1:$W$1,),))</f>
        <v/>
      </c>
      <c r="C66" s="14">
        <f>Table13468113456789[[#This Row],[PMI]]-B65</f>
        <v/>
      </c>
    </row>
    <row r="67">
      <c r="A67" s="8" t="n">
        <v>42309</v>
      </c>
      <c r="B67" s="11">
        <f>IF(VLOOKUP(A67,'DB Country PMI'!$A:$W,MATCH($A$1,'DB Country PMI'!$A$1:$W$1,),)=0,#N/A,VLOOKUP(A67,'DB Country PMI'!$A:$W,MATCH($A$1,'DB Country PMI'!$A$1:$W$1,),))</f>
        <v/>
      </c>
      <c r="C67" s="14">
        <f>Table13468113456789[[#This Row],[PMI]]-B66</f>
        <v/>
      </c>
    </row>
    <row r="68">
      <c r="A68" s="8" t="n">
        <v>42339</v>
      </c>
      <c r="B68" s="11">
        <f>IF(VLOOKUP(A68,'DB Country PMI'!$A:$W,MATCH($A$1,'DB Country PMI'!$A$1:$W$1,),)=0,#N/A,VLOOKUP(A68,'DB Country PMI'!$A:$W,MATCH($A$1,'DB Country PMI'!$A$1:$W$1,),))</f>
        <v/>
      </c>
      <c r="C68" s="14">
        <f>Table13468113456789[[#This Row],[PMI]]-B67</f>
        <v/>
      </c>
    </row>
    <row r="69">
      <c r="A69" s="8" t="n">
        <v>42370</v>
      </c>
      <c r="B69" s="11">
        <f>IF(VLOOKUP(A69,'DB Country PMI'!$A:$W,MATCH($A$1,'DB Country PMI'!$A$1:$W$1,),)=0,#N/A,VLOOKUP(A69,'DB Country PMI'!$A:$W,MATCH($A$1,'DB Country PMI'!$A$1:$W$1,),))</f>
        <v/>
      </c>
      <c r="C69" s="14">
        <f>Table13468113456789[[#This Row],[PMI]]-B68</f>
        <v/>
      </c>
    </row>
    <row r="70">
      <c r="A70" s="8" t="n">
        <v>42401</v>
      </c>
      <c r="B70" s="11">
        <f>IF(VLOOKUP(A70,'DB Country PMI'!$A:$W,MATCH($A$1,'DB Country PMI'!$A$1:$W$1,),)=0,#N/A,VLOOKUP(A70,'DB Country PMI'!$A:$W,MATCH($A$1,'DB Country PMI'!$A$1:$W$1,),))</f>
        <v/>
      </c>
      <c r="C70" s="14">
        <f>Table13468113456789[[#This Row],[PMI]]-B69</f>
        <v/>
      </c>
    </row>
    <row r="71">
      <c r="A71" s="8" t="n">
        <v>42430</v>
      </c>
      <c r="B71" s="11">
        <f>IF(VLOOKUP(A71,'DB Country PMI'!$A:$W,MATCH($A$1,'DB Country PMI'!$A$1:$W$1,),)=0,#N/A,VLOOKUP(A71,'DB Country PMI'!$A:$W,MATCH($A$1,'DB Country PMI'!$A$1:$W$1,),))</f>
        <v/>
      </c>
      <c r="C71" s="14">
        <f>Table13468113456789[[#This Row],[PMI]]-B70</f>
        <v/>
      </c>
    </row>
    <row r="72">
      <c r="A72" s="8" t="n">
        <v>42461</v>
      </c>
      <c r="B72" s="11">
        <f>IF(VLOOKUP(A72,'DB Country PMI'!$A:$W,MATCH($A$1,'DB Country PMI'!$A$1:$W$1,),)=0,#N/A,VLOOKUP(A72,'DB Country PMI'!$A:$W,MATCH($A$1,'DB Country PMI'!$A$1:$W$1,),))</f>
        <v/>
      </c>
      <c r="C72" s="14">
        <f>Table13468113456789[[#This Row],[PMI]]-B71</f>
        <v/>
      </c>
    </row>
    <row r="73">
      <c r="A73" s="8" t="n">
        <v>42491</v>
      </c>
      <c r="B73" s="11">
        <f>IF(VLOOKUP(A73,'DB Country PMI'!$A:$W,MATCH($A$1,'DB Country PMI'!$A$1:$W$1,),)=0,#N/A,VLOOKUP(A73,'DB Country PMI'!$A:$W,MATCH($A$1,'DB Country PMI'!$A$1:$W$1,),))</f>
        <v/>
      </c>
      <c r="C73" s="14">
        <f>Table13468113456789[[#This Row],[PMI]]-B72</f>
        <v/>
      </c>
    </row>
    <row r="74">
      <c r="A74" s="8" t="n">
        <v>42522</v>
      </c>
      <c r="B74" s="11">
        <f>IF(VLOOKUP(A74,'DB Country PMI'!$A:$W,MATCH($A$1,'DB Country PMI'!$A$1:$W$1,),)=0,#N/A,VLOOKUP(A74,'DB Country PMI'!$A:$W,MATCH($A$1,'DB Country PMI'!$A$1:$W$1,),))</f>
        <v/>
      </c>
      <c r="C74" s="14">
        <f>Table13468113456789[[#This Row],[PMI]]-B73</f>
        <v/>
      </c>
    </row>
    <row r="75">
      <c r="A75" s="8" t="n">
        <v>42552</v>
      </c>
      <c r="B75" s="11">
        <f>IF(VLOOKUP(A75,'DB Country PMI'!$A:$W,MATCH($A$1,'DB Country PMI'!$A$1:$W$1,),)=0,#N/A,VLOOKUP(A75,'DB Country PMI'!$A:$W,MATCH($A$1,'DB Country PMI'!$A$1:$W$1,),))</f>
        <v/>
      </c>
      <c r="C75" s="14">
        <f>Table13468113456789[[#This Row],[PMI]]-B74</f>
        <v/>
      </c>
    </row>
    <row r="76">
      <c r="A76" s="8" t="n">
        <v>42583</v>
      </c>
      <c r="B76" s="11">
        <f>IF(VLOOKUP(A76,'DB Country PMI'!$A:$W,MATCH($A$1,'DB Country PMI'!$A$1:$W$1,),)=0,#N/A,VLOOKUP(A76,'DB Country PMI'!$A:$W,MATCH($A$1,'DB Country PMI'!$A$1:$W$1,),))</f>
        <v/>
      </c>
      <c r="C76" s="14">
        <f>Table13468113456789[[#This Row],[PMI]]-B75</f>
        <v/>
      </c>
    </row>
    <row r="77">
      <c r="A77" s="8" t="n">
        <v>42614</v>
      </c>
      <c r="B77" s="11">
        <f>IF(VLOOKUP(A77,'DB Country PMI'!$A:$W,MATCH($A$1,'DB Country PMI'!$A$1:$W$1,),)=0,#N/A,VLOOKUP(A77,'DB Country PMI'!$A:$W,MATCH($A$1,'DB Country PMI'!$A$1:$W$1,),))</f>
        <v/>
      </c>
      <c r="C77" s="14">
        <f>Table13468113456789[[#This Row],[PMI]]-B76</f>
        <v/>
      </c>
    </row>
    <row r="78">
      <c r="A78" s="8" t="n">
        <v>42644</v>
      </c>
      <c r="B78" s="11">
        <f>IF(VLOOKUP(A78,'DB Country PMI'!$A:$W,MATCH($A$1,'DB Country PMI'!$A$1:$W$1,),)=0,#N/A,VLOOKUP(A78,'DB Country PMI'!$A:$W,MATCH($A$1,'DB Country PMI'!$A$1:$W$1,),))</f>
        <v/>
      </c>
      <c r="C78" s="14">
        <f>Table13468113456789[[#This Row],[PMI]]-B77</f>
        <v/>
      </c>
    </row>
    <row r="79">
      <c r="A79" s="8" t="n">
        <v>42675</v>
      </c>
      <c r="B79" s="11">
        <f>IF(VLOOKUP(A79,'DB Country PMI'!$A:$W,MATCH($A$1,'DB Country PMI'!$A$1:$W$1,),)=0,#N/A,VLOOKUP(A79,'DB Country PMI'!$A:$W,MATCH($A$1,'DB Country PMI'!$A$1:$W$1,),))</f>
        <v/>
      </c>
      <c r="C79" s="14">
        <f>Table13468113456789[[#This Row],[PMI]]-B78</f>
        <v/>
      </c>
    </row>
    <row r="80">
      <c r="A80" s="8" t="n">
        <v>42705</v>
      </c>
      <c r="B80" s="11">
        <f>IF(VLOOKUP(A80,'DB Country PMI'!$A:$W,MATCH($A$1,'DB Country PMI'!$A$1:$W$1,),)=0,#N/A,VLOOKUP(A80,'DB Country PMI'!$A:$W,MATCH($A$1,'DB Country PMI'!$A$1:$W$1,),))</f>
        <v/>
      </c>
      <c r="C80" s="14">
        <f>Table13468113456789[[#This Row],[PMI]]-B79</f>
        <v/>
      </c>
    </row>
    <row r="81">
      <c r="A81" s="8" t="n">
        <v>42736</v>
      </c>
      <c r="B81" s="11">
        <f>IF(VLOOKUP(A81,'DB Country PMI'!$A:$W,MATCH($A$1,'DB Country PMI'!$A$1:$W$1,),)=0,#N/A,VLOOKUP(A81,'DB Country PMI'!$A:$W,MATCH($A$1,'DB Country PMI'!$A$1:$W$1,),))</f>
        <v/>
      </c>
      <c r="C81" s="14">
        <f>Table13468113456789[[#This Row],[PMI]]-B80</f>
        <v/>
      </c>
    </row>
    <row r="82">
      <c r="A82" s="8" t="n">
        <v>42767</v>
      </c>
      <c r="B82" s="11">
        <f>IF(VLOOKUP(A82,'DB Country PMI'!$A:$W,MATCH($A$1,'DB Country PMI'!$A$1:$W$1,),)=0,#N/A,VLOOKUP(A82,'DB Country PMI'!$A:$W,MATCH($A$1,'DB Country PMI'!$A$1:$W$1,),))</f>
        <v/>
      </c>
      <c r="C82" s="14">
        <f>Table13468113456789[[#This Row],[PMI]]-B81</f>
        <v/>
      </c>
    </row>
    <row r="83">
      <c r="A83" s="8" t="n">
        <v>42795</v>
      </c>
      <c r="B83" s="11">
        <f>IF(VLOOKUP(A83,'DB Country PMI'!$A:$W,MATCH($A$1,'DB Country PMI'!$A$1:$W$1,),)=0,#N/A,VLOOKUP(A83,'DB Country PMI'!$A:$W,MATCH($A$1,'DB Country PMI'!$A$1:$W$1,),))</f>
        <v/>
      </c>
      <c r="C83" s="14">
        <f>Table13468113456789[[#This Row],[PMI]]-B82</f>
        <v/>
      </c>
    </row>
    <row r="84">
      <c r="A84" s="8" t="n">
        <v>42826</v>
      </c>
      <c r="B84" s="11">
        <f>IF(VLOOKUP(A84,'DB Country PMI'!$A:$W,MATCH($A$1,'DB Country PMI'!$A$1:$W$1,),)=0,#N/A,VLOOKUP(A84,'DB Country PMI'!$A:$W,MATCH($A$1,'DB Country PMI'!$A$1:$W$1,),))</f>
        <v/>
      </c>
      <c r="C84" s="14">
        <f>Table13468113456789[[#This Row],[PMI]]-B83</f>
        <v/>
      </c>
    </row>
    <row r="85">
      <c r="A85" s="8" t="n">
        <v>42856</v>
      </c>
      <c r="B85" s="11">
        <f>IF(VLOOKUP(A85,'DB Country PMI'!$A:$W,MATCH($A$1,'DB Country PMI'!$A$1:$W$1,),)=0,#N/A,VLOOKUP(A85,'DB Country PMI'!$A:$W,MATCH($A$1,'DB Country PMI'!$A$1:$W$1,),))</f>
        <v/>
      </c>
      <c r="C85" s="14">
        <f>Table13468113456789[[#This Row],[PMI]]-B84</f>
        <v/>
      </c>
    </row>
    <row r="86">
      <c r="A86" s="8" t="n">
        <v>42887</v>
      </c>
      <c r="B86" s="11">
        <f>IF(VLOOKUP(A86,'DB Country PMI'!$A:$W,MATCH($A$1,'DB Country PMI'!$A$1:$W$1,),)=0,#N/A,VLOOKUP(A86,'DB Country PMI'!$A:$W,MATCH($A$1,'DB Country PMI'!$A$1:$W$1,),))</f>
        <v/>
      </c>
      <c r="C86" s="14">
        <f>Table13468113456789[[#This Row],[PMI]]-B85</f>
        <v/>
      </c>
    </row>
    <row r="87">
      <c r="A87" s="8" t="n">
        <v>42917</v>
      </c>
      <c r="B87" s="11">
        <f>IF(VLOOKUP(A87,'DB Country PMI'!$A:$W,MATCH($A$1,'DB Country PMI'!$A$1:$W$1,),)=0,#N/A,VLOOKUP(A87,'DB Country PMI'!$A:$W,MATCH($A$1,'DB Country PMI'!$A$1:$W$1,),))</f>
        <v/>
      </c>
      <c r="C87" s="14">
        <f>Table13468113456789[[#This Row],[PMI]]-B86</f>
        <v/>
      </c>
    </row>
    <row r="88">
      <c r="A88" s="8" t="n">
        <v>42948</v>
      </c>
      <c r="B88" s="11">
        <f>IF(VLOOKUP(A88,'DB Country PMI'!$A:$W,MATCH($A$1,'DB Country PMI'!$A$1:$W$1,),)=0,#N/A,VLOOKUP(A88,'DB Country PMI'!$A:$W,MATCH($A$1,'DB Country PMI'!$A$1:$W$1,),))</f>
        <v/>
      </c>
      <c r="C88" s="14">
        <f>Table13468113456789[[#This Row],[PMI]]-B87</f>
        <v/>
      </c>
    </row>
    <row r="89">
      <c r="A89" s="8" t="n">
        <v>42979</v>
      </c>
      <c r="B89" s="11">
        <f>IF(VLOOKUP(A89,'DB Country PMI'!$A:$W,MATCH($A$1,'DB Country PMI'!$A$1:$W$1,),)=0,#N/A,VLOOKUP(A89,'DB Country PMI'!$A:$W,MATCH($A$1,'DB Country PMI'!$A$1:$W$1,),))</f>
        <v/>
      </c>
      <c r="C89" s="14">
        <f>Table13468113456789[[#This Row],[PMI]]-B88</f>
        <v/>
      </c>
    </row>
    <row r="90">
      <c r="A90" s="8" t="n">
        <v>43009</v>
      </c>
      <c r="B90" s="11">
        <f>IF(VLOOKUP(A90,'DB Country PMI'!$A:$W,MATCH($A$1,'DB Country PMI'!$A$1:$W$1,),)=0,#N/A,VLOOKUP(A90,'DB Country PMI'!$A:$W,MATCH($A$1,'DB Country PMI'!$A$1:$W$1,),))</f>
        <v/>
      </c>
      <c r="C90" s="14">
        <f>Table13468113456789[[#This Row],[PMI]]-B89</f>
        <v/>
      </c>
    </row>
    <row r="91">
      <c r="A91" s="8" t="n">
        <v>43040</v>
      </c>
      <c r="B91" s="11">
        <f>IF(VLOOKUP(A91,'DB Country PMI'!$A:$W,MATCH($A$1,'DB Country PMI'!$A$1:$W$1,),)=0,#N/A,VLOOKUP(A91,'DB Country PMI'!$A:$W,MATCH($A$1,'DB Country PMI'!$A$1:$W$1,),))</f>
        <v/>
      </c>
      <c r="C91" s="14">
        <f>Table13468113456789[[#This Row],[PMI]]-B90</f>
        <v/>
      </c>
    </row>
    <row r="92">
      <c r="A92" s="8" t="n">
        <v>43070</v>
      </c>
      <c r="B92" s="11">
        <f>IF(VLOOKUP(A92,'DB Country PMI'!$A:$W,MATCH($A$1,'DB Country PMI'!$A$1:$W$1,),)=0,#N/A,VLOOKUP(A92,'DB Country PMI'!$A:$W,MATCH($A$1,'DB Country PMI'!$A$1:$W$1,),))</f>
        <v/>
      </c>
      <c r="C92" s="14">
        <f>Table13468113456789[[#This Row],[PMI]]-B91</f>
        <v/>
      </c>
    </row>
    <row r="93">
      <c r="A93" s="8" t="n">
        <v>43101</v>
      </c>
      <c r="B93" s="11">
        <f>IF(VLOOKUP(A93,'DB Country PMI'!$A:$W,MATCH($A$1,'DB Country PMI'!$A$1:$W$1,),)=0,#N/A,VLOOKUP(A93,'DB Country PMI'!$A:$W,MATCH($A$1,'DB Country PMI'!$A$1:$W$1,),))</f>
        <v/>
      </c>
      <c r="C93" s="14">
        <f>Table13468113456789[[#This Row],[PMI]]-B92</f>
        <v/>
      </c>
    </row>
    <row r="94">
      <c r="A94" s="8" t="n">
        <v>43132</v>
      </c>
      <c r="B94" s="11">
        <f>IF(VLOOKUP(A94,'DB Country PMI'!$A:$W,MATCH($A$1,'DB Country PMI'!$A$1:$W$1,),)=0,#N/A,VLOOKUP(A94,'DB Country PMI'!$A:$W,MATCH($A$1,'DB Country PMI'!$A$1:$W$1,),))</f>
        <v/>
      </c>
      <c r="C94" s="14">
        <f>Table13468113456789[[#This Row],[PMI]]-B93</f>
        <v/>
      </c>
    </row>
    <row r="95">
      <c r="A95" s="8" t="n">
        <v>43160</v>
      </c>
      <c r="B95" s="11">
        <f>IF(VLOOKUP(A95,'DB Country PMI'!$A:$W,MATCH($A$1,'DB Country PMI'!$A$1:$W$1,),)=0,#N/A,VLOOKUP(A95,'DB Country PMI'!$A:$W,MATCH($A$1,'DB Country PMI'!$A$1:$W$1,),))</f>
        <v/>
      </c>
      <c r="C95" s="14">
        <f>Table13468113456789[[#This Row],[PMI]]-B94</f>
        <v/>
      </c>
    </row>
    <row r="96">
      <c r="A96" s="8" t="n">
        <v>43191</v>
      </c>
      <c r="B96" s="11">
        <f>IF(VLOOKUP(A96,'DB Country PMI'!$A:$W,MATCH($A$1,'DB Country PMI'!$A$1:$W$1,),)=0,#N/A,VLOOKUP(A96,'DB Country PMI'!$A:$W,MATCH($A$1,'DB Country PMI'!$A$1:$W$1,),))</f>
        <v/>
      </c>
      <c r="C96" s="14">
        <f>Table13468113456789[[#This Row],[PMI]]-B95</f>
        <v/>
      </c>
    </row>
    <row r="97">
      <c r="A97" s="8" t="n">
        <v>43221</v>
      </c>
      <c r="B97" s="11">
        <f>IF(VLOOKUP(A97,'DB Country PMI'!$A:$W,MATCH($A$1,'DB Country PMI'!$A$1:$W$1,),)=0,#N/A,VLOOKUP(A97,'DB Country PMI'!$A:$W,MATCH($A$1,'DB Country PMI'!$A$1:$W$1,),))</f>
        <v/>
      </c>
      <c r="C97" s="14">
        <f>Table13468113456789[[#This Row],[PMI]]-B96</f>
        <v/>
      </c>
    </row>
    <row r="98">
      <c r="A98" s="8" t="n">
        <v>43252</v>
      </c>
      <c r="B98" s="11">
        <f>IF(VLOOKUP(A98,'DB Country PMI'!$A:$W,MATCH($A$1,'DB Country PMI'!$A$1:$W$1,),)=0,#N/A,VLOOKUP(A98,'DB Country PMI'!$A:$W,MATCH($A$1,'DB Country PMI'!$A$1:$W$1,),))</f>
        <v/>
      </c>
      <c r="C98" s="14">
        <f>Table13468113456789[[#This Row],[PMI]]-B97</f>
        <v/>
      </c>
    </row>
    <row r="99">
      <c r="A99" s="8" t="n">
        <v>43282</v>
      </c>
      <c r="B99" s="11">
        <f>IF(VLOOKUP(A99,'DB Country PMI'!$A:$W,MATCH($A$1,'DB Country PMI'!$A$1:$W$1,),)=0,#N/A,VLOOKUP(A99,'DB Country PMI'!$A:$W,MATCH($A$1,'DB Country PMI'!$A$1:$W$1,),))</f>
        <v/>
      </c>
      <c r="C99" s="14">
        <f>Table13468113456789[[#This Row],[PMI]]-B98</f>
        <v/>
      </c>
    </row>
    <row r="100">
      <c r="A100" s="8" t="n">
        <v>43313</v>
      </c>
      <c r="B100" s="11">
        <f>IF(VLOOKUP(A100,'DB Country PMI'!$A:$W,MATCH($A$1,'DB Country PMI'!$A$1:$W$1,),)=0,#N/A,VLOOKUP(A100,'DB Country PMI'!$A:$W,MATCH($A$1,'DB Country PMI'!$A$1:$W$1,),))</f>
        <v/>
      </c>
      <c r="C100" s="14">
        <f>Table13468113456789[[#This Row],[PMI]]-B99</f>
        <v/>
      </c>
    </row>
    <row r="101">
      <c r="A101" s="8" t="n">
        <v>43344</v>
      </c>
      <c r="B101" s="11">
        <f>IF(VLOOKUP(A101,'DB Country PMI'!$A:$W,MATCH($A$1,'DB Country PMI'!$A$1:$W$1,),)=0,#N/A,VLOOKUP(A101,'DB Country PMI'!$A:$W,MATCH($A$1,'DB Country PMI'!$A$1:$W$1,),))</f>
        <v/>
      </c>
      <c r="C101" s="14">
        <f>Table13468113456789[[#This Row],[PMI]]-B100</f>
        <v/>
      </c>
    </row>
    <row r="102">
      <c r="A102" s="8" t="n">
        <v>43374</v>
      </c>
      <c r="B102" s="11">
        <f>IF(VLOOKUP(A102,'DB Country PMI'!$A:$W,MATCH($A$1,'DB Country PMI'!$A$1:$W$1,),)=0,#N/A,VLOOKUP(A102,'DB Country PMI'!$A:$W,MATCH($A$1,'DB Country PMI'!$A$1:$W$1,),))</f>
        <v/>
      </c>
      <c r="C102" s="14">
        <f>Table13468113456789[[#This Row],[PMI]]-B101</f>
        <v/>
      </c>
    </row>
    <row r="103">
      <c r="A103" s="8" t="n">
        <v>43405</v>
      </c>
      <c r="B103" s="11">
        <f>IF(VLOOKUP(A103,'DB Country PMI'!$A:$W,MATCH($A$1,'DB Country PMI'!$A$1:$W$1,),)=0,#N/A,VLOOKUP(A103,'DB Country PMI'!$A:$W,MATCH($A$1,'DB Country PMI'!$A$1:$W$1,),))</f>
        <v/>
      </c>
      <c r="C103" s="14">
        <f>Table13468113456789[[#This Row],[PMI]]-B102</f>
        <v/>
      </c>
    </row>
    <row r="104">
      <c r="A104" s="8" t="n">
        <v>43435</v>
      </c>
      <c r="B104" s="11">
        <f>IF(VLOOKUP(A104,'DB Country PMI'!$A:$W,MATCH($A$1,'DB Country PMI'!$A$1:$W$1,),)=0,#N/A,VLOOKUP(A104,'DB Country PMI'!$A:$W,MATCH($A$1,'DB Country PMI'!$A$1:$W$1,),))</f>
        <v/>
      </c>
      <c r="C104" s="14">
        <f>Table13468113456789[[#This Row],[PMI]]-B103</f>
        <v/>
      </c>
    </row>
    <row r="105">
      <c r="A105" s="8" t="n">
        <v>43466</v>
      </c>
      <c r="B105" s="11">
        <f>IF(VLOOKUP(A105,'DB Country PMI'!$A:$W,MATCH($A$1,'DB Country PMI'!$A$1:$W$1,),)=0,#N/A,VLOOKUP(A105,'DB Country PMI'!$A:$W,MATCH($A$1,'DB Country PMI'!$A$1:$W$1,),))</f>
        <v/>
      </c>
      <c r="C105" s="14">
        <f>Table13468113456789[[#This Row],[PMI]]-B104</f>
        <v/>
      </c>
    </row>
    <row r="106">
      <c r="A106" s="8" t="n">
        <v>43497</v>
      </c>
      <c r="B106" s="11">
        <f>IF(VLOOKUP(A106,'DB Country PMI'!$A:$W,MATCH($A$1,'DB Country PMI'!$A$1:$W$1,),)=0,#N/A,VLOOKUP(A106,'DB Country PMI'!$A:$W,MATCH($A$1,'DB Country PMI'!$A$1:$W$1,),))</f>
        <v/>
      </c>
      <c r="C106" s="14">
        <f>Table13468113456789[[#This Row],[PMI]]-B105</f>
        <v/>
      </c>
    </row>
    <row r="107">
      <c r="A107" s="8" t="n">
        <v>43525</v>
      </c>
      <c r="B107" s="11">
        <f>IF(VLOOKUP(A107,'DB Country PMI'!$A:$W,MATCH($A$1,'DB Country PMI'!$A$1:$W$1,),)=0,#N/A,VLOOKUP(A107,'DB Country PMI'!$A:$W,MATCH($A$1,'DB Country PMI'!$A$1:$W$1,),))</f>
        <v/>
      </c>
      <c r="C107" s="14">
        <f>Table13468113456789[[#This Row],[PMI]]-B106</f>
        <v/>
      </c>
    </row>
    <row r="108">
      <c r="A108" s="8" t="n">
        <v>43556</v>
      </c>
      <c r="B108" s="11">
        <f>IF(VLOOKUP(A108,'DB Country PMI'!$A:$W,MATCH($A$1,'DB Country PMI'!$A$1:$W$1,),)=0,#N/A,VLOOKUP(A108,'DB Country PMI'!$A:$W,MATCH($A$1,'DB Country PMI'!$A$1:$W$1,),))</f>
        <v/>
      </c>
      <c r="C108" s="14">
        <f>Table13468113456789[[#This Row],[PMI]]-B107</f>
        <v/>
      </c>
    </row>
    <row r="109">
      <c r="A109" s="8" t="n">
        <v>43586</v>
      </c>
      <c r="B109" s="11">
        <f>IF(VLOOKUP(A109,'DB Country PMI'!$A:$W,MATCH($A$1,'DB Country PMI'!$A$1:$W$1,),)=0,#N/A,VLOOKUP(A109,'DB Country PMI'!$A:$W,MATCH($A$1,'DB Country PMI'!$A$1:$W$1,),))</f>
        <v/>
      </c>
      <c r="C109" s="14">
        <f>Table13468113456789[[#This Row],[PMI]]-B108</f>
        <v/>
      </c>
    </row>
    <row r="110">
      <c r="A110" s="8" t="n">
        <v>43617</v>
      </c>
      <c r="B110" s="11">
        <f>IF(VLOOKUP(A110,'DB Country PMI'!$A:$W,MATCH($A$1,'DB Country PMI'!$A$1:$W$1,),)=0,#N/A,VLOOKUP(A110,'DB Country PMI'!$A:$W,MATCH($A$1,'DB Country PMI'!$A$1:$W$1,),))</f>
        <v/>
      </c>
      <c r="C110" s="14">
        <f>Table13468113456789[[#This Row],[PMI]]-B109</f>
        <v/>
      </c>
    </row>
    <row r="111">
      <c r="A111" s="8" t="n">
        <v>43647</v>
      </c>
      <c r="B111" s="11">
        <f>IF(VLOOKUP(A111,'DB Country PMI'!$A:$W,MATCH($A$1,'DB Country PMI'!$A$1:$W$1,),)=0,#N/A,VLOOKUP(A111,'DB Country PMI'!$A:$W,MATCH($A$1,'DB Country PMI'!$A$1:$W$1,),))</f>
        <v/>
      </c>
      <c r="C111" s="14">
        <f>Table13468113456789[[#This Row],[PMI]]-B110</f>
        <v/>
      </c>
    </row>
    <row r="112">
      <c r="A112" s="8" t="n">
        <v>43678</v>
      </c>
      <c r="B112" s="11">
        <f>IF(VLOOKUP(A112,'DB Country PMI'!$A:$W,MATCH($A$1,'DB Country PMI'!$A$1:$W$1,),)=0,#N/A,VLOOKUP(A112,'DB Country PMI'!$A:$W,MATCH($A$1,'DB Country PMI'!$A$1:$W$1,),))</f>
        <v/>
      </c>
      <c r="C112" s="14">
        <f>Table13468113456789[[#This Row],[PMI]]-B111</f>
        <v/>
      </c>
    </row>
    <row r="113">
      <c r="A113" s="8" t="n">
        <v>43709</v>
      </c>
      <c r="B113" s="11">
        <f>IF(VLOOKUP(A113,'DB Country PMI'!$A:$W,MATCH($A$1,'DB Country PMI'!$A$1:$W$1,),)=0,#N/A,VLOOKUP(A113,'DB Country PMI'!$A:$W,MATCH($A$1,'DB Country PMI'!$A$1:$W$1,),))</f>
        <v/>
      </c>
      <c r="C113" s="14">
        <f>Table13468113456789[[#This Row],[PMI]]-B112</f>
        <v/>
      </c>
    </row>
    <row r="114">
      <c r="A114" s="8" t="n">
        <v>43739</v>
      </c>
      <c r="B114" s="11">
        <f>IF(VLOOKUP(A114,'DB Country PMI'!$A:$W,MATCH($A$1,'DB Country PMI'!$A$1:$W$1,),)=0,#N/A,VLOOKUP(A114,'DB Country PMI'!$A:$W,MATCH($A$1,'DB Country PMI'!$A$1:$W$1,),))</f>
        <v/>
      </c>
      <c r="C114" s="14">
        <f>Table13468113456789[[#This Row],[PMI]]-B113</f>
        <v/>
      </c>
    </row>
    <row r="115">
      <c r="A115" s="8" t="n">
        <v>43770</v>
      </c>
      <c r="B115" s="11">
        <f>IF(VLOOKUP(A115,'DB Country PMI'!$A:$W,MATCH($A$1,'DB Country PMI'!$A$1:$W$1,),)=0,#N/A,VLOOKUP(A115,'DB Country PMI'!$A:$W,MATCH($A$1,'DB Country PMI'!$A$1:$W$1,),))</f>
        <v/>
      </c>
      <c r="C115" s="14">
        <f>Table13468113456789[[#This Row],[PMI]]-B114</f>
        <v/>
      </c>
    </row>
    <row r="116">
      <c r="A116" s="8" t="n">
        <v>43800</v>
      </c>
      <c r="B116" s="11">
        <f>IF(VLOOKUP(A116,'DB Country PMI'!$A:$W,MATCH($A$1,'DB Country PMI'!$A$1:$W$1,),)=0,#N/A,VLOOKUP(A116,'DB Country PMI'!$A:$W,MATCH($A$1,'DB Country PMI'!$A$1:$W$1,),))</f>
        <v/>
      </c>
      <c r="C116" s="14">
        <f>Table13468113456789[[#This Row],[PMI]]-B115</f>
        <v/>
      </c>
    </row>
    <row r="117">
      <c r="A117" s="8" t="n">
        <v>43831</v>
      </c>
      <c r="B117" s="11">
        <f>IF(VLOOKUP(A117,'DB Country PMI'!$A:$W,MATCH($A$1,'DB Country PMI'!$A$1:$W$1,),)=0,#N/A,VLOOKUP(A117,'DB Country PMI'!$A:$W,MATCH($A$1,'DB Country PMI'!$A$1:$W$1,),))</f>
        <v/>
      </c>
      <c r="C117" s="14">
        <f>Table13468113456789[[#This Row],[PMI]]-B116</f>
        <v/>
      </c>
    </row>
    <row r="118">
      <c r="A118" s="8" t="n">
        <v>43862</v>
      </c>
      <c r="B118" s="11">
        <f>IF(VLOOKUP(A118,'DB Country PMI'!$A:$W,MATCH($A$1,'DB Country PMI'!$A$1:$W$1,),)=0,#N/A,VLOOKUP(A118,'DB Country PMI'!$A:$W,MATCH($A$1,'DB Country PMI'!$A$1:$W$1,),))</f>
        <v/>
      </c>
      <c r="C118" s="14">
        <f>Table13468113456789[[#This Row],[PMI]]-B117</f>
        <v/>
      </c>
    </row>
    <row r="119">
      <c r="A119" s="8" t="n">
        <v>43891</v>
      </c>
      <c r="B119" s="11">
        <f>IF(VLOOKUP(A119,'DB Country PMI'!$A:$W,MATCH($A$1,'DB Country PMI'!$A$1:$W$1,),)=0,#N/A,VLOOKUP(A119,'DB Country PMI'!$A:$W,MATCH($A$1,'DB Country PMI'!$A$1:$W$1,),))</f>
        <v/>
      </c>
      <c r="C119" s="14">
        <f>Table13468113456789[[#This Row],[PMI]]-B118</f>
        <v/>
      </c>
    </row>
    <row r="120">
      <c r="A120" s="8" t="n">
        <v>43922</v>
      </c>
      <c r="B120" s="11">
        <f>IF(VLOOKUP(A120,'DB Country PMI'!$A:$W,MATCH($A$1,'DB Country PMI'!$A$1:$W$1,),)=0,#N/A,VLOOKUP(A120,'DB Country PMI'!$A:$W,MATCH($A$1,'DB Country PMI'!$A$1:$W$1,),))</f>
        <v/>
      </c>
      <c r="C120" s="14">
        <f>Table13468113456789[[#This Row],[PMI]]-B119</f>
        <v/>
      </c>
    </row>
    <row r="121">
      <c r="A121" s="8" t="n">
        <v>43952</v>
      </c>
      <c r="B121" s="11">
        <f>IF(VLOOKUP(A121,'DB Country PMI'!$A:$W,MATCH($A$1,'DB Country PMI'!$A$1:$W$1,),)=0,#N/A,VLOOKUP(A121,'DB Country PMI'!$A:$W,MATCH($A$1,'DB Country PMI'!$A$1:$W$1,),))</f>
        <v/>
      </c>
      <c r="C121" s="14">
        <f>Table13468113456789[[#This Row],[PMI]]-B120</f>
        <v/>
      </c>
    </row>
    <row r="122">
      <c r="A122" s="8" t="n">
        <v>43983</v>
      </c>
      <c r="B122" s="11">
        <f>IF(VLOOKUP(A122,'DB Country PMI'!$A:$W,MATCH($A$1,'DB Country PMI'!$A$1:$W$1,),)=0,#N/A,VLOOKUP(A122,'DB Country PMI'!$A:$W,MATCH($A$1,'DB Country PMI'!$A$1:$W$1,),))</f>
        <v/>
      </c>
      <c r="C122" s="14">
        <f>Table13468113456789[[#This Row],[PMI]]-B121</f>
        <v/>
      </c>
    </row>
    <row r="123">
      <c r="A123" s="8" t="n">
        <v>44013</v>
      </c>
      <c r="B123" s="11">
        <f>IF(VLOOKUP(A123,'DB Country PMI'!$A:$W,MATCH($A$1,'DB Country PMI'!$A$1:$W$1,),)=0,#N/A,VLOOKUP(A123,'DB Country PMI'!$A:$W,MATCH($A$1,'DB Country PMI'!$A$1:$W$1,),))</f>
        <v/>
      </c>
      <c r="C123" s="14">
        <f>Table13468113456789[[#This Row],[PMI]]-B122</f>
        <v/>
      </c>
    </row>
    <row r="124">
      <c r="A124" s="8" t="n">
        <v>44044</v>
      </c>
      <c r="B124" s="11">
        <f>IF(VLOOKUP(A124,'DB Country PMI'!$A:$W,MATCH($A$1,'DB Country PMI'!$A$1:$W$1,),)=0,#N/A,VLOOKUP(A124,'DB Country PMI'!$A:$W,MATCH($A$1,'DB Country PMI'!$A$1:$W$1,),))</f>
        <v/>
      </c>
      <c r="C124" s="14">
        <f>Table13468113456789[[#This Row],[PMI]]-B123</f>
        <v/>
      </c>
    </row>
    <row r="125">
      <c r="A125" s="8" t="n">
        <v>44075</v>
      </c>
      <c r="B125" s="11">
        <f>IF(VLOOKUP(A125,'DB Country PMI'!$A:$W,MATCH($A$1,'DB Country PMI'!$A$1:$W$1,),)=0,#N/A,VLOOKUP(A125,'DB Country PMI'!$A:$W,MATCH($A$1,'DB Country PMI'!$A$1:$W$1,),))</f>
        <v/>
      </c>
      <c r="C125" s="14">
        <f>Table13468113456789[[#This Row],[PMI]]-B124</f>
        <v/>
      </c>
    </row>
    <row r="126">
      <c r="A126" s="8" t="n">
        <v>44105</v>
      </c>
      <c r="B126" s="11">
        <f>IF(VLOOKUP(A126,'DB Country PMI'!$A:$W,MATCH($A$1,'DB Country PMI'!$A$1:$W$1,),)=0,#N/A,VLOOKUP(A126,'DB Country PMI'!$A:$W,MATCH($A$1,'DB Country PMI'!$A$1:$W$1,),))</f>
        <v/>
      </c>
      <c r="C126" s="14">
        <f>Table13468113456789[[#This Row],[PMI]]-B125</f>
        <v/>
      </c>
    </row>
    <row r="127">
      <c r="A127" s="8" t="n">
        <v>44136</v>
      </c>
      <c r="B127" s="11">
        <f>IF(VLOOKUP(A127,'DB Country PMI'!$A:$W,MATCH($A$1,'DB Country PMI'!$A$1:$W$1,),)=0,#N/A,VLOOKUP(A127,'DB Country PMI'!$A:$W,MATCH($A$1,'DB Country PMI'!$A$1:$W$1,),))</f>
        <v/>
      </c>
      <c r="C127" s="14">
        <f>Table13468113456789[[#This Row],[PMI]]-B126</f>
        <v/>
      </c>
    </row>
    <row r="128">
      <c r="A128" s="8" t="n">
        <v>44166</v>
      </c>
      <c r="B128" s="11">
        <f>IF(VLOOKUP(A128,'DB Country PMI'!$A:$W,MATCH($A$1,'DB Country PMI'!$A$1:$W$1,),)=0,#N/A,VLOOKUP(A128,'DB Country PMI'!$A:$W,MATCH($A$1,'DB Country PMI'!$A$1:$W$1,),))</f>
        <v/>
      </c>
      <c r="C128" s="14">
        <f>Table13468113456789[[#This Row],[PMI]]-B127</f>
        <v/>
      </c>
    </row>
    <row r="129">
      <c r="A129" s="8" t="n">
        <v>44197</v>
      </c>
      <c r="B129" s="11">
        <f>IF(VLOOKUP(A129,'DB Country PMI'!$A:$W,MATCH($A$1,'DB Country PMI'!$A$1:$W$1,),)=0,#N/A,VLOOKUP(A129,'DB Country PMI'!$A:$W,MATCH($A$1,'DB Country PMI'!$A$1:$W$1,),))</f>
        <v/>
      </c>
      <c r="C129" s="14">
        <f>Table13468113456789[[#This Row],[PMI]]-B128</f>
        <v/>
      </c>
    </row>
    <row r="130">
      <c r="A130" s="8" t="n">
        <v>44228</v>
      </c>
      <c r="B130" s="11">
        <f>IF(VLOOKUP(A130,'DB Country PMI'!$A:$W,MATCH($A$1,'DB Country PMI'!$A$1:$W$1,),)=0,#N/A,VLOOKUP(A130,'DB Country PMI'!$A:$W,MATCH($A$1,'DB Country PMI'!$A$1:$W$1,),))</f>
        <v/>
      </c>
      <c r="C130" s="14">
        <f>Table13468113456789[[#This Row],[PMI]]-B129</f>
        <v/>
      </c>
    </row>
    <row r="131">
      <c r="A131" s="8" t="n">
        <v>44256</v>
      </c>
      <c r="B131" s="11">
        <f>IF(VLOOKUP(A131,'DB Country PMI'!$A:$W,MATCH($A$1,'DB Country PMI'!$A$1:$W$1,),)=0,#N/A,VLOOKUP(A131,'DB Country PMI'!$A:$W,MATCH($A$1,'DB Country PMI'!$A$1:$W$1,),))</f>
        <v/>
      </c>
      <c r="C131" s="14">
        <f>Table13468113456789[[#This Row],[PMI]]-B130</f>
        <v/>
      </c>
    </row>
    <row r="132">
      <c r="A132" s="8" t="n">
        <v>44287</v>
      </c>
      <c r="B132" s="11">
        <f>IF(VLOOKUP(A132,'DB Country PMI'!$A:$W,MATCH($A$1,'DB Country PMI'!$A$1:$W$1,),)=0,#N/A,VLOOKUP(A132,'DB Country PMI'!$A:$W,MATCH($A$1,'DB Country PMI'!$A$1:$W$1,),))</f>
        <v/>
      </c>
      <c r="C132" s="14">
        <f>Table13468113456789[[#This Row],[PMI]]-B131</f>
        <v/>
      </c>
    </row>
    <row r="133">
      <c r="A133" s="8" t="n">
        <v>44317</v>
      </c>
      <c r="B133" s="11">
        <f>IF(VLOOKUP(A133,'DB Country PMI'!$A:$W,MATCH($A$1,'DB Country PMI'!$A$1:$W$1,),)=0,#N/A,VLOOKUP(A133,'DB Country PMI'!$A:$W,MATCH($A$1,'DB Country PMI'!$A$1:$W$1,),))</f>
        <v/>
      </c>
      <c r="C133" s="14">
        <f>Table13468113456789[[#This Row],[PMI]]-B132</f>
        <v/>
      </c>
    </row>
    <row r="134">
      <c r="A134" s="8" t="n">
        <v>44348</v>
      </c>
      <c r="B134" s="11">
        <f>IF(VLOOKUP(A134,'DB Country PMI'!$A:$W,MATCH($A$1,'DB Country PMI'!$A$1:$W$1,),)=0,#N/A,VLOOKUP(A134,'DB Country PMI'!$A:$W,MATCH($A$1,'DB Country PMI'!$A$1:$W$1,),))</f>
        <v/>
      </c>
      <c r="C134" s="14">
        <f>Table13468113456789[[#This Row],[PMI]]-B133</f>
        <v/>
      </c>
    </row>
    <row r="135">
      <c r="A135" s="8" t="n">
        <v>44378</v>
      </c>
      <c r="B135" s="11">
        <f>IF(VLOOKUP(A135,'DB Country PMI'!$A:$W,MATCH($A$1,'DB Country PMI'!$A$1:$W$1,),)=0,#N/A,VLOOKUP(A135,'DB Country PMI'!$A:$W,MATCH($A$1,'DB Country PMI'!$A$1:$W$1,),))</f>
        <v/>
      </c>
      <c r="C135" s="14">
        <f>Table13468113456789[[#This Row],[PMI]]-B134</f>
        <v/>
      </c>
    </row>
    <row r="136">
      <c r="A136" s="8" t="n">
        <v>44409</v>
      </c>
      <c r="B136" s="11">
        <f>IF(VLOOKUP(A136,'DB Country PMI'!$A:$W,MATCH($A$1,'DB Country PMI'!$A$1:$W$1,),)=0,#N/A,VLOOKUP(A136,'DB Country PMI'!$A:$W,MATCH($A$1,'DB Country PMI'!$A$1:$W$1,),))</f>
        <v/>
      </c>
      <c r="C136" s="14">
        <f>Table13468113456789[[#This Row],[PMI]]-B135</f>
        <v/>
      </c>
    </row>
    <row r="137">
      <c r="A137" s="8" t="n">
        <v>44440</v>
      </c>
      <c r="B137" s="11">
        <f>IF(VLOOKUP(A137,'DB Country PMI'!$A:$W,MATCH($A$1,'DB Country PMI'!$A$1:$W$1,),)=0,#N/A,VLOOKUP(A137,'DB Country PMI'!$A:$W,MATCH($A$1,'DB Country PMI'!$A$1:$W$1,),))</f>
        <v/>
      </c>
      <c r="C137" s="14">
        <f>Table13468113456789[[#This Row],[PMI]]-B136</f>
        <v/>
      </c>
    </row>
    <row r="138">
      <c r="A138" s="8" t="n">
        <v>44470</v>
      </c>
      <c r="B138" s="11">
        <f>IF(VLOOKUP(A138,'DB Country PMI'!$A:$W,MATCH($A$1,'DB Country PMI'!$A$1:$W$1,),)=0,#N/A,VLOOKUP(A138,'DB Country PMI'!$A:$W,MATCH($A$1,'DB Country PMI'!$A$1:$W$1,),))</f>
        <v/>
      </c>
      <c r="C138" s="14">
        <f>Table13468113456789[[#This Row],[PMI]]-B137</f>
        <v/>
      </c>
    </row>
    <row r="139">
      <c r="A139" s="8" t="n">
        <v>44501</v>
      </c>
      <c r="B139" s="11">
        <f>IF(VLOOKUP(A139,'DB Country PMI'!$A:$W,MATCH($A$1,'DB Country PMI'!$A$1:$W$1,),)=0,#N/A,VLOOKUP(A139,'DB Country PMI'!$A:$W,MATCH($A$1,'DB Country PMI'!$A$1:$W$1,),))</f>
        <v/>
      </c>
      <c r="C139" s="14">
        <f>Table13468113456789[[#This Row],[PMI]]-B138</f>
        <v/>
      </c>
    </row>
    <row r="140">
      <c r="A140" s="8" t="n">
        <v>44531</v>
      </c>
      <c r="B140" s="11">
        <f>IF(VLOOKUP(A140,'DB Country PMI'!$A:$W,MATCH($A$1,'DB Country PMI'!$A$1:$W$1,),)=0,#N/A,VLOOKUP(A140,'DB Country PMI'!$A:$W,MATCH($A$1,'DB Country PMI'!$A$1:$W$1,),))</f>
        <v/>
      </c>
      <c r="C140" s="14">
        <f>Table13468113456789[[#This Row],[PMI]]-B139</f>
        <v/>
      </c>
    </row>
    <row r="141">
      <c r="A141" s="8" t="n">
        <v>44562</v>
      </c>
      <c r="B141" s="11">
        <f>IF(VLOOKUP(A141,'DB Country PMI'!$A:$W,MATCH($A$1,'DB Country PMI'!$A$1:$W$1,),)=0,#N/A,VLOOKUP(A141,'DB Country PMI'!$A:$W,MATCH($A$1,'DB Country PMI'!$A$1:$W$1,),))</f>
        <v/>
      </c>
      <c r="C141" s="14">
        <f>Table13468113456789[[#This Row],[PMI]]-B140</f>
        <v/>
      </c>
    </row>
    <row r="142">
      <c r="A142" s="8" t="n">
        <v>44593</v>
      </c>
      <c r="B142" s="11">
        <f>IF(VLOOKUP(A142,'DB Country PMI'!$A:$W,MATCH($A$1,'DB Country PMI'!$A$1:$W$1,),)=0,#N/A,VLOOKUP(A142,'DB Country PMI'!$A:$W,MATCH($A$1,'DB Country PMI'!$A$1:$W$1,),))</f>
        <v/>
      </c>
      <c r="C142" s="14">
        <f>Table13468113456789[[#This Row],[PMI]]-B141</f>
        <v/>
      </c>
    </row>
    <row r="143">
      <c r="A143" s="8" t="n">
        <v>44621</v>
      </c>
      <c r="B143" s="11">
        <f>IF(VLOOKUP(A143,'DB Country PMI'!$A:$W,MATCH($A$1,'DB Country PMI'!$A$1:$W$1,),)=0,#N/A,VLOOKUP(A143,'DB Country PMI'!$A:$W,MATCH($A$1,'DB Country PMI'!$A$1:$W$1,),))</f>
        <v/>
      </c>
      <c r="C143" s="14">
        <f>Table13468113456789[[#This Row],[PMI]]-B142</f>
        <v/>
      </c>
    </row>
  </sheetData>
  <conditionalFormatting sqref="C7:C143">
    <cfRule type="colorScale" priority="1">
      <colorScale>
        <cfvo type="min"/>
        <cfvo type="percentile" val="50"/>
        <cfvo type="max"/>
        <color rgb="FFF8696B"/>
        <color rgb="FFFCFCFF"/>
        <color rgb="FF5A8AC6"/>
      </colorScale>
    </cfRule>
  </conditionalFormatting>
  <conditionalFormatting sqref="B6:B143">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5.xml><?xml version="1.0" encoding="utf-8"?>
<worksheet xmlns="http://schemas.openxmlformats.org/spreadsheetml/2006/main">
  <sheetPr>
    <outlinePr summaryBelow="1" summaryRight="1"/>
    <pageSetUpPr/>
  </sheetPr>
  <dimension ref="A1:J143"/>
  <sheetViews>
    <sheetView zoomScale="150" zoomScaleNormal="150" workbookViewId="0">
      <pane ySplit="5" topLeftCell="A117" activePane="bottomLeft" state="frozen"/>
      <selection pane="bottomLeft" activeCell="A140" sqref="A140:C143"/>
    </sheetView>
  </sheetViews>
  <sheetFormatPr baseColWidth="10" defaultColWidth="9.1640625" defaultRowHeight="15"/>
  <cols>
    <col width="13.5" customWidth="1" style="60" min="1" max="1"/>
    <col width="11.33203125" customWidth="1" style="60" min="2" max="2"/>
    <col width="9.1640625" customWidth="1" style="60" min="3" max="7"/>
    <col width="9.1640625" customWidth="1" style="60" min="8" max="16384"/>
  </cols>
  <sheetData>
    <row r="1">
      <c r="A1" s="60" t="inlineStr">
        <is>
          <t>Japan</t>
        </is>
      </c>
      <c r="J1" s="60" t="inlineStr">
        <is>
          <t xml:space="preserve"> Services PMI</t>
        </is>
      </c>
    </row>
    <row r="2">
      <c r="J2" s="60" t="inlineStr">
        <is>
          <t>Japan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Table13468113456710[[#This Row],[PMI]]-B6</f>
        <v/>
      </c>
    </row>
    <row r="8">
      <c r="A8" s="8" t="n">
        <v>40513</v>
      </c>
      <c r="B8" s="11">
        <f>IF(VLOOKUP(A8,'DB Country PMI'!$A:$W,MATCH($A$1,'DB Country PMI'!$A$1:$W$1,),)=0,#N/A,VLOOKUP(A8,'DB Country PMI'!$A:$W,MATCH($A$1,'DB Country PMI'!$A$1:$W$1,),))</f>
        <v/>
      </c>
      <c r="C8" s="14">
        <f>Table13468113456710[[#This Row],[PMI]]-B7</f>
        <v/>
      </c>
    </row>
    <row r="9">
      <c r="A9" s="8" t="n">
        <v>40544</v>
      </c>
      <c r="B9" s="11">
        <f>IF(VLOOKUP(A9,'DB Country PMI'!$A:$W,MATCH($A$1,'DB Country PMI'!$A$1:$W$1,),)=0,#N/A,VLOOKUP(A9,'DB Country PMI'!$A:$W,MATCH($A$1,'DB Country PMI'!$A$1:$W$1,),))</f>
        <v/>
      </c>
      <c r="C9" s="14">
        <f>Table13468113456710[[#This Row],[PMI]]-B8</f>
        <v/>
      </c>
    </row>
    <row r="10">
      <c r="A10" s="8" t="n">
        <v>40575</v>
      </c>
      <c r="B10" s="11">
        <f>IF(VLOOKUP(A10,'DB Country PMI'!$A:$W,MATCH($A$1,'DB Country PMI'!$A$1:$W$1,),)=0,#N/A,VLOOKUP(A10,'DB Country PMI'!$A:$W,MATCH($A$1,'DB Country PMI'!$A$1:$W$1,),))</f>
        <v/>
      </c>
      <c r="C10" s="14">
        <f>Table13468113456710[[#This Row],[PMI]]-B9</f>
        <v/>
      </c>
    </row>
    <row r="11">
      <c r="A11" s="8" t="n">
        <v>40603</v>
      </c>
      <c r="B11" s="11">
        <f>IF(VLOOKUP(A11,'DB Country PMI'!$A:$W,MATCH($A$1,'DB Country PMI'!$A$1:$W$1,),)=0,#N/A,VLOOKUP(A11,'DB Country PMI'!$A:$W,MATCH($A$1,'DB Country PMI'!$A$1:$W$1,),))</f>
        <v/>
      </c>
      <c r="C11" s="14">
        <f>Table13468113456710[[#This Row],[PMI]]-B10</f>
        <v/>
      </c>
    </row>
    <row r="12">
      <c r="A12" s="8" t="n">
        <v>40634</v>
      </c>
      <c r="B12" s="11">
        <f>IF(VLOOKUP(A12,'DB Country PMI'!$A:$W,MATCH($A$1,'DB Country PMI'!$A$1:$W$1,),)=0,#N/A,VLOOKUP(A12,'DB Country PMI'!$A:$W,MATCH($A$1,'DB Country PMI'!$A$1:$W$1,),))</f>
        <v/>
      </c>
      <c r="C12" s="14">
        <f>Table13468113456710[[#This Row],[PMI]]-B11</f>
        <v/>
      </c>
    </row>
    <row r="13">
      <c r="A13" s="8" t="n">
        <v>40664</v>
      </c>
      <c r="B13" s="11">
        <f>IF(VLOOKUP(A13,'DB Country PMI'!$A:$W,MATCH($A$1,'DB Country PMI'!$A$1:$W$1,),)=0,#N/A,VLOOKUP(A13,'DB Country PMI'!$A:$W,MATCH($A$1,'DB Country PMI'!$A$1:$W$1,),))</f>
        <v/>
      </c>
      <c r="C13" s="14">
        <f>Table13468113456710[[#This Row],[PMI]]-B12</f>
        <v/>
      </c>
    </row>
    <row r="14">
      <c r="A14" s="8" t="n">
        <v>40695</v>
      </c>
      <c r="B14" s="11">
        <f>IF(VLOOKUP(A14,'DB Country PMI'!$A:$W,MATCH($A$1,'DB Country PMI'!$A$1:$W$1,),)=0,#N/A,VLOOKUP(A14,'DB Country PMI'!$A:$W,MATCH($A$1,'DB Country PMI'!$A$1:$W$1,),))</f>
        <v/>
      </c>
      <c r="C14" s="14">
        <f>Table13468113456710[[#This Row],[PMI]]-B13</f>
        <v/>
      </c>
    </row>
    <row r="15">
      <c r="A15" s="8" t="n">
        <v>40725</v>
      </c>
      <c r="B15" s="11">
        <f>IF(VLOOKUP(A15,'DB Country PMI'!$A:$W,MATCH($A$1,'DB Country PMI'!$A$1:$W$1,),)=0,#N/A,VLOOKUP(A15,'DB Country PMI'!$A:$W,MATCH($A$1,'DB Country PMI'!$A$1:$W$1,),))</f>
        <v/>
      </c>
      <c r="C15" s="14">
        <f>Table13468113456710[[#This Row],[PMI]]-B14</f>
        <v/>
      </c>
    </row>
    <row r="16">
      <c r="A16" s="8" t="n">
        <v>40756</v>
      </c>
      <c r="B16" s="11">
        <f>IF(VLOOKUP(A16,'DB Country PMI'!$A:$W,MATCH($A$1,'DB Country PMI'!$A$1:$W$1,),)=0,#N/A,VLOOKUP(A16,'DB Country PMI'!$A:$W,MATCH($A$1,'DB Country PMI'!$A$1:$W$1,),))</f>
        <v/>
      </c>
      <c r="C16" s="14">
        <f>Table13468113456710[[#This Row],[PMI]]-B15</f>
        <v/>
      </c>
    </row>
    <row r="17">
      <c r="A17" s="8" t="n">
        <v>40787</v>
      </c>
      <c r="B17" s="11">
        <f>IF(VLOOKUP(A17,'DB Country PMI'!$A:$W,MATCH($A$1,'DB Country PMI'!$A$1:$W$1,),)=0,#N/A,VLOOKUP(A17,'DB Country PMI'!$A:$W,MATCH($A$1,'DB Country PMI'!$A$1:$W$1,),))</f>
        <v/>
      </c>
      <c r="C17" s="14">
        <f>Table13468113456710[[#This Row],[PMI]]-B16</f>
        <v/>
      </c>
    </row>
    <row r="18">
      <c r="A18" s="8" t="n">
        <v>40817</v>
      </c>
      <c r="B18" s="11">
        <f>IF(VLOOKUP(A18,'DB Country PMI'!$A:$W,MATCH($A$1,'DB Country PMI'!$A$1:$W$1,),)=0,#N/A,VLOOKUP(A18,'DB Country PMI'!$A:$W,MATCH($A$1,'DB Country PMI'!$A$1:$W$1,),))</f>
        <v/>
      </c>
      <c r="C18" s="14">
        <f>Table13468113456710[[#This Row],[PMI]]-B17</f>
        <v/>
      </c>
    </row>
    <row r="19">
      <c r="A19" s="8" t="n">
        <v>40848</v>
      </c>
      <c r="B19" s="11">
        <f>IF(VLOOKUP(A19,'DB Country PMI'!$A:$W,MATCH($A$1,'DB Country PMI'!$A$1:$W$1,),)=0,#N/A,VLOOKUP(A19,'DB Country PMI'!$A:$W,MATCH($A$1,'DB Country PMI'!$A$1:$W$1,),))</f>
        <v/>
      </c>
      <c r="C19" s="14">
        <f>Table13468113456710[[#This Row],[PMI]]-B18</f>
        <v/>
      </c>
    </row>
    <row r="20">
      <c r="A20" s="8" t="n">
        <v>40878</v>
      </c>
      <c r="B20" s="11">
        <f>IF(VLOOKUP(A20,'DB Country PMI'!$A:$W,MATCH($A$1,'DB Country PMI'!$A$1:$W$1,),)=0,#N/A,VLOOKUP(A20,'DB Country PMI'!$A:$W,MATCH($A$1,'DB Country PMI'!$A$1:$W$1,),))</f>
        <v/>
      </c>
      <c r="C20" s="14">
        <f>Table13468113456710[[#This Row],[PMI]]-B19</f>
        <v/>
      </c>
    </row>
    <row r="21">
      <c r="A21" s="8" t="n">
        <v>40909</v>
      </c>
      <c r="B21" s="11">
        <f>IF(VLOOKUP(A21,'DB Country PMI'!$A:$W,MATCH($A$1,'DB Country PMI'!$A$1:$W$1,),)=0,#N/A,VLOOKUP(A21,'DB Country PMI'!$A:$W,MATCH($A$1,'DB Country PMI'!$A$1:$W$1,),))</f>
        <v/>
      </c>
      <c r="C21" s="14">
        <f>Table13468113456710[[#This Row],[PMI]]-B20</f>
        <v/>
      </c>
    </row>
    <row r="22">
      <c r="A22" s="8" t="n">
        <v>40940</v>
      </c>
      <c r="B22" s="11">
        <f>IF(VLOOKUP(A22,'DB Country PMI'!$A:$W,MATCH($A$1,'DB Country PMI'!$A$1:$W$1,),)=0,#N/A,VLOOKUP(A22,'DB Country PMI'!$A:$W,MATCH($A$1,'DB Country PMI'!$A$1:$W$1,),))</f>
        <v/>
      </c>
      <c r="C22" s="14">
        <f>Table13468113456710[[#This Row],[PMI]]-B21</f>
        <v/>
      </c>
    </row>
    <row r="23">
      <c r="A23" s="8" t="n">
        <v>40969</v>
      </c>
      <c r="B23" s="11">
        <f>IF(VLOOKUP(A23,'DB Country PMI'!$A:$W,MATCH($A$1,'DB Country PMI'!$A$1:$W$1,),)=0,#N/A,VLOOKUP(A23,'DB Country PMI'!$A:$W,MATCH($A$1,'DB Country PMI'!$A$1:$W$1,),))</f>
        <v/>
      </c>
      <c r="C23" s="14">
        <f>Table13468113456710[[#This Row],[PMI]]-B22</f>
        <v/>
      </c>
    </row>
    <row r="24">
      <c r="A24" s="8" t="n">
        <v>41000</v>
      </c>
      <c r="B24" s="11">
        <f>IF(VLOOKUP(A24,'DB Country PMI'!$A:$W,MATCH($A$1,'DB Country PMI'!$A$1:$W$1,),)=0,#N/A,VLOOKUP(A24,'DB Country PMI'!$A:$W,MATCH($A$1,'DB Country PMI'!$A$1:$W$1,),))</f>
        <v/>
      </c>
      <c r="C24" s="14">
        <f>Table13468113456710[[#This Row],[PMI]]-B23</f>
        <v/>
      </c>
    </row>
    <row r="25">
      <c r="A25" s="8" t="n">
        <v>41030</v>
      </c>
      <c r="B25" s="11">
        <f>IF(VLOOKUP(A25,'DB Country PMI'!$A:$W,MATCH($A$1,'DB Country PMI'!$A$1:$W$1,),)=0,#N/A,VLOOKUP(A25,'DB Country PMI'!$A:$W,MATCH($A$1,'DB Country PMI'!$A$1:$W$1,),))</f>
        <v/>
      </c>
      <c r="C25" s="14">
        <f>Table13468113456710[[#This Row],[PMI]]-B24</f>
        <v/>
      </c>
    </row>
    <row r="26">
      <c r="A26" s="8" t="n">
        <v>41061</v>
      </c>
      <c r="B26" s="11">
        <f>IF(VLOOKUP(A26,'DB Country PMI'!$A:$W,MATCH($A$1,'DB Country PMI'!$A$1:$W$1,),)=0,#N/A,VLOOKUP(A26,'DB Country PMI'!$A:$W,MATCH($A$1,'DB Country PMI'!$A$1:$W$1,),))</f>
        <v/>
      </c>
      <c r="C26" s="14">
        <f>Table13468113456710[[#This Row],[PMI]]-B25</f>
        <v/>
      </c>
    </row>
    <row r="27">
      <c r="A27" s="8" t="n">
        <v>41091</v>
      </c>
      <c r="B27" s="11">
        <f>IF(VLOOKUP(A27,'DB Country PMI'!$A:$W,MATCH($A$1,'DB Country PMI'!$A$1:$W$1,),)=0,#N/A,VLOOKUP(A27,'DB Country PMI'!$A:$W,MATCH($A$1,'DB Country PMI'!$A$1:$W$1,),))</f>
        <v/>
      </c>
      <c r="C27" s="14">
        <f>Table13468113456710[[#This Row],[PMI]]-B26</f>
        <v/>
      </c>
    </row>
    <row r="28">
      <c r="A28" s="8" t="n">
        <v>41122</v>
      </c>
      <c r="B28" s="11">
        <f>IF(VLOOKUP(A28,'DB Country PMI'!$A:$W,MATCH($A$1,'DB Country PMI'!$A$1:$W$1,),)=0,#N/A,VLOOKUP(A28,'DB Country PMI'!$A:$W,MATCH($A$1,'DB Country PMI'!$A$1:$W$1,),))</f>
        <v/>
      </c>
      <c r="C28" s="14">
        <f>Table13468113456710[[#This Row],[PMI]]-B27</f>
        <v/>
      </c>
    </row>
    <row r="29">
      <c r="A29" s="8" t="n">
        <v>41153</v>
      </c>
      <c r="B29" s="11">
        <f>IF(VLOOKUP(A29,'DB Country PMI'!$A:$W,MATCH($A$1,'DB Country PMI'!$A$1:$W$1,),)=0,#N/A,VLOOKUP(A29,'DB Country PMI'!$A:$W,MATCH($A$1,'DB Country PMI'!$A$1:$W$1,),))</f>
        <v/>
      </c>
      <c r="C29" s="14">
        <f>Table13468113456710[[#This Row],[PMI]]-B28</f>
        <v/>
      </c>
    </row>
    <row r="30">
      <c r="A30" s="8" t="n">
        <v>41183</v>
      </c>
      <c r="B30" s="11">
        <f>IF(VLOOKUP(A30,'DB Country PMI'!$A:$W,MATCH($A$1,'DB Country PMI'!$A$1:$W$1,),)=0,#N/A,VLOOKUP(A30,'DB Country PMI'!$A:$W,MATCH($A$1,'DB Country PMI'!$A$1:$W$1,),))</f>
        <v/>
      </c>
      <c r="C30" s="14">
        <f>Table13468113456710[[#This Row],[PMI]]-B29</f>
        <v/>
      </c>
    </row>
    <row r="31">
      <c r="A31" s="8" t="n">
        <v>41214</v>
      </c>
      <c r="B31" s="11">
        <f>IF(VLOOKUP(A31,'DB Country PMI'!$A:$W,MATCH($A$1,'DB Country PMI'!$A$1:$W$1,),)=0,#N/A,VLOOKUP(A31,'DB Country PMI'!$A:$W,MATCH($A$1,'DB Country PMI'!$A$1:$W$1,),))</f>
        <v/>
      </c>
      <c r="C31" s="14">
        <f>Table13468113456710[[#This Row],[PMI]]-B30</f>
        <v/>
      </c>
    </row>
    <row r="32">
      <c r="A32" s="8" t="n">
        <v>41244</v>
      </c>
      <c r="B32" s="11">
        <f>IF(VLOOKUP(A32,'DB Country PMI'!$A:$W,MATCH($A$1,'DB Country PMI'!$A$1:$W$1,),)=0,#N/A,VLOOKUP(A32,'DB Country PMI'!$A:$W,MATCH($A$1,'DB Country PMI'!$A$1:$W$1,),))</f>
        <v/>
      </c>
      <c r="C32" s="14">
        <f>Table13468113456710[[#This Row],[PMI]]-B31</f>
        <v/>
      </c>
    </row>
    <row r="33">
      <c r="A33" s="8" t="n">
        <v>41275</v>
      </c>
      <c r="B33" s="11">
        <f>IF(VLOOKUP(A33,'DB Country PMI'!$A:$W,MATCH($A$1,'DB Country PMI'!$A$1:$W$1,),)=0,#N/A,VLOOKUP(A33,'DB Country PMI'!$A:$W,MATCH($A$1,'DB Country PMI'!$A$1:$W$1,),))</f>
        <v/>
      </c>
      <c r="C33" s="14">
        <f>Table13468113456710[[#This Row],[PMI]]-B32</f>
        <v/>
      </c>
    </row>
    <row r="34">
      <c r="A34" s="8" t="n">
        <v>41306</v>
      </c>
      <c r="B34" s="11">
        <f>IF(VLOOKUP(A34,'DB Country PMI'!$A:$W,MATCH($A$1,'DB Country PMI'!$A$1:$W$1,),)=0,#N/A,VLOOKUP(A34,'DB Country PMI'!$A:$W,MATCH($A$1,'DB Country PMI'!$A$1:$W$1,),))</f>
        <v/>
      </c>
      <c r="C34" s="14">
        <f>Table13468113456710[[#This Row],[PMI]]-B33</f>
        <v/>
      </c>
    </row>
    <row r="35">
      <c r="A35" s="8" t="n">
        <v>41334</v>
      </c>
      <c r="B35" s="11">
        <f>IF(VLOOKUP(A35,'DB Country PMI'!$A:$W,MATCH($A$1,'DB Country PMI'!$A$1:$W$1,),)=0,#N/A,VLOOKUP(A35,'DB Country PMI'!$A:$W,MATCH($A$1,'DB Country PMI'!$A$1:$W$1,),))</f>
        <v/>
      </c>
      <c r="C35" s="14">
        <f>Table13468113456710[[#This Row],[PMI]]-B34</f>
        <v/>
      </c>
    </row>
    <row r="36">
      <c r="A36" s="8" t="n">
        <v>41365</v>
      </c>
      <c r="B36" s="11">
        <f>IF(VLOOKUP(A36,'DB Country PMI'!$A:$W,MATCH($A$1,'DB Country PMI'!$A$1:$W$1,),)=0,#N/A,VLOOKUP(A36,'DB Country PMI'!$A:$W,MATCH($A$1,'DB Country PMI'!$A$1:$W$1,),))</f>
        <v/>
      </c>
      <c r="C36" s="14">
        <f>Table13468113456710[[#This Row],[PMI]]-B35</f>
        <v/>
      </c>
    </row>
    <row r="37">
      <c r="A37" s="8" t="n">
        <v>41395</v>
      </c>
      <c r="B37" s="11">
        <f>IF(VLOOKUP(A37,'DB Country PMI'!$A:$W,MATCH($A$1,'DB Country PMI'!$A$1:$W$1,),)=0,#N/A,VLOOKUP(A37,'DB Country PMI'!$A:$W,MATCH($A$1,'DB Country PMI'!$A$1:$W$1,),))</f>
        <v/>
      </c>
      <c r="C37" s="14">
        <f>Table13468113456710[[#This Row],[PMI]]-B36</f>
        <v/>
      </c>
    </row>
    <row r="38">
      <c r="A38" s="8" t="n">
        <v>41426</v>
      </c>
      <c r="B38" s="11">
        <f>IF(VLOOKUP(A38,'DB Country PMI'!$A:$W,MATCH($A$1,'DB Country PMI'!$A$1:$W$1,),)=0,#N/A,VLOOKUP(A38,'DB Country PMI'!$A:$W,MATCH($A$1,'DB Country PMI'!$A$1:$W$1,),))</f>
        <v/>
      </c>
      <c r="C38" s="14">
        <f>Table13468113456710[[#This Row],[PMI]]-B37</f>
        <v/>
      </c>
    </row>
    <row r="39">
      <c r="A39" s="8" t="n">
        <v>41456</v>
      </c>
      <c r="B39" s="11">
        <f>IF(VLOOKUP(A39,'DB Country PMI'!$A:$W,MATCH($A$1,'DB Country PMI'!$A$1:$W$1,),)=0,#N/A,VLOOKUP(A39,'DB Country PMI'!$A:$W,MATCH($A$1,'DB Country PMI'!$A$1:$W$1,),))</f>
        <v/>
      </c>
      <c r="C39" s="14">
        <f>Table13468113456710[[#This Row],[PMI]]-B38</f>
        <v/>
      </c>
    </row>
    <row r="40">
      <c r="A40" s="8" t="n">
        <v>41487</v>
      </c>
      <c r="B40" s="11">
        <f>IF(VLOOKUP(A40,'DB Country PMI'!$A:$W,MATCH($A$1,'DB Country PMI'!$A$1:$W$1,),)=0,#N/A,VLOOKUP(A40,'DB Country PMI'!$A:$W,MATCH($A$1,'DB Country PMI'!$A$1:$W$1,),))</f>
        <v/>
      </c>
      <c r="C40" s="14">
        <f>Table13468113456710[[#This Row],[PMI]]-B39</f>
        <v/>
      </c>
    </row>
    <row r="41">
      <c r="A41" s="8" t="n">
        <v>41518</v>
      </c>
      <c r="B41" s="11">
        <f>IF(VLOOKUP(A41,'DB Country PMI'!$A:$W,MATCH($A$1,'DB Country PMI'!$A$1:$W$1,),)=0,#N/A,VLOOKUP(A41,'DB Country PMI'!$A:$W,MATCH($A$1,'DB Country PMI'!$A$1:$W$1,),))</f>
        <v/>
      </c>
      <c r="C41" s="14">
        <f>Table13468113456710[[#This Row],[PMI]]-B40</f>
        <v/>
      </c>
    </row>
    <row r="42">
      <c r="A42" s="8" t="n">
        <v>41548</v>
      </c>
      <c r="B42" s="11">
        <f>IF(VLOOKUP(A42,'DB Country PMI'!$A:$W,MATCH($A$1,'DB Country PMI'!$A$1:$W$1,),)=0,#N/A,VLOOKUP(A42,'DB Country PMI'!$A:$W,MATCH($A$1,'DB Country PMI'!$A$1:$W$1,),))</f>
        <v/>
      </c>
      <c r="C42" s="14">
        <f>Table13468113456710[[#This Row],[PMI]]-B41</f>
        <v/>
      </c>
    </row>
    <row r="43">
      <c r="A43" s="8" t="n">
        <v>41579</v>
      </c>
      <c r="B43" s="11">
        <f>IF(VLOOKUP(A43,'DB Country PMI'!$A:$W,MATCH($A$1,'DB Country PMI'!$A$1:$W$1,),)=0,#N/A,VLOOKUP(A43,'DB Country PMI'!$A:$W,MATCH($A$1,'DB Country PMI'!$A$1:$W$1,),))</f>
        <v/>
      </c>
      <c r="C43" s="14">
        <f>Table13468113456710[[#This Row],[PMI]]-B42</f>
        <v/>
      </c>
    </row>
    <row r="44">
      <c r="A44" s="8" t="n">
        <v>41609</v>
      </c>
      <c r="B44" s="11">
        <f>IF(VLOOKUP(A44,'DB Country PMI'!$A:$W,MATCH($A$1,'DB Country PMI'!$A$1:$W$1,),)=0,#N/A,VLOOKUP(A44,'DB Country PMI'!$A:$W,MATCH($A$1,'DB Country PMI'!$A$1:$W$1,),))</f>
        <v/>
      </c>
      <c r="C44" s="14">
        <f>Table13468113456710[[#This Row],[PMI]]-B43</f>
        <v/>
      </c>
    </row>
    <row r="45">
      <c r="A45" s="8" t="n">
        <v>41640</v>
      </c>
      <c r="B45" s="11">
        <f>IF(VLOOKUP(A45,'DB Country PMI'!$A:$W,MATCH($A$1,'DB Country PMI'!$A$1:$W$1,),)=0,#N/A,VLOOKUP(A45,'DB Country PMI'!$A:$W,MATCH($A$1,'DB Country PMI'!$A$1:$W$1,),))</f>
        <v/>
      </c>
      <c r="C45" s="14">
        <f>Table13468113456710[[#This Row],[PMI]]-B44</f>
        <v/>
      </c>
    </row>
    <row r="46">
      <c r="A46" s="8" t="n">
        <v>41671</v>
      </c>
      <c r="B46" s="11">
        <f>IF(VLOOKUP(A46,'DB Country PMI'!$A:$W,MATCH($A$1,'DB Country PMI'!$A$1:$W$1,),)=0,#N/A,VLOOKUP(A46,'DB Country PMI'!$A:$W,MATCH($A$1,'DB Country PMI'!$A$1:$W$1,),))</f>
        <v/>
      </c>
      <c r="C46" s="14">
        <f>Table13468113456710[[#This Row],[PMI]]-B45</f>
        <v/>
      </c>
    </row>
    <row r="47">
      <c r="A47" s="8" t="n">
        <v>41699</v>
      </c>
      <c r="B47" s="11">
        <f>IF(VLOOKUP(A47,'DB Country PMI'!$A:$W,MATCH($A$1,'DB Country PMI'!$A$1:$W$1,),)=0,#N/A,VLOOKUP(A47,'DB Country PMI'!$A:$W,MATCH($A$1,'DB Country PMI'!$A$1:$W$1,),))</f>
        <v/>
      </c>
      <c r="C47" s="14">
        <f>Table13468113456710[[#This Row],[PMI]]-B46</f>
        <v/>
      </c>
    </row>
    <row r="48">
      <c r="A48" s="8" t="n">
        <v>41730</v>
      </c>
      <c r="B48" s="11">
        <f>IF(VLOOKUP(A48,'DB Country PMI'!$A:$W,MATCH($A$1,'DB Country PMI'!$A$1:$W$1,),)=0,#N/A,VLOOKUP(A48,'DB Country PMI'!$A:$W,MATCH($A$1,'DB Country PMI'!$A$1:$W$1,),))</f>
        <v/>
      </c>
      <c r="C48" s="14">
        <f>Table13468113456710[[#This Row],[PMI]]-B47</f>
        <v/>
      </c>
    </row>
    <row r="49">
      <c r="A49" s="8" t="n">
        <v>41760</v>
      </c>
      <c r="B49" s="11">
        <f>IF(VLOOKUP(A49,'DB Country PMI'!$A:$W,MATCH($A$1,'DB Country PMI'!$A$1:$W$1,),)=0,#N/A,VLOOKUP(A49,'DB Country PMI'!$A:$W,MATCH($A$1,'DB Country PMI'!$A$1:$W$1,),))</f>
        <v/>
      </c>
      <c r="C49" s="14">
        <f>Table13468113456710[[#This Row],[PMI]]-B48</f>
        <v/>
      </c>
    </row>
    <row r="50">
      <c r="A50" s="8" t="n">
        <v>41791</v>
      </c>
      <c r="B50" s="11">
        <f>IF(VLOOKUP(A50,'DB Country PMI'!$A:$W,MATCH($A$1,'DB Country PMI'!$A$1:$W$1,),)=0,#N/A,VLOOKUP(A50,'DB Country PMI'!$A:$W,MATCH($A$1,'DB Country PMI'!$A$1:$W$1,),))</f>
        <v/>
      </c>
      <c r="C50" s="14">
        <f>Table13468113456710[[#This Row],[PMI]]-B49</f>
        <v/>
      </c>
    </row>
    <row r="51">
      <c r="A51" s="8" t="n">
        <v>41821</v>
      </c>
      <c r="B51" s="11">
        <f>IF(VLOOKUP(A51,'DB Country PMI'!$A:$W,MATCH($A$1,'DB Country PMI'!$A$1:$W$1,),)=0,#N/A,VLOOKUP(A51,'DB Country PMI'!$A:$W,MATCH($A$1,'DB Country PMI'!$A$1:$W$1,),))</f>
        <v/>
      </c>
      <c r="C51" s="14">
        <f>Table13468113456710[[#This Row],[PMI]]-B50</f>
        <v/>
      </c>
    </row>
    <row r="52">
      <c r="A52" s="8" t="n">
        <v>41852</v>
      </c>
      <c r="B52" s="11">
        <f>IF(VLOOKUP(A52,'DB Country PMI'!$A:$W,MATCH($A$1,'DB Country PMI'!$A$1:$W$1,),)=0,#N/A,VLOOKUP(A52,'DB Country PMI'!$A:$W,MATCH($A$1,'DB Country PMI'!$A$1:$W$1,),))</f>
        <v/>
      </c>
      <c r="C52" s="14">
        <f>Table13468113456710[[#This Row],[PMI]]-B51</f>
        <v/>
      </c>
    </row>
    <row r="53">
      <c r="A53" s="8" t="n">
        <v>41883</v>
      </c>
      <c r="B53" s="11">
        <f>IF(VLOOKUP(A53,'DB Country PMI'!$A:$W,MATCH($A$1,'DB Country PMI'!$A$1:$W$1,),)=0,#N/A,VLOOKUP(A53,'DB Country PMI'!$A:$W,MATCH($A$1,'DB Country PMI'!$A$1:$W$1,),))</f>
        <v/>
      </c>
      <c r="C53" s="14">
        <f>Table13468113456710[[#This Row],[PMI]]-B52</f>
        <v/>
      </c>
    </row>
    <row r="54">
      <c r="A54" s="8" t="n">
        <v>41913</v>
      </c>
      <c r="B54" s="11">
        <f>IF(VLOOKUP(A54,'DB Country PMI'!$A:$W,MATCH($A$1,'DB Country PMI'!$A$1:$W$1,),)=0,#N/A,VLOOKUP(A54,'DB Country PMI'!$A:$W,MATCH($A$1,'DB Country PMI'!$A$1:$W$1,),))</f>
        <v/>
      </c>
      <c r="C54" s="14">
        <f>Table13468113456710[[#This Row],[PMI]]-B53</f>
        <v/>
      </c>
    </row>
    <row r="55">
      <c r="A55" s="8" t="n">
        <v>41944</v>
      </c>
      <c r="B55" s="11">
        <f>IF(VLOOKUP(A55,'DB Country PMI'!$A:$W,MATCH($A$1,'DB Country PMI'!$A$1:$W$1,),)=0,#N/A,VLOOKUP(A55,'DB Country PMI'!$A:$W,MATCH($A$1,'DB Country PMI'!$A$1:$W$1,),))</f>
        <v/>
      </c>
      <c r="C55" s="14">
        <f>Table13468113456710[[#This Row],[PMI]]-B54</f>
        <v/>
      </c>
    </row>
    <row r="56">
      <c r="A56" s="8" t="n">
        <v>41974</v>
      </c>
      <c r="B56" s="11">
        <f>IF(VLOOKUP(A56,'DB Country PMI'!$A:$W,MATCH($A$1,'DB Country PMI'!$A$1:$W$1,),)=0,#N/A,VLOOKUP(A56,'DB Country PMI'!$A:$W,MATCH($A$1,'DB Country PMI'!$A$1:$W$1,),))</f>
        <v/>
      </c>
      <c r="C56" s="14">
        <f>Table13468113456710[[#This Row],[PMI]]-B55</f>
        <v/>
      </c>
    </row>
    <row r="57">
      <c r="A57" s="8" t="n">
        <v>42005</v>
      </c>
      <c r="B57" s="11">
        <f>IF(VLOOKUP(A57,'DB Country PMI'!$A:$W,MATCH($A$1,'DB Country PMI'!$A$1:$W$1,),)=0,#N/A,VLOOKUP(A57,'DB Country PMI'!$A:$W,MATCH($A$1,'DB Country PMI'!$A$1:$W$1,),))</f>
        <v/>
      </c>
      <c r="C57" s="14">
        <f>Table13468113456710[[#This Row],[PMI]]-B56</f>
        <v/>
      </c>
    </row>
    <row r="58">
      <c r="A58" s="8" t="n">
        <v>42036</v>
      </c>
      <c r="B58" s="11">
        <f>IF(VLOOKUP(A58,'DB Country PMI'!$A:$W,MATCH($A$1,'DB Country PMI'!$A$1:$W$1,),)=0,#N/A,VLOOKUP(A58,'DB Country PMI'!$A:$W,MATCH($A$1,'DB Country PMI'!$A$1:$W$1,),))</f>
        <v/>
      </c>
      <c r="C58" s="14">
        <f>Table13468113456710[[#This Row],[PMI]]-B57</f>
        <v/>
      </c>
    </row>
    <row r="59">
      <c r="A59" s="8" t="n">
        <v>42064</v>
      </c>
      <c r="B59" s="11">
        <f>IF(VLOOKUP(A59,'DB Country PMI'!$A:$W,MATCH($A$1,'DB Country PMI'!$A$1:$W$1,),)=0,#N/A,VLOOKUP(A59,'DB Country PMI'!$A:$W,MATCH($A$1,'DB Country PMI'!$A$1:$W$1,),))</f>
        <v/>
      </c>
      <c r="C59" s="14">
        <f>Table13468113456710[[#This Row],[PMI]]-B58</f>
        <v/>
      </c>
    </row>
    <row r="60">
      <c r="A60" s="8" t="n">
        <v>42095</v>
      </c>
      <c r="B60" s="11">
        <f>IF(VLOOKUP(A60,'DB Country PMI'!$A:$W,MATCH($A$1,'DB Country PMI'!$A$1:$W$1,),)=0,#N/A,VLOOKUP(A60,'DB Country PMI'!$A:$W,MATCH($A$1,'DB Country PMI'!$A$1:$W$1,),))</f>
        <v/>
      </c>
      <c r="C60" s="14">
        <f>Table13468113456710[[#This Row],[PMI]]-B59</f>
        <v/>
      </c>
    </row>
    <row r="61">
      <c r="A61" s="8" t="n">
        <v>42125</v>
      </c>
      <c r="B61" s="11">
        <f>IF(VLOOKUP(A61,'DB Country PMI'!$A:$W,MATCH($A$1,'DB Country PMI'!$A$1:$W$1,),)=0,#N/A,VLOOKUP(A61,'DB Country PMI'!$A:$W,MATCH($A$1,'DB Country PMI'!$A$1:$W$1,),))</f>
        <v/>
      </c>
      <c r="C61" s="14">
        <f>Table13468113456710[[#This Row],[PMI]]-B60</f>
        <v/>
      </c>
    </row>
    <row r="62">
      <c r="A62" s="8" t="n">
        <v>42156</v>
      </c>
      <c r="B62" s="11">
        <f>IF(VLOOKUP(A62,'DB Country PMI'!$A:$W,MATCH($A$1,'DB Country PMI'!$A$1:$W$1,),)=0,#N/A,VLOOKUP(A62,'DB Country PMI'!$A:$W,MATCH($A$1,'DB Country PMI'!$A$1:$W$1,),))</f>
        <v/>
      </c>
      <c r="C62" s="14">
        <f>Table13468113456710[[#This Row],[PMI]]-B61</f>
        <v/>
      </c>
    </row>
    <row r="63">
      <c r="A63" s="8" t="n">
        <v>42186</v>
      </c>
      <c r="B63" s="11">
        <f>IF(VLOOKUP(A63,'DB Country PMI'!$A:$W,MATCH($A$1,'DB Country PMI'!$A$1:$W$1,),)=0,#N/A,VLOOKUP(A63,'DB Country PMI'!$A:$W,MATCH($A$1,'DB Country PMI'!$A$1:$W$1,),))</f>
        <v/>
      </c>
      <c r="C63" s="14">
        <f>Table13468113456710[[#This Row],[PMI]]-B62</f>
        <v/>
      </c>
    </row>
    <row r="64">
      <c r="A64" s="8" t="n">
        <v>42217</v>
      </c>
      <c r="B64" s="11">
        <f>IF(VLOOKUP(A64,'DB Country PMI'!$A:$W,MATCH($A$1,'DB Country PMI'!$A$1:$W$1,),)=0,#N/A,VLOOKUP(A64,'DB Country PMI'!$A:$W,MATCH($A$1,'DB Country PMI'!$A$1:$W$1,),))</f>
        <v/>
      </c>
      <c r="C64" s="14">
        <f>Table13468113456710[[#This Row],[PMI]]-B63</f>
        <v/>
      </c>
    </row>
    <row r="65">
      <c r="A65" s="8" t="n">
        <v>42248</v>
      </c>
      <c r="B65" s="11">
        <f>IF(VLOOKUP(A65,'DB Country PMI'!$A:$W,MATCH($A$1,'DB Country PMI'!$A$1:$W$1,),)=0,#N/A,VLOOKUP(A65,'DB Country PMI'!$A:$W,MATCH($A$1,'DB Country PMI'!$A$1:$W$1,),))</f>
        <v/>
      </c>
      <c r="C65" s="14">
        <f>Table13468113456710[[#This Row],[PMI]]-B64</f>
        <v/>
      </c>
    </row>
    <row r="66">
      <c r="A66" s="8" t="n">
        <v>42278</v>
      </c>
      <c r="B66" s="11">
        <f>IF(VLOOKUP(A66,'DB Country PMI'!$A:$W,MATCH($A$1,'DB Country PMI'!$A$1:$W$1,),)=0,#N/A,VLOOKUP(A66,'DB Country PMI'!$A:$W,MATCH($A$1,'DB Country PMI'!$A$1:$W$1,),))</f>
        <v/>
      </c>
      <c r="C66" s="14">
        <f>Table13468113456710[[#This Row],[PMI]]-B65</f>
        <v/>
      </c>
    </row>
    <row r="67">
      <c r="A67" s="8" t="n">
        <v>42309</v>
      </c>
      <c r="B67" s="11">
        <f>IF(VLOOKUP(A67,'DB Country PMI'!$A:$W,MATCH($A$1,'DB Country PMI'!$A$1:$W$1,),)=0,#N/A,VLOOKUP(A67,'DB Country PMI'!$A:$W,MATCH($A$1,'DB Country PMI'!$A$1:$W$1,),))</f>
        <v/>
      </c>
      <c r="C67" s="14">
        <f>Table13468113456710[[#This Row],[PMI]]-B66</f>
        <v/>
      </c>
    </row>
    <row r="68">
      <c r="A68" s="8" t="n">
        <v>42339</v>
      </c>
      <c r="B68" s="11">
        <f>IF(VLOOKUP(A68,'DB Country PMI'!$A:$W,MATCH($A$1,'DB Country PMI'!$A$1:$W$1,),)=0,#N/A,VLOOKUP(A68,'DB Country PMI'!$A:$W,MATCH($A$1,'DB Country PMI'!$A$1:$W$1,),))</f>
        <v/>
      </c>
      <c r="C68" s="14">
        <f>Table13468113456710[[#This Row],[PMI]]-B67</f>
        <v/>
      </c>
    </row>
    <row r="69">
      <c r="A69" s="8" t="n">
        <v>42370</v>
      </c>
      <c r="B69" s="11">
        <f>IF(VLOOKUP(A69,'DB Country PMI'!$A:$W,MATCH($A$1,'DB Country PMI'!$A$1:$W$1,),)=0,#N/A,VLOOKUP(A69,'DB Country PMI'!$A:$W,MATCH($A$1,'DB Country PMI'!$A$1:$W$1,),))</f>
        <v/>
      </c>
      <c r="C69" s="14">
        <f>Table13468113456710[[#This Row],[PMI]]-B68</f>
        <v/>
      </c>
    </row>
    <row r="70">
      <c r="A70" s="8" t="n">
        <v>42401</v>
      </c>
      <c r="B70" s="11">
        <f>IF(VLOOKUP(A70,'DB Country PMI'!$A:$W,MATCH($A$1,'DB Country PMI'!$A$1:$W$1,),)=0,#N/A,VLOOKUP(A70,'DB Country PMI'!$A:$W,MATCH($A$1,'DB Country PMI'!$A$1:$W$1,),))</f>
        <v/>
      </c>
      <c r="C70" s="14">
        <f>Table13468113456710[[#This Row],[PMI]]-B69</f>
        <v/>
      </c>
    </row>
    <row r="71">
      <c r="A71" s="8" t="n">
        <v>42430</v>
      </c>
      <c r="B71" s="11">
        <f>IF(VLOOKUP(A71,'DB Country PMI'!$A:$W,MATCH($A$1,'DB Country PMI'!$A$1:$W$1,),)=0,#N/A,VLOOKUP(A71,'DB Country PMI'!$A:$W,MATCH($A$1,'DB Country PMI'!$A$1:$W$1,),))</f>
        <v/>
      </c>
      <c r="C71" s="14">
        <f>Table13468113456710[[#This Row],[PMI]]-B70</f>
        <v/>
      </c>
    </row>
    <row r="72">
      <c r="A72" s="8" t="n">
        <v>42461</v>
      </c>
      <c r="B72" s="11">
        <f>IF(VLOOKUP(A72,'DB Country PMI'!$A:$W,MATCH($A$1,'DB Country PMI'!$A$1:$W$1,),)=0,#N/A,VLOOKUP(A72,'DB Country PMI'!$A:$W,MATCH($A$1,'DB Country PMI'!$A$1:$W$1,),))</f>
        <v/>
      </c>
      <c r="C72" s="14">
        <f>Table13468113456710[[#This Row],[PMI]]-B71</f>
        <v/>
      </c>
    </row>
    <row r="73">
      <c r="A73" s="8" t="n">
        <v>42491</v>
      </c>
      <c r="B73" s="11">
        <f>IF(VLOOKUP(A73,'DB Country PMI'!$A:$W,MATCH($A$1,'DB Country PMI'!$A$1:$W$1,),)=0,#N/A,VLOOKUP(A73,'DB Country PMI'!$A:$W,MATCH($A$1,'DB Country PMI'!$A$1:$W$1,),))</f>
        <v/>
      </c>
      <c r="C73" s="14">
        <f>Table13468113456710[[#This Row],[PMI]]-B72</f>
        <v/>
      </c>
    </row>
    <row r="74">
      <c r="A74" s="8" t="n">
        <v>42522</v>
      </c>
      <c r="B74" s="11">
        <f>IF(VLOOKUP(A74,'DB Country PMI'!$A:$W,MATCH($A$1,'DB Country PMI'!$A$1:$W$1,),)=0,#N/A,VLOOKUP(A74,'DB Country PMI'!$A:$W,MATCH($A$1,'DB Country PMI'!$A$1:$W$1,),))</f>
        <v/>
      </c>
      <c r="C74" s="14">
        <f>Table13468113456710[[#This Row],[PMI]]-B73</f>
        <v/>
      </c>
    </row>
    <row r="75">
      <c r="A75" s="8" t="n">
        <v>42552</v>
      </c>
      <c r="B75" s="11">
        <f>IF(VLOOKUP(A75,'DB Country PMI'!$A:$W,MATCH($A$1,'DB Country PMI'!$A$1:$W$1,),)=0,#N/A,VLOOKUP(A75,'DB Country PMI'!$A:$W,MATCH($A$1,'DB Country PMI'!$A$1:$W$1,),))</f>
        <v/>
      </c>
      <c r="C75" s="14">
        <f>Table13468113456710[[#This Row],[PMI]]-B74</f>
        <v/>
      </c>
    </row>
    <row r="76">
      <c r="A76" s="8" t="n">
        <v>42583</v>
      </c>
      <c r="B76" s="11">
        <f>IF(VLOOKUP(A76,'DB Country PMI'!$A:$W,MATCH($A$1,'DB Country PMI'!$A$1:$W$1,),)=0,#N/A,VLOOKUP(A76,'DB Country PMI'!$A:$W,MATCH($A$1,'DB Country PMI'!$A$1:$W$1,),))</f>
        <v/>
      </c>
      <c r="C76" s="14">
        <f>Table13468113456710[[#This Row],[PMI]]-B75</f>
        <v/>
      </c>
    </row>
    <row r="77">
      <c r="A77" s="8" t="n">
        <v>42614</v>
      </c>
      <c r="B77" s="11">
        <f>IF(VLOOKUP(A77,'DB Country PMI'!$A:$W,MATCH($A$1,'DB Country PMI'!$A$1:$W$1,),)=0,#N/A,VLOOKUP(A77,'DB Country PMI'!$A:$W,MATCH($A$1,'DB Country PMI'!$A$1:$W$1,),))</f>
        <v/>
      </c>
      <c r="C77" s="14">
        <f>Table13468113456710[[#This Row],[PMI]]-B76</f>
        <v/>
      </c>
    </row>
    <row r="78">
      <c r="A78" s="8" t="n">
        <v>42644</v>
      </c>
      <c r="B78" s="11">
        <f>IF(VLOOKUP(A78,'DB Country PMI'!$A:$W,MATCH($A$1,'DB Country PMI'!$A$1:$W$1,),)=0,#N/A,VLOOKUP(A78,'DB Country PMI'!$A:$W,MATCH($A$1,'DB Country PMI'!$A$1:$W$1,),))</f>
        <v/>
      </c>
      <c r="C78" s="14">
        <f>Table13468113456710[[#This Row],[PMI]]-B77</f>
        <v/>
      </c>
    </row>
    <row r="79">
      <c r="A79" s="8" t="n">
        <v>42675</v>
      </c>
      <c r="B79" s="11">
        <f>IF(VLOOKUP(A79,'DB Country PMI'!$A:$W,MATCH($A$1,'DB Country PMI'!$A$1:$W$1,),)=0,#N/A,VLOOKUP(A79,'DB Country PMI'!$A:$W,MATCH($A$1,'DB Country PMI'!$A$1:$W$1,),))</f>
        <v/>
      </c>
      <c r="C79" s="14">
        <f>Table13468113456710[[#This Row],[PMI]]-B78</f>
        <v/>
      </c>
    </row>
    <row r="80">
      <c r="A80" s="8" t="n">
        <v>42705</v>
      </c>
      <c r="B80" s="11">
        <f>IF(VLOOKUP(A80,'DB Country PMI'!$A:$W,MATCH($A$1,'DB Country PMI'!$A$1:$W$1,),)=0,#N/A,VLOOKUP(A80,'DB Country PMI'!$A:$W,MATCH($A$1,'DB Country PMI'!$A$1:$W$1,),))</f>
        <v/>
      </c>
      <c r="C80" s="14">
        <f>Table13468113456710[[#This Row],[PMI]]-B79</f>
        <v/>
      </c>
    </row>
    <row r="81">
      <c r="A81" s="8" t="n">
        <v>42736</v>
      </c>
      <c r="B81" s="11">
        <f>IF(VLOOKUP(A81,'DB Country PMI'!$A:$W,MATCH($A$1,'DB Country PMI'!$A$1:$W$1,),)=0,#N/A,VLOOKUP(A81,'DB Country PMI'!$A:$W,MATCH($A$1,'DB Country PMI'!$A$1:$W$1,),))</f>
        <v/>
      </c>
      <c r="C81" s="14">
        <f>Table13468113456710[[#This Row],[PMI]]-B80</f>
        <v/>
      </c>
    </row>
    <row r="82">
      <c r="A82" s="8" t="n">
        <v>42767</v>
      </c>
      <c r="B82" s="11">
        <f>IF(VLOOKUP(A82,'DB Country PMI'!$A:$W,MATCH($A$1,'DB Country PMI'!$A$1:$W$1,),)=0,#N/A,VLOOKUP(A82,'DB Country PMI'!$A:$W,MATCH($A$1,'DB Country PMI'!$A$1:$W$1,),))</f>
        <v/>
      </c>
      <c r="C82" s="14">
        <f>Table13468113456710[[#This Row],[PMI]]-B81</f>
        <v/>
      </c>
    </row>
    <row r="83">
      <c r="A83" s="8" t="n">
        <v>42795</v>
      </c>
      <c r="B83" s="11">
        <f>IF(VLOOKUP(A83,'DB Country PMI'!$A:$W,MATCH($A$1,'DB Country PMI'!$A$1:$W$1,),)=0,#N/A,VLOOKUP(A83,'DB Country PMI'!$A:$W,MATCH($A$1,'DB Country PMI'!$A$1:$W$1,),))</f>
        <v/>
      </c>
      <c r="C83" s="14">
        <f>Table13468113456710[[#This Row],[PMI]]-B82</f>
        <v/>
      </c>
    </row>
    <row r="84">
      <c r="A84" s="8" t="n">
        <v>42826</v>
      </c>
      <c r="B84" s="11">
        <f>IF(VLOOKUP(A84,'DB Country PMI'!$A:$W,MATCH($A$1,'DB Country PMI'!$A$1:$W$1,),)=0,#N/A,VLOOKUP(A84,'DB Country PMI'!$A:$W,MATCH($A$1,'DB Country PMI'!$A$1:$W$1,),))</f>
        <v/>
      </c>
      <c r="C84" s="14">
        <f>Table13468113456710[[#This Row],[PMI]]-B83</f>
        <v/>
      </c>
    </row>
    <row r="85">
      <c r="A85" s="8" t="n">
        <v>42856</v>
      </c>
      <c r="B85" s="11">
        <f>IF(VLOOKUP(A85,'DB Country PMI'!$A:$W,MATCH($A$1,'DB Country PMI'!$A$1:$W$1,),)=0,#N/A,VLOOKUP(A85,'DB Country PMI'!$A:$W,MATCH($A$1,'DB Country PMI'!$A$1:$W$1,),))</f>
        <v/>
      </c>
      <c r="C85" s="14">
        <f>Table13468113456710[[#This Row],[PMI]]-B84</f>
        <v/>
      </c>
    </row>
    <row r="86">
      <c r="A86" s="8" t="n">
        <v>42887</v>
      </c>
      <c r="B86" s="11">
        <f>IF(VLOOKUP(A86,'DB Country PMI'!$A:$W,MATCH($A$1,'DB Country PMI'!$A$1:$W$1,),)=0,#N/A,VLOOKUP(A86,'DB Country PMI'!$A:$W,MATCH($A$1,'DB Country PMI'!$A$1:$W$1,),))</f>
        <v/>
      </c>
      <c r="C86" s="14">
        <f>Table13468113456710[[#This Row],[PMI]]-B85</f>
        <v/>
      </c>
    </row>
    <row r="87">
      <c r="A87" s="8" t="n">
        <v>42917</v>
      </c>
      <c r="B87" s="11">
        <f>IF(VLOOKUP(A87,'DB Country PMI'!$A:$W,MATCH($A$1,'DB Country PMI'!$A$1:$W$1,),)=0,#N/A,VLOOKUP(A87,'DB Country PMI'!$A:$W,MATCH($A$1,'DB Country PMI'!$A$1:$W$1,),))</f>
        <v/>
      </c>
      <c r="C87" s="14">
        <f>Table13468113456710[[#This Row],[PMI]]-B86</f>
        <v/>
      </c>
    </row>
    <row r="88">
      <c r="A88" s="8" t="n">
        <v>42948</v>
      </c>
      <c r="B88" s="11">
        <f>IF(VLOOKUP(A88,'DB Country PMI'!$A:$W,MATCH($A$1,'DB Country PMI'!$A$1:$W$1,),)=0,#N/A,VLOOKUP(A88,'DB Country PMI'!$A:$W,MATCH($A$1,'DB Country PMI'!$A$1:$W$1,),))</f>
        <v/>
      </c>
      <c r="C88" s="14">
        <f>Table13468113456710[[#This Row],[PMI]]-B87</f>
        <v/>
      </c>
    </row>
    <row r="89">
      <c r="A89" s="8" t="n">
        <v>42979</v>
      </c>
      <c r="B89" s="11">
        <f>IF(VLOOKUP(A89,'DB Country PMI'!$A:$W,MATCH($A$1,'DB Country PMI'!$A$1:$W$1,),)=0,#N/A,VLOOKUP(A89,'DB Country PMI'!$A:$W,MATCH($A$1,'DB Country PMI'!$A$1:$W$1,),))</f>
        <v/>
      </c>
      <c r="C89" s="14">
        <f>Table13468113456710[[#This Row],[PMI]]-B88</f>
        <v/>
      </c>
    </row>
    <row r="90">
      <c r="A90" s="8" t="n">
        <v>43009</v>
      </c>
      <c r="B90" s="11">
        <f>IF(VLOOKUP(A90,'DB Country PMI'!$A:$W,MATCH($A$1,'DB Country PMI'!$A$1:$W$1,),)=0,#N/A,VLOOKUP(A90,'DB Country PMI'!$A:$W,MATCH($A$1,'DB Country PMI'!$A$1:$W$1,),))</f>
        <v/>
      </c>
      <c r="C90" s="14">
        <f>Table13468113456710[[#This Row],[PMI]]-B89</f>
        <v/>
      </c>
    </row>
    <row r="91">
      <c r="A91" s="8" t="n">
        <v>43040</v>
      </c>
      <c r="B91" s="11">
        <f>IF(VLOOKUP(A91,'DB Country PMI'!$A:$W,MATCH($A$1,'DB Country PMI'!$A$1:$W$1,),)=0,#N/A,VLOOKUP(A91,'DB Country PMI'!$A:$W,MATCH($A$1,'DB Country PMI'!$A$1:$W$1,),))</f>
        <v/>
      </c>
      <c r="C91" s="14">
        <f>Table13468113456710[[#This Row],[PMI]]-B90</f>
        <v/>
      </c>
    </row>
    <row r="92">
      <c r="A92" s="8" t="n">
        <v>43070</v>
      </c>
      <c r="B92" s="11">
        <f>IF(VLOOKUP(A92,'DB Country PMI'!$A:$W,MATCH($A$1,'DB Country PMI'!$A$1:$W$1,),)=0,#N/A,VLOOKUP(A92,'DB Country PMI'!$A:$W,MATCH($A$1,'DB Country PMI'!$A$1:$W$1,),))</f>
        <v/>
      </c>
      <c r="C92" s="14">
        <f>Table13468113456710[[#This Row],[PMI]]-B91</f>
        <v/>
      </c>
    </row>
    <row r="93">
      <c r="A93" s="8" t="n">
        <v>43101</v>
      </c>
      <c r="B93" s="11">
        <f>IF(VLOOKUP(A93,'DB Country PMI'!$A:$W,MATCH($A$1,'DB Country PMI'!$A$1:$W$1,),)=0,#N/A,VLOOKUP(A93,'DB Country PMI'!$A:$W,MATCH($A$1,'DB Country PMI'!$A$1:$W$1,),))</f>
        <v/>
      </c>
      <c r="C93" s="14">
        <f>Table13468113456710[[#This Row],[PMI]]-B92</f>
        <v/>
      </c>
    </row>
    <row r="94">
      <c r="A94" s="8" t="n">
        <v>43132</v>
      </c>
      <c r="B94" s="11">
        <f>IF(VLOOKUP(A94,'DB Country PMI'!$A:$W,MATCH($A$1,'DB Country PMI'!$A$1:$W$1,),)=0,#N/A,VLOOKUP(A94,'DB Country PMI'!$A:$W,MATCH($A$1,'DB Country PMI'!$A$1:$W$1,),))</f>
        <v/>
      </c>
      <c r="C94" s="14">
        <f>Table13468113456710[[#This Row],[PMI]]-B93</f>
        <v/>
      </c>
    </row>
    <row r="95">
      <c r="A95" s="8" t="n">
        <v>43160</v>
      </c>
      <c r="B95" s="11">
        <f>IF(VLOOKUP(A95,'DB Country PMI'!$A:$W,MATCH($A$1,'DB Country PMI'!$A$1:$W$1,),)=0,#N/A,VLOOKUP(A95,'DB Country PMI'!$A:$W,MATCH($A$1,'DB Country PMI'!$A$1:$W$1,),))</f>
        <v/>
      </c>
      <c r="C95" s="14">
        <f>Table13468113456710[[#This Row],[PMI]]-B94</f>
        <v/>
      </c>
    </row>
    <row r="96">
      <c r="A96" s="8" t="n">
        <v>43191</v>
      </c>
      <c r="B96" s="11">
        <f>IF(VLOOKUP(A96,'DB Country PMI'!$A:$W,MATCH($A$1,'DB Country PMI'!$A$1:$W$1,),)=0,#N/A,VLOOKUP(A96,'DB Country PMI'!$A:$W,MATCH($A$1,'DB Country PMI'!$A$1:$W$1,),))</f>
        <v/>
      </c>
      <c r="C96" s="14">
        <f>Table13468113456710[[#This Row],[PMI]]-B95</f>
        <v/>
      </c>
    </row>
    <row r="97">
      <c r="A97" s="8" t="n">
        <v>43221</v>
      </c>
      <c r="B97" s="11">
        <f>IF(VLOOKUP(A97,'DB Country PMI'!$A:$W,MATCH($A$1,'DB Country PMI'!$A$1:$W$1,),)=0,#N/A,VLOOKUP(A97,'DB Country PMI'!$A:$W,MATCH($A$1,'DB Country PMI'!$A$1:$W$1,),))</f>
        <v/>
      </c>
      <c r="C97" s="14">
        <f>Table13468113456710[[#This Row],[PMI]]-B96</f>
        <v/>
      </c>
    </row>
    <row r="98">
      <c r="A98" s="8" t="n">
        <v>43252</v>
      </c>
      <c r="B98" s="11">
        <f>IF(VLOOKUP(A98,'DB Country PMI'!$A:$W,MATCH($A$1,'DB Country PMI'!$A$1:$W$1,),)=0,#N/A,VLOOKUP(A98,'DB Country PMI'!$A:$W,MATCH($A$1,'DB Country PMI'!$A$1:$W$1,),))</f>
        <v/>
      </c>
      <c r="C98" s="14">
        <f>Table13468113456710[[#This Row],[PMI]]-B97</f>
        <v/>
      </c>
    </row>
    <row r="99">
      <c r="A99" s="8" t="n">
        <v>43282</v>
      </c>
      <c r="B99" s="11">
        <f>IF(VLOOKUP(A99,'DB Country PMI'!$A:$W,MATCH($A$1,'DB Country PMI'!$A$1:$W$1,),)=0,#N/A,VLOOKUP(A99,'DB Country PMI'!$A:$W,MATCH($A$1,'DB Country PMI'!$A$1:$W$1,),))</f>
        <v/>
      </c>
      <c r="C99" s="14">
        <f>Table13468113456710[[#This Row],[PMI]]-B98</f>
        <v/>
      </c>
    </row>
    <row r="100">
      <c r="A100" s="8" t="n">
        <v>43313</v>
      </c>
      <c r="B100" s="11">
        <f>IF(VLOOKUP(A100,'DB Country PMI'!$A:$W,MATCH($A$1,'DB Country PMI'!$A$1:$W$1,),)=0,#N/A,VLOOKUP(A100,'DB Country PMI'!$A:$W,MATCH($A$1,'DB Country PMI'!$A$1:$W$1,),))</f>
        <v/>
      </c>
      <c r="C100" s="14">
        <f>Table13468113456710[[#This Row],[PMI]]-B99</f>
        <v/>
      </c>
    </row>
    <row r="101">
      <c r="A101" s="8" t="n">
        <v>43344</v>
      </c>
      <c r="B101" s="11">
        <f>IF(VLOOKUP(A101,'DB Country PMI'!$A:$W,MATCH($A$1,'DB Country PMI'!$A$1:$W$1,),)=0,#N/A,VLOOKUP(A101,'DB Country PMI'!$A:$W,MATCH($A$1,'DB Country PMI'!$A$1:$W$1,),))</f>
        <v/>
      </c>
      <c r="C101" s="14">
        <f>Table13468113456710[[#This Row],[PMI]]-B100</f>
        <v/>
      </c>
    </row>
    <row r="102">
      <c r="A102" s="8" t="n">
        <v>43374</v>
      </c>
      <c r="B102" s="11">
        <f>IF(VLOOKUP(A102,'DB Country PMI'!$A:$W,MATCH($A$1,'DB Country PMI'!$A$1:$W$1,),)=0,#N/A,VLOOKUP(A102,'DB Country PMI'!$A:$W,MATCH($A$1,'DB Country PMI'!$A$1:$W$1,),))</f>
        <v/>
      </c>
      <c r="C102" s="14">
        <f>Table13468113456710[[#This Row],[PMI]]-B101</f>
        <v/>
      </c>
    </row>
    <row r="103">
      <c r="A103" s="8" t="n">
        <v>43405</v>
      </c>
      <c r="B103" s="11">
        <f>IF(VLOOKUP(A103,'DB Country PMI'!$A:$W,MATCH($A$1,'DB Country PMI'!$A$1:$W$1,),)=0,#N/A,VLOOKUP(A103,'DB Country PMI'!$A:$W,MATCH($A$1,'DB Country PMI'!$A$1:$W$1,),))</f>
        <v/>
      </c>
      <c r="C103" s="14">
        <f>Table13468113456710[[#This Row],[PMI]]-B102</f>
        <v/>
      </c>
    </row>
    <row r="104">
      <c r="A104" s="8" t="n">
        <v>43435</v>
      </c>
      <c r="B104" s="11">
        <f>IF(VLOOKUP(A104,'DB Country PMI'!$A:$W,MATCH($A$1,'DB Country PMI'!$A$1:$W$1,),)=0,#N/A,VLOOKUP(A104,'DB Country PMI'!$A:$W,MATCH($A$1,'DB Country PMI'!$A$1:$W$1,),))</f>
        <v/>
      </c>
      <c r="C104" s="14">
        <f>Table13468113456710[[#This Row],[PMI]]-B103</f>
        <v/>
      </c>
    </row>
    <row r="105">
      <c r="A105" s="8" t="n">
        <v>43466</v>
      </c>
      <c r="B105" s="11">
        <f>IF(VLOOKUP(A105,'DB Country PMI'!$A:$W,MATCH($A$1,'DB Country PMI'!$A$1:$W$1,),)=0,#N/A,VLOOKUP(A105,'DB Country PMI'!$A:$W,MATCH($A$1,'DB Country PMI'!$A$1:$W$1,),))</f>
        <v/>
      </c>
      <c r="C105" s="14">
        <f>Table13468113456710[[#This Row],[PMI]]-B104</f>
        <v/>
      </c>
    </row>
    <row r="106">
      <c r="A106" s="8" t="n">
        <v>43497</v>
      </c>
      <c r="B106" s="11">
        <f>IF(VLOOKUP(A106,'DB Country PMI'!$A:$W,MATCH($A$1,'DB Country PMI'!$A$1:$W$1,),)=0,#N/A,VLOOKUP(A106,'DB Country PMI'!$A:$W,MATCH($A$1,'DB Country PMI'!$A$1:$W$1,),))</f>
        <v/>
      </c>
      <c r="C106" s="14">
        <f>Table13468113456710[[#This Row],[PMI]]-B105</f>
        <v/>
      </c>
    </row>
    <row r="107">
      <c r="A107" s="8" t="n">
        <v>43525</v>
      </c>
      <c r="B107" s="11">
        <f>IF(VLOOKUP(A107,'DB Country PMI'!$A:$W,MATCH($A$1,'DB Country PMI'!$A$1:$W$1,),)=0,#N/A,VLOOKUP(A107,'DB Country PMI'!$A:$W,MATCH($A$1,'DB Country PMI'!$A$1:$W$1,),))</f>
        <v/>
      </c>
      <c r="C107" s="14">
        <f>Table13468113456710[[#This Row],[PMI]]-B106</f>
        <v/>
      </c>
    </row>
    <row r="108">
      <c r="A108" s="8" t="n">
        <v>43556</v>
      </c>
      <c r="B108" s="11">
        <f>IF(VLOOKUP(A108,'DB Country PMI'!$A:$W,MATCH($A$1,'DB Country PMI'!$A$1:$W$1,),)=0,#N/A,VLOOKUP(A108,'DB Country PMI'!$A:$W,MATCH($A$1,'DB Country PMI'!$A$1:$W$1,),))</f>
        <v/>
      </c>
      <c r="C108" s="14">
        <f>Table13468113456710[[#This Row],[PMI]]-B107</f>
        <v/>
      </c>
    </row>
    <row r="109">
      <c r="A109" s="8" t="n">
        <v>43586</v>
      </c>
      <c r="B109" s="11">
        <f>IF(VLOOKUP(A109,'DB Country PMI'!$A:$W,MATCH($A$1,'DB Country PMI'!$A$1:$W$1,),)=0,#N/A,VLOOKUP(A109,'DB Country PMI'!$A:$W,MATCH($A$1,'DB Country PMI'!$A$1:$W$1,),))</f>
        <v/>
      </c>
      <c r="C109" s="14">
        <f>Table13468113456710[[#This Row],[PMI]]-B108</f>
        <v/>
      </c>
    </row>
    <row r="110">
      <c r="A110" s="8" t="n">
        <v>43617</v>
      </c>
      <c r="B110" s="11">
        <f>IF(VLOOKUP(A110,'DB Country PMI'!$A:$W,MATCH($A$1,'DB Country PMI'!$A$1:$W$1,),)=0,#N/A,VLOOKUP(A110,'DB Country PMI'!$A:$W,MATCH($A$1,'DB Country PMI'!$A$1:$W$1,),))</f>
        <v/>
      </c>
      <c r="C110" s="14">
        <f>Table13468113456710[[#This Row],[PMI]]-B109</f>
        <v/>
      </c>
    </row>
    <row r="111">
      <c r="A111" s="8" t="n">
        <v>43647</v>
      </c>
      <c r="B111" s="11">
        <f>IF(VLOOKUP(A111,'DB Country PMI'!$A:$W,MATCH($A$1,'DB Country PMI'!$A$1:$W$1,),)=0,#N/A,VLOOKUP(A111,'DB Country PMI'!$A:$W,MATCH($A$1,'DB Country PMI'!$A$1:$W$1,),))</f>
        <v/>
      </c>
      <c r="C111" s="14">
        <f>Table13468113456710[[#This Row],[PMI]]-B110</f>
        <v/>
      </c>
    </row>
    <row r="112">
      <c r="A112" s="8" t="n">
        <v>43678</v>
      </c>
      <c r="B112" s="11">
        <f>IF(VLOOKUP(A112,'DB Country PMI'!$A:$W,MATCH($A$1,'DB Country PMI'!$A$1:$W$1,),)=0,#N/A,VLOOKUP(A112,'DB Country PMI'!$A:$W,MATCH($A$1,'DB Country PMI'!$A$1:$W$1,),))</f>
        <v/>
      </c>
      <c r="C112" s="14">
        <f>Table13468113456710[[#This Row],[PMI]]-B111</f>
        <v/>
      </c>
    </row>
    <row r="113">
      <c r="A113" s="8" t="n">
        <v>43709</v>
      </c>
      <c r="B113" s="11">
        <f>IF(VLOOKUP(A113,'DB Country PMI'!$A:$W,MATCH($A$1,'DB Country PMI'!$A$1:$W$1,),)=0,#N/A,VLOOKUP(A113,'DB Country PMI'!$A:$W,MATCH($A$1,'DB Country PMI'!$A$1:$W$1,),))</f>
        <v/>
      </c>
      <c r="C113" s="14">
        <f>Table13468113456710[[#This Row],[PMI]]-B112</f>
        <v/>
      </c>
    </row>
    <row r="114">
      <c r="A114" s="8" t="n">
        <v>43739</v>
      </c>
      <c r="B114" s="11">
        <f>IF(VLOOKUP(A114,'DB Country PMI'!$A:$W,MATCH($A$1,'DB Country PMI'!$A$1:$W$1,),)=0,#N/A,VLOOKUP(A114,'DB Country PMI'!$A:$W,MATCH($A$1,'DB Country PMI'!$A$1:$W$1,),))</f>
        <v/>
      </c>
      <c r="C114" s="14">
        <f>Table13468113456710[[#This Row],[PMI]]-B113</f>
        <v/>
      </c>
    </row>
    <row r="115">
      <c r="A115" s="8" t="n">
        <v>43770</v>
      </c>
      <c r="B115" s="11">
        <f>IF(VLOOKUP(A115,'DB Country PMI'!$A:$W,MATCH($A$1,'DB Country PMI'!$A$1:$W$1,),)=0,#N/A,VLOOKUP(A115,'DB Country PMI'!$A:$W,MATCH($A$1,'DB Country PMI'!$A$1:$W$1,),))</f>
        <v/>
      </c>
      <c r="C115" s="14">
        <f>Table13468113456710[[#This Row],[PMI]]-B114</f>
        <v/>
      </c>
    </row>
    <row r="116">
      <c r="A116" s="8" t="n">
        <v>43800</v>
      </c>
      <c r="B116" s="11">
        <f>IF(VLOOKUP(A116,'DB Country PMI'!$A:$W,MATCH($A$1,'DB Country PMI'!$A$1:$W$1,),)=0,#N/A,VLOOKUP(A116,'DB Country PMI'!$A:$W,MATCH($A$1,'DB Country PMI'!$A$1:$W$1,),))</f>
        <v/>
      </c>
      <c r="C116" s="14">
        <f>Table13468113456710[[#This Row],[PMI]]-B115</f>
        <v/>
      </c>
    </row>
    <row r="117">
      <c r="A117" s="8" t="n">
        <v>43831</v>
      </c>
      <c r="B117" s="11">
        <f>IF(VLOOKUP(A117,'DB Country PMI'!$A:$W,MATCH($A$1,'DB Country PMI'!$A$1:$W$1,),)=0,#N/A,VLOOKUP(A117,'DB Country PMI'!$A:$W,MATCH($A$1,'DB Country PMI'!$A$1:$W$1,),))</f>
        <v/>
      </c>
      <c r="C117" s="14">
        <f>Table13468113456710[[#This Row],[PMI]]-B116</f>
        <v/>
      </c>
    </row>
    <row r="118">
      <c r="A118" s="8" t="n">
        <v>43862</v>
      </c>
      <c r="B118" s="11">
        <f>IF(VLOOKUP(A118,'DB Country PMI'!$A:$W,MATCH($A$1,'DB Country PMI'!$A$1:$W$1,),)=0,#N/A,VLOOKUP(A118,'DB Country PMI'!$A:$W,MATCH($A$1,'DB Country PMI'!$A$1:$W$1,),))</f>
        <v/>
      </c>
      <c r="C118" s="14">
        <f>Table13468113456710[[#This Row],[PMI]]-B117</f>
        <v/>
      </c>
    </row>
    <row r="119">
      <c r="A119" s="8" t="n">
        <v>43891</v>
      </c>
      <c r="B119" s="11">
        <f>IF(VLOOKUP(A119,'DB Country PMI'!$A:$W,MATCH($A$1,'DB Country PMI'!$A$1:$W$1,),)=0,#N/A,VLOOKUP(A119,'DB Country PMI'!$A:$W,MATCH($A$1,'DB Country PMI'!$A$1:$W$1,),))</f>
        <v/>
      </c>
      <c r="C119" s="14">
        <f>Table13468113456710[[#This Row],[PMI]]-B118</f>
        <v/>
      </c>
    </row>
    <row r="120">
      <c r="A120" s="8" t="n">
        <v>43922</v>
      </c>
      <c r="B120" s="11">
        <f>IF(VLOOKUP(A120,'DB Country PMI'!$A:$W,MATCH($A$1,'DB Country PMI'!$A$1:$W$1,),)=0,#N/A,VLOOKUP(A120,'DB Country PMI'!$A:$W,MATCH($A$1,'DB Country PMI'!$A$1:$W$1,),))</f>
        <v/>
      </c>
      <c r="C120" s="14">
        <f>Table13468113456710[[#This Row],[PMI]]-B119</f>
        <v/>
      </c>
    </row>
    <row r="121">
      <c r="A121" s="8" t="n">
        <v>43952</v>
      </c>
      <c r="B121" s="11">
        <f>IF(VLOOKUP(A121,'DB Country PMI'!$A:$W,MATCH($A$1,'DB Country PMI'!$A$1:$W$1,),)=0,#N/A,VLOOKUP(A121,'DB Country PMI'!$A:$W,MATCH($A$1,'DB Country PMI'!$A$1:$W$1,),))</f>
        <v/>
      </c>
      <c r="C121" s="14">
        <f>Table13468113456710[[#This Row],[PMI]]-B120</f>
        <v/>
      </c>
    </row>
    <row r="122">
      <c r="A122" s="8" t="n">
        <v>43983</v>
      </c>
      <c r="B122" s="11">
        <f>IF(VLOOKUP(A122,'DB Country PMI'!$A:$W,MATCH($A$1,'DB Country PMI'!$A$1:$W$1,),)=0,#N/A,VLOOKUP(A122,'DB Country PMI'!$A:$W,MATCH($A$1,'DB Country PMI'!$A$1:$W$1,),))</f>
        <v/>
      </c>
      <c r="C122" s="14">
        <f>Table13468113456710[[#This Row],[PMI]]-B121</f>
        <v/>
      </c>
    </row>
    <row r="123">
      <c r="A123" s="8" t="n">
        <v>44013</v>
      </c>
      <c r="B123" s="11">
        <f>IF(VLOOKUP(A123,'DB Country PMI'!$A:$W,MATCH($A$1,'DB Country PMI'!$A$1:$W$1,),)=0,#N/A,VLOOKUP(A123,'DB Country PMI'!$A:$W,MATCH($A$1,'DB Country PMI'!$A$1:$W$1,),))</f>
        <v/>
      </c>
      <c r="C123" s="14">
        <f>Table13468113456710[[#This Row],[PMI]]-B122</f>
        <v/>
      </c>
    </row>
    <row r="124">
      <c r="A124" s="8" t="n">
        <v>44044</v>
      </c>
      <c r="B124" s="11">
        <f>IF(VLOOKUP(A124,'DB Country PMI'!$A:$W,MATCH($A$1,'DB Country PMI'!$A$1:$W$1,),)=0,#N/A,VLOOKUP(A124,'DB Country PMI'!$A:$W,MATCH($A$1,'DB Country PMI'!$A$1:$W$1,),))</f>
        <v/>
      </c>
      <c r="C124" s="14">
        <f>Table13468113456710[[#This Row],[PMI]]-B123</f>
        <v/>
      </c>
    </row>
    <row r="125">
      <c r="A125" s="8" t="n">
        <v>44075</v>
      </c>
      <c r="B125" s="11">
        <f>IF(VLOOKUP(A125,'DB Country PMI'!$A:$W,MATCH($A$1,'DB Country PMI'!$A$1:$W$1,),)=0,#N/A,VLOOKUP(A125,'DB Country PMI'!$A:$W,MATCH($A$1,'DB Country PMI'!$A$1:$W$1,),))</f>
        <v/>
      </c>
      <c r="C125" s="14">
        <f>Table13468113456710[[#This Row],[PMI]]-B124</f>
        <v/>
      </c>
    </row>
    <row r="126">
      <c r="A126" s="8" t="n">
        <v>44105</v>
      </c>
      <c r="B126" s="11">
        <f>IF(VLOOKUP(A126,'DB Country PMI'!$A:$W,MATCH($A$1,'DB Country PMI'!$A$1:$W$1,),)=0,#N/A,VLOOKUP(A126,'DB Country PMI'!$A:$W,MATCH($A$1,'DB Country PMI'!$A$1:$W$1,),))</f>
        <v/>
      </c>
      <c r="C126" s="14">
        <f>Table13468113456710[[#This Row],[PMI]]-B125</f>
        <v/>
      </c>
    </row>
    <row r="127">
      <c r="A127" s="8" t="n">
        <v>44136</v>
      </c>
      <c r="B127" s="11">
        <f>IF(VLOOKUP(A127,'DB Country PMI'!$A:$W,MATCH($A$1,'DB Country PMI'!$A$1:$W$1,),)=0,#N/A,VLOOKUP(A127,'DB Country PMI'!$A:$W,MATCH($A$1,'DB Country PMI'!$A$1:$W$1,),))</f>
        <v/>
      </c>
      <c r="C127" s="14">
        <f>Table13468113456710[[#This Row],[PMI]]-B126</f>
        <v/>
      </c>
    </row>
    <row r="128">
      <c r="A128" s="8" t="n">
        <v>44166</v>
      </c>
      <c r="B128" s="11">
        <f>IF(VLOOKUP(A128,'DB Country PMI'!$A:$W,MATCH($A$1,'DB Country PMI'!$A$1:$W$1,),)=0,#N/A,VLOOKUP(A128,'DB Country PMI'!$A:$W,MATCH($A$1,'DB Country PMI'!$A$1:$W$1,),))</f>
        <v/>
      </c>
      <c r="C128" s="14">
        <f>Table13468113456710[[#This Row],[PMI]]-B127</f>
        <v/>
      </c>
    </row>
    <row r="129">
      <c r="A129" s="8" t="n">
        <v>44197</v>
      </c>
      <c r="B129" s="11">
        <f>IF(VLOOKUP(A129,'DB Country PMI'!$A:$W,MATCH($A$1,'DB Country PMI'!$A$1:$W$1,),)=0,#N/A,VLOOKUP(A129,'DB Country PMI'!$A:$W,MATCH($A$1,'DB Country PMI'!$A$1:$W$1,),))</f>
        <v/>
      </c>
      <c r="C129" s="14">
        <f>Table13468113456710[[#This Row],[PMI]]-B128</f>
        <v/>
      </c>
    </row>
    <row r="130">
      <c r="A130" s="8" t="n">
        <v>44228</v>
      </c>
      <c r="B130" s="11">
        <f>IF(VLOOKUP(A130,'DB Country PMI'!$A:$W,MATCH($A$1,'DB Country PMI'!$A$1:$W$1,),)=0,#N/A,VLOOKUP(A130,'DB Country PMI'!$A:$W,MATCH($A$1,'DB Country PMI'!$A$1:$W$1,),))</f>
        <v/>
      </c>
      <c r="C130" s="14">
        <f>Table13468113456710[[#This Row],[PMI]]-B129</f>
        <v/>
      </c>
    </row>
    <row r="131">
      <c r="A131" s="8" t="n">
        <v>44256</v>
      </c>
      <c r="B131" s="11">
        <f>IF(VLOOKUP(A131,'DB Country PMI'!$A:$W,MATCH($A$1,'DB Country PMI'!$A$1:$W$1,),)=0,#N/A,VLOOKUP(A131,'DB Country PMI'!$A:$W,MATCH($A$1,'DB Country PMI'!$A$1:$W$1,),))</f>
        <v/>
      </c>
      <c r="C131" s="14">
        <f>Table13468113456710[[#This Row],[PMI]]-B130</f>
        <v/>
      </c>
    </row>
    <row r="132">
      <c r="A132" s="8" t="n">
        <v>44287</v>
      </c>
      <c r="B132" s="11">
        <f>IF(VLOOKUP(A132,'DB Country PMI'!$A:$W,MATCH($A$1,'DB Country PMI'!$A$1:$W$1,),)=0,#N/A,VLOOKUP(A132,'DB Country PMI'!$A:$W,MATCH($A$1,'DB Country PMI'!$A$1:$W$1,),))</f>
        <v/>
      </c>
      <c r="C132" s="14">
        <f>Table13468113456710[[#This Row],[PMI]]-B131</f>
        <v/>
      </c>
    </row>
    <row r="133">
      <c r="A133" s="8" t="n">
        <v>44317</v>
      </c>
      <c r="B133" s="11">
        <f>IF(VLOOKUP(A133,'DB Country PMI'!$A:$W,MATCH($A$1,'DB Country PMI'!$A$1:$W$1,),)=0,#N/A,VLOOKUP(A133,'DB Country PMI'!$A:$W,MATCH($A$1,'DB Country PMI'!$A$1:$W$1,),))</f>
        <v/>
      </c>
      <c r="C133" s="14">
        <f>Table13468113456710[[#This Row],[PMI]]-B132</f>
        <v/>
      </c>
    </row>
    <row r="134">
      <c r="A134" s="8" t="n">
        <v>44348</v>
      </c>
      <c r="B134" s="11">
        <f>IF(VLOOKUP(A134,'DB Country PMI'!$A:$W,MATCH($A$1,'DB Country PMI'!$A$1:$W$1,),)=0,#N/A,VLOOKUP(A134,'DB Country PMI'!$A:$W,MATCH($A$1,'DB Country PMI'!$A$1:$W$1,),))</f>
        <v/>
      </c>
      <c r="C134" s="14">
        <f>Table13468113456710[[#This Row],[PMI]]-B133</f>
        <v/>
      </c>
    </row>
    <row r="135">
      <c r="A135" s="8" t="n">
        <v>44378</v>
      </c>
      <c r="B135" s="11">
        <f>IF(VLOOKUP(A135,'DB Country PMI'!$A:$W,MATCH($A$1,'DB Country PMI'!$A$1:$W$1,),)=0,#N/A,VLOOKUP(A135,'DB Country PMI'!$A:$W,MATCH($A$1,'DB Country PMI'!$A$1:$W$1,),))</f>
        <v/>
      </c>
      <c r="C135" s="14">
        <f>Table13468113456710[[#This Row],[PMI]]-B134</f>
        <v/>
      </c>
    </row>
    <row r="136">
      <c r="A136" s="8" t="n">
        <v>44409</v>
      </c>
      <c r="B136" s="11">
        <f>IF(VLOOKUP(A136,'DB Country PMI'!$A:$W,MATCH($A$1,'DB Country PMI'!$A$1:$W$1,),)=0,#N/A,VLOOKUP(A136,'DB Country PMI'!$A:$W,MATCH($A$1,'DB Country PMI'!$A$1:$W$1,),))</f>
        <v/>
      </c>
      <c r="C136" s="14">
        <f>Table13468113456710[[#This Row],[PMI]]-B135</f>
        <v/>
      </c>
    </row>
    <row r="137">
      <c r="A137" s="8" t="n">
        <v>44440</v>
      </c>
      <c r="B137" s="11">
        <f>IF(VLOOKUP(A137,'DB Country PMI'!$A:$W,MATCH($A$1,'DB Country PMI'!$A$1:$W$1,),)=0,#N/A,VLOOKUP(A137,'DB Country PMI'!$A:$W,MATCH($A$1,'DB Country PMI'!$A$1:$W$1,),))</f>
        <v/>
      </c>
      <c r="C137" s="14">
        <f>Table13468113456710[[#This Row],[PMI]]-B136</f>
        <v/>
      </c>
    </row>
    <row r="138">
      <c r="A138" s="8" t="n">
        <v>44470</v>
      </c>
      <c r="B138" s="11">
        <f>IF(VLOOKUP(A138,'DB Country PMI'!$A:$W,MATCH($A$1,'DB Country PMI'!$A$1:$W$1,),)=0,#N/A,VLOOKUP(A138,'DB Country PMI'!$A:$W,MATCH($A$1,'DB Country PMI'!$A$1:$W$1,),))</f>
        <v/>
      </c>
      <c r="C138" s="14">
        <f>Table13468113456710[[#This Row],[PMI]]-B137</f>
        <v/>
      </c>
    </row>
    <row r="139">
      <c r="A139" s="8" t="n">
        <v>44501</v>
      </c>
      <c r="B139" s="11">
        <f>IF(VLOOKUP(A139,'DB Country PMI'!$A:$W,MATCH($A$1,'DB Country PMI'!$A$1:$W$1,),)=0,#N/A,VLOOKUP(A139,'DB Country PMI'!$A:$W,MATCH($A$1,'DB Country PMI'!$A$1:$W$1,),))</f>
        <v/>
      </c>
      <c r="C139" s="14">
        <f>Table13468113456710[[#This Row],[PMI]]-B138</f>
        <v/>
      </c>
    </row>
    <row r="140">
      <c r="A140" s="8" t="n">
        <v>44531</v>
      </c>
      <c r="B140" s="11">
        <f>IF(VLOOKUP(A140,'DB Country PMI'!$A:$W,MATCH($A$1,'DB Country PMI'!$A$1:$W$1,),)=0,#N/A,VLOOKUP(A140,'DB Country PMI'!$A:$W,MATCH($A$1,'DB Country PMI'!$A$1:$W$1,),))</f>
        <v/>
      </c>
      <c r="C140" s="14">
        <f>Table13468113456710[[#This Row],[PMI]]-B139</f>
        <v/>
      </c>
    </row>
    <row r="141">
      <c r="A141" s="8" t="n">
        <v>44562</v>
      </c>
      <c r="B141" s="11">
        <f>IF(VLOOKUP(A141,'DB Country PMI'!$A:$W,MATCH($A$1,'DB Country PMI'!$A$1:$W$1,),)=0,#N/A,VLOOKUP(A141,'DB Country PMI'!$A:$W,MATCH($A$1,'DB Country PMI'!$A$1:$W$1,),))</f>
        <v/>
      </c>
      <c r="C141" s="14">
        <f>Table13468113456710[[#This Row],[PMI]]-B140</f>
        <v/>
      </c>
    </row>
    <row r="142">
      <c r="A142" s="8" t="n">
        <v>44593</v>
      </c>
      <c r="B142" s="11">
        <f>IF(VLOOKUP(A142,'DB Country PMI'!$A:$W,MATCH($A$1,'DB Country PMI'!$A$1:$W$1,),)=0,#N/A,VLOOKUP(A142,'DB Country PMI'!$A:$W,MATCH($A$1,'DB Country PMI'!$A$1:$W$1,),))</f>
        <v/>
      </c>
      <c r="C142" s="14">
        <f>Table13468113456710[[#This Row],[PMI]]-B141</f>
        <v/>
      </c>
    </row>
    <row r="143">
      <c r="A143" s="8" t="n">
        <v>44621</v>
      </c>
      <c r="B143" s="11">
        <f>IF(VLOOKUP(A143,'DB Country PMI'!$A:$W,MATCH($A$1,'DB Country PMI'!$A$1:$W$1,),)=0,#N/A,VLOOKUP(A143,'DB Country PMI'!$A:$W,MATCH($A$1,'DB Country PMI'!$A$1:$W$1,),))</f>
        <v/>
      </c>
      <c r="C143" s="14">
        <f>Table13468113456710[[#This Row],[PMI]]-B142</f>
        <v/>
      </c>
    </row>
  </sheetData>
  <conditionalFormatting sqref="C7:C143">
    <cfRule type="colorScale" priority="1">
      <colorScale>
        <cfvo type="min"/>
        <cfvo type="percentile" val="50"/>
        <cfvo type="max"/>
        <color rgb="FFF8696B"/>
        <color rgb="FFFCFCFF"/>
        <color rgb="FF5A8AC6"/>
      </colorScale>
    </cfRule>
  </conditionalFormatting>
  <conditionalFormatting sqref="B6:B143">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6.xml><?xml version="1.0" encoding="utf-8"?>
<worksheet xmlns="http://schemas.openxmlformats.org/spreadsheetml/2006/main">
  <sheetPr>
    <outlinePr summaryBelow="1" summaryRight="1"/>
    <pageSetUpPr/>
  </sheetPr>
  <dimension ref="A1:J143"/>
  <sheetViews>
    <sheetView zoomScale="160" zoomScaleNormal="160" workbookViewId="0">
      <pane ySplit="5" topLeftCell="A124" activePane="bottomLeft" state="frozen"/>
      <selection pane="bottomLeft" activeCell="A139" sqref="A139:C143"/>
    </sheetView>
  </sheetViews>
  <sheetFormatPr baseColWidth="10" defaultColWidth="9.1640625" defaultRowHeight="15"/>
  <cols>
    <col width="13.5" customWidth="1" style="60" min="1" max="1"/>
    <col width="11.33203125" customWidth="1" style="60" min="2" max="2"/>
    <col width="9.1640625" customWidth="1" style="60" min="3" max="7"/>
    <col width="9.1640625" customWidth="1" style="60" min="8" max="16384"/>
  </cols>
  <sheetData>
    <row r="1">
      <c r="A1" s="60" t="inlineStr">
        <is>
          <t>Brazil</t>
        </is>
      </c>
      <c r="J1" s="60" t="inlineStr">
        <is>
          <t xml:space="preserve"> Services PMI</t>
        </is>
      </c>
    </row>
    <row r="2">
      <c r="J2" s="60" t="inlineStr">
        <is>
          <t>Brazil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Table1346811345671012[[#This Row],[PMI]]-B6</f>
        <v/>
      </c>
    </row>
    <row r="8">
      <c r="A8" s="8" t="n">
        <v>40513</v>
      </c>
      <c r="B8" s="11">
        <f>IF(VLOOKUP(A8,'DB Country PMI'!$A:$W,MATCH($A$1,'DB Country PMI'!$A$1:$W$1,),)=0,#N/A,VLOOKUP(A8,'DB Country PMI'!$A:$W,MATCH($A$1,'DB Country PMI'!$A$1:$W$1,),))</f>
        <v/>
      </c>
      <c r="C8" s="14">
        <f>Table1346811345671012[[#This Row],[PMI]]-B7</f>
        <v/>
      </c>
    </row>
    <row r="9">
      <c r="A9" s="8" t="n">
        <v>40544</v>
      </c>
      <c r="B9" s="11">
        <f>IF(VLOOKUP(A9,'DB Country PMI'!$A:$W,MATCH($A$1,'DB Country PMI'!$A$1:$W$1,),)=0,#N/A,VLOOKUP(A9,'DB Country PMI'!$A:$W,MATCH($A$1,'DB Country PMI'!$A$1:$W$1,),))</f>
        <v/>
      </c>
      <c r="C9" s="14">
        <f>Table1346811345671012[[#This Row],[PMI]]-B8</f>
        <v/>
      </c>
    </row>
    <row r="10">
      <c r="A10" s="8" t="n">
        <v>40575</v>
      </c>
      <c r="B10" s="11">
        <f>IF(VLOOKUP(A10,'DB Country PMI'!$A:$W,MATCH($A$1,'DB Country PMI'!$A$1:$W$1,),)=0,#N/A,VLOOKUP(A10,'DB Country PMI'!$A:$W,MATCH($A$1,'DB Country PMI'!$A$1:$W$1,),))</f>
        <v/>
      </c>
      <c r="C10" s="14">
        <f>Table1346811345671012[[#This Row],[PMI]]-B9</f>
        <v/>
      </c>
    </row>
    <row r="11">
      <c r="A11" s="8" t="n">
        <v>40603</v>
      </c>
      <c r="B11" s="11">
        <f>IF(VLOOKUP(A11,'DB Country PMI'!$A:$W,MATCH($A$1,'DB Country PMI'!$A$1:$W$1,),)=0,#N/A,VLOOKUP(A11,'DB Country PMI'!$A:$W,MATCH($A$1,'DB Country PMI'!$A$1:$W$1,),))</f>
        <v/>
      </c>
      <c r="C11" s="14">
        <f>Table1346811345671012[[#This Row],[PMI]]-B10</f>
        <v/>
      </c>
    </row>
    <row r="12">
      <c r="A12" s="8" t="n">
        <v>40634</v>
      </c>
      <c r="B12" s="11">
        <f>IF(VLOOKUP(A12,'DB Country PMI'!$A:$W,MATCH($A$1,'DB Country PMI'!$A$1:$W$1,),)=0,#N/A,VLOOKUP(A12,'DB Country PMI'!$A:$W,MATCH($A$1,'DB Country PMI'!$A$1:$W$1,),))</f>
        <v/>
      </c>
      <c r="C12" s="14">
        <f>Table1346811345671012[[#This Row],[PMI]]-B11</f>
        <v/>
      </c>
    </row>
    <row r="13">
      <c r="A13" s="8" t="n">
        <v>40664</v>
      </c>
      <c r="B13" s="11">
        <f>IF(VLOOKUP(A13,'DB Country PMI'!$A:$W,MATCH($A$1,'DB Country PMI'!$A$1:$W$1,),)=0,#N/A,VLOOKUP(A13,'DB Country PMI'!$A:$W,MATCH($A$1,'DB Country PMI'!$A$1:$W$1,),))</f>
        <v/>
      </c>
      <c r="C13" s="14">
        <f>Table1346811345671012[[#This Row],[PMI]]-B12</f>
        <v/>
      </c>
    </row>
    <row r="14">
      <c r="A14" s="8" t="n">
        <v>40695</v>
      </c>
      <c r="B14" s="11">
        <f>IF(VLOOKUP(A14,'DB Country PMI'!$A:$W,MATCH($A$1,'DB Country PMI'!$A$1:$W$1,),)=0,#N/A,VLOOKUP(A14,'DB Country PMI'!$A:$W,MATCH($A$1,'DB Country PMI'!$A$1:$W$1,),))</f>
        <v/>
      </c>
      <c r="C14" s="14">
        <f>Table1346811345671012[[#This Row],[PMI]]-B13</f>
        <v/>
      </c>
    </row>
    <row r="15">
      <c r="A15" s="8" t="n">
        <v>40725</v>
      </c>
      <c r="B15" s="11">
        <f>IF(VLOOKUP(A15,'DB Country PMI'!$A:$W,MATCH($A$1,'DB Country PMI'!$A$1:$W$1,),)=0,#N/A,VLOOKUP(A15,'DB Country PMI'!$A:$W,MATCH($A$1,'DB Country PMI'!$A$1:$W$1,),))</f>
        <v/>
      </c>
      <c r="C15" s="14">
        <f>Table1346811345671012[[#This Row],[PMI]]-B14</f>
        <v/>
      </c>
    </row>
    <row r="16">
      <c r="A16" s="8" t="n">
        <v>40756</v>
      </c>
      <c r="B16" s="11">
        <f>IF(VLOOKUP(A16,'DB Country PMI'!$A:$W,MATCH($A$1,'DB Country PMI'!$A$1:$W$1,),)=0,#N/A,VLOOKUP(A16,'DB Country PMI'!$A:$W,MATCH($A$1,'DB Country PMI'!$A$1:$W$1,),))</f>
        <v/>
      </c>
      <c r="C16" s="14">
        <f>Table1346811345671012[[#This Row],[PMI]]-B15</f>
        <v/>
      </c>
    </row>
    <row r="17">
      <c r="A17" s="8" t="n">
        <v>40787</v>
      </c>
      <c r="B17" s="11">
        <f>IF(VLOOKUP(A17,'DB Country PMI'!$A:$W,MATCH($A$1,'DB Country PMI'!$A$1:$W$1,),)=0,#N/A,VLOOKUP(A17,'DB Country PMI'!$A:$W,MATCH($A$1,'DB Country PMI'!$A$1:$W$1,),))</f>
        <v/>
      </c>
      <c r="C17" s="14">
        <f>Table1346811345671012[[#This Row],[PMI]]-B16</f>
        <v/>
      </c>
    </row>
    <row r="18">
      <c r="A18" s="8" t="n">
        <v>40817</v>
      </c>
      <c r="B18" s="11">
        <f>IF(VLOOKUP(A18,'DB Country PMI'!$A:$W,MATCH($A$1,'DB Country PMI'!$A$1:$W$1,),)=0,#N/A,VLOOKUP(A18,'DB Country PMI'!$A:$W,MATCH($A$1,'DB Country PMI'!$A$1:$W$1,),))</f>
        <v/>
      </c>
      <c r="C18" s="14">
        <f>Table1346811345671012[[#This Row],[PMI]]-B17</f>
        <v/>
      </c>
    </row>
    <row r="19">
      <c r="A19" s="8" t="n">
        <v>40848</v>
      </c>
      <c r="B19" s="11">
        <f>IF(VLOOKUP(A19,'DB Country PMI'!$A:$W,MATCH($A$1,'DB Country PMI'!$A$1:$W$1,),)=0,#N/A,VLOOKUP(A19,'DB Country PMI'!$A:$W,MATCH($A$1,'DB Country PMI'!$A$1:$W$1,),))</f>
        <v/>
      </c>
      <c r="C19" s="14">
        <f>Table1346811345671012[[#This Row],[PMI]]-B18</f>
        <v/>
      </c>
    </row>
    <row r="20">
      <c r="A20" s="8" t="n">
        <v>40878</v>
      </c>
      <c r="B20" s="11">
        <f>IF(VLOOKUP(A20,'DB Country PMI'!$A:$W,MATCH($A$1,'DB Country PMI'!$A$1:$W$1,),)=0,#N/A,VLOOKUP(A20,'DB Country PMI'!$A:$W,MATCH($A$1,'DB Country PMI'!$A$1:$W$1,),))</f>
        <v/>
      </c>
      <c r="C20" s="14">
        <f>Table1346811345671012[[#This Row],[PMI]]-B19</f>
        <v/>
      </c>
    </row>
    <row r="21">
      <c r="A21" s="8" t="n">
        <v>40909</v>
      </c>
      <c r="B21" s="11">
        <f>IF(VLOOKUP(A21,'DB Country PMI'!$A:$W,MATCH($A$1,'DB Country PMI'!$A$1:$W$1,),)=0,#N/A,VLOOKUP(A21,'DB Country PMI'!$A:$W,MATCH($A$1,'DB Country PMI'!$A$1:$W$1,),))</f>
        <v/>
      </c>
      <c r="C21" s="14">
        <f>Table1346811345671012[[#This Row],[PMI]]-B20</f>
        <v/>
      </c>
    </row>
    <row r="22">
      <c r="A22" s="8" t="n">
        <v>40940</v>
      </c>
      <c r="B22" s="11">
        <f>IF(VLOOKUP(A22,'DB Country PMI'!$A:$W,MATCH($A$1,'DB Country PMI'!$A$1:$W$1,),)=0,#N/A,VLOOKUP(A22,'DB Country PMI'!$A:$W,MATCH($A$1,'DB Country PMI'!$A$1:$W$1,),))</f>
        <v/>
      </c>
      <c r="C22" s="14">
        <f>Table1346811345671012[[#This Row],[PMI]]-B21</f>
        <v/>
      </c>
    </row>
    <row r="23">
      <c r="A23" s="8" t="n">
        <v>40969</v>
      </c>
      <c r="B23" s="11">
        <f>IF(VLOOKUP(A23,'DB Country PMI'!$A:$W,MATCH($A$1,'DB Country PMI'!$A$1:$W$1,),)=0,#N/A,VLOOKUP(A23,'DB Country PMI'!$A:$W,MATCH($A$1,'DB Country PMI'!$A$1:$W$1,),))</f>
        <v/>
      </c>
      <c r="C23" s="14">
        <f>Table1346811345671012[[#This Row],[PMI]]-B22</f>
        <v/>
      </c>
    </row>
    <row r="24">
      <c r="A24" s="8" t="n">
        <v>41000</v>
      </c>
      <c r="B24" s="11">
        <f>IF(VLOOKUP(A24,'DB Country PMI'!$A:$W,MATCH($A$1,'DB Country PMI'!$A$1:$W$1,),)=0,#N/A,VLOOKUP(A24,'DB Country PMI'!$A:$W,MATCH($A$1,'DB Country PMI'!$A$1:$W$1,),))</f>
        <v/>
      </c>
      <c r="C24" s="14">
        <f>Table1346811345671012[[#This Row],[PMI]]-B23</f>
        <v/>
      </c>
    </row>
    <row r="25">
      <c r="A25" s="8" t="n">
        <v>41030</v>
      </c>
      <c r="B25" s="11">
        <f>IF(VLOOKUP(A25,'DB Country PMI'!$A:$W,MATCH($A$1,'DB Country PMI'!$A$1:$W$1,),)=0,#N/A,VLOOKUP(A25,'DB Country PMI'!$A:$W,MATCH($A$1,'DB Country PMI'!$A$1:$W$1,),))</f>
        <v/>
      </c>
      <c r="C25" s="14">
        <f>Table1346811345671012[[#This Row],[PMI]]-B24</f>
        <v/>
      </c>
    </row>
    <row r="26">
      <c r="A26" s="8" t="n">
        <v>41061</v>
      </c>
      <c r="B26" s="11">
        <f>IF(VLOOKUP(A26,'DB Country PMI'!$A:$W,MATCH($A$1,'DB Country PMI'!$A$1:$W$1,),)=0,#N/A,VLOOKUP(A26,'DB Country PMI'!$A:$W,MATCH($A$1,'DB Country PMI'!$A$1:$W$1,),))</f>
        <v/>
      </c>
      <c r="C26" s="14">
        <f>Table1346811345671012[[#This Row],[PMI]]-B25</f>
        <v/>
      </c>
    </row>
    <row r="27">
      <c r="A27" s="8" t="n">
        <v>41091</v>
      </c>
      <c r="B27" s="11">
        <f>IF(VLOOKUP(A27,'DB Country PMI'!$A:$W,MATCH($A$1,'DB Country PMI'!$A$1:$W$1,),)=0,#N/A,VLOOKUP(A27,'DB Country PMI'!$A:$W,MATCH($A$1,'DB Country PMI'!$A$1:$W$1,),))</f>
        <v/>
      </c>
      <c r="C27" s="14">
        <f>Table1346811345671012[[#This Row],[PMI]]-B26</f>
        <v/>
      </c>
    </row>
    <row r="28">
      <c r="A28" s="8" t="n">
        <v>41122</v>
      </c>
      <c r="B28" s="11">
        <f>IF(VLOOKUP(A28,'DB Country PMI'!$A:$W,MATCH($A$1,'DB Country PMI'!$A$1:$W$1,),)=0,#N/A,VLOOKUP(A28,'DB Country PMI'!$A:$W,MATCH($A$1,'DB Country PMI'!$A$1:$W$1,),))</f>
        <v/>
      </c>
      <c r="C28" s="14">
        <f>Table1346811345671012[[#This Row],[PMI]]-B27</f>
        <v/>
      </c>
    </row>
    <row r="29">
      <c r="A29" s="8" t="n">
        <v>41153</v>
      </c>
      <c r="B29" s="11">
        <f>IF(VLOOKUP(A29,'DB Country PMI'!$A:$W,MATCH($A$1,'DB Country PMI'!$A$1:$W$1,),)=0,#N/A,VLOOKUP(A29,'DB Country PMI'!$A:$W,MATCH($A$1,'DB Country PMI'!$A$1:$W$1,),))</f>
        <v/>
      </c>
      <c r="C29" s="14">
        <f>Table1346811345671012[[#This Row],[PMI]]-B28</f>
        <v/>
      </c>
    </row>
    <row r="30">
      <c r="A30" s="8" t="n">
        <v>41183</v>
      </c>
      <c r="B30" s="11">
        <f>IF(VLOOKUP(A30,'DB Country PMI'!$A:$W,MATCH($A$1,'DB Country PMI'!$A$1:$W$1,),)=0,#N/A,VLOOKUP(A30,'DB Country PMI'!$A:$W,MATCH($A$1,'DB Country PMI'!$A$1:$W$1,),))</f>
        <v/>
      </c>
      <c r="C30" s="14">
        <f>Table1346811345671012[[#This Row],[PMI]]-B29</f>
        <v/>
      </c>
    </row>
    <row r="31">
      <c r="A31" s="8" t="n">
        <v>41214</v>
      </c>
      <c r="B31" s="11">
        <f>IF(VLOOKUP(A31,'DB Country PMI'!$A:$W,MATCH($A$1,'DB Country PMI'!$A$1:$W$1,),)=0,#N/A,VLOOKUP(A31,'DB Country PMI'!$A:$W,MATCH($A$1,'DB Country PMI'!$A$1:$W$1,),))</f>
        <v/>
      </c>
      <c r="C31" s="14">
        <f>Table1346811345671012[[#This Row],[PMI]]-B30</f>
        <v/>
      </c>
    </row>
    <row r="32">
      <c r="A32" s="8" t="n">
        <v>41244</v>
      </c>
      <c r="B32" s="11">
        <f>IF(VLOOKUP(A32,'DB Country PMI'!$A:$W,MATCH($A$1,'DB Country PMI'!$A$1:$W$1,),)=0,#N/A,VLOOKUP(A32,'DB Country PMI'!$A:$W,MATCH($A$1,'DB Country PMI'!$A$1:$W$1,),))</f>
        <v/>
      </c>
      <c r="C32" s="14">
        <f>Table1346811345671012[[#This Row],[PMI]]-B31</f>
        <v/>
      </c>
    </row>
    <row r="33">
      <c r="A33" s="8" t="n">
        <v>41275</v>
      </c>
      <c r="B33" s="11">
        <f>IF(VLOOKUP(A33,'DB Country PMI'!$A:$W,MATCH($A$1,'DB Country PMI'!$A$1:$W$1,),)=0,#N/A,VLOOKUP(A33,'DB Country PMI'!$A:$W,MATCH($A$1,'DB Country PMI'!$A$1:$W$1,),))</f>
        <v/>
      </c>
      <c r="C33" s="14">
        <f>Table1346811345671012[[#This Row],[PMI]]-B32</f>
        <v/>
      </c>
    </row>
    <row r="34">
      <c r="A34" s="8" t="n">
        <v>41306</v>
      </c>
      <c r="B34" s="11">
        <f>IF(VLOOKUP(A34,'DB Country PMI'!$A:$W,MATCH($A$1,'DB Country PMI'!$A$1:$W$1,),)=0,#N/A,VLOOKUP(A34,'DB Country PMI'!$A:$W,MATCH($A$1,'DB Country PMI'!$A$1:$W$1,),))</f>
        <v/>
      </c>
      <c r="C34" s="14">
        <f>Table1346811345671012[[#This Row],[PMI]]-B33</f>
        <v/>
      </c>
    </row>
    <row r="35">
      <c r="A35" s="8" t="n">
        <v>41334</v>
      </c>
      <c r="B35" s="11">
        <f>IF(VLOOKUP(A35,'DB Country PMI'!$A:$W,MATCH($A$1,'DB Country PMI'!$A$1:$W$1,),)=0,#N/A,VLOOKUP(A35,'DB Country PMI'!$A:$W,MATCH($A$1,'DB Country PMI'!$A$1:$W$1,),))</f>
        <v/>
      </c>
      <c r="C35" s="14">
        <f>Table1346811345671012[[#This Row],[PMI]]-B34</f>
        <v/>
      </c>
    </row>
    <row r="36">
      <c r="A36" s="8" t="n">
        <v>41365</v>
      </c>
      <c r="B36" s="11">
        <f>IF(VLOOKUP(A36,'DB Country PMI'!$A:$W,MATCH($A$1,'DB Country PMI'!$A$1:$W$1,),)=0,#N/A,VLOOKUP(A36,'DB Country PMI'!$A:$W,MATCH($A$1,'DB Country PMI'!$A$1:$W$1,),))</f>
        <v/>
      </c>
      <c r="C36" s="14">
        <f>Table1346811345671012[[#This Row],[PMI]]-B35</f>
        <v/>
      </c>
    </row>
    <row r="37">
      <c r="A37" s="8" t="n">
        <v>41395</v>
      </c>
      <c r="B37" s="11">
        <f>IF(VLOOKUP(A37,'DB Country PMI'!$A:$W,MATCH($A$1,'DB Country PMI'!$A$1:$W$1,),)=0,#N/A,VLOOKUP(A37,'DB Country PMI'!$A:$W,MATCH($A$1,'DB Country PMI'!$A$1:$W$1,),))</f>
        <v/>
      </c>
      <c r="C37" s="14">
        <f>Table1346811345671012[[#This Row],[PMI]]-B36</f>
        <v/>
      </c>
    </row>
    <row r="38">
      <c r="A38" s="8" t="n">
        <v>41426</v>
      </c>
      <c r="B38" s="11">
        <f>IF(VLOOKUP(A38,'DB Country PMI'!$A:$W,MATCH($A$1,'DB Country PMI'!$A$1:$W$1,),)=0,#N/A,VLOOKUP(A38,'DB Country PMI'!$A:$W,MATCH($A$1,'DB Country PMI'!$A$1:$W$1,),))</f>
        <v/>
      </c>
      <c r="C38" s="14">
        <f>Table1346811345671012[[#This Row],[PMI]]-B37</f>
        <v/>
      </c>
    </row>
    <row r="39">
      <c r="A39" s="8" t="n">
        <v>41456</v>
      </c>
      <c r="B39" s="11">
        <f>IF(VLOOKUP(A39,'DB Country PMI'!$A:$W,MATCH($A$1,'DB Country PMI'!$A$1:$W$1,),)=0,#N/A,VLOOKUP(A39,'DB Country PMI'!$A:$W,MATCH($A$1,'DB Country PMI'!$A$1:$W$1,),))</f>
        <v/>
      </c>
      <c r="C39" s="14">
        <f>Table1346811345671012[[#This Row],[PMI]]-B38</f>
        <v/>
      </c>
    </row>
    <row r="40">
      <c r="A40" s="8" t="n">
        <v>41487</v>
      </c>
      <c r="B40" s="11">
        <f>IF(VLOOKUP(A40,'DB Country PMI'!$A:$W,MATCH($A$1,'DB Country PMI'!$A$1:$W$1,),)=0,#N/A,VLOOKUP(A40,'DB Country PMI'!$A:$W,MATCH($A$1,'DB Country PMI'!$A$1:$W$1,),))</f>
        <v/>
      </c>
      <c r="C40" s="14">
        <f>Table1346811345671012[[#This Row],[PMI]]-B39</f>
        <v/>
      </c>
    </row>
    <row r="41">
      <c r="A41" s="8" t="n">
        <v>41518</v>
      </c>
      <c r="B41" s="11">
        <f>IF(VLOOKUP(A41,'DB Country PMI'!$A:$W,MATCH($A$1,'DB Country PMI'!$A$1:$W$1,),)=0,#N/A,VLOOKUP(A41,'DB Country PMI'!$A:$W,MATCH($A$1,'DB Country PMI'!$A$1:$W$1,),))</f>
        <v/>
      </c>
      <c r="C41" s="14">
        <f>Table1346811345671012[[#This Row],[PMI]]-B40</f>
        <v/>
      </c>
    </row>
    <row r="42">
      <c r="A42" s="8" t="n">
        <v>41548</v>
      </c>
      <c r="B42" s="11">
        <f>IF(VLOOKUP(A42,'DB Country PMI'!$A:$W,MATCH($A$1,'DB Country PMI'!$A$1:$W$1,),)=0,#N/A,VLOOKUP(A42,'DB Country PMI'!$A:$W,MATCH($A$1,'DB Country PMI'!$A$1:$W$1,),))</f>
        <v/>
      </c>
      <c r="C42" s="14">
        <f>Table1346811345671012[[#This Row],[PMI]]-B41</f>
        <v/>
      </c>
    </row>
    <row r="43">
      <c r="A43" s="8" t="n">
        <v>41579</v>
      </c>
      <c r="B43" s="11">
        <f>IF(VLOOKUP(A43,'DB Country PMI'!$A:$W,MATCH($A$1,'DB Country PMI'!$A$1:$W$1,),)=0,#N/A,VLOOKUP(A43,'DB Country PMI'!$A:$W,MATCH($A$1,'DB Country PMI'!$A$1:$W$1,),))</f>
        <v/>
      </c>
      <c r="C43" s="14">
        <f>Table1346811345671012[[#This Row],[PMI]]-B42</f>
        <v/>
      </c>
    </row>
    <row r="44">
      <c r="A44" s="8" t="n">
        <v>41609</v>
      </c>
      <c r="B44" s="11">
        <f>IF(VLOOKUP(A44,'DB Country PMI'!$A:$W,MATCH($A$1,'DB Country PMI'!$A$1:$W$1,),)=0,#N/A,VLOOKUP(A44,'DB Country PMI'!$A:$W,MATCH($A$1,'DB Country PMI'!$A$1:$W$1,),))</f>
        <v/>
      </c>
      <c r="C44" s="14">
        <f>Table1346811345671012[[#This Row],[PMI]]-B43</f>
        <v/>
      </c>
    </row>
    <row r="45">
      <c r="A45" s="8" t="n">
        <v>41640</v>
      </c>
      <c r="B45" s="11">
        <f>IF(VLOOKUP(A45,'DB Country PMI'!$A:$W,MATCH($A$1,'DB Country PMI'!$A$1:$W$1,),)=0,#N/A,VLOOKUP(A45,'DB Country PMI'!$A:$W,MATCH($A$1,'DB Country PMI'!$A$1:$W$1,),))</f>
        <v/>
      </c>
      <c r="C45" s="14">
        <f>Table1346811345671012[[#This Row],[PMI]]-B44</f>
        <v/>
      </c>
    </row>
    <row r="46">
      <c r="A46" s="8" t="n">
        <v>41671</v>
      </c>
      <c r="B46" s="11">
        <f>IF(VLOOKUP(A46,'DB Country PMI'!$A:$W,MATCH($A$1,'DB Country PMI'!$A$1:$W$1,),)=0,#N/A,VLOOKUP(A46,'DB Country PMI'!$A:$W,MATCH($A$1,'DB Country PMI'!$A$1:$W$1,),))</f>
        <v/>
      </c>
      <c r="C46" s="14">
        <f>Table1346811345671012[[#This Row],[PMI]]-B45</f>
        <v/>
      </c>
    </row>
    <row r="47">
      <c r="A47" s="8" t="n">
        <v>41699</v>
      </c>
      <c r="B47" s="11">
        <f>IF(VLOOKUP(A47,'DB Country PMI'!$A:$W,MATCH($A$1,'DB Country PMI'!$A$1:$W$1,),)=0,#N/A,VLOOKUP(A47,'DB Country PMI'!$A:$W,MATCH($A$1,'DB Country PMI'!$A$1:$W$1,),))</f>
        <v/>
      </c>
      <c r="C47" s="14">
        <f>Table1346811345671012[[#This Row],[PMI]]-B46</f>
        <v/>
      </c>
    </row>
    <row r="48">
      <c r="A48" s="8" t="n">
        <v>41730</v>
      </c>
      <c r="B48" s="11">
        <f>IF(VLOOKUP(A48,'DB Country PMI'!$A:$W,MATCH($A$1,'DB Country PMI'!$A$1:$W$1,),)=0,#N/A,VLOOKUP(A48,'DB Country PMI'!$A:$W,MATCH($A$1,'DB Country PMI'!$A$1:$W$1,),))</f>
        <v/>
      </c>
      <c r="C48" s="14">
        <f>Table1346811345671012[[#This Row],[PMI]]-B47</f>
        <v/>
      </c>
    </row>
    <row r="49">
      <c r="A49" s="8" t="n">
        <v>41760</v>
      </c>
      <c r="B49" s="11">
        <f>IF(VLOOKUP(A49,'DB Country PMI'!$A:$W,MATCH($A$1,'DB Country PMI'!$A$1:$W$1,),)=0,#N/A,VLOOKUP(A49,'DB Country PMI'!$A:$W,MATCH($A$1,'DB Country PMI'!$A$1:$W$1,),))</f>
        <v/>
      </c>
      <c r="C49" s="14">
        <f>Table1346811345671012[[#This Row],[PMI]]-B48</f>
        <v/>
      </c>
    </row>
    <row r="50">
      <c r="A50" s="8" t="n">
        <v>41791</v>
      </c>
      <c r="B50" s="11">
        <f>IF(VLOOKUP(A50,'DB Country PMI'!$A:$W,MATCH($A$1,'DB Country PMI'!$A$1:$W$1,),)=0,#N/A,VLOOKUP(A50,'DB Country PMI'!$A:$W,MATCH($A$1,'DB Country PMI'!$A$1:$W$1,),))</f>
        <v/>
      </c>
      <c r="C50" s="14">
        <f>Table1346811345671012[[#This Row],[PMI]]-B49</f>
        <v/>
      </c>
    </row>
    <row r="51">
      <c r="A51" s="8" t="n">
        <v>41821</v>
      </c>
      <c r="B51" s="11">
        <f>IF(VLOOKUP(A51,'DB Country PMI'!$A:$W,MATCH($A$1,'DB Country PMI'!$A$1:$W$1,),)=0,#N/A,VLOOKUP(A51,'DB Country PMI'!$A:$W,MATCH($A$1,'DB Country PMI'!$A$1:$W$1,),))</f>
        <v/>
      </c>
      <c r="C51" s="14">
        <f>Table1346811345671012[[#This Row],[PMI]]-B50</f>
        <v/>
      </c>
    </row>
    <row r="52">
      <c r="A52" s="8" t="n">
        <v>41852</v>
      </c>
      <c r="B52" s="11">
        <f>IF(VLOOKUP(A52,'DB Country PMI'!$A:$W,MATCH($A$1,'DB Country PMI'!$A$1:$W$1,),)=0,#N/A,VLOOKUP(A52,'DB Country PMI'!$A:$W,MATCH($A$1,'DB Country PMI'!$A$1:$W$1,),))</f>
        <v/>
      </c>
      <c r="C52" s="14">
        <f>Table1346811345671012[[#This Row],[PMI]]-B51</f>
        <v/>
      </c>
    </row>
    <row r="53">
      <c r="A53" s="8" t="n">
        <v>41883</v>
      </c>
      <c r="B53" s="11">
        <f>IF(VLOOKUP(A53,'DB Country PMI'!$A:$W,MATCH($A$1,'DB Country PMI'!$A$1:$W$1,),)=0,#N/A,VLOOKUP(A53,'DB Country PMI'!$A:$W,MATCH($A$1,'DB Country PMI'!$A$1:$W$1,),))</f>
        <v/>
      </c>
      <c r="C53" s="14">
        <f>Table1346811345671012[[#This Row],[PMI]]-B52</f>
        <v/>
      </c>
    </row>
    <row r="54">
      <c r="A54" s="8" t="n">
        <v>41913</v>
      </c>
      <c r="B54" s="11">
        <f>IF(VLOOKUP(A54,'DB Country PMI'!$A:$W,MATCH($A$1,'DB Country PMI'!$A$1:$W$1,),)=0,#N/A,VLOOKUP(A54,'DB Country PMI'!$A:$W,MATCH($A$1,'DB Country PMI'!$A$1:$W$1,),))</f>
        <v/>
      </c>
      <c r="C54" s="14">
        <f>Table1346811345671012[[#This Row],[PMI]]-B53</f>
        <v/>
      </c>
    </row>
    <row r="55">
      <c r="A55" s="8" t="n">
        <v>41944</v>
      </c>
      <c r="B55" s="11">
        <f>IF(VLOOKUP(A55,'DB Country PMI'!$A:$W,MATCH($A$1,'DB Country PMI'!$A$1:$W$1,),)=0,#N/A,VLOOKUP(A55,'DB Country PMI'!$A:$W,MATCH($A$1,'DB Country PMI'!$A$1:$W$1,),))</f>
        <v/>
      </c>
      <c r="C55" s="14">
        <f>Table1346811345671012[[#This Row],[PMI]]-B54</f>
        <v/>
      </c>
    </row>
    <row r="56">
      <c r="A56" s="8" t="n">
        <v>41974</v>
      </c>
      <c r="B56" s="11">
        <f>IF(VLOOKUP(A56,'DB Country PMI'!$A:$W,MATCH($A$1,'DB Country PMI'!$A$1:$W$1,),)=0,#N/A,VLOOKUP(A56,'DB Country PMI'!$A:$W,MATCH($A$1,'DB Country PMI'!$A$1:$W$1,),))</f>
        <v/>
      </c>
      <c r="C56" s="14">
        <f>Table1346811345671012[[#This Row],[PMI]]-B55</f>
        <v/>
      </c>
    </row>
    <row r="57">
      <c r="A57" s="8" t="n">
        <v>42005</v>
      </c>
      <c r="B57" s="11">
        <f>IF(VLOOKUP(A57,'DB Country PMI'!$A:$W,MATCH($A$1,'DB Country PMI'!$A$1:$W$1,),)=0,#N/A,VLOOKUP(A57,'DB Country PMI'!$A:$W,MATCH($A$1,'DB Country PMI'!$A$1:$W$1,),))</f>
        <v/>
      </c>
      <c r="C57" s="14">
        <f>Table1346811345671012[[#This Row],[PMI]]-B56</f>
        <v/>
      </c>
    </row>
    <row r="58">
      <c r="A58" s="8" t="n">
        <v>42036</v>
      </c>
      <c r="B58" s="11">
        <f>IF(VLOOKUP(A58,'DB Country PMI'!$A:$W,MATCH($A$1,'DB Country PMI'!$A$1:$W$1,),)=0,#N/A,VLOOKUP(A58,'DB Country PMI'!$A:$W,MATCH($A$1,'DB Country PMI'!$A$1:$W$1,),))</f>
        <v/>
      </c>
      <c r="C58" s="14">
        <f>Table1346811345671012[[#This Row],[PMI]]-B57</f>
        <v/>
      </c>
    </row>
    <row r="59">
      <c r="A59" s="8" t="n">
        <v>42064</v>
      </c>
      <c r="B59" s="11">
        <f>IF(VLOOKUP(A59,'DB Country PMI'!$A:$W,MATCH($A$1,'DB Country PMI'!$A$1:$W$1,),)=0,#N/A,VLOOKUP(A59,'DB Country PMI'!$A:$W,MATCH($A$1,'DB Country PMI'!$A$1:$W$1,),))</f>
        <v/>
      </c>
      <c r="C59" s="14">
        <f>Table1346811345671012[[#This Row],[PMI]]-B58</f>
        <v/>
      </c>
    </row>
    <row r="60">
      <c r="A60" s="8" t="n">
        <v>42095</v>
      </c>
      <c r="B60" s="11">
        <f>IF(VLOOKUP(A60,'DB Country PMI'!$A:$W,MATCH($A$1,'DB Country PMI'!$A$1:$W$1,),)=0,#N/A,VLOOKUP(A60,'DB Country PMI'!$A:$W,MATCH($A$1,'DB Country PMI'!$A$1:$W$1,),))</f>
        <v/>
      </c>
      <c r="C60" s="14">
        <f>Table1346811345671012[[#This Row],[PMI]]-B59</f>
        <v/>
      </c>
    </row>
    <row r="61">
      <c r="A61" s="8" t="n">
        <v>42125</v>
      </c>
      <c r="B61" s="11">
        <f>IF(VLOOKUP(A61,'DB Country PMI'!$A:$W,MATCH($A$1,'DB Country PMI'!$A$1:$W$1,),)=0,#N/A,VLOOKUP(A61,'DB Country PMI'!$A:$W,MATCH($A$1,'DB Country PMI'!$A$1:$W$1,),))</f>
        <v/>
      </c>
      <c r="C61" s="14">
        <f>Table1346811345671012[[#This Row],[PMI]]-B60</f>
        <v/>
      </c>
    </row>
    <row r="62">
      <c r="A62" s="8" t="n">
        <v>42156</v>
      </c>
      <c r="B62" s="11">
        <f>IF(VLOOKUP(A62,'DB Country PMI'!$A:$W,MATCH($A$1,'DB Country PMI'!$A$1:$W$1,),)=0,#N/A,VLOOKUP(A62,'DB Country PMI'!$A:$W,MATCH($A$1,'DB Country PMI'!$A$1:$W$1,),))</f>
        <v/>
      </c>
      <c r="C62" s="14">
        <f>Table1346811345671012[[#This Row],[PMI]]-B61</f>
        <v/>
      </c>
    </row>
    <row r="63">
      <c r="A63" s="8" t="n">
        <v>42186</v>
      </c>
      <c r="B63" s="11">
        <f>IF(VLOOKUP(A63,'DB Country PMI'!$A:$W,MATCH($A$1,'DB Country PMI'!$A$1:$W$1,),)=0,#N/A,VLOOKUP(A63,'DB Country PMI'!$A:$W,MATCH($A$1,'DB Country PMI'!$A$1:$W$1,),))</f>
        <v/>
      </c>
      <c r="C63" s="14">
        <f>Table1346811345671012[[#This Row],[PMI]]-B62</f>
        <v/>
      </c>
    </row>
    <row r="64">
      <c r="A64" s="8" t="n">
        <v>42217</v>
      </c>
      <c r="B64" s="11">
        <f>IF(VLOOKUP(A64,'DB Country PMI'!$A:$W,MATCH($A$1,'DB Country PMI'!$A$1:$W$1,),)=0,#N/A,VLOOKUP(A64,'DB Country PMI'!$A:$W,MATCH($A$1,'DB Country PMI'!$A$1:$W$1,),))</f>
        <v/>
      </c>
      <c r="C64" s="14">
        <f>Table1346811345671012[[#This Row],[PMI]]-B63</f>
        <v/>
      </c>
    </row>
    <row r="65">
      <c r="A65" s="8" t="n">
        <v>42248</v>
      </c>
      <c r="B65" s="11">
        <f>IF(VLOOKUP(A65,'DB Country PMI'!$A:$W,MATCH($A$1,'DB Country PMI'!$A$1:$W$1,),)=0,#N/A,VLOOKUP(A65,'DB Country PMI'!$A:$W,MATCH($A$1,'DB Country PMI'!$A$1:$W$1,),))</f>
        <v/>
      </c>
      <c r="C65" s="14">
        <f>Table1346811345671012[[#This Row],[PMI]]-B64</f>
        <v/>
      </c>
    </row>
    <row r="66">
      <c r="A66" s="8" t="n">
        <v>42278</v>
      </c>
      <c r="B66" s="11">
        <f>IF(VLOOKUP(A66,'DB Country PMI'!$A:$W,MATCH($A$1,'DB Country PMI'!$A$1:$W$1,),)=0,#N/A,VLOOKUP(A66,'DB Country PMI'!$A:$W,MATCH($A$1,'DB Country PMI'!$A$1:$W$1,),))</f>
        <v/>
      </c>
      <c r="C66" s="14">
        <f>Table1346811345671012[[#This Row],[PMI]]-B65</f>
        <v/>
      </c>
    </row>
    <row r="67">
      <c r="A67" s="8" t="n">
        <v>42309</v>
      </c>
      <c r="B67" s="11">
        <f>IF(VLOOKUP(A67,'DB Country PMI'!$A:$W,MATCH($A$1,'DB Country PMI'!$A$1:$W$1,),)=0,#N/A,VLOOKUP(A67,'DB Country PMI'!$A:$W,MATCH($A$1,'DB Country PMI'!$A$1:$W$1,),))</f>
        <v/>
      </c>
      <c r="C67" s="14">
        <f>Table1346811345671012[[#This Row],[PMI]]-B66</f>
        <v/>
      </c>
    </row>
    <row r="68">
      <c r="A68" s="8" t="n">
        <v>42339</v>
      </c>
      <c r="B68" s="11">
        <f>IF(VLOOKUP(A68,'DB Country PMI'!$A:$W,MATCH($A$1,'DB Country PMI'!$A$1:$W$1,),)=0,#N/A,VLOOKUP(A68,'DB Country PMI'!$A:$W,MATCH($A$1,'DB Country PMI'!$A$1:$W$1,),))</f>
        <v/>
      </c>
      <c r="C68" s="14">
        <f>Table1346811345671012[[#This Row],[PMI]]-B67</f>
        <v/>
      </c>
    </row>
    <row r="69">
      <c r="A69" s="8" t="n">
        <v>42370</v>
      </c>
      <c r="B69" s="11">
        <f>IF(VLOOKUP(A69,'DB Country PMI'!$A:$W,MATCH($A$1,'DB Country PMI'!$A$1:$W$1,),)=0,#N/A,VLOOKUP(A69,'DB Country PMI'!$A:$W,MATCH($A$1,'DB Country PMI'!$A$1:$W$1,),))</f>
        <v/>
      </c>
      <c r="C69" s="14">
        <f>Table1346811345671012[[#This Row],[PMI]]-B68</f>
        <v/>
      </c>
    </row>
    <row r="70">
      <c r="A70" s="8" t="n">
        <v>42401</v>
      </c>
      <c r="B70" s="11">
        <f>IF(VLOOKUP(A70,'DB Country PMI'!$A:$W,MATCH($A$1,'DB Country PMI'!$A$1:$W$1,),)=0,#N/A,VLOOKUP(A70,'DB Country PMI'!$A:$W,MATCH($A$1,'DB Country PMI'!$A$1:$W$1,),))</f>
        <v/>
      </c>
      <c r="C70" s="14">
        <f>Table1346811345671012[[#This Row],[PMI]]-B69</f>
        <v/>
      </c>
    </row>
    <row r="71">
      <c r="A71" s="8" t="n">
        <v>42430</v>
      </c>
      <c r="B71" s="11">
        <f>IF(VLOOKUP(A71,'DB Country PMI'!$A:$W,MATCH($A$1,'DB Country PMI'!$A$1:$W$1,),)=0,#N/A,VLOOKUP(A71,'DB Country PMI'!$A:$W,MATCH($A$1,'DB Country PMI'!$A$1:$W$1,),))</f>
        <v/>
      </c>
      <c r="C71" s="14">
        <f>Table1346811345671012[[#This Row],[PMI]]-B70</f>
        <v/>
      </c>
    </row>
    <row r="72">
      <c r="A72" s="8" t="n">
        <v>42461</v>
      </c>
      <c r="B72" s="11">
        <f>IF(VLOOKUP(A72,'DB Country PMI'!$A:$W,MATCH($A$1,'DB Country PMI'!$A$1:$W$1,),)=0,#N/A,VLOOKUP(A72,'DB Country PMI'!$A:$W,MATCH($A$1,'DB Country PMI'!$A$1:$W$1,),))</f>
        <v/>
      </c>
      <c r="C72" s="14">
        <f>Table1346811345671012[[#This Row],[PMI]]-B71</f>
        <v/>
      </c>
    </row>
    <row r="73">
      <c r="A73" s="8" t="n">
        <v>42491</v>
      </c>
      <c r="B73" s="11">
        <f>IF(VLOOKUP(A73,'DB Country PMI'!$A:$W,MATCH($A$1,'DB Country PMI'!$A$1:$W$1,),)=0,#N/A,VLOOKUP(A73,'DB Country PMI'!$A:$W,MATCH($A$1,'DB Country PMI'!$A$1:$W$1,),))</f>
        <v/>
      </c>
      <c r="C73" s="14">
        <f>Table1346811345671012[[#This Row],[PMI]]-B72</f>
        <v/>
      </c>
    </row>
    <row r="74">
      <c r="A74" s="8" t="n">
        <v>42522</v>
      </c>
      <c r="B74" s="11">
        <f>IF(VLOOKUP(A74,'DB Country PMI'!$A:$W,MATCH($A$1,'DB Country PMI'!$A$1:$W$1,),)=0,#N/A,VLOOKUP(A74,'DB Country PMI'!$A:$W,MATCH($A$1,'DB Country PMI'!$A$1:$W$1,),))</f>
        <v/>
      </c>
      <c r="C74" s="14">
        <f>Table1346811345671012[[#This Row],[PMI]]-B73</f>
        <v/>
      </c>
    </row>
    <row r="75">
      <c r="A75" s="8" t="n">
        <v>42552</v>
      </c>
      <c r="B75" s="11">
        <f>IF(VLOOKUP(A75,'DB Country PMI'!$A:$W,MATCH($A$1,'DB Country PMI'!$A$1:$W$1,),)=0,#N/A,VLOOKUP(A75,'DB Country PMI'!$A:$W,MATCH($A$1,'DB Country PMI'!$A$1:$W$1,),))</f>
        <v/>
      </c>
      <c r="C75" s="14">
        <f>Table1346811345671012[[#This Row],[PMI]]-B74</f>
        <v/>
      </c>
    </row>
    <row r="76">
      <c r="A76" s="8" t="n">
        <v>42583</v>
      </c>
      <c r="B76" s="11">
        <f>IF(VLOOKUP(A76,'DB Country PMI'!$A:$W,MATCH($A$1,'DB Country PMI'!$A$1:$W$1,),)=0,#N/A,VLOOKUP(A76,'DB Country PMI'!$A:$W,MATCH($A$1,'DB Country PMI'!$A$1:$W$1,),))</f>
        <v/>
      </c>
      <c r="C76" s="14">
        <f>Table1346811345671012[[#This Row],[PMI]]-B75</f>
        <v/>
      </c>
    </row>
    <row r="77">
      <c r="A77" s="8" t="n">
        <v>42614</v>
      </c>
      <c r="B77" s="11">
        <f>IF(VLOOKUP(A77,'DB Country PMI'!$A:$W,MATCH($A$1,'DB Country PMI'!$A$1:$W$1,),)=0,#N/A,VLOOKUP(A77,'DB Country PMI'!$A:$W,MATCH($A$1,'DB Country PMI'!$A$1:$W$1,),))</f>
        <v/>
      </c>
      <c r="C77" s="14">
        <f>Table1346811345671012[[#This Row],[PMI]]-B76</f>
        <v/>
      </c>
    </row>
    <row r="78">
      <c r="A78" s="8" t="n">
        <v>42644</v>
      </c>
      <c r="B78" s="11">
        <f>IF(VLOOKUP(A78,'DB Country PMI'!$A:$W,MATCH($A$1,'DB Country PMI'!$A$1:$W$1,),)=0,#N/A,VLOOKUP(A78,'DB Country PMI'!$A:$W,MATCH($A$1,'DB Country PMI'!$A$1:$W$1,),))</f>
        <v/>
      </c>
      <c r="C78" s="14">
        <f>Table1346811345671012[[#This Row],[PMI]]-B77</f>
        <v/>
      </c>
    </row>
    <row r="79">
      <c r="A79" s="8" t="n">
        <v>42675</v>
      </c>
      <c r="B79" s="11">
        <f>IF(VLOOKUP(A79,'DB Country PMI'!$A:$W,MATCH($A$1,'DB Country PMI'!$A$1:$W$1,),)=0,#N/A,VLOOKUP(A79,'DB Country PMI'!$A:$W,MATCH($A$1,'DB Country PMI'!$A$1:$W$1,),))</f>
        <v/>
      </c>
      <c r="C79" s="14">
        <f>Table1346811345671012[[#This Row],[PMI]]-B78</f>
        <v/>
      </c>
    </row>
    <row r="80">
      <c r="A80" s="8" t="n">
        <v>42705</v>
      </c>
      <c r="B80" s="11">
        <f>IF(VLOOKUP(A80,'DB Country PMI'!$A:$W,MATCH($A$1,'DB Country PMI'!$A$1:$W$1,),)=0,#N/A,VLOOKUP(A80,'DB Country PMI'!$A:$W,MATCH($A$1,'DB Country PMI'!$A$1:$W$1,),))</f>
        <v/>
      </c>
      <c r="C80" s="14">
        <f>Table1346811345671012[[#This Row],[PMI]]-B79</f>
        <v/>
      </c>
    </row>
    <row r="81">
      <c r="A81" s="8" t="n">
        <v>42736</v>
      </c>
      <c r="B81" s="11">
        <f>IF(VLOOKUP(A81,'DB Country PMI'!$A:$W,MATCH($A$1,'DB Country PMI'!$A$1:$W$1,),)=0,#N/A,VLOOKUP(A81,'DB Country PMI'!$A:$W,MATCH($A$1,'DB Country PMI'!$A$1:$W$1,),))</f>
        <v/>
      </c>
      <c r="C81" s="14">
        <f>Table1346811345671012[[#This Row],[PMI]]-B80</f>
        <v/>
      </c>
    </row>
    <row r="82">
      <c r="A82" s="8" t="n">
        <v>42767</v>
      </c>
      <c r="B82" s="11">
        <f>IF(VLOOKUP(A82,'DB Country PMI'!$A:$W,MATCH($A$1,'DB Country PMI'!$A$1:$W$1,),)=0,#N/A,VLOOKUP(A82,'DB Country PMI'!$A:$W,MATCH($A$1,'DB Country PMI'!$A$1:$W$1,),))</f>
        <v/>
      </c>
      <c r="C82" s="14">
        <f>Table1346811345671012[[#This Row],[PMI]]-B81</f>
        <v/>
      </c>
    </row>
    <row r="83">
      <c r="A83" s="8" t="n">
        <v>42795</v>
      </c>
      <c r="B83" s="11">
        <f>IF(VLOOKUP(A83,'DB Country PMI'!$A:$W,MATCH($A$1,'DB Country PMI'!$A$1:$W$1,),)=0,#N/A,VLOOKUP(A83,'DB Country PMI'!$A:$W,MATCH($A$1,'DB Country PMI'!$A$1:$W$1,),))</f>
        <v/>
      </c>
      <c r="C83" s="14">
        <f>Table1346811345671012[[#This Row],[PMI]]-B82</f>
        <v/>
      </c>
    </row>
    <row r="84">
      <c r="A84" s="8" t="n">
        <v>42826</v>
      </c>
      <c r="B84" s="11">
        <f>IF(VLOOKUP(A84,'DB Country PMI'!$A:$W,MATCH($A$1,'DB Country PMI'!$A$1:$W$1,),)=0,#N/A,VLOOKUP(A84,'DB Country PMI'!$A:$W,MATCH($A$1,'DB Country PMI'!$A$1:$W$1,),))</f>
        <v/>
      </c>
      <c r="C84" s="14">
        <f>Table1346811345671012[[#This Row],[PMI]]-B83</f>
        <v/>
      </c>
    </row>
    <row r="85">
      <c r="A85" s="8" t="n">
        <v>42856</v>
      </c>
      <c r="B85" s="11">
        <f>IF(VLOOKUP(A85,'DB Country PMI'!$A:$W,MATCH($A$1,'DB Country PMI'!$A$1:$W$1,),)=0,#N/A,VLOOKUP(A85,'DB Country PMI'!$A:$W,MATCH($A$1,'DB Country PMI'!$A$1:$W$1,),))</f>
        <v/>
      </c>
      <c r="C85" s="14">
        <f>Table1346811345671012[[#This Row],[PMI]]-B84</f>
        <v/>
      </c>
    </row>
    <row r="86">
      <c r="A86" s="8" t="n">
        <v>42887</v>
      </c>
      <c r="B86" s="11">
        <f>IF(VLOOKUP(A86,'DB Country PMI'!$A:$W,MATCH($A$1,'DB Country PMI'!$A$1:$W$1,),)=0,#N/A,VLOOKUP(A86,'DB Country PMI'!$A:$W,MATCH($A$1,'DB Country PMI'!$A$1:$W$1,),))</f>
        <v/>
      </c>
      <c r="C86" s="14">
        <f>Table1346811345671012[[#This Row],[PMI]]-B85</f>
        <v/>
      </c>
    </row>
    <row r="87">
      <c r="A87" s="8" t="n">
        <v>42917</v>
      </c>
      <c r="B87" s="11">
        <f>IF(VLOOKUP(A87,'DB Country PMI'!$A:$W,MATCH($A$1,'DB Country PMI'!$A$1:$W$1,),)=0,#N/A,VLOOKUP(A87,'DB Country PMI'!$A:$W,MATCH($A$1,'DB Country PMI'!$A$1:$W$1,),))</f>
        <v/>
      </c>
      <c r="C87" s="14">
        <f>Table1346811345671012[[#This Row],[PMI]]-B86</f>
        <v/>
      </c>
    </row>
    <row r="88">
      <c r="A88" s="8" t="n">
        <v>42948</v>
      </c>
      <c r="B88" s="11">
        <f>IF(VLOOKUP(A88,'DB Country PMI'!$A:$W,MATCH($A$1,'DB Country PMI'!$A$1:$W$1,),)=0,#N/A,VLOOKUP(A88,'DB Country PMI'!$A:$W,MATCH($A$1,'DB Country PMI'!$A$1:$W$1,),))</f>
        <v/>
      </c>
      <c r="C88" s="14">
        <f>Table1346811345671012[[#This Row],[PMI]]-B87</f>
        <v/>
      </c>
    </row>
    <row r="89">
      <c r="A89" s="8" t="n">
        <v>42979</v>
      </c>
      <c r="B89" s="11">
        <f>IF(VLOOKUP(A89,'DB Country PMI'!$A:$W,MATCH($A$1,'DB Country PMI'!$A$1:$W$1,),)=0,#N/A,VLOOKUP(A89,'DB Country PMI'!$A:$W,MATCH($A$1,'DB Country PMI'!$A$1:$W$1,),))</f>
        <v/>
      </c>
      <c r="C89" s="14">
        <f>Table1346811345671012[[#This Row],[PMI]]-B88</f>
        <v/>
      </c>
    </row>
    <row r="90">
      <c r="A90" s="8" t="n">
        <v>43009</v>
      </c>
      <c r="B90" s="11">
        <f>IF(VLOOKUP(A90,'DB Country PMI'!$A:$W,MATCH($A$1,'DB Country PMI'!$A$1:$W$1,),)=0,#N/A,VLOOKUP(A90,'DB Country PMI'!$A:$W,MATCH($A$1,'DB Country PMI'!$A$1:$W$1,),))</f>
        <v/>
      </c>
      <c r="C90" s="14">
        <f>Table1346811345671012[[#This Row],[PMI]]-B89</f>
        <v/>
      </c>
    </row>
    <row r="91">
      <c r="A91" s="8" t="n">
        <v>43040</v>
      </c>
      <c r="B91" s="11">
        <f>IF(VLOOKUP(A91,'DB Country PMI'!$A:$W,MATCH($A$1,'DB Country PMI'!$A$1:$W$1,),)=0,#N/A,VLOOKUP(A91,'DB Country PMI'!$A:$W,MATCH($A$1,'DB Country PMI'!$A$1:$W$1,),))</f>
        <v/>
      </c>
      <c r="C91" s="14">
        <f>Table1346811345671012[[#This Row],[PMI]]-B90</f>
        <v/>
      </c>
    </row>
    <row r="92">
      <c r="A92" s="8" t="n">
        <v>43070</v>
      </c>
      <c r="B92" s="11">
        <f>IF(VLOOKUP(A92,'DB Country PMI'!$A:$W,MATCH($A$1,'DB Country PMI'!$A$1:$W$1,),)=0,#N/A,VLOOKUP(A92,'DB Country PMI'!$A:$W,MATCH($A$1,'DB Country PMI'!$A$1:$W$1,),))</f>
        <v/>
      </c>
      <c r="C92" s="14">
        <f>Table1346811345671012[[#This Row],[PMI]]-B91</f>
        <v/>
      </c>
    </row>
    <row r="93">
      <c r="A93" s="8" t="n">
        <v>43101</v>
      </c>
      <c r="B93" s="11">
        <f>IF(VLOOKUP(A93,'DB Country PMI'!$A:$W,MATCH($A$1,'DB Country PMI'!$A$1:$W$1,),)=0,#N/A,VLOOKUP(A93,'DB Country PMI'!$A:$W,MATCH($A$1,'DB Country PMI'!$A$1:$W$1,),))</f>
        <v/>
      </c>
      <c r="C93" s="14">
        <f>Table1346811345671012[[#This Row],[PMI]]-B92</f>
        <v/>
      </c>
    </row>
    <row r="94">
      <c r="A94" s="8" t="n">
        <v>43132</v>
      </c>
      <c r="B94" s="11">
        <f>IF(VLOOKUP(A94,'DB Country PMI'!$A:$W,MATCH($A$1,'DB Country PMI'!$A$1:$W$1,),)=0,#N/A,VLOOKUP(A94,'DB Country PMI'!$A:$W,MATCH($A$1,'DB Country PMI'!$A$1:$W$1,),))</f>
        <v/>
      </c>
      <c r="C94" s="14">
        <f>Table1346811345671012[[#This Row],[PMI]]-B93</f>
        <v/>
      </c>
    </row>
    <row r="95">
      <c r="A95" s="8" t="n">
        <v>43160</v>
      </c>
      <c r="B95" s="11">
        <f>IF(VLOOKUP(A95,'DB Country PMI'!$A:$W,MATCH($A$1,'DB Country PMI'!$A$1:$W$1,),)=0,#N/A,VLOOKUP(A95,'DB Country PMI'!$A:$W,MATCH($A$1,'DB Country PMI'!$A$1:$W$1,),))</f>
        <v/>
      </c>
      <c r="C95" s="14">
        <f>Table1346811345671012[[#This Row],[PMI]]-B94</f>
        <v/>
      </c>
    </row>
    <row r="96">
      <c r="A96" s="8" t="n">
        <v>43191</v>
      </c>
      <c r="B96" s="11">
        <f>IF(VLOOKUP(A96,'DB Country PMI'!$A:$W,MATCH($A$1,'DB Country PMI'!$A$1:$W$1,),)=0,#N/A,VLOOKUP(A96,'DB Country PMI'!$A:$W,MATCH($A$1,'DB Country PMI'!$A$1:$W$1,),))</f>
        <v/>
      </c>
      <c r="C96" s="14">
        <f>Table1346811345671012[[#This Row],[PMI]]-B95</f>
        <v/>
      </c>
    </row>
    <row r="97">
      <c r="A97" s="8" t="n">
        <v>43221</v>
      </c>
      <c r="B97" s="11">
        <f>IF(VLOOKUP(A97,'DB Country PMI'!$A:$W,MATCH($A$1,'DB Country PMI'!$A$1:$W$1,),)=0,#N/A,VLOOKUP(A97,'DB Country PMI'!$A:$W,MATCH($A$1,'DB Country PMI'!$A$1:$W$1,),))</f>
        <v/>
      </c>
      <c r="C97" s="14">
        <f>Table1346811345671012[[#This Row],[PMI]]-B96</f>
        <v/>
      </c>
    </row>
    <row r="98">
      <c r="A98" s="8" t="n">
        <v>43252</v>
      </c>
      <c r="B98" s="11">
        <f>IF(VLOOKUP(A98,'DB Country PMI'!$A:$W,MATCH($A$1,'DB Country PMI'!$A$1:$W$1,),)=0,#N/A,VLOOKUP(A98,'DB Country PMI'!$A:$W,MATCH($A$1,'DB Country PMI'!$A$1:$W$1,),))</f>
        <v/>
      </c>
      <c r="C98" s="14">
        <f>Table1346811345671012[[#This Row],[PMI]]-B97</f>
        <v/>
      </c>
    </row>
    <row r="99">
      <c r="A99" s="8" t="n">
        <v>43282</v>
      </c>
      <c r="B99" s="11">
        <f>IF(VLOOKUP(A99,'DB Country PMI'!$A:$W,MATCH($A$1,'DB Country PMI'!$A$1:$W$1,),)=0,#N/A,VLOOKUP(A99,'DB Country PMI'!$A:$W,MATCH($A$1,'DB Country PMI'!$A$1:$W$1,),))</f>
        <v/>
      </c>
      <c r="C99" s="14">
        <f>Table1346811345671012[[#This Row],[PMI]]-B98</f>
        <v/>
      </c>
    </row>
    <row r="100">
      <c r="A100" s="8" t="n">
        <v>43313</v>
      </c>
      <c r="B100" s="11">
        <f>IF(VLOOKUP(A100,'DB Country PMI'!$A:$W,MATCH($A$1,'DB Country PMI'!$A$1:$W$1,),)=0,#N/A,VLOOKUP(A100,'DB Country PMI'!$A:$W,MATCH($A$1,'DB Country PMI'!$A$1:$W$1,),))</f>
        <v/>
      </c>
      <c r="C100" s="14">
        <f>Table1346811345671012[[#This Row],[PMI]]-B99</f>
        <v/>
      </c>
    </row>
    <row r="101">
      <c r="A101" s="8" t="n">
        <v>43344</v>
      </c>
      <c r="B101" s="11">
        <f>IF(VLOOKUP(A101,'DB Country PMI'!$A:$W,MATCH($A$1,'DB Country PMI'!$A$1:$W$1,),)=0,#N/A,VLOOKUP(A101,'DB Country PMI'!$A:$W,MATCH($A$1,'DB Country PMI'!$A$1:$W$1,),))</f>
        <v/>
      </c>
      <c r="C101" s="14">
        <f>Table1346811345671012[[#This Row],[PMI]]-B100</f>
        <v/>
      </c>
    </row>
    <row r="102">
      <c r="A102" s="8" t="n">
        <v>43374</v>
      </c>
      <c r="B102" s="11">
        <f>IF(VLOOKUP(A102,'DB Country PMI'!$A:$W,MATCH($A$1,'DB Country PMI'!$A$1:$W$1,),)=0,#N/A,VLOOKUP(A102,'DB Country PMI'!$A:$W,MATCH($A$1,'DB Country PMI'!$A$1:$W$1,),))</f>
        <v/>
      </c>
      <c r="C102" s="14">
        <f>Table1346811345671012[[#This Row],[PMI]]-B101</f>
        <v/>
      </c>
    </row>
    <row r="103">
      <c r="A103" s="8" t="n">
        <v>43405</v>
      </c>
      <c r="B103" s="11">
        <f>IF(VLOOKUP(A103,'DB Country PMI'!$A:$W,MATCH($A$1,'DB Country PMI'!$A$1:$W$1,),)=0,#N/A,VLOOKUP(A103,'DB Country PMI'!$A:$W,MATCH($A$1,'DB Country PMI'!$A$1:$W$1,),))</f>
        <v/>
      </c>
      <c r="C103" s="14">
        <f>Table1346811345671012[[#This Row],[PMI]]-B102</f>
        <v/>
      </c>
    </row>
    <row r="104">
      <c r="A104" s="8" t="n">
        <v>43435</v>
      </c>
      <c r="B104" s="11">
        <f>IF(VLOOKUP(A104,'DB Country PMI'!$A:$W,MATCH($A$1,'DB Country PMI'!$A$1:$W$1,),)=0,#N/A,VLOOKUP(A104,'DB Country PMI'!$A:$W,MATCH($A$1,'DB Country PMI'!$A$1:$W$1,),))</f>
        <v/>
      </c>
      <c r="C104" s="14">
        <f>Table1346811345671012[[#This Row],[PMI]]-B103</f>
        <v/>
      </c>
    </row>
    <row r="105">
      <c r="A105" s="8" t="n">
        <v>43466</v>
      </c>
      <c r="B105" s="11">
        <f>IF(VLOOKUP(A105,'DB Country PMI'!$A:$W,MATCH($A$1,'DB Country PMI'!$A$1:$W$1,),)=0,#N/A,VLOOKUP(A105,'DB Country PMI'!$A:$W,MATCH($A$1,'DB Country PMI'!$A$1:$W$1,),))</f>
        <v/>
      </c>
      <c r="C105" s="14">
        <f>Table1346811345671012[[#This Row],[PMI]]-B104</f>
        <v/>
      </c>
    </row>
    <row r="106">
      <c r="A106" s="8" t="n">
        <v>43497</v>
      </c>
      <c r="B106" s="11">
        <f>IF(VLOOKUP(A106,'DB Country PMI'!$A:$W,MATCH($A$1,'DB Country PMI'!$A$1:$W$1,),)=0,#N/A,VLOOKUP(A106,'DB Country PMI'!$A:$W,MATCH($A$1,'DB Country PMI'!$A$1:$W$1,),))</f>
        <v/>
      </c>
      <c r="C106" s="14">
        <f>Table1346811345671012[[#This Row],[PMI]]-B105</f>
        <v/>
      </c>
    </row>
    <row r="107">
      <c r="A107" s="8" t="n">
        <v>43525</v>
      </c>
      <c r="B107" s="11">
        <f>IF(VLOOKUP(A107,'DB Country PMI'!$A:$W,MATCH($A$1,'DB Country PMI'!$A$1:$W$1,),)=0,#N/A,VLOOKUP(A107,'DB Country PMI'!$A:$W,MATCH($A$1,'DB Country PMI'!$A$1:$W$1,),))</f>
        <v/>
      </c>
      <c r="C107" s="14">
        <f>Table1346811345671012[[#This Row],[PMI]]-B106</f>
        <v/>
      </c>
    </row>
    <row r="108">
      <c r="A108" s="8" t="n">
        <v>43556</v>
      </c>
      <c r="B108" s="11">
        <f>IF(VLOOKUP(A108,'DB Country PMI'!$A:$W,MATCH($A$1,'DB Country PMI'!$A$1:$W$1,),)=0,#N/A,VLOOKUP(A108,'DB Country PMI'!$A:$W,MATCH($A$1,'DB Country PMI'!$A$1:$W$1,),))</f>
        <v/>
      </c>
      <c r="C108" s="14">
        <f>Table1346811345671012[[#This Row],[PMI]]-B107</f>
        <v/>
      </c>
    </row>
    <row r="109">
      <c r="A109" s="8" t="n">
        <v>43586</v>
      </c>
      <c r="B109" s="11">
        <f>IF(VLOOKUP(A109,'DB Country PMI'!$A:$W,MATCH($A$1,'DB Country PMI'!$A$1:$W$1,),)=0,#N/A,VLOOKUP(A109,'DB Country PMI'!$A:$W,MATCH($A$1,'DB Country PMI'!$A$1:$W$1,),))</f>
        <v/>
      </c>
      <c r="C109" s="14">
        <f>Table1346811345671012[[#This Row],[PMI]]-B108</f>
        <v/>
      </c>
    </row>
    <row r="110">
      <c r="A110" s="8" t="n">
        <v>43617</v>
      </c>
      <c r="B110" s="11">
        <f>IF(VLOOKUP(A110,'DB Country PMI'!$A:$W,MATCH($A$1,'DB Country PMI'!$A$1:$W$1,),)=0,#N/A,VLOOKUP(A110,'DB Country PMI'!$A:$W,MATCH($A$1,'DB Country PMI'!$A$1:$W$1,),))</f>
        <v/>
      </c>
      <c r="C110" s="14">
        <f>Table1346811345671012[[#This Row],[PMI]]-B109</f>
        <v/>
      </c>
    </row>
    <row r="111">
      <c r="A111" s="8" t="n">
        <v>43647</v>
      </c>
      <c r="B111" s="11">
        <f>IF(VLOOKUP(A111,'DB Country PMI'!$A:$W,MATCH($A$1,'DB Country PMI'!$A$1:$W$1,),)=0,#N/A,VLOOKUP(A111,'DB Country PMI'!$A:$W,MATCH($A$1,'DB Country PMI'!$A$1:$W$1,),))</f>
        <v/>
      </c>
      <c r="C111" s="14">
        <f>Table1346811345671012[[#This Row],[PMI]]-B110</f>
        <v/>
      </c>
    </row>
    <row r="112">
      <c r="A112" s="8" t="n">
        <v>43678</v>
      </c>
      <c r="B112" s="11">
        <f>IF(VLOOKUP(A112,'DB Country PMI'!$A:$W,MATCH($A$1,'DB Country PMI'!$A$1:$W$1,),)=0,#N/A,VLOOKUP(A112,'DB Country PMI'!$A:$W,MATCH($A$1,'DB Country PMI'!$A$1:$W$1,),))</f>
        <v/>
      </c>
      <c r="C112" s="14">
        <f>Table1346811345671012[[#This Row],[PMI]]-B111</f>
        <v/>
      </c>
    </row>
    <row r="113">
      <c r="A113" s="8" t="n">
        <v>43709</v>
      </c>
      <c r="B113" s="11">
        <f>IF(VLOOKUP(A113,'DB Country PMI'!$A:$W,MATCH($A$1,'DB Country PMI'!$A$1:$W$1,),)=0,#N/A,VLOOKUP(A113,'DB Country PMI'!$A:$W,MATCH($A$1,'DB Country PMI'!$A$1:$W$1,),))</f>
        <v/>
      </c>
      <c r="C113" s="14">
        <f>Table1346811345671012[[#This Row],[PMI]]-B112</f>
        <v/>
      </c>
    </row>
    <row r="114">
      <c r="A114" s="8" t="n">
        <v>43739</v>
      </c>
      <c r="B114" s="11">
        <f>IF(VLOOKUP(A114,'DB Country PMI'!$A:$W,MATCH($A$1,'DB Country PMI'!$A$1:$W$1,),)=0,#N/A,VLOOKUP(A114,'DB Country PMI'!$A:$W,MATCH($A$1,'DB Country PMI'!$A$1:$W$1,),))</f>
        <v/>
      </c>
      <c r="C114" s="14">
        <f>Table1346811345671012[[#This Row],[PMI]]-B113</f>
        <v/>
      </c>
    </row>
    <row r="115">
      <c r="A115" s="8" t="n">
        <v>43770</v>
      </c>
      <c r="B115" s="11">
        <f>IF(VLOOKUP(A115,'DB Country PMI'!$A:$W,MATCH($A$1,'DB Country PMI'!$A$1:$W$1,),)=0,#N/A,VLOOKUP(A115,'DB Country PMI'!$A:$W,MATCH($A$1,'DB Country PMI'!$A$1:$W$1,),))</f>
        <v/>
      </c>
      <c r="C115" s="14">
        <f>Table1346811345671012[[#This Row],[PMI]]-B114</f>
        <v/>
      </c>
    </row>
    <row r="116">
      <c r="A116" s="8" t="n">
        <v>43800</v>
      </c>
      <c r="B116" s="11">
        <f>IF(VLOOKUP(A116,'DB Country PMI'!$A:$W,MATCH($A$1,'DB Country PMI'!$A$1:$W$1,),)=0,#N/A,VLOOKUP(A116,'DB Country PMI'!$A:$W,MATCH($A$1,'DB Country PMI'!$A$1:$W$1,),))</f>
        <v/>
      </c>
      <c r="C116" s="14">
        <f>Table1346811345671012[[#This Row],[PMI]]-B115</f>
        <v/>
      </c>
    </row>
    <row r="117">
      <c r="A117" s="8" t="n">
        <v>43831</v>
      </c>
      <c r="B117" s="11">
        <f>IF(VLOOKUP(A117,'DB Country PMI'!$A:$W,MATCH($A$1,'DB Country PMI'!$A$1:$W$1,),)=0,#N/A,VLOOKUP(A117,'DB Country PMI'!$A:$W,MATCH($A$1,'DB Country PMI'!$A$1:$W$1,),))</f>
        <v/>
      </c>
      <c r="C117" s="14">
        <f>Table1346811345671012[[#This Row],[PMI]]-B116</f>
        <v/>
      </c>
    </row>
    <row r="118">
      <c r="A118" s="8" t="n">
        <v>43862</v>
      </c>
      <c r="B118" s="11">
        <f>IF(VLOOKUP(A118,'DB Country PMI'!$A:$W,MATCH($A$1,'DB Country PMI'!$A$1:$W$1,),)=0,#N/A,VLOOKUP(A118,'DB Country PMI'!$A:$W,MATCH($A$1,'DB Country PMI'!$A$1:$W$1,),))</f>
        <v/>
      </c>
      <c r="C118" s="14">
        <f>Table1346811345671012[[#This Row],[PMI]]-B117</f>
        <v/>
      </c>
    </row>
    <row r="119">
      <c r="A119" s="8" t="n">
        <v>43891</v>
      </c>
      <c r="B119" s="11">
        <f>IF(VLOOKUP(A119,'DB Country PMI'!$A:$W,MATCH($A$1,'DB Country PMI'!$A$1:$W$1,),)=0,#N/A,VLOOKUP(A119,'DB Country PMI'!$A:$W,MATCH($A$1,'DB Country PMI'!$A$1:$W$1,),))</f>
        <v/>
      </c>
      <c r="C119" s="14">
        <f>Table1346811345671012[[#This Row],[PMI]]-B118</f>
        <v/>
      </c>
    </row>
    <row r="120">
      <c r="A120" s="8" t="n">
        <v>43922</v>
      </c>
      <c r="B120" s="11">
        <f>IF(VLOOKUP(A120,'DB Country PMI'!$A:$W,MATCH($A$1,'DB Country PMI'!$A$1:$W$1,),)=0,#N/A,VLOOKUP(A120,'DB Country PMI'!$A:$W,MATCH($A$1,'DB Country PMI'!$A$1:$W$1,),))</f>
        <v/>
      </c>
      <c r="C120" s="14">
        <f>Table1346811345671012[[#This Row],[PMI]]-B119</f>
        <v/>
      </c>
    </row>
    <row r="121">
      <c r="A121" s="8" t="n">
        <v>43952</v>
      </c>
      <c r="B121" s="11">
        <f>IF(VLOOKUP(A121,'DB Country PMI'!$A:$W,MATCH($A$1,'DB Country PMI'!$A$1:$W$1,),)=0,#N/A,VLOOKUP(A121,'DB Country PMI'!$A:$W,MATCH($A$1,'DB Country PMI'!$A$1:$W$1,),))</f>
        <v/>
      </c>
      <c r="C121" s="14">
        <f>Table1346811345671012[[#This Row],[PMI]]-B120</f>
        <v/>
      </c>
    </row>
    <row r="122">
      <c r="A122" s="8" t="n">
        <v>43983</v>
      </c>
      <c r="B122" s="11">
        <f>IF(VLOOKUP(A122,'DB Country PMI'!$A:$W,MATCH($A$1,'DB Country PMI'!$A$1:$W$1,),)=0,#N/A,VLOOKUP(A122,'DB Country PMI'!$A:$W,MATCH($A$1,'DB Country PMI'!$A$1:$W$1,),))</f>
        <v/>
      </c>
      <c r="C122" s="14">
        <f>Table1346811345671012[[#This Row],[PMI]]-B121</f>
        <v/>
      </c>
    </row>
    <row r="123">
      <c r="A123" s="8" t="n">
        <v>44013</v>
      </c>
      <c r="B123" s="11">
        <f>IF(VLOOKUP(A123,'DB Country PMI'!$A:$W,MATCH($A$1,'DB Country PMI'!$A$1:$W$1,),)=0,#N/A,VLOOKUP(A123,'DB Country PMI'!$A:$W,MATCH($A$1,'DB Country PMI'!$A$1:$W$1,),))</f>
        <v/>
      </c>
      <c r="C123" s="14">
        <f>Table1346811345671012[[#This Row],[PMI]]-B122</f>
        <v/>
      </c>
    </row>
    <row r="124">
      <c r="A124" s="8" t="n">
        <v>44044</v>
      </c>
      <c r="B124" s="11">
        <f>IF(VLOOKUP(A124,'DB Country PMI'!$A:$W,MATCH($A$1,'DB Country PMI'!$A$1:$W$1,),)=0,#N/A,VLOOKUP(A124,'DB Country PMI'!$A:$W,MATCH($A$1,'DB Country PMI'!$A$1:$W$1,),))</f>
        <v/>
      </c>
      <c r="C124" s="14">
        <f>Table1346811345671012[[#This Row],[PMI]]-B123</f>
        <v/>
      </c>
    </row>
    <row r="125">
      <c r="A125" s="8" t="n">
        <v>44075</v>
      </c>
      <c r="B125" s="11">
        <f>IF(VLOOKUP(A125,'DB Country PMI'!$A:$W,MATCH($A$1,'DB Country PMI'!$A$1:$W$1,),)=0,#N/A,VLOOKUP(A125,'DB Country PMI'!$A:$W,MATCH($A$1,'DB Country PMI'!$A$1:$W$1,),))</f>
        <v/>
      </c>
      <c r="C125" s="14">
        <f>Table1346811345671012[[#This Row],[PMI]]-B124</f>
        <v/>
      </c>
    </row>
    <row r="126">
      <c r="A126" s="8" t="n">
        <v>44105</v>
      </c>
      <c r="B126" s="11">
        <f>IF(VLOOKUP(A126,'DB Country PMI'!$A:$W,MATCH($A$1,'DB Country PMI'!$A$1:$W$1,),)=0,#N/A,VLOOKUP(A126,'DB Country PMI'!$A:$W,MATCH($A$1,'DB Country PMI'!$A$1:$W$1,),))</f>
        <v/>
      </c>
      <c r="C126" s="14">
        <f>Table1346811345671012[[#This Row],[PMI]]-B125</f>
        <v/>
      </c>
    </row>
    <row r="127">
      <c r="A127" s="8" t="n">
        <v>44136</v>
      </c>
      <c r="B127" s="11">
        <f>IF(VLOOKUP(A127,'DB Country PMI'!$A:$W,MATCH($A$1,'DB Country PMI'!$A$1:$W$1,),)=0,#N/A,VLOOKUP(A127,'DB Country PMI'!$A:$W,MATCH($A$1,'DB Country PMI'!$A$1:$W$1,),))</f>
        <v/>
      </c>
      <c r="C127" s="14">
        <f>Table1346811345671012[[#This Row],[PMI]]-B126</f>
        <v/>
      </c>
    </row>
    <row r="128">
      <c r="A128" s="8" t="n">
        <v>44166</v>
      </c>
      <c r="B128" s="11">
        <f>IF(VLOOKUP(A128,'DB Country PMI'!$A:$W,MATCH($A$1,'DB Country PMI'!$A$1:$W$1,),)=0,#N/A,VLOOKUP(A128,'DB Country PMI'!$A:$W,MATCH($A$1,'DB Country PMI'!$A$1:$W$1,),))</f>
        <v/>
      </c>
      <c r="C128" s="14">
        <f>Table1346811345671012[[#This Row],[PMI]]-B127</f>
        <v/>
      </c>
    </row>
    <row r="129">
      <c r="A129" s="8" t="n">
        <v>44197</v>
      </c>
      <c r="B129" s="11">
        <f>IF(VLOOKUP(A129,'DB Country PMI'!$A:$W,MATCH($A$1,'DB Country PMI'!$A$1:$W$1,),)=0,#N/A,VLOOKUP(A129,'DB Country PMI'!$A:$W,MATCH($A$1,'DB Country PMI'!$A$1:$W$1,),))</f>
        <v/>
      </c>
      <c r="C129" s="14">
        <f>Table1346811345671012[[#This Row],[PMI]]-B128</f>
        <v/>
      </c>
    </row>
    <row r="130">
      <c r="A130" s="8" t="n">
        <v>44228</v>
      </c>
      <c r="B130" s="11">
        <f>IF(VLOOKUP(A130,'DB Country PMI'!$A:$W,MATCH($A$1,'DB Country PMI'!$A$1:$W$1,),)=0,#N/A,VLOOKUP(A130,'DB Country PMI'!$A:$W,MATCH($A$1,'DB Country PMI'!$A$1:$W$1,),))</f>
        <v/>
      </c>
      <c r="C130" s="14">
        <f>Table1346811345671012[[#This Row],[PMI]]-B129</f>
        <v/>
      </c>
    </row>
    <row r="131">
      <c r="A131" s="8" t="n">
        <v>44256</v>
      </c>
      <c r="B131" s="11">
        <f>IF(VLOOKUP(A131,'DB Country PMI'!$A:$W,MATCH($A$1,'DB Country PMI'!$A$1:$W$1,),)=0,#N/A,VLOOKUP(A131,'DB Country PMI'!$A:$W,MATCH($A$1,'DB Country PMI'!$A$1:$W$1,),))</f>
        <v/>
      </c>
      <c r="C131" s="14">
        <f>Table1346811345671012[[#This Row],[PMI]]-B130</f>
        <v/>
      </c>
    </row>
    <row r="132">
      <c r="A132" s="8" t="n">
        <v>44287</v>
      </c>
      <c r="B132" s="11">
        <f>IF(VLOOKUP(A132,'DB Country PMI'!$A:$W,MATCH($A$1,'DB Country PMI'!$A$1:$W$1,),)=0,#N/A,VLOOKUP(A132,'DB Country PMI'!$A:$W,MATCH($A$1,'DB Country PMI'!$A$1:$W$1,),))</f>
        <v/>
      </c>
      <c r="C132" s="14">
        <f>Table1346811345671012[[#This Row],[PMI]]-B131</f>
        <v/>
      </c>
    </row>
    <row r="133">
      <c r="A133" s="8" t="n">
        <v>44317</v>
      </c>
      <c r="B133" s="11">
        <f>IF(VLOOKUP(A133,'DB Country PMI'!$A:$W,MATCH($A$1,'DB Country PMI'!$A$1:$W$1,),)=0,#N/A,VLOOKUP(A133,'DB Country PMI'!$A:$W,MATCH($A$1,'DB Country PMI'!$A$1:$W$1,),))</f>
        <v/>
      </c>
      <c r="C133" s="14">
        <f>Table1346811345671012[[#This Row],[PMI]]-B132</f>
        <v/>
      </c>
    </row>
    <row r="134">
      <c r="A134" s="8" t="n">
        <v>44348</v>
      </c>
      <c r="B134" s="11">
        <f>IF(VLOOKUP(A134,'DB Country PMI'!$A:$W,MATCH($A$1,'DB Country PMI'!$A$1:$W$1,),)=0,#N/A,VLOOKUP(A134,'DB Country PMI'!$A:$W,MATCH($A$1,'DB Country PMI'!$A$1:$W$1,),))</f>
        <v/>
      </c>
      <c r="C134" s="14">
        <f>Table1346811345671012[[#This Row],[PMI]]-B133</f>
        <v/>
      </c>
    </row>
    <row r="135">
      <c r="A135" s="8" t="n">
        <v>44378</v>
      </c>
      <c r="B135" s="11">
        <f>IF(VLOOKUP(A135,'DB Country PMI'!$A:$W,MATCH($A$1,'DB Country PMI'!$A$1:$W$1,),)=0,#N/A,VLOOKUP(A135,'DB Country PMI'!$A:$W,MATCH($A$1,'DB Country PMI'!$A$1:$W$1,),))</f>
        <v/>
      </c>
      <c r="C135" s="14">
        <f>Table1346811345671012[[#This Row],[PMI]]-B134</f>
        <v/>
      </c>
    </row>
    <row r="136">
      <c r="A136" s="8" t="n">
        <v>44409</v>
      </c>
      <c r="B136" s="11">
        <f>IF(VLOOKUP(A136,'DB Country PMI'!$A:$W,MATCH($A$1,'DB Country PMI'!$A$1:$W$1,),)=0,#N/A,VLOOKUP(A136,'DB Country PMI'!$A:$W,MATCH($A$1,'DB Country PMI'!$A$1:$W$1,),))</f>
        <v/>
      </c>
      <c r="C136" s="14">
        <f>Table1346811345671012[[#This Row],[PMI]]-B135</f>
        <v/>
      </c>
    </row>
    <row r="137">
      <c r="A137" s="8" t="n">
        <v>44440</v>
      </c>
      <c r="B137" s="11">
        <f>IF(VLOOKUP(A137,'DB Country PMI'!$A:$W,MATCH($A$1,'DB Country PMI'!$A$1:$W$1,),)=0,#N/A,VLOOKUP(A137,'DB Country PMI'!$A:$W,MATCH($A$1,'DB Country PMI'!$A$1:$W$1,),))</f>
        <v/>
      </c>
      <c r="C137" s="14">
        <f>Table1346811345671012[[#This Row],[PMI]]-B136</f>
        <v/>
      </c>
    </row>
    <row r="138">
      <c r="A138" s="8" t="n">
        <v>44470</v>
      </c>
      <c r="B138" s="11">
        <f>IF(VLOOKUP(A138,'DB Country PMI'!$A:$W,MATCH($A$1,'DB Country PMI'!$A$1:$W$1,),)=0,#N/A,VLOOKUP(A138,'DB Country PMI'!$A:$W,MATCH($A$1,'DB Country PMI'!$A$1:$W$1,),))</f>
        <v/>
      </c>
      <c r="C138" s="14">
        <f>Table1346811345671012[[#This Row],[PMI]]-B137</f>
        <v/>
      </c>
    </row>
    <row r="139">
      <c r="A139" s="8" t="n">
        <v>44501</v>
      </c>
      <c r="B139" s="11">
        <f>IF(VLOOKUP(A139,'DB Country PMI'!$A:$W,MATCH($A$1,'DB Country PMI'!$A$1:$W$1,),)=0,#N/A,VLOOKUP(A139,'DB Country PMI'!$A:$W,MATCH($A$1,'DB Country PMI'!$A$1:$W$1,),))</f>
        <v/>
      </c>
      <c r="C139" s="14">
        <f>Table1346811345671012[[#This Row],[PMI]]-B138</f>
        <v/>
      </c>
    </row>
    <row r="140">
      <c r="A140" s="8" t="n">
        <v>44531</v>
      </c>
      <c r="B140" s="11">
        <f>IF(VLOOKUP(A140,'DB Country PMI'!$A:$W,MATCH($A$1,'DB Country PMI'!$A$1:$W$1,),)=0,#N/A,VLOOKUP(A140,'DB Country PMI'!$A:$W,MATCH($A$1,'DB Country PMI'!$A$1:$W$1,),))</f>
        <v/>
      </c>
      <c r="C140" s="14">
        <f>Table1346811345671012[[#This Row],[PMI]]-B139</f>
        <v/>
      </c>
    </row>
    <row r="141">
      <c r="A141" s="8" t="n">
        <v>44562</v>
      </c>
      <c r="B141" s="11">
        <f>IF(VLOOKUP(A141,'DB Country PMI'!$A:$W,MATCH($A$1,'DB Country PMI'!$A$1:$W$1,),)=0,#N/A,VLOOKUP(A141,'DB Country PMI'!$A:$W,MATCH($A$1,'DB Country PMI'!$A$1:$W$1,),))</f>
        <v/>
      </c>
      <c r="C141" s="14">
        <f>Table1346811345671012[[#This Row],[PMI]]-B140</f>
        <v/>
      </c>
    </row>
    <row r="142">
      <c r="A142" s="8" t="n">
        <v>44593</v>
      </c>
      <c r="B142" s="11">
        <f>IF(VLOOKUP(A142,'DB Country PMI'!$A:$W,MATCH($A$1,'DB Country PMI'!$A$1:$W$1,),)=0,#N/A,VLOOKUP(A142,'DB Country PMI'!$A:$W,MATCH($A$1,'DB Country PMI'!$A$1:$W$1,),))</f>
        <v/>
      </c>
      <c r="C142" s="14">
        <f>Table1346811345671012[[#This Row],[PMI]]-B141</f>
        <v/>
      </c>
    </row>
    <row r="143">
      <c r="A143" s="8" t="n">
        <v>44621</v>
      </c>
      <c r="B143" s="11">
        <f>IF(VLOOKUP(A143,'DB Country PMI'!$A:$W,MATCH($A$1,'DB Country PMI'!$A$1:$W$1,),)=0,#N/A,VLOOKUP(A143,'DB Country PMI'!$A:$W,MATCH($A$1,'DB Country PMI'!$A$1:$W$1,),))</f>
        <v/>
      </c>
      <c r="C143" s="14">
        <f>Table1346811345671012[[#This Row],[PMI]]-B142</f>
        <v/>
      </c>
    </row>
  </sheetData>
  <conditionalFormatting sqref="C7:C143">
    <cfRule type="colorScale" priority="1">
      <colorScale>
        <cfvo type="min"/>
        <cfvo type="percentile" val="50"/>
        <cfvo type="max"/>
        <color rgb="FFF8696B"/>
        <color rgb="FFFCFCFF"/>
        <color rgb="FF5A8AC6"/>
      </colorScale>
    </cfRule>
  </conditionalFormatting>
  <conditionalFormatting sqref="B6:B143">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7.xml><?xml version="1.0" encoding="utf-8"?>
<worksheet xmlns="http://schemas.openxmlformats.org/spreadsheetml/2006/main">
  <sheetPr>
    <outlinePr summaryBelow="1" summaryRight="1"/>
    <pageSetUpPr/>
  </sheetPr>
  <dimension ref="A1:J143"/>
  <sheetViews>
    <sheetView zoomScale="160" zoomScaleNormal="160" workbookViewId="0">
      <pane ySplit="5" topLeftCell="A117" activePane="bottomLeft" state="frozen"/>
      <selection pane="bottomLeft" activeCell="A138" sqref="A138:C143"/>
    </sheetView>
  </sheetViews>
  <sheetFormatPr baseColWidth="10" defaultColWidth="9.1640625" defaultRowHeight="15"/>
  <cols>
    <col width="13.5" customWidth="1" style="60" min="1" max="1"/>
    <col width="11.33203125" customWidth="1" style="60" min="2" max="2"/>
    <col width="9.1640625" customWidth="1" style="60" min="3" max="7"/>
    <col width="9.1640625" customWidth="1" style="60" min="8" max="16384"/>
  </cols>
  <sheetData>
    <row r="1">
      <c r="A1" s="60" t="inlineStr">
        <is>
          <t>Russia</t>
        </is>
      </c>
      <c r="J1" s="60" t="inlineStr">
        <is>
          <t xml:space="preserve"> Services PMI</t>
        </is>
      </c>
    </row>
    <row r="2">
      <c r="J2" s="60" t="inlineStr">
        <is>
          <t>Russia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Table134681134567101213[[#This Row],[PMI]]-B6</f>
        <v/>
      </c>
    </row>
    <row r="8">
      <c r="A8" s="8" t="n">
        <v>40513</v>
      </c>
      <c r="B8" s="11">
        <f>IF(VLOOKUP(A8,'DB Country PMI'!$A:$W,MATCH($A$1,'DB Country PMI'!$A$1:$W$1,),)=0,#N/A,VLOOKUP(A8,'DB Country PMI'!$A:$W,MATCH($A$1,'DB Country PMI'!$A$1:$W$1,),))</f>
        <v/>
      </c>
      <c r="C8" s="14">
        <f>Table134681134567101213[[#This Row],[PMI]]-B7</f>
        <v/>
      </c>
    </row>
    <row r="9">
      <c r="A9" s="8" t="n">
        <v>40544</v>
      </c>
      <c r="B9" s="11">
        <f>IF(VLOOKUP(A9,'DB Country PMI'!$A:$W,MATCH($A$1,'DB Country PMI'!$A$1:$W$1,),)=0,#N/A,VLOOKUP(A9,'DB Country PMI'!$A:$W,MATCH($A$1,'DB Country PMI'!$A$1:$W$1,),))</f>
        <v/>
      </c>
      <c r="C9" s="14">
        <f>Table134681134567101213[[#This Row],[PMI]]-B8</f>
        <v/>
      </c>
    </row>
    <row r="10">
      <c r="A10" s="8" t="n">
        <v>40575</v>
      </c>
      <c r="B10" s="11">
        <f>IF(VLOOKUP(A10,'DB Country PMI'!$A:$W,MATCH($A$1,'DB Country PMI'!$A$1:$W$1,),)=0,#N/A,VLOOKUP(A10,'DB Country PMI'!$A:$W,MATCH($A$1,'DB Country PMI'!$A$1:$W$1,),))</f>
        <v/>
      </c>
      <c r="C10" s="14">
        <f>Table134681134567101213[[#This Row],[PMI]]-B9</f>
        <v/>
      </c>
    </row>
    <row r="11">
      <c r="A11" s="8" t="n">
        <v>40603</v>
      </c>
      <c r="B11" s="11">
        <f>IF(VLOOKUP(A11,'DB Country PMI'!$A:$W,MATCH($A$1,'DB Country PMI'!$A$1:$W$1,),)=0,#N/A,VLOOKUP(A11,'DB Country PMI'!$A:$W,MATCH($A$1,'DB Country PMI'!$A$1:$W$1,),))</f>
        <v/>
      </c>
      <c r="C11" s="14">
        <f>Table134681134567101213[[#This Row],[PMI]]-B10</f>
        <v/>
      </c>
    </row>
    <row r="12">
      <c r="A12" s="8" t="n">
        <v>40634</v>
      </c>
      <c r="B12" s="11">
        <f>IF(VLOOKUP(A12,'DB Country PMI'!$A:$W,MATCH($A$1,'DB Country PMI'!$A$1:$W$1,),)=0,#N/A,VLOOKUP(A12,'DB Country PMI'!$A:$W,MATCH($A$1,'DB Country PMI'!$A$1:$W$1,),))</f>
        <v/>
      </c>
      <c r="C12" s="14">
        <f>Table134681134567101213[[#This Row],[PMI]]-B11</f>
        <v/>
      </c>
    </row>
    <row r="13">
      <c r="A13" s="8" t="n">
        <v>40664</v>
      </c>
      <c r="B13" s="11">
        <f>IF(VLOOKUP(A13,'DB Country PMI'!$A:$W,MATCH($A$1,'DB Country PMI'!$A$1:$W$1,),)=0,#N/A,VLOOKUP(A13,'DB Country PMI'!$A:$W,MATCH($A$1,'DB Country PMI'!$A$1:$W$1,),))</f>
        <v/>
      </c>
      <c r="C13" s="14">
        <f>Table134681134567101213[[#This Row],[PMI]]-B12</f>
        <v/>
      </c>
    </row>
    <row r="14">
      <c r="A14" s="8" t="n">
        <v>40695</v>
      </c>
      <c r="B14" s="11">
        <f>IF(VLOOKUP(A14,'DB Country PMI'!$A:$W,MATCH($A$1,'DB Country PMI'!$A$1:$W$1,),)=0,#N/A,VLOOKUP(A14,'DB Country PMI'!$A:$W,MATCH($A$1,'DB Country PMI'!$A$1:$W$1,),))</f>
        <v/>
      </c>
      <c r="C14" s="14">
        <f>Table134681134567101213[[#This Row],[PMI]]-B13</f>
        <v/>
      </c>
    </row>
    <row r="15">
      <c r="A15" s="8" t="n">
        <v>40725</v>
      </c>
      <c r="B15" s="11">
        <f>IF(VLOOKUP(A15,'DB Country PMI'!$A:$W,MATCH($A$1,'DB Country PMI'!$A$1:$W$1,),)=0,#N/A,VLOOKUP(A15,'DB Country PMI'!$A:$W,MATCH($A$1,'DB Country PMI'!$A$1:$W$1,),))</f>
        <v/>
      </c>
      <c r="C15" s="14">
        <f>Table134681134567101213[[#This Row],[PMI]]-B14</f>
        <v/>
      </c>
    </row>
    <row r="16">
      <c r="A16" s="8" t="n">
        <v>40756</v>
      </c>
      <c r="B16" s="11">
        <f>IF(VLOOKUP(A16,'DB Country PMI'!$A:$W,MATCH($A$1,'DB Country PMI'!$A$1:$W$1,),)=0,#N/A,VLOOKUP(A16,'DB Country PMI'!$A:$W,MATCH($A$1,'DB Country PMI'!$A$1:$W$1,),))</f>
        <v/>
      </c>
      <c r="C16" s="14">
        <f>Table134681134567101213[[#This Row],[PMI]]-B15</f>
        <v/>
      </c>
    </row>
    <row r="17">
      <c r="A17" s="8" t="n">
        <v>40787</v>
      </c>
      <c r="B17" s="11">
        <f>IF(VLOOKUP(A17,'DB Country PMI'!$A:$W,MATCH($A$1,'DB Country PMI'!$A$1:$W$1,),)=0,#N/A,VLOOKUP(A17,'DB Country PMI'!$A:$W,MATCH($A$1,'DB Country PMI'!$A$1:$W$1,),))</f>
        <v/>
      </c>
      <c r="C17" s="14">
        <f>Table134681134567101213[[#This Row],[PMI]]-B16</f>
        <v/>
      </c>
    </row>
    <row r="18">
      <c r="A18" s="8" t="n">
        <v>40817</v>
      </c>
      <c r="B18" s="11">
        <f>IF(VLOOKUP(A18,'DB Country PMI'!$A:$W,MATCH($A$1,'DB Country PMI'!$A$1:$W$1,),)=0,#N/A,VLOOKUP(A18,'DB Country PMI'!$A:$W,MATCH($A$1,'DB Country PMI'!$A$1:$W$1,),))</f>
        <v/>
      </c>
      <c r="C18" s="14">
        <f>Table134681134567101213[[#This Row],[PMI]]-B17</f>
        <v/>
      </c>
    </row>
    <row r="19">
      <c r="A19" s="8" t="n">
        <v>40848</v>
      </c>
      <c r="B19" s="11">
        <f>IF(VLOOKUP(A19,'DB Country PMI'!$A:$W,MATCH($A$1,'DB Country PMI'!$A$1:$W$1,),)=0,#N/A,VLOOKUP(A19,'DB Country PMI'!$A:$W,MATCH($A$1,'DB Country PMI'!$A$1:$W$1,),))</f>
        <v/>
      </c>
      <c r="C19" s="14">
        <f>Table134681134567101213[[#This Row],[PMI]]-B18</f>
        <v/>
      </c>
    </row>
    <row r="20">
      <c r="A20" s="8" t="n">
        <v>40878</v>
      </c>
      <c r="B20" s="11">
        <f>IF(VLOOKUP(A20,'DB Country PMI'!$A:$W,MATCH($A$1,'DB Country PMI'!$A$1:$W$1,),)=0,#N/A,VLOOKUP(A20,'DB Country PMI'!$A:$W,MATCH($A$1,'DB Country PMI'!$A$1:$W$1,),))</f>
        <v/>
      </c>
      <c r="C20" s="14">
        <f>Table134681134567101213[[#This Row],[PMI]]-B19</f>
        <v/>
      </c>
    </row>
    <row r="21">
      <c r="A21" s="8" t="n">
        <v>40909</v>
      </c>
      <c r="B21" s="11">
        <f>IF(VLOOKUP(A21,'DB Country PMI'!$A:$W,MATCH($A$1,'DB Country PMI'!$A$1:$W$1,),)=0,#N/A,VLOOKUP(A21,'DB Country PMI'!$A:$W,MATCH($A$1,'DB Country PMI'!$A$1:$W$1,),))</f>
        <v/>
      </c>
      <c r="C21" s="14">
        <f>Table134681134567101213[[#This Row],[PMI]]-B20</f>
        <v/>
      </c>
    </row>
    <row r="22">
      <c r="A22" s="8" t="n">
        <v>40940</v>
      </c>
      <c r="B22" s="11">
        <f>IF(VLOOKUP(A22,'DB Country PMI'!$A:$W,MATCH($A$1,'DB Country PMI'!$A$1:$W$1,),)=0,#N/A,VLOOKUP(A22,'DB Country PMI'!$A:$W,MATCH($A$1,'DB Country PMI'!$A$1:$W$1,),))</f>
        <v/>
      </c>
      <c r="C22" s="14">
        <f>Table134681134567101213[[#This Row],[PMI]]-B21</f>
        <v/>
      </c>
    </row>
    <row r="23">
      <c r="A23" s="8" t="n">
        <v>40969</v>
      </c>
      <c r="B23" s="11">
        <f>IF(VLOOKUP(A23,'DB Country PMI'!$A:$W,MATCH($A$1,'DB Country PMI'!$A$1:$W$1,),)=0,#N/A,VLOOKUP(A23,'DB Country PMI'!$A:$W,MATCH($A$1,'DB Country PMI'!$A$1:$W$1,),))</f>
        <v/>
      </c>
      <c r="C23" s="14">
        <f>Table134681134567101213[[#This Row],[PMI]]-B22</f>
        <v/>
      </c>
    </row>
    <row r="24">
      <c r="A24" s="8" t="n">
        <v>41000</v>
      </c>
      <c r="B24" s="11">
        <f>IF(VLOOKUP(A24,'DB Country PMI'!$A:$W,MATCH($A$1,'DB Country PMI'!$A$1:$W$1,),)=0,#N/A,VLOOKUP(A24,'DB Country PMI'!$A:$W,MATCH($A$1,'DB Country PMI'!$A$1:$W$1,),))</f>
        <v/>
      </c>
      <c r="C24" s="14">
        <f>Table134681134567101213[[#This Row],[PMI]]-B23</f>
        <v/>
      </c>
    </row>
    <row r="25">
      <c r="A25" s="8" t="n">
        <v>41030</v>
      </c>
      <c r="B25" s="11">
        <f>IF(VLOOKUP(A25,'DB Country PMI'!$A:$W,MATCH($A$1,'DB Country PMI'!$A$1:$W$1,),)=0,#N/A,VLOOKUP(A25,'DB Country PMI'!$A:$W,MATCH($A$1,'DB Country PMI'!$A$1:$W$1,),))</f>
        <v/>
      </c>
      <c r="C25" s="14">
        <f>Table134681134567101213[[#This Row],[PMI]]-B24</f>
        <v/>
      </c>
    </row>
    <row r="26">
      <c r="A26" s="8" t="n">
        <v>41061</v>
      </c>
      <c r="B26" s="11">
        <f>IF(VLOOKUP(A26,'DB Country PMI'!$A:$W,MATCH($A$1,'DB Country PMI'!$A$1:$W$1,),)=0,#N/A,VLOOKUP(A26,'DB Country PMI'!$A:$W,MATCH($A$1,'DB Country PMI'!$A$1:$W$1,),))</f>
        <v/>
      </c>
      <c r="C26" s="14">
        <f>Table134681134567101213[[#This Row],[PMI]]-B25</f>
        <v/>
      </c>
    </row>
    <row r="27">
      <c r="A27" s="8" t="n">
        <v>41091</v>
      </c>
      <c r="B27" s="11">
        <f>IF(VLOOKUP(A27,'DB Country PMI'!$A:$W,MATCH($A$1,'DB Country PMI'!$A$1:$W$1,),)=0,#N/A,VLOOKUP(A27,'DB Country PMI'!$A:$W,MATCH($A$1,'DB Country PMI'!$A$1:$W$1,),))</f>
        <v/>
      </c>
      <c r="C27" s="14">
        <f>Table134681134567101213[[#This Row],[PMI]]-B26</f>
        <v/>
      </c>
    </row>
    <row r="28">
      <c r="A28" s="8" t="n">
        <v>41122</v>
      </c>
      <c r="B28" s="11">
        <f>IF(VLOOKUP(A28,'DB Country PMI'!$A:$W,MATCH($A$1,'DB Country PMI'!$A$1:$W$1,),)=0,#N/A,VLOOKUP(A28,'DB Country PMI'!$A:$W,MATCH($A$1,'DB Country PMI'!$A$1:$W$1,),))</f>
        <v/>
      </c>
      <c r="C28" s="14">
        <f>Table134681134567101213[[#This Row],[PMI]]-B27</f>
        <v/>
      </c>
    </row>
    <row r="29">
      <c r="A29" s="8" t="n">
        <v>41153</v>
      </c>
      <c r="B29" s="11">
        <f>IF(VLOOKUP(A29,'DB Country PMI'!$A:$W,MATCH($A$1,'DB Country PMI'!$A$1:$W$1,),)=0,#N/A,VLOOKUP(A29,'DB Country PMI'!$A:$W,MATCH($A$1,'DB Country PMI'!$A$1:$W$1,),))</f>
        <v/>
      </c>
      <c r="C29" s="14">
        <f>Table134681134567101213[[#This Row],[PMI]]-B28</f>
        <v/>
      </c>
    </row>
    <row r="30">
      <c r="A30" s="8" t="n">
        <v>41183</v>
      </c>
      <c r="B30" s="11">
        <f>IF(VLOOKUP(A30,'DB Country PMI'!$A:$W,MATCH($A$1,'DB Country PMI'!$A$1:$W$1,),)=0,#N/A,VLOOKUP(A30,'DB Country PMI'!$A:$W,MATCH($A$1,'DB Country PMI'!$A$1:$W$1,),))</f>
        <v/>
      </c>
      <c r="C30" s="14">
        <f>Table134681134567101213[[#This Row],[PMI]]-B29</f>
        <v/>
      </c>
    </row>
    <row r="31">
      <c r="A31" s="8" t="n">
        <v>41214</v>
      </c>
      <c r="B31" s="11">
        <f>IF(VLOOKUP(A31,'DB Country PMI'!$A:$W,MATCH($A$1,'DB Country PMI'!$A$1:$W$1,),)=0,#N/A,VLOOKUP(A31,'DB Country PMI'!$A:$W,MATCH($A$1,'DB Country PMI'!$A$1:$W$1,),))</f>
        <v/>
      </c>
      <c r="C31" s="14">
        <f>Table134681134567101213[[#This Row],[PMI]]-B30</f>
        <v/>
      </c>
    </row>
    <row r="32">
      <c r="A32" s="8" t="n">
        <v>41244</v>
      </c>
      <c r="B32" s="11">
        <f>IF(VLOOKUP(A32,'DB Country PMI'!$A:$W,MATCH($A$1,'DB Country PMI'!$A$1:$W$1,),)=0,#N/A,VLOOKUP(A32,'DB Country PMI'!$A:$W,MATCH($A$1,'DB Country PMI'!$A$1:$W$1,),))</f>
        <v/>
      </c>
      <c r="C32" s="14">
        <f>Table134681134567101213[[#This Row],[PMI]]-B31</f>
        <v/>
      </c>
    </row>
    <row r="33">
      <c r="A33" s="8" t="n">
        <v>41275</v>
      </c>
      <c r="B33" s="11">
        <f>IF(VLOOKUP(A33,'DB Country PMI'!$A:$W,MATCH($A$1,'DB Country PMI'!$A$1:$W$1,),)=0,#N/A,VLOOKUP(A33,'DB Country PMI'!$A:$W,MATCH($A$1,'DB Country PMI'!$A$1:$W$1,),))</f>
        <v/>
      </c>
      <c r="C33" s="14">
        <f>Table134681134567101213[[#This Row],[PMI]]-B32</f>
        <v/>
      </c>
    </row>
    <row r="34">
      <c r="A34" s="8" t="n">
        <v>41306</v>
      </c>
      <c r="B34" s="11">
        <f>IF(VLOOKUP(A34,'DB Country PMI'!$A:$W,MATCH($A$1,'DB Country PMI'!$A$1:$W$1,),)=0,#N/A,VLOOKUP(A34,'DB Country PMI'!$A:$W,MATCH($A$1,'DB Country PMI'!$A$1:$W$1,),))</f>
        <v/>
      </c>
      <c r="C34" s="14">
        <f>Table134681134567101213[[#This Row],[PMI]]-B33</f>
        <v/>
      </c>
    </row>
    <row r="35">
      <c r="A35" s="8" t="n">
        <v>41334</v>
      </c>
      <c r="B35" s="11">
        <f>IF(VLOOKUP(A35,'DB Country PMI'!$A:$W,MATCH($A$1,'DB Country PMI'!$A$1:$W$1,),)=0,#N/A,VLOOKUP(A35,'DB Country PMI'!$A:$W,MATCH($A$1,'DB Country PMI'!$A$1:$W$1,),))</f>
        <v/>
      </c>
      <c r="C35" s="14">
        <f>Table134681134567101213[[#This Row],[PMI]]-B34</f>
        <v/>
      </c>
    </row>
    <row r="36">
      <c r="A36" s="8" t="n">
        <v>41365</v>
      </c>
      <c r="B36" s="11">
        <f>IF(VLOOKUP(A36,'DB Country PMI'!$A:$W,MATCH($A$1,'DB Country PMI'!$A$1:$W$1,),)=0,#N/A,VLOOKUP(A36,'DB Country PMI'!$A:$W,MATCH($A$1,'DB Country PMI'!$A$1:$W$1,),))</f>
        <v/>
      </c>
      <c r="C36" s="14">
        <f>Table134681134567101213[[#This Row],[PMI]]-B35</f>
        <v/>
      </c>
    </row>
    <row r="37">
      <c r="A37" s="8" t="n">
        <v>41395</v>
      </c>
      <c r="B37" s="11">
        <f>IF(VLOOKUP(A37,'DB Country PMI'!$A:$W,MATCH($A$1,'DB Country PMI'!$A$1:$W$1,),)=0,#N/A,VLOOKUP(A37,'DB Country PMI'!$A:$W,MATCH($A$1,'DB Country PMI'!$A$1:$W$1,),))</f>
        <v/>
      </c>
      <c r="C37" s="14">
        <f>Table134681134567101213[[#This Row],[PMI]]-B36</f>
        <v/>
      </c>
    </row>
    <row r="38">
      <c r="A38" s="8" t="n">
        <v>41426</v>
      </c>
      <c r="B38" s="11">
        <f>IF(VLOOKUP(A38,'DB Country PMI'!$A:$W,MATCH($A$1,'DB Country PMI'!$A$1:$W$1,),)=0,#N/A,VLOOKUP(A38,'DB Country PMI'!$A:$W,MATCH($A$1,'DB Country PMI'!$A$1:$W$1,),))</f>
        <v/>
      </c>
      <c r="C38" s="14">
        <f>Table134681134567101213[[#This Row],[PMI]]-B37</f>
        <v/>
      </c>
    </row>
    <row r="39">
      <c r="A39" s="8" t="n">
        <v>41456</v>
      </c>
      <c r="B39" s="11">
        <f>IF(VLOOKUP(A39,'DB Country PMI'!$A:$W,MATCH($A$1,'DB Country PMI'!$A$1:$W$1,),)=0,#N/A,VLOOKUP(A39,'DB Country PMI'!$A:$W,MATCH($A$1,'DB Country PMI'!$A$1:$W$1,),))</f>
        <v/>
      </c>
      <c r="C39" s="14">
        <f>Table134681134567101213[[#This Row],[PMI]]-B38</f>
        <v/>
      </c>
    </row>
    <row r="40">
      <c r="A40" s="8" t="n">
        <v>41487</v>
      </c>
      <c r="B40" s="11">
        <f>IF(VLOOKUP(A40,'DB Country PMI'!$A:$W,MATCH($A$1,'DB Country PMI'!$A$1:$W$1,),)=0,#N/A,VLOOKUP(A40,'DB Country PMI'!$A:$W,MATCH($A$1,'DB Country PMI'!$A$1:$W$1,),))</f>
        <v/>
      </c>
      <c r="C40" s="14">
        <f>Table134681134567101213[[#This Row],[PMI]]-B39</f>
        <v/>
      </c>
    </row>
    <row r="41">
      <c r="A41" s="8" t="n">
        <v>41518</v>
      </c>
      <c r="B41" s="11">
        <f>IF(VLOOKUP(A41,'DB Country PMI'!$A:$W,MATCH($A$1,'DB Country PMI'!$A$1:$W$1,),)=0,#N/A,VLOOKUP(A41,'DB Country PMI'!$A:$W,MATCH($A$1,'DB Country PMI'!$A$1:$W$1,),))</f>
        <v/>
      </c>
      <c r="C41" s="14">
        <f>Table134681134567101213[[#This Row],[PMI]]-B40</f>
        <v/>
      </c>
    </row>
    <row r="42">
      <c r="A42" s="8" t="n">
        <v>41548</v>
      </c>
      <c r="B42" s="11">
        <f>IF(VLOOKUP(A42,'DB Country PMI'!$A:$W,MATCH($A$1,'DB Country PMI'!$A$1:$W$1,),)=0,#N/A,VLOOKUP(A42,'DB Country PMI'!$A:$W,MATCH($A$1,'DB Country PMI'!$A$1:$W$1,),))</f>
        <v/>
      </c>
      <c r="C42" s="14">
        <f>Table134681134567101213[[#This Row],[PMI]]-B41</f>
        <v/>
      </c>
    </row>
    <row r="43">
      <c r="A43" s="8" t="n">
        <v>41579</v>
      </c>
      <c r="B43" s="11">
        <f>IF(VLOOKUP(A43,'DB Country PMI'!$A:$W,MATCH($A$1,'DB Country PMI'!$A$1:$W$1,),)=0,#N/A,VLOOKUP(A43,'DB Country PMI'!$A:$W,MATCH($A$1,'DB Country PMI'!$A$1:$W$1,),))</f>
        <v/>
      </c>
      <c r="C43" s="14">
        <f>Table134681134567101213[[#This Row],[PMI]]-B42</f>
        <v/>
      </c>
    </row>
    <row r="44">
      <c r="A44" s="8" t="n">
        <v>41609</v>
      </c>
      <c r="B44" s="11">
        <f>IF(VLOOKUP(A44,'DB Country PMI'!$A:$W,MATCH($A$1,'DB Country PMI'!$A$1:$W$1,),)=0,#N/A,VLOOKUP(A44,'DB Country PMI'!$A:$W,MATCH($A$1,'DB Country PMI'!$A$1:$W$1,),))</f>
        <v/>
      </c>
      <c r="C44" s="14">
        <f>Table134681134567101213[[#This Row],[PMI]]-B43</f>
        <v/>
      </c>
    </row>
    <row r="45">
      <c r="A45" s="8" t="n">
        <v>41640</v>
      </c>
      <c r="B45" s="11">
        <f>IF(VLOOKUP(A45,'DB Country PMI'!$A:$W,MATCH($A$1,'DB Country PMI'!$A$1:$W$1,),)=0,#N/A,VLOOKUP(A45,'DB Country PMI'!$A:$W,MATCH($A$1,'DB Country PMI'!$A$1:$W$1,),))</f>
        <v/>
      </c>
      <c r="C45" s="14">
        <f>Table134681134567101213[[#This Row],[PMI]]-B44</f>
        <v/>
      </c>
    </row>
    <row r="46">
      <c r="A46" s="8" t="n">
        <v>41671</v>
      </c>
      <c r="B46" s="11">
        <f>IF(VLOOKUP(A46,'DB Country PMI'!$A:$W,MATCH($A$1,'DB Country PMI'!$A$1:$W$1,),)=0,#N/A,VLOOKUP(A46,'DB Country PMI'!$A:$W,MATCH($A$1,'DB Country PMI'!$A$1:$W$1,),))</f>
        <v/>
      </c>
      <c r="C46" s="14">
        <f>Table134681134567101213[[#This Row],[PMI]]-B45</f>
        <v/>
      </c>
    </row>
    <row r="47">
      <c r="A47" s="8" t="n">
        <v>41699</v>
      </c>
      <c r="B47" s="11">
        <f>IF(VLOOKUP(A47,'DB Country PMI'!$A:$W,MATCH($A$1,'DB Country PMI'!$A$1:$W$1,),)=0,#N/A,VLOOKUP(A47,'DB Country PMI'!$A:$W,MATCH($A$1,'DB Country PMI'!$A$1:$W$1,),))</f>
        <v/>
      </c>
      <c r="C47" s="14">
        <f>Table134681134567101213[[#This Row],[PMI]]-B46</f>
        <v/>
      </c>
    </row>
    <row r="48">
      <c r="A48" s="8" t="n">
        <v>41730</v>
      </c>
      <c r="B48" s="11">
        <f>IF(VLOOKUP(A48,'DB Country PMI'!$A:$W,MATCH($A$1,'DB Country PMI'!$A$1:$W$1,),)=0,#N/A,VLOOKUP(A48,'DB Country PMI'!$A:$W,MATCH($A$1,'DB Country PMI'!$A$1:$W$1,),))</f>
        <v/>
      </c>
      <c r="C48" s="14">
        <f>Table134681134567101213[[#This Row],[PMI]]-B47</f>
        <v/>
      </c>
    </row>
    <row r="49">
      <c r="A49" s="8" t="n">
        <v>41760</v>
      </c>
      <c r="B49" s="11">
        <f>IF(VLOOKUP(A49,'DB Country PMI'!$A:$W,MATCH($A$1,'DB Country PMI'!$A$1:$W$1,),)=0,#N/A,VLOOKUP(A49,'DB Country PMI'!$A:$W,MATCH($A$1,'DB Country PMI'!$A$1:$W$1,),))</f>
        <v/>
      </c>
      <c r="C49" s="14">
        <f>Table134681134567101213[[#This Row],[PMI]]-B48</f>
        <v/>
      </c>
    </row>
    <row r="50">
      <c r="A50" s="8" t="n">
        <v>41791</v>
      </c>
      <c r="B50" s="11">
        <f>IF(VLOOKUP(A50,'DB Country PMI'!$A:$W,MATCH($A$1,'DB Country PMI'!$A$1:$W$1,),)=0,#N/A,VLOOKUP(A50,'DB Country PMI'!$A:$W,MATCH($A$1,'DB Country PMI'!$A$1:$W$1,),))</f>
        <v/>
      </c>
      <c r="C50" s="14">
        <f>Table134681134567101213[[#This Row],[PMI]]-B49</f>
        <v/>
      </c>
    </row>
    <row r="51">
      <c r="A51" s="8" t="n">
        <v>41821</v>
      </c>
      <c r="B51" s="11">
        <f>IF(VLOOKUP(A51,'DB Country PMI'!$A:$W,MATCH($A$1,'DB Country PMI'!$A$1:$W$1,),)=0,#N/A,VLOOKUP(A51,'DB Country PMI'!$A:$W,MATCH($A$1,'DB Country PMI'!$A$1:$W$1,),))</f>
        <v/>
      </c>
      <c r="C51" s="14">
        <f>Table134681134567101213[[#This Row],[PMI]]-B50</f>
        <v/>
      </c>
    </row>
    <row r="52">
      <c r="A52" s="8" t="n">
        <v>41852</v>
      </c>
      <c r="B52" s="11">
        <f>IF(VLOOKUP(A52,'DB Country PMI'!$A:$W,MATCH($A$1,'DB Country PMI'!$A$1:$W$1,),)=0,#N/A,VLOOKUP(A52,'DB Country PMI'!$A:$W,MATCH($A$1,'DB Country PMI'!$A$1:$W$1,),))</f>
        <v/>
      </c>
      <c r="C52" s="14">
        <f>Table134681134567101213[[#This Row],[PMI]]-B51</f>
        <v/>
      </c>
    </row>
    <row r="53">
      <c r="A53" s="8" t="n">
        <v>41883</v>
      </c>
      <c r="B53" s="11">
        <f>IF(VLOOKUP(A53,'DB Country PMI'!$A:$W,MATCH($A$1,'DB Country PMI'!$A$1:$W$1,),)=0,#N/A,VLOOKUP(A53,'DB Country PMI'!$A:$W,MATCH($A$1,'DB Country PMI'!$A$1:$W$1,),))</f>
        <v/>
      </c>
      <c r="C53" s="14">
        <f>Table134681134567101213[[#This Row],[PMI]]-B52</f>
        <v/>
      </c>
    </row>
    <row r="54">
      <c r="A54" s="8" t="n">
        <v>41913</v>
      </c>
      <c r="B54" s="11">
        <f>IF(VLOOKUP(A54,'DB Country PMI'!$A:$W,MATCH($A$1,'DB Country PMI'!$A$1:$W$1,),)=0,#N/A,VLOOKUP(A54,'DB Country PMI'!$A:$W,MATCH($A$1,'DB Country PMI'!$A$1:$W$1,),))</f>
        <v/>
      </c>
      <c r="C54" s="14">
        <f>Table134681134567101213[[#This Row],[PMI]]-B53</f>
        <v/>
      </c>
    </row>
    <row r="55">
      <c r="A55" s="8" t="n">
        <v>41944</v>
      </c>
      <c r="B55" s="11">
        <f>IF(VLOOKUP(A55,'DB Country PMI'!$A:$W,MATCH($A$1,'DB Country PMI'!$A$1:$W$1,),)=0,#N/A,VLOOKUP(A55,'DB Country PMI'!$A:$W,MATCH($A$1,'DB Country PMI'!$A$1:$W$1,),))</f>
        <v/>
      </c>
      <c r="C55" s="14">
        <f>Table134681134567101213[[#This Row],[PMI]]-B54</f>
        <v/>
      </c>
    </row>
    <row r="56">
      <c r="A56" s="8" t="n">
        <v>41974</v>
      </c>
      <c r="B56" s="11">
        <f>IF(VLOOKUP(A56,'DB Country PMI'!$A:$W,MATCH($A$1,'DB Country PMI'!$A$1:$W$1,),)=0,#N/A,VLOOKUP(A56,'DB Country PMI'!$A:$W,MATCH($A$1,'DB Country PMI'!$A$1:$W$1,),))</f>
        <v/>
      </c>
      <c r="C56" s="14">
        <f>Table134681134567101213[[#This Row],[PMI]]-B55</f>
        <v/>
      </c>
    </row>
    <row r="57">
      <c r="A57" s="8" t="n">
        <v>42005</v>
      </c>
      <c r="B57" s="11">
        <f>IF(VLOOKUP(A57,'DB Country PMI'!$A:$W,MATCH($A$1,'DB Country PMI'!$A$1:$W$1,),)=0,#N/A,VLOOKUP(A57,'DB Country PMI'!$A:$W,MATCH($A$1,'DB Country PMI'!$A$1:$W$1,),))</f>
        <v/>
      </c>
      <c r="C57" s="14">
        <f>Table134681134567101213[[#This Row],[PMI]]-B56</f>
        <v/>
      </c>
    </row>
    <row r="58">
      <c r="A58" s="8" t="n">
        <v>42036</v>
      </c>
      <c r="B58" s="11">
        <f>IF(VLOOKUP(A58,'DB Country PMI'!$A:$W,MATCH($A$1,'DB Country PMI'!$A$1:$W$1,),)=0,#N/A,VLOOKUP(A58,'DB Country PMI'!$A:$W,MATCH($A$1,'DB Country PMI'!$A$1:$W$1,),))</f>
        <v/>
      </c>
      <c r="C58" s="14">
        <f>Table134681134567101213[[#This Row],[PMI]]-B57</f>
        <v/>
      </c>
    </row>
    <row r="59">
      <c r="A59" s="8" t="n">
        <v>42064</v>
      </c>
      <c r="B59" s="11">
        <f>IF(VLOOKUP(A59,'DB Country PMI'!$A:$W,MATCH($A$1,'DB Country PMI'!$A$1:$W$1,),)=0,#N/A,VLOOKUP(A59,'DB Country PMI'!$A:$W,MATCH($A$1,'DB Country PMI'!$A$1:$W$1,),))</f>
        <v/>
      </c>
      <c r="C59" s="14">
        <f>Table134681134567101213[[#This Row],[PMI]]-B58</f>
        <v/>
      </c>
    </row>
    <row r="60">
      <c r="A60" s="8" t="n">
        <v>42095</v>
      </c>
      <c r="B60" s="11">
        <f>IF(VLOOKUP(A60,'DB Country PMI'!$A:$W,MATCH($A$1,'DB Country PMI'!$A$1:$W$1,),)=0,#N/A,VLOOKUP(A60,'DB Country PMI'!$A:$W,MATCH($A$1,'DB Country PMI'!$A$1:$W$1,),))</f>
        <v/>
      </c>
      <c r="C60" s="14">
        <f>Table134681134567101213[[#This Row],[PMI]]-B59</f>
        <v/>
      </c>
    </row>
    <row r="61">
      <c r="A61" s="8" t="n">
        <v>42125</v>
      </c>
      <c r="B61" s="11">
        <f>IF(VLOOKUP(A61,'DB Country PMI'!$A:$W,MATCH($A$1,'DB Country PMI'!$A$1:$W$1,),)=0,#N/A,VLOOKUP(A61,'DB Country PMI'!$A:$W,MATCH($A$1,'DB Country PMI'!$A$1:$W$1,),))</f>
        <v/>
      </c>
      <c r="C61" s="14">
        <f>Table134681134567101213[[#This Row],[PMI]]-B60</f>
        <v/>
      </c>
    </row>
    <row r="62">
      <c r="A62" s="8" t="n">
        <v>42156</v>
      </c>
      <c r="B62" s="11">
        <f>IF(VLOOKUP(A62,'DB Country PMI'!$A:$W,MATCH($A$1,'DB Country PMI'!$A$1:$W$1,),)=0,#N/A,VLOOKUP(A62,'DB Country PMI'!$A:$W,MATCH($A$1,'DB Country PMI'!$A$1:$W$1,),))</f>
        <v/>
      </c>
      <c r="C62" s="14">
        <f>Table134681134567101213[[#This Row],[PMI]]-B61</f>
        <v/>
      </c>
    </row>
    <row r="63">
      <c r="A63" s="8" t="n">
        <v>42186</v>
      </c>
      <c r="B63" s="11">
        <f>IF(VLOOKUP(A63,'DB Country PMI'!$A:$W,MATCH($A$1,'DB Country PMI'!$A$1:$W$1,),)=0,#N/A,VLOOKUP(A63,'DB Country PMI'!$A:$W,MATCH($A$1,'DB Country PMI'!$A$1:$W$1,),))</f>
        <v/>
      </c>
      <c r="C63" s="14">
        <f>Table134681134567101213[[#This Row],[PMI]]-B62</f>
        <v/>
      </c>
    </row>
    <row r="64">
      <c r="A64" s="8" t="n">
        <v>42217</v>
      </c>
      <c r="B64" s="11">
        <f>IF(VLOOKUP(A64,'DB Country PMI'!$A:$W,MATCH($A$1,'DB Country PMI'!$A$1:$W$1,),)=0,#N/A,VLOOKUP(A64,'DB Country PMI'!$A:$W,MATCH($A$1,'DB Country PMI'!$A$1:$W$1,),))</f>
        <v/>
      </c>
      <c r="C64" s="14">
        <f>Table134681134567101213[[#This Row],[PMI]]-B63</f>
        <v/>
      </c>
    </row>
    <row r="65">
      <c r="A65" s="8" t="n">
        <v>42248</v>
      </c>
      <c r="B65" s="11">
        <f>IF(VLOOKUP(A65,'DB Country PMI'!$A:$W,MATCH($A$1,'DB Country PMI'!$A$1:$W$1,),)=0,#N/A,VLOOKUP(A65,'DB Country PMI'!$A:$W,MATCH($A$1,'DB Country PMI'!$A$1:$W$1,),))</f>
        <v/>
      </c>
      <c r="C65" s="14">
        <f>Table134681134567101213[[#This Row],[PMI]]-B64</f>
        <v/>
      </c>
    </row>
    <row r="66">
      <c r="A66" s="8" t="n">
        <v>42278</v>
      </c>
      <c r="B66" s="11">
        <f>IF(VLOOKUP(A66,'DB Country PMI'!$A:$W,MATCH($A$1,'DB Country PMI'!$A$1:$W$1,),)=0,#N/A,VLOOKUP(A66,'DB Country PMI'!$A:$W,MATCH($A$1,'DB Country PMI'!$A$1:$W$1,),))</f>
        <v/>
      </c>
      <c r="C66" s="14">
        <f>Table134681134567101213[[#This Row],[PMI]]-B65</f>
        <v/>
      </c>
    </row>
    <row r="67">
      <c r="A67" s="8" t="n">
        <v>42309</v>
      </c>
      <c r="B67" s="11">
        <f>IF(VLOOKUP(A67,'DB Country PMI'!$A:$W,MATCH($A$1,'DB Country PMI'!$A$1:$W$1,),)=0,#N/A,VLOOKUP(A67,'DB Country PMI'!$A:$W,MATCH($A$1,'DB Country PMI'!$A$1:$W$1,),))</f>
        <v/>
      </c>
      <c r="C67" s="14">
        <f>Table134681134567101213[[#This Row],[PMI]]-B66</f>
        <v/>
      </c>
    </row>
    <row r="68">
      <c r="A68" s="8" t="n">
        <v>42339</v>
      </c>
      <c r="B68" s="11">
        <f>IF(VLOOKUP(A68,'DB Country PMI'!$A:$W,MATCH($A$1,'DB Country PMI'!$A$1:$W$1,),)=0,#N/A,VLOOKUP(A68,'DB Country PMI'!$A:$W,MATCH($A$1,'DB Country PMI'!$A$1:$W$1,),))</f>
        <v/>
      </c>
      <c r="C68" s="14">
        <f>Table134681134567101213[[#This Row],[PMI]]-B67</f>
        <v/>
      </c>
    </row>
    <row r="69">
      <c r="A69" s="8" t="n">
        <v>42370</v>
      </c>
      <c r="B69" s="11">
        <f>IF(VLOOKUP(A69,'DB Country PMI'!$A:$W,MATCH($A$1,'DB Country PMI'!$A$1:$W$1,),)=0,#N/A,VLOOKUP(A69,'DB Country PMI'!$A:$W,MATCH($A$1,'DB Country PMI'!$A$1:$W$1,),))</f>
        <v/>
      </c>
      <c r="C69" s="14">
        <f>Table134681134567101213[[#This Row],[PMI]]-B68</f>
        <v/>
      </c>
    </row>
    <row r="70">
      <c r="A70" s="8" t="n">
        <v>42401</v>
      </c>
      <c r="B70" s="11">
        <f>IF(VLOOKUP(A70,'DB Country PMI'!$A:$W,MATCH($A$1,'DB Country PMI'!$A$1:$W$1,),)=0,#N/A,VLOOKUP(A70,'DB Country PMI'!$A:$W,MATCH($A$1,'DB Country PMI'!$A$1:$W$1,),))</f>
        <v/>
      </c>
      <c r="C70" s="14">
        <f>Table134681134567101213[[#This Row],[PMI]]-B69</f>
        <v/>
      </c>
    </row>
    <row r="71">
      <c r="A71" s="8" t="n">
        <v>42430</v>
      </c>
      <c r="B71" s="11">
        <f>IF(VLOOKUP(A71,'DB Country PMI'!$A:$W,MATCH($A$1,'DB Country PMI'!$A$1:$W$1,),)=0,#N/A,VLOOKUP(A71,'DB Country PMI'!$A:$W,MATCH($A$1,'DB Country PMI'!$A$1:$W$1,),))</f>
        <v/>
      </c>
      <c r="C71" s="14">
        <f>Table134681134567101213[[#This Row],[PMI]]-B70</f>
        <v/>
      </c>
    </row>
    <row r="72">
      <c r="A72" s="8" t="n">
        <v>42461</v>
      </c>
      <c r="B72" s="11">
        <f>IF(VLOOKUP(A72,'DB Country PMI'!$A:$W,MATCH($A$1,'DB Country PMI'!$A$1:$W$1,),)=0,#N/A,VLOOKUP(A72,'DB Country PMI'!$A:$W,MATCH($A$1,'DB Country PMI'!$A$1:$W$1,),))</f>
        <v/>
      </c>
      <c r="C72" s="14">
        <f>Table134681134567101213[[#This Row],[PMI]]-B71</f>
        <v/>
      </c>
    </row>
    <row r="73">
      <c r="A73" s="8" t="n">
        <v>42491</v>
      </c>
      <c r="B73" s="11">
        <f>IF(VLOOKUP(A73,'DB Country PMI'!$A:$W,MATCH($A$1,'DB Country PMI'!$A$1:$W$1,),)=0,#N/A,VLOOKUP(A73,'DB Country PMI'!$A:$W,MATCH($A$1,'DB Country PMI'!$A$1:$W$1,),))</f>
        <v/>
      </c>
      <c r="C73" s="14">
        <f>Table134681134567101213[[#This Row],[PMI]]-B72</f>
        <v/>
      </c>
    </row>
    <row r="74">
      <c r="A74" s="8" t="n">
        <v>42522</v>
      </c>
      <c r="B74" s="11">
        <f>IF(VLOOKUP(A74,'DB Country PMI'!$A:$W,MATCH($A$1,'DB Country PMI'!$A$1:$W$1,),)=0,#N/A,VLOOKUP(A74,'DB Country PMI'!$A:$W,MATCH($A$1,'DB Country PMI'!$A$1:$W$1,),))</f>
        <v/>
      </c>
      <c r="C74" s="14">
        <f>Table134681134567101213[[#This Row],[PMI]]-B73</f>
        <v/>
      </c>
    </row>
    <row r="75">
      <c r="A75" s="8" t="n">
        <v>42552</v>
      </c>
      <c r="B75" s="11">
        <f>IF(VLOOKUP(A75,'DB Country PMI'!$A:$W,MATCH($A$1,'DB Country PMI'!$A$1:$W$1,),)=0,#N/A,VLOOKUP(A75,'DB Country PMI'!$A:$W,MATCH($A$1,'DB Country PMI'!$A$1:$W$1,),))</f>
        <v/>
      </c>
      <c r="C75" s="14">
        <f>Table134681134567101213[[#This Row],[PMI]]-B74</f>
        <v/>
      </c>
    </row>
    <row r="76">
      <c r="A76" s="8" t="n">
        <v>42583</v>
      </c>
      <c r="B76" s="11">
        <f>IF(VLOOKUP(A76,'DB Country PMI'!$A:$W,MATCH($A$1,'DB Country PMI'!$A$1:$W$1,),)=0,#N/A,VLOOKUP(A76,'DB Country PMI'!$A:$W,MATCH($A$1,'DB Country PMI'!$A$1:$W$1,),))</f>
        <v/>
      </c>
      <c r="C76" s="14">
        <f>Table134681134567101213[[#This Row],[PMI]]-B75</f>
        <v/>
      </c>
    </row>
    <row r="77">
      <c r="A77" s="8" t="n">
        <v>42614</v>
      </c>
      <c r="B77" s="11">
        <f>IF(VLOOKUP(A77,'DB Country PMI'!$A:$W,MATCH($A$1,'DB Country PMI'!$A$1:$W$1,),)=0,#N/A,VLOOKUP(A77,'DB Country PMI'!$A:$W,MATCH($A$1,'DB Country PMI'!$A$1:$W$1,),))</f>
        <v/>
      </c>
      <c r="C77" s="14">
        <f>Table134681134567101213[[#This Row],[PMI]]-B76</f>
        <v/>
      </c>
    </row>
    <row r="78">
      <c r="A78" s="8" t="n">
        <v>42644</v>
      </c>
      <c r="B78" s="11">
        <f>IF(VLOOKUP(A78,'DB Country PMI'!$A:$W,MATCH($A$1,'DB Country PMI'!$A$1:$W$1,),)=0,#N/A,VLOOKUP(A78,'DB Country PMI'!$A:$W,MATCH($A$1,'DB Country PMI'!$A$1:$W$1,),))</f>
        <v/>
      </c>
      <c r="C78" s="14">
        <f>Table134681134567101213[[#This Row],[PMI]]-B77</f>
        <v/>
      </c>
    </row>
    <row r="79">
      <c r="A79" s="8" t="n">
        <v>42675</v>
      </c>
      <c r="B79" s="11">
        <f>IF(VLOOKUP(A79,'DB Country PMI'!$A:$W,MATCH($A$1,'DB Country PMI'!$A$1:$W$1,),)=0,#N/A,VLOOKUP(A79,'DB Country PMI'!$A:$W,MATCH($A$1,'DB Country PMI'!$A$1:$W$1,),))</f>
        <v/>
      </c>
      <c r="C79" s="14">
        <f>Table134681134567101213[[#This Row],[PMI]]-B78</f>
        <v/>
      </c>
    </row>
    <row r="80">
      <c r="A80" s="8" t="n">
        <v>42705</v>
      </c>
      <c r="B80" s="11">
        <f>IF(VLOOKUP(A80,'DB Country PMI'!$A:$W,MATCH($A$1,'DB Country PMI'!$A$1:$W$1,),)=0,#N/A,VLOOKUP(A80,'DB Country PMI'!$A:$W,MATCH($A$1,'DB Country PMI'!$A$1:$W$1,),))</f>
        <v/>
      </c>
      <c r="C80" s="14">
        <f>Table134681134567101213[[#This Row],[PMI]]-B79</f>
        <v/>
      </c>
    </row>
    <row r="81">
      <c r="A81" s="8" t="n">
        <v>42736</v>
      </c>
      <c r="B81" s="11">
        <f>IF(VLOOKUP(A81,'DB Country PMI'!$A:$W,MATCH($A$1,'DB Country PMI'!$A$1:$W$1,),)=0,#N/A,VLOOKUP(A81,'DB Country PMI'!$A:$W,MATCH($A$1,'DB Country PMI'!$A$1:$W$1,),))</f>
        <v/>
      </c>
      <c r="C81" s="14">
        <f>Table134681134567101213[[#This Row],[PMI]]-B80</f>
        <v/>
      </c>
    </row>
    <row r="82">
      <c r="A82" s="8" t="n">
        <v>42767</v>
      </c>
      <c r="B82" s="11">
        <f>IF(VLOOKUP(A82,'DB Country PMI'!$A:$W,MATCH($A$1,'DB Country PMI'!$A$1:$W$1,),)=0,#N/A,VLOOKUP(A82,'DB Country PMI'!$A:$W,MATCH($A$1,'DB Country PMI'!$A$1:$W$1,),))</f>
        <v/>
      </c>
      <c r="C82" s="14">
        <f>Table134681134567101213[[#This Row],[PMI]]-B81</f>
        <v/>
      </c>
    </row>
    <row r="83">
      <c r="A83" s="8" t="n">
        <v>42795</v>
      </c>
      <c r="B83" s="11">
        <f>IF(VLOOKUP(A83,'DB Country PMI'!$A:$W,MATCH($A$1,'DB Country PMI'!$A$1:$W$1,),)=0,#N/A,VLOOKUP(A83,'DB Country PMI'!$A:$W,MATCH($A$1,'DB Country PMI'!$A$1:$W$1,),))</f>
        <v/>
      </c>
      <c r="C83" s="14">
        <f>Table134681134567101213[[#This Row],[PMI]]-B82</f>
        <v/>
      </c>
    </row>
    <row r="84">
      <c r="A84" s="8" t="n">
        <v>42826</v>
      </c>
      <c r="B84" s="11">
        <f>IF(VLOOKUP(A84,'DB Country PMI'!$A:$W,MATCH($A$1,'DB Country PMI'!$A$1:$W$1,),)=0,#N/A,VLOOKUP(A84,'DB Country PMI'!$A:$W,MATCH($A$1,'DB Country PMI'!$A$1:$W$1,),))</f>
        <v/>
      </c>
      <c r="C84" s="14">
        <f>Table134681134567101213[[#This Row],[PMI]]-B83</f>
        <v/>
      </c>
    </row>
    <row r="85">
      <c r="A85" s="8" t="n">
        <v>42856</v>
      </c>
      <c r="B85" s="11">
        <f>IF(VLOOKUP(A85,'DB Country PMI'!$A:$W,MATCH($A$1,'DB Country PMI'!$A$1:$W$1,),)=0,#N/A,VLOOKUP(A85,'DB Country PMI'!$A:$W,MATCH($A$1,'DB Country PMI'!$A$1:$W$1,),))</f>
        <v/>
      </c>
      <c r="C85" s="14">
        <f>Table134681134567101213[[#This Row],[PMI]]-B84</f>
        <v/>
      </c>
    </row>
    <row r="86">
      <c r="A86" s="8" t="n">
        <v>42887</v>
      </c>
      <c r="B86" s="11">
        <f>IF(VLOOKUP(A86,'DB Country PMI'!$A:$W,MATCH($A$1,'DB Country PMI'!$A$1:$W$1,),)=0,#N/A,VLOOKUP(A86,'DB Country PMI'!$A:$W,MATCH($A$1,'DB Country PMI'!$A$1:$W$1,),))</f>
        <v/>
      </c>
      <c r="C86" s="14">
        <f>Table134681134567101213[[#This Row],[PMI]]-B85</f>
        <v/>
      </c>
    </row>
    <row r="87">
      <c r="A87" s="8" t="n">
        <v>42917</v>
      </c>
      <c r="B87" s="11">
        <f>IF(VLOOKUP(A87,'DB Country PMI'!$A:$W,MATCH($A$1,'DB Country PMI'!$A$1:$W$1,),)=0,#N/A,VLOOKUP(A87,'DB Country PMI'!$A:$W,MATCH($A$1,'DB Country PMI'!$A$1:$W$1,),))</f>
        <v/>
      </c>
      <c r="C87" s="14">
        <f>Table134681134567101213[[#This Row],[PMI]]-B86</f>
        <v/>
      </c>
    </row>
    <row r="88">
      <c r="A88" s="8" t="n">
        <v>42948</v>
      </c>
      <c r="B88" s="11">
        <f>IF(VLOOKUP(A88,'DB Country PMI'!$A:$W,MATCH($A$1,'DB Country PMI'!$A$1:$W$1,),)=0,#N/A,VLOOKUP(A88,'DB Country PMI'!$A:$W,MATCH($A$1,'DB Country PMI'!$A$1:$W$1,),))</f>
        <v/>
      </c>
      <c r="C88" s="14">
        <f>Table134681134567101213[[#This Row],[PMI]]-B87</f>
        <v/>
      </c>
    </row>
    <row r="89">
      <c r="A89" s="8" t="n">
        <v>42979</v>
      </c>
      <c r="B89" s="11">
        <f>IF(VLOOKUP(A89,'DB Country PMI'!$A:$W,MATCH($A$1,'DB Country PMI'!$A$1:$W$1,),)=0,#N/A,VLOOKUP(A89,'DB Country PMI'!$A:$W,MATCH($A$1,'DB Country PMI'!$A$1:$W$1,),))</f>
        <v/>
      </c>
      <c r="C89" s="14">
        <f>Table134681134567101213[[#This Row],[PMI]]-B88</f>
        <v/>
      </c>
    </row>
    <row r="90">
      <c r="A90" s="8" t="n">
        <v>43009</v>
      </c>
      <c r="B90" s="11">
        <f>IF(VLOOKUP(A90,'DB Country PMI'!$A:$W,MATCH($A$1,'DB Country PMI'!$A$1:$W$1,),)=0,#N/A,VLOOKUP(A90,'DB Country PMI'!$A:$W,MATCH($A$1,'DB Country PMI'!$A$1:$W$1,),))</f>
        <v/>
      </c>
      <c r="C90" s="14">
        <f>Table134681134567101213[[#This Row],[PMI]]-B89</f>
        <v/>
      </c>
    </row>
    <row r="91">
      <c r="A91" s="8" t="n">
        <v>43040</v>
      </c>
      <c r="B91" s="11">
        <f>IF(VLOOKUP(A91,'DB Country PMI'!$A:$W,MATCH($A$1,'DB Country PMI'!$A$1:$W$1,),)=0,#N/A,VLOOKUP(A91,'DB Country PMI'!$A:$W,MATCH($A$1,'DB Country PMI'!$A$1:$W$1,),))</f>
        <v/>
      </c>
      <c r="C91" s="14">
        <f>Table134681134567101213[[#This Row],[PMI]]-B90</f>
        <v/>
      </c>
    </row>
    <row r="92">
      <c r="A92" s="8" t="n">
        <v>43070</v>
      </c>
      <c r="B92" s="11">
        <f>IF(VLOOKUP(A92,'DB Country PMI'!$A:$W,MATCH($A$1,'DB Country PMI'!$A$1:$W$1,),)=0,#N/A,VLOOKUP(A92,'DB Country PMI'!$A:$W,MATCH($A$1,'DB Country PMI'!$A$1:$W$1,),))</f>
        <v/>
      </c>
      <c r="C92" s="14">
        <f>Table134681134567101213[[#This Row],[PMI]]-B91</f>
        <v/>
      </c>
    </row>
    <row r="93">
      <c r="A93" s="8" t="n">
        <v>43101</v>
      </c>
      <c r="B93" s="11">
        <f>IF(VLOOKUP(A93,'DB Country PMI'!$A:$W,MATCH($A$1,'DB Country PMI'!$A$1:$W$1,),)=0,#N/A,VLOOKUP(A93,'DB Country PMI'!$A:$W,MATCH($A$1,'DB Country PMI'!$A$1:$W$1,),))</f>
        <v/>
      </c>
      <c r="C93" s="14">
        <f>Table134681134567101213[[#This Row],[PMI]]-B92</f>
        <v/>
      </c>
    </row>
    <row r="94">
      <c r="A94" s="8" t="n">
        <v>43132</v>
      </c>
      <c r="B94" s="11">
        <f>IF(VLOOKUP(A94,'DB Country PMI'!$A:$W,MATCH($A$1,'DB Country PMI'!$A$1:$W$1,),)=0,#N/A,VLOOKUP(A94,'DB Country PMI'!$A:$W,MATCH($A$1,'DB Country PMI'!$A$1:$W$1,),))</f>
        <v/>
      </c>
      <c r="C94" s="14">
        <f>Table134681134567101213[[#This Row],[PMI]]-B93</f>
        <v/>
      </c>
    </row>
    <row r="95">
      <c r="A95" s="8" t="n">
        <v>43160</v>
      </c>
      <c r="B95" s="11">
        <f>IF(VLOOKUP(A95,'DB Country PMI'!$A:$W,MATCH($A$1,'DB Country PMI'!$A$1:$W$1,),)=0,#N/A,VLOOKUP(A95,'DB Country PMI'!$A:$W,MATCH($A$1,'DB Country PMI'!$A$1:$W$1,),))</f>
        <v/>
      </c>
      <c r="C95" s="14">
        <f>Table134681134567101213[[#This Row],[PMI]]-B94</f>
        <v/>
      </c>
    </row>
    <row r="96">
      <c r="A96" s="8" t="n">
        <v>43191</v>
      </c>
      <c r="B96" s="11">
        <f>IF(VLOOKUP(A96,'DB Country PMI'!$A:$W,MATCH($A$1,'DB Country PMI'!$A$1:$W$1,),)=0,#N/A,VLOOKUP(A96,'DB Country PMI'!$A:$W,MATCH($A$1,'DB Country PMI'!$A$1:$W$1,),))</f>
        <v/>
      </c>
      <c r="C96" s="14">
        <f>Table134681134567101213[[#This Row],[PMI]]-B95</f>
        <v/>
      </c>
    </row>
    <row r="97">
      <c r="A97" s="8" t="n">
        <v>43221</v>
      </c>
      <c r="B97" s="11">
        <f>IF(VLOOKUP(A97,'DB Country PMI'!$A:$W,MATCH($A$1,'DB Country PMI'!$A$1:$W$1,),)=0,#N/A,VLOOKUP(A97,'DB Country PMI'!$A:$W,MATCH($A$1,'DB Country PMI'!$A$1:$W$1,),))</f>
        <v/>
      </c>
      <c r="C97" s="14">
        <f>Table134681134567101213[[#This Row],[PMI]]-B96</f>
        <v/>
      </c>
    </row>
    <row r="98">
      <c r="A98" s="8" t="n">
        <v>43252</v>
      </c>
      <c r="B98" s="11">
        <f>IF(VLOOKUP(A98,'DB Country PMI'!$A:$W,MATCH($A$1,'DB Country PMI'!$A$1:$W$1,),)=0,#N/A,VLOOKUP(A98,'DB Country PMI'!$A:$W,MATCH($A$1,'DB Country PMI'!$A$1:$W$1,),))</f>
        <v/>
      </c>
      <c r="C98" s="14">
        <f>Table134681134567101213[[#This Row],[PMI]]-B97</f>
        <v/>
      </c>
    </row>
    <row r="99">
      <c r="A99" s="8" t="n">
        <v>43282</v>
      </c>
      <c r="B99" s="11">
        <f>IF(VLOOKUP(A99,'DB Country PMI'!$A:$W,MATCH($A$1,'DB Country PMI'!$A$1:$W$1,),)=0,#N/A,VLOOKUP(A99,'DB Country PMI'!$A:$W,MATCH($A$1,'DB Country PMI'!$A$1:$W$1,),))</f>
        <v/>
      </c>
      <c r="C99" s="14">
        <f>Table134681134567101213[[#This Row],[PMI]]-B98</f>
        <v/>
      </c>
    </row>
    <row r="100">
      <c r="A100" s="8" t="n">
        <v>43313</v>
      </c>
      <c r="B100" s="11">
        <f>IF(VLOOKUP(A100,'DB Country PMI'!$A:$W,MATCH($A$1,'DB Country PMI'!$A$1:$W$1,),)=0,#N/A,VLOOKUP(A100,'DB Country PMI'!$A:$W,MATCH($A$1,'DB Country PMI'!$A$1:$W$1,),))</f>
        <v/>
      </c>
      <c r="C100" s="14">
        <f>Table134681134567101213[[#This Row],[PMI]]-B99</f>
        <v/>
      </c>
    </row>
    <row r="101">
      <c r="A101" s="8" t="n">
        <v>43344</v>
      </c>
      <c r="B101" s="11">
        <f>IF(VLOOKUP(A101,'DB Country PMI'!$A:$W,MATCH($A$1,'DB Country PMI'!$A$1:$W$1,),)=0,#N/A,VLOOKUP(A101,'DB Country PMI'!$A:$W,MATCH($A$1,'DB Country PMI'!$A$1:$W$1,),))</f>
        <v/>
      </c>
      <c r="C101" s="14">
        <f>Table134681134567101213[[#This Row],[PMI]]-B100</f>
        <v/>
      </c>
    </row>
    <row r="102">
      <c r="A102" s="8" t="n">
        <v>43374</v>
      </c>
      <c r="B102" s="11">
        <f>IF(VLOOKUP(A102,'DB Country PMI'!$A:$W,MATCH($A$1,'DB Country PMI'!$A$1:$W$1,),)=0,#N/A,VLOOKUP(A102,'DB Country PMI'!$A:$W,MATCH($A$1,'DB Country PMI'!$A$1:$W$1,),))</f>
        <v/>
      </c>
      <c r="C102" s="14">
        <f>Table134681134567101213[[#This Row],[PMI]]-B101</f>
        <v/>
      </c>
    </row>
    <row r="103">
      <c r="A103" s="8" t="n">
        <v>43405</v>
      </c>
      <c r="B103" s="11">
        <f>IF(VLOOKUP(A103,'DB Country PMI'!$A:$W,MATCH($A$1,'DB Country PMI'!$A$1:$W$1,),)=0,#N/A,VLOOKUP(A103,'DB Country PMI'!$A:$W,MATCH($A$1,'DB Country PMI'!$A$1:$W$1,),))</f>
        <v/>
      </c>
      <c r="C103" s="14">
        <f>Table134681134567101213[[#This Row],[PMI]]-B102</f>
        <v/>
      </c>
    </row>
    <row r="104">
      <c r="A104" s="8" t="n">
        <v>43435</v>
      </c>
      <c r="B104" s="11">
        <f>IF(VLOOKUP(A104,'DB Country PMI'!$A:$W,MATCH($A$1,'DB Country PMI'!$A$1:$W$1,),)=0,#N/A,VLOOKUP(A104,'DB Country PMI'!$A:$W,MATCH($A$1,'DB Country PMI'!$A$1:$W$1,),))</f>
        <v/>
      </c>
      <c r="C104" s="14">
        <f>Table134681134567101213[[#This Row],[PMI]]-B103</f>
        <v/>
      </c>
    </row>
    <row r="105">
      <c r="A105" s="8" t="n">
        <v>43466</v>
      </c>
      <c r="B105" s="11">
        <f>IF(VLOOKUP(A105,'DB Country PMI'!$A:$W,MATCH($A$1,'DB Country PMI'!$A$1:$W$1,),)=0,#N/A,VLOOKUP(A105,'DB Country PMI'!$A:$W,MATCH($A$1,'DB Country PMI'!$A$1:$W$1,),))</f>
        <v/>
      </c>
      <c r="C105" s="14">
        <f>Table134681134567101213[[#This Row],[PMI]]-B104</f>
        <v/>
      </c>
    </row>
    <row r="106">
      <c r="A106" s="8" t="n">
        <v>43497</v>
      </c>
      <c r="B106" s="11">
        <f>IF(VLOOKUP(A106,'DB Country PMI'!$A:$W,MATCH($A$1,'DB Country PMI'!$A$1:$W$1,),)=0,#N/A,VLOOKUP(A106,'DB Country PMI'!$A:$W,MATCH($A$1,'DB Country PMI'!$A$1:$W$1,),))</f>
        <v/>
      </c>
      <c r="C106" s="14">
        <f>Table134681134567101213[[#This Row],[PMI]]-B105</f>
        <v/>
      </c>
    </row>
    <row r="107">
      <c r="A107" s="8" t="n">
        <v>43525</v>
      </c>
      <c r="B107" s="11">
        <f>IF(VLOOKUP(A107,'DB Country PMI'!$A:$W,MATCH($A$1,'DB Country PMI'!$A$1:$W$1,),)=0,#N/A,VLOOKUP(A107,'DB Country PMI'!$A:$W,MATCH($A$1,'DB Country PMI'!$A$1:$W$1,),))</f>
        <v/>
      </c>
      <c r="C107" s="14">
        <f>Table134681134567101213[[#This Row],[PMI]]-B106</f>
        <v/>
      </c>
    </row>
    <row r="108">
      <c r="A108" s="8" t="n">
        <v>43556</v>
      </c>
      <c r="B108" s="11">
        <f>IF(VLOOKUP(A108,'DB Country PMI'!$A:$W,MATCH($A$1,'DB Country PMI'!$A$1:$W$1,),)=0,#N/A,VLOOKUP(A108,'DB Country PMI'!$A:$W,MATCH($A$1,'DB Country PMI'!$A$1:$W$1,),))</f>
        <v/>
      </c>
      <c r="C108" s="14">
        <f>Table134681134567101213[[#This Row],[PMI]]-B107</f>
        <v/>
      </c>
    </row>
    <row r="109">
      <c r="A109" s="8" t="n">
        <v>43586</v>
      </c>
      <c r="B109" s="11">
        <f>IF(VLOOKUP(A109,'DB Country PMI'!$A:$W,MATCH($A$1,'DB Country PMI'!$A$1:$W$1,),)=0,#N/A,VLOOKUP(A109,'DB Country PMI'!$A:$W,MATCH($A$1,'DB Country PMI'!$A$1:$W$1,),))</f>
        <v/>
      </c>
      <c r="C109" s="14">
        <f>Table134681134567101213[[#This Row],[PMI]]-B108</f>
        <v/>
      </c>
    </row>
    <row r="110">
      <c r="A110" s="8" t="n">
        <v>43617</v>
      </c>
      <c r="B110" s="11">
        <f>IF(VLOOKUP(A110,'DB Country PMI'!$A:$W,MATCH($A$1,'DB Country PMI'!$A$1:$W$1,),)=0,#N/A,VLOOKUP(A110,'DB Country PMI'!$A:$W,MATCH($A$1,'DB Country PMI'!$A$1:$W$1,),))</f>
        <v/>
      </c>
      <c r="C110" s="14">
        <f>Table134681134567101213[[#This Row],[PMI]]-B109</f>
        <v/>
      </c>
    </row>
    <row r="111">
      <c r="A111" s="8" t="n">
        <v>43647</v>
      </c>
      <c r="B111" s="11">
        <f>IF(VLOOKUP(A111,'DB Country PMI'!$A:$W,MATCH($A$1,'DB Country PMI'!$A$1:$W$1,),)=0,#N/A,VLOOKUP(A111,'DB Country PMI'!$A:$W,MATCH($A$1,'DB Country PMI'!$A$1:$W$1,),))</f>
        <v/>
      </c>
      <c r="C111" s="14">
        <f>Table134681134567101213[[#This Row],[PMI]]-B110</f>
        <v/>
      </c>
    </row>
    <row r="112">
      <c r="A112" s="8" t="n">
        <v>43678</v>
      </c>
      <c r="B112" s="11">
        <f>IF(VLOOKUP(A112,'DB Country PMI'!$A:$W,MATCH($A$1,'DB Country PMI'!$A$1:$W$1,),)=0,#N/A,VLOOKUP(A112,'DB Country PMI'!$A:$W,MATCH($A$1,'DB Country PMI'!$A$1:$W$1,),))</f>
        <v/>
      </c>
      <c r="C112" s="14">
        <f>Table134681134567101213[[#This Row],[PMI]]-B111</f>
        <v/>
      </c>
    </row>
    <row r="113">
      <c r="A113" s="8" t="n">
        <v>43709</v>
      </c>
      <c r="B113" s="11">
        <f>IF(VLOOKUP(A113,'DB Country PMI'!$A:$W,MATCH($A$1,'DB Country PMI'!$A$1:$W$1,),)=0,#N/A,VLOOKUP(A113,'DB Country PMI'!$A:$W,MATCH($A$1,'DB Country PMI'!$A$1:$W$1,),))</f>
        <v/>
      </c>
      <c r="C113" s="14">
        <f>Table134681134567101213[[#This Row],[PMI]]-B112</f>
        <v/>
      </c>
    </row>
    <row r="114">
      <c r="A114" s="8" t="n">
        <v>43739</v>
      </c>
      <c r="B114" s="11">
        <f>IF(VLOOKUP(A114,'DB Country PMI'!$A:$W,MATCH($A$1,'DB Country PMI'!$A$1:$W$1,),)=0,#N/A,VLOOKUP(A114,'DB Country PMI'!$A:$W,MATCH($A$1,'DB Country PMI'!$A$1:$W$1,),))</f>
        <v/>
      </c>
      <c r="C114" s="14">
        <f>Table134681134567101213[[#This Row],[PMI]]-B113</f>
        <v/>
      </c>
    </row>
    <row r="115">
      <c r="A115" s="8" t="n">
        <v>43770</v>
      </c>
      <c r="B115" s="11">
        <f>IF(VLOOKUP(A115,'DB Country PMI'!$A:$W,MATCH($A$1,'DB Country PMI'!$A$1:$W$1,),)=0,#N/A,VLOOKUP(A115,'DB Country PMI'!$A:$W,MATCH($A$1,'DB Country PMI'!$A$1:$W$1,),))</f>
        <v/>
      </c>
      <c r="C115" s="14">
        <f>Table134681134567101213[[#This Row],[PMI]]-B114</f>
        <v/>
      </c>
    </row>
    <row r="116">
      <c r="A116" s="8" t="n">
        <v>43800</v>
      </c>
      <c r="B116" s="11">
        <f>IF(VLOOKUP(A116,'DB Country PMI'!$A:$W,MATCH($A$1,'DB Country PMI'!$A$1:$W$1,),)=0,#N/A,VLOOKUP(A116,'DB Country PMI'!$A:$W,MATCH($A$1,'DB Country PMI'!$A$1:$W$1,),))</f>
        <v/>
      </c>
      <c r="C116" s="14">
        <f>Table134681134567101213[[#This Row],[PMI]]-B115</f>
        <v/>
      </c>
    </row>
    <row r="117">
      <c r="A117" s="8" t="n">
        <v>43831</v>
      </c>
      <c r="B117" s="11">
        <f>IF(VLOOKUP(A117,'DB Country PMI'!$A:$W,MATCH($A$1,'DB Country PMI'!$A$1:$W$1,),)=0,#N/A,VLOOKUP(A117,'DB Country PMI'!$A:$W,MATCH($A$1,'DB Country PMI'!$A$1:$W$1,),))</f>
        <v/>
      </c>
      <c r="C117" s="14">
        <f>Table134681134567101213[[#This Row],[PMI]]-B116</f>
        <v/>
      </c>
    </row>
    <row r="118">
      <c r="A118" s="8" t="n">
        <v>43862</v>
      </c>
      <c r="B118" s="11">
        <f>IF(VLOOKUP(A118,'DB Country PMI'!$A:$W,MATCH($A$1,'DB Country PMI'!$A$1:$W$1,),)=0,#N/A,VLOOKUP(A118,'DB Country PMI'!$A:$W,MATCH($A$1,'DB Country PMI'!$A$1:$W$1,),))</f>
        <v/>
      </c>
      <c r="C118" s="14">
        <f>Table134681134567101213[[#This Row],[PMI]]-B117</f>
        <v/>
      </c>
    </row>
    <row r="119">
      <c r="A119" s="8" t="n">
        <v>43891</v>
      </c>
      <c r="B119" s="11">
        <f>IF(VLOOKUP(A119,'DB Country PMI'!$A:$W,MATCH($A$1,'DB Country PMI'!$A$1:$W$1,),)=0,#N/A,VLOOKUP(A119,'DB Country PMI'!$A:$W,MATCH($A$1,'DB Country PMI'!$A$1:$W$1,),))</f>
        <v/>
      </c>
      <c r="C119" s="14">
        <f>Table134681134567101213[[#This Row],[PMI]]-B118</f>
        <v/>
      </c>
    </row>
    <row r="120">
      <c r="A120" s="8" t="n">
        <v>43922</v>
      </c>
      <c r="B120" s="11">
        <f>IF(VLOOKUP(A120,'DB Country PMI'!$A:$W,MATCH($A$1,'DB Country PMI'!$A$1:$W$1,),)=0,#N/A,VLOOKUP(A120,'DB Country PMI'!$A:$W,MATCH($A$1,'DB Country PMI'!$A$1:$W$1,),))</f>
        <v/>
      </c>
      <c r="C120" s="14">
        <f>Table134681134567101213[[#This Row],[PMI]]-B119</f>
        <v/>
      </c>
    </row>
    <row r="121">
      <c r="A121" s="8" t="n">
        <v>43952</v>
      </c>
      <c r="B121" s="11">
        <f>IF(VLOOKUP(A121,'DB Country PMI'!$A:$W,MATCH($A$1,'DB Country PMI'!$A$1:$W$1,),)=0,#N/A,VLOOKUP(A121,'DB Country PMI'!$A:$W,MATCH($A$1,'DB Country PMI'!$A$1:$W$1,),))</f>
        <v/>
      </c>
      <c r="C121" s="14">
        <f>Table134681134567101213[[#This Row],[PMI]]-B120</f>
        <v/>
      </c>
    </row>
    <row r="122">
      <c r="A122" s="8" t="n">
        <v>43983</v>
      </c>
      <c r="B122" s="11">
        <f>IF(VLOOKUP(A122,'DB Country PMI'!$A:$W,MATCH($A$1,'DB Country PMI'!$A$1:$W$1,),)=0,#N/A,VLOOKUP(A122,'DB Country PMI'!$A:$W,MATCH($A$1,'DB Country PMI'!$A$1:$W$1,),))</f>
        <v/>
      </c>
      <c r="C122" s="14">
        <f>Table134681134567101213[[#This Row],[PMI]]-B121</f>
        <v/>
      </c>
    </row>
    <row r="123">
      <c r="A123" s="8" t="n">
        <v>44013</v>
      </c>
      <c r="B123" s="11">
        <f>IF(VLOOKUP(A123,'DB Country PMI'!$A:$W,MATCH($A$1,'DB Country PMI'!$A$1:$W$1,),)=0,#N/A,VLOOKUP(A123,'DB Country PMI'!$A:$W,MATCH($A$1,'DB Country PMI'!$A$1:$W$1,),))</f>
        <v/>
      </c>
      <c r="C123" s="14">
        <f>Table134681134567101213[[#This Row],[PMI]]-B122</f>
        <v/>
      </c>
    </row>
    <row r="124">
      <c r="A124" s="8" t="n">
        <v>44044</v>
      </c>
      <c r="B124" s="11">
        <f>IF(VLOOKUP(A124,'DB Country PMI'!$A:$W,MATCH($A$1,'DB Country PMI'!$A$1:$W$1,),)=0,#N/A,VLOOKUP(A124,'DB Country PMI'!$A:$W,MATCH($A$1,'DB Country PMI'!$A$1:$W$1,),))</f>
        <v/>
      </c>
      <c r="C124" s="14">
        <f>Table134681134567101213[[#This Row],[PMI]]-B123</f>
        <v/>
      </c>
    </row>
    <row r="125">
      <c r="A125" s="8" t="n">
        <v>44075</v>
      </c>
      <c r="B125" s="11">
        <f>IF(VLOOKUP(A125,'DB Country PMI'!$A:$W,MATCH($A$1,'DB Country PMI'!$A$1:$W$1,),)=0,#N/A,VLOOKUP(A125,'DB Country PMI'!$A:$W,MATCH($A$1,'DB Country PMI'!$A$1:$W$1,),))</f>
        <v/>
      </c>
      <c r="C125" s="14">
        <f>Table134681134567101213[[#This Row],[PMI]]-B124</f>
        <v/>
      </c>
    </row>
    <row r="126">
      <c r="A126" s="8" t="n">
        <v>44105</v>
      </c>
      <c r="B126" s="11">
        <f>IF(VLOOKUP(A126,'DB Country PMI'!$A:$W,MATCH($A$1,'DB Country PMI'!$A$1:$W$1,),)=0,#N/A,VLOOKUP(A126,'DB Country PMI'!$A:$W,MATCH($A$1,'DB Country PMI'!$A$1:$W$1,),))</f>
        <v/>
      </c>
      <c r="C126" s="14">
        <f>Table134681134567101213[[#This Row],[PMI]]-B125</f>
        <v/>
      </c>
    </row>
    <row r="127">
      <c r="A127" s="8" t="n">
        <v>44136</v>
      </c>
      <c r="B127" s="11">
        <f>IF(VLOOKUP(A127,'DB Country PMI'!$A:$W,MATCH($A$1,'DB Country PMI'!$A$1:$W$1,),)=0,#N/A,VLOOKUP(A127,'DB Country PMI'!$A:$W,MATCH($A$1,'DB Country PMI'!$A$1:$W$1,),))</f>
        <v/>
      </c>
      <c r="C127" s="14">
        <f>Table134681134567101213[[#This Row],[PMI]]-B126</f>
        <v/>
      </c>
    </row>
    <row r="128">
      <c r="A128" s="8" t="n">
        <v>44166</v>
      </c>
      <c r="B128" s="11">
        <f>IF(VLOOKUP(A128,'DB Country PMI'!$A:$W,MATCH($A$1,'DB Country PMI'!$A$1:$W$1,),)=0,#N/A,VLOOKUP(A128,'DB Country PMI'!$A:$W,MATCH($A$1,'DB Country PMI'!$A$1:$W$1,),))</f>
        <v/>
      </c>
      <c r="C128" s="14">
        <f>Table134681134567101213[[#This Row],[PMI]]-B127</f>
        <v/>
      </c>
    </row>
    <row r="129">
      <c r="A129" s="8" t="n">
        <v>44197</v>
      </c>
      <c r="B129" s="11">
        <f>IF(VLOOKUP(A129,'DB Country PMI'!$A:$W,MATCH($A$1,'DB Country PMI'!$A$1:$W$1,),)=0,#N/A,VLOOKUP(A129,'DB Country PMI'!$A:$W,MATCH($A$1,'DB Country PMI'!$A$1:$W$1,),))</f>
        <v/>
      </c>
      <c r="C129" s="14">
        <f>Table134681134567101213[[#This Row],[PMI]]-B128</f>
        <v/>
      </c>
    </row>
    <row r="130">
      <c r="A130" s="8" t="n">
        <v>44228</v>
      </c>
      <c r="B130" s="11">
        <f>IF(VLOOKUP(A130,'DB Country PMI'!$A:$W,MATCH($A$1,'DB Country PMI'!$A$1:$W$1,),)=0,#N/A,VLOOKUP(A130,'DB Country PMI'!$A:$W,MATCH($A$1,'DB Country PMI'!$A$1:$W$1,),))</f>
        <v/>
      </c>
      <c r="C130" s="14">
        <f>Table134681134567101213[[#This Row],[PMI]]-B129</f>
        <v/>
      </c>
    </row>
    <row r="131">
      <c r="A131" s="8" t="n">
        <v>44256</v>
      </c>
      <c r="B131" s="11">
        <f>IF(VLOOKUP(A131,'DB Country PMI'!$A:$W,MATCH($A$1,'DB Country PMI'!$A$1:$W$1,),)=0,#N/A,VLOOKUP(A131,'DB Country PMI'!$A:$W,MATCH($A$1,'DB Country PMI'!$A$1:$W$1,),))</f>
        <v/>
      </c>
      <c r="C131" s="14">
        <f>Table134681134567101213[[#This Row],[PMI]]-B130</f>
        <v/>
      </c>
    </row>
    <row r="132">
      <c r="A132" s="8" t="n">
        <v>44287</v>
      </c>
      <c r="B132" s="11">
        <f>IF(VLOOKUP(A132,'DB Country PMI'!$A:$W,MATCH($A$1,'DB Country PMI'!$A$1:$W$1,),)=0,#N/A,VLOOKUP(A132,'DB Country PMI'!$A:$W,MATCH($A$1,'DB Country PMI'!$A$1:$W$1,),))</f>
        <v/>
      </c>
      <c r="C132" s="14">
        <f>Table134681134567101213[[#This Row],[PMI]]-B131</f>
        <v/>
      </c>
    </row>
    <row r="133">
      <c r="A133" s="8" t="n">
        <v>44317</v>
      </c>
      <c r="B133" s="11">
        <f>IF(VLOOKUP(A133,'DB Country PMI'!$A:$W,MATCH($A$1,'DB Country PMI'!$A$1:$W$1,),)=0,#N/A,VLOOKUP(A133,'DB Country PMI'!$A:$W,MATCH($A$1,'DB Country PMI'!$A$1:$W$1,),))</f>
        <v/>
      </c>
      <c r="C133" s="14">
        <f>Table134681134567101213[[#This Row],[PMI]]-B132</f>
        <v/>
      </c>
    </row>
    <row r="134">
      <c r="A134" s="8" t="n">
        <v>44348</v>
      </c>
      <c r="B134" s="11">
        <f>IF(VLOOKUP(A134,'DB Country PMI'!$A:$W,MATCH($A$1,'DB Country PMI'!$A$1:$W$1,),)=0,#N/A,VLOOKUP(A134,'DB Country PMI'!$A:$W,MATCH($A$1,'DB Country PMI'!$A$1:$W$1,),))</f>
        <v/>
      </c>
      <c r="C134" s="14">
        <f>Table134681134567101213[[#This Row],[PMI]]-B133</f>
        <v/>
      </c>
    </row>
    <row r="135">
      <c r="A135" s="8" t="n">
        <v>44378</v>
      </c>
      <c r="B135" s="11">
        <f>IF(VLOOKUP(A135,'DB Country PMI'!$A:$W,MATCH($A$1,'DB Country PMI'!$A$1:$W$1,),)=0,#N/A,VLOOKUP(A135,'DB Country PMI'!$A:$W,MATCH($A$1,'DB Country PMI'!$A$1:$W$1,),))</f>
        <v/>
      </c>
      <c r="C135" s="14">
        <f>Table134681134567101213[[#This Row],[PMI]]-B134</f>
        <v/>
      </c>
    </row>
    <row r="136">
      <c r="A136" s="8" t="n">
        <v>44409</v>
      </c>
      <c r="B136" s="11">
        <f>IF(VLOOKUP(A136,'DB Country PMI'!$A:$W,MATCH($A$1,'DB Country PMI'!$A$1:$W$1,),)=0,#N/A,VLOOKUP(A136,'DB Country PMI'!$A:$W,MATCH($A$1,'DB Country PMI'!$A$1:$W$1,),))</f>
        <v/>
      </c>
      <c r="C136" s="14">
        <f>Table134681134567101213[[#This Row],[PMI]]-B135</f>
        <v/>
      </c>
    </row>
    <row r="137">
      <c r="A137" s="8" t="n">
        <v>44440</v>
      </c>
      <c r="B137" s="11">
        <f>IF(VLOOKUP(A137,'DB Country PMI'!$A:$W,MATCH($A$1,'DB Country PMI'!$A$1:$W$1,),)=0,#N/A,VLOOKUP(A137,'DB Country PMI'!$A:$W,MATCH($A$1,'DB Country PMI'!$A$1:$W$1,),))</f>
        <v/>
      </c>
      <c r="C137" s="14">
        <f>Table134681134567101213[[#This Row],[PMI]]-B136</f>
        <v/>
      </c>
    </row>
    <row r="138">
      <c r="A138" s="8" t="n">
        <v>44470</v>
      </c>
      <c r="B138" s="11">
        <f>IF(VLOOKUP(A138,'DB Country PMI'!$A:$W,MATCH($A$1,'DB Country PMI'!$A$1:$W$1,),)=0,#N/A,VLOOKUP(A138,'DB Country PMI'!$A:$W,MATCH($A$1,'DB Country PMI'!$A$1:$W$1,),))</f>
        <v/>
      </c>
      <c r="C138" s="14">
        <f>Table134681134567101213[[#This Row],[PMI]]-B137</f>
        <v/>
      </c>
    </row>
    <row r="139">
      <c r="A139" s="8" t="n">
        <v>44501</v>
      </c>
      <c r="B139" s="11">
        <f>IF(VLOOKUP(A139,'DB Country PMI'!$A:$W,MATCH($A$1,'DB Country PMI'!$A$1:$W$1,),)=0,#N/A,VLOOKUP(A139,'DB Country PMI'!$A:$W,MATCH($A$1,'DB Country PMI'!$A$1:$W$1,),))</f>
        <v/>
      </c>
      <c r="C139" s="14">
        <f>Table134681134567101213[[#This Row],[PMI]]-B138</f>
        <v/>
      </c>
    </row>
    <row r="140">
      <c r="A140" s="8" t="n">
        <v>44531</v>
      </c>
      <c r="B140" s="11">
        <f>IF(VLOOKUP(A140,'DB Country PMI'!$A:$W,MATCH($A$1,'DB Country PMI'!$A$1:$W$1,),)=0,#N/A,VLOOKUP(A140,'DB Country PMI'!$A:$W,MATCH($A$1,'DB Country PMI'!$A$1:$W$1,),))</f>
        <v/>
      </c>
      <c r="C140" s="14">
        <f>Table134681134567101213[[#This Row],[PMI]]-B139</f>
        <v/>
      </c>
    </row>
    <row r="141">
      <c r="A141" s="8" t="n">
        <v>44562</v>
      </c>
      <c r="B141" s="11">
        <f>IF(VLOOKUP(A141,'DB Country PMI'!$A:$W,MATCH($A$1,'DB Country PMI'!$A$1:$W$1,),)=0,#N/A,VLOOKUP(A141,'DB Country PMI'!$A:$W,MATCH($A$1,'DB Country PMI'!$A$1:$W$1,),))</f>
        <v/>
      </c>
      <c r="C141" s="14">
        <f>Table134681134567101213[[#This Row],[PMI]]-B140</f>
        <v/>
      </c>
    </row>
    <row r="142">
      <c r="A142" s="8" t="n">
        <v>44593</v>
      </c>
      <c r="B142" s="11">
        <f>IF(VLOOKUP(A142,'DB Country PMI'!$A:$W,MATCH($A$1,'DB Country PMI'!$A$1:$W$1,),)=0,#N/A,VLOOKUP(A142,'DB Country PMI'!$A:$W,MATCH($A$1,'DB Country PMI'!$A$1:$W$1,),))</f>
        <v/>
      </c>
      <c r="C142" s="14">
        <f>Table134681134567101213[[#This Row],[PMI]]-B141</f>
        <v/>
      </c>
    </row>
    <row r="143">
      <c r="A143" s="8" t="n">
        <v>44621</v>
      </c>
      <c r="B143" s="11">
        <f>IF(VLOOKUP(A143,'DB Country PMI'!$A:$W,MATCH($A$1,'DB Country PMI'!$A$1:$W$1,),)=0,#N/A,VLOOKUP(A143,'DB Country PMI'!$A:$W,MATCH($A$1,'DB Country PMI'!$A$1:$W$1,),))</f>
        <v/>
      </c>
      <c r="C143" s="14">
        <f>Table134681134567101213[[#This Row],[PMI]]-B142</f>
        <v/>
      </c>
    </row>
  </sheetData>
  <conditionalFormatting sqref="C7:C143">
    <cfRule type="colorScale" priority="1">
      <colorScale>
        <cfvo type="min"/>
        <cfvo type="percentile" val="50"/>
        <cfvo type="max"/>
        <color rgb="FFF8696B"/>
        <color rgb="FFFCFCFF"/>
        <color rgb="FF5A8AC6"/>
      </colorScale>
    </cfRule>
  </conditionalFormatting>
  <conditionalFormatting sqref="B6:B143">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8.xml><?xml version="1.0" encoding="utf-8"?>
<worksheet xmlns="http://schemas.openxmlformats.org/spreadsheetml/2006/main">
  <sheetPr>
    <outlinePr summaryBelow="1" summaryRight="1"/>
    <pageSetUpPr/>
  </sheetPr>
  <dimension ref="A1:J143"/>
  <sheetViews>
    <sheetView zoomScale="170" zoomScaleNormal="170" workbookViewId="0">
      <pane ySplit="5" topLeftCell="A116" activePane="bottomLeft" state="frozen"/>
      <selection pane="bottomLeft" activeCell="A138" sqref="A138:C143"/>
    </sheetView>
  </sheetViews>
  <sheetFormatPr baseColWidth="10" defaultColWidth="9.1640625" defaultRowHeight="15"/>
  <cols>
    <col width="13.5" customWidth="1" style="60" min="1" max="1"/>
    <col width="11.33203125" customWidth="1" style="60" min="2" max="2"/>
    <col width="9.1640625" customWidth="1" style="60" min="3" max="7"/>
    <col width="9.1640625" customWidth="1" style="60" min="8" max="16384"/>
  </cols>
  <sheetData>
    <row r="1">
      <c r="A1" s="60" t="inlineStr">
        <is>
          <t>Spain</t>
        </is>
      </c>
      <c r="J1" s="60" t="inlineStr">
        <is>
          <t xml:space="preserve"> Services PMI</t>
        </is>
      </c>
    </row>
    <row r="2">
      <c r="J2" s="60" t="inlineStr">
        <is>
          <t>Spain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Table13468113456710121314[[#This Row],[PMI]]-B6</f>
        <v/>
      </c>
    </row>
    <row r="8">
      <c r="A8" s="8" t="n">
        <v>40513</v>
      </c>
      <c r="B8" s="11">
        <f>IF(VLOOKUP(A8,'DB Country PMI'!$A:$W,MATCH($A$1,'DB Country PMI'!$A$1:$W$1,),)=0,#N/A,VLOOKUP(A8,'DB Country PMI'!$A:$W,MATCH($A$1,'DB Country PMI'!$A$1:$W$1,),))</f>
        <v/>
      </c>
      <c r="C8" s="14">
        <f>Table13468113456710121314[[#This Row],[PMI]]-B7</f>
        <v/>
      </c>
    </row>
    <row r="9">
      <c r="A9" s="8" t="n">
        <v>40544</v>
      </c>
      <c r="B9" s="11">
        <f>IF(VLOOKUP(A9,'DB Country PMI'!$A:$W,MATCH($A$1,'DB Country PMI'!$A$1:$W$1,),)=0,#N/A,VLOOKUP(A9,'DB Country PMI'!$A:$W,MATCH($A$1,'DB Country PMI'!$A$1:$W$1,),))</f>
        <v/>
      </c>
      <c r="C9" s="14">
        <f>Table13468113456710121314[[#This Row],[PMI]]-B8</f>
        <v/>
      </c>
    </row>
    <row r="10">
      <c r="A10" s="8" t="n">
        <v>40575</v>
      </c>
      <c r="B10" s="11">
        <f>IF(VLOOKUP(A10,'DB Country PMI'!$A:$W,MATCH($A$1,'DB Country PMI'!$A$1:$W$1,),)=0,#N/A,VLOOKUP(A10,'DB Country PMI'!$A:$W,MATCH($A$1,'DB Country PMI'!$A$1:$W$1,),))</f>
        <v/>
      </c>
      <c r="C10" s="14">
        <f>Table13468113456710121314[[#This Row],[PMI]]-B9</f>
        <v/>
      </c>
    </row>
    <row r="11">
      <c r="A11" s="8" t="n">
        <v>40603</v>
      </c>
      <c r="B11" s="11">
        <f>IF(VLOOKUP(A11,'DB Country PMI'!$A:$W,MATCH($A$1,'DB Country PMI'!$A$1:$W$1,),)=0,#N/A,VLOOKUP(A11,'DB Country PMI'!$A:$W,MATCH($A$1,'DB Country PMI'!$A$1:$W$1,),))</f>
        <v/>
      </c>
      <c r="C11" s="14">
        <f>Table13468113456710121314[[#This Row],[PMI]]-B10</f>
        <v/>
      </c>
    </row>
    <row r="12">
      <c r="A12" s="8" t="n">
        <v>40634</v>
      </c>
      <c r="B12" s="11">
        <f>IF(VLOOKUP(A12,'DB Country PMI'!$A:$W,MATCH($A$1,'DB Country PMI'!$A$1:$W$1,),)=0,#N/A,VLOOKUP(A12,'DB Country PMI'!$A:$W,MATCH($A$1,'DB Country PMI'!$A$1:$W$1,),))</f>
        <v/>
      </c>
      <c r="C12" s="14">
        <f>Table13468113456710121314[[#This Row],[PMI]]-B11</f>
        <v/>
      </c>
    </row>
    <row r="13">
      <c r="A13" s="8" t="n">
        <v>40664</v>
      </c>
      <c r="B13" s="11">
        <f>IF(VLOOKUP(A13,'DB Country PMI'!$A:$W,MATCH($A$1,'DB Country PMI'!$A$1:$W$1,),)=0,#N/A,VLOOKUP(A13,'DB Country PMI'!$A:$W,MATCH($A$1,'DB Country PMI'!$A$1:$W$1,),))</f>
        <v/>
      </c>
      <c r="C13" s="14">
        <f>Table13468113456710121314[[#This Row],[PMI]]-B12</f>
        <v/>
      </c>
    </row>
    <row r="14">
      <c r="A14" s="8" t="n">
        <v>40695</v>
      </c>
      <c r="B14" s="11">
        <f>IF(VLOOKUP(A14,'DB Country PMI'!$A:$W,MATCH($A$1,'DB Country PMI'!$A$1:$W$1,),)=0,#N/A,VLOOKUP(A14,'DB Country PMI'!$A:$W,MATCH($A$1,'DB Country PMI'!$A$1:$W$1,),))</f>
        <v/>
      </c>
      <c r="C14" s="14">
        <f>Table13468113456710121314[[#This Row],[PMI]]-B13</f>
        <v/>
      </c>
    </row>
    <row r="15">
      <c r="A15" s="8" t="n">
        <v>40725</v>
      </c>
      <c r="B15" s="11">
        <f>IF(VLOOKUP(A15,'DB Country PMI'!$A:$W,MATCH($A$1,'DB Country PMI'!$A$1:$W$1,),)=0,#N/A,VLOOKUP(A15,'DB Country PMI'!$A:$W,MATCH($A$1,'DB Country PMI'!$A$1:$W$1,),))</f>
        <v/>
      </c>
      <c r="C15" s="14">
        <f>Table13468113456710121314[[#This Row],[PMI]]-B14</f>
        <v/>
      </c>
    </row>
    <row r="16">
      <c r="A16" s="8" t="n">
        <v>40756</v>
      </c>
      <c r="B16" s="11">
        <f>IF(VLOOKUP(A16,'DB Country PMI'!$A:$W,MATCH($A$1,'DB Country PMI'!$A$1:$W$1,),)=0,#N/A,VLOOKUP(A16,'DB Country PMI'!$A:$W,MATCH($A$1,'DB Country PMI'!$A$1:$W$1,),))</f>
        <v/>
      </c>
      <c r="C16" s="14">
        <f>Table13468113456710121314[[#This Row],[PMI]]-B15</f>
        <v/>
      </c>
    </row>
    <row r="17">
      <c r="A17" s="8" t="n">
        <v>40787</v>
      </c>
      <c r="B17" s="11">
        <f>IF(VLOOKUP(A17,'DB Country PMI'!$A:$W,MATCH($A$1,'DB Country PMI'!$A$1:$W$1,),)=0,#N/A,VLOOKUP(A17,'DB Country PMI'!$A:$W,MATCH($A$1,'DB Country PMI'!$A$1:$W$1,),))</f>
        <v/>
      </c>
      <c r="C17" s="14">
        <f>Table13468113456710121314[[#This Row],[PMI]]-B16</f>
        <v/>
      </c>
    </row>
    <row r="18">
      <c r="A18" s="8" t="n">
        <v>40817</v>
      </c>
      <c r="B18" s="11">
        <f>IF(VLOOKUP(A18,'DB Country PMI'!$A:$W,MATCH($A$1,'DB Country PMI'!$A$1:$W$1,),)=0,#N/A,VLOOKUP(A18,'DB Country PMI'!$A:$W,MATCH($A$1,'DB Country PMI'!$A$1:$W$1,),))</f>
        <v/>
      </c>
      <c r="C18" s="14">
        <f>Table13468113456710121314[[#This Row],[PMI]]-B17</f>
        <v/>
      </c>
    </row>
    <row r="19">
      <c r="A19" s="8" t="n">
        <v>40848</v>
      </c>
      <c r="B19" s="11">
        <f>IF(VLOOKUP(A19,'DB Country PMI'!$A:$W,MATCH($A$1,'DB Country PMI'!$A$1:$W$1,),)=0,#N/A,VLOOKUP(A19,'DB Country PMI'!$A:$W,MATCH($A$1,'DB Country PMI'!$A$1:$W$1,),))</f>
        <v/>
      </c>
      <c r="C19" s="14">
        <f>Table13468113456710121314[[#This Row],[PMI]]-B18</f>
        <v/>
      </c>
    </row>
    <row r="20">
      <c r="A20" s="8" t="n">
        <v>40878</v>
      </c>
      <c r="B20" s="11">
        <f>IF(VLOOKUP(A20,'DB Country PMI'!$A:$W,MATCH($A$1,'DB Country PMI'!$A$1:$W$1,),)=0,#N/A,VLOOKUP(A20,'DB Country PMI'!$A:$W,MATCH($A$1,'DB Country PMI'!$A$1:$W$1,),))</f>
        <v/>
      </c>
      <c r="C20" s="14">
        <f>Table13468113456710121314[[#This Row],[PMI]]-B19</f>
        <v/>
      </c>
    </row>
    <row r="21">
      <c r="A21" s="8" t="n">
        <v>40909</v>
      </c>
      <c r="B21" s="11">
        <f>IF(VLOOKUP(A21,'DB Country PMI'!$A:$W,MATCH($A$1,'DB Country PMI'!$A$1:$W$1,),)=0,#N/A,VLOOKUP(A21,'DB Country PMI'!$A:$W,MATCH($A$1,'DB Country PMI'!$A$1:$W$1,),))</f>
        <v/>
      </c>
      <c r="C21" s="14">
        <f>Table13468113456710121314[[#This Row],[PMI]]-B20</f>
        <v/>
      </c>
    </row>
    <row r="22">
      <c r="A22" s="8" t="n">
        <v>40940</v>
      </c>
      <c r="B22" s="11">
        <f>IF(VLOOKUP(A22,'DB Country PMI'!$A:$W,MATCH($A$1,'DB Country PMI'!$A$1:$W$1,),)=0,#N/A,VLOOKUP(A22,'DB Country PMI'!$A:$W,MATCH($A$1,'DB Country PMI'!$A$1:$W$1,),))</f>
        <v/>
      </c>
      <c r="C22" s="14">
        <f>Table13468113456710121314[[#This Row],[PMI]]-B21</f>
        <v/>
      </c>
    </row>
    <row r="23">
      <c r="A23" s="8" t="n">
        <v>40969</v>
      </c>
      <c r="B23" s="11">
        <f>IF(VLOOKUP(A23,'DB Country PMI'!$A:$W,MATCH($A$1,'DB Country PMI'!$A$1:$W$1,),)=0,#N/A,VLOOKUP(A23,'DB Country PMI'!$A:$W,MATCH($A$1,'DB Country PMI'!$A$1:$W$1,),))</f>
        <v/>
      </c>
      <c r="C23" s="14">
        <f>Table13468113456710121314[[#This Row],[PMI]]-B22</f>
        <v/>
      </c>
    </row>
    <row r="24">
      <c r="A24" s="8" t="n">
        <v>41000</v>
      </c>
      <c r="B24" s="11">
        <f>IF(VLOOKUP(A24,'DB Country PMI'!$A:$W,MATCH($A$1,'DB Country PMI'!$A$1:$W$1,),)=0,#N/A,VLOOKUP(A24,'DB Country PMI'!$A:$W,MATCH($A$1,'DB Country PMI'!$A$1:$W$1,),))</f>
        <v/>
      </c>
      <c r="C24" s="14">
        <f>Table13468113456710121314[[#This Row],[PMI]]-B23</f>
        <v/>
      </c>
    </row>
    <row r="25">
      <c r="A25" s="8" t="n">
        <v>41030</v>
      </c>
      <c r="B25" s="11">
        <f>IF(VLOOKUP(A25,'DB Country PMI'!$A:$W,MATCH($A$1,'DB Country PMI'!$A$1:$W$1,),)=0,#N/A,VLOOKUP(A25,'DB Country PMI'!$A:$W,MATCH($A$1,'DB Country PMI'!$A$1:$W$1,),))</f>
        <v/>
      </c>
      <c r="C25" s="14">
        <f>Table13468113456710121314[[#This Row],[PMI]]-B24</f>
        <v/>
      </c>
    </row>
    <row r="26">
      <c r="A26" s="8" t="n">
        <v>41061</v>
      </c>
      <c r="B26" s="11">
        <f>IF(VLOOKUP(A26,'DB Country PMI'!$A:$W,MATCH($A$1,'DB Country PMI'!$A$1:$W$1,),)=0,#N/A,VLOOKUP(A26,'DB Country PMI'!$A:$W,MATCH($A$1,'DB Country PMI'!$A$1:$W$1,),))</f>
        <v/>
      </c>
      <c r="C26" s="14">
        <f>Table13468113456710121314[[#This Row],[PMI]]-B25</f>
        <v/>
      </c>
    </row>
    <row r="27">
      <c r="A27" s="8" t="n">
        <v>41091</v>
      </c>
      <c r="B27" s="11">
        <f>IF(VLOOKUP(A27,'DB Country PMI'!$A:$W,MATCH($A$1,'DB Country PMI'!$A$1:$W$1,),)=0,#N/A,VLOOKUP(A27,'DB Country PMI'!$A:$W,MATCH($A$1,'DB Country PMI'!$A$1:$W$1,),))</f>
        <v/>
      </c>
      <c r="C27" s="14">
        <f>Table13468113456710121314[[#This Row],[PMI]]-B26</f>
        <v/>
      </c>
    </row>
    <row r="28">
      <c r="A28" s="8" t="n">
        <v>41122</v>
      </c>
      <c r="B28" s="11">
        <f>IF(VLOOKUP(A28,'DB Country PMI'!$A:$W,MATCH($A$1,'DB Country PMI'!$A$1:$W$1,),)=0,#N/A,VLOOKUP(A28,'DB Country PMI'!$A:$W,MATCH($A$1,'DB Country PMI'!$A$1:$W$1,),))</f>
        <v/>
      </c>
      <c r="C28" s="14">
        <f>Table13468113456710121314[[#This Row],[PMI]]-B27</f>
        <v/>
      </c>
    </row>
    <row r="29">
      <c r="A29" s="8" t="n">
        <v>41153</v>
      </c>
      <c r="B29" s="11">
        <f>IF(VLOOKUP(A29,'DB Country PMI'!$A:$W,MATCH($A$1,'DB Country PMI'!$A$1:$W$1,),)=0,#N/A,VLOOKUP(A29,'DB Country PMI'!$A:$W,MATCH($A$1,'DB Country PMI'!$A$1:$W$1,),))</f>
        <v/>
      </c>
      <c r="C29" s="14">
        <f>Table13468113456710121314[[#This Row],[PMI]]-B28</f>
        <v/>
      </c>
    </row>
    <row r="30">
      <c r="A30" s="8" t="n">
        <v>41183</v>
      </c>
      <c r="B30" s="11">
        <f>IF(VLOOKUP(A30,'DB Country PMI'!$A:$W,MATCH($A$1,'DB Country PMI'!$A$1:$W$1,),)=0,#N/A,VLOOKUP(A30,'DB Country PMI'!$A:$W,MATCH($A$1,'DB Country PMI'!$A$1:$W$1,),))</f>
        <v/>
      </c>
      <c r="C30" s="14">
        <f>Table13468113456710121314[[#This Row],[PMI]]-B29</f>
        <v/>
      </c>
    </row>
    <row r="31">
      <c r="A31" s="8" t="n">
        <v>41214</v>
      </c>
      <c r="B31" s="11">
        <f>IF(VLOOKUP(A31,'DB Country PMI'!$A:$W,MATCH($A$1,'DB Country PMI'!$A$1:$W$1,),)=0,#N/A,VLOOKUP(A31,'DB Country PMI'!$A:$W,MATCH($A$1,'DB Country PMI'!$A$1:$W$1,),))</f>
        <v/>
      </c>
      <c r="C31" s="14">
        <f>Table13468113456710121314[[#This Row],[PMI]]-B30</f>
        <v/>
      </c>
    </row>
    <row r="32">
      <c r="A32" s="8" t="n">
        <v>41244</v>
      </c>
      <c r="B32" s="11">
        <f>IF(VLOOKUP(A32,'DB Country PMI'!$A:$W,MATCH($A$1,'DB Country PMI'!$A$1:$W$1,),)=0,#N/A,VLOOKUP(A32,'DB Country PMI'!$A:$W,MATCH($A$1,'DB Country PMI'!$A$1:$W$1,),))</f>
        <v/>
      </c>
      <c r="C32" s="14">
        <f>Table13468113456710121314[[#This Row],[PMI]]-B31</f>
        <v/>
      </c>
    </row>
    <row r="33">
      <c r="A33" s="8" t="n">
        <v>41275</v>
      </c>
      <c r="B33" s="11">
        <f>IF(VLOOKUP(A33,'DB Country PMI'!$A:$W,MATCH($A$1,'DB Country PMI'!$A$1:$W$1,),)=0,#N/A,VLOOKUP(A33,'DB Country PMI'!$A:$W,MATCH($A$1,'DB Country PMI'!$A$1:$W$1,),))</f>
        <v/>
      </c>
      <c r="C33" s="14">
        <f>Table13468113456710121314[[#This Row],[PMI]]-B32</f>
        <v/>
      </c>
    </row>
    <row r="34">
      <c r="A34" s="8" t="n">
        <v>41306</v>
      </c>
      <c r="B34" s="11">
        <f>IF(VLOOKUP(A34,'DB Country PMI'!$A:$W,MATCH($A$1,'DB Country PMI'!$A$1:$W$1,),)=0,#N/A,VLOOKUP(A34,'DB Country PMI'!$A:$W,MATCH($A$1,'DB Country PMI'!$A$1:$W$1,),))</f>
        <v/>
      </c>
      <c r="C34" s="14">
        <f>Table13468113456710121314[[#This Row],[PMI]]-B33</f>
        <v/>
      </c>
    </row>
    <row r="35">
      <c r="A35" s="8" t="n">
        <v>41334</v>
      </c>
      <c r="B35" s="11">
        <f>IF(VLOOKUP(A35,'DB Country PMI'!$A:$W,MATCH($A$1,'DB Country PMI'!$A$1:$W$1,),)=0,#N/A,VLOOKUP(A35,'DB Country PMI'!$A:$W,MATCH($A$1,'DB Country PMI'!$A$1:$W$1,),))</f>
        <v/>
      </c>
      <c r="C35" s="14">
        <f>Table13468113456710121314[[#This Row],[PMI]]-B34</f>
        <v/>
      </c>
    </row>
    <row r="36">
      <c r="A36" s="8" t="n">
        <v>41365</v>
      </c>
      <c r="B36" s="11">
        <f>IF(VLOOKUP(A36,'DB Country PMI'!$A:$W,MATCH($A$1,'DB Country PMI'!$A$1:$W$1,),)=0,#N/A,VLOOKUP(A36,'DB Country PMI'!$A:$W,MATCH($A$1,'DB Country PMI'!$A$1:$W$1,),))</f>
        <v/>
      </c>
      <c r="C36" s="14">
        <f>Table13468113456710121314[[#This Row],[PMI]]-B35</f>
        <v/>
      </c>
    </row>
    <row r="37">
      <c r="A37" s="8" t="n">
        <v>41395</v>
      </c>
      <c r="B37" s="11">
        <f>IF(VLOOKUP(A37,'DB Country PMI'!$A:$W,MATCH($A$1,'DB Country PMI'!$A$1:$W$1,),)=0,#N/A,VLOOKUP(A37,'DB Country PMI'!$A:$W,MATCH($A$1,'DB Country PMI'!$A$1:$W$1,),))</f>
        <v/>
      </c>
      <c r="C37" s="14">
        <f>Table13468113456710121314[[#This Row],[PMI]]-B36</f>
        <v/>
      </c>
    </row>
    <row r="38">
      <c r="A38" s="8" t="n">
        <v>41426</v>
      </c>
      <c r="B38" s="11">
        <f>IF(VLOOKUP(A38,'DB Country PMI'!$A:$W,MATCH($A$1,'DB Country PMI'!$A$1:$W$1,),)=0,#N/A,VLOOKUP(A38,'DB Country PMI'!$A:$W,MATCH($A$1,'DB Country PMI'!$A$1:$W$1,),))</f>
        <v/>
      </c>
      <c r="C38" s="14">
        <f>Table13468113456710121314[[#This Row],[PMI]]-B37</f>
        <v/>
      </c>
    </row>
    <row r="39">
      <c r="A39" s="8" t="n">
        <v>41456</v>
      </c>
      <c r="B39" s="11">
        <f>IF(VLOOKUP(A39,'DB Country PMI'!$A:$W,MATCH($A$1,'DB Country PMI'!$A$1:$W$1,),)=0,#N/A,VLOOKUP(A39,'DB Country PMI'!$A:$W,MATCH($A$1,'DB Country PMI'!$A$1:$W$1,),))</f>
        <v/>
      </c>
      <c r="C39" s="14">
        <f>Table13468113456710121314[[#This Row],[PMI]]-B38</f>
        <v/>
      </c>
    </row>
    <row r="40">
      <c r="A40" s="8" t="n">
        <v>41487</v>
      </c>
      <c r="B40" s="11">
        <f>IF(VLOOKUP(A40,'DB Country PMI'!$A:$W,MATCH($A$1,'DB Country PMI'!$A$1:$W$1,),)=0,#N/A,VLOOKUP(A40,'DB Country PMI'!$A:$W,MATCH($A$1,'DB Country PMI'!$A$1:$W$1,),))</f>
        <v/>
      </c>
      <c r="C40" s="14">
        <f>Table13468113456710121314[[#This Row],[PMI]]-B39</f>
        <v/>
      </c>
    </row>
    <row r="41">
      <c r="A41" s="8" t="n">
        <v>41518</v>
      </c>
      <c r="B41" s="11">
        <f>IF(VLOOKUP(A41,'DB Country PMI'!$A:$W,MATCH($A$1,'DB Country PMI'!$A$1:$W$1,),)=0,#N/A,VLOOKUP(A41,'DB Country PMI'!$A:$W,MATCH($A$1,'DB Country PMI'!$A$1:$W$1,),))</f>
        <v/>
      </c>
      <c r="C41" s="14">
        <f>Table13468113456710121314[[#This Row],[PMI]]-B40</f>
        <v/>
      </c>
    </row>
    <row r="42">
      <c r="A42" s="8" t="n">
        <v>41548</v>
      </c>
      <c r="B42" s="11">
        <f>IF(VLOOKUP(A42,'DB Country PMI'!$A:$W,MATCH($A$1,'DB Country PMI'!$A$1:$W$1,),)=0,#N/A,VLOOKUP(A42,'DB Country PMI'!$A:$W,MATCH($A$1,'DB Country PMI'!$A$1:$W$1,),))</f>
        <v/>
      </c>
      <c r="C42" s="14">
        <f>Table13468113456710121314[[#This Row],[PMI]]-B41</f>
        <v/>
      </c>
    </row>
    <row r="43">
      <c r="A43" s="8" t="n">
        <v>41579</v>
      </c>
      <c r="B43" s="11">
        <f>IF(VLOOKUP(A43,'DB Country PMI'!$A:$W,MATCH($A$1,'DB Country PMI'!$A$1:$W$1,),)=0,#N/A,VLOOKUP(A43,'DB Country PMI'!$A:$W,MATCH($A$1,'DB Country PMI'!$A$1:$W$1,),))</f>
        <v/>
      </c>
      <c r="C43" s="14">
        <f>Table13468113456710121314[[#This Row],[PMI]]-B42</f>
        <v/>
      </c>
    </row>
    <row r="44">
      <c r="A44" s="8" t="n">
        <v>41609</v>
      </c>
      <c r="B44" s="11">
        <f>IF(VLOOKUP(A44,'DB Country PMI'!$A:$W,MATCH($A$1,'DB Country PMI'!$A$1:$W$1,),)=0,#N/A,VLOOKUP(A44,'DB Country PMI'!$A:$W,MATCH($A$1,'DB Country PMI'!$A$1:$W$1,),))</f>
        <v/>
      </c>
      <c r="C44" s="14">
        <f>Table13468113456710121314[[#This Row],[PMI]]-B43</f>
        <v/>
      </c>
    </row>
    <row r="45">
      <c r="A45" s="8" t="n">
        <v>41640</v>
      </c>
      <c r="B45" s="11">
        <f>IF(VLOOKUP(A45,'DB Country PMI'!$A:$W,MATCH($A$1,'DB Country PMI'!$A$1:$W$1,),)=0,#N/A,VLOOKUP(A45,'DB Country PMI'!$A:$W,MATCH($A$1,'DB Country PMI'!$A$1:$W$1,),))</f>
        <v/>
      </c>
      <c r="C45" s="14">
        <f>Table13468113456710121314[[#This Row],[PMI]]-B44</f>
        <v/>
      </c>
    </row>
    <row r="46">
      <c r="A46" s="8" t="n">
        <v>41671</v>
      </c>
      <c r="B46" s="11">
        <f>IF(VLOOKUP(A46,'DB Country PMI'!$A:$W,MATCH($A$1,'DB Country PMI'!$A$1:$W$1,),)=0,#N/A,VLOOKUP(A46,'DB Country PMI'!$A:$W,MATCH($A$1,'DB Country PMI'!$A$1:$W$1,),))</f>
        <v/>
      </c>
      <c r="C46" s="14">
        <f>Table13468113456710121314[[#This Row],[PMI]]-B45</f>
        <v/>
      </c>
    </row>
    <row r="47">
      <c r="A47" s="8" t="n">
        <v>41699</v>
      </c>
      <c r="B47" s="11">
        <f>IF(VLOOKUP(A47,'DB Country PMI'!$A:$W,MATCH($A$1,'DB Country PMI'!$A$1:$W$1,),)=0,#N/A,VLOOKUP(A47,'DB Country PMI'!$A:$W,MATCH($A$1,'DB Country PMI'!$A$1:$W$1,),))</f>
        <v/>
      </c>
      <c r="C47" s="14">
        <f>Table13468113456710121314[[#This Row],[PMI]]-B46</f>
        <v/>
      </c>
    </row>
    <row r="48">
      <c r="A48" s="8" t="n">
        <v>41730</v>
      </c>
      <c r="B48" s="11">
        <f>IF(VLOOKUP(A48,'DB Country PMI'!$A:$W,MATCH($A$1,'DB Country PMI'!$A$1:$W$1,),)=0,#N/A,VLOOKUP(A48,'DB Country PMI'!$A:$W,MATCH($A$1,'DB Country PMI'!$A$1:$W$1,),))</f>
        <v/>
      </c>
      <c r="C48" s="14">
        <f>Table13468113456710121314[[#This Row],[PMI]]-B47</f>
        <v/>
      </c>
    </row>
    <row r="49">
      <c r="A49" s="8" t="n">
        <v>41760</v>
      </c>
      <c r="B49" s="11">
        <f>IF(VLOOKUP(A49,'DB Country PMI'!$A:$W,MATCH($A$1,'DB Country PMI'!$A$1:$W$1,),)=0,#N/A,VLOOKUP(A49,'DB Country PMI'!$A:$W,MATCH($A$1,'DB Country PMI'!$A$1:$W$1,),))</f>
        <v/>
      </c>
      <c r="C49" s="14">
        <f>Table13468113456710121314[[#This Row],[PMI]]-B48</f>
        <v/>
      </c>
    </row>
    <row r="50">
      <c r="A50" s="8" t="n">
        <v>41791</v>
      </c>
      <c r="B50" s="11">
        <f>IF(VLOOKUP(A50,'DB Country PMI'!$A:$W,MATCH($A$1,'DB Country PMI'!$A$1:$W$1,),)=0,#N/A,VLOOKUP(A50,'DB Country PMI'!$A:$W,MATCH($A$1,'DB Country PMI'!$A$1:$W$1,),))</f>
        <v/>
      </c>
      <c r="C50" s="14">
        <f>Table13468113456710121314[[#This Row],[PMI]]-B49</f>
        <v/>
      </c>
    </row>
    <row r="51">
      <c r="A51" s="8" t="n">
        <v>41821</v>
      </c>
      <c r="B51" s="11">
        <f>IF(VLOOKUP(A51,'DB Country PMI'!$A:$W,MATCH($A$1,'DB Country PMI'!$A$1:$W$1,),)=0,#N/A,VLOOKUP(A51,'DB Country PMI'!$A:$W,MATCH($A$1,'DB Country PMI'!$A$1:$W$1,),))</f>
        <v/>
      </c>
      <c r="C51" s="14">
        <f>Table13468113456710121314[[#This Row],[PMI]]-B50</f>
        <v/>
      </c>
    </row>
    <row r="52">
      <c r="A52" s="8" t="n">
        <v>41852</v>
      </c>
      <c r="B52" s="11">
        <f>IF(VLOOKUP(A52,'DB Country PMI'!$A:$W,MATCH($A$1,'DB Country PMI'!$A$1:$W$1,),)=0,#N/A,VLOOKUP(A52,'DB Country PMI'!$A:$W,MATCH($A$1,'DB Country PMI'!$A$1:$W$1,),))</f>
        <v/>
      </c>
      <c r="C52" s="14">
        <f>Table13468113456710121314[[#This Row],[PMI]]-B51</f>
        <v/>
      </c>
    </row>
    <row r="53">
      <c r="A53" s="8" t="n">
        <v>41883</v>
      </c>
      <c r="B53" s="11">
        <f>IF(VLOOKUP(A53,'DB Country PMI'!$A:$W,MATCH($A$1,'DB Country PMI'!$A$1:$W$1,),)=0,#N/A,VLOOKUP(A53,'DB Country PMI'!$A:$W,MATCH($A$1,'DB Country PMI'!$A$1:$W$1,),))</f>
        <v/>
      </c>
      <c r="C53" s="14">
        <f>Table13468113456710121314[[#This Row],[PMI]]-B52</f>
        <v/>
      </c>
    </row>
    <row r="54">
      <c r="A54" s="8" t="n">
        <v>41913</v>
      </c>
      <c r="B54" s="11">
        <f>IF(VLOOKUP(A54,'DB Country PMI'!$A:$W,MATCH($A$1,'DB Country PMI'!$A$1:$W$1,),)=0,#N/A,VLOOKUP(A54,'DB Country PMI'!$A:$W,MATCH($A$1,'DB Country PMI'!$A$1:$W$1,),))</f>
        <v/>
      </c>
      <c r="C54" s="14">
        <f>Table13468113456710121314[[#This Row],[PMI]]-B53</f>
        <v/>
      </c>
    </row>
    <row r="55">
      <c r="A55" s="8" t="n">
        <v>41944</v>
      </c>
      <c r="B55" s="11">
        <f>IF(VLOOKUP(A55,'DB Country PMI'!$A:$W,MATCH($A$1,'DB Country PMI'!$A$1:$W$1,),)=0,#N/A,VLOOKUP(A55,'DB Country PMI'!$A:$W,MATCH($A$1,'DB Country PMI'!$A$1:$W$1,),))</f>
        <v/>
      </c>
      <c r="C55" s="14">
        <f>Table13468113456710121314[[#This Row],[PMI]]-B54</f>
        <v/>
      </c>
    </row>
    <row r="56">
      <c r="A56" s="8" t="n">
        <v>41974</v>
      </c>
      <c r="B56" s="11">
        <f>IF(VLOOKUP(A56,'DB Country PMI'!$A:$W,MATCH($A$1,'DB Country PMI'!$A$1:$W$1,),)=0,#N/A,VLOOKUP(A56,'DB Country PMI'!$A:$W,MATCH($A$1,'DB Country PMI'!$A$1:$W$1,),))</f>
        <v/>
      </c>
      <c r="C56" s="14">
        <f>Table13468113456710121314[[#This Row],[PMI]]-B55</f>
        <v/>
      </c>
    </row>
    <row r="57">
      <c r="A57" s="8" t="n">
        <v>42005</v>
      </c>
      <c r="B57" s="11">
        <f>IF(VLOOKUP(A57,'DB Country PMI'!$A:$W,MATCH($A$1,'DB Country PMI'!$A$1:$W$1,),)=0,#N/A,VLOOKUP(A57,'DB Country PMI'!$A:$W,MATCH($A$1,'DB Country PMI'!$A$1:$W$1,),))</f>
        <v/>
      </c>
      <c r="C57" s="14">
        <f>Table13468113456710121314[[#This Row],[PMI]]-B56</f>
        <v/>
      </c>
    </row>
    <row r="58">
      <c r="A58" s="8" t="n">
        <v>42036</v>
      </c>
      <c r="B58" s="11">
        <f>IF(VLOOKUP(A58,'DB Country PMI'!$A:$W,MATCH($A$1,'DB Country PMI'!$A$1:$W$1,),)=0,#N/A,VLOOKUP(A58,'DB Country PMI'!$A:$W,MATCH($A$1,'DB Country PMI'!$A$1:$W$1,),))</f>
        <v/>
      </c>
      <c r="C58" s="14">
        <f>Table13468113456710121314[[#This Row],[PMI]]-B57</f>
        <v/>
      </c>
    </row>
    <row r="59">
      <c r="A59" s="8" t="n">
        <v>42064</v>
      </c>
      <c r="B59" s="11">
        <f>IF(VLOOKUP(A59,'DB Country PMI'!$A:$W,MATCH($A$1,'DB Country PMI'!$A$1:$W$1,),)=0,#N/A,VLOOKUP(A59,'DB Country PMI'!$A:$W,MATCH($A$1,'DB Country PMI'!$A$1:$W$1,),))</f>
        <v/>
      </c>
      <c r="C59" s="14">
        <f>Table13468113456710121314[[#This Row],[PMI]]-B58</f>
        <v/>
      </c>
    </row>
    <row r="60">
      <c r="A60" s="8" t="n">
        <v>42095</v>
      </c>
      <c r="B60" s="11">
        <f>IF(VLOOKUP(A60,'DB Country PMI'!$A:$W,MATCH($A$1,'DB Country PMI'!$A$1:$W$1,),)=0,#N/A,VLOOKUP(A60,'DB Country PMI'!$A:$W,MATCH($A$1,'DB Country PMI'!$A$1:$W$1,),))</f>
        <v/>
      </c>
      <c r="C60" s="14">
        <f>Table13468113456710121314[[#This Row],[PMI]]-B59</f>
        <v/>
      </c>
    </row>
    <row r="61">
      <c r="A61" s="8" t="n">
        <v>42125</v>
      </c>
      <c r="B61" s="11">
        <f>IF(VLOOKUP(A61,'DB Country PMI'!$A:$W,MATCH($A$1,'DB Country PMI'!$A$1:$W$1,),)=0,#N/A,VLOOKUP(A61,'DB Country PMI'!$A:$W,MATCH($A$1,'DB Country PMI'!$A$1:$W$1,),))</f>
        <v/>
      </c>
      <c r="C61" s="14">
        <f>Table13468113456710121314[[#This Row],[PMI]]-B60</f>
        <v/>
      </c>
    </row>
    <row r="62">
      <c r="A62" s="8" t="n">
        <v>42156</v>
      </c>
      <c r="B62" s="11">
        <f>IF(VLOOKUP(A62,'DB Country PMI'!$A:$W,MATCH($A$1,'DB Country PMI'!$A$1:$W$1,),)=0,#N/A,VLOOKUP(A62,'DB Country PMI'!$A:$W,MATCH($A$1,'DB Country PMI'!$A$1:$W$1,),))</f>
        <v/>
      </c>
      <c r="C62" s="14">
        <f>Table13468113456710121314[[#This Row],[PMI]]-B61</f>
        <v/>
      </c>
    </row>
    <row r="63">
      <c r="A63" s="8" t="n">
        <v>42186</v>
      </c>
      <c r="B63" s="11">
        <f>IF(VLOOKUP(A63,'DB Country PMI'!$A:$W,MATCH($A$1,'DB Country PMI'!$A$1:$W$1,),)=0,#N/A,VLOOKUP(A63,'DB Country PMI'!$A:$W,MATCH($A$1,'DB Country PMI'!$A$1:$W$1,),))</f>
        <v/>
      </c>
      <c r="C63" s="14">
        <f>Table13468113456710121314[[#This Row],[PMI]]-B62</f>
        <v/>
      </c>
    </row>
    <row r="64">
      <c r="A64" s="8" t="n">
        <v>42217</v>
      </c>
      <c r="B64" s="11">
        <f>IF(VLOOKUP(A64,'DB Country PMI'!$A:$W,MATCH($A$1,'DB Country PMI'!$A$1:$W$1,),)=0,#N/A,VLOOKUP(A64,'DB Country PMI'!$A:$W,MATCH($A$1,'DB Country PMI'!$A$1:$W$1,),))</f>
        <v/>
      </c>
      <c r="C64" s="14">
        <f>Table13468113456710121314[[#This Row],[PMI]]-B63</f>
        <v/>
      </c>
    </row>
    <row r="65">
      <c r="A65" s="8" t="n">
        <v>42248</v>
      </c>
      <c r="B65" s="11">
        <f>IF(VLOOKUP(A65,'DB Country PMI'!$A:$W,MATCH($A$1,'DB Country PMI'!$A$1:$W$1,),)=0,#N/A,VLOOKUP(A65,'DB Country PMI'!$A:$W,MATCH($A$1,'DB Country PMI'!$A$1:$W$1,),))</f>
        <v/>
      </c>
      <c r="C65" s="14">
        <f>Table13468113456710121314[[#This Row],[PMI]]-B64</f>
        <v/>
      </c>
    </row>
    <row r="66">
      <c r="A66" s="8" t="n">
        <v>42278</v>
      </c>
      <c r="B66" s="11">
        <f>IF(VLOOKUP(A66,'DB Country PMI'!$A:$W,MATCH($A$1,'DB Country PMI'!$A$1:$W$1,),)=0,#N/A,VLOOKUP(A66,'DB Country PMI'!$A:$W,MATCH($A$1,'DB Country PMI'!$A$1:$W$1,),))</f>
        <v/>
      </c>
      <c r="C66" s="14">
        <f>Table13468113456710121314[[#This Row],[PMI]]-B65</f>
        <v/>
      </c>
    </row>
    <row r="67">
      <c r="A67" s="8" t="n">
        <v>42309</v>
      </c>
      <c r="B67" s="11">
        <f>IF(VLOOKUP(A67,'DB Country PMI'!$A:$W,MATCH($A$1,'DB Country PMI'!$A$1:$W$1,),)=0,#N/A,VLOOKUP(A67,'DB Country PMI'!$A:$W,MATCH($A$1,'DB Country PMI'!$A$1:$W$1,),))</f>
        <v/>
      </c>
      <c r="C67" s="14">
        <f>Table13468113456710121314[[#This Row],[PMI]]-B66</f>
        <v/>
      </c>
    </row>
    <row r="68">
      <c r="A68" s="8" t="n">
        <v>42339</v>
      </c>
      <c r="B68" s="11">
        <f>IF(VLOOKUP(A68,'DB Country PMI'!$A:$W,MATCH($A$1,'DB Country PMI'!$A$1:$W$1,),)=0,#N/A,VLOOKUP(A68,'DB Country PMI'!$A:$W,MATCH($A$1,'DB Country PMI'!$A$1:$W$1,),))</f>
        <v/>
      </c>
      <c r="C68" s="14">
        <f>Table13468113456710121314[[#This Row],[PMI]]-B67</f>
        <v/>
      </c>
    </row>
    <row r="69">
      <c r="A69" s="8" t="n">
        <v>42370</v>
      </c>
      <c r="B69" s="11">
        <f>IF(VLOOKUP(A69,'DB Country PMI'!$A:$W,MATCH($A$1,'DB Country PMI'!$A$1:$W$1,),)=0,#N/A,VLOOKUP(A69,'DB Country PMI'!$A:$W,MATCH($A$1,'DB Country PMI'!$A$1:$W$1,),))</f>
        <v/>
      </c>
      <c r="C69" s="14">
        <f>Table13468113456710121314[[#This Row],[PMI]]-B68</f>
        <v/>
      </c>
    </row>
    <row r="70">
      <c r="A70" s="8" t="n">
        <v>42401</v>
      </c>
      <c r="B70" s="11">
        <f>IF(VLOOKUP(A70,'DB Country PMI'!$A:$W,MATCH($A$1,'DB Country PMI'!$A$1:$W$1,),)=0,#N/A,VLOOKUP(A70,'DB Country PMI'!$A:$W,MATCH($A$1,'DB Country PMI'!$A$1:$W$1,),))</f>
        <v/>
      </c>
      <c r="C70" s="14">
        <f>Table13468113456710121314[[#This Row],[PMI]]-B69</f>
        <v/>
      </c>
    </row>
    <row r="71">
      <c r="A71" s="8" t="n">
        <v>42430</v>
      </c>
      <c r="B71" s="11">
        <f>IF(VLOOKUP(A71,'DB Country PMI'!$A:$W,MATCH($A$1,'DB Country PMI'!$A$1:$W$1,),)=0,#N/A,VLOOKUP(A71,'DB Country PMI'!$A:$W,MATCH($A$1,'DB Country PMI'!$A$1:$W$1,),))</f>
        <v/>
      </c>
      <c r="C71" s="14">
        <f>Table13468113456710121314[[#This Row],[PMI]]-B70</f>
        <v/>
      </c>
    </row>
    <row r="72">
      <c r="A72" s="8" t="n">
        <v>42461</v>
      </c>
      <c r="B72" s="11">
        <f>IF(VLOOKUP(A72,'DB Country PMI'!$A:$W,MATCH($A$1,'DB Country PMI'!$A$1:$W$1,),)=0,#N/A,VLOOKUP(A72,'DB Country PMI'!$A:$W,MATCH($A$1,'DB Country PMI'!$A$1:$W$1,),))</f>
        <v/>
      </c>
      <c r="C72" s="14">
        <f>Table13468113456710121314[[#This Row],[PMI]]-B71</f>
        <v/>
      </c>
    </row>
    <row r="73">
      <c r="A73" s="8" t="n">
        <v>42491</v>
      </c>
      <c r="B73" s="11">
        <f>IF(VLOOKUP(A73,'DB Country PMI'!$A:$W,MATCH($A$1,'DB Country PMI'!$A$1:$W$1,),)=0,#N/A,VLOOKUP(A73,'DB Country PMI'!$A:$W,MATCH($A$1,'DB Country PMI'!$A$1:$W$1,),))</f>
        <v/>
      </c>
      <c r="C73" s="14">
        <f>Table13468113456710121314[[#This Row],[PMI]]-B72</f>
        <v/>
      </c>
    </row>
    <row r="74">
      <c r="A74" s="8" t="n">
        <v>42522</v>
      </c>
      <c r="B74" s="11">
        <f>IF(VLOOKUP(A74,'DB Country PMI'!$A:$W,MATCH($A$1,'DB Country PMI'!$A$1:$W$1,),)=0,#N/A,VLOOKUP(A74,'DB Country PMI'!$A:$W,MATCH($A$1,'DB Country PMI'!$A$1:$W$1,),))</f>
        <v/>
      </c>
      <c r="C74" s="14">
        <f>Table13468113456710121314[[#This Row],[PMI]]-B73</f>
        <v/>
      </c>
    </row>
    <row r="75">
      <c r="A75" s="8" t="n">
        <v>42552</v>
      </c>
      <c r="B75" s="11">
        <f>IF(VLOOKUP(A75,'DB Country PMI'!$A:$W,MATCH($A$1,'DB Country PMI'!$A$1:$W$1,),)=0,#N/A,VLOOKUP(A75,'DB Country PMI'!$A:$W,MATCH($A$1,'DB Country PMI'!$A$1:$W$1,),))</f>
        <v/>
      </c>
      <c r="C75" s="14">
        <f>Table13468113456710121314[[#This Row],[PMI]]-B74</f>
        <v/>
      </c>
    </row>
    <row r="76">
      <c r="A76" s="8" t="n">
        <v>42583</v>
      </c>
      <c r="B76" s="11">
        <f>IF(VLOOKUP(A76,'DB Country PMI'!$A:$W,MATCH($A$1,'DB Country PMI'!$A$1:$W$1,),)=0,#N/A,VLOOKUP(A76,'DB Country PMI'!$A:$W,MATCH($A$1,'DB Country PMI'!$A$1:$W$1,),))</f>
        <v/>
      </c>
      <c r="C76" s="14">
        <f>Table13468113456710121314[[#This Row],[PMI]]-B75</f>
        <v/>
      </c>
    </row>
    <row r="77">
      <c r="A77" s="8" t="n">
        <v>42614</v>
      </c>
      <c r="B77" s="11">
        <f>IF(VLOOKUP(A77,'DB Country PMI'!$A:$W,MATCH($A$1,'DB Country PMI'!$A$1:$W$1,),)=0,#N/A,VLOOKUP(A77,'DB Country PMI'!$A:$W,MATCH($A$1,'DB Country PMI'!$A$1:$W$1,),))</f>
        <v/>
      </c>
      <c r="C77" s="14">
        <f>Table13468113456710121314[[#This Row],[PMI]]-B76</f>
        <v/>
      </c>
    </row>
    <row r="78">
      <c r="A78" s="8" t="n">
        <v>42644</v>
      </c>
      <c r="B78" s="11">
        <f>IF(VLOOKUP(A78,'DB Country PMI'!$A:$W,MATCH($A$1,'DB Country PMI'!$A$1:$W$1,),)=0,#N/A,VLOOKUP(A78,'DB Country PMI'!$A:$W,MATCH($A$1,'DB Country PMI'!$A$1:$W$1,),))</f>
        <v/>
      </c>
      <c r="C78" s="14">
        <f>Table13468113456710121314[[#This Row],[PMI]]-B77</f>
        <v/>
      </c>
    </row>
    <row r="79">
      <c r="A79" s="8" t="n">
        <v>42675</v>
      </c>
      <c r="B79" s="11">
        <f>IF(VLOOKUP(A79,'DB Country PMI'!$A:$W,MATCH($A$1,'DB Country PMI'!$A$1:$W$1,),)=0,#N/A,VLOOKUP(A79,'DB Country PMI'!$A:$W,MATCH($A$1,'DB Country PMI'!$A$1:$W$1,),))</f>
        <v/>
      </c>
      <c r="C79" s="14">
        <f>Table13468113456710121314[[#This Row],[PMI]]-B78</f>
        <v/>
      </c>
    </row>
    <row r="80">
      <c r="A80" s="8" t="n">
        <v>42705</v>
      </c>
      <c r="B80" s="11">
        <f>IF(VLOOKUP(A80,'DB Country PMI'!$A:$W,MATCH($A$1,'DB Country PMI'!$A$1:$W$1,),)=0,#N/A,VLOOKUP(A80,'DB Country PMI'!$A:$W,MATCH($A$1,'DB Country PMI'!$A$1:$W$1,),))</f>
        <v/>
      </c>
      <c r="C80" s="14">
        <f>Table13468113456710121314[[#This Row],[PMI]]-B79</f>
        <v/>
      </c>
    </row>
    <row r="81">
      <c r="A81" s="8" t="n">
        <v>42736</v>
      </c>
      <c r="B81" s="11">
        <f>IF(VLOOKUP(A81,'DB Country PMI'!$A:$W,MATCH($A$1,'DB Country PMI'!$A$1:$W$1,),)=0,#N/A,VLOOKUP(A81,'DB Country PMI'!$A:$W,MATCH($A$1,'DB Country PMI'!$A$1:$W$1,),))</f>
        <v/>
      </c>
      <c r="C81" s="14">
        <f>Table13468113456710121314[[#This Row],[PMI]]-B80</f>
        <v/>
      </c>
    </row>
    <row r="82">
      <c r="A82" s="8" t="n">
        <v>42767</v>
      </c>
      <c r="B82" s="11">
        <f>IF(VLOOKUP(A82,'DB Country PMI'!$A:$W,MATCH($A$1,'DB Country PMI'!$A$1:$W$1,),)=0,#N/A,VLOOKUP(A82,'DB Country PMI'!$A:$W,MATCH($A$1,'DB Country PMI'!$A$1:$W$1,),))</f>
        <v/>
      </c>
      <c r="C82" s="14">
        <f>Table13468113456710121314[[#This Row],[PMI]]-B81</f>
        <v/>
      </c>
    </row>
    <row r="83">
      <c r="A83" s="8" t="n">
        <v>42795</v>
      </c>
      <c r="B83" s="11">
        <f>IF(VLOOKUP(A83,'DB Country PMI'!$A:$W,MATCH($A$1,'DB Country PMI'!$A$1:$W$1,),)=0,#N/A,VLOOKUP(A83,'DB Country PMI'!$A:$W,MATCH($A$1,'DB Country PMI'!$A$1:$W$1,),))</f>
        <v/>
      </c>
      <c r="C83" s="14">
        <f>Table13468113456710121314[[#This Row],[PMI]]-B82</f>
        <v/>
      </c>
    </row>
    <row r="84">
      <c r="A84" s="8" t="n">
        <v>42826</v>
      </c>
      <c r="B84" s="11">
        <f>IF(VLOOKUP(A84,'DB Country PMI'!$A:$W,MATCH($A$1,'DB Country PMI'!$A$1:$W$1,),)=0,#N/A,VLOOKUP(A84,'DB Country PMI'!$A:$W,MATCH($A$1,'DB Country PMI'!$A$1:$W$1,),))</f>
        <v/>
      </c>
      <c r="C84" s="14">
        <f>Table13468113456710121314[[#This Row],[PMI]]-B83</f>
        <v/>
      </c>
    </row>
    <row r="85">
      <c r="A85" s="8" t="n">
        <v>42856</v>
      </c>
      <c r="B85" s="11">
        <f>IF(VLOOKUP(A85,'DB Country PMI'!$A:$W,MATCH($A$1,'DB Country PMI'!$A$1:$W$1,),)=0,#N/A,VLOOKUP(A85,'DB Country PMI'!$A:$W,MATCH($A$1,'DB Country PMI'!$A$1:$W$1,),))</f>
        <v/>
      </c>
      <c r="C85" s="14">
        <f>Table13468113456710121314[[#This Row],[PMI]]-B84</f>
        <v/>
      </c>
    </row>
    <row r="86">
      <c r="A86" s="8" t="n">
        <v>42887</v>
      </c>
      <c r="B86" s="11">
        <f>IF(VLOOKUP(A86,'DB Country PMI'!$A:$W,MATCH($A$1,'DB Country PMI'!$A$1:$W$1,),)=0,#N/A,VLOOKUP(A86,'DB Country PMI'!$A:$W,MATCH($A$1,'DB Country PMI'!$A$1:$W$1,),))</f>
        <v/>
      </c>
      <c r="C86" s="14">
        <f>Table13468113456710121314[[#This Row],[PMI]]-B85</f>
        <v/>
      </c>
    </row>
    <row r="87">
      <c r="A87" s="8" t="n">
        <v>42917</v>
      </c>
      <c r="B87" s="11">
        <f>IF(VLOOKUP(A87,'DB Country PMI'!$A:$W,MATCH($A$1,'DB Country PMI'!$A$1:$W$1,),)=0,#N/A,VLOOKUP(A87,'DB Country PMI'!$A:$W,MATCH($A$1,'DB Country PMI'!$A$1:$W$1,),))</f>
        <v/>
      </c>
      <c r="C87" s="14">
        <f>Table13468113456710121314[[#This Row],[PMI]]-B86</f>
        <v/>
      </c>
    </row>
    <row r="88">
      <c r="A88" s="8" t="n">
        <v>42948</v>
      </c>
      <c r="B88" s="11">
        <f>IF(VLOOKUP(A88,'DB Country PMI'!$A:$W,MATCH($A$1,'DB Country PMI'!$A$1:$W$1,),)=0,#N/A,VLOOKUP(A88,'DB Country PMI'!$A:$W,MATCH($A$1,'DB Country PMI'!$A$1:$W$1,),))</f>
        <v/>
      </c>
      <c r="C88" s="14">
        <f>Table13468113456710121314[[#This Row],[PMI]]-B87</f>
        <v/>
      </c>
    </row>
    <row r="89">
      <c r="A89" s="8" t="n">
        <v>42979</v>
      </c>
      <c r="B89" s="11">
        <f>IF(VLOOKUP(A89,'DB Country PMI'!$A:$W,MATCH($A$1,'DB Country PMI'!$A$1:$W$1,),)=0,#N/A,VLOOKUP(A89,'DB Country PMI'!$A:$W,MATCH($A$1,'DB Country PMI'!$A$1:$W$1,),))</f>
        <v/>
      </c>
      <c r="C89" s="14">
        <f>Table13468113456710121314[[#This Row],[PMI]]-B88</f>
        <v/>
      </c>
    </row>
    <row r="90">
      <c r="A90" s="8" t="n">
        <v>43009</v>
      </c>
      <c r="B90" s="11">
        <f>IF(VLOOKUP(A90,'DB Country PMI'!$A:$W,MATCH($A$1,'DB Country PMI'!$A$1:$W$1,),)=0,#N/A,VLOOKUP(A90,'DB Country PMI'!$A:$W,MATCH($A$1,'DB Country PMI'!$A$1:$W$1,),))</f>
        <v/>
      </c>
      <c r="C90" s="14">
        <f>Table13468113456710121314[[#This Row],[PMI]]-B89</f>
        <v/>
      </c>
    </row>
    <row r="91">
      <c r="A91" s="8" t="n">
        <v>43040</v>
      </c>
      <c r="B91" s="11">
        <f>IF(VLOOKUP(A91,'DB Country PMI'!$A:$W,MATCH($A$1,'DB Country PMI'!$A$1:$W$1,),)=0,#N/A,VLOOKUP(A91,'DB Country PMI'!$A:$W,MATCH($A$1,'DB Country PMI'!$A$1:$W$1,),))</f>
        <v/>
      </c>
      <c r="C91" s="14">
        <f>Table13468113456710121314[[#This Row],[PMI]]-B90</f>
        <v/>
      </c>
    </row>
    <row r="92">
      <c r="A92" s="8" t="n">
        <v>43070</v>
      </c>
      <c r="B92" s="11">
        <f>IF(VLOOKUP(A92,'DB Country PMI'!$A:$W,MATCH($A$1,'DB Country PMI'!$A$1:$W$1,),)=0,#N/A,VLOOKUP(A92,'DB Country PMI'!$A:$W,MATCH($A$1,'DB Country PMI'!$A$1:$W$1,),))</f>
        <v/>
      </c>
      <c r="C92" s="14">
        <f>Table13468113456710121314[[#This Row],[PMI]]-B91</f>
        <v/>
      </c>
    </row>
    <row r="93">
      <c r="A93" s="8" t="n">
        <v>43101</v>
      </c>
      <c r="B93" s="11">
        <f>IF(VLOOKUP(A93,'DB Country PMI'!$A:$W,MATCH($A$1,'DB Country PMI'!$A$1:$W$1,),)=0,#N/A,VLOOKUP(A93,'DB Country PMI'!$A:$W,MATCH($A$1,'DB Country PMI'!$A$1:$W$1,),))</f>
        <v/>
      </c>
      <c r="C93" s="14">
        <f>Table13468113456710121314[[#This Row],[PMI]]-B92</f>
        <v/>
      </c>
    </row>
    <row r="94">
      <c r="A94" s="8" t="n">
        <v>43132</v>
      </c>
      <c r="B94" s="11">
        <f>IF(VLOOKUP(A94,'DB Country PMI'!$A:$W,MATCH($A$1,'DB Country PMI'!$A$1:$W$1,),)=0,#N/A,VLOOKUP(A94,'DB Country PMI'!$A:$W,MATCH($A$1,'DB Country PMI'!$A$1:$W$1,),))</f>
        <v/>
      </c>
      <c r="C94" s="14">
        <f>Table13468113456710121314[[#This Row],[PMI]]-B93</f>
        <v/>
      </c>
    </row>
    <row r="95">
      <c r="A95" s="8" t="n">
        <v>43160</v>
      </c>
      <c r="B95" s="11">
        <f>IF(VLOOKUP(A95,'DB Country PMI'!$A:$W,MATCH($A$1,'DB Country PMI'!$A$1:$W$1,),)=0,#N/A,VLOOKUP(A95,'DB Country PMI'!$A:$W,MATCH($A$1,'DB Country PMI'!$A$1:$W$1,),))</f>
        <v/>
      </c>
      <c r="C95" s="14">
        <f>Table13468113456710121314[[#This Row],[PMI]]-B94</f>
        <v/>
      </c>
    </row>
    <row r="96">
      <c r="A96" s="8" t="n">
        <v>43191</v>
      </c>
      <c r="B96" s="11">
        <f>IF(VLOOKUP(A96,'DB Country PMI'!$A:$W,MATCH($A$1,'DB Country PMI'!$A$1:$W$1,),)=0,#N/A,VLOOKUP(A96,'DB Country PMI'!$A:$W,MATCH($A$1,'DB Country PMI'!$A$1:$W$1,),))</f>
        <v/>
      </c>
      <c r="C96" s="14">
        <f>Table13468113456710121314[[#This Row],[PMI]]-B95</f>
        <v/>
      </c>
    </row>
    <row r="97">
      <c r="A97" s="8" t="n">
        <v>43221</v>
      </c>
      <c r="B97" s="11">
        <f>IF(VLOOKUP(A97,'DB Country PMI'!$A:$W,MATCH($A$1,'DB Country PMI'!$A$1:$W$1,),)=0,#N/A,VLOOKUP(A97,'DB Country PMI'!$A:$W,MATCH($A$1,'DB Country PMI'!$A$1:$W$1,),))</f>
        <v/>
      </c>
      <c r="C97" s="14">
        <f>Table13468113456710121314[[#This Row],[PMI]]-B96</f>
        <v/>
      </c>
    </row>
    <row r="98">
      <c r="A98" s="8" t="n">
        <v>43252</v>
      </c>
      <c r="B98" s="11">
        <f>IF(VLOOKUP(A98,'DB Country PMI'!$A:$W,MATCH($A$1,'DB Country PMI'!$A$1:$W$1,),)=0,#N/A,VLOOKUP(A98,'DB Country PMI'!$A:$W,MATCH($A$1,'DB Country PMI'!$A$1:$W$1,),))</f>
        <v/>
      </c>
      <c r="C98" s="14">
        <f>Table13468113456710121314[[#This Row],[PMI]]-B97</f>
        <v/>
      </c>
    </row>
    <row r="99">
      <c r="A99" s="8" t="n">
        <v>43282</v>
      </c>
      <c r="B99" s="11">
        <f>IF(VLOOKUP(A99,'DB Country PMI'!$A:$W,MATCH($A$1,'DB Country PMI'!$A$1:$W$1,),)=0,#N/A,VLOOKUP(A99,'DB Country PMI'!$A:$W,MATCH($A$1,'DB Country PMI'!$A$1:$W$1,),))</f>
        <v/>
      </c>
      <c r="C99" s="14">
        <f>Table13468113456710121314[[#This Row],[PMI]]-B98</f>
        <v/>
      </c>
    </row>
    <row r="100">
      <c r="A100" s="8" t="n">
        <v>43313</v>
      </c>
      <c r="B100" s="11">
        <f>IF(VLOOKUP(A100,'DB Country PMI'!$A:$W,MATCH($A$1,'DB Country PMI'!$A$1:$W$1,),)=0,#N/A,VLOOKUP(A100,'DB Country PMI'!$A:$W,MATCH($A$1,'DB Country PMI'!$A$1:$W$1,),))</f>
        <v/>
      </c>
      <c r="C100" s="14">
        <f>Table13468113456710121314[[#This Row],[PMI]]-B99</f>
        <v/>
      </c>
    </row>
    <row r="101">
      <c r="A101" s="8" t="n">
        <v>43344</v>
      </c>
      <c r="B101" s="11">
        <f>IF(VLOOKUP(A101,'DB Country PMI'!$A:$W,MATCH($A$1,'DB Country PMI'!$A$1:$W$1,),)=0,#N/A,VLOOKUP(A101,'DB Country PMI'!$A:$W,MATCH($A$1,'DB Country PMI'!$A$1:$W$1,),))</f>
        <v/>
      </c>
      <c r="C101" s="14">
        <f>Table13468113456710121314[[#This Row],[PMI]]-B100</f>
        <v/>
      </c>
    </row>
    <row r="102">
      <c r="A102" s="8" t="n">
        <v>43374</v>
      </c>
      <c r="B102" s="11">
        <f>IF(VLOOKUP(A102,'DB Country PMI'!$A:$W,MATCH($A$1,'DB Country PMI'!$A$1:$W$1,),)=0,#N/A,VLOOKUP(A102,'DB Country PMI'!$A:$W,MATCH($A$1,'DB Country PMI'!$A$1:$W$1,),))</f>
        <v/>
      </c>
      <c r="C102" s="14">
        <f>Table13468113456710121314[[#This Row],[PMI]]-B101</f>
        <v/>
      </c>
    </row>
    <row r="103">
      <c r="A103" s="8" t="n">
        <v>43405</v>
      </c>
      <c r="B103" s="11">
        <f>IF(VLOOKUP(A103,'DB Country PMI'!$A:$W,MATCH($A$1,'DB Country PMI'!$A$1:$W$1,),)=0,#N/A,VLOOKUP(A103,'DB Country PMI'!$A:$W,MATCH($A$1,'DB Country PMI'!$A$1:$W$1,),))</f>
        <v/>
      </c>
      <c r="C103" s="14">
        <f>Table13468113456710121314[[#This Row],[PMI]]-B102</f>
        <v/>
      </c>
    </row>
    <row r="104">
      <c r="A104" s="8" t="n">
        <v>43435</v>
      </c>
      <c r="B104" s="11">
        <f>IF(VLOOKUP(A104,'DB Country PMI'!$A:$W,MATCH($A$1,'DB Country PMI'!$A$1:$W$1,),)=0,#N/A,VLOOKUP(A104,'DB Country PMI'!$A:$W,MATCH($A$1,'DB Country PMI'!$A$1:$W$1,),))</f>
        <v/>
      </c>
      <c r="C104" s="14">
        <f>Table13468113456710121314[[#This Row],[PMI]]-B103</f>
        <v/>
      </c>
    </row>
    <row r="105">
      <c r="A105" s="8" t="n">
        <v>43466</v>
      </c>
      <c r="B105" s="11">
        <f>IF(VLOOKUP(A105,'DB Country PMI'!$A:$W,MATCH($A$1,'DB Country PMI'!$A$1:$W$1,),)=0,#N/A,VLOOKUP(A105,'DB Country PMI'!$A:$W,MATCH($A$1,'DB Country PMI'!$A$1:$W$1,),))</f>
        <v/>
      </c>
      <c r="C105" s="14">
        <f>Table13468113456710121314[[#This Row],[PMI]]-B104</f>
        <v/>
      </c>
    </row>
    <row r="106">
      <c r="A106" s="8" t="n">
        <v>43497</v>
      </c>
      <c r="B106" s="11">
        <f>IF(VLOOKUP(A106,'DB Country PMI'!$A:$W,MATCH($A$1,'DB Country PMI'!$A$1:$W$1,),)=0,#N/A,VLOOKUP(A106,'DB Country PMI'!$A:$W,MATCH($A$1,'DB Country PMI'!$A$1:$W$1,),))</f>
        <v/>
      </c>
      <c r="C106" s="14">
        <f>Table13468113456710121314[[#This Row],[PMI]]-B105</f>
        <v/>
      </c>
    </row>
    <row r="107">
      <c r="A107" s="8" t="n">
        <v>43525</v>
      </c>
      <c r="B107" s="11">
        <f>IF(VLOOKUP(A107,'DB Country PMI'!$A:$W,MATCH($A$1,'DB Country PMI'!$A$1:$W$1,),)=0,#N/A,VLOOKUP(A107,'DB Country PMI'!$A:$W,MATCH($A$1,'DB Country PMI'!$A$1:$W$1,),))</f>
        <v/>
      </c>
      <c r="C107" s="14">
        <f>Table13468113456710121314[[#This Row],[PMI]]-B106</f>
        <v/>
      </c>
    </row>
    <row r="108">
      <c r="A108" s="8" t="n">
        <v>43556</v>
      </c>
      <c r="B108" s="11">
        <f>IF(VLOOKUP(A108,'DB Country PMI'!$A:$W,MATCH($A$1,'DB Country PMI'!$A$1:$W$1,),)=0,#N/A,VLOOKUP(A108,'DB Country PMI'!$A:$W,MATCH($A$1,'DB Country PMI'!$A$1:$W$1,),))</f>
        <v/>
      </c>
      <c r="C108" s="14">
        <f>Table13468113456710121314[[#This Row],[PMI]]-B107</f>
        <v/>
      </c>
    </row>
    <row r="109">
      <c r="A109" s="8" t="n">
        <v>43586</v>
      </c>
      <c r="B109" s="11">
        <f>IF(VLOOKUP(A109,'DB Country PMI'!$A:$W,MATCH($A$1,'DB Country PMI'!$A$1:$W$1,),)=0,#N/A,VLOOKUP(A109,'DB Country PMI'!$A:$W,MATCH($A$1,'DB Country PMI'!$A$1:$W$1,),))</f>
        <v/>
      </c>
      <c r="C109" s="14">
        <f>Table13468113456710121314[[#This Row],[PMI]]-B108</f>
        <v/>
      </c>
    </row>
    <row r="110">
      <c r="A110" s="8" t="n">
        <v>43617</v>
      </c>
      <c r="B110" s="11">
        <f>IF(VLOOKUP(A110,'DB Country PMI'!$A:$W,MATCH($A$1,'DB Country PMI'!$A$1:$W$1,),)=0,#N/A,VLOOKUP(A110,'DB Country PMI'!$A:$W,MATCH($A$1,'DB Country PMI'!$A$1:$W$1,),))</f>
        <v/>
      </c>
      <c r="C110" s="14">
        <f>Table13468113456710121314[[#This Row],[PMI]]-B109</f>
        <v/>
      </c>
    </row>
    <row r="111">
      <c r="A111" s="8" t="n">
        <v>43647</v>
      </c>
      <c r="B111" s="11">
        <f>IF(VLOOKUP(A111,'DB Country PMI'!$A:$W,MATCH($A$1,'DB Country PMI'!$A$1:$W$1,),)=0,#N/A,VLOOKUP(A111,'DB Country PMI'!$A:$W,MATCH($A$1,'DB Country PMI'!$A$1:$W$1,),))</f>
        <v/>
      </c>
      <c r="C111" s="14">
        <f>Table13468113456710121314[[#This Row],[PMI]]-B110</f>
        <v/>
      </c>
    </row>
    <row r="112">
      <c r="A112" s="8" t="n">
        <v>43678</v>
      </c>
      <c r="B112" s="11">
        <f>IF(VLOOKUP(A112,'DB Country PMI'!$A:$W,MATCH($A$1,'DB Country PMI'!$A$1:$W$1,),)=0,#N/A,VLOOKUP(A112,'DB Country PMI'!$A:$W,MATCH($A$1,'DB Country PMI'!$A$1:$W$1,),))</f>
        <v/>
      </c>
      <c r="C112" s="14">
        <f>Table13468113456710121314[[#This Row],[PMI]]-B111</f>
        <v/>
      </c>
    </row>
    <row r="113">
      <c r="A113" s="8" t="n">
        <v>43709</v>
      </c>
      <c r="B113" s="11">
        <f>IF(VLOOKUP(A113,'DB Country PMI'!$A:$W,MATCH($A$1,'DB Country PMI'!$A$1:$W$1,),)=0,#N/A,VLOOKUP(A113,'DB Country PMI'!$A:$W,MATCH($A$1,'DB Country PMI'!$A$1:$W$1,),))</f>
        <v/>
      </c>
      <c r="C113" s="14">
        <f>Table13468113456710121314[[#This Row],[PMI]]-B112</f>
        <v/>
      </c>
    </row>
    <row r="114">
      <c r="A114" s="8" t="n">
        <v>43739</v>
      </c>
      <c r="B114" s="11">
        <f>IF(VLOOKUP(A114,'DB Country PMI'!$A:$W,MATCH($A$1,'DB Country PMI'!$A$1:$W$1,),)=0,#N/A,VLOOKUP(A114,'DB Country PMI'!$A:$W,MATCH($A$1,'DB Country PMI'!$A$1:$W$1,),))</f>
        <v/>
      </c>
      <c r="C114" s="14">
        <f>Table13468113456710121314[[#This Row],[PMI]]-B113</f>
        <v/>
      </c>
    </row>
    <row r="115">
      <c r="A115" s="8" t="n">
        <v>43770</v>
      </c>
      <c r="B115" s="11">
        <f>IF(VLOOKUP(A115,'DB Country PMI'!$A:$W,MATCH($A$1,'DB Country PMI'!$A$1:$W$1,),)=0,#N/A,VLOOKUP(A115,'DB Country PMI'!$A:$W,MATCH($A$1,'DB Country PMI'!$A$1:$W$1,),))</f>
        <v/>
      </c>
      <c r="C115" s="14">
        <f>Table13468113456710121314[[#This Row],[PMI]]-B114</f>
        <v/>
      </c>
    </row>
    <row r="116">
      <c r="A116" s="8" t="n">
        <v>43800</v>
      </c>
      <c r="B116" s="11">
        <f>IF(VLOOKUP(A116,'DB Country PMI'!$A:$W,MATCH($A$1,'DB Country PMI'!$A$1:$W$1,),)=0,#N/A,VLOOKUP(A116,'DB Country PMI'!$A:$W,MATCH($A$1,'DB Country PMI'!$A$1:$W$1,),))</f>
        <v/>
      </c>
      <c r="C116" s="14">
        <f>Table13468113456710121314[[#This Row],[PMI]]-B115</f>
        <v/>
      </c>
    </row>
    <row r="117">
      <c r="A117" s="8" t="n">
        <v>43831</v>
      </c>
      <c r="B117" s="11">
        <f>IF(VLOOKUP(A117,'DB Country PMI'!$A:$W,MATCH($A$1,'DB Country PMI'!$A$1:$W$1,),)=0,#N/A,VLOOKUP(A117,'DB Country PMI'!$A:$W,MATCH($A$1,'DB Country PMI'!$A$1:$W$1,),))</f>
        <v/>
      </c>
      <c r="C117" s="14">
        <f>Table13468113456710121314[[#This Row],[PMI]]-B116</f>
        <v/>
      </c>
    </row>
    <row r="118">
      <c r="A118" s="8" t="n">
        <v>43862</v>
      </c>
      <c r="B118" s="11">
        <f>IF(VLOOKUP(A118,'DB Country PMI'!$A:$W,MATCH($A$1,'DB Country PMI'!$A$1:$W$1,),)=0,#N/A,VLOOKUP(A118,'DB Country PMI'!$A:$W,MATCH($A$1,'DB Country PMI'!$A$1:$W$1,),))</f>
        <v/>
      </c>
      <c r="C118" s="14">
        <f>Table13468113456710121314[[#This Row],[PMI]]-B117</f>
        <v/>
      </c>
    </row>
    <row r="119">
      <c r="A119" s="8" t="n">
        <v>43891</v>
      </c>
      <c r="B119" s="11">
        <f>IF(VLOOKUP(A119,'DB Country PMI'!$A:$W,MATCH($A$1,'DB Country PMI'!$A$1:$W$1,),)=0,#N/A,VLOOKUP(A119,'DB Country PMI'!$A:$W,MATCH($A$1,'DB Country PMI'!$A$1:$W$1,),))</f>
        <v/>
      </c>
      <c r="C119" s="14">
        <f>Table13468113456710121314[[#This Row],[PMI]]-B118</f>
        <v/>
      </c>
    </row>
    <row r="120">
      <c r="A120" s="8" t="n">
        <v>43922</v>
      </c>
      <c r="B120" s="11">
        <f>IF(VLOOKUP(A120,'DB Country PMI'!$A:$W,MATCH($A$1,'DB Country PMI'!$A$1:$W$1,),)=0,#N/A,VLOOKUP(A120,'DB Country PMI'!$A:$W,MATCH($A$1,'DB Country PMI'!$A$1:$W$1,),))</f>
        <v/>
      </c>
      <c r="C120" s="14">
        <f>Table13468113456710121314[[#This Row],[PMI]]-B119</f>
        <v/>
      </c>
    </row>
    <row r="121">
      <c r="A121" s="8" t="n">
        <v>43952</v>
      </c>
      <c r="B121" s="11">
        <f>IF(VLOOKUP(A121,'DB Country PMI'!$A:$W,MATCH($A$1,'DB Country PMI'!$A$1:$W$1,),)=0,#N/A,VLOOKUP(A121,'DB Country PMI'!$A:$W,MATCH($A$1,'DB Country PMI'!$A$1:$W$1,),))</f>
        <v/>
      </c>
      <c r="C121" s="14">
        <f>Table13468113456710121314[[#This Row],[PMI]]-B120</f>
        <v/>
      </c>
    </row>
    <row r="122">
      <c r="A122" s="8" t="n">
        <v>43983</v>
      </c>
      <c r="B122" s="11">
        <f>IF(VLOOKUP(A122,'DB Country PMI'!$A:$W,MATCH($A$1,'DB Country PMI'!$A$1:$W$1,),)=0,#N/A,VLOOKUP(A122,'DB Country PMI'!$A:$W,MATCH($A$1,'DB Country PMI'!$A$1:$W$1,),))</f>
        <v/>
      </c>
      <c r="C122" s="14">
        <f>Table13468113456710121314[[#This Row],[PMI]]-B121</f>
        <v/>
      </c>
    </row>
    <row r="123">
      <c r="A123" s="8" t="n">
        <v>44013</v>
      </c>
      <c r="B123" s="11">
        <f>IF(VLOOKUP(A123,'DB Country PMI'!$A:$W,MATCH($A$1,'DB Country PMI'!$A$1:$W$1,),)=0,#N/A,VLOOKUP(A123,'DB Country PMI'!$A:$W,MATCH($A$1,'DB Country PMI'!$A$1:$W$1,),))</f>
        <v/>
      </c>
      <c r="C123" s="14">
        <f>Table13468113456710121314[[#This Row],[PMI]]-B122</f>
        <v/>
      </c>
    </row>
    <row r="124">
      <c r="A124" s="8" t="n">
        <v>44044</v>
      </c>
      <c r="B124" s="11">
        <f>IF(VLOOKUP(A124,'DB Country PMI'!$A:$W,MATCH($A$1,'DB Country PMI'!$A$1:$W$1,),)=0,#N/A,VLOOKUP(A124,'DB Country PMI'!$A:$W,MATCH($A$1,'DB Country PMI'!$A$1:$W$1,),))</f>
        <v/>
      </c>
      <c r="C124" s="14">
        <f>Table13468113456710121314[[#This Row],[PMI]]-B123</f>
        <v/>
      </c>
    </row>
    <row r="125">
      <c r="A125" s="8" t="n">
        <v>44075</v>
      </c>
      <c r="B125" s="11">
        <f>IF(VLOOKUP(A125,'DB Country PMI'!$A:$W,MATCH($A$1,'DB Country PMI'!$A$1:$W$1,),)=0,#N/A,VLOOKUP(A125,'DB Country PMI'!$A:$W,MATCH($A$1,'DB Country PMI'!$A$1:$W$1,),))</f>
        <v/>
      </c>
      <c r="C125" s="14">
        <f>Table13468113456710121314[[#This Row],[PMI]]-B124</f>
        <v/>
      </c>
    </row>
    <row r="126">
      <c r="A126" s="8" t="n">
        <v>44105</v>
      </c>
      <c r="B126" s="11">
        <f>IF(VLOOKUP(A126,'DB Country PMI'!$A:$W,MATCH($A$1,'DB Country PMI'!$A$1:$W$1,),)=0,#N/A,VLOOKUP(A126,'DB Country PMI'!$A:$W,MATCH($A$1,'DB Country PMI'!$A$1:$W$1,),))</f>
        <v/>
      </c>
      <c r="C126" s="14">
        <f>Table13468113456710121314[[#This Row],[PMI]]-B125</f>
        <v/>
      </c>
    </row>
    <row r="127">
      <c r="A127" s="8" t="n">
        <v>44136</v>
      </c>
      <c r="B127" s="11">
        <f>IF(VLOOKUP(A127,'DB Country PMI'!$A:$W,MATCH($A$1,'DB Country PMI'!$A$1:$W$1,),)=0,#N/A,VLOOKUP(A127,'DB Country PMI'!$A:$W,MATCH($A$1,'DB Country PMI'!$A$1:$W$1,),))</f>
        <v/>
      </c>
      <c r="C127" s="14">
        <f>Table13468113456710121314[[#This Row],[PMI]]-B126</f>
        <v/>
      </c>
    </row>
    <row r="128">
      <c r="A128" s="8" t="n">
        <v>44166</v>
      </c>
      <c r="B128" s="11">
        <f>IF(VLOOKUP(A128,'DB Country PMI'!$A:$W,MATCH($A$1,'DB Country PMI'!$A$1:$W$1,),)=0,#N/A,VLOOKUP(A128,'DB Country PMI'!$A:$W,MATCH($A$1,'DB Country PMI'!$A$1:$W$1,),))</f>
        <v/>
      </c>
      <c r="C128" s="14">
        <f>Table13468113456710121314[[#This Row],[PMI]]-B127</f>
        <v/>
      </c>
    </row>
    <row r="129">
      <c r="A129" s="8" t="n">
        <v>44197</v>
      </c>
      <c r="B129" s="11">
        <f>IF(VLOOKUP(A129,'DB Country PMI'!$A:$W,MATCH($A$1,'DB Country PMI'!$A$1:$W$1,),)=0,#N/A,VLOOKUP(A129,'DB Country PMI'!$A:$W,MATCH($A$1,'DB Country PMI'!$A$1:$W$1,),))</f>
        <v/>
      </c>
      <c r="C129" s="14">
        <f>Table13468113456710121314[[#This Row],[PMI]]-B128</f>
        <v/>
      </c>
    </row>
    <row r="130">
      <c r="A130" s="8" t="n">
        <v>44228</v>
      </c>
      <c r="B130" s="11">
        <f>IF(VLOOKUP(A130,'DB Country PMI'!$A:$W,MATCH($A$1,'DB Country PMI'!$A$1:$W$1,),)=0,#N/A,VLOOKUP(A130,'DB Country PMI'!$A:$W,MATCH($A$1,'DB Country PMI'!$A$1:$W$1,),))</f>
        <v/>
      </c>
      <c r="C130" s="14">
        <f>Table13468113456710121314[[#This Row],[PMI]]-B129</f>
        <v/>
      </c>
    </row>
    <row r="131">
      <c r="A131" s="8" t="n">
        <v>44256</v>
      </c>
      <c r="B131" s="11">
        <f>IF(VLOOKUP(A131,'DB Country PMI'!$A:$W,MATCH($A$1,'DB Country PMI'!$A$1:$W$1,),)=0,#N/A,VLOOKUP(A131,'DB Country PMI'!$A:$W,MATCH($A$1,'DB Country PMI'!$A$1:$W$1,),))</f>
        <v/>
      </c>
      <c r="C131" s="14">
        <f>Table13468113456710121314[[#This Row],[PMI]]-B130</f>
        <v/>
      </c>
    </row>
    <row r="132">
      <c r="A132" s="8" t="n">
        <v>44287</v>
      </c>
      <c r="B132" s="11">
        <f>IF(VLOOKUP(A132,'DB Country PMI'!$A:$W,MATCH($A$1,'DB Country PMI'!$A$1:$W$1,),)=0,#N/A,VLOOKUP(A132,'DB Country PMI'!$A:$W,MATCH($A$1,'DB Country PMI'!$A$1:$W$1,),))</f>
        <v/>
      </c>
      <c r="C132" s="14">
        <f>Table13468113456710121314[[#This Row],[PMI]]-B131</f>
        <v/>
      </c>
    </row>
    <row r="133">
      <c r="A133" s="8" t="n">
        <v>44317</v>
      </c>
      <c r="B133" s="11">
        <f>IF(VLOOKUP(A133,'DB Country PMI'!$A:$W,MATCH($A$1,'DB Country PMI'!$A$1:$W$1,),)=0,#N/A,VLOOKUP(A133,'DB Country PMI'!$A:$W,MATCH($A$1,'DB Country PMI'!$A$1:$W$1,),))</f>
        <v/>
      </c>
      <c r="C133" s="14">
        <f>Table13468113456710121314[[#This Row],[PMI]]-B132</f>
        <v/>
      </c>
    </row>
    <row r="134">
      <c r="A134" s="8" t="n">
        <v>44348</v>
      </c>
      <c r="B134" s="11">
        <f>IF(VLOOKUP(A134,'DB Country PMI'!$A:$W,MATCH($A$1,'DB Country PMI'!$A$1:$W$1,),)=0,#N/A,VLOOKUP(A134,'DB Country PMI'!$A:$W,MATCH($A$1,'DB Country PMI'!$A$1:$W$1,),))</f>
        <v/>
      </c>
      <c r="C134" s="14">
        <f>Table13468113456710121314[[#This Row],[PMI]]-B133</f>
        <v/>
      </c>
    </row>
    <row r="135">
      <c r="A135" s="8" t="n">
        <v>44378</v>
      </c>
      <c r="B135" s="11">
        <f>IF(VLOOKUP(A135,'DB Country PMI'!$A:$W,MATCH($A$1,'DB Country PMI'!$A$1:$W$1,),)=0,#N/A,VLOOKUP(A135,'DB Country PMI'!$A:$W,MATCH($A$1,'DB Country PMI'!$A$1:$W$1,),))</f>
        <v/>
      </c>
      <c r="C135" s="14">
        <f>Table13468113456710121314[[#This Row],[PMI]]-B134</f>
        <v/>
      </c>
    </row>
    <row r="136">
      <c r="A136" s="8" t="n">
        <v>44409</v>
      </c>
      <c r="B136" s="11">
        <f>IF(VLOOKUP(A136,'DB Country PMI'!$A:$W,MATCH($A$1,'DB Country PMI'!$A$1:$W$1,),)=0,#N/A,VLOOKUP(A136,'DB Country PMI'!$A:$W,MATCH($A$1,'DB Country PMI'!$A$1:$W$1,),))</f>
        <v/>
      </c>
      <c r="C136" s="14">
        <f>Table13468113456710121314[[#This Row],[PMI]]-B135</f>
        <v/>
      </c>
    </row>
    <row r="137">
      <c r="A137" s="8" t="n">
        <v>44440</v>
      </c>
      <c r="B137" s="11">
        <f>IF(VLOOKUP(A137,'DB Country PMI'!$A:$W,MATCH($A$1,'DB Country PMI'!$A$1:$W$1,),)=0,#N/A,VLOOKUP(A137,'DB Country PMI'!$A:$W,MATCH($A$1,'DB Country PMI'!$A$1:$W$1,),))</f>
        <v/>
      </c>
      <c r="C137" s="14">
        <f>Table13468113456710121314[[#This Row],[PMI]]-B136</f>
        <v/>
      </c>
    </row>
    <row r="138">
      <c r="A138" s="8" t="n">
        <v>44470</v>
      </c>
      <c r="B138" s="11">
        <f>IF(VLOOKUP(A138,'DB Country PMI'!$A:$W,MATCH($A$1,'DB Country PMI'!$A$1:$W$1,),)=0,#N/A,VLOOKUP(A138,'DB Country PMI'!$A:$W,MATCH($A$1,'DB Country PMI'!$A$1:$W$1,),))</f>
        <v/>
      </c>
      <c r="C138" s="14">
        <f>Table13468113456710121314[[#This Row],[PMI]]-B137</f>
        <v/>
      </c>
    </row>
    <row r="139">
      <c r="A139" s="8" t="n">
        <v>44501</v>
      </c>
      <c r="B139" s="11">
        <f>IF(VLOOKUP(A139,'DB Country PMI'!$A:$W,MATCH($A$1,'DB Country PMI'!$A$1:$W$1,),)=0,#N/A,VLOOKUP(A139,'DB Country PMI'!$A:$W,MATCH($A$1,'DB Country PMI'!$A$1:$W$1,),))</f>
        <v/>
      </c>
      <c r="C139" s="14">
        <f>Table13468113456710121314[[#This Row],[PMI]]-B138</f>
        <v/>
      </c>
    </row>
    <row r="140">
      <c r="A140" s="8" t="n">
        <v>44531</v>
      </c>
      <c r="B140" s="11">
        <f>IF(VLOOKUP(A140,'DB Country PMI'!$A:$W,MATCH($A$1,'DB Country PMI'!$A$1:$W$1,),)=0,#N/A,VLOOKUP(A140,'DB Country PMI'!$A:$W,MATCH($A$1,'DB Country PMI'!$A$1:$W$1,),))</f>
        <v/>
      </c>
      <c r="C140" s="14">
        <f>Table13468113456710121314[[#This Row],[PMI]]-B139</f>
        <v/>
      </c>
    </row>
    <row r="141">
      <c r="A141" s="8" t="n">
        <v>44562</v>
      </c>
      <c r="B141" s="11">
        <f>IF(VLOOKUP(A141,'DB Country PMI'!$A:$W,MATCH($A$1,'DB Country PMI'!$A$1:$W$1,),)=0,#N/A,VLOOKUP(A141,'DB Country PMI'!$A:$W,MATCH($A$1,'DB Country PMI'!$A$1:$W$1,),))</f>
        <v/>
      </c>
      <c r="C141" s="14">
        <f>Table13468113456710121314[[#This Row],[PMI]]-B140</f>
        <v/>
      </c>
    </row>
    <row r="142">
      <c r="A142" s="8" t="n">
        <v>44593</v>
      </c>
      <c r="B142" s="11">
        <f>IF(VLOOKUP(A142,'DB Country PMI'!$A:$W,MATCH($A$1,'DB Country PMI'!$A$1:$W$1,),)=0,#N/A,VLOOKUP(A142,'DB Country PMI'!$A:$W,MATCH($A$1,'DB Country PMI'!$A$1:$W$1,),))</f>
        <v/>
      </c>
      <c r="C142" s="14">
        <f>Table13468113456710121314[[#This Row],[PMI]]-B141</f>
        <v/>
      </c>
    </row>
    <row r="143">
      <c r="A143" s="8" t="n">
        <v>44621</v>
      </c>
      <c r="B143" s="11">
        <f>IF(VLOOKUP(A143,'DB Country PMI'!$A:$W,MATCH($A$1,'DB Country PMI'!$A$1:$W$1,),)=0,#N/A,VLOOKUP(A143,'DB Country PMI'!$A:$W,MATCH($A$1,'DB Country PMI'!$A$1:$W$1,),))</f>
        <v/>
      </c>
      <c r="C143" s="14">
        <f>Table13468113456710121314[[#This Row],[PMI]]-B142</f>
        <v/>
      </c>
    </row>
  </sheetData>
  <conditionalFormatting sqref="C7:C143">
    <cfRule type="colorScale" priority="1">
      <colorScale>
        <cfvo type="min"/>
        <cfvo type="percentile" val="50"/>
        <cfvo type="max"/>
        <color rgb="FFF8696B"/>
        <color rgb="FFFCFCFF"/>
        <color rgb="FF5A8AC6"/>
      </colorScale>
    </cfRule>
  </conditionalFormatting>
  <conditionalFormatting sqref="B6:B143">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2019-09-18T11:19:06Z</dcterms:created>
  <dcterms:modified xmlns:dcterms="http://purl.org/dc/terms/" xmlns:xsi="http://www.w3.org/2001/XMLSchema-instance" xsi:type="dcterms:W3CDTF">2022-04-02T13:59:33Z</dcterms:modified>
  <cp:lastModifiedBy>Mark Mukherjee</cp:lastModifiedBy>
</cp:coreProperties>
</file>