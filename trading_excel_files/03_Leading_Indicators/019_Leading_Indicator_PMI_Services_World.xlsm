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tables/table1.xml" ContentType="application/vnd.openxmlformats-officedocument.spreadsheetml.table+xml"/>
  <Override PartName="/xl/charts/chart2.xml" ContentType="application/vnd.openxmlformats-officedocument.drawingml.chart+xml"/>
  <Override PartName="/xl/drawings/drawing3.xml" ContentType="application/vnd.openxmlformats-officedocument.drawing+xml"/>
  <Override PartName="/xl/tables/table2.xml" ContentType="application/vnd.openxmlformats-officedocument.spreadsheetml.table+xml"/>
  <Override PartName="/xl/charts/chart3.xml" ContentType="application/vnd.openxmlformats-officedocument.drawingml.chart+xml"/>
  <Override PartName="/xl/drawings/drawing4.xml" ContentType="application/vnd.openxmlformats-officedocument.drawing+xml"/>
  <Override PartName="/xl/tables/table3.xml" ContentType="application/vnd.openxmlformats-officedocument.spreadsheetml.table+xml"/>
  <Override PartName="/xl/charts/chart4.xml" ContentType="application/vnd.openxmlformats-officedocument.drawingml.chart+xml"/>
  <Override PartName="/xl/drawings/drawing5.xml" ContentType="application/vnd.openxmlformats-officedocument.drawing+xml"/>
  <Override PartName="/xl/tables/table4.xml" ContentType="application/vnd.openxmlformats-officedocument.spreadsheetml.table+xml"/>
  <Override PartName="/xl/charts/chart5.xml" ContentType="application/vnd.openxmlformats-officedocument.drawingml.chart+xml"/>
  <Override PartName="/xl/drawings/drawing6.xml" ContentType="application/vnd.openxmlformats-officedocument.drawing+xml"/>
  <Override PartName="/xl/tables/table5.xml" ContentType="application/vnd.openxmlformats-officedocument.spreadsheetml.table+xml"/>
  <Override PartName="/xl/charts/chart6.xml" ContentType="application/vnd.openxmlformats-officedocument.drawingml.chart+xml"/>
  <Override PartName="/xl/drawings/drawing7.xml" ContentType="application/vnd.openxmlformats-officedocument.drawing+xml"/>
  <Override PartName="/xl/tables/table6.xml" ContentType="application/vnd.openxmlformats-officedocument.spreadsheetml.table+xml"/>
  <Override PartName="/xl/charts/chart7.xml" ContentType="application/vnd.openxmlformats-officedocument.drawingml.chart+xml"/>
  <Override PartName="/xl/drawings/drawing8.xml" ContentType="application/vnd.openxmlformats-officedocument.drawing+xml"/>
  <Override PartName="/xl/tables/table7.xml" ContentType="application/vnd.openxmlformats-officedocument.spreadsheetml.table+xml"/>
  <Override PartName="/xl/charts/chart8.xml" ContentType="application/vnd.openxmlformats-officedocument.drawingml.chart+xml"/>
  <Override PartName="/xl/drawings/drawing9.xml" ContentType="application/vnd.openxmlformats-officedocument.drawing+xml"/>
  <Override PartName="/xl/tables/table8.xml" ContentType="application/vnd.openxmlformats-officedocument.spreadsheetml.table+xml"/>
  <Override PartName="/xl/charts/chart9.xml" ContentType="application/vnd.openxmlformats-officedocument.drawingml.chart+xml"/>
  <Override PartName="/xl/drawings/drawing10.xml" ContentType="application/vnd.openxmlformats-officedocument.drawing+xml"/>
  <Override PartName="/xl/tables/table9.xml" ContentType="application/vnd.openxmlformats-officedocument.spreadsheetml.table+xml"/>
  <Override PartName="/xl/charts/chart10.xml" ContentType="application/vnd.openxmlformats-officedocument.drawingml.chart+xml"/>
  <Override PartName="/xl/drawings/drawing11.xml" ContentType="application/vnd.openxmlformats-officedocument.drawing+xml"/>
  <Override PartName="/xl/tables/table10.xml" ContentType="application/vnd.openxmlformats-officedocument.spreadsheetml.table+xml"/>
  <Override PartName="/xl/charts/chart11.xml" ContentType="application/vnd.openxmlformats-officedocument.drawingml.chart+xml"/>
  <Override PartName="/xl/drawings/drawing12.xml" ContentType="application/vnd.openxmlformats-officedocument.drawing+xml"/>
  <Override PartName="/xl/tables/table11.xml" ContentType="application/vnd.openxmlformats-officedocument.spreadsheetml.table+xml"/>
  <Override PartName="/xl/charts/chart12.xml" ContentType="application/vnd.openxmlformats-officedocument.drawingml.chart+xml"/>
  <Override PartName="/xl/drawings/drawing13.xml" ContentType="application/vnd.openxmlformats-officedocument.drawing+xml"/>
  <Override PartName="/xl/tables/table12.xml" ContentType="application/vnd.openxmlformats-officedocument.spreadsheetml.table+xml"/>
  <Override PartName="/xl/charts/chart13.xml" ContentType="application/vnd.openxmlformats-officedocument.drawingml.chart+xml"/>
  <Override PartName="/xl/drawings/drawing14.xml" ContentType="application/vnd.openxmlformats-officedocument.drawing+xml"/>
  <Override PartName="/xl/tables/table13.xml" ContentType="application/vnd.openxmlformats-officedocument.spreadsheetml.table+xml"/>
  <Override PartName="/xl/charts/chart14.xml" ContentType="application/vnd.openxmlformats-officedocument.drawingml.chart+xml"/>
  <Override PartName="/xl/drawings/drawing15.xml" ContentType="application/vnd.openxmlformats-officedocument.drawing+xml"/>
  <Override PartName="/xl/tables/table14.xml" ContentType="application/vnd.openxmlformats-officedocument.spreadsheetml.table+xml"/>
  <Override PartName="/xl/charts/chart15.xml" ContentType="application/vnd.openxmlformats-officedocument.drawingml.chart+xml"/>
  <Override PartName="/xl/drawings/drawing16.xml" ContentType="application/vnd.openxmlformats-officedocument.drawing+xml"/>
  <Override PartName="/xl/tables/table15.xml" ContentType="application/vnd.openxmlformats-officedocument.spreadsheetml.table+xml"/>
  <Override PartName="/xl/charts/chart16.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11"/>
  <workbookPr defaultThemeVersion="166925"/>
  <mc:AlternateContent xmlns:mc="http://schemas.openxmlformats.org/markup-compatibility/2006">
    <mc:Choice Requires="x15">
      <x15ac:absPath xmlns:x15ac="http://schemas.microsoft.com/office/spreadsheetml/2010/11/ac" url="/Users/markmukherjee/Documents/PythonProjects/PortfolioManagement/Trading_Excel_Files/03_Leading_Indicators/"/>
    </mc:Choice>
  </mc:AlternateContent>
  <xr:revisionPtr revIDLastSave="0" documentId="13_ncr:1_{0C3F4517-4477-EA4D-BE7F-4E7373731792}" xr6:coauthVersionLast="47" xr6:coauthVersionMax="47" xr10:uidLastSave="{00000000-0000-0000-0000-000000000000}"/>
  <bookViews>
    <workbookView xWindow="-61380" yWindow="2300" windowWidth="46220" windowHeight="25500" tabRatio="804" xr2:uid="{00000000-000D-0000-FFFF-FFFF00000000}"/>
  </bookViews>
  <sheets>
    <sheet name="Note" sheetId="1" r:id="rId1"/>
    <sheet name="DB Country PMI" sheetId="2" r:id="rId2"/>
    <sheet name="Summary" sheetId="3" r:id="rId3"/>
    <sheet name="Global" sheetId="4" r:id="rId4"/>
    <sheet name="US" sheetId="5" r:id="rId5"/>
    <sheet name="EuroArea" sheetId="6" r:id="rId6"/>
    <sheet name="China" sheetId="7" r:id="rId7"/>
    <sheet name="France" sheetId="8" r:id="rId8"/>
    <sheet name="Germany" sheetId="9" r:id="rId9"/>
    <sheet name="UK" sheetId="10" r:id="rId10"/>
    <sheet name="India" sheetId="11" r:id="rId11"/>
    <sheet name="Australia" sheetId="12" r:id="rId12"/>
    <sheet name="Ireland" sheetId="13" r:id="rId13"/>
    <sheet name="Italy" sheetId="14" r:id="rId14"/>
    <sheet name="Japan" sheetId="15" r:id="rId15"/>
    <sheet name="Brazil" sheetId="16" r:id="rId16"/>
    <sheet name="Russia" sheetId="17" r:id="rId17"/>
    <sheet name="Spain" sheetId="18" r:id="rId18"/>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50" i="18" l="1"/>
  <c r="B150" i="17"/>
  <c r="B150" i="16"/>
  <c r="B150" i="15"/>
  <c r="B150" i="14"/>
  <c r="B150" i="13"/>
  <c r="B150" i="12"/>
  <c r="P103" i="3" s="1"/>
  <c r="B150" i="11"/>
  <c r="O103" i="3" s="1"/>
  <c r="B150" i="10"/>
  <c r="B189" i="9"/>
  <c r="H103" i="3" s="1"/>
  <c r="C103" i="3"/>
  <c r="D103" i="3"/>
  <c r="E103" i="3"/>
  <c r="F103" i="3"/>
  <c r="G103" i="3"/>
  <c r="J103" i="3"/>
  <c r="K103" i="3"/>
  <c r="L103" i="3"/>
  <c r="M103" i="3"/>
  <c r="N103" i="3"/>
  <c r="Q103" i="3"/>
  <c r="B176" i="8"/>
  <c r="I103" i="3" s="1"/>
  <c r="B150" i="7"/>
  <c r="B189" i="6"/>
  <c r="B114" i="5"/>
  <c r="B149" i="18"/>
  <c r="C150" i="18" s="1"/>
  <c r="B148" i="18"/>
  <c r="B147" i="18"/>
  <c r="B146" i="18"/>
  <c r="B145" i="18"/>
  <c r="B144" i="18"/>
  <c r="B143" i="18"/>
  <c r="B142" i="18"/>
  <c r="B141" i="18"/>
  <c r="B140" i="18"/>
  <c r="B139" i="18"/>
  <c r="B138" i="18"/>
  <c r="C139" i="18" s="1"/>
  <c r="B137" i="18"/>
  <c r="B136" i="18"/>
  <c r="B135" i="18"/>
  <c r="B134" i="18"/>
  <c r="B133" i="18"/>
  <c r="B132" i="18"/>
  <c r="B131" i="18"/>
  <c r="B130" i="18"/>
  <c r="C130" i="18" s="1"/>
  <c r="B129" i="18"/>
  <c r="B128" i="18"/>
  <c r="B127" i="18"/>
  <c r="B126" i="18"/>
  <c r="B125" i="18"/>
  <c r="B124" i="18"/>
  <c r="B123" i="18"/>
  <c r="B122" i="18"/>
  <c r="B121" i="18"/>
  <c r="B120" i="18"/>
  <c r="B119" i="18"/>
  <c r="B118" i="18"/>
  <c r="B117" i="18"/>
  <c r="B116" i="18"/>
  <c r="C117" i="18" s="1"/>
  <c r="B115" i="18"/>
  <c r="B114" i="18"/>
  <c r="B113" i="18"/>
  <c r="B112" i="18"/>
  <c r="B111" i="18"/>
  <c r="B110" i="18"/>
  <c r="B109" i="18"/>
  <c r="B108" i="18"/>
  <c r="C109" i="18" s="1"/>
  <c r="B107" i="18"/>
  <c r="B106" i="18"/>
  <c r="B105" i="18"/>
  <c r="B104" i="18"/>
  <c r="B103" i="18"/>
  <c r="B102" i="18"/>
  <c r="B101" i="18"/>
  <c r="C102" i="18" s="1"/>
  <c r="B100" i="18"/>
  <c r="B99" i="18"/>
  <c r="B98" i="18"/>
  <c r="C98" i="18" s="1"/>
  <c r="B97" i="18"/>
  <c r="B96" i="18"/>
  <c r="B95" i="18"/>
  <c r="B94" i="18"/>
  <c r="B93" i="18"/>
  <c r="C94" i="18" s="1"/>
  <c r="B92" i="18"/>
  <c r="B91" i="18"/>
  <c r="B90" i="18"/>
  <c r="B89" i="18"/>
  <c r="B88" i="18"/>
  <c r="B87" i="18"/>
  <c r="B86" i="18"/>
  <c r="B85" i="18"/>
  <c r="B84" i="18"/>
  <c r="B83" i="18"/>
  <c r="B82" i="18"/>
  <c r="C83" i="18" s="1"/>
  <c r="B81" i="18"/>
  <c r="B80" i="18"/>
  <c r="B79" i="18"/>
  <c r="B78" i="18"/>
  <c r="B77" i="18"/>
  <c r="B76" i="18"/>
  <c r="C77" i="18" s="1"/>
  <c r="B75" i="18"/>
  <c r="B74" i="18"/>
  <c r="C75" i="18" s="1"/>
  <c r="B73" i="18"/>
  <c r="B72" i="18"/>
  <c r="B71" i="18"/>
  <c r="B70" i="18"/>
  <c r="B69" i="18"/>
  <c r="C70" i="18" s="1"/>
  <c r="B68" i="18"/>
  <c r="B67" i="18"/>
  <c r="B66" i="18"/>
  <c r="B65" i="18"/>
  <c r="B64" i="18"/>
  <c r="B63" i="18"/>
  <c r="B62" i="18"/>
  <c r="B61" i="18"/>
  <c r="B60" i="18"/>
  <c r="B59" i="18"/>
  <c r="B58" i="18"/>
  <c r="B57" i="18"/>
  <c r="B56" i="18"/>
  <c r="B55" i="18"/>
  <c r="B54" i="18"/>
  <c r="B53" i="18"/>
  <c r="B52" i="18"/>
  <c r="B51" i="18"/>
  <c r="B50" i="18"/>
  <c r="C51" i="18" s="1"/>
  <c r="B49" i="18"/>
  <c r="B48" i="18"/>
  <c r="B47" i="18"/>
  <c r="B46" i="18"/>
  <c r="B45" i="18"/>
  <c r="B44" i="18"/>
  <c r="B43" i="18"/>
  <c r="B42" i="18"/>
  <c r="C43" i="18" s="1"/>
  <c r="B41" i="18"/>
  <c r="B40" i="18"/>
  <c r="B39" i="18"/>
  <c r="B38" i="18"/>
  <c r="B37" i="18"/>
  <c r="C38" i="18" s="1"/>
  <c r="B36" i="18"/>
  <c r="B35" i="18"/>
  <c r="B34" i="18"/>
  <c r="B33" i="18"/>
  <c r="B32" i="18"/>
  <c r="B31" i="18"/>
  <c r="B30" i="18"/>
  <c r="B29" i="18"/>
  <c r="C30" i="18" s="1"/>
  <c r="B28" i="18"/>
  <c r="B27" i="18"/>
  <c r="B26" i="18"/>
  <c r="B25" i="18"/>
  <c r="B24" i="18"/>
  <c r="B23" i="18"/>
  <c r="B22" i="18"/>
  <c r="B21" i="18"/>
  <c r="B20" i="18"/>
  <c r="B19" i="18"/>
  <c r="B18" i="18"/>
  <c r="C19" i="18" s="1"/>
  <c r="B17" i="18"/>
  <c r="B16" i="18"/>
  <c r="B15" i="18"/>
  <c r="B14" i="18"/>
  <c r="B13" i="18"/>
  <c r="B12" i="18"/>
  <c r="B11" i="18"/>
  <c r="B10" i="18"/>
  <c r="C11" i="18" s="1"/>
  <c r="B9" i="18"/>
  <c r="B8" i="18"/>
  <c r="B7" i="18"/>
  <c r="B6" i="18"/>
  <c r="B149" i="17"/>
  <c r="B148" i="17"/>
  <c r="B147" i="17"/>
  <c r="C148" i="17" s="1"/>
  <c r="B146" i="17"/>
  <c r="B145" i="17"/>
  <c r="B144" i="17"/>
  <c r="B143" i="17"/>
  <c r="B142" i="17"/>
  <c r="B141" i="17"/>
  <c r="B140" i="17"/>
  <c r="B139" i="17"/>
  <c r="B138" i="17"/>
  <c r="B137" i="17"/>
  <c r="C137" i="17" s="1"/>
  <c r="B136" i="17"/>
  <c r="B135" i="17"/>
  <c r="B134" i="17"/>
  <c r="B133" i="17"/>
  <c r="B132" i="17"/>
  <c r="B131" i="17"/>
  <c r="B130" i="17"/>
  <c r="C130" i="17" s="1"/>
  <c r="B129" i="17"/>
  <c r="B128" i="17"/>
  <c r="B127" i="17"/>
  <c r="B126" i="17"/>
  <c r="C127" i="17" s="1"/>
  <c r="B125" i="17"/>
  <c r="B124" i="17"/>
  <c r="B123" i="17"/>
  <c r="B122" i="17"/>
  <c r="B121" i="17"/>
  <c r="C121" i="17" s="1"/>
  <c r="B120" i="17"/>
  <c r="B119" i="17"/>
  <c r="B118" i="17"/>
  <c r="C119" i="17" s="1"/>
  <c r="B117" i="17"/>
  <c r="B116" i="17"/>
  <c r="B115" i="17"/>
  <c r="B114" i="17"/>
  <c r="C114" i="17" s="1"/>
  <c r="B113" i="17"/>
  <c r="C113" i="17" s="1"/>
  <c r="B112" i="17"/>
  <c r="B111" i="17"/>
  <c r="C112" i="17" s="1"/>
  <c r="B110" i="17"/>
  <c r="B109" i="17"/>
  <c r="B108" i="17"/>
  <c r="B107" i="17"/>
  <c r="B106" i="17"/>
  <c r="B105" i="17"/>
  <c r="C105" i="17" s="1"/>
  <c r="B104" i="17"/>
  <c r="B103" i="17"/>
  <c r="C104" i="17" s="1"/>
  <c r="B102" i="17"/>
  <c r="B101" i="17"/>
  <c r="B100" i="17"/>
  <c r="C101" i="17" s="1"/>
  <c r="B99" i="17"/>
  <c r="B98" i="17"/>
  <c r="B97" i="17"/>
  <c r="B96" i="17"/>
  <c r="B95" i="17"/>
  <c r="B94" i="17"/>
  <c r="B93" i="17"/>
  <c r="B92" i="17"/>
  <c r="B91" i="17"/>
  <c r="B90" i="17"/>
  <c r="B89" i="17"/>
  <c r="B88" i="17"/>
  <c r="B87" i="17"/>
  <c r="B86" i="17"/>
  <c r="B85" i="17"/>
  <c r="B84" i="17"/>
  <c r="B83" i="17"/>
  <c r="B82" i="17"/>
  <c r="C82" i="17" s="1"/>
  <c r="B81" i="17"/>
  <c r="C81" i="17" s="1"/>
  <c r="B80" i="17"/>
  <c r="B79" i="17"/>
  <c r="C80" i="17" s="1"/>
  <c r="B78" i="17"/>
  <c r="B77" i="17"/>
  <c r="B76" i="17"/>
  <c r="C77" i="17" s="1"/>
  <c r="B75" i="17"/>
  <c r="B74" i="17"/>
  <c r="B73" i="17"/>
  <c r="C73" i="17" s="1"/>
  <c r="B72" i="17"/>
  <c r="B71" i="17"/>
  <c r="B70" i="17"/>
  <c r="B69" i="17"/>
  <c r="B68" i="17"/>
  <c r="B67" i="17"/>
  <c r="B66" i="17"/>
  <c r="C66" i="17" s="1"/>
  <c r="B65" i="17"/>
  <c r="B64" i="17"/>
  <c r="B63" i="17"/>
  <c r="B62" i="17"/>
  <c r="B61" i="17"/>
  <c r="B60" i="17"/>
  <c r="B59" i="17"/>
  <c r="B58" i="17"/>
  <c r="B57" i="17"/>
  <c r="C57" i="17" s="1"/>
  <c r="B56" i="17"/>
  <c r="B55" i="17"/>
  <c r="B54" i="17"/>
  <c r="B53" i="17"/>
  <c r="C53" i="17" s="1"/>
  <c r="B52" i="17"/>
  <c r="B51" i="17"/>
  <c r="B50" i="17"/>
  <c r="B49" i="17"/>
  <c r="B48" i="17"/>
  <c r="B47" i="17"/>
  <c r="B46" i="17"/>
  <c r="B45" i="17"/>
  <c r="C45" i="17" s="1"/>
  <c r="B44" i="17"/>
  <c r="B43" i="17"/>
  <c r="B42" i="17"/>
  <c r="B41" i="17"/>
  <c r="B40" i="17"/>
  <c r="B39" i="17"/>
  <c r="B38" i="17"/>
  <c r="B37" i="17"/>
  <c r="B36" i="17"/>
  <c r="B35" i="17"/>
  <c r="B34" i="17"/>
  <c r="B33" i="17"/>
  <c r="C33" i="17" s="1"/>
  <c r="B32" i="17"/>
  <c r="B31" i="17"/>
  <c r="B30" i="17"/>
  <c r="C31" i="17" s="1"/>
  <c r="B29" i="17"/>
  <c r="B28" i="17"/>
  <c r="B27" i="17"/>
  <c r="B26" i="17"/>
  <c r="B25" i="17"/>
  <c r="C25" i="17" s="1"/>
  <c r="B24" i="17"/>
  <c r="B23" i="17"/>
  <c r="B22" i="17"/>
  <c r="C23" i="17" s="1"/>
  <c r="B21" i="17"/>
  <c r="B20" i="17"/>
  <c r="B19" i="17"/>
  <c r="B18" i="17"/>
  <c r="B17" i="17"/>
  <c r="C17" i="17" s="1"/>
  <c r="B16" i="17"/>
  <c r="B15" i="17"/>
  <c r="C16" i="17" s="1"/>
  <c r="B14" i="17"/>
  <c r="B13" i="17"/>
  <c r="B12" i="17"/>
  <c r="B11" i="17"/>
  <c r="B10" i="17"/>
  <c r="B9" i="17"/>
  <c r="B8" i="17"/>
  <c r="B7" i="17"/>
  <c r="C8" i="17" s="1"/>
  <c r="B6" i="17"/>
  <c r="B149" i="16"/>
  <c r="C150" i="16" s="1"/>
  <c r="B148" i="16"/>
  <c r="C149" i="16" s="1"/>
  <c r="B147" i="16"/>
  <c r="B146" i="16"/>
  <c r="B145" i="16"/>
  <c r="B144" i="16"/>
  <c r="B143" i="16"/>
  <c r="C144" i="16" s="1"/>
  <c r="B142" i="16"/>
  <c r="B141" i="16"/>
  <c r="C142" i="16" s="1"/>
  <c r="B140" i="16"/>
  <c r="B139" i="16"/>
  <c r="B138" i="16"/>
  <c r="B137" i="16"/>
  <c r="B136" i="16"/>
  <c r="C137" i="16" s="1"/>
  <c r="B135" i="16"/>
  <c r="B134" i="16"/>
  <c r="B133" i="16"/>
  <c r="C133" i="16" s="1"/>
  <c r="B132" i="16"/>
  <c r="B131" i="16"/>
  <c r="B130" i="16"/>
  <c r="B129" i="16"/>
  <c r="B128" i="16"/>
  <c r="B127" i="16"/>
  <c r="B126" i="16"/>
  <c r="B125" i="16"/>
  <c r="B124" i="16"/>
  <c r="B123" i="16"/>
  <c r="B122" i="16"/>
  <c r="B121" i="16"/>
  <c r="B120" i="16"/>
  <c r="B119" i="16"/>
  <c r="B118" i="16"/>
  <c r="B117" i="16"/>
  <c r="B116" i="16"/>
  <c r="C117" i="16" s="1"/>
  <c r="B115" i="16"/>
  <c r="B114" i="16"/>
  <c r="B113" i="16"/>
  <c r="B112" i="16"/>
  <c r="B111" i="16"/>
  <c r="B110" i="16"/>
  <c r="B109" i="16"/>
  <c r="B108" i="16"/>
  <c r="B107" i="16"/>
  <c r="B106" i="16"/>
  <c r="B105" i="16"/>
  <c r="B104" i="16"/>
  <c r="B103" i="16"/>
  <c r="B102" i="16"/>
  <c r="B101" i="16"/>
  <c r="B100" i="16"/>
  <c r="C101" i="16" s="1"/>
  <c r="B99" i="16"/>
  <c r="B98" i="16"/>
  <c r="B97" i="16"/>
  <c r="B96" i="16"/>
  <c r="B95" i="16"/>
  <c r="B94" i="16"/>
  <c r="C95" i="16" s="1"/>
  <c r="B93" i="16"/>
  <c r="B92" i="16"/>
  <c r="B91" i="16"/>
  <c r="B90" i="16"/>
  <c r="B89" i="16"/>
  <c r="B88" i="16"/>
  <c r="B87" i="16"/>
  <c r="B86" i="16"/>
  <c r="B85" i="16"/>
  <c r="B84" i="16"/>
  <c r="B83" i="16"/>
  <c r="B82" i="16"/>
  <c r="B81" i="16"/>
  <c r="B80" i="16"/>
  <c r="B79" i="16"/>
  <c r="B78" i="16"/>
  <c r="C79" i="16" s="1"/>
  <c r="B77" i="16"/>
  <c r="B76" i="16"/>
  <c r="B75" i="16"/>
  <c r="B74" i="16"/>
  <c r="B73" i="16"/>
  <c r="C74" i="16" s="1"/>
  <c r="B72" i="16"/>
  <c r="B71" i="16"/>
  <c r="B70" i="16"/>
  <c r="B69" i="16"/>
  <c r="M22" i="3" s="1"/>
  <c r="B68" i="16"/>
  <c r="B67" i="16"/>
  <c r="B66" i="16"/>
  <c r="B65" i="16"/>
  <c r="B64" i="16"/>
  <c r="B63" i="16"/>
  <c r="B62" i="16"/>
  <c r="B61" i="16"/>
  <c r="M14" i="3" s="1"/>
  <c r="B60" i="16"/>
  <c r="B59" i="16"/>
  <c r="B58" i="16"/>
  <c r="B57" i="16"/>
  <c r="B56" i="16"/>
  <c r="B55" i="16"/>
  <c r="B54" i="16"/>
  <c r="B53" i="16"/>
  <c r="B52" i="16"/>
  <c r="B51" i="16"/>
  <c r="B50" i="16"/>
  <c r="B49" i="16"/>
  <c r="B48" i="16"/>
  <c r="B47" i="16"/>
  <c r="B46" i="16"/>
  <c r="B45" i="16"/>
  <c r="B44" i="16"/>
  <c r="B43" i="16"/>
  <c r="B42" i="16"/>
  <c r="B41" i="16"/>
  <c r="B40" i="16"/>
  <c r="B39" i="16"/>
  <c r="B38" i="16"/>
  <c r="B37" i="16"/>
  <c r="C38" i="16" s="1"/>
  <c r="B36" i="16"/>
  <c r="B35" i="16"/>
  <c r="B34" i="16"/>
  <c r="B33" i="16"/>
  <c r="B32" i="16"/>
  <c r="B31" i="16"/>
  <c r="B30" i="16"/>
  <c r="B29" i="16"/>
  <c r="B28" i="16"/>
  <c r="B27" i="16"/>
  <c r="B26" i="16"/>
  <c r="B25" i="16"/>
  <c r="B24" i="16"/>
  <c r="B23" i="16"/>
  <c r="B22" i="16"/>
  <c r="B21" i="16"/>
  <c r="B20" i="16"/>
  <c r="B19" i="16"/>
  <c r="B18" i="16"/>
  <c r="B17" i="16"/>
  <c r="B16" i="16"/>
  <c r="B15" i="16"/>
  <c r="B14" i="16"/>
  <c r="B13" i="16"/>
  <c r="B12" i="16"/>
  <c r="B11" i="16"/>
  <c r="B10" i="16"/>
  <c r="B9" i="16"/>
  <c r="B8" i="16"/>
  <c r="B7" i="16"/>
  <c r="B6" i="16"/>
  <c r="B149" i="15"/>
  <c r="B148" i="15"/>
  <c r="B147" i="15"/>
  <c r="B146" i="15"/>
  <c r="B145" i="15"/>
  <c r="B144" i="15"/>
  <c r="B143" i="15"/>
  <c r="B142" i="15"/>
  <c r="B141" i="15"/>
  <c r="B140" i="15"/>
  <c r="B139" i="15"/>
  <c r="C140" i="15" s="1"/>
  <c r="B138" i="15"/>
  <c r="B137" i="15"/>
  <c r="B136" i="15"/>
  <c r="B135" i="15"/>
  <c r="B134" i="15"/>
  <c r="B133" i="15"/>
  <c r="B132" i="15"/>
  <c r="B131" i="15"/>
  <c r="C132" i="15" s="1"/>
  <c r="B130" i="15"/>
  <c r="B129" i="15"/>
  <c r="C129" i="15" s="1"/>
  <c r="B128" i="15"/>
  <c r="C128" i="15" s="1"/>
  <c r="B127" i="15"/>
  <c r="B126" i="15"/>
  <c r="B125" i="15"/>
  <c r="G78" i="3" s="1"/>
  <c r="B124" i="15"/>
  <c r="B123" i="15"/>
  <c r="B122" i="15"/>
  <c r="B121" i="15"/>
  <c r="B120" i="15"/>
  <c r="B119" i="15"/>
  <c r="B118" i="15"/>
  <c r="B117" i="15"/>
  <c r="C118" i="15" s="1"/>
  <c r="B116" i="15"/>
  <c r="B115" i="15"/>
  <c r="B114" i="15"/>
  <c r="B113" i="15"/>
  <c r="B112" i="15"/>
  <c r="C112" i="15" s="1"/>
  <c r="B111" i="15"/>
  <c r="B110" i="15"/>
  <c r="C111" i="15" s="1"/>
  <c r="B109" i="15"/>
  <c r="B108" i="15"/>
  <c r="B107" i="15"/>
  <c r="C108" i="15" s="1"/>
  <c r="B106" i="15"/>
  <c r="B105" i="15"/>
  <c r="B104" i="15"/>
  <c r="C104" i="15" s="1"/>
  <c r="B103" i="15"/>
  <c r="B102" i="15"/>
  <c r="B101" i="15"/>
  <c r="B100" i="15"/>
  <c r="B99" i="15"/>
  <c r="B98" i="15"/>
  <c r="B97" i="15"/>
  <c r="C97" i="15" s="1"/>
  <c r="B96" i="15"/>
  <c r="B95" i="15"/>
  <c r="B94" i="15"/>
  <c r="B93" i="15"/>
  <c r="B92" i="15"/>
  <c r="B91" i="15"/>
  <c r="B90" i="15"/>
  <c r="B89" i="15"/>
  <c r="B88" i="15"/>
  <c r="C88" i="15" s="1"/>
  <c r="B87" i="15"/>
  <c r="B86" i="15"/>
  <c r="B85" i="15"/>
  <c r="C86" i="15" s="1"/>
  <c r="B84" i="15"/>
  <c r="B83" i="15"/>
  <c r="B82" i="15"/>
  <c r="B81" i="15"/>
  <c r="B80" i="15"/>
  <c r="C80" i="15" s="1"/>
  <c r="B79" i="15"/>
  <c r="B78" i="15"/>
  <c r="B77" i="15"/>
  <c r="B76" i="15"/>
  <c r="B75" i="15"/>
  <c r="B74" i="15"/>
  <c r="B73" i="15"/>
  <c r="B72" i="15"/>
  <c r="C72" i="15" s="1"/>
  <c r="B71" i="15"/>
  <c r="B70" i="15"/>
  <c r="B69" i="15"/>
  <c r="B68" i="15"/>
  <c r="B67" i="15"/>
  <c r="B66" i="15"/>
  <c r="B65" i="15"/>
  <c r="B64" i="15"/>
  <c r="B63" i="15"/>
  <c r="B62" i="15"/>
  <c r="B61" i="15"/>
  <c r="B60" i="15"/>
  <c r="B59" i="15"/>
  <c r="B58" i="15"/>
  <c r="B57" i="15"/>
  <c r="B56" i="15"/>
  <c r="C56" i="15" s="1"/>
  <c r="B55" i="15"/>
  <c r="B54" i="15"/>
  <c r="B53" i="15"/>
  <c r="B52" i="15"/>
  <c r="B51" i="15"/>
  <c r="B50" i="15"/>
  <c r="B49" i="15"/>
  <c r="B48" i="15"/>
  <c r="B47" i="15"/>
  <c r="B46" i="15"/>
  <c r="B45" i="15"/>
  <c r="B44" i="15"/>
  <c r="B43" i="15"/>
  <c r="C43" i="15" s="1"/>
  <c r="B42" i="15"/>
  <c r="B41" i="15"/>
  <c r="C41" i="15" s="1"/>
  <c r="B40" i="15"/>
  <c r="C40" i="15" s="1"/>
  <c r="B39" i="15"/>
  <c r="B38" i="15"/>
  <c r="B37" i="15"/>
  <c r="B36" i="15"/>
  <c r="B35" i="15"/>
  <c r="B34" i="15"/>
  <c r="B33" i="15"/>
  <c r="B32" i="15"/>
  <c r="B31" i="15"/>
  <c r="B30" i="15"/>
  <c r="B29" i="15"/>
  <c r="B28" i="15"/>
  <c r="B27" i="15"/>
  <c r="B26" i="15"/>
  <c r="B25" i="15"/>
  <c r="B24" i="15"/>
  <c r="B23" i="15"/>
  <c r="B22" i="15"/>
  <c r="B21" i="15"/>
  <c r="C20" i="15"/>
  <c r="B20" i="15"/>
  <c r="B19" i="15"/>
  <c r="C19" i="15" s="1"/>
  <c r="B18" i="15"/>
  <c r="B17" i="15"/>
  <c r="C17" i="15" s="1"/>
  <c r="B16" i="15"/>
  <c r="C16" i="15" s="1"/>
  <c r="B15" i="15"/>
  <c r="B14" i="15"/>
  <c r="B13" i="15"/>
  <c r="B12" i="15"/>
  <c r="C12" i="15" s="1"/>
  <c r="B11" i="15"/>
  <c r="B10" i="15"/>
  <c r="B9" i="15"/>
  <c r="C9" i="15" s="1"/>
  <c r="B8" i="15"/>
  <c r="C8" i="15" s="1"/>
  <c r="B7" i="15"/>
  <c r="B6" i="15"/>
  <c r="B149" i="14"/>
  <c r="C150" i="14" s="1"/>
  <c r="B148" i="14"/>
  <c r="B147" i="14"/>
  <c r="B146" i="14"/>
  <c r="B145" i="14"/>
  <c r="B144" i="14"/>
  <c r="B143" i="14"/>
  <c r="C144" i="14" s="1"/>
  <c r="B142" i="14"/>
  <c r="B141" i="14"/>
  <c r="C141" i="14" s="1"/>
  <c r="B140" i="14"/>
  <c r="B139" i="14"/>
  <c r="B138" i="14"/>
  <c r="C138" i="14" s="1"/>
  <c r="B137" i="14"/>
  <c r="B136" i="14"/>
  <c r="B135" i="14"/>
  <c r="B134" i="14"/>
  <c r="C135" i="14" s="1"/>
  <c r="B133" i="14"/>
  <c r="B132" i="14"/>
  <c r="B131" i="14"/>
  <c r="B130" i="14"/>
  <c r="B129" i="14"/>
  <c r="B128" i="14"/>
  <c r="B127" i="14"/>
  <c r="B126" i="14"/>
  <c r="B125" i="14"/>
  <c r="B124" i="14"/>
  <c r="C125" i="14" s="1"/>
  <c r="B123" i="14"/>
  <c r="B122" i="14"/>
  <c r="B121" i="14"/>
  <c r="B120" i="14"/>
  <c r="C121" i="14" s="1"/>
  <c r="B119" i="14"/>
  <c r="B118" i="14"/>
  <c r="K71" i="3" s="1"/>
  <c r="B117" i="14"/>
  <c r="B116" i="14"/>
  <c r="B115" i="14"/>
  <c r="B114" i="14"/>
  <c r="B113" i="14"/>
  <c r="B112" i="14"/>
  <c r="C113" i="14" s="1"/>
  <c r="B111" i="14"/>
  <c r="K64" i="3" s="1"/>
  <c r="B110" i="14"/>
  <c r="B109" i="14"/>
  <c r="B108" i="14"/>
  <c r="B107" i="14"/>
  <c r="B106" i="14"/>
  <c r="B105" i="14"/>
  <c r="B104" i="14"/>
  <c r="C105" i="14" s="1"/>
  <c r="B103" i="14"/>
  <c r="K56" i="3" s="1"/>
  <c r="B102" i="14"/>
  <c r="C103" i="14" s="1"/>
  <c r="B101" i="14"/>
  <c r="B100" i="14"/>
  <c r="B99" i="14"/>
  <c r="B98" i="14"/>
  <c r="B97" i="14"/>
  <c r="B96" i="14"/>
  <c r="B95" i="14"/>
  <c r="B94" i="14"/>
  <c r="B93" i="14"/>
  <c r="B92" i="14"/>
  <c r="B91" i="14"/>
  <c r="B90" i="14"/>
  <c r="B89" i="14"/>
  <c r="B88" i="14"/>
  <c r="B87" i="14"/>
  <c r="B86" i="14"/>
  <c r="K39" i="3" s="1"/>
  <c r="B85" i="14"/>
  <c r="B84" i="14"/>
  <c r="C85" i="14" s="1"/>
  <c r="B83" i="14"/>
  <c r="B82" i="14"/>
  <c r="B81" i="14"/>
  <c r="B80" i="14"/>
  <c r="B79" i="14"/>
  <c r="K32" i="3" s="1"/>
  <c r="B78" i="14"/>
  <c r="K31" i="3" s="1"/>
  <c r="B77" i="14"/>
  <c r="K30" i="3" s="1"/>
  <c r="B76" i="14"/>
  <c r="B75" i="14"/>
  <c r="B74" i="14"/>
  <c r="B73" i="14"/>
  <c r="B72" i="14"/>
  <c r="B71" i="14"/>
  <c r="K24" i="3" s="1"/>
  <c r="B70" i="14"/>
  <c r="B69" i="14"/>
  <c r="K22" i="3" s="1"/>
  <c r="B68" i="14"/>
  <c r="C69" i="14" s="1"/>
  <c r="B67" i="14"/>
  <c r="B66" i="14"/>
  <c r="B65" i="14"/>
  <c r="B64" i="14"/>
  <c r="B63" i="14"/>
  <c r="K16" i="3" s="1"/>
  <c r="B62" i="14"/>
  <c r="B61" i="14"/>
  <c r="B60" i="14"/>
  <c r="K13" i="3" s="1"/>
  <c r="B59" i="14"/>
  <c r="B58" i="14"/>
  <c r="B57" i="14"/>
  <c r="B56" i="14"/>
  <c r="B55" i="14"/>
  <c r="B54" i="14"/>
  <c r="B53" i="14"/>
  <c r="B52" i="14"/>
  <c r="C53" i="14" s="1"/>
  <c r="B51" i="14"/>
  <c r="B50" i="14"/>
  <c r="B49" i="14"/>
  <c r="B48" i="14"/>
  <c r="B47" i="14"/>
  <c r="B46" i="14"/>
  <c r="B45" i="14"/>
  <c r="B44" i="14"/>
  <c r="B43" i="14"/>
  <c r="B42" i="14"/>
  <c r="B41" i="14"/>
  <c r="B40" i="14"/>
  <c r="B39" i="14"/>
  <c r="B38" i="14"/>
  <c r="B37" i="14"/>
  <c r="B36" i="14"/>
  <c r="C37" i="14" s="1"/>
  <c r="B35" i="14"/>
  <c r="B34" i="14"/>
  <c r="B33" i="14"/>
  <c r="B32" i="14"/>
  <c r="B31" i="14"/>
  <c r="B30" i="14"/>
  <c r="B29" i="14"/>
  <c r="B28" i="14"/>
  <c r="B27" i="14"/>
  <c r="B26" i="14"/>
  <c r="B25" i="14"/>
  <c r="B24" i="14"/>
  <c r="B23" i="14"/>
  <c r="B22" i="14"/>
  <c r="B21" i="14"/>
  <c r="B20" i="14"/>
  <c r="C21" i="14" s="1"/>
  <c r="B19" i="14"/>
  <c r="B18" i="14"/>
  <c r="B17" i="14"/>
  <c r="B16" i="14"/>
  <c r="B15" i="14"/>
  <c r="B14" i="14"/>
  <c r="B13" i="14"/>
  <c r="B12" i="14"/>
  <c r="B11" i="14"/>
  <c r="B10" i="14"/>
  <c r="B9" i="14"/>
  <c r="B8" i="14"/>
  <c r="B7" i="14"/>
  <c r="B6" i="14"/>
  <c r="B149" i="13"/>
  <c r="C150" i="13" s="1"/>
  <c r="B148" i="13"/>
  <c r="C149" i="13" s="1"/>
  <c r="B147" i="13"/>
  <c r="B146" i="13"/>
  <c r="B145" i="13"/>
  <c r="B144" i="13"/>
  <c r="B143" i="13"/>
  <c r="B142" i="13"/>
  <c r="B141" i="13"/>
  <c r="B140" i="13"/>
  <c r="C140" i="13" s="1"/>
  <c r="B139" i="13"/>
  <c r="B138" i="13"/>
  <c r="C139" i="13" s="1"/>
  <c r="B137" i="13"/>
  <c r="C138" i="13" s="1"/>
  <c r="B136" i="13"/>
  <c r="B135" i="13"/>
  <c r="C135" i="13" s="1"/>
  <c r="B134" i="13"/>
  <c r="B133" i="13"/>
  <c r="B132" i="13"/>
  <c r="C133" i="13" s="1"/>
  <c r="B131" i="13"/>
  <c r="C131" i="13" s="1"/>
  <c r="B130" i="13"/>
  <c r="B129" i="13"/>
  <c r="C130" i="13" s="1"/>
  <c r="B128" i="13"/>
  <c r="B127" i="13"/>
  <c r="B126" i="13"/>
  <c r="B125" i="13"/>
  <c r="B124" i="13"/>
  <c r="B123" i="13"/>
  <c r="C123" i="13" s="1"/>
  <c r="B122" i="13"/>
  <c r="B121" i="13"/>
  <c r="C122" i="13" s="1"/>
  <c r="B120" i="13"/>
  <c r="B119" i="13"/>
  <c r="B118" i="13"/>
  <c r="B117" i="13"/>
  <c r="B116" i="13"/>
  <c r="Q69" i="3" s="1"/>
  <c r="B115" i="13"/>
  <c r="C115" i="13" s="1"/>
  <c r="B114" i="13"/>
  <c r="B113" i="13"/>
  <c r="B112" i="13"/>
  <c r="B111" i="13"/>
  <c r="C111" i="13" s="1"/>
  <c r="B110" i="13"/>
  <c r="B109" i="13"/>
  <c r="C110" i="13" s="1"/>
  <c r="B108" i="13"/>
  <c r="C108" i="13" s="1"/>
  <c r="B107" i="13"/>
  <c r="B106" i="13"/>
  <c r="C107" i="13" s="1"/>
  <c r="B105" i="13"/>
  <c r="B104" i="13"/>
  <c r="B103" i="13"/>
  <c r="B102" i="13"/>
  <c r="C103" i="13" s="1"/>
  <c r="B101" i="13"/>
  <c r="B100" i="13"/>
  <c r="B99" i="13"/>
  <c r="B98" i="13"/>
  <c r="B97" i="13"/>
  <c r="B96" i="13"/>
  <c r="B95" i="13"/>
  <c r="B94" i="13"/>
  <c r="Q47" i="3" s="1"/>
  <c r="B93" i="13"/>
  <c r="Q46" i="3" s="1"/>
  <c r="B92" i="13"/>
  <c r="C92" i="13" s="1"/>
  <c r="B91" i="13"/>
  <c r="B90" i="13"/>
  <c r="B89" i="13"/>
  <c r="B88" i="13"/>
  <c r="Q41" i="3" s="1"/>
  <c r="B87" i="13"/>
  <c r="B86" i="13"/>
  <c r="Q39" i="3" s="1"/>
  <c r="B85" i="13"/>
  <c r="B84" i="13"/>
  <c r="B83" i="13"/>
  <c r="B82" i="13"/>
  <c r="B81" i="13"/>
  <c r="B80" i="13"/>
  <c r="C81" i="13" s="1"/>
  <c r="B79" i="13"/>
  <c r="B78" i="13"/>
  <c r="B77" i="13"/>
  <c r="C78" i="13" s="1"/>
  <c r="B76" i="13"/>
  <c r="B75" i="13"/>
  <c r="B74" i="13"/>
  <c r="B73" i="13"/>
  <c r="B72" i="13"/>
  <c r="Q25" i="3" s="1"/>
  <c r="B71" i="13"/>
  <c r="B70" i="13"/>
  <c r="Q23" i="3" s="1"/>
  <c r="B69" i="13"/>
  <c r="C70" i="13" s="1"/>
  <c r="B68" i="13"/>
  <c r="B67" i="13"/>
  <c r="B66" i="13"/>
  <c r="C67" i="13" s="1"/>
  <c r="B65" i="13"/>
  <c r="B64" i="13"/>
  <c r="C65" i="13" s="1"/>
  <c r="B63" i="13"/>
  <c r="Q16" i="3" s="1"/>
  <c r="B62" i="13"/>
  <c r="B61" i="13"/>
  <c r="C62" i="13" s="1"/>
  <c r="B60" i="13"/>
  <c r="B59" i="13"/>
  <c r="B58" i="13"/>
  <c r="B57" i="13"/>
  <c r="B56" i="13"/>
  <c r="B55" i="13"/>
  <c r="B54" i="13"/>
  <c r="C55" i="13" s="1"/>
  <c r="B53" i="13"/>
  <c r="B52" i="13"/>
  <c r="B51" i="13"/>
  <c r="B50" i="13"/>
  <c r="B49" i="13"/>
  <c r="B48" i="13"/>
  <c r="B47" i="13"/>
  <c r="B46" i="13"/>
  <c r="C47" i="13" s="1"/>
  <c r="B45" i="13"/>
  <c r="B44" i="13"/>
  <c r="C44" i="13" s="1"/>
  <c r="B43" i="13"/>
  <c r="B42" i="13"/>
  <c r="B41" i="13"/>
  <c r="B40" i="13"/>
  <c r="C41" i="13" s="1"/>
  <c r="B39" i="13"/>
  <c r="B38" i="13"/>
  <c r="B37" i="13"/>
  <c r="C38" i="13" s="1"/>
  <c r="B36" i="13"/>
  <c r="B35" i="13"/>
  <c r="B34" i="13"/>
  <c r="B33" i="13"/>
  <c r="B32" i="13"/>
  <c r="C33" i="13" s="1"/>
  <c r="B31" i="13"/>
  <c r="B30" i="13"/>
  <c r="B29" i="13"/>
  <c r="C30" i="13" s="1"/>
  <c r="B28" i="13"/>
  <c r="B27" i="13"/>
  <c r="B26" i="13"/>
  <c r="B25" i="13"/>
  <c r="B24" i="13"/>
  <c r="B23" i="13"/>
  <c r="B22" i="13"/>
  <c r="B21" i="13"/>
  <c r="B20" i="13"/>
  <c r="B19" i="13"/>
  <c r="B18" i="13"/>
  <c r="B17" i="13"/>
  <c r="B16" i="13"/>
  <c r="B15" i="13"/>
  <c r="B14" i="13"/>
  <c r="B13" i="13"/>
  <c r="B12" i="13"/>
  <c r="B11" i="13"/>
  <c r="B10" i="13"/>
  <c r="B9" i="13"/>
  <c r="B8" i="13"/>
  <c r="B7" i="13"/>
  <c r="B6" i="13"/>
  <c r="B149" i="12"/>
  <c r="C150" i="12" s="1"/>
  <c r="B148" i="12"/>
  <c r="B147" i="12"/>
  <c r="B146" i="12"/>
  <c r="B145" i="12"/>
  <c r="B144" i="12"/>
  <c r="C145" i="12" s="1"/>
  <c r="B143" i="12"/>
  <c r="B142" i="12"/>
  <c r="B141" i="12"/>
  <c r="B140" i="12"/>
  <c r="B139" i="12"/>
  <c r="B138" i="12"/>
  <c r="B137" i="12"/>
  <c r="B136" i="12"/>
  <c r="B135" i="12"/>
  <c r="B134" i="12"/>
  <c r="B133" i="12"/>
  <c r="C134" i="12" s="1"/>
  <c r="B132" i="12"/>
  <c r="B131" i="12"/>
  <c r="B130" i="12"/>
  <c r="C130" i="12" s="1"/>
  <c r="B129" i="12"/>
  <c r="B128" i="12"/>
  <c r="B127" i="12"/>
  <c r="B126" i="12"/>
  <c r="B125" i="12"/>
  <c r="C126" i="12" s="1"/>
  <c r="B124" i="12"/>
  <c r="B123" i="12"/>
  <c r="B122" i="12"/>
  <c r="C122" i="12" s="1"/>
  <c r="B121" i="12"/>
  <c r="B120" i="12"/>
  <c r="B119" i="12"/>
  <c r="B118" i="12"/>
  <c r="B117" i="12"/>
  <c r="B116" i="12"/>
  <c r="B115" i="12"/>
  <c r="B114" i="12"/>
  <c r="C114" i="12" s="1"/>
  <c r="B113" i="12"/>
  <c r="B112" i="12"/>
  <c r="B111" i="12"/>
  <c r="C111" i="12" s="1"/>
  <c r="B110" i="12"/>
  <c r="B109" i="12"/>
  <c r="B108" i="12"/>
  <c r="B107" i="12"/>
  <c r="C108" i="12" s="1"/>
  <c r="B106" i="12"/>
  <c r="B105" i="12"/>
  <c r="B104" i="12"/>
  <c r="B103" i="12"/>
  <c r="B102" i="12"/>
  <c r="B101" i="12"/>
  <c r="B100" i="12"/>
  <c r="B99" i="12"/>
  <c r="C99" i="12" s="1"/>
  <c r="B98" i="12"/>
  <c r="B97" i="12"/>
  <c r="B96" i="12"/>
  <c r="B95" i="12"/>
  <c r="B94" i="12"/>
  <c r="B93" i="12"/>
  <c r="B92" i="12"/>
  <c r="B91" i="12"/>
  <c r="C92" i="12" s="1"/>
  <c r="B90" i="12"/>
  <c r="B89" i="12"/>
  <c r="B88" i="12"/>
  <c r="B87" i="12"/>
  <c r="B86" i="12"/>
  <c r="B85" i="12"/>
  <c r="C86" i="12" s="1"/>
  <c r="B84" i="12"/>
  <c r="B83" i="12"/>
  <c r="B82" i="12"/>
  <c r="B81" i="12"/>
  <c r="B80" i="12"/>
  <c r="C81" i="12" s="1"/>
  <c r="B79" i="12"/>
  <c r="B78" i="12"/>
  <c r="B77" i="12"/>
  <c r="C78" i="12" s="1"/>
  <c r="B76" i="12"/>
  <c r="B75" i="12"/>
  <c r="B74" i="12"/>
  <c r="P27" i="3" s="1"/>
  <c r="B73" i="12"/>
  <c r="B72" i="12"/>
  <c r="B71" i="12"/>
  <c r="B70" i="12"/>
  <c r="B69" i="12"/>
  <c r="C70" i="12" s="1"/>
  <c r="B68" i="12"/>
  <c r="B67" i="12"/>
  <c r="B66" i="12"/>
  <c r="B65" i="12"/>
  <c r="B64" i="12"/>
  <c r="B63" i="12"/>
  <c r="B62" i="12"/>
  <c r="B61" i="12"/>
  <c r="C62" i="12" s="1"/>
  <c r="B60" i="12"/>
  <c r="B59" i="12"/>
  <c r="C60" i="12" s="1"/>
  <c r="B58" i="12"/>
  <c r="B57" i="12"/>
  <c r="B56" i="12"/>
  <c r="B55" i="12"/>
  <c r="B54" i="12"/>
  <c r="B53" i="12"/>
  <c r="C54" i="12" s="1"/>
  <c r="B52" i="12"/>
  <c r="B51" i="12"/>
  <c r="B50" i="12"/>
  <c r="B49" i="12"/>
  <c r="B48" i="12"/>
  <c r="C49" i="12" s="1"/>
  <c r="B47" i="12"/>
  <c r="B46" i="12"/>
  <c r="B45" i="12"/>
  <c r="B44" i="12"/>
  <c r="B43" i="12"/>
  <c r="B42" i="12"/>
  <c r="B41" i="12"/>
  <c r="B40" i="12"/>
  <c r="B39" i="12"/>
  <c r="B38" i="12"/>
  <c r="B37" i="12"/>
  <c r="B36" i="12"/>
  <c r="B35" i="12"/>
  <c r="C35" i="12" s="1"/>
  <c r="B34" i="12"/>
  <c r="B33" i="12"/>
  <c r="C34" i="12" s="1"/>
  <c r="B32" i="12"/>
  <c r="B31" i="12"/>
  <c r="B30" i="12"/>
  <c r="B29" i="12"/>
  <c r="B28" i="12"/>
  <c r="B27" i="12"/>
  <c r="B26" i="12"/>
  <c r="B25" i="12"/>
  <c r="C26" i="12" s="1"/>
  <c r="B24" i="12"/>
  <c r="B23" i="12"/>
  <c r="B22" i="12"/>
  <c r="B21" i="12"/>
  <c r="B20" i="12"/>
  <c r="B19" i="12"/>
  <c r="B18" i="12"/>
  <c r="B17" i="12"/>
  <c r="C18" i="12" s="1"/>
  <c r="B16" i="12"/>
  <c r="B15" i="12"/>
  <c r="B14" i="12"/>
  <c r="B13" i="12"/>
  <c r="B12" i="12"/>
  <c r="B11" i="12"/>
  <c r="B10" i="12"/>
  <c r="B9" i="12"/>
  <c r="C10" i="12" s="1"/>
  <c r="B8" i="12"/>
  <c r="B7" i="12"/>
  <c r="B6" i="12"/>
  <c r="B149" i="11"/>
  <c r="C150" i="11" s="1"/>
  <c r="B148" i="11"/>
  <c r="C149" i="11" s="1"/>
  <c r="B147" i="11"/>
  <c r="B146" i="11"/>
  <c r="B145" i="11"/>
  <c r="B144" i="11"/>
  <c r="B143" i="11"/>
  <c r="B142" i="11"/>
  <c r="C142" i="11" s="1"/>
  <c r="B141" i="11"/>
  <c r="B140" i="11"/>
  <c r="C141" i="11" s="1"/>
  <c r="B139" i="11"/>
  <c r="B138" i="11"/>
  <c r="B137" i="11"/>
  <c r="B136" i="11"/>
  <c r="B135" i="11"/>
  <c r="O88" i="3" s="1"/>
  <c r="B134" i="11"/>
  <c r="C134" i="11" s="1"/>
  <c r="B133" i="11"/>
  <c r="B132" i="11"/>
  <c r="C133" i="11" s="1"/>
  <c r="B131" i="11"/>
  <c r="C131" i="11" s="1"/>
  <c r="B130" i="11"/>
  <c r="B129" i="11"/>
  <c r="B128" i="11"/>
  <c r="B127" i="11"/>
  <c r="O80" i="3" s="1"/>
  <c r="B126" i="11"/>
  <c r="B125" i="11"/>
  <c r="C126" i="11" s="1"/>
  <c r="B124" i="11"/>
  <c r="B123" i="11"/>
  <c r="B122" i="11"/>
  <c r="B121" i="11"/>
  <c r="O74" i="3" s="1"/>
  <c r="B120" i="11"/>
  <c r="B119" i="11"/>
  <c r="B118" i="11"/>
  <c r="C119" i="11" s="1"/>
  <c r="B117" i="11"/>
  <c r="B116" i="11"/>
  <c r="B115" i="11"/>
  <c r="C116" i="11" s="1"/>
  <c r="B114" i="11"/>
  <c r="O67" i="3" s="1"/>
  <c r="B113" i="11"/>
  <c r="O66" i="3" s="1"/>
  <c r="B112" i="11"/>
  <c r="B111" i="11"/>
  <c r="B110" i="11"/>
  <c r="O63" i="3" s="1"/>
  <c r="B109" i="11"/>
  <c r="B108" i="11"/>
  <c r="B107" i="11"/>
  <c r="B106" i="11"/>
  <c r="O59" i="3" s="1"/>
  <c r="B105" i="11"/>
  <c r="B104" i="11"/>
  <c r="O57" i="3" s="1"/>
  <c r="B103" i="11"/>
  <c r="B102" i="11"/>
  <c r="O55" i="3" s="1"/>
  <c r="B101" i="11"/>
  <c r="B100" i="11"/>
  <c r="B99" i="11"/>
  <c r="B98" i="11"/>
  <c r="C99" i="11" s="1"/>
  <c r="B97" i="11"/>
  <c r="O50" i="3" s="1"/>
  <c r="B96" i="11"/>
  <c r="B95" i="11"/>
  <c r="B94" i="11"/>
  <c r="C94" i="11" s="1"/>
  <c r="B93" i="11"/>
  <c r="B92" i="11"/>
  <c r="B91" i="11"/>
  <c r="B90" i="11"/>
  <c r="B89" i="11"/>
  <c r="B88" i="11"/>
  <c r="O41" i="3" s="1"/>
  <c r="B87" i="11"/>
  <c r="B86" i="11"/>
  <c r="O39" i="3" s="1"/>
  <c r="B85" i="11"/>
  <c r="B84" i="11"/>
  <c r="B83" i="11"/>
  <c r="B82" i="11"/>
  <c r="O35" i="3" s="1"/>
  <c r="C81" i="11"/>
  <c r="B81" i="11"/>
  <c r="B80" i="11"/>
  <c r="B79" i="11"/>
  <c r="O32" i="3" s="1"/>
  <c r="B78" i="11"/>
  <c r="B77" i="11"/>
  <c r="B76" i="11"/>
  <c r="B75" i="11"/>
  <c r="O28" i="3" s="1"/>
  <c r="B74" i="11"/>
  <c r="O27" i="3" s="1"/>
  <c r="B73" i="11"/>
  <c r="B72" i="11"/>
  <c r="B71" i="11"/>
  <c r="B70" i="11"/>
  <c r="B69" i="11"/>
  <c r="B68" i="11"/>
  <c r="B67" i="11"/>
  <c r="O20" i="3" s="1"/>
  <c r="B66" i="11"/>
  <c r="O19" i="3" s="1"/>
  <c r="B65" i="11"/>
  <c r="C66" i="11" s="1"/>
  <c r="B64" i="11"/>
  <c r="B63" i="11"/>
  <c r="O16" i="3" s="1"/>
  <c r="B62" i="11"/>
  <c r="B61" i="11"/>
  <c r="B60" i="11"/>
  <c r="B59" i="11"/>
  <c r="O12" i="3" s="1"/>
  <c r="B58" i="11"/>
  <c r="B57" i="11"/>
  <c r="B56" i="11"/>
  <c r="B55" i="11"/>
  <c r="B54" i="11"/>
  <c r="B53" i="11"/>
  <c r="B52" i="11"/>
  <c r="C53" i="11" s="1"/>
  <c r="B51" i="11"/>
  <c r="B50" i="11"/>
  <c r="B49" i="11"/>
  <c r="C49" i="11" s="1"/>
  <c r="B48" i="11"/>
  <c r="B47" i="11"/>
  <c r="B46" i="11"/>
  <c r="B45" i="11"/>
  <c r="B44" i="11"/>
  <c r="B43" i="11"/>
  <c r="B42" i="11"/>
  <c r="B41" i="11"/>
  <c r="C42" i="11" s="1"/>
  <c r="B40" i="11"/>
  <c r="B39" i="11"/>
  <c r="B38" i="11"/>
  <c r="B37" i="11"/>
  <c r="B36" i="11"/>
  <c r="C36" i="11" s="1"/>
  <c r="B35" i="11"/>
  <c r="B34" i="11"/>
  <c r="C35" i="11" s="1"/>
  <c r="B33" i="11"/>
  <c r="B32" i="11"/>
  <c r="B31" i="11"/>
  <c r="B30" i="11"/>
  <c r="B29" i="11"/>
  <c r="B28" i="11"/>
  <c r="B27" i="11"/>
  <c r="B26" i="11"/>
  <c r="C27" i="11" s="1"/>
  <c r="B25" i="11"/>
  <c r="B24" i="11"/>
  <c r="B23" i="11"/>
  <c r="B22" i="11"/>
  <c r="B21" i="11"/>
  <c r="C22" i="11" s="1"/>
  <c r="B20" i="11"/>
  <c r="B19" i="11"/>
  <c r="B18" i="11"/>
  <c r="B17" i="11"/>
  <c r="B16" i="11"/>
  <c r="B15" i="11"/>
  <c r="B14" i="11"/>
  <c r="B13" i="11"/>
  <c r="B12" i="11"/>
  <c r="B11" i="11"/>
  <c r="C12" i="11" s="1"/>
  <c r="B10" i="11"/>
  <c r="B9" i="11"/>
  <c r="B8" i="11"/>
  <c r="B7" i="11"/>
  <c r="B6" i="11"/>
  <c r="B149" i="10"/>
  <c r="C150" i="10" s="1"/>
  <c r="B148" i="10"/>
  <c r="B147" i="10"/>
  <c r="C147" i="10" s="1"/>
  <c r="B146" i="10"/>
  <c r="B145" i="10"/>
  <c r="B144" i="10"/>
  <c r="B143" i="10"/>
  <c r="B142" i="10"/>
  <c r="B141" i="10"/>
  <c r="B140" i="10"/>
  <c r="C141" i="10" s="1"/>
  <c r="B139" i="10"/>
  <c r="C139" i="10" s="1"/>
  <c r="B138" i="10"/>
  <c r="B137" i="10"/>
  <c r="B136" i="10"/>
  <c r="B135" i="10"/>
  <c r="B134" i="10"/>
  <c r="B133" i="10"/>
  <c r="B132" i="10"/>
  <c r="J85" i="3" s="1"/>
  <c r="B131" i="10"/>
  <c r="B130" i="10"/>
  <c r="B129" i="10"/>
  <c r="B128" i="10"/>
  <c r="B127" i="10"/>
  <c r="B126" i="10"/>
  <c r="B125" i="10"/>
  <c r="B124" i="10"/>
  <c r="B123" i="10"/>
  <c r="B122" i="10"/>
  <c r="B121" i="10"/>
  <c r="C122" i="10" s="1"/>
  <c r="B120" i="10"/>
  <c r="B119" i="10"/>
  <c r="B118" i="10"/>
  <c r="B117" i="10"/>
  <c r="B116" i="10"/>
  <c r="B115" i="10"/>
  <c r="J68" i="3" s="1"/>
  <c r="B114" i="10"/>
  <c r="B113" i="10"/>
  <c r="J66" i="3" s="1"/>
  <c r="B112" i="10"/>
  <c r="B111" i="10"/>
  <c r="B110" i="10"/>
  <c r="B109" i="10"/>
  <c r="B108" i="10"/>
  <c r="C109" i="10" s="1"/>
  <c r="B107" i="10"/>
  <c r="J60" i="3" s="1"/>
  <c r="B106" i="10"/>
  <c r="B105" i="10"/>
  <c r="J58" i="3" s="1"/>
  <c r="B104" i="10"/>
  <c r="B103" i="10"/>
  <c r="B102" i="10"/>
  <c r="B101" i="10"/>
  <c r="B100" i="10"/>
  <c r="J53" i="3" s="1"/>
  <c r="B99" i="10"/>
  <c r="B98" i="10"/>
  <c r="B97" i="10"/>
  <c r="B96" i="10"/>
  <c r="B95" i="10"/>
  <c r="B94" i="10"/>
  <c r="B93" i="10"/>
  <c r="B92" i="10"/>
  <c r="B91" i="10"/>
  <c r="B90" i="10"/>
  <c r="J43" i="3" s="1"/>
  <c r="B89" i="10"/>
  <c r="B88" i="10"/>
  <c r="B87" i="10"/>
  <c r="B86" i="10"/>
  <c r="B85" i="10"/>
  <c r="B84" i="10"/>
  <c r="J37" i="3" s="1"/>
  <c r="B83" i="10"/>
  <c r="B82" i="10"/>
  <c r="J35" i="3" s="1"/>
  <c r="B81" i="10"/>
  <c r="B80" i="10"/>
  <c r="B79" i="10"/>
  <c r="B78" i="10"/>
  <c r="B77" i="10"/>
  <c r="B76" i="10"/>
  <c r="J29" i="3" s="1"/>
  <c r="B75" i="10"/>
  <c r="C75" i="10" s="1"/>
  <c r="B74" i="10"/>
  <c r="B73" i="10"/>
  <c r="B72" i="10"/>
  <c r="B71" i="10"/>
  <c r="B70" i="10"/>
  <c r="C71" i="10" s="1"/>
  <c r="B69" i="10"/>
  <c r="B68" i="10"/>
  <c r="B67" i="10"/>
  <c r="C67" i="10" s="1"/>
  <c r="B66" i="10"/>
  <c r="B65" i="10"/>
  <c r="J18" i="3" s="1"/>
  <c r="B64" i="10"/>
  <c r="B63" i="10"/>
  <c r="B62" i="10"/>
  <c r="B61" i="10"/>
  <c r="B60" i="10"/>
  <c r="J13" i="3" s="1"/>
  <c r="B59" i="10"/>
  <c r="B58" i="10"/>
  <c r="B57" i="10"/>
  <c r="B56" i="10"/>
  <c r="B55" i="10"/>
  <c r="B54" i="10"/>
  <c r="C55" i="10" s="1"/>
  <c r="B53" i="10"/>
  <c r="B52" i="10"/>
  <c r="B51" i="10"/>
  <c r="C51" i="10" s="1"/>
  <c r="B50" i="10"/>
  <c r="B49" i="10"/>
  <c r="B48" i="10"/>
  <c r="B47" i="10"/>
  <c r="B46" i="10"/>
  <c r="B45" i="10"/>
  <c r="B44" i="10"/>
  <c r="B43" i="10"/>
  <c r="C43" i="10" s="1"/>
  <c r="B42" i="10"/>
  <c r="B41" i="10"/>
  <c r="B40" i="10"/>
  <c r="B39" i="10"/>
  <c r="B38" i="10"/>
  <c r="B37" i="10"/>
  <c r="B36" i="10"/>
  <c r="B35" i="10"/>
  <c r="C35" i="10" s="1"/>
  <c r="B34" i="10"/>
  <c r="B33" i="10"/>
  <c r="B32" i="10"/>
  <c r="B31" i="10"/>
  <c r="B30" i="10"/>
  <c r="B29" i="10"/>
  <c r="B28" i="10"/>
  <c r="C29" i="10" s="1"/>
  <c r="B27" i="10"/>
  <c r="B26" i="10"/>
  <c r="B25" i="10"/>
  <c r="B24" i="10"/>
  <c r="B23" i="10"/>
  <c r="C23" i="10" s="1"/>
  <c r="B22" i="10"/>
  <c r="B21" i="10"/>
  <c r="C22" i="10" s="1"/>
  <c r="B20" i="10"/>
  <c r="B19" i="10"/>
  <c r="C19" i="10" s="1"/>
  <c r="B18" i="10"/>
  <c r="B17" i="10"/>
  <c r="B16" i="10"/>
  <c r="B15" i="10"/>
  <c r="C15" i="10" s="1"/>
  <c r="B14" i="10"/>
  <c r="B13" i="10"/>
  <c r="B12" i="10"/>
  <c r="B11" i="10"/>
  <c r="C11" i="10" s="1"/>
  <c r="B10" i="10"/>
  <c r="B9" i="10"/>
  <c r="B8" i="10"/>
  <c r="B7" i="10"/>
  <c r="B6" i="10"/>
  <c r="B188" i="9"/>
  <c r="C189" i="9" s="1"/>
  <c r="B187" i="9"/>
  <c r="B186" i="9"/>
  <c r="B185" i="9"/>
  <c r="B184" i="9"/>
  <c r="B183" i="9"/>
  <c r="B182" i="9"/>
  <c r="C182" i="9" s="1"/>
  <c r="B181" i="9"/>
  <c r="C181" i="9" s="1"/>
  <c r="B180" i="9"/>
  <c r="B179" i="9"/>
  <c r="B178" i="9"/>
  <c r="B177" i="9"/>
  <c r="B176" i="9"/>
  <c r="C177" i="9" s="1"/>
  <c r="B175" i="9"/>
  <c r="B174" i="9"/>
  <c r="B173" i="9"/>
  <c r="B172" i="9"/>
  <c r="C173" i="9" s="1"/>
  <c r="B171" i="9"/>
  <c r="C172" i="9" s="1"/>
  <c r="B170" i="9"/>
  <c r="B169" i="9"/>
  <c r="B168" i="9"/>
  <c r="B167" i="9"/>
  <c r="B166" i="9"/>
  <c r="C166" i="9" s="1"/>
  <c r="B165" i="9"/>
  <c r="B164" i="9"/>
  <c r="B163" i="9"/>
  <c r="C164" i="9" s="1"/>
  <c r="B162" i="9"/>
  <c r="B161" i="9"/>
  <c r="H75" i="3" s="1"/>
  <c r="B160" i="9"/>
  <c r="B159" i="9"/>
  <c r="B158" i="9"/>
  <c r="B157" i="9"/>
  <c r="B156" i="9"/>
  <c r="B155" i="9"/>
  <c r="C156" i="9" s="1"/>
  <c r="B154" i="9"/>
  <c r="B153" i="9"/>
  <c r="B152" i="9"/>
  <c r="B151" i="9"/>
  <c r="B150" i="9"/>
  <c r="B149" i="9"/>
  <c r="B148" i="9"/>
  <c r="B147" i="9"/>
  <c r="B146" i="9"/>
  <c r="B145" i="9"/>
  <c r="C146" i="9" s="1"/>
  <c r="B144" i="9"/>
  <c r="B143" i="9"/>
  <c r="B142" i="9"/>
  <c r="C142" i="9" s="1"/>
  <c r="B141" i="9"/>
  <c r="B140" i="9"/>
  <c r="B139" i="9"/>
  <c r="C140" i="9" s="1"/>
  <c r="B138" i="9"/>
  <c r="B137" i="9"/>
  <c r="B136" i="9"/>
  <c r="B135" i="9"/>
  <c r="B134" i="9"/>
  <c r="B133" i="9"/>
  <c r="B132" i="9"/>
  <c r="C133" i="9" s="1"/>
  <c r="B131" i="9"/>
  <c r="C132" i="9" s="1"/>
  <c r="B130" i="9"/>
  <c r="C130" i="9" s="1"/>
  <c r="B129" i="9"/>
  <c r="B128" i="9"/>
  <c r="B127" i="9"/>
  <c r="B126" i="9"/>
  <c r="B125" i="9"/>
  <c r="C126" i="9" s="1"/>
  <c r="B124" i="9"/>
  <c r="B123" i="9"/>
  <c r="B122" i="9"/>
  <c r="B121" i="9"/>
  <c r="B120" i="9"/>
  <c r="B119" i="9"/>
  <c r="B118" i="9"/>
  <c r="B117" i="9"/>
  <c r="B116" i="9"/>
  <c r="B115" i="9"/>
  <c r="B114" i="9"/>
  <c r="H28" i="3" s="1"/>
  <c r="B113" i="9"/>
  <c r="B112" i="9"/>
  <c r="B111" i="9"/>
  <c r="B110" i="9"/>
  <c r="B109" i="9"/>
  <c r="C110" i="9" s="1"/>
  <c r="B108" i="9"/>
  <c r="H22" i="3" s="1"/>
  <c r="B107" i="9"/>
  <c r="B106" i="9"/>
  <c r="H20" i="3" s="1"/>
  <c r="B105" i="9"/>
  <c r="B104" i="9"/>
  <c r="B103" i="9"/>
  <c r="B102" i="9"/>
  <c r="H16" i="3" s="1"/>
  <c r="B101" i="9"/>
  <c r="B100" i="9"/>
  <c r="B99" i="9"/>
  <c r="C100" i="9" s="1"/>
  <c r="B98" i="9"/>
  <c r="B97" i="9"/>
  <c r="B96" i="9"/>
  <c r="B95" i="9"/>
  <c r="B94" i="9"/>
  <c r="C95" i="9" s="1"/>
  <c r="B93" i="9"/>
  <c r="B92" i="9"/>
  <c r="B91" i="9"/>
  <c r="B90" i="9"/>
  <c r="B89" i="9"/>
  <c r="B88" i="9"/>
  <c r="B87" i="9"/>
  <c r="B86" i="9"/>
  <c r="B85" i="9"/>
  <c r="C86" i="9" s="1"/>
  <c r="B84" i="9"/>
  <c r="C85" i="9" s="1"/>
  <c r="B83" i="9"/>
  <c r="B82" i="9"/>
  <c r="B81" i="9"/>
  <c r="B80" i="9"/>
  <c r="B79" i="9"/>
  <c r="B78" i="9"/>
  <c r="B77" i="9"/>
  <c r="B76" i="9"/>
  <c r="C77" i="9" s="1"/>
  <c r="B75" i="9"/>
  <c r="B74" i="9"/>
  <c r="C75" i="9" s="1"/>
  <c r="B73" i="9"/>
  <c r="B72" i="9"/>
  <c r="B71" i="9"/>
  <c r="B70" i="9"/>
  <c r="B69" i="9"/>
  <c r="B68" i="9"/>
  <c r="B67" i="9"/>
  <c r="B66" i="9"/>
  <c r="B65" i="9"/>
  <c r="B64" i="9"/>
  <c r="B63" i="9"/>
  <c r="B62" i="9"/>
  <c r="B61" i="9"/>
  <c r="B60" i="9"/>
  <c r="C60" i="9" s="1"/>
  <c r="B59" i="9"/>
  <c r="B58" i="9"/>
  <c r="B57" i="9"/>
  <c r="B56" i="9"/>
  <c r="B55" i="9"/>
  <c r="B54" i="9"/>
  <c r="B53" i="9"/>
  <c r="B52" i="9"/>
  <c r="B51" i="9"/>
  <c r="B50" i="9"/>
  <c r="B49" i="9"/>
  <c r="B48" i="9"/>
  <c r="C49" i="9" s="1"/>
  <c r="B47" i="9"/>
  <c r="B46" i="9"/>
  <c r="B45" i="9"/>
  <c r="B44" i="9"/>
  <c r="C45" i="9" s="1"/>
  <c r="B43" i="9"/>
  <c r="B42" i="9"/>
  <c r="C43" i="9" s="1"/>
  <c r="B41" i="9"/>
  <c r="B40" i="9"/>
  <c r="B39" i="9"/>
  <c r="B38" i="9"/>
  <c r="B37" i="9"/>
  <c r="B36" i="9"/>
  <c r="B35" i="9"/>
  <c r="B34" i="9"/>
  <c r="C35" i="9" s="1"/>
  <c r="B33" i="9"/>
  <c r="B32" i="9"/>
  <c r="B31" i="9"/>
  <c r="B30" i="9"/>
  <c r="B29" i="9"/>
  <c r="B28" i="9"/>
  <c r="B27" i="9"/>
  <c r="B26" i="9"/>
  <c r="B25" i="9"/>
  <c r="B24" i="9"/>
  <c r="C25" i="9" s="1"/>
  <c r="B23" i="9"/>
  <c r="B22" i="9"/>
  <c r="B21" i="9"/>
  <c r="B20" i="9"/>
  <c r="C21" i="9" s="1"/>
  <c r="B19" i="9"/>
  <c r="B18" i="9"/>
  <c r="B17" i="9"/>
  <c r="B16" i="9"/>
  <c r="C17" i="9" s="1"/>
  <c r="B15" i="9"/>
  <c r="B14" i="9"/>
  <c r="B13" i="9"/>
  <c r="B12" i="9"/>
  <c r="B11" i="9"/>
  <c r="B10" i="9"/>
  <c r="C10" i="9" s="1"/>
  <c r="B9" i="9"/>
  <c r="B8" i="9"/>
  <c r="C9" i="9" s="1"/>
  <c r="B7" i="9"/>
  <c r="B6" i="9"/>
  <c r="B175" i="8"/>
  <c r="C176" i="8" s="1"/>
  <c r="B174" i="8"/>
  <c r="B173" i="8"/>
  <c r="C174" i="8" s="1"/>
  <c r="B172" i="8"/>
  <c r="B171" i="8"/>
  <c r="B170" i="8"/>
  <c r="B169" i="8"/>
  <c r="B168" i="8"/>
  <c r="B167" i="8"/>
  <c r="I94" i="3" s="1"/>
  <c r="B166" i="8"/>
  <c r="B165" i="8"/>
  <c r="C166" i="8" s="1"/>
  <c r="B164" i="8"/>
  <c r="I91" i="3" s="1"/>
  <c r="B163" i="8"/>
  <c r="B162" i="8"/>
  <c r="B161" i="8"/>
  <c r="B160" i="8"/>
  <c r="I87" i="3" s="1"/>
  <c r="B159" i="8"/>
  <c r="I86" i="3" s="1"/>
  <c r="B158" i="8"/>
  <c r="B157" i="8"/>
  <c r="B156" i="8"/>
  <c r="B155" i="8"/>
  <c r="B154" i="8"/>
  <c r="B153" i="8"/>
  <c r="B152" i="8"/>
  <c r="B151" i="8"/>
  <c r="B150" i="8"/>
  <c r="B149" i="8"/>
  <c r="B148" i="8"/>
  <c r="B147" i="8"/>
  <c r="I74" i="3" s="1"/>
  <c r="B146" i="8"/>
  <c r="B145" i="8"/>
  <c r="B144" i="8"/>
  <c r="B143" i="8"/>
  <c r="B142" i="8"/>
  <c r="B141" i="8"/>
  <c r="C142" i="8" s="1"/>
  <c r="B140" i="8"/>
  <c r="B139" i="8"/>
  <c r="B138" i="8"/>
  <c r="B137" i="8"/>
  <c r="B136" i="8"/>
  <c r="B135" i="8"/>
  <c r="I62" i="3" s="1"/>
  <c r="B134" i="8"/>
  <c r="B133" i="8"/>
  <c r="C134" i="8" s="1"/>
  <c r="B132" i="8"/>
  <c r="B131" i="8"/>
  <c r="B130" i="8"/>
  <c r="B129" i="8"/>
  <c r="B128" i="8"/>
  <c r="B127" i="8"/>
  <c r="I54" i="3" s="1"/>
  <c r="B126" i="8"/>
  <c r="B125" i="8"/>
  <c r="C126" i="8" s="1"/>
  <c r="B124" i="8"/>
  <c r="B123" i="8"/>
  <c r="B122" i="8"/>
  <c r="B121" i="8"/>
  <c r="B120" i="8"/>
  <c r="B119" i="8"/>
  <c r="I46" i="3" s="1"/>
  <c r="B118" i="8"/>
  <c r="I45" i="3" s="1"/>
  <c r="B117" i="8"/>
  <c r="I44" i="3" s="1"/>
  <c r="B116" i="8"/>
  <c r="B115" i="8"/>
  <c r="I42" i="3" s="1"/>
  <c r="B114" i="8"/>
  <c r="B113" i="8"/>
  <c r="B112" i="8"/>
  <c r="B111" i="8"/>
  <c r="I38" i="3" s="1"/>
  <c r="B110" i="8"/>
  <c r="I37" i="3" s="1"/>
  <c r="B109" i="8"/>
  <c r="C110" i="8" s="1"/>
  <c r="B108" i="8"/>
  <c r="I35" i="3" s="1"/>
  <c r="B107" i="8"/>
  <c r="I34" i="3" s="1"/>
  <c r="B106" i="8"/>
  <c r="B105" i="8"/>
  <c r="B104" i="8"/>
  <c r="B103" i="8"/>
  <c r="B102" i="8"/>
  <c r="I29" i="3" s="1"/>
  <c r="B101" i="8"/>
  <c r="C102" i="8" s="1"/>
  <c r="B100" i="8"/>
  <c r="B99" i="8"/>
  <c r="B98" i="8"/>
  <c r="B97" i="8"/>
  <c r="B96" i="8"/>
  <c r="C97" i="8" s="1"/>
  <c r="B95" i="8"/>
  <c r="C95" i="8" s="1"/>
  <c r="B94" i="8"/>
  <c r="I21" i="3" s="1"/>
  <c r="B93" i="8"/>
  <c r="I20" i="3" s="1"/>
  <c r="B92" i="8"/>
  <c r="I19" i="3" s="1"/>
  <c r="B91" i="8"/>
  <c r="B90" i="8"/>
  <c r="B89" i="8"/>
  <c r="B88" i="8"/>
  <c r="B87" i="8"/>
  <c r="C88" i="8" s="1"/>
  <c r="B86" i="8"/>
  <c r="I13" i="3" s="1"/>
  <c r="B85" i="8"/>
  <c r="I12" i="3" s="1"/>
  <c r="B84" i="8"/>
  <c r="B83" i="8"/>
  <c r="B82" i="8"/>
  <c r="B81" i="8"/>
  <c r="B80" i="8"/>
  <c r="B79" i="8"/>
  <c r="B78" i="8"/>
  <c r="B77" i="8"/>
  <c r="B76" i="8"/>
  <c r="B75" i="8"/>
  <c r="B74" i="8"/>
  <c r="B73" i="8"/>
  <c r="B72" i="8"/>
  <c r="B71" i="8"/>
  <c r="B70" i="8"/>
  <c r="B69" i="8"/>
  <c r="B68" i="8"/>
  <c r="B67" i="8"/>
  <c r="B66" i="8"/>
  <c r="B65" i="8"/>
  <c r="B64" i="8"/>
  <c r="B63" i="8"/>
  <c r="B62" i="8"/>
  <c r="B61" i="8"/>
  <c r="B60" i="8"/>
  <c r="B59" i="8"/>
  <c r="B58" i="8"/>
  <c r="B57" i="8"/>
  <c r="B56" i="8"/>
  <c r="B55" i="8"/>
  <c r="B54" i="8"/>
  <c r="B53" i="8"/>
  <c r="B52" i="8"/>
  <c r="B51" i="8"/>
  <c r="B50" i="8"/>
  <c r="B49" i="8"/>
  <c r="B48" i="8"/>
  <c r="B47" i="8"/>
  <c r="B46" i="8"/>
  <c r="B45" i="8"/>
  <c r="B44" i="8"/>
  <c r="B43" i="8"/>
  <c r="B42" i="8"/>
  <c r="B41" i="8"/>
  <c r="B40" i="8"/>
  <c r="B39" i="8"/>
  <c r="B38" i="8"/>
  <c r="B37" i="8"/>
  <c r="B36" i="8"/>
  <c r="B35" i="8"/>
  <c r="B34" i="8"/>
  <c r="B33" i="8"/>
  <c r="B32" i="8"/>
  <c r="B31" i="8"/>
  <c r="B30" i="8"/>
  <c r="B29" i="8"/>
  <c r="B28" i="8"/>
  <c r="B27" i="8"/>
  <c r="B26" i="8"/>
  <c r="B25" i="8"/>
  <c r="B24" i="8"/>
  <c r="B23" i="8"/>
  <c r="B22" i="8"/>
  <c r="B21" i="8"/>
  <c r="B20" i="8"/>
  <c r="B19" i="8"/>
  <c r="B18" i="8"/>
  <c r="B17" i="8"/>
  <c r="B16" i="8"/>
  <c r="B15" i="8"/>
  <c r="B14" i="8"/>
  <c r="B13" i="8"/>
  <c r="B12" i="8"/>
  <c r="B11" i="8"/>
  <c r="B10" i="8"/>
  <c r="B9" i="8"/>
  <c r="B8" i="8"/>
  <c r="B7" i="8"/>
  <c r="B6" i="8"/>
  <c r="B149" i="7"/>
  <c r="C149" i="7" s="1"/>
  <c r="B148" i="7"/>
  <c r="E101" i="3" s="1"/>
  <c r="B147" i="7"/>
  <c r="C147" i="7" s="1"/>
  <c r="B146" i="7"/>
  <c r="B145" i="7"/>
  <c r="B144" i="7"/>
  <c r="B143" i="7"/>
  <c r="C143" i="7" s="1"/>
  <c r="B142" i="7"/>
  <c r="B141" i="7"/>
  <c r="B140" i="7"/>
  <c r="B139" i="7"/>
  <c r="E92" i="3" s="1"/>
  <c r="B138" i="7"/>
  <c r="B137" i="7"/>
  <c r="B136" i="7"/>
  <c r="B135" i="7"/>
  <c r="B134" i="7"/>
  <c r="B133" i="7"/>
  <c r="B132" i="7"/>
  <c r="B131" i="7"/>
  <c r="B130" i="7"/>
  <c r="B129" i="7"/>
  <c r="B128" i="7"/>
  <c r="B127" i="7"/>
  <c r="B126" i="7"/>
  <c r="B125" i="7"/>
  <c r="E78" i="3" s="1"/>
  <c r="B124" i="7"/>
  <c r="C124" i="7" s="1"/>
  <c r="B123" i="7"/>
  <c r="C123" i="7" s="1"/>
  <c r="B122" i="7"/>
  <c r="B121" i="7"/>
  <c r="C122" i="7" s="1"/>
  <c r="B120" i="7"/>
  <c r="C120" i="7" s="1"/>
  <c r="B119" i="7"/>
  <c r="E72" i="3" s="1"/>
  <c r="B118" i="7"/>
  <c r="C118" i="7" s="1"/>
  <c r="B117" i="7"/>
  <c r="B116" i="7"/>
  <c r="B115" i="7"/>
  <c r="B114" i="7"/>
  <c r="B113" i="7"/>
  <c r="E66" i="3" s="1"/>
  <c r="B112" i="7"/>
  <c r="B111" i="7"/>
  <c r="C111" i="7" s="1"/>
  <c r="C110" i="7"/>
  <c r="B110" i="7"/>
  <c r="B109" i="7"/>
  <c r="B108" i="7"/>
  <c r="B107" i="7"/>
  <c r="B106" i="7"/>
  <c r="B105" i="7"/>
  <c r="B104" i="7"/>
  <c r="E57" i="3" s="1"/>
  <c r="B103" i="7"/>
  <c r="B102" i="7"/>
  <c r="B101" i="7"/>
  <c r="B100" i="7"/>
  <c r="B99" i="7"/>
  <c r="B98" i="7"/>
  <c r="C98" i="7" s="1"/>
  <c r="B97" i="7"/>
  <c r="C97" i="7" s="1"/>
  <c r="C96" i="7"/>
  <c r="B96" i="7"/>
  <c r="B95" i="7"/>
  <c r="B94" i="7"/>
  <c r="B93" i="7"/>
  <c r="B92" i="7"/>
  <c r="B91" i="7"/>
  <c r="B90" i="7"/>
  <c r="E43" i="3" s="1"/>
  <c r="B89" i="7"/>
  <c r="B88" i="7"/>
  <c r="B87" i="7"/>
  <c r="B86" i="7"/>
  <c r="B85" i="7"/>
  <c r="B84" i="7"/>
  <c r="B83" i="7"/>
  <c r="E36" i="3" s="1"/>
  <c r="B82" i="7"/>
  <c r="B81" i="7"/>
  <c r="C81" i="7" s="1"/>
  <c r="B80" i="7"/>
  <c r="C80" i="7" s="1"/>
  <c r="B79" i="7"/>
  <c r="B78" i="7"/>
  <c r="B77" i="7"/>
  <c r="B76" i="7"/>
  <c r="E29" i="3" s="1"/>
  <c r="B75" i="7"/>
  <c r="B74" i="7"/>
  <c r="E27" i="3" s="1"/>
  <c r="B73" i="7"/>
  <c r="B72" i="7"/>
  <c r="E25" i="3" s="1"/>
  <c r="B71" i="7"/>
  <c r="B70" i="7"/>
  <c r="B69" i="7"/>
  <c r="B68" i="7"/>
  <c r="C68" i="7" s="1"/>
  <c r="B67" i="7"/>
  <c r="B66" i="7"/>
  <c r="E19" i="3" s="1"/>
  <c r="B65" i="7"/>
  <c r="B64" i="7"/>
  <c r="B63" i="7"/>
  <c r="B62" i="7"/>
  <c r="C62" i="7" s="1"/>
  <c r="B61" i="7"/>
  <c r="C61" i="7" s="1"/>
  <c r="B60" i="7"/>
  <c r="B59" i="7"/>
  <c r="E12" i="3" s="1"/>
  <c r="B58" i="7"/>
  <c r="C58" i="7" s="1"/>
  <c r="B57" i="7"/>
  <c r="C57" i="7" s="1"/>
  <c r="B56" i="7"/>
  <c r="B55" i="7"/>
  <c r="B54" i="7"/>
  <c r="B53" i="7"/>
  <c r="B52" i="7"/>
  <c r="C53" i="7" s="1"/>
  <c r="B51" i="7"/>
  <c r="B50" i="7"/>
  <c r="C50" i="7" s="1"/>
  <c r="B49" i="7"/>
  <c r="B48" i="7"/>
  <c r="B47" i="7"/>
  <c r="B46" i="7"/>
  <c r="C46" i="7" s="1"/>
  <c r="B45" i="7"/>
  <c r="B44" i="7"/>
  <c r="C44" i="7" s="1"/>
  <c r="B43" i="7"/>
  <c r="C43" i="7" s="1"/>
  <c r="B42" i="7"/>
  <c r="B41" i="7"/>
  <c r="B40" i="7"/>
  <c r="B39" i="7"/>
  <c r="B38" i="7"/>
  <c r="C38" i="7" s="1"/>
  <c r="B37" i="7"/>
  <c r="B36" i="7"/>
  <c r="C36" i="7" s="1"/>
  <c r="B35" i="7"/>
  <c r="C35" i="7" s="1"/>
  <c r="B34" i="7"/>
  <c r="B33" i="7"/>
  <c r="B32" i="7"/>
  <c r="B31" i="7"/>
  <c r="B30" i="7"/>
  <c r="B29" i="7"/>
  <c r="B28" i="7"/>
  <c r="C28" i="7" s="1"/>
  <c r="B27" i="7"/>
  <c r="B26" i="7"/>
  <c r="C26" i="7" s="1"/>
  <c r="B25" i="7"/>
  <c r="B24" i="7"/>
  <c r="B23" i="7"/>
  <c r="B22" i="7"/>
  <c r="B21" i="7"/>
  <c r="C21" i="7" s="1"/>
  <c r="B20" i="7"/>
  <c r="B19" i="7"/>
  <c r="B18" i="7"/>
  <c r="B17" i="7"/>
  <c r="B16" i="7"/>
  <c r="B15" i="7"/>
  <c r="B14" i="7"/>
  <c r="B13" i="7"/>
  <c r="B12" i="7"/>
  <c r="C12" i="7" s="1"/>
  <c r="B11" i="7"/>
  <c r="C11" i="7" s="1"/>
  <c r="B10" i="7"/>
  <c r="B9" i="7"/>
  <c r="B8" i="7"/>
  <c r="B7" i="7"/>
  <c r="B6" i="7"/>
  <c r="B188" i="6"/>
  <c r="C189" i="6" s="1"/>
  <c r="B187" i="6"/>
  <c r="B186" i="6"/>
  <c r="B185" i="6"/>
  <c r="B184" i="6"/>
  <c r="B183" i="6"/>
  <c r="B182" i="6"/>
  <c r="B181" i="6"/>
  <c r="B180" i="6"/>
  <c r="B179" i="6"/>
  <c r="B178" i="6"/>
  <c r="B177" i="6"/>
  <c r="B176" i="6"/>
  <c r="B175" i="6"/>
  <c r="B174" i="6"/>
  <c r="B173" i="6"/>
  <c r="B172" i="6"/>
  <c r="B171" i="6"/>
  <c r="B170" i="6"/>
  <c r="B169" i="6"/>
  <c r="B168" i="6"/>
  <c r="B167" i="6"/>
  <c r="B166" i="6"/>
  <c r="B165" i="6"/>
  <c r="B164" i="6"/>
  <c r="B163" i="6"/>
  <c r="B162" i="6"/>
  <c r="B161" i="6"/>
  <c r="B160" i="6"/>
  <c r="F74" i="3" s="1"/>
  <c r="B159" i="6"/>
  <c r="B158" i="6"/>
  <c r="B157" i="6"/>
  <c r="B156" i="6"/>
  <c r="B155" i="6"/>
  <c r="B154" i="6"/>
  <c r="B153" i="6"/>
  <c r="B152" i="6"/>
  <c r="F66" i="3" s="1"/>
  <c r="B151" i="6"/>
  <c r="B150" i="6"/>
  <c r="B149" i="6"/>
  <c r="B148" i="6"/>
  <c r="B147" i="6"/>
  <c r="B146" i="6"/>
  <c r="B145" i="6"/>
  <c r="B144" i="6"/>
  <c r="B143" i="6"/>
  <c r="B142" i="6"/>
  <c r="B141" i="6"/>
  <c r="B140" i="6"/>
  <c r="B139" i="6"/>
  <c r="B138" i="6"/>
  <c r="B137" i="6"/>
  <c r="B136" i="6"/>
  <c r="F50" i="3" s="1"/>
  <c r="B135" i="6"/>
  <c r="B134" i="6"/>
  <c r="F48" i="3" s="1"/>
  <c r="B133" i="6"/>
  <c r="B132" i="6"/>
  <c r="B131" i="6"/>
  <c r="B130" i="6"/>
  <c r="B129" i="6"/>
  <c r="B128" i="6"/>
  <c r="F42" i="3" s="1"/>
  <c r="B127" i="6"/>
  <c r="B126" i="6"/>
  <c r="F40" i="3" s="1"/>
  <c r="B125" i="6"/>
  <c r="B124" i="6"/>
  <c r="F38" i="3" s="1"/>
  <c r="B123" i="6"/>
  <c r="B122" i="6"/>
  <c r="B121" i="6"/>
  <c r="B120" i="6"/>
  <c r="F34" i="3" s="1"/>
  <c r="B119" i="6"/>
  <c r="B118" i="6"/>
  <c r="F32" i="3" s="1"/>
  <c r="B117" i="6"/>
  <c r="B116" i="6"/>
  <c r="B115" i="6"/>
  <c r="B114" i="6"/>
  <c r="B113" i="6"/>
  <c r="B112" i="6"/>
  <c r="F26" i="3" s="1"/>
  <c r="B111" i="6"/>
  <c r="B110" i="6"/>
  <c r="B109" i="6"/>
  <c r="F23" i="3" s="1"/>
  <c r="B108" i="6"/>
  <c r="B107" i="6"/>
  <c r="B106" i="6"/>
  <c r="B105" i="6"/>
  <c r="B104" i="6"/>
  <c r="F18" i="3" s="1"/>
  <c r="B103" i="6"/>
  <c r="B102" i="6"/>
  <c r="C103" i="6" s="1"/>
  <c r="B101" i="6"/>
  <c r="B100" i="6"/>
  <c r="B99" i="6"/>
  <c r="B98" i="6"/>
  <c r="B97" i="6"/>
  <c r="B96" i="6"/>
  <c r="B95" i="6"/>
  <c r="B94" i="6"/>
  <c r="B93" i="6"/>
  <c r="B92" i="6"/>
  <c r="B91" i="6"/>
  <c r="B90" i="6"/>
  <c r="B89" i="6"/>
  <c r="B88" i="6"/>
  <c r="B87" i="6"/>
  <c r="B86" i="6"/>
  <c r="B85" i="6"/>
  <c r="B84" i="6"/>
  <c r="B83" i="6"/>
  <c r="B82" i="6"/>
  <c r="B81" i="6"/>
  <c r="C82" i="6" s="1"/>
  <c r="B80" i="6"/>
  <c r="B79" i="6"/>
  <c r="B78" i="6"/>
  <c r="B77" i="6"/>
  <c r="B76" i="6"/>
  <c r="B75" i="6"/>
  <c r="B74" i="6"/>
  <c r="B73" i="6"/>
  <c r="B72" i="6"/>
  <c r="B71" i="6"/>
  <c r="B70" i="6"/>
  <c r="B69" i="6"/>
  <c r="B68" i="6"/>
  <c r="B67" i="6"/>
  <c r="B66" i="6"/>
  <c r="C67" i="6" s="1"/>
  <c r="B65" i="6"/>
  <c r="B64" i="6"/>
  <c r="C65" i="6" s="1"/>
  <c r="B63" i="6"/>
  <c r="B62" i="6"/>
  <c r="B61" i="6"/>
  <c r="B60" i="6"/>
  <c r="B59" i="6"/>
  <c r="B58" i="6"/>
  <c r="C58" i="6" s="1"/>
  <c r="B57" i="6"/>
  <c r="B56" i="6"/>
  <c r="C57" i="6" s="1"/>
  <c r="B55" i="6"/>
  <c r="B54" i="6"/>
  <c r="B53" i="6"/>
  <c r="B52" i="6"/>
  <c r="B51" i="6"/>
  <c r="B50" i="6"/>
  <c r="B49" i="6"/>
  <c r="B48" i="6"/>
  <c r="B47" i="6"/>
  <c r="B46" i="6"/>
  <c r="B45" i="6"/>
  <c r="B44" i="6"/>
  <c r="B43" i="6"/>
  <c r="B42" i="6"/>
  <c r="B41" i="6"/>
  <c r="B40" i="6"/>
  <c r="B39" i="6"/>
  <c r="B38" i="6"/>
  <c r="B37" i="6"/>
  <c r="B36" i="6"/>
  <c r="B35" i="6"/>
  <c r="B34" i="6"/>
  <c r="B33" i="6"/>
  <c r="B32" i="6"/>
  <c r="B31" i="6"/>
  <c r="B30" i="6"/>
  <c r="B29" i="6"/>
  <c r="B28" i="6"/>
  <c r="B27" i="6"/>
  <c r="B26" i="6"/>
  <c r="B25" i="6"/>
  <c r="B24" i="6"/>
  <c r="B23" i="6"/>
  <c r="B22" i="6"/>
  <c r="B21" i="6"/>
  <c r="B20" i="6"/>
  <c r="B19" i="6"/>
  <c r="B18" i="6"/>
  <c r="B17" i="6"/>
  <c r="C17" i="6" s="1"/>
  <c r="B16" i="6"/>
  <c r="B15" i="6"/>
  <c r="B14" i="6"/>
  <c r="B13" i="6"/>
  <c r="B12" i="6"/>
  <c r="B11" i="6"/>
  <c r="B10" i="6"/>
  <c r="B9" i="6"/>
  <c r="B8" i="6"/>
  <c r="B7" i="6"/>
  <c r="B6" i="6"/>
  <c r="B113" i="5"/>
  <c r="B112" i="5"/>
  <c r="B111" i="5"/>
  <c r="B110" i="5"/>
  <c r="D99" i="3" s="1"/>
  <c r="B109" i="5"/>
  <c r="B108" i="5"/>
  <c r="B107" i="5"/>
  <c r="B106" i="5"/>
  <c r="D95" i="3" s="1"/>
  <c r="B105" i="5"/>
  <c r="C105" i="5" s="1"/>
  <c r="B104" i="5"/>
  <c r="B103" i="5"/>
  <c r="B102" i="5"/>
  <c r="D91" i="3" s="1"/>
  <c r="B101" i="5"/>
  <c r="D90" i="3" s="1"/>
  <c r="B100" i="5"/>
  <c r="B99" i="5"/>
  <c r="B98" i="5"/>
  <c r="D87" i="3" s="1"/>
  <c r="B97" i="5"/>
  <c r="C97" i="5" s="1"/>
  <c r="B96" i="5"/>
  <c r="B95" i="5"/>
  <c r="B94" i="5"/>
  <c r="D83" i="3" s="1"/>
  <c r="B93" i="5"/>
  <c r="B92" i="5"/>
  <c r="D81" i="3" s="1"/>
  <c r="B91" i="5"/>
  <c r="B90" i="5"/>
  <c r="B89" i="5"/>
  <c r="B88" i="5"/>
  <c r="B87" i="5"/>
  <c r="B86" i="5"/>
  <c r="D75" i="3" s="1"/>
  <c r="B85" i="5"/>
  <c r="B84" i="5"/>
  <c r="D73" i="3" s="1"/>
  <c r="B83" i="5"/>
  <c r="D72" i="3" s="1"/>
  <c r="B82" i="5"/>
  <c r="B81" i="5"/>
  <c r="B80" i="5"/>
  <c r="B79" i="5"/>
  <c r="B78" i="5"/>
  <c r="D67" i="3" s="1"/>
  <c r="B77" i="5"/>
  <c r="D66" i="3" s="1"/>
  <c r="B76" i="5"/>
  <c r="D65" i="3" s="1"/>
  <c r="B75" i="5"/>
  <c r="B74" i="5"/>
  <c r="B73" i="5"/>
  <c r="B72" i="5"/>
  <c r="B71" i="5"/>
  <c r="D60" i="3" s="1"/>
  <c r="B70" i="5"/>
  <c r="D59" i="3" s="1"/>
  <c r="B69" i="5"/>
  <c r="B68" i="5"/>
  <c r="D57" i="3" s="1"/>
  <c r="B67" i="5"/>
  <c r="D56" i="3" s="1"/>
  <c r="B66" i="5"/>
  <c r="B65" i="5"/>
  <c r="B64" i="5"/>
  <c r="B63" i="5"/>
  <c r="B62" i="5"/>
  <c r="D51" i="3" s="1"/>
  <c r="B61" i="5"/>
  <c r="D50" i="3" s="1"/>
  <c r="B60" i="5"/>
  <c r="D49" i="3" s="1"/>
  <c r="B59" i="5"/>
  <c r="D48" i="3" s="1"/>
  <c r="B58" i="5"/>
  <c r="B57" i="5"/>
  <c r="D46" i="3" s="1"/>
  <c r="B56" i="5"/>
  <c r="D45" i="3" s="1"/>
  <c r="B55" i="5"/>
  <c r="B54" i="5"/>
  <c r="D43" i="3" s="1"/>
  <c r="B53" i="5"/>
  <c r="D42" i="3" s="1"/>
  <c r="B52" i="5"/>
  <c r="D41" i="3" s="1"/>
  <c r="B51" i="5"/>
  <c r="D40" i="3" s="1"/>
  <c r="B50" i="5"/>
  <c r="B49" i="5"/>
  <c r="B48" i="5"/>
  <c r="D37" i="3" s="1"/>
  <c r="B47" i="5"/>
  <c r="D36" i="3" s="1"/>
  <c r="B46" i="5"/>
  <c r="D35" i="3" s="1"/>
  <c r="B45" i="5"/>
  <c r="D34" i="3" s="1"/>
  <c r="B44" i="5"/>
  <c r="D33" i="3" s="1"/>
  <c r="B43" i="5"/>
  <c r="C43" i="5" s="1"/>
  <c r="B42" i="5"/>
  <c r="B41" i="5"/>
  <c r="D30" i="3" s="1"/>
  <c r="B40" i="5"/>
  <c r="B39" i="5"/>
  <c r="D28" i="3" s="1"/>
  <c r="B38" i="5"/>
  <c r="D27" i="3" s="1"/>
  <c r="B37" i="5"/>
  <c r="B36" i="5"/>
  <c r="D25" i="3" s="1"/>
  <c r="B35" i="5"/>
  <c r="C35" i="5" s="1"/>
  <c r="B34" i="5"/>
  <c r="B33" i="5"/>
  <c r="B32" i="5"/>
  <c r="D21" i="3" s="1"/>
  <c r="B31" i="5"/>
  <c r="D20" i="3" s="1"/>
  <c r="B30" i="5"/>
  <c r="D19" i="3" s="1"/>
  <c r="B29" i="5"/>
  <c r="D18" i="3" s="1"/>
  <c r="B28" i="5"/>
  <c r="D17" i="3" s="1"/>
  <c r="B27" i="5"/>
  <c r="D16" i="3" s="1"/>
  <c r="B26" i="5"/>
  <c r="B25" i="5"/>
  <c r="B24" i="5"/>
  <c r="D13" i="3" s="1"/>
  <c r="B23" i="5"/>
  <c r="D12" i="3" s="1"/>
  <c r="B22" i="5"/>
  <c r="B21" i="5"/>
  <c r="B20" i="5"/>
  <c r="B19" i="5"/>
  <c r="C19" i="5" s="1"/>
  <c r="B18" i="5"/>
  <c r="B17" i="5"/>
  <c r="B16" i="5"/>
  <c r="B15" i="5"/>
  <c r="B14" i="5"/>
  <c r="B13" i="5"/>
  <c r="B12" i="5"/>
  <c r="B11" i="5"/>
  <c r="B10" i="5"/>
  <c r="B9" i="5"/>
  <c r="B8" i="5"/>
  <c r="B7" i="5"/>
  <c r="B6" i="5"/>
  <c r="B149" i="4"/>
  <c r="B148" i="4"/>
  <c r="B147" i="4"/>
  <c r="B146" i="4"/>
  <c r="B145" i="4"/>
  <c r="C146" i="4" s="1"/>
  <c r="B144" i="4"/>
  <c r="B143" i="4"/>
  <c r="B142" i="4"/>
  <c r="C95" i="3" s="1"/>
  <c r="B141" i="4"/>
  <c r="B140" i="4"/>
  <c r="B139" i="4"/>
  <c r="B138" i="4"/>
  <c r="B137" i="4"/>
  <c r="C138" i="4" s="1"/>
  <c r="B136" i="4"/>
  <c r="B135" i="4"/>
  <c r="B134" i="4"/>
  <c r="C87" i="3" s="1"/>
  <c r="B133" i="4"/>
  <c r="B132" i="4"/>
  <c r="B131" i="4"/>
  <c r="B130" i="4"/>
  <c r="B129" i="4"/>
  <c r="C130" i="4" s="1"/>
  <c r="B128" i="4"/>
  <c r="B127" i="4"/>
  <c r="B126" i="4"/>
  <c r="B125" i="4"/>
  <c r="B124" i="4"/>
  <c r="B123" i="4"/>
  <c r="B122" i="4"/>
  <c r="B121" i="4"/>
  <c r="C122" i="4" s="1"/>
  <c r="B120" i="4"/>
  <c r="B119" i="4"/>
  <c r="B118" i="4"/>
  <c r="B117" i="4"/>
  <c r="B116" i="4"/>
  <c r="B115" i="4"/>
  <c r="B114" i="4"/>
  <c r="B113" i="4"/>
  <c r="C114" i="4" s="1"/>
  <c r="B112" i="4"/>
  <c r="B111" i="4"/>
  <c r="C111" i="4" s="1"/>
  <c r="B110" i="4"/>
  <c r="B109" i="4"/>
  <c r="B108" i="4"/>
  <c r="B107" i="4"/>
  <c r="B106" i="4"/>
  <c r="C59" i="3" s="1"/>
  <c r="B105" i="4"/>
  <c r="B104" i="4"/>
  <c r="B103" i="4"/>
  <c r="B102" i="4"/>
  <c r="B101" i="4"/>
  <c r="B100" i="4"/>
  <c r="B99" i="4"/>
  <c r="B98" i="4"/>
  <c r="B97" i="4"/>
  <c r="B96" i="4"/>
  <c r="B95" i="4"/>
  <c r="B94" i="4"/>
  <c r="B93" i="4"/>
  <c r="B92" i="4"/>
  <c r="B91" i="4"/>
  <c r="B90" i="4"/>
  <c r="B89" i="4"/>
  <c r="B88" i="4"/>
  <c r="B87" i="4"/>
  <c r="B86" i="4"/>
  <c r="B85" i="4"/>
  <c r="B84" i="4"/>
  <c r="B83" i="4"/>
  <c r="B82" i="4"/>
  <c r="B81" i="4"/>
  <c r="B80" i="4"/>
  <c r="B79" i="4"/>
  <c r="C79" i="4" s="1"/>
  <c r="B78" i="4"/>
  <c r="B77" i="4"/>
  <c r="B76" i="4"/>
  <c r="B75" i="4"/>
  <c r="B74" i="4"/>
  <c r="B73" i="4"/>
  <c r="B72" i="4"/>
  <c r="B71" i="4"/>
  <c r="B70" i="4"/>
  <c r="B69" i="4"/>
  <c r="B68" i="4"/>
  <c r="B67" i="4"/>
  <c r="B66" i="4"/>
  <c r="B65" i="4"/>
  <c r="B64" i="4"/>
  <c r="B63" i="4"/>
  <c r="B62" i="4"/>
  <c r="B61" i="4"/>
  <c r="B60" i="4"/>
  <c r="B59" i="4"/>
  <c r="B58" i="4"/>
  <c r="B57" i="4"/>
  <c r="B56" i="4"/>
  <c r="B55" i="4"/>
  <c r="B54" i="4"/>
  <c r="B53" i="4"/>
  <c r="B52" i="4"/>
  <c r="B51" i="4"/>
  <c r="C52" i="4" s="1"/>
  <c r="B50" i="4"/>
  <c r="B49" i="4"/>
  <c r="B48" i="4"/>
  <c r="B47" i="4"/>
  <c r="B46" i="4"/>
  <c r="B45" i="4"/>
  <c r="B44" i="4"/>
  <c r="B43" i="4"/>
  <c r="B42" i="4"/>
  <c r="B41" i="4"/>
  <c r="B40" i="4"/>
  <c r="B39" i="4"/>
  <c r="C40" i="4" s="1"/>
  <c r="B38" i="4"/>
  <c r="B37" i="4"/>
  <c r="B36" i="4"/>
  <c r="B35" i="4"/>
  <c r="C36" i="4" s="1"/>
  <c r="B34" i="4"/>
  <c r="B33" i="4"/>
  <c r="B32" i="4"/>
  <c r="B31" i="4"/>
  <c r="C32" i="4" s="1"/>
  <c r="B30" i="4"/>
  <c r="B29" i="4"/>
  <c r="B28" i="4"/>
  <c r="B27" i="4"/>
  <c r="C28" i="4" s="1"/>
  <c r="B26" i="4"/>
  <c r="B25" i="4"/>
  <c r="B24" i="4"/>
  <c r="B23" i="4"/>
  <c r="C24" i="4" s="1"/>
  <c r="B22" i="4"/>
  <c r="B21" i="4"/>
  <c r="B20" i="4"/>
  <c r="B19" i="4"/>
  <c r="C20" i="4" s="1"/>
  <c r="B18" i="4"/>
  <c r="B17" i="4"/>
  <c r="B16" i="4"/>
  <c r="B15" i="4"/>
  <c r="C16" i="4" s="1"/>
  <c r="B14" i="4"/>
  <c r="B13" i="4"/>
  <c r="B12" i="4"/>
  <c r="B11" i="4"/>
  <c r="C12" i="4" s="1"/>
  <c r="B10" i="4"/>
  <c r="B9" i="4"/>
  <c r="B8" i="4"/>
  <c r="B7" i="4"/>
  <c r="B6" i="4"/>
  <c r="Q102" i="3"/>
  <c r="Q9" i="3" s="1"/>
  <c r="P102" i="3"/>
  <c r="P28" i="1" s="1"/>
  <c r="O102" i="3"/>
  <c r="N102" i="3"/>
  <c r="M102" i="3"/>
  <c r="M9" i="3" s="1"/>
  <c r="L102" i="3"/>
  <c r="K102" i="3"/>
  <c r="J102" i="3"/>
  <c r="I102" i="3"/>
  <c r="I9" i="3" s="1"/>
  <c r="H102" i="3"/>
  <c r="G102" i="3"/>
  <c r="G9" i="3" s="1"/>
  <c r="F102" i="3"/>
  <c r="E102" i="3"/>
  <c r="E9" i="3" s="1"/>
  <c r="D102" i="3"/>
  <c r="C102" i="3"/>
  <c r="Q101" i="3"/>
  <c r="P101" i="3"/>
  <c r="N101" i="3"/>
  <c r="N8" i="3" s="1"/>
  <c r="N10" i="3" s="1"/>
  <c r="M101" i="3"/>
  <c r="L101" i="3"/>
  <c r="K101" i="3"/>
  <c r="J101" i="3"/>
  <c r="J8" i="3" s="1"/>
  <c r="J10" i="3" s="1"/>
  <c r="I101" i="3"/>
  <c r="G101" i="3"/>
  <c r="F101" i="3"/>
  <c r="F8" i="3" s="1"/>
  <c r="F10" i="3" s="1"/>
  <c r="D101" i="3"/>
  <c r="C101" i="3"/>
  <c r="Q100" i="3"/>
  <c r="P100" i="3"/>
  <c r="O100" i="3"/>
  <c r="N100" i="3"/>
  <c r="M100" i="3"/>
  <c r="L100" i="3"/>
  <c r="K100" i="3"/>
  <c r="J100" i="3"/>
  <c r="I100" i="3"/>
  <c r="H100" i="3"/>
  <c r="G100" i="3"/>
  <c r="E100" i="3"/>
  <c r="Q99" i="3"/>
  <c r="P99" i="3"/>
  <c r="O99" i="3"/>
  <c r="N99" i="3"/>
  <c r="M99" i="3"/>
  <c r="L99" i="3"/>
  <c r="K99" i="3"/>
  <c r="J99" i="3"/>
  <c r="I99" i="3"/>
  <c r="H99" i="3"/>
  <c r="G99" i="3"/>
  <c r="E99" i="3"/>
  <c r="C99" i="3"/>
  <c r="Q98" i="3"/>
  <c r="P98" i="3"/>
  <c r="O98" i="3"/>
  <c r="N98" i="3"/>
  <c r="M98" i="3"/>
  <c r="L98" i="3"/>
  <c r="K98" i="3"/>
  <c r="J98" i="3"/>
  <c r="I98" i="3"/>
  <c r="H98" i="3"/>
  <c r="G98" i="3"/>
  <c r="F98" i="3"/>
  <c r="E98" i="3"/>
  <c r="D98" i="3"/>
  <c r="Q97" i="3"/>
  <c r="P97" i="3"/>
  <c r="O97" i="3"/>
  <c r="N97" i="3"/>
  <c r="M97" i="3"/>
  <c r="L97" i="3"/>
  <c r="K97" i="3"/>
  <c r="J97" i="3"/>
  <c r="I97" i="3"/>
  <c r="H97" i="3"/>
  <c r="G97" i="3"/>
  <c r="E97" i="3"/>
  <c r="D97" i="3"/>
  <c r="Q96" i="3"/>
  <c r="P96" i="3"/>
  <c r="O96" i="3"/>
  <c r="M96" i="3"/>
  <c r="K96" i="3"/>
  <c r="J96" i="3"/>
  <c r="H96" i="3"/>
  <c r="G96" i="3"/>
  <c r="F96" i="3"/>
  <c r="E96" i="3"/>
  <c r="D96" i="3"/>
  <c r="Q95" i="3"/>
  <c r="P95" i="3"/>
  <c r="O95" i="3"/>
  <c r="N95" i="3"/>
  <c r="M95" i="3"/>
  <c r="L95" i="3"/>
  <c r="K95" i="3"/>
  <c r="J95" i="3"/>
  <c r="I95" i="3"/>
  <c r="H95" i="3"/>
  <c r="G95" i="3"/>
  <c r="F95" i="3"/>
  <c r="Q94" i="3"/>
  <c r="P94" i="3"/>
  <c r="O94" i="3"/>
  <c r="N94" i="3"/>
  <c r="M94" i="3"/>
  <c r="L94" i="3"/>
  <c r="K94" i="3"/>
  <c r="J94" i="3"/>
  <c r="H94" i="3"/>
  <c r="G94" i="3"/>
  <c r="E94" i="3"/>
  <c r="D94" i="3"/>
  <c r="C94" i="3"/>
  <c r="Q93" i="3"/>
  <c r="P93" i="3"/>
  <c r="N93" i="3"/>
  <c r="M93" i="3"/>
  <c r="L93" i="3"/>
  <c r="K93" i="3"/>
  <c r="J93" i="3"/>
  <c r="I93" i="3"/>
  <c r="H93" i="3"/>
  <c r="G93" i="3"/>
  <c r="F93" i="3"/>
  <c r="E93" i="3"/>
  <c r="D93" i="3"/>
  <c r="C93" i="3"/>
  <c r="Q92" i="3"/>
  <c r="P92" i="3"/>
  <c r="O92" i="3"/>
  <c r="N92" i="3"/>
  <c r="M92" i="3"/>
  <c r="L92" i="3"/>
  <c r="K92" i="3"/>
  <c r="J92" i="3"/>
  <c r="I92" i="3"/>
  <c r="H92" i="3"/>
  <c r="G92" i="3"/>
  <c r="D92" i="3"/>
  <c r="Q91" i="3"/>
  <c r="P91" i="3"/>
  <c r="O91" i="3"/>
  <c r="N91" i="3"/>
  <c r="M91" i="3"/>
  <c r="L91" i="3"/>
  <c r="K91" i="3"/>
  <c r="J91" i="3"/>
  <c r="H91" i="3"/>
  <c r="G91" i="3"/>
  <c r="F91" i="3"/>
  <c r="E91" i="3"/>
  <c r="C91" i="3"/>
  <c r="Q90" i="3"/>
  <c r="P90" i="3"/>
  <c r="O90" i="3"/>
  <c r="N90" i="3"/>
  <c r="M90" i="3"/>
  <c r="M7" i="3" s="1"/>
  <c r="L90" i="3"/>
  <c r="K90" i="3"/>
  <c r="J90" i="3"/>
  <c r="I90" i="3"/>
  <c r="H90" i="3"/>
  <c r="G90" i="3"/>
  <c r="F90" i="3"/>
  <c r="F7" i="3" s="1"/>
  <c r="E90" i="3"/>
  <c r="Q89" i="3"/>
  <c r="P89" i="3"/>
  <c r="O89" i="3"/>
  <c r="N89" i="3"/>
  <c r="M89" i="3"/>
  <c r="L89" i="3"/>
  <c r="K89" i="3"/>
  <c r="J89" i="3"/>
  <c r="I89" i="3"/>
  <c r="H89" i="3"/>
  <c r="G89" i="3"/>
  <c r="E89" i="3"/>
  <c r="D89" i="3"/>
  <c r="Q88" i="3"/>
  <c r="P88" i="3"/>
  <c r="N88" i="3"/>
  <c r="M88" i="3"/>
  <c r="L88" i="3"/>
  <c r="K88" i="3"/>
  <c r="J88" i="3"/>
  <c r="I88" i="3"/>
  <c r="H88" i="3"/>
  <c r="G88" i="3"/>
  <c r="F88" i="3"/>
  <c r="E88" i="3"/>
  <c r="D88" i="3"/>
  <c r="Q87" i="3"/>
  <c r="P87" i="3"/>
  <c r="N87" i="3"/>
  <c r="M87" i="3"/>
  <c r="L87" i="3"/>
  <c r="K87" i="3"/>
  <c r="J87" i="3"/>
  <c r="H87" i="3"/>
  <c r="G87" i="3"/>
  <c r="F87" i="3"/>
  <c r="Q86" i="3"/>
  <c r="P86" i="3"/>
  <c r="O86" i="3"/>
  <c r="N86" i="3"/>
  <c r="M86" i="3"/>
  <c r="K86" i="3"/>
  <c r="J86" i="3"/>
  <c r="H86" i="3"/>
  <c r="G86" i="3"/>
  <c r="E86" i="3"/>
  <c r="D86" i="3"/>
  <c r="Q85" i="3"/>
  <c r="P85" i="3"/>
  <c r="O85" i="3"/>
  <c r="N85" i="3"/>
  <c r="M85" i="3"/>
  <c r="L85" i="3"/>
  <c r="K85" i="3"/>
  <c r="I85" i="3"/>
  <c r="H85" i="3"/>
  <c r="G85" i="3"/>
  <c r="F85" i="3"/>
  <c r="E85" i="3"/>
  <c r="D85" i="3"/>
  <c r="C85" i="3"/>
  <c r="Q84" i="3"/>
  <c r="P84" i="3"/>
  <c r="O84" i="3"/>
  <c r="N84" i="3"/>
  <c r="M84" i="3"/>
  <c r="L84" i="3"/>
  <c r="K84" i="3"/>
  <c r="J84" i="3"/>
  <c r="I84" i="3"/>
  <c r="H84" i="3"/>
  <c r="G84" i="3"/>
  <c r="F84" i="3"/>
  <c r="E84" i="3"/>
  <c r="D84" i="3"/>
  <c r="Q83" i="3"/>
  <c r="P83" i="3"/>
  <c r="O83" i="3"/>
  <c r="N83" i="3"/>
  <c r="M83" i="3"/>
  <c r="L83" i="3"/>
  <c r="K83" i="3"/>
  <c r="J83" i="3"/>
  <c r="I83" i="3"/>
  <c r="H83" i="3"/>
  <c r="G83" i="3"/>
  <c r="F83" i="3"/>
  <c r="E83" i="3"/>
  <c r="C83" i="3"/>
  <c r="Q82" i="3"/>
  <c r="P82" i="3"/>
  <c r="O82" i="3"/>
  <c r="N82" i="3"/>
  <c r="M82" i="3"/>
  <c r="L82" i="3"/>
  <c r="K82" i="3"/>
  <c r="J82" i="3"/>
  <c r="I82" i="3"/>
  <c r="H82" i="3"/>
  <c r="G82" i="3"/>
  <c r="F82" i="3"/>
  <c r="E82" i="3"/>
  <c r="D82" i="3"/>
  <c r="C82" i="3"/>
  <c r="Q81" i="3"/>
  <c r="P81" i="3"/>
  <c r="O81" i="3"/>
  <c r="N81" i="3"/>
  <c r="M81" i="3"/>
  <c r="L81" i="3"/>
  <c r="K81" i="3"/>
  <c r="J81" i="3"/>
  <c r="I81" i="3"/>
  <c r="H81" i="3"/>
  <c r="G81" i="3"/>
  <c r="E81" i="3"/>
  <c r="Q80" i="3"/>
  <c r="P80" i="3"/>
  <c r="N80" i="3"/>
  <c r="M80" i="3"/>
  <c r="L80" i="3"/>
  <c r="K80" i="3"/>
  <c r="J80" i="3"/>
  <c r="H80" i="3"/>
  <c r="G80" i="3"/>
  <c r="F80" i="3"/>
  <c r="E80" i="3"/>
  <c r="D80" i="3"/>
  <c r="Q79" i="3"/>
  <c r="P79" i="3"/>
  <c r="O79" i="3"/>
  <c r="N79" i="3"/>
  <c r="M79" i="3"/>
  <c r="L79" i="3"/>
  <c r="K79" i="3"/>
  <c r="J79" i="3"/>
  <c r="I79" i="3"/>
  <c r="H79" i="3"/>
  <c r="G79" i="3"/>
  <c r="F79" i="3"/>
  <c r="E79" i="3"/>
  <c r="D79" i="3"/>
  <c r="C79" i="3"/>
  <c r="Q78" i="3"/>
  <c r="P78" i="3"/>
  <c r="O78" i="3"/>
  <c r="N78" i="3"/>
  <c r="M78" i="3"/>
  <c r="L78" i="3"/>
  <c r="K78" i="3"/>
  <c r="J78" i="3"/>
  <c r="I78" i="3"/>
  <c r="H78" i="3"/>
  <c r="F78" i="3"/>
  <c r="D78" i="3"/>
  <c r="Q77" i="3"/>
  <c r="O77" i="3"/>
  <c r="N77" i="3"/>
  <c r="M77" i="3"/>
  <c r="L77" i="3"/>
  <c r="K77" i="3"/>
  <c r="J77" i="3"/>
  <c r="I77" i="3"/>
  <c r="H77" i="3"/>
  <c r="G77" i="3"/>
  <c r="F77" i="3"/>
  <c r="E77" i="3"/>
  <c r="C77" i="3"/>
  <c r="Q76" i="3"/>
  <c r="P76" i="3"/>
  <c r="O76" i="3"/>
  <c r="N76" i="3"/>
  <c r="M76" i="3"/>
  <c r="L76" i="3"/>
  <c r="K76" i="3"/>
  <c r="J76" i="3"/>
  <c r="I76" i="3"/>
  <c r="H76" i="3"/>
  <c r="G76" i="3"/>
  <c r="F76" i="3"/>
  <c r="E76" i="3"/>
  <c r="D76" i="3"/>
  <c r="Q75" i="3"/>
  <c r="P75" i="3"/>
  <c r="O75" i="3"/>
  <c r="N75" i="3"/>
  <c r="M75" i="3"/>
  <c r="L75" i="3"/>
  <c r="K75" i="3"/>
  <c r="J75" i="3"/>
  <c r="I75" i="3"/>
  <c r="G75" i="3"/>
  <c r="E75" i="3"/>
  <c r="C75" i="3"/>
  <c r="Q74" i="3"/>
  <c r="P74" i="3"/>
  <c r="N74" i="3"/>
  <c r="M74" i="3"/>
  <c r="L74" i="3"/>
  <c r="K74" i="3"/>
  <c r="J74" i="3"/>
  <c r="H74" i="3"/>
  <c r="G74" i="3"/>
  <c r="E74" i="3"/>
  <c r="D74" i="3"/>
  <c r="C74" i="3"/>
  <c r="Q73" i="3"/>
  <c r="P73" i="3"/>
  <c r="O73" i="3"/>
  <c r="N73" i="3"/>
  <c r="M73" i="3"/>
  <c r="L73" i="3"/>
  <c r="K73" i="3"/>
  <c r="J73" i="3"/>
  <c r="I73" i="3"/>
  <c r="H73" i="3"/>
  <c r="G73" i="3"/>
  <c r="F73" i="3"/>
  <c r="E73" i="3"/>
  <c r="Q72" i="3"/>
  <c r="P72" i="3"/>
  <c r="O72" i="3"/>
  <c r="N72" i="3"/>
  <c r="M72" i="3"/>
  <c r="L72" i="3"/>
  <c r="K72" i="3"/>
  <c r="J72" i="3"/>
  <c r="I72" i="3"/>
  <c r="H72" i="3"/>
  <c r="G72" i="3"/>
  <c r="F72" i="3"/>
  <c r="Q71" i="3"/>
  <c r="P71" i="3"/>
  <c r="N71" i="3"/>
  <c r="M71" i="3"/>
  <c r="L71" i="3"/>
  <c r="J71" i="3"/>
  <c r="I71" i="3"/>
  <c r="H71" i="3"/>
  <c r="G71" i="3"/>
  <c r="F71" i="3"/>
  <c r="E71" i="3"/>
  <c r="D71" i="3"/>
  <c r="C71" i="3"/>
  <c r="Q70" i="3"/>
  <c r="P70" i="3"/>
  <c r="O70" i="3"/>
  <c r="N70" i="3"/>
  <c r="M70" i="3"/>
  <c r="L70" i="3"/>
  <c r="K70" i="3"/>
  <c r="J70" i="3"/>
  <c r="I70" i="3"/>
  <c r="H70" i="3"/>
  <c r="G70" i="3"/>
  <c r="F70" i="3"/>
  <c r="E70" i="3"/>
  <c r="D70" i="3"/>
  <c r="C70" i="3"/>
  <c r="P69" i="3"/>
  <c r="O69" i="3"/>
  <c r="N69" i="3"/>
  <c r="M69" i="3"/>
  <c r="L69" i="3"/>
  <c r="K69" i="3"/>
  <c r="J69" i="3"/>
  <c r="I69" i="3"/>
  <c r="H69" i="3"/>
  <c r="G69" i="3"/>
  <c r="F69" i="3"/>
  <c r="E69" i="3"/>
  <c r="D69" i="3"/>
  <c r="C69" i="3"/>
  <c r="Q68" i="3"/>
  <c r="P68" i="3"/>
  <c r="O68" i="3"/>
  <c r="N68" i="3"/>
  <c r="M68" i="3"/>
  <c r="L68" i="3"/>
  <c r="K68" i="3"/>
  <c r="I68" i="3"/>
  <c r="H68" i="3"/>
  <c r="G68" i="3"/>
  <c r="D68" i="3"/>
  <c r="Q67" i="3"/>
  <c r="P67" i="3"/>
  <c r="N67" i="3"/>
  <c r="M67" i="3"/>
  <c r="L67" i="3"/>
  <c r="K67" i="3"/>
  <c r="J67" i="3"/>
  <c r="H67" i="3"/>
  <c r="G67" i="3"/>
  <c r="E67" i="3"/>
  <c r="C67" i="3"/>
  <c r="Q66" i="3"/>
  <c r="P66" i="3"/>
  <c r="N66" i="3"/>
  <c r="M66" i="3"/>
  <c r="L66" i="3"/>
  <c r="K66" i="3"/>
  <c r="I66" i="3"/>
  <c r="H66" i="3"/>
  <c r="G66" i="3"/>
  <c r="Q65" i="3"/>
  <c r="P65" i="3"/>
  <c r="O65" i="3"/>
  <c r="N65" i="3"/>
  <c r="M65" i="3"/>
  <c r="L65" i="3"/>
  <c r="K65" i="3"/>
  <c r="J65" i="3"/>
  <c r="I65" i="3"/>
  <c r="H65" i="3"/>
  <c r="G65" i="3"/>
  <c r="F65" i="3"/>
  <c r="E65" i="3"/>
  <c r="Q64" i="3"/>
  <c r="P64" i="3"/>
  <c r="O64" i="3"/>
  <c r="N64" i="3"/>
  <c r="M64" i="3"/>
  <c r="L64" i="3"/>
  <c r="J64" i="3"/>
  <c r="H64" i="3"/>
  <c r="G64" i="3"/>
  <c r="F64" i="3"/>
  <c r="E64" i="3"/>
  <c r="D64" i="3"/>
  <c r="Q63" i="3"/>
  <c r="P63" i="3"/>
  <c r="N63" i="3"/>
  <c r="M63" i="3"/>
  <c r="L63" i="3"/>
  <c r="K63" i="3"/>
  <c r="J63" i="3"/>
  <c r="I63" i="3"/>
  <c r="H63" i="3"/>
  <c r="G63" i="3"/>
  <c r="F63" i="3"/>
  <c r="E63" i="3"/>
  <c r="D63" i="3"/>
  <c r="C63" i="3"/>
  <c r="P62" i="3"/>
  <c r="O62" i="3"/>
  <c r="N62" i="3"/>
  <c r="M62" i="3"/>
  <c r="L62" i="3"/>
  <c r="K62" i="3"/>
  <c r="J62" i="3"/>
  <c r="H62" i="3"/>
  <c r="G62" i="3"/>
  <c r="E62" i="3"/>
  <c r="D62" i="3"/>
  <c r="C62" i="3"/>
  <c r="Q61" i="3"/>
  <c r="P61" i="3"/>
  <c r="O61" i="3"/>
  <c r="N61" i="3"/>
  <c r="M61" i="3"/>
  <c r="L61" i="3"/>
  <c r="K61" i="3"/>
  <c r="I61" i="3"/>
  <c r="H61" i="3"/>
  <c r="G61" i="3"/>
  <c r="F61" i="3"/>
  <c r="E61" i="3"/>
  <c r="C61" i="3"/>
  <c r="Q60" i="3"/>
  <c r="P60" i="3"/>
  <c r="O60" i="3"/>
  <c r="N60" i="3"/>
  <c r="M60" i="3"/>
  <c r="L60" i="3"/>
  <c r="K60" i="3"/>
  <c r="I60" i="3"/>
  <c r="H60" i="3"/>
  <c r="G60" i="3"/>
  <c r="E60" i="3"/>
  <c r="Q59" i="3"/>
  <c r="P59" i="3"/>
  <c r="N59" i="3"/>
  <c r="M59" i="3"/>
  <c r="L59" i="3"/>
  <c r="K59" i="3"/>
  <c r="J59" i="3"/>
  <c r="H59" i="3"/>
  <c r="G59" i="3"/>
  <c r="F59" i="3"/>
  <c r="E59" i="3"/>
  <c r="Q58" i="3"/>
  <c r="P58" i="3"/>
  <c r="O58" i="3"/>
  <c r="N58" i="3"/>
  <c r="M58" i="3"/>
  <c r="L58" i="3"/>
  <c r="K58" i="3"/>
  <c r="H58" i="3"/>
  <c r="G58" i="3"/>
  <c r="F58" i="3"/>
  <c r="D58" i="3"/>
  <c r="Q57" i="3"/>
  <c r="P57" i="3"/>
  <c r="N57" i="3"/>
  <c r="M57" i="3"/>
  <c r="L57" i="3"/>
  <c r="K57" i="3"/>
  <c r="J57" i="3"/>
  <c r="I57" i="3"/>
  <c r="H57" i="3"/>
  <c r="G57" i="3"/>
  <c r="F57" i="3"/>
  <c r="Q56" i="3"/>
  <c r="P56" i="3"/>
  <c r="O56" i="3"/>
  <c r="N56" i="3"/>
  <c r="M56" i="3"/>
  <c r="L56" i="3"/>
  <c r="J56" i="3"/>
  <c r="I56" i="3"/>
  <c r="H56" i="3"/>
  <c r="G56" i="3"/>
  <c r="F56" i="3"/>
  <c r="E56" i="3"/>
  <c r="Q55" i="3"/>
  <c r="P55" i="3"/>
  <c r="N55" i="3"/>
  <c r="M55" i="3"/>
  <c r="L55" i="3"/>
  <c r="K55" i="3"/>
  <c r="J55" i="3"/>
  <c r="I55" i="3"/>
  <c r="H55" i="3"/>
  <c r="G55" i="3"/>
  <c r="F55" i="3"/>
  <c r="E55" i="3"/>
  <c r="D55" i="3"/>
  <c r="C55" i="3"/>
  <c r="Q54" i="3"/>
  <c r="P54" i="3"/>
  <c r="O54" i="3"/>
  <c r="N54" i="3"/>
  <c r="M54" i="3"/>
  <c r="L54" i="3"/>
  <c r="K54" i="3"/>
  <c r="H54" i="3"/>
  <c r="G54" i="3"/>
  <c r="D54" i="3"/>
  <c r="C54" i="3"/>
  <c r="Q53" i="3"/>
  <c r="P53" i="3"/>
  <c r="O53" i="3"/>
  <c r="N53" i="3"/>
  <c r="M53" i="3"/>
  <c r="L53" i="3"/>
  <c r="K53" i="3"/>
  <c r="I53" i="3"/>
  <c r="H53" i="3"/>
  <c r="G53" i="3"/>
  <c r="F53" i="3"/>
  <c r="E53" i="3"/>
  <c r="D53" i="3"/>
  <c r="C53" i="3"/>
  <c r="Q52" i="3"/>
  <c r="P52" i="3"/>
  <c r="O52" i="3"/>
  <c r="N52" i="3"/>
  <c r="M52" i="3"/>
  <c r="L52" i="3"/>
  <c r="K52" i="3"/>
  <c r="J52" i="3"/>
  <c r="H52" i="3"/>
  <c r="G52" i="3"/>
  <c r="F52" i="3"/>
  <c r="E52" i="3"/>
  <c r="D52" i="3"/>
  <c r="Q51" i="3"/>
  <c r="P51" i="3"/>
  <c r="N51" i="3"/>
  <c r="M51" i="3"/>
  <c r="L51" i="3"/>
  <c r="K51" i="3"/>
  <c r="J51" i="3"/>
  <c r="H51" i="3"/>
  <c r="G51" i="3"/>
  <c r="F51" i="3"/>
  <c r="C51" i="3"/>
  <c r="Q50" i="3"/>
  <c r="P50" i="3"/>
  <c r="N50" i="3"/>
  <c r="M50" i="3"/>
  <c r="L50" i="3"/>
  <c r="K50" i="3"/>
  <c r="I50" i="3"/>
  <c r="H50" i="3"/>
  <c r="G50" i="3"/>
  <c r="E50" i="3"/>
  <c r="Q49" i="3"/>
  <c r="P49" i="3"/>
  <c r="O49" i="3"/>
  <c r="N49" i="3"/>
  <c r="M49" i="3"/>
  <c r="L49" i="3"/>
  <c r="K49" i="3"/>
  <c r="J49" i="3"/>
  <c r="I49" i="3"/>
  <c r="H49" i="3"/>
  <c r="G49" i="3"/>
  <c r="F49" i="3"/>
  <c r="E49" i="3"/>
  <c r="Q48" i="3"/>
  <c r="P48" i="3"/>
  <c r="O48" i="3"/>
  <c r="N48" i="3"/>
  <c r="M48" i="3"/>
  <c r="L48" i="3"/>
  <c r="K48" i="3"/>
  <c r="J48" i="3"/>
  <c r="I48" i="3"/>
  <c r="H48" i="3"/>
  <c r="G48" i="3"/>
  <c r="E48" i="3"/>
  <c r="P47" i="3"/>
  <c r="N47" i="3"/>
  <c r="M47" i="3"/>
  <c r="L47" i="3"/>
  <c r="K47" i="3"/>
  <c r="J47" i="3"/>
  <c r="I47" i="3"/>
  <c r="H47" i="3"/>
  <c r="G47" i="3"/>
  <c r="F47" i="3"/>
  <c r="E47" i="3"/>
  <c r="D47" i="3"/>
  <c r="C47" i="3"/>
  <c r="P46" i="3"/>
  <c r="O46" i="3"/>
  <c r="N46" i="3"/>
  <c r="L46" i="3"/>
  <c r="K46" i="3"/>
  <c r="J46" i="3"/>
  <c r="H46" i="3"/>
  <c r="G46" i="3"/>
  <c r="F46" i="3"/>
  <c r="E46" i="3"/>
  <c r="C46" i="3"/>
  <c r="Q45" i="3"/>
  <c r="P45" i="3"/>
  <c r="O45" i="3"/>
  <c r="N45" i="3"/>
  <c r="M45" i="3"/>
  <c r="L45" i="3"/>
  <c r="K45" i="3"/>
  <c r="J45" i="3"/>
  <c r="H45" i="3"/>
  <c r="G45" i="3"/>
  <c r="F45" i="3"/>
  <c r="E45" i="3"/>
  <c r="C45" i="3"/>
  <c r="Q44" i="3"/>
  <c r="P44" i="3"/>
  <c r="O44" i="3"/>
  <c r="N44" i="3"/>
  <c r="M44" i="3"/>
  <c r="L44" i="3"/>
  <c r="K44" i="3"/>
  <c r="J44" i="3"/>
  <c r="H44" i="3"/>
  <c r="G44" i="3"/>
  <c r="F44" i="3"/>
  <c r="D44" i="3"/>
  <c r="Q43" i="3"/>
  <c r="P43" i="3"/>
  <c r="N43" i="3"/>
  <c r="M43" i="3"/>
  <c r="L43" i="3"/>
  <c r="K43" i="3"/>
  <c r="I43" i="3"/>
  <c r="H43" i="3"/>
  <c r="G43" i="3"/>
  <c r="C43" i="3"/>
  <c r="Q42" i="3"/>
  <c r="P42" i="3"/>
  <c r="O42" i="3"/>
  <c r="N42" i="3"/>
  <c r="M42" i="3"/>
  <c r="L42" i="3"/>
  <c r="K42" i="3"/>
  <c r="J42" i="3"/>
  <c r="H42" i="3"/>
  <c r="G42" i="3"/>
  <c r="E42" i="3"/>
  <c r="P41" i="3"/>
  <c r="M41" i="3"/>
  <c r="L41" i="3"/>
  <c r="K41" i="3"/>
  <c r="J41" i="3"/>
  <c r="I41" i="3"/>
  <c r="H41" i="3"/>
  <c r="G41" i="3"/>
  <c r="F41" i="3"/>
  <c r="E41" i="3"/>
  <c r="Q40" i="3"/>
  <c r="P40" i="3"/>
  <c r="O40" i="3"/>
  <c r="N40" i="3"/>
  <c r="M40" i="3"/>
  <c r="L40" i="3"/>
  <c r="K40" i="3"/>
  <c r="J40" i="3"/>
  <c r="I40" i="3"/>
  <c r="H40" i="3"/>
  <c r="G40" i="3"/>
  <c r="E40" i="3"/>
  <c r="P39" i="3"/>
  <c r="N39" i="3"/>
  <c r="M39" i="3"/>
  <c r="L39" i="3"/>
  <c r="J39" i="3"/>
  <c r="I39" i="3"/>
  <c r="G39" i="3"/>
  <c r="F39" i="3"/>
  <c r="E39" i="3"/>
  <c r="D39" i="3"/>
  <c r="C39" i="3"/>
  <c r="Q38" i="3"/>
  <c r="P38" i="3"/>
  <c r="O38" i="3"/>
  <c r="N38" i="3"/>
  <c r="M38" i="3"/>
  <c r="L38" i="3"/>
  <c r="K38" i="3"/>
  <c r="J38" i="3"/>
  <c r="H38" i="3"/>
  <c r="G38" i="3"/>
  <c r="E38" i="3"/>
  <c r="D38" i="3"/>
  <c r="C38" i="3"/>
  <c r="Q37" i="3"/>
  <c r="P37" i="3"/>
  <c r="O37" i="3"/>
  <c r="N37" i="3"/>
  <c r="M37" i="3"/>
  <c r="L37" i="3"/>
  <c r="K37" i="3"/>
  <c r="H37" i="3"/>
  <c r="G37" i="3"/>
  <c r="F37" i="3"/>
  <c r="E37" i="3"/>
  <c r="C37" i="3"/>
  <c r="Q36" i="3"/>
  <c r="P36" i="3"/>
  <c r="O36" i="3"/>
  <c r="N36" i="3"/>
  <c r="M36" i="3"/>
  <c r="L36" i="3"/>
  <c r="K36" i="3"/>
  <c r="J36" i="3"/>
  <c r="H36" i="3"/>
  <c r="G36" i="3"/>
  <c r="Q35" i="3"/>
  <c r="P35" i="3"/>
  <c r="N35" i="3"/>
  <c r="M35" i="3"/>
  <c r="L35" i="3"/>
  <c r="K35" i="3"/>
  <c r="H35" i="3"/>
  <c r="G35" i="3"/>
  <c r="E35" i="3"/>
  <c r="C35" i="3"/>
  <c r="Q34" i="3"/>
  <c r="P34" i="3"/>
  <c r="O34" i="3"/>
  <c r="N34" i="3"/>
  <c r="M34" i="3"/>
  <c r="L34" i="3"/>
  <c r="K34" i="3"/>
  <c r="J34" i="3"/>
  <c r="H34" i="3"/>
  <c r="G34" i="3"/>
  <c r="E34" i="3"/>
  <c r="Q33" i="3"/>
  <c r="P33" i="3"/>
  <c r="O33" i="3"/>
  <c r="N33" i="3"/>
  <c r="M33" i="3"/>
  <c r="L33" i="3"/>
  <c r="K33" i="3"/>
  <c r="J33" i="3"/>
  <c r="I33" i="3"/>
  <c r="G33" i="3"/>
  <c r="F33" i="3"/>
  <c r="E33" i="3"/>
  <c r="P32" i="3"/>
  <c r="N32" i="3"/>
  <c r="M32" i="3"/>
  <c r="J32" i="3"/>
  <c r="H32" i="3"/>
  <c r="G32" i="3"/>
  <c r="E32" i="3"/>
  <c r="Q31" i="3"/>
  <c r="P31" i="3"/>
  <c r="O31" i="3"/>
  <c r="N31" i="3"/>
  <c r="M31" i="3"/>
  <c r="L31" i="3"/>
  <c r="J31" i="3"/>
  <c r="I31" i="3"/>
  <c r="H31" i="3"/>
  <c r="G31" i="3"/>
  <c r="F31" i="3"/>
  <c r="E31" i="3"/>
  <c r="D31" i="3"/>
  <c r="C31" i="3"/>
  <c r="P30" i="3"/>
  <c r="O30" i="3"/>
  <c r="N30" i="3"/>
  <c r="M30" i="3"/>
  <c r="L30" i="3"/>
  <c r="J30" i="3"/>
  <c r="H30" i="3"/>
  <c r="G30" i="3"/>
  <c r="C30" i="3"/>
  <c r="Q29" i="3"/>
  <c r="P29" i="3"/>
  <c r="O29" i="3"/>
  <c r="N29" i="3"/>
  <c r="M29" i="3"/>
  <c r="L29" i="3"/>
  <c r="K29" i="3"/>
  <c r="G29" i="3"/>
  <c r="F29" i="3"/>
  <c r="C29" i="3"/>
  <c r="Q28" i="3"/>
  <c r="P28" i="3"/>
  <c r="N28" i="3"/>
  <c r="M28" i="3"/>
  <c r="L28" i="3"/>
  <c r="K28" i="3"/>
  <c r="I28" i="3"/>
  <c r="G28" i="3"/>
  <c r="E28" i="3"/>
  <c r="Q27" i="3"/>
  <c r="N27" i="3"/>
  <c r="M27" i="3"/>
  <c r="L27" i="3"/>
  <c r="K27" i="3"/>
  <c r="J27" i="3"/>
  <c r="I27" i="3"/>
  <c r="H27" i="3"/>
  <c r="G27" i="3"/>
  <c r="F27" i="3"/>
  <c r="C27" i="3"/>
  <c r="Q26" i="3"/>
  <c r="P26" i="3"/>
  <c r="O26" i="3"/>
  <c r="N26" i="3"/>
  <c r="M26" i="3"/>
  <c r="L26" i="3"/>
  <c r="K26" i="3"/>
  <c r="H26" i="3"/>
  <c r="G26" i="3"/>
  <c r="E26" i="3"/>
  <c r="D26" i="3"/>
  <c r="C26" i="3"/>
  <c r="P25" i="3"/>
  <c r="O25" i="3"/>
  <c r="N25" i="3"/>
  <c r="M25" i="3"/>
  <c r="L25" i="3"/>
  <c r="K25" i="3"/>
  <c r="J25" i="3"/>
  <c r="I25" i="3"/>
  <c r="H25" i="3"/>
  <c r="G25" i="3"/>
  <c r="F25" i="3"/>
  <c r="Q24" i="3"/>
  <c r="P24" i="3"/>
  <c r="O24" i="3"/>
  <c r="N24" i="3"/>
  <c r="M24" i="3"/>
  <c r="L24" i="3"/>
  <c r="J24" i="3"/>
  <c r="I24" i="3"/>
  <c r="H24" i="3"/>
  <c r="G24" i="3"/>
  <c r="F24" i="3"/>
  <c r="E24" i="3"/>
  <c r="P23" i="3"/>
  <c r="O23" i="3"/>
  <c r="N23" i="3"/>
  <c r="M23" i="3"/>
  <c r="L23" i="3"/>
  <c r="K23" i="3"/>
  <c r="J23" i="3"/>
  <c r="G23" i="3"/>
  <c r="E23" i="3"/>
  <c r="D23" i="3"/>
  <c r="C23" i="3"/>
  <c r="Q22" i="3"/>
  <c r="P22" i="3"/>
  <c r="O22" i="3"/>
  <c r="N22" i="3"/>
  <c r="L22" i="3"/>
  <c r="J22" i="3"/>
  <c r="I22" i="3"/>
  <c r="G22" i="3"/>
  <c r="D22" i="3"/>
  <c r="C22" i="3"/>
  <c r="Q21" i="3"/>
  <c r="P21" i="3"/>
  <c r="O21" i="3"/>
  <c r="N21" i="3"/>
  <c r="M21" i="3"/>
  <c r="L21" i="3"/>
  <c r="K21" i="3"/>
  <c r="J21" i="3"/>
  <c r="H21" i="3"/>
  <c r="G21" i="3"/>
  <c r="F21" i="3"/>
  <c r="C21" i="3"/>
  <c r="Q20" i="3"/>
  <c r="P20" i="3"/>
  <c r="N20" i="3"/>
  <c r="M20" i="3"/>
  <c r="L20" i="3"/>
  <c r="K20" i="3"/>
  <c r="G20" i="3"/>
  <c r="F20" i="3"/>
  <c r="Q19" i="3"/>
  <c r="P19" i="3"/>
  <c r="N19" i="3"/>
  <c r="M19" i="3"/>
  <c r="L19" i="3"/>
  <c r="K19" i="3"/>
  <c r="J19" i="3"/>
  <c r="H19" i="3"/>
  <c r="G19" i="3"/>
  <c r="F19" i="3"/>
  <c r="C19" i="3"/>
  <c r="Q18" i="3"/>
  <c r="P18" i="3"/>
  <c r="O18" i="3"/>
  <c r="N18" i="3"/>
  <c r="M18" i="3"/>
  <c r="L18" i="3"/>
  <c r="K18" i="3"/>
  <c r="I18" i="3"/>
  <c r="H18" i="3"/>
  <c r="G18" i="3"/>
  <c r="E18" i="3"/>
  <c r="C18" i="3"/>
  <c r="Q17" i="3"/>
  <c r="P17" i="3"/>
  <c r="O17" i="3"/>
  <c r="N17" i="3"/>
  <c r="M17" i="3"/>
  <c r="L17" i="3"/>
  <c r="K17" i="3"/>
  <c r="J17" i="3"/>
  <c r="I17" i="3"/>
  <c r="H17" i="3"/>
  <c r="G17" i="3"/>
  <c r="F17" i="3"/>
  <c r="E17" i="3"/>
  <c r="P16" i="3"/>
  <c r="N16" i="3"/>
  <c r="M16" i="3"/>
  <c r="L16" i="3"/>
  <c r="J16" i="3"/>
  <c r="I16" i="3"/>
  <c r="G16" i="3"/>
  <c r="F16" i="3"/>
  <c r="E16" i="3"/>
  <c r="Q15" i="3"/>
  <c r="P15" i="3"/>
  <c r="O15" i="3"/>
  <c r="N15" i="3"/>
  <c r="M15" i="3"/>
  <c r="L15" i="3"/>
  <c r="K15" i="3"/>
  <c r="J15" i="3"/>
  <c r="I15" i="3"/>
  <c r="H15" i="3"/>
  <c r="G15" i="3"/>
  <c r="F15" i="3"/>
  <c r="E15" i="3"/>
  <c r="C15" i="3"/>
  <c r="P14" i="3"/>
  <c r="O14" i="3"/>
  <c r="N14" i="3"/>
  <c r="L14" i="3"/>
  <c r="K14" i="3"/>
  <c r="J14" i="3"/>
  <c r="G14" i="3"/>
  <c r="F14" i="3"/>
  <c r="E14" i="3"/>
  <c r="D14" i="3"/>
  <c r="C14" i="3"/>
  <c r="Q13" i="3"/>
  <c r="P13" i="3"/>
  <c r="O13" i="3"/>
  <c r="N13" i="3"/>
  <c r="M13" i="3"/>
  <c r="L13" i="3"/>
  <c r="H13" i="3"/>
  <c r="G13" i="3"/>
  <c r="F13" i="3"/>
  <c r="C13" i="3"/>
  <c r="Q12" i="3"/>
  <c r="P12" i="3"/>
  <c r="N12" i="3"/>
  <c r="M12" i="3"/>
  <c r="L12" i="3"/>
  <c r="K12" i="3"/>
  <c r="J12" i="3"/>
  <c r="H12" i="3"/>
  <c r="G12" i="3"/>
  <c r="P9" i="3"/>
  <c r="O9" i="3"/>
  <c r="N9" i="3"/>
  <c r="J9" i="3"/>
  <c r="H9" i="3"/>
  <c r="F9" i="3"/>
  <c r="N7" i="3"/>
  <c r="J7" i="3"/>
  <c r="V4" i="3"/>
  <c r="L7" i="3" s="1"/>
  <c r="V3" i="3"/>
  <c r="M8" i="3" s="1"/>
  <c r="M10" i="3" s="1"/>
  <c r="P27" i="1"/>
  <c r="P26" i="1"/>
  <c r="P22" i="1"/>
  <c r="P21" i="1"/>
  <c r="P20" i="1"/>
  <c r="P19" i="1"/>
  <c r="Q18" i="1"/>
  <c r="P18" i="1"/>
  <c r="Q13" i="1"/>
  <c r="C9" i="18" l="1"/>
  <c r="C17" i="18"/>
  <c r="C25" i="18"/>
  <c r="C33" i="18"/>
  <c r="C41" i="18"/>
  <c r="C129" i="18"/>
  <c r="C137" i="18"/>
  <c r="C145" i="18"/>
  <c r="C34" i="18"/>
  <c r="C146" i="18"/>
  <c r="C28" i="18"/>
  <c r="C36" i="18"/>
  <c r="C60" i="18"/>
  <c r="C124" i="18"/>
  <c r="C132" i="18"/>
  <c r="C148" i="18"/>
  <c r="C85" i="18"/>
  <c r="C141" i="18"/>
  <c r="C31" i="18"/>
  <c r="C63" i="18"/>
  <c r="C95" i="18"/>
  <c r="C126" i="18"/>
  <c r="C11" i="17"/>
  <c r="C49" i="17"/>
  <c r="C65" i="17"/>
  <c r="C20" i="17"/>
  <c r="C28" i="17"/>
  <c r="C34" i="17"/>
  <c r="C43" i="17"/>
  <c r="C13" i="17"/>
  <c r="C29" i="17"/>
  <c r="C37" i="17"/>
  <c r="C84" i="17"/>
  <c r="C92" i="17"/>
  <c r="C116" i="17"/>
  <c r="C124" i="17"/>
  <c r="C139" i="17"/>
  <c r="C69" i="17"/>
  <c r="C40" i="17"/>
  <c r="C55" i="17"/>
  <c r="C79" i="17"/>
  <c r="C87" i="17"/>
  <c r="C95" i="17"/>
  <c r="C103" i="17"/>
  <c r="C149" i="17"/>
  <c r="C150" i="17"/>
  <c r="C11" i="16"/>
  <c r="C19" i="16"/>
  <c r="C27" i="16"/>
  <c r="C35" i="16"/>
  <c r="C43" i="16"/>
  <c r="C51" i="16"/>
  <c r="C59" i="16"/>
  <c r="C67" i="16"/>
  <c r="C75" i="16"/>
  <c r="C83" i="16"/>
  <c r="C91" i="16"/>
  <c r="C99" i="16"/>
  <c r="C107" i="16"/>
  <c r="C115" i="16"/>
  <c r="C123" i="16"/>
  <c r="C131" i="16"/>
  <c r="C147" i="16"/>
  <c r="C8" i="16"/>
  <c r="C24" i="16"/>
  <c r="C40" i="16"/>
  <c r="C56" i="16"/>
  <c r="C72" i="16"/>
  <c r="C88" i="16"/>
  <c r="C104" i="16"/>
  <c r="C120" i="16"/>
  <c r="C134" i="16"/>
  <c r="C129" i="16"/>
  <c r="C147" i="15"/>
  <c r="C36" i="15"/>
  <c r="C52" i="15"/>
  <c r="C68" i="15"/>
  <c r="C76" i="15"/>
  <c r="C84" i="15"/>
  <c r="C92" i="15"/>
  <c r="C100" i="15"/>
  <c r="C7" i="15"/>
  <c r="C149" i="15"/>
  <c r="C39" i="15"/>
  <c r="C63" i="15"/>
  <c r="C71" i="15"/>
  <c r="G8" i="3"/>
  <c r="G10" i="3" s="1"/>
  <c r="C96" i="15"/>
  <c r="C150" i="15"/>
  <c r="G7" i="3"/>
  <c r="C116" i="14"/>
  <c r="C10" i="14"/>
  <c r="C18" i="14"/>
  <c r="C26" i="14"/>
  <c r="C34" i="14"/>
  <c r="C42" i="14"/>
  <c r="C50" i="14"/>
  <c r="C58" i="14"/>
  <c r="C66" i="14"/>
  <c r="C74" i="14"/>
  <c r="C82" i="14"/>
  <c r="C90" i="14"/>
  <c r="C98" i="14"/>
  <c r="P29" i="1"/>
  <c r="C11" i="13"/>
  <c r="C19" i="13"/>
  <c r="C27" i="13"/>
  <c r="C43" i="13"/>
  <c r="C51" i="13"/>
  <c r="C83" i="13"/>
  <c r="Q7" i="3"/>
  <c r="C21" i="13"/>
  <c r="C53" i="13"/>
  <c r="C101" i="13"/>
  <c r="C23" i="13"/>
  <c r="C63" i="13"/>
  <c r="C71" i="13"/>
  <c r="C79" i="13"/>
  <c r="C87" i="13"/>
  <c r="Q30" i="3"/>
  <c r="Q32" i="3"/>
  <c r="C10" i="13"/>
  <c r="C18" i="13"/>
  <c r="C50" i="13"/>
  <c r="C90" i="13"/>
  <c r="C98" i="13"/>
  <c r="C112" i="13"/>
  <c r="C136" i="13"/>
  <c r="Q14" i="3"/>
  <c r="C13" i="12"/>
  <c r="C36" i="12"/>
  <c r="C123" i="12"/>
  <c r="C94" i="12"/>
  <c r="C117" i="12"/>
  <c r="P8" i="3"/>
  <c r="P10" i="3" s="1"/>
  <c r="C138" i="12"/>
  <c r="O47" i="3"/>
  <c r="O51" i="3"/>
  <c r="O71" i="3"/>
  <c r="O87" i="3"/>
  <c r="O7" i="3"/>
  <c r="O93" i="3"/>
  <c r="C10" i="11"/>
  <c r="C64" i="11"/>
  <c r="C80" i="11"/>
  <c r="C90" i="11"/>
  <c r="C60" i="11"/>
  <c r="C68" i="11"/>
  <c r="O43" i="3"/>
  <c r="O4" i="3" s="1"/>
  <c r="O101" i="3"/>
  <c r="O8" i="3" s="1"/>
  <c r="O10" i="3" s="1"/>
  <c r="C78" i="11"/>
  <c r="C85" i="11"/>
  <c r="C39" i="11"/>
  <c r="C47" i="11"/>
  <c r="C55" i="11"/>
  <c r="C63" i="11"/>
  <c r="C31" i="10"/>
  <c r="C63" i="10"/>
  <c r="C79" i="10"/>
  <c r="C87" i="10"/>
  <c r="C95" i="10"/>
  <c r="C111" i="10"/>
  <c r="C119" i="10"/>
  <c r="C127" i="10"/>
  <c r="C135" i="10"/>
  <c r="C143" i="10"/>
  <c r="C10" i="10"/>
  <c r="C18" i="10"/>
  <c r="C90" i="10"/>
  <c r="C107" i="10"/>
  <c r="C124" i="10"/>
  <c r="J20" i="3"/>
  <c r="J28" i="3"/>
  <c r="J61" i="3"/>
  <c r="C62" i="10"/>
  <c r="C86" i="10"/>
  <c r="C94" i="10"/>
  <c r="C58" i="9"/>
  <c r="C145" i="9"/>
  <c r="C184" i="9"/>
  <c r="C19" i="9"/>
  <c r="C36" i="9"/>
  <c r="C44" i="9"/>
  <c r="C51" i="9"/>
  <c r="C91" i="9"/>
  <c r="C107" i="9"/>
  <c r="C116" i="9"/>
  <c r="C124" i="9"/>
  <c r="C147" i="9"/>
  <c r="C101" i="9"/>
  <c r="C134" i="9"/>
  <c r="H14" i="3"/>
  <c r="H23" i="3"/>
  <c r="H29" i="3"/>
  <c r="C40" i="9"/>
  <c r="C48" i="9"/>
  <c r="C55" i="9"/>
  <c r="C64" i="9"/>
  <c r="C72" i="9"/>
  <c r="C80" i="9"/>
  <c r="C120" i="9"/>
  <c r="C12" i="8"/>
  <c r="C15" i="8"/>
  <c r="C47" i="8"/>
  <c r="C79" i="8"/>
  <c r="C31" i="8"/>
  <c r="I52" i="3"/>
  <c r="I14" i="3"/>
  <c r="I36" i="3"/>
  <c r="C59" i="8"/>
  <c r="C66" i="8"/>
  <c r="C74" i="8"/>
  <c r="C104" i="8"/>
  <c r="C120" i="8"/>
  <c r="C151" i="8"/>
  <c r="C159" i="8"/>
  <c r="I7" i="3"/>
  <c r="I23" i="3"/>
  <c r="C61" i="8"/>
  <c r="C69" i="8"/>
  <c r="C77" i="8"/>
  <c r="C84" i="8"/>
  <c r="C91" i="8"/>
  <c r="C22" i="8"/>
  <c r="C30" i="8"/>
  <c r="C54" i="8"/>
  <c r="C14" i="7"/>
  <c r="C29" i="7"/>
  <c r="C60" i="7"/>
  <c r="C67" i="7"/>
  <c r="C75" i="7"/>
  <c r="C90" i="7"/>
  <c r="C104" i="7"/>
  <c r="C134" i="7"/>
  <c r="C142" i="7"/>
  <c r="C91" i="7"/>
  <c r="C105" i="7"/>
  <c r="C127" i="7"/>
  <c r="C135" i="7"/>
  <c r="C47" i="7"/>
  <c r="C77" i="7"/>
  <c r="C128" i="7"/>
  <c r="C16" i="7"/>
  <c r="C54" i="7"/>
  <c r="E13" i="3"/>
  <c r="E58" i="3"/>
  <c r="C17" i="7"/>
  <c r="C40" i="7"/>
  <c r="C48" i="7"/>
  <c r="C70" i="7"/>
  <c r="C78" i="7"/>
  <c r="C93" i="7"/>
  <c r="C100" i="7"/>
  <c r="C114" i="7"/>
  <c r="C129" i="7"/>
  <c r="C137" i="7"/>
  <c r="C145" i="7"/>
  <c r="E7" i="3"/>
  <c r="C85" i="7"/>
  <c r="E51" i="3"/>
  <c r="C18" i="7"/>
  <c r="C25" i="7"/>
  <c r="C42" i="7"/>
  <c r="C87" i="7"/>
  <c r="C94" i="7"/>
  <c r="C101" i="7"/>
  <c r="C130" i="7"/>
  <c r="C146" i="7"/>
  <c r="C31" i="7"/>
  <c r="C69" i="7"/>
  <c r="E22" i="3"/>
  <c r="E95" i="3"/>
  <c r="C89" i="7"/>
  <c r="C132" i="7"/>
  <c r="C150" i="7"/>
  <c r="E21" i="3"/>
  <c r="C74" i="7"/>
  <c r="C141" i="7"/>
  <c r="C69" i="6"/>
  <c r="C84" i="6"/>
  <c r="C16" i="6"/>
  <c r="C101" i="6"/>
  <c r="C165" i="6"/>
  <c r="C26" i="6"/>
  <c r="C34" i="6"/>
  <c r="C35" i="6"/>
  <c r="C22" i="5"/>
  <c r="C114" i="5"/>
  <c r="C26" i="5"/>
  <c r="C34" i="5"/>
  <c r="C50" i="5"/>
  <c r="C66" i="5"/>
  <c r="C82" i="5"/>
  <c r="C113" i="5"/>
  <c r="C10" i="5"/>
  <c r="C18" i="5"/>
  <c r="C23" i="5"/>
  <c r="C31" i="5"/>
  <c r="C47" i="5"/>
  <c r="C55" i="5"/>
  <c r="C63" i="5"/>
  <c r="C71" i="5"/>
  <c r="C79" i="5"/>
  <c r="C87" i="5"/>
  <c r="C96" i="5"/>
  <c r="C104" i="5"/>
  <c r="C112" i="5"/>
  <c r="D24" i="3"/>
  <c r="C41" i="5"/>
  <c r="C30" i="5"/>
  <c r="D32" i="3"/>
  <c r="C8" i="4"/>
  <c r="C15" i="4"/>
  <c r="C118" i="4"/>
  <c r="C126" i="4"/>
  <c r="C134" i="4"/>
  <c r="C142" i="4"/>
  <c r="C14" i="5"/>
  <c r="C100" i="5"/>
  <c r="C108" i="5"/>
  <c r="C7" i="6"/>
  <c r="C15" i="6"/>
  <c r="C30" i="6"/>
  <c r="C37" i="6"/>
  <c r="C53" i="6"/>
  <c r="C91" i="6"/>
  <c r="C99" i="6"/>
  <c r="C107" i="6"/>
  <c r="C123" i="6"/>
  <c r="C131" i="6"/>
  <c r="C139" i="6"/>
  <c r="C155" i="6"/>
  <c r="C163" i="6"/>
  <c r="C171" i="6"/>
  <c r="C187" i="6"/>
  <c r="C33" i="7"/>
  <c r="C18" i="8"/>
  <c r="C26" i="8"/>
  <c r="C34" i="8"/>
  <c r="C42" i="8"/>
  <c r="C50" i="8"/>
  <c r="C65" i="8"/>
  <c r="C169" i="9"/>
  <c r="C7" i="11"/>
  <c r="C23" i="11"/>
  <c r="C31" i="11"/>
  <c r="C46" i="11"/>
  <c r="C54" i="11"/>
  <c r="C83" i="11"/>
  <c r="C10" i="4"/>
  <c r="C17" i="4"/>
  <c r="C25" i="4"/>
  <c r="C33" i="4"/>
  <c r="C41" i="4"/>
  <c r="C49" i="4"/>
  <c r="C57" i="4"/>
  <c r="C65" i="4"/>
  <c r="C73" i="4"/>
  <c r="C127" i="4"/>
  <c r="C7" i="5"/>
  <c r="C15" i="5"/>
  <c r="C54" i="5"/>
  <c r="C70" i="5"/>
  <c r="C86" i="5"/>
  <c r="C101" i="5"/>
  <c r="C109" i="5"/>
  <c r="C9" i="6"/>
  <c r="C24" i="6"/>
  <c r="C39" i="6"/>
  <c r="C70" i="6"/>
  <c r="C77" i="6"/>
  <c r="C85" i="6"/>
  <c r="C93" i="6"/>
  <c r="C117" i="6"/>
  <c r="C125" i="6"/>
  <c r="C133" i="6"/>
  <c r="C181" i="6"/>
  <c r="C20" i="7"/>
  <c r="C34" i="7"/>
  <c r="C49" i="7"/>
  <c r="C63" i="7"/>
  <c r="C92" i="7"/>
  <c r="C113" i="7"/>
  <c r="C119" i="7"/>
  <c r="C133" i="7"/>
  <c r="C13" i="8"/>
  <c r="C20" i="8"/>
  <c r="C27" i="8"/>
  <c r="C52" i="8"/>
  <c r="C90" i="8"/>
  <c r="C70" i="9"/>
  <c r="C94" i="9"/>
  <c r="C109" i="9"/>
  <c r="C117" i="9"/>
  <c r="C131" i="9"/>
  <c r="C50" i="4"/>
  <c r="C58" i="4"/>
  <c r="C66" i="4"/>
  <c r="C74" i="4"/>
  <c r="C82" i="4"/>
  <c r="C90" i="4"/>
  <c r="C98" i="4"/>
  <c r="C106" i="4"/>
  <c r="C9" i="5"/>
  <c r="C10" i="6"/>
  <c r="C33" i="6"/>
  <c r="C56" i="6"/>
  <c r="C71" i="6"/>
  <c r="C79" i="6"/>
  <c r="C94" i="6"/>
  <c r="C142" i="6"/>
  <c r="C158" i="6"/>
  <c r="C174" i="6"/>
  <c r="C7" i="7"/>
  <c r="C13" i="7"/>
  <c r="C65" i="7"/>
  <c r="C86" i="7"/>
  <c r="C106" i="7"/>
  <c r="C14" i="8"/>
  <c r="C37" i="8"/>
  <c r="C45" i="8"/>
  <c r="C76" i="8"/>
  <c r="C59" i="10"/>
  <c r="C128" i="10"/>
  <c r="C144" i="10"/>
  <c r="C32" i="11"/>
  <c r="C32" i="9"/>
  <c r="C17" i="11"/>
  <c r="C86" i="3"/>
  <c r="C11" i="4"/>
  <c r="C75" i="4"/>
  <c r="C107" i="4"/>
  <c r="C73" i="5"/>
  <c r="C89" i="5"/>
  <c r="C12" i="6"/>
  <c r="C42" i="6"/>
  <c r="C49" i="6"/>
  <c r="C66" i="6"/>
  <c r="C81" i="6"/>
  <c r="C88" i="6"/>
  <c r="C96" i="6"/>
  <c r="C168" i="6"/>
  <c r="C176" i="6"/>
  <c r="C184" i="6"/>
  <c r="C8" i="7"/>
  <c r="C15" i="7"/>
  <c r="C22" i="7"/>
  <c r="C37" i="7"/>
  <c r="C52" i="7"/>
  <c r="C66" i="7"/>
  <c r="C102" i="7"/>
  <c r="C115" i="7"/>
  <c r="C136" i="7"/>
  <c r="C62" i="8"/>
  <c r="C70" i="8"/>
  <c r="C78" i="8"/>
  <c r="C116" i="8"/>
  <c r="C123" i="8"/>
  <c r="C163" i="8"/>
  <c r="C171" i="8"/>
  <c r="C26" i="9"/>
  <c r="C50" i="9"/>
  <c r="C78" i="3"/>
  <c r="D100" i="3"/>
  <c r="C13" i="4"/>
  <c r="C45" i="4"/>
  <c r="C77" i="4"/>
  <c r="C85" i="4"/>
  <c r="C93" i="4"/>
  <c r="C101" i="4"/>
  <c r="C11" i="5"/>
  <c r="C28" i="6"/>
  <c r="C51" i="6"/>
  <c r="C74" i="6"/>
  <c r="C145" i="6"/>
  <c r="C177" i="6"/>
  <c r="C10" i="7"/>
  <c r="C30" i="7"/>
  <c r="C45" i="7"/>
  <c r="C82" i="7"/>
  <c r="C109" i="7"/>
  <c r="C116" i="7"/>
  <c r="C144" i="7"/>
  <c r="C40" i="8"/>
  <c r="C56" i="8"/>
  <c r="C86" i="8"/>
  <c r="C94" i="8"/>
  <c r="C101" i="8"/>
  <c r="C109" i="8"/>
  <c r="C125" i="8"/>
  <c r="C133" i="8"/>
  <c r="C141" i="8"/>
  <c r="C151" i="9"/>
  <c r="C46" i="10"/>
  <c r="C54" i="10"/>
  <c r="C83" i="10"/>
  <c r="C91" i="10"/>
  <c r="C99" i="10"/>
  <c r="C22" i="4"/>
  <c r="C30" i="4"/>
  <c r="C38" i="4"/>
  <c r="C54" i="4"/>
  <c r="C62" i="4"/>
  <c r="C70" i="4"/>
  <c r="C78" i="4"/>
  <c r="C110" i="4"/>
  <c r="C117" i="4"/>
  <c r="C125" i="4"/>
  <c r="C133" i="4"/>
  <c r="C141" i="4"/>
  <c r="C149" i="4"/>
  <c r="C59" i="5"/>
  <c r="C75" i="5"/>
  <c r="C91" i="5"/>
  <c r="C21" i="6"/>
  <c r="C44" i="6"/>
  <c r="C60" i="6"/>
  <c r="C106" i="6"/>
  <c r="C130" i="6"/>
  <c r="C138" i="6"/>
  <c r="C162" i="6"/>
  <c r="C170" i="6"/>
  <c r="C33" i="8"/>
  <c r="C152" i="9"/>
  <c r="C168" i="9"/>
  <c r="C98" i="11"/>
  <c r="C105" i="11"/>
  <c r="C113" i="11"/>
  <c r="C14" i="9"/>
  <c r="C30" i="9"/>
  <c r="C68" i="9"/>
  <c r="C83" i="9"/>
  <c r="C90" i="9"/>
  <c r="C113" i="9"/>
  <c r="C149" i="9"/>
  <c r="C157" i="9"/>
  <c r="C165" i="9"/>
  <c r="C188" i="9"/>
  <c r="C27" i="10"/>
  <c r="C42" i="10"/>
  <c r="C50" i="10"/>
  <c r="C102" i="10"/>
  <c r="C118" i="10"/>
  <c r="C136" i="12"/>
  <c r="C142" i="12"/>
  <c r="C12" i="13"/>
  <c r="C95" i="13"/>
  <c r="C137" i="14"/>
  <c r="C60" i="15"/>
  <c r="C81" i="15"/>
  <c r="C70" i="16"/>
  <c r="C85" i="16"/>
  <c r="C98" i="17"/>
  <c r="C49" i="18"/>
  <c r="C57" i="18"/>
  <c r="C98" i="8"/>
  <c r="C114" i="8"/>
  <c r="C130" i="8"/>
  <c r="C146" i="8"/>
  <c r="C154" i="8"/>
  <c r="C162" i="8"/>
  <c r="C8" i="9"/>
  <c r="C39" i="9"/>
  <c r="C47" i="9"/>
  <c r="C69" i="9"/>
  <c r="C84" i="9"/>
  <c r="C99" i="9"/>
  <c r="C136" i="9"/>
  <c r="C158" i="9"/>
  <c r="C174" i="9"/>
  <c r="C14" i="10"/>
  <c r="C58" i="10"/>
  <c r="C66" i="10"/>
  <c r="C103" i="10"/>
  <c r="C142" i="10"/>
  <c r="C14" i="11"/>
  <c r="C21" i="11"/>
  <c r="C28" i="11"/>
  <c r="C44" i="11"/>
  <c r="C59" i="11"/>
  <c r="C67" i="11"/>
  <c r="C74" i="11"/>
  <c r="C88" i="11"/>
  <c r="C97" i="11"/>
  <c r="C103" i="11"/>
  <c r="C22" i="12"/>
  <c r="C30" i="12"/>
  <c r="C45" i="12"/>
  <c r="C77" i="12"/>
  <c r="C85" i="12"/>
  <c r="C93" i="12"/>
  <c r="C101" i="12"/>
  <c r="C109" i="12"/>
  <c r="C135" i="12"/>
  <c r="C7" i="13"/>
  <c r="C58" i="13"/>
  <c r="C74" i="13"/>
  <c r="C118" i="13"/>
  <c r="C126" i="13"/>
  <c r="C147" i="13"/>
  <c r="C107" i="14"/>
  <c r="C146" i="14"/>
  <c r="C28" i="15"/>
  <c r="C48" i="15"/>
  <c r="C61" i="15"/>
  <c r="C83" i="15"/>
  <c r="C120" i="15"/>
  <c r="C135" i="15"/>
  <c r="C143" i="15"/>
  <c r="C15" i="16"/>
  <c r="C31" i="16"/>
  <c r="C47" i="16"/>
  <c r="C63" i="16"/>
  <c r="C69" i="16"/>
  <c r="C102" i="16"/>
  <c r="C140" i="16"/>
  <c r="C18" i="17"/>
  <c r="C75" i="17"/>
  <c r="C91" i="17"/>
  <c r="C107" i="17"/>
  <c r="C131" i="17"/>
  <c r="C145" i="17"/>
  <c r="C65" i="18"/>
  <c r="C73" i="18"/>
  <c r="C81" i="18"/>
  <c r="C89" i="18"/>
  <c r="C97" i="18"/>
  <c r="C105" i="18"/>
  <c r="C113" i="18"/>
  <c r="C121" i="18"/>
  <c r="C111" i="16"/>
  <c r="C127" i="16"/>
  <c r="C135" i="11"/>
  <c r="C23" i="12"/>
  <c r="C15" i="13"/>
  <c r="C75" i="13"/>
  <c r="C119" i="13"/>
  <c r="C127" i="13"/>
  <c r="C100" i="14"/>
  <c r="C132" i="14"/>
  <c r="C29" i="15"/>
  <c r="C50" i="15"/>
  <c r="C113" i="15"/>
  <c r="C136" i="15"/>
  <c r="C144" i="15"/>
  <c r="C61" i="17"/>
  <c r="C66" i="18"/>
  <c r="C107" i="18"/>
  <c r="C115" i="18"/>
  <c r="C114" i="11"/>
  <c r="C122" i="11"/>
  <c r="C129" i="11"/>
  <c r="C137" i="11"/>
  <c r="C17" i="12"/>
  <c r="C33" i="12"/>
  <c r="C87" i="12"/>
  <c r="C118" i="12"/>
  <c r="C146" i="12"/>
  <c r="C31" i="13"/>
  <c r="C39" i="13"/>
  <c r="C46" i="13"/>
  <c r="C76" i="13"/>
  <c r="C91" i="13"/>
  <c r="C99" i="13"/>
  <c r="C22" i="14"/>
  <c r="C38" i="14"/>
  <c r="C54" i="14"/>
  <c r="C70" i="14"/>
  <c r="C86" i="14"/>
  <c r="C109" i="14"/>
  <c r="C118" i="14"/>
  <c r="C140" i="14"/>
  <c r="C149" i="14"/>
  <c r="C23" i="15"/>
  <c r="C31" i="15"/>
  <c r="C49" i="15"/>
  <c r="C64" i="15"/>
  <c r="C123" i="15"/>
  <c r="C138" i="15"/>
  <c r="C145" i="15"/>
  <c r="C21" i="17"/>
  <c r="C41" i="17"/>
  <c r="C63" i="17"/>
  <c r="C85" i="17"/>
  <c r="C93" i="17"/>
  <c r="C109" i="17"/>
  <c r="C117" i="17"/>
  <c r="C125" i="17"/>
  <c r="C133" i="17"/>
  <c r="C141" i="17"/>
  <c r="C13" i="18"/>
  <c r="C21" i="18"/>
  <c r="C45" i="18"/>
  <c r="C53" i="18"/>
  <c r="C68" i="18"/>
  <c r="C92" i="18"/>
  <c r="C100" i="18"/>
  <c r="C143" i="8"/>
  <c r="C175" i="8"/>
  <c r="C13" i="9"/>
  <c r="C59" i="9"/>
  <c r="C74" i="9"/>
  <c r="C88" i="9"/>
  <c r="C104" i="9"/>
  <c r="C118" i="9"/>
  <c r="C141" i="9"/>
  <c r="C148" i="9"/>
  <c r="C154" i="9"/>
  <c r="C163" i="9"/>
  <c r="C185" i="9"/>
  <c r="C47" i="10"/>
  <c r="C70" i="10"/>
  <c r="C77" i="10"/>
  <c r="C115" i="10"/>
  <c r="C123" i="10"/>
  <c r="C131" i="10"/>
  <c r="C34" i="11"/>
  <c r="C71" i="11"/>
  <c r="C117" i="11"/>
  <c r="C124" i="11"/>
  <c r="C130" i="11"/>
  <c r="C138" i="11"/>
  <c r="C146" i="11"/>
  <c r="C58" i="12"/>
  <c r="C66" i="12"/>
  <c r="C90" i="12"/>
  <c r="C98" i="12"/>
  <c r="C121" i="12"/>
  <c r="C141" i="12"/>
  <c r="C26" i="13"/>
  <c r="C34" i="13"/>
  <c r="C86" i="13"/>
  <c r="C94" i="13"/>
  <c r="C144" i="13"/>
  <c r="C120" i="14"/>
  <c r="C136" i="14"/>
  <c r="C11" i="15"/>
  <c r="C25" i="15"/>
  <c r="C32" i="15"/>
  <c r="C44" i="15"/>
  <c r="C51" i="15"/>
  <c r="C59" i="15"/>
  <c r="C116" i="15"/>
  <c r="C124" i="15"/>
  <c r="C50" i="17"/>
  <c r="C28" i="9"/>
  <c r="C102" i="11"/>
  <c r="C110" i="11"/>
  <c r="C140" i="11"/>
  <c r="C28" i="12"/>
  <c r="C35" i="13"/>
  <c r="C145" i="13"/>
  <c r="C148" i="15"/>
  <c r="C21" i="16"/>
  <c r="C37" i="16"/>
  <c r="C53" i="16"/>
  <c r="C145" i="16"/>
  <c r="C9" i="17"/>
  <c r="C52" i="17"/>
  <c r="C89" i="17"/>
  <c r="C129" i="17"/>
  <c r="C136" i="17"/>
  <c r="C144" i="17"/>
  <c r="C62" i="18"/>
  <c r="C134" i="18"/>
  <c r="E30" i="3"/>
  <c r="H39" i="3"/>
  <c r="E54" i="3"/>
  <c r="C9" i="4"/>
  <c r="C46" i="4"/>
  <c r="C53" i="4"/>
  <c r="C61" i="4"/>
  <c r="C69" i="4"/>
  <c r="C113" i="4"/>
  <c r="C121" i="4"/>
  <c r="C129" i="4"/>
  <c r="C137" i="4"/>
  <c r="C145" i="4"/>
  <c r="C39" i="5"/>
  <c r="C46" i="5"/>
  <c r="C51" i="5"/>
  <c r="C62" i="5"/>
  <c r="C67" i="5"/>
  <c r="C78" i="5"/>
  <c r="C83" i="5"/>
  <c r="C94" i="5"/>
  <c r="C98" i="5"/>
  <c r="C102" i="5"/>
  <c r="C106" i="5"/>
  <c r="C110" i="5"/>
  <c r="C72" i="7"/>
  <c r="C125" i="7"/>
  <c r="C139" i="7"/>
  <c r="C148" i="7"/>
  <c r="C111" i="8"/>
  <c r="C147" i="8"/>
  <c r="C167" i="8"/>
  <c r="C16" i="9"/>
  <c r="C23" i="9"/>
  <c r="C102" i="9"/>
  <c r="C114" i="9"/>
  <c r="C119" i="9"/>
  <c r="C167" i="9"/>
  <c r="C67" i="12"/>
  <c r="C68" i="12"/>
  <c r="C129" i="12"/>
  <c r="C128" i="12"/>
  <c r="N41" i="3"/>
  <c r="F89" i="3"/>
  <c r="C27" i="5"/>
  <c r="C27" i="7"/>
  <c r="C59" i="7"/>
  <c r="C121" i="7"/>
  <c r="C126" i="7"/>
  <c r="C119" i="8"/>
  <c r="C155" i="8"/>
  <c r="C138" i="9"/>
  <c r="C155" i="9"/>
  <c r="C162" i="9"/>
  <c r="C53" i="12"/>
  <c r="C52" i="12"/>
  <c r="C105" i="13"/>
  <c r="C104" i="13"/>
  <c r="C56" i="11"/>
  <c r="C57" i="11"/>
  <c r="F12" i="3"/>
  <c r="I67" i="3"/>
  <c r="F97" i="3"/>
  <c r="C48" i="4"/>
  <c r="C58" i="5"/>
  <c r="C74" i="5"/>
  <c r="C90" i="5"/>
  <c r="C95" i="5"/>
  <c r="C99" i="5"/>
  <c r="C103" i="5"/>
  <c r="C107" i="5"/>
  <c r="C111" i="5"/>
  <c r="C43" i="6"/>
  <c r="C9" i="7"/>
  <c r="C23" i="7"/>
  <c r="C32" i="7"/>
  <c r="C41" i="7"/>
  <c r="C55" i="7"/>
  <c r="C64" i="7"/>
  <c r="C73" i="7"/>
  <c r="C83" i="7"/>
  <c r="C88" i="7"/>
  <c r="C107" i="7"/>
  <c r="C112" i="7"/>
  <c r="C117" i="7"/>
  <c r="C131" i="7"/>
  <c r="C140" i="7"/>
  <c r="C55" i="8"/>
  <c r="C127" i="8"/>
  <c r="C46" i="9"/>
  <c r="C67" i="9"/>
  <c r="C71" i="9"/>
  <c r="C79" i="9"/>
  <c r="C98" i="9"/>
  <c r="C103" i="9"/>
  <c r="C115" i="9"/>
  <c r="C150" i="9"/>
  <c r="C7" i="10"/>
  <c r="D61" i="3"/>
  <c r="H33" i="3"/>
  <c r="E44" i="3"/>
  <c r="I59" i="3"/>
  <c r="Q22" i="1"/>
  <c r="I30" i="3"/>
  <c r="D77" i="3"/>
  <c r="I80" i="3"/>
  <c r="C18" i="4"/>
  <c r="C26" i="4"/>
  <c r="C34" i="4"/>
  <c r="C42" i="4"/>
  <c r="C47" i="4"/>
  <c r="C56" i="4"/>
  <c r="C63" i="4"/>
  <c r="C86" i="4"/>
  <c r="C94" i="4"/>
  <c r="C102" i="4"/>
  <c r="C109" i="4"/>
  <c r="C42" i="5"/>
  <c r="C65" i="5"/>
  <c r="C81" i="5"/>
  <c r="C25" i="6"/>
  <c r="C38" i="6"/>
  <c r="C73" i="6"/>
  <c r="C110" i="6"/>
  <c r="C126" i="6"/>
  <c r="C149" i="6"/>
  <c r="C157" i="6"/>
  <c r="C188" i="6"/>
  <c r="C19" i="7"/>
  <c r="C51" i="7"/>
  <c r="C79" i="7"/>
  <c r="C103" i="7"/>
  <c r="C108" i="7"/>
  <c r="C63" i="8"/>
  <c r="C129" i="8"/>
  <c r="C158" i="8"/>
  <c r="C7" i="9"/>
  <c r="C27" i="9"/>
  <c r="C41" i="9"/>
  <c r="C54" i="9"/>
  <c r="C66" i="9"/>
  <c r="C78" i="9"/>
  <c r="C93" i="9"/>
  <c r="C105" i="9"/>
  <c r="C122" i="9"/>
  <c r="C129" i="9"/>
  <c r="C139" i="9"/>
  <c r="C183" i="9"/>
  <c r="C75" i="11"/>
  <c r="C76" i="11"/>
  <c r="K4" i="3"/>
  <c r="D15" i="3"/>
  <c r="E20" i="3"/>
  <c r="E5" i="3" s="1"/>
  <c r="E6" i="3" s="1"/>
  <c r="C34" i="3"/>
  <c r="J54" i="3"/>
  <c r="Q62" i="3"/>
  <c r="L86" i="3"/>
  <c r="E87" i="3"/>
  <c r="N96" i="3"/>
  <c r="C24" i="7"/>
  <c r="C56" i="7"/>
  <c r="C84" i="7"/>
  <c r="C42" i="3"/>
  <c r="C50" i="3"/>
  <c r="F81" i="3"/>
  <c r="C90" i="3"/>
  <c r="H101" i="3"/>
  <c r="H8" i="3" s="1"/>
  <c r="H10" i="3" s="1"/>
  <c r="C44" i="4"/>
  <c r="C11" i="6"/>
  <c r="C19" i="6"/>
  <c r="C47" i="6"/>
  <c r="C97" i="6"/>
  <c r="C104" i="6"/>
  <c r="C112" i="6"/>
  <c r="C120" i="6"/>
  <c r="C128" i="6"/>
  <c r="C95" i="7"/>
  <c r="C24" i="8"/>
  <c r="C87" i="8"/>
  <c r="C106" i="9"/>
  <c r="C123" i="9"/>
  <c r="C39" i="10"/>
  <c r="C24" i="11"/>
  <c r="C25" i="11"/>
  <c r="C119" i="12"/>
  <c r="E68" i="3"/>
  <c r="K5" i="3"/>
  <c r="K6" i="3" s="1"/>
  <c r="C58" i="3"/>
  <c r="C66" i="3"/>
  <c r="C98" i="3"/>
  <c r="C14" i="4"/>
  <c r="C21" i="4"/>
  <c r="C29" i="4"/>
  <c r="C37" i="4"/>
  <c r="C43" i="4"/>
  <c r="C81" i="4"/>
  <c r="C89" i="4"/>
  <c r="C97" i="4"/>
  <c r="C105" i="4"/>
  <c r="C13" i="5"/>
  <c r="C38" i="5"/>
  <c r="C41" i="6"/>
  <c r="C48" i="6"/>
  <c r="C62" i="6"/>
  <c r="C98" i="6"/>
  <c r="C113" i="6"/>
  <c r="C136" i="6"/>
  <c r="C144" i="6"/>
  <c r="C152" i="6"/>
  <c r="C160" i="6"/>
  <c r="C167" i="6"/>
  <c r="C39" i="7"/>
  <c r="C71" i="7"/>
  <c r="C76" i="7"/>
  <c r="C138" i="7"/>
  <c r="C10" i="8"/>
  <c r="C23" i="8"/>
  <c r="C38" i="8"/>
  <c r="C46" i="8"/>
  <c r="C82" i="8"/>
  <c r="C118" i="8"/>
  <c r="C140" i="8"/>
  <c r="C15" i="9"/>
  <c r="C22" i="9"/>
  <c r="C125" i="9"/>
  <c r="C135" i="9"/>
  <c r="C161" i="9"/>
  <c r="C26" i="10"/>
  <c r="C38" i="10"/>
  <c r="C82" i="10"/>
  <c r="C114" i="10"/>
  <c r="C126" i="10"/>
  <c r="C138" i="10"/>
  <c r="C19" i="11"/>
  <c r="C26" i="11"/>
  <c r="C38" i="11"/>
  <c r="C51" i="11"/>
  <c r="C58" i="11"/>
  <c r="C70" i="11"/>
  <c r="C101" i="11"/>
  <c r="C108" i="11"/>
  <c r="C121" i="11"/>
  <c r="C145" i="11"/>
  <c r="C7" i="12"/>
  <c r="C38" i="12"/>
  <c r="C46" i="12"/>
  <c r="C61" i="12"/>
  <c r="C69" i="12"/>
  <c r="C76" i="12"/>
  <c r="C83" i="12"/>
  <c r="C106" i="12"/>
  <c r="C113" i="12"/>
  <c r="C115" i="11"/>
  <c r="C139" i="11"/>
  <c r="C39" i="12"/>
  <c r="C84" i="12"/>
  <c r="C144" i="12"/>
  <c r="C143" i="12"/>
  <c r="C73" i="13"/>
  <c r="C72" i="13"/>
  <c r="C124" i="13"/>
  <c r="C12" i="14"/>
  <c r="C28" i="14"/>
  <c r="C44" i="14"/>
  <c r="C60" i="14"/>
  <c r="C76" i="14"/>
  <c r="C92" i="14"/>
  <c r="C121" i="9"/>
  <c r="C137" i="9"/>
  <c r="C153" i="9"/>
  <c r="C180" i="9"/>
  <c r="C34" i="10"/>
  <c r="C78" i="10"/>
  <c r="C110" i="10"/>
  <c r="C134" i="10"/>
  <c r="C146" i="10"/>
  <c r="C8" i="11"/>
  <c r="C15" i="11"/>
  <c r="C20" i="11"/>
  <c r="C33" i="11"/>
  <c r="C40" i="11"/>
  <c r="C52" i="11"/>
  <c r="C65" i="11"/>
  <c r="C72" i="11"/>
  <c r="C84" i="11"/>
  <c r="C55" i="12"/>
  <c r="C100" i="12"/>
  <c r="C59" i="13"/>
  <c r="C143" i="13"/>
  <c r="C79" i="11"/>
  <c r="C86" i="11"/>
  <c r="C92" i="11"/>
  <c r="C118" i="11"/>
  <c r="C125" i="11"/>
  <c r="C12" i="12"/>
  <c r="C19" i="12"/>
  <c r="C42" i="12"/>
  <c r="C50" i="12"/>
  <c r="C65" i="12"/>
  <c r="C71" i="12"/>
  <c r="C102" i="12"/>
  <c r="C110" i="12"/>
  <c r="C120" i="12"/>
  <c r="C133" i="12"/>
  <c r="C132" i="12"/>
  <c r="C9" i="13"/>
  <c r="C22" i="13"/>
  <c r="C60" i="13"/>
  <c r="C82" i="13"/>
  <c r="C42" i="16"/>
  <c r="C41" i="16"/>
  <c r="C57" i="9"/>
  <c r="C63" i="9"/>
  <c r="C112" i="9"/>
  <c r="C128" i="9"/>
  <c r="C144" i="9"/>
  <c r="C160" i="9"/>
  <c r="C176" i="9"/>
  <c r="C61" i="10"/>
  <c r="C9" i="11"/>
  <c r="C16" i="11"/>
  <c r="C41" i="11"/>
  <c r="C48" i="11"/>
  <c r="C73" i="11"/>
  <c r="C21" i="12"/>
  <c r="C28" i="13"/>
  <c r="C89" i="13"/>
  <c r="C88" i="13"/>
  <c r="C121" i="13"/>
  <c r="C111" i="14"/>
  <c r="C110" i="14"/>
  <c r="C106" i="16"/>
  <c r="C105" i="16"/>
  <c r="C99" i="7"/>
  <c r="C8" i="8"/>
  <c r="C29" i="8"/>
  <c r="C44" i="8"/>
  <c r="C58" i="8"/>
  <c r="C72" i="8"/>
  <c r="C93" i="8"/>
  <c r="C108" i="8"/>
  <c r="C122" i="8"/>
  <c r="C136" i="8"/>
  <c r="C150" i="8"/>
  <c r="C12" i="9"/>
  <c r="C18" i="9"/>
  <c r="C31" i="9"/>
  <c r="C56" i="9"/>
  <c r="C62" i="9"/>
  <c r="C82" i="9"/>
  <c r="C96" i="9"/>
  <c r="C111" i="9"/>
  <c r="C127" i="9"/>
  <c r="C143" i="9"/>
  <c r="C159" i="9"/>
  <c r="C170" i="9"/>
  <c r="C175" i="9"/>
  <c r="C30" i="10"/>
  <c r="C60" i="10"/>
  <c r="C93" i="10"/>
  <c r="C106" i="10"/>
  <c r="C125" i="10"/>
  <c r="C130" i="10"/>
  <c r="C11" i="11"/>
  <c r="C18" i="11"/>
  <c r="C30" i="11"/>
  <c r="C37" i="11"/>
  <c r="C43" i="11"/>
  <c r="C50" i="11"/>
  <c r="C62" i="11"/>
  <c r="C69" i="11"/>
  <c r="C82" i="11"/>
  <c r="C87" i="11"/>
  <c r="C106" i="11"/>
  <c r="C14" i="12"/>
  <c r="C20" i="12"/>
  <c r="C29" i="12"/>
  <c r="C37" i="12"/>
  <c r="C44" i="12"/>
  <c r="C51" i="12"/>
  <c r="C74" i="12"/>
  <c r="C82" i="12"/>
  <c r="C97" i="12"/>
  <c r="C103" i="12"/>
  <c r="C112" i="12"/>
  <c r="C97" i="13"/>
  <c r="C96" i="13"/>
  <c r="C120" i="13"/>
  <c r="C129" i="13"/>
  <c r="C128" i="13"/>
  <c r="C112" i="14"/>
  <c r="C127" i="14"/>
  <c r="C79" i="15"/>
  <c r="C91" i="15"/>
  <c r="C103" i="15"/>
  <c r="C115" i="15"/>
  <c r="C58" i="16"/>
  <c r="C122" i="16"/>
  <c r="C48" i="17"/>
  <c r="C60" i="17"/>
  <c r="C72" i="17"/>
  <c r="C59" i="18"/>
  <c r="C123" i="18"/>
  <c r="C148" i="14"/>
  <c r="C15" i="15"/>
  <c r="C27" i="15"/>
  <c r="C55" i="15"/>
  <c r="C67" i="15"/>
  <c r="C134" i="15"/>
  <c r="C16" i="16"/>
  <c r="C23" i="16"/>
  <c r="C44" i="16"/>
  <c r="C52" i="16"/>
  <c r="C57" i="16"/>
  <c r="C65" i="16"/>
  <c r="C80" i="16"/>
  <c r="C87" i="16"/>
  <c r="C108" i="16"/>
  <c r="C116" i="16"/>
  <c r="C121" i="16"/>
  <c r="C136" i="16"/>
  <c r="C143" i="16"/>
  <c r="C12" i="17"/>
  <c r="C24" i="17"/>
  <c r="C36" i="17"/>
  <c r="C128" i="17"/>
  <c r="C140" i="17"/>
  <c r="C8" i="18"/>
  <c r="C16" i="18"/>
  <c r="C24" i="18"/>
  <c r="C37" i="18"/>
  <c r="C44" i="18"/>
  <c r="C52" i="18"/>
  <c r="C58" i="18"/>
  <c r="C72" i="18"/>
  <c r="C88" i="18"/>
  <c r="C101" i="18"/>
  <c r="C108" i="18"/>
  <c r="C116" i="18"/>
  <c r="C122" i="18"/>
  <c r="C136" i="18"/>
  <c r="C10" i="16"/>
  <c r="C97" i="17"/>
  <c r="C147" i="17"/>
  <c r="C131" i="12"/>
  <c r="C137" i="12"/>
  <c r="C149" i="12"/>
  <c r="C17" i="13"/>
  <c r="C42" i="13"/>
  <c r="C54" i="13"/>
  <c r="C66" i="13"/>
  <c r="C106" i="13"/>
  <c r="C117" i="13"/>
  <c r="C134" i="13"/>
  <c r="C7" i="14"/>
  <c r="C15" i="14"/>
  <c r="C23" i="14"/>
  <c r="C31" i="14"/>
  <c r="C39" i="14"/>
  <c r="C47" i="14"/>
  <c r="C55" i="14"/>
  <c r="C63" i="14"/>
  <c r="C71" i="14"/>
  <c r="C79" i="14"/>
  <c r="C87" i="14"/>
  <c r="C95" i="14"/>
  <c r="C102" i="14"/>
  <c r="C108" i="14"/>
  <c r="C122" i="14"/>
  <c r="C130" i="14"/>
  <c r="C35" i="15"/>
  <c r="C75" i="15"/>
  <c r="C87" i="15"/>
  <c r="C99" i="15"/>
  <c r="C9" i="16"/>
  <c r="C17" i="16"/>
  <c r="C32" i="16"/>
  <c r="C39" i="16"/>
  <c r="C46" i="16"/>
  <c r="C54" i="16"/>
  <c r="C60" i="16"/>
  <c r="C68" i="16"/>
  <c r="C73" i="16"/>
  <c r="C81" i="16"/>
  <c r="C96" i="16"/>
  <c r="C103" i="16"/>
  <c r="C110" i="16"/>
  <c r="C124" i="16"/>
  <c r="C132" i="16"/>
  <c r="C138" i="16"/>
  <c r="C32" i="17"/>
  <c r="C44" i="17"/>
  <c r="C56" i="17"/>
  <c r="C68" i="17"/>
  <c r="C111" i="17"/>
  <c r="C123" i="17"/>
  <c r="C135" i="17"/>
  <c r="C146" i="17"/>
  <c r="C32" i="18"/>
  <c r="C61" i="18"/>
  <c r="C96" i="18"/>
  <c r="C125" i="18"/>
  <c r="C26" i="16"/>
  <c r="C90" i="16"/>
  <c r="C27" i="18"/>
  <c r="C91" i="18"/>
  <c r="C127" i="12"/>
  <c r="C25" i="13"/>
  <c r="C37" i="13"/>
  <c r="C49" i="13"/>
  <c r="C85" i="13"/>
  <c r="C102" i="13"/>
  <c r="C113" i="13"/>
  <c r="C146" i="13"/>
  <c r="C17" i="14"/>
  <c r="C33" i="14"/>
  <c r="C49" i="14"/>
  <c r="C65" i="14"/>
  <c r="C81" i="14"/>
  <c r="C97" i="14"/>
  <c r="C104" i="14"/>
  <c r="C117" i="14"/>
  <c r="C124" i="14"/>
  <c r="C139" i="14"/>
  <c r="C145" i="14"/>
  <c r="C18" i="15"/>
  <c r="C24" i="15"/>
  <c r="C47" i="15"/>
  <c r="C70" i="15"/>
  <c r="C95" i="15"/>
  <c r="C107" i="15"/>
  <c r="C119" i="15"/>
  <c r="C131" i="15"/>
  <c r="C12" i="16"/>
  <c r="C20" i="16"/>
  <c r="C25" i="16"/>
  <c r="C33" i="16"/>
  <c r="C48" i="16"/>
  <c r="C55" i="16"/>
  <c r="C76" i="16"/>
  <c r="C84" i="16"/>
  <c r="C89" i="16"/>
  <c r="C97" i="16"/>
  <c r="C112" i="16"/>
  <c r="C119" i="16"/>
  <c r="C139" i="16"/>
  <c r="C27" i="17"/>
  <c r="C39" i="17"/>
  <c r="C64" i="17"/>
  <c r="C76" i="17"/>
  <c r="C88" i="17"/>
  <c r="C100" i="17"/>
  <c r="C143" i="17"/>
  <c r="C12" i="18"/>
  <c r="C20" i="18"/>
  <c r="C26" i="18"/>
  <c r="C40" i="18"/>
  <c r="C48" i="18"/>
  <c r="C56" i="18"/>
  <c r="C69" i="18"/>
  <c r="C76" i="18"/>
  <c r="C84" i="18"/>
  <c r="C90" i="18"/>
  <c r="C104" i="18"/>
  <c r="C112" i="18"/>
  <c r="C120" i="18"/>
  <c r="C133" i="18"/>
  <c r="C140" i="18"/>
  <c r="C14" i="13"/>
  <c r="C57" i="13"/>
  <c r="C69" i="13"/>
  <c r="C114" i="13"/>
  <c r="C137" i="13"/>
  <c r="C142" i="13"/>
  <c r="C11" i="14"/>
  <c r="C19" i="14"/>
  <c r="C27" i="14"/>
  <c r="C35" i="14"/>
  <c r="C43" i="14"/>
  <c r="C51" i="14"/>
  <c r="C59" i="14"/>
  <c r="C67" i="14"/>
  <c r="C75" i="14"/>
  <c r="C83" i="14"/>
  <c r="C91" i="14"/>
  <c r="C106" i="14"/>
  <c r="C126" i="14"/>
  <c r="C147" i="14"/>
  <c r="C26" i="15"/>
  <c r="C38" i="15"/>
  <c r="C102" i="15"/>
  <c r="C127" i="15"/>
  <c r="C139" i="15"/>
  <c r="C7" i="16"/>
  <c r="C14" i="16"/>
  <c r="C22" i="16"/>
  <c r="C28" i="16"/>
  <c r="C36" i="16"/>
  <c r="C49" i="16"/>
  <c r="C64" i="16"/>
  <c r="C71" i="16"/>
  <c r="C78" i="16"/>
  <c r="C86" i="16"/>
  <c r="C92" i="16"/>
  <c r="C100" i="16"/>
  <c r="C113" i="16"/>
  <c r="C128" i="16"/>
  <c r="C135" i="16"/>
  <c r="C148" i="16"/>
  <c r="C47" i="17"/>
  <c r="C59" i="17"/>
  <c r="C71" i="17"/>
  <c r="C96" i="17"/>
  <c r="C108" i="17"/>
  <c r="C120" i="17"/>
  <c r="C132" i="17"/>
  <c r="C29" i="18"/>
  <c r="C64" i="18"/>
  <c r="C93" i="18"/>
  <c r="C128" i="18"/>
  <c r="C149" i="18"/>
  <c r="C68" i="4"/>
  <c r="C20" i="3"/>
  <c r="C52" i="3"/>
  <c r="C100" i="4"/>
  <c r="C84" i="3"/>
  <c r="C132" i="4"/>
  <c r="C131" i="4"/>
  <c r="C139" i="4"/>
  <c r="C140" i="4"/>
  <c r="C92" i="3"/>
  <c r="C147" i="4"/>
  <c r="C148" i="4"/>
  <c r="C100" i="3"/>
  <c r="C17" i="5"/>
  <c r="C16" i="5"/>
  <c r="C32" i="6"/>
  <c r="C31" i="6"/>
  <c r="F54" i="3"/>
  <c r="C141" i="6"/>
  <c r="C68" i="8"/>
  <c r="C67" i="8"/>
  <c r="C132" i="8"/>
  <c r="I58" i="3"/>
  <c r="C131" i="8"/>
  <c r="C25" i="12"/>
  <c r="C24" i="12"/>
  <c r="C48" i="12"/>
  <c r="C47" i="12"/>
  <c r="C125" i="12"/>
  <c r="C124" i="12"/>
  <c r="P77" i="3"/>
  <c r="C30" i="16"/>
  <c r="C29" i="16"/>
  <c r="C94" i="16"/>
  <c r="C93" i="16"/>
  <c r="M46" i="3"/>
  <c r="M5" i="3" s="1"/>
  <c r="M6" i="3" s="1"/>
  <c r="C80" i="18"/>
  <c r="L32" i="3"/>
  <c r="C144" i="18"/>
  <c r="L96" i="3"/>
  <c r="C35" i="4"/>
  <c r="C67" i="4"/>
  <c r="C40" i="3"/>
  <c r="C88" i="4"/>
  <c r="C99" i="4"/>
  <c r="C72" i="3"/>
  <c r="C120" i="4"/>
  <c r="C46" i="6"/>
  <c r="C45" i="6"/>
  <c r="F86" i="3"/>
  <c r="C173" i="6"/>
  <c r="C23" i="4"/>
  <c r="C55" i="4"/>
  <c r="C28" i="3"/>
  <c r="C76" i="4"/>
  <c r="C87" i="4"/>
  <c r="C60" i="3"/>
  <c r="C108" i="4"/>
  <c r="C119" i="4"/>
  <c r="C106" i="8"/>
  <c r="I32" i="3"/>
  <c r="C98" i="10"/>
  <c r="J50" i="3"/>
  <c r="C48" i="3"/>
  <c r="C96" i="4"/>
  <c r="C31" i="4"/>
  <c r="C36" i="3"/>
  <c r="C84" i="4"/>
  <c r="C95" i="4"/>
  <c r="C68" i="3"/>
  <c r="C116" i="4"/>
  <c r="C88" i="3"/>
  <c r="C135" i="4"/>
  <c r="C136" i="4"/>
  <c r="C96" i="3"/>
  <c r="C144" i="4"/>
  <c r="C143" i="4"/>
  <c r="C14" i="6"/>
  <c r="C13" i="6"/>
  <c r="C122" i="6"/>
  <c r="F35" i="3"/>
  <c r="C121" i="6"/>
  <c r="C36" i="8"/>
  <c r="C35" i="8"/>
  <c r="C100" i="8"/>
  <c r="I26" i="3"/>
  <c r="C99" i="8"/>
  <c r="C74" i="10"/>
  <c r="J26" i="3"/>
  <c r="E4" i="3"/>
  <c r="K3" i="3"/>
  <c r="C7" i="3"/>
  <c r="P15" i="1"/>
  <c r="C8" i="3"/>
  <c r="C10" i="3" s="1"/>
  <c r="C9" i="3"/>
  <c r="K7" i="3"/>
  <c r="K9" i="3"/>
  <c r="P23" i="1"/>
  <c r="C19" i="4"/>
  <c r="C51" i="4"/>
  <c r="C24" i="3"/>
  <c r="C72" i="4"/>
  <c r="C83" i="4"/>
  <c r="C56" i="3"/>
  <c r="C104" i="4"/>
  <c r="C115" i="4"/>
  <c r="C21" i="5"/>
  <c r="C20" i="5"/>
  <c r="C64" i="6"/>
  <c r="C63" i="6"/>
  <c r="C115" i="6"/>
  <c r="F28" i="3"/>
  <c r="C154" i="6"/>
  <c r="F67" i="3"/>
  <c r="C153" i="6"/>
  <c r="C157" i="8"/>
  <c r="C156" i="8"/>
  <c r="C170" i="8"/>
  <c r="I96" i="3"/>
  <c r="C37" i="10"/>
  <c r="C36" i="10"/>
  <c r="M3" i="3"/>
  <c r="O3" i="3"/>
  <c r="C80" i="3"/>
  <c r="C128" i="4"/>
  <c r="C55" i="6"/>
  <c r="C54" i="6"/>
  <c r="I51" i="3"/>
  <c r="D8" i="3"/>
  <c r="D10" i="3" s="1"/>
  <c r="P16" i="1"/>
  <c r="D9" i="3"/>
  <c r="L8" i="3"/>
  <c r="L10" i="3" s="1"/>
  <c r="L9" i="3"/>
  <c r="P24" i="1"/>
  <c r="C7" i="4"/>
  <c r="C39" i="4"/>
  <c r="C12" i="3"/>
  <c r="C60" i="4"/>
  <c r="C71" i="4"/>
  <c r="C92" i="4"/>
  <c r="C44" i="3"/>
  <c r="C103" i="4"/>
  <c r="C76" i="3"/>
  <c r="C124" i="4"/>
  <c r="C23" i="6"/>
  <c r="C22" i="6"/>
  <c r="C147" i="6"/>
  <c r="F60" i="3"/>
  <c r="C186" i="6"/>
  <c r="F99" i="3"/>
  <c r="C185" i="6"/>
  <c r="C138" i="8"/>
  <c r="I64" i="3"/>
  <c r="C25" i="10"/>
  <c r="C24" i="10"/>
  <c r="Q5" i="3"/>
  <c r="Q6" i="3" s="1"/>
  <c r="Q4" i="3"/>
  <c r="Q3" i="3"/>
  <c r="G5" i="3"/>
  <c r="G6" i="3" s="1"/>
  <c r="C16" i="3"/>
  <c r="C64" i="4"/>
  <c r="C90" i="6"/>
  <c r="C89" i="6"/>
  <c r="N5" i="3"/>
  <c r="N6" i="3" s="1"/>
  <c r="Q29" i="1"/>
  <c r="Q25" i="1"/>
  <c r="Q21" i="1"/>
  <c r="Q17" i="1"/>
  <c r="Q28" i="1"/>
  <c r="Q24" i="1"/>
  <c r="Q20" i="1"/>
  <c r="Q16" i="1"/>
  <c r="Q23" i="1"/>
  <c r="Q19" i="1"/>
  <c r="Q15" i="1"/>
  <c r="Q26" i="1"/>
  <c r="H5" i="3"/>
  <c r="H6" i="3" s="1"/>
  <c r="P5" i="3"/>
  <c r="P6" i="3" s="1"/>
  <c r="C27" i="4"/>
  <c r="C59" i="4"/>
  <c r="C32" i="3"/>
  <c r="C80" i="4"/>
  <c r="C91" i="4"/>
  <c r="C64" i="3"/>
  <c r="C112" i="4"/>
  <c r="C123" i="4"/>
  <c r="F22" i="3"/>
  <c r="C109" i="6"/>
  <c r="C179" i="6"/>
  <c r="F92" i="3"/>
  <c r="C13" i="10"/>
  <c r="C12" i="10"/>
  <c r="C116" i="6"/>
  <c r="C135" i="6"/>
  <c r="C148" i="6"/>
  <c r="C180" i="6"/>
  <c r="C17" i="8"/>
  <c r="C49" i="8"/>
  <c r="C81" i="8"/>
  <c r="C113" i="8"/>
  <c r="C145" i="8"/>
  <c r="C144" i="8"/>
  <c r="C53" i="9"/>
  <c r="C179" i="9"/>
  <c r="C178" i="9"/>
  <c r="C117" i="10"/>
  <c r="C116" i="10"/>
  <c r="C41" i="12"/>
  <c r="C40" i="12"/>
  <c r="C64" i="12"/>
  <c r="C63" i="12"/>
  <c r="C12" i="5"/>
  <c r="C28" i="5"/>
  <c r="C36" i="5"/>
  <c r="C64" i="5"/>
  <c r="C84" i="5"/>
  <c r="C18" i="6"/>
  <c r="C59" i="6"/>
  <c r="C165" i="8"/>
  <c r="C164" i="8"/>
  <c r="C87" i="9"/>
  <c r="C45" i="10"/>
  <c r="C57" i="10"/>
  <c r="C56" i="10"/>
  <c r="C69" i="10"/>
  <c r="C68" i="10"/>
  <c r="C92" i="10"/>
  <c r="C140" i="10"/>
  <c r="C57" i="12"/>
  <c r="C56" i="12"/>
  <c r="C80" i="12"/>
  <c r="C79" i="12"/>
  <c r="C8" i="5"/>
  <c r="C24" i="5"/>
  <c r="C32" i="5"/>
  <c r="C40" i="5"/>
  <c r="C44" i="5"/>
  <c r="C48" i="5"/>
  <c r="C52" i="5"/>
  <c r="C56" i="5"/>
  <c r="C60" i="5"/>
  <c r="C68" i="5"/>
  <c r="C72" i="5"/>
  <c r="C76" i="5"/>
  <c r="C80" i="5"/>
  <c r="C88" i="5"/>
  <c r="C92" i="5"/>
  <c r="C27" i="6"/>
  <c r="C50" i="6"/>
  <c r="C78" i="6"/>
  <c r="N3" i="3"/>
  <c r="N4" i="3"/>
  <c r="H7" i="3"/>
  <c r="P7" i="3"/>
  <c r="I8" i="3"/>
  <c r="I10" i="3" s="1"/>
  <c r="Q8" i="3"/>
  <c r="Q10" i="3" s="1"/>
  <c r="F30" i="3"/>
  <c r="F62" i="3"/>
  <c r="F94" i="3"/>
  <c r="C20" i="6"/>
  <c r="C52" i="6"/>
  <c r="C75" i="6"/>
  <c r="C80" i="6"/>
  <c r="C86" i="6"/>
  <c r="C92" i="6"/>
  <c r="C111" i="6"/>
  <c r="C118" i="6"/>
  <c r="C124" i="6"/>
  <c r="C129" i="6"/>
  <c r="C143" i="6"/>
  <c r="C150" i="6"/>
  <c r="C156" i="6"/>
  <c r="C161" i="6"/>
  <c r="C175" i="6"/>
  <c r="C182" i="6"/>
  <c r="C11" i="8"/>
  <c r="C25" i="8"/>
  <c r="C32" i="8"/>
  <c r="C43" i="8"/>
  <c r="C57" i="8"/>
  <c r="C64" i="8"/>
  <c r="C75" i="8"/>
  <c r="C89" i="8"/>
  <c r="C96" i="8"/>
  <c r="C107" i="8"/>
  <c r="C121" i="8"/>
  <c r="C128" i="8"/>
  <c r="C139" i="8"/>
  <c r="C153" i="8"/>
  <c r="C152" i="8"/>
  <c r="C20" i="9"/>
  <c r="C24" i="9"/>
  <c r="C42" i="9"/>
  <c r="C61" i="9"/>
  <c r="C9" i="10"/>
  <c r="C8" i="10"/>
  <c r="C21" i="10"/>
  <c r="C20" i="10"/>
  <c r="C44" i="10"/>
  <c r="C73" i="12"/>
  <c r="C72" i="12"/>
  <c r="C96" i="12"/>
  <c r="C95" i="12"/>
  <c r="D29" i="3"/>
  <c r="G3" i="3"/>
  <c r="C25" i="5"/>
  <c r="C29" i="5"/>
  <c r="C33" i="5"/>
  <c r="C37" i="5"/>
  <c r="C45" i="5"/>
  <c r="C49" i="5"/>
  <c r="C53" i="5"/>
  <c r="C57" i="5"/>
  <c r="C61" i="5"/>
  <c r="C69" i="5"/>
  <c r="C77" i="5"/>
  <c r="C85" i="5"/>
  <c r="C93" i="5"/>
  <c r="C173" i="8"/>
  <c r="C172" i="8"/>
  <c r="C101" i="10"/>
  <c r="C100" i="10"/>
  <c r="C89" i="12"/>
  <c r="C88" i="12"/>
  <c r="C9" i="14"/>
  <c r="C8" i="14"/>
  <c r="C25" i="14"/>
  <c r="C24" i="14"/>
  <c r="C41" i="14"/>
  <c r="C40" i="14"/>
  <c r="C57" i="14"/>
  <c r="C56" i="14"/>
  <c r="C73" i="14"/>
  <c r="C72" i="14"/>
  <c r="C89" i="14"/>
  <c r="C88" i="14"/>
  <c r="H3" i="3"/>
  <c r="P3" i="3"/>
  <c r="H4" i="3"/>
  <c r="P4" i="3"/>
  <c r="K8" i="3"/>
  <c r="K10" i="3" s="1"/>
  <c r="C17" i="3"/>
  <c r="C25" i="3"/>
  <c r="C33" i="3"/>
  <c r="F36" i="3"/>
  <c r="C41" i="3"/>
  <c r="C49" i="3"/>
  <c r="C57" i="3"/>
  <c r="C65" i="3"/>
  <c r="F68" i="3"/>
  <c r="C73" i="3"/>
  <c r="C81" i="3"/>
  <c r="C89" i="3"/>
  <c r="C97" i="3"/>
  <c r="F100" i="3"/>
  <c r="C29" i="6"/>
  <c r="C61" i="6"/>
  <c r="C76" i="6"/>
  <c r="C87" i="6"/>
  <c r="C100" i="6"/>
  <c r="C105" i="6"/>
  <c r="C119" i="6"/>
  <c r="C132" i="6"/>
  <c r="C137" i="6"/>
  <c r="C151" i="6"/>
  <c r="C164" i="6"/>
  <c r="C169" i="6"/>
  <c r="C183" i="6"/>
  <c r="C19" i="8"/>
  <c r="C51" i="8"/>
  <c r="C83" i="8"/>
  <c r="C115" i="8"/>
  <c r="C161" i="8"/>
  <c r="C160" i="8"/>
  <c r="C38" i="9"/>
  <c r="C187" i="9"/>
  <c r="C186" i="9"/>
  <c r="C41" i="10"/>
  <c r="C40" i="10"/>
  <c r="C53" i="10"/>
  <c r="C52" i="10"/>
  <c r="C76" i="10"/>
  <c r="C149" i="10"/>
  <c r="C148" i="10"/>
  <c r="C105" i="12"/>
  <c r="C104" i="12"/>
  <c r="G4" i="3"/>
  <c r="P17" i="1"/>
  <c r="P25" i="1"/>
  <c r="F75" i="3"/>
  <c r="C8" i="6"/>
  <c r="C40" i="6"/>
  <c r="C72" i="6"/>
  <c r="C114" i="6"/>
  <c r="C146" i="6"/>
  <c r="C178" i="6"/>
  <c r="C7" i="8"/>
  <c r="C21" i="8"/>
  <c r="C28" i="8"/>
  <c r="C39" i="8"/>
  <c r="C53" i="8"/>
  <c r="C60" i="8"/>
  <c r="C71" i="8"/>
  <c r="C85" i="8"/>
  <c r="C92" i="8"/>
  <c r="C103" i="8"/>
  <c r="C117" i="8"/>
  <c r="C124" i="8"/>
  <c r="C135" i="8"/>
  <c r="C149" i="8"/>
  <c r="C148" i="8"/>
  <c r="C11" i="9"/>
  <c r="C171" i="9"/>
  <c r="C28" i="10"/>
  <c r="C16" i="12"/>
  <c r="C15" i="12"/>
  <c r="F43" i="3"/>
  <c r="D7" i="3"/>
  <c r="E8" i="3"/>
  <c r="E10" i="3" s="1"/>
  <c r="C36" i="6"/>
  <c r="C68" i="6"/>
  <c r="C83" i="6"/>
  <c r="C95" i="6"/>
  <c r="C102" i="6"/>
  <c r="C108" i="6"/>
  <c r="C127" i="6"/>
  <c r="C134" i="6"/>
  <c r="C140" i="6"/>
  <c r="C159" i="6"/>
  <c r="C166" i="6"/>
  <c r="C172" i="6"/>
  <c r="C9" i="8"/>
  <c r="C16" i="8"/>
  <c r="C41" i="8"/>
  <c r="C48" i="8"/>
  <c r="C73" i="8"/>
  <c r="C80" i="8"/>
  <c r="C105" i="8"/>
  <c r="C112" i="8"/>
  <c r="C137" i="8"/>
  <c r="C169" i="8"/>
  <c r="C168" i="8"/>
  <c r="C29" i="9"/>
  <c r="C34" i="9"/>
  <c r="C52" i="9"/>
  <c r="C85" i="10"/>
  <c r="C84" i="10"/>
  <c r="C108" i="10"/>
  <c r="C133" i="10"/>
  <c r="C132" i="10"/>
  <c r="C9" i="12"/>
  <c r="C8" i="12"/>
  <c r="C32" i="12"/>
  <c r="C31" i="12"/>
  <c r="C144" i="11"/>
  <c r="C143" i="11"/>
  <c r="C148" i="12"/>
  <c r="C147" i="12"/>
  <c r="C14" i="14"/>
  <c r="C13" i="14"/>
  <c r="C30" i="14"/>
  <c r="C29" i="14"/>
  <c r="C46" i="14"/>
  <c r="C45" i="14"/>
  <c r="C62" i="14"/>
  <c r="C61" i="14"/>
  <c r="C78" i="14"/>
  <c r="C77" i="14"/>
  <c r="C94" i="14"/>
  <c r="C93" i="14"/>
  <c r="C129" i="14"/>
  <c r="C128" i="14"/>
  <c r="C73" i="10"/>
  <c r="C89" i="10"/>
  <c r="C105" i="10"/>
  <c r="C121" i="10"/>
  <c r="C137" i="10"/>
  <c r="C13" i="11"/>
  <c r="C29" i="11"/>
  <c r="C45" i="11"/>
  <c r="C61" i="11"/>
  <c r="C77" i="11"/>
  <c r="C96" i="11"/>
  <c r="C95" i="11"/>
  <c r="C128" i="11"/>
  <c r="C127" i="11"/>
  <c r="C116" i="12"/>
  <c r="C115" i="12"/>
  <c r="C142" i="15"/>
  <c r="C141" i="15"/>
  <c r="C73" i="9"/>
  <c r="C89" i="9"/>
  <c r="C72" i="10"/>
  <c r="C88" i="10"/>
  <c r="C104" i="10"/>
  <c r="C120" i="10"/>
  <c r="C136" i="10"/>
  <c r="C58" i="15"/>
  <c r="C57" i="15"/>
  <c r="C62" i="16"/>
  <c r="C61" i="16"/>
  <c r="C126" i="16"/>
  <c r="C125" i="16"/>
  <c r="C37" i="9"/>
  <c r="C17" i="10"/>
  <c r="C33" i="10"/>
  <c r="C49" i="10"/>
  <c r="C65" i="10"/>
  <c r="C81" i="10"/>
  <c r="C97" i="10"/>
  <c r="C113" i="10"/>
  <c r="C129" i="10"/>
  <c r="C145" i="10"/>
  <c r="C112" i="11"/>
  <c r="C111" i="11"/>
  <c r="C148" i="11"/>
  <c r="C140" i="12"/>
  <c r="C139" i="12"/>
  <c r="C33" i="9"/>
  <c r="C65" i="9"/>
  <c r="C76" i="9"/>
  <c r="C81" i="9"/>
  <c r="C92" i="9"/>
  <c r="C97" i="9"/>
  <c r="C108" i="9"/>
  <c r="C16" i="10"/>
  <c r="C32" i="10"/>
  <c r="C48" i="10"/>
  <c r="C64" i="10"/>
  <c r="C80" i="10"/>
  <c r="C96" i="10"/>
  <c r="C112" i="10"/>
  <c r="C100" i="11"/>
  <c r="C132" i="11"/>
  <c r="C147" i="11"/>
  <c r="C134" i="14"/>
  <c r="C133" i="14"/>
  <c r="C94" i="15"/>
  <c r="C93" i="15"/>
  <c r="C106" i="15"/>
  <c r="C105" i="15"/>
  <c r="C8" i="13"/>
  <c r="C24" i="13"/>
  <c r="C40" i="13"/>
  <c r="C56" i="13"/>
  <c r="C14" i="15"/>
  <c r="C13" i="15"/>
  <c r="C20" i="14"/>
  <c r="C36" i="14"/>
  <c r="C52" i="14"/>
  <c r="C68" i="14"/>
  <c r="C84" i="14"/>
  <c r="C54" i="15"/>
  <c r="C53" i="15"/>
  <c r="C126" i="15"/>
  <c r="C125" i="15"/>
  <c r="C18" i="16"/>
  <c r="C50" i="16"/>
  <c r="C82" i="16"/>
  <c r="C114" i="16"/>
  <c r="C55" i="18"/>
  <c r="C54" i="18"/>
  <c r="C119" i="18"/>
  <c r="C118" i="18"/>
  <c r="C20" i="13"/>
  <c r="C36" i="13"/>
  <c r="C52" i="13"/>
  <c r="C68" i="13"/>
  <c r="C84" i="13"/>
  <c r="C100" i="13"/>
  <c r="C116" i="13"/>
  <c r="C132" i="13"/>
  <c r="C148" i="13"/>
  <c r="C78" i="15"/>
  <c r="C77" i="15"/>
  <c r="C90" i="15"/>
  <c r="C89" i="15"/>
  <c r="C15" i="17"/>
  <c r="C14" i="17"/>
  <c r="C91" i="11"/>
  <c r="C11" i="12"/>
  <c r="C27" i="12"/>
  <c r="C43" i="12"/>
  <c r="C59" i="12"/>
  <c r="C75" i="12"/>
  <c r="C91" i="12"/>
  <c r="C107" i="12"/>
  <c r="C16" i="14"/>
  <c r="C32" i="14"/>
  <c r="C48" i="14"/>
  <c r="C64" i="14"/>
  <c r="C80" i="14"/>
  <c r="C96" i="14"/>
  <c r="C101" i="14"/>
  <c r="C143" i="14"/>
  <c r="C142" i="14"/>
  <c r="C22" i="15"/>
  <c r="C21" i="15"/>
  <c r="C13" i="16"/>
  <c r="C45" i="16"/>
  <c r="C77" i="16"/>
  <c r="C109" i="16"/>
  <c r="C146" i="16"/>
  <c r="C93" i="11"/>
  <c r="C107" i="11"/>
  <c r="C123" i="11"/>
  <c r="C16" i="13"/>
  <c r="C32" i="13"/>
  <c r="C48" i="13"/>
  <c r="C64" i="13"/>
  <c r="C80" i="13"/>
  <c r="C115" i="14"/>
  <c r="C110" i="15"/>
  <c r="C109" i="15"/>
  <c r="C122" i="15"/>
  <c r="C121" i="15"/>
  <c r="C141" i="16"/>
  <c r="C89" i="11"/>
  <c r="C104" i="11"/>
  <c r="C109" i="11"/>
  <c r="C120" i="11"/>
  <c r="C136" i="11"/>
  <c r="C13" i="13"/>
  <c r="C29" i="13"/>
  <c r="C45" i="13"/>
  <c r="C61" i="13"/>
  <c r="C77" i="13"/>
  <c r="C93" i="13"/>
  <c r="C109" i="13"/>
  <c r="C125" i="13"/>
  <c r="C141" i="13"/>
  <c r="C114" i="14"/>
  <c r="C46" i="15"/>
  <c r="C45" i="15"/>
  <c r="C74" i="15"/>
  <c r="C73" i="15"/>
  <c r="C34" i="16"/>
  <c r="C66" i="16"/>
  <c r="C98" i="16"/>
  <c r="C130" i="16"/>
  <c r="C23" i="18"/>
  <c r="C22" i="18"/>
  <c r="C87" i="18"/>
  <c r="C86" i="18"/>
  <c r="C30" i="17"/>
  <c r="C46" i="17"/>
  <c r="C62" i="17"/>
  <c r="C78" i="17"/>
  <c r="C94" i="17"/>
  <c r="C110" i="17"/>
  <c r="C126" i="17"/>
  <c r="C142" i="17"/>
  <c r="C10" i="18"/>
  <c r="C42" i="18"/>
  <c r="C74" i="18"/>
  <c r="C106" i="18"/>
  <c r="C127" i="18"/>
  <c r="C138" i="18"/>
  <c r="C147" i="18"/>
  <c r="C99" i="14"/>
  <c r="C131" i="14"/>
  <c r="C10" i="15"/>
  <c r="C42" i="15"/>
  <c r="C137" i="15"/>
  <c r="C10" i="17"/>
  <c r="C26" i="17"/>
  <c r="C42" i="17"/>
  <c r="C58" i="17"/>
  <c r="C74" i="17"/>
  <c r="C90" i="17"/>
  <c r="C106" i="17"/>
  <c r="C122" i="17"/>
  <c r="C138" i="17"/>
  <c r="C18" i="18"/>
  <c r="C39" i="18"/>
  <c r="C50" i="18"/>
  <c r="C71" i="18"/>
  <c r="C82" i="18"/>
  <c r="C103" i="18"/>
  <c r="C114" i="18"/>
  <c r="C135" i="18"/>
  <c r="C7" i="18"/>
  <c r="C123" i="14"/>
  <c r="C34" i="15"/>
  <c r="C37" i="15"/>
  <c r="C66" i="15"/>
  <c r="C69" i="15"/>
  <c r="C85" i="15"/>
  <c r="C101" i="15"/>
  <c r="C117" i="15"/>
  <c r="C133" i="15"/>
  <c r="C7" i="17"/>
  <c r="C22" i="17"/>
  <c r="C38" i="17"/>
  <c r="C54" i="17"/>
  <c r="C70" i="17"/>
  <c r="C86" i="17"/>
  <c r="C102" i="17"/>
  <c r="C118" i="17"/>
  <c r="C134" i="17"/>
  <c r="C15" i="18"/>
  <c r="C47" i="18"/>
  <c r="C79" i="18"/>
  <c r="C111" i="18"/>
  <c r="C143" i="18"/>
  <c r="C119" i="14"/>
  <c r="C30" i="15"/>
  <c r="C33" i="15"/>
  <c r="C62" i="15"/>
  <c r="C65" i="15"/>
  <c r="C82" i="15"/>
  <c r="C98" i="15"/>
  <c r="C114" i="15"/>
  <c r="C130" i="15"/>
  <c r="C146" i="15"/>
  <c r="C118" i="16"/>
  <c r="C19" i="17"/>
  <c r="C35" i="17"/>
  <c r="C51" i="17"/>
  <c r="C67" i="17"/>
  <c r="C83" i="17"/>
  <c r="C99" i="17"/>
  <c r="C115" i="17"/>
  <c r="C14" i="18"/>
  <c r="C35" i="18"/>
  <c r="C46" i="18"/>
  <c r="C67" i="18"/>
  <c r="C78" i="18"/>
  <c r="C99" i="18"/>
  <c r="C110" i="18"/>
  <c r="C131" i="18"/>
  <c r="C142" i="18"/>
  <c r="M4" i="3" l="1"/>
  <c r="O5" i="3"/>
  <c r="O6" i="3" s="1"/>
  <c r="Q27" i="1"/>
  <c r="J5" i="3"/>
  <c r="J6" i="3" s="1"/>
  <c r="J3" i="3"/>
  <c r="E3" i="3"/>
  <c r="D4" i="3"/>
  <c r="J4" i="3"/>
  <c r="L5" i="3"/>
  <c r="L6" i="3" s="1"/>
  <c r="F5" i="3"/>
  <c r="F6" i="3" s="1"/>
  <c r="F3" i="3"/>
  <c r="D3" i="3"/>
  <c r="I5" i="3"/>
  <c r="I6" i="3" s="1"/>
  <c r="C3" i="3"/>
  <c r="C5" i="3"/>
  <c r="C6" i="3" s="1"/>
  <c r="C4" i="3"/>
  <c r="F4" i="3"/>
  <c r="I3" i="3"/>
  <c r="I4" i="3"/>
  <c r="L4" i="3"/>
  <c r="L3" i="3"/>
  <c r="D5" i="3"/>
  <c r="D6" i="3" s="1"/>
</calcChain>
</file>

<file path=xl/sharedStrings.xml><?xml version="1.0" encoding="utf-8"?>
<sst xmlns="http://schemas.openxmlformats.org/spreadsheetml/2006/main" count="174" uniqueCount="77">
  <si>
    <t>PMI Services World</t>
  </si>
  <si>
    <t>Definition</t>
  </si>
  <si>
    <t>PMIs are surveys conducted by the Markit Group, which produces metrics based on ISM’s work for over 30 countries. They are great leading indicators.
Like the ISM, they are diffusion index.
Each country PMI survey for the manufacturing or service sector is based on questionnaire responses from panels of senior purchasing executives (or similar) at over 400 companies. The survey panels are carefully recruited to accurately represent the true structure of that sector.
Weightings are different from ISM:
New orders 30%
Output 25%
Employment 20%
Suppliers' Delivery Times 15%
Stocks of purchases 10%</t>
  </si>
  <si>
    <t>Process / TO DO LIST</t>
  </si>
  <si>
    <t>Summary</t>
  </si>
  <si>
    <t>* input new month</t>
  </si>
  <si>
    <t>TO DO LIST</t>
  </si>
  <si>
    <t>Comments</t>
  </si>
  <si>
    <t>%</t>
  </si>
  <si>
    <t>Global</t>
  </si>
  <si>
    <t>https://www.markiteconomics.com/Survey/Page.mvc/PressReleases</t>
  </si>
  <si>
    <t>Country</t>
  </si>
  <si>
    <t>ISM</t>
  </si>
  <si>
    <t>Change %</t>
  </si>
  <si>
    <t>World GDP</t>
  </si>
  <si>
    <t>JPMorgan Global Services PMI</t>
  </si>
  <si>
    <t>https://tradingeconomics.com/country-list/services-pmi</t>
  </si>
  <si>
    <t>Database</t>
  </si>
  <si>
    <t>US</t>
  </si>
  <si>
    <t>Update each month for each country</t>
  </si>
  <si>
    <t xml:space="preserve">China </t>
  </si>
  <si>
    <t>Eurozone</t>
  </si>
  <si>
    <t xml:space="preserve">Japan </t>
  </si>
  <si>
    <t>Germany</t>
  </si>
  <si>
    <t>France</t>
  </si>
  <si>
    <t>UK</t>
  </si>
  <si>
    <t xml:space="preserve">Italy </t>
  </si>
  <si>
    <t>Spain</t>
  </si>
  <si>
    <t>Brazil</t>
  </si>
  <si>
    <t>Russia</t>
  </si>
  <si>
    <t>India</t>
  </si>
  <si>
    <t>Australia</t>
  </si>
  <si>
    <t>Ireland</t>
  </si>
  <si>
    <t>Date</t>
  </si>
  <si>
    <t>China</t>
  </si>
  <si>
    <t>Euro Area</t>
  </si>
  <si>
    <t>Italy</t>
  </si>
  <si>
    <t>Japan</t>
  </si>
  <si>
    <t>Kazakhstan</t>
  </si>
  <si>
    <t>New Zealand</t>
  </si>
  <si>
    <t>Nigeria</t>
  </si>
  <si>
    <t>Sri Lanka</t>
  </si>
  <si>
    <t>Sweden</t>
  </si>
  <si>
    <t>Switzerland</t>
  </si>
  <si>
    <t>United Kingdom</t>
  </si>
  <si>
    <t>United States</t>
  </si>
  <si>
    <t>*to update</t>
  </si>
  <si>
    <t>Last month</t>
  </si>
  <si>
    <t>*modify max/min/avg</t>
  </si>
  <si>
    <t>max 12m</t>
  </si>
  <si>
    <t>Previous Month</t>
  </si>
  <si>
    <t>min 12m</t>
  </si>
  <si>
    <t>12 months</t>
  </si>
  <si>
    <t>12m avg</t>
  </si>
  <si>
    <t>Last vs 12m avg</t>
  </si>
  <si>
    <t>Y/Y</t>
  </si>
  <si>
    <t>M/M</t>
  </si>
  <si>
    <t>Growth / Contraction</t>
  </si>
  <si>
    <t>Slower/Faster</t>
  </si>
  <si>
    <t>Global Services PMI</t>
  </si>
  <si>
    <t>PMI</t>
  </si>
  <si>
    <t>mom</t>
  </si>
  <si>
    <t xml:space="preserve"> Services PMI</t>
  </si>
  <si>
    <t>U.S. Services PMI</t>
  </si>
  <si>
    <t>Euro Area Services PMI</t>
  </si>
  <si>
    <t>China Services PMI</t>
  </si>
  <si>
    <t>France Services PMI</t>
  </si>
  <si>
    <t>Germany Services PMI</t>
  </si>
  <si>
    <t>U.K. Services PMI</t>
  </si>
  <si>
    <t>India Services PMI</t>
  </si>
  <si>
    <t>Australia Services PMI</t>
  </si>
  <si>
    <t>Ireland Services PMI</t>
  </si>
  <si>
    <t>Italy Services PMI</t>
  </si>
  <si>
    <t>Japan Services PMI</t>
  </si>
  <si>
    <t>Brazil Services PMI</t>
  </si>
  <si>
    <t>Russia Services PMI</t>
  </si>
  <si>
    <t>Spain Services PMI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</si>
</sst>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
    <numFmt numFmtId="166" formatCode="dd\-mm\-yyyy"/>
  </numFmts>
  <fonts count="17"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u/>
      <sz val="11"/>
      <color theme="10"/>
      <name val="Calibri"/>
      <family val="2"/>
      <scheme val="minor"/>
    </font>
    <font>
      <b/>
      <sz val="11"/>
      <color rgb="FF494444"/>
      <name val="Calibri"/>
      <family val="2"/>
      <scheme val="minor"/>
    </font>
    <font>
      <sz val="11"/>
      <color rgb="FF494444"/>
      <name val="Arial"/>
      <family val="2"/>
    </font>
    <font>
      <sz val="11"/>
      <color rgb="FF00B0F0"/>
      <name val="Calibri"/>
      <family val="2"/>
      <scheme val="minor"/>
    </font>
    <font>
      <b/>
      <sz val="11"/>
      <color rgb="FF00B0F0"/>
      <name val="Calibri"/>
      <family val="2"/>
      <scheme val="minor"/>
    </font>
    <font>
      <sz val="10"/>
      <name val="Arial"/>
      <family val="2"/>
    </font>
    <font>
      <sz val="10"/>
      <color theme="1"/>
      <name val="Calibri"/>
      <family val="2"/>
      <scheme val="minor"/>
    </font>
    <font>
      <sz val="9"/>
      <color rgb="FF00B0F0"/>
      <name val="Calibri"/>
      <family val="2"/>
      <scheme val="minor"/>
    </font>
    <font>
      <sz val="9"/>
      <color theme="1"/>
      <name val="Calibri"/>
      <family val="2"/>
      <scheme val="minor"/>
    </font>
    <font>
      <b/>
      <sz val="14"/>
      <color theme="1"/>
      <name val="Calibri"/>
      <family val="2"/>
      <scheme val="minor"/>
    </font>
    <font>
      <b/>
      <sz val="9"/>
      <color theme="1"/>
      <name val="Calibri"/>
      <family val="2"/>
      <scheme val="minor"/>
    </font>
    <font>
      <sz val="9"/>
      <name val="Calibri"/>
      <family val="2"/>
      <scheme val="minor"/>
    </font>
    <font>
      <sz val="11"/>
      <color rgb="FF000000"/>
      <name val="Calibri"/>
      <family val="2"/>
      <scheme val="minor"/>
    </font>
  </fonts>
  <fills count="7">
    <fill>
      <patternFill patternType="none"/>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rgb="FFFFFFFF"/>
        <bgColor rgb="FF000000"/>
      </patternFill>
    </fill>
  </fills>
  <borders count="34">
    <border>
      <left/>
      <right/>
      <top/>
      <bottom/>
      <diagonal/>
    </border>
    <border>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bottom/>
      <diagonal/>
    </border>
    <border>
      <left/>
      <right style="medium">
        <color indexed="64"/>
      </right>
      <top/>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style="thin">
        <color indexed="64"/>
      </left>
      <right/>
      <top/>
      <bottom style="thin">
        <color indexed="64"/>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s>
  <cellStyleXfs count="4">
    <xf numFmtId="0" fontId="0" fillId="0" borderId="0"/>
    <xf numFmtId="9" fontId="1" fillId="0" borderId="0"/>
    <xf numFmtId="0" fontId="4" fillId="0" borderId="0"/>
    <xf numFmtId="0" fontId="9" fillId="0" borderId="0"/>
  </cellStyleXfs>
  <cellXfs count="72">
    <xf numFmtId="0" fontId="0" fillId="0" borderId="0" xfId="0"/>
    <xf numFmtId="0" fontId="6" fillId="0" borderId="0" xfId="0" applyFont="1"/>
    <xf numFmtId="0" fontId="0" fillId="2" borderId="0" xfId="0" applyFill="1" applyAlignment="1">
      <alignment vertical="center"/>
    </xf>
    <xf numFmtId="0" fontId="7" fillId="2" borderId="0" xfId="0" applyFont="1" applyFill="1"/>
    <xf numFmtId="14" fontId="8" fillId="2" borderId="6" xfId="0" applyNumberFormat="1" applyFont="1" applyFill="1" applyBorder="1" applyAlignment="1">
      <alignment horizontal="center"/>
    </xf>
    <xf numFmtId="14" fontId="3" fillId="2" borderId="6" xfId="0" applyNumberFormat="1" applyFont="1" applyFill="1" applyBorder="1" applyAlignment="1">
      <alignment horizontal="center"/>
    </xf>
    <xf numFmtId="0" fontId="3" fillId="2" borderId="7" xfId="0" applyFont="1" applyFill="1" applyBorder="1" applyAlignment="1">
      <alignment horizontal="center"/>
    </xf>
    <xf numFmtId="0" fontId="3" fillId="2" borderId="10" xfId="0" applyFont="1" applyFill="1" applyBorder="1" applyAlignment="1">
      <alignment horizontal="center"/>
    </xf>
    <xf numFmtId="14" fontId="0" fillId="2" borderId="5" xfId="0" applyNumberFormat="1" applyFill="1" applyBorder="1" applyAlignment="1">
      <alignment horizontal="center"/>
    </xf>
    <xf numFmtId="14" fontId="0" fillId="2" borderId="13" xfId="0" applyNumberFormat="1" applyFill="1" applyBorder="1" applyAlignment="1">
      <alignment horizontal="center"/>
    </xf>
    <xf numFmtId="14" fontId="0" fillId="2" borderId="11" xfId="0" applyNumberFormat="1" applyFill="1" applyBorder="1" applyAlignment="1">
      <alignment horizontal="center"/>
    </xf>
    <xf numFmtId="0" fontId="0" fillId="2" borderId="12" xfId="0" applyFill="1" applyBorder="1" applyAlignment="1">
      <alignment horizontal="center"/>
    </xf>
    <xf numFmtId="0" fontId="0" fillId="3" borderId="15" xfId="0" applyFill="1" applyBorder="1" applyAlignment="1">
      <alignment horizontal="center"/>
    </xf>
    <xf numFmtId="0" fontId="0" fillId="3" borderId="16" xfId="0" applyFill="1" applyBorder="1" applyAlignment="1">
      <alignment horizontal="center"/>
    </xf>
    <xf numFmtId="0" fontId="0" fillId="2" borderId="8" xfId="0" applyFill="1" applyBorder="1" applyAlignment="1">
      <alignment horizontal="center"/>
    </xf>
    <xf numFmtId="0" fontId="3" fillId="2" borderId="6" xfId="0" applyFont="1" applyFill="1" applyBorder="1"/>
    <xf numFmtId="0" fontId="8" fillId="2" borderId="0" xfId="0" applyFont="1" applyFill="1"/>
    <xf numFmtId="0" fontId="12" fillId="4" borderId="18" xfId="0" applyFont="1" applyFill="1" applyBorder="1"/>
    <xf numFmtId="0" fontId="13" fillId="4" borderId="19" xfId="0" applyFont="1" applyFill="1" applyBorder="1" applyAlignment="1">
      <alignment horizontal="center" textRotation="90"/>
    </xf>
    <xf numFmtId="14" fontId="0" fillId="2" borderId="0" xfId="0" applyNumberFormat="1" applyFill="1"/>
    <xf numFmtId="0" fontId="12" fillId="0" borderId="21" xfId="0" applyFont="1" applyBorder="1"/>
    <xf numFmtId="164" fontId="14" fillId="5" borderId="8" xfId="0" applyNumberFormat="1" applyFont="1" applyFill="1" applyBorder="1" applyAlignment="1">
      <alignment horizontal="center" vertical="center"/>
    </xf>
    <xf numFmtId="164" fontId="14" fillId="5" borderId="14" xfId="0" applyNumberFormat="1" applyFont="1" applyFill="1" applyBorder="1" applyAlignment="1">
      <alignment horizontal="center" vertical="center"/>
    </xf>
    <xf numFmtId="0" fontId="3" fillId="4" borderId="23" xfId="0" applyFont="1" applyFill="1" applyBorder="1"/>
    <xf numFmtId="164" fontId="14" fillId="5" borderId="18" xfId="0" applyNumberFormat="1" applyFont="1" applyFill="1" applyBorder="1" applyAlignment="1">
      <alignment horizontal="center" vertical="center"/>
    </xf>
    <xf numFmtId="164" fontId="14" fillId="5" borderId="21" xfId="0" applyNumberFormat="1" applyFont="1" applyFill="1" applyBorder="1" applyAlignment="1">
      <alignment horizontal="center" vertical="center"/>
    </xf>
    <xf numFmtId="0" fontId="3" fillId="4" borderId="23" xfId="0" applyFont="1" applyFill="1" applyBorder="1" applyAlignment="1">
      <alignment vertical="center" wrapText="1"/>
    </xf>
    <xf numFmtId="0" fontId="3" fillId="5" borderId="21" xfId="0" applyFont="1" applyFill="1" applyBorder="1" applyAlignment="1">
      <alignment horizontal="center" vertical="center" textRotation="90"/>
    </xf>
    <xf numFmtId="0" fontId="3" fillId="4" borderId="24" xfId="0" applyFont="1" applyFill="1" applyBorder="1" applyAlignment="1">
      <alignment vertical="center" wrapText="1"/>
    </xf>
    <xf numFmtId="0" fontId="13" fillId="5" borderId="25" xfId="0" applyFont="1" applyFill="1" applyBorder="1" applyAlignment="1">
      <alignment horizontal="center" vertical="center"/>
    </xf>
    <xf numFmtId="17" fontId="15" fillId="5" borderId="8" xfId="0" applyNumberFormat="1" applyFont="1" applyFill="1" applyBorder="1" applyAlignment="1">
      <alignment horizontal="left" vertical="top" wrapText="1"/>
    </xf>
    <xf numFmtId="164" fontId="12" fillId="0" borderId="8" xfId="0" applyNumberFormat="1" applyFont="1" applyBorder="1" applyAlignment="1">
      <alignment horizontal="center" vertical="center"/>
    </xf>
    <xf numFmtId="0" fontId="3" fillId="2" borderId="9" xfId="0" applyFont="1" applyFill="1" applyBorder="1"/>
    <xf numFmtId="0" fontId="0" fillId="2" borderId="20" xfId="0" applyFill="1" applyBorder="1"/>
    <xf numFmtId="165" fontId="10" fillId="2" borderId="22" xfId="0" applyNumberFormat="1" applyFont="1" applyFill="1" applyBorder="1" applyAlignment="1">
      <alignment horizontal="center"/>
    </xf>
    <xf numFmtId="0" fontId="0" fillId="2" borderId="26" xfId="0" applyFill="1" applyBorder="1" applyAlignment="1">
      <alignment horizontal="center"/>
    </xf>
    <xf numFmtId="165" fontId="10" fillId="2" borderId="27" xfId="0" applyNumberFormat="1" applyFont="1" applyFill="1" applyBorder="1" applyAlignment="1">
      <alignment horizontal="center"/>
    </xf>
    <xf numFmtId="0" fontId="4" fillId="2" borderId="0" xfId="2" applyFill="1"/>
    <xf numFmtId="0" fontId="0" fillId="0" borderId="0" xfId="0"/>
    <xf numFmtId="0" fontId="3" fillId="2" borderId="31" xfId="0" applyFont="1" applyFill="1" applyBorder="1" applyAlignment="1">
      <alignment horizontal="center"/>
    </xf>
    <xf numFmtId="0" fontId="0" fillId="2" borderId="30" xfId="0" applyFill="1" applyBorder="1" applyAlignment="1">
      <alignment horizontal="center"/>
    </xf>
    <xf numFmtId="0" fontId="0" fillId="2" borderId="32" xfId="0" applyFill="1" applyBorder="1" applyAlignment="1">
      <alignment horizontal="center"/>
    </xf>
    <xf numFmtId="0" fontId="0" fillId="2" borderId="33" xfId="0" applyFill="1" applyBorder="1" applyAlignment="1">
      <alignment horizontal="center"/>
    </xf>
    <xf numFmtId="164" fontId="0" fillId="2" borderId="29" xfId="1" applyNumberFormat="1" applyFont="1" applyFill="1" applyBorder="1" applyAlignment="1">
      <alignment horizontal="center"/>
    </xf>
    <xf numFmtId="164" fontId="0" fillId="2" borderId="5" xfId="1" applyNumberFormat="1" applyFont="1" applyFill="1" applyBorder="1" applyAlignment="1">
      <alignment horizontal="center"/>
    </xf>
    <xf numFmtId="164" fontId="0" fillId="2" borderId="28" xfId="1" applyNumberFormat="1" applyFont="1" applyFill="1" applyBorder="1" applyAlignment="1">
      <alignment horizontal="center"/>
    </xf>
    <xf numFmtId="14" fontId="16" fillId="6" borderId="0" xfId="0" applyNumberFormat="1" applyFont="1" applyFill="1"/>
    <xf numFmtId="17" fontId="11" fillId="2" borderId="0" xfId="0" applyNumberFormat="1" applyFont="1" applyFill="1" applyAlignment="1">
      <alignment horizontal="left" vertical="top" wrapText="1"/>
    </xf>
    <xf numFmtId="0" fontId="3" fillId="2" borderId="0" xfId="0" applyFont="1" applyFill="1"/>
    <xf numFmtId="0" fontId="0" fillId="2" borderId="0" xfId="0" applyFill="1"/>
    <xf numFmtId="0" fontId="0" fillId="2" borderId="0" xfId="0" applyFill="1" applyAlignment="1">
      <alignment wrapText="1"/>
    </xf>
    <xf numFmtId="166" fontId="0" fillId="0" borderId="0" xfId="0" applyNumberFormat="1"/>
    <xf numFmtId="0" fontId="3" fillId="4" borderId="17" xfId="0" applyFont="1" applyFill="1" applyBorder="1" applyAlignment="1">
      <alignment horizontal="center"/>
    </xf>
    <xf numFmtId="0" fontId="0" fillId="0" borderId="2" xfId="0" applyBorder="1"/>
    <xf numFmtId="0" fontId="0" fillId="0" borderId="3" xfId="0" applyBorder="1"/>
    <xf numFmtId="0" fontId="3" fillId="4" borderId="18" xfId="0" applyFont="1" applyFill="1" applyBorder="1" applyAlignment="1">
      <alignment horizontal="center"/>
    </xf>
    <xf numFmtId="0" fontId="0" fillId="0" borderId="29" xfId="0" applyBorder="1"/>
    <xf numFmtId="0" fontId="3" fillId="4" borderId="21" xfId="0" applyFont="1" applyFill="1" applyBorder="1" applyAlignment="1">
      <alignment horizontal="center"/>
    </xf>
    <xf numFmtId="0" fontId="0" fillId="0" borderId="5" xfId="0" applyBorder="1"/>
    <xf numFmtId="0" fontId="3" fillId="2" borderId="1" xfId="0" applyFont="1" applyFill="1" applyBorder="1" applyAlignment="1">
      <alignment horizontal="center" vertical="center"/>
    </xf>
    <xf numFmtId="0" fontId="0" fillId="2" borderId="0" xfId="0" applyFill="1"/>
    <xf numFmtId="0" fontId="0" fillId="0" borderId="1" xfId="0" applyBorder="1"/>
    <xf numFmtId="0" fontId="2" fillId="3" borderId="17" xfId="0" applyFont="1" applyFill="1" applyBorder="1" applyAlignment="1">
      <alignment horizontal="center"/>
    </xf>
    <xf numFmtId="0" fontId="3" fillId="4" borderId="8" xfId="0" applyFont="1" applyFill="1" applyBorder="1" applyAlignment="1">
      <alignment horizontal="center"/>
    </xf>
    <xf numFmtId="0" fontId="0" fillId="0" borderId="4" xfId="0" applyBorder="1"/>
    <xf numFmtId="0" fontId="5" fillId="2" borderId="0" xfId="0" applyFont="1" applyFill="1" applyAlignment="1">
      <alignment wrapText="1"/>
    </xf>
    <xf numFmtId="0" fontId="0" fillId="2" borderId="0" xfId="0" applyFill="1" applyAlignment="1">
      <alignment wrapText="1"/>
    </xf>
    <xf numFmtId="0" fontId="4" fillId="2" borderId="0" xfId="2" applyFill="1" applyAlignment="1">
      <alignment wrapText="1"/>
    </xf>
    <xf numFmtId="0" fontId="3" fillId="2" borderId="0" xfId="0" applyFont="1" applyFill="1"/>
    <xf numFmtId="0" fontId="0" fillId="0" borderId="0" xfId="0" applyAlignment="1">
      <alignment vertical="center"/>
    </xf>
    <xf numFmtId="0" fontId="3" fillId="4" borderId="25" xfId="0" applyFont="1" applyFill="1" applyBorder="1" applyAlignment="1">
      <alignment horizontal="center"/>
    </xf>
    <xf numFmtId="0" fontId="0" fillId="0" borderId="28" xfId="0" applyBorder="1"/>
  </cellXfs>
  <cellStyles count="4">
    <cellStyle name="Hyperlink" xfId="2" builtinId="8"/>
    <cellStyle name="Normal" xfId="0" builtinId="0"/>
    <cellStyle name="Normal 3" xfId="3" xr:uid="{00000000-0005-0000-0000-000003000000}"/>
    <cellStyle name="Per cent" xfId="1" builtinId="5"/>
  </cellStyles>
  <dxfs count="130">
    <dxf>
      <font>
        <color rgb="FFFF0000"/>
      </font>
    </dxf>
    <dxf>
      <font>
        <color rgb="FF00B050"/>
      </font>
    </dxf>
    <dxf>
      <font>
        <color theme="0"/>
      </font>
      <fill>
        <patternFill>
          <bgColor rgb="FFFF0000"/>
        </patternFill>
      </fill>
    </dxf>
    <dxf>
      <font>
        <color theme="2"/>
      </font>
      <fill>
        <patternFill>
          <bgColor rgb="FF00B050"/>
        </patternFill>
      </fill>
    </dxf>
    <dxf>
      <fill>
        <patternFill>
          <bgColor rgb="FF92D050"/>
        </patternFill>
      </fill>
      <border>
        <vertical/>
        <horizontal/>
      </border>
    </dxf>
    <dxf>
      <font>
        <color theme="1"/>
      </font>
      <fill>
        <patternFill>
          <bgColor rgb="FFFF0000"/>
        </patternFill>
      </fill>
      <border>
        <vertical/>
        <horizontal/>
      </border>
    </dxf>
    <dxf>
      <fill>
        <patternFill>
          <bgColor rgb="FF92D050"/>
        </patternFill>
      </fill>
    </dxf>
    <dxf>
      <fill>
        <patternFill patternType="solid">
          <fgColor auto="1"/>
          <bgColor rgb="FFFF0000"/>
        </patternFill>
      </fill>
    </dxf>
    <dxf>
      <font>
        <color rgb="FF00B050"/>
      </font>
      <fill>
        <patternFill>
          <bgColor theme="0"/>
        </patternFill>
      </fill>
    </dxf>
    <dxf>
      <font>
        <color rgb="FFFF0000"/>
      </font>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b="1" baseline="0"/>
              <a:t>PMI Services</a:t>
            </a:r>
          </a:p>
        </c:rich>
      </c:tx>
      <c:layout>
        <c:manualLayout>
          <c:xMode val="edge"/>
          <c:yMode val="edge"/>
          <c:x val="0.40384417260333821"/>
          <c:y val="1.3728011873108849E-2"/>
        </c:manualLayout>
      </c:layout>
      <c:overlay val="0"/>
      <c:spPr>
        <a:noFill/>
        <a:ln>
          <a:noFill/>
          <a:prstDash val="solid"/>
        </a:ln>
      </c:spPr>
    </c:title>
    <c:autoTitleDeleted val="0"/>
    <c:plotArea>
      <c:layout/>
      <c:lineChart>
        <c:grouping val="standard"/>
        <c:varyColors val="0"/>
        <c:ser>
          <c:idx val="0"/>
          <c:order val="0"/>
          <c:tx>
            <c:strRef>
              <c:f>Summary!$C$2</c:f>
              <c:strCache>
                <c:ptCount val="1"/>
                <c:pt idx="0">
                  <c:v>Global</c:v>
                </c:pt>
              </c:strCache>
            </c:strRef>
          </c:tx>
          <c:spPr>
            <a:ln w="28575" cap="rnd">
              <a:solidFill>
                <a:schemeClr val="accent1"/>
              </a:solidFill>
              <a:prstDash val="solid"/>
              <a:round/>
            </a:ln>
          </c:spPr>
          <c:marker>
            <c:symbol val="none"/>
          </c:marker>
          <c:cat>
            <c:numRef>
              <c:f>Summary!$B$46:$B$89</c:f>
              <c:numCache>
                <c:formatCode>mmm\-yy</c:formatCode>
                <c:ptCount val="44"/>
                <c:pt idx="0">
                  <c:v>43101</c:v>
                </c:pt>
                <c:pt idx="1">
                  <c:v>43132</c:v>
                </c:pt>
                <c:pt idx="2">
                  <c:v>43160</c:v>
                </c:pt>
                <c:pt idx="3">
                  <c:v>43191</c:v>
                </c:pt>
                <c:pt idx="4">
                  <c:v>43221</c:v>
                </c:pt>
                <c:pt idx="5">
                  <c:v>43252</c:v>
                </c:pt>
                <c:pt idx="6">
                  <c:v>43282</c:v>
                </c:pt>
                <c:pt idx="7">
                  <c:v>43313</c:v>
                </c:pt>
                <c:pt idx="8">
                  <c:v>43344</c:v>
                </c:pt>
                <c:pt idx="9">
                  <c:v>43374</c:v>
                </c:pt>
                <c:pt idx="10">
                  <c:v>43405</c:v>
                </c:pt>
                <c:pt idx="11">
                  <c:v>43435</c:v>
                </c:pt>
                <c:pt idx="12">
                  <c:v>43466</c:v>
                </c:pt>
                <c:pt idx="13">
                  <c:v>43497</c:v>
                </c:pt>
                <c:pt idx="14">
                  <c:v>43525</c:v>
                </c:pt>
                <c:pt idx="15">
                  <c:v>43556</c:v>
                </c:pt>
                <c:pt idx="16">
                  <c:v>43586</c:v>
                </c:pt>
                <c:pt idx="17">
                  <c:v>43617</c:v>
                </c:pt>
                <c:pt idx="18">
                  <c:v>43647</c:v>
                </c:pt>
                <c:pt idx="19">
                  <c:v>43678</c:v>
                </c:pt>
                <c:pt idx="20">
                  <c:v>43709</c:v>
                </c:pt>
                <c:pt idx="21">
                  <c:v>43739</c:v>
                </c:pt>
                <c:pt idx="22">
                  <c:v>43770</c:v>
                </c:pt>
                <c:pt idx="23">
                  <c:v>43800</c:v>
                </c:pt>
                <c:pt idx="24">
                  <c:v>43831</c:v>
                </c:pt>
                <c:pt idx="25">
                  <c:v>43862</c:v>
                </c:pt>
                <c:pt idx="26">
                  <c:v>43891</c:v>
                </c:pt>
                <c:pt idx="27">
                  <c:v>43922</c:v>
                </c:pt>
                <c:pt idx="28">
                  <c:v>43952</c:v>
                </c:pt>
                <c:pt idx="29">
                  <c:v>43983</c:v>
                </c:pt>
                <c:pt idx="30">
                  <c:v>44013</c:v>
                </c:pt>
                <c:pt idx="31">
                  <c:v>44044</c:v>
                </c:pt>
                <c:pt idx="32">
                  <c:v>44075</c:v>
                </c:pt>
                <c:pt idx="33">
                  <c:v>44105</c:v>
                </c:pt>
                <c:pt idx="34">
                  <c:v>44136</c:v>
                </c:pt>
                <c:pt idx="35">
                  <c:v>44166</c:v>
                </c:pt>
                <c:pt idx="36">
                  <c:v>44197</c:v>
                </c:pt>
                <c:pt idx="37">
                  <c:v>44228</c:v>
                </c:pt>
                <c:pt idx="38">
                  <c:v>44256</c:v>
                </c:pt>
                <c:pt idx="39">
                  <c:v>44287</c:v>
                </c:pt>
                <c:pt idx="40">
                  <c:v>44317</c:v>
                </c:pt>
                <c:pt idx="41">
                  <c:v>44348</c:v>
                </c:pt>
                <c:pt idx="42">
                  <c:v>44378</c:v>
                </c:pt>
                <c:pt idx="43">
                  <c:v>44409</c:v>
                </c:pt>
              </c:numCache>
            </c:numRef>
          </c:cat>
          <c:val>
            <c:numRef>
              <c:f>Summary!$C$46:$C$89</c:f>
              <c:numCache>
                <c:formatCode>0.0</c:formatCode>
                <c:ptCount val="44"/>
                <c:pt idx="0">
                  <c:v>54.1</c:v>
                </c:pt>
                <c:pt idx="1">
                  <c:v>54.8</c:v>
                </c:pt>
                <c:pt idx="2">
                  <c:v>53.2</c:v>
                </c:pt>
                <c:pt idx="3">
                  <c:v>53.8</c:v>
                </c:pt>
                <c:pt idx="4">
                  <c:v>54.3</c:v>
                </c:pt>
                <c:pt idx="5">
                  <c:v>54.6</c:v>
                </c:pt>
                <c:pt idx="6">
                  <c:v>54</c:v>
                </c:pt>
                <c:pt idx="7">
                  <c:v>53.5</c:v>
                </c:pt>
                <c:pt idx="8">
                  <c:v>52.9</c:v>
                </c:pt>
                <c:pt idx="9">
                  <c:v>53.4</c:v>
                </c:pt>
                <c:pt idx="10">
                  <c:v>53.7</c:v>
                </c:pt>
                <c:pt idx="11">
                  <c:v>53</c:v>
                </c:pt>
                <c:pt idx="12">
                  <c:v>52.6</c:v>
                </c:pt>
                <c:pt idx="13">
                  <c:v>53.3</c:v>
                </c:pt>
                <c:pt idx="14">
                  <c:v>53.7</c:v>
                </c:pt>
                <c:pt idx="15">
                  <c:v>52.7</c:v>
                </c:pt>
                <c:pt idx="16">
                  <c:v>51.6</c:v>
                </c:pt>
                <c:pt idx="17">
                  <c:v>51.9</c:v>
                </c:pt>
                <c:pt idx="18">
                  <c:v>52.5</c:v>
                </c:pt>
                <c:pt idx="19">
                  <c:v>51.8</c:v>
                </c:pt>
                <c:pt idx="20">
                  <c:v>51.6</c:v>
                </c:pt>
                <c:pt idx="21">
                  <c:v>51</c:v>
                </c:pt>
                <c:pt idx="22">
                  <c:v>51.6</c:v>
                </c:pt>
                <c:pt idx="23">
                  <c:v>52</c:v>
                </c:pt>
                <c:pt idx="24">
                  <c:v>52.7</c:v>
                </c:pt>
                <c:pt idx="25">
                  <c:v>47.1</c:v>
                </c:pt>
                <c:pt idx="26">
                  <c:v>36.799999999999997</c:v>
                </c:pt>
                <c:pt idx="27">
                  <c:v>24</c:v>
                </c:pt>
                <c:pt idx="28">
                  <c:v>35.1</c:v>
                </c:pt>
                <c:pt idx="29">
                  <c:v>48</c:v>
                </c:pt>
                <c:pt idx="30">
                  <c:v>50.6</c:v>
                </c:pt>
                <c:pt idx="31">
                  <c:v>52</c:v>
                </c:pt>
                <c:pt idx="32">
                  <c:v>52</c:v>
                </c:pt>
                <c:pt idx="33">
                  <c:v>52.9</c:v>
                </c:pt>
                <c:pt idx="34">
                  <c:v>52.2</c:v>
                </c:pt>
                <c:pt idx="35">
                  <c:v>51.8</c:v>
                </c:pt>
                <c:pt idx="36">
                  <c:v>51.6</c:v>
                </c:pt>
                <c:pt idx="37">
                  <c:v>52.8</c:v>
                </c:pt>
                <c:pt idx="38">
                  <c:v>54.7</c:v>
                </c:pt>
                <c:pt idx="39">
                  <c:v>57</c:v>
                </c:pt>
                <c:pt idx="40">
                  <c:v>59.5</c:v>
                </c:pt>
                <c:pt idx="41">
                  <c:v>57.4</c:v>
                </c:pt>
                <c:pt idx="42">
                  <c:v>56.3</c:v>
                </c:pt>
                <c:pt idx="43">
                  <c:v>52.8</c:v>
                </c:pt>
              </c:numCache>
            </c:numRef>
          </c:val>
          <c:smooth val="0"/>
          <c:extLst>
            <c:ext xmlns:c16="http://schemas.microsoft.com/office/drawing/2014/chart" uri="{C3380CC4-5D6E-409C-BE32-E72D297353CC}">
              <c16:uniqueId val="{00000000-E3D4-CA4A-AA0C-D1FDB9F05D14}"/>
            </c:ext>
          </c:extLst>
        </c:ser>
        <c:ser>
          <c:idx val="1"/>
          <c:order val="1"/>
          <c:tx>
            <c:strRef>
              <c:f>Summary!$D$2</c:f>
              <c:strCache>
                <c:ptCount val="1"/>
                <c:pt idx="0">
                  <c:v>US</c:v>
                </c:pt>
              </c:strCache>
            </c:strRef>
          </c:tx>
          <c:spPr>
            <a:ln w="28575" cap="rnd">
              <a:solidFill>
                <a:schemeClr val="accent2"/>
              </a:solidFill>
              <a:prstDash val="solid"/>
              <a:round/>
            </a:ln>
          </c:spPr>
          <c:marker>
            <c:symbol val="none"/>
          </c:marker>
          <c:cat>
            <c:numRef>
              <c:f>Summary!$B$46:$B$89</c:f>
              <c:numCache>
                <c:formatCode>mmm\-yy</c:formatCode>
                <c:ptCount val="44"/>
                <c:pt idx="0">
                  <c:v>43101</c:v>
                </c:pt>
                <c:pt idx="1">
                  <c:v>43132</c:v>
                </c:pt>
                <c:pt idx="2">
                  <c:v>43160</c:v>
                </c:pt>
                <c:pt idx="3">
                  <c:v>43191</c:v>
                </c:pt>
                <c:pt idx="4">
                  <c:v>43221</c:v>
                </c:pt>
                <c:pt idx="5">
                  <c:v>43252</c:v>
                </c:pt>
                <c:pt idx="6">
                  <c:v>43282</c:v>
                </c:pt>
                <c:pt idx="7">
                  <c:v>43313</c:v>
                </c:pt>
                <c:pt idx="8">
                  <c:v>43344</c:v>
                </c:pt>
                <c:pt idx="9">
                  <c:v>43374</c:v>
                </c:pt>
                <c:pt idx="10">
                  <c:v>43405</c:v>
                </c:pt>
                <c:pt idx="11">
                  <c:v>43435</c:v>
                </c:pt>
                <c:pt idx="12">
                  <c:v>43466</c:v>
                </c:pt>
                <c:pt idx="13">
                  <c:v>43497</c:v>
                </c:pt>
                <c:pt idx="14">
                  <c:v>43525</c:v>
                </c:pt>
                <c:pt idx="15">
                  <c:v>43556</c:v>
                </c:pt>
                <c:pt idx="16">
                  <c:v>43586</c:v>
                </c:pt>
                <c:pt idx="17">
                  <c:v>43617</c:v>
                </c:pt>
                <c:pt idx="18">
                  <c:v>43647</c:v>
                </c:pt>
                <c:pt idx="19">
                  <c:v>43678</c:v>
                </c:pt>
                <c:pt idx="20">
                  <c:v>43709</c:v>
                </c:pt>
                <c:pt idx="21">
                  <c:v>43739</c:v>
                </c:pt>
                <c:pt idx="22">
                  <c:v>43770</c:v>
                </c:pt>
                <c:pt idx="23">
                  <c:v>43800</c:v>
                </c:pt>
                <c:pt idx="24">
                  <c:v>43831</c:v>
                </c:pt>
                <c:pt idx="25">
                  <c:v>43862</c:v>
                </c:pt>
                <c:pt idx="26">
                  <c:v>43891</c:v>
                </c:pt>
                <c:pt idx="27">
                  <c:v>43922</c:v>
                </c:pt>
                <c:pt idx="28">
                  <c:v>43952</c:v>
                </c:pt>
                <c:pt idx="29">
                  <c:v>43983</c:v>
                </c:pt>
                <c:pt idx="30">
                  <c:v>44013</c:v>
                </c:pt>
                <c:pt idx="31">
                  <c:v>44044</c:v>
                </c:pt>
                <c:pt idx="32">
                  <c:v>44075</c:v>
                </c:pt>
                <c:pt idx="33">
                  <c:v>44105</c:v>
                </c:pt>
                <c:pt idx="34">
                  <c:v>44136</c:v>
                </c:pt>
                <c:pt idx="35">
                  <c:v>44166</c:v>
                </c:pt>
                <c:pt idx="36">
                  <c:v>44197</c:v>
                </c:pt>
                <c:pt idx="37">
                  <c:v>44228</c:v>
                </c:pt>
                <c:pt idx="38">
                  <c:v>44256</c:v>
                </c:pt>
                <c:pt idx="39">
                  <c:v>44287</c:v>
                </c:pt>
                <c:pt idx="40">
                  <c:v>44317</c:v>
                </c:pt>
                <c:pt idx="41">
                  <c:v>44348</c:v>
                </c:pt>
                <c:pt idx="42">
                  <c:v>44378</c:v>
                </c:pt>
                <c:pt idx="43">
                  <c:v>44409</c:v>
                </c:pt>
              </c:numCache>
            </c:numRef>
          </c:cat>
          <c:val>
            <c:numRef>
              <c:f>Summary!$D$46:$D$89</c:f>
              <c:numCache>
                <c:formatCode>0.0</c:formatCode>
                <c:ptCount val="44"/>
                <c:pt idx="0">
                  <c:v>53.3</c:v>
                </c:pt>
                <c:pt idx="1">
                  <c:v>55.9</c:v>
                </c:pt>
                <c:pt idx="2">
                  <c:v>54</c:v>
                </c:pt>
                <c:pt idx="3">
                  <c:v>54.6</c:v>
                </c:pt>
                <c:pt idx="4">
                  <c:v>56.8</c:v>
                </c:pt>
                <c:pt idx="5">
                  <c:v>56.5</c:v>
                </c:pt>
                <c:pt idx="6">
                  <c:v>56</c:v>
                </c:pt>
                <c:pt idx="7">
                  <c:v>55.2</c:v>
                </c:pt>
                <c:pt idx="8">
                  <c:v>52.9</c:v>
                </c:pt>
                <c:pt idx="9">
                  <c:v>54.8</c:v>
                </c:pt>
                <c:pt idx="10">
                  <c:v>54.4</c:v>
                </c:pt>
                <c:pt idx="11">
                  <c:v>54.4</c:v>
                </c:pt>
                <c:pt idx="12">
                  <c:v>54.2</c:v>
                </c:pt>
                <c:pt idx="13">
                  <c:v>56.2</c:v>
                </c:pt>
                <c:pt idx="14">
                  <c:v>54.8</c:v>
                </c:pt>
                <c:pt idx="15">
                  <c:v>53</c:v>
                </c:pt>
                <c:pt idx="16">
                  <c:v>50.9</c:v>
                </c:pt>
                <c:pt idx="17">
                  <c:v>51.5</c:v>
                </c:pt>
                <c:pt idx="18">
                  <c:v>53</c:v>
                </c:pt>
                <c:pt idx="19">
                  <c:v>50.7</c:v>
                </c:pt>
                <c:pt idx="20">
                  <c:v>50.9</c:v>
                </c:pt>
                <c:pt idx="21">
                  <c:v>50.6</c:v>
                </c:pt>
                <c:pt idx="22">
                  <c:v>51.6</c:v>
                </c:pt>
                <c:pt idx="23">
                  <c:v>52.8</c:v>
                </c:pt>
                <c:pt idx="24">
                  <c:v>53.4</c:v>
                </c:pt>
                <c:pt idx="25">
                  <c:v>49.4</c:v>
                </c:pt>
                <c:pt idx="26">
                  <c:v>39.799999999999997</c:v>
                </c:pt>
                <c:pt idx="27">
                  <c:v>26.7</c:v>
                </c:pt>
                <c:pt idx="28">
                  <c:v>37.5</c:v>
                </c:pt>
                <c:pt idx="29">
                  <c:v>47.9</c:v>
                </c:pt>
                <c:pt idx="30">
                  <c:v>50</c:v>
                </c:pt>
                <c:pt idx="31">
                  <c:v>55</c:v>
                </c:pt>
                <c:pt idx="32">
                  <c:v>54.6</c:v>
                </c:pt>
                <c:pt idx="33">
                  <c:v>56.9</c:v>
                </c:pt>
                <c:pt idx="34">
                  <c:v>58.4</c:v>
                </c:pt>
                <c:pt idx="35">
                  <c:v>54.8</c:v>
                </c:pt>
                <c:pt idx="36">
                  <c:v>58.3</c:v>
                </c:pt>
                <c:pt idx="37">
                  <c:v>59.8</c:v>
                </c:pt>
                <c:pt idx="38">
                  <c:v>60.4</c:v>
                </c:pt>
                <c:pt idx="39">
                  <c:v>64.7</c:v>
                </c:pt>
                <c:pt idx="40">
                  <c:v>70.400000000000006</c:v>
                </c:pt>
                <c:pt idx="41">
                  <c:v>64.599999999999994</c:v>
                </c:pt>
                <c:pt idx="42">
                  <c:v>59.9</c:v>
                </c:pt>
                <c:pt idx="43">
                  <c:v>55.1</c:v>
                </c:pt>
              </c:numCache>
            </c:numRef>
          </c:val>
          <c:smooth val="0"/>
          <c:extLst>
            <c:ext xmlns:c16="http://schemas.microsoft.com/office/drawing/2014/chart" uri="{C3380CC4-5D6E-409C-BE32-E72D297353CC}">
              <c16:uniqueId val="{00000001-E3D4-CA4A-AA0C-D1FDB9F05D14}"/>
            </c:ext>
          </c:extLst>
        </c:ser>
        <c:ser>
          <c:idx val="2"/>
          <c:order val="2"/>
          <c:tx>
            <c:strRef>
              <c:f>Summary!$E$2</c:f>
              <c:strCache>
                <c:ptCount val="1"/>
                <c:pt idx="0">
                  <c:v>China </c:v>
                </c:pt>
              </c:strCache>
            </c:strRef>
          </c:tx>
          <c:spPr>
            <a:ln w="28575" cap="rnd">
              <a:solidFill>
                <a:schemeClr val="accent3"/>
              </a:solidFill>
              <a:prstDash val="solid"/>
              <a:round/>
            </a:ln>
          </c:spPr>
          <c:marker>
            <c:symbol val="none"/>
          </c:marker>
          <c:cat>
            <c:numRef>
              <c:f>Summary!$B$46:$B$89</c:f>
              <c:numCache>
                <c:formatCode>mmm\-yy</c:formatCode>
                <c:ptCount val="44"/>
                <c:pt idx="0">
                  <c:v>43101</c:v>
                </c:pt>
                <c:pt idx="1">
                  <c:v>43132</c:v>
                </c:pt>
                <c:pt idx="2">
                  <c:v>43160</c:v>
                </c:pt>
                <c:pt idx="3">
                  <c:v>43191</c:v>
                </c:pt>
                <c:pt idx="4">
                  <c:v>43221</c:v>
                </c:pt>
                <c:pt idx="5">
                  <c:v>43252</c:v>
                </c:pt>
                <c:pt idx="6">
                  <c:v>43282</c:v>
                </c:pt>
                <c:pt idx="7">
                  <c:v>43313</c:v>
                </c:pt>
                <c:pt idx="8">
                  <c:v>43344</c:v>
                </c:pt>
                <c:pt idx="9">
                  <c:v>43374</c:v>
                </c:pt>
                <c:pt idx="10">
                  <c:v>43405</c:v>
                </c:pt>
                <c:pt idx="11">
                  <c:v>43435</c:v>
                </c:pt>
                <c:pt idx="12">
                  <c:v>43466</c:v>
                </c:pt>
                <c:pt idx="13">
                  <c:v>43497</c:v>
                </c:pt>
                <c:pt idx="14">
                  <c:v>43525</c:v>
                </c:pt>
                <c:pt idx="15">
                  <c:v>43556</c:v>
                </c:pt>
                <c:pt idx="16">
                  <c:v>43586</c:v>
                </c:pt>
                <c:pt idx="17">
                  <c:v>43617</c:v>
                </c:pt>
                <c:pt idx="18">
                  <c:v>43647</c:v>
                </c:pt>
                <c:pt idx="19">
                  <c:v>43678</c:v>
                </c:pt>
                <c:pt idx="20">
                  <c:v>43709</c:v>
                </c:pt>
                <c:pt idx="21">
                  <c:v>43739</c:v>
                </c:pt>
                <c:pt idx="22">
                  <c:v>43770</c:v>
                </c:pt>
                <c:pt idx="23">
                  <c:v>43800</c:v>
                </c:pt>
                <c:pt idx="24">
                  <c:v>43831</c:v>
                </c:pt>
                <c:pt idx="25">
                  <c:v>43862</c:v>
                </c:pt>
                <c:pt idx="26">
                  <c:v>43891</c:v>
                </c:pt>
                <c:pt idx="27">
                  <c:v>43922</c:v>
                </c:pt>
                <c:pt idx="28">
                  <c:v>43952</c:v>
                </c:pt>
                <c:pt idx="29">
                  <c:v>43983</c:v>
                </c:pt>
                <c:pt idx="30">
                  <c:v>44013</c:v>
                </c:pt>
                <c:pt idx="31">
                  <c:v>44044</c:v>
                </c:pt>
                <c:pt idx="32">
                  <c:v>44075</c:v>
                </c:pt>
                <c:pt idx="33">
                  <c:v>44105</c:v>
                </c:pt>
                <c:pt idx="34">
                  <c:v>44136</c:v>
                </c:pt>
                <c:pt idx="35">
                  <c:v>44166</c:v>
                </c:pt>
                <c:pt idx="36">
                  <c:v>44197</c:v>
                </c:pt>
                <c:pt idx="37">
                  <c:v>44228</c:v>
                </c:pt>
                <c:pt idx="38">
                  <c:v>44256</c:v>
                </c:pt>
                <c:pt idx="39">
                  <c:v>44287</c:v>
                </c:pt>
                <c:pt idx="40">
                  <c:v>44317</c:v>
                </c:pt>
                <c:pt idx="41">
                  <c:v>44348</c:v>
                </c:pt>
                <c:pt idx="42">
                  <c:v>44378</c:v>
                </c:pt>
                <c:pt idx="43">
                  <c:v>44409</c:v>
                </c:pt>
              </c:numCache>
            </c:numRef>
          </c:cat>
          <c:val>
            <c:numRef>
              <c:f>Summary!$E$46:$E$89</c:f>
              <c:numCache>
                <c:formatCode>0.0</c:formatCode>
                <c:ptCount val="44"/>
                <c:pt idx="0">
                  <c:v>54.7</c:v>
                </c:pt>
                <c:pt idx="1">
                  <c:v>54.2</c:v>
                </c:pt>
                <c:pt idx="2">
                  <c:v>52.3</c:v>
                </c:pt>
                <c:pt idx="3">
                  <c:v>52.9</c:v>
                </c:pt>
                <c:pt idx="4">
                  <c:v>52.9</c:v>
                </c:pt>
                <c:pt idx="5">
                  <c:v>53.9</c:v>
                </c:pt>
                <c:pt idx="6">
                  <c:v>52.8</c:v>
                </c:pt>
                <c:pt idx="7">
                  <c:v>51.5</c:v>
                </c:pt>
                <c:pt idx="8">
                  <c:v>53.1</c:v>
                </c:pt>
                <c:pt idx="9">
                  <c:v>50.8</c:v>
                </c:pt>
                <c:pt idx="10">
                  <c:v>53.8</c:v>
                </c:pt>
                <c:pt idx="11">
                  <c:v>53.9</c:v>
                </c:pt>
                <c:pt idx="12">
                  <c:v>53.6</c:v>
                </c:pt>
                <c:pt idx="13">
                  <c:v>51.1</c:v>
                </c:pt>
                <c:pt idx="14">
                  <c:v>54.4</c:v>
                </c:pt>
                <c:pt idx="15">
                  <c:v>54.5</c:v>
                </c:pt>
                <c:pt idx="16">
                  <c:v>52.7</c:v>
                </c:pt>
                <c:pt idx="17">
                  <c:v>52</c:v>
                </c:pt>
                <c:pt idx="18">
                  <c:v>51.6</c:v>
                </c:pt>
                <c:pt idx="19">
                  <c:v>52.1</c:v>
                </c:pt>
                <c:pt idx="20">
                  <c:v>51.3</c:v>
                </c:pt>
                <c:pt idx="21">
                  <c:v>51.1</c:v>
                </c:pt>
                <c:pt idx="22">
                  <c:v>53.5</c:v>
                </c:pt>
                <c:pt idx="23">
                  <c:v>52.5</c:v>
                </c:pt>
                <c:pt idx="24">
                  <c:v>51.8</c:v>
                </c:pt>
                <c:pt idx="25">
                  <c:v>26.5</c:v>
                </c:pt>
                <c:pt idx="26">
                  <c:v>43</c:v>
                </c:pt>
                <c:pt idx="27">
                  <c:v>44.4</c:v>
                </c:pt>
                <c:pt idx="28">
                  <c:v>55</c:v>
                </c:pt>
                <c:pt idx="29">
                  <c:v>58.4</c:v>
                </c:pt>
                <c:pt idx="30">
                  <c:v>54.1</c:v>
                </c:pt>
                <c:pt idx="31">
                  <c:v>54</c:v>
                </c:pt>
                <c:pt idx="32">
                  <c:v>54.8</c:v>
                </c:pt>
                <c:pt idx="33">
                  <c:v>56.8</c:v>
                </c:pt>
                <c:pt idx="34">
                  <c:v>57.8</c:v>
                </c:pt>
                <c:pt idx="35">
                  <c:v>56.3</c:v>
                </c:pt>
                <c:pt idx="36">
                  <c:v>52</c:v>
                </c:pt>
                <c:pt idx="37">
                  <c:v>51.5</c:v>
                </c:pt>
                <c:pt idx="38">
                  <c:v>54.3</c:v>
                </c:pt>
                <c:pt idx="39">
                  <c:v>56.3</c:v>
                </c:pt>
                <c:pt idx="40">
                  <c:v>55.1</c:v>
                </c:pt>
                <c:pt idx="41">
                  <c:v>50.3</c:v>
                </c:pt>
                <c:pt idx="42">
                  <c:v>54.9</c:v>
                </c:pt>
                <c:pt idx="43">
                  <c:v>46.7</c:v>
                </c:pt>
              </c:numCache>
            </c:numRef>
          </c:val>
          <c:smooth val="0"/>
          <c:extLst>
            <c:ext xmlns:c16="http://schemas.microsoft.com/office/drawing/2014/chart" uri="{C3380CC4-5D6E-409C-BE32-E72D297353CC}">
              <c16:uniqueId val="{00000002-E3D4-CA4A-AA0C-D1FDB9F05D14}"/>
            </c:ext>
          </c:extLst>
        </c:ser>
        <c:ser>
          <c:idx val="3"/>
          <c:order val="3"/>
          <c:tx>
            <c:strRef>
              <c:f>Summary!$F$2</c:f>
              <c:strCache>
                <c:ptCount val="1"/>
                <c:pt idx="0">
                  <c:v>Eurozone</c:v>
                </c:pt>
              </c:strCache>
            </c:strRef>
          </c:tx>
          <c:spPr>
            <a:ln w="28575" cap="rnd">
              <a:solidFill>
                <a:schemeClr val="accent4"/>
              </a:solidFill>
              <a:prstDash val="solid"/>
              <a:round/>
            </a:ln>
          </c:spPr>
          <c:marker>
            <c:symbol val="none"/>
          </c:marker>
          <c:cat>
            <c:numRef>
              <c:f>Summary!$B$46:$B$89</c:f>
              <c:numCache>
                <c:formatCode>mmm\-yy</c:formatCode>
                <c:ptCount val="44"/>
                <c:pt idx="0">
                  <c:v>43101</c:v>
                </c:pt>
                <c:pt idx="1">
                  <c:v>43132</c:v>
                </c:pt>
                <c:pt idx="2">
                  <c:v>43160</c:v>
                </c:pt>
                <c:pt idx="3">
                  <c:v>43191</c:v>
                </c:pt>
                <c:pt idx="4">
                  <c:v>43221</c:v>
                </c:pt>
                <c:pt idx="5">
                  <c:v>43252</c:v>
                </c:pt>
                <c:pt idx="6">
                  <c:v>43282</c:v>
                </c:pt>
                <c:pt idx="7">
                  <c:v>43313</c:v>
                </c:pt>
                <c:pt idx="8">
                  <c:v>43344</c:v>
                </c:pt>
                <c:pt idx="9">
                  <c:v>43374</c:v>
                </c:pt>
                <c:pt idx="10">
                  <c:v>43405</c:v>
                </c:pt>
                <c:pt idx="11">
                  <c:v>43435</c:v>
                </c:pt>
                <c:pt idx="12">
                  <c:v>43466</c:v>
                </c:pt>
                <c:pt idx="13">
                  <c:v>43497</c:v>
                </c:pt>
                <c:pt idx="14">
                  <c:v>43525</c:v>
                </c:pt>
                <c:pt idx="15">
                  <c:v>43556</c:v>
                </c:pt>
                <c:pt idx="16">
                  <c:v>43586</c:v>
                </c:pt>
                <c:pt idx="17">
                  <c:v>43617</c:v>
                </c:pt>
                <c:pt idx="18">
                  <c:v>43647</c:v>
                </c:pt>
                <c:pt idx="19">
                  <c:v>43678</c:v>
                </c:pt>
                <c:pt idx="20">
                  <c:v>43709</c:v>
                </c:pt>
                <c:pt idx="21">
                  <c:v>43739</c:v>
                </c:pt>
                <c:pt idx="22">
                  <c:v>43770</c:v>
                </c:pt>
                <c:pt idx="23">
                  <c:v>43800</c:v>
                </c:pt>
                <c:pt idx="24">
                  <c:v>43831</c:v>
                </c:pt>
                <c:pt idx="25">
                  <c:v>43862</c:v>
                </c:pt>
                <c:pt idx="26">
                  <c:v>43891</c:v>
                </c:pt>
                <c:pt idx="27">
                  <c:v>43922</c:v>
                </c:pt>
                <c:pt idx="28">
                  <c:v>43952</c:v>
                </c:pt>
                <c:pt idx="29">
                  <c:v>43983</c:v>
                </c:pt>
                <c:pt idx="30">
                  <c:v>44013</c:v>
                </c:pt>
                <c:pt idx="31">
                  <c:v>44044</c:v>
                </c:pt>
                <c:pt idx="32">
                  <c:v>44075</c:v>
                </c:pt>
                <c:pt idx="33">
                  <c:v>44105</c:v>
                </c:pt>
                <c:pt idx="34">
                  <c:v>44136</c:v>
                </c:pt>
                <c:pt idx="35">
                  <c:v>44166</c:v>
                </c:pt>
                <c:pt idx="36">
                  <c:v>44197</c:v>
                </c:pt>
                <c:pt idx="37">
                  <c:v>44228</c:v>
                </c:pt>
                <c:pt idx="38">
                  <c:v>44256</c:v>
                </c:pt>
                <c:pt idx="39">
                  <c:v>44287</c:v>
                </c:pt>
                <c:pt idx="40">
                  <c:v>44317</c:v>
                </c:pt>
                <c:pt idx="41">
                  <c:v>44348</c:v>
                </c:pt>
                <c:pt idx="42">
                  <c:v>44378</c:v>
                </c:pt>
                <c:pt idx="43">
                  <c:v>44409</c:v>
                </c:pt>
              </c:numCache>
            </c:numRef>
          </c:cat>
          <c:val>
            <c:numRef>
              <c:f>Summary!$F$46:$F$89</c:f>
              <c:numCache>
                <c:formatCode>0.0</c:formatCode>
                <c:ptCount val="44"/>
                <c:pt idx="0">
                  <c:v>58</c:v>
                </c:pt>
                <c:pt idx="1">
                  <c:v>56.2</c:v>
                </c:pt>
                <c:pt idx="2">
                  <c:v>54.9</c:v>
                </c:pt>
                <c:pt idx="3">
                  <c:v>54.7</c:v>
                </c:pt>
                <c:pt idx="4">
                  <c:v>53.8</c:v>
                </c:pt>
                <c:pt idx="5">
                  <c:v>55.2</c:v>
                </c:pt>
                <c:pt idx="6">
                  <c:v>54.2</c:v>
                </c:pt>
                <c:pt idx="7">
                  <c:v>54.4</c:v>
                </c:pt>
                <c:pt idx="8">
                  <c:v>54.7</c:v>
                </c:pt>
                <c:pt idx="9">
                  <c:v>53.7</c:v>
                </c:pt>
                <c:pt idx="10">
                  <c:v>53.4</c:v>
                </c:pt>
                <c:pt idx="11">
                  <c:v>51.2</c:v>
                </c:pt>
                <c:pt idx="12">
                  <c:v>51.2</c:v>
                </c:pt>
                <c:pt idx="13">
                  <c:v>52.8</c:v>
                </c:pt>
                <c:pt idx="14">
                  <c:v>53.3</c:v>
                </c:pt>
                <c:pt idx="15">
                  <c:v>52.8</c:v>
                </c:pt>
                <c:pt idx="16">
                  <c:v>52.9</c:v>
                </c:pt>
                <c:pt idx="17">
                  <c:v>53.6</c:v>
                </c:pt>
                <c:pt idx="18">
                  <c:v>53.2</c:v>
                </c:pt>
                <c:pt idx="19">
                  <c:v>53.5</c:v>
                </c:pt>
                <c:pt idx="20">
                  <c:v>51.6</c:v>
                </c:pt>
                <c:pt idx="21">
                  <c:v>52.2</c:v>
                </c:pt>
                <c:pt idx="22">
                  <c:v>51.9</c:v>
                </c:pt>
                <c:pt idx="23">
                  <c:v>52.8</c:v>
                </c:pt>
                <c:pt idx="24">
                  <c:v>52.5</c:v>
                </c:pt>
                <c:pt idx="25">
                  <c:v>52.6</c:v>
                </c:pt>
                <c:pt idx="26">
                  <c:v>26.4</c:v>
                </c:pt>
                <c:pt idx="27">
                  <c:v>12</c:v>
                </c:pt>
                <c:pt idx="28">
                  <c:v>30.5</c:v>
                </c:pt>
                <c:pt idx="29">
                  <c:v>48.3</c:v>
                </c:pt>
                <c:pt idx="30">
                  <c:v>54.7</c:v>
                </c:pt>
                <c:pt idx="31">
                  <c:v>50.5</c:v>
                </c:pt>
                <c:pt idx="32">
                  <c:v>48</c:v>
                </c:pt>
                <c:pt idx="33">
                  <c:v>46.9</c:v>
                </c:pt>
                <c:pt idx="34">
                  <c:v>41.7</c:v>
                </c:pt>
                <c:pt idx="35">
                  <c:v>46.4</c:v>
                </c:pt>
                <c:pt idx="36">
                  <c:v>45.4</c:v>
                </c:pt>
                <c:pt idx="37">
                  <c:v>45.7</c:v>
                </c:pt>
                <c:pt idx="38">
                  <c:v>49.6</c:v>
                </c:pt>
                <c:pt idx="39">
                  <c:v>50.5</c:v>
                </c:pt>
                <c:pt idx="40">
                  <c:v>55.2</c:v>
                </c:pt>
                <c:pt idx="41">
                  <c:v>58.3</c:v>
                </c:pt>
                <c:pt idx="42">
                  <c:v>59.8</c:v>
                </c:pt>
                <c:pt idx="43">
                  <c:v>59</c:v>
                </c:pt>
              </c:numCache>
            </c:numRef>
          </c:val>
          <c:smooth val="0"/>
          <c:extLst>
            <c:ext xmlns:c16="http://schemas.microsoft.com/office/drawing/2014/chart" uri="{C3380CC4-5D6E-409C-BE32-E72D297353CC}">
              <c16:uniqueId val="{00000003-E3D4-CA4A-AA0C-D1FDB9F05D14}"/>
            </c:ext>
          </c:extLst>
        </c:ser>
        <c:ser>
          <c:idx val="4"/>
          <c:order val="4"/>
          <c:tx>
            <c:strRef>
              <c:f>Summary!$G$2</c:f>
              <c:strCache>
                <c:ptCount val="1"/>
                <c:pt idx="0">
                  <c:v>Japan </c:v>
                </c:pt>
              </c:strCache>
            </c:strRef>
          </c:tx>
          <c:spPr>
            <a:ln w="28575" cap="rnd">
              <a:solidFill>
                <a:schemeClr val="accent5"/>
              </a:solidFill>
              <a:prstDash val="solid"/>
              <a:round/>
            </a:ln>
          </c:spPr>
          <c:marker>
            <c:symbol val="none"/>
          </c:marker>
          <c:cat>
            <c:numRef>
              <c:f>Summary!$B$46:$B$89</c:f>
              <c:numCache>
                <c:formatCode>mmm\-yy</c:formatCode>
                <c:ptCount val="44"/>
                <c:pt idx="0">
                  <c:v>43101</c:v>
                </c:pt>
                <c:pt idx="1">
                  <c:v>43132</c:v>
                </c:pt>
                <c:pt idx="2">
                  <c:v>43160</c:v>
                </c:pt>
                <c:pt idx="3">
                  <c:v>43191</c:v>
                </c:pt>
                <c:pt idx="4">
                  <c:v>43221</c:v>
                </c:pt>
                <c:pt idx="5">
                  <c:v>43252</c:v>
                </c:pt>
                <c:pt idx="6">
                  <c:v>43282</c:v>
                </c:pt>
                <c:pt idx="7">
                  <c:v>43313</c:v>
                </c:pt>
                <c:pt idx="8">
                  <c:v>43344</c:v>
                </c:pt>
                <c:pt idx="9">
                  <c:v>43374</c:v>
                </c:pt>
                <c:pt idx="10">
                  <c:v>43405</c:v>
                </c:pt>
                <c:pt idx="11">
                  <c:v>43435</c:v>
                </c:pt>
                <c:pt idx="12">
                  <c:v>43466</c:v>
                </c:pt>
                <c:pt idx="13">
                  <c:v>43497</c:v>
                </c:pt>
                <c:pt idx="14">
                  <c:v>43525</c:v>
                </c:pt>
                <c:pt idx="15">
                  <c:v>43556</c:v>
                </c:pt>
                <c:pt idx="16">
                  <c:v>43586</c:v>
                </c:pt>
                <c:pt idx="17">
                  <c:v>43617</c:v>
                </c:pt>
                <c:pt idx="18">
                  <c:v>43647</c:v>
                </c:pt>
                <c:pt idx="19">
                  <c:v>43678</c:v>
                </c:pt>
                <c:pt idx="20">
                  <c:v>43709</c:v>
                </c:pt>
                <c:pt idx="21">
                  <c:v>43739</c:v>
                </c:pt>
                <c:pt idx="22">
                  <c:v>43770</c:v>
                </c:pt>
                <c:pt idx="23">
                  <c:v>43800</c:v>
                </c:pt>
                <c:pt idx="24">
                  <c:v>43831</c:v>
                </c:pt>
                <c:pt idx="25">
                  <c:v>43862</c:v>
                </c:pt>
                <c:pt idx="26">
                  <c:v>43891</c:v>
                </c:pt>
                <c:pt idx="27">
                  <c:v>43922</c:v>
                </c:pt>
                <c:pt idx="28">
                  <c:v>43952</c:v>
                </c:pt>
                <c:pt idx="29">
                  <c:v>43983</c:v>
                </c:pt>
                <c:pt idx="30">
                  <c:v>44013</c:v>
                </c:pt>
                <c:pt idx="31">
                  <c:v>44044</c:v>
                </c:pt>
                <c:pt idx="32">
                  <c:v>44075</c:v>
                </c:pt>
                <c:pt idx="33">
                  <c:v>44105</c:v>
                </c:pt>
                <c:pt idx="34">
                  <c:v>44136</c:v>
                </c:pt>
                <c:pt idx="35">
                  <c:v>44166</c:v>
                </c:pt>
                <c:pt idx="36">
                  <c:v>44197</c:v>
                </c:pt>
                <c:pt idx="37">
                  <c:v>44228</c:v>
                </c:pt>
                <c:pt idx="38">
                  <c:v>44256</c:v>
                </c:pt>
                <c:pt idx="39">
                  <c:v>44287</c:v>
                </c:pt>
                <c:pt idx="40">
                  <c:v>44317</c:v>
                </c:pt>
                <c:pt idx="41">
                  <c:v>44348</c:v>
                </c:pt>
                <c:pt idx="42">
                  <c:v>44378</c:v>
                </c:pt>
                <c:pt idx="43">
                  <c:v>44409</c:v>
                </c:pt>
              </c:numCache>
            </c:numRef>
          </c:cat>
          <c:val>
            <c:numRef>
              <c:f>Summary!$G$46:$G$89</c:f>
              <c:numCache>
                <c:formatCode>0.0</c:formatCode>
                <c:ptCount val="44"/>
                <c:pt idx="0">
                  <c:v>51.9</c:v>
                </c:pt>
                <c:pt idx="1">
                  <c:v>51.7</c:v>
                </c:pt>
                <c:pt idx="2">
                  <c:v>50.9</c:v>
                </c:pt>
                <c:pt idx="3">
                  <c:v>52.5</c:v>
                </c:pt>
                <c:pt idx="4">
                  <c:v>51</c:v>
                </c:pt>
                <c:pt idx="5">
                  <c:v>51.4</c:v>
                </c:pt>
                <c:pt idx="6">
                  <c:v>51.3</c:v>
                </c:pt>
                <c:pt idx="7">
                  <c:v>51.5</c:v>
                </c:pt>
                <c:pt idx="8">
                  <c:v>50.2</c:v>
                </c:pt>
                <c:pt idx="9">
                  <c:v>52.4</c:v>
                </c:pt>
                <c:pt idx="10">
                  <c:v>52.3</c:v>
                </c:pt>
                <c:pt idx="11">
                  <c:v>51</c:v>
                </c:pt>
                <c:pt idx="12">
                  <c:v>51.6</c:v>
                </c:pt>
                <c:pt idx="13">
                  <c:v>52.3</c:v>
                </c:pt>
                <c:pt idx="14">
                  <c:v>52</c:v>
                </c:pt>
                <c:pt idx="15">
                  <c:v>51.8</c:v>
                </c:pt>
                <c:pt idx="16">
                  <c:v>51.7</c:v>
                </c:pt>
                <c:pt idx="17">
                  <c:v>51.9</c:v>
                </c:pt>
                <c:pt idx="18">
                  <c:v>51.8</c:v>
                </c:pt>
                <c:pt idx="19">
                  <c:v>53.3</c:v>
                </c:pt>
                <c:pt idx="20">
                  <c:v>52.8</c:v>
                </c:pt>
                <c:pt idx="21">
                  <c:v>49.7</c:v>
                </c:pt>
                <c:pt idx="22">
                  <c:v>50.3</c:v>
                </c:pt>
                <c:pt idx="23">
                  <c:v>49.4</c:v>
                </c:pt>
                <c:pt idx="24">
                  <c:v>51</c:v>
                </c:pt>
                <c:pt idx="25">
                  <c:v>46.8</c:v>
                </c:pt>
                <c:pt idx="26">
                  <c:v>33.799999999999997</c:v>
                </c:pt>
                <c:pt idx="27">
                  <c:v>22.8</c:v>
                </c:pt>
                <c:pt idx="28">
                  <c:v>26.5</c:v>
                </c:pt>
                <c:pt idx="29">
                  <c:v>45</c:v>
                </c:pt>
                <c:pt idx="30">
                  <c:v>45.4</c:v>
                </c:pt>
                <c:pt idx="31">
                  <c:v>45</c:v>
                </c:pt>
                <c:pt idx="32">
                  <c:v>46.9</c:v>
                </c:pt>
                <c:pt idx="33">
                  <c:v>47.7</c:v>
                </c:pt>
                <c:pt idx="34">
                  <c:v>47.8</c:v>
                </c:pt>
                <c:pt idx="35">
                  <c:v>47.2</c:v>
                </c:pt>
                <c:pt idx="36">
                  <c:v>46.1</c:v>
                </c:pt>
                <c:pt idx="37">
                  <c:v>46.3</c:v>
                </c:pt>
                <c:pt idx="38">
                  <c:v>48.3</c:v>
                </c:pt>
                <c:pt idx="39">
                  <c:v>49.5</c:v>
                </c:pt>
                <c:pt idx="40">
                  <c:v>46.5</c:v>
                </c:pt>
                <c:pt idx="41">
                  <c:v>48</c:v>
                </c:pt>
                <c:pt idx="42">
                  <c:v>47.4</c:v>
                </c:pt>
                <c:pt idx="43">
                  <c:v>42.9</c:v>
                </c:pt>
              </c:numCache>
            </c:numRef>
          </c:val>
          <c:smooth val="0"/>
          <c:extLst>
            <c:ext xmlns:c16="http://schemas.microsoft.com/office/drawing/2014/chart" uri="{C3380CC4-5D6E-409C-BE32-E72D297353CC}">
              <c16:uniqueId val="{00000004-E3D4-CA4A-AA0C-D1FDB9F05D14}"/>
            </c:ext>
          </c:extLst>
        </c:ser>
        <c:dLbls>
          <c:showLegendKey val="0"/>
          <c:showVal val="0"/>
          <c:showCatName val="0"/>
          <c:showSerName val="0"/>
          <c:showPercent val="0"/>
          <c:showBubbleSize val="0"/>
        </c:dLbls>
        <c:smooth val="0"/>
        <c:axId val="147343951"/>
        <c:axId val="288629663"/>
      </c:lineChart>
      <c:dateAx>
        <c:axId val="147343951"/>
        <c:scaling>
          <c:orientation val="minMax"/>
          <c:max val="44440"/>
          <c:min val="43466"/>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288629663"/>
        <c:crosses val="autoZero"/>
        <c:auto val="0"/>
        <c:lblOffset val="100"/>
        <c:baseTimeUnit val="days"/>
      </c:dateAx>
      <c:valAx>
        <c:axId val="288629663"/>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4734395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Global!$H$2</c:f>
          <c:strCache>
            <c:ptCount val="1"/>
            <c:pt idx="0">
              <c:v>Global Services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Global!$B$5</c:f>
              <c:strCache>
                <c:ptCount val="1"/>
                <c:pt idx="0">
                  <c:v>PMI</c:v>
                </c:pt>
              </c:strCache>
            </c:strRef>
          </c:tx>
          <c:spPr>
            <a:ln>
              <a:prstDash val="solid"/>
            </a:ln>
          </c:spPr>
          <c:marker>
            <c:symbol val="none"/>
          </c:marker>
          <c:cat>
            <c:numRef>
              <c:f>Global!$A$6:$A$150</c:f>
              <c:numCache>
                <c:formatCode>m/d/yy</c:formatCode>
                <c:ptCount val="145"/>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pt idx="136">
                  <c:v>44593</c:v>
                </c:pt>
                <c:pt idx="137">
                  <c:v>44621</c:v>
                </c:pt>
                <c:pt idx="138">
                  <c:v>44652</c:v>
                </c:pt>
                <c:pt idx="139">
                  <c:v>44682</c:v>
                </c:pt>
                <c:pt idx="140">
                  <c:v>44713</c:v>
                </c:pt>
                <c:pt idx="141">
                  <c:v>44743</c:v>
                </c:pt>
                <c:pt idx="142">
                  <c:v>44774</c:v>
                </c:pt>
                <c:pt idx="143">
                  <c:v>44805</c:v>
                </c:pt>
              </c:numCache>
            </c:numRef>
          </c:cat>
          <c:val>
            <c:numRef>
              <c:f>Global!$B$6:$B$150</c:f>
              <c:numCache>
                <c:formatCode>General</c:formatCode>
                <c:ptCount val="145"/>
                <c:pt idx="0">
                  <c:v>54.6</c:v>
                </c:pt>
                <c:pt idx="1">
                  <c:v>54.8</c:v>
                </c:pt>
                <c:pt idx="2">
                  <c:v>56.3</c:v>
                </c:pt>
                <c:pt idx="3">
                  <c:v>57.1</c:v>
                </c:pt>
                <c:pt idx="4">
                  <c:v>59.3</c:v>
                </c:pt>
                <c:pt idx="5">
                  <c:v>54</c:v>
                </c:pt>
                <c:pt idx="6">
                  <c:v>51</c:v>
                </c:pt>
                <c:pt idx="7">
                  <c:v>52.5</c:v>
                </c:pt>
                <c:pt idx="8">
                  <c:v>52.1</c:v>
                </c:pt>
                <c:pt idx="9">
                  <c:v>53.1</c:v>
                </c:pt>
                <c:pt idx="10">
                  <c:v>52.4</c:v>
                </c:pt>
                <c:pt idx="11">
                  <c:v>52.6</c:v>
                </c:pt>
                <c:pt idx="12">
                  <c:v>51.8</c:v>
                </c:pt>
                <c:pt idx="13">
                  <c:v>52.6</c:v>
                </c:pt>
                <c:pt idx="14">
                  <c:v>53.2</c:v>
                </c:pt>
                <c:pt idx="15">
                  <c:v>55.4</c:v>
                </c:pt>
                <c:pt idx="16">
                  <c:v>56.5</c:v>
                </c:pt>
                <c:pt idx="17">
                  <c:v>54.3</c:v>
                </c:pt>
                <c:pt idx="18">
                  <c:v>53.2</c:v>
                </c:pt>
                <c:pt idx="19">
                  <c:v>53.3</c:v>
                </c:pt>
                <c:pt idx="20">
                  <c:v>50.1</c:v>
                </c:pt>
                <c:pt idx="21">
                  <c:v>49.2</c:v>
                </c:pt>
                <c:pt idx="22">
                  <c:v>52.4</c:v>
                </c:pt>
                <c:pt idx="23">
                  <c:v>53.1</c:v>
                </c:pt>
                <c:pt idx="24">
                  <c:v>53.6</c:v>
                </c:pt>
                <c:pt idx="25">
                  <c:v>54.8</c:v>
                </c:pt>
                <c:pt idx="26">
                  <c:v>54.8</c:v>
                </c:pt>
                <c:pt idx="27">
                  <c:v>53.6</c:v>
                </c:pt>
                <c:pt idx="28">
                  <c:v>53.2</c:v>
                </c:pt>
                <c:pt idx="29">
                  <c:v>53.4</c:v>
                </c:pt>
                <c:pt idx="30">
                  <c:v>52.1</c:v>
                </c:pt>
                <c:pt idx="31">
                  <c:v>53.7</c:v>
                </c:pt>
                <c:pt idx="32">
                  <c:v>51.3</c:v>
                </c:pt>
                <c:pt idx="33">
                  <c:v>54.9</c:v>
                </c:pt>
                <c:pt idx="34">
                  <c:v>56</c:v>
                </c:pt>
                <c:pt idx="35">
                  <c:v>53.6</c:v>
                </c:pt>
                <c:pt idx="36">
                  <c:v>51.8</c:v>
                </c:pt>
                <c:pt idx="37">
                  <c:v>53.9</c:v>
                </c:pt>
                <c:pt idx="38">
                  <c:v>53.5</c:v>
                </c:pt>
                <c:pt idx="39">
                  <c:v>53.8</c:v>
                </c:pt>
                <c:pt idx="40">
                  <c:v>52.7</c:v>
                </c:pt>
                <c:pt idx="41">
                  <c:v>53.5</c:v>
                </c:pt>
                <c:pt idx="42">
                  <c:v>52.7</c:v>
                </c:pt>
                <c:pt idx="43">
                  <c:v>54.6</c:v>
                </c:pt>
                <c:pt idx="44">
                  <c:v>55.8</c:v>
                </c:pt>
                <c:pt idx="45">
                  <c:v>56</c:v>
                </c:pt>
                <c:pt idx="46">
                  <c:v>55.5</c:v>
                </c:pt>
                <c:pt idx="47">
                  <c:v>55.3</c:v>
                </c:pt>
                <c:pt idx="48">
                  <c:v>53.7</c:v>
                </c:pt>
                <c:pt idx="49">
                  <c:v>53.5</c:v>
                </c:pt>
                <c:pt idx="50">
                  <c:v>52.3</c:v>
                </c:pt>
                <c:pt idx="51">
                  <c:v>52.9</c:v>
                </c:pt>
                <c:pt idx="52">
                  <c:v>54.1</c:v>
                </c:pt>
                <c:pt idx="53">
                  <c:v>55.1</c:v>
                </c:pt>
                <c:pt idx="54">
                  <c:v>54.8</c:v>
                </c:pt>
                <c:pt idx="55">
                  <c:v>54.1</c:v>
                </c:pt>
                <c:pt idx="56">
                  <c:v>53.5</c:v>
                </c:pt>
                <c:pt idx="57">
                  <c:v>53.9</c:v>
                </c:pt>
                <c:pt idx="58">
                  <c:v>54.4</c:v>
                </c:pt>
                <c:pt idx="59">
                  <c:v>53.3</c:v>
                </c:pt>
                <c:pt idx="60">
                  <c:v>53.7</c:v>
                </c:pt>
                <c:pt idx="61">
                  <c:v>54.1</c:v>
                </c:pt>
                <c:pt idx="62">
                  <c:v>53.1</c:v>
                </c:pt>
                <c:pt idx="63">
                  <c:v>52.8</c:v>
                </c:pt>
                <c:pt idx="64">
                  <c:v>50.7</c:v>
                </c:pt>
                <c:pt idx="65">
                  <c:v>51.4</c:v>
                </c:pt>
                <c:pt idx="66">
                  <c:v>51.9</c:v>
                </c:pt>
                <c:pt idx="67">
                  <c:v>52.8</c:v>
                </c:pt>
                <c:pt idx="68">
                  <c:v>51.3</c:v>
                </c:pt>
                <c:pt idx="69">
                  <c:v>51.3</c:v>
                </c:pt>
                <c:pt idx="70">
                  <c:v>51.5</c:v>
                </c:pt>
                <c:pt idx="71">
                  <c:v>51.6</c:v>
                </c:pt>
                <c:pt idx="72">
                  <c:v>53.2</c:v>
                </c:pt>
                <c:pt idx="73">
                  <c:v>53.3</c:v>
                </c:pt>
                <c:pt idx="74">
                  <c:v>53.3</c:v>
                </c:pt>
                <c:pt idx="75">
                  <c:v>53.9</c:v>
                </c:pt>
                <c:pt idx="76">
                  <c:v>53.3</c:v>
                </c:pt>
                <c:pt idx="77">
                  <c:v>53.6</c:v>
                </c:pt>
                <c:pt idx="78">
                  <c:v>53.6</c:v>
                </c:pt>
                <c:pt idx="79">
                  <c:v>53.8</c:v>
                </c:pt>
                <c:pt idx="80">
                  <c:v>53.8</c:v>
                </c:pt>
                <c:pt idx="81">
                  <c:v>53.7</c:v>
                </c:pt>
                <c:pt idx="82">
                  <c:v>54.1</c:v>
                </c:pt>
                <c:pt idx="83">
                  <c:v>54</c:v>
                </c:pt>
                <c:pt idx="84">
                  <c:v>54.1</c:v>
                </c:pt>
                <c:pt idx="85">
                  <c:v>53.7</c:v>
                </c:pt>
                <c:pt idx="86">
                  <c:v>53.8</c:v>
                </c:pt>
                <c:pt idx="87">
                  <c:v>54.1</c:v>
                </c:pt>
                <c:pt idx="88">
                  <c:v>54.8</c:v>
                </c:pt>
                <c:pt idx="89">
                  <c:v>53.2</c:v>
                </c:pt>
                <c:pt idx="90">
                  <c:v>53.8</c:v>
                </c:pt>
                <c:pt idx="91">
                  <c:v>54.3</c:v>
                </c:pt>
                <c:pt idx="92">
                  <c:v>54.6</c:v>
                </c:pt>
                <c:pt idx="93">
                  <c:v>54</c:v>
                </c:pt>
                <c:pt idx="94">
                  <c:v>53.5</c:v>
                </c:pt>
                <c:pt idx="95">
                  <c:v>52.9</c:v>
                </c:pt>
                <c:pt idx="96">
                  <c:v>53.4</c:v>
                </c:pt>
                <c:pt idx="97">
                  <c:v>53.7</c:v>
                </c:pt>
                <c:pt idx="98">
                  <c:v>53</c:v>
                </c:pt>
                <c:pt idx="99">
                  <c:v>52.6</c:v>
                </c:pt>
                <c:pt idx="100">
                  <c:v>53.3</c:v>
                </c:pt>
                <c:pt idx="101">
                  <c:v>53.7</c:v>
                </c:pt>
                <c:pt idx="102">
                  <c:v>52.7</c:v>
                </c:pt>
                <c:pt idx="103">
                  <c:v>51.6</c:v>
                </c:pt>
                <c:pt idx="104">
                  <c:v>51.9</c:v>
                </c:pt>
                <c:pt idx="105">
                  <c:v>52.5</c:v>
                </c:pt>
                <c:pt idx="106">
                  <c:v>51.8</c:v>
                </c:pt>
                <c:pt idx="107">
                  <c:v>51.6</c:v>
                </c:pt>
                <c:pt idx="108">
                  <c:v>51</c:v>
                </c:pt>
                <c:pt idx="109">
                  <c:v>51.6</c:v>
                </c:pt>
                <c:pt idx="110">
                  <c:v>52</c:v>
                </c:pt>
                <c:pt idx="111">
                  <c:v>52.7</c:v>
                </c:pt>
                <c:pt idx="112">
                  <c:v>47.1</c:v>
                </c:pt>
                <c:pt idx="113">
                  <c:v>36.799999999999997</c:v>
                </c:pt>
                <c:pt idx="114">
                  <c:v>24</c:v>
                </c:pt>
                <c:pt idx="115">
                  <c:v>35.1</c:v>
                </c:pt>
                <c:pt idx="116">
                  <c:v>48</c:v>
                </c:pt>
                <c:pt idx="117">
                  <c:v>50.6</c:v>
                </c:pt>
                <c:pt idx="118">
                  <c:v>52</c:v>
                </c:pt>
                <c:pt idx="119">
                  <c:v>52</c:v>
                </c:pt>
                <c:pt idx="120">
                  <c:v>52.9</c:v>
                </c:pt>
                <c:pt idx="121">
                  <c:v>52.2</c:v>
                </c:pt>
                <c:pt idx="122">
                  <c:v>51.8</c:v>
                </c:pt>
                <c:pt idx="123">
                  <c:v>51.6</c:v>
                </c:pt>
                <c:pt idx="124">
                  <c:v>52.8</c:v>
                </c:pt>
                <c:pt idx="125">
                  <c:v>54.7</c:v>
                </c:pt>
                <c:pt idx="126">
                  <c:v>57</c:v>
                </c:pt>
                <c:pt idx="127">
                  <c:v>59.5</c:v>
                </c:pt>
                <c:pt idx="128">
                  <c:v>57.4</c:v>
                </c:pt>
                <c:pt idx="129">
                  <c:v>56.3</c:v>
                </c:pt>
                <c:pt idx="130">
                  <c:v>52.8</c:v>
                </c:pt>
                <c:pt idx="131">
                  <c:v>53.8</c:v>
                </c:pt>
                <c:pt idx="132">
                  <c:v>55.6</c:v>
                </c:pt>
                <c:pt idx="133">
                  <c:v>55.6</c:v>
                </c:pt>
                <c:pt idx="134">
                  <c:v>54.6</c:v>
                </c:pt>
                <c:pt idx="135">
                  <c:v>51.3</c:v>
                </c:pt>
                <c:pt idx="136">
                  <c:v>53.5</c:v>
                </c:pt>
                <c:pt idx="137">
                  <c:v>52.7</c:v>
                </c:pt>
                <c:pt idx="138">
                  <c:v>51</c:v>
                </c:pt>
                <c:pt idx="139">
                  <c:v>51.3</c:v>
                </c:pt>
                <c:pt idx="140">
                  <c:v>53.5</c:v>
                </c:pt>
                <c:pt idx="141">
                  <c:v>#N/A</c:v>
                </c:pt>
                <c:pt idx="142">
                  <c:v>#N/A</c:v>
                </c:pt>
                <c:pt idx="143">
                  <c:v>#N/A</c:v>
                </c:pt>
              </c:numCache>
            </c:numRef>
          </c:val>
          <c:smooth val="0"/>
          <c:extLst>
            <c:ext xmlns:c16="http://schemas.microsoft.com/office/drawing/2014/chart" uri="{C3380CC4-5D6E-409C-BE32-E72D297353CC}">
              <c16:uniqueId val="{00000000-65AE-4E44-A07F-3345FA76A975}"/>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US!$J$2</c:f>
          <c:strCache>
            <c:ptCount val="1"/>
            <c:pt idx="0">
              <c:v>U.S. Services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US!$B$5</c:f>
              <c:strCache>
                <c:ptCount val="1"/>
                <c:pt idx="0">
                  <c:v>PMI</c:v>
                </c:pt>
              </c:strCache>
            </c:strRef>
          </c:tx>
          <c:spPr>
            <a:ln>
              <a:prstDash val="solid"/>
            </a:ln>
          </c:spPr>
          <c:marker>
            <c:symbol val="none"/>
          </c:marker>
          <c:cat>
            <c:numRef>
              <c:f>US!$A$6:$A$114</c:f>
              <c:numCache>
                <c:formatCode>m/d/yy</c:formatCode>
                <c:ptCount val="109"/>
                <c:pt idx="0">
                  <c:v>41548</c:v>
                </c:pt>
                <c:pt idx="1">
                  <c:v>41579</c:v>
                </c:pt>
                <c:pt idx="2">
                  <c:v>41609</c:v>
                </c:pt>
                <c:pt idx="3">
                  <c:v>41640</c:v>
                </c:pt>
                <c:pt idx="4">
                  <c:v>41671</c:v>
                </c:pt>
                <c:pt idx="5">
                  <c:v>41699</c:v>
                </c:pt>
                <c:pt idx="6">
                  <c:v>41730</c:v>
                </c:pt>
                <c:pt idx="7">
                  <c:v>41760</c:v>
                </c:pt>
                <c:pt idx="8">
                  <c:v>41791</c:v>
                </c:pt>
                <c:pt idx="9">
                  <c:v>41821</c:v>
                </c:pt>
                <c:pt idx="10">
                  <c:v>41852</c:v>
                </c:pt>
                <c:pt idx="11">
                  <c:v>41883</c:v>
                </c:pt>
                <c:pt idx="12">
                  <c:v>41913</c:v>
                </c:pt>
                <c:pt idx="13">
                  <c:v>41944</c:v>
                </c:pt>
                <c:pt idx="14">
                  <c:v>41974</c:v>
                </c:pt>
                <c:pt idx="15">
                  <c:v>42005</c:v>
                </c:pt>
                <c:pt idx="16">
                  <c:v>42036</c:v>
                </c:pt>
                <c:pt idx="17">
                  <c:v>42064</c:v>
                </c:pt>
                <c:pt idx="18">
                  <c:v>42095</c:v>
                </c:pt>
                <c:pt idx="19">
                  <c:v>42125</c:v>
                </c:pt>
                <c:pt idx="20">
                  <c:v>42156</c:v>
                </c:pt>
                <c:pt idx="21">
                  <c:v>42186</c:v>
                </c:pt>
                <c:pt idx="22">
                  <c:v>42217</c:v>
                </c:pt>
                <c:pt idx="23">
                  <c:v>42248</c:v>
                </c:pt>
                <c:pt idx="24">
                  <c:v>42278</c:v>
                </c:pt>
                <c:pt idx="25">
                  <c:v>42309</c:v>
                </c:pt>
                <c:pt idx="26">
                  <c:v>42339</c:v>
                </c:pt>
                <c:pt idx="27">
                  <c:v>42370</c:v>
                </c:pt>
                <c:pt idx="28">
                  <c:v>42401</c:v>
                </c:pt>
                <c:pt idx="29">
                  <c:v>42430</c:v>
                </c:pt>
                <c:pt idx="30">
                  <c:v>42461</c:v>
                </c:pt>
                <c:pt idx="31">
                  <c:v>42491</c:v>
                </c:pt>
                <c:pt idx="32">
                  <c:v>42522</c:v>
                </c:pt>
                <c:pt idx="33">
                  <c:v>42552</c:v>
                </c:pt>
                <c:pt idx="34">
                  <c:v>42583</c:v>
                </c:pt>
                <c:pt idx="35">
                  <c:v>42614</c:v>
                </c:pt>
                <c:pt idx="36">
                  <c:v>42644</c:v>
                </c:pt>
                <c:pt idx="37">
                  <c:v>42675</c:v>
                </c:pt>
                <c:pt idx="38">
                  <c:v>42705</c:v>
                </c:pt>
                <c:pt idx="39">
                  <c:v>42736</c:v>
                </c:pt>
                <c:pt idx="40">
                  <c:v>42767</c:v>
                </c:pt>
                <c:pt idx="41">
                  <c:v>42795</c:v>
                </c:pt>
                <c:pt idx="42">
                  <c:v>42826</c:v>
                </c:pt>
                <c:pt idx="43">
                  <c:v>42856</c:v>
                </c:pt>
                <c:pt idx="44">
                  <c:v>42887</c:v>
                </c:pt>
                <c:pt idx="45">
                  <c:v>42917</c:v>
                </c:pt>
                <c:pt idx="46">
                  <c:v>42948</c:v>
                </c:pt>
                <c:pt idx="47">
                  <c:v>42979</c:v>
                </c:pt>
                <c:pt idx="48">
                  <c:v>43009</c:v>
                </c:pt>
                <c:pt idx="49">
                  <c:v>43040</c:v>
                </c:pt>
                <c:pt idx="50">
                  <c:v>43070</c:v>
                </c:pt>
                <c:pt idx="51">
                  <c:v>43101</c:v>
                </c:pt>
                <c:pt idx="52">
                  <c:v>43132</c:v>
                </c:pt>
                <c:pt idx="53">
                  <c:v>43160</c:v>
                </c:pt>
                <c:pt idx="54">
                  <c:v>43191</c:v>
                </c:pt>
                <c:pt idx="55">
                  <c:v>43221</c:v>
                </c:pt>
                <c:pt idx="56">
                  <c:v>43252</c:v>
                </c:pt>
                <c:pt idx="57">
                  <c:v>43282</c:v>
                </c:pt>
                <c:pt idx="58">
                  <c:v>43313</c:v>
                </c:pt>
                <c:pt idx="59">
                  <c:v>43344</c:v>
                </c:pt>
                <c:pt idx="60">
                  <c:v>43374</c:v>
                </c:pt>
                <c:pt idx="61">
                  <c:v>43405</c:v>
                </c:pt>
                <c:pt idx="62">
                  <c:v>43435</c:v>
                </c:pt>
                <c:pt idx="63">
                  <c:v>43466</c:v>
                </c:pt>
                <c:pt idx="64">
                  <c:v>43497</c:v>
                </c:pt>
                <c:pt idx="65">
                  <c:v>43525</c:v>
                </c:pt>
                <c:pt idx="66">
                  <c:v>43556</c:v>
                </c:pt>
                <c:pt idx="67">
                  <c:v>43586</c:v>
                </c:pt>
                <c:pt idx="68">
                  <c:v>43617</c:v>
                </c:pt>
                <c:pt idx="69">
                  <c:v>43647</c:v>
                </c:pt>
                <c:pt idx="70">
                  <c:v>43678</c:v>
                </c:pt>
                <c:pt idx="71">
                  <c:v>43709</c:v>
                </c:pt>
                <c:pt idx="72">
                  <c:v>43739</c:v>
                </c:pt>
                <c:pt idx="73">
                  <c:v>43770</c:v>
                </c:pt>
                <c:pt idx="74">
                  <c:v>43800</c:v>
                </c:pt>
                <c:pt idx="75">
                  <c:v>43831</c:v>
                </c:pt>
                <c:pt idx="76">
                  <c:v>43862</c:v>
                </c:pt>
                <c:pt idx="77">
                  <c:v>43891</c:v>
                </c:pt>
                <c:pt idx="78">
                  <c:v>43922</c:v>
                </c:pt>
                <c:pt idx="79">
                  <c:v>43952</c:v>
                </c:pt>
                <c:pt idx="80">
                  <c:v>43983</c:v>
                </c:pt>
                <c:pt idx="81">
                  <c:v>44013</c:v>
                </c:pt>
                <c:pt idx="82">
                  <c:v>44044</c:v>
                </c:pt>
                <c:pt idx="83">
                  <c:v>44075</c:v>
                </c:pt>
                <c:pt idx="84">
                  <c:v>44105</c:v>
                </c:pt>
                <c:pt idx="85">
                  <c:v>44136</c:v>
                </c:pt>
                <c:pt idx="86">
                  <c:v>44166</c:v>
                </c:pt>
                <c:pt idx="87">
                  <c:v>44197</c:v>
                </c:pt>
                <c:pt idx="88">
                  <c:v>44228</c:v>
                </c:pt>
                <c:pt idx="89">
                  <c:v>44256</c:v>
                </c:pt>
                <c:pt idx="90">
                  <c:v>44287</c:v>
                </c:pt>
                <c:pt idx="91">
                  <c:v>44317</c:v>
                </c:pt>
                <c:pt idx="92">
                  <c:v>44348</c:v>
                </c:pt>
                <c:pt idx="93">
                  <c:v>44378</c:v>
                </c:pt>
                <c:pt idx="94">
                  <c:v>44409</c:v>
                </c:pt>
                <c:pt idx="95">
                  <c:v>44440</c:v>
                </c:pt>
                <c:pt idx="96">
                  <c:v>44470</c:v>
                </c:pt>
                <c:pt idx="97">
                  <c:v>44501</c:v>
                </c:pt>
                <c:pt idx="98">
                  <c:v>44531</c:v>
                </c:pt>
                <c:pt idx="99">
                  <c:v>44562</c:v>
                </c:pt>
                <c:pt idx="100">
                  <c:v>44593</c:v>
                </c:pt>
                <c:pt idx="101">
                  <c:v>44621</c:v>
                </c:pt>
                <c:pt idx="102">
                  <c:v>44652</c:v>
                </c:pt>
                <c:pt idx="103">
                  <c:v>44682</c:v>
                </c:pt>
                <c:pt idx="104">
                  <c:v>44713</c:v>
                </c:pt>
                <c:pt idx="105">
                  <c:v>44743</c:v>
                </c:pt>
                <c:pt idx="106">
                  <c:v>44774</c:v>
                </c:pt>
                <c:pt idx="107">
                  <c:v>44805</c:v>
                </c:pt>
                <c:pt idx="108">
                  <c:v>44835</c:v>
                </c:pt>
              </c:numCache>
            </c:numRef>
          </c:cat>
          <c:val>
            <c:numRef>
              <c:f>US!$B$6:$B$114</c:f>
              <c:numCache>
                <c:formatCode>General</c:formatCode>
                <c:ptCount val="109"/>
                <c:pt idx="0">
                  <c:v>49.3</c:v>
                </c:pt>
                <c:pt idx="1">
                  <c:v>55.9</c:v>
                </c:pt>
                <c:pt idx="2">
                  <c:v>55.7</c:v>
                </c:pt>
                <c:pt idx="3">
                  <c:v>56.7</c:v>
                </c:pt>
                <c:pt idx="4">
                  <c:v>53.3</c:v>
                </c:pt>
                <c:pt idx="5">
                  <c:v>55.3</c:v>
                </c:pt>
                <c:pt idx="6">
                  <c:v>55</c:v>
                </c:pt>
                <c:pt idx="7">
                  <c:v>58</c:v>
                </c:pt>
                <c:pt idx="8">
                  <c:v>61</c:v>
                </c:pt>
                <c:pt idx="9">
                  <c:v>60.8</c:v>
                </c:pt>
                <c:pt idx="10">
                  <c:v>59.5</c:v>
                </c:pt>
                <c:pt idx="11">
                  <c:v>58.9</c:v>
                </c:pt>
                <c:pt idx="12">
                  <c:v>57.1</c:v>
                </c:pt>
                <c:pt idx="13">
                  <c:v>56.2</c:v>
                </c:pt>
                <c:pt idx="14">
                  <c:v>53.3</c:v>
                </c:pt>
                <c:pt idx="15">
                  <c:v>54.2</c:v>
                </c:pt>
                <c:pt idx="16">
                  <c:v>57.1</c:v>
                </c:pt>
                <c:pt idx="17">
                  <c:v>59.2</c:v>
                </c:pt>
                <c:pt idx="18">
                  <c:v>57.4</c:v>
                </c:pt>
                <c:pt idx="19">
                  <c:v>56.2</c:v>
                </c:pt>
                <c:pt idx="20">
                  <c:v>54.8</c:v>
                </c:pt>
                <c:pt idx="21">
                  <c:v>55.7</c:v>
                </c:pt>
                <c:pt idx="22">
                  <c:v>56.1</c:v>
                </c:pt>
                <c:pt idx="23">
                  <c:v>55.1</c:v>
                </c:pt>
                <c:pt idx="24">
                  <c:v>54.8</c:v>
                </c:pt>
                <c:pt idx="25">
                  <c:v>56.1</c:v>
                </c:pt>
                <c:pt idx="26">
                  <c:v>54.3</c:v>
                </c:pt>
                <c:pt idx="27">
                  <c:v>53.2</c:v>
                </c:pt>
                <c:pt idx="28">
                  <c:v>49.7</c:v>
                </c:pt>
                <c:pt idx="29">
                  <c:v>51.3</c:v>
                </c:pt>
                <c:pt idx="30">
                  <c:v>52.8</c:v>
                </c:pt>
                <c:pt idx="31">
                  <c:v>51.3</c:v>
                </c:pt>
                <c:pt idx="32">
                  <c:v>51.4</c:v>
                </c:pt>
                <c:pt idx="33">
                  <c:v>51.4</c:v>
                </c:pt>
                <c:pt idx="34">
                  <c:v>51</c:v>
                </c:pt>
                <c:pt idx="35">
                  <c:v>52.3</c:v>
                </c:pt>
                <c:pt idx="36">
                  <c:v>54.8</c:v>
                </c:pt>
                <c:pt idx="37">
                  <c:v>54.6</c:v>
                </c:pt>
                <c:pt idx="38">
                  <c:v>53.9</c:v>
                </c:pt>
                <c:pt idx="39">
                  <c:v>55.6</c:v>
                </c:pt>
                <c:pt idx="40">
                  <c:v>53.8</c:v>
                </c:pt>
                <c:pt idx="41">
                  <c:v>52.8</c:v>
                </c:pt>
                <c:pt idx="42">
                  <c:v>53.1</c:v>
                </c:pt>
                <c:pt idx="43">
                  <c:v>53.6</c:v>
                </c:pt>
                <c:pt idx="44">
                  <c:v>54.2</c:v>
                </c:pt>
                <c:pt idx="45">
                  <c:v>54.7</c:v>
                </c:pt>
                <c:pt idx="46">
                  <c:v>56</c:v>
                </c:pt>
                <c:pt idx="47">
                  <c:v>55.3</c:v>
                </c:pt>
                <c:pt idx="48">
                  <c:v>55.3</c:v>
                </c:pt>
                <c:pt idx="49">
                  <c:v>54.5</c:v>
                </c:pt>
                <c:pt idx="50">
                  <c:v>53.7</c:v>
                </c:pt>
                <c:pt idx="51">
                  <c:v>53.3</c:v>
                </c:pt>
                <c:pt idx="52">
                  <c:v>55.9</c:v>
                </c:pt>
                <c:pt idx="53">
                  <c:v>54</c:v>
                </c:pt>
                <c:pt idx="54">
                  <c:v>54.6</c:v>
                </c:pt>
                <c:pt idx="55">
                  <c:v>56.8</c:v>
                </c:pt>
                <c:pt idx="56">
                  <c:v>56.5</c:v>
                </c:pt>
                <c:pt idx="57">
                  <c:v>56</c:v>
                </c:pt>
                <c:pt idx="58">
                  <c:v>55.2</c:v>
                </c:pt>
                <c:pt idx="59">
                  <c:v>52.9</c:v>
                </c:pt>
                <c:pt idx="60">
                  <c:v>54.8</c:v>
                </c:pt>
                <c:pt idx="61">
                  <c:v>54.4</c:v>
                </c:pt>
                <c:pt idx="62">
                  <c:v>54.4</c:v>
                </c:pt>
                <c:pt idx="63">
                  <c:v>54.2</c:v>
                </c:pt>
                <c:pt idx="64">
                  <c:v>56.2</c:v>
                </c:pt>
                <c:pt idx="65">
                  <c:v>54.8</c:v>
                </c:pt>
                <c:pt idx="66">
                  <c:v>53</c:v>
                </c:pt>
                <c:pt idx="67">
                  <c:v>50.9</c:v>
                </c:pt>
                <c:pt idx="68">
                  <c:v>51.5</c:v>
                </c:pt>
                <c:pt idx="69">
                  <c:v>53</c:v>
                </c:pt>
                <c:pt idx="70">
                  <c:v>50.7</c:v>
                </c:pt>
                <c:pt idx="71">
                  <c:v>50.9</c:v>
                </c:pt>
                <c:pt idx="72">
                  <c:v>50.6</c:v>
                </c:pt>
                <c:pt idx="73">
                  <c:v>51.6</c:v>
                </c:pt>
                <c:pt idx="74">
                  <c:v>52.8</c:v>
                </c:pt>
                <c:pt idx="75">
                  <c:v>53.4</c:v>
                </c:pt>
                <c:pt idx="76">
                  <c:v>49.4</c:v>
                </c:pt>
                <c:pt idx="77">
                  <c:v>39.799999999999997</c:v>
                </c:pt>
                <c:pt idx="78">
                  <c:v>26.7</c:v>
                </c:pt>
                <c:pt idx="79">
                  <c:v>37.5</c:v>
                </c:pt>
                <c:pt idx="80">
                  <c:v>47.9</c:v>
                </c:pt>
                <c:pt idx="81">
                  <c:v>50</c:v>
                </c:pt>
                <c:pt idx="82">
                  <c:v>55</c:v>
                </c:pt>
                <c:pt idx="83">
                  <c:v>54.6</c:v>
                </c:pt>
                <c:pt idx="84">
                  <c:v>56.9</c:v>
                </c:pt>
                <c:pt idx="85">
                  <c:v>58.4</c:v>
                </c:pt>
                <c:pt idx="86">
                  <c:v>54.8</c:v>
                </c:pt>
                <c:pt idx="87">
                  <c:v>58.3</c:v>
                </c:pt>
                <c:pt idx="88">
                  <c:v>59.8</c:v>
                </c:pt>
                <c:pt idx="89">
                  <c:v>60.4</c:v>
                </c:pt>
                <c:pt idx="90">
                  <c:v>64.7</c:v>
                </c:pt>
                <c:pt idx="91">
                  <c:v>70.400000000000006</c:v>
                </c:pt>
                <c:pt idx="92">
                  <c:v>64.599999999999994</c:v>
                </c:pt>
                <c:pt idx="93">
                  <c:v>59.9</c:v>
                </c:pt>
                <c:pt idx="94">
                  <c:v>55.1</c:v>
                </c:pt>
                <c:pt idx="95">
                  <c:v>54.9</c:v>
                </c:pt>
                <c:pt idx="96">
                  <c:v>58.7</c:v>
                </c:pt>
                <c:pt idx="97">
                  <c:v>58</c:v>
                </c:pt>
                <c:pt idx="98">
                  <c:v>57.6</c:v>
                </c:pt>
                <c:pt idx="99">
                  <c:v>51.2</c:v>
                </c:pt>
                <c:pt idx="100">
                  <c:v>56.7</c:v>
                </c:pt>
                <c:pt idx="101">
                  <c:v>58.9</c:v>
                </c:pt>
                <c:pt idx="102">
                  <c:v>54.7</c:v>
                </c:pt>
                <c:pt idx="103">
                  <c:v>53.5</c:v>
                </c:pt>
                <c:pt idx="104">
                  <c:v>51.6</c:v>
                </c:pt>
                <c:pt idx="105">
                  <c:v>47.3</c:v>
                </c:pt>
                <c:pt idx="106">
                  <c:v>43.7</c:v>
                </c:pt>
                <c:pt idx="107">
                  <c:v>49.3</c:v>
                </c:pt>
                <c:pt idx="108">
                  <c:v>47.8</c:v>
                </c:pt>
              </c:numCache>
            </c:numRef>
          </c:val>
          <c:smooth val="0"/>
          <c:extLst>
            <c:ext xmlns:c16="http://schemas.microsoft.com/office/drawing/2014/chart" uri="{C3380CC4-5D6E-409C-BE32-E72D297353CC}">
              <c16:uniqueId val="{00000000-7FA2-0946-9CA3-9059DA27CEC3}"/>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EuroArea!$J$2</c:f>
          <c:strCache>
            <c:ptCount val="1"/>
            <c:pt idx="0">
              <c:v>Euro Area Services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EuroArea!$B$5</c:f>
              <c:strCache>
                <c:ptCount val="1"/>
                <c:pt idx="0">
                  <c:v>PMI</c:v>
                </c:pt>
              </c:strCache>
            </c:strRef>
          </c:tx>
          <c:spPr>
            <a:ln>
              <a:prstDash val="solid"/>
            </a:ln>
          </c:spPr>
          <c:marker>
            <c:symbol val="none"/>
          </c:marker>
          <c:cat>
            <c:numRef>
              <c:f>EuroArea!$A$6:$A$189</c:f>
              <c:numCache>
                <c:formatCode>m/d/yy</c:formatCode>
                <c:ptCount val="184"/>
                <c:pt idx="0">
                  <c:v>39264</c:v>
                </c:pt>
                <c:pt idx="1">
                  <c:v>39295</c:v>
                </c:pt>
                <c:pt idx="2">
                  <c:v>39326</c:v>
                </c:pt>
                <c:pt idx="3">
                  <c:v>39356</c:v>
                </c:pt>
                <c:pt idx="4">
                  <c:v>39387</c:v>
                </c:pt>
                <c:pt idx="5">
                  <c:v>39417</c:v>
                </c:pt>
                <c:pt idx="6">
                  <c:v>39448</c:v>
                </c:pt>
                <c:pt idx="7">
                  <c:v>39479</c:v>
                </c:pt>
                <c:pt idx="8">
                  <c:v>39508</c:v>
                </c:pt>
                <c:pt idx="9">
                  <c:v>39539</c:v>
                </c:pt>
                <c:pt idx="10">
                  <c:v>39569</c:v>
                </c:pt>
                <c:pt idx="11">
                  <c:v>39600</c:v>
                </c:pt>
                <c:pt idx="12">
                  <c:v>39630</c:v>
                </c:pt>
                <c:pt idx="13">
                  <c:v>39661</c:v>
                </c:pt>
                <c:pt idx="14">
                  <c:v>39692</c:v>
                </c:pt>
                <c:pt idx="15">
                  <c:v>39722</c:v>
                </c:pt>
                <c:pt idx="16">
                  <c:v>39753</c:v>
                </c:pt>
                <c:pt idx="17">
                  <c:v>39783</c:v>
                </c:pt>
                <c:pt idx="18">
                  <c:v>39814</c:v>
                </c:pt>
                <c:pt idx="19">
                  <c:v>39845</c:v>
                </c:pt>
                <c:pt idx="20">
                  <c:v>39873</c:v>
                </c:pt>
                <c:pt idx="21">
                  <c:v>39904</c:v>
                </c:pt>
                <c:pt idx="22">
                  <c:v>39934</c:v>
                </c:pt>
                <c:pt idx="23">
                  <c:v>39965</c:v>
                </c:pt>
                <c:pt idx="24">
                  <c:v>39995</c:v>
                </c:pt>
                <c:pt idx="25">
                  <c:v>40026</c:v>
                </c:pt>
                <c:pt idx="26">
                  <c:v>40057</c:v>
                </c:pt>
                <c:pt idx="27">
                  <c:v>40087</c:v>
                </c:pt>
                <c:pt idx="28">
                  <c:v>40118</c:v>
                </c:pt>
                <c:pt idx="29">
                  <c:v>40148</c:v>
                </c:pt>
                <c:pt idx="30">
                  <c:v>40179</c:v>
                </c:pt>
                <c:pt idx="31">
                  <c:v>40210</c:v>
                </c:pt>
                <c:pt idx="32">
                  <c:v>40238</c:v>
                </c:pt>
                <c:pt idx="33">
                  <c:v>40269</c:v>
                </c:pt>
                <c:pt idx="34">
                  <c:v>40299</c:v>
                </c:pt>
                <c:pt idx="35">
                  <c:v>40330</c:v>
                </c:pt>
                <c:pt idx="36">
                  <c:v>40360</c:v>
                </c:pt>
                <c:pt idx="37">
                  <c:v>40391</c:v>
                </c:pt>
                <c:pt idx="38">
                  <c:v>40422</c:v>
                </c:pt>
                <c:pt idx="39">
                  <c:v>40452</c:v>
                </c:pt>
                <c:pt idx="40">
                  <c:v>40483</c:v>
                </c:pt>
                <c:pt idx="41">
                  <c:v>40513</c:v>
                </c:pt>
                <c:pt idx="42">
                  <c:v>40544</c:v>
                </c:pt>
                <c:pt idx="43">
                  <c:v>40575</c:v>
                </c:pt>
                <c:pt idx="44">
                  <c:v>40603</c:v>
                </c:pt>
                <c:pt idx="45">
                  <c:v>40634</c:v>
                </c:pt>
                <c:pt idx="46">
                  <c:v>40664</c:v>
                </c:pt>
                <c:pt idx="47">
                  <c:v>40695</c:v>
                </c:pt>
                <c:pt idx="48">
                  <c:v>40725</c:v>
                </c:pt>
                <c:pt idx="49">
                  <c:v>40756</c:v>
                </c:pt>
                <c:pt idx="50">
                  <c:v>40787</c:v>
                </c:pt>
                <c:pt idx="51">
                  <c:v>40817</c:v>
                </c:pt>
                <c:pt idx="52">
                  <c:v>40848</c:v>
                </c:pt>
                <c:pt idx="53">
                  <c:v>40878</c:v>
                </c:pt>
                <c:pt idx="54">
                  <c:v>40909</c:v>
                </c:pt>
                <c:pt idx="55">
                  <c:v>40940</c:v>
                </c:pt>
                <c:pt idx="56">
                  <c:v>40969</c:v>
                </c:pt>
                <c:pt idx="57">
                  <c:v>41000</c:v>
                </c:pt>
                <c:pt idx="58">
                  <c:v>41030</c:v>
                </c:pt>
                <c:pt idx="59">
                  <c:v>41061</c:v>
                </c:pt>
                <c:pt idx="60">
                  <c:v>41091</c:v>
                </c:pt>
                <c:pt idx="61">
                  <c:v>41122</c:v>
                </c:pt>
                <c:pt idx="62">
                  <c:v>41153</c:v>
                </c:pt>
                <c:pt idx="63">
                  <c:v>41183</c:v>
                </c:pt>
                <c:pt idx="64">
                  <c:v>41214</c:v>
                </c:pt>
                <c:pt idx="65">
                  <c:v>41244</c:v>
                </c:pt>
                <c:pt idx="66">
                  <c:v>41275</c:v>
                </c:pt>
                <c:pt idx="67">
                  <c:v>41306</c:v>
                </c:pt>
                <c:pt idx="68">
                  <c:v>41334</c:v>
                </c:pt>
                <c:pt idx="69">
                  <c:v>41365</c:v>
                </c:pt>
                <c:pt idx="70">
                  <c:v>41395</c:v>
                </c:pt>
                <c:pt idx="71">
                  <c:v>41426</c:v>
                </c:pt>
                <c:pt idx="72">
                  <c:v>41456</c:v>
                </c:pt>
                <c:pt idx="73">
                  <c:v>41487</c:v>
                </c:pt>
                <c:pt idx="74">
                  <c:v>41518</c:v>
                </c:pt>
                <c:pt idx="75">
                  <c:v>41548</c:v>
                </c:pt>
                <c:pt idx="76">
                  <c:v>41579</c:v>
                </c:pt>
                <c:pt idx="77">
                  <c:v>41609</c:v>
                </c:pt>
                <c:pt idx="78">
                  <c:v>41640</c:v>
                </c:pt>
                <c:pt idx="79">
                  <c:v>41671</c:v>
                </c:pt>
                <c:pt idx="80">
                  <c:v>41699</c:v>
                </c:pt>
                <c:pt idx="81">
                  <c:v>41730</c:v>
                </c:pt>
                <c:pt idx="82">
                  <c:v>41760</c:v>
                </c:pt>
                <c:pt idx="83">
                  <c:v>41791</c:v>
                </c:pt>
                <c:pt idx="84">
                  <c:v>41821</c:v>
                </c:pt>
                <c:pt idx="85">
                  <c:v>41852</c:v>
                </c:pt>
                <c:pt idx="86">
                  <c:v>41883</c:v>
                </c:pt>
                <c:pt idx="87">
                  <c:v>41913</c:v>
                </c:pt>
                <c:pt idx="88">
                  <c:v>41944</c:v>
                </c:pt>
                <c:pt idx="89">
                  <c:v>41974</c:v>
                </c:pt>
                <c:pt idx="90">
                  <c:v>42005</c:v>
                </c:pt>
                <c:pt idx="91">
                  <c:v>42036</c:v>
                </c:pt>
                <c:pt idx="92">
                  <c:v>42064</c:v>
                </c:pt>
                <c:pt idx="93">
                  <c:v>42095</c:v>
                </c:pt>
                <c:pt idx="94">
                  <c:v>42125</c:v>
                </c:pt>
                <c:pt idx="95">
                  <c:v>42156</c:v>
                </c:pt>
                <c:pt idx="96">
                  <c:v>42186</c:v>
                </c:pt>
                <c:pt idx="97">
                  <c:v>42217</c:v>
                </c:pt>
                <c:pt idx="98">
                  <c:v>42248</c:v>
                </c:pt>
                <c:pt idx="99">
                  <c:v>42278</c:v>
                </c:pt>
                <c:pt idx="100">
                  <c:v>42309</c:v>
                </c:pt>
                <c:pt idx="101">
                  <c:v>42339</c:v>
                </c:pt>
                <c:pt idx="102">
                  <c:v>42370</c:v>
                </c:pt>
                <c:pt idx="103">
                  <c:v>42401</c:v>
                </c:pt>
                <c:pt idx="104">
                  <c:v>42430</c:v>
                </c:pt>
                <c:pt idx="105">
                  <c:v>42461</c:v>
                </c:pt>
                <c:pt idx="106">
                  <c:v>42491</c:v>
                </c:pt>
                <c:pt idx="107">
                  <c:v>42522</c:v>
                </c:pt>
                <c:pt idx="108">
                  <c:v>42552</c:v>
                </c:pt>
                <c:pt idx="109">
                  <c:v>42583</c:v>
                </c:pt>
                <c:pt idx="110">
                  <c:v>42614</c:v>
                </c:pt>
                <c:pt idx="111">
                  <c:v>42644</c:v>
                </c:pt>
                <c:pt idx="112">
                  <c:v>42675</c:v>
                </c:pt>
                <c:pt idx="113">
                  <c:v>42705</c:v>
                </c:pt>
                <c:pt idx="114">
                  <c:v>42736</c:v>
                </c:pt>
                <c:pt idx="115">
                  <c:v>42767</c:v>
                </c:pt>
                <c:pt idx="116">
                  <c:v>42795</c:v>
                </c:pt>
                <c:pt idx="117">
                  <c:v>42826</c:v>
                </c:pt>
                <c:pt idx="118">
                  <c:v>42856</c:v>
                </c:pt>
                <c:pt idx="119">
                  <c:v>42887</c:v>
                </c:pt>
                <c:pt idx="120">
                  <c:v>42917</c:v>
                </c:pt>
                <c:pt idx="121">
                  <c:v>42948</c:v>
                </c:pt>
                <c:pt idx="122">
                  <c:v>42979</c:v>
                </c:pt>
                <c:pt idx="123">
                  <c:v>43009</c:v>
                </c:pt>
                <c:pt idx="124">
                  <c:v>43040</c:v>
                </c:pt>
                <c:pt idx="125">
                  <c:v>43070</c:v>
                </c:pt>
                <c:pt idx="126">
                  <c:v>43101</c:v>
                </c:pt>
                <c:pt idx="127">
                  <c:v>43132</c:v>
                </c:pt>
                <c:pt idx="128">
                  <c:v>43160</c:v>
                </c:pt>
                <c:pt idx="129">
                  <c:v>43191</c:v>
                </c:pt>
                <c:pt idx="130">
                  <c:v>43221</c:v>
                </c:pt>
                <c:pt idx="131">
                  <c:v>43252</c:v>
                </c:pt>
                <c:pt idx="132">
                  <c:v>43282</c:v>
                </c:pt>
                <c:pt idx="133">
                  <c:v>43313</c:v>
                </c:pt>
                <c:pt idx="134">
                  <c:v>43344</c:v>
                </c:pt>
                <c:pt idx="135">
                  <c:v>43374</c:v>
                </c:pt>
                <c:pt idx="136">
                  <c:v>43405</c:v>
                </c:pt>
                <c:pt idx="137">
                  <c:v>43435</c:v>
                </c:pt>
                <c:pt idx="138">
                  <c:v>43466</c:v>
                </c:pt>
                <c:pt idx="139">
                  <c:v>43497</c:v>
                </c:pt>
                <c:pt idx="140">
                  <c:v>43525</c:v>
                </c:pt>
                <c:pt idx="141">
                  <c:v>43556</c:v>
                </c:pt>
                <c:pt idx="142">
                  <c:v>43586</c:v>
                </c:pt>
                <c:pt idx="143">
                  <c:v>43617</c:v>
                </c:pt>
                <c:pt idx="144">
                  <c:v>43647</c:v>
                </c:pt>
                <c:pt idx="145">
                  <c:v>43678</c:v>
                </c:pt>
                <c:pt idx="146">
                  <c:v>43709</c:v>
                </c:pt>
                <c:pt idx="147">
                  <c:v>43739</c:v>
                </c:pt>
                <c:pt idx="148">
                  <c:v>43770</c:v>
                </c:pt>
                <c:pt idx="149">
                  <c:v>43800</c:v>
                </c:pt>
                <c:pt idx="150">
                  <c:v>43831</c:v>
                </c:pt>
                <c:pt idx="151">
                  <c:v>43862</c:v>
                </c:pt>
                <c:pt idx="152">
                  <c:v>43891</c:v>
                </c:pt>
                <c:pt idx="153">
                  <c:v>43922</c:v>
                </c:pt>
                <c:pt idx="154">
                  <c:v>43952</c:v>
                </c:pt>
                <c:pt idx="155">
                  <c:v>43983</c:v>
                </c:pt>
                <c:pt idx="156">
                  <c:v>44013</c:v>
                </c:pt>
                <c:pt idx="157">
                  <c:v>44044</c:v>
                </c:pt>
                <c:pt idx="158">
                  <c:v>44075</c:v>
                </c:pt>
                <c:pt idx="159">
                  <c:v>44105</c:v>
                </c:pt>
                <c:pt idx="160">
                  <c:v>44136</c:v>
                </c:pt>
                <c:pt idx="161">
                  <c:v>44166</c:v>
                </c:pt>
                <c:pt idx="162">
                  <c:v>44197</c:v>
                </c:pt>
                <c:pt idx="163">
                  <c:v>44228</c:v>
                </c:pt>
                <c:pt idx="164">
                  <c:v>44256</c:v>
                </c:pt>
                <c:pt idx="165">
                  <c:v>44287</c:v>
                </c:pt>
                <c:pt idx="166">
                  <c:v>44317</c:v>
                </c:pt>
                <c:pt idx="167">
                  <c:v>44348</c:v>
                </c:pt>
                <c:pt idx="168">
                  <c:v>44378</c:v>
                </c:pt>
                <c:pt idx="169">
                  <c:v>44409</c:v>
                </c:pt>
                <c:pt idx="170">
                  <c:v>44440</c:v>
                </c:pt>
                <c:pt idx="171">
                  <c:v>44470</c:v>
                </c:pt>
                <c:pt idx="172">
                  <c:v>44501</c:v>
                </c:pt>
                <c:pt idx="173">
                  <c:v>44531</c:v>
                </c:pt>
                <c:pt idx="174">
                  <c:v>44562</c:v>
                </c:pt>
                <c:pt idx="175">
                  <c:v>44593</c:v>
                </c:pt>
                <c:pt idx="176">
                  <c:v>44621</c:v>
                </c:pt>
                <c:pt idx="177">
                  <c:v>44652</c:v>
                </c:pt>
                <c:pt idx="178">
                  <c:v>44682</c:v>
                </c:pt>
                <c:pt idx="179">
                  <c:v>44713</c:v>
                </c:pt>
                <c:pt idx="180">
                  <c:v>44743</c:v>
                </c:pt>
                <c:pt idx="181">
                  <c:v>44774</c:v>
                </c:pt>
                <c:pt idx="182">
                  <c:v>44805</c:v>
                </c:pt>
                <c:pt idx="183">
                  <c:v>44835</c:v>
                </c:pt>
              </c:numCache>
            </c:numRef>
          </c:cat>
          <c:val>
            <c:numRef>
              <c:f>EuroArea!$B$6:$B$189</c:f>
              <c:numCache>
                <c:formatCode>General</c:formatCode>
                <c:ptCount val="184"/>
                <c:pt idx="0">
                  <c:v>58.3</c:v>
                </c:pt>
                <c:pt idx="1">
                  <c:v>58</c:v>
                </c:pt>
                <c:pt idx="2">
                  <c:v>54.2</c:v>
                </c:pt>
                <c:pt idx="3">
                  <c:v>55.8</c:v>
                </c:pt>
                <c:pt idx="4">
                  <c:v>54.1</c:v>
                </c:pt>
                <c:pt idx="5">
                  <c:v>53.1</c:v>
                </c:pt>
                <c:pt idx="6">
                  <c:v>50.6</c:v>
                </c:pt>
                <c:pt idx="7">
                  <c:v>51.7</c:v>
                </c:pt>
                <c:pt idx="8">
                  <c:v>51.6</c:v>
                </c:pt>
                <c:pt idx="9">
                  <c:v>52</c:v>
                </c:pt>
                <c:pt idx="10">
                  <c:v>50.6</c:v>
                </c:pt>
                <c:pt idx="11">
                  <c:v>49.1</c:v>
                </c:pt>
                <c:pt idx="12">
                  <c:v>48.3</c:v>
                </c:pt>
                <c:pt idx="13">
                  <c:v>48.5</c:v>
                </c:pt>
                <c:pt idx="14">
                  <c:v>48.4</c:v>
                </c:pt>
                <c:pt idx="15">
                  <c:v>45.8</c:v>
                </c:pt>
                <c:pt idx="16">
                  <c:v>42.5</c:v>
                </c:pt>
                <c:pt idx="17">
                  <c:v>42.3</c:v>
                </c:pt>
                <c:pt idx="18">
                  <c:v>42.2</c:v>
                </c:pt>
                <c:pt idx="19">
                  <c:v>39.200000000000003</c:v>
                </c:pt>
                <c:pt idx="20">
                  <c:v>40.9</c:v>
                </c:pt>
                <c:pt idx="21">
                  <c:v>43.8</c:v>
                </c:pt>
                <c:pt idx="22">
                  <c:v>44.8</c:v>
                </c:pt>
                <c:pt idx="23">
                  <c:v>44.7</c:v>
                </c:pt>
                <c:pt idx="24">
                  <c:v>45.7</c:v>
                </c:pt>
                <c:pt idx="25">
                  <c:v>49.9</c:v>
                </c:pt>
                <c:pt idx="26">
                  <c:v>50.9</c:v>
                </c:pt>
                <c:pt idx="27">
                  <c:v>52.6</c:v>
                </c:pt>
                <c:pt idx="28">
                  <c:v>53</c:v>
                </c:pt>
                <c:pt idx="29">
                  <c:v>52.9</c:v>
                </c:pt>
                <c:pt idx="30">
                  <c:v>52.5</c:v>
                </c:pt>
                <c:pt idx="31">
                  <c:v>51.8</c:v>
                </c:pt>
                <c:pt idx="32">
                  <c:v>54.1</c:v>
                </c:pt>
                <c:pt idx="33">
                  <c:v>55.6</c:v>
                </c:pt>
                <c:pt idx="34">
                  <c:v>56.2</c:v>
                </c:pt>
                <c:pt idx="35">
                  <c:v>55.5</c:v>
                </c:pt>
                <c:pt idx="36">
                  <c:v>55.8</c:v>
                </c:pt>
                <c:pt idx="37">
                  <c:v>55.9</c:v>
                </c:pt>
                <c:pt idx="38">
                  <c:v>54.1</c:v>
                </c:pt>
                <c:pt idx="39">
                  <c:v>53.3</c:v>
                </c:pt>
                <c:pt idx="40">
                  <c:v>55.4</c:v>
                </c:pt>
                <c:pt idx="41">
                  <c:v>56.5</c:v>
                </c:pt>
                <c:pt idx="42">
                  <c:v>55.9</c:v>
                </c:pt>
                <c:pt idx="43">
                  <c:v>56.8</c:v>
                </c:pt>
                <c:pt idx="44">
                  <c:v>57.2</c:v>
                </c:pt>
                <c:pt idx="45">
                  <c:v>56.7</c:v>
                </c:pt>
                <c:pt idx="46">
                  <c:v>55.4</c:v>
                </c:pt>
                <c:pt idx="47">
                  <c:v>53.7</c:v>
                </c:pt>
                <c:pt idx="48">
                  <c:v>51.6</c:v>
                </c:pt>
                <c:pt idx="49">
                  <c:v>51.5</c:v>
                </c:pt>
                <c:pt idx="50">
                  <c:v>48.8</c:v>
                </c:pt>
                <c:pt idx="51">
                  <c:v>46.4</c:v>
                </c:pt>
                <c:pt idx="52">
                  <c:v>47.5</c:v>
                </c:pt>
                <c:pt idx="53">
                  <c:v>48.8</c:v>
                </c:pt>
                <c:pt idx="54">
                  <c:v>50.4</c:v>
                </c:pt>
                <c:pt idx="55">
                  <c:v>48.8</c:v>
                </c:pt>
                <c:pt idx="56">
                  <c:v>47.9</c:v>
                </c:pt>
                <c:pt idx="57">
                  <c:v>46.9</c:v>
                </c:pt>
                <c:pt idx="58">
                  <c:v>46.7</c:v>
                </c:pt>
                <c:pt idx="59">
                  <c:v>47.1</c:v>
                </c:pt>
                <c:pt idx="60">
                  <c:v>47.9</c:v>
                </c:pt>
                <c:pt idx="61">
                  <c:v>47.2</c:v>
                </c:pt>
                <c:pt idx="62">
                  <c:v>46.1</c:v>
                </c:pt>
                <c:pt idx="63">
                  <c:v>46</c:v>
                </c:pt>
                <c:pt idx="64">
                  <c:v>46.7</c:v>
                </c:pt>
                <c:pt idx="65">
                  <c:v>47.2</c:v>
                </c:pt>
                <c:pt idx="66">
                  <c:v>48.6</c:v>
                </c:pt>
                <c:pt idx="67">
                  <c:v>47.9</c:v>
                </c:pt>
                <c:pt idx="68">
                  <c:v>46.4</c:v>
                </c:pt>
                <c:pt idx="69">
                  <c:v>47</c:v>
                </c:pt>
                <c:pt idx="70">
                  <c:v>47.2</c:v>
                </c:pt>
                <c:pt idx="71">
                  <c:v>48.3</c:v>
                </c:pt>
                <c:pt idx="72">
                  <c:v>49.8</c:v>
                </c:pt>
                <c:pt idx="73">
                  <c:v>50.7</c:v>
                </c:pt>
                <c:pt idx="74">
                  <c:v>52.2</c:v>
                </c:pt>
                <c:pt idx="75">
                  <c:v>51.6</c:v>
                </c:pt>
                <c:pt idx="76">
                  <c:v>51.2</c:v>
                </c:pt>
                <c:pt idx="77">
                  <c:v>51</c:v>
                </c:pt>
                <c:pt idx="78">
                  <c:v>51.6</c:v>
                </c:pt>
                <c:pt idx="79">
                  <c:v>52.6</c:v>
                </c:pt>
                <c:pt idx="80">
                  <c:v>52.2</c:v>
                </c:pt>
                <c:pt idx="81">
                  <c:v>53.1</c:v>
                </c:pt>
                <c:pt idx="82">
                  <c:v>53.2</c:v>
                </c:pt>
                <c:pt idx="83">
                  <c:v>52.8</c:v>
                </c:pt>
                <c:pt idx="84">
                  <c:v>54.2</c:v>
                </c:pt>
                <c:pt idx="85">
                  <c:v>53.1</c:v>
                </c:pt>
                <c:pt idx="86">
                  <c:v>52.4</c:v>
                </c:pt>
                <c:pt idx="87">
                  <c:v>52.3</c:v>
                </c:pt>
                <c:pt idx="88">
                  <c:v>51.1</c:v>
                </c:pt>
                <c:pt idx="89">
                  <c:v>51.6</c:v>
                </c:pt>
                <c:pt idx="90">
                  <c:v>52.7</c:v>
                </c:pt>
                <c:pt idx="91">
                  <c:v>53.7</c:v>
                </c:pt>
                <c:pt idx="92">
                  <c:v>54.2</c:v>
                </c:pt>
                <c:pt idx="93">
                  <c:v>54.1</c:v>
                </c:pt>
                <c:pt idx="94">
                  <c:v>53.8</c:v>
                </c:pt>
                <c:pt idx="95">
                  <c:v>54.4</c:v>
                </c:pt>
                <c:pt idx="96">
                  <c:v>54</c:v>
                </c:pt>
                <c:pt idx="97">
                  <c:v>54.4</c:v>
                </c:pt>
                <c:pt idx="98">
                  <c:v>53.7</c:v>
                </c:pt>
                <c:pt idx="99">
                  <c:v>54.1</c:v>
                </c:pt>
                <c:pt idx="100">
                  <c:v>54.2</c:v>
                </c:pt>
                <c:pt idx="101">
                  <c:v>54.2</c:v>
                </c:pt>
                <c:pt idx="102">
                  <c:v>53.6</c:v>
                </c:pt>
                <c:pt idx="103">
                  <c:v>53.3</c:v>
                </c:pt>
                <c:pt idx="104">
                  <c:v>53.1</c:v>
                </c:pt>
                <c:pt idx="105">
                  <c:v>53.1</c:v>
                </c:pt>
                <c:pt idx="106">
                  <c:v>53.3</c:v>
                </c:pt>
                <c:pt idx="107">
                  <c:v>52.8</c:v>
                </c:pt>
                <c:pt idx="108">
                  <c:v>52.9</c:v>
                </c:pt>
                <c:pt idx="109">
                  <c:v>52.8</c:v>
                </c:pt>
                <c:pt idx="110">
                  <c:v>52.2</c:v>
                </c:pt>
                <c:pt idx="111">
                  <c:v>52.8</c:v>
                </c:pt>
                <c:pt idx="112">
                  <c:v>53.8</c:v>
                </c:pt>
                <c:pt idx="113">
                  <c:v>53.7</c:v>
                </c:pt>
                <c:pt idx="114">
                  <c:v>53.7</c:v>
                </c:pt>
                <c:pt idx="115">
                  <c:v>55.5</c:v>
                </c:pt>
                <c:pt idx="116">
                  <c:v>56</c:v>
                </c:pt>
                <c:pt idx="117">
                  <c:v>56.4</c:v>
                </c:pt>
                <c:pt idx="118">
                  <c:v>56.3</c:v>
                </c:pt>
                <c:pt idx="119">
                  <c:v>55.4</c:v>
                </c:pt>
                <c:pt idx="120">
                  <c:v>55.4</c:v>
                </c:pt>
                <c:pt idx="121">
                  <c:v>54.7</c:v>
                </c:pt>
                <c:pt idx="122">
                  <c:v>55.8</c:v>
                </c:pt>
                <c:pt idx="123">
                  <c:v>55</c:v>
                </c:pt>
                <c:pt idx="124">
                  <c:v>56.2</c:v>
                </c:pt>
                <c:pt idx="125">
                  <c:v>56.6</c:v>
                </c:pt>
                <c:pt idx="126">
                  <c:v>58</c:v>
                </c:pt>
                <c:pt idx="127">
                  <c:v>56.2</c:v>
                </c:pt>
                <c:pt idx="128">
                  <c:v>54.9</c:v>
                </c:pt>
                <c:pt idx="129">
                  <c:v>54.7</c:v>
                </c:pt>
                <c:pt idx="130">
                  <c:v>53.8</c:v>
                </c:pt>
                <c:pt idx="131">
                  <c:v>55.2</c:v>
                </c:pt>
                <c:pt idx="132">
                  <c:v>54.2</c:v>
                </c:pt>
                <c:pt idx="133">
                  <c:v>54.4</c:v>
                </c:pt>
                <c:pt idx="134">
                  <c:v>54.7</c:v>
                </c:pt>
                <c:pt idx="135">
                  <c:v>53.7</c:v>
                </c:pt>
                <c:pt idx="136">
                  <c:v>53.4</c:v>
                </c:pt>
                <c:pt idx="137">
                  <c:v>51.2</c:v>
                </c:pt>
                <c:pt idx="138">
                  <c:v>51.2</c:v>
                </c:pt>
                <c:pt idx="139">
                  <c:v>52.8</c:v>
                </c:pt>
                <c:pt idx="140">
                  <c:v>53.3</c:v>
                </c:pt>
                <c:pt idx="141">
                  <c:v>52.8</c:v>
                </c:pt>
                <c:pt idx="142">
                  <c:v>52.9</c:v>
                </c:pt>
                <c:pt idx="143">
                  <c:v>53.6</c:v>
                </c:pt>
                <c:pt idx="144">
                  <c:v>53.2</c:v>
                </c:pt>
                <c:pt idx="145">
                  <c:v>53.5</c:v>
                </c:pt>
                <c:pt idx="146">
                  <c:v>51.6</c:v>
                </c:pt>
                <c:pt idx="147">
                  <c:v>52.2</c:v>
                </c:pt>
                <c:pt idx="148">
                  <c:v>51.9</c:v>
                </c:pt>
                <c:pt idx="149">
                  <c:v>52.8</c:v>
                </c:pt>
                <c:pt idx="150">
                  <c:v>52.5</c:v>
                </c:pt>
                <c:pt idx="151">
                  <c:v>52.6</c:v>
                </c:pt>
                <c:pt idx="152">
                  <c:v>26.4</c:v>
                </c:pt>
                <c:pt idx="153">
                  <c:v>12</c:v>
                </c:pt>
                <c:pt idx="154">
                  <c:v>30.5</c:v>
                </c:pt>
                <c:pt idx="155">
                  <c:v>48.3</c:v>
                </c:pt>
                <c:pt idx="156">
                  <c:v>54.7</c:v>
                </c:pt>
                <c:pt idx="157">
                  <c:v>50.5</c:v>
                </c:pt>
                <c:pt idx="158">
                  <c:v>48</c:v>
                </c:pt>
                <c:pt idx="159">
                  <c:v>46.9</c:v>
                </c:pt>
                <c:pt idx="160">
                  <c:v>41.7</c:v>
                </c:pt>
                <c:pt idx="161">
                  <c:v>46.4</c:v>
                </c:pt>
                <c:pt idx="162">
                  <c:v>45.4</c:v>
                </c:pt>
                <c:pt idx="163">
                  <c:v>45.7</c:v>
                </c:pt>
                <c:pt idx="164">
                  <c:v>49.6</c:v>
                </c:pt>
                <c:pt idx="165">
                  <c:v>50.5</c:v>
                </c:pt>
                <c:pt idx="166">
                  <c:v>55.2</c:v>
                </c:pt>
                <c:pt idx="167">
                  <c:v>58.3</c:v>
                </c:pt>
                <c:pt idx="168">
                  <c:v>59.8</c:v>
                </c:pt>
                <c:pt idx="169">
                  <c:v>59</c:v>
                </c:pt>
                <c:pt idx="170">
                  <c:v>56.4</c:v>
                </c:pt>
                <c:pt idx="171">
                  <c:v>54.6</c:v>
                </c:pt>
                <c:pt idx="172">
                  <c:v>55.9</c:v>
                </c:pt>
                <c:pt idx="173">
                  <c:v>53.1</c:v>
                </c:pt>
                <c:pt idx="174">
                  <c:v>51.1</c:v>
                </c:pt>
                <c:pt idx="175">
                  <c:v>55.8</c:v>
                </c:pt>
                <c:pt idx="176">
                  <c:v>54.8</c:v>
                </c:pt>
                <c:pt idx="177">
                  <c:v>57.7</c:v>
                </c:pt>
                <c:pt idx="178">
                  <c:v>56.3</c:v>
                </c:pt>
                <c:pt idx="179">
                  <c:v>52.8</c:v>
                </c:pt>
                <c:pt idx="180">
                  <c:v>51.2</c:v>
                </c:pt>
                <c:pt idx="181">
                  <c:v>49.8</c:v>
                </c:pt>
                <c:pt idx="182">
                  <c:v>48.8</c:v>
                </c:pt>
                <c:pt idx="183">
                  <c:v>48.6</c:v>
                </c:pt>
              </c:numCache>
            </c:numRef>
          </c:val>
          <c:smooth val="0"/>
          <c:extLst>
            <c:ext xmlns:c16="http://schemas.microsoft.com/office/drawing/2014/chart" uri="{C3380CC4-5D6E-409C-BE32-E72D297353CC}">
              <c16:uniqueId val="{00000000-CEB2-634B-89AF-BA097DFA148F}"/>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China!$J$2</c:f>
          <c:strCache>
            <c:ptCount val="1"/>
            <c:pt idx="0">
              <c:v>China Services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China!$B$5</c:f>
              <c:strCache>
                <c:ptCount val="1"/>
                <c:pt idx="0">
                  <c:v>PMI</c:v>
                </c:pt>
              </c:strCache>
            </c:strRef>
          </c:tx>
          <c:spPr>
            <a:ln>
              <a:prstDash val="solid"/>
            </a:ln>
          </c:spPr>
          <c:marker>
            <c:symbol val="none"/>
          </c:marker>
          <c:cat>
            <c:numRef>
              <c:f>China!$A$6:$A$150</c:f>
              <c:numCache>
                <c:formatCode>m/d/yy</c:formatCode>
                <c:ptCount val="145"/>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pt idx="136">
                  <c:v>44593</c:v>
                </c:pt>
                <c:pt idx="137">
                  <c:v>44621</c:v>
                </c:pt>
                <c:pt idx="138">
                  <c:v>44652</c:v>
                </c:pt>
                <c:pt idx="139">
                  <c:v>44682</c:v>
                </c:pt>
                <c:pt idx="140">
                  <c:v>44713</c:v>
                </c:pt>
                <c:pt idx="141">
                  <c:v>44743</c:v>
                </c:pt>
                <c:pt idx="142">
                  <c:v>44774</c:v>
                </c:pt>
                <c:pt idx="143">
                  <c:v>44805</c:v>
                </c:pt>
                <c:pt idx="144">
                  <c:v>44835</c:v>
                </c:pt>
              </c:numCache>
            </c:numRef>
          </c:cat>
          <c:val>
            <c:numRef>
              <c:f>China!$B$6:$B$150</c:f>
              <c:numCache>
                <c:formatCode>General</c:formatCode>
                <c:ptCount val="145"/>
                <c:pt idx="0">
                  <c:v>60.5</c:v>
                </c:pt>
                <c:pt idx="1">
                  <c:v>53.2</c:v>
                </c:pt>
                <c:pt idx="2">
                  <c:v>48.1</c:v>
                </c:pt>
                <c:pt idx="3">
                  <c:v>46.5</c:v>
                </c:pt>
                <c:pt idx="4">
                  <c:v>44.1</c:v>
                </c:pt>
                <c:pt idx="5">
                  <c:v>60.2</c:v>
                </c:pt>
                <c:pt idx="6">
                  <c:v>62.5</c:v>
                </c:pt>
                <c:pt idx="7">
                  <c:v>61.9</c:v>
                </c:pt>
                <c:pt idx="8">
                  <c:v>57</c:v>
                </c:pt>
                <c:pt idx="9">
                  <c:v>59.6</c:v>
                </c:pt>
                <c:pt idx="10">
                  <c:v>58.1</c:v>
                </c:pt>
                <c:pt idx="11">
                  <c:v>57</c:v>
                </c:pt>
                <c:pt idx="12">
                  <c:v>54.6</c:v>
                </c:pt>
                <c:pt idx="13">
                  <c:v>49.7</c:v>
                </c:pt>
                <c:pt idx="14">
                  <c:v>56</c:v>
                </c:pt>
                <c:pt idx="15">
                  <c:v>52.5</c:v>
                </c:pt>
                <c:pt idx="16">
                  <c:v>53.9</c:v>
                </c:pt>
                <c:pt idx="17">
                  <c:v>53.3</c:v>
                </c:pt>
                <c:pt idx="18">
                  <c:v>54.1</c:v>
                </c:pt>
                <c:pt idx="19">
                  <c:v>54.7</c:v>
                </c:pt>
                <c:pt idx="20">
                  <c:v>52.3</c:v>
                </c:pt>
                <c:pt idx="21">
                  <c:v>53.1</c:v>
                </c:pt>
                <c:pt idx="22">
                  <c:v>52</c:v>
                </c:pt>
                <c:pt idx="23">
                  <c:v>54.3</c:v>
                </c:pt>
                <c:pt idx="24">
                  <c:v>53.5</c:v>
                </c:pt>
                <c:pt idx="25">
                  <c:v>52.1</c:v>
                </c:pt>
                <c:pt idx="26">
                  <c:v>53.5</c:v>
                </c:pt>
                <c:pt idx="27">
                  <c:v>54</c:v>
                </c:pt>
                <c:pt idx="28">
                  <c:v>52.1</c:v>
                </c:pt>
                <c:pt idx="29">
                  <c:v>54.3</c:v>
                </c:pt>
                <c:pt idx="30">
                  <c:v>51.1</c:v>
                </c:pt>
                <c:pt idx="31">
                  <c:v>51.2</c:v>
                </c:pt>
                <c:pt idx="32">
                  <c:v>51.3</c:v>
                </c:pt>
                <c:pt idx="33">
                  <c:v>51.3</c:v>
                </c:pt>
                <c:pt idx="34">
                  <c:v>52.8</c:v>
                </c:pt>
                <c:pt idx="35">
                  <c:v>52.4</c:v>
                </c:pt>
                <c:pt idx="36">
                  <c:v>52.6</c:v>
                </c:pt>
                <c:pt idx="37">
                  <c:v>52.5</c:v>
                </c:pt>
                <c:pt idx="38">
                  <c:v>51.4</c:v>
                </c:pt>
                <c:pt idx="39">
                  <c:v>50.7</c:v>
                </c:pt>
                <c:pt idx="40">
                  <c:v>51</c:v>
                </c:pt>
                <c:pt idx="41">
                  <c:v>51.9</c:v>
                </c:pt>
                <c:pt idx="42">
                  <c:v>51.4</c:v>
                </c:pt>
                <c:pt idx="43">
                  <c:v>50.7</c:v>
                </c:pt>
                <c:pt idx="44">
                  <c:v>53.1</c:v>
                </c:pt>
                <c:pt idx="45">
                  <c:v>50</c:v>
                </c:pt>
                <c:pt idx="46">
                  <c:v>54.1</c:v>
                </c:pt>
                <c:pt idx="47">
                  <c:v>53.5</c:v>
                </c:pt>
                <c:pt idx="48">
                  <c:v>52.9</c:v>
                </c:pt>
                <c:pt idx="49">
                  <c:v>53</c:v>
                </c:pt>
                <c:pt idx="50">
                  <c:v>53.4</c:v>
                </c:pt>
                <c:pt idx="51">
                  <c:v>51.8</c:v>
                </c:pt>
                <c:pt idx="52">
                  <c:v>52</c:v>
                </c:pt>
                <c:pt idx="53">
                  <c:v>52.3</c:v>
                </c:pt>
                <c:pt idx="54">
                  <c:v>52.9</c:v>
                </c:pt>
                <c:pt idx="55">
                  <c:v>53.5</c:v>
                </c:pt>
                <c:pt idx="56">
                  <c:v>51.8</c:v>
                </c:pt>
                <c:pt idx="57">
                  <c:v>53.8</c:v>
                </c:pt>
                <c:pt idx="58">
                  <c:v>51.5</c:v>
                </c:pt>
                <c:pt idx="59">
                  <c:v>50.5</c:v>
                </c:pt>
                <c:pt idx="60">
                  <c:v>52</c:v>
                </c:pt>
                <c:pt idx="61">
                  <c:v>51.2</c:v>
                </c:pt>
                <c:pt idx="62">
                  <c:v>50.2</c:v>
                </c:pt>
                <c:pt idx="63">
                  <c:v>52.4</c:v>
                </c:pt>
                <c:pt idx="64">
                  <c:v>51.2</c:v>
                </c:pt>
                <c:pt idx="65">
                  <c:v>52.2</c:v>
                </c:pt>
                <c:pt idx="66">
                  <c:v>51.8</c:v>
                </c:pt>
                <c:pt idx="67">
                  <c:v>51.2</c:v>
                </c:pt>
                <c:pt idx="68">
                  <c:v>52.7</c:v>
                </c:pt>
                <c:pt idx="69">
                  <c:v>51.7</c:v>
                </c:pt>
                <c:pt idx="70">
                  <c:v>52.1</c:v>
                </c:pt>
                <c:pt idx="71">
                  <c:v>51</c:v>
                </c:pt>
                <c:pt idx="72">
                  <c:v>52.4</c:v>
                </c:pt>
                <c:pt idx="73">
                  <c:v>53.1</c:v>
                </c:pt>
                <c:pt idx="74">
                  <c:v>53.4</c:v>
                </c:pt>
                <c:pt idx="75">
                  <c:v>53.1</c:v>
                </c:pt>
                <c:pt idx="76">
                  <c:v>52.6</c:v>
                </c:pt>
                <c:pt idx="77">
                  <c:v>52.2</c:v>
                </c:pt>
                <c:pt idx="78">
                  <c:v>51.5</c:v>
                </c:pt>
                <c:pt idx="79">
                  <c:v>52.8</c:v>
                </c:pt>
                <c:pt idx="80">
                  <c:v>51.6</c:v>
                </c:pt>
                <c:pt idx="81">
                  <c:v>51.5</c:v>
                </c:pt>
                <c:pt idx="82">
                  <c:v>52.7</c:v>
                </c:pt>
                <c:pt idx="83">
                  <c:v>50.6</c:v>
                </c:pt>
                <c:pt idx="84">
                  <c:v>51.2</c:v>
                </c:pt>
                <c:pt idx="85">
                  <c:v>51.9</c:v>
                </c:pt>
                <c:pt idx="86">
                  <c:v>53.9</c:v>
                </c:pt>
                <c:pt idx="87">
                  <c:v>54.7</c:v>
                </c:pt>
                <c:pt idx="88">
                  <c:v>54.2</c:v>
                </c:pt>
                <c:pt idx="89">
                  <c:v>52.3</c:v>
                </c:pt>
                <c:pt idx="90">
                  <c:v>52.9</c:v>
                </c:pt>
                <c:pt idx="91">
                  <c:v>52.9</c:v>
                </c:pt>
                <c:pt idx="92">
                  <c:v>53.9</c:v>
                </c:pt>
                <c:pt idx="93">
                  <c:v>52.8</c:v>
                </c:pt>
                <c:pt idx="94">
                  <c:v>51.5</c:v>
                </c:pt>
                <c:pt idx="95">
                  <c:v>53.1</c:v>
                </c:pt>
                <c:pt idx="96">
                  <c:v>50.8</c:v>
                </c:pt>
                <c:pt idx="97">
                  <c:v>53.8</c:v>
                </c:pt>
                <c:pt idx="98">
                  <c:v>53.9</c:v>
                </c:pt>
                <c:pt idx="99">
                  <c:v>53.6</c:v>
                </c:pt>
                <c:pt idx="100">
                  <c:v>51.1</c:v>
                </c:pt>
                <c:pt idx="101">
                  <c:v>54.4</c:v>
                </c:pt>
                <c:pt idx="102">
                  <c:v>54.5</c:v>
                </c:pt>
                <c:pt idx="103">
                  <c:v>52.7</c:v>
                </c:pt>
                <c:pt idx="104">
                  <c:v>52</c:v>
                </c:pt>
                <c:pt idx="105">
                  <c:v>51.6</c:v>
                </c:pt>
                <c:pt idx="106">
                  <c:v>52.1</c:v>
                </c:pt>
                <c:pt idx="107">
                  <c:v>51.3</c:v>
                </c:pt>
                <c:pt idx="108">
                  <c:v>51.1</c:v>
                </c:pt>
                <c:pt idx="109">
                  <c:v>53.5</c:v>
                </c:pt>
                <c:pt idx="110">
                  <c:v>52.5</c:v>
                </c:pt>
                <c:pt idx="111">
                  <c:v>51.8</c:v>
                </c:pt>
                <c:pt idx="112">
                  <c:v>26.5</c:v>
                </c:pt>
                <c:pt idx="113">
                  <c:v>43</c:v>
                </c:pt>
                <c:pt idx="114">
                  <c:v>44.4</c:v>
                </c:pt>
                <c:pt idx="115">
                  <c:v>55</c:v>
                </c:pt>
                <c:pt idx="116">
                  <c:v>58.4</c:v>
                </c:pt>
                <c:pt idx="117">
                  <c:v>54.1</c:v>
                </c:pt>
                <c:pt idx="118">
                  <c:v>54</c:v>
                </c:pt>
                <c:pt idx="119">
                  <c:v>54.8</c:v>
                </c:pt>
                <c:pt idx="120">
                  <c:v>56.8</c:v>
                </c:pt>
                <c:pt idx="121">
                  <c:v>57.8</c:v>
                </c:pt>
                <c:pt idx="122">
                  <c:v>56.3</c:v>
                </c:pt>
                <c:pt idx="123">
                  <c:v>52</c:v>
                </c:pt>
                <c:pt idx="124">
                  <c:v>51.5</c:v>
                </c:pt>
                <c:pt idx="125">
                  <c:v>54.3</c:v>
                </c:pt>
                <c:pt idx="126">
                  <c:v>56.3</c:v>
                </c:pt>
                <c:pt idx="127">
                  <c:v>55.1</c:v>
                </c:pt>
                <c:pt idx="128">
                  <c:v>50.3</c:v>
                </c:pt>
                <c:pt idx="129">
                  <c:v>54.9</c:v>
                </c:pt>
                <c:pt idx="130">
                  <c:v>46.7</c:v>
                </c:pt>
                <c:pt idx="131">
                  <c:v>53.4</c:v>
                </c:pt>
                <c:pt idx="132">
                  <c:v>53.8</c:v>
                </c:pt>
                <c:pt idx="133">
                  <c:v>52.1</c:v>
                </c:pt>
                <c:pt idx="134">
                  <c:v>53.1</c:v>
                </c:pt>
                <c:pt idx="135">
                  <c:v>51.4</c:v>
                </c:pt>
                <c:pt idx="136">
                  <c:v>50.2</c:v>
                </c:pt>
                <c:pt idx="137">
                  <c:v>42</c:v>
                </c:pt>
                <c:pt idx="138">
                  <c:v>36.200000000000003</c:v>
                </c:pt>
                <c:pt idx="139">
                  <c:v>41.4</c:v>
                </c:pt>
                <c:pt idx="140">
                  <c:v>54.5</c:v>
                </c:pt>
                <c:pt idx="141">
                  <c:v>55.5</c:v>
                </c:pt>
                <c:pt idx="142">
                  <c:v>55</c:v>
                </c:pt>
                <c:pt idx="143">
                  <c:v>49.3</c:v>
                </c:pt>
                <c:pt idx="144">
                  <c:v>48.4</c:v>
                </c:pt>
              </c:numCache>
            </c:numRef>
          </c:val>
          <c:smooth val="0"/>
          <c:extLst>
            <c:ext xmlns:c16="http://schemas.microsoft.com/office/drawing/2014/chart" uri="{C3380CC4-5D6E-409C-BE32-E72D297353CC}">
              <c16:uniqueId val="{00000000-3CBB-B045-AE5F-3372F4F4E2D6}"/>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France!$J$2</c:f>
          <c:strCache>
            <c:ptCount val="1"/>
            <c:pt idx="0">
              <c:v>France Services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France!$B$5</c:f>
              <c:strCache>
                <c:ptCount val="1"/>
                <c:pt idx="0">
                  <c:v>PMI</c:v>
                </c:pt>
              </c:strCache>
            </c:strRef>
          </c:tx>
          <c:spPr>
            <a:ln>
              <a:prstDash val="solid"/>
            </a:ln>
          </c:spPr>
          <c:marker>
            <c:symbol val="none"/>
          </c:marker>
          <c:cat>
            <c:numRef>
              <c:f>France!$A$6:$A$177</c:f>
              <c:numCache>
                <c:formatCode>m/d/yy</c:formatCode>
                <c:ptCount val="172"/>
                <c:pt idx="0">
                  <c:v>39661</c:v>
                </c:pt>
                <c:pt idx="1">
                  <c:v>39692</c:v>
                </c:pt>
                <c:pt idx="2">
                  <c:v>39722</c:v>
                </c:pt>
                <c:pt idx="3">
                  <c:v>39753</c:v>
                </c:pt>
                <c:pt idx="4">
                  <c:v>39783</c:v>
                </c:pt>
                <c:pt idx="5">
                  <c:v>39814</c:v>
                </c:pt>
                <c:pt idx="6">
                  <c:v>39845</c:v>
                </c:pt>
                <c:pt idx="7">
                  <c:v>39873</c:v>
                </c:pt>
                <c:pt idx="8">
                  <c:v>39904</c:v>
                </c:pt>
                <c:pt idx="9">
                  <c:v>39934</c:v>
                </c:pt>
                <c:pt idx="10">
                  <c:v>39965</c:v>
                </c:pt>
                <c:pt idx="11">
                  <c:v>39995</c:v>
                </c:pt>
                <c:pt idx="12">
                  <c:v>40026</c:v>
                </c:pt>
                <c:pt idx="13">
                  <c:v>40057</c:v>
                </c:pt>
                <c:pt idx="14">
                  <c:v>40087</c:v>
                </c:pt>
                <c:pt idx="15">
                  <c:v>40118</c:v>
                </c:pt>
                <c:pt idx="16">
                  <c:v>40148</c:v>
                </c:pt>
                <c:pt idx="17">
                  <c:v>40179</c:v>
                </c:pt>
                <c:pt idx="18">
                  <c:v>40210</c:v>
                </c:pt>
                <c:pt idx="19">
                  <c:v>40238</c:v>
                </c:pt>
                <c:pt idx="20">
                  <c:v>40269</c:v>
                </c:pt>
                <c:pt idx="21">
                  <c:v>40299</c:v>
                </c:pt>
                <c:pt idx="22">
                  <c:v>40330</c:v>
                </c:pt>
                <c:pt idx="23">
                  <c:v>40360</c:v>
                </c:pt>
                <c:pt idx="24">
                  <c:v>40391</c:v>
                </c:pt>
                <c:pt idx="25">
                  <c:v>40422</c:v>
                </c:pt>
                <c:pt idx="26">
                  <c:v>40452</c:v>
                </c:pt>
                <c:pt idx="27">
                  <c:v>40483</c:v>
                </c:pt>
                <c:pt idx="28">
                  <c:v>40513</c:v>
                </c:pt>
                <c:pt idx="29">
                  <c:v>40544</c:v>
                </c:pt>
                <c:pt idx="30">
                  <c:v>40575</c:v>
                </c:pt>
                <c:pt idx="31">
                  <c:v>40603</c:v>
                </c:pt>
                <c:pt idx="32">
                  <c:v>40634</c:v>
                </c:pt>
                <c:pt idx="33">
                  <c:v>40664</c:v>
                </c:pt>
                <c:pt idx="34">
                  <c:v>40695</c:v>
                </c:pt>
                <c:pt idx="35">
                  <c:v>40725</c:v>
                </c:pt>
                <c:pt idx="36">
                  <c:v>40756</c:v>
                </c:pt>
                <c:pt idx="37">
                  <c:v>40787</c:v>
                </c:pt>
                <c:pt idx="38">
                  <c:v>40817</c:v>
                </c:pt>
                <c:pt idx="39">
                  <c:v>40848</c:v>
                </c:pt>
                <c:pt idx="40">
                  <c:v>40878</c:v>
                </c:pt>
                <c:pt idx="41">
                  <c:v>40909</c:v>
                </c:pt>
                <c:pt idx="42">
                  <c:v>40940</c:v>
                </c:pt>
                <c:pt idx="43">
                  <c:v>40969</c:v>
                </c:pt>
                <c:pt idx="44">
                  <c:v>41000</c:v>
                </c:pt>
                <c:pt idx="45">
                  <c:v>41030</c:v>
                </c:pt>
                <c:pt idx="46">
                  <c:v>41061</c:v>
                </c:pt>
                <c:pt idx="47">
                  <c:v>41091</c:v>
                </c:pt>
                <c:pt idx="48">
                  <c:v>41122</c:v>
                </c:pt>
                <c:pt idx="49">
                  <c:v>41153</c:v>
                </c:pt>
                <c:pt idx="50">
                  <c:v>41183</c:v>
                </c:pt>
                <c:pt idx="51">
                  <c:v>41214</c:v>
                </c:pt>
                <c:pt idx="52">
                  <c:v>41244</c:v>
                </c:pt>
                <c:pt idx="53">
                  <c:v>41275</c:v>
                </c:pt>
                <c:pt idx="54">
                  <c:v>41306</c:v>
                </c:pt>
                <c:pt idx="55">
                  <c:v>41334</c:v>
                </c:pt>
                <c:pt idx="56">
                  <c:v>41365</c:v>
                </c:pt>
                <c:pt idx="57">
                  <c:v>41395</c:v>
                </c:pt>
                <c:pt idx="58">
                  <c:v>41426</c:v>
                </c:pt>
                <c:pt idx="59">
                  <c:v>41456</c:v>
                </c:pt>
                <c:pt idx="60">
                  <c:v>41487</c:v>
                </c:pt>
                <c:pt idx="61">
                  <c:v>41518</c:v>
                </c:pt>
                <c:pt idx="62">
                  <c:v>41548</c:v>
                </c:pt>
                <c:pt idx="63">
                  <c:v>41579</c:v>
                </c:pt>
                <c:pt idx="64">
                  <c:v>41609</c:v>
                </c:pt>
                <c:pt idx="65">
                  <c:v>41640</c:v>
                </c:pt>
                <c:pt idx="66">
                  <c:v>41671</c:v>
                </c:pt>
                <c:pt idx="67">
                  <c:v>41699</c:v>
                </c:pt>
                <c:pt idx="68">
                  <c:v>41730</c:v>
                </c:pt>
                <c:pt idx="69">
                  <c:v>41760</c:v>
                </c:pt>
                <c:pt idx="70">
                  <c:v>41791</c:v>
                </c:pt>
                <c:pt idx="71">
                  <c:v>41821</c:v>
                </c:pt>
                <c:pt idx="72">
                  <c:v>41852</c:v>
                </c:pt>
                <c:pt idx="73">
                  <c:v>41883</c:v>
                </c:pt>
                <c:pt idx="74">
                  <c:v>41913</c:v>
                </c:pt>
                <c:pt idx="75">
                  <c:v>41944</c:v>
                </c:pt>
                <c:pt idx="76">
                  <c:v>41974</c:v>
                </c:pt>
                <c:pt idx="77">
                  <c:v>42005</c:v>
                </c:pt>
                <c:pt idx="78">
                  <c:v>42036</c:v>
                </c:pt>
                <c:pt idx="79">
                  <c:v>42064</c:v>
                </c:pt>
                <c:pt idx="80">
                  <c:v>42095</c:v>
                </c:pt>
                <c:pt idx="81">
                  <c:v>42125</c:v>
                </c:pt>
                <c:pt idx="82">
                  <c:v>42156</c:v>
                </c:pt>
                <c:pt idx="83">
                  <c:v>42186</c:v>
                </c:pt>
                <c:pt idx="84">
                  <c:v>42217</c:v>
                </c:pt>
                <c:pt idx="85">
                  <c:v>42248</c:v>
                </c:pt>
                <c:pt idx="86">
                  <c:v>42278</c:v>
                </c:pt>
                <c:pt idx="87">
                  <c:v>42309</c:v>
                </c:pt>
                <c:pt idx="88">
                  <c:v>42339</c:v>
                </c:pt>
                <c:pt idx="89">
                  <c:v>42370</c:v>
                </c:pt>
                <c:pt idx="90">
                  <c:v>42401</c:v>
                </c:pt>
                <c:pt idx="91">
                  <c:v>42430</c:v>
                </c:pt>
                <c:pt idx="92">
                  <c:v>42461</c:v>
                </c:pt>
                <c:pt idx="93">
                  <c:v>42491</c:v>
                </c:pt>
                <c:pt idx="94">
                  <c:v>42522</c:v>
                </c:pt>
                <c:pt idx="95">
                  <c:v>42552</c:v>
                </c:pt>
                <c:pt idx="96">
                  <c:v>42583</c:v>
                </c:pt>
                <c:pt idx="97">
                  <c:v>42614</c:v>
                </c:pt>
                <c:pt idx="98">
                  <c:v>42644</c:v>
                </c:pt>
                <c:pt idx="99">
                  <c:v>42675</c:v>
                </c:pt>
                <c:pt idx="100">
                  <c:v>42705</c:v>
                </c:pt>
                <c:pt idx="101">
                  <c:v>42736</c:v>
                </c:pt>
                <c:pt idx="102">
                  <c:v>42767</c:v>
                </c:pt>
                <c:pt idx="103">
                  <c:v>42795</c:v>
                </c:pt>
                <c:pt idx="104">
                  <c:v>42826</c:v>
                </c:pt>
                <c:pt idx="105">
                  <c:v>42856</c:v>
                </c:pt>
                <c:pt idx="106">
                  <c:v>42887</c:v>
                </c:pt>
                <c:pt idx="107">
                  <c:v>42917</c:v>
                </c:pt>
                <c:pt idx="108">
                  <c:v>42948</c:v>
                </c:pt>
                <c:pt idx="109">
                  <c:v>42979</c:v>
                </c:pt>
                <c:pt idx="110">
                  <c:v>43009</c:v>
                </c:pt>
                <c:pt idx="111">
                  <c:v>43040</c:v>
                </c:pt>
                <c:pt idx="112">
                  <c:v>43070</c:v>
                </c:pt>
                <c:pt idx="113">
                  <c:v>43101</c:v>
                </c:pt>
                <c:pt idx="114">
                  <c:v>43132</c:v>
                </c:pt>
                <c:pt idx="115">
                  <c:v>43160</c:v>
                </c:pt>
                <c:pt idx="116">
                  <c:v>43191</c:v>
                </c:pt>
                <c:pt idx="117">
                  <c:v>43221</c:v>
                </c:pt>
                <c:pt idx="118">
                  <c:v>43252</c:v>
                </c:pt>
                <c:pt idx="119">
                  <c:v>43282</c:v>
                </c:pt>
                <c:pt idx="120">
                  <c:v>43313</c:v>
                </c:pt>
                <c:pt idx="121">
                  <c:v>43344</c:v>
                </c:pt>
                <c:pt idx="122">
                  <c:v>43374</c:v>
                </c:pt>
                <c:pt idx="123">
                  <c:v>43405</c:v>
                </c:pt>
                <c:pt idx="124">
                  <c:v>43435</c:v>
                </c:pt>
                <c:pt idx="125">
                  <c:v>43466</c:v>
                </c:pt>
                <c:pt idx="126">
                  <c:v>43497</c:v>
                </c:pt>
                <c:pt idx="127">
                  <c:v>43525</c:v>
                </c:pt>
                <c:pt idx="128">
                  <c:v>43556</c:v>
                </c:pt>
                <c:pt idx="129">
                  <c:v>43586</c:v>
                </c:pt>
                <c:pt idx="130">
                  <c:v>43617</c:v>
                </c:pt>
                <c:pt idx="131">
                  <c:v>43647</c:v>
                </c:pt>
                <c:pt idx="132">
                  <c:v>43678</c:v>
                </c:pt>
                <c:pt idx="133">
                  <c:v>43709</c:v>
                </c:pt>
                <c:pt idx="134">
                  <c:v>43739</c:v>
                </c:pt>
                <c:pt idx="135">
                  <c:v>43770</c:v>
                </c:pt>
                <c:pt idx="136">
                  <c:v>43800</c:v>
                </c:pt>
                <c:pt idx="137">
                  <c:v>43831</c:v>
                </c:pt>
                <c:pt idx="138">
                  <c:v>43862</c:v>
                </c:pt>
                <c:pt idx="139">
                  <c:v>43891</c:v>
                </c:pt>
                <c:pt idx="140">
                  <c:v>43922</c:v>
                </c:pt>
                <c:pt idx="141">
                  <c:v>43952</c:v>
                </c:pt>
                <c:pt idx="142">
                  <c:v>43983</c:v>
                </c:pt>
                <c:pt idx="143">
                  <c:v>44013</c:v>
                </c:pt>
                <c:pt idx="144">
                  <c:v>44044</c:v>
                </c:pt>
                <c:pt idx="145">
                  <c:v>44075</c:v>
                </c:pt>
                <c:pt idx="146">
                  <c:v>44105</c:v>
                </c:pt>
                <c:pt idx="147">
                  <c:v>44136</c:v>
                </c:pt>
                <c:pt idx="148">
                  <c:v>44166</c:v>
                </c:pt>
                <c:pt idx="149">
                  <c:v>44197</c:v>
                </c:pt>
                <c:pt idx="150">
                  <c:v>44228</c:v>
                </c:pt>
                <c:pt idx="151">
                  <c:v>44256</c:v>
                </c:pt>
                <c:pt idx="152">
                  <c:v>44287</c:v>
                </c:pt>
                <c:pt idx="153">
                  <c:v>44317</c:v>
                </c:pt>
                <c:pt idx="154">
                  <c:v>44348</c:v>
                </c:pt>
                <c:pt idx="155">
                  <c:v>44378</c:v>
                </c:pt>
                <c:pt idx="156">
                  <c:v>44409</c:v>
                </c:pt>
                <c:pt idx="157">
                  <c:v>44440</c:v>
                </c:pt>
                <c:pt idx="158">
                  <c:v>44470</c:v>
                </c:pt>
                <c:pt idx="159">
                  <c:v>44501</c:v>
                </c:pt>
                <c:pt idx="160">
                  <c:v>44531</c:v>
                </c:pt>
                <c:pt idx="161">
                  <c:v>44562</c:v>
                </c:pt>
                <c:pt idx="162">
                  <c:v>44593</c:v>
                </c:pt>
                <c:pt idx="163">
                  <c:v>44621</c:v>
                </c:pt>
                <c:pt idx="164">
                  <c:v>44652</c:v>
                </c:pt>
                <c:pt idx="165">
                  <c:v>44682</c:v>
                </c:pt>
                <c:pt idx="166">
                  <c:v>44713</c:v>
                </c:pt>
                <c:pt idx="167">
                  <c:v>44743</c:v>
                </c:pt>
                <c:pt idx="168">
                  <c:v>44774</c:v>
                </c:pt>
                <c:pt idx="169">
                  <c:v>44805</c:v>
                </c:pt>
                <c:pt idx="170">
                  <c:v>44835</c:v>
                </c:pt>
              </c:numCache>
            </c:numRef>
          </c:cat>
          <c:val>
            <c:numRef>
              <c:f>France!$B$6:$B$177</c:f>
              <c:numCache>
                <c:formatCode>General</c:formatCode>
                <c:ptCount val="172"/>
                <c:pt idx="0">
                  <c:v>48</c:v>
                </c:pt>
                <c:pt idx="1">
                  <c:v>50.1</c:v>
                </c:pt>
                <c:pt idx="2">
                  <c:v>47.5</c:v>
                </c:pt>
                <c:pt idx="3">
                  <c:v>46.2</c:v>
                </c:pt>
                <c:pt idx="4">
                  <c:v>44.2</c:v>
                </c:pt>
                <c:pt idx="5">
                  <c:v>42.6</c:v>
                </c:pt>
                <c:pt idx="6">
                  <c:v>40.200000000000003</c:v>
                </c:pt>
                <c:pt idx="7">
                  <c:v>43.6</c:v>
                </c:pt>
                <c:pt idx="8">
                  <c:v>46.5</c:v>
                </c:pt>
                <c:pt idx="9">
                  <c:v>48.3</c:v>
                </c:pt>
                <c:pt idx="10">
                  <c:v>47.2</c:v>
                </c:pt>
                <c:pt idx="11">
                  <c:v>45.5</c:v>
                </c:pt>
                <c:pt idx="12">
                  <c:v>49.3</c:v>
                </c:pt>
                <c:pt idx="13">
                  <c:v>53.2</c:v>
                </c:pt>
                <c:pt idx="14">
                  <c:v>57.7</c:v>
                </c:pt>
                <c:pt idx="15">
                  <c:v>60.9</c:v>
                </c:pt>
                <c:pt idx="16">
                  <c:v>58.2</c:v>
                </c:pt>
                <c:pt idx="17">
                  <c:v>56.3</c:v>
                </c:pt>
                <c:pt idx="18">
                  <c:v>54.6</c:v>
                </c:pt>
                <c:pt idx="19">
                  <c:v>53.8</c:v>
                </c:pt>
                <c:pt idx="20">
                  <c:v>59.2</c:v>
                </c:pt>
                <c:pt idx="21">
                  <c:v>61.4</c:v>
                </c:pt>
                <c:pt idx="22">
                  <c:v>60.8</c:v>
                </c:pt>
                <c:pt idx="23">
                  <c:v>61.1</c:v>
                </c:pt>
                <c:pt idx="24">
                  <c:v>60.4</c:v>
                </c:pt>
                <c:pt idx="25">
                  <c:v>58.2</c:v>
                </c:pt>
                <c:pt idx="26">
                  <c:v>54.8</c:v>
                </c:pt>
                <c:pt idx="27">
                  <c:v>55</c:v>
                </c:pt>
                <c:pt idx="28">
                  <c:v>57.1</c:v>
                </c:pt>
                <c:pt idx="29">
                  <c:v>58.3</c:v>
                </c:pt>
                <c:pt idx="30">
                  <c:v>59.7</c:v>
                </c:pt>
                <c:pt idx="31">
                  <c:v>60.4</c:v>
                </c:pt>
                <c:pt idx="32">
                  <c:v>62.9</c:v>
                </c:pt>
                <c:pt idx="33">
                  <c:v>62.5</c:v>
                </c:pt>
                <c:pt idx="34">
                  <c:v>56.1</c:v>
                </c:pt>
                <c:pt idx="35">
                  <c:v>54.2</c:v>
                </c:pt>
                <c:pt idx="36">
                  <c:v>52.3</c:v>
                </c:pt>
                <c:pt idx="37">
                  <c:v>51.5</c:v>
                </c:pt>
                <c:pt idx="38">
                  <c:v>44.6</c:v>
                </c:pt>
                <c:pt idx="39">
                  <c:v>49.6</c:v>
                </c:pt>
                <c:pt idx="40">
                  <c:v>50.3</c:v>
                </c:pt>
                <c:pt idx="41">
                  <c:v>52.3</c:v>
                </c:pt>
                <c:pt idx="42">
                  <c:v>50</c:v>
                </c:pt>
                <c:pt idx="43">
                  <c:v>50.1</c:v>
                </c:pt>
                <c:pt idx="44">
                  <c:v>45.2</c:v>
                </c:pt>
                <c:pt idx="45">
                  <c:v>45.1</c:v>
                </c:pt>
                <c:pt idx="46">
                  <c:v>47.9</c:v>
                </c:pt>
                <c:pt idx="47">
                  <c:v>50</c:v>
                </c:pt>
                <c:pt idx="48">
                  <c:v>49.2</c:v>
                </c:pt>
                <c:pt idx="49">
                  <c:v>45</c:v>
                </c:pt>
                <c:pt idx="50">
                  <c:v>44.6</c:v>
                </c:pt>
                <c:pt idx="51">
                  <c:v>45.8</c:v>
                </c:pt>
                <c:pt idx="52">
                  <c:v>44.1</c:v>
                </c:pt>
                <c:pt idx="53">
                  <c:v>43.6</c:v>
                </c:pt>
                <c:pt idx="54">
                  <c:v>43.7</c:v>
                </c:pt>
                <c:pt idx="55">
                  <c:v>41.3</c:v>
                </c:pt>
                <c:pt idx="56">
                  <c:v>44.3</c:v>
                </c:pt>
                <c:pt idx="57">
                  <c:v>44.3</c:v>
                </c:pt>
                <c:pt idx="58">
                  <c:v>47.2</c:v>
                </c:pt>
                <c:pt idx="59">
                  <c:v>48.6</c:v>
                </c:pt>
                <c:pt idx="60">
                  <c:v>48.9</c:v>
                </c:pt>
                <c:pt idx="61">
                  <c:v>51</c:v>
                </c:pt>
                <c:pt idx="62">
                  <c:v>50.9</c:v>
                </c:pt>
                <c:pt idx="63">
                  <c:v>48</c:v>
                </c:pt>
                <c:pt idx="64">
                  <c:v>48.1</c:v>
                </c:pt>
                <c:pt idx="65">
                  <c:v>48.9</c:v>
                </c:pt>
                <c:pt idx="66">
                  <c:v>47.2</c:v>
                </c:pt>
                <c:pt idx="67">
                  <c:v>51.5</c:v>
                </c:pt>
                <c:pt idx="68">
                  <c:v>50.4</c:v>
                </c:pt>
                <c:pt idx="69">
                  <c:v>49.1</c:v>
                </c:pt>
                <c:pt idx="70">
                  <c:v>48.2</c:v>
                </c:pt>
                <c:pt idx="71">
                  <c:v>50.4</c:v>
                </c:pt>
                <c:pt idx="72">
                  <c:v>50.3</c:v>
                </c:pt>
                <c:pt idx="73">
                  <c:v>48.4</c:v>
                </c:pt>
                <c:pt idx="74">
                  <c:v>48.3</c:v>
                </c:pt>
                <c:pt idx="75">
                  <c:v>47.9</c:v>
                </c:pt>
                <c:pt idx="76">
                  <c:v>50.6</c:v>
                </c:pt>
                <c:pt idx="77">
                  <c:v>49.4</c:v>
                </c:pt>
                <c:pt idx="78">
                  <c:v>53.4</c:v>
                </c:pt>
                <c:pt idx="79">
                  <c:v>52.4</c:v>
                </c:pt>
                <c:pt idx="80">
                  <c:v>51.4</c:v>
                </c:pt>
                <c:pt idx="81">
                  <c:v>52.8</c:v>
                </c:pt>
                <c:pt idx="82">
                  <c:v>54.1</c:v>
                </c:pt>
                <c:pt idx="83">
                  <c:v>52</c:v>
                </c:pt>
                <c:pt idx="84">
                  <c:v>50.6</c:v>
                </c:pt>
                <c:pt idx="85">
                  <c:v>51.9</c:v>
                </c:pt>
                <c:pt idx="86">
                  <c:v>52.7</c:v>
                </c:pt>
                <c:pt idx="87">
                  <c:v>51</c:v>
                </c:pt>
                <c:pt idx="88">
                  <c:v>49.8</c:v>
                </c:pt>
                <c:pt idx="89">
                  <c:v>50.3</c:v>
                </c:pt>
                <c:pt idx="90">
                  <c:v>49.2</c:v>
                </c:pt>
                <c:pt idx="91">
                  <c:v>49.9</c:v>
                </c:pt>
                <c:pt idx="92">
                  <c:v>50.6</c:v>
                </c:pt>
                <c:pt idx="93">
                  <c:v>51.6</c:v>
                </c:pt>
                <c:pt idx="94">
                  <c:v>49.9</c:v>
                </c:pt>
                <c:pt idx="95">
                  <c:v>50.5</c:v>
                </c:pt>
                <c:pt idx="96">
                  <c:v>52.3</c:v>
                </c:pt>
                <c:pt idx="97">
                  <c:v>53.3</c:v>
                </c:pt>
                <c:pt idx="98">
                  <c:v>51.4</c:v>
                </c:pt>
                <c:pt idx="99">
                  <c:v>51.6</c:v>
                </c:pt>
                <c:pt idx="100">
                  <c:v>52.9</c:v>
                </c:pt>
                <c:pt idx="101">
                  <c:v>54.1</c:v>
                </c:pt>
                <c:pt idx="102">
                  <c:v>56.4</c:v>
                </c:pt>
                <c:pt idx="103">
                  <c:v>57.5</c:v>
                </c:pt>
                <c:pt idx="104">
                  <c:v>56.7</c:v>
                </c:pt>
                <c:pt idx="105">
                  <c:v>57.2</c:v>
                </c:pt>
                <c:pt idx="106">
                  <c:v>56.9</c:v>
                </c:pt>
                <c:pt idx="107">
                  <c:v>56</c:v>
                </c:pt>
                <c:pt idx="108">
                  <c:v>54.9</c:v>
                </c:pt>
                <c:pt idx="109">
                  <c:v>57</c:v>
                </c:pt>
                <c:pt idx="110">
                  <c:v>57.3</c:v>
                </c:pt>
                <c:pt idx="111">
                  <c:v>60.4</c:v>
                </c:pt>
                <c:pt idx="112">
                  <c:v>59.1</c:v>
                </c:pt>
                <c:pt idx="113">
                  <c:v>59.2</c:v>
                </c:pt>
                <c:pt idx="114">
                  <c:v>57.4</c:v>
                </c:pt>
                <c:pt idx="115">
                  <c:v>56.8</c:v>
                </c:pt>
                <c:pt idx="116">
                  <c:v>57.4</c:v>
                </c:pt>
                <c:pt idx="117">
                  <c:v>54.3</c:v>
                </c:pt>
                <c:pt idx="118">
                  <c:v>55.9</c:v>
                </c:pt>
                <c:pt idx="119">
                  <c:v>54.9</c:v>
                </c:pt>
                <c:pt idx="120">
                  <c:v>55.4</c:v>
                </c:pt>
                <c:pt idx="121">
                  <c:v>54.8</c:v>
                </c:pt>
                <c:pt idx="122">
                  <c:v>55.3</c:v>
                </c:pt>
                <c:pt idx="123">
                  <c:v>55.1</c:v>
                </c:pt>
                <c:pt idx="124">
                  <c:v>49</c:v>
                </c:pt>
                <c:pt idx="125">
                  <c:v>47.8</c:v>
                </c:pt>
                <c:pt idx="126">
                  <c:v>50.2</c:v>
                </c:pt>
                <c:pt idx="127">
                  <c:v>49.1</c:v>
                </c:pt>
                <c:pt idx="128">
                  <c:v>50.5</c:v>
                </c:pt>
                <c:pt idx="129">
                  <c:v>51.5</c:v>
                </c:pt>
                <c:pt idx="130">
                  <c:v>52.9</c:v>
                </c:pt>
                <c:pt idx="131">
                  <c:v>52.6</c:v>
                </c:pt>
                <c:pt idx="132">
                  <c:v>53.4</c:v>
                </c:pt>
                <c:pt idx="133">
                  <c:v>51.1</c:v>
                </c:pt>
                <c:pt idx="134">
                  <c:v>52.9</c:v>
                </c:pt>
                <c:pt idx="135">
                  <c:v>52.2</c:v>
                </c:pt>
                <c:pt idx="136">
                  <c:v>52.4</c:v>
                </c:pt>
                <c:pt idx="137">
                  <c:v>51</c:v>
                </c:pt>
                <c:pt idx="138">
                  <c:v>52.5</c:v>
                </c:pt>
                <c:pt idx="139">
                  <c:v>27.4</c:v>
                </c:pt>
                <c:pt idx="140">
                  <c:v>10.199999999999999</c:v>
                </c:pt>
                <c:pt idx="141">
                  <c:v>31.1</c:v>
                </c:pt>
                <c:pt idx="142">
                  <c:v>50.7</c:v>
                </c:pt>
                <c:pt idx="143">
                  <c:v>57.3</c:v>
                </c:pt>
                <c:pt idx="144">
                  <c:v>51.5</c:v>
                </c:pt>
                <c:pt idx="145">
                  <c:v>47.5</c:v>
                </c:pt>
                <c:pt idx="146">
                  <c:v>46.5</c:v>
                </c:pt>
                <c:pt idx="147">
                  <c:v>38.799999999999997</c:v>
                </c:pt>
                <c:pt idx="148">
                  <c:v>49.1</c:v>
                </c:pt>
                <c:pt idx="149">
                  <c:v>47.3</c:v>
                </c:pt>
                <c:pt idx="150">
                  <c:v>45.6</c:v>
                </c:pt>
                <c:pt idx="151">
                  <c:v>48.2</c:v>
                </c:pt>
                <c:pt idx="152">
                  <c:v>50.3</c:v>
                </c:pt>
                <c:pt idx="153">
                  <c:v>56.6</c:v>
                </c:pt>
                <c:pt idx="154">
                  <c:v>57.8</c:v>
                </c:pt>
                <c:pt idx="155">
                  <c:v>56.8</c:v>
                </c:pt>
                <c:pt idx="156">
                  <c:v>56.3</c:v>
                </c:pt>
                <c:pt idx="157">
                  <c:v>56.2</c:v>
                </c:pt>
                <c:pt idx="158">
                  <c:v>56.6</c:v>
                </c:pt>
                <c:pt idx="159">
                  <c:v>57.4</c:v>
                </c:pt>
                <c:pt idx="160">
                  <c:v>57</c:v>
                </c:pt>
                <c:pt idx="161">
                  <c:v>53.1</c:v>
                </c:pt>
                <c:pt idx="162">
                  <c:v>57.9</c:v>
                </c:pt>
                <c:pt idx="163">
                  <c:v>57.4</c:v>
                </c:pt>
                <c:pt idx="164">
                  <c:v>58.8</c:v>
                </c:pt>
                <c:pt idx="165">
                  <c:v>58.4</c:v>
                </c:pt>
                <c:pt idx="166">
                  <c:v>54.4</c:v>
                </c:pt>
                <c:pt idx="167">
                  <c:v>53.2</c:v>
                </c:pt>
                <c:pt idx="168">
                  <c:v>51.2</c:v>
                </c:pt>
                <c:pt idx="169">
                  <c:v>52.9</c:v>
                </c:pt>
                <c:pt idx="170">
                  <c:v>51.7</c:v>
                </c:pt>
              </c:numCache>
            </c:numRef>
          </c:val>
          <c:smooth val="0"/>
          <c:extLst>
            <c:ext xmlns:c16="http://schemas.microsoft.com/office/drawing/2014/chart" uri="{C3380CC4-5D6E-409C-BE32-E72D297353CC}">
              <c16:uniqueId val="{00000000-02F2-C147-8085-B34ED7B05AE2}"/>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Germany!$J$2</c:f>
          <c:strCache>
            <c:ptCount val="1"/>
            <c:pt idx="0">
              <c:v>Germany Services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Germany!$B$5</c:f>
              <c:strCache>
                <c:ptCount val="1"/>
                <c:pt idx="0">
                  <c:v>PMI</c:v>
                </c:pt>
              </c:strCache>
            </c:strRef>
          </c:tx>
          <c:spPr>
            <a:ln>
              <a:prstDash val="solid"/>
            </a:ln>
          </c:spPr>
          <c:marker>
            <c:symbol val="none"/>
          </c:marker>
          <c:cat>
            <c:numRef>
              <c:f>Germany!$A$6:$A$189</c:f>
              <c:numCache>
                <c:formatCode>m/d/yy</c:formatCode>
                <c:ptCount val="184"/>
                <c:pt idx="0">
                  <c:v>39264</c:v>
                </c:pt>
                <c:pt idx="1">
                  <c:v>39295</c:v>
                </c:pt>
                <c:pt idx="2">
                  <c:v>39326</c:v>
                </c:pt>
                <c:pt idx="3">
                  <c:v>39356</c:v>
                </c:pt>
                <c:pt idx="4">
                  <c:v>39387</c:v>
                </c:pt>
                <c:pt idx="5">
                  <c:v>39417</c:v>
                </c:pt>
                <c:pt idx="6">
                  <c:v>39448</c:v>
                </c:pt>
                <c:pt idx="7">
                  <c:v>39479</c:v>
                </c:pt>
                <c:pt idx="8">
                  <c:v>39508</c:v>
                </c:pt>
                <c:pt idx="9">
                  <c:v>39539</c:v>
                </c:pt>
                <c:pt idx="10">
                  <c:v>39569</c:v>
                </c:pt>
                <c:pt idx="11">
                  <c:v>39600</c:v>
                </c:pt>
                <c:pt idx="12">
                  <c:v>39630</c:v>
                </c:pt>
                <c:pt idx="13">
                  <c:v>39661</c:v>
                </c:pt>
                <c:pt idx="14">
                  <c:v>39692</c:v>
                </c:pt>
                <c:pt idx="15">
                  <c:v>39722</c:v>
                </c:pt>
                <c:pt idx="16">
                  <c:v>39753</c:v>
                </c:pt>
                <c:pt idx="17">
                  <c:v>39783</c:v>
                </c:pt>
                <c:pt idx="18">
                  <c:v>39814</c:v>
                </c:pt>
                <c:pt idx="19">
                  <c:v>39845</c:v>
                </c:pt>
                <c:pt idx="20">
                  <c:v>39873</c:v>
                </c:pt>
                <c:pt idx="21">
                  <c:v>39904</c:v>
                </c:pt>
                <c:pt idx="22">
                  <c:v>39934</c:v>
                </c:pt>
                <c:pt idx="23">
                  <c:v>39965</c:v>
                </c:pt>
                <c:pt idx="24">
                  <c:v>39995</c:v>
                </c:pt>
                <c:pt idx="25">
                  <c:v>40026</c:v>
                </c:pt>
                <c:pt idx="26">
                  <c:v>40057</c:v>
                </c:pt>
                <c:pt idx="27">
                  <c:v>40087</c:v>
                </c:pt>
                <c:pt idx="28">
                  <c:v>40118</c:v>
                </c:pt>
                <c:pt idx="29">
                  <c:v>40148</c:v>
                </c:pt>
                <c:pt idx="30">
                  <c:v>40179</c:v>
                </c:pt>
                <c:pt idx="31">
                  <c:v>40210</c:v>
                </c:pt>
                <c:pt idx="32">
                  <c:v>40238</c:v>
                </c:pt>
                <c:pt idx="33">
                  <c:v>40269</c:v>
                </c:pt>
                <c:pt idx="34">
                  <c:v>40299</c:v>
                </c:pt>
                <c:pt idx="35">
                  <c:v>40330</c:v>
                </c:pt>
                <c:pt idx="36">
                  <c:v>40360</c:v>
                </c:pt>
                <c:pt idx="37">
                  <c:v>40391</c:v>
                </c:pt>
                <c:pt idx="38">
                  <c:v>40422</c:v>
                </c:pt>
                <c:pt idx="39">
                  <c:v>40452</c:v>
                </c:pt>
                <c:pt idx="40">
                  <c:v>40483</c:v>
                </c:pt>
                <c:pt idx="41">
                  <c:v>40513</c:v>
                </c:pt>
                <c:pt idx="42">
                  <c:v>40544</c:v>
                </c:pt>
                <c:pt idx="43">
                  <c:v>40575</c:v>
                </c:pt>
                <c:pt idx="44">
                  <c:v>40603</c:v>
                </c:pt>
                <c:pt idx="45">
                  <c:v>40634</c:v>
                </c:pt>
                <c:pt idx="46">
                  <c:v>40664</c:v>
                </c:pt>
                <c:pt idx="47">
                  <c:v>40695</c:v>
                </c:pt>
                <c:pt idx="48">
                  <c:v>40725</c:v>
                </c:pt>
                <c:pt idx="49">
                  <c:v>40756</c:v>
                </c:pt>
                <c:pt idx="50">
                  <c:v>40787</c:v>
                </c:pt>
                <c:pt idx="51">
                  <c:v>40817</c:v>
                </c:pt>
                <c:pt idx="52">
                  <c:v>40848</c:v>
                </c:pt>
                <c:pt idx="53">
                  <c:v>40878</c:v>
                </c:pt>
                <c:pt idx="54">
                  <c:v>40909</c:v>
                </c:pt>
                <c:pt idx="55">
                  <c:v>40940</c:v>
                </c:pt>
                <c:pt idx="56">
                  <c:v>40969</c:v>
                </c:pt>
                <c:pt idx="57">
                  <c:v>41000</c:v>
                </c:pt>
                <c:pt idx="58">
                  <c:v>41030</c:v>
                </c:pt>
                <c:pt idx="59">
                  <c:v>41061</c:v>
                </c:pt>
                <c:pt idx="60">
                  <c:v>41091</c:v>
                </c:pt>
                <c:pt idx="61">
                  <c:v>41122</c:v>
                </c:pt>
                <c:pt idx="62">
                  <c:v>41153</c:v>
                </c:pt>
                <c:pt idx="63">
                  <c:v>41183</c:v>
                </c:pt>
                <c:pt idx="64">
                  <c:v>41214</c:v>
                </c:pt>
                <c:pt idx="65">
                  <c:v>41244</c:v>
                </c:pt>
                <c:pt idx="66">
                  <c:v>41275</c:v>
                </c:pt>
                <c:pt idx="67">
                  <c:v>41306</c:v>
                </c:pt>
                <c:pt idx="68">
                  <c:v>41334</c:v>
                </c:pt>
                <c:pt idx="69">
                  <c:v>41365</c:v>
                </c:pt>
                <c:pt idx="70">
                  <c:v>41395</c:v>
                </c:pt>
                <c:pt idx="71">
                  <c:v>41426</c:v>
                </c:pt>
                <c:pt idx="72">
                  <c:v>41456</c:v>
                </c:pt>
                <c:pt idx="73">
                  <c:v>41487</c:v>
                </c:pt>
                <c:pt idx="74">
                  <c:v>41518</c:v>
                </c:pt>
                <c:pt idx="75">
                  <c:v>41548</c:v>
                </c:pt>
                <c:pt idx="76">
                  <c:v>41579</c:v>
                </c:pt>
                <c:pt idx="77">
                  <c:v>41609</c:v>
                </c:pt>
                <c:pt idx="78">
                  <c:v>41640</c:v>
                </c:pt>
                <c:pt idx="79">
                  <c:v>41671</c:v>
                </c:pt>
                <c:pt idx="80">
                  <c:v>41699</c:v>
                </c:pt>
                <c:pt idx="81">
                  <c:v>41730</c:v>
                </c:pt>
                <c:pt idx="82">
                  <c:v>41760</c:v>
                </c:pt>
                <c:pt idx="83">
                  <c:v>41791</c:v>
                </c:pt>
                <c:pt idx="84">
                  <c:v>41821</c:v>
                </c:pt>
                <c:pt idx="85">
                  <c:v>41852</c:v>
                </c:pt>
                <c:pt idx="86">
                  <c:v>41883</c:v>
                </c:pt>
                <c:pt idx="87">
                  <c:v>41913</c:v>
                </c:pt>
                <c:pt idx="88">
                  <c:v>41944</c:v>
                </c:pt>
                <c:pt idx="89">
                  <c:v>41974</c:v>
                </c:pt>
                <c:pt idx="90">
                  <c:v>42005</c:v>
                </c:pt>
                <c:pt idx="91">
                  <c:v>42036</c:v>
                </c:pt>
                <c:pt idx="92">
                  <c:v>42064</c:v>
                </c:pt>
                <c:pt idx="93">
                  <c:v>42095</c:v>
                </c:pt>
                <c:pt idx="94">
                  <c:v>42125</c:v>
                </c:pt>
                <c:pt idx="95">
                  <c:v>42156</c:v>
                </c:pt>
                <c:pt idx="96">
                  <c:v>42186</c:v>
                </c:pt>
                <c:pt idx="97">
                  <c:v>42217</c:v>
                </c:pt>
                <c:pt idx="98">
                  <c:v>42248</c:v>
                </c:pt>
                <c:pt idx="99">
                  <c:v>42278</c:v>
                </c:pt>
                <c:pt idx="100">
                  <c:v>42309</c:v>
                </c:pt>
                <c:pt idx="101">
                  <c:v>42339</c:v>
                </c:pt>
                <c:pt idx="102">
                  <c:v>42370</c:v>
                </c:pt>
                <c:pt idx="103">
                  <c:v>42401</c:v>
                </c:pt>
                <c:pt idx="104">
                  <c:v>42430</c:v>
                </c:pt>
                <c:pt idx="105">
                  <c:v>42461</c:v>
                </c:pt>
                <c:pt idx="106">
                  <c:v>42491</c:v>
                </c:pt>
                <c:pt idx="107">
                  <c:v>42522</c:v>
                </c:pt>
                <c:pt idx="108">
                  <c:v>42552</c:v>
                </c:pt>
                <c:pt idx="109">
                  <c:v>42583</c:v>
                </c:pt>
                <c:pt idx="110">
                  <c:v>42614</c:v>
                </c:pt>
                <c:pt idx="111">
                  <c:v>42644</c:v>
                </c:pt>
                <c:pt idx="112">
                  <c:v>42675</c:v>
                </c:pt>
                <c:pt idx="113">
                  <c:v>42705</c:v>
                </c:pt>
                <c:pt idx="114">
                  <c:v>42736</c:v>
                </c:pt>
                <c:pt idx="115">
                  <c:v>42767</c:v>
                </c:pt>
                <c:pt idx="116">
                  <c:v>42795</c:v>
                </c:pt>
                <c:pt idx="117">
                  <c:v>42826</c:v>
                </c:pt>
                <c:pt idx="118">
                  <c:v>42856</c:v>
                </c:pt>
                <c:pt idx="119">
                  <c:v>42887</c:v>
                </c:pt>
                <c:pt idx="120">
                  <c:v>42917</c:v>
                </c:pt>
                <c:pt idx="121">
                  <c:v>42948</c:v>
                </c:pt>
                <c:pt idx="122">
                  <c:v>42979</c:v>
                </c:pt>
                <c:pt idx="123">
                  <c:v>43009</c:v>
                </c:pt>
                <c:pt idx="124">
                  <c:v>43040</c:v>
                </c:pt>
                <c:pt idx="125">
                  <c:v>43070</c:v>
                </c:pt>
                <c:pt idx="126">
                  <c:v>43101</c:v>
                </c:pt>
                <c:pt idx="127">
                  <c:v>43132</c:v>
                </c:pt>
                <c:pt idx="128">
                  <c:v>43160</c:v>
                </c:pt>
                <c:pt idx="129">
                  <c:v>43191</c:v>
                </c:pt>
                <c:pt idx="130">
                  <c:v>43221</c:v>
                </c:pt>
                <c:pt idx="131">
                  <c:v>43252</c:v>
                </c:pt>
                <c:pt idx="132">
                  <c:v>43282</c:v>
                </c:pt>
                <c:pt idx="133">
                  <c:v>43313</c:v>
                </c:pt>
                <c:pt idx="134">
                  <c:v>43344</c:v>
                </c:pt>
                <c:pt idx="135">
                  <c:v>43374</c:v>
                </c:pt>
                <c:pt idx="136">
                  <c:v>43405</c:v>
                </c:pt>
                <c:pt idx="137">
                  <c:v>43435</c:v>
                </c:pt>
                <c:pt idx="138">
                  <c:v>43466</c:v>
                </c:pt>
                <c:pt idx="139">
                  <c:v>43497</c:v>
                </c:pt>
                <c:pt idx="140">
                  <c:v>43525</c:v>
                </c:pt>
                <c:pt idx="141">
                  <c:v>43556</c:v>
                </c:pt>
                <c:pt idx="142">
                  <c:v>43586</c:v>
                </c:pt>
                <c:pt idx="143">
                  <c:v>43617</c:v>
                </c:pt>
                <c:pt idx="144">
                  <c:v>43647</c:v>
                </c:pt>
                <c:pt idx="145">
                  <c:v>43678</c:v>
                </c:pt>
                <c:pt idx="146">
                  <c:v>43709</c:v>
                </c:pt>
                <c:pt idx="147">
                  <c:v>43739</c:v>
                </c:pt>
                <c:pt idx="148">
                  <c:v>43770</c:v>
                </c:pt>
                <c:pt idx="149">
                  <c:v>43800</c:v>
                </c:pt>
                <c:pt idx="150">
                  <c:v>43831</c:v>
                </c:pt>
                <c:pt idx="151">
                  <c:v>43862</c:v>
                </c:pt>
                <c:pt idx="152">
                  <c:v>43891</c:v>
                </c:pt>
                <c:pt idx="153">
                  <c:v>43922</c:v>
                </c:pt>
                <c:pt idx="154">
                  <c:v>43952</c:v>
                </c:pt>
                <c:pt idx="155">
                  <c:v>43983</c:v>
                </c:pt>
                <c:pt idx="156">
                  <c:v>44013</c:v>
                </c:pt>
                <c:pt idx="157">
                  <c:v>44044</c:v>
                </c:pt>
                <c:pt idx="158">
                  <c:v>44075</c:v>
                </c:pt>
                <c:pt idx="159">
                  <c:v>44105</c:v>
                </c:pt>
                <c:pt idx="160">
                  <c:v>44136</c:v>
                </c:pt>
                <c:pt idx="161">
                  <c:v>44166</c:v>
                </c:pt>
                <c:pt idx="162">
                  <c:v>44197</c:v>
                </c:pt>
                <c:pt idx="163">
                  <c:v>44228</c:v>
                </c:pt>
                <c:pt idx="164">
                  <c:v>44256</c:v>
                </c:pt>
                <c:pt idx="165">
                  <c:v>44287</c:v>
                </c:pt>
                <c:pt idx="166">
                  <c:v>44317</c:v>
                </c:pt>
                <c:pt idx="167">
                  <c:v>44348</c:v>
                </c:pt>
                <c:pt idx="168">
                  <c:v>44378</c:v>
                </c:pt>
                <c:pt idx="169">
                  <c:v>44409</c:v>
                </c:pt>
                <c:pt idx="170">
                  <c:v>44440</c:v>
                </c:pt>
                <c:pt idx="171">
                  <c:v>44470</c:v>
                </c:pt>
                <c:pt idx="172">
                  <c:v>44501</c:v>
                </c:pt>
                <c:pt idx="173">
                  <c:v>44531</c:v>
                </c:pt>
                <c:pt idx="174">
                  <c:v>44562</c:v>
                </c:pt>
                <c:pt idx="175">
                  <c:v>44593</c:v>
                </c:pt>
                <c:pt idx="176">
                  <c:v>44621</c:v>
                </c:pt>
                <c:pt idx="177">
                  <c:v>44652</c:v>
                </c:pt>
                <c:pt idx="178">
                  <c:v>44682</c:v>
                </c:pt>
                <c:pt idx="179">
                  <c:v>44713</c:v>
                </c:pt>
                <c:pt idx="180">
                  <c:v>44743</c:v>
                </c:pt>
                <c:pt idx="181">
                  <c:v>44774</c:v>
                </c:pt>
                <c:pt idx="182">
                  <c:v>44805</c:v>
                </c:pt>
                <c:pt idx="183">
                  <c:v>44835</c:v>
                </c:pt>
              </c:numCache>
            </c:numRef>
          </c:cat>
          <c:val>
            <c:numRef>
              <c:f>Germany!$B$6:$B$189</c:f>
              <c:numCache>
                <c:formatCode>General</c:formatCode>
                <c:ptCount val="184"/>
                <c:pt idx="0">
                  <c:v>58.9</c:v>
                </c:pt>
                <c:pt idx="1">
                  <c:v>59.8</c:v>
                </c:pt>
                <c:pt idx="2">
                  <c:v>53.1</c:v>
                </c:pt>
                <c:pt idx="3">
                  <c:v>55.1</c:v>
                </c:pt>
                <c:pt idx="4">
                  <c:v>53.1</c:v>
                </c:pt>
                <c:pt idx="5">
                  <c:v>51.5</c:v>
                </c:pt>
                <c:pt idx="6">
                  <c:v>49.2</c:v>
                </c:pt>
                <c:pt idx="7">
                  <c:v>52.2</c:v>
                </c:pt>
                <c:pt idx="8">
                  <c:v>51.8</c:v>
                </c:pt>
                <c:pt idx="9">
                  <c:v>54.9</c:v>
                </c:pt>
                <c:pt idx="10">
                  <c:v>53.8</c:v>
                </c:pt>
                <c:pt idx="11">
                  <c:v>52.1</c:v>
                </c:pt>
                <c:pt idx="12">
                  <c:v>53.1</c:v>
                </c:pt>
                <c:pt idx="13">
                  <c:v>51.4</c:v>
                </c:pt>
                <c:pt idx="14">
                  <c:v>50.2</c:v>
                </c:pt>
                <c:pt idx="15">
                  <c:v>48.3</c:v>
                </c:pt>
                <c:pt idx="16">
                  <c:v>45.1</c:v>
                </c:pt>
                <c:pt idx="17">
                  <c:v>43.1</c:v>
                </c:pt>
                <c:pt idx="18">
                  <c:v>45.2</c:v>
                </c:pt>
                <c:pt idx="19">
                  <c:v>41.3</c:v>
                </c:pt>
                <c:pt idx="20">
                  <c:v>42.3</c:v>
                </c:pt>
                <c:pt idx="21">
                  <c:v>43.8</c:v>
                </c:pt>
                <c:pt idx="22">
                  <c:v>45.2</c:v>
                </c:pt>
                <c:pt idx="23">
                  <c:v>45.2</c:v>
                </c:pt>
                <c:pt idx="24">
                  <c:v>48.1</c:v>
                </c:pt>
                <c:pt idx="25">
                  <c:v>53.8</c:v>
                </c:pt>
                <c:pt idx="26">
                  <c:v>52.2</c:v>
                </c:pt>
                <c:pt idx="27">
                  <c:v>50.7</c:v>
                </c:pt>
                <c:pt idx="28">
                  <c:v>51.4</c:v>
                </c:pt>
                <c:pt idx="29">
                  <c:v>52.1</c:v>
                </c:pt>
                <c:pt idx="30">
                  <c:v>52.2</c:v>
                </c:pt>
                <c:pt idx="31">
                  <c:v>51.9</c:v>
                </c:pt>
                <c:pt idx="32">
                  <c:v>54.9</c:v>
                </c:pt>
                <c:pt idx="33">
                  <c:v>53.7</c:v>
                </c:pt>
                <c:pt idx="34">
                  <c:v>54.8</c:v>
                </c:pt>
                <c:pt idx="35">
                  <c:v>54.8</c:v>
                </c:pt>
                <c:pt idx="36">
                  <c:v>56.5</c:v>
                </c:pt>
                <c:pt idx="37">
                  <c:v>57.2</c:v>
                </c:pt>
                <c:pt idx="38">
                  <c:v>54.9</c:v>
                </c:pt>
                <c:pt idx="39">
                  <c:v>56</c:v>
                </c:pt>
                <c:pt idx="40">
                  <c:v>59.2</c:v>
                </c:pt>
                <c:pt idx="41">
                  <c:v>59.5</c:v>
                </c:pt>
                <c:pt idx="42">
                  <c:v>60.3</c:v>
                </c:pt>
                <c:pt idx="43">
                  <c:v>58.6</c:v>
                </c:pt>
                <c:pt idx="44">
                  <c:v>60.1</c:v>
                </c:pt>
                <c:pt idx="45">
                  <c:v>56.8</c:v>
                </c:pt>
                <c:pt idx="46">
                  <c:v>56.1</c:v>
                </c:pt>
                <c:pt idx="47">
                  <c:v>56.7</c:v>
                </c:pt>
                <c:pt idx="48">
                  <c:v>52.9</c:v>
                </c:pt>
                <c:pt idx="49">
                  <c:v>51.1</c:v>
                </c:pt>
                <c:pt idx="50">
                  <c:v>49.7</c:v>
                </c:pt>
                <c:pt idx="51">
                  <c:v>50.6</c:v>
                </c:pt>
                <c:pt idx="52">
                  <c:v>50.3</c:v>
                </c:pt>
                <c:pt idx="53">
                  <c:v>52.4</c:v>
                </c:pt>
                <c:pt idx="54">
                  <c:v>53.7</c:v>
                </c:pt>
                <c:pt idx="55">
                  <c:v>52.8</c:v>
                </c:pt>
                <c:pt idx="56">
                  <c:v>52.1</c:v>
                </c:pt>
                <c:pt idx="57">
                  <c:v>52.2</c:v>
                </c:pt>
                <c:pt idx="58">
                  <c:v>51.8</c:v>
                </c:pt>
                <c:pt idx="59">
                  <c:v>49.9</c:v>
                </c:pt>
                <c:pt idx="60">
                  <c:v>50.3</c:v>
                </c:pt>
                <c:pt idx="61">
                  <c:v>48.3</c:v>
                </c:pt>
                <c:pt idx="62">
                  <c:v>49.7</c:v>
                </c:pt>
                <c:pt idx="63">
                  <c:v>48.4</c:v>
                </c:pt>
                <c:pt idx="64">
                  <c:v>49.7</c:v>
                </c:pt>
                <c:pt idx="65">
                  <c:v>55.7</c:v>
                </c:pt>
                <c:pt idx="66">
                  <c:v>54.7</c:v>
                </c:pt>
                <c:pt idx="67">
                  <c:v>50.9</c:v>
                </c:pt>
                <c:pt idx="68">
                  <c:v>49.6</c:v>
                </c:pt>
                <c:pt idx="69">
                  <c:v>49.7</c:v>
                </c:pt>
                <c:pt idx="70">
                  <c:v>50.4</c:v>
                </c:pt>
                <c:pt idx="71">
                  <c:v>51.3</c:v>
                </c:pt>
                <c:pt idx="72">
                  <c:v>52.8</c:v>
                </c:pt>
                <c:pt idx="73">
                  <c:v>53.7</c:v>
                </c:pt>
                <c:pt idx="74">
                  <c:v>52.9</c:v>
                </c:pt>
                <c:pt idx="75">
                  <c:v>55.7</c:v>
                </c:pt>
                <c:pt idx="76">
                  <c:v>53.5</c:v>
                </c:pt>
                <c:pt idx="77">
                  <c:v>53.1</c:v>
                </c:pt>
                <c:pt idx="78">
                  <c:v>55.9</c:v>
                </c:pt>
                <c:pt idx="79">
                  <c:v>53</c:v>
                </c:pt>
                <c:pt idx="80">
                  <c:v>54.7</c:v>
                </c:pt>
                <c:pt idx="81">
                  <c:v>56.4</c:v>
                </c:pt>
                <c:pt idx="82">
                  <c:v>56</c:v>
                </c:pt>
                <c:pt idx="83">
                  <c:v>54.6</c:v>
                </c:pt>
                <c:pt idx="84">
                  <c:v>56.7</c:v>
                </c:pt>
                <c:pt idx="85">
                  <c:v>54.9</c:v>
                </c:pt>
                <c:pt idx="86">
                  <c:v>55.7</c:v>
                </c:pt>
                <c:pt idx="87">
                  <c:v>54.4</c:v>
                </c:pt>
                <c:pt idx="88">
                  <c:v>52.1</c:v>
                </c:pt>
                <c:pt idx="89">
                  <c:v>52.1</c:v>
                </c:pt>
                <c:pt idx="90">
                  <c:v>54</c:v>
                </c:pt>
                <c:pt idx="91">
                  <c:v>54.7</c:v>
                </c:pt>
                <c:pt idx="92">
                  <c:v>55.4</c:v>
                </c:pt>
                <c:pt idx="93">
                  <c:v>54</c:v>
                </c:pt>
                <c:pt idx="94">
                  <c:v>53</c:v>
                </c:pt>
                <c:pt idx="95">
                  <c:v>53.8</c:v>
                </c:pt>
                <c:pt idx="96">
                  <c:v>53.8</c:v>
                </c:pt>
                <c:pt idx="97">
                  <c:v>54.9</c:v>
                </c:pt>
                <c:pt idx="98">
                  <c:v>54.1</c:v>
                </c:pt>
                <c:pt idx="99">
                  <c:v>54.5</c:v>
                </c:pt>
                <c:pt idx="100">
                  <c:v>55.6</c:v>
                </c:pt>
                <c:pt idx="101">
                  <c:v>56</c:v>
                </c:pt>
                <c:pt idx="102">
                  <c:v>55</c:v>
                </c:pt>
                <c:pt idx="103">
                  <c:v>55.3</c:v>
                </c:pt>
                <c:pt idx="104">
                  <c:v>55.1</c:v>
                </c:pt>
                <c:pt idx="105">
                  <c:v>54.5</c:v>
                </c:pt>
                <c:pt idx="106">
                  <c:v>55.2</c:v>
                </c:pt>
                <c:pt idx="107">
                  <c:v>53.7</c:v>
                </c:pt>
                <c:pt idx="108">
                  <c:v>54.4</c:v>
                </c:pt>
                <c:pt idx="109">
                  <c:v>51.7</c:v>
                </c:pt>
                <c:pt idx="110">
                  <c:v>50.9</c:v>
                </c:pt>
                <c:pt idx="111">
                  <c:v>54.2</c:v>
                </c:pt>
                <c:pt idx="112">
                  <c:v>55.1</c:v>
                </c:pt>
                <c:pt idx="113">
                  <c:v>54.3</c:v>
                </c:pt>
                <c:pt idx="114">
                  <c:v>53.4</c:v>
                </c:pt>
                <c:pt idx="115">
                  <c:v>54.4</c:v>
                </c:pt>
                <c:pt idx="116">
                  <c:v>55.6</c:v>
                </c:pt>
                <c:pt idx="117">
                  <c:v>55.4</c:v>
                </c:pt>
                <c:pt idx="118">
                  <c:v>55.4</c:v>
                </c:pt>
                <c:pt idx="119">
                  <c:v>54</c:v>
                </c:pt>
                <c:pt idx="120">
                  <c:v>53.1</c:v>
                </c:pt>
                <c:pt idx="121">
                  <c:v>53.5</c:v>
                </c:pt>
                <c:pt idx="122">
                  <c:v>55.6</c:v>
                </c:pt>
                <c:pt idx="123">
                  <c:v>54.7</c:v>
                </c:pt>
                <c:pt idx="124">
                  <c:v>54.3</c:v>
                </c:pt>
                <c:pt idx="125">
                  <c:v>55.8</c:v>
                </c:pt>
                <c:pt idx="126">
                  <c:v>57.3</c:v>
                </c:pt>
                <c:pt idx="127">
                  <c:v>55.3</c:v>
                </c:pt>
                <c:pt idx="128">
                  <c:v>53.9</c:v>
                </c:pt>
                <c:pt idx="129">
                  <c:v>53</c:v>
                </c:pt>
                <c:pt idx="130">
                  <c:v>52.1</c:v>
                </c:pt>
                <c:pt idx="131">
                  <c:v>54.5</c:v>
                </c:pt>
                <c:pt idx="132">
                  <c:v>54.1</c:v>
                </c:pt>
                <c:pt idx="133">
                  <c:v>55</c:v>
                </c:pt>
                <c:pt idx="134">
                  <c:v>55.9</c:v>
                </c:pt>
                <c:pt idx="135">
                  <c:v>54.7</c:v>
                </c:pt>
                <c:pt idx="136">
                  <c:v>53.3</c:v>
                </c:pt>
                <c:pt idx="137">
                  <c:v>51.8</c:v>
                </c:pt>
                <c:pt idx="138">
                  <c:v>53</c:v>
                </c:pt>
                <c:pt idx="139">
                  <c:v>55.3</c:v>
                </c:pt>
                <c:pt idx="140">
                  <c:v>55.4</c:v>
                </c:pt>
                <c:pt idx="141">
                  <c:v>55.7</c:v>
                </c:pt>
                <c:pt idx="142">
                  <c:v>55.4</c:v>
                </c:pt>
                <c:pt idx="143">
                  <c:v>55.8</c:v>
                </c:pt>
                <c:pt idx="144">
                  <c:v>54.5</c:v>
                </c:pt>
                <c:pt idx="145">
                  <c:v>54.8</c:v>
                </c:pt>
                <c:pt idx="146">
                  <c:v>51.4</c:v>
                </c:pt>
                <c:pt idx="147">
                  <c:v>51.6</c:v>
                </c:pt>
                <c:pt idx="148">
                  <c:v>51.7</c:v>
                </c:pt>
                <c:pt idx="149">
                  <c:v>52.9</c:v>
                </c:pt>
                <c:pt idx="150">
                  <c:v>54.2</c:v>
                </c:pt>
                <c:pt idx="151">
                  <c:v>52.5</c:v>
                </c:pt>
                <c:pt idx="152">
                  <c:v>31.7</c:v>
                </c:pt>
                <c:pt idx="153">
                  <c:v>16.2</c:v>
                </c:pt>
                <c:pt idx="154">
                  <c:v>32.6</c:v>
                </c:pt>
                <c:pt idx="155">
                  <c:v>47.3</c:v>
                </c:pt>
                <c:pt idx="156">
                  <c:v>55.6</c:v>
                </c:pt>
                <c:pt idx="157">
                  <c:v>52.5</c:v>
                </c:pt>
                <c:pt idx="158">
                  <c:v>50.6</c:v>
                </c:pt>
                <c:pt idx="159">
                  <c:v>49.5</c:v>
                </c:pt>
                <c:pt idx="160">
                  <c:v>46</c:v>
                </c:pt>
                <c:pt idx="161">
                  <c:v>47</c:v>
                </c:pt>
                <c:pt idx="162">
                  <c:v>46.7</c:v>
                </c:pt>
                <c:pt idx="163">
                  <c:v>45.7</c:v>
                </c:pt>
                <c:pt idx="164">
                  <c:v>51.5</c:v>
                </c:pt>
                <c:pt idx="165">
                  <c:v>49.9</c:v>
                </c:pt>
                <c:pt idx="166">
                  <c:v>52.8</c:v>
                </c:pt>
                <c:pt idx="167">
                  <c:v>57.5</c:v>
                </c:pt>
                <c:pt idx="168">
                  <c:v>61.8</c:v>
                </c:pt>
                <c:pt idx="169">
                  <c:v>60.8</c:v>
                </c:pt>
                <c:pt idx="170">
                  <c:v>56.2</c:v>
                </c:pt>
                <c:pt idx="171">
                  <c:v>52.4</c:v>
                </c:pt>
                <c:pt idx="172">
                  <c:v>52.7</c:v>
                </c:pt>
                <c:pt idx="173">
                  <c:v>48.7</c:v>
                </c:pt>
                <c:pt idx="174">
                  <c:v>52.2</c:v>
                </c:pt>
                <c:pt idx="175">
                  <c:v>56.6</c:v>
                </c:pt>
                <c:pt idx="176">
                  <c:v>55</c:v>
                </c:pt>
                <c:pt idx="177">
                  <c:v>57.9</c:v>
                </c:pt>
                <c:pt idx="178">
                  <c:v>56.3</c:v>
                </c:pt>
                <c:pt idx="179">
                  <c:v>52.4</c:v>
                </c:pt>
                <c:pt idx="180">
                  <c:v>49.7</c:v>
                </c:pt>
                <c:pt idx="181">
                  <c:v>47.7</c:v>
                </c:pt>
                <c:pt idx="182">
                  <c:v>45</c:v>
                </c:pt>
                <c:pt idx="183">
                  <c:v>46.5</c:v>
                </c:pt>
              </c:numCache>
            </c:numRef>
          </c:val>
          <c:smooth val="0"/>
          <c:extLst>
            <c:ext xmlns:c16="http://schemas.microsoft.com/office/drawing/2014/chart" uri="{C3380CC4-5D6E-409C-BE32-E72D297353CC}">
              <c16:uniqueId val="{00000000-15A1-DD46-A823-EACDEA104DF3}"/>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UK!$J$2</c:f>
          <c:strCache>
            <c:ptCount val="1"/>
            <c:pt idx="0">
              <c:v>U.K. Services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UK!$B$5</c:f>
              <c:strCache>
                <c:ptCount val="1"/>
                <c:pt idx="0">
                  <c:v>PMI</c:v>
                </c:pt>
              </c:strCache>
            </c:strRef>
          </c:tx>
          <c:spPr>
            <a:ln>
              <a:prstDash val="solid"/>
            </a:ln>
          </c:spPr>
          <c:marker>
            <c:symbol val="none"/>
          </c:marker>
          <c:cat>
            <c:numRef>
              <c:f>UK!$A$6:$A$150</c:f>
              <c:numCache>
                <c:formatCode>m/d/yy</c:formatCode>
                <c:ptCount val="145"/>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pt idx="136">
                  <c:v>44593</c:v>
                </c:pt>
                <c:pt idx="137">
                  <c:v>44621</c:v>
                </c:pt>
                <c:pt idx="138">
                  <c:v>44652</c:v>
                </c:pt>
                <c:pt idx="139">
                  <c:v>44682</c:v>
                </c:pt>
                <c:pt idx="140">
                  <c:v>44713</c:v>
                </c:pt>
                <c:pt idx="141">
                  <c:v>44743</c:v>
                </c:pt>
                <c:pt idx="142">
                  <c:v>44774</c:v>
                </c:pt>
                <c:pt idx="143">
                  <c:v>44805</c:v>
                </c:pt>
                <c:pt idx="144">
                  <c:v>44835</c:v>
                </c:pt>
              </c:numCache>
            </c:numRef>
          </c:cat>
          <c:val>
            <c:numRef>
              <c:f>UK!$B$6:$B$150</c:f>
              <c:numCache>
                <c:formatCode>General</c:formatCode>
                <c:ptCount val="145"/>
                <c:pt idx="0">
                  <c:v>53.2</c:v>
                </c:pt>
                <c:pt idx="1">
                  <c:v>53</c:v>
                </c:pt>
                <c:pt idx="2">
                  <c:v>53.9</c:v>
                </c:pt>
                <c:pt idx="3">
                  <c:v>54.5</c:v>
                </c:pt>
                <c:pt idx="4">
                  <c:v>52.6</c:v>
                </c:pt>
                <c:pt idx="5">
                  <c:v>57.1</c:v>
                </c:pt>
                <c:pt idx="6">
                  <c:v>54.3</c:v>
                </c:pt>
                <c:pt idx="7">
                  <c:v>53.8</c:v>
                </c:pt>
                <c:pt idx="8">
                  <c:v>53.9</c:v>
                </c:pt>
                <c:pt idx="9">
                  <c:v>55.4</c:v>
                </c:pt>
                <c:pt idx="10">
                  <c:v>51.1</c:v>
                </c:pt>
                <c:pt idx="11">
                  <c:v>52.9</c:v>
                </c:pt>
                <c:pt idx="12">
                  <c:v>51.3</c:v>
                </c:pt>
                <c:pt idx="13">
                  <c:v>52.1</c:v>
                </c:pt>
                <c:pt idx="14">
                  <c:v>54</c:v>
                </c:pt>
                <c:pt idx="15">
                  <c:v>56</c:v>
                </c:pt>
                <c:pt idx="16">
                  <c:v>53.8</c:v>
                </c:pt>
                <c:pt idx="17">
                  <c:v>55.3</c:v>
                </c:pt>
                <c:pt idx="18">
                  <c:v>53.3</c:v>
                </c:pt>
                <c:pt idx="19">
                  <c:v>53.3</c:v>
                </c:pt>
                <c:pt idx="20">
                  <c:v>51.3</c:v>
                </c:pt>
                <c:pt idx="21">
                  <c:v>51.3</c:v>
                </c:pt>
                <c:pt idx="22">
                  <c:v>51</c:v>
                </c:pt>
                <c:pt idx="23">
                  <c:v>53.7</c:v>
                </c:pt>
                <c:pt idx="24">
                  <c:v>52.2</c:v>
                </c:pt>
                <c:pt idx="25">
                  <c:v>50.6</c:v>
                </c:pt>
                <c:pt idx="26">
                  <c:v>50.2</c:v>
                </c:pt>
                <c:pt idx="27">
                  <c:v>51.5</c:v>
                </c:pt>
                <c:pt idx="28">
                  <c:v>51.8</c:v>
                </c:pt>
                <c:pt idx="29">
                  <c:v>52.4</c:v>
                </c:pt>
                <c:pt idx="30">
                  <c:v>52.9</c:v>
                </c:pt>
                <c:pt idx="31">
                  <c:v>54.9</c:v>
                </c:pt>
                <c:pt idx="32">
                  <c:v>56.9</c:v>
                </c:pt>
                <c:pt idx="33">
                  <c:v>60.2</c:v>
                </c:pt>
                <c:pt idx="34">
                  <c:v>60.5</c:v>
                </c:pt>
                <c:pt idx="35">
                  <c:v>60.3</c:v>
                </c:pt>
                <c:pt idx="36">
                  <c:v>62.5</c:v>
                </c:pt>
                <c:pt idx="37">
                  <c:v>60</c:v>
                </c:pt>
                <c:pt idx="38">
                  <c:v>58.8</c:v>
                </c:pt>
                <c:pt idx="39">
                  <c:v>58.3</c:v>
                </c:pt>
                <c:pt idx="40">
                  <c:v>58.2</c:v>
                </c:pt>
                <c:pt idx="41">
                  <c:v>57.6</c:v>
                </c:pt>
                <c:pt idx="42">
                  <c:v>58.7</c:v>
                </c:pt>
                <c:pt idx="43">
                  <c:v>58.6</c:v>
                </c:pt>
                <c:pt idx="44">
                  <c:v>57.7</c:v>
                </c:pt>
                <c:pt idx="45">
                  <c:v>59.1</c:v>
                </c:pt>
                <c:pt idx="46">
                  <c:v>60.5</c:v>
                </c:pt>
                <c:pt idx="47">
                  <c:v>58.7</c:v>
                </c:pt>
                <c:pt idx="48">
                  <c:v>56.2</c:v>
                </c:pt>
                <c:pt idx="49">
                  <c:v>58.6</c:v>
                </c:pt>
                <c:pt idx="50">
                  <c:v>55.8</c:v>
                </c:pt>
                <c:pt idx="51">
                  <c:v>57.2</c:v>
                </c:pt>
                <c:pt idx="52">
                  <c:v>56.7</c:v>
                </c:pt>
                <c:pt idx="53">
                  <c:v>58.9</c:v>
                </c:pt>
                <c:pt idx="54">
                  <c:v>59.5</c:v>
                </c:pt>
                <c:pt idx="55">
                  <c:v>56.5</c:v>
                </c:pt>
                <c:pt idx="56">
                  <c:v>58.5</c:v>
                </c:pt>
                <c:pt idx="57">
                  <c:v>57.4</c:v>
                </c:pt>
                <c:pt idx="58">
                  <c:v>55.6</c:v>
                </c:pt>
                <c:pt idx="59">
                  <c:v>53.3</c:v>
                </c:pt>
                <c:pt idx="60">
                  <c:v>54.9</c:v>
                </c:pt>
                <c:pt idx="61">
                  <c:v>55.9</c:v>
                </c:pt>
                <c:pt idx="62">
                  <c:v>55.5</c:v>
                </c:pt>
                <c:pt idx="63">
                  <c:v>55.6</c:v>
                </c:pt>
                <c:pt idx="64">
                  <c:v>52.7</c:v>
                </c:pt>
                <c:pt idx="65">
                  <c:v>53.7</c:v>
                </c:pt>
                <c:pt idx="66">
                  <c:v>52.3</c:v>
                </c:pt>
                <c:pt idx="67">
                  <c:v>53.5</c:v>
                </c:pt>
                <c:pt idx="68">
                  <c:v>52.3</c:v>
                </c:pt>
                <c:pt idx="69">
                  <c:v>47.4</c:v>
                </c:pt>
                <c:pt idx="70">
                  <c:v>52.9</c:v>
                </c:pt>
                <c:pt idx="71">
                  <c:v>52.6</c:v>
                </c:pt>
                <c:pt idx="72">
                  <c:v>54.5</c:v>
                </c:pt>
                <c:pt idx="73">
                  <c:v>55.2</c:v>
                </c:pt>
                <c:pt idx="74">
                  <c:v>56.2</c:v>
                </c:pt>
                <c:pt idx="75">
                  <c:v>54.5</c:v>
                </c:pt>
                <c:pt idx="76">
                  <c:v>53.3</c:v>
                </c:pt>
                <c:pt idx="77">
                  <c:v>55</c:v>
                </c:pt>
                <c:pt idx="78">
                  <c:v>55.8</c:v>
                </c:pt>
                <c:pt idx="79">
                  <c:v>53.8</c:v>
                </c:pt>
                <c:pt idx="80">
                  <c:v>53.4</c:v>
                </c:pt>
                <c:pt idx="81">
                  <c:v>53.8</c:v>
                </c:pt>
                <c:pt idx="82">
                  <c:v>53.2</c:v>
                </c:pt>
                <c:pt idx="83">
                  <c:v>53.6</c:v>
                </c:pt>
                <c:pt idx="84">
                  <c:v>55.6</c:v>
                </c:pt>
                <c:pt idx="85">
                  <c:v>53.8</c:v>
                </c:pt>
                <c:pt idx="86">
                  <c:v>54.2</c:v>
                </c:pt>
                <c:pt idx="87">
                  <c:v>53</c:v>
                </c:pt>
                <c:pt idx="88">
                  <c:v>54.5</c:v>
                </c:pt>
                <c:pt idx="89">
                  <c:v>51.7</c:v>
                </c:pt>
                <c:pt idx="90">
                  <c:v>52.8</c:v>
                </c:pt>
                <c:pt idx="91">
                  <c:v>54</c:v>
                </c:pt>
                <c:pt idx="92">
                  <c:v>55.1</c:v>
                </c:pt>
                <c:pt idx="93">
                  <c:v>53.5</c:v>
                </c:pt>
                <c:pt idx="94">
                  <c:v>54.3</c:v>
                </c:pt>
                <c:pt idx="95">
                  <c:v>53.9</c:v>
                </c:pt>
                <c:pt idx="96">
                  <c:v>52.2</c:v>
                </c:pt>
                <c:pt idx="97">
                  <c:v>50.4</c:v>
                </c:pt>
                <c:pt idx="98">
                  <c:v>51.2</c:v>
                </c:pt>
                <c:pt idx="99">
                  <c:v>50.1</c:v>
                </c:pt>
                <c:pt idx="100">
                  <c:v>51.3</c:v>
                </c:pt>
                <c:pt idx="101">
                  <c:v>48.9</c:v>
                </c:pt>
                <c:pt idx="102">
                  <c:v>50.4</c:v>
                </c:pt>
                <c:pt idx="103">
                  <c:v>51</c:v>
                </c:pt>
                <c:pt idx="104">
                  <c:v>50.2</c:v>
                </c:pt>
                <c:pt idx="105">
                  <c:v>51.4</c:v>
                </c:pt>
                <c:pt idx="106">
                  <c:v>50.6</c:v>
                </c:pt>
                <c:pt idx="107">
                  <c:v>49.5</c:v>
                </c:pt>
                <c:pt idx="108">
                  <c:v>50</c:v>
                </c:pt>
                <c:pt idx="109">
                  <c:v>49.3</c:v>
                </c:pt>
                <c:pt idx="110">
                  <c:v>50</c:v>
                </c:pt>
                <c:pt idx="111">
                  <c:v>53.9</c:v>
                </c:pt>
                <c:pt idx="112">
                  <c:v>53.2</c:v>
                </c:pt>
                <c:pt idx="113">
                  <c:v>34.5</c:v>
                </c:pt>
                <c:pt idx="114">
                  <c:v>13.4</c:v>
                </c:pt>
                <c:pt idx="115">
                  <c:v>29</c:v>
                </c:pt>
                <c:pt idx="116">
                  <c:v>47.1</c:v>
                </c:pt>
                <c:pt idx="117">
                  <c:v>56.5</c:v>
                </c:pt>
                <c:pt idx="118">
                  <c:v>58.8</c:v>
                </c:pt>
                <c:pt idx="119">
                  <c:v>56.1</c:v>
                </c:pt>
                <c:pt idx="120">
                  <c:v>51.4</c:v>
                </c:pt>
                <c:pt idx="121">
                  <c:v>47.6</c:v>
                </c:pt>
                <c:pt idx="122">
                  <c:v>49.4</c:v>
                </c:pt>
                <c:pt idx="123">
                  <c:v>39.5</c:v>
                </c:pt>
                <c:pt idx="124">
                  <c:v>49.5</c:v>
                </c:pt>
                <c:pt idx="125">
                  <c:v>56.3</c:v>
                </c:pt>
                <c:pt idx="126">
                  <c:v>60.1</c:v>
                </c:pt>
                <c:pt idx="127">
                  <c:v>62.9</c:v>
                </c:pt>
                <c:pt idx="128">
                  <c:v>62.4</c:v>
                </c:pt>
                <c:pt idx="129">
                  <c:v>59.6</c:v>
                </c:pt>
                <c:pt idx="130">
                  <c:v>55</c:v>
                </c:pt>
                <c:pt idx="131">
                  <c:v>55.4</c:v>
                </c:pt>
                <c:pt idx="132">
                  <c:v>59.1</c:v>
                </c:pt>
                <c:pt idx="133">
                  <c:v>58.5</c:v>
                </c:pt>
                <c:pt idx="134">
                  <c:v>53.6</c:v>
                </c:pt>
                <c:pt idx="135">
                  <c:v>54.1</c:v>
                </c:pt>
                <c:pt idx="136">
                  <c:v>60.8</c:v>
                </c:pt>
                <c:pt idx="137">
                  <c:v>61</c:v>
                </c:pt>
                <c:pt idx="138">
                  <c:v>58.3</c:v>
                </c:pt>
                <c:pt idx="139">
                  <c:v>51.8</c:v>
                </c:pt>
                <c:pt idx="140">
                  <c:v>53.4</c:v>
                </c:pt>
                <c:pt idx="141">
                  <c:v>52.6</c:v>
                </c:pt>
                <c:pt idx="142">
                  <c:v>50.9</c:v>
                </c:pt>
                <c:pt idx="143">
                  <c:v>50</c:v>
                </c:pt>
                <c:pt idx="144">
                  <c:v>48.8</c:v>
                </c:pt>
              </c:numCache>
            </c:numRef>
          </c:val>
          <c:smooth val="0"/>
          <c:extLst>
            <c:ext xmlns:c16="http://schemas.microsoft.com/office/drawing/2014/chart" uri="{C3380CC4-5D6E-409C-BE32-E72D297353CC}">
              <c16:uniqueId val="{00000000-5BE7-EE4A-B71C-CD3DA9DE4B74}"/>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India!$J$2</c:f>
          <c:strCache>
            <c:ptCount val="1"/>
            <c:pt idx="0">
              <c:v>India Services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India!$B$5</c:f>
              <c:strCache>
                <c:ptCount val="1"/>
                <c:pt idx="0">
                  <c:v>PMI</c:v>
                </c:pt>
              </c:strCache>
            </c:strRef>
          </c:tx>
          <c:spPr>
            <a:ln>
              <a:prstDash val="solid"/>
            </a:ln>
          </c:spPr>
          <c:marker>
            <c:symbol val="none"/>
          </c:marker>
          <c:cat>
            <c:numRef>
              <c:f>India!$A$6:$A$150</c:f>
              <c:numCache>
                <c:formatCode>m/d/yy</c:formatCode>
                <c:ptCount val="145"/>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pt idx="136">
                  <c:v>44593</c:v>
                </c:pt>
                <c:pt idx="137">
                  <c:v>44621</c:v>
                </c:pt>
                <c:pt idx="138">
                  <c:v>44652</c:v>
                </c:pt>
                <c:pt idx="139">
                  <c:v>44682</c:v>
                </c:pt>
                <c:pt idx="140">
                  <c:v>44713</c:v>
                </c:pt>
                <c:pt idx="141">
                  <c:v>44743</c:v>
                </c:pt>
                <c:pt idx="142">
                  <c:v>44774</c:v>
                </c:pt>
                <c:pt idx="143">
                  <c:v>44805</c:v>
                </c:pt>
                <c:pt idx="144">
                  <c:v>44835</c:v>
                </c:pt>
              </c:numCache>
            </c:numRef>
          </c:cat>
          <c:val>
            <c:numRef>
              <c:f>India!$B$6:$B$150</c:f>
              <c:numCache>
                <c:formatCode>General</c:formatCode>
                <c:ptCount val="145"/>
                <c:pt idx="0">
                  <c:v>58.4</c:v>
                </c:pt>
                <c:pt idx="1">
                  <c:v>61.3</c:v>
                </c:pt>
                <c:pt idx="2">
                  <c:v>62.1</c:v>
                </c:pt>
                <c:pt idx="3">
                  <c:v>59.4</c:v>
                </c:pt>
                <c:pt idx="4">
                  <c:v>61</c:v>
                </c:pt>
                <c:pt idx="5">
                  <c:v>60</c:v>
                </c:pt>
                <c:pt idx="6">
                  <c:v>59.2</c:v>
                </c:pt>
                <c:pt idx="7">
                  <c:v>57.7</c:v>
                </c:pt>
                <c:pt idx="8">
                  <c:v>56.1</c:v>
                </c:pt>
                <c:pt idx="9">
                  <c:v>58.2</c:v>
                </c:pt>
                <c:pt idx="10">
                  <c:v>56.7</c:v>
                </c:pt>
                <c:pt idx="11">
                  <c:v>49.8</c:v>
                </c:pt>
                <c:pt idx="12">
                  <c:v>49.1</c:v>
                </c:pt>
                <c:pt idx="13">
                  <c:v>53.2</c:v>
                </c:pt>
                <c:pt idx="14">
                  <c:v>54.2</c:v>
                </c:pt>
                <c:pt idx="15">
                  <c:v>55.1</c:v>
                </c:pt>
                <c:pt idx="16">
                  <c:v>53.4</c:v>
                </c:pt>
                <c:pt idx="17">
                  <c:v>54.1</c:v>
                </c:pt>
                <c:pt idx="18">
                  <c:v>52.3</c:v>
                </c:pt>
                <c:pt idx="19">
                  <c:v>52.8</c:v>
                </c:pt>
                <c:pt idx="20">
                  <c:v>54.7</c:v>
                </c:pt>
                <c:pt idx="21">
                  <c:v>54.3</c:v>
                </c:pt>
                <c:pt idx="22">
                  <c:v>54.2</c:v>
                </c:pt>
                <c:pt idx="23">
                  <c:v>55</c:v>
                </c:pt>
                <c:pt idx="24">
                  <c:v>55.8</c:v>
                </c:pt>
                <c:pt idx="25">
                  <c:v>53.8</c:v>
                </c:pt>
                <c:pt idx="26">
                  <c:v>52.1</c:v>
                </c:pt>
                <c:pt idx="27">
                  <c:v>57.5</c:v>
                </c:pt>
                <c:pt idx="28">
                  <c:v>54.2</c:v>
                </c:pt>
                <c:pt idx="29">
                  <c:v>51.4</c:v>
                </c:pt>
                <c:pt idx="30">
                  <c:v>50.7</c:v>
                </c:pt>
                <c:pt idx="31">
                  <c:v>53.6</c:v>
                </c:pt>
                <c:pt idx="32">
                  <c:v>51.7</c:v>
                </c:pt>
                <c:pt idx="33">
                  <c:v>47.9</c:v>
                </c:pt>
                <c:pt idx="34">
                  <c:v>47.6</c:v>
                </c:pt>
                <c:pt idx="35">
                  <c:v>44.6</c:v>
                </c:pt>
                <c:pt idx="36">
                  <c:v>47.1</c:v>
                </c:pt>
                <c:pt idx="37">
                  <c:v>47.2</c:v>
                </c:pt>
                <c:pt idx="38">
                  <c:v>47.9</c:v>
                </c:pt>
                <c:pt idx="39">
                  <c:v>48.3</c:v>
                </c:pt>
                <c:pt idx="40">
                  <c:v>48.8</c:v>
                </c:pt>
                <c:pt idx="41">
                  <c:v>47.5</c:v>
                </c:pt>
                <c:pt idx="42">
                  <c:v>48.5</c:v>
                </c:pt>
                <c:pt idx="43">
                  <c:v>50.7</c:v>
                </c:pt>
                <c:pt idx="44">
                  <c:v>54.4</c:v>
                </c:pt>
                <c:pt idx="45">
                  <c:v>52.2</c:v>
                </c:pt>
                <c:pt idx="46">
                  <c:v>50.6</c:v>
                </c:pt>
                <c:pt idx="47">
                  <c:v>51.6</c:v>
                </c:pt>
                <c:pt idx="48">
                  <c:v>50</c:v>
                </c:pt>
                <c:pt idx="49">
                  <c:v>52.6</c:v>
                </c:pt>
                <c:pt idx="50">
                  <c:v>51.1</c:v>
                </c:pt>
                <c:pt idx="51">
                  <c:v>52.4</c:v>
                </c:pt>
                <c:pt idx="52">
                  <c:v>53.9</c:v>
                </c:pt>
                <c:pt idx="53">
                  <c:v>53</c:v>
                </c:pt>
                <c:pt idx="54">
                  <c:v>52.4</c:v>
                </c:pt>
                <c:pt idx="55">
                  <c:v>49.6</c:v>
                </c:pt>
                <c:pt idx="56">
                  <c:v>47.7</c:v>
                </c:pt>
                <c:pt idx="57">
                  <c:v>50.8</c:v>
                </c:pt>
                <c:pt idx="58">
                  <c:v>51.8</c:v>
                </c:pt>
                <c:pt idx="59">
                  <c:v>51.3</c:v>
                </c:pt>
                <c:pt idx="60">
                  <c:v>53.2</c:v>
                </c:pt>
                <c:pt idx="61">
                  <c:v>50.1</c:v>
                </c:pt>
                <c:pt idx="62">
                  <c:v>53.6</c:v>
                </c:pt>
                <c:pt idx="63">
                  <c:v>54.3</c:v>
                </c:pt>
                <c:pt idx="64">
                  <c:v>51.4</c:v>
                </c:pt>
                <c:pt idx="65">
                  <c:v>54.3</c:v>
                </c:pt>
                <c:pt idx="66">
                  <c:v>53.7</c:v>
                </c:pt>
                <c:pt idx="67">
                  <c:v>51</c:v>
                </c:pt>
                <c:pt idx="68">
                  <c:v>50.3</c:v>
                </c:pt>
                <c:pt idx="69">
                  <c:v>51.9</c:v>
                </c:pt>
                <c:pt idx="70">
                  <c:v>54.7</c:v>
                </c:pt>
                <c:pt idx="71">
                  <c:v>52</c:v>
                </c:pt>
                <c:pt idx="72">
                  <c:v>54.5</c:v>
                </c:pt>
                <c:pt idx="73">
                  <c:v>46.7</c:v>
                </c:pt>
                <c:pt idx="74">
                  <c:v>46.8</c:v>
                </c:pt>
                <c:pt idx="75">
                  <c:v>48.7</c:v>
                </c:pt>
                <c:pt idx="76">
                  <c:v>50.3</c:v>
                </c:pt>
                <c:pt idx="77">
                  <c:v>51.5</c:v>
                </c:pt>
                <c:pt idx="78">
                  <c:v>50.2</c:v>
                </c:pt>
                <c:pt idx="79">
                  <c:v>52.2</c:v>
                </c:pt>
                <c:pt idx="80">
                  <c:v>53.1</c:v>
                </c:pt>
                <c:pt idx="81">
                  <c:v>45.9</c:v>
                </c:pt>
                <c:pt idx="82">
                  <c:v>47.5</c:v>
                </c:pt>
                <c:pt idx="83">
                  <c:v>50.7</c:v>
                </c:pt>
                <c:pt idx="84">
                  <c:v>51.7</c:v>
                </c:pt>
                <c:pt idx="85">
                  <c:v>48.5</c:v>
                </c:pt>
                <c:pt idx="86">
                  <c:v>50.9</c:v>
                </c:pt>
                <c:pt idx="87">
                  <c:v>51.7</c:v>
                </c:pt>
                <c:pt idx="88">
                  <c:v>47.8</c:v>
                </c:pt>
                <c:pt idx="89">
                  <c:v>50.3</c:v>
                </c:pt>
                <c:pt idx="90">
                  <c:v>51.4</c:v>
                </c:pt>
                <c:pt idx="91">
                  <c:v>49.6</c:v>
                </c:pt>
                <c:pt idx="92">
                  <c:v>52.6</c:v>
                </c:pt>
                <c:pt idx="93">
                  <c:v>54.2</c:v>
                </c:pt>
                <c:pt idx="94">
                  <c:v>51.5</c:v>
                </c:pt>
                <c:pt idx="95">
                  <c:v>50.9</c:v>
                </c:pt>
                <c:pt idx="96">
                  <c:v>52.2</c:v>
                </c:pt>
                <c:pt idx="97">
                  <c:v>53.7</c:v>
                </c:pt>
                <c:pt idx="98">
                  <c:v>53.2</c:v>
                </c:pt>
                <c:pt idx="99">
                  <c:v>52.2</c:v>
                </c:pt>
                <c:pt idx="100">
                  <c:v>52.5</c:v>
                </c:pt>
                <c:pt idx="101">
                  <c:v>52</c:v>
                </c:pt>
                <c:pt idx="102">
                  <c:v>51</c:v>
                </c:pt>
                <c:pt idx="103">
                  <c:v>50.2</c:v>
                </c:pt>
                <c:pt idx="104">
                  <c:v>49.6</c:v>
                </c:pt>
                <c:pt idx="105">
                  <c:v>53.8</c:v>
                </c:pt>
                <c:pt idx="106">
                  <c:v>52.4</c:v>
                </c:pt>
                <c:pt idx="107">
                  <c:v>48.7</c:v>
                </c:pt>
                <c:pt idx="108">
                  <c:v>49.2</c:v>
                </c:pt>
                <c:pt idx="109">
                  <c:v>52.7</c:v>
                </c:pt>
                <c:pt idx="110">
                  <c:v>53.3</c:v>
                </c:pt>
                <c:pt idx="111">
                  <c:v>55.5</c:v>
                </c:pt>
                <c:pt idx="112">
                  <c:v>57.5</c:v>
                </c:pt>
                <c:pt idx="113">
                  <c:v>49.3</c:v>
                </c:pt>
                <c:pt idx="114">
                  <c:v>49.3</c:v>
                </c:pt>
                <c:pt idx="115">
                  <c:v>12.6</c:v>
                </c:pt>
                <c:pt idx="116">
                  <c:v>33.700000000000003</c:v>
                </c:pt>
                <c:pt idx="117">
                  <c:v>34.200000000000003</c:v>
                </c:pt>
                <c:pt idx="118">
                  <c:v>41.8</c:v>
                </c:pt>
                <c:pt idx="119">
                  <c:v>49.8</c:v>
                </c:pt>
                <c:pt idx="120">
                  <c:v>54.1</c:v>
                </c:pt>
                <c:pt idx="121">
                  <c:v>53.7</c:v>
                </c:pt>
                <c:pt idx="122">
                  <c:v>52.3</c:v>
                </c:pt>
                <c:pt idx="123">
                  <c:v>52.8</c:v>
                </c:pt>
                <c:pt idx="124">
                  <c:v>55.3</c:v>
                </c:pt>
                <c:pt idx="125">
                  <c:v>54.6</c:v>
                </c:pt>
                <c:pt idx="126">
                  <c:v>54</c:v>
                </c:pt>
                <c:pt idx="127">
                  <c:v>46.4</c:v>
                </c:pt>
                <c:pt idx="128">
                  <c:v>41.2</c:v>
                </c:pt>
                <c:pt idx="129">
                  <c:v>45.4</c:v>
                </c:pt>
                <c:pt idx="130">
                  <c:v>56.7</c:v>
                </c:pt>
                <c:pt idx="131">
                  <c:v>55.2</c:v>
                </c:pt>
                <c:pt idx="132">
                  <c:v>58.4</c:v>
                </c:pt>
                <c:pt idx="133">
                  <c:v>58.1</c:v>
                </c:pt>
                <c:pt idx="134">
                  <c:v>55.5</c:v>
                </c:pt>
                <c:pt idx="135">
                  <c:v>51.5</c:v>
                </c:pt>
                <c:pt idx="136">
                  <c:v>51.8</c:v>
                </c:pt>
                <c:pt idx="137">
                  <c:v>53.6</c:v>
                </c:pt>
                <c:pt idx="138">
                  <c:v>57.9</c:v>
                </c:pt>
                <c:pt idx="139">
                  <c:v>58.9</c:v>
                </c:pt>
                <c:pt idx="140">
                  <c:v>59.2</c:v>
                </c:pt>
                <c:pt idx="141">
                  <c:v>55.5</c:v>
                </c:pt>
                <c:pt idx="142">
                  <c:v>57.2</c:v>
                </c:pt>
                <c:pt idx="143">
                  <c:v>54.3</c:v>
                </c:pt>
                <c:pt idx="144">
                  <c:v>55.1</c:v>
                </c:pt>
              </c:numCache>
            </c:numRef>
          </c:val>
          <c:smooth val="0"/>
          <c:extLst>
            <c:ext xmlns:c16="http://schemas.microsoft.com/office/drawing/2014/chart" uri="{C3380CC4-5D6E-409C-BE32-E72D297353CC}">
              <c16:uniqueId val="{00000000-1E6B-264E-837C-76B72C7C6183}"/>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Australia!$J$2</c:f>
          <c:strCache>
            <c:ptCount val="1"/>
            <c:pt idx="0">
              <c:v>Australia Services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Australia!$B$5</c:f>
              <c:strCache>
                <c:ptCount val="1"/>
                <c:pt idx="0">
                  <c:v>PMI</c:v>
                </c:pt>
              </c:strCache>
            </c:strRef>
          </c:tx>
          <c:spPr>
            <a:ln>
              <a:prstDash val="solid"/>
            </a:ln>
          </c:spPr>
          <c:marker>
            <c:symbol val="none"/>
          </c:marker>
          <c:cat>
            <c:numRef>
              <c:f>Australia!$A$6:$A$150</c:f>
              <c:numCache>
                <c:formatCode>m/d/yy</c:formatCode>
                <c:ptCount val="145"/>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pt idx="136">
                  <c:v>44593</c:v>
                </c:pt>
                <c:pt idx="137">
                  <c:v>44621</c:v>
                </c:pt>
                <c:pt idx="138">
                  <c:v>44652</c:v>
                </c:pt>
                <c:pt idx="139">
                  <c:v>44682</c:v>
                </c:pt>
                <c:pt idx="140">
                  <c:v>44713</c:v>
                </c:pt>
                <c:pt idx="141">
                  <c:v>44743</c:v>
                </c:pt>
                <c:pt idx="142">
                  <c:v>44774</c:v>
                </c:pt>
                <c:pt idx="143">
                  <c:v>44805</c:v>
                </c:pt>
                <c:pt idx="144">
                  <c:v>44835</c:v>
                </c:pt>
              </c:numCache>
            </c:numRef>
          </c:cat>
          <c:val>
            <c:numRef>
              <c:f>Australia!$B$6:$B$150</c:f>
              <c:numCache>
                <c:formatCode>General</c:formatCode>
                <c:ptCount val="145"/>
                <c:pt idx="0">
                  <c:v>50.7</c:v>
                </c:pt>
                <c:pt idx="1">
                  <c:v>46.2</c:v>
                </c:pt>
                <c:pt idx="2">
                  <c:v>47.1</c:v>
                </c:pt>
                <c:pt idx="3">
                  <c:v>45.5</c:v>
                </c:pt>
                <c:pt idx="4">
                  <c:v>48.7</c:v>
                </c:pt>
                <c:pt idx="5">
                  <c:v>46.5</c:v>
                </c:pt>
                <c:pt idx="6">
                  <c:v>51.5</c:v>
                </c:pt>
                <c:pt idx="7">
                  <c:v>49.9</c:v>
                </c:pt>
                <c:pt idx="8">
                  <c:v>48.5</c:v>
                </c:pt>
                <c:pt idx="9">
                  <c:v>48.8</c:v>
                </c:pt>
                <c:pt idx="10">
                  <c:v>52.1</c:v>
                </c:pt>
                <c:pt idx="11">
                  <c:v>50.3</c:v>
                </c:pt>
                <c:pt idx="12">
                  <c:v>48.8</c:v>
                </c:pt>
                <c:pt idx="13">
                  <c:v>47.7</c:v>
                </c:pt>
                <c:pt idx="14">
                  <c:v>49</c:v>
                </c:pt>
                <c:pt idx="15">
                  <c:v>51.9</c:v>
                </c:pt>
                <c:pt idx="16">
                  <c:v>46.7</c:v>
                </c:pt>
                <c:pt idx="17">
                  <c:v>47</c:v>
                </c:pt>
                <c:pt idx="18">
                  <c:v>39.6</c:v>
                </c:pt>
                <c:pt idx="19">
                  <c:v>43.5</c:v>
                </c:pt>
                <c:pt idx="20">
                  <c:v>48.8</c:v>
                </c:pt>
                <c:pt idx="21">
                  <c:v>46.5</c:v>
                </c:pt>
                <c:pt idx="22">
                  <c:v>42.4</c:v>
                </c:pt>
                <c:pt idx="23">
                  <c:v>41.9</c:v>
                </c:pt>
                <c:pt idx="24">
                  <c:v>42.8</c:v>
                </c:pt>
                <c:pt idx="25">
                  <c:v>47.1</c:v>
                </c:pt>
                <c:pt idx="26">
                  <c:v>46.3</c:v>
                </c:pt>
                <c:pt idx="27">
                  <c:v>45.4</c:v>
                </c:pt>
                <c:pt idx="28">
                  <c:v>48.5</c:v>
                </c:pt>
                <c:pt idx="29">
                  <c:v>49.6</c:v>
                </c:pt>
                <c:pt idx="30">
                  <c:v>44.1</c:v>
                </c:pt>
                <c:pt idx="31">
                  <c:v>40.6</c:v>
                </c:pt>
                <c:pt idx="32">
                  <c:v>41.5</c:v>
                </c:pt>
                <c:pt idx="33">
                  <c:v>39.4</c:v>
                </c:pt>
                <c:pt idx="34">
                  <c:v>39</c:v>
                </c:pt>
                <c:pt idx="35">
                  <c:v>47.1</c:v>
                </c:pt>
                <c:pt idx="36">
                  <c:v>47.9</c:v>
                </c:pt>
                <c:pt idx="37">
                  <c:v>48.9</c:v>
                </c:pt>
                <c:pt idx="38">
                  <c:v>46.1</c:v>
                </c:pt>
                <c:pt idx="39">
                  <c:v>49.3</c:v>
                </c:pt>
                <c:pt idx="40">
                  <c:v>55.2</c:v>
                </c:pt>
                <c:pt idx="41">
                  <c:v>48.9</c:v>
                </c:pt>
                <c:pt idx="42">
                  <c:v>48.6</c:v>
                </c:pt>
                <c:pt idx="43">
                  <c:v>49.9</c:v>
                </c:pt>
                <c:pt idx="44">
                  <c:v>47.6</c:v>
                </c:pt>
                <c:pt idx="45">
                  <c:v>49.3</c:v>
                </c:pt>
                <c:pt idx="46">
                  <c:v>49.4</c:v>
                </c:pt>
                <c:pt idx="47">
                  <c:v>45.5</c:v>
                </c:pt>
                <c:pt idx="48">
                  <c:v>43.6</c:v>
                </c:pt>
                <c:pt idx="49">
                  <c:v>43.8</c:v>
                </c:pt>
                <c:pt idx="50">
                  <c:v>47.5</c:v>
                </c:pt>
                <c:pt idx="51">
                  <c:v>49.5</c:v>
                </c:pt>
                <c:pt idx="52">
                  <c:v>51.7</c:v>
                </c:pt>
                <c:pt idx="53">
                  <c:v>50.2</c:v>
                </c:pt>
                <c:pt idx="54">
                  <c:v>49.7</c:v>
                </c:pt>
                <c:pt idx="55">
                  <c:v>49.6</c:v>
                </c:pt>
                <c:pt idx="56">
                  <c:v>51.2</c:v>
                </c:pt>
                <c:pt idx="57">
                  <c:v>54.1</c:v>
                </c:pt>
                <c:pt idx="58">
                  <c:v>55.6</c:v>
                </c:pt>
                <c:pt idx="59">
                  <c:v>52.3</c:v>
                </c:pt>
                <c:pt idx="60">
                  <c:v>48.9</c:v>
                </c:pt>
                <c:pt idx="61">
                  <c:v>48.2</c:v>
                </c:pt>
                <c:pt idx="62">
                  <c:v>46.3</c:v>
                </c:pt>
                <c:pt idx="63">
                  <c:v>48.4</c:v>
                </c:pt>
                <c:pt idx="64">
                  <c:v>51.8</c:v>
                </c:pt>
                <c:pt idx="65">
                  <c:v>49.5</c:v>
                </c:pt>
                <c:pt idx="66">
                  <c:v>49.7</c:v>
                </c:pt>
                <c:pt idx="67">
                  <c:v>51.5</c:v>
                </c:pt>
                <c:pt idx="68">
                  <c:v>51.3</c:v>
                </c:pt>
                <c:pt idx="69">
                  <c:v>53.9</c:v>
                </c:pt>
                <c:pt idx="70">
                  <c:v>45</c:v>
                </c:pt>
                <c:pt idx="71">
                  <c:v>48.9</c:v>
                </c:pt>
                <c:pt idx="72">
                  <c:v>50.5</c:v>
                </c:pt>
                <c:pt idx="73">
                  <c:v>51.1</c:v>
                </c:pt>
                <c:pt idx="74">
                  <c:v>57.7</c:v>
                </c:pt>
                <c:pt idx="75">
                  <c:v>54.5</c:v>
                </c:pt>
                <c:pt idx="76">
                  <c:v>49</c:v>
                </c:pt>
                <c:pt idx="77">
                  <c:v>51.7</c:v>
                </c:pt>
                <c:pt idx="78">
                  <c:v>53</c:v>
                </c:pt>
                <c:pt idx="79">
                  <c:v>51.5</c:v>
                </c:pt>
                <c:pt idx="80">
                  <c:v>54.8</c:v>
                </c:pt>
                <c:pt idx="81">
                  <c:v>56.4</c:v>
                </c:pt>
                <c:pt idx="82">
                  <c:v>53</c:v>
                </c:pt>
                <c:pt idx="83">
                  <c:v>52.1</c:v>
                </c:pt>
                <c:pt idx="84">
                  <c:v>51.4</c:v>
                </c:pt>
                <c:pt idx="85">
                  <c:v>51.7</c:v>
                </c:pt>
                <c:pt idx="86">
                  <c:v>52</c:v>
                </c:pt>
                <c:pt idx="87">
                  <c:v>54.9</c:v>
                </c:pt>
                <c:pt idx="88">
                  <c:v>54</c:v>
                </c:pt>
                <c:pt idx="89">
                  <c:v>56.9</c:v>
                </c:pt>
                <c:pt idx="90">
                  <c:v>55.2</c:v>
                </c:pt>
                <c:pt idx="91">
                  <c:v>59</c:v>
                </c:pt>
                <c:pt idx="92">
                  <c:v>63</c:v>
                </c:pt>
                <c:pt idx="93">
                  <c:v>53.6</c:v>
                </c:pt>
                <c:pt idx="94">
                  <c:v>52.2</c:v>
                </c:pt>
                <c:pt idx="95">
                  <c:v>52.5</c:v>
                </c:pt>
                <c:pt idx="96">
                  <c:v>51.1</c:v>
                </c:pt>
                <c:pt idx="97">
                  <c:v>55.1</c:v>
                </c:pt>
                <c:pt idx="98">
                  <c:v>52.1</c:v>
                </c:pt>
                <c:pt idx="99">
                  <c:v>44.3</c:v>
                </c:pt>
                <c:pt idx="100">
                  <c:v>44.5</c:v>
                </c:pt>
                <c:pt idx="101">
                  <c:v>44.8</c:v>
                </c:pt>
                <c:pt idx="102">
                  <c:v>46.5</c:v>
                </c:pt>
                <c:pt idx="103">
                  <c:v>52.5</c:v>
                </c:pt>
                <c:pt idx="104">
                  <c:v>52.2</c:v>
                </c:pt>
                <c:pt idx="105">
                  <c:v>43.9</c:v>
                </c:pt>
                <c:pt idx="106">
                  <c:v>51.4</c:v>
                </c:pt>
                <c:pt idx="107">
                  <c:v>51.5</c:v>
                </c:pt>
                <c:pt idx="108">
                  <c:v>54.2</c:v>
                </c:pt>
                <c:pt idx="109">
                  <c:v>53.7</c:v>
                </c:pt>
                <c:pt idx="110">
                  <c:v>48.7</c:v>
                </c:pt>
                <c:pt idx="111">
                  <c:v>46.6</c:v>
                </c:pt>
                <c:pt idx="112">
                  <c:v>47</c:v>
                </c:pt>
                <c:pt idx="113">
                  <c:v>38.700000000000003</c:v>
                </c:pt>
                <c:pt idx="114">
                  <c:v>27.1</c:v>
                </c:pt>
                <c:pt idx="115">
                  <c:v>31.6</c:v>
                </c:pt>
                <c:pt idx="116">
                  <c:v>31.5</c:v>
                </c:pt>
                <c:pt idx="117">
                  <c:v>44</c:v>
                </c:pt>
                <c:pt idx="118">
                  <c:v>43.5</c:v>
                </c:pt>
                <c:pt idx="119">
                  <c:v>36.200000000000003</c:v>
                </c:pt>
                <c:pt idx="120">
                  <c:v>51.4</c:v>
                </c:pt>
                <c:pt idx="121">
                  <c:v>52.9</c:v>
                </c:pt>
                <c:pt idx="122">
                  <c:v>54.3</c:v>
                </c:pt>
                <c:pt idx="123">
                  <c:v>54.3</c:v>
                </c:pt>
                <c:pt idx="124">
                  <c:v>55.8</c:v>
                </c:pt>
                <c:pt idx="125">
                  <c:v>58.7</c:v>
                </c:pt>
                <c:pt idx="126">
                  <c:v>61</c:v>
                </c:pt>
                <c:pt idx="127">
                  <c:v>61.2</c:v>
                </c:pt>
                <c:pt idx="128">
                  <c:v>57.8</c:v>
                </c:pt>
                <c:pt idx="129">
                  <c:v>51.7</c:v>
                </c:pt>
                <c:pt idx="130">
                  <c:v>45.6</c:v>
                </c:pt>
                <c:pt idx="131">
                  <c:v>45.7</c:v>
                </c:pt>
                <c:pt idx="132">
                  <c:v>47.6</c:v>
                </c:pt>
                <c:pt idx="133">
                  <c:v>47.6</c:v>
                </c:pt>
                <c:pt idx="134">
                  <c:v>49.6</c:v>
                </c:pt>
                <c:pt idx="135">
                  <c:v>56.2</c:v>
                </c:pt>
                <c:pt idx="136">
                  <c:v>60</c:v>
                </c:pt>
                <c:pt idx="137">
                  <c:v>56.2</c:v>
                </c:pt>
                <c:pt idx="138">
                  <c:v>57.8</c:v>
                </c:pt>
                <c:pt idx="139">
                  <c:v>49.2</c:v>
                </c:pt>
                <c:pt idx="140">
                  <c:v>48.8</c:v>
                </c:pt>
                <c:pt idx="141">
                  <c:v>51.7</c:v>
                </c:pt>
                <c:pt idx="142">
                  <c:v>53.3</c:v>
                </c:pt>
                <c:pt idx="143">
                  <c:v>48</c:v>
                </c:pt>
                <c:pt idx="144">
                  <c:v>47.7</c:v>
                </c:pt>
              </c:numCache>
            </c:numRef>
          </c:val>
          <c:smooth val="0"/>
          <c:extLst>
            <c:ext xmlns:c16="http://schemas.microsoft.com/office/drawing/2014/chart" uri="{C3380CC4-5D6E-409C-BE32-E72D297353CC}">
              <c16:uniqueId val="{00000000-1B8B-E845-86A2-F38EDF169863}"/>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Ireland!$J$2</c:f>
          <c:strCache>
            <c:ptCount val="1"/>
            <c:pt idx="0">
              <c:v>Ireland Services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Ireland!$B$5</c:f>
              <c:strCache>
                <c:ptCount val="1"/>
                <c:pt idx="0">
                  <c:v>PMI</c:v>
                </c:pt>
              </c:strCache>
            </c:strRef>
          </c:tx>
          <c:spPr>
            <a:ln>
              <a:prstDash val="solid"/>
            </a:ln>
          </c:spPr>
          <c:marker>
            <c:symbol val="none"/>
          </c:marker>
          <c:cat>
            <c:numRef>
              <c:f>Ireland!$A$6:$A$150</c:f>
              <c:numCache>
                <c:formatCode>m/d/yy</c:formatCode>
                <c:ptCount val="145"/>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pt idx="136">
                  <c:v>44593</c:v>
                </c:pt>
                <c:pt idx="137">
                  <c:v>44621</c:v>
                </c:pt>
                <c:pt idx="138">
                  <c:v>44652</c:v>
                </c:pt>
                <c:pt idx="139">
                  <c:v>44682</c:v>
                </c:pt>
                <c:pt idx="140">
                  <c:v>44713</c:v>
                </c:pt>
                <c:pt idx="141">
                  <c:v>44743</c:v>
                </c:pt>
                <c:pt idx="142">
                  <c:v>44774</c:v>
                </c:pt>
                <c:pt idx="143">
                  <c:v>44805</c:v>
                </c:pt>
                <c:pt idx="144">
                  <c:v>44835</c:v>
                </c:pt>
              </c:numCache>
            </c:numRef>
          </c:cat>
          <c:val>
            <c:numRef>
              <c:f>Ireland!$B$6:$B$150</c:f>
              <c:numCache>
                <c:formatCode>General</c:formatCode>
                <c:ptCount val="145"/>
                <c:pt idx="0">
                  <c:v>50.9</c:v>
                </c:pt>
                <c:pt idx="1">
                  <c:v>50.8</c:v>
                </c:pt>
                <c:pt idx="2">
                  <c:v>52.1</c:v>
                </c:pt>
                <c:pt idx="3">
                  <c:v>53.6</c:v>
                </c:pt>
                <c:pt idx="4">
                  <c:v>55.1</c:v>
                </c:pt>
                <c:pt idx="5">
                  <c:v>51.1</c:v>
                </c:pt>
                <c:pt idx="6">
                  <c:v>50.2</c:v>
                </c:pt>
                <c:pt idx="7">
                  <c:v>50.5</c:v>
                </c:pt>
                <c:pt idx="8">
                  <c:v>52.4</c:v>
                </c:pt>
                <c:pt idx="9">
                  <c:v>51.7</c:v>
                </c:pt>
                <c:pt idx="10">
                  <c:v>51.1</c:v>
                </c:pt>
                <c:pt idx="11">
                  <c:v>51.3</c:v>
                </c:pt>
                <c:pt idx="12">
                  <c:v>51.5</c:v>
                </c:pt>
                <c:pt idx="13">
                  <c:v>52.7</c:v>
                </c:pt>
                <c:pt idx="14">
                  <c:v>48.4</c:v>
                </c:pt>
                <c:pt idx="15">
                  <c:v>48.3</c:v>
                </c:pt>
                <c:pt idx="16">
                  <c:v>53.3</c:v>
                </c:pt>
                <c:pt idx="17">
                  <c:v>52.1</c:v>
                </c:pt>
                <c:pt idx="18">
                  <c:v>52.2</c:v>
                </c:pt>
                <c:pt idx="19">
                  <c:v>48.9</c:v>
                </c:pt>
                <c:pt idx="20">
                  <c:v>49.7</c:v>
                </c:pt>
                <c:pt idx="21">
                  <c:v>49.1</c:v>
                </c:pt>
                <c:pt idx="22">
                  <c:v>51.7</c:v>
                </c:pt>
                <c:pt idx="23">
                  <c:v>53.9</c:v>
                </c:pt>
                <c:pt idx="24">
                  <c:v>56.1</c:v>
                </c:pt>
                <c:pt idx="25">
                  <c:v>56.1</c:v>
                </c:pt>
                <c:pt idx="26">
                  <c:v>56.5</c:v>
                </c:pt>
                <c:pt idx="27">
                  <c:v>56.8</c:v>
                </c:pt>
                <c:pt idx="28">
                  <c:v>53.6</c:v>
                </c:pt>
                <c:pt idx="29">
                  <c:v>52.3</c:v>
                </c:pt>
                <c:pt idx="30">
                  <c:v>55.2</c:v>
                </c:pt>
                <c:pt idx="31">
                  <c:v>52.7</c:v>
                </c:pt>
                <c:pt idx="32">
                  <c:v>61.6</c:v>
                </c:pt>
                <c:pt idx="33">
                  <c:v>59.6</c:v>
                </c:pt>
                <c:pt idx="34">
                  <c:v>57.2</c:v>
                </c:pt>
                <c:pt idx="35">
                  <c:v>56.8</c:v>
                </c:pt>
                <c:pt idx="36">
                  <c:v>60.1</c:v>
                </c:pt>
                <c:pt idx="37">
                  <c:v>57.1</c:v>
                </c:pt>
                <c:pt idx="38">
                  <c:v>59.3</c:v>
                </c:pt>
                <c:pt idx="39">
                  <c:v>61.5</c:v>
                </c:pt>
                <c:pt idx="40">
                  <c:v>57.5</c:v>
                </c:pt>
                <c:pt idx="41">
                  <c:v>60.7</c:v>
                </c:pt>
                <c:pt idx="42">
                  <c:v>61.9</c:v>
                </c:pt>
                <c:pt idx="43">
                  <c:v>61.7</c:v>
                </c:pt>
                <c:pt idx="44">
                  <c:v>62.6</c:v>
                </c:pt>
                <c:pt idx="45">
                  <c:v>61.3</c:v>
                </c:pt>
                <c:pt idx="46">
                  <c:v>62.4</c:v>
                </c:pt>
                <c:pt idx="47">
                  <c:v>62.5</c:v>
                </c:pt>
                <c:pt idx="48">
                  <c:v>61.5</c:v>
                </c:pt>
                <c:pt idx="49">
                  <c:v>61.6</c:v>
                </c:pt>
                <c:pt idx="50">
                  <c:v>62.6</c:v>
                </c:pt>
                <c:pt idx="51">
                  <c:v>62.5</c:v>
                </c:pt>
                <c:pt idx="52">
                  <c:v>61.4</c:v>
                </c:pt>
                <c:pt idx="53">
                  <c:v>60.9</c:v>
                </c:pt>
                <c:pt idx="54">
                  <c:v>60.6</c:v>
                </c:pt>
                <c:pt idx="55">
                  <c:v>61.4</c:v>
                </c:pt>
                <c:pt idx="56">
                  <c:v>63.3</c:v>
                </c:pt>
                <c:pt idx="57">
                  <c:v>63.4</c:v>
                </c:pt>
                <c:pt idx="58">
                  <c:v>62.1</c:v>
                </c:pt>
                <c:pt idx="59">
                  <c:v>62.4</c:v>
                </c:pt>
                <c:pt idx="60">
                  <c:v>60.1</c:v>
                </c:pt>
                <c:pt idx="61">
                  <c:v>63.6</c:v>
                </c:pt>
                <c:pt idx="62">
                  <c:v>61.8</c:v>
                </c:pt>
                <c:pt idx="63">
                  <c:v>64</c:v>
                </c:pt>
                <c:pt idx="64">
                  <c:v>62.1</c:v>
                </c:pt>
                <c:pt idx="65">
                  <c:v>62.8</c:v>
                </c:pt>
                <c:pt idx="66">
                  <c:v>59.8</c:v>
                </c:pt>
                <c:pt idx="67">
                  <c:v>61.7</c:v>
                </c:pt>
                <c:pt idx="68">
                  <c:v>61.2</c:v>
                </c:pt>
                <c:pt idx="69">
                  <c:v>59.5</c:v>
                </c:pt>
                <c:pt idx="70">
                  <c:v>59.7</c:v>
                </c:pt>
                <c:pt idx="71">
                  <c:v>56.2</c:v>
                </c:pt>
                <c:pt idx="72">
                  <c:v>54.6</c:v>
                </c:pt>
                <c:pt idx="73">
                  <c:v>56</c:v>
                </c:pt>
                <c:pt idx="74">
                  <c:v>59.1</c:v>
                </c:pt>
                <c:pt idx="75">
                  <c:v>61</c:v>
                </c:pt>
                <c:pt idx="76">
                  <c:v>60.6</c:v>
                </c:pt>
                <c:pt idx="77">
                  <c:v>59.1</c:v>
                </c:pt>
                <c:pt idx="78">
                  <c:v>61.1</c:v>
                </c:pt>
                <c:pt idx="79">
                  <c:v>59.5</c:v>
                </c:pt>
                <c:pt idx="80">
                  <c:v>57.6</c:v>
                </c:pt>
                <c:pt idx="81">
                  <c:v>58.3</c:v>
                </c:pt>
                <c:pt idx="82">
                  <c:v>58.4</c:v>
                </c:pt>
                <c:pt idx="83">
                  <c:v>58.7</c:v>
                </c:pt>
                <c:pt idx="84">
                  <c:v>57.5</c:v>
                </c:pt>
                <c:pt idx="85">
                  <c:v>56</c:v>
                </c:pt>
                <c:pt idx="86">
                  <c:v>60.4</c:v>
                </c:pt>
                <c:pt idx="87">
                  <c:v>59.8</c:v>
                </c:pt>
                <c:pt idx="88">
                  <c:v>57.2</c:v>
                </c:pt>
                <c:pt idx="89">
                  <c:v>56.5</c:v>
                </c:pt>
                <c:pt idx="90">
                  <c:v>58.3</c:v>
                </c:pt>
                <c:pt idx="91">
                  <c:v>59.3</c:v>
                </c:pt>
                <c:pt idx="92">
                  <c:v>59.5</c:v>
                </c:pt>
                <c:pt idx="93">
                  <c:v>57.4</c:v>
                </c:pt>
                <c:pt idx="94">
                  <c:v>58</c:v>
                </c:pt>
                <c:pt idx="95">
                  <c:v>58.7</c:v>
                </c:pt>
                <c:pt idx="96">
                  <c:v>57.2</c:v>
                </c:pt>
                <c:pt idx="97">
                  <c:v>57.1</c:v>
                </c:pt>
                <c:pt idx="98">
                  <c:v>56.3</c:v>
                </c:pt>
                <c:pt idx="99">
                  <c:v>54.2</c:v>
                </c:pt>
                <c:pt idx="100">
                  <c:v>55.9</c:v>
                </c:pt>
                <c:pt idx="101">
                  <c:v>55.3</c:v>
                </c:pt>
                <c:pt idx="102">
                  <c:v>54.7</c:v>
                </c:pt>
                <c:pt idx="103">
                  <c:v>57</c:v>
                </c:pt>
                <c:pt idx="104">
                  <c:v>56.9</c:v>
                </c:pt>
                <c:pt idx="105">
                  <c:v>55</c:v>
                </c:pt>
                <c:pt idx="106">
                  <c:v>54.6</c:v>
                </c:pt>
                <c:pt idx="107">
                  <c:v>53.1</c:v>
                </c:pt>
                <c:pt idx="108">
                  <c:v>50.6</c:v>
                </c:pt>
                <c:pt idx="109">
                  <c:v>52</c:v>
                </c:pt>
                <c:pt idx="110">
                  <c:v>55.9</c:v>
                </c:pt>
                <c:pt idx="111">
                  <c:v>56.9</c:v>
                </c:pt>
                <c:pt idx="112">
                  <c:v>59.9</c:v>
                </c:pt>
                <c:pt idx="113">
                  <c:v>32.5</c:v>
                </c:pt>
                <c:pt idx="114">
                  <c:v>13.9</c:v>
                </c:pt>
                <c:pt idx="115">
                  <c:v>23.4</c:v>
                </c:pt>
                <c:pt idx="116">
                  <c:v>39.700000000000003</c:v>
                </c:pt>
                <c:pt idx="117">
                  <c:v>51.9</c:v>
                </c:pt>
                <c:pt idx="118">
                  <c:v>52.4</c:v>
                </c:pt>
                <c:pt idx="119">
                  <c:v>45.8</c:v>
                </c:pt>
                <c:pt idx="120">
                  <c:v>48.3</c:v>
                </c:pt>
                <c:pt idx="121">
                  <c:v>45.4</c:v>
                </c:pt>
                <c:pt idx="122">
                  <c:v>50.1</c:v>
                </c:pt>
                <c:pt idx="123">
                  <c:v>36.200000000000003</c:v>
                </c:pt>
                <c:pt idx="124">
                  <c:v>41.2</c:v>
                </c:pt>
                <c:pt idx="125">
                  <c:v>54.6</c:v>
                </c:pt>
                <c:pt idx="126">
                  <c:v>57.7</c:v>
                </c:pt>
                <c:pt idx="127">
                  <c:v>62.1</c:v>
                </c:pt>
                <c:pt idx="128">
                  <c:v>63.1</c:v>
                </c:pt>
                <c:pt idx="129">
                  <c:v>66.599999999999994</c:v>
                </c:pt>
                <c:pt idx="130">
                  <c:v>63.7</c:v>
                </c:pt>
                <c:pt idx="131">
                  <c:v>63.7</c:v>
                </c:pt>
                <c:pt idx="132">
                  <c:v>63.4</c:v>
                </c:pt>
                <c:pt idx="133">
                  <c:v>59.3</c:v>
                </c:pt>
                <c:pt idx="134">
                  <c:v>55.4</c:v>
                </c:pt>
                <c:pt idx="135">
                  <c:v>56.2</c:v>
                </c:pt>
                <c:pt idx="136">
                  <c:v>61.8</c:v>
                </c:pt>
                <c:pt idx="137">
                  <c:v>63.4</c:v>
                </c:pt>
                <c:pt idx="138">
                  <c:v>61.7</c:v>
                </c:pt>
                <c:pt idx="139">
                  <c:v>60.2</c:v>
                </c:pt>
                <c:pt idx="140">
                  <c:v>55.6</c:v>
                </c:pt>
                <c:pt idx="141">
                  <c:v>56.3</c:v>
                </c:pt>
                <c:pt idx="142">
                  <c:v>54.7</c:v>
                </c:pt>
                <c:pt idx="143">
                  <c:v>54.1</c:v>
                </c:pt>
                <c:pt idx="144">
                  <c:v>53.2</c:v>
                </c:pt>
              </c:numCache>
            </c:numRef>
          </c:val>
          <c:smooth val="0"/>
          <c:extLst>
            <c:ext xmlns:c16="http://schemas.microsoft.com/office/drawing/2014/chart" uri="{C3380CC4-5D6E-409C-BE32-E72D297353CC}">
              <c16:uniqueId val="{00000000-E44C-9B4E-B6A5-5DFCDC99E02F}"/>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Italy!$J$2</c:f>
          <c:strCache>
            <c:ptCount val="1"/>
            <c:pt idx="0">
              <c:v>Italy Services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Italy!$B$5</c:f>
              <c:strCache>
                <c:ptCount val="1"/>
                <c:pt idx="0">
                  <c:v>PMI</c:v>
                </c:pt>
              </c:strCache>
            </c:strRef>
          </c:tx>
          <c:spPr>
            <a:ln>
              <a:prstDash val="solid"/>
            </a:ln>
          </c:spPr>
          <c:marker>
            <c:symbol val="none"/>
          </c:marker>
          <c:cat>
            <c:numRef>
              <c:f>Italy!$A$6:$A$150</c:f>
              <c:numCache>
                <c:formatCode>m/d/yy</c:formatCode>
                <c:ptCount val="145"/>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pt idx="136">
                  <c:v>44593</c:v>
                </c:pt>
                <c:pt idx="137">
                  <c:v>44621</c:v>
                </c:pt>
                <c:pt idx="138">
                  <c:v>44652</c:v>
                </c:pt>
                <c:pt idx="139">
                  <c:v>44682</c:v>
                </c:pt>
                <c:pt idx="140">
                  <c:v>44713</c:v>
                </c:pt>
                <c:pt idx="141">
                  <c:v>44743</c:v>
                </c:pt>
                <c:pt idx="142">
                  <c:v>44774</c:v>
                </c:pt>
                <c:pt idx="143">
                  <c:v>44805</c:v>
                </c:pt>
                <c:pt idx="144">
                  <c:v>44835</c:v>
                </c:pt>
              </c:numCache>
            </c:numRef>
          </c:cat>
          <c:val>
            <c:numRef>
              <c:f>Italy!$B$6:$B$150</c:f>
              <c:numCache>
                <c:formatCode>General</c:formatCode>
                <c:ptCount val="145"/>
                <c:pt idx="0">
                  <c:v>51</c:v>
                </c:pt>
                <c:pt idx="1">
                  <c:v>54.4</c:v>
                </c:pt>
                <c:pt idx="2">
                  <c:v>52.1</c:v>
                </c:pt>
                <c:pt idx="3">
                  <c:v>53.5</c:v>
                </c:pt>
                <c:pt idx="4">
                  <c:v>53.1</c:v>
                </c:pt>
                <c:pt idx="5">
                  <c:v>53.3</c:v>
                </c:pt>
                <c:pt idx="6">
                  <c:v>52.2</c:v>
                </c:pt>
                <c:pt idx="7">
                  <c:v>50.1</c:v>
                </c:pt>
                <c:pt idx="8">
                  <c:v>47.4</c:v>
                </c:pt>
                <c:pt idx="9">
                  <c:v>48.6</c:v>
                </c:pt>
                <c:pt idx="10">
                  <c:v>48.4</c:v>
                </c:pt>
                <c:pt idx="11">
                  <c:v>45.8</c:v>
                </c:pt>
                <c:pt idx="12">
                  <c:v>43.9</c:v>
                </c:pt>
                <c:pt idx="13">
                  <c:v>45.8</c:v>
                </c:pt>
                <c:pt idx="14">
                  <c:v>44.5</c:v>
                </c:pt>
                <c:pt idx="15">
                  <c:v>44.8</c:v>
                </c:pt>
                <c:pt idx="16">
                  <c:v>44.1</c:v>
                </c:pt>
                <c:pt idx="17">
                  <c:v>44.3</c:v>
                </c:pt>
                <c:pt idx="18">
                  <c:v>42.3</c:v>
                </c:pt>
                <c:pt idx="19">
                  <c:v>42.8</c:v>
                </c:pt>
                <c:pt idx="20">
                  <c:v>43.1</c:v>
                </c:pt>
                <c:pt idx="21">
                  <c:v>43</c:v>
                </c:pt>
                <c:pt idx="22">
                  <c:v>44</c:v>
                </c:pt>
                <c:pt idx="23">
                  <c:v>44.5</c:v>
                </c:pt>
                <c:pt idx="24">
                  <c:v>46</c:v>
                </c:pt>
                <c:pt idx="25">
                  <c:v>44.6</c:v>
                </c:pt>
                <c:pt idx="26">
                  <c:v>43.1</c:v>
                </c:pt>
                <c:pt idx="27">
                  <c:v>43.9</c:v>
                </c:pt>
                <c:pt idx="28">
                  <c:v>43.6</c:v>
                </c:pt>
                <c:pt idx="29">
                  <c:v>45.5</c:v>
                </c:pt>
                <c:pt idx="30">
                  <c:v>47</c:v>
                </c:pt>
                <c:pt idx="31">
                  <c:v>46.5</c:v>
                </c:pt>
                <c:pt idx="32">
                  <c:v>45.8</c:v>
                </c:pt>
                <c:pt idx="33">
                  <c:v>48.7</c:v>
                </c:pt>
                <c:pt idx="34">
                  <c:v>48.8</c:v>
                </c:pt>
                <c:pt idx="35">
                  <c:v>52.7</c:v>
                </c:pt>
                <c:pt idx="36">
                  <c:v>50.5</c:v>
                </c:pt>
                <c:pt idx="37">
                  <c:v>47.2</c:v>
                </c:pt>
                <c:pt idx="38">
                  <c:v>48.6</c:v>
                </c:pt>
                <c:pt idx="39">
                  <c:v>49.4</c:v>
                </c:pt>
                <c:pt idx="40">
                  <c:v>52.9</c:v>
                </c:pt>
                <c:pt idx="41">
                  <c:v>49.5</c:v>
                </c:pt>
                <c:pt idx="42">
                  <c:v>51.1</c:v>
                </c:pt>
                <c:pt idx="43">
                  <c:v>51.6</c:v>
                </c:pt>
                <c:pt idx="44">
                  <c:v>53.6</c:v>
                </c:pt>
                <c:pt idx="45">
                  <c:v>52.8</c:v>
                </c:pt>
                <c:pt idx="46">
                  <c:v>49.8</c:v>
                </c:pt>
                <c:pt idx="47">
                  <c:v>48.8</c:v>
                </c:pt>
                <c:pt idx="48">
                  <c:v>50.8</c:v>
                </c:pt>
                <c:pt idx="49">
                  <c:v>51.8</c:v>
                </c:pt>
                <c:pt idx="50">
                  <c:v>49.4</c:v>
                </c:pt>
                <c:pt idx="51">
                  <c:v>51.2</c:v>
                </c:pt>
                <c:pt idx="52">
                  <c:v>50</c:v>
                </c:pt>
                <c:pt idx="53">
                  <c:v>51.6</c:v>
                </c:pt>
                <c:pt idx="54">
                  <c:v>53.1</c:v>
                </c:pt>
                <c:pt idx="55">
                  <c:v>52.5</c:v>
                </c:pt>
                <c:pt idx="56">
                  <c:v>53.4</c:v>
                </c:pt>
                <c:pt idx="57">
                  <c:v>52</c:v>
                </c:pt>
                <c:pt idx="58">
                  <c:v>54.6</c:v>
                </c:pt>
                <c:pt idx="59">
                  <c:v>53.3</c:v>
                </c:pt>
                <c:pt idx="60">
                  <c:v>53.4</c:v>
                </c:pt>
                <c:pt idx="61">
                  <c:v>53.4</c:v>
                </c:pt>
                <c:pt idx="62">
                  <c:v>55.3</c:v>
                </c:pt>
                <c:pt idx="63">
                  <c:v>53.6</c:v>
                </c:pt>
                <c:pt idx="64">
                  <c:v>53.8</c:v>
                </c:pt>
                <c:pt idx="65">
                  <c:v>51.2</c:v>
                </c:pt>
                <c:pt idx="66">
                  <c:v>52.1</c:v>
                </c:pt>
                <c:pt idx="67">
                  <c:v>49.8</c:v>
                </c:pt>
                <c:pt idx="68">
                  <c:v>51.9</c:v>
                </c:pt>
                <c:pt idx="69">
                  <c:v>52</c:v>
                </c:pt>
                <c:pt idx="70">
                  <c:v>52.3</c:v>
                </c:pt>
                <c:pt idx="71">
                  <c:v>50.7</c:v>
                </c:pt>
                <c:pt idx="72">
                  <c:v>51</c:v>
                </c:pt>
                <c:pt idx="73">
                  <c:v>53.3</c:v>
                </c:pt>
                <c:pt idx="74">
                  <c:v>52.3</c:v>
                </c:pt>
                <c:pt idx="75">
                  <c:v>52.4</c:v>
                </c:pt>
                <c:pt idx="76">
                  <c:v>54.1</c:v>
                </c:pt>
                <c:pt idx="77">
                  <c:v>52.9</c:v>
                </c:pt>
                <c:pt idx="78">
                  <c:v>56.2</c:v>
                </c:pt>
                <c:pt idx="79">
                  <c:v>55.1</c:v>
                </c:pt>
                <c:pt idx="80">
                  <c:v>53.6</c:v>
                </c:pt>
                <c:pt idx="81">
                  <c:v>56.3</c:v>
                </c:pt>
                <c:pt idx="82">
                  <c:v>55.1</c:v>
                </c:pt>
                <c:pt idx="83">
                  <c:v>53.2</c:v>
                </c:pt>
                <c:pt idx="84">
                  <c:v>52.1</c:v>
                </c:pt>
                <c:pt idx="85">
                  <c:v>54.7</c:v>
                </c:pt>
                <c:pt idx="86">
                  <c:v>55.4</c:v>
                </c:pt>
                <c:pt idx="87">
                  <c:v>57.7</c:v>
                </c:pt>
                <c:pt idx="88">
                  <c:v>55</c:v>
                </c:pt>
                <c:pt idx="89">
                  <c:v>52.6</c:v>
                </c:pt>
                <c:pt idx="90">
                  <c:v>52.6</c:v>
                </c:pt>
                <c:pt idx="91">
                  <c:v>53.1</c:v>
                </c:pt>
                <c:pt idx="92">
                  <c:v>54.3</c:v>
                </c:pt>
                <c:pt idx="93">
                  <c:v>54</c:v>
                </c:pt>
                <c:pt idx="94">
                  <c:v>52.6</c:v>
                </c:pt>
                <c:pt idx="95">
                  <c:v>53.3</c:v>
                </c:pt>
                <c:pt idx="96">
                  <c:v>49.2</c:v>
                </c:pt>
                <c:pt idx="97">
                  <c:v>50.3</c:v>
                </c:pt>
                <c:pt idx="98">
                  <c:v>50.5</c:v>
                </c:pt>
                <c:pt idx="99">
                  <c:v>49.7</c:v>
                </c:pt>
                <c:pt idx="100">
                  <c:v>50.4</c:v>
                </c:pt>
                <c:pt idx="101">
                  <c:v>53.1</c:v>
                </c:pt>
                <c:pt idx="102">
                  <c:v>50.4</c:v>
                </c:pt>
                <c:pt idx="103">
                  <c:v>50</c:v>
                </c:pt>
                <c:pt idx="104">
                  <c:v>50.5</c:v>
                </c:pt>
                <c:pt idx="105">
                  <c:v>51.7</c:v>
                </c:pt>
                <c:pt idx="106">
                  <c:v>50.6</c:v>
                </c:pt>
                <c:pt idx="107">
                  <c:v>51.4</c:v>
                </c:pt>
                <c:pt idx="108">
                  <c:v>52.2</c:v>
                </c:pt>
                <c:pt idx="109">
                  <c:v>50.4</c:v>
                </c:pt>
                <c:pt idx="110">
                  <c:v>51.1</c:v>
                </c:pt>
                <c:pt idx="111">
                  <c:v>51.4</c:v>
                </c:pt>
                <c:pt idx="112">
                  <c:v>52.1</c:v>
                </c:pt>
                <c:pt idx="113">
                  <c:v>17.399999999999999</c:v>
                </c:pt>
                <c:pt idx="114">
                  <c:v>10.8</c:v>
                </c:pt>
                <c:pt idx="115">
                  <c:v>28.9</c:v>
                </c:pt>
                <c:pt idx="116">
                  <c:v>46.4</c:v>
                </c:pt>
                <c:pt idx="117">
                  <c:v>51.6</c:v>
                </c:pt>
                <c:pt idx="118">
                  <c:v>47.1</c:v>
                </c:pt>
                <c:pt idx="119">
                  <c:v>48.8</c:v>
                </c:pt>
                <c:pt idx="120">
                  <c:v>46.7</c:v>
                </c:pt>
                <c:pt idx="121">
                  <c:v>39.4</c:v>
                </c:pt>
                <c:pt idx="122">
                  <c:v>39.700000000000003</c:v>
                </c:pt>
                <c:pt idx="123">
                  <c:v>44.7</c:v>
                </c:pt>
                <c:pt idx="124">
                  <c:v>48.8</c:v>
                </c:pt>
                <c:pt idx="125">
                  <c:v>48.6</c:v>
                </c:pt>
                <c:pt idx="126">
                  <c:v>47.3</c:v>
                </c:pt>
                <c:pt idx="127">
                  <c:v>53.1</c:v>
                </c:pt>
                <c:pt idx="128">
                  <c:v>56.8</c:v>
                </c:pt>
                <c:pt idx="129">
                  <c:v>58</c:v>
                </c:pt>
                <c:pt idx="130">
                  <c:v>58</c:v>
                </c:pt>
                <c:pt idx="131">
                  <c:v>55.5</c:v>
                </c:pt>
                <c:pt idx="132">
                  <c:v>52.4</c:v>
                </c:pt>
                <c:pt idx="133">
                  <c:v>55.9</c:v>
                </c:pt>
                <c:pt idx="134">
                  <c:v>53</c:v>
                </c:pt>
                <c:pt idx="135">
                  <c:v>48.5</c:v>
                </c:pt>
                <c:pt idx="136">
                  <c:v>52.8</c:v>
                </c:pt>
                <c:pt idx="137">
                  <c:v>52.1</c:v>
                </c:pt>
                <c:pt idx="138">
                  <c:v>55.7</c:v>
                </c:pt>
                <c:pt idx="139">
                  <c:v>53.7</c:v>
                </c:pt>
                <c:pt idx="140">
                  <c:v>51.6</c:v>
                </c:pt>
                <c:pt idx="141">
                  <c:v>48.4</c:v>
                </c:pt>
                <c:pt idx="142">
                  <c:v>50.5</c:v>
                </c:pt>
                <c:pt idx="143">
                  <c:v>48.8</c:v>
                </c:pt>
                <c:pt idx="144">
                  <c:v>46.4</c:v>
                </c:pt>
              </c:numCache>
            </c:numRef>
          </c:val>
          <c:smooth val="0"/>
          <c:extLst>
            <c:ext xmlns:c16="http://schemas.microsoft.com/office/drawing/2014/chart" uri="{C3380CC4-5D6E-409C-BE32-E72D297353CC}">
              <c16:uniqueId val="{00000000-6F77-EE43-B4B9-33BE1DE9807A}"/>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Japan!$J$2</c:f>
          <c:strCache>
            <c:ptCount val="1"/>
            <c:pt idx="0">
              <c:v>Japan Services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Japan!$B$5</c:f>
              <c:strCache>
                <c:ptCount val="1"/>
                <c:pt idx="0">
                  <c:v>PMI</c:v>
                </c:pt>
              </c:strCache>
            </c:strRef>
          </c:tx>
          <c:spPr>
            <a:ln>
              <a:prstDash val="solid"/>
            </a:ln>
          </c:spPr>
          <c:marker>
            <c:symbol val="none"/>
          </c:marker>
          <c:cat>
            <c:numRef>
              <c:f>Japan!$A$6:$A$150</c:f>
              <c:numCache>
                <c:formatCode>m/d/yy</c:formatCode>
                <c:ptCount val="145"/>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pt idx="136">
                  <c:v>44593</c:v>
                </c:pt>
                <c:pt idx="137">
                  <c:v>44621</c:v>
                </c:pt>
                <c:pt idx="138">
                  <c:v>44652</c:v>
                </c:pt>
                <c:pt idx="139">
                  <c:v>44682</c:v>
                </c:pt>
                <c:pt idx="140">
                  <c:v>44713</c:v>
                </c:pt>
                <c:pt idx="141">
                  <c:v>44743</c:v>
                </c:pt>
                <c:pt idx="142">
                  <c:v>44774</c:v>
                </c:pt>
                <c:pt idx="143">
                  <c:v>44805</c:v>
                </c:pt>
                <c:pt idx="144">
                  <c:v>44835</c:v>
                </c:pt>
              </c:numCache>
            </c:numRef>
          </c:cat>
          <c:val>
            <c:numRef>
              <c:f>Japan!$B$6:$B$150</c:f>
              <c:numCache>
                <c:formatCode>General</c:formatCode>
                <c:ptCount val="145"/>
                <c:pt idx="0">
                  <c:v>47.2</c:v>
                </c:pt>
                <c:pt idx="1">
                  <c:v>49.5</c:v>
                </c:pt>
                <c:pt idx="2">
                  <c:v>50.1</c:v>
                </c:pt>
                <c:pt idx="3">
                  <c:v>48.1</c:v>
                </c:pt>
                <c:pt idx="4">
                  <c:v>49.8</c:v>
                </c:pt>
                <c:pt idx="5">
                  <c:v>35.299999999999997</c:v>
                </c:pt>
                <c:pt idx="6">
                  <c:v>35</c:v>
                </c:pt>
                <c:pt idx="7">
                  <c:v>43.8</c:v>
                </c:pt>
                <c:pt idx="8">
                  <c:v>45.4</c:v>
                </c:pt>
                <c:pt idx="9">
                  <c:v>45.3</c:v>
                </c:pt>
                <c:pt idx="10">
                  <c:v>44.1</c:v>
                </c:pt>
                <c:pt idx="11">
                  <c:v>46.4</c:v>
                </c:pt>
                <c:pt idx="12">
                  <c:v>52.3</c:v>
                </c:pt>
                <c:pt idx="13">
                  <c:v>49.5</c:v>
                </c:pt>
                <c:pt idx="14">
                  <c:v>50.4</c:v>
                </c:pt>
                <c:pt idx="15">
                  <c:v>51</c:v>
                </c:pt>
                <c:pt idx="16">
                  <c:v>51.2</c:v>
                </c:pt>
                <c:pt idx="17">
                  <c:v>53.7</c:v>
                </c:pt>
                <c:pt idx="18">
                  <c:v>51</c:v>
                </c:pt>
                <c:pt idx="19">
                  <c:v>50.5</c:v>
                </c:pt>
                <c:pt idx="20">
                  <c:v>49.5</c:v>
                </c:pt>
                <c:pt idx="21">
                  <c:v>48.7</c:v>
                </c:pt>
                <c:pt idx="22">
                  <c:v>47.5</c:v>
                </c:pt>
                <c:pt idx="23">
                  <c:v>48.8</c:v>
                </c:pt>
                <c:pt idx="24">
                  <c:v>49.7</c:v>
                </c:pt>
                <c:pt idx="25">
                  <c:v>49.1</c:v>
                </c:pt>
                <c:pt idx="26">
                  <c:v>50.1</c:v>
                </c:pt>
                <c:pt idx="27">
                  <c:v>50.4</c:v>
                </c:pt>
                <c:pt idx="28">
                  <c:v>51.3</c:v>
                </c:pt>
                <c:pt idx="29">
                  <c:v>53.4</c:v>
                </c:pt>
                <c:pt idx="30">
                  <c:v>52.5</c:v>
                </c:pt>
                <c:pt idx="31">
                  <c:v>54.8</c:v>
                </c:pt>
                <c:pt idx="32">
                  <c:v>52.1</c:v>
                </c:pt>
                <c:pt idx="33">
                  <c:v>50.6</c:v>
                </c:pt>
                <c:pt idx="34">
                  <c:v>51.2</c:v>
                </c:pt>
                <c:pt idx="35">
                  <c:v>53</c:v>
                </c:pt>
                <c:pt idx="36">
                  <c:v>55.3</c:v>
                </c:pt>
                <c:pt idx="37">
                  <c:v>51.8</c:v>
                </c:pt>
                <c:pt idx="38">
                  <c:v>52.1</c:v>
                </c:pt>
                <c:pt idx="39">
                  <c:v>51.2</c:v>
                </c:pt>
                <c:pt idx="40">
                  <c:v>49.3</c:v>
                </c:pt>
                <c:pt idx="41">
                  <c:v>52.2</c:v>
                </c:pt>
                <c:pt idx="42">
                  <c:v>46.4</c:v>
                </c:pt>
                <c:pt idx="43">
                  <c:v>49.3</c:v>
                </c:pt>
                <c:pt idx="44">
                  <c:v>49</c:v>
                </c:pt>
                <c:pt idx="45">
                  <c:v>50.4</c:v>
                </c:pt>
                <c:pt idx="46">
                  <c:v>49.9</c:v>
                </c:pt>
                <c:pt idx="47">
                  <c:v>52.5</c:v>
                </c:pt>
                <c:pt idx="48">
                  <c:v>48.7</c:v>
                </c:pt>
                <c:pt idx="49">
                  <c:v>50.6</c:v>
                </c:pt>
                <c:pt idx="50">
                  <c:v>51.7</c:v>
                </c:pt>
                <c:pt idx="51">
                  <c:v>51.3</c:v>
                </c:pt>
                <c:pt idx="52">
                  <c:v>48.5</c:v>
                </c:pt>
                <c:pt idx="53">
                  <c:v>48.4</c:v>
                </c:pt>
                <c:pt idx="54">
                  <c:v>51.3</c:v>
                </c:pt>
                <c:pt idx="55">
                  <c:v>51.5</c:v>
                </c:pt>
                <c:pt idx="56">
                  <c:v>51.8</c:v>
                </c:pt>
                <c:pt idx="57">
                  <c:v>51.2</c:v>
                </c:pt>
                <c:pt idx="58">
                  <c:v>53.7</c:v>
                </c:pt>
                <c:pt idx="59">
                  <c:v>51.4</c:v>
                </c:pt>
                <c:pt idx="60">
                  <c:v>52.2</c:v>
                </c:pt>
                <c:pt idx="61">
                  <c:v>51.6</c:v>
                </c:pt>
                <c:pt idx="62">
                  <c:v>51.5</c:v>
                </c:pt>
                <c:pt idx="63">
                  <c:v>52.4</c:v>
                </c:pt>
                <c:pt idx="64">
                  <c:v>51.2</c:v>
                </c:pt>
                <c:pt idx="65">
                  <c:v>50</c:v>
                </c:pt>
                <c:pt idx="66">
                  <c:v>49.3</c:v>
                </c:pt>
                <c:pt idx="67">
                  <c:v>50.4</c:v>
                </c:pt>
                <c:pt idx="68">
                  <c:v>49.4</c:v>
                </c:pt>
                <c:pt idx="69">
                  <c:v>50.4</c:v>
                </c:pt>
                <c:pt idx="70">
                  <c:v>49.6</c:v>
                </c:pt>
                <c:pt idx="71">
                  <c:v>48.2</c:v>
                </c:pt>
                <c:pt idx="72">
                  <c:v>50.5</c:v>
                </c:pt>
                <c:pt idx="73">
                  <c:v>51.8</c:v>
                </c:pt>
                <c:pt idx="74">
                  <c:v>52.3</c:v>
                </c:pt>
                <c:pt idx="75">
                  <c:v>51.9</c:v>
                </c:pt>
                <c:pt idx="76">
                  <c:v>51.3</c:v>
                </c:pt>
                <c:pt idx="77">
                  <c:v>52.9</c:v>
                </c:pt>
                <c:pt idx="78">
                  <c:v>52.2</c:v>
                </c:pt>
                <c:pt idx="79">
                  <c:v>53</c:v>
                </c:pt>
                <c:pt idx="80">
                  <c:v>53.3</c:v>
                </c:pt>
                <c:pt idx="81">
                  <c:v>52</c:v>
                </c:pt>
                <c:pt idx="82">
                  <c:v>51.6</c:v>
                </c:pt>
                <c:pt idx="83">
                  <c:v>51</c:v>
                </c:pt>
                <c:pt idx="84">
                  <c:v>53.4</c:v>
                </c:pt>
                <c:pt idx="85">
                  <c:v>51.2</c:v>
                </c:pt>
                <c:pt idx="86">
                  <c:v>51.1</c:v>
                </c:pt>
                <c:pt idx="87">
                  <c:v>51.9</c:v>
                </c:pt>
                <c:pt idx="88">
                  <c:v>51.7</c:v>
                </c:pt>
                <c:pt idx="89">
                  <c:v>50.9</c:v>
                </c:pt>
                <c:pt idx="90">
                  <c:v>52.5</c:v>
                </c:pt>
                <c:pt idx="91">
                  <c:v>51</c:v>
                </c:pt>
                <c:pt idx="92">
                  <c:v>51.4</c:v>
                </c:pt>
                <c:pt idx="93">
                  <c:v>51.3</c:v>
                </c:pt>
                <c:pt idx="94">
                  <c:v>51.5</c:v>
                </c:pt>
                <c:pt idx="95">
                  <c:v>50.2</c:v>
                </c:pt>
                <c:pt idx="96">
                  <c:v>52.4</c:v>
                </c:pt>
                <c:pt idx="97">
                  <c:v>52.3</c:v>
                </c:pt>
                <c:pt idx="98">
                  <c:v>51</c:v>
                </c:pt>
                <c:pt idx="99">
                  <c:v>51.6</c:v>
                </c:pt>
                <c:pt idx="100">
                  <c:v>52.3</c:v>
                </c:pt>
                <c:pt idx="101">
                  <c:v>52</c:v>
                </c:pt>
                <c:pt idx="102">
                  <c:v>51.8</c:v>
                </c:pt>
                <c:pt idx="103">
                  <c:v>51.7</c:v>
                </c:pt>
                <c:pt idx="104">
                  <c:v>51.9</c:v>
                </c:pt>
                <c:pt idx="105">
                  <c:v>51.8</c:v>
                </c:pt>
                <c:pt idx="106">
                  <c:v>53.3</c:v>
                </c:pt>
                <c:pt idx="107">
                  <c:v>52.8</c:v>
                </c:pt>
                <c:pt idx="108">
                  <c:v>49.7</c:v>
                </c:pt>
                <c:pt idx="109">
                  <c:v>50.3</c:v>
                </c:pt>
                <c:pt idx="110">
                  <c:v>49.4</c:v>
                </c:pt>
                <c:pt idx="111">
                  <c:v>51</c:v>
                </c:pt>
                <c:pt idx="112">
                  <c:v>46.8</c:v>
                </c:pt>
                <c:pt idx="113">
                  <c:v>33.799999999999997</c:v>
                </c:pt>
                <c:pt idx="114">
                  <c:v>22.8</c:v>
                </c:pt>
                <c:pt idx="115">
                  <c:v>26.5</c:v>
                </c:pt>
                <c:pt idx="116">
                  <c:v>45</c:v>
                </c:pt>
                <c:pt idx="117">
                  <c:v>45.4</c:v>
                </c:pt>
                <c:pt idx="118">
                  <c:v>45</c:v>
                </c:pt>
                <c:pt idx="119">
                  <c:v>46.9</c:v>
                </c:pt>
                <c:pt idx="120">
                  <c:v>47.7</c:v>
                </c:pt>
                <c:pt idx="121">
                  <c:v>47.8</c:v>
                </c:pt>
                <c:pt idx="122">
                  <c:v>47.2</c:v>
                </c:pt>
                <c:pt idx="123">
                  <c:v>46.1</c:v>
                </c:pt>
                <c:pt idx="124">
                  <c:v>46.3</c:v>
                </c:pt>
                <c:pt idx="125">
                  <c:v>48.3</c:v>
                </c:pt>
                <c:pt idx="126">
                  <c:v>49.5</c:v>
                </c:pt>
                <c:pt idx="127">
                  <c:v>46.5</c:v>
                </c:pt>
                <c:pt idx="128">
                  <c:v>48</c:v>
                </c:pt>
                <c:pt idx="129">
                  <c:v>47.4</c:v>
                </c:pt>
                <c:pt idx="130">
                  <c:v>42.9</c:v>
                </c:pt>
                <c:pt idx="131">
                  <c:v>47.8</c:v>
                </c:pt>
                <c:pt idx="132">
                  <c:v>50.7</c:v>
                </c:pt>
                <c:pt idx="133">
                  <c:v>53</c:v>
                </c:pt>
                <c:pt idx="134">
                  <c:v>52.1</c:v>
                </c:pt>
                <c:pt idx="135">
                  <c:v>47.6</c:v>
                </c:pt>
                <c:pt idx="136">
                  <c:v>42.7</c:v>
                </c:pt>
                <c:pt idx="137">
                  <c:v>48.7</c:v>
                </c:pt>
                <c:pt idx="138">
                  <c:v>50.5</c:v>
                </c:pt>
                <c:pt idx="139">
                  <c:v>51.7</c:v>
                </c:pt>
                <c:pt idx="140">
                  <c:v>54.2</c:v>
                </c:pt>
                <c:pt idx="141">
                  <c:v>50.3</c:v>
                </c:pt>
                <c:pt idx="142">
                  <c:v>49.5</c:v>
                </c:pt>
                <c:pt idx="143">
                  <c:v>52.2</c:v>
                </c:pt>
                <c:pt idx="144">
                  <c:v>53.2</c:v>
                </c:pt>
              </c:numCache>
            </c:numRef>
          </c:val>
          <c:smooth val="0"/>
          <c:extLst>
            <c:ext xmlns:c16="http://schemas.microsoft.com/office/drawing/2014/chart" uri="{C3380CC4-5D6E-409C-BE32-E72D297353CC}">
              <c16:uniqueId val="{00000000-136F-6F48-9591-C157694B839A}"/>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Brazil!$J$2</c:f>
          <c:strCache>
            <c:ptCount val="1"/>
            <c:pt idx="0">
              <c:v>Brazil Services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Brazil!$B$5</c:f>
              <c:strCache>
                <c:ptCount val="1"/>
                <c:pt idx="0">
                  <c:v>PMI</c:v>
                </c:pt>
              </c:strCache>
            </c:strRef>
          </c:tx>
          <c:spPr>
            <a:ln>
              <a:prstDash val="solid"/>
            </a:ln>
          </c:spPr>
          <c:marker>
            <c:symbol val="none"/>
          </c:marker>
          <c:cat>
            <c:numRef>
              <c:f>Brazil!$A$6:$A$150</c:f>
              <c:numCache>
                <c:formatCode>m/d/yy</c:formatCode>
                <c:ptCount val="145"/>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pt idx="136">
                  <c:v>44593</c:v>
                </c:pt>
                <c:pt idx="137">
                  <c:v>44621</c:v>
                </c:pt>
                <c:pt idx="138">
                  <c:v>44652</c:v>
                </c:pt>
                <c:pt idx="139">
                  <c:v>44682</c:v>
                </c:pt>
                <c:pt idx="140">
                  <c:v>44713</c:v>
                </c:pt>
                <c:pt idx="141">
                  <c:v>44743</c:v>
                </c:pt>
                <c:pt idx="142">
                  <c:v>44774</c:v>
                </c:pt>
                <c:pt idx="143">
                  <c:v>44805</c:v>
                </c:pt>
                <c:pt idx="144">
                  <c:v>44835</c:v>
                </c:pt>
              </c:numCache>
            </c:numRef>
          </c:cat>
          <c:val>
            <c:numRef>
              <c:f>Brazil!$B$6:$B$150</c:f>
              <c:numCache>
                <c:formatCode>General</c:formatCode>
                <c:ptCount val="145"/>
                <c:pt idx="0">
                  <c:v>51.8</c:v>
                </c:pt>
                <c:pt idx="1">
                  <c:v>52.1</c:v>
                </c:pt>
                <c:pt idx="2">
                  <c:v>50.2</c:v>
                </c:pt>
                <c:pt idx="3">
                  <c:v>51.2</c:v>
                </c:pt>
                <c:pt idx="4">
                  <c:v>52.7</c:v>
                </c:pt>
                <c:pt idx="5">
                  <c:v>53.5</c:v>
                </c:pt>
                <c:pt idx="6">
                  <c:v>53.2</c:v>
                </c:pt>
                <c:pt idx="7">
                  <c:v>53.3</c:v>
                </c:pt>
                <c:pt idx="8">
                  <c:v>52.1</c:v>
                </c:pt>
                <c:pt idx="9">
                  <c:v>53.7</c:v>
                </c:pt>
                <c:pt idx="10">
                  <c:v>52.1</c:v>
                </c:pt>
                <c:pt idx="11">
                  <c:v>50.5</c:v>
                </c:pt>
                <c:pt idx="12">
                  <c:v>53.6</c:v>
                </c:pt>
                <c:pt idx="13">
                  <c:v>52.6</c:v>
                </c:pt>
                <c:pt idx="14">
                  <c:v>54.8</c:v>
                </c:pt>
                <c:pt idx="15">
                  <c:v>55</c:v>
                </c:pt>
                <c:pt idx="16">
                  <c:v>57.1</c:v>
                </c:pt>
                <c:pt idx="17">
                  <c:v>53.8</c:v>
                </c:pt>
                <c:pt idx="18">
                  <c:v>54.4</c:v>
                </c:pt>
                <c:pt idx="19">
                  <c:v>49.7</c:v>
                </c:pt>
                <c:pt idx="20">
                  <c:v>53</c:v>
                </c:pt>
                <c:pt idx="21">
                  <c:v>48.9</c:v>
                </c:pt>
                <c:pt idx="22">
                  <c:v>48.1</c:v>
                </c:pt>
                <c:pt idx="23">
                  <c:v>52.8</c:v>
                </c:pt>
                <c:pt idx="24">
                  <c:v>50.4</c:v>
                </c:pt>
                <c:pt idx="25">
                  <c:v>52.5</c:v>
                </c:pt>
                <c:pt idx="26">
                  <c:v>53.2</c:v>
                </c:pt>
                <c:pt idx="27">
                  <c:v>54.5</c:v>
                </c:pt>
                <c:pt idx="28">
                  <c:v>52.1</c:v>
                </c:pt>
                <c:pt idx="29">
                  <c:v>50.3</c:v>
                </c:pt>
                <c:pt idx="30">
                  <c:v>51</c:v>
                </c:pt>
                <c:pt idx="31">
                  <c:v>51</c:v>
                </c:pt>
                <c:pt idx="32">
                  <c:v>50.3</c:v>
                </c:pt>
                <c:pt idx="33">
                  <c:v>49.7</c:v>
                </c:pt>
                <c:pt idx="34">
                  <c:v>50.7</c:v>
                </c:pt>
                <c:pt idx="35">
                  <c:v>52.1</c:v>
                </c:pt>
                <c:pt idx="36">
                  <c:v>52.3</c:v>
                </c:pt>
                <c:pt idx="37">
                  <c:v>51.7</c:v>
                </c:pt>
                <c:pt idx="38">
                  <c:v>50.5</c:v>
                </c:pt>
                <c:pt idx="39">
                  <c:v>49.6</c:v>
                </c:pt>
                <c:pt idx="40">
                  <c:v>50.8</c:v>
                </c:pt>
                <c:pt idx="41">
                  <c:v>51</c:v>
                </c:pt>
                <c:pt idx="42">
                  <c:v>48.6</c:v>
                </c:pt>
                <c:pt idx="43">
                  <c:v>50.6</c:v>
                </c:pt>
                <c:pt idx="44">
                  <c:v>51.4</c:v>
                </c:pt>
                <c:pt idx="45">
                  <c:v>50.2</c:v>
                </c:pt>
                <c:pt idx="46">
                  <c:v>49.2</c:v>
                </c:pt>
                <c:pt idx="47">
                  <c:v>51.2</c:v>
                </c:pt>
                <c:pt idx="48">
                  <c:v>48.2</c:v>
                </c:pt>
                <c:pt idx="49">
                  <c:v>48.5</c:v>
                </c:pt>
                <c:pt idx="50">
                  <c:v>49.1</c:v>
                </c:pt>
                <c:pt idx="51">
                  <c:v>48.4</c:v>
                </c:pt>
                <c:pt idx="52">
                  <c:v>52.3</c:v>
                </c:pt>
                <c:pt idx="53">
                  <c:v>47.9</c:v>
                </c:pt>
                <c:pt idx="54">
                  <c:v>44.6</c:v>
                </c:pt>
                <c:pt idx="55">
                  <c:v>42.5</c:v>
                </c:pt>
                <c:pt idx="56">
                  <c:v>39.9</c:v>
                </c:pt>
                <c:pt idx="57">
                  <c:v>39.1</c:v>
                </c:pt>
                <c:pt idx="58">
                  <c:v>44.8</c:v>
                </c:pt>
                <c:pt idx="59">
                  <c:v>41.7</c:v>
                </c:pt>
                <c:pt idx="60">
                  <c:v>43</c:v>
                </c:pt>
                <c:pt idx="61">
                  <c:v>45.5</c:v>
                </c:pt>
                <c:pt idx="62">
                  <c:v>43.5</c:v>
                </c:pt>
                <c:pt idx="63">
                  <c:v>44.4</c:v>
                </c:pt>
                <c:pt idx="64">
                  <c:v>36.9</c:v>
                </c:pt>
                <c:pt idx="65">
                  <c:v>38.6</c:v>
                </c:pt>
                <c:pt idx="66">
                  <c:v>37.4</c:v>
                </c:pt>
                <c:pt idx="67">
                  <c:v>37.299999999999997</c:v>
                </c:pt>
                <c:pt idx="68">
                  <c:v>41.4</c:v>
                </c:pt>
                <c:pt idx="69">
                  <c:v>45.6</c:v>
                </c:pt>
                <c:pt idx="70">
                  <c:v>42.7</c:v>
                </c:pt>
                <c:pt idx="71">
                  <c:v>45.3</c:v>
                </c:pt>
                <c:pt idx="72">
                  <c:v>43.9</c:v>
                </c:pt>
                <c:pt idx="73">
                  <c:v>44.4</c:v>
                </c:pt>
                <c:pt idx="74">
                  <c:v>45.1</c:v>
                </c:pt>
                <c:pt idx="75">
                  <c:v>45.1</c:v>
                </c:pt>
                <c:pt idx="76">
                  <c:v>46.4</c:v>
                </c:pt>
                <c:pt idx="77">
                  <c:v>47.7</c:v>
                </c:pt>
                <c:pt idx="78">
                  <c:v>50.3</c:v>
                </c:pt>
                <c:pt idx="79">
                  <c:v>49.2</c:v>
                </c:pt>
                <c:pt idx="80">
                  <c:v>47.4</c:v>
                </c:pt>
                <c:pt idx="81">
                  <c:v>48.8</c:v>
                </c:pt>
                <c:pt idx="82">
                  <c:v>49</c:v>
                </c:pt>
                <c:pt idx="83">
                  <c:v>50.7</c:v>
                </c:pt>
                <c:pt idx="84">
                  <c:v>48.8</c:v>
                </c:pt>
                <c:pt idx="85">
                  <c:v>46.9</c:v>
                </c:pt>
                <c:pt idx="86">
                  <c:v>47.4</c:v>
                </c:pt>
                <c:pt idx="87">
                  <c:v>50</c:v>
                </c:pt>
                <c:pt idx="88">
                  <c:v>52.7</c:v>
                </c:pt>
                <c:pt idx="89">
                  <c:v>50.4</c:v>
                </c:pt>
                <c:pt idx="90">
                  <c:v>50</c:v>
                </c:pt>
                <c:pt idx="91">
                  <c:v>49.5</c:v>
                </c:pt>
                <c:pt idx="92">
                  <c:v>47</c:v>
                </c:pt>
                <c:pt idx="93">
                  <c:v>50.4</c:v>
                </c:pt>
                <c:pt idx="94">
                  <c:v>46.8</c:v>
                </c:pt>
                <c:pt idx="95">
                  <c:v>46.4</c:v>
                </c:pt>
                <c:pt idx="96">
                  <c:v>50.5</c:v>
                </c:pt>
                <c:pt idx="97">
                  <c:v>51.3</c:v>
                </c:pt>
                <c:pt idx="98">
                  <c:v>51.9</c:v>
                </c:pt>
                <c:pt idx="99">
                  <c:v>52</c:v>
                </c:pt>
                <c:pt idx="100">
                  <c:v>52.2</c:v>
                </c:pt>
                <c:pt idx="101">
                  <c:v>52.7</c:v>
                </c:pt>
                <c:pt idx="102">
                  <c:v>49.9</c:v>
                </c:pt>
                <c:pt idx="103">
                  <c:v>47.8</c:v>
                </c:pt>
                <c:pt idx="104">
                  <c:v>48.2</c:v>
                </c:pt>
                <c:pt idx="105">
                  <c:v>52.2</c:v>
                </c:pt>
                <c:pt idx="106">
                  <c:v>51.4</c:v>
                </c:pt>
                <c:pt idx="107">
                  <c:v>51.8</c:v>
                </c:pt>
                <c:pt idx="108">
                  <c:v>51.2</c:v>
                </c:pt>
                <c:pt idx="109">
                  <c:v>50.9</c:v>
                </c:pt>
                <c:pt idx="110">
                  <c:v>51</c:v>
                </c:pt>
                <c:pt idx="111">
                  <c:v>52.7</c:v>
                </c:pt>
                <c:pt idx="112">
                  <c:v>50.4</c:v>
                </c:pt>
                <c:pt idx="113">
                  <c:v>34.5</c:v>
                </c:pt>
                <c:pt idx="114">
                  <c:v>27.4</c:v>
                </c:pt>
                <c:pt idx="115">
                  <c:v>27.6</c:v>
                </c:pt>
                <c:pt idx="116">
                  <c:v>35.9</c:v>
                </c:pt>
                <c:pt idx="117">
                  <c:v>42.5</c:v>
                </c:pt>
                <c:pt idx="118">
                  <c:v>49.5</c:v>
                </c:pt>
                <c:pt idx="119">
                  <c:v>50.4</c:v>
                </c:pt>
                <c:pt idx="120">
                  <c:v>52.3</c:v>
                </c:pt>
                <c:pt idx="121">
                  <c:v>50.9</c:v>
                </c:pt>
                <c:pt idx="122">
                  <c:v>51.1</c:v>
                </c:pt>
                <c:pt idx="123">
                  <c:v>47</c:v>
                </c:pt>
                <c:pt idx="124">
                  <c:v>47.1</c:v>
                </c:pt>
                <c:pt idx="125">
                  <c:v>44.1</c:v>
                </c:pt>
                <c:pt idx="126">
                  <c:v>42.9</c:v>
                </c:pt>
                <c:pt idx="127">
                  <c:v>48.3</c:v>
                </c:pt>
                <c:pt idx="128">
                  <c:v>53.9</c:v>
                </c:pt>
                <c:pt idx="129">
                  <c:v>54.4</c:v>
                </c:pt>
                <c:pt idx="130">
                  <c:v>55.1</c:v>
                </c:pt>
                <c:pt idx="131">
                  <c:v>54.6</c:v>
                </c:pt>
                <c:pt idx="132">
                  <c:v>54.9</c:v>
                </c:pt>
                <c:pt idx="133">
                  <c:v>53.6</c:v>
                </c:pt>
                <c:pt idx="134">
                  <c:v>53.6</c:v>
                </c:pt>
                <c:pt idx="135">
                  <c:v>52.8</c:v>
                </c:pt>
                <c:pt idx="136">
                  <c:v>54.7</c:v>
                </c:pt>
                <c:pt idx="137">
                  <c:v>58.1</c:v>
                </c:pt>
                <c:pt idx="138">
                  <c:v>60.6</c:v>
                </c:pt>
                <c:pt idx="139">
                  <c:v>58.6</c:v>
                </c:pt>
                <c:pt idx="140">
                  <c:v>60.8</c:v>
                </c:pt>
                <c:pt idx="141">
                  <c:v>55.8</c:v>
                </c:pt>
                <c:pt idx="142">
                  <c:v>53.9</c:v>
                </c:pt>
                <c:pt idx="143">
                  <c:v>51.9</c:v>
                </c:pt>
                <c:pt idx="144">
                  <c:v>54</c:v>
                </c:pt>
              </c:numCache>
            </c:numRef>
          </c:val>
          <c:smooth val="0"/>
          <c:extLst>
            <c:ext xmlns:c16="http://schemas.microsoft.com/office/drawing/2014/chart" uri="{C3380CC4-5D6E-409C-BE32-E72D297353CC}">
              <c16:uniqueId val="{00000000-4B5D-134E-8B07-3AC0AAA7C1E9}"/>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Russia!$J$2</c:f>
          <c:strCache>
            <c:ptCount val="1"/>
            <c:pt idx="0">
              <c:v>Russia Services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Russia!$B$5</c:f>
              <c:strCache>
                <c:ptCount val="1"/>
                <c:pt idx="0">
                  <c:v>PMI</c:v>
                </c:pt>
              </c:strCache>
            </c:strRef>
          </c:tx>
          <c:spPr>
            <a:ln>
              <a:prstDash val="solid"/>
            </a:ln>
          </c:spPr>
          <c:marker>
            <c:symbol val="none"/>
          </c:marker>
          <c:cat>
            <c:numRef>
              <c:f>Russia!$A$6:$A$150</c:f>
              <c:numCache>
                <c:formatCode>m/d/yy</c:formatCode>
                <c:ptCount val="145"/>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pt idx="136">
                  <c:v>44593</c:v>
                </c:pt>
                <c:pt idx="137">
                  <c:v>44621</c:v>
                </c:pt>
                <c:pt idx="138">
                  <c:v>44652</c:v>
                </c:pt>
                <c:pt idx="139">
                  <c:v>44682</c:v>
                </c:pt>
                <c:pt idx="140">
                  <c:v>44713</c:v>
                </c:pt>
                <c:pt idx="141">
                  <c:v>44743</c:v>
                </c:pt>
                <c:pt idx="142">
                  <c:v>44774</c:v>
                </c:pt>
                <c:pt idx="143">
                  <c:v>44805</c:v>
                </c:pt>
                <c:pt idx="144">
                  <c:v>44835</c:v>
                </c:pt>
              </c:numCache>
            </c:numRef>
          </c:cat>
          <c:val>
            <c:numRef>
              <c:f>Russia!$B$6:$B$150</c:f>
              <c:numCache>
                <c:formatCode>General</c:formatCode>
                <c:ptCount val="145"/>
                <c:pt idx="0">
                  <c:v>54.7</c:v>
                </c:pt>
                <c:pt idx="1">
                  <c:v>54.1</c:v>
                </c:pt>
                <c:pt idx="2">
                  <c:v>53.4</c:v>
                </c:pt>
                <c:pt idx="3">
                  <c:v>52.4</c:v>
                </c:pt>
                <c:pt idx="4">
                  <c:v>53.4</c:v>
                </c:pt>
                <c:pt idx="5">
                  <c:v>53.3</c:v>
                </c:pt>
                <c:pt idx="6">
                  <c:v>55.8</c:v>
                </c:pt>
                <c:pt idx="7">
                  <c:v>57.6</c:v>
                </c:pt>
                <c:pt idx="8">
                  <c:v>55.1</c:v>
                </c:pt>
                <c:pt idx="9">
                  <c:v>56.9</c:v>
                </c:pt>
                <c:pt idx="10">
                  <c:v>55.1</c:v>
                </c:pt>
                <c:pt idx="11">
                  <c:v>53.3</c:v>
                </c:pt>
                <c:pt idx="12">
                  <c:v>53.5</c:v>
                </c:pt>
                <c:pt idx="13">
                  <c:v>54.8</c:v>
                </c:pt>
                <c:pt idx="14">
                  <c:v>53.8</c:v>
                </c:pt>
                <c:pt idx="15">
                  <c:v>56.5</c:v>
                </c:pt>
                <c:pt idx="16">
                  <c:v>55.3</c:v>
                </c:pt>
                <c:pt idx="17">
                  <c:v>54.4</c:v>
                </c:pt>
                <c:pt idx="18">
                  <c:v>52.6</c:v>
                </c:pt>
                <c:pt idx="19">
                  <c:v>54.9</c:v>
                </c:pt>
                <c:pt idx="20">
                  <c:v>53.2</c:v>
                </c:pt>
                <c:pt idx="21">
                  <c:v>52</c:v>
                </c:pt>
                <c:pt idx="22">
                  <c:v>52.6</c:v>
                </c:pt>
                <c:pt idx="23">
                  <c:v>54.5</c:v>
                </c:pt>
                <c:pt idx="24">
                  <c:v>57.3</c:v>
                </c:pt>
                <c:pt idx="25">
                  <c:v>57.1</c:v>
                </c:pt>
                <c:pt idx="26">
                  <c:v>56.1</c:v>
                </c:pt>
                <c:pt idx="27">
                  <c:v>55.7</c:v>
                </c:pt>
                <c:pt idx="28">
                  <c:v>56.1</c:v>
                </c:pt>
                <c:pt idx="29">
                  <c:v>54.6</c:v>
                </c:pt>
                <c:pt idx="30">
                  <c:v>53</c:v>
                </c:pt>
                <c:pt idx="31">
                  <c:v>51.4</c:v>
                </c:pt>
                <c:pt idx="32">
                  <c:v>48.8</c:v>
                </c:pt>
                <c:pt idx="33">
                  <c:v>48.7</c:v>
                </c:pt>
                <c:pt idx="34">
                  <c:v>51.8</c:v>
                </c:pt>
                <c:pt idx="35">
                  <c:v>51.5</c:v>
                </c:pt>
                <c:pt idx="36">
                  <c:v>52.5</c:v>
                </c:pt>
                <c:pt idx="37">
                  <c:v>52.9</c:v>
                </c:pt>
                <c:pt idx="38">
                  <c:v>51.4</c:v>
                </c:pt>
                <c:pt idx="39">
                  <c:v>50.2</c:v>
                </c:pt>
                <c:pt idx="40">
                  <c:v>50.8</c:v>
                </c:pt>
                <c:pt idx="41">
                  <c:v>47.7</c:v>
                </c:pt>
                <c:pt idx="42">
                  <c:v>46.8</c:v>
                </c:pt>
                <c:pt idx="43">
                  <c:v>46.1</c:v>
                </c:pt>
                <c:pt idx="44">
                  <c:v>49.8</c:v>
                </c:pt>
                <c:pt idx="45">
                  <c:v>49.7</c:v>
                </c:pt>
                <c:pt idx="46">
                  <c:v>50.3</c:v>
                </c:pt>
                <c:pt idx="47">
                  <c:v>50.5</c:v>
                </c:pt>
                <c:pt idx="48">
                  <c:v>47.4</c:v>
                </c:pt>
                <c:pt idx="49">
                  <c:v>44.5</c:v>
                </c:pt>
                <c:pt idx="50">
                  <c:v>45.8</c:v>
                </c:pt>
                <c:pt idx="51">
                  <c:v>43.9</c:v>
                </c:pt>
                <c:pt idx="52">
                  <c:v>41.3</c:v>
                </c:pt>
                <c:pt idx="53">
                  <c:v>46.1</c:v>
                </c:pt>
                <c:pt idx="54">
                  <c:v>50.7</c:v>
                </c:pt>
                <c:pt idx="55">
                  <c:v>52.8</c:v>
                </c:pt>
                <c:pt idx="56">
                  <c:v>49.5</c:v>
                </c:pt>
                <c:pt idx="57">
                  <c:v>51.6</c:v>
                </c:pt>
                <c:pt idx="58">
                  <c:v>49.1</c:v>
                </c:pt>
                <c:pt idx="59">
                  <c:v>51.3</c:v>
                </c:pt>
                <c:pt idx="60">
                  <c:v>47.8</c:v>
                </c:pt>
                <c:pt idx="61">
                  <c:v>49.8</c:v>
                </c:pt>
                <c:pt idx="62">
                  <c:v>47.8</c:v>
                </c:pt>
                <c:pt idx="63">
                  <c:v>47.1</c:v>
                </c:pt>
                <c:pt idx="64">
                  <c:v>50.9</c:v>
                </c:pt>
                <c:pt idx="65">
                  <c:v>52</c:v>
                </c:pt>
                <c:pt idx="66">
                  <c:v>54.2</c:v>
                </c:pt>
                <c:pt idx="67">
                  <c:v>51.8</c:v>
                </c:pt>
                <c:pt idx="68">
                  <c:v>53.8</c:v>
                </c:pt>
                <c:pt idx="69">
                  <c:v>55</c:v>
                </c:pt>
                <c:pt idx="70">
                  <c:v>53.5</c:v>
                </c:pt>
                <c:pt idx="71">
                  <c:v>53</c:v>
                </c:pt>
                <c:pt idx="72">
                  <c:v>52.7</c:v>
                </c:pt>
                <c:pt idx="73">
                  <c:v>54.7</c:v>
                </c:pt>
                <c:pt idx="74">
                  <c:v>56.5</c:v>
                </c:pt>
                <c:pt idx="75">
                  <c:v>58.4</c:v>
                </c:pt>
                <c:pt idx="76">
                  <c:v>55.5</c:v>
                </c:pt>
                <c:pt idx="77">
                  <c:v>56.6</c:v>
                </c:pt>
                <c:pt idx="78">
                  <c:v>56.1</c:v>
                </c:pt>
                <c:pt idx="79">
                  <c:v>56.3</c:v>
                </c:pt>
                <c:pt idx="80">
                  <c:v>55.5</c:v>
                </c:pt>
                <c:pt idx="81">
                  <c:v>52.6</c:v>
                </c:pt>
                <c:pt idx="82">
                  <c:v>54.2</c:v>
                </c:pt>
                <c:pt idx="83">
                  <c:v>55.2</c:v>
                </c:pt>
                <c:pt idx="84">
                  <c:v>53.9</c:v>
                </c:pt>
                <c:pt idx="85">
                  <c:v>57.4</c:v>
                </c:pt>
                <c:pt idx="86">
                  <c:v>56.8</c:v>
                </c:pt>
                <c:pt idx="87">
                  <c:v>55.1</c:v>
                </c:pt>
                <c:pt idx="88">
                  <c:v>56.5</c:v>
                </c:pt>
                <c:pt idx="89">
                  <c:v>53.7</c:v>
                </c:pt>
                <c:pt idx="90">
                  <c:v>55.5</c:v>
                </c:pt>
                <c:pt idx="91">
                  <c:v>54.1</c:v>
                </c:pt>
                <c:pt idx="92">
                  <c:v>52.3</c:v>
                </c:pt>
                <c:pt idx="93">
                  <c:v>52.8</c:v>
                </c:pt>
                <c:pt idx="94">
                  <c:v>53.3</c:v>
                </c:pt>
                <c:pt idx="95">
                  <c:v>54.7</c:v>
                </c:pt>
                <c:pt idx="96">
                  <c:v>56.9</c:v>
                </c:pt>
                <c:pt idx="97">
                  <c:v>55.6</c:v>
                </c:pt>
                <c:pt idx="98">
                  <c:v>54.4</c:v>
                </c:pt>
                <c:pt idx="99">
                  <c:v>54.9</c:v>
                </c:pt>
                <c:pt idx="100">
                  <c:v>55.3</c:v>
                </c:pt>
                <c:pt idx="101">
                  <c:v>54.4</c:v>
                </c:pt>
                <c:pt idx="102">
                  <c:v>52.6</c:v>
                </c:pt>
                <c:pt idx="103">
                  <c:v>52</c:v>
                </c:pt>
                <c:pt idx="104">
                  <c:v>49.7</c:v>
                </c:pt>
                <c:pt idx="105">
                  <c:v>50.4</c:v>
                </c:pt>
                <c:pt idx="106">
                  <c:v>52.1</c:v>
                </c:pt>
                <c:pt idx="107">
                  <c:v>53.6</c:v>
                </c:pt>
                <c:pt idx="108">
                  <c:v>55.8</c:v>
                </c:pt>
                <c:pt idx="109">
                  <c:v>55.6</c:v>
                </c:pt>
                <c:pt idx="110">
                  <c:v>53.1</c:v>
                </c:pt>
                <c:pt idx="111">
                  <c:v>54.1</c:v>
                </c:pt>
                <c:pt idx="112">
                  <c:v>52</c:v>
                </c:pt>
                <c:pt idx="113">
                  <c:v>37.1</c:v>
                </c:pt>
                <c:pt idx="114">
                  <c:v>12.2</c:v>
                </c:pt>
                <c:pt idx="115">
                  <c:v>35.9</c:v>
                </c:pt>
                <c:pt idx="116">
                  <c:v>47.8</c:v>
                </c:pt>
                <c:pt idx="117">
                  <c:v>58.5</c:v>
                </c:pt>
                <c:pt idx="118">
                  <c:v>58.2</c:v>
                </c:pt>
                <c:pt idx="119">
                  <c:v>53.7</c:v>
                </c:pt>
                <c:pt idx="120">
                  <c:v>46.9</c:v>
                </c:pt>
                <c:pt idx="121">
                  <c:v>48.2</c:v>
                </c:pt>
                <c:pt idx="122">
                  <c:v>48</c:v>
                </c:pt>
                <c:pt idx="123">
                  <c:v>52.7</c:v>
                </c:pt>
                <c:pt idx="124">
                  <c:v>52.2</c:v>
                </c:pt>
                <c:pt idx="125">
                  <c:v>55.8</c:v>
                </c:pt>
                <c:pt idx="126">
                  <c:v>55.2</c:v>
                </c:pt>
                <c:pt idx="127">
                  <c:v>57.5</c:v>
                </c:pt>
                <c:pt idx="128">
                  <c:v>56.5</c:v>
                </c:pt>
                <c:pt idx="129">
                  <c:v>53.5</c:v>
                </c:pt>
                <c:pt idx="130">
                  <c:v>49.3</c:v>
                </c:pt>
                <c:pt idx="131">
                  <c:v>50.5</c:v>
                </c:pt>
                <c:pt idx="132">
                  <c:v>58.8</c:v>
                </c:pt>
                <c:pt idx="133">
                  <c:v>47.1</c:v>
                </c:pt>
                <c:pt idx="134">
                  <c:v>49.5</c:v>
                </c:pt>
                <c:pt idx="135">
                  <c:v>49.8</c:v>
                </c:pt>
                <c:pt idx="136">
                  <c:v>52.1</c:v>
                </c:pt>
                <c:pt idx="137">
                  <c:v>38.1</c:v>
                </c:pt>
                <c:pt idx="138">
                  <c:v>44.5</c:v>
                </c:pt>
                <c:pt idx="139">
                  <c:v>48.5</c:v>
                </c:pt>
                <c:pt idx="140">
                  <c:v>51.7</c:v>
                </c:pt>
                <c:pt idx="141">
                  <c:v>54.7</c:v>
                </c:pt>
                <c:pt idx="142">
                  <c:v>49.9</c:v>
                </c:pt>
                <c:pt idx="143">
                  <c:v>51.1</c:v>
                </c:pt>
                <c:pt idx="144">
                  <c:v>43.7</c:v>
                </c:pt>
              </c:numCache>
            </c:numRef>
          </c:val>
          <c:smooth val="0"/>
          <c:extLst>
            <c:ext xmlns:c16="http://schemas.microsoft.com/office/drawing/2014/chart" uri="{C3380CC4-5D6E-409C-BE32-E72D297353CC}">
              <c16:uniqueId val="{00000000-9F0F-B441-A547-B90F1F0B4AB5}"/>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Spain!$J$2</c:f>
          <c:strCache>
            <c:ptCount val="1"/>
            <c:pt idx="0">
              <c:v>Spain Services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Spain!$B$5</c:f>
              <c:strCache>
                <c:ptCount val="1"/>
                <c:pt idx="0">
                  <c:v>PMI</c:v>
                </c:pt>
              </c:strCache>
            </c:strRef>
          </c:tx>
          <c:spPr>
            <a:ln>
              <a:prstDash val="solid"/>
            </a:ln>
          </c:spPr>
          <c:marker>
            <c:symbol val="none"/>
          </c:marker>
          <c:cat>
            <c:numRef>
              <c:f>Spain!$A$6:$A$150</c:f>
              <c:numCache>
                <c:formatCode>m/d/yy</c:formatCode>
                <c:ptCount val="145"/>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pt idx="136">
                  <c:v>44593</c:v>
                </c:pt>
                <c:pt idx="137">
                  <c:v>44621</c:v>
                </c:pt>
                <c:pt idx="138">
                  <c:v>44652</c:v>
                </c:pt>
                <c:pt idx="139">
                  <c:v>44682</c:v>
                </c:pt>
                <c:pt idx="140">
                  <c:v>44713</c:v>
                </c:pt>
                <c:pt idx="141">
                  <c:v>44743</c:v>
                </c:pt>
                <c:pt idx="142">
                  <c:v>44774</c:v>
                </c:pt>
                <c:pt idx="143">
                  <c:v>44805</c:v>
                </c:pt>
                <c:pt idx="144">
                  <c:v>44835</c:v>
                </c:pt>
              </c:numCache>
            </c:numRef>
          </c:cat>
          <c:val>
            <c:numRef>
              <c:f>Spain!$B$6:$B$150</c:f>
              <c:numCache>
                <c:formatCode>General</c:formatCode>
                <c:ptCount val="145"/>
                <c:pt idx="0">
                  <c:v>46.5</c:v>
                </c:pt>
                <c:pt idx="1">
                  <c:v>48.3</c:v>
                </c:pt>
                <c:pt idx="2">
                  <c:v>49.1</c:v>
                </c:pt>
                <c:pt idx="3">
                  <c:v>50.1</c:v>
                </c:pt>
                <c:pt idx="4">
                  <c:v>50.8</c:v>
                </c:pt>
                <c:pt idx="5">
                  <c:v>48.7</c:v>
                </c:pt>
                <c:pt idx="6">
                  <c:v>50.4</c:v>
                </c:pt>
                <c:pt idx="7">
                  <c:v>50.9</c:v>
                </c:pt>
                <c:pt idx="8">
                  <c:v>50.2</c:v>
                </c:pt>
                <c:pt idx="9">
                  <c:v>46.5</c:v>
                </c:pt>
                <c:pt idx="10">
                  <c:v>45.2</c:v>
                </c:pt>
                <c:pt idx="11">
                  <c:v>44.8</c:v>
                </c:pt>
                <c:pt idx="12">
                  <c:v>41.8</c:v>
                </c:pt>
                <c:pt idx="13">
                  <c:v>36.799999999999997</c:v>
                </c:pt>
                <c:pt idx="14">
                  <c:v>42.1</c:v>
                </c:pt>
                <c:pt idx="15">
                  <c:v>46.1</c:v>
                </c:pt>
                <c:pt idx="16">
                  <c:v>41.9</c:v>
                </c:pt>
                <c:pt idx="17">
                  <c:v>46.3</c:v>
                </c:pt>
                <c:pt idx="18">
                  <c:v>42.1</c:v>
                </c:pt>
                <c:pt idx="19">
                  <c:v>41.8</c:v>
                </c:pt>
                <c:pt idx="20">
                  <c:v>43.4</c:v>
                </c:pt>
                <c:pt idx="21">
                  <c:v>43.7</c:v>
                </c:pt>
                <c:pt idx="22">
                  <c:v>44</c:v>
                </c:pt>
                <c:pt idx="23">
                  <c:v>40.200000000000003</c:v>
                </c:pt>
                <c:pt idx="24">
                  <c:v>41.2</c:v>
                </c:pt>
                <c:pt idx="25">
                  <c:v>42.4</c:v>
                </c:pt>
                <c:pt idx="26">
                  <c:v>44.1</c:v>
                </c:pt>
                <c:pt idx="27">
                  <c:v>47</c:v>
                </c:pt>
                <c:pt idx="28">
                  <c:v>44.7</c:v>
                </c:pt>
                <c:pt idx="29">
                  <c:v>45.3</c:v>
                </c:pt>
                <c:pt idx="30">
                  <c:v>44.4</c:v>
                </c:pt>
                <c:pt idx="31">
                  <c:v>47.3</c:v>
                </c:pt>
                <c:pt idx="32">
                  <c:v>47.8</c:v>
                </c:pt>
                <c:pt idx="33">
                  <c:v>48.5</c:v>
                </c:pt>
                <c:pt idx="34">
                  <c:v>50.5</c:v>
                </c:pt>
                <c:pt idx="35">
                  <c:v>49</c:v>
                </c:pt>
                <c:pt idx="36">
                  <c:v>49.6</c:v>
                </c:pt>
                <c:pt idx="37">
                  <c:v>51.5</c:v>
                </c:pt>
                <c:pt idx="38">
                  <c:v>53.2</c:v>
                </c:pt>
                <c:pt idx="39">
                  <c:v>54.9</c:v>
                </c:pt>
                <c:pt idx="40">
                  <c:v>53.7</c:v>
                </c:pt>
                <c:pt idx="41">
                  <c:v>54</c:v>
                </c:pt>
                <c:pt idx="42">
                  <c:v>56.5</c:v>
                </c:pt>
                <c:pt idx="43">
                  <c:v>55.7</c:v>
                </c:pt>
                <c:pt idx="44">
                  <c:v>54.8</c:v>
                </c:pt>
                <c:pt idx="45">
                  <c:v>56.2</c:v>
                </c:pt>
                <c:pt idx="46">
                  <c:v>58.1</c:v>
                </c:pt>
                <c:pt idx="47">
                  <c:v>55.8</c:v>
                </c:pt>
                <c:pt idx="48">
                  <c:v>55.9</c:v>
                </c:pt>
                <c:pt idx="49">
                  <c:v>52.7</c:v>
                </c:pt>
                <c:pt idx="50">
                  <c:v>54.3</c:v>
                </c:pt>
                <c:pt idx="51">
                  <c:v>56.7</c:v>
                </c:pt>
                <c:pt idx="52">
                  <c:v>56.2</c:v>
                </c:pt>
                <c:pt idx="53">
                  <c:v>57.3</c:v>
                </c:pt>
                <c:pt idx="54">
                  <c:v>60.3</c:v>
                </c:pt>
                <c:pt idx="55">
                  <c:v>58.4</c:v>
                </c:pt>
                <c:pt idx="56">
                  <c:v>56.1</c:v>
                </c:pt>
                <c:pt idx="57">
                  <c:v>59.7</c:v>
                </c:pt>
                <c:pt idx="58">
                  <c:v>59.6</c:v>
                </c:pt>
                <c:pt idx="59">
                  <c:v>55.1</c:v>
                </c:pt>
                <c:pt idx="60">
                  <c:v>55.9</c:v>
                </c:pt>
                <c:pt idx="61">
                  <c:v>56.7</c:v>
                </c:pt>
                <c:pt idx="62">
                  <c:v>55.1</c:v>
                </c:pt>
                <c:pt idx="63">
                  <c:v>54.6</c:v>
                </c:pt>
                <c:pt idx="64">
                  <c:v>54.1</c:v>
                </c:pt>
                <c:pt idx="65">
                  <c:v>55.3</c:v>
                </c:pt>
                <c:pt idx="66">
                  <c:v>55.1</c:v>
                </c:pt>
                <c:pt idx="67">
                  <c:v>55.4</c:v>
                </c:pt>
                <c:pt idx="68">
                  <c:v>56</c:v>
                </c:pt>
                <c:pt idx="69">
                  <c:v>54.1</c:v>
                </c:pt>
                <c:pt idx="70">
                  <c:v>56</c:v>
                </c:pt>
                <c:pt idx="71">
                  <c:v>54.7</c:v>
                </c:pt>
                <c:pt idx="72">
                  <c:v>54.6</c:v>
                </c:pt>
                <c:pt idx="73">
                  <c:v>55.1</c:v>
                </c:pt>
                <c:pt idx="74">
                  <c:v>55</c:v>
                </c:pt>
                <c:pt idx="75">
                  <c:v>54.2</c:v>
                </c:pt>
                <c:pt idx="76">
                  <c:v>57</c:v>
                </c:pt>
                <c:pt idx="77">
                  <c:v>57.4</c:v>
                </c:pt>
                <c:pt idx="78">
                  <c:v>57.8</c:v>
                </c:pt>
                <c:pt idx="79">
                  <c:v>57.3</c:v>
                </c:pt>
                <c:pt idx="80">
                  <c:v>58.3</c:v>
                </c:pt>
                <c:pt idx="81">
                  <c:v>57.6</c:v>
                </c:pt>
                <c:pt idx="82">
                  <c:v>56</c:v>
                </c:pt>
                <c:pt idx="83">
                  <c:v>56.7</c:v>
                </c:pt>
                <c:pt idx="84">
                  <c:v>54.6</c:v>
                </c:pt>
                <c:pt idx="85">
                  <c:v>54.4</c:v>
                </c:pt>
                <c:pt idx="86">
                  <c:v>54.6</c:v>
                </c:pt>
                <c:pt idx="87">
                  <c:v>56.9</c:v>
                </c:pt>
                <c:pt idx="88">
                  <c:v>57.3</c:v>
                </c:pt>
                <c:pt idx="89">
                  <c:v>56.2</c:v>
                </c:pt>
                <c:pt idx="90">
                  <c:v>55.6</c:v>
                </c:pt>
                <c:pt idx="91">
                  <c:v>56.4</c:v>
                </c:pt>
                <c:pt idx="92">
                  <c:v>55.4</c:v>
                </c:pt>
                <c:pt idx="93">
                  <c:v>52.6</c:v>
                </c:pt>
                <c:pt idx="94">
                  <c:v>52.7</c:v>
                </c:pt>
                <c:pt idx="95">
                  <c:v>52.5</c:v>
                </c:pt>
                <c:pt idx="96">
                  <c:v>54</c:v>
                </c:pt>
                <c:pt idx="97">
                  <c:v>54</c:v>
                </c:pt>
                <c:pt idx="98">
                  <c:v>54</c:v>
                </c:pt>
                <c:pt idx="99">
                  <c:v>54.7</c:v>
                </c:pt>
                <c:pt idx="100">
                  <c:v>54.5</c:v>
                </c:pt>
                <c:pt idx="101">
                  <c:v>56.8</c:v>
                </c:pt>
                <c:pt idx="102">
                  <c:v>53.1</c:v>
                </c:pt>
                <c:pt idx="103">
                  <c:v>52.8</c:v>
                </c:pt>
                <c:pt idx="104">
                  <c:v>53.6</c:v>
                </c:pt>
                <c:pt idx="105">
                  <c:v>52.9</c:v>
                </c:pt>
                <c:pt idx="106">
                  <c:v>54.3</c:v>
                </c:pt>
                <c:pt idx="107">
                  <c:v>53.3</c:v>
                </c:pt>
                <c:pt idx="108">
                  <c:v>52.7</c:v>
                </c:pt>
                <c:pt idx="109">
                  <c:v>53.2</c:v>
                </c:pt>
                <c:pt idx="110">
                  <c:v>54.9</c:v>
                </c:pt>
                <c:pt idx="111">
                  <c:v>52.3</c:v>
                </c:pt>
                <c:pt idx="112">
                  <c:v>52.1</c:v>
                </c:pt>
                <c:pt idx="113">
                  <c:v>23</c:v>
                </c:pt>
                <c:pt idx="114">
                  <c:v>7.1</c:v>
                </c:pt>
                <c:pt idx="115">
                  <c:v>27.9</c:v>
                </c:pt>
                <c:pt idx="116">
                  <c:v>50.2</c:v>
                </c:pt>
                <c:pt idx="117">
                  <c:v>51.9</c:v>
                </c:pt>
                <c:pt idx="118">
                  <c:v>47.7</c:v>
                </c:pt>
                <c:pt idx="119">
                  <c:v>42.4</c:v>
                </c:pt>
                <c:pt idx="120">
                  <c:v>41.4</c:v>
                </c:pt>
                <c:pt idx="121">
                  <c:v>39.5</c:v>
                </c:pt>
                <c:pt idx="122">
                  <c:v>48</c:v>
                </c:pt>
                <c:pt idx="123">
                  <c:v>41.7</c:v>
                </c:pt>
                <c:pt idx="124">
                  <c:v>43.1</c:v>
                </c:pt>
                <c:pt idx="125">
                  <c:v>48.1</c:v>
                </c:pt>
                <c:pt idx="126">
                  <c:v>54.6</c:v>
                </c:pt>
                <c:pt idx="127">
                  <c:v>59.4</c:v>
                </c:pt>
                <c:pt idx="128">
                  <c:v>62.5</c:v>
                </c:pt>
                <c:pt idx="129">
                  <c:v>61.9</c:v>
                </c:pt>
                <c:pt idx="130">
                  <c:v>60.1</c:v>
                </c:pt>
                <c:pt idx="131">
                  <c:v>56.9</c:v>
                </c:pt>
                <c:pt idx="132">
                  <c:v>56.6</c:v>
                </c:pt>
                <c:pt idx="133">
                  <c:v>59.8</c:v>
                </c:pt>
                <c:pt idx="134">
                  <c:v>55.8</c:v>
                </c:pt>
                <c:pt idx="135">
                  <c:v>46.6</c:v>
                </c:pt>
                <c:pt idx="136">
                  <c:v>56.6</c:v>
                </c:pt>
                <c:pt idx="137">
                  <c:v>53.4</c:v>
                </c:pt>
                <c:pt idx="138">
                  <c:v>57.1</c:v>
                </c:pt>
                <c:pt idx="139">
                  <c:v>56.5</c:v>
                </c:pt>
                <c:pt idx="140">
                  <c:v>54</c:v>
                </c:pt>
                <c:pt idx="141">
                  <c:v>53.8</c:v>
                </c:pt>
                <c:pt idx="142">
                  <c:v>50.6</c:v>
                </c:pt>
                <c:pt idx="143">
                  <c:v>48.5</c:v>
                </c:pt>
                <c:pt idx="144">
                  <c:v>49.7</c:v>
                </c:pt>
              </c:numCache>
            </c:numRef>
          </c:val>
          <c:smooth val="0"/>
          <c:extLst>
            <c:ext xmlns:c16="http://schemas.microsoft.com/office/drawing/2014/chart" uri="{C3380CC4-5D6E-409C-BE32-E72D297353CC}">
              <c16:uniqueId val="{00000000-A8FD-134B-AE9A-55C3AFBA007F}"/>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_rels/drawing6.xml.rels><?xml version="1.0" encoding="UTF-8" standalone="yes"?>
<Relationships xmlns="http://schemas.openxmlformats.org/package/2006/relationships"><Relationship Id="rId1" Type="http://schemas.openxmlformats.org/officeDocument/2006/relationships/chart" Target="../charts/chart6.xml"/></Relationships>
</file>

<file path=xl/drawings/_rels/drawing7.xml.rels><?xml version="1.0" encoding="UTF-8" standalone="yes"?>
<Relationships xmlns="http://schemas.openxmlformats.org/package/2006/relationships"><Relationship Id="rId1" Type="http://schemas.openxmlformats.org/officeDocument/2006/relationships/chart" Target="../charts/chart7.xml"/></Relationships>
</file>

<file path=xl/drawings/_rels/drawing8.xml.rels><?xml version="1.0" encoding="UTF-8" standalone="yes"?>
<Relationships xmlns="http://schemas.openxmlformats.org/package/2006/relationships"><Relationship Id="rId1" Type="http://schemas.openxmlformats.org/officeDocument/2006/relationships/chart" Target="../charts/chart8.xml"/></Relationships>
</file>

<file path=xl/drawings/_rels/drawing9.xml.rels><?xml version="1.0" encoding="UTF-8" standalone="yes"?>
<Relationships xmlns="http://schemas.openxmlformats.org/package/2006/relationships"><Relationship Id="rId1" Type="http://schemas.openxmlformats.org/officeDocument/2006/relationships/chart" Target="../charts/chart9.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15.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16.xml"/></Relationships>
</file>

<file path=xl/drawings/drawing1.xml><?xml version="1.0" encoding="utf-8"?>
<xdr:wsDr xmlns:xdr="http://schemas.openxmlformats.org/drawingml/2006/spreadsheetDrawing" xmlns:a="http://schemas.openxmlformats.org/drawingml/2006/main">
  <xdr:twoCellAnchor>
    <xdr:from>
      <xdr:col>17</xdr:col>
      <xdr:colOff>406218</xdr:colOff>
      <xdr:row>73</xdr:row>
      <xdr:rowOff>167994</xdr:rowOff>
    </xdr:from>
    <xdr:to>
      <xdr:col>25</xdr:col>
      <xdr:colOff>123076</xdr:colOff>
      <xdr:row>93</xdr:row>
      <xdr:rowOff>58456</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3</xdr:col>
      <xdr:colOff>321467</xdr:colOff>
      <xdr:row>117</xdr:row>
      <xdr:rowOff>174625</xdr:rowOff>
    </xdr:from>
    <xdr:to>
      <xdr:col>12</xdr:col>
      <xdr:colOff>277812</xdr:colOff>
      <xdr:row>140</xdr:row>
      <xdr:rowOff>52391</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3</xdr:col>
      <xdr:colOff>277811</xdr:colOff>
      <xdr:row>80</xdr:row>
      <xdr:rowOff>92868</xdr:rowOff>
    </xdr:from>
    <xdr:to>
      <xdr:col>12</xdr:col>
      <xdr:colOff>396874</xdr:colOff>
      <xdr:row>104</xdr:row>
      <xdr:rowOff>7937</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3</xdr:col>
      <xdr:colOff>141939</xdr:colOff>
      <xdr:row>158</xdr:row>
      <xdr:rowOff>59764</xdr:rowOff>
    </xdr:from>
    <xdr:to>
      <xdr:col>12</xdr:col>
      <xdr:colOff>321235</xdr:colOff>
      <xdr:row>179</xdr:row>
      <xdr:rowOff>8217</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3</xdr:col>
      <xdr:colOff>373061</xdr:colOff>
      <xdr:row>119</xdr:row>
      <xdr:rowOff>103188</xdr:rowOff>
    </xdr:from>
    <xdr:to>
      <xdr:col>11</xdr:col>
      <xdr:colOff>428624</xdr:colOff>
      <xdr:row>140</xdr:row>
      <xdr:rowOff>0</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3</xdr:col>
      <xdr:colOff>261939</xdr:colOff>
      <xdr:row>143</xdr:row>
      <xdr:rowOff>7938</xdr:rowOff>
    </xdr:from>
    <xdr:to>
      <xdr:col>12</xdr:col>
      <xdr:colOff>349249</xdr:colOff>
      <xdr:row>166</xdr:row>
      <xdr:rowOff>65882</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3</xdr:col>
      <xdr:colOff>165100</xdr:colOff>
      <xdr:row>156</xdr:row>
      <xdr:rowOff>152401</xdr:rowOff>
    </xdr:from>
    <xdr:to>
      <xdr:col>12</xdr:col>
      <xdr:colOff>237066</xdr:colOff>
      <xdr:row>179</xdr:row>
      <xdr:rowOff>59267</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3</xdr:col>
      <xdr:colOff>232832</xdr:colOff>
      <xdr:row>118</xdr:row>
      <xdr:rowOff>25399</xdr:rowOff>
    </xdr:from>
    <xdr:to>
      <xdr:col>12</xdr:col>
      <xdr:colOff>516465</xdr:colOff>
      <xdr:row>140</xdr:row>
      <xdr:rowOff>42332</xdr:rowOff>
    </xdr:to>
    <xdr:graphicFrame macro="">
      <xdr:nvGraphicFramePr>
        <xdr:cNvPr id="2" name="Chart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3</xdr:col>
      <xdr:colOff>277812</xdr:colOff>
      <xdr:row>118</xdr:row>
      <xdr:rowOff>182563</xdr:rowOff>
    </xdr:from>
    <xdr:to>
      <xdr:col>12</xdr:col>
      <xdr:colOff>547687</xdr:colOff>
      <xdr:row>140</xdr:row>
      <xdr:rowOff>57944</xdr:rowOff>
    </xdr:to>
    <xdr:graphicFrame macro="">
      <xdr:nvGraphicFramePr>
        <xdr:cNvPr id="2" name="Chart 1">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3</xdr:col>
      <xdr:colOff>173568</xdr:colOff>
      <xdr:row>118</xdr:row>
      <xdr:rowOff>135466</xdr:rowOff>
    </xdr:from>
    <xdr:to>
      <xdr:col>11</xdr:col>
      <xdr:colOff>423334</xdr:colOff>
      <xdr:row>140</xdr:row>
      <xdr:rowOff>0</xdr:rowOff>
    </xdr:to>
    <xdr:graphicFrame macro="">
      <xdr:nvGraphicFramePr>
        <xdr:cNvPr id="2" name="Chart 1">
          <a:extLst>
            <a:ext uri="{FF2B5EF4-FFF2-40B4-BE49-F238E27FC236}">
              <a16:creationId xmlns:a16="http://schemas.microsoft.com/office/drawing/2014/main" id="{00000000-0008-0000-0B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3</xdr:col>
      <xdr:colOff>150813</xdr:colOff>
      <xdr:row>118</xdr:row>
      <xdr:rowOff>158750</xdr:rowOff>
    </xdr:from>
    <xdr:to>
      <xdr:col>12</xdr:col>
      <xdr:colOff>444499</xdr:colOff>
      <xdr:row>139</xdr:row>
      <xdr:rowOff>169070</xdr:rowOff>
    </xdr:to>
    <xdr:graphicFrame macro="">
      <xdr:nvGraphicFramePr>
        <xdr:cNvPr id="2" name="Chart 1">
          <a:extLst>
            <a:ext uri="{FF2B5EF4-FFF2-40B4-BE49-F238E27FC236}">
              <a16:creationId xmlns:a16="http://schemas.microsoft.com/office/drawing/2014/main" id="{00000000-0008-0000-0C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3</xdr:col>
      <xdr:colOff>214311</xdr:colOff>
      <xdr:row>119</xdr:row>
      <xdr:rowOff>87313</xdr:rowOff>
    </xdr:from>
    <xdr:to>
      <xdr:col>11</xdr:col>
      <xdr:colOff>206375</xdr:colOff>
      <xdr:row>140</xdr:row>
      <xdr:rowOff>50007</xdr:rowOff>
    </xdr:to>
    <xdr:graphicFrame macro="">
      <xdr:nvGraphicFramePr>
        <xdr:cNvPr id="2" name="Chart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3</xdr:col>
      <xdr:colOff>139701</xdr:colOff>
      <xdr:row>116</xdr:row>
      <xdr:rowOff>152399</xdr:rowOff>
    </xdr:from>
    <xdr:to>
      <xdr:col>13</xdr:col>
      <xdr:colOff>237067</xdr:colOff>
      <xdr:row>140</xdr:row>
      <xdr:rowOff>84667</xdr:rowOff>
    </xdr:to>
    <xdr:graphicFrame macro="">
      <xdr:nvGraphicFramePr>
        <xdr:cNvPr id="2" name="Chart 1">
          <a:extLst>
            <a:ext uri="{FF2B5EF4-FFF2-40B4-BE49-F238E27FC236}">
              <a16:creationId xmlns:a16="http://schemas.microsoft.com/office/drawing/2014/main" id="{00000000-0008-0000-0E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3</xdr:col>
      <xdr:colOff>261939</xdr:colOff>
      <xdr:row>117</xdr:row>
      <xdr:rowOff>127000</xdr:rowOff>
    </xdr:from>
    <xdr:to>
      <xdr:col>12</xdr:col>
      <xdr:colOff>230187</xdr:colOff>
      <xdr:row>140</xdr:row>
      <xdr:rowOff>42070</xdr:rowOff>
    </xdr:to>
    <xdr:graphicFrame macro="">
      <xdr:nvGraphicFramePr>
        <xdr:cNvPr id="2" name="Chart 1">
          <a:extLst>
            <a:ext uri="{FF2B5EF4-FFF2-40B4-BE49-F238E27FC236}">
              <a16:creationId xmlns:a16="http://schemas.microsoft.com/office/drawing/2014/main" id="{00000000-0008-0000-0F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3</xdr:col>
      <xdr:colOff>238126</xdr:colOff>
      <xdr:row>116</xdr:row>
      <xdr:rowOff>150813</xdr:rowOff>
    </xdr:from>
    <xdr:to>
      <xdr:col>12</xdr:col>
      <xdr:colOff>404812</xdr:colOff>
      <xdr:row>140</xdr:row>
      <xdr:rowOff>26194</xdr:rowOff>
    </xdr:to>
    <xdr:graphicFrame macro="">
      <xdr:nvGraphicFramePr>
        <xdr:cNvPr id="2" name="Chart 1">
          <a:extLst>
            <a:ext uri="{FF2B5EF4-FFF2-40B4-BE49-F238E27FC236}">
              <a16:creationId xmlns:a16="http://schemas.microsoft.com/office/drawing/2014/main" id="{00000000-0008-0000-1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3</xdr:col>
      <xdr:colOff>268940</xdr:colOff>
      <xdr:row>118</xdr:row>
      <xdr:rowOff>104588</xdr:rowOff>
    </xdr:from>
    <xdr:to>
      <xdr:col>12</xdr:col>
      <xdr:colOff>664882</xdr:colOff>
      <xdr:row>140</xdr:row>
      <xdr:rowOff>53042</xdr:rowOff>
    </xdr:to>
    <xdr:graphicFrame macro="">
      <xdr:nvGraphicFramePr>
        <xdr:cNvPr id="2" name="Chart 1">
          <a:extLst>
            <a:ext uri="{FF2B5EF4-FFF2-40B4-BE49-F238E27FC236}">
              <a16:creationId xmlns:a16="http://schemas.microsoft.com/office/drawing/2014/main" id="{00000000-0008-0000-1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5:C149" totalsRowShown="0" headerRowDxfId="129" dataDxfId="127" headerRowBorderDxfId="128" tableBorderDxfId="126" totalsRowBorderDxfId="125">
  <autoFilter ref="A5:C149" xr:uid="{00000000-0009-0000-0100-000001000000}"/>
  <tableColumns count="3">
    <tableColumn id="1" xr3:uid="{00000000-0010-0000-0000-000001000000}" name="Date" dataDxfId="124"/>
    <tableColumn id="2" xr3:uid="{00000000-0010-0000-0000-000002000000}" name="PMI" dataDxfId="123">
      <calculatedColumnFormula>IF(VLOOKUP(A6,'DB Country PMI'!$A:$V,MATCH($A$1,'DB Country PMI'!$A$1:$V$1,),)=0,#N/A,VLOOKUP(A6,'DB Country PMI'!$A:$V,MATCH($A$1,'DB Country PMI'!$A$1:$V$1,),))</calculatedColumnFormula>
    </tableColumn>
    <tableColumn id="3" xr3:uid="{00000000-0010-0000-0000-000003000000}" name="mom" dataDxfId="122">
      <calculatedColumnFormula>Table1[[#This Row],[PMI]]-B5</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1346811" displayName="Table1346811" ref="A5:C114" totalsRowShown="0" headerRowDxfId="121" dataDxfId="119" headerRowBorderDxfId="120" tableBorderDxfId="118" totalsRowBorderDxfId="117">
  <autoFilter ref="A5:C114" xr:uid="{00000000-0009-0000-0100-000002000000}"/>
  <tableColumns count="3">
    <tableColumn id="1" xr3:uid="{00000000-0010-0000-0100-000001000000}" name="Date" dataDxfId="116"/>
    <tableColumn id="2" xr3:uid="{00000000-0010-0000-0100-000002000000}" name="PMI" dataDxfId="115">
      <calculatedColumnFormula>IF(VLOOKUP(A6,'DB Country PMI'!$A:$V,MATCH($A$1,'DB Country PMI'!$A$1:$V$1,),)=0,#N/A,VLOOKUP(A6,'DB Country PMI'!$A:$V,MATCH($A$1,'DB Country PMI'!$A$1:$V$1,),))</calculatedColumnFormula>
    </tableColumn>
    <tableColumn id="3" xr3:uid="{00000000-0010-0000-0100-000003000000}" name="mom" dataDxfId="114">
      <calculatedColumnFormula>Table1346811[[#This Row],[PMI]]-B5</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13468113" displayName="Table13468113" ref="A5:C189" totalsRowShown="0" headerRowDxfId="113" dataDxfId="111" headerRowBorderDxfId="112" tableBorderDxfId="110" totalsRowBorderDxfId="109">
  <autoFilter ref="A5:C189" xr:uid="{00000000-0009-0000-0100-000003000000}"/>
  <tableColumns count="3">
    <tableColumn id="1" xr3:uid="{00000000-0010-0000-0200-000001000000}" name="Date" dataDxfId="108"/>
    <tableColumn id="2" xr3:uid="{00000000-0010-0000-0200-000002000000}" name="PMI" dataDxfId="107">
      <calculatedColumnFormula>IF(VLOOKUP(A6,'DB Country PMI'!$A:$V,MATCH($A$1,'DB Country PMI'!$A$1:$V$1,),)=0,#N/A,VLOOKUP(A6,'DB Country PMI'!$A:$V,MATCH($A$1,'DB Country PMI'!$A$1:$V$1,),))</calculatedColumnFormula>
    </tableColumn>
    <tableColumn id="3" xr3:uid="{00000000-0010-0000-0200-000003000000}" name="mom" dataDxfId="106">
      <calculatedColumnFormula>Table13468113[[#This Row],[PMI]]-B5</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134681134" displayName="Table134681134" ref="A5:C150" totalsRowShown="0" headerRowDxfId="105" dataDxfId="103" headerRowBorderDxfId="104" tableBorderDxfId="102" totalsRowBorderDxfId="101">
  <autoFilter ref="A5:C150" xr:uid="{00000000-0009-0000-0100-000004000000}"/>
  <tableColumns count="3">
    <tableColumn id="1" xr3:uid="{00000000-0010-0000-0300-000001000000}" name="Date" dataDxfId="100"/>
    <tableColumn id="2" xr3:uid="{00000000-0010-0000-0300-000002000000}" name="PMI" dataDxfId="99">
      <calculatedColumnFormula>IF(VLOOKUP(A6,'DB Country PMI'!$A:$W,MATCH($A$1,'DB Country PMI'!$A$1:$W$1,),)=0,#N/A,VLOOKUP(A6,'DB Country PMI'!$A:$W,MATCH($A$1,'DB Country PMI'!$A$1:$W$1,),))</calculatedColumnFormula>
    </tableColumn>
    <tableColumn id="3" xr3:uid="{00000000-0010-0000-0300-000003000000}" name="mom" dataDxfId="98">
      <calculatedColumnFormula>Table134681134[[#This Row],[PMI]]-B5</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1346811345" displayName="Table1346811345" ref="A5:C176" totalsRowShown="0" headerRowDxfId="97" dataDxfId="95" headerRowBorderDxfId="96" tableBorderDxfId="94" totalsRowBorderDxfId="93">
  <autoFilter ref="A5:C176" xr:uid="{00000000-0009-0000-0100-000005000000}"/>
  <tableColumns count="3">
    <tableColumn id="1" xr3:uid="{00000000-0010-0000-0400-000001000000}" name="Date" dataDxfId="92"/>
    <tableColumn id="2" xr3:uid="{00000000-0010-0000-0400-000002000000}" name="PMI" dataDxfId="91">
      <calculatedColumnFormula>IF(VLOOKUP(A6,'DB Country PMI'!$A:$W,MATCH($A$1,'DB Country PMI'!$A$1:$W$1,),)=0,#N/A,VLOOKUP(A6,'DB Country PMI'!$A:$W,MATCH($A$1,'DB Country PMI'!$A$1:$W$1,),))</calculatedColumnFormula>
    </tableColumn>
    <tableColumn id="3" xr3:uid="{00000000-0010-0000-0400-000003000000}" name="mom" dataDxfId="90">
      <calculatedColumnFormula>Table1346811345[[#This Row],[PMI]]-B5</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13468113456" displayName="Table13468113456" ref="A5:C189" totalsRowShown="0" headerRowDxfId="89" dataDxfId="87" headerRowBorderDxfId="88" tableBorderDxfId="86" totalsRowBorderDxfId="85">
  <autoFilter ref="A5:C189" xr:uid="{00000000-0009-0000-0100-000006000000}"/>
  <tableColumns count="3">
    <tableColumn id="1" xr3:uid="{00000000-0010-0000-0500-000001000000}" name="Date" dataDxfId="84"/>
    <tableColumn id="2" xr3:uid="{00000000-0010-0000-0500-000002000000}" name="PMI" dataDxfId="83">
      <calculatedColumnFormula>IF(VLOOKUP(A6,'DB Country PMI'!$A:$W,MATCH($A$1,'DB Country PMI'!$A$1:$W$1,),)=0,#N/A,VLOOKUP(A6,'DB Country PMI'!$A:$W,MATCH($A$1,'DB Country PMI'!$A$1:$W$1,),))</calculatedColumnFormula>
    </tableColumn>
    <tableColumn id="3" xr3:uid="{00000000-0010-0000-0500-000003000000}" name="mom" dataDxfId="82">
      <calculatedColumnFormula>Table13468113456[[#This Row],[PMI]]-B5</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Table1346811345671012131415" displayName="Table1346811345671012131415" ref="A5:C150" totalsRowShown="0" headerRowDxfId="81" dataDxfId="79" headerRowBorderDxfId="80" tableBorderDxfId="78" totalsRowBorderDxfId="77">
  <autoFilter ref="A5:C150" xr:uid="{00000000-0009-0000-0100-000007000000}"/>
  <tableColumns count="3">
    <tableColumn id="1" xr3:uid="{00000000-0010-0000-0600-000001000000}" name="Date" dataDxfId="76"/>
    <tableColumn id="2" xr3:uid="{00000000-0010-0000-0600-000002000000}" name="PMI" dataDxfId="75">
      <calculatedColumnFormula>IF(VLOOKUP(A6,'DB Country PMI'!$A:$W,MATCH($A$1,'DB Country PMI'!$A$1:$W$1,),)=0,#N/A,VLOOKUP(A6,'DB Country PMI'!$A:$W,MATCH($A$1,'DB Country PMI'!$A$1:$W$1,),))</calculatedColumnFormula>
    </tableColumn>
    <tableColumn id="3" xr3:uid="{00000000-0010-0000-0600-000003000000}" name="mom" dataDxfId="74"/>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Table134681134567" displayName="Table134681134567" ref="A5:C150" totalsRowShown="0" headerRowDxfId="73" dataDxfId="71" headerRowBorderDxfId="72" tableBorderDxfId="70" totalsRowBorderDxfId="69">
  <autoFilter ref="A5:C150" xr:uid="{00000000-0009-0000-0100-000008000000}"/>
  <tableColumns count="3">
    <tableColumn id="1" xr3:uid="{00000000-0010-0000-0700-000001000000}" name="Date" dataDxfId="68"/>
    <tableColumn id="2" xr3:uid="{00000000-0010-0000-0700-000002000000}" name="PMI" dataDxfId="67">
      <calculatedColumnFormula>IF(VLOOKUP(A6,'DB Country PMI'!$A:$W,MATCH($A$1,'DB Country PMI'!$A$1:$W$1,),)=0,#N/A,VLOOKUP(A6,'DB Country PMI'!$A:$W,MATCH($A$1,'DB Country PMI'!$A$1:$W$1,),))</calculatedColumnFormula>
    </tableColumn>
    <tableColumn id="3" xr3:uid="{00000000-0010-0000-0700-000003000000}" name="mom" dataDxfId="66">
      <calculatedColumnFormula>Table134681134567[[#This Row],[PMI]]-B5</calculatedColumnFormula>
    </tableColumn>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Table13468113456716" displayName="Table13468113456716" ref="A5:C150" totalsRowShown="0" headerRowDxfId="65" dataDxfId="63" headerRowBorderDxfId="64" tableBorderDxfId="62" totalsRowBorderDxfId="61">
  <autoFilter ref="A5:C150" xr:uid="{00000000-0009-0000-0100-000009000000}"/>
  <tableColumns count="3">
    <tableColumn id="1" xr3:uid="{00000000-0010-0000-0800-000001000000}" name="Date" dataDxfId="60"/>
    <tableColumn id="2" xr3:uid="{00000000-0010-0000-0800-000002000000}" name="PMI" dataDxfId="59">
      <calculatedColumnFormula>IF(VLOOKUP(A6,'DB Country PMI'!$A:$W,MATCH($A$1,'DB Country PMI'!$A$1:$W$1,),)=0,#N/A,VLOOKUP(A6,'DB Country PMI'!$A:$W,MATCH($A$1,'DB Country PMI'!$A$1:$W$1,),))</calculatedColumnFormula>
    </tableColumn>
    <tableColumn id="3" xr3:uid="{00000000-0010-0000-0800-000003000000}" name="mom" dataDxfId="58">
      <calculatedColumnFormula>Table13468113456716[[#This Row],[PMI]]-B5</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9000000}" name="Table1346811345678" displayName="Table1346811345678" ref="A5:C150" totalsRowShown="0" headerRowDxfId="57" dataDxfId="55" headerRowBorderDxfId="56" tableBorderDxfId="54" totalsRowBorderDxfId="53">
  <autoFilter ref="A5:C150" xr:uid="{00000000-0009-0000-0100-00000A000000}"/>
  <tableColumns count="3">
    <tableColumn id="1" xr3:uid="{00000000-0010-0000-0900-000001000000}" name="Date" dataDxfId="52"/>
    <tableColumn id="2" xr3:uid="{00000000-0010-0000-0900-000002000000}" name="PMI" dataDxfId="51">
      <calculatedColumnFormula>IF(VLOOKUP(A6,'DB Country PMI'!$A:$W,MATCH($A$1,'DB Country PMI'!$A$1:$W$1,),)=0,#N/A,VLOOKUP(A6,'DB Country PMI'!$A:$W,MATCH($A$1,'DB Country PMI'!$A$1:$W$1,),))</calculatedColumnFormula>
    </tableColumn>
    <tableColumn id="3" xr3:uid="{00000000-0010-0000-0900-000003000000}" name="mom" dataDxfId="50">
      <calculatedColumnFormula>Table1346811345678[[#This Row],[PMI]]-B5</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A000000}" name="Table13468113456789" displayName="Table13468113456789" ref="A5:C150" totalsRowShown="0" headerRowDxfId="49" dataDxfId="47" headerRowBorderDxfId="48" tableBorderDxfId="46" totalsRowBorderDxfId="45">
  <autoFilter ref="A5:C150" xr:uid="{00000000-0009-0000-0100-00000B000000}"/>
  <tableColumns count="3">
    <tableColumn id="1" xr3:uid="{00000000-0010-0000-0A00-000001000000}" name="Date" dataDxfId="44"/>
    <tableColumn id="2" xr3:uid="{00000000-0010-0000-0A00-000002000000}" name="PMI" dataDxfId="43">
      <calculatedColumnFormula>IF(VLOOKUP(A6,'DB Country PMI'!$A:$W,MATCH($A$1,'DB Country PMI'!$A$1:$W$1,),)=0,#N/A,VLOOKUP(A6,'DB Country PMI'!$A:$W,MATCH($A$1,'DB Country PMI'!$A$1:$W$1,),))</calculatedColumnFormula>
    </tableColumn>
    <tableColumn id="3" xr3:uid="{00000000-0010-0000-0A00-000003000000}" name="mom" dataDxfId="42">
      <calculatedColumnFormula>Table13468113456789[[#This Row],[PMI]]-B5</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B000000}" name="Table13468113456710" displayName="Table13468113456710" ref="A5:C150" totalsRowShown="0" headerRowDxfId="41" dataDxfId="39" headerRowBorderDxfId="40" tableBorderDxfId="38" totalsRowBorderDxfId="37">
  <autoFilter ref="A5:C150" xr:uid="{00000000-0009-0000-0100-00000C000000}"/>
  <tableColumns count="3">
    <tableColumn id="1" xr3:uid="{00000000-0010-0000-0B00-000001000000}" name="Date" dataDxfId="36"/>
    <tableColumn id="2" xr3:uid="{00000000-0010-0000-0B00-000002000000}" name="PMI" dataDxfId="35">
      <calculatedColumnFormula>IF(VLOOKUP(A6,'DB Country PMI'!$A:$W,MATCH($A$1,'DB Country PMI'!$A$1:$W$1,),)=0,#N/A,VLOOKUP(A6,'DB Country PMI'!$A:$W,MATCH($A$1,'DB Country PMI'!$A$1:$W$1,),))</calculatedColumnFormula>
    </tableColumn>
    <tableColumn id="3" xr3:uid="{00000000-0010-0000-0B00-000003000000}" name="mom" dataDxfId="34">
      <calculatedColumnFormula>Table13468113456710[[#This Row],[PMI]]-B5</calculatedColumnFormula>
    </tableColumn>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C000000}" name="Table1346811345671012" displayName="Table1346811345671012" ref="A5:C150" totalsRowShown="0" headerRowDxfId="33" dataDxfId="31" headerRowBorderDxfId="32" tableBorderDxfId="30" totalsRowBorderDxfId="29">
  <autoFilter ref="A5:C150" xr:uid="{00000000-0009-0000-0100-00000D000000}"/>
  <tableColumns count="3">
    <tableColumn id="1" xr3:uid="{00000000-0010-0000-0C00-000001000000}" name="Date" dataDxfId="28"/>
    <tableColumn id="2" xr3:uid="{00000000-0010-0000-0C00-000002000000}" name="PMI" dataDxfId="27"/>
    <tableColumn id="3" xr3:uid="{00000000-0010-0000-0C00-000003000000}" name="mom" dataDxfId="26">
      <calculatedColumnFormula>Table1346811345671012[[#This Row],[PMI]]-B5</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D000000}" name="Table134681134567101213" displayName="Table134681134567101213" ref="A5:C150" totalsRowShown="0" headerRowDxfId="25" dataDxfId="23" headerRowBorderDxfId="24" tableBorderDxfId="22" totalsRowBorderDxfId="21">
  <autoFilter ref="A5:C150" xr:uid="{00000000-0009-0000-0100-00000E000000}"/>
  <tableColumns count="3">
    <tableColumn id="1" xr3:uid="{00000000-0010-0000-0D00-000001000000}" name="Date" dataDxfId="20"/>
    <tableColumn id="2" xr3:uid="{00000000-0010-0000-0D00-000002000000}" name="PMI" dataDxfId="19">
      <calculatedColumnFormula>IF(VLOOKUP(A6,'DB Country PMI'!$A:$W,MATCH($A$1,'DB Country PMI'!$A$1:$W$1,),)=0,#N/A,VLOOKUP(A6,'DB Country PMI'!$A:$W,MATCH($A$1,'DB Country PMI'!$A$1:$W$1,),))</calculatedColumnFormula>
    </tableColumn>
    <tableColumn id="3" xr3:uid="{00000000-0010-0000-0D00-000003000000}" name="mom" dataDxfId="18">
      <calculatedColumnFormula>Table134681134567101213[[#This Row],[PMI]]-B5</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E000000}" name="Table13468113456710121314" displayName="Table13468113456710121314" ref="A5:C150" totalsRowShown="0" headerRowDxfId="17" dataDxfId="15" headerRowBorderDxfId="16" tableBorderDxfId="14" totalsRowBorderDxfId="13">
  <autoFilter ref="A5:C150" xr:uid="{00000000-0009-0000-0100-00000F000000}"/>
  <tableColumns count="3">
    <tableColumn id="1" xr3:uid="{00000000-0010-0000-0E00-000001000000}" name="Date" dataDxfId="12"/>
    <tableColumn id="2" xr3:uid="{00000000-0010-0000-0E00-000002000000}" name="PMI" dataDxfId="11">
      <calculatedColumnFormula>IF(VLOOKUP(A6,'DB Country PMI'!$A:$W,MATCH($A$1,'DB Country PMI'!$A$1:$W$1,),)=0,#N/A,VLOOKUP(A6,'DB Country PMI'!$A:$W,MATCH($A$1,'DB Country PMI'!$A$1:$W$1,),))</calculatedColumnFormula>
    </tableColumn>
    <tableColumn id="3" xr3:uid="{00000000-0010-0000-0E00-000003000000}" name="mom" dataDxfId="10">
      <calculatedColumnFormula>Table13468113456710121314[[#This Row],[PMI]]-B5</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hyperlink" Target="https://tradingeconomics.com/country-list/services-pmi" TargetMode="Externa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drawing" Target="../drawings/drawing7.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drawing" Target="../drawings/drawing8.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drawing" Target="../drawings/drawing9.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drawing" Target="../drawings/drawing10.xml"/></Relationships>
</file>

<file path=xl/worksheets/_rels/sheet13.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drawing" Target="../drawings/drawing11.xml"/></Relationships>
</file>

<file path=xl/worksheets/_rels/sheet14.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drawing" Target="../drawings/drawing12.xml"/></Relationships>
</file>

<file path=xl/worksheets/_rels/sheet15.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drawing" Target="../drawings/drawing13.xml"/></Relationships>
</file>

<file path=xl/worksheets/_rels/sheet16.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drawing" Target="../drawings/drawing14.xml"/></Relationships>
</file>

<file path=xl/worksheets/_rels/sheet17.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drawing" Target="../drawings/drawing15.xml"/></Relationships>
</file>

<file path=xl/worksheets/_rels/sheet18.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drawing" Target="../drawings/drawing1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FFFF00"/>
  </sheetPr>
  <dimension ref="B1:S34"/>
  <sheetViews>
    <sheetView tabSelected="1" topLeftCell="G11" zoomScale="150" zoomScaleNormal="150" workbookViewId="0">
      <selection activeCell="AB49" sqref="AB49"/>
    </sheetView>
  </sheetViews>
  <sheetFormatPr baseColWidth="10" defaultColWidth="9.1640625" defaultRowHeight="15" x14ac:dyDescent="0.2"/>
  <cols>
    <col min="1" max="1" width="4" style="49" customWidth="1"/>
    <col min="2" max="5" width="12.83203125" style="49" customWidth="1"/>
    <col min="6" max="6" width="13.6640625" style="49" customWidth="1"/>
    <col min="7" max="10" width="12.83203125" style="49" customWidth="1"/>
    <col min="11" max="13" width="2" style="49" customWidth="1"/>
    <col min="14" max="14" width="9.1640625" style="49" customWidth="1"/>
    <col min="15" max="15" width="15.5" style="49" customWidth="1"/>
    <col min="16" max="18" width="12.6640625" style="49" customWidth="1"/>
    <col min="19" max="19" width="11.6640625" style="49" customWidth="1"/>
    <col min="20" max="28" width="9.1640625" style="49" customWidth="1"/>
    <col min="29" max="16384" width="9.1640625" style="49"/>
  </cols>
  <sheetData>
    <row r="1" spans="2:19" x14ac:dyDescent="0.2">
      <c r="B1" s="59"/>
      <c r="C1" s="60"/>
      <c r="D1" s="60"/>
      <c r="E1" s="60"/>
      <c r="F1" s="60"/>
      <c r="G1" s="60"/>
      <c r="H1" s="60"/>
      <c r="I1" s="60"/>
      <c r="J1" s="60"/>
    </row>
    <row r="2" spans="2:19" ht="16" customHeight="1" thickBot="1" x14ac:dyDescent="0.25">
      <c r="B2" s="61"/>
      <c r="C2" s="61"/>
      <c r="D2" s="61"/>
      <c r="E2" s="61"/>
      <c r="F2" s="61"/>
      <c r="G2" s="61"/>
      <c r="H2" s="61"/>
      <c r="I2" s="61"/>
      <c r="J2" s="61"/>
    </row>
    <row r="3" spans="2:19" ht="16" customHeight="1" thickBot="1" x14ac:dyDescent="0.25">
      <c r="B3" s="62" t="s">
        <v>0</v>
      </c>
      <c r="C3" s="53"/>
      <c r="D3" s="53"/>
      <c r="E3" s="53"/>
      <c r="F3" s="53"/>
      <c r="G3" s="53"/>
      <c r="H3" s="53"/>
      <c r="I3" s="53"/>
      <c r="J3" s="54"/>
    </row>
    <row r="5" spans="2:19" x14ac:dyDescent="0.2">
      <c r="B5" s="63" t="s">
        <v>1</v>
      </c>
      <c r="C5" s="64"/>
      <c r="D5" s="64"/>
      <c r="E5" s="64"/>
      <c r="F5" s="64"/>
      <c r="G5" s="64"/>
      <c r="H5" s="64"/>
      <c r="I5" s="64"/>
      <c r="J5" s="58"/>
    </row>
    <row r="7" spans="2:19" ht="225.75" customHeight="1" x14ac:dyDescent="0.2">
      <c r="B7" s="65" t="s">
        <v>2</v>
      </c>
      <c r="C7" s="60"/>
      <c r="D7" s="60"/>
      <c r="E7" s="60"/>
      <c r="F7" s="60"/>
      <c r="G7" s="60"/>
      <c r="H7" s="60"/>
      <c r="I7" s="60"/>
      <c r="J7" s="60"/>
    </row>
    <row r="8" spans="2:19" ht="24" customHeight="1" x14ac:dyDescent="0.2">
      <c r="B8" s="37"/>
      <c r="C8" s="50"/>
      <c r="D8" s="50"/>
      <c r="E8" s="50"/>
      <c r="F8" s="50"/>
      <c r="G8" s="50"/>
      <c r="H8" s="50"/>
      <c r="I8" s="50"/>
      <c r="J8" s="50"/>
    </row>
    <row r="9" spans="2:19" ht="16" customHeight="1" thickBot="1" x14ac:dyDescent="0.25">
      <c r="B9" s="1"/>
      <c r="C9" s="2"/>
      <c r="D9" s="2"/>
      <c r="E9" s="2"/>
    </row>
    <row r="10" spans="2:19" ht="16" customHeight="1" thickBot="1" x14ac:dyDescent="0.25">
      <c r="B10" s="63" t="s">
        <v>3</v>
      </c>
      <c r="C10" s="64"/>
      <c r="D10" s="64"/>
      <c r="E10" s="64"/>
      <c r="F10" s="64"/>
      <c r="G10" s="64"/>
      <c r="H10" s="64"/>
      <c r="I10" s="64"/>
      <c r="J10" s="58"/>
      <c r="N10" s="52" t="s">
        <v>4</v>
      </c>
      <c r="O10" s="53"/>
      <c r="P10" s="53"/>
      <c r="Q10" s="53"/>
      <c r="R10" s="53"/>
      <c r="S10" s="54"/>
    </row>
    <row r="11" spans="2:19" x14ac:dyDescent="0.2">
      <c r="N11" s="3" t="s">
        <v>5</v>
      </c>
    </row>
    <row r="12" spans="2:19" ht="16" customHeight="1" thickBot="1" x14ac:dyDescent="0.25">
      <c r="B12" s="63" t="s">
        <v>6</v>
      </c>
      <c r="C12" s="64"/>
      <c r="D12" s="64"/>
      <c r="E12" s="64"/>
      <c r="F12" s="58"/>
      <c r="G12" s="63" t="s">
        <v>7</v>
      </c>
      <c r="H12" s="64"/>
      <c r="I12" s="64"/>
      <c r="J12" s="58"/>
    </row>
    <row r="13" spans="2:19" x14ac:dyDescent="0.2">
      <c r="P13" s="4">
        <v>44835</v>
      </c>
      <c r="Q13" s="5">
        <f>DATE(YEAR(P13),MONTH(P13)-1,DAY(P13))</f>
        <v>44805</v>
      </c>
      <c r="R13" s="6"/>
      <c r="S13" s="15" t="s">
        <v>8</v>
      </c>
    </row>
    <row r="14" spans="2:19" ht="16" customHeight="1" thickBot="1" x14ac:dyDescent="0.25">
      <c r="B14" s="60" t="s">
        <v>9</v>
      </c>
      <c r="C14" s="60"/>
      <c r="D14" s="60"/>
      <c r="E14" s="60"/>
      <c r="F14" s="60"/>
      <c r="G14" s="60" t="s">
        <v>10</v>
      </c>
      <c r="H14" s="60"/>
      <c r="I14" s="60"/>
      <c r="J14" s="60"/>
      <c r="O14" s="49" t="s">
        <v>11</v>
      </c>
      <c r="P14" s="39" t="s">
        <v>12</v>
      </c>
      <c r="Q14" s="39" t="s">
        <v>12</v>
      </c>
      <c r="R14" s="7" t="s">
        <v>13</v>
      </c>
      <c r="S14" s="32" t="s">
        <v>14</v>
      </c>
    </row>
    <row r="15" spans="2:19" ht="30.75" customHeight="1" x14ac:dyDescent="0.2">
      <c r="G15" s="66" t="s">
        <v>15</v>
      </c>
      <c r="H15" s="60"/>
      <c r="I15" s="60"/>
      <c r="J15" s="60"/>
      <c r="N15" s="55" t="s">
        <v>9</v>
      </c>
      <c r="O15" s="56"/>
      <c r="P15" s="40" t="e">
        <f>VLOOKUP($P$13,Summary!$B:$AB,MATCH(Note!N15,Summary!$B$2:$AB$2,),)</f>
        <v>#N/A</v>
      </c>
      <c r="Q15" s="11" t="e">
        <f>VLOOKUP($Q$13,Summary!$B:$AB,MATCH(Note!N15,Summary!$B$2:$AB$2,),)</f>
        <v>#N/A</v>
      </c>
      <c r="R15" s="43">
        <v>-1</v>
      </c>
      <c r="S15" s="33"/>
    </row>
    <row r="16" spans="2:19" x14ac:dyDescent="0.2">
      <c r="B16" s="67" t="s">
        <v>16</v>
      </c>
      <c r="C16" s="60"/>
      <c r="D16" s="60"/>
      <c r="E16" s="60"/>
      <c r="F16" s="60"/>
      <c r="G16" s="60" t="s">
        <v>17</v>
      </c>
      <c r="H16" s="60"/>
      <c r="I16" s="60"/>
      <c r="J16" s="60"/>
      <c r="N16" s="57" t="s">
        <v>18</v>
      </c>
      <c r="O16" s="58"/>
      <c r="P16" s="41">
        <f>VLOOKUP($P$13,Summary!$B:$AB,MATCH(Note!N16,Summary!$B$2:$AB$2,),)</f>
        <v>47.8</v>
      </c>
      <c r="Q16" s="14">
        <f>VLOOKUP($Q$13,Summary!$B:$AB,MATCH(Note!N16,Summary!$B$2:$AB$2,),)</f>
        <v>49.3</v>
      </c>
      <c r="R16" s="44">
        <v>-0.39999999999999858</v>
      </c>
      <c r="S16" s="34">
        <v>0.24099999999999999</v>
      </c>
    </row>
    <row r="17" spans="2:19" x14ac:dyDescent="0.2">
      <c r="B17" s="60"/>
      <c r="C17" s="60"/>
      <c r="D17" s="60"/>
      <c r="E17" s="60"/>
      <c r="F17" s="60"/>
      <c r="G17" s="49" t="s">
        <v>19</v>
      </c>
      <c r="N17" s="57" t="s">
        <v>20</v>
      </c>
      <c r="O17" s="58"/>
      <c r="P17" s="41">
        <f>VLOOKUP($P$13,Summary!$B:$AB,MATCH(Note!N17,Summary!$B$2:$AB$2,),)</f>
        <v>48.4</v>
      </c>
      <c r="Q17" s="14">
        <f>VLOOKUP($Q$13,Summary!$B:$AB,MATCH(Note!N17,Summary!$B$2:$AB$2,),)</f>
        <v>49.3</v>
      </c>
      <c r="R17" s="44">
        <v>1</v>
      </c>
      <c r="S17" s="34">
        <v>0.152</v>
      </c>
    </row>
    <row r="18" spans="2:19" x14ac:dyDescent="0.2">
      <c r="B18" s="60"/>
      <c r="C18" s="60"/>
      <c r="D18" s="60"/>
      <c r="E18" s="60"/>
      <c r="F18" s="60"/>
      <c r="N18" s="57" t="s">
        <v>21</v>
      </c>
      <c r="O18" s="58"/>
      <c r="P18" s="41">
        <f>VLOOKUP($P$13,Summary!$B:$AB,MATCH(Note!N18,Summary!$B$2:$AB$2,),)</f>
        <v>48.6</v>
      </c>
      <c r="Q18" s="14">
        <f>VLOOKUP($Q$13,Summary!$B:$AB,MATCH(Note!N18,Summary!$B$2:$AB$2,),)</f>
        <v>48.8</v>
      </c>
      <c r="R18" s="44">
        <v>-2.7999999999999972</v>
      </c>
      <c r="S18" s="34">
        <v>0.156</v>
      </c>
    </row>
    <row r="19" spans="2:19" x14ac:dyDescent="0.2">
      <c r="N19" s="57" t="s">
        <v>22</v>
      </c>
      <c r="O19" s="58"/>
      <c r="P19" s="41">
        <f>VLOOKUP($P$13,Summary!$B:$AB,MATCH(Note!N19,Summary!$B$2:$AB$2,),)</f>
        <v>53.2</v>
      </c>
      <c r="Q19" s="14">
        <f>VLOOKUP($Q$13,Summary!$B:$AB,MATCH(Note!N19,Summary!$B$2:$AB$2,),)</f>
        <v>52.2</v>
      </c>
      <c r="R19" s="44">
        <v>-0.89999999999999858</v>
      </c>
      <c r="S19" s="34">
        <v>0.06</v>
      </c>
    </row>
    <row r="20" spans="2:19" x14ac:dyDescent="0.2">
      <c r="B20" s="60"/>
      <c r="C20" s="60"/>
      <c r="D20" s="60"/>
      <c r="E20" s="60"/>
      <c r="F20" s="60"/>
      <c r="G20" s="60"/>
      <c r="H20" s="60"/>
      <c r="I20" s="60"/>
      <c r="J20" s="60"/>
      <c r="N20" s="57" t="s">
        <v>23</v>
      </c>
      <c r="O20" s="58"/>
      <c r="P20" s="41">
        <f>VLOOKUP($P$13,Summary!$B:$AB,MATCH(Note!N20,Summary!$B$2:$AB$2,),)</f>
        <v>46.5</v>
      </c>
      <c r="Q20" s="14">
        <f>VLOOKUP($Q$13,Summary!$B:$AB,MATCH(Note!N20,Summary!$B$2:$AB$2,),)</f>
        <v>45</v>
      </c>
      <c r="R20" s="44">
        <v>-4</v>
      </c>
      <c r="S20" s="34">
        <v>4.5642432442496987E-2</v>
      </c>
    </row>
    <row r="21" spans="2:19" x14ac:dyDescent="0.2">
      <c r="B21" s="60"/>
      <c r="C21" s="60"/>
      <c r="D21" s="60"/>
      <c r="E21" s="60"/>
      <c r="F21" s="60"/>
      <c r="G21" s="60"/>
      <c r="H21" s="60"/>
      <c r="I21" s="60"/>
      <c r="J21" s="60"/>
      <c r="N21" s="57" t="s">
        <v>24</v>
      </c>
      <c r="O21" s="58"/>
      <c r="P21" s="41">
        <f>VLOOKUP($P$13,Summary!$B:$AB,MATCH(Note!N21,Summary!$B$2:$AB$2,),)</f>
        <v>51.7</v>
      </c>
      <c r="Q21" s="14">
        <f>VLOOKUP($Q$13,Summary!$B:$AB,MATCH(Note!N21,Summary!$B$2:$AB$2,),)</f>
        <v>52.9</v>
      </c>
      <c r="R21" s="44">
        <v>-0.39999999999999858</v>
      </c>
      <c r="S21" s="34">
        <v>3.2062660592594432E-2</v>
      </c>
    </row>
    <row r="22" spans="2:19" x14ac:dyDescent="0.2">
      <c r="B22" s="60"/>
      <c r="C22" s="60"/>
      <c r="D22" s="60"/>
      <c r="E22" s="60"/>
      <c r="F22" s="60"/>
      <c r="G22" s="60"/>
      <c r="H22" s="60"/>
      <c r="I22" s="60"/>
      <c r="J22" s="60"/>
      <c r="N22" s="57" t="s">
        <v>25</v>
      </c>
      <c r="O22" s="58"/>
      <c r="P22" s="41">
        <f>VLOOKUP($P$13,Summary!$B:$AB,MATCH(Note!N22,Summary!$B$2:$AB$2,),)</f>
        <v>48.8</v>
      </c>
      <c r="Q22" s="14">
        <f>VLOOKUP($Q$13,Summary!$B:$AB,MATCH(Note!N22,Summary!$B$2:$AB$2,),)</f>
        <v>50</v>
      </c>
      <c r="R22" s="44">
        <v>-4.8999999999999986</v>
      </c>
      <c r="S22" s="34">
        <v>3.3000000000000002E-2</v>
      </c>
    </row>
    <row r="23" spans="2:19" x14ac:dyDescent="0.2">
      <c r="B23" s="60"/>
      <c r="C23" s="60"/>
      <c r="D23" s="60"/>
      <c r="E23" s="60"/>
      <c r="F23" s="60"/>
      <c r="N23" s="57" t="s">
        <v>26</v>
      </c>
      <c r="O23" s="58"/>
      <c r="P23" s="41">
        <f>VLOOKUP($P$13,Summary!$B:$AB,MATCH(Note!N23,Summary!$B$2:$AB$2,),)</f>
        <v>46.4</v>
      </c>
      <c r="Q23" s="14">
        <f>VLOOKUP($Q$13,Summary!$B:$AB,MATCH(Note!N23,Summary!$B$2:$AB$2,),)</f>
        <v>48.8</v>
      </c>
      <c r="R23" s="44">
        <v>-2.899999999999999</v>
      </c>
      <c r="S23" s="34">
        <v>2.4E-2</v>
      </c>
    </row>
    <row r="24" spans="2:19" x14ac:dyDescent="0.2">
      <c r="B24" s="60"/>
      <c r="C24" s="60"/>
      <c r="D24" s="60"/>
      <c r="E24" s="60"/>
      <c r="F24" s="60"/>
      <c r="N24" s="57" t="s">
        <v>27</v>
      </c>
      <c r="O24" s="58"/>
      <c r="P24" s="41">
        <f>VLOOKUP($P$13,Summary!$B:$AB,MATCH(Note!N24,Summary!$B$2:$AB$2,),)</f>
        <v>49.7</v>
      </c>
      <c r="Q24" s="14">
        <f>VLOOKUP($Q$13,Summary!$B:$AB,MATCH(Note!N24,Summary!$B$2:$AB$2,),)</f>
        <v>48.5</v>
      </c>
      <c r="R24" s="44">
        <v>-4</v>
      </c>
      <c r="S24" s="34">
        <v>1.6273382902396941E-2</v>
      </c>
    </row>
    <row r="25" spans="2:19" x14ac:dyDescent="0.2">
      <c r="N25" s="57" t="s">
        <v>28</v>
      </c>
      <c r="O25" s="58"/>
      <c r="P25" s="41">
        <f>VLOOKUP($P$13,Summary!$B:$AB,MATCH(Note!N25,Summary!$B$2:$AB$2,),)</f>
        <v>54</v>
      </c>
      <c r="Q25" s="14">
        <f>VLOOKUP($Q$13,Summary!$B:$AB,MATCH(Note!N25,Summary!$B$2:$AB$2,),)</f>
        <v>51.9</v>
      </c>
      <c r="R25" s="44">
        <v>0</v>
      </c>
      <c r="S25" s="34">
        <v>2.5521033750822361E-2</v>
      </c>
    </row>
    <row r="26" spans="2:19" x14ac:dyDescent="0.2">
      <c r="N26" s="57" t="s">
        <v>29</v>
      </c>
      <c r="O26" s="58"/>
      <c r="P26" s="41">
        <f>VLOOKUP($P$13,Summary!$B:$AB,MATCH(Note!N26,Summary!$B$2:$AB$2,),)</f>
        <v>43.7</v>
      </c>
      <c r="Q26" s="14">
        <f>VLOOKUP($Q$13,Summary!$B:$AB,MATCH(Note!N26,Summary!$B$2:$AB$2,),)</f>
        <v>51.1</v>
      </c>
      <c r="R26" s="44">
        <v>2.399999999999999</v>
      </c>
      <c r="S26" s="34">
        <v>1.9587641662839338E-2</v>
      </c>
    </row>
    <row r="27" spans="2:19" x14ac:dyDescent="0.2">
      <c r="N27" s="57" t="s">
        <v>30</v>
      </c>
      <c r="O27" s="58"/>
      <c r="P27" s="41">
        <f>VLOOKUP($P$13,Summary!$B:$AB,MATCH(Note!N27,Summary!$B$2:$AB$2,),)</f>
        <v>55.1</v>
      </c>
      <c r="Q27" s="14">
        <f>VLOOKUP($Q$13,Summary!$B:$AB,MATCH(Note!N27,Summary!$B$2:$AB$2,),)</f>
        <v>54.3</v>
      </c>
      <c r="R27" s="44">
        <v>-2.600000000000001</v>
      </c>
      <c r="S27" s="34">
        <v>3.2286093767455719E-2</v>
      </c>
    </row>
    <row r="28" spans="2:19" x14ac:dyDescent="0.2">
      <c r="N28" s="57" t="s">
        <v>31</v>
      </c>
      <c r="O28" s="58"/>
      <c r="P28" s="41">
        <f>VLOOKUP($P$13,Summary!$B:$AB,MATCH(Note!N28,Summary!$B$2:$AB$2,),)</f>
        <v>47.7</v>
      </c>
      <c r="Q28" s="14">
        <f>VLOOKUP($Q$13,Summary!$B:$AB,MATCH(Note!N28,Summary!$B$2:$AB$2,),)</f>
        <v>48</v>
      </c>
      <c r="R28" s="44">
        <v>2</v>
      </c>
      <c r="S28" s="34">
        <v>1.6422338352304462E-2</v>
      </c>
    </row>
    <row r="29" spans="2:19" ht="16" customHeight="1" thickBot="1" x14ac:dyDescent="0.25">
      <c r="N29" s="70" t="s">
        <v>32</v>
      </c>
      <c r="O29" s="71"/>
      <c r="P29" s="42">
        <f>VLOOKUP($P$13,Summary!$B:$AB,MATCH(Note!N29,Summary!$B$2:$AB$2,),)</f>
        <v>53.2</v>
      </c>
      <c r="Q29" s="35">
        <f>VLOOKUP($Q$13,Summary!$B:$AB,MATCH(Note!N29,Summary!$B$2:$AB$2,),)</f>
        <v>54.1</v>
      </c>
      <c r="R29" s="45">
        <v>-3.899999999999999</v>
      </c>
      <c r="S29" s="36">
        <v>4.1459266890927372E-3</v>
      </c>
    </row>
    <row r="32" spans="2:19" x14ac:dyDescent="0.2">
      <c r="B32" s="68"/>
      <c r="C32" s="60"/>
      <c r="D32" s="60"/>
      <c r="E32" s="60"/>
      <c r="F32" s="60"/>
      <c r="G32" s="60"/>
      <c r="H32" s="60"/>
      <c r="I32" s="60"/>
      <c r="J32" s="60"/>
      <c r="K32" s="60"/>
      <c r="L32" s="60"/>
      <c r="M32" s="60"/>
      <c r="N32" s="60"/>
      <c r="O32" s="60"/>
      <c r="P32" s="60"/>
      <c r="Q32" s="60"/>
      <c r="R32" s="60"/>
      <c r="S32" s="60"/>
    </row>
    <row r="33" spans="2:19" x14ac:dyDescent="0.2">
      <c r="B33" s="66"/>
      <c r="C33" s="60"/>
      <c r="D33" s="60"/>
      <c r="E33" s="60"/>
      <c r="F33" s="60"/>
      <c r="G33" s="60"/>
      <c r="H33" s="60"/>
      <c r="I33" s="60"/>
      <c r="J33" s="60"/>
      <c r="K33" s="60"/>
      <c r="L33" s="60"/>
      <c r="M33" s="60"/>
      <c r="N33" s="60"/>
      <c r="O33" s="60"/>
      <c r="P33" s="60"/>
      <c r="Q33" s="60"/>
      <c r="R33" s="60"/>
      <c r="S33" s="60"/>
    </row>
    <row r="34" spans="2:19" x14ac:dyDescent="0.2">
      <c r="B34" s="69"/>
      <c r="C34" s="60"/>
      <c r="D34" s="60"/>
      <c r="E34" s="60"/>
      <c r="F34" s="60"/>
      <c r="G34" s="60"/>
      <c r="H34" s="60"/>
      <c r="I34" s="60"/>
      <c r="J34" s="60"/>
      <c r="K34" s="60"/>
      <c r="L34" s="60"/>
      <c r="M34" s="60"/>
      <c r="N34" s="60"/>
      <c r="O34" s="60"/>
      <c r="P34" s="60"/>
      <c r="Q34" s="60"/>
      <c r="R34" s="60"/>
      <c r="S34" s="60"/>
    </row>
  </sheetData>
  <mergeCells count="41">
    <mergeCell ref="N25:O25"/>
    <mergeCell ref="B32:S32"/>
    <mergeCell ref="B34:S34"/>
    <mergeCell ref="B22:F22"/>
    <mergeCell ref="G22:J22"/>
    <mergeCell ref="N22:O22"/>
    <mergeCell ref="B23:F23"/>
    <mergeCell ref="N23:O23"/>
    <mergeCell ref="B24:F24"/>
    <mergeCell ref="N24:O24"/>
    <mergeCell ref="N26:O26"/>
    <mergeCell ref="N27:O27"/>
    <mergeCell ref="N28:O28"/>
    <mergeCell ref="B33:S33"/>
    <mergeCell ref="N29:O29"/>
    <mergeCell ref="N19:O19"/>
    <mergeCell ref="B20:F20"/>
    <mergeCell ref="G20:J20"/>
    <mergeCell ref="N20:O20"/>
    <mergeCell ref="B21:F21"/>
    <mergeCell ref="G21:J21"/>
    <mergeCell ref="N21:O21"/>
    <mergeCell ref="B18:F18"/>
    <mergeCell ref="B12:F12"/>
    <mergeCell ref="G12:J12"/>
    <mergeCell ref="B14:F14"/>
    <mergeCell ref="G14:J14"/>
    <mergeCell ref="G15:J15"/>
    <mergeCell ref="B16:F16"/>
    <mergeCell ref="G16:J16"/>
    <mergeCell ref="B17:F17"/>
    <mergeCell ref="B1:J2"/>
    <mergeCell ref="B3:J3"/>
    <mergeCell ref="B5:J5"/>
    <mergeCell ref="B7:J7"/>
    <mergeCell ref="B10:J10"/>
    <mergeCell ref="N10:S10"/>
    <mergeCell ref="N15:O15"/>
    <mergeCell ref="N16:O16"/>
    <mergeCell ref="N17:O17"/>
    <mergeCell ref="N18:O18"/>
  </mergeCells>
  <conditionalFormatting sqref="R15:R29">
    <cfRule type="cellIs" dxfId="9" priority="7" operator="lessThan">
      <formula>0</formula>
    </cfRule>
    <cfRule type="cellIs" dxfId="8" priority="8" operator="greaterThan">
      <formula>0</formula>
    </cfRule>
  </conditionalFormatting>
  <conditionalFormatting sqref="S16:S29">
    <cfRule type="dataBar" priority="199">
      <dataBar>
        <cfvo type="min"/>
        <cfvo type="max"/>
        <color rgb="FF638EC6"/>
      </dataBar>
    </cfRule>
  </conditionalFormatting>
  <hyperlinks>
    <hyperlink ref="B16" r:id="rId1" xr:uid="{00000000-0004-0000-0000-00000000000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theme="6"/>
  </sheetPr>
  <dimension ref="A1:V185"/>
  <sheetViews>
    <sheetView zoomScale="170" zoomScaleNormal="170" workbookViewId="0">
      <pane ySplit="1" topLeftCell="A172" activePane="bottomLeft" state="frozen"/>
      <selection activeCell="AD109" sqref="AD109"/>
      <selection pane="bottomLeft" activeCell="AD109" sqref="AD109"/>
    </sheetView>
  </sheetViews>
  <sheetFormatPr baseColWidth="10" defaultRowHeight="15" x14ac:dyDescent="0.2"/>
  <cols>
    <col min="1" max="9" width="10.83203125" style="38" customWidth="1"/>
    <col min="10" max="16384" width="10.83203125" style="38"/>
  </cols>
  <sheetData>
    <row r="1" spans="1:22" x14ac:dyDescent="0.2">
      <c r="A1" t="s">
        <v>33</v>
      </c>
      <c r="B1" t="s">
        <v>31</v>
      </c>
      <c r="C1" t="s">
        <v>28</v>
      </c>
      <c r="D1" t="s">
        <v>34</v>
      </c>
      <c r="E1" t="s">
        <v>35</v>
      </c>
      <c r="F1" t="s">
        <v>24</v>
      </c>
      <c r="G1" t="s">
        <v>23</v>
      </c>
      <c r="H1" t="s">
        <v>9</v>
      </c>
      <c r="I1" t="s">
        <v>30</v>
      </c>
      <c r="J1" t="s">
        <v>32</v>
      </c>
      <c r="K1" t="s">
        <v>36</v>
      </c>
      <c r="L1" t="s">
        <v>37</v>
      </c>
      <c r="M1" t="s">
        <v>38</v>
      </c>
      <c r="N1" t="s">
        <v>39</v>
      </c>
      <c r="O1" t="s">
        <v>40</v>
      </c>
      <c r="P1" t="s">
        <v>29</v>
      </c>
      <c r="Q1" t="s">
        <v>27</v>
      </c>
      <c r="R1" t="s">
        <v>41</v>
      </c>
      <c r="S1" t="s">
        <v>42</v>
      </c>
      <c r="T1" t="s">
        <v>43</v>
      </c>
      <c r="U1" t="s">
        <v>44</v>
      </c>
      <c r="V1" t="s">
        <v>45</v>
      </c>
    </row>
    <row r="2" spans="1:22" x14ac:dyDescent="0.2">
      <c r="A2" s="51">
        <v>39264</v>
      </c>
      <c r="B2"/>
      <c r="C2"/>
      <c r="D2"/>
      <c r="E2">
        <v>58.3</v>
      </c>
      <c r="F2"/>
      <c r="G2">
        <v>58.9</v>
      </c>
      <c r="H2"/>
      <c r="I2"/>
      <c r="J2"/>
      <c r="K2"/>
      <c r="L2"/>
      <c r="M2"/>
      <c r="N2"/>
      <c r="O2"/>
      <c r="P2"/>
      <c r="Q2"/>
      <c r="R2"/>
      <c r="S2"/>
      <c r="T2"/>
      <c r="U2"/>
      <c r="V2"/>
    </row>
    <row r="3" spans="1:22" x14ac:dyDescent="0.2">
      <c r="A3" s="51">
        <v>39295</v>
      </c>
      <c r="B3"/>
      <c r="C3"/>
      <c r="D3"/>
      <c r="E3">
        <v>58</v>
      </c>
      <c r="F3"/>
      <c r="G3">
        <v>59.8</v>
      </c>
      <c r="H3"/>
      <c r="I3"/>
      <c r="J3"/>
      <c r="K3"/>
      <c r="L3"/>
      <c r="M3"/>
      <c r="N3"/>
      <c r="O3"/>
      <c r="P3"/>
      <c r="Q3"/>
      <c r="R3"/>
      <c r="S3"/>
      <c r="T3"/>
      <c r="U3"/>
      <c r="V3"/>
    </row>
    <row r="4" spans="1:22" x14ac:dyDescent="0.2">
      <c r="A4" s="51">
        <v>39326</v>
      </c>
      <c r="B4"/>
      <c r="C4"/>
      <c r="D4"/>
      <c r="E4">
        <v>54.2</v>
      </c>
      <c r="F4"/>
      <c r="G4">
        <v>53.1</v>
      </c>
      <c r="H4"/>
      <c r="I4"/>
      <c r="J4"/>
      <c r="K4"/>
      <c r="L4"/>
      <c r="M4"/>
      <c r="N4"/>
      <c r="O4"/>
      <c r="P4"/>
      <c r="Q4"/>
      <c r="R4"/>
      <c r="S4"/>
      <c r="T4"/>
      <c r="U4"/>
      <c r="V4"/>
    </row>
    <row r="5" spans="1:22" x14ac:dyDescent="0.2">
      <c r="A5" s="51">
        <v>39356</v>
      </c>
      <c r="B5"/>
      <c r="C5"/>
      <c r="D5"/>
      <c r="E5">
        <v>55.8</v>
      </c>
      <c r="F5"/>
      <c r="G5">
        <v>55.1</v>
      </c>
      <c r="H5"/>
      <c r="I5"/>
      <c r="J5"/>
      <c r="K5"/>
      <c r="L5"/>
      <c r="M5"/>
      <c r="N5"/>
      <c r="O5"/>
      <c r="P5"/>
      <c r="Q5"/>
      <c r="R5"/>
      <c r="S5"/>
      <c r="T5"/>
      <c r="U5"/>
      <c r="V5"/>
    </row>
    <row r="6" spans="1:22" x14ac:dyDescent="0.2">
      <c r="A6" s="51">
        <v>39387</v>
      </c>
      <c r="B6"/>
      <c r="C6"/>
      <c r="D6"/>
      <c r="E6">
        <v>54.1</v>
      </c>
      <c r="F6"/>
      <c r="G6">
        <v>53.1</v>
      </c>
      <c r="H6"/>
      <c r="I6"/>
      <c r="J6"/>
      <c r="K6"/>
      <c r="L6"/>
      <c r="M6"/>
      <c r="N6"/>
      <c r="O6"/>
      <c r="P6"/>
      <c r="Q6"/>
      <c r="R6"/>
      <c r="S6"/>
      <c r="T6"/>
      <c r="U6"/>
      <c r="V6"/>
    </row>
    <row r="7" spans="1:22" x14ac:dyDescent="0.2">
      <c r="A7" s="51">
        <v>39417</v>
      </c>
      <c r="B7"/>
      <c r="C7"/>
      <c r="D7"/>
      <c r="E7">
        <v>53.1</v>
      </c>
      <c r="F7"/>
      <c r="G7">
        <v>51.5</v>
      </c>
      <c r="H7"/>
      <c r="I7"/>
      <c r="J7"/>
      <c r="K7"/>
      <c r="L7"/>
      <c r="M7"/>
      <c r="N7"/>
      <c r="O7"/>
      <c r="P7"/>
      <c r="Q7"/>
      <c r="R7"/>
      <c r="S7"/>
      <c r="T7"/>
      <c r="U7"/>
      <c r="V7"/>
    </row>
    <row r="8" spans="1:22" x14ac:dyDescent="0.2">
      <c r="A8" s="51">
        <v>39448</v>
      </c>
      <c r="B8"/>
      <c r="C8"/>
      <c r="D8"/>
      <c r="E8">
        <v>50.6</v>
      </c>
      <c r="F8"/>
      <c r="G8">
        <v>49.2</v>
      </c>
      <c r="H8"/>
      <c r="I8"/>
      <c r="J8"/>
      <c r="K8"/>
      <c r="L8"/>
      <c r="M8"/>
      <c r="N8"/>
      <c r="O8"/>
      <c r="P8"/>
      <c r="Q8"/>
      <c r="R8"/>
      <c r="S8"/>
      <c r="T8"/>
      <c r="U8"/>
      <c r="V8"/>
    </row>
    <row r="9" spans="1:22" x14ac:dyDescent="0.2">
      <c r="A9" s="51">
        <v>39479</v>
      </c>
      <c r="B9"/>
      <c r="C9"/>
      <c r="D9"/>
      <c r="E9">
        <v>51.7</v>
      </c>
      <c r="F9"/>
      <c r="G9">
        <v>52.2</v>
      </c>
      <c r="H9"/>
      <c r="I9"/>
      <c r="J9"/>
      <c r="K9"/>
      <c r="L9"/>
      <c r="M9"/>
      <c r="N9"/>
      <c r="O9"/>
      <c r="P9"/>
      <c r="Q9"/>
      <c r="R9"/>
      <c r="S9"/>
      <c r="T9"/>
      <c r="U9"/>
      <c r="V9"/>
    </row>
    <row r="10" spans="1:22" x14ac:dyDescent="0.2">
      <c r="A10" s="51">
        <v>39508</v>
      </c>
      <c r="B10"/>
      <c r="C10"/>
      <c r="D10"/>
      <c r="E10">
        <v>51.6</v>
      </c>
      <c r="F10"/>
      <c r="G10">
        <v>51.8</v>
      </c>
      <c r="H10"/>
      <c r="I10"/>
      <c r="J10"/>
      <c r="K10"/>
      <c r="L10"/>
      <c r="M10"/>
      <c r="N10"/>
      <c r="O10"/>
      <c r="P10"/>
      <c r="Q10"/>
      <c r="R10"/>
      <c r="S10"/>
      <c r="T10"/>
      <c r="U10"/>
      <c r="V10"/>
    </row>
    <row r="11" spans="1:22" x14ac:dyDescent="0.2">
      <c r="A11" s="51">
        <v>39539</v>
      </c>
      <c r="B11"/>
      <c r="C11"/>
      <c r="D11"/>
      <c r="E11">
        <v>52</v>
      </c>
      <c r="F11"/>
      <c r="G11">
        <v>54.9</v>
      </c>
      <c r="H11"/>
      <c r="I11"/>
      <c r="J11"/>
      <c r="K11"/>
      <c r="L11"/>
      <c r="M11"/>
      <c r="N11"/>
      <c r="O11"/>
      <c r="P11"/>
      <c r="Q11"/>
      <c r="R11"/>
      <c r="S11"/>
      <c r="T11"/>
      <c r="U11"/>
      <c r="V11"/>
    </row>
    <row r="12" spans="1:22" x14ac:dyDescent="0.2">
      <c r="A12" s="51">
        <v>39569</v>
      </c>
      <c r="B12"/>
      <c r="C12"/>
      <c r="D12"/>
      <c r="E12">
        <v>50.6</v>
      </c>
      <c r="F12"/>
      <c r="G12">
        <v>53.8</v>
      </c>
      <c r="H12"/>
      <c r="I12"/>
      <c r="J12"/>
      <c r="K12"/>
      <c r="L12"/>
      <c r="M12"/>
      <c r="N12"/>
      <c r="O12"/>
      <c r="P12"/>
      <c r="Q12"/>
      <c r="R12"/>
      <c r="S12"/>
      <c r="T12"/>
      <c r="U12"/>
      <c r="V12"/>
    </row>
    <row r="13" spans="1:22" x14ac:dyDescent="0.2">
      <c r="A13" s="51">
        <v>39600</v>
      </c>
      <c r="B13"/>
      <c r="C13"/>
      <c r="D13"/>
      <c r="E13">
        <v>49.1</v>
      </c>
      <c r="F13"/>
      <c r="G13">
        <v>52.1</v>
      </c>
      <c r="H13"/>
      <c r="I13"/>
      <c r="J13"/>
      <c r="K13"/>
      <c r="L13"/>
      <c r="M13"/>
      <c r="N13"/>
      <c r="O13"/>
      <c r="P13"/>
      <c r="Q13"/>
      <c r="R13"/>
      <c r="S13"/>
      <c r="T13"/>
      <c r="U13"/>
      <c r="V13"/>
    </row>
    <row r="14" spans="1:22" x14ac:dyDescent="0.2">
      <c r="A14" s="51">
        <v>39630</v>
      </c>
      <c r="B14"/>
      <c r="C14"/>
      <c r="D14"/>
      <c r="E14">
        <v>48.3</v>
      </c>
      <c r="F14"/>
      <c r="G14">
        <v>53.1</v>
      </c>
      <c r="H14"/>
      <c r="I14"/>
      <c r="J14"/>
      <c r="K14"/>
      <c r="L14"/>
      <c r="M14"/>
      <c r="N14"/>
      <c r="O14"/>
      <c r="P14"/>
      <c r="Q14"/>
      <c r="R14"/>
      <c r="S14"/>
      <c r="T14"/>
      <c r="U14"/>
      <c r="V14"/>
    </row>
    <row r="15" spans="1:22" x14ac:dyDescent="0.2">
      <c r="A15" s="51">
        <v>39661</v>
      </c>
      <c r="B15"/>
      <c r="C15"/>
      <c r="D15"/>
      <c r="E15">
        <v>48.5</v>
      </c>
      <c r="F15">
        <v>48</v>
      </c>
      <c r="G15">
        <v>51.4</v>
      </c>
      <c r="H15"/>
      <c r="I15"/>
      <c r="J15"/>
      <c r="K15"/>
      <c r="L15"/>
      <c r="M15"/>
      <c r="N15"/>
      <c r="O15"/>
      <c r="P15"/>
      <c r="Q15"/>
      <c r="R15"/>
      <c r="S15"/>
      <c r="T15"/>
      <c r="U15"/>
      <c r="V15"/>
    </row>
    <row r="16" spans="1:22" x14ac:dyDescent="0.2">
      <c r="A16" s="51">
        <v>39692</v>
      </c>
      <c r="B16"/>
      <c r="C16"/>
      <c r="D16"/>
      <c r="E16">
        <v>48.4</v>
      </c>
      <c r="F16">
        <v>50.1</v>
      </c>
      <c r="G16">
        <v>50.2</v>
      </c>
      <c r="H16"/>
      <c r="I16"/>
      <c r="J16"/>
      <c r="K16"/>
      <c r="L16"/>
      <c r="M16"/>
      <c r="N16"/>
      <c r="O16"/>
      <c r="P16"/>
      <c r="Q16"/>
      <c r="R16"/>
      <c r="S16"/>
      <c r="T16"/>
      <c r="U16"/>
      <c r="V16"/>
    </row>
    <row r="17" spans="1:22" x14ac:dyDescent="0.2">
      <c r="A17" s="51">
        <v>39722</v>
      </c>
      <c r="B17"/>
      <c r="C17"/>
      <c r="D17"/>
      <c r="E17">
        <v>45.8</v>
      </c>
      <c r="F17">
        <v>47.5</v>
      </c>
      <c r="G17">
        <v>48.3</v>
      </c>
      <c r="H17"/>
      <c r="I17"/>
      <c r="J17"/>
      <c r="K17"/>
      <c r="L17"/>
      <c r="M17"/>
      <c r="N17"/>
      <c r="O17"/>
      <c r="P17"/>
      <c r="Q17"/>
      <c r="R17"/>
      <c r="S17"/>
      <c r="T17"/>
      <c r="U17"/>
      <c r="V17"/>
    </row>
    <row r="18" spans="1:22" x14ac:dyDescent="0.2">
      <c r="A18" s="51">
        <v>39753</v>
      </c>
      <c r="B18"/>
      <c r="C18"/>
      <c r="D18"/>
      <c r="E18">
        <v>42.5</v>
      </c>
      <c r="F18">
        <v>46.2</v>
      </c>
      <c r="G18">
        <v>45.1</v>
      </c>
      <c r="H18"/>
      <c r="I18"/>
      <c r="J18"/>
      <c r="K18"/>
      <c r="L18"/>
      <c r="M18"/>
      <c r="N18"/>
      <c r="O18"/>
      <c r="P18"/>
      <c r="Q18"/>
      <c r="R18"/>
      <c r="S18"/>
      <c r="T18"/>
      <c r="U18"/>
      <c r="V18"/>
    </row>
    <row r="19" spans="1:22" x14ac:dyDescent="0.2">
      <c r="A19" s="51">
        <v>39783</v>
      </c>
      <c r="B19"/>
      <c r="C19"/>
      <c r="D19"/>
      <c r="E19">
        <v>42.3</v>
      </c>
      <c r="F19">
        <v>44.2</v>
      </c>
      <c r="G19">
        <v>43.1</v>
      </c>
      <c r="H19"/>
      <c r="I19"/>
      <c r="J19"/>
      <c r="K19"/>
      <c r="L19"/>
      <c r="M19"/>
      <c r="N19"/>
      <c r="O19"/>
      <c r="P19"/>
      <c r="Q19"/>
      <c r="R19"/>
      <c r="S19"/>
      <c r="T19"/>
      <c r="U19"/>
      <c r="V19"/>
    </row>
    <row r="20" spans="1:22" x14ac:dyDescent="0.2">
      <c r="A20" s="51">
        <v>39814</v>
      </c>
      <c r="B20"/>
      <c r="C20"/>
      <c r="D20"/>
      <c r="E20">
        <v>42.2</v>
      </c>
      <c r="F20">
        <v>42.6</v>
      </c>
      <c r="G20">
        <v>45.2</v>
      </c>
      <c r="H20"/>
      <c r="I20"/>
      <c r="J20"/>
      <c r="K20"/>
      <c r="L20"/>
      <c r="M20"/>
      <c r="N20"/>
      <c r="O20"/>
      <c r="P20"/>
      <c r="Q20"/>
      <c r="R20"/>
      <c r="S20"/>
      <c r="T20"/>
      <c r="U20"/>
      <c r="V20"/>
    </row>
    <row r="21" spans="1:22" x14ac:dyDescent="0.2">
      <c r="A21" s="51">
        <v>39845</v>
      </c>
      <c r="B21"/>
      <c r="C21"/>
      <c r="D21"/>
      <c r="E21">
        <v>39.200000000000003</v>
      </c>
      <c r="F21">
        <v>40.200000000000003</v>
      </c>
      <c r="G21">
        <v>41.3</v>
      </c>
      <c r="H21"/>
      <c r="I21"/>
      <c r="J21"/>
      <c r="K21"/>
      <c r="L21"/>
      <c r="M21"/>
      <c r="N21"/>
      <c r="O21"/>
      <c r="P21"/>
      <c r="Q21"/>
      <c r="R21"/>
      <c r="S21"/>
      <c r="T21"/>
      <c r="U21"/>
      <c r="V21"/>
    </row>
    <row r="22" spans="1:22" x14ac:dyDescent="0.2">
      <c r="A22" s="51">
        <v>39873</v>
      </c>
      <c r="B22"/>
      <c r="C22"/>
      <c r="D22"/>
      <c r="E22">
        <v>40.9</v>
      </c>
      <c r="F22">
        <v>43.6</v>
      </c>
      <c r="G22">
        <v>42.3</v>
      </c>
      <c r="H22"/>
      <c r="I22"/>
      <c r="J22"/>
      <c r="K22"/>
      <c r="L22"/>
      <c r="M22"/>
      <c r="N22"/>
      <c r="O22"/>
      <c r="P22"/>
      <c r="Q22"/>
      <c r="R22"/>
      <c r="S22"/>
      <c r="T22"/>
      <c r="U22"/>
      <c r="V22"/>
    </row>
    <row r="23" spans="1:22" x14ac:dyDescent="0.2">
      <c r="A23" s="51">
        <v>39904</v>
      </c>
      <c r="B23"/>
      <c r="C23"/>
      <c r="D23"/>
      <c r="E23">
        <v>43.8</v>
      </c>
      <c r="F23">
        <v>46.5</v>
      </c>
      <c r="G23">
        <v>43.8</v>
      </c>
      <c r="H23"/>
      <c r="I23"/>
      <c r="J23"/>
      <c r="K23"/>
      <c r="L23"/>
      <c r="M23"/>
      <c r="N23"/>
      <c r="O23"/>
      <c r="P23"/>
      <c r="Q23"/>
      <c r="R23"/>
      <c r="S23"/>
      <c r="T23"/>
      <c r="U23"/>
      <c r="V23"/>
    </row>
    <row r="24" spans="1:22" x14ac:dyDescent="0.2">
      <c r="A24" s="51">
        <v>39934</v>
      </c>
      <c r="B24"/>
      <c r="C24"/>
      <c r="D24"/>
      <c r="E24">
        <v>44.8</v>
      </c>
      <c r="F24">
        <v>48.3</v>
      </c>
      <c r="G24">
        <v>45.2</v>
      </c>
      <c r="H24"/>
      <c r="I24"/>
      <c r="J24"/>
      <c r="K24"/>
      <c r="L24"/>
      <c r="M24"/>
      <c r="N24"/>
      <c r="O24"/>
      <c r="P24"/>
      <c r="Q24"/>
      <c r="R24"/>
      <c r="S24"/>
      <c r="T24"/>
      <c r="U24"/>
      <c r="V24"/>
    </row>
    <row r="25" spans="1:22" x14ac:dyDescent="0.2">
      <c r="A25" s="51">
        <v>39965</v>
      </c>
      <c r="B25"/>
      <c r="C25"/>
      <c r="D25"/>
      <c r="E25">
        <v>44.7</v>
      </c>
      <c r="F25">
        <v>47.2</v>
      </c>
      <c r="G25">
        <v>45.2</v>
      </c>
      <c r="H25"/>
      <c r="I25"/>
      <c r="J25"/>
      <c r="K25"/>
      <c r="L25"/>
      <c r="M25"/>
      <c r="N25"/>
      <c r="O25"/>
      <c r="P25"/>
      <c r="Q25"/>
      <c r="R25"/>
      <c r="S25"/>
      <c r="T25"/>
      <c r="U25"/>
      <c r="V25"/>
    </row>
    <row r="26" spans="1:22" x14ac:dyDescent="0.2">
      <c r="A26" s="51">
        <v>39995</v>
      </c>
      <c r="B26"/>
      <c r="C26"/>
      <c r="D26"/>
      <c r="E26">
        <v>45.7</v>
      </c>
      <c r="F26">
        <v>45.5</v>
      </c>
      <c r="G26">
        <v>48.1</v>
      </c>
      <c r="H26"/>
      <c r="I26"/>
      <c r="J26"/>
      <c r="K26"/>
      <c r="L26"/>
      <c r="M26"/>
      <c r="N26"/>
      <c r="O26"/>
      <c r="P26"/>
      <c r="Q26"/>
      <c r="R26"/>
      <c r="S26"/>
      <c r="T26"/>
      <c r="U26"/>
      <c r="V26"/>
    </row>
    <row r="27" spans="1:22" x14ac:dyDescent="0.2">
      <c r="A27" s="51">
        <v>40026</v>
      </c>
      <c r="B27"/>
      <c r="C27"/>
      <c r="D27"/>
      <c r="E27">
        <v>49.9</v>
      </c>
      <c r="F27">
        <v>49.3</v>
      </c>
      <c r="G27">
        <v>53.8</v>
      </c>
      <c r="H27"/>
      <c r="I27"/>
      <c r="J27"/>
      <c r="K27"/>
      <c r="L27"/>
      <c r="M27"/>
      <c r="N27"/>
      <c r="O27"/>
      <c r="P27"/>
      <c r="Q27"/>
      <c r="R27"/>
      <c r="S27"/>
      <c r="T27"/>
      <c r="U27"/>
      <c r="V27"/>
    </row>
    <row r="28" spans="1:22" x14ac:dyDescent="0.2">
      <c r="A28" s="51">
        <v>40057</v>
      </c>
      <c r="B28"/>
      <c r="C28"/>
      <c r="D28"/>
      <c r="E28">
        <v>50.9</v>
      </c>
      <c r="F28">
        <v>53.2</v>
      </c>
      <c r="G28">
        <v>52.2</v>
      </c>
      <c r="H28"/>
      <c r="I28"/>
      <c r="J28"/>
      <c r="K28"/>
      <c r="L28"/>
      <c r="M28"/>
      <c r="N28"/>
      <c r="O28"/>
      <c r="P28"/>
      <c r="Q28"/>
      <c r="R28"/>
      <c r="S28"/>
      <c r="T28"/>
      <c r="U28"/>
      <c r="V28"/>
    </row>
    <row r="29" spans="1:22" x14ac:dyDescent="0.2">
      <c r="A29" s="51">
        <v>40087</v>
      </c>
      <c r="B29"/>
      <c r="C29"/>
      <c r="D29"/>
      <c r="E29">
        <v>52.6</v>
      </c>
      <c r="F29">
        <v>57.7</v>
      </c>
      <c r="G29">
        <v>50.7</v>
      </c>
      <c r="H29"/>
      <c r="I29"/>
      <c r="J29"/>
      <c r="K29"/>
      <c r="L29"/>
      <c r="M29"/>
      <c r="N29"/>
      <c r="O29"/>
      <c r="P29"/>
      <c r="Q29"/>
      <c r="R29"/>
      <c r="S29"/>
      <c r="T29"/>
      <c r="U29"/>
      <c r="V29"/>
    </row>
    <row r="30" spans="1:22" x14ac:dyDescent="0.2">
      <c r="A30" s="51">
        <v>40118</v>
      </c>
      <c r="B30"/>
      <c r="C30"/>
      <c r="D30"/>
      <c r="E30">
        <v>53</v>
      </c>
      <c r="F30">
        <v>60.9</v>
      </c>
      <c r="G30">
        <v>51.4</v>
      </c>
      <c r="H30"/>
      <c r="I30"/>
      <c r="J30"/>
      <c r="K30"/>
      <c r="L30"/>
      <c r="M30"/>
      <c r="N30"/>
      <c r="O30"/>
      <c r="P30"/>
      <c r="Q30"/>
      <c r="R30"/>
      <c r="S30"/>
      <c r="T30"/>
      <c r="U30"/>
      <c r="V30"/>
    </row>
    <row r="31" spans="1:22" x14ac:dyDescent="0.2">
      <c r="A31" s="51">
        <v>40148</v>
      </c>
      <c r="B31"/>
      <c r="C31"/>
      <c r="D31"/>
      <c r="E31">
        <v>52.9</v>
      </c>
      <c r="F31">
        <v>58.2</v>
      </c>
      <c r="G31">
        <v>52.1</v>
      </c>
      <c r="H31"/>
      <c r="I31"/>
      <c r="J31"/>
      <c r="K31"/>
      <c r="L31"/>
      <c r="M31"/>
      <c r="N31"/>
      <c r="O31"/>
      <c r="P31"/>
      <c r="Q31"/>
      <c r="R31"/>
      <c r="S31"/>
      <c r="T31"/>
      <c r="U31"/>
      <c r="V31"/>
    </row>
    <row r="32" spans="1:22" x14ac:dyDescent="0.2">
      <c r="A32" s="51">
        <v>40179</v>
      </c>
      <c r="B32"/>
      <c r="C32"/>
      <c r="D32"/>
      <c r="E32">
        <v>52.5</v>
      </c>
      <c r="F32">
        <v>56.3</v>
      </c>
      <c r="G32">
        <v>52.2</v>
      </c>
      <c r="H32"/>
      <c r="I32"/>
      <c r="J32"/>
      <c r="K32"/>
      <c r="L32"/>
      <c r="M32"/>
      <c r="N32"/>
      <c r="O32"/>
      <c r="P32"/>
      <c r="Q32"/>
      <c r="R32"/>
      <c r="S32"/>
      <c r="T32"/>
      <c r="U32"/>
      <c r="V32"/>
    </row>
    <row r="33" spans="1:22" x14ac:dyDescent="0.2">
      <c r="A33" s="51">
        <v>40210</v>
      </c>
      <c r="B33"/>
      <c r="C33"/>
      <c r="D33"/>
      <c r="E33">
        <v>51.8</v>
      </c>
      <c r="F33">
        <v>54.6</v>
      </c>
      <c r="G33">
        <v>51.9</v>
      </c>
      <c r="H33"/>
      <c r="I33"/>
      <c r="J33"/>
      <c r="K33"/>
      <c r="L33"/>
      <c r="M33"/>
      <c r="N33"/>
      <c r="O33"/>
      <c r="P33"/>
      <c r="Q33"/>
      <c r="R33"/>
      <c r="S33"/>
      <c r="T33"/>
      <c r="U33"/>
      <c r="V33"/>
    </row>
    <row r="34" spans="1:22" x14ac:dyDescent="0.2">
      <c r="A34" s="51">
        <v>40238</v>
      </c>
      <c r="B34"/>
      <c r="C34"/>
      <c r="D34"/>
      <c r="E34">
        <v>54.1</v>
      </c>
      <c r="F34">
        <v>53.8</v>
      </c>
      <c r="G34">
        <v>54.9</v>
      </c>
      <c r="H34"/>
      <c r="I34"/>
      <c r="J34"/>
      <c r="K34"/>
      <c r="L34"/>
      <c r="M34"/>
      <c r="N34"/>
      <c r="O34"/>
      <c r="P34"/>
      <c r="Q34"/>
      <c r="R34"/>
      <c r="S34"/>
      <c r="T34"/>
      <c r="U34"/>
      <c r="V34"/>
    </row>
    <row r="35" spans="1:22" x14ac:dyDescent="0.2">
      <c r="A35" s="51">
        <v>40269</v>
      </c>
      <c r="B35"/>
      <c r="C35"/>
      <c r="D35"/>
      <c r="E35">
        <v>55.6</v>
      </c>
      <c r="F35">
        <v>59.2</v>
      </c>
      <c r="G35">
        <v>53.7</v>
      </c>
      <c r="H35"/>
      <c r="I35"/>
      <c r="J35"/>
      <c r="K35"/>
      <c r="L35"/>
      <c r="M35"/>
      <c r="N35"/>
      <c r="O35"/>
      <c r="P35"/>
      <c r="Q35"/>
      <c r="R35"/>
      <c r="S35"/>
      <c r="T35"/>
      <c r="U35"/>
      <c r="V35"/>
    </row>
    <row r="36" spans="1:22" x14ac:dyDescent="0.2">
      <c r="A36" s="51">
        <v>40299</v>
      </c>
      <c r="B36"/>
      <c r="C36"/>
      <c r="D36"/>
      <c r="E36">
        <v>56.2</v>
      </c>
      <c r="F36">
        <v>61.4</v>
      </c>
      <c r="G36">
        <v>54.8</v>
      </c>
      <c r="H36"/>
      <c r="I36"/>
      <c r="J36"/>
      <c r="K36"/>
      <c r="L36"/>
      <c r="M36"/>
      <c r="N36"/>
      <c r="O36"/>
      <c r="P36"/>
      <c r="Q36"/>
      <c r="R36"/>
      <c r="S36"/>
      <c r="T36"/>
      <c r="U36"/>
      <c r="V36"/>
    </row>
    <row r="37" spans="1:22" x14ac:dyDescent="0.2">
      <c r="A37" s="51">
        <v>40330</v>
      </c>
      <c r="B37"/>
      <c r="C37"/>
      <c r="D37"/>
      <c r="E37">
        <v>55.5</v>
      </c>
      <c r="F37">
        <v>60.8</v>
      </c>
      <c r="G37">
        <v>54.8</v>
      </c>
      <c r="H37"/>
      <c r="I37"/>
      <c r="J37"/>
      <c r="K37"/>
      <c r="L37"/>
      <c r="M37"/>
      <c r="N37"/>
      <c r="O37"/>
      <c r="P37"/>
      <c r="Q37"/>
      <c r="R37"/>
      <c r="S37"/>
      <c r="T37"/>
      <c r="U37"/>
      <c r="V37"/>
    </row>
    <row r="38" spans="1:22" x14ac:dyDescent="0.2">
      <c r="A38" s="51">
        <v>40360</v>
      </c>
      <c r="B38"/>
      <c r="C38"/>
      <c r="D38"/>
      <c r="E38">
        <v>55.8</v>
      </c>
      <c r="F38">
        <v>61.1</v>
      </c>
      <c r="G38">
        <v>56.5</v>
      </c>
      <c r="H38"/>
      <c r="I38"/>
      <c r="J38"/>
      <c r="K38"/>
      <c r="L38"/>
      <c r="M38"/>
      <c r="N38"/>
      <c r="O38"/>
      <c r="P38"/>
      <c r="Q38"/>
      <c r="R38"/>
      <c r="S38"/>
      <c r="T38"/>
      <c r="U38"/>
      <c r="V38"/>
    </row>
    <row r="39" spans="1:22" x14ac:dyDescent="0.2">
      <c r="A39" s="51">
        <v>40391</v>
      </c>
      <c r="B39"/>
      <c r="C39"/>
      <c r="D39"/>
      <c r="E39">
        <v>55.9</v>
      </c>
      <c r="F39">
        <v>60.4</v>
      </c>
      <c r="G39">
        <v>57.2</v>
      </c>
      <c r="H39"/>
      <c r="I39"/>
      <c r="J39"/>
      <c r="K39"/>
      <c r="L39"/>
      <c r="M39"/>
      <c r="N39"/>
      <c r="O39"/>
      <c r="P39"/>
      <c r="Q39"/>
      <c r="R39"/>
      <c r="S39"/>
      <c r="T39"/>
      <c r="U39"/>
      <c r="V39"/>
    </row>
    <row r="40" spans="1:22" x14ac:dyDescent="0.2">
      <c r="A40" s="51">
        <v>40422</v>
      </c>
      <c r="B40"/>
      <c r="C40"/>
      <c r="D40"/>
      <c r="E40">
        <v>54.1</v>
      </c>
      <c r="F40">
        <v>58.2</v>
      </c>
      <c r="G40">
        <v>54.9</v>
      </c>
      <c r="H40"/>
      <c r="I40"/>
      <c r="J40"/>
      <c r="K40"/>
      <c r="L40"/>
      <c r="M40"/>
      <c r="N40"/>
      <c r="O40"/>
      <c r="P40"/>
      <c r="Q40"/>
      <c r="R40"/>
      <c r="S40"/>
      <c r="T40"/>
      <c r="U40"/>
      <c r="V40"/>
    </row>
    <row r="41" spans="1:22" x14ac:dyDescent="0.2">
      <c r="A41" s="51">
        <v>40452</v>
      </c>
      <c r="B41">
        <v>50.7</v>
      </c>
      <c r="C41">
        <v>51.8</v>
      </c>
      <c r="D41">
        <v>60.5</v>
      </c>
      <c r="E41">
        <v>53.3</v>
      </c>
      <c r="F41">
        <v>54.8</v>
      </c>
      <c r="G41">
        <v>56</v>
      </c>
      <c r="H41">
        <v>54.6</v>
      </c>
      <c r="I41">
        <v>58.4</v>
      </c>
      <c r="J41">
        <v>50.9</v>
      </c>
      <c r="K41">
        <v>51</v>
      </c>
      <c r="L41">
        <v>47.2</v>
      </c>
      <c r="M41"/>
      <c r="N41"/>
      <c r="O41"/>
      <c r="P41">
        <v>54.7</v>
      </c>
      <c r="Q41">
        <v>46.5</v>
      </c>
      <c r="R41"/>
      <c r="S41"/>
      <c r="T41"/>
      <c r="U41">
        <v>53.2</v>
      </c>
      <c r="V41"/>
    </row>
    <row r="42" spans="1:22" x14ac:dyDescent="0.2">
      <c r="A42" s="51">
        <v>40483</v>
      </c>
      <c r="B42">
        <v>46.2</v>
      </c>
      <c r="C42">
        <v>52.1</v>
      </c>
      <c r="D42">
        <v>53.2</v>
      </c>
      <c r="E42">
        <v>55.4</v>
      </c>
      <c r="F42">
        <v>55</v>
      </c>
      <c r="G42">
        <v>59.2</v>
      </c>
      <c r="H42">
        <v>54.8</v>
      </c>
      <c r="I42">
        <v>61.3</v>
      </c>
      <c r="J42">
        <v>50.8</v>
      </c>
      <c r="K42">
        <v>54.4</v>
      </c>
      <c r="L42">
        <v>49.5</v>
      </c>
      <c r="M42"/>
      <c r="N42"/>
      <c r="O42"/>
      <c r="P42">
        <v>54.1</v>
      </c>
      <c r="Q42">
        <v>48.3</v>
      </c>
      <c r="R42"/>
      <c r="S42"/>
      <c r="T42"/>
      <c r="U42">
        <v>53</v>
      </c>
      <c r="V42"/>
    </row>
    <row r="43" spans="1:22" x14ac:dyDescent="0.2">
      <c r="A43" s="51">
        <v>40513</v>
      </c>
      <c r="B43">
        <v>47.1</v>
      </c>
      <c r="C43">
        <v>50.2</v>
      </c>
      <c r="D43">
        <v>48.1</v>
      </c>
      <c r="E43">
        <v>56.5</v>
      </c>
      <c r="F43">
        <v>57.1</v>
      </c>
      <c r="G43">
        <v>59.5</v>
      </c>
      <c r="H43">
        <v>56.3</v>
      </c>
      <c r="I43">
        <v>62.1</v>
      </c>
      <c r="J43">
        <v>52.1</v>
      </c>
      <c r="K43">
        <v>52.1</v>
      </c>
      <c r="L43">
        <v>50.1</v>
      </c>
      <c r="M43"/>
      <c r="N43"/>
      <c r="O43"/>
      <c r="P43">
        <v>53.4</v>
      </c>
      <c r="Q43">
        <v>49.1</v>
      </c>
      <c r="R43"/>
      <c r="S43"/>
      <c r="T43"/>
      <c r="U43">
        <v>53.9</v>
      </c>
      <c r="V43"/>
    </row>
    <row r="44" spans="1:22" x14ac:dyDescent="0.2">
      <c r="A44" s="51">
        <v>40544</v>
      </c>
      <c r="B44">
        <v>45.5</v>
      </c>
      <c r="C44">
        <v>51.2</v>
      </c>
      <c r="D44">
        <v>46.5</v>
      </c>
      <c r="E44">
        <v>55.9</v>
      </c>
      <c r="F44">
        <v>58.3</v>
      </c>
      <c r="G44">
        <v>60.3</v>
      </c>
      <c r="H44">
        <v>57.1</v>
      </c>
      <c r="I44">
        <v>59.4</v>
      </c>
      <c r="J44">
        <v>53.6</v>
      </c>
      <c r="K44">
        <v>53.5</v>
      </c>
      <c r="L44">
        <v>48.1</v>
      </c>
      <c r="M44"/>
      <c r="N44"/>
      <c r="O44"/>
      <c r="P44">
        <v>52.4</v>
      </c>
      <c r="Q44">
        <v>50.1</v>
      </c>
      <c r="R44"/>
      <c r="S44"/>
      <c r="T44"/>
      <c r="U44">
        <v>54.5</v>
      </c>
      <c r="V44"/>
    </row>
    <row r="45" spans="1:22" x14ac:dyDescent="0.2">
      <c r="A45" s="51">
        <v>40575</v>
      </c>
      <c r="B45">
        <v>48.7</v>
      </c>
      <c r="C45">
        <v>52.7</v>
      </c>
      <c r="D45">
        <v>44.1</v>
      </c>
      <c r="E45">
        <v>56.8</v>
      </c>
      <c r="F45">
        <v>59.7</v>
      </c>
      <c r="G45">
        <v>58.6</v>
      </c>
      <c r="H45">
        <v>59.3</v>
      </c>
      <c r="I45">
        <v>61</v>
      </c>
      <c r="J45">
        <v>55.1</v>
      </c>
      <c r="K45">
        <v>53.1</v>
      </c>
      <c r="L45">
        <v>49.8</v>
      </c>
      <c r="M45"/>
      <c r="N45"/>
      <c r="O45"/>
      <c r="P45">
        <v>53.4</v>
      </c>
      <c r="Q45">
        <v>50.8</v>
      </c>
      <c r="R45"/>
      <c r="S45"/>
      <c r="T45"/>
      <c r="U45">
        <v>52.6</v>
      </c>
      <c r="V45"/>
    </row>
    <row r="46" spans="1:22" x14ac:dyDescent="0.2">
      <c r="A46" s="51">
        <v>40603</v>
      </c>
      <c r="B46">
        <v>46.5</v>
      </c>
      <c r="C46">
        <v>53.5</v>
      </c>
      <c r="D46">
        <v>60.2</v>
      </c>
      <c r="E46">
        <v>57.2</v>
      </c>
      <c r="F46">
        <v>60.4</v>
      </c>
      <c r="G46">
        <v>60.1</v>
      </c>
      <c r="H46">
        <v>54</v>
      </c>
      <c r="I46">
        <v>60</v>
      </c>
      <c r="J46">
        <v>51.1</v>
      </c>
      <c r="K46">
        <v>53.3</v>
      </c>
      <c r="L46">
        <v>35.299999999999997</v>
      </c>
      <c r="M46"/>
      <c r="N46"/>
      <c r="O46"/>
      <c r="P46">
        <v>53.3</v>
      </c>
      <c r="Q46">
        <v>48.7</v>
      </c>
      <c r="R46"/>
      <c r="S46"/>
      <c r="T46"/>
      <c r="U46">
        <v>57.1</v>
      </c>
      <c r="V46"/>
    </row>
    <row r="47" spans="1:22" x14ac:dyDescent="0.2">
      <c r="A47" s="51">
        <v>40634</v>
      </c>
      <c r="B47">
        <v>51.5</v>
      </c>
      <c r="C47">
        <v>53.2</v>
      </c>
      <c r="D47">
        <v>62.5</v>
      </c>
      <c r="E47">
        <v>56.7</v>
      </c>
      <c r="F47">
        <v>62.9</v>
      </c>
      <c r="G47">
        <v>56.8</v>
      </c>
      <c r="H47">
        <v>51</v>
      </c>
      <c r="I47">
        <v>59.2</v>
      </c>
      <c r="J47">
        <v>50.2</v>
      </c>
      <c r="K47">
        <v>52.2</v>
      </c>
      <c r="L47">
        <v>35</v>
      </c>
      <c r="M47"/>
      <c r="N47"/>
      <c r="O47"/>
      <c r="P47">
        <v>55.8</v>
      </c>
      <c r="Q47">
        <v>50.4</v>
      </c>
      <c r="R47"/>
      <c r="S47"/>
      <c r="T47"/>
      <c r="U47">
        <v>54.3</v>
      </c>
      <c r="V47"/>
    </row>
    <row r="48" spans="1:22" x14ac:dyDescent="0.2">
      <c r="A48" s="51">
        <v>40664</v>
      </c>
      <c r="B48">
        <v>49.9</v>
      </c>
      <c r="C48">
        <v>53.3</v>
      </c>
      <c r="D48">
        <v>61.9</v>
      </c>
      <c r="E48">
        <v>55.4</v>
      </c>
      <c r="F48">
        <v>62.5</v>
      </c>
      <c r="G48">
        <v>56.1</v>
      </c>
      <c r="H48">
        <v>52.5</v>
      </c>
      <c r="I48">
        <v>57.7</v>
      </c>
      <c r="J48">
        <v>50.5</v>
      </c>
      <c r="K48">
        <v>50.1</v>
      </c>
      <c r="L48">
        <v>43.8</v>
      </c>
      <c r="M48"/>
      <c r="N48"/>
      <c r="O48"/>
      <c r="P48">
        <v>57.6</v>
      </c>
      <c r="Q48">
        <v>50.9</v>
      </c>
      <c r="R48"/>
      <c r="S48"/>
      <c r="T48"/>
      <c r="U48">
        <v>53.8</v>
      </c>
      <c r="V48"/>
    </row>
    <row r="49" spans="1:22" x14ac:dyDescent="0.2">
      <c r="A49" s="51">
        <v>40695</v>
      </c>
      <c r="B49">
        <v>48.5</v>
      </c>
      <c r="C49">
        <v>52.1</v>
      </c>
      <c r="D49">
        <v>57</v>
      </c>
      <c r="E49">
        <v>53.7</v>
      </c>
      <c r="F49">
        <v>56.1</v>
      </c>
      <c r="G49">
        <v>56.7</v>
      </c>
      <c r="H49">
        <v>52.1</v>
      </c>
      <c r="I49">
        <v>56.1</v>
      </c>
      <c r="J49">
        <v>52.4</v>
      </c>
      <c r="K49">
        <v>47.4</v>
      </c>
      <c r="L49">
        <v>45.4</v>
      </c>
      <c r="M49"/>
      <c r="N49"/>
      <c r="O49"/>
      <c r="P49">
        <v>55.1</v>
      </c>
      <c r="Q49">
        <v>50.2</v>
      </c>
      <c r="R49"/>
      <c r="S49"/>
      <c r="T49"/>
      <c r="U49">
        <v>53.9</v>
      </c>
      <c r="V49"/>
    </row>
    <row r="50" spans="1:22" x14ac:dyDescent="0.2">
      <c r="A50" s="51">
        <v>40725</v>
      </c>
      <c r="B50">
        <v>48.8</v>
      </c>
      <c r="C50">
        <v>53.7</v>
      </c>
      <c r="D50">
        <v>59.6</v>
      </c>
      <c r="E50">
        <v>51.6</v>
      </c>
      <c r="F50">
        <v>54.2</v>
      </c>
      <c r="G50">
        <v>52.9</v>
      </c>
      <c r="H50">
        <v>53.1</v>
      </c>
      <c r="I50">
        <v>58.2</v>
      </c>
      <c r="J50">
        <v>51.7</v>
      </c>
      <c r="K50">
        <v>48.6</v>
      </c>
      <c r="L50">
        <v>45.3</v>
      </c>
      <c r="M50"/>
      <c r="N50"/>
      <c r="O50"/>
      <c r="P50">
        <v>56.9</v>
      </c>
      <c r="Q50">
        <v>46.5</v>
      </c>
      <c r="R50"/>
      <c r="S50"/>
      <c r="T50"/>
      <c r="U50">
        <v>55.4</v>
      </c>
      <c r="V50"/>
    </row>
    <row r="51" spans="1:22" x14ac:dyDescent="0.2">
      <c r="A51" s="51">
        <v>40756</v>
      </c>
      <c r="B51">
        <v>52.1</v>
      </c>
      <c r="C51">
        <v>52.1</v>
      </c>
      <c r="D51">
        <v>58.1</v>
      </c>
      <c r="E51">
        <v>51.5</v>
      </c>
      <c r="F51">
        <v>52.3</v>
      </c>
      <c r="G51">
        <v>51.1</v>
      </c>
      <c r="H51">
        <v>52.4</v>
      </c>
      <c r="I51">
        <v>56.7</v>
      </c>
      <c r="J51">
        <v>51.1</v>
      </c>
      <c r="K51">
        <v>48.4</v>
      </c>
      <c r="L51">
        <v>44.1</v>
      </c>
      <c r="M51"/>
      <c r="N51"/>
      <c r="O51"/>
      <c r="P51">
        <v>55.1</v>
      </c>
      <c r="Q51">
        <v>45.2</v>
      </c>
      <c r="R51"/>
      <c r="S51"/>
      <c r="T51"/>
      <c r="U51">
        <v>51.1</v>
      </c>
      <c r="V51"/>
    </row>
    <row r="52" spans="1:22" x14ac:dyDescent="0.2">
      <c r="A52" s="51">
        <v>40787</v>
      </c>
      <c r="B52">
        <v>50.3</v>
      </c>
      <c r="C52">
        <v>50.5</v>
      </c>
      <c r="D52">
        <v>57</v>
      </c>
      <c r="E52">
        <v>48.8</v>
      </c>
      <c r="F52">
        <v>51.5</v>
      </c>
      <c r="G52">
        <v>49.7</v>
      </c>
      <c r="H52">
        <v>52.6</v>
      </c>
      <c r="I52">
        <v>49.8</v>
      </c>
      <c r="J52">
        <v>51.3</v>
      </c>
      <c r="K52">
        <v>45.8</v>
      </c>
      <c r="L52">
        <v>46.4</v>
      </c>
      <c r="M52"/>
      <c r="N52"/>
      <c r="O52"/>
      <c r="P52">
        <v>53.3</v>
      </c>
      <c r="Q52">
        <v>44.8</v>
      </c>
      <c r="R52"/>
      <c r="S52"/>
      <c r="T52"/>
      <c r="U52">
        <v>52.9</v>
      </c>
      <c r="V52"/>
    </row>
    <row r="53" spans="1:22" x14ac:dyDescent="0.2">
      <c r="A53" s="51">
        <v>40817</v>
      </c>
      <c r="B53">
        <v>48.8</v>
      </c>
      <c r="C53">
        <v>53.6</v>
      </c>
      <c r="D53">
        <v>54.6</v>
      </c>
      <c r="E53">
        <v>46.4</v>
      </c>
      <c r="F53">
        <v>44.6</v>
      </c>
      <c r="G53">
        <v>50.6</v>
      </c>
      <c r="H53">
        <v>51.8</v>
      </c>
      <c r="I53">
        <v>49.1</v>
      </c>
      <c r="J53">
        <v>51.5</v>
      </c>
      <c r="K53">
        <v>43.9</v>
      </c>
      <c r="L53">
        <v>52.3</v>
      </c>
      <c r="M53"/>
      <c r="N53"/>
      <c r="O53"/>
      <c r="P53">
        <v>53.5</v>
      </c>
      <c r="Q53">
        <v>41.8</v>
      </c>
      <c r="R53"/>
      <c r="S53"/>
      <c r="T53"/>
      <c r="U53">
        <v>51.3</v>
      </c>
      <c r="V53"/>
    </row>
    <row r="54" spans="1:22" x14ac:dyDescent="0.2">
      <c r="A54" s="51">
        <v>40848</v>
      </c>
      <c r="B54">
        <v>47.7</v>
      </c>
      <c r="C54">
        <v>52.6</v>
      </c>
      <c r="D54">
        <v>49.7</v>
      </c>
      <c r="E54">
        <v>47.5</v>
      </c>
      <c r="F54">
        <v>49.6</v>
      </c>
      <c r="G54">
        <v>50.3</v>
      </c>
      <c r="H54">
        <v>52.6</v>
      </c>
      <c r="I54">
        <v>53.2</v>
      </c>
      <c r="J54">
        <v>52.7</v>
      </c>
      <c r="K54">
        <v>45.8</v>
      </c>
      <c r="L54">
        <v>49.5</v>
      </c>
      <c r="M54"/>
      <c r="N54"/>
      <c r="O54"/>
      <c r="P54">
        <v>54.8</v>
      </c>
      <c r="Q54">
        <v>36.799999999999997</v>
      </c>
      <c r="R54"/>
      <c r="S54"/>
      <c r="T54"/>
      <c r="U54">
        <v>52.1</v>
      </c>
      <c r="V54"/>
    </row>
    <row r="55" spans="1:22" x14ac:dyDescent="0.2">
      <c r="A55" s="51">
        <v>40878</v>
      </c>
      <c r="B55">
        <v>49</v>
      </c>
      <c r="C55">
        <v>54.8</v>
      </c>
      <c r="D55">
        <v>56</v>
      </c>
      <c r="E55">
        <v>48.8</v>
      </c>
      <c r="F55">
        <v>50.3</v>
      </c>
      <c r="G55">
        <v>52.4</v>
      </c>
      <c r="H55">
        <v>53.2</v>
      </c>
      <c r="I55">
        <v>54.2</v>
      </c>
      <c r="J55">
        <v>48.4</v>
      </c>
      <c r="K55">
        <v>44.5</v>
      </c>
      <c r="L55">
        <v>50.4</v>
      </c>
      <c r="M55"/>
      <c r="N55"/>
      <c r="O55"/>
      <c r="P55">
        <v>53.8</v>
      </c>
      <c r="Q55">
        <v>42.1</v>
      </c>
      <c r="R55"/>
      <c r="S55"/>
      <c r="T55"/>
      <c r="U55">
        <v>54</v>
      </c>
      <c r="V55"/>
    </row>
    <row r="56" spans="1:22" x14ac:dyDescent="0.2">
      <c r="A56" s="51">
        <v>40909</v>
      </c>
      <c r="B56">
        <v>51.9</v>
      </c>
      <c r="C56">
        <v>55</v>
      </c>
      <c r="D56">
        <v>52.5</v>
      </c>
      <c r="E56">
        <v>50.4</v>
      </c>
      <c r="F56">
        <v>52.3</v>
      </c>
      <c r="G56">
        <v>53.7</v>
      </c>
      <c r="H56">
        <v>55.4</v>
      </c>
      <c r="I56">
        <v>55.1</v>
      </c>
      <c r="J56">
        <v>48.3</v>
      </c>
      <c r="K56">
        <v>44.8</v>
      </c>
      <c r="L56">
        <v>51</v>
      </c>
      <c r="M56"/>
      <c r="N56"/>
      <c r="O56"/>
      <c r="P56">
        <v>56.5</v>
      </c>
      <c r="Q56">
        <v>46.1</v>
      </c>
      <c r="R56"/>
      <c r="S56"/>
      <c r="T56"/>
      <c r="U56">
        <v>56</v>
      </c>
      <c r="V56"/>
    </row>
    <row r="57" spans="1:22" x14ac:dyDescent="0.2">
      <c r="A57" s="51">
        <v>40940</v>
      </c>
      <c r="B57">
        <v>46.7</v>
      </c>
      <c r="C57">
        <v>57.1</v>
      </c>
      <c r="D57">
        <v>53.9</v>
      </c>
      <c r="E57">
        <v>48.8</v>
      </c>
      <c r="F57">
        <v>50</v>
      </c>
      <c r="G57">
        <v>52.8</v>
      </c>
      <c r="H57">
        <v>56.5</v>
      </c>
      <c r="I57">
        <v>53.4</v>
      </c>
      <c r="J57">
        <v>53.3</v>
      </c>
      <c r="K57">
        <v>44.1</v>
      </c>
      <c r="L57">
        <v>51.2</v>
      </c>
      <c r="M57"/>
      <c r="N57"/>
      <c r="O57"/>
      <c r="P57">
        <v>55.3</v>
      </c>
      <c r="Q57">
        <v>41.9</v>
      </c>
      <c r="R57"/>
      <c r="S57"/>
      <c r="T57"/>
      <c r="U57">
        <v>53.8</v>
      </c>
      <c r="V57"/>
    </row>
    <row r="58" spans="1:22" x14ac:dyDescent="0.2">
      <c r="A58" s="51">
        <v>40969</v>
      </c>
      <c r="B58">
        <v>47</v>
      </c>
      <c r="C58">
        <v>53.8</v>
      </c>
      <c r="D58">
        <v>53.3</v>
      </c>
      <c r="E58">
        <v>47.9</v>
      </c>
      <c r="F58">
        <v>50.1</v>
      </c>
      <c r="G58">
        <v>52.1</v>
      </c>
      <c r="H58">
        <v>54.3</v>
      </c>
      <c r="I58">
        <v>54.1</v>
      </c>
      <c r="J58">
        <v>52.1</v>
      </c>
      <c r="K58">
        <v>44.3</v>
      </c>
      <c r="L58">
        <v>53.7</v>
      </c>
      <c r="M58"/>
      <c r="N58"/>
      <c r="O58"/>
      <c r="P58">
        <v>54.4</v>
      </c>
      <c r="Q58">
        <v>46.3</v>
      </c>
      <c r="R58"/>
      <c r="S58"/>
      <c r="T58"/>
      <c r="U58">
        <v>55.3</v>
      </c>
      <c r="V58"/>
    </row>
    <row r="59" spans="1:22" x14ac:dyDescent="0.2">
      <c r="A59" s="51">
        <v>41000</v>
      </c>
      <c r="B59">
        <v>39.6</v>
      </c>
      <c r="C59">
        <v>54.4</v>
      </c>
      <c r="D59">
        <v>54.1</v>
      </c>
      <c r="E59">
        <v>46.9</v>
      </c>
      <c r="F59">
        <v>45.2</v>
      </c>
      <c r="G59">
        <v>52.2</v>
      </c>
      <c r="H59">
        <v>53.2</v>
      </c>
      <c r="I59">
        <v>52.3</v>
      </c>
      <c r="J59">
        <v>52.2</v>
      </c>
      <c r="K59">
        <v>42.3</v>
      </c>
      <c r="L59">
        <v>51</v>
      </c>
      <c r="M59"/>
      <c r="N59"/>
      <c r="O59"/>
      <c r="P59">
        <v>52.6</v>
      </c>
      <c r="Q59">
        <v>42.1</v>
      </c>
      <c r="R59"/>
      <c r="S59"/>
      <c r="T59"/>
      <c r="U59">
        <v>53.3</v>
      </c>
      <c r="V59"/>
    </row>
    <row r="60" spans="1:22" x14ac:dyDescent="0.2">
      <c r="A60" s="51">
        <v>41030</v>
      </c>
      <c r="B60">
        <v>43.5</v>
      </c>
      <c r="C60">
        <v>49.7</v>
      </c>
      <c r="D60">
        <v>54.7</v>
      </c>
      <c r="E60">
        <v>46.7</v>
      </c>
      <c r="F60">
        <v>45.1</v>
      </c>
      <c r="G60">
        <v>51.8</v>
      </c>
      <c r="H60">
        <v>53.3</v>
      </c>
      <c r="I60">
        <v>52.8</v>
      </c>
      <c r="J60">
        <v>48.9</v>
      </c>
      <c r="K60">
        <v>42.8</v>
      </c>
      <c r="L60">
        <v>50.5</v>
      </c>
      <c r="M60"/>
      <c r="N60"/>
      <c r="O60"/>
      <c r="P60">
        <v>54.9</v>
      </c>
      <c r="Q60">
        <v>41.8</v>
      </c>
      <c r="R60"/>
      <c r="S60"/>
      <c r="T60"/>
      <c r="U60">
        <v>53.3</v>
      </c>
      <c r="V60"/>
    </row>
    <row r="61" spans="1:22" x14ac:dyDescent="0.2">
      <c r="A61" s="51">
        <v>41061</v>
      </c>
      <c r="B61">
        <v>48.8</v>
      </c>
      <c r="C61">
        <v>53</v>
      </c>
      <c r="D61">
        <v>52.3</v>
      </c>
      <c r="E61">
        <v>47.1</v>
      </c>
      <c r="F61">
        <v>47.9</v>
      </c>
      <c r="G61">
        <v>49.9</v>
      </c>
      <c r="H61">
        <v>50.1</v>
      </c>
      <c r="I61">
        <v>54.7</v>
      </c>
      <c r="J61">
        <v>49.7</v>
      </c>
      <c r="K61">
        <v>43.1</v>
      </c>
      <c r="L61">
        <v>49.5</v>
      </c>
      <c r="M61"/>
      <c r="N61"/>
      <c r="O61"/>
      <c r="P61">
        <v>53.2</v>
      </c>
      <c r="Q61">
        <v>43.4</v>
      </c>
      <c r="R61"/>
      <c r="S61"/>
      <c r="T61"/>
      <c r="U61">
        <v>51.3</v>
      </c>
      <c r="V61"/>
    </row>
    <row r="62" spans="1:22" x14ac:dyDescent="0.2">
      <c r="A62" s="51">
        <v>41091</v>
      </c>
      <c r="B62">
        <v>46.5</v>
      </c>
      <c r="C62">
        <v>48.9</v>
      </c>
      <c r="D62">
        <v>53.1</v>
      </c>
      <c r="E62">
        <v>47.9</v>
      </c>
      <c r="F62">
        <v>50</v>
      </c>
      <c r="G62">
        <v>50.3</v>
      </c>
      <c r="H62">
        <v>49.2</v>
      </c>
      <c r="I62">
        <v>54.3</v>
      </c>
      <c r="J62">
        <v>49.1</v>
      </c>
      <c r="K62">
        <v>43</v>
      </c>
      <c r="L62">
        <v>48.7</v>
      </c>
      <c r="M62"/>
      <c r="N62"/>
      <c r="O62"/>
      <c r="P62">
        <v>52</v>
      </c>
      <c r="Q62">
        <v>43.7</v>
      </c>
      <c r="R62"/>
      <c r="S62"/>
      <c r="T62"/>
      <c r="U62">
        <v>51.3</v>
      </c>
      <c r="V62"/>
    </row>
    <row r="63" spans="1:22" x14ac:dyDescent="0.2">
      <c r="A63" s="51">
        <v>41122</v>
      </c>
      <c r="B63">
        <v>42.4</v>
      </c>
      <c r="C63">
        <v>48.1</v>
      </c>
      <c r="D63">
        <v>52</v>
      </c>
      <c r="E63">
        <v>47.2</v>
      </c>
      <c r="F63">
        <v>49.2</v>
      </c>
      <c r="G63">
        <v>48.3</v>
      </c>
      <c r="H63">
        <v>52.4</v>
      </c>
      <c r="I63">
        <v>54.2</v>
      </c>
      <c r="J63">
        <v>51.7</v>
      </c>
      <c r="K63">
        <v>44</v>
      </c>
      <c r="L63">
        <v>47.5</v>
      </c>
      <c r="M63"/>
      <c r="N63"/>
      <c r="O63"/>
      <c r="P63">
        <v>52.6</v>
      </c>
      <c r="Q63">
        <v>44</v>
      </c>
      <c r="R63"/>
      <c r="S63"/>
      <c r="T63"/>
      <c r="U63">
        <v>51</v>
      </c>
      <c r="V63"/>
    </row>
    <row r="64" spans="1:22" x14ac:dyDescent="0.2">
      <c r="A64" s="51">
        <v>41153</v>
      </c>
      <c r="B64">
        <v>41.9</v>
      </c>
      <c r="C64">
        <v>52.8</v>
      </c>
      <c r="D64">
        <v>54.3</v>
      </c>
      <c r="E64">
        <v>46.1</v>
      </c>
      <c r="F64">
        <v>45</v>
      </c>
      <c r="G64">
        <v>49.7</v>
      </c>
      <c r="H64">
        <v>53.1</v>
      </c>
      <c r="I64">
        <v>55</v>
      </c>
      <c r="J64">
        <v>53.9</v>
      </c>
      <c r="K64">
        <v>44.5</v>
      </c>
      <c r="L64">
        <v>48.8</v>
      </c>
      <c r="M64"/>
      <c r="N64"/>
      <c r="O64"/>
      <c r="P64">
        <v>54.5</v>
      </c>
      <c r="Q64">
        <v>40.200000000000003</v>
      </c>
      <c r="R64"/>
      <c r="S64"/>
      <c r="T64"/>
      <c r="U64">
        <v>53.7</v>
      </c>
      <c r="V64"/>
    </row>
    <row r="65" spans="1:22" x14ac:dyDescent="0.2">
      <c r="A65" s="51">
        <v>41183</v>
      </c>
      <c r="B65">
        <v>42.8</v>
      </c>
      <c r="C65">
        <v>50.4</v>
      </c>
      <c r="D65">
        <v>53.5</v>
      </c>
      <c r="E65">
        <v>46</v>
      </c>
      <c r="F65">
        <v>44.6</v>
      </c>
      <c r="G65">
        <v>48.4</v>
      </c>
      <c r="H65">
        <v>53.6</v>
      </c>
      <c r="I65">
        <v>55.8</v>
      </c>
      <c r="J65">
        <v>56.1</v>
      </c>
      <c r="K65">
        <v>46</v>
      </c>
      <c r="L65">
        <v>49.7</v>
      </c>
      <c r="M65"/>
      <c r="N65"/>
      <c r="O65"/>
      <c r="P65">
        <v>57.3</v>
      </c>
      <c r="Q65">
        <v>41.2</v>
      </c>
      <c r="R65"/>
      <c r="S65"/>
      <c r="T65"/>
      <c r="U65">
        <v>52.2</v>
      </c>
      <c r="V65"/>
    </row>
    <row r="66" spans="1:22" x14ac:dyDescent="0.2">
      <c r="A66" s="51">
        <v>41214</v>
      </c>
      <c r="B66">
        <v>47.1</v>
      </c>
      <c r="C66">
        <v>52.5</v>
      </c>
      <c r="D66">
        <v>52.1</v>
      </c>
      <c r="E66">
        <v>46.7</v>
      </c>
      <c r="F66">
        <v>45.8</v>
      </c>
      <c r="G66">
        <v>49.7</v>
      </c>
      <c r="H66">
        <v>54.8</v>
      </c>
      <c r="I66">
        <v>53.8</v>
      </c>
      <c r="J66">
        <v>56.1</v>
      </c>
      <c r="K66">
        <v>44.6</v>
      </c>
      <c r="L66">
        <v>49.1</v>
      </c>
      <c r="M66"/>
      <c r="N66"/>
      <c r="O66"/>
      <c r="P66">
        <v>57.1</v>
      </c>
      <c r="Q66">
        <v>42.4</v>
      </c>
      <c r="R66"/>
      <c r="S66"/>
      <c r="T66"/>
      <c r="U66">
        <v>50.6</v>
      </c>
      <c r="V66"/>
    </row>
    <row r="67" spans="1:22" x14ac:dyDescent="0.2">
      <c r="A67" s="51">
        <v>41244</v>
      </c>
      <c r="B67">
        <v>46.3</v>
      </c>
      <c r="C67">
        <v>53.2</v>
      </c>
      <c r="D67">
        <v>53.5</v>
      </c>
      <c r="E67">
        <v>47.2</v>
      </c>
      <c r="F67">
        <v>44.1</v>
      </c>
      <c r="G67">
        <v>55.7</v>
      </c>
      <c r="H67">
        <v>54.8</v>
      </c>
      <c r="I67">
        <v>52.1</v>
      </c>
      <c r="J67">
        <v>56.5</v>
      </c>
      <c r="K67">
        <v>43.1</v>
      </c>
      <c r="L67">
        <v>50.1</v>
      </c>
      <c r="M67"/>
      <c r="N67"/>
      <c r="O67"/>
      <c r="P67">
        <v>56.1</v>
      </c>
      <c r="Q67">
        <v>44.1</v>
      </c>
      <c r="R67"/>
      <c r="S67"/>
      <c r="T67"/>
      <c r="U67">
        <v>50.2</v>
      </c>
      <c r="V67"/>
    </row>
    <row r="68" spans="1:22" x14ac:dyDescent="0.2">
      <c r="A68" s="51">
        <v>41275</v>
      </c>
      <c r="B68">
        <v>45.4</v>
      </c>
      <c r="C68">
        <v>54.5</v>
      </c>
      <c r="D68">
        <v>54</v>
      </c>
      <c r="E68">
        <v>48.6</v>
      </c>
      <c r="F68">
        <v>43.6</v>
      </c>
      <c r="G68">
        <v>54.7</v>
      </c>
      <c r="H68">
        <v>53.6</v>
      </c>
      <c r="I68">
        <v>57.5</v>
      </c>
      <c r="J68">
        <v>56.8</v>
      </c>
      <c r="K68">
        <v>43.9</v>
      </c>
      <c r="L68">
        <v>50.4</v>
      </c>
      <c r="M68"/>
      <c r="N68"/>
      <c r="O68"/>
      <c r="P68">
        <v>55.7</v>
      </c>
      <c r="Q68">
        <v>47</v>
      </c>
      <c r="R68"/>
      <c r="S68"/>
      <c r="T68"/>
      <c r="U68">
        <v>51.5</v>
      </c>
      <c r="V68"/>
    </row>
    <row r="69" spans="1:22" x14ac:dyDescent="0.2">
      <c r="A69" s="51">
        <v>41306</v>
      </c>
      <c r="B69">
        <v>48.5</v>
      </c>
      <c r="C69">
        <v>52.1</v>
      </c>
      <c r="D69">
        <v>52.1</v>
      </c>
      <c r="E69">
        <v>47.9</v>
      </c>
      <c r="F69">
        <v>43.7</v>
      </c>
      <c r="G69">
        <v>50.9</v>
      </c>
      <c r="H69">
        <v>53.2</v>
      </c>
      <c r="I69">
        <v>54.2</v>
      </c>
      <c r="J69">
        <v>53.6</v>
      </c>
      <c r="K69">
        <v>43.6</v>
      </c>
      <c r="L69">
        <v>51.3</v>
      </c>
      <c r="M69"/>
      <c r="N69"/>
      <c r="O69"/>
      <c r="P69">
        <v>56.1</v>
      </c>
      <c r="Q69">
        <v>44.7</v>
      </c>
      <c r="R69"/>
      <c r="S69"/>
      <c r="T69"/>
      <c r="U69">
        <v>51.8</v>
      </c>
      <c r="V69"/>
    </row>
    <row r="70" spans="1:22" x14ac:dyDescent="0.2">
      <c r="A70" s="51">
        <v>41334</v>
      </c>
      <c r="B70">
        <v>49.6</v>
      </c>
      <c r="C70">
        <v>50.3</v>
      </c>
      <c r="D70">
        <v>54.3</v>
      </c>
      <c r="E70">
        <v>46.4</v>
      </c>
      <c r="F70">
        <v>41.3</v>
      </c>
      <c r="G70">
        <v>49.6</v>
      </c>
      <c r="H70">
        <v>53.4</v>
      </c>
      <c r="I70">
        <v>51.4</v>
      </c>
      <c r="J70">
        <v>52.3</v>
      </c>
      <c r="K70">
        <v>45.5</v>
      </c>
      <c r="L70">
        <v>53.4</v>
      </c>
      <c r="M70"/>
      <c r="N70"/>
      <c r="O70"/>
      <c r="P70">
        <v>54.6</v>
      </c>
      <c r="Q70">
        <v>45.3</v>
      </c>
      <c r="R70"/>
      <c r="S70"/>
      <c r="T70"/>
      <c r="U70">
        <v>52.4</v>
      </c>
      <c r="V70"/>
    </row>
    <row r="71" spans="1:22" x14ac:dyDescent="0.2">
      <c r="A71" s="51">
        <v>41365</v>
      </c>
      <c r="B71">
        <v>44.1</v>
      </c>
      <c r="C71">
        <v>51</v>
      </c>
      <c r="D71">
        <v>51.1</v>
      </c>
      <c r="E71">
        <v>47</v>
      </c>
      <c r="F71">
        <v>44.3</v>
      </c>
      <c r="G71">
        <v>49.7</v>
      </c>
      <c r="H71">
        <v>52.1</v>
      </c>
      <c r="I71">
        <v>50.7</v>
      </c>
      <c r="J71">
        <v>55.2</v>
      </c>
      <c r="K71">
        <v>47</v>
      </c>
      <c r="L71">
        <v>52.5</v>
      </c>
      <c r="M71"/>
      <c r="N71"/>
      <c r="O71"/>
      <c r="P71">
        <v>53</v>
      </c>
      <c r="Q71">
        <v>44.4</v>
      </c>
      <c r="R71"/>
      <c r="S71"/>
      <c r="T71"/>
      <c r="U71">
        <v>52.9</v>
      </c>
      <c r="V71"/>
    </row>
    <row r="72" spans="1:22" x14ac:dyDescent="0.2">
      <c r="A72" s="51">
        <v>41395</v>
      </c>
      <c r="B72">
        <v>40.6</v>
      </c>
      <c r="C72">
        <v>51</v>
      </c>
      <c r="D72">
        <v>51.2</v>
      </c>
      <c r="E72">
        <v>47.2</v>
      </c>
      <c r="F72">
        <v>44.3</v>
      </c>
      <c r="G72">
        <v>50.4</v>
      </c>
      <c r="H72">
        <v>53.7</v>
      </c>
      <c r="I72">
        <v>53.6</v>
      </c>
      <c r="J72">
        <v>52.7</v>
      </c>
      <c r="K72">
        <v>46.5</v>
      </c>
      <c r="L72">
        <v>54.8</v>
      </c>
      <c r="M72"/>
      <c r="N72"/>
      <c r="O72"/>
      <c r="P72">
        <v>51.4</v>
      </c>
      <c r="Q72">
        <v>47.3</v>
      </c>
      <c r="R72"/>
      <c r="S72"/>
      <c r="T72"/>
      <c r="U72">
        <v>54.9</v>
      </c>
      <c r="V72"/>
    </row>
    <row r="73" spans="1:22" x14ac:dyDescent="0.2">
      <c r="A73" s="51">
        <v>41426</v>
      </c>
      <c r="B73">
        <v>41.5</v>
      </c>
      <c r="C73">
        <v>50.3</v>
      </c>
      <c r="D73">
        <v>51.3</v>
      </c>
      <c r="E73">
        <v>48.3</v>
      </c>
      <c r="F73">
        <v>47.2</v>
      </c>
      <c r="G73">
        <v>51.3</v>
      </c>
      <c r="H73">
        <v>51.3</v>
      </c>
      <c r="I73">
        <v>51.7</v>
      </c>
      <c r="J73">
        <v>61.6</v>
      </c>
      <c r="K73">
        <v>45.8</v>
      </c>
      <c r="L73">
        <v>52.1</v>
      </c>
      <c r="M73"/>
      <c r="N73"/>
      <c r="O73"/>
      <c r="P73">
        <v>48.8</v>
      </c>
      <c r="Q73">
        <v>47.8</v>
      </c>
      <c r="R73"/>
      <c r="S73"/>
      <c r="T73"/>
      <c r="U73">
        <v>56.9</v>
      </c>
      <c r="V73"/>
    </row>
    <row r="74" spans="1:22" x14ac:dyDescent="0.2">
      <c r="A74" s="51">
        <v>41456</v>
      </c>
      <c r="B74">
        <v>39.4</v>
      </c>
      <c r="C74">
        <v>49.7</v>
      </c>
      <c r="D74">
        <v>51.3</v>
      </c>
      <c r="E74">
        <v>49.8</v>
      </c>
      <c r="F74">
        <v>48.6</v>
      </c>
      <c r="G74">
        <v>52.8</v>
      </c>
      <c r="H74">
        <v>54.9</v>
      </c>
      <c r="I74">
        <v>47.9</v>
      </c>
      <c r="J74">
        <v>59.6</v>
      </c>
      <c r="K74">
        <v>48.7</v>
      </c>
      <c r="L74">
        <v>50.6</v>
      </c>
      <c r="M74"/>
      <c r="N74"/>
      <c r="O74"/>
      <c r="P74">
        <v>48.7</v>
      </c>
      <c r="Q74">
        <v>48.5</v>
      </c>
      <c r="R74"/>
      <c r="S74"/>
      <c r="T74"/>
      <c r="U74">
        <v>60.2</v>
      </c>
      <c r="V74"/>
    </row>
    <row r="75" spans="1:22" x14ac:dyDescent="0.2">
      <c r="A75" s="51">
        <v>41487</v>
      </c>
      <c r="B75">
        <v>39</v>
      </c>
      <c r="C75">
        <v>50.7</v>
      </c>
      <c r="D75">
        <v>52.8</v>
      </c>
      <c r="E75">
        <v>50.7</v>
      </c>
      <c r="F75">
        <v>48.9</v>
      </c>
      <c r="G75">
        <v>53.7</v>
      </c>
      <c r="H75">
        <v>56</v>
      </c>
      <c r="I75">
        <v>47.6</v>
      </c>
      <c r="J75">
        <v>57.2</v>
      </c>
      <c r="K75">
        <v>48.8</v>
      </c>
      <c r="L75">
        <v>51.2</v>
      </c>
      <c r="M75"/>
      <c r="N75"/>
      <c r="O75"/>
      <c r="P75">
        <v>51.8</v>
      </c>
      <c r="Q75">
        <v>50.5</v>
      </c>
      <c r="R75"/>
      <c r="S75"/>
      <c r="T75"/>
      <c r="U75">
        <v>60.5</v>
      </c>
      <c r="V75"/>
    </row>
    <row r="76" spans="1:22" x14ac:dyDescent="0.2">
      <c r="A76" s="51">
        <v>41518</v>
      </c>
      <c r="B76">
        <v>47.1</v>
      </c>
      <c r="C76">
        <v>52.1</v>
      </c>
      <c r="D76">
        <v>52.4</v>
      </c>
      <c r="E76">
        <v>52.2</v>
      </c>
      <c r="F76">
        <v>51</v>
      </c>
      <c r="G76">
        <v>52.9</v>
      </c>
      <c r="H76">
        <v>53.6</v>
      </c>
      <c r="I76">
        <v>44.6</v>
      </c>
      <c r="J76">
        <v>56.8</v>
      </c>
      <c r="K76">
        <v>52.7</v>
      </c>
      <c r="L76">
        <v>53</v>
      </c>
      <c r="M76"/>
      <c r="N76"/>
      <c r="O76"/>
      <c r="P76">
        <v>51.5</v>
      </c>
      <c r="Q76">
        <v>49</v>
      </c>
      <c r="R76"/>
      <c r="S76"/>
      <c r="T76"/>
      <c r="U76">
        <v>60.3</v>
      </c>
      <c r="V76"/>
    </row>
    <row r="77" spans="1:22" x14ac:dyDescent="0.2">
      <c r="A77" s="51">
        <v>41548</v>
      </c>
      <c r="B77">
        <v>47.9</v>
      </c>
      <c r="C77">
        <v>52.3</v>
      </c>
      <c r="D77">
        <v>52.6</v>
      </c>
      <c r="E77">
        <v>51.6</v>
      </c>
      <c r="F77">
        <v>50.9</v>
      </c>
      <c r="G77">
        <v>55.7</v>
      </c>
      <c r="H77">
        <v>51.8</v>
      </c>
      <c r="I77">
        <v>47.1</v>
      </c>
      <c r="J77">
        <v>60.1</v>
      </c>
      <c r="K77">
        <v>50.5</v>
      </c>
      <c r="L77">
        <v>55.3</v>
      </c>
      <c r="M77"/>
      <c r="N77"/>
      <c r="O77"/>
      <c r="P77">
        <v>52.5</v>
      </c>
      <c r="Q77">
        <v>49.6</v>
      </c>
      <c r="R77"/>
      <c r="S77"/>
      <c r="T77"/>
      <c r="U77">
        <v>62.5</v>
      </c>
      <c r="V77">
        <v>49.3</v>
      </c>
    </row>
    <row r="78" spans="1:22" x14ac:dyDescent="0.2">
      <c r="A78" s="51">
        <v>41579</v>
      </c>
      <c r="B78">
        <v>48.9</v>
      </c>
      <c r="C78">
        <v>51.7</v>
      </c>
      <c r="D78">
        <v>52.5</v>
      </c>
      <c r="E78">
        <v>51.2</v>
      </c>
      <c r="F78">
        <v>48</v>
      </c>
      <c r="G78">
        <v>53.5</v>
      </c>
      <c r="H78">
        <v>53.9</v>
      </c>
      <c r="I78">
        <v>47.2</v>
      </c>
      <c r="J78">
        <v>57.1</v>
      </c>
      <c r="K78">
        <v>47.2</v>
      </c>
      <c r="L78">
        <v>51.8</v>
      </c>
      <c r="M78"/>
      <c r="N78"/>
      <c r="O78"/>
      <c r="P78">
        <v>52.9</v>
      </c>
      <c r="Q78">
        <v>51.5</v>
      </c>
      <c r="R78"/>
      <c r="S78"/>
      <c r="T78"/>
      <c r="U78">
        <v>60</v>
      </c>
      <c r="V78">
        <v>55.9</v>
      </c>
    </row>
    <row r="79" spans="1:22" x14ac:dyDescent="0.2">
      <c r="A79" s="51">
        <v>41609</v>
      </c>
      <c r="B79">
        <v>46.1</v>
      </c>
      <c r="C79">
        <v>50.5</v>
      </c>
      <c r="D79">
        <v>51.4</v>
      </c>
      <c r="E79">
        <v>51</v>
      </c>
      <c r="F79">
        <v>48.1</v>
      </c>
      <c r="G79">
        <v>53.1</v>
      </c>
      <c r="H79">
        <v>53.5</v>
      </c>
      <c r="I79">
        <v>47.9</v>
      </c>
      <c r="J79">
        <v>59.3</v>
      </c>
      <c r="K79">
        <v>48.6</v>
      </c>
      <c r="L79">
        <v>52.1</v>
      </c>
      <c r="M79"/>
      <c r="N79"/>
      <c r="O79"/>
      <c r="P79">
        <v>51.4</v>
      </c>
      <c r="Q79">
        <v>53.2</v>
      </c>
      <c r="R79"/>
      <c r="S79"/>
      <c r="T79"/>
      <c r="U79">
        <v>58.8</v>
      </c>
      <c r="V79">
        <v>55.7</v>
      </c>
    </row>
    <row r="80" spans="1:22" x14ac:dyDescent="0.2">
      <c r="A80" s="51">
        <v>41640</v>
      </c>
      <c r="B80">
        <v>49.3</v>
      </c>
      <c r="C80">
        <v>49.6</v>
      </c>
      <c r="D80">
        <v>50.7</v>
      </c>
      <c r="E80">
        <v>51.6</v>
      </c>
      <c r="F80">
        <v>48.9</v>
      </c>
      <c r="G80">
        <v>55.9</v>
      </c>
      <c r="H80">
        <v>53.8</v>
      </c>
      <c r="I80">
        <v>48.3</v>
      </c>
      <c r="J80">
        <v>61.5</v>
      </c>
      <c r="K80">
        <v>49.4</v>
      </c>
      <c r="L80">
        <v>51.2</v>
      </c>
      <c r="M80"/>
      <c r="N80"/>
      <c r="O80"/>
      <c r="P80">
        <v>50.2</v>
      </c>
      <c r="Q80">
        <v>54.9</v>
      </c>
      <c r="R80"/>
      <c r="S80"/>
      <c r="T80"/>
      <c r="U80">
        <v>58.3</v>
      </c>
      <c r="V80">
        <v>56.7</v>
      </c>
    </row>
    <row r="81" spans="1:22" x14ac:dyDescent="0.2">
      <c r="A81" s="51">
        <v>41671</v>
      </c>
      <c r="B81">
        <v>55.2</v>
      </c>
      <c r="C81">
        <v>50.8</v>
      </c>
      <c r="D81">
        <v>51</v>
      </c>
      <c r="E81">
        <v>52.6</v>
      </c>
      <c r="F81">
        <v>47.2</v>
      </c>
      <c r="G81">
        <v>53</v>
      </c>
      <c r="H81">
        <v>52.7</v>
      </c>
      <c r="I81">
        <v>48.8</v>
      </c>
      <c r="J81">
        <v>57.5</v>
      </c>
      <c r="K81">
        <v>52.9</v>
      </c>
      <c r="L81">
        <v>49.3</v>
      </c>
      <c r="M81"/>
      <c r="N81"/>
      <c r="O81"/>
      <c r="P81">
        <v>50.8</v>
      </c>
      <c r="Q81">
        <v>53.7</v>
      </c>
      <c r="R81"/>
      <c r="S81"/>
      <c r="T81"/>
      <c r="U81">
        <v>58.2</v>
      </c>
      <c r="V81">
        <v>53.3</v>
      </c>
    </row>
    <row r="82" spans="1:22" x14ac:dyDescent="0.2">
      <c r="A82" s="51">
        <v>41699</v>
      </c>
      <c r="B82">
        <v>48.9</v>
      </c>
      <c r="C82">
        <v>51</v>
      </c>
      <c r="D82">
        <v>51.9</v>
      </c>
      <c r="E82">
        <v>52.2</v>
      </c>
      <c r="F82">
        <v>51.5</v>
      </c>
      <c r="G82">
        <v>54.7</v>
      </c>
      <c r="H82">
        <v>53.5</v>
      </c>
      <c r="I82">
        <v>47.5</v>
      </c>
      <c r="J82">
        <v>60.7</v>
      </c>
      <c r="K82">
        <v>49.5</v>
      </c>
      <c r="L82">
        <v>52.2</v>
      </c>
      <c r="M82"/>
      <c r="N82"/>
      <c r="O82"/>
      <c r="P82">
        <v>47.7</v>
      </c>
      <c r="Q82">
        <v>54</v>
      </c>
      <c r="R82"/>
      <c r="S82"/>
      <c r="T82"/>
      <c r="U82">
        <v>57.6</v>
      </c>
      <c r="V82">
        <v>55.3</v>
      </c>
    </row>
    <row r="83" spans="1:22" x14ac:dyDescent="0.2">
      <c r="A83" s="51">
        <v>41730</v>
      </c>
      <c r="B83">
        <v>48.6</v>
      </c>
      <c r="C83">
        <v>48.6</v>
      </c>
      <c r="D83">
        <v>51.4</v>
      </c>
      <c r="E83">
        <v>53.1</v>
      </c>
      <c r="F83">
        <v>50.4</v>
      </c>
      <c r="G83">
        <v>56.4</v>
      </c>
      <c r="H83">
        <v>52.7</v>
      </c>
      <c r="I83">
        <v>48.5</v>
      </c>
      <c r="J83">
        <v>61.9</v>
      </c>
      <c r="K83">
        <v>51.1</v>
      </c>
      <c r="L83">
        <v>46.4</v>
      </c>
      <c r="M83"/>
      <c r="N83"/>
      <c r="O83"/>
      <c r="P83">
        <v>46.8</v>
      </c>
      <c r="Q83">
        <v>56.5</v>
      </c>
      <c r="R83"/>
      <c r="S83"/>
      <c r="T83"/>
      <c r="U83">
        <v>58.7</v>
      </c>
      <c r="V83">
        <v>55</v>
      </c>
    </row>
    <row r="84" spans="1:22" x14ac:dyDescent="0.2">
      <c r="A84" s="51">
        <v>41760</v>
      </c>
      <c r="B84">
        <v>49.9</v>
      </c>
      <c r="C84">
        <v>50.6</v>
      </c>
      <c r="D84">
        <v>50.7</v>
      </c>
      <c r="E84">
        <v>53.2</v>
      </c>
      <c r="F84">
        <v>49.1</v>
      </c>
      <c r="G84">
        <v>56</v>
      </c>
      <c r="H84">
        <v>54.6</v>
      </c>
      <c r="I84">
        <v>50.7</v>
      </c>
      <c r="J84">
        <v>61.7</v>
      </c>
      <c r="K84">
        <v>51.6</v>
      </c>
      <c r="L84">
        <v>49.3</v>
      </c>
      <c r="M84"/>
      <c r="N84"/>
      <c r="O84"/>
      <c r="P84">
        <v>46.1</v>
      </c>
      <c r="Q84">
        <v>55.7</v>
      </c>
      <c r="R84"/>
      <c r="S84"/>
      <c r="T84"/>
      <c r="U84">
        <v>58.6</v>
      </c>
      <c r="V84">
        <v>58</v>
      </c>
    </row>
    <row r="85" spans="1:22" x14ac:dyDescent="0.2">
      <c r="A85" s="51">
        <v>41791</v>
      </c>
      <c r="B85">
        <v>47.6</v>
      </c>
      <c r="C85">
        <v>51.4</v>
      </c>
      <c r="D85">
        <v>53.1</v>
      </c>
      <c r="E85">
        <v>52.8</v>
      </c>
      <c r="F85">
        <v>48.2</v>
      </c>
      <c r="G85">
        <v>54.6</v>
      </c>
      <c r="H85">
        <v>55.8</v>
      </c>
      <c r="I85">
        <v>54.4</v>
      </c>
      <c r="J85">
        <v>62.6</v>
      </c>
      <c r="K85">
        <v>53.6</v>
      </c>
      <c r="L85">
        <v>49</v>
      </c>
      <c r="M85"/>
      <c r="N85"/>
      <c r="O85"/>
      <c r="P85">
        <v>49.8</v>
      </c>
      <c r="Q85">
        <v>54.8</v>
      </c>
      <c r="R85"/>
      <c r="S85"/>
      <c r="T85"/>
      <c r="U85">
        <v>57.7</v>
      </c>
      <c r="V85">
        <v>61</v>
      </c>
    </row>
    <row r="86" spans="1:22" x14ac:dyDescent="0.2">
      <c r="A86" s="51">
        <v>41821</v>
      </c>
      <c r="B86">
        <v>49.3</v>
      </c>
      <c r="C86">
        <v>50.2</v>
      </c>
      <c r="D86">
        <v>50</v>
      </c>
      <c r="E86">
        <v>54.2</v>
      </c>
      <c r="F86">
        <v>50.4</v>
      </c>
      <c r="G86">
        <v>56.7</v>
      </c>
      <c r="H86">
        <v>56</v>
      </c>
      <c r="I86">
        <v>52.2</v>
      </c>
      <c r="J86">
        <v>61.3</v>
      </c>
      <c r="K86">
        <v>52.8</v>
      </c>
      <c r="L86">
        <v>50.4</v>
      </c>
      <c r="M86"/>
      <c r="N86"/>
      <c r="O86"/>
      <c r="P86">
        <v>49.7</v>
      </c>
      <c r="Q86">
        <v>56.2</v>
      </c>
      <c r="R86"/>
      <c r="S86"/>
      <c r="T86"/>
      <c r="U86">
        <v>59.1</v>
      </c>
      <c r="V86">
        <v>60.8</v>
      </c>
    </row>
    <row r="87" spans="1:22" x14ac:dyDescent="0.2">
      <c r="A87" s="51">
        <v>41852</v>
      </c>
      <c r="B87">
        <v>49.4</v>
      </c>
      <c r="C87">
        <v>49.2</v>
      </c>
      <c r="D87">
        <v>54.1</v>
      </c>
      <c r="E87">
        <v>53.1</v>
      </c>
      <c r="F87">
        <v>50.3</v>
      </c>
      <c r="G87">
        <v>54.9</v>
      </c>
      <c r="H87">
        <v>55.5</v>
      </c>
      <c r="I87">
        <v>50.6</v>
      </c>
      <c r="J87">
        <v>62.4</v>
      </c>
      <c r="K87">
        <v>49.8</v>
      </c>
      <c r="L87">
        <v>49.9</v>
      </c>
      <c r="M87"/>
      <c r="N87"/>
      <c r="O87"/>
      <c r="P87">
        <v>50.3</v>
      </c>
      <c r="Q87">
        <v>58.1</v>
      </c>
      <c r="R87"/>
      <c r="S87"/>
      <c r="T87"/>
      <c r="U87">
        <v>60.5</v>
      </c>
      <c r="V87">
        <v>59.5</v>
      </c>
    </row>
    <row r="88" spans="1:22" x14ac:dyDescent="0.2">
      <c r="A88" s="51">
        <v>41883</v>
      </c>
      <c r="B88">
        <v>45.5</v>
      </c>
      <c r="C88">
        <v>51.2</v>
      </c>
      <c r="D88">
        <v>53.5</v>
      </c>
      <c r="E88">
        <v>52.4</v>
      </c>
      <c r="F88">
        <v>48.4</v>
      </c>
      <c r="G88">
        <v>55.7</v>
      </c>
      <c r="H88">
        <v>55.3</v>
      </c>
      <c r="I88">
        <v>51.6</v>
      </c>
      <c r="J88">
        <v>62.5</v>
      </c>
      <c r="K88">
        <v>48.8</v>
      </c>
      <c r="L88">
        <v>52.5</v>
      </c>
      <c r="M88"/>
      <c r="N88"/>
      <c r="O88"/>
      <c r="P88">
        <v>50.5</v>
      </c>
      <c r="Q88">
        <v>55.8</v>
      </c>
      <c r="R88"/>
      <c r="S88"/>
      <c r="T88"/>
      <c r="U88">
        <v>58.7</v>
      </c>
      <c r="V88">
        <v>58.9</v>
      </c>
    </row>
    <row r="89" spans="1:22" x14ac:dyDescent="0.2">
      <c r="A89" s="51">
        <v>41913</v>
      </c>
      <c r="B89">
        <v>43.6</v>
      </c>
      <c r="C89">
        <v>48.2</v>
      </c>
      <c r="D89">
        <v>52.9</v>
      </c>
      <c r="E89">
        <v>52.3</v>
      </c>
      <c r="F89">
        <v>48.3</v>
      </c>
      <c r="G89">
        <v>54.4</v>
      </c>
      <c r="H89">
        <v>53.7</v>
      </c>
      <c r="I89">
        <v>50</v>
      </c>
      <c r="J89">
        <v>61.5</v>
      </c>
      <c r="K89">
        <v>50.8</v>
      </c>
      <c r="L89">
        <v>48.7</v>
      </c>
      <c r="M89"/>
      <c r="N89"/>
      <c r="O89"/>
      <c r="P89">
        <v>47.4</v>
      </c>
      <c r="Q89">
        <v>55.9</v>
      </c>
      <c r="R89"/>
      <c r="S89"/>
      <c r="T89"/>
      <c r="U89">
        <v>56.2</v>
      </c>
      <c r="V89">
        <v>57.1</v>
      </c>
    </row>
    <row r="90" spans="1:22" x14ac:dyDescent="0.2">
      <c r="A90" s="51">
        <v>41944</v>
      </c>
      <c r="B90">
        <v>43.8</v>
      </c>
      <c r="C90">
        <v>48.5</v>
      </c>
      <c r="D90">
        <v>53</v>
      </c>
      <c r="E90">
        <v>51.1</v>
      </c>
      <c r="F90">
        <v>47.9</v>
      </c>
      <c r="G90">
        <v>52.1</v>
      </c>
      <c r="H90">
        <v>53.5</v>
      </c>
      <c r="I90">
        <v>52.6</v>
      </c>
      <c r="J90">
        <v>61.6</v>
      </c>
      <c r="K90">
        <v>51.8</v>
      </c>
      <c r="L90">
        <v>50.6</v>
      </c>
      <c r="M90"/>
      <c r="N90"/>
      <c r="O90"/>
      <c r="P90">
        <v>44.5</v>
      </c>
      <c r="Q90">
        <v>52.7</v>
      </c>
      <c r="R90"/>
      <c r="S90"/>
      <c r="T90"/>
      <c r="U90">
        <v>58.6</v>
      </c>
      <c r="V90">
        <v>56.2</v>
      </c>
    </row>
    <row r="91" spans="1:22" x14ac:dyDescent="0.2">
      <c r="A91" s="51">
        <v>41974</v>
      </c>
      <c r="B91">
        <v>47.5</v>
      </c>
      <c r="C91">
        <v>49.1</v>
      </c>
      <c r="D91">
        <v>53.4</v>
      </c>
      <c r="E91">
        <v>51.6</v>
      </c>
      <c r="F91">
        <v>50.6</v>
      </c>
      <c r="G91">
        <v>52.1</v>
      </c>
      <c r="H91">
        <v>52.3</v>
      </c>
      <c r="I91">
        <v>51.1</v>
      </c>
      <c r="J91">
        <v>62.6</v>
      </c>
      <c r="K91">
        <v>49.4</v>
      </c>
      <c r="L91">
        <v>51.7</v>
      </c>
      <c r="M91"/>
      <c r="N91"/>
      <c r="O91"/>
      <c r="P91">
        <v>45.8</v>
      </c>
      <c r="Q91">
        <v>54.3</v>
      </c>
      <c r="R91"/>
      <c r="S91"/>
      <c r="T91"/>
      <c r="U91">
        <v>55.8</v>
      </c>
      <c r="V91">
        <v>53.3</v>
      </c>
    </row>
    <row r="92" spans="1:22" x14ac:dyDescent="0.2">
      <c r="A92" s="51">
        <v>42005</v>
      </c>
      <c r="B92">
        <v>49.5</v>
      </c>
      <c r="C92">
        <v>48.4</v>
      </c>
      <c r="D92">
        <v>51.8</v>
      </c>
      <c r="E92">
        <v>52.7</v>
      </c>
      <c r="F92">
        <v>49.4</v>
      </c>
      <c r="G92">
        <v>54</v>
      </c>
      <c r="H92">
        <v>52.9</v>
      </c>
      <c r="I92">
        <v>52.4</v>
      </c>
      <c r="J92">
        <v>62.5</v>
      </c>
      <c r="K92">
        <v>51.2</v>
      </c>
      <c r="L92">
        <v>51.3</v>
      </c>
      <c r="M92"/>
      <c r="N92"/>
      <c r="O92"/>
      <c r="P92">
        <v>43.9</v>
      </c>
      <c r="Q92">
        <v>56.7</v>
      </c>
      <c r="R92"/>
      <c r="S92"/>
      <c r="T92"/>
      <c r="U92">
        <v>57.2</v>
      </c>
      <c r="V92">
        <v>54.2</v>
      </c>
    </row>
    <row r="93" spans="1:22" x14ac:dyDescent="0.2">
      <c r="A93" s="51">
        <v>42036</v>
      </c>
      <c r="B93">
        <v>51.7</v>
      </c>
      <c r="C93">
        <v>52.3</v>
      </c>
      <c r="D93">
        <v>52</v>
      </c>
      <c r="E93">
        <v>53.7</v>
      </c>
      <c r="F93">
        <v>53.4</v>
      </c>
      <c r="G93">
        <v>54.7</v>
      </c>
      <c r="H93">
        <v>54.1</v>
      </c>
      <c r="I93">
        <v>53.9</v>
      </c>
      <c r="J93">
        <v>61.4</v>
      </c>
      <c r="K93">
        <v>50</v>
      </c>
      <c r="L93">
        <v>48.5</v>
      </c>
      <c r="M93"/>
      <c r="N93"/>
      <c r="O93"/>
      <c r="P93">
        <v>41.3</v>
      </c>
      <c r="Q93">
        <v>56.2</v>
      </c>
      <c r="R93"/>
      <c r="S93"/>
      <c r="T93"/>
      <c r="U93">
        <v>56.7</v>
      </c>
      <c r="V93">
        <v>57.1</v>
      </c>
    </row>
    <row r="94" spans="1:22" x14ac:dyDescent="0.2">
      <c r="A94" s="51">
        <v>42064</v>
      </c>
      <c r="B94">
        <v>50.2</v>
      </c>
      <c r="C94">
        <v>47.9</v>
      </c>
      <c r="D94">
        <v>52.3</v>
      </c>
      <c r="E94">
        <v>54.2</v>
      </c>
      <c r="F94">
        <v>52.4</v>
      </c>
      <c r="G94">
        <v>55.4</v>
      </c>
      <c r="H94">
        <v>55.1</v>
      </c>
      <c r="I94">
        <v>53</v>
      </c>
      <c r="J94">
        <v>60.9</v>
      </c>
      <c r="K94">
        <v>51.6</v>
      </c>
      <c r="L94">
        <v>48.4</v>
      </c>
      <c r="M94"/>
      <c r="N94"/>
      <c r="O94"/>
      <c r="P94">
        <v>46.1</v>
      </c>
      <c r="Q94">
        <v>57.3</v>
      </c>
      <c r="R94"/>
      <c r="S94"/>
      <c r="T94"/>
      <c r="U94">
        <v>58.9</v>
      </c>
      <c r="V94">
        <v>59.2</v>
      </c>
    </row>
    <row r="95" spans="1:22" x14ac:dyDescent="0.2">
      <c r="A95" s="51">
        <v>42095</v>
      </c>
      <c r="B95">
        <v>49.7</v>
      </c>
      <c r="C95">
        <v>44.6</v>
      </c>
      <c r="D95">
        <v>52.9</v>
      </c>
      <c r="E95">
        <v>54.1</v>
      </c>
      <c r="F95">
        <v>51.4</v>
      </c>
      <c r="G95">
        <v>54</v>
      </c>
      <c r="H95">
        <v>54.8</v>
      </c>
      <c r="I95">
        <v>52.4</v>
      </c>
      <c r="J95">
        <v>60.6</v>
      </c>
      <c r="K95">
        <v>53.1</v>
      </c>
      <c r="L95">
        <v>51.3</v>
      </c>
      <c r="M95"/>
      <c r="N95"/>
      <c r="O95"/>
      <c r="P95">
        <v>50.7</v>
      </c>
      <c r="Q95">
        <v>60.3</v>
      </c>
      <c r="R95"/>
      <c r="S95"/>
      <c r="T95"/>
      <c r="U95">
        <v>59.5</v>
      </c>
      <c r="V95">
        <v>57.4</v>
      </c>
    </row>
    <row r="96" spans="1:22" x14ac:dyDescent="0.2">
      <c r="A96" s="51">
        <v>42125</v>
      </c>
      <c r="B96">
        <v>49.6</v>
      </c>
      <c r="C96">
        <v>42.5</v>
      </c>
      <c r="D96">
        <v>53.5</v>
      </c>
      <c r="E96">
        <v>53.8</v>
      </c>
      <c r="F96">
        <v>52.8</v>
      </c>
      <c r="G96">
        <v>53</v>
      </c>
      <c r="H96">
        <v>54.1</v>
      </c>
      <c r="I96">
        <v>49.6</v>
      </c>
      <c r="J96">
        <v>61.4</v>
      </c>
      <c r="K96">
        <v>52.5</v>
      </c>
      <c r="L96">
        <v>51.5</v>
      </c>
      <c r="M96"/>
      <c r="N96"/>
      <c r="O96"/>
      <c r="P96">
        <v>52.8</v>
      </c>
      <c r="Q96">
        <v>58.4</v>
      </c>
      <c r="R96"/>
      <c r="S96"/>
      <c r="T96"/>
      <c r="U96">
        <v>56.5</v>
      </c>
      <c r="V96">
        <v>56.2</v>
      </c>
    </row>
    <row r="97" spans="1:22" x14ac:dyDescent="0.2">
      <c r="A97" s="51">
        <v>42156</v>
      </c>
      <c r="B97">
        <v>51.2</v>
      </c>
      <c r="C97">
        <v>39.9</v>
      </c>
      <c r="D97">
        <v>51.8</v>
      </c>
      <c r="E97">
        <v>54.4</v>
      </c>
      <c r="F97">
        <v>54.1</v>
      </c>
      <c r="G97">
        <v>53.8</v>
      </c>
      <c r="H97">
        <v>53.5</v>
      </c>
      <c r="I97">
        <v>47.7</v>
      </c>
      <c r="J97">
        <v>63.3</v>
      </c>
      <c r="K97">
        <v>53.4</v>
      </c>
      <c r="L97">
        <v>51.8</v>
      </c>
      <c r="M97"/>
      <c r="N97"/>
      <c r="O97"/>
      <c r="P97">
        <v>49.5</v>
      </c>
      <c r="Q97">
        <v>56.1</v>
      </c>
      <c r="R97"/>
      <c r="S97"/>
      <c r="T97"/>
      <c r="U97">
        <v>58.5</v>
      </c>
      <c r="V97">
        <v>54.8</v>
      </c>
    </row>
    <row r="98" spans="1:22" x14ac:dyDescent="0.2">
      <c r="A98" s="51">
        <v>42186</v>
      </c>
      <c r="B98">
        <v>54.1</v>
      </c>
      <c r="C98">
        <v>39.1</v>
      </c>
      <c r="D98">
        <v>53.8</v>
      </c>
      <c r="E98">
        <v>54</v>
      </c>
      <c r="F98">
        <v>52</v>
      </c>
      <c r="G98">
        <v>53.8</v>
      </c>
      <c r="H98">
        <v>53.9</v>
      </c>
      <c r="I98">
        <v>50.8</v>
      </c>
      <c r="J98">
        <v>63.4</v>
      </c>
      <c r="K98">
        <v>52</v>
      </c>
      <c r="L98">
        <v>51.2</v>
      </c>
      <c r="M98"/>
      <c r="N98"/>
      <c r="O98"/>
      <c r="P98">
        <v>51.6</v>
      </c>
      <c r="Q98">
        <v>59.7</v>
      </c>
      <c r="R98"/>
      <c r="S98"/>
      <c r="T98"/>
      <c r="U98">
        <v>57.4</v>
      </c>
      <c r="V98">
        <v>55.7</v>
      </c>
    </row>
    <row r="99" spans="1:22" x14ac:dyDescent="0.2">
      <c r="A99" s="51">
        <v>42217</v>
      </c>
      <c r="B99">
        <v>55.6</v>
      </c>
      <c r="C99">
        <v>44.8</v>
      </c>
      <c r="D99">
        <v>51.5</v>
      </c>
      <c r="E99">
        <v>54.4</v>
      </c>
      <c r="F99">
        <v>50.6</v>
      </c>
      <c r="G99">
        <v>54.9</v>
      </c>
      <c r="H99">
        <v>54.4</v>
      </c>
      <c r="I99">
        <v>51.8</v>
      </c>
      <c r="J99">
        <v>62.1</v>
      </c>
      <c r="K99">
        <v>54.6</v>
      </c>
      <c r="L99">
        <v>53.7</v>
      </c>
      <c r="M99"/>
      <c r="N99"/>
      <c r="O99"/>
      <c r="P99">
        <v>49.1</v>
      </c>
      <c r="Q99">
        <v>59.6</v>
      </c>
      <c r="R99"/>
      <c r="S99"/>
      <c r="T99"/>
      <c r="U99">
        <v>55.6</v>
      </c>
      <c r="V99">
        <v>56.1</v>
      </c>
    </row>
    <row r="100" spans="1:22" x14ac:dyDescent="0.2">
      <c r="A100" s="51">
        <v>42248</v>
      </c>
      <c r="B100">
        <v>52.3</v>
      </c>
      <c r="C100">
        <v>41.7</v>
      </c>
      <c r="D100">
        <v>50.5</v>
      </c>
      <c r="E100">
        <v>53.7</v>
      </c>
      <c r="F100">
        <v>51.9</v>
      </c>
      <c r="G100">
        <v>54.1</v>
      </c>
      <c r="H100">
        <v>53.3</v>
      </c>
      <c r="I100">
        <v>51.3</v>
      </c>
      <c r="J100">
        <v>62.4</v>
      </c>
      <c r="K100">
        <v>53.3</v>
      </c>
      <c r="L100">
        <v>51.4</v>
      </c>
      <c r="M100"/>
      <c r="N100"/>
      <c r="O100"/>
      <c r="P100">
        <v>51.3</v>
      </c>
      <c r="Q100">
        <v>55.1</v>
      </c>
      <c r="R100"/>
      <c r="S100"/>
      <c r="T100"/>
      <c r="U100">
        <v>53.3</v>
      </c>
      <c r="V100">
        <v>55.1</v>
      </c>
    </row>
    <row r="101" spans="1:22" x14ac:dyDescent="0.2">
      <c r="A101" s="51">
        <v>42278</v>
      </c>
      <c r="B101">
        <v>48.9</v>
      </c>
      <c r="C101">
        <v>43</v>
      </c>
      <c r="D101">
        <v>52</v>
      </c>
      <c r="E101">
        <v>54.1</v>
      </c>
      <c r="F101">
        <v>52.7</v>
      </c>
      <c r="G101">
        <v>54.5</v>
      </c>
      <c r="H101">
        <v>53.7</v>
      </c>
      <c r="I101">
        <v>53.2</v>
      </c>
      <c r="J101">
        <v>60.1</v>
      </c>
      <c r="K101">
        <v>53.4</v>
      </c>
      <c r="L101">
        <v>52.2</v>
      </c>
      <c r="M101"/>
      <c r="N101"/>
      <c r="O101"/>
      <c r="P101">
        <v>47.8</v>
      </c>
      <c r="Q101">
        <v>55.9</v>
      </c>
      <c r="R101"/>
      <c r="S101"/>
      <c r="T101"/>
      <c r="U101">
        <v>54.9</v>
      </c>
      <c r="V101">
        <v>54.8</v>
      </c>
    </row>
    <row r="102" spans="1:22" x14ac:dyDescent="0.2">
      <c r="A102" s="51">
        <v>42309</v>
      </c>
      <c r="B102">
        <v>48.2</v>
      </c>
      <c r="C102">
        <v>45.5</v>
      </c>
      <c r="D102">
        <v>51.2</v>
      </c>
      <c r="E102">
        <v>54.2</v>
      </c>
      <c r="F102">
        <v>51</v>
      </c>
      <c r="G102">
        <v>55.6</v>
      </c>
      <c r="H102">
        <v>54.1</v>
      </c>
      <c r="I102">
        <v>50.1</v>
      </c>
      <c r="J102">
        <v>63.6</v>
      </c>
      <c r="K102">
        <v>53.4</v>
      </c>
      <c r="L102">
        <v>51.6</v>
      </c>
      <c r="M102"/>
      <c r="N102"/>
      <c r="O102"/>
      <c r="P102">
        <v>49.8</v>
      </c>
      <c r="Q102">
        <v>56.7</v>
      </c>
      <c r="R102"/>
      <c r="S102"/>
      <c r="T102"/>
      <c r="U102">
        <v>55.9</v>
      </c>
      <c r="V102">
        <v>56.1</v>
      </c>
    </row>
    <row r="103" spans="1:22" x14ac:dyDescent="0.2">
      <c r="A103" s="51">
        <v>42339</v>
      </c>
      <c r="B103">
        <v>46.3</v>
      </c>
      <c r="C103">
        <v>43.5</v>
      </c>
      <c r="D103">
        <v>50.2</v>
      </c>
      <c r="E103">
        <v>54.2</v>
      </c>
      <c r="F103">
        <v>49.8</v>
      </c>
      <c r="G103">
        <v>56</v>
      </c>
      <c r="H103">
        <v>53.1</v>
      </c>
      <c r="I103">
        <v>53.6</v>
      </c>
      <c r="J103">
        <v>61.8</v>
      </c>
      <c r="K103">
        <v>55.3</v>
      </c>
      <c r="L103">
        <v>51.5</v>
      </c>
      <c r="M103"/>
      <c r="N103"/>
      <c r="O103"/>
      <c r="P103">
        <v>47.8</v>
      </c>
      <c r="Q103">
        <v>55.1</v>
      </c>
      <c r="R103"/>
      <c r="S103"/>
      <c r="T103"/>
      <c r="U103">
        <v>55.5</v>
      </c>
      <c r="V103">
        <v>54.3</v>
      </c>
    </row>
    <row r="104" spans="1:22" x14ac:dyDescent="0.2">
      <c r="A104" s="51">
        <v>42370</v>
      </c>
      <c r="B104">
        <v>48.4</v>
      </c>
      <c r="C104">
        <v>44.4</v>
      </c>
      <c r="D104">
        <v>52.4</v>
      </c>
      <c r="E104">
        <v>53.6</v>
      </c>
      <c r="F104">
        <v>50.3</v>
      </c>
      <c r="G104">
        <v>55</v>
      </c>
      <c r="H104">
        <v>52.8</v>
      </c>
      <c r="I104">
        <v>54.3</v>
      </c>
      <c r="J104">
        <v>64</v>
      </c>
      <c r="K104">
        <v>53.6</v>
      </c>
      <c r="L104">
        <v>52.4</v>
      </c>
      <c r="M104"/>
      <c r="N104"/>
      <c r="O104"/>
      <c r="P104">
        <v>47.1</v>
      </c>
      <c r="Q104">
        <v>54.6</v>
      </c>
      <c r="R104"/>
      <c r="S104"/>
      <c r="T104"/>
      <c r="U104">
        <v>55.6</v>
      </c>
      <c r="V104">
        <v>53.2</v>
      </c>
    </row>
    <row r="105" spans="1:22" x14ac:dyDescent="0.2">
      <c r="A105" s="51">
        <v>42401</v>
      </c>
      <c r="B105">
        <v>51.8</v>
      </c>
      <c r="C105">
        <v>36.9</v>
      </c>
      <c r="D105">
        <v>51.2</v>
      </c>
      <c r="E105">
        <v>53.3</v>
      </c>
      <c r="F105">
        <v>49.2</v>
      </c>
      <c r="G105">
        <v>55.3</v>
      </c>
      <c r="H105">
        <v>50.7</v>
      </c>
      <c r="I105">
        <v>51.4</v>
      </c>
      <c r="J105">
        <v>62.1</v>
      </c>
      <c r="K105">
        <v>53.8</v>
      </c>
      <c r="L105">
        <v>51.2</v>
      </c>
      <c r="M105"/>
      <c r="N105"/>
      <c r="O105"/>
      <c r="P105">
        <v>50.9</v>
      </c>
      <c r="Q105">
        <v>54.1</v>
      </c>
      <c r="R105"/>
      <c r="S105"/>
      <c r="T105"/>
      <c r="U105">
        <v>52.7</v>
      </c>
      <c r="V105">
        <v>49.7</v>
      </c>
    </row>
    <row r="106" spans="1:22" x14ac:dyDescent="0.2">
      <c r="A106" s="51">
        <v>42430</v>
      </c>
      <c r="B106">
        <v>49.5</v>
      </c>
      <c r="C106">
        <v>38.6</v>
      </c>
      <c r="D106">
        <v>52.2</v>
      </c>
      <c r="E106">
        <v>53.1</v>
      </c>
      <c r="F106">
        <v>49.9</v>
      </c>
      <c r="G106">
        <v>55.1</v>
      </c>
      <c r="H106">
        <v>51.4</v>
      </c>
      <c r="I106">
        <v>54.3</v>
      </c>
      <c r="J106">
        <v>62.8</v>
      </c>
      <c r="K106">
        <v>51.2</v>
      </c>
      <c r="L106">
        <v>50</v>
      </c>
      <c r="M106"/>
      <c r="N106"/>
      <c r="O106"/>
      <c r="P106">
        <v>52</v>
      </c>
      <c r="Q106">
        <v>55.3</v>
      </c>
      <c r="R106"/>
      <c r="S106"/>
      <c r="T106"/>
      <c r="U106">
        <v>53.7</v>
      </c>
      <c r="V106">
        <v>51.3</v>
      </c>
    </row>
    <row r="107" spans="1:22" x14ac:dyDescent="0.2">
      <c r="A107" s="51">
        <v>42461</v>
      </c>
      <c r="B107">
        <v>49.7</v>
      </c>
      <c r="C107">
        <v>37.4</v>
      </c>
      <c r="D107">
        <v>51.8</v>
      </c>
      <c r="E107">
        <v>53.1</v>
      </c>
      <c r="F107">
        <v>50.6</v>
      </c>
      <c r="G107">
        <v>54.5</v>
      </c>
      <c r="H107">
        <v>51.9</v>
      </c>
      <c r="I107">
        <v>53.7</v>
      </c>
      <c r="J107">
        <v>59.8</v>
      </c>
      <c r="K107">
        <v>52.1</v>
      </c>
      <c r="L107">
        <v>49.3</v>
      </c>
      <c r="M107"/>
      <c r="N107"/>
      <c r="O107"/>
      <c r="P107">
        <v>54.2</v>
      </c>
      <c r="Q107">
        <v>55.1</v>
      </c>
      <c r="R107"/>
      <c r="S107"/>
      <c r="T107"/>
      <c r="U107">
        <v>52.3</v>
      </c>
      <c r="V107">
        <v>52.8</v>
      </c>
    </row>
    <row r="108" spans="1:22" x14ac:dyDescent="0.2">
      <c r="A108" s="51">
        <v>42491</v>
      </c>
      <c r="B108">
        <v>51.5</v>
      </c>
      <c r="C108">
        <v>37.299999999999997</v>
      </c>
      <c r="D108">
        <v>51.2</v>
      </c>
      <c r="E108">
        <v>53.3</v>
      </c>
      <c r="F108">
        <v>51.6</v>
      </c>
      <c r="G108">
        <v>55.2</v>
      </c>
      <c r="H108">
        <v>52.8</v>
      </c>
      <c r="I108">
        <v>51</v>
      </c>
      <c r="J108">
        <v>61.7</v>
      </c>
      <c r="K108">
        <v>49.8</v>
      </c>
      <c r="L108">
        <v>50.4</v>
      </c>
      <c r="M108"/>
      <c r="N108"/>
      <c r="O108"/>
      <c r="P108">
        <v>51.8</v>
      </c>
      <c r="Q108">
        <v>55.4</v>
      </c>
      <c r="R108"/>
      <c r="S108"/>
      <c r="T108"/>
      <c r="U108">
        <v>53.5</v>
      </c>
      <c r="V108">
        <v>51.3</v>
      </c>
    </row>
    <row r="109" spans="1:22" x14ac:dyDescent="0.2">
      <c r="A109" s="51">
        <v>42522</v>
      </c>
      <c r="B109">
        <v>51.3</v>
      </c>
      <c r="C109">
        <v>41.4</v>
      </c>
      <c r="D109">
        <v>52.7</v>
      </c>
      <c r="E109">
        <v>52.8</v>
      </c>
      <c r="F109">
        <v>49.9</v>
      </c>
      <c r="G109">
        <v>53.7</v>
      </c>
      <c r="H109">
        <v>51.3</v>
      </c>
      <c r="I109">
        <v>50.3</v>
      </c>
      <c r="J109">
        <v>61.2</v>
      </c>
      <c r="K109">
        <v>51.9</v>
      </c>
      <c r="L109">
        <v>49.4</v>
      </c>
      <c r="M109"/>
      <c r="N109"/>
      <c r="O109"/>
      <c r="P109">
        <v>53.8</v>
      </c>
      <c r="Q109">
        <v>56</v>
      </c>
      <c r="R109"/>
      <c r="S109"/>
      <c r="T109"/>
      <c r="U109">
        <v>52.3</v>
      </c>
      <c r="V109">
        <v>51.4</v>
      </c>
    </row>
    <row r="110" spans="1:22" x14ac:dyDescent="0.2">
      <c r="A110" s="51">
        <v>42552</v>
      </c>
      <c r="B110">
        <v>53.9</v>
      </c>
      <c r="C110">
        <v>45.6</v>
      </c>
      <c r="D110">
        <v>51.7</v>
      </c>
      <c r="E110">
        <v>52.9</v>
      </c>
      <c r="F110">
        <v>50.5</v>
      </c>
      <c r="G110">
        <v>54.4</v>
      </c>
      <c r="H110">
        <v>51.3</v>
      </c>
      <c r="I110">
        <v>51.9</v>
      </c>
      <c r="J110">
        <v>59.5</v>
      </c>
      <c r="K110">
        <v>52</v>
      </c>
      <c r="L110">
        <v>50.4</v>
      </c>
      <c r="M110"/>
      <c r="N110"/>
      <c r="O110"/>
      <c r="P110">
        <v>55</v>
      </c>
      <c r="Q110">
        <v>54.1</v>
      </c>
      <c r="R110"/>
      <c r="S110"/>
      <c r="T110"/>
      <c r="U110">
        <v>47.4</v>
      </c>
      <c r="V110">
        <v>51.4</v>
      </c>
    </row>
    <row r="111" spans="1:22" x14ac:dyDescent="0.2">
      <c r="A111" s="51">
        <v>42583</v>
      </c>
      <c r="B111">
        <v>45</v>
      </c>
      <c r="C111">
        <v>42.7</v>
      </c>
      <c r="D111">
        <v>52.1</v>
      </c>
      <c r="E111">
        <v>52.8</v>
      </c>
      <c r="F111">
        <v>52.3</v>
      </c>
      <c r="G111">
        <v>51.7</v>
      </c>
      <c r="H111">
        <v>51.5</v>
      </c>
      <c r="I111">
        <v>54.7</v>
      </c>
      <c r="J111">
        <v>59.7</v>
      </c>
      <c r="K111">
        <v>52.3</v>
      </c>
      <c r="L111">
        <v>49.6</v>
      </c>
      <c r="M111"/>
      <c r="N111"/>
      <c r="O111"/>
      <c r="P111">
        <v>53.5</v>
      </c>
      <c r="Q111">
        <v>56</v>
      </c>
      <c r="R111"/>
      <c r="S111"/>
      <c r="T111"/>
      <c r="U111">
        <v>52.9</v>
      </c>
      <c r="V111">
        <v>51</v>
      </c>
    </row>
    <row r="112" spans="1:22" x14ac:dyDescent="0.2">
      <c r="A112" s="51">
        <v>42614</v>
      </c>
      <c r="B112">
        <v>48.9</v>
      </c>
      <c r="C112">
        <v>45.3</v>
      </c>
      <c r="D112">
        <v>51</v>
      </c>
      <c r="E112">
        <v>52.2</v>
      </c>
      <c r="F112">
        <v>53.3</v>
      </c>
      <c r="G112">
        <v>50.9</v>
      </c>
      <c r="H112">
        <v>51.6</v>
      </c>
      <c r="I112">
        <v>52</v>
      </c>
      <c r="J112">
        <v>56.2</v>
      </c>
      <c r="K112">
        <v>50.7</v>
      </c>
      <c r="L112">
        <v>48.2</v>
      </c>
      <c r="M112"/>
      <c r="N112"/>
      <c r="O112"/>
      <c r="P112">
        <v>53</v>
      </c>
      <c r="Q112">
        <v>54.7</v>
      </c>
      <c r="R112"/>
      <c r="S112"/>
      <c r="T112"/>
      <c r="U112">
        <v>52.6</v>
      </c>
      <c r="V112">
        <v>52.3</v>
      </c>
    </row>
    <row r="113" spans="1:22" x14ac:dyDescent="0.2">
      <c r="A113" s="51">
        <v>42644</v>
      </c>
      <c r="B113">
        <v>50.5</v>
      </c>
      <c r="C113">
        <v>43.9</v>
      </c>
      <c r="D113">
        <v>52.4</v>
      </c>
      <c r="E113">
        <v>52.8</v>
      </c>
      <c r="F113">
        <v>51.4</v>
      </c>
      <c r="G113">
        <v>54.2</v>
      </c>
      <c r="H113">
        <v>53.2</v>
      </c>
      <c r="I113">
        <v>54.5</v>
      </c>
      <c r="J113">
        <v>54.6</v>
      </c>
      <c r="K113">
        <v>51</v>
      </c>
      <c r="L113">
        <v>50.5</v>
      </c>
      <c r="M113"/>
      <c r="N113"/>
      <c r="O113"/>
      <c r="P113">
        <v>52.7</v>
      </c>
      <c r="Q113">
        <v>54.6</v>
      </c>
      <c r="R113"/>
      <c r="S113"/>
      <c r="T113"/>
      <c r="U113">
        <v>54.5</v>
      </c>
      <c r="V113">
        <v>54.8</v>
      </c>
    </row>
    <row r="114" spans="1:22" x14ac:dyDescent="0.2">
      <c r="A114" s="51">
        <v>42675</v>
      </c>
      <c r="B114">
        <v>51.1</v>
      </c>
      <c r="C114">
        <v>44.4</v>
      </c>
      <c r="D114">
        <v>53.1</v>
      </c>
      <c r="E114">
        <v>53.8</v>
      </c>
      <c r="F114">
        <v>51.6</v>
      </c>
      <c r="G114">
        <v>55.1</v>
      </c>
      <c r="H114">
        <v>53.3</v>
      </c>
      <c r="I114">
        <v>46.7</v>
      </c>
      <c r="J114">
        <v>56</v>
      </c>
      <c r="K114">
        <v>53.3</v>
      </c>
      <c r="L114">
        <v>51.8</v>
      </c>
      <c r="M114"/>
      <c r="N114"/>
      <c r="O114"/>
      <c r="P114">
        <v>54.7</v>
      </c>
      <c r="Q114">
        <v>55.1</v>
      </c>
      <c r="R114"/>
      <c r="S114"/>
      <c r="T114"/>
      <c r="U114">
        <v>55.2</v>
      </c>
      <c r="V114">
        <v>54.6</v>
      </c>
    </row>
    <row r="115" spans="1:22" x14ac:dyDescent="0.2">
      <c r="A115" s="51">
        <v>42705</v>
      </c>
      <c r="B115">
        <v>57.7</v>
      </c>
      <c r="C115">
        <v>45.1</v>
      </c>
      <c r="D115">
        <v>53.4</v>
      </c>
      <c r="E115">
        <v>53.7</v>
      </c>
      <c r="F115">
        <v>52.9</v>
      </c>
      <c r="G115">
        <v>54.3</v>
      </c>
      <c r="H115">
        <v>53.3</v>
      </c>
      <c r="I115">
        <v>46.8</v>
      </c>
      <c r="J115">
        <v>59.1</v>
      </c>
      <c r="K115">
        <v>52.3</v>
      </c>
      <c r="L115">
        <v>52.3</v>
      </c>
      <c r="M115"/>
      <c r="N115"/>
      <c r="O115"/>
      <c r="P115">
        <v>56.5</v>
      </c>
      <c r="Q115">
        <v>55</v>
      </c>
      <c r="R115"/>
      <c r="S115"/>
      <c r="T115"/>
      <c r="U115">
        <v>56.2</v>
      </c>
      <c r="V115">
        <v>53.9</v>
      </c>
    </row>
    <row r="116" spans="1:22" x14ac:dyDescent="0.2">
      <c r="A116" s="51">
        <v>42736</v>
      </c>
      <c r="B116">
        <v>54.5</v>
      </c>
      <c r="C116">
        <v>45.1</v>
      </c>
      <c r="D116">
        <v>53.1</v>
      </c>
      <c r="E116">
        <v>53.7</v>
      </c>
      <c r="F116">
        <v>54.1</v>
      </c>
      <c r="G116">
        <v>53.4</v>
      </c>
      <c r="H116">
        <v>53.9</v>
      </c>
      <c r="I116">
        <v>48.7</v>
      </c>
      <c r="J116">
        <v>61</v>
      </c>
      <c r="K116">
        <v>52.4</v>
      </c>
      <c r="L116">
        <v>51.9</v>
      </c>
      <c r="M116"/>
      <c r="N116"/>
      <c r="O116"/>
      <c r="P116">
        <v>58.4</v>
      </c>
      <c r="Q116">
        <v>54.2</v>
      </c>
      <c r="R116"/>
      <c r="S116"/>
      <c r="T116"/>
      <c r="U116">
        <v>54.5</v>
      </c>
      <c r="V116">
        <v>55.6</v>
      </c>
    </row>
    <row r="117" spans="1:22" x14ac:dyDescent="0.2">
      <c r="A117" s="51">
        <v>42767</v>
      </c>
      <c r="B117">
        <v>49</v>
      </c>
      <c r="C117">
        <v>46.4</v>
      </c>
      <c r="D117">
        <v>52.6</v>
      </c>
      <c r="E117">
        <v>55.5</v>
      </c>
      <c r="F117">
        <v>56.4</v>
      </c>
      <c r="G117">
        <v>54.4</v>
      </c>
      <c r="H117">
        <v>53.3</v>
      </c>
      <c r="I117">
        <v>50.3</v>
      </c>
      <c r="J117">
        <v>60.6</v>
      </c>
      <c r="K117">
        <v>54.1</v>
      </c>
      <c r="L117">
        <v>51.3</v>
      </c>
      <c r="M117"/>
      <c r="N117"/>
      <c r="O117"/>
      <c r="P117">
        <v>55.5</v>
      </c>
      <c r="Q117">
        <v>57</v>
      </c>
      <c r="R117"/>
      <c r="S117"/>
      <c r="T117"/>
      <c r="U117">
        <v>53.3</v>
      </c>
      <c r="V117">
        <v>53.8</v>
      </c>
    </row>
    <row r="118" spans="1:22" x14ac:dyDescent="0.2">
      <c r="A118" s="51">
        <v>42795</v>
      </c>
      <c r="B118">
        <v>51.7</v>
      </c>
      <c r="C118">
        <v>47.7</v>
      </c>
      <c r="D118">
        <v>52.2</v>
      </c>
      <c r="E118">
        <v>56</v>
      </c>
      <c r="F118">
        <v>57.5</v>
      </c>
      <c r="G118">
        <v>55.6</v>
      </c>
      <c r="H118">
        <v>53.6</v>
      </c>
      <c r="I118">
        <v>51.5</v>
      </c>
      <c r="J118">
        <v>59.1</v>
      </c>
      <c r="K118">
        <v>52.9</v>
      </c>
      <c r="L118">
        <v>52.9</v>
      </c>
      <c r="M118"/>
      <c r="N118"/>
      <c r="O118"/>
      <c r="P118">
        <v>56.6</v>
      </c>
      <c r="Q118">
        <v>57.4</v>
      </c>
      <c r="R118"/>
      <c r="S118"/>
      <c r="T118"/>
      <c r="U118">
        <v>55</v>
      </c>
      <c r="V118">
        <v>52.8</v>
      </c>
    </row>
    <row r="119" spans="1:22" x14ac:dyDescent="0.2">
      <c r="A119" s="51">
        <v>42826</v>
      </c>
      <c r="B119">
        <v>53</v>
      </c>
      <c r="C119">
        <v>50.3</v>
      </c>
      <c r="D119">
        <v>51.5</v>
      </c>
      <c r="E119">
        <v>56.4</v>
      </c>
      <c r="F119">
        <v>56.7</v>
      </c>
      <c r="G119">
        <v>55.4</v>
      </c>
      <c r="H119">
        <v>53.6</v>
      </c>
      <c r="I119">
        <v>50.2</v>
      </c>
      <c r="J119">
        <v>61.1</v>
      </c>
      <c r="K119">
        <v>56.2</v>
      </c>
      <c r="L119">
        <v>52.2</v>
      </c>
      <c r="M119"/>
      <c r="N119"/>
      <c r="O119"/>
      <c r="P119">
        <v>56.1</v>
      </c>
      <c r="Q119">
        <v>57.8</v>
      </c>
      <c r="R119"/>
      <c r="S119"/>
      <c r="T119"/>
      <c r="U119">
        <v>55.8</v>
      </c>
      <c r="V119">
        <v>53.1</v>
      </c>
    </row>
    <row r="120" spans="1:22" x14ac:dyDescent="0.2">
      <c r="A120" s="51">
        <v>42856</v>
      </c>
      <c r="B120">
        <v>51.5</v>
      </c>
      <c r="C120">
        <v>49.2</v>
      </c>
      <c r="D120">
        <v>52.8</v>
      </c>
      <c r="E120">
        <v>56.3</v>
      </c>
      <c r="F120">
        <v>57.2</v>
      </c>
      <c r="G120">
        <v>55.4</v>
      </c>
      <c r="H120">
        <v>53.8</v>
      </c>
      <c r="I120">
        <v>52.2</v>
      </c>
      <c r="J120">
        <v>59.5</v>
      </c>
      <c r="K120">
        <v>55.1</v>
      </c>
      <c r="L120">
        <v>53</v>
      </c>
      <c r="M120"/>
      <c r="N120"/>
      <c r="O120"/>
      <c r="P120">
        <v>56.3</v>
      </c>
      <c r="Q120">
        <v>57.3</v>
      </c>
      <c r="R120"/>
      <c r="S120"/>
      <c r="T120"/>
      <c r="U120">
        <v>53.8</v>
      </c>
      <c r="V120">
        <v>53.6</v>
      </c>
    </row>
    <row r="121" spans="1:22" x14ac:dyDescent="0.2">
      <c r="A121" s="51">
        <v>42887</v>
      </c>
      <c r="B121">
        <v>54.8</v>
      </c>
      <c r="C121">
        <v>47.4</v>
      </c>
      <c r="D121">
        <v>51.6</v>
      </c>
      <c r="E121">
        <v>55.4</v>
      </c>
      <c r="F121">
        <v>56.9</v>
      </c>
      <c r="G121">
        <v>54</v>
      </c>
      <c r="H121">
        <v>53.8</v>
      </c>
      <c r="I121">
        <v>53.1</v>
      </c>
      <c r="J121">
        <v>57.6</v>
      </c>
      <c r="K121">
        <v>53.6</v>
      </c>
      <c r="L121">
        <v>53.3</v>
      </c>
      <c r="M121"/>
      <c r="N121"/>
      <c r="O121"/>
      <c r="P121">
        <v>55.5</v>
      </c>
      <c r="Q121">
        <v>58.3</v>
      </c>
      <c r="R121"/>
      <c r="S121"/>
      <c r="T121"/>
      <c r="U121">
        <v>53.4</v>
      </c>
      <c r="V121">
        <v>54.2</v>
      </c>
    </row>
    <row r="122" spans="1:22" x14ac:dyDescent="0.2">
      <c r="A122" s="51">
        <v>42917</v>
      </c>
      <c r="B122">
        <v>56.4</v>
      </c>
      <c r="C122">
        <v>48.8</v>
      </c>
      <c r="D122">
        <v>51.5</v>
      </c>
      <c r="E122">
        <v>55.4</v>
      </c>
      <c r="F122">
        <v>56</v>
      </c>
      <c r="G122">
        <v>53.1</v>
      </c>
      <c r="H122">
        <v>53.7</v>
      </c>
      <c r="I122">
        <v>45.9</v>
      </c>
      <c r="J122">
        <v>58.3</v>
      </c>
      <c r="K122">
        <v>56.3</v>
      </c>
      <c r="L122">
        <v>52</v>
      </c>
      <c r="M122"/>
      <c r="N122"/>
      <c r="O122"/>
      <c r="P122">
        <v>52.6</v>
      </c>
      <c r="Q122">
        <v>57.6</v>
      </c>
      <c r="R122"/>
      <c r="S122"/>
      <c r="T122"/>
      <c r="U122">
        <v>53.8</v>
      </c>
      <c r="V122">
        <v>54.7</v>
      </c>
    </row>
    <row r="123" spans="1:22" x14ac:dyDescent="0.2">
      <c r="A123" s="51">
        <v>42948</v>
      </c>
      <c r="B123">
        <v>53</v>
      </c>
      <c r="C123">
        <v>49</v>
      </c>
      <c r="D123">
        <v>52.7</v>
      </c>
      <c r="E123">
        <v>54.7</v>
      </c>
      <c r="F123">
        <v>54.9</v>
      </c>
      <c r="G123">
        <v>53.5</v>
      </c>
      <c r="H123">
        <v>54.1</v>
      </c>
      <c r="I123">
        <v>47.5</v>
      </c>
      <c r="J123">
        <v>58.4</v>
      </c>
      <c r="K123">
        <v>55.1</v>
      </c>
      <c r="L123">
        <v>51.6</v>
      </c>
      <c r="M123"/>
      <c r="N123"/>
      <c r="O123"/>
      <c r="P123">
        <v>54.2</v>
      </c>
      <c r="Q123">
        <v>56</v>
      </c>
      <c r="R123"/>
      <c r="S123"/>
      <c r="T123"/>
      <c r="U123">
        <v>53.2</v>
      </c>
      <c r="V123">
        <v>56</v>
      </c>
    </row>
    <row r="124" spans="1:22" x14ac:dyDescent="0.2">
      <c r="A124" s="51">
        <v>42979</v>
      </c>
      <c r="B124">
        <v>52.1</v>
      </c>
      <c r="C124">
        <v>50.7</v>
      </c>
      <c r="D124">
        <v>50.6</v>
      </c>
      <c r="E124">
        <v>55.8</v>
      </c>
      <c r="F124">
        <v>57</v>
      </c>
      <c r="G124">
        <v>55.6</v>
      </c>
      <c r="H124">
        <v>54</v>
      </c>
      <c r="I124">
        <v>50.7</v>
      </c>
      <c r="J124">
        <v>58.7</v>
      </c>
      <c r="K124">
        <v>53.2</v>
      </c>
      <c r="L124">
        <v>51</v>
      </c>
      <c r="M124"/>
      <c r="N124"/>
      <c r="O124"/>
      <c r="P124">
        <v>55.2</v>
      </c>
      <c r="Q124">
        <v>56.7</v>
      </c>
      <c r="R124"/>
      <c r="S124"/>
      <c r="T124"/>
      <c r="U124">
        <v>53.6</v>
      </c>
      <c r="V124">
        <v>55.3</v>
      </c>
    </row>
    <row r="125" spans="1:22" x14ac:dyDescent="0.2">
      <c r="A125" s="51">
        <v>43009</v>
      </c>
      <c r="B125">
        <v>51.4</v>
      </c>
      <c r="C125">
        <v>48.8</v>
      </c>
      <c r="D125">
        <v>51.2</v>
      </c>
      <c r="E125">
        <v>55</v>
      </c>
      <c r="F125">
        <v>57.3</v>
      </c>
      <c r="G125">
        <v>54.7</v>
      </c>
      <c r="H125">
        <v>54.1</v>
      </c>
      <c r="I125">
        <v>51.7</v>
      </c>
      <c r="J125">
        <v>57.5</v>
      </c>
      <c r="K125">
        <v>52.1</v>
      </c>
      <c r="L125">
        <v>53.4</v>
      </c>
      <c r="M125"/>
      <c r="N125"/>
      <c r="O125"/>
      <c r="P125">
        <v>53.9</v>
      </c>
      <c r="Q125">
        <v>54.6</v>
      </c>
      <c r="R125"/>
      <c r="S125"/>
      <c r="T125"/>
      <c r="U125">
        <v>55.6</v>
      </c>
      <c r="V125">
        <v>55.3</v>
      </c>
    </row>
    <row r="126" spans="1:22" x14ac:dyDescent="0.2">
      <c r="A126" s="51">
        <v>43040</v>
      </c>
      <c r="B126">
        <v>51.7</v>
      </c>
      <c r="C126">
        <v>46.9</v>
      </c>
      <c r="D126">
        <v>51.9</v>
      </c>
      <c r="E126">
        <v>56.2</v>
      </c>
      <c r="F126">
        <v>60.4</v>
      </c>
      <c r="G126">
        <v>54.3</v>
      </c>
      <c r="H126">
        <v>53.7</v>
      </c>
      <c r="I126">
        <v>48.5</v>
      </c>
      <c r="J126">
        <v>56</v>
      </c>
      <c r="K126">
        <v>54.7</v>
      </c>
      <c r="L126">
        <v>51.2</v>
      </c>
      <c r="M126"/>
      <c r="N126"/>
      <c r="O126"/>
      <c r="P126">
        <v>57.4</v>
      </c>
      <c r="Q126">
        <v>54.4</v>
      </c>
      <c r="R126"/>
      <c r="S126"/>
      <c r="T126"/>
      <c r="U126">
        <v>53.8</v>
      </c>
      <c r="V126">
        <v>54.5</v>
      </c>
    </row>
    <row r="127" spans="1:22" x14ac:dyDescent="0.2">
      <c r="A127" s="51">
        <v>43070</v>
      </c>
      <c r="B127">
        <v>52</v>
      </c>
      <c r="C127">
        <v>47.4</v>
      </c>
      <c r="D127">
        <v>53.9</v>
      </c>
      <c r="E127">
        <v>56.6</v>
      </c>
      <c r="F127">
        <v>59.1</v>
      </c>
      <c r="G127">
        <v>55.8</v>
      </c>
      <c r="H127">
        <v>53.8</v>
      </c>
      <c r="I127">
        <v>50.9</v>
      </c>
      <c r="J127">
        <v>60.4</v>
      </c>
      <c r="K127">
        <v>55.4</v>
      </c>
      <c r="L127">
        <v>51.1</v>
      </c>
      <c r="M127"/>
      <c r="N127"/>
      <c r="O127"/>
      <c r="P127">
        <v>56.8</v>
      </c>
      <c r="Q127">
        <v>54.6</v>
      </c>
      <c r="R127"/>
      <c r="S127"/>
      <c r="T127"/>
      <c r="U127">
        <v>54.2</v>
      </c>
      <c r="V127">
        <v>53.7</v>
      </c>
    </row>
    <row r="128" spans="1:22" x14ac:dyDescent="0.2">
      <c r="A128" s="51">
        <v>43101</v>
      </c>
      <c r="B128">
        <v>54.9</v>
      </c>
      <c r="C128">
        <v>50</v>
      </c>
      <c r="D128">
        <v>54.7</v>
      </c>
      <c r="E128">
        <v>58</v>
      </c>
      <c r="F128">
        <v>59.2</v>
      </c>
      <c r="G128">
        <v>57.3</v>
      </c>
      <c r="H128">
        <v>54.1</v>
      </c>
      <c r="I128">
        <v>51.7</v>
      </c>
      <c r="J128">
        <v>59.8</v>
      </c>
      <c r="K128">
        <v>57.7</v>
      </c>
      <c r="L128">
        <v>51.9</v>
      </c>
      <c r="M128"/>
      <c r="N128"/>
      <c r="O128"/>
      <c r="P128">
        <v>55.1</v>
      </c>
      <c r="Q128">
        <v>56.9</v>
      </c>
      <c r="R128"/>
      <c r="S128"/>
      <c r="T128"/>
      <c r="U128">
        <v>53</v>
      </c>
      <c r="V128">
        <v>53.3</v>
      </c>
    </row>
    <row r="129" spans="1:22" x14ac:dyDescent="0.2">
      <c r="A129" s="51">
        <v>43132</v>
      </c>
      <c r="B129">
        <v>54</v>
      </c>
      <c r="C129">
        <v>52.7</v>
      </c>
      <c r="D129">
        <v>54.2</v>
      </c>
      <c r="E129">
        <v>56.2</v>
      </c>
      <c r="F129">
        <v>57.4</v>
      </c>
      <c r="G129">
        <v>55.3</v>
      </c>
      <c r="H129">
        <v>54.8</v>
      </c>
      <c r="I129">
        <v>47.8</v>
      </c>
      <c r="J129">
        <v>57.2</v>
      </c>
      <c r="K129">
        <v>55</v>
      </c>
      <c r="L129">
        <v>51.7</v>
      </c>
      <c r="M129"/>
      <c r="N129"/>
      <c r="O129"/>
      <c r="P129">
        <v>56.5</v>
      </c>
      <c r="Q129">
        <v>57.3</v>
      </c>
      <c r="R129"/>
      <c r="S129"/>
      <c r="T129"/>
      <c r="U129">
        <v>54.5</v>
      </c>
      <c r="V129">
        <v>55.9</v>
      </c>
    </row>
    <row r="130" spans="1:22" x14ac:dyDescent="0.2">
      <c r="A130" s="51">
        <v>43160</v>
      </c>
      <c r="B130">
        <v>56.9</v>
      </c>
      <c r="C130">
        <v>50.4</v>
      </c>
      <c r="D130">
        <v>52.3</v>
      </c>
      <c r="E130">
        <v>54.9</v>
      </c>
      <c r="F130">
        <v>56.8</v>
      </c>
      <c r="G130">
        <v>53.9</v>
      </c>
      <c r="H130">
        <v>53.2</v>
      </c>
      <c r="I130">
        <v>50.3</v>
      </c>
      <c r="J130">
        <v>56.5</v>
      </c>
      <c r="K130">
        <v>52.6</v>
      </c>
      <c r="L130">
        <v>50.9</v>
      </c>
      <c r="M130"/>
      <c r="N130"/>
      <c r="O130"/>
      <c r="P130">
        <v>53.7</v>
      </c>
      <c r="Q130">
        <v>56.2</v>
      </c>
      <c r="R130"/>
      <c r="S130"/>
      <c r="T130"/>
      <c r="U130">
        <v>51.7</v>
      </c>
      <c r="V130">
        <v>54</v>
      </c>
    </row>
    <row r="131" spans="1:22" x14ac:dyDescent="0.2">
      <c r="A131" s="51">
        <v>43191</v>
      </c>
      <c r="B131">
        <v>55.2</v>
      </c>
      <c r="C131">
        <v>50</v>
      </c>
      <c r="D131">
        <v>52.9</v>
      </c>
      <c r="E131">
        <v>54.7</v>
      </c>
      <c r="F131">
        <v>57.4</v>
      </c>
      <c r="G131">
        <v>53</v>
      </c>
      <c r="H131">
        <v>53.8</v>
      </c>
      <c r="I131">
        <v>51.4</v>
      </c>
      <c r="J131">
        <v>58.3</v>
      </c>
      <c r="K131">
        <v>52.6</v>
      </c>
      <c r="L131">
        <v>52.5</v>
      </c>
      <c r="M131"/>
      <c r="N131"/>
      <c r="O131"/>
      <c r="P131">
        <v>55.5</v>
      </c>
      <c r="Q131">
        <v>55.6</v>
      </c>
      <c r="R131"/>
      <c r="S131"/>
      <c r="T131"/>
      <c r="U131">
        <v>52.8</v>
      </c>
      <c r="V131">
        <v>54.6</v>
      </c>
    </row>
    <row r="132" spans="1:22" x14ac:dyDescent="0.2">
      <c r="A132" s="51">
        <v>43221</v>
      </c>
      <c r="B132">
        <v>59</v>
      </c>
      <c r="C132">
        <v>49.5</v>
      </c>
      <c r="D132">
        <v>52.9</v>
      </c>
      <c r="E132">
        <v>53.8</v>
      </c>
      <c r="F132">
        <v>54.3</v>
      </c>
      <c r="G132">
        <v>52.1</v>
      </c>
      <c r="H132">
        <v>54.3</v>
      </c>
      <c r="I132">
        <v>49.6</v>
      </c>
      <c r="J132">
        <v>59.3</v>
      </c>
      <c r="K132">
        <v>53.1</v>
      </c>
      <c r="L132">
        <v>51</v>
      </c>
      <c r="M132"/>
      <c r="N132"/>
      <c r="O132"/>
      <c r="P132">
        <v>54.1</v>
      </c>
      <c r="Q132">
        <v>56.4</v>
      </c>
      <c r="R132"/>
      <c r="S132"/>
      <c r="T132"/>
      <c r="U132">
        <v>54</v>
      </c>
      <c r="V132">
        <v>56.8</v>
      </c>
    </row>
    <row r="133" spans="1:22" x14ac:dyDescent="0.2">
      <c r="A133" s="51">
        <v>43252</v>
      </c>
      <c r="B133">
        <v>63</v>
      </c>
      <c r="C133">
        <v>47</v>
      </c>
      <c r="D133">
        <v>53.9</v>
      </c>
      <c r="E133">
        <v>55.2</v>
      </c>
      <c r="F133">
        <v>55.9</v>
      </c>
      <c r="G133">
        <v>54.5</v>
      </c>
      <c r="H133">
        <v>54.6</v>
      </c>
      <c r="I133">
        <v>52.6</v>
      </c>
      <c r="J133">
        <v>59.5</v>
      </c>
      <c r="K133">
        <v>54.3</v>
      </c>
      <c r="L133">
        <v>51.4</v>
      </c>
      <c r="M133"/>
      <c r="N133"/>
      <c r="O133"/>
      <c r="P133">
        <v>52.3</v>
      </c>
      <c r="Q133">
        <v>55.4</v>
      </c>
      <c r="R133"/>
      <c r="S133"/>
      <c r="T133"/>
      <c r="U133">
        <v>55.1</v>
      </c>
      <c r="V133">
        <v>56.5</v>
      </c>
    </row>
    <row r="134" spans="1:22" x14ac:dyDescent="0.2">
      <c r="A134" s="51">
        <v>43282</v>
      </c>
      <c r="B134">
        <v>53.6</v>
      </c>
      <c r="C134">
        <v>50.4</v>
      </c>
      <c r="D134">
        <v>52.8</v>
      </c>
      <c r="E134">
        <v>54.2</v>
      </c>
      <c r="F134">
        <v>54.9</v>
      </c>
      <c r="G134">
        <v>54.1</v>
      </c>
      <c r="H134">
        <v>54</v>
      </c>
      <c r="I134">
        <v>54.2</v>
      </c>
      <c r="J134">
        <v>57.4</v>
      </c>
      <c r="K134">
        <v>54</v>
      </c>
      <c r="L134">
        <v>51.3</v>
      </c>
      <c r="M134"/>
      <c r="N134"/>
      <c r="O134"/>
      <c r="P134">
        <v>52.8</v>
      </c>
      <c r="Q134">
        <v>52.6</v>
      </c>
      <c r="R134"/>
      <c r="S134"/>
      <c r="T134"/>
      <c r="U134">
        <v>53.5</v>
      </c>
      <c r="V134">
        <v>56</v>
      </c>
    </row>
    <row r="135" spans="1:22" x14ac:dyDescent="0.2">
      <c r="A135" s="51">
        <v>43313</v>
      </c>
      <c r="B135">
        <v>52.2</v>
      </c>
      <c r="C135">
        <v>46.8</v>
      </c>
      <c r="D135">
        <v>51.5</v>
      </c>
      <c r="E135">
        <v>54.4</v>
      </c>
      <c r="F135">
        <v>55.4</v>
      </c>
      <c r="G135">
        <v>55</v>
      </c>
      <c r="H135">
        <v>53.5</v>
      </c>
      <c r="I135">
        <v>51.5</v>
      </c>
      <c r="J135">
        <v>58</v>
      </c>
      <c r="K135">
        <v>52.6</v>
      </c>
      <c r="L135">
        <v>51.5</v>
      </c>
      <c r="M135"/>
      <c r="N135"/>
      <c r="O135"/>
      <c r="P135">
        <v>53.3</v>
      </c>
      <c r="Q135">
        <v>52.7</v>
      </c>
      <c r="R135"/>
      <c r="S135"/>
      <c r="T135"/>
      <c r="U135">
        <v>54.3</v>
      </c>
      <c r="V135">
        <v>55.2</v>
      </c>
    </row>
    <row r="136" spans="1:22" x14ac:dyDescent="0.2">
      <c r="A136" s="51">
        <v>43344</v>
      </c>
      <c r="B136">
        <v>52.5</v>
      </c>
      <c r="C136">
        <v>46.4</v>
      </c>
      <c r="D136">
        <v>53.1</v>
      </c>
      <c r="E136">
        <v>54.7</v>
      </c>
      <c r="F136">
        <v>54.8</v>
      </c>
      <c r="G136">
        <v>55.9</v>
      </c>
      <c r="H136">
        <v>52.9</v>
      </c>
      <c r="I136">
        <v>50.9</v>
      </c>
      <c r="J136">
        <v>58.7</v>
      </c>
      <c r="K136">
        <v>53.3</v>
      </c>
      <c r="L136">
        <v>50.2</v>
      </c>
      <c r="M136"/>
      <c r="N136"/>
      <c r="O136"/>
      <c r="P136">
        <v>54.7</v>
      </c>
      <c r="Q136">
        <v>52.5</v>
      </c>
      <c r="R136"/>
      <c r="S136"/>
      <c r="T136"/>
      <c r="U136">
        <v>53.9</v>
      </c>
      <c r="V136">
        <v>52.9</v>
      </c>
    </row>
    <row r="137" spans="1:22" x14ac:dyDescent="0.2">
      <c r="A137" s="51">
        <v>43374</v>
      </c>
      <c r="B137">
        <v>51.1</v>
      </c>
      <c r="C137">
        <v>50.5</v>
      </c>
      <c r="D137">
        <v>50.8</v>
      </c>
      <c r="E137">
        <v>53.7</v>
      </c>
      <c r="F137">
        <v>55.3</v>
      </c>
      <c r="G137">
        <v>54.7</v>
      </c>
      <c r="H137">
        <v>53.4</v>
      </c>
      <c r="I137">
        <v>52.2</v>
      </c>
      <c r="J137">
        <v>57.2</v>
      </c>
      <c r="K137">
        <v>49.2</v>
      </c>
      <c r="L137">
        <v>52.4</v>
      </c>
      <c r="M137"/>
      <c r="N137"/>
      <c r="O137"/>
      <c r="P137">
        <v>56.9</v>
      </c>
      <c r="Q137">
        <v>54</v>
      </c>
      <c r="R137"/>
      <c r="S137"/>
      <c r="T137"/>
      <c r="U137">
        <v>52.2</v>
      </c>
      <c r="V137">
        <v>54.8</v>
      </c>
    </row>
    <row r="138" spans="1:22" x14ac:dyDescent="0.2">
      <c r="A138" s="51">
        <v>43405</v>
      </c>
      <c r="B138">
        <v>55.1</v>
      </c>
      <c r="C138">
        <v>51.3</v>
      </c>
      <c r="D138">
        <v>53.8</v>
      </c>
      <c r="E138">
        <v>53.4</v>
      </c>
      <c r="F138">
        <v>55.1</v>
      </c>
      <c r="G138">
        <v>53.3</v>
      </c>
      <c r="H138">
        <v>53.7</v>
      </c>
      <c r="I138">
        <v>53.7</v>
      </c>
      <c r="J138">
        <v>57.1</v>
      </c>
      <c r="K138">
        <v>50.3</v>
      </c>
      <c r="L138">
        <v>52.3</v>
      </c>
      <c r="M138"/>
      <c r="N138"/>
      <c r="O138"/>
      <c r="P138">
        <v>55.6</v>
      </c>
      <c r="Q138">
        <v>54</v>
      </c>
      <c r="R138"/>
      <c r="S138"/>
      <c r="T138"/>
      <c r="U138">
        <v>50.4</v>
      </c>
      <c r="V138">
        <v>54.4</v>
      </c>
    </row>
    <row r="139" spans="1:22" x14ac:dyDescent="0.2">
      <c r="A139" s="51">
        <v>43435</v>
      </c>
      <c r="B139">
        <v>52.1</v>
      </c>
      <c r="C139">
        <v>51.9</v>
      </c>
      <c r="D139">
        <v>53.9</v>
      </c>
      <c r="E139">
        <v>51.2</v>
      </c>
      <c r="F139">
        <v>49</v>
      </c>
      <c r="G139">
        <v>51.8</v>
      </c>
      <c r="H139">
        <v>53</v>
      </c>
      <c r="I139">
        <v>53.2</v>
      </c>
      <c r="J139">
        <v>56.3</v>
      </c>
      <c r="K139">
        <v>50.5</v>
      </c>
      <c r="L139">
        <v>51</v>
      </c>
      <c r="M139"/>
      <c r="N139"/>
      <c r="O139"/>
      <c r="P139">
        <v>54.4</v>
      </c>
      <c r="Q139">
        <v>54</v>
      </c>
      <c r="R139"/>
      <c r="S139"/>
      <c r="T139"/>
      <c r="U139">
        <v>51.2</v>
      </c>
      <c r="V139">
        <v>54.4</v>
      </c>
    </row>
    <row r="140" spans="1:22" x14ac:dyDescent="0.2">
      <c r="A140" s="51">
        <v>43466</v>
      </c>
      <c r="B140">
        <v>44.3</v>
      </c>
      <c r="C140">
        <v>52</v>
      </c>
      <c r="D140">
        <v>53.6</v>
      </c>
      <c r="E140">
        <v>51.2</v>
      </c>
      <c r="F140">
        <v>47.8</v>
      </c>
      <c r="G140">
        <v>53</v>
      </c>
      <c r="H140">
        <v>52.6</v>
      </c>
      <c r="I140">
        <v>52.2</v>
      </c>
      <c r="J140">
        <v>54.2</v>
      </c>
      <c r="K140">
        <v>49.7</v>
      </c>
      <c r="L140">
        <v>51.6</v>
      </c>
      <c r="M140"/>
      <c r="N140"/>
      <c r="O140"/>
      <c r="P140">
        <v>54.9</v>
      </c>
      <c r="Q140">
        <v>54.7</v>
      </c>
      <c r="R140"/>
      <c r="S140"/>
      <c r="T140"/>
      <c r="U140">
        <v>50.1</v>
      </c>
      <c r="V140">
        <v>54.2</v>
      </c>
    </row>
    <row r="141" spans="1:22" x14ac:dyDescent="0.2">
      <c r="A141" s="51">
        <v>43497</v>
      </c>
      <c r="B141">
        <v>44.5</v>
      </c>
      <c r="C141">
        <v>52.2</v>
      </c>
      <c r="D141">
        <v>51.1</v>
      </c>
      <c r="E141">
        <v>52.8</v>
      </c>
      <c r="F141">
        <v>50.2</v>
      </c>
      <c r="G141">
        <v>55.3</v>
      </c>
      <c r="H141">
        <v>53.3</v>
      </c>
      <c r="I141">
        <v>52.5</v>
      </c>
      <c r="J141">
        <v>55.9</v>
      </c>
      <c r="K141">
        <v>50.4</v>
      </c>
      <c r="L141">
        <v>52.3</v>
      </c>
      <c r="M141"/>
      <c r="N141"/>
      <c r="O141"/>
      <c r="P141">
        <v>55.3</v>
      </c>
      <c r="Q141">
        <v>54.5</v>
      </c>
      <c r="R141"/>
      <c r="S141"/>
      <c r="T141"/>
      <c r="U141">
        <v>51.3</v>
      </c>
      <c r="V141">
        <v>56.2</v>
      </c>
    </row>
    <row r="142" spans="1:22" x14ac:dyDescent="0.2">
      <c r="A142" s="51">
        <v>43525</v>
      </c>
      <c r="B142">
        <v>44.8</v>
      </c>
      <c r="C142">
        <v>52.7</v>
      </c>
      <c r="D142">
        <v>54.4</v>
      </c>
      <c r="E142">
        <v>53.3</v>
      </c>
      <c r="F142">
        <v>49.1</v>
      </c>
      <c r="G142">
        <v>55.4</v>
      </c>
      <c r="H142">
        <v>53.7</v>
      </c>
      <c r="I142">
        <v>52</v>
      </c>
      <c r="J142">
        <v>55.3</v>
      </c>
      <c r="K142">
        <v>53.1</v>
      </c>
      <c r="L142">
        <v>52</v>
      </c>
      <c r="M142"/>
      <c r="N142"/>
      <c r="O142"/>
      <c r="P142">
        <v>54.4</v>
      </c>
      <c r="Q142">
        <v>56.8</v>
      </c>
      <c r="R142"/>
      <c r="S142"/>
      <c r="T142"/>
      <c r="U142">
        <v>48.9</v>
      </c>
      <c r="V142">
        <v>54.8</v>
      </c>
    </row>
    <row r="143" spans="1:22" x14ac:dyDescent="0.2">
      <c r="A143" s="51">
        <v>43556</v>
      </c>
      <c r="B143">
        <v>46.5</v>
      </c>
      <c r="C143">
        <v>49.9</v>
      </c>
      <c r="D143">
        <v>54.5</v>
      </c>
      <c r="E143">
        <v>52.8</v>
      </c>
      <c r="F143">
        <v>50.5</v>
      </c>
      <c r="G143">
        <v>55.7</v>
      </c>
      <c r="H143">
        <v>52.7</v>
      </c>
      <c r="I143">
        <v>51</v>
      </c>
      <c r="J143">
        <v>54.7</v>
      </c>
      <c r="K143">
        <v>50.4</v>
      </c>
      <c r="L143">
        <v>51.8</v>
      </c>
      <c r="M143"/>
      <c r="N143"/>
      <c r="O143"/>
      <c r="P143">
        <v>52.6</v>
      </c>
      <c r="Q143">
        <v>53.1</v>
      </c>
      <c r="R143"/>
      <c r="S143"/>
      <c r="T143"/>
      <c r="U143">
        <v>50.4</v>
      </c>
      <c r="V143">
        <v>53</v>
      </c>
    </row>
    <row r="144" spans="1:22" x14ac:dyDescent="0.2">
      <c r="A144" s="51">
        <v>43586</v>
      </c>
      <c r="B144">
        <v>52.5</v>
      </c>
      <c r="C144">
        <v>47.8</v>
      </c>
      <c r="D144">
        <v>52.7</v>
      </c>
      <c r="E144">
        <v>52.9</v>
      </c>
      <c r="F144">
        <v>51.5</v>
      </c>
      <c r="G144">
        <v>55.4</v>
      </c>
      <c r="H144">
        <v>51.6</v>
      </c>
      <c r="I144">
        <v>50.2</v>
      </c>
      <c r="J144">
        <v>57</v>
      </c>
      <c r="K144">
        <v>50</v>
      </c>
      <c r="L144">
        <v>51.7</v>
      </c>
      <c r="M144"/>
      <c r="N144"/>
      <c r="O144"/>
      <c r="P144">
        <v>52</v>
      </c>
      <c r="Q144">
        <v>52.8</v>
      </c>
      <c r="R144"/>
      <c r="S144"/>
      <c r="T144"/>
      <c r="U144">
        <v>51</v>
      </c>
      <c r="V144">
        <v>50.9</v>
      </c>
    </row>
    <row r="145" spans="1:22" x14ac:dyDescent="0.2">
      <c r="A145" s="51">
        <v>43617</v>
      </c>
      <c r="B145">
        <v>52.2</v>
      </c>
      <c r="C145">
        <v>48.2</v>
      </c>
      <c r="D145">
        <v>52</v>
      </c>
      <c r="E145">
        <v>53.6</v>
      </c>
      <c r="F145">
        <v>52.9</v>
      </c>
      <c r="G145">
        <v>55.8</v>
      </c>
      <c r="H145">
        <v>51.9</v>
      </c>
      <c r="I145">
        <v>49.6</v>
      </c>
      <c r="J145">
        <v>56.9</v>
      </c>
      <c r="K145">
        <v>50.5</v>
      </c>
      <c r="L145">
        <v>51.9</v>
      </c>
      <c r="M145"/>
      <c r="N145"/>
      <c r="O145"/>
      <c r="P145">
        <v>49.7</v>
      </c>
      <c r="Q145">
        <v>53.6</v>
      </c>
      <c r="R145"/>
      <c r="S145"/>
      <c r="T145"/>
      <c r="U145">
        <v>50.2</v>
      </c>
      <c r="V145">
        <v>51.5</v>
      </c>
    </row>
    <row r="146" spans="1:22" x14ac:dyDescent="0.2">
      <c r="A146" s="51">
        <v>43647</v>
      </c>
      <c r="B146">
        <v>43.9</v>
      </c>
      <c r="C146">
        <v>52.2</v>
      </c>
      <c r="D146">
        <v>51.6</v>
      </c>
      <c r="E146">
        <v>53.2</v>
      </c>
      <c r="F146">
        <v>52.6</v>
      </c>
      <c r="G146">
        <v>54.5</v>
      </c>
      <c r="H146">
        <v>52.5</v>
      </c>
      <c r="I146">
        <v>53.8</v>
      </c>
      <c r="J146">
        <v>55</v>
      </c>
      <c r="K146">
        <v>51.7</v>
      </c>
      <c r="L146">
        <v>51.8</v>
      </c>
      <c r="M146"/>
      <c r="N146"/>
      <c r="O146"/>
      <c r="P146">
        <v>50.4</v>
      </c>
      <c r="Q146">
        <v>52.9</v>
      </c>
      <c r="R146"/>
      <c r="S146"/>
      <c r="T146"/>
      <c r="U146">
        <v>51.4</v>
      </c>
      <c r="V146">
        <v>53</v>
      </c>
    </row>
    <row r="147" spans="1:22" x14ac:dyDescent="0.2">
      <c r="A147" s="51">
        <v>43678</v>
      </c>
      <c r="B147">
        <v>51.4</v>
      </c>
      <c r="C147">
        <v>51.4</v>
      </c>
      <c r="D147">
        <v>52.1</v>
      </c>
      <c r="E147">
        <v>53.5</v>
      </c>
      <c r="F147">
        <v>53.4</v>
      </c>
      <c r="G147">
        <v>54.8</v>
      </c>
      <c r="H147">
        <v>51.8</v>
      </c>
      <c r="I147">
        <v>52.4</v>
      </c>
      <c r="J147">
        <v>54.6</v>
      </c>
      <c r="K147">
        <v>50.6</v>
      </c>
      <c r="L147">
        <v>53.3</v>
      </c>
      <c r="M147"/>
      <c r="N147"/>
      <c r="O147"/>
      <c r="P147">
        <v>52.1</v>
      </c>
      <c r="Q147">
        <v>54.3</v>
      </c>
      <c r="R147"/>
      <c r="S147"/>
      <c r="T147"/>
      <c r="U147">
        <v>50.6</v>
      </c>
      <c r="V147">
        <v>50.7</v>
      </c>
    </row>
    <row r="148" spans="1:22" x14ac:dyDescent="0.2">
      <c r="A148" s="51">
        <v>43709</v>
      </c>
      <c r="B148">
        <v>51.5</v>
      </c>
      <c r="C148">
        <v>51.8</v>
      </c>
      <c r="D148">
        <v>51.3</v>
      </c>
      <c r="E148">
        <v>51.6</v>
      </c>
      <c r="F148">
        <v>51.1</v>
      </c>
      <c r="G148">
        <v>51.4</v>
      </c>
      <c r="H148">
        <v>51.6</v>
      </c>
      <c r="I148">
        <v>48.7</v>
      </c>
      <c r="J148">
        <v>53.1</v>
      </c>
      <c r="K148">
        <v>51.4</v>
      </c>
      <c r="L148">
        <v>52.8</v>
      </c>
      <c r="M148"/>
      <c r="N148"/>
      <c r="O148"/>
      <c r="P148">
        <v>53.6</v>
      </c>
      <c r="Q148">
        <v>53.3</v>
      </c>
      <c r="R148"/>
      <c r="S148"/>
      <c r="T148"/>
      <c r="U148">
        <v>49.5</v>
      </c>
      <c r="V148">
        <v>50.9</v>
      </c>
    </row>
    <row r="149" spans="1:22" x14ac:dyDescent="0.2">
      <c r="A149" s="51">
        <v>43739</v>
      </c>
      <c r="B149">
        <v>54.2</v>
      </c>
      <c r="C149">
        <v>51.2</v>
      </c>
      <c r="D149">
        <v>51.1</v>
      </c>
      <c r="E149">
        <v>52.2</v>
      </c>
      <c r="F149">
        <v>52.9</v>
      </c>
      <c r="G149">
        <v>51.6</v>
      </c>
      <c r="H149">
        <v>51</v>
      </c>
      <c r="I149">
        <v>49.2</v>
      </c>
      <c r="J149">
        <v>50.6</v>
      </c>
      <c r="K149">
        <v>52.2</v>
      </c>
      <c r="L149">
        <v>49.7</v>
      </c>
      <c r="M149"/>
      <c r="N149"/>
      <c r="O149"/>
      <c r="P149">
        <v>55.8</v>
      </c>
      <c r="Q149">
        <v>52.7</v>
      </c>
      <c r="R149"/>
      <c r="S149"/>
      <c r="T149"/>
      <c r="U149">
        <v>50</v>
      </c>
      <c r="V149">
        <v>50.6</v>
      </c>
    </row>
    <row r="150" spans="1:22" x14ac:dyDescent="0.2">
      <c r="A150" s="51">
        <v>43770</v>
      </c>
      <c r="B150">
        <v>53.7</v>
      </c>
      <c r="C150">
        <v>50.9</v>
      </c>
      <c r="D150">
        <v>53.5</v>
      </c>
      <c r="E150">
        <v>51.9</v>
      </c>
      <c r="F150">
        <v>52.2</v>
      </c>
      <c r="G150">
        <v>51.7</v>
      </c>
      <c r="H150">
        <v>51.6</v>
      </c>
      <c r="I150">
        <v>52.7</v>
      </c>
      <c r="J150">
        <v>52</v>
      </c>
      <c r="K150">
        <v>50.4</v>
      </c>
      <c r="L150">
        <v>50.3</v>
      </c>
      <c r="M150"/>
      <c r="N150"/>
      <c r="O150"/>
      <c r="P150">
        <v>55.6</v>
      </c>
      <c r="Q150">
        <v>53.2</v>
      </c>
      <c r="R150"/>
      <c r="S150"/>
      <c r="T150"/>
      <c r="U150">
        <v>49.3</v>
      </c>
      <c r="V150">
        <v>51.6</v>
      </c>
    </row>
    <row r="151" spans="1:22" x14ac:dyDescent="0.2">
      <c r="A151" s="51">
        <v>43800</v>
      </c>
      <c r="B151">
        <v>48.7</v>
      </c>
      <c r="C151">
        <v>51</v>
      </c>
      <c r="D151">
        <v>52.5</v>
      </c>
      <c r="E151">
        <v>52.8</v>
      </c>
      <c r="F151">
        <v>52.4</v>
      </c>
      <c r="G151">
        <v>52.9</v>
      </c>
      <c r="H151">
        <v>52</v>
      </c>
      <c r="I151">
        <v>53.3</v>
      </c>
      <c r="J151">
        <v>55.9</v>
      </c>
      <c r="K151">
        <v>51.1</v>
      </c>
      <c r="L151">
        <v>49.4</v>
      </c>
      <c r="M151"/>
      <c r="N151"/>
      <c r="O151"/>
      <c r="P151">
        <v>53.1</v>
      </c>
      <c r="Q151">
        <v>54.9</v>
      </c>
      <c r="R151"/>
      <c r="S151"/>
      <c r="T151"/>
      <c r="U151">
        <v>50</v>
      </c>
      <c r="V151">
        <v>52.8</v>
      </c>
    </row>
    <row r="152" spans="1:22" x14ac:dyDescent="0.2">
      <c r="A152" s="51">
        <v>43831</v>
      </c>
      <c r="B152">
        <v>46.6</v>
      </c>
      <c r="C152">
        <v>52.7</v>
      </c>
      <c r="D152">
        <v>51.8</v>
      </c>
      <c r="E152">
        <v>52.5</v>
      </c>
      <c r="F152">
        <v>51</v>
      </c>
      <c r="G152">
        <v>54.2</v>
      </c>
      <c r="H152">
        <v>52.7</v>
      </c>
      <c r="I152">
        <v>55.5</v>
      </c>
      <c r="J152">
        <v>56.9</v>
      </c>
      <c r="K152">
        <v>51.4</v>
      </c>
      <c r="L152">
        <v>51</v>
      </c>
      <c r="M152"/>
      <c r="N152"/>
      <c r="O152"/>
      <c r="P152">
        <v>54.1</v>
      </c>
      <c r="Q152">
        <v>52.3</v>
      </c>
      <c r="R152"/>
      <c r="S152"/>
      <c r="T152"/>
      <c r="U152">
        <v>53.9</v>
      </c>
      <c r="V152">
        <v>53.4</v>
      </c>
    </row>
    <row r="153" spans="1:22" x14ac:dyDescent="0.2">
      <c r="A153" s="51">
        <v>43862</v>
      </c>
      <c r="B153">
        <v>47</v>
      </c>
      <c r="C153">
        <v>50.4</v>
      </c>
      <c r="D153">
        <v>26.5</v>
      </c>
      <c r="E153">
        <v>52.6</v>
      </c>
      <c r="F153">
        <v>52.5</v>
      </c>
      <c r="G153">
        <v>52.5</v>
      </c>
      <c r="H153">
        <v>47.1</v>
      </c>
      <c r="I153">
        <v>57.5</v>
      </c>
      <c r="J153">
        <v>59.9</v>
      </c>
      <c r="K153">
        <v>52.1</v>
      </c>
      <c r="L153">
        <v>46.8</v>
      </c>
      <c r="M153"/>
      <c r="N153"/>
      <c r="O153"/>
      <c r="P153">
        <v>52</v>
      </c>
      <c r="Q153">
        <v>52.1</v>
      </c>
      <c r="R153"/>
      <c r="S153"/>
      <c r="T153"/>
      <c r="U153">
        <v>53.2</v>
      </c>
      <c r="V153">
        <v>49.4</v>
      </c>
    </row>
    <row r="154" spans="1:22" x14ac:dyDescent="0.2">
      <c r="A154" s="51">
        <v>43891</v>
      </c>
      <c r="B154">
        <v>38.700000000000003</v>
      </c>
      <c r="C154">
        <v>34.5</v>
      </c>
      <c r="D154">
        <v>43</v>
      </c>
      <c r="E154">
        <v>26.4</v>
      </c>
      <c r="F154">
        <v>27.4</v>
      </c>
      <c r="G154">
        <v>31.7</v>
      </c>
      <c r="H154">
        <v>36.799999999999997</v>
      </c>
      <c r="I154">
        <v>49.3</v>
      </c>
      <c r="J154">
        <v>32.5</v>
      </c>
      <c r="K154">
        <v>17.399999999999999</v>
      </c>
      <c r="L154">
        <v>33.799999999999997</v>
      </c>
      <c r="M154"/>
      <c r="N154"/>
      <c r="O154"/>
      <c r="P154">
        <v>37.1</v>
      </c>
      <c r="Q154">
        <v>23</v>
      </c>
      <c r="R154"/>
      <c r="S154"/>
      <c r="T154"/>
      <c r="U154">
        <v>34.5</v>
      </c>
      <c r="V154">
        <v>39.799999999999997</v>
      </c>
    </row>
    <row r="155" spans="1:22" x14ac:dyDescent="0.2">
      <c r="A155" s="51">
        <v>43922</v>
      </c>
      <c r="B155">
        <v>27.1</v>
      </c>
      <c r="C155">
        <v>27.4</v>
      </c>
      <c r="D155">
        <v>44.4</v>
      </c>
      <c r="E155">
        <v>12</v>
      </c>
      <c r="F155">
        <v>10.199999999999999</v>
      </c>
      <c r="G155">
        <v>16.2</v>
      </c>
      <c r="H155">
        <v>24</v>
      </c>
      <c r="I155">
        <v>49.3</v>
      </c>
      <c r="J155">
        <v>13.9</v>
      </c>
      <c r="K155">
        <v>10.8</v>
      </c>
      <c r="L155">
        <v>22.8</v>
      </c>
      <c r="M155"/>
      <c r="N155"/>
      <c r="O155"/>
      <c r="P155">
        <v>12.2</v>
      </c>
      <c r="Q155">
        <v>7.1</v>
      </c>
      <c r="R155"/>
      <c r="S155"/>
      <c r="T155"/>
      <c r="U155">
        <v>13.4</v>
      </c>
      <c r="V155">
        <v>26.7</v>
      </c>
    </row>
    <row r="156" spans="1:22" x14ac:dyDescent="0.2">
      <c r="A156" s="51">
        <v>43952</v>
      </c>
      <c r="B156">
        <v>31.6</v>
      </c>
      <c r="C156">
        <v>27.6</v>
      </c>
      <c r="D156">
        <v>55</v>
      </c>
      <c r="E156">
        <v>30.5</v>
      </c>
      <c r="F156">
        <v>31.1</v>
      </c>
      <c r="G156">
        <v>32.6</v>
      </c>
      <c r="H156">
        <v>35.1</v>
      </c>
      <c r="I156">
        <v>12.6</v>
      </c>
      <c r="J156">
        <v>23.4</v>
      </c>
      <c r="K156">
        <v>28.9</v>
      </c>
      <c r="L156">
        <v>26.5</v>
      </c>
      <c r="M156"/>
      <c r="N156"/>
      <c r="O156"/>
      <c r="P156">
        <v>35.9</v>
      </c>
      <c r="Q156">
        <v>27.9</v>
      </c>
      <c r="R156"/>
      <c r="S156"/>
      <c r="T156"/>
      <c r="U156">
        <v>29</v>
      </c>
      <c r="V156">
        <v>37.5</v>
      </c>
    </row>
    <row r="157" spans="1:22" x14ac:dyDescent="0.2">
      <c r="A157" s="51">
        <v>43983</v>
      </c>
      <c r="B157">
        <v>31.5</v>
      </c>
      <c r="C157">
        <v>35.9</v>
      </c>
      <c r="D157">
        <v>58.4</v>
      </c>
      <c r="E157">
        <v>48.3</v>
      </c>
      <c r="F157">
        <v>50.7</v>
      </c>
      <c r="G157">
        <v>47.3</v>
      </c>
      <c r="H157">
        <v>48</v>
      </c>
      <c r="I157">
        <v>33.700000000000003</v>
      </c>
      <c r="J157">
        <v>39.700000000000003</v>
      </c>
      <c r="K157">
        <v>46.4</v>
      </c>
      <c r="L157">
        <v>45</v>
      </c>
      <c r="M157"/>
      <c r="N157"/>
      <c r="O157"/>
      <c r="P157">
        <v>47.8</v>
      </c>
      <c r="Q157">
        <v>50.2</v>
      </c>
      <c r="R157"/>
      <c r="S157"/>
      <c r="T157"/>
      <c r="U157">
        <v>47.1</v>
      </c>
      <c r="V157">
        <v>47.9</v>
      </c>
    </row>
    <row r="158" spans="1:22" x14ac:dyDescent="0.2">
      <c r="A158" s="51">
        <v>44013</v>
      </c>
      <c r="B158">
        <v>44</v>
      </c>
      <c r="C158">
        <v>42.5</v>
      </c>
      <c r="D158">
        <v>54.1</v>
      </c>
      <c r="E158">
        <v>54.7</v>
      </c>
      <c r="F158">
        <v>57.3</v>
      </c>
      <c r="G158">
        <v>55.6</v>
      </c>
      <c r="H158">
        <v>50.6</v>
      </c>
      <c r="I158">
        <v>34.200000000000003</v>
      </c>
      <c r="J158">
        <v>51.9</v>
      </c>
      <c r="K158">
        <v>51.6</v>
      </c>
      <c r="L158">
        <v>45.4</v>
      </c>
      <c r="M158"/>
      <c r="N158"/>
      <c r="O158"/>
      <c r="P158">
        <v>58.5</v>
      </c>
      <c r="Q158">
        <v>51.9</v>
      </c>
      <c r="R158"/>
      <c r="S158"/>
      <c r="T158"/>
      <c r="U158">
        <v>56.5</v>
      </c>
      <c r="V158">
        <v>50</v>
      </c>
    </row>
    <row r="159" spans="1:22" x14ac:dyDescent="0.2">
      <c r="A159" s="51">
        <v>44044</v>
      </c>
      <c r="B159">
        <v>43.5</v>
      </c>
      <c r="C159">
        <v>49.5</v>
      </c>
      <c r="D159">
        <v>54</v>
      </c>
      <c r="E159">
        <v>50.5</v>
      </c>
      <c r="F159">
        <v>51.5</v>
      </c>
      <c r="G159">
        <v>52.5</v>
      </c>
      <c r="H159">
        <v>52</v>
      </c>
      <c r="I159">
        <v>41.8</v>
      </c>
      <c r="J159">
        <v>52.4</v>
      </c>
      <c r="K159">
        <v>47.1</v>
      </c>
      <c r="L159">
        <v>45</v>
      </c>
      <c r="M159"/>
      <c r="N159"/>
      <c r="O159"/>
      <c r="P159">
        <v>58.2</v>
      </c>
      <c r="Q159">
        <v>47.7</v>
      </c>
      <c r="R159"/>
      <c r="S159"/>
      <c r="T159"/>
      <c r="U159">
        <v>58.8</v>
      </c>
      <c r="V159">
        <v>55</v>
      </c>
    </row>
    <row r="160" spans="1:22" x14ac:dyDescent="0.2">
      <c r="A160" s="51">
        <v>44075</v>
      </c>
      <c r="B160">
        <v>36.200000000000003</v>
      </c>
      <c r="C160">
        <v>50.4</v>
      </c>
      <c r="D160">
        <v>54.8</v>
      </c>
      <c r="E160">
        <v>48</v>
      </c>
      <c r="F160">
        <v>47.5</v>
      </c>
      <c r="G160">
        <v>50.6</v>
      </c>
      <c r="H160">
        <v>52</v>
      </c>
      <c r="I160">
        <v>49.8</v>
      </c>
      <c r="J160">
        <v>45.8</v>
      </c>
      <c r="K160">
        <v>48.8</v>
      </c>
      <c r="L160">
        <v>46.9</v>
      </c>
      <c r="M160"/>
      <c r="N160"/>
      <c r="O160"/>
      <c r="P160">
        <v>53.7</v>
      </c>
      <c r="Q160">
        <v>42.4</v>
      </c>
      <c r="R160"/>
      <c r="S160"/>
      <c r="T160"/>
      <c r="U160">
        <v>56.1</v>
      </c>
      <c r="V160">
        <v>54.6</v>
      </c>
    </row>
    <row r="161" spans="1:22" x14ac:dyDescent="0.2">
      <c r="A161" s="51">
        <v>44105</v>
      </c>
      <c r="B161">
        <v>51.4</v>
      </c>
      <c r="C161">
        <v>52.3</v>
      </c>
      <c r="D161">
        <v>56.8</v>
      </c>
      <c r="E161">
        <v>46.9</v>
      </c>
      <c r="F161">
        <v>46.5</v>
      </c>
      <c r="G161">
        <v>49.5</v>
      </c>
      <c r="H161">
        <v>52.9</v>
      </c>
      <c r="I161">
        <v>54.1</v>
      </c>
      <c r="J161">
        <v>48.3</v>
      </c>
      <c r="K161">
        <v>46.7</v>
      </c>
      <c r="L161">
        <v>47.7</v>
      </c>
      <c r="M161"/>
      <c r="N161"/>
      <c r="O161"/>
      <c r="P161">
        <v>46.9</v>
      </c>
      <c r="Q161">
        <v>41.4</v>
      </c>
      <c r="R161"/>
      <c r="S161"/>
      <c r="T161"/>
      <c r="U161">
        <v>51.4</v>
      </c>
      <c r="V161">
        <v>56.9</v>
      </c>
    </row>
    <row r="162" spans="1:22" x14ac:dyDescent="0.2">
      <c r="A162" s="51">
        <v>44136</v>
      </c>
      <c r="B162">
        <v>52.9</v>
      </c>
      <c r="C162">
        <v>50.9</v>
      </c>
      <c r="D162">
        <v>57.8</v>
      </c>
      <c r="E162">
        <v>41.7</v>
      </c>
      <c r="F162">
        <v>38.799999999999997</v>
      </c>
      <c r="G162">
        <v>46</v>
      </c>
      <c r="H162">
        <v>52.2</v>
      </c>
      <c r="I162">
        <v>53.7</v>
      </c>
      <c r="J162">
        <v>45.4</v>
      </c>
      <c r="K162">
        <v>39.4</v>
      </c>
      <c r="L162">
        <v>47.8</v>
      </c>
      <c r="M162"/>
      <c r="N162"/>
      <c r="O162"/>
      <c r="P162">
        <v>48.2</v>
      </c>
      <c r="Q162">
        <v>39.5</v>
      </c>
      <c r="R162"/>
      <c r="S162"/>
      <c r="T162"/>
      <c r="U162">
        <v>47.6</v>
      </c>
      <c r="V162">
        <v>58.4</v>
      </c>
    </row>
    <row r="163" spans="1:22" x14ac:dyDescent="0.2">
      <c r="A163" s="51">
        <v>44166</v>
      </c>
      <c r="B163">
        <v>54.3</v>
      </c>
      <c r="C163">
        <v>51.1</v>
      </c>
      <c r="D163">
        <v>56.3</v>
      </c>
      <c r="E163">
        <v>46.4</v>
      </c>
      <c r="F163">
        <v>49.1</v>
      </c>
      <c r="G163">
        <v>47</v>
      </c>
      <c r="H163">
        <v>51.8</v>
      </c>
      <c r="I163">
        <v>52.3</v>
      </c>
      <c r="J163">
        <v>50.1</v>
      </c>
      <c r="K163">
        <v>39.700000000000003</v>
      </c>
      <c r="L163">
        <v>47.2</v>
      </c>
      <c r="M163"/>
      <c r="N163"/>
      <c r="O163"/>
      <c r="P163">
        <v>48</v>
      </c>
      <c r="Q163">
        <v>48</v>
      </c>
      <c r="R163"/>
      <c r="S163"/>
      <c r="T163"/>
      <c r="U163">
        <v>49.4</v>
      </c>
      <c r="V163">
        <v>54.8</v>
      </c>
    </row>
    <row r="164" spans="1:22" x14ac:dyDescent="0.2">
      <c r="A164" s="51">
        <v>44197</v>
      </c>
      <c r="B164">
        <v>54.3</v>
      </c>
      <c r="C164">
        <v>47</v>
      </c>
      <c r="D164">
        <v>52</v>
      </c>
      <c r="E164">
        <v>45.4</v>
      </c>
      <c r="F164">
        <v>47.3</v>
      </c>
      <c r="G164">
        <v>46.7</v>
      </c>
      <c r="H164">
        <v>51.6</v>
      </c>
      <c r="I164">
        <v>52.8</v>
      </c>
      <c r="J164">
        <v>36.200000000000003</v>
      </c>
      <c r="K164">
        <v>44.7</v>
      </c>
      <c r="L164">
        <v>46.1</v>
      </c>
      <c r="M164"/>
      <c r="N164"/>
      <c r="O164"/>
      <c r="P164">
        <v>52.7</v>
      </c>
      <c r="Q164">
        <v>41.7</v>
      </c>
      <c r="R164"/>
      <c r="S164"/>
      <c r="T164"/>
      <c r="U164">
        <v>39.5</v>
      </c>
      <c r="V164">
        <v>58.3</v>
      </c>
    </row>
    <row r="165" spans="1:22" x14ac:dyDescent="0.2">
      <c r="A165" s="51">
        <v>44228</v>
      </c>
      <c r="B165">
        <v>55.8</v>
      </c>
      <c r="C165">
        <v>47.1</v>
      </c>
      <c r="D165">
        <v>51.5</v>
      </c>
      <c r="E165">
        <v>45.7</v>
      </c>
      <c r="F165">
        <v>45.6</v>
      </c>
      <c r="G165">
        <v>45.7</v>
      </c>
      <c r="H165">
        <v>52.8</v>
      </c>
      <c r="I165">
        <v>55.3</v>
      </c>
      <c r="J165">
        <v>41.2</v>
      </c>
      <c r="K165">
        <v>48.8</v>
      </c>
      <c r="L165">
        <v>46.3</v>
      </c>
      <c r="M165"/>
      <c r="N165"/>
      <c r="O165"/>
      <c r="P165">
        <v>52.2</v>
      </c>
      <c r="Q165">
        <v>43.1</v>
      </c>
      <c r="R165"/>
      <c r="S165"/>
      <c r="T165"/>
      <c r="U165">
        <v>49.5</v>
      </c>
      <c r="V165">
        <v>59.8</v>
      </c>
    </row>
    <row r="166" spans="1:22" x14ac:dyDescent="0.2">
      <c r="A166" s="51">
        <v>44256</v>
      </c>
      <c r="B166">
        <v>58.7</v>
      </c>
      <c r="C166">
        <v>44.1</v>
      </c>
      <c r="D166">
        <v>54.3</v>
      </c>
      <c r="E166">
        <v>49.6</v>
      </c>
      <c r="F166">
        <v>48.2</v>
      </c>
      <c r="G166">
        <v>51.5</v>
      </c>
      <c r="H166">
        <v>54.7</v>
      </c>
      <c r="I166">
        <v>54.6</v>
      </c>
      <c r="J166">
        <v>54.6</v>
      </c>
      <c r="K166">
        <v>48.6</v>
      </c>
      <c r="L166">
        <v>48.3</v>
      </c>
      <c r="M166"/>
      <c r="N166"/>
      <c r="O166"/>
      <c r="P166">
        <v>55.8</v>
      </c>
      <c r="Q166">
        <v>48.1</v>
      </c>
      <c r="R166"/>
      <c r="S166"/>
      <c r="T166"/>
      <c r="U166">
        <v>56.3</v>
      </c>
      <c r="V166">
        <v>60.4</v>
      </c>
    </row>
    <row r="167" spans="1:22" x14ac:dyDescent="0.2">
      <c r="A167" s="51">
        <v>44287</v>
      </c>
      <c r="B167">
        <v>61</v>
      </c>
      <c r="C167">
        <v>42.9</v>
      </c>
      <c r="D167">
        <v>56.3</v>
      </c>
      <c r="E167">
        <v>50.5</v>
      </c>
      <c r="F167">
        <v>50.3</v>
      </c>
      <c r="G167">
        <v>49.9</v>
      </c>
      <c r="H167">
        <v>57</v>
      </c>
      <c r="I167">
        <v>54</v>
      </c>
      <c r="J167">
        <v>57.7</v>
      </c>
      <c r="K167">
        <v>47.3</v>
      </c>
      <c r="L167">
        <v>49.5</v>
      </c>
      <c r="M167"/>
      <c r="N167"/>
      <c r="O167"/>
      <c r="P167">
        <v>55.2</v>
      </c>
      <c r="Q167">
        <v>54.6</v>
      </c>
      <c r="R167"/>
      <c r="S167"/>
      <c r="T167"/>
      <c r="U167">
        <v>60.1</v>
      </c>
      <c r="V167">
        <v>64.7</v>
      </c>
    </row>
    <row r="168" spans="1:22" x14ac:dyDescent="0.2">
      <c r="A168" s="51">
        <v>44317</v>
      </c>
      <c r="B168">
        <v>61.2</v>
      </c>
      <c r="C168">
        <v>48.3</v>
      </c>
      <c r="D168">
        <v>55.1</v>
      </c>
      <c r="E168">
        <v>55.2</v>
      </c>
      <c r="F168">
        <v>56.6</v>
      </c>
      <c r="G168">
        <v>52.8</v>
      </c>
      <c r="H168">
        <v>59.5</v>
      </c>
      <c r="I168">
        <v>46.4</v>
      </c>
      <c r="J168">
        <v>62.1</v>
      </c>
      <c r="K168">
        <v>53.1</v>
      </c>
      <c r="L168">
        <v>46.5</v>
      </c>
      <c r="M168"/>
      <c r="N168"/>
      <c r="O168"/>
      <c r="P168">
        <v>57.5</v>
      </c>
      <c r="Q168">
        <v>59.4</v>
      </c>
      <c r="R168"/>
      <c r="S168"/>
      <c r="T168"/>
      <c r="U168">
        <v>62.9</v>
      </c>
      <c r="V168">
        <v>70.400000000000006</v>
      </c>
    </row>
    <row r="169" spans="1:22" x14ac:dyDescent="0.2">
      <c r="A169" s="51">
        <v>44348</v>
      </c>
      <c r="B169">
        <v>57.8</v>
      </c>
      <c r="C169">
        <v>53.9</v>
      </c>
      <c r="D169">
        <v>50.3</v>
      </c>
      <c r="E169">
        <v>58.3</v>
      </c>
      <c r="F169">
        <v>57.8</v>
      </c>
      <c r="G169">
        <v>57.5</v>
      </c>
      <c r="H169">
        <v>57.4</v>
      </c>
      <c r="I169">
        <v>41.2</v>
      </c>
      <c r="J169">
        <v>63.1</v>
      </c>
      <c r="K169">
        <v>56.8</v>
      </c>
      <c r="L169">
        <v>48</v>
      </c>
      <c r="M169"/>
      <c r="N169"/>
      <c r="O169"/>
      <c r="P169">
        <v>56.5</v>
      </c>
      <c r="Q169">
        <v>62.5</v>
      </c>
      <c r="R169"/>
      <c r="S169"/>
      <c r="T169"/>
      <c r="U169">
        <v>62.4</v>
      </c>
      <c r="V169">
        <v>64.599999999999994</v>
      </c>
    </row>
    <row r="170" spans="1:22" x14ac:dyDescent="0.2">
      <c r="A170" s="51">
        <v>44378</v>
      </c>
      <c r="B170">
        <v>51.7</v>
      </c>
      <c r="C170">
        <v>54.4</v>
      </c>
      <c r="D170">
        <v>54.9</v>
      </c>
      <c r="E170">
        <v>59.8</v>
      </c>
      <c r="F170">
        <v>56.8</v>
      </c>
      <c r="G170">
        <v>61.8</v>
      </c>
      <c r="H170">
        <v>56.3</v>
      </c>
      <c r="I170">
        <v>45.4</v>
      </c>
      <c r="J170">
        <v>66.599999999999994</v>
      </c>
      <c r="K170">
        <v>58</v>
      </c>
      <c r="L170">
        <v>47.4</v>
      </c>
      <c r="M170"/>
      <c r="N170"/>
      <c r="O170"/>
      <c r="P170">
        <v>53.5</v>
      </c>
      <c r="Q170">
        <v>61.9</v>
      </c>
      <c r="R170"/>
      <c r="S170"/>
      <c r="T170"/>
      <c r="U170">
        <v>59.6</v>
      </c>
      <c r="V170">
        <v>59.9</v>
      </c>
    </row>
    <row r="171" spans="1:22" x14ac:dyDescent="0.2">
      <c r="A171" s="51">
        <v>44409</v>
      </c>
      <c r="B171">
        <v>45.6</v>
      </c>
      <c r="C171">
        <v>55.1</v>
      </c>
      <c r="D171">
        <v>46.7</v>
      </c>
      <c r="E171">
        <v>59</v>
      </c>
      <c r="F171">
        <v>56.3</v>
      </c>
      <c r="G171">
        <v>60.8</v>
      </c>
      <c r="H171">
        <v>52.8</v>
      </c>
      <c r="I171">
        <v>56.7</v>
      </c>
      <c r="J171">
        <v>63.7</v>
      </c>
      <c r="K171">
        <v>58</v>
      </c>
      <c r="L171">
        <v>42.9</v>
      </c>
      <c r="M171"/>
      <c r="N171"/>
      <c r="O171"/>
      <c r="P171">
        <v>49.3</v>
      </c>
      <c r="Q171">
        <v>60.1</v>
      </c>
      <c r="R171"/>
      <c r="S171"/>
      <c r="T171">
        <v>61.3</v>
      </c>
      <c r="U171">
        <v>55</v>
      </c>
      <c r="V171">
        <v>55.1</v>
      </c>
    </row>
    <row r="172" spans="1:22" x14ac:dyDescent="0.2">
      <c r="A172" s="51">
        <v>44440</v>
      </c>
      <c r="B172">
        <v>45.7</v>
      </c>
      <c r="C172">
        <v>54.6</v>
      </c>
      <c r="D172">
        <v>53.4</v>
      </c>
      <c r="E172">
        <v>56.4</v>
      </c>
      <c r="F172">
        <v>56.2</v>
      </c>
      <c r="G172">
        <v>56.2</v>
      </c>
      <c r="H172">
        <v>53.8</v>
      </c>
      <c r="I172">
        <v>55.2</v>
      </c>
      <c r="J172">
        <v>63.7</v>
      </c>
      <c r="K172">
        <v>55.5</v>
      </c>
      <c r="L172">
        <v>47.8</v>
      </c>
      <c r="M172"/>
      <c r="N172"/>
      <c r="O172"/>
      <c r="P172">
        <v>50.5</v>
      </c>
      <c r="Q172">
        <v>56.9</v>
      </c>
      <c r="R172"/>
      <c r="S172"/>
      <c r="T172"/>
      <c r="U172">
        <v>55.4</v>
      </c>
      <c r="V172">
        <v>54.9</v>
      </c>
    </row>
    <row r="173" spans="1:22" x14ac:dyDescent="0.2">
      <c r="A173" s="51">
        <v>44470</v>
      </c>
      <c r="B173">
        <v>47.6</v>
      </c>
      <c r="C173">
        <v>54.9</v>
      </c>
      <c r="D173">
        <v>53.8</v>
      </c>
      <c r="E173">
        <v>54.6</v>
      </c>
      <c r="F173">
        <v>56.6</v>
      </c>
      <c r="G173">
        <v>52.4</v>
      </c>
      <c r="H173">
        <v>55.6</v>
      </c>
      <c r="I173">
        <v>58.4</v>
      </c>
      <c r="J173">
        <v>63.4</v>
      </c>
      <c r="K173">
        <v>52.4</v>
      </c>
      <c r="L173">
        <v>50.7</v>
      </c>
      <c r="M173"/>
      <c r="N173"/>
      <c r="O173"/>
      <c r="P173">
        <v>58.8</v>
      </c>
      <c r="Q173">
        <v>56.6</v>
      </c>
      <c r="R173"/>
      <c r="S173"/>
      <c r="T173"/>
      <c r="U173">
        <v>59.1</v>
      </c>
      <c r="V173">
        <v>58.7</v>
      </c>
    </row>
    <row r="174" spans="1:22" x14ac:dyDescent="0.2">
      <c r="A174" s="51">
        <v>44501</v>
      </c>
      <c r="B174">
        <v>47.6</v>
      </c>
      <c r="C174">
        <v>53.6</v>
      </c>
      <c r="D174">
        <v>52.1</v>
      </c>
      <c r="E174">
        <v>55.9</v>
      </c>
      <c r="F174">
        <v>57.4</v>
      </c>
      <c r="G174">
        <v>52.7</v>
      </c>
      <c r="H174">
        <v>55.6</v>
      </c>
      <c r="I174">
        <v>58.1</v>
      </c>
      <c r="J174">
        <v>59.3</v>
      </c>
      <c r="K174">
        <v>55.9</v>
      </c>
      <c r="L174">
        <v>53</v>
      </c>
      <c r="M174"/>
      <c r="N174"/>
      <c r="O174"/>
      <c r="P174">
        <v>47.1</v>
      </c>
      <c r="Q174">
        <v>59.8</v>
      </c>
      <c r="R174"/>
      <c r="S174"/>
      <c r="T174"/>
      <c r="U174">
        <v>58.5</v>
      </c>
      <c r="V174">
        <v>58</v>
      </c>
    </row>
    <row r="175" spans="1:22" x14ac:dyDescent="0.2">
      <c r="A175" s="51">
        <v>44531</v>
      </c>
      <c r="B175">
        <v>49.6</v>
      </c>
      <c r="C175">
        <v>53.6</v>
      </c>
      <c r="D175">
        <v>53.1</v>
      </c>
      <c r="E175">
        <v>53.1</v>
      </c>
      <c r="F175">
        <v>57</v>
      </c>
      <c r="G175">
        <v>48.7</v>
      </c>
      <c r="H175">
        <v>54.6</v>
      </c>
      <c r="I175">
        <v>55.5</v>
      </c>
      <c r="J175">
        <v>55.4</v>
      </c>
      <c r="K175">
        <v>53</v>
      </c>
      <c r="L175">
        <v>52.1</v>
      </c>
      <c r="M175"/>
      <c r="N175">
        <v>49.7</v>
      </c>
      <c r="O175">
        <v>48</v>
      </c>
      <c r="P175">
        <v>49.5</v>
      </c>
      <c r="Q175">
        <v>55.8</v>
      </c>
      <c r="R175">
        <v>62.4</v>
      </c>
      <c r="S175"/>
      <c r="T175"/>
      <c r="U175">
        <v>53.6</v>
      </c>
      <c r="V175">
        <v>57.6</v>
      </c>
    </row>
    <row r="176" spans="1:22" x14ac:dyDescent="0.2">
      <c r="A176" s="51">
        <v>44562</v>
      </c>
      <c r="B176">
        <v>56.2</v>
      </c>
      <c r="C176">
        <v>52.8</v>
      </c>
      <c r="D176">
        <v>51.4</v>
      </c>
      <c r="E176">
        <v>51.1</v>
      </c>
      <c r="F176">
        <v>53.1</v>
      </c>
      <c r="G176">
        <v>52.2</v>
      </c>
      <c r="H176">
        <v>51.3</v>
      </c>
      <c r="I176">
        <v>51.5</v>
      </c>
      <c r="J176">
        <v>56.2</v>
      </c>
      <c r="K176">
        <v>48.5</v>
      </c>
      <c r="L176">
        <v>47.6</v>
      </c>
      <c r="M176">
        <v>27.3</v>
      </c>
      <c r="N176">
        <v>45.9</v>
      </c>
      <c r="O176"/>
      <c r="P176">
        <v>49.8</v>
      </c>
      <c r="Q176">
        <v>46.6</v>
      </c>
      <c r="R176">
        <v>57.5</v>
      </c>
      <c r="S176">
        <v>68.599999999999994</v>
      </c>
      <c r="T176">
        <v>56.44</v>
      </c>
      <c r="U176">
        <v>54.1</v>
      </c>
      <c r="V176">
        <v>51.2</v>
      </c>
    </row>
    <row r="177" spans="1:22" x14ac:dyDescent="0.2">
      <c r="A177" s="51">
        <v>44593</v>
      </c>
      <c r="B177">
        <v>60</v>
      </c>
      <c r="C177">
        <v>54.7</v>
      </c>
      <c r="D177">
        <v>50.2</v>
      </c>
      <c r="E177">
        <v>55.8</v>
      </c>
      <c r="F177">
        <v>57.9</v>
      </c>
      <c r="G177">
        <v>56.6</v>
      </c>
      <c r="H177">
        <v>53.5</v>
      </c>
      <c r="I177">
        <v>51.8</v>
      </c>
      <c r="J177">
        <v>61.8</v>
      </c>
      <c r="K177">
        <v>52.8</v>
      </c>
      <c r="L177">
        <v>42.7</v>
      </c>
      <c r="M177">
        <v>53.1</v>
      </c>
      <c r="N177">
        <v>48.6</v>
      </c>
      <c r="O177">
        <v>49</v>
      </c>
      <c r="P177">
        <v>52.1</v>
      </c>
      <c r="Q177">
        <v>56.6</v>
      </c>
      <c r="R177">
        <v>51.8</v>
      </c>
      <c r="S177">
        <v>68</v>
      </c>
      <c r="T177">
        <v>64.28</v>
      </c>
      <c r="U177">
        <v>60.8</v>
      </c>
      <c r="V177">
        <v>56.7</v>
      </c>
    </row>
    <row r="178" spans="1:22" x14ac:dyDescent="0.2">
      <c r="A178" s="51">
        <v>44621</v>
      </c>
      <c r="B178">
        <v>56.2</v>
      </c>
      <c r="C178">
        <v>58.1</v>
      </c>
      <c r="D178">
        <v>42</v>
      </c>
      <c r="E178">
        <v>54.8</v>
      </c>
      <c r="F178">
        <v>57.4</v>
      </c>
      <c r="G178">
        <v>55</v>
      </c>
      <c r="H178">
        <v>52.7</v>
      </c>
      <c r="I178">
        <v>53.6</v>
      </c>
      <c r="J178">
        <v>63.4</v>
      </c>
      <c r="K178">
        <v>52.1</v>
      </c>
      <c r="L178">
        <v>48.7</v>
      </c>
      <c r="M178">
        <v>49</v>
      </c>
      <c r="N178">
        <v>51.6</v>
      </c>
      <c r="O178"/>
      <c r="P178">
        <v>38.1</v>
      </c>
      <c r="Q178">
        <v>53.4</v>
      </c>
      <c r="R178">
        <v>51.3</v>
      </c>
      <c r="S178">
        <v>65.3</v>
      </c>
      <c r="T178">
        <v>61.12</v>
      </c>
      <c r="U178">
        <v>61</v>
      </c>
      <c r="V178">
        <v>58.9</v>
      </c>
    </row>
    <row r="179" spans="1:22" x14ac:dyDescent="0.2">
      <c r="A179" s="51">
        <v>44652</v>
      </c>
      <c r="B179">
        <v>57.8</v>
      </c>
      <c r="C179">
        <v>60.6</v>
      </c>
      <c r="D179">
        <v>36.200000000000003</v>
      </c>
      <c r="E179">
        <v>57.7</v>
      </c>
      <c r="F179">
        <v>58.8</v>
      </c>
      <c r="G179">
        <v>57.9</v>
      </c>
      <c r="H179">
        <v>51</v>
      </c>
      <c r="I179">
        <v>57.9</v>
      </c>
      <c r="J179">
        <v>61.7</v>
      </c>
      <c r="K179">
        <v>55.7</v>
      </c>
      <c r="L179">
        <v>50.5</v>
      </c>
      <c r="M179">
        <v>51.4</v>
      </c>
      <c r="N179">
        <v>51.4</v>
      </c>
      <c r="O179"/>
      <c r="P179">
        <v>44.5</v>
      </c>
      <c r="Q179">
        <v>57.1</v>
      </c>
      <c r="R179">
        <v>43.8</v>
      </c>
      <c r="S179">
        <v>68.099999999999994</v>
      </c>
      <c r="T179">
        <v>56.22</v>
      </c>
      <c r="U179">
        <v>58.3</v>
      </c>
      <c r="V179">
        <v>54.7</v>
      </c>
    </row>
    <row r="180" spans="1:22" x14ac:dyDescent="0.2">
      <c r="A180" s="51">
        <v>44682</v>
      </c>
      <c r="B180">
        <v>49.2</v>
      </c>
      <c r="C180">
        <v>58.6</v>
      </c>
      <c r="D180">
        <v>41.4</v>
      </c>
      <c r="E180">
        <v>56.3</v>
      </c>
      <c r="F180">
        <v>58.4</v>
      </c>
      <c r="G180">
        <v>56.3</v>
      </c>
      <c r="H180">
        <v>51.3</v>
      </c>
      <c r="I180">
        <v>58.9</v>
      </c>
      <c r="J180">
        <v>60.2</v>
      </c>
      <c r="K180">
        <v>53.7</v>
      </c>
      <c r="L180">
        <v>51.7</v>
      </c>
      <c r="M180">
        <v>54.4</v>
      </c>
      <c r="N180">
        <v>55.2</v>
      </c>
      <c r="O180">
        <v>49.8</v>
      </c>
      <c r="P180">
        <v>48.5</v>
      </c>
      <c r="Q180">
        <v>56.5</v>
      </c>
      <c r="R180">
        <v>42.4</v>
      </c>
      <c r="S180">
        <v>68.2</v>
      </c>
      <c r="T180">
        <v>60.15</v>
      </c>
      <c r="U180">
        <v>51.8</v>
      </c>
      <c r="V180">
        <v>53.5</v>
      </c>
    </row>
    <row r="181" spans="1:22" x14ac:dyDescent="0.2">
      <c r="A181" s="51">
        <v>44713</v>
      </c>
      <c r="B181">
        <v>48.8</v>
      </c>
      <c r="C181">
        <v>60.8</v>
      </c>
      <c r="D181">
        <v>54.5</v>
      </c>
      <c r="E181">
        <v>52.8</v>
      </c>
      <c r="F181">
        <v>54.4</v>
      </c>
      <c r="G181">
        <v>52.4</v>
      </c>
      <c r="H181">
        <v>53.5</v>
      </c>
      <c r="I181">
        <v>59.2</v>
      </c>
      <c r="J181">
        <v>55.6</v>
      </c>
      <c r="K181">
        <v>51.6</v>
      </c>
      <c r="L181">
        <v>54.2</v>
      </c>
      <c r="M181">
        <v>54.3</v>
      </c>
      <c r="N181">
        <v>55.4</v>
      </c>
      <c r="O181"/>
      <c r="P181">
        <v>51.7</v>
      </c>
      <c r="Q181">
        <v>54</v>
      </c>
      <c r="R181">
        <v>40.299999999999997</v>
      </c>
      <c r="S181">
        <v>62.8</v>
      </c>
      <c r="T181">
        <v>58.98</v>
      </c>
      <c r="U181">
        <v>53.4</v>
      </c>
      <c r="V181">
        <v>51.6</v>
      </c>
    </row>
    <row r="182" spans="1:22" x14ac:dyDescent="0.2">
      <c r="A182" s="51">
        <v>44743</v>
      </c>
      <c r="B182">
        <v>51.7</v>
      </c>
      <c r="C182">
        <v>55.8</v>
      </c>
      <c r="D182">
        <v>55.5</v>
      </c>
      <c r="E182">
        <v>51.2</v>
      </c>
      <c r="F182">
        <v>53.2</v>
      </c>
      <c r="G182">
        <v>49.7</v>
      </c>
      <c r="H182"/>
      <c r="I182">
        <v>55.5</v>
      </c>
      <c r="J182">
        <v>56.3</v>
      </c>
      <c r="K182">
        <v>48.4</v>
      </c>
      <c r="L182">
        <v>50.3</v>
      </c>
      <c r="M182">
        <v>54.6</v>
      </c>
      <c r="N182">
        <v>51.2</v>
      </c>
      <c r="O182"/>
      <c r="P182">
        <v>54.7</v>
      </c>
      <c r="Q182">
        <v>53.8</v>
      </c>
      <c r="R182">
        <v>43</v>
      </c>
      <c r="S182">
        <v>58.8</v>
      </c>
      <c r="T182">
        <v>55.17</v>
      </c>
      <c r="U182">
        <v>52.6</v>
      </c>
      <c r="V182">
        <v>47.3</v>
      </c>
    </row>
    <row r="183" spans="1:22" x14ac:dyDescent="0.2">
      <c r="A183" s="51">
        <v>44774</v>
      </c>
      <c r="B183">
        <v>53.3</v>
      </c>
      <c r="C183">
        <v>53.9</v>
      </c>
      <c r="D183">
        <v>55</v>
      </c>
      <c r="E183">
        <v>49.8</v>
      </c>
      <c r="F183">
        <v>51.2</v>
      </c>
      <c r="G183">
        <v>47.7</v>
      </c>
      <c r="H183"/>
      <c r="I183">
        <v>57.2</v>
      </c>
      <c r="J183">
        <v>54.7</v>
      </c>
      <c r="K183">
        <v>50.5</v>
      </c>
      <c r="L183">
        <v>49.5</v>
      </c>
      <c r="M183">
        <v>52.7</v>
      </c>
      <c r="N183">
        <v>58.6</v>
      </c>
      <c r="O183"/>
      <c r="P183">
        <v>49.9</v>
      </c>
      <c r="Q183">
        <v>50.6</v>
      </c>
      <c r="R183">
        <v>51.7</v>
      </c>
      <c r="S183">
        <v>59.4</v>
      </c>
      <c r="T183">
        <v>56.88</v>
      </c>
      <c r="U183">
        <v>50.9</v>
      </c>
      <c r="V183">
        <v>43.7</v>
      </c>
    </row>
    <row r="184" spans="1:22" x14ac:dyDescent="0.2">
      <c r="A184" s="51">
        <v>44805</v>
      </c>
      <c r="B184">
        <v>48</v>
      </c>
      <c r="C184">
        <v>51.9</v>
      </c>
      <c r="D184">
        <v>49.3</v>
      </c>
      <c r="E184">
        <v>48.8</v>
      </c>
      <c r="F184">
        <v>52.9</v>
      </c>
      <c r="G184">
        <v>45</v>
      </c>
      <c r="H184"/>
      <c r="I184">
        <v>54.3</v>
      </c>
      <c r="J184">
        <v>54.1</v>
      </c>
      <c r="K184">
        <v>48.8</v>
      </c>
      <c r="L184">
        <v>52.2</v>
      </c>
      <c r="M184">
        <v>49.1</v>
      </c>
      <c r="N184">
        <v>55.8</v>
      </c>
      <c r="O184"/>
      <c r="P184">
        <v>51.1</v>
      </c>
      <c r="Q184">
        <v>48.5</v>
      </c>
      <c r="R184">
        <v>51.2</v>
      </c>
      <c r="S184">
        <v>55.1</v>
      </c>
      <c r="T184">
        <v>52.27</v>
      </c>
      <c r="U184">
        <v>50</v>
      </c>
      <c r="V184">
        <v>49.3</v>
      </c>
    </row>
    <row r="185" spans="1:22" x14ac:dyDescent="0.2">
      <c r="A185" s="51">
        <v>44835</v>
      </c>
      <c r="B185">
        <v>47.7</v>
      </c>
      <c r="C185">
        <v>54</v>
      </c>
      <c r="D185">
        <v>48.4</v>
      </c>
      <c r="E185">
        <v>48.6</v>
      </c>
      <c r="F185">
        <v>51.7</v>
      </c>
      <c r="G185">
        <v>46.5</v>
      </c>
      <c r="H185"/>
      <c r="I185">
        <v>55.1</v>
      </c>
      <c r="J185">
        <v>53.2</v>
      </c>
      <c r="K185">
        <v>46.4</v>
      </c>
      <c r="L185">
        <v>53.2</v>
      </c>
      <c r="M185">
        <v>50.3</v>
      </c>
      <c r="N185"/>
      <c r="O185"/>
      <c r="P185">
        <v>43.7</v>
      </c>
      <c r="Q185">
        <v>49.7</v>
      </c>
      <c r="R185"/>
      <c r="S185">
        <v>56.9</v>
      </c>
      <c r="T185">
        <v>53.55</v>
      </c>
      <c r="U185">
        <v>48.8</v>
      </c>
      <c r="V185">
        <v>47.8</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rgb="FFFF0000"/>
  </sheetPr>
  <dimension ref="A1:BK347"/>
  <sheetViews>
    <sheetView zoomScale="130" zoomScaleNormal="130" workbookViewId="0">
      <pane xSplit="2" ySplit="11" topLeftCell="C73" activePane="bottomRight" state="frozen"/>
      <selection activeCell="H181" sqref="H181"/>
      <selection pane="topRight" activeCell="H181" sqref="H181"/>
      <selection pane="bottomLeft" activeCell="H181" sqref="H181"/>
      <selection pane="bottomRight" activeCell="B96" sqref="B96:Q103"/>
    </sheetView>
  </sheetViews>
  <sheetFormatPr baseColWidth="10" defaultColWidth="9.1640625" defaultRowHeight="15" x14ac:dyDescent="0.2"/>
  <cols>
    <col min="1" max="1" width="9.1640625" style="49" customWidth="1"/>
    <col min="2" max="2" width="17.83203125" style="38" customWidth="1"/>
    <col min="3" max="17" width="6.1640625" style="38" customWidth="1"/>
    <col min="18" max="18" width="9.1640625" style="49" customWidth="1"/>
    <col min="19" max="19" width="12.33203125" style="49" customWidth="1"/>
    <col min="20" max="20" width="9.1640625" style="49" customWidth="1"/>
    <col min="21" max="21" width="10.5" style="49" customWidth="1"/>
    <col min="22" max="22" width="10.6640625" style="49" bestFit="1" customWidth="1"/>
    <col min="23" max="63" width="9.1640625" style="49" customWidth="1"/>
    <col min="64" max="72" width="9.1640625" style="38" customWidth="1"/>
    <col min="73" max="16384" width="9.1640625" style="38"/>
  </cols>
  <sheetData>
    <row r="1" spans="2:25" s="49" customFormat="1" ht="16" customHeight="1" thickBot="1" x14ac:dyDescent="0.25">
      <c r="S1" s="16" t="s">
        <v>46</v>
      </c>
      <c r="T1" s="49" t="s">
        <v>47</v>
      </c>
      <c r="V1" s="47">
        <v>44805</v>
      </c>
      <c r="Y1" s="3" t="s">
        <v>48</v>
      </c>
    </row>
    <row r="2" spans="2:25" ht="72.75" customHeight="1" thickBot="1" x14ac:dyDescent="0.25">
      <c r="B2" s="17"/>
      <c r="C2" s="18" t="s">
        <v>9</v>
      </c>
      <c r="D2" s="18" t="s">
        <v>18</v>
      </c>
      <c r="E2" s="18" t="s">
        <v>20</v>
      </c>
      <c r="F2" s="18" t="s">
        <v>21</v>
      </c>
      <c r="G2" s="18" t="s">
        <v>22</v>
      </c>
      <c r="H2" s="18" t="s">
        <v>23</v>
      </c>
      <c r="I2" s="18" t="s">
        <v>24</v>
      </c>
      <c r="J2" s="18" t="s">
        <v>25</v>
      </c>
      <c r="K2" s="18" t="s">
        <v>26</v>
      </c>
      <c r="L2" s="18" t="s">
        <v>27</v>
      </c>
      <c r="M2" s="18" t="s">
        <v>28</v>
      </c>
      <c r="N2" s="18" t="s">
        <v>29</v>
      </c>
      <c r="O2" s="18" t="s">
        <v>30</v>
      </c>
      <c r="P2" s="18" t="s">
        <v>31</v>
      </c>
      <c r="Q2" s="18" t="s">
        <v>32</v>
      </c>
    </row>
    <row r="3" spans="2:25" hidden="1" x14ac:dyDescent="0.2">
      <c r="B3" s="20" t="s">
        <v>49</v>
      </c>
      <c r="C3" s="21" t="e">
        <f t="shared" ref="C3:Q3" ca="1" si="0">MAX(OFFSET(C$12,COUNT(C$12:C$105),0,-13,1))</f>
        <v>#N/A</v>
      </c>
      <c r="D3" s="21">
        <f t="shared" ca="1" si="0"/>
        <v>58.9</v>
      </c>
      <c r="E3" s="21">
        <f t="shared" ca="1" si="0"/>
        <v>55.5</v>
      </c>
      <c r="F3" s="21">
        <f t="shared" ca="1" si="0"/>
        <v>57.7</v>
      </c>
      <c r="G3" s="21">
        <f t="shared" ca="1" si="0"/>
        <v>54.2</v>
      </c>
      <c r="H3" s="21">
        <f t="shared" ca="1" si="0"/>
        <v>57.9</v>
      </c>
      <c r="I3" s="21">
        <f t="shared" ca="1" si="0"/>
        <v>58.8</v>
      </c>
      <c r="J3" s="21">
        <f t="shared" ca="1" si="0"/>
        <v>61</v>
      </c>
      <c r="K3" s="21">
        <f t="shared" ca="1" si="0"/>
        <v>55.9</v>
      </c>
      <c r="L3" s="21">
        <f t="shared" ca="1" si="0"/>
        <v>59.8</v>
      </c>
      <c r="M3" s="21">
        <f t="shared" ca="1" si="0"/>
        <v>60.8</v>
      </c>
      <c r="N3" s="21">
        <f t="shared" ca="1" si="0"/>
        <v>54.7</v>
      </c>
      <c r="O3" s="21">
        <f t="shared" ca="1" si="0"/>
        <v>59.2</v>
      </c>
      <c r="P3" s="21">
        <f t="shared" ca="1" si="0"/>
        <v>60</v>
      </c>
      <c r="Q3" s="21">
        <f t="shared" ca="1" si="0"/>
        <v>63.4</v>
      </c>
      <c r="T3" s="49" t="s">
        <v>50</v>
      </c>
      <c r="V3" s="19">
        <f>DATE(YEAR(V1),MONTH(V1)-1,DAY(V1))</f>
        <v>44774</v>
      </c>
    </row>
    <row r="4" spans="2:25" hidden="1" x14ac:dyDescent="0.2">
      <c r="B4" s="20" t="s">
        <v>51</v>
      </c>
      <c r="C4" s="21" t="e">
        <f t="shared" ref="C4:Q4" ca="1" si="1">MIN(OFFSET(C$12,COUNT(C$12:C$105),0,-13,1))</f>
        <v>#N/A</v>
      </c>
      <c r="D4" s="21">
        <f t="shared" ca="1" si="1"/>
        <v>43.7</v>
      </c>
      <c r="E4" s="21">
        <f t="shared" ca="1" si="1"/>
        <v>36.200000000000003</v>
      </c>
      <c r="F4" s="21">
        <f t="shared" ca="1" si="1"/>
        <v>48.6</v>
      </c>
      <c r="G4" s="21">
        <f t="shared" ca="1" si="1"/>
        <v>42.7</v>
      </c>
      <c r="H4" s="21">
        <f t="shared" ca="1" si="1"/>
        <v>45</v>
      </c>
      <c r="I4" s="21">
        <f t="shared" ca="1" si="1"/>
        <v>51.2</v>
      </c>
      <c r="J4" s="21">
        <f t="shared" ca="1" si="1"/>
        <v>48.8</v>
      </c>
      <c r="K4" s="21">
        <f t="shared" ca="1" si="1"/>
        <v>46.4</v>
      </c>
      <c r="L4" s="21">
        <f t="shared" ca="1" si="1"/>
        <v>46.6</v>
      </c>
      <c r="M4" s="21">
        <f t="shared" ca="1" si="1"/>
        <v>51.9</v>
      </c>
      <c r="N4" s="21">
        <f t="shared" ca="1" si="1"/>
        <v>38.1</v>
      </c>
      <c r="O4" s="21">
        <f t="shared" ca="1" si="1"/>
        <v>51.5</v>
      </c>
      <c r="P4" s="21">
        <f t="shared" ca="1" si="1"/>
        <v>47.6</v>
      </c>
      <c r="Q4" s="21">
        <f t="shared" ca="1" si="1"/>
        <v>53.2</v>
      </c>
      <c r="T4" s="49" t="s">
        <v>52</v>
      </c>
      <c r="V4" s="19">
        <f>DATE(YEAR(V1),MONTH(V1)-12,DAY(V1))</f>
        <v>44440</v>
      </c>
    </row>
    <row r="5" spans="2:25" ht="16" hidden="1" customHeight="1" thickBot="1" x14ac:dyDescent="0.25">
      <c r="B5" s="20" t="s">
        <v>53</v>
      </c>
      <c r="C5" s="22" t="e">
        <f t="shared" ref="C5:Q5" ca="1" si="2">AVERAGE(OFFSET(C$12,COUNT(C$12:C$105),0,-13,1))</f>
        <v>#N/A</v>
      </c>
      <c r="D5" s="22">
        <f t="shared" ca="1" si="2"/>
        <v>52.524999999999999</v>
      </c>
      <c r="E5" s="22">
        <f t="shared" ca="1" si="2"/>
        <v>49.091666666666661</v>
      </c>
      <c r="F5" s="22">
        <f t="shared" ca="1" si="2"/>
        <v>52.991666666666667</v>
      </c>
      <c r="G5" s="22">
        <f t="shared" ca="1" si="2"/>
        <v>50.475000000000001</v>
      </c>
      <c r="H5" s="22">
        <f t="shared" ca="1" si="2"/>
        <v>51.725000000000001</v>
      </c>
      <c r="I5" s="22">
        <f t="shared" ca="1" si="2"/>
        <v>55.283333333333331</v>
      </c>
      <c r="J5" s="22">
        <f t="shared" ca="1" si="2"/>
        <v>54.483333333333327</v>
      </c>
      <c r="K5" s="22">
        <f t="shared" ca="1" si="2"/>
        <v>51.449999999999996</v>
      </c>
      <c r="L5" s="22">
        <f t="shared" ca="1" si="2"/>
        <v>53.533333333333339</v>
      </c>
      <c r="M5" s="22">
        <f t="shared" ca="1" si="2"/>
        <v>55.70000000000001</v>
      </c>
      <c r="N5" s="22">
        <f t="shared" ca="1" si="2"/>
        <v>48.391666666666659</v>
      </c>
      <c r="O5" s="22">
        <f t="shared" ca="1" si="2"/>
        <v>55.716666666666661</v>
      </c>
      <c r="P5" s="22">
        <f t="shared" ca="1" si="2"/>
        <v>52.175000000000004</v>
      </c>
      <c r="Q5" s="22">
        <f t="shared" ca="1" si="2"/>
        <v>57.658333333333339</v>
      </c>
      <c r="V5" s="46"/>
    </row>
    <row r="6" spans="2:25" x14ac:dyDescent="0.2">
      <c r="B6" s="23" t="s">
        <v>54</v>
      </c>
      <c r="C6" s="24" t="e">
        <f t="shared" ref="C6:Q6" ca="1" si="3">IF((VLOOKUP($V$1,$B:$AA,MATCH(C2,$B$2:$AA$2,),))&gt;C5,"above","below")</f>
        <v>#N/A</v>
      </c>
      <c r="D6" s="24" t="str">
        <f t="shared" ca="1" si="3"/>
        <v>below</v>
      </c>
      <c r="E6" s="24" t="str">
        <f t="shared" ca="1" si="3"/>
        <v>above</v>
      </c>
      <c r="F6" s="24" t="str">
        <f t="shared" ca="1" si="3"/>
        <v>below</v>
      </c>
      <c r="G6" s="24" t="str">
        <f t="shared" ca="1" si="3"/>
        <v>above</v>
      </c>
      <c r="H6" s="24" t="str">
        <f t="shared" ca="1" si="3"/>
        <v>below</v>
      </c>
      <c r="I6" s="24" t="str">
        <f t="shared" ca="1" si="3"/>
        <v>below</v>
      </c>
      <c r="J6" s="24" t="str">
        <f t="shared" ca="1" si="3"/>
        <v>below</v>
      </c>
      <c r="K6" s="24" t="str">
        <f t="shared" ca="1" si="3"/>
        <v>below</v>
      </c>
      <c r="L6" s="24" t="str">
        <f t="shared" ca="1" si="3"/>
        <v>below</v>
      </c>
      <c r="M6" s="24" t="str">
        <f t="shared" ca="1" si="3"/>
        <v>below</v>
      </c>
      <c r="N6" s="24" t="str">
        <f t="shared" ca="1" si="3"/>
        <v>above</v>
      </c>
      <c r="O6" s="24" t="str">
        <f t="shared" ca="1" si="3"/>
        <v>below</v>
      </c>
      <c r="P6" s="24" t="str">
        <f t="shared" ca="1" si="3"/>
        <v>below</v>
      </c>
      <c r="Q6" s="24" t="str">
        <f t="shared" ca="1" si="3"/>
        <v>below</v>
      </c>
    </row>
    <row r="7" spans="2:25" x14ac:dyDescent="0.2">
      <c r="B7" s="23" t="s">
        <v>55</v>
      </c>
      <c r="C7" s="25" t="e">
        <f t="shared" ref="C7:Q7" si="4">VLOOKUP($V$1,$B:$AA,MATCH(C2,$B$2:$AA$2,),)-VLOOKUP($V$4,$B:$AA,MATCH(C2,$B$2:$AA$2,),)</f>
        <v>#N/A</v>
      </c>
      <c r="D7" s="25">
        <f t="shared" si="4"/>
        <v>-5.6000000000000014</v>
      </c>
      <c r="E7" s="25">
        <f t="shared" si="4"/>
        <v>-4.1000000000000014</v>
      </c>
      <c r="F7" s="25">
        <f t="shared" si="4"/>
        <v>-7.6000000000000014</v>
      </c>
      <c r="G7" s="25">
        <f t="shared" si="4"/>
        <v>4.4000000000000057</v>
      </c>
      <c r="H7" s="25">
        <f t="shared" si="4"/>
        <v>-11.200000000000003</v>
      </c>
      <c r="I7" s="25">
        <f t="shared" si="4"/>
        <v>-3.3000000000000043</v>
      </c>
      <c r="J7" s="25">
        <f t="shared" si="4"/>
        <v>-5.3999999999999986</v>
      </c>
      <c r="K7" s="25">
        <f t="shared" si="4"/>
        <v>-6.7000000000000028</v>
      </c>
      <c r="L7" s="25">
        <f t="shared" si="4"/>
        <v>-8.3999999999999986</v>
      </c>
      <c r="M7" s="25">
        <f t="shared" si="4"/>
        <v>-2.7000000000000028</v>
      </c>
      <c r="N7" s="25">
        <f t="shared" si="4"/>
        <v>0.60000000000000142</v>
      </c>
      <c r="O7" s="25">
        <f t="shared" si="4"/>
        <v>-0.90000000000000568</v>
      </c>
      <c r="P7" s="25">
        <f t="shared" si="4"/>
        <v>2.2999999999999972</v>
      </c>
      <c r="Q7" s="25">
        <f t="shared" si="4"/>
        <v>-9.6000000000000014</v>
      </c>
    </row>
    <row r="8" spans="2:25" x14ac:dyDescent="0.2">
      <c r="B8" s="23" t="s">
        <v>56</v>
      </c>
      <c r="C8" s="25" t="e">
        <f t="shared" ref="C8:Q8" si="5">VLOOKUP($V$1,$B:$AA,MATCH(C2,$B$2:$AA$2,),)-VLOOKUP($V$3,$B:$AA,MATCH(C2,$B$2:$AA$2,),)</f>
        <v>#N/A</v>
      </c>
      <c r="D8" s="25">
        <f t="shared" si="5"/>
        <v>5.5999999999999943</v>
      </c>
      <c r="E8" s="25">
        <f t="shared" si="5"/>
        <v>-5.7000000000000028</v>
      </c>
      <c r="F8" s="25">
        <f t="shared" si="5"/>
        <v>-1</v>
      </c>
      <c r="G8" s="25">
        <f t="shared" si="5"/>
        <v>2.7000000000000028</v>
      </c>
      <c r="H8" s="25">
        <f t="shared" si="5"/>
        <v>-2.7000000000000028</v>
      </c>
      <c r="I8" s="25">
        <f t="shared" si="5"/>
        <v>1.6999999999999957</v>
      </c>
      <c r="J8" s="25">
        <f t="shared" si="5"/>
        <v>-0.89999999999999858</v>
      </c>
      <c r="K8" s="25">
        <f t="shared" si="5"/>
        <v>-1.7000000000000028</v>
      </c>
      <c r="L8" s="25">
        <f t="shared" si="5"/>
        <v>-2.1000000000000014</v>
      </c>
      <c r="M8" s="25">
        <f t="shared" si="5"/>
        <v>-2</v>
      </c>
      <c r="N8" s="25">
        <f t="shared" si="5"/>
        <v>1.2000000000000028</v>
      </c>
      <c r="O8" s="25">
        <f t="shared" si="5"/>
        <v>-2.9000000000000057</v>
      </c>
      <c r="P8" s="25">
        <f t="shared" si="5"/>
        <v>-5.2999999999999972</v>
      </c>
      <c r="Q8" s="25">
        <f t="shared" si="5"/>
        <v>-0.60000000000000142</v>
      </c>
    </row>
    <row r="9" spans="2:25" ht="66.75" customHeight="1" x14ac:dyDescent="0.2">
      <c r="B9" s="26" t="s">
        <v>57</v>
      </c>
      <c r="C9" s="27" t="e">
        <f t="shared" ref="C9:Q9" si="6">IF(VLOOKUP($V$1,$B:$AB,MATCH(C2,$B$2:$AB$2,),)&gt;50,"Growth","Contraction")</f>
        <v>#N/A</v>
      </c>
      <c r="D9" s="27" t="str">
        <f t="shared" si="6"/>
        <v>Contraction</v>
      </c>
      <c r="E9" s="27" t="str">
        <f t="shared" si="6"/>
        <v>Contraction</v>
      </c>
      <c r="F9" s="27" t="str">
        <f t="shared" si="6"/>
        <v>Contraction</v>
      </c>
      <c r="G9" s="27" t="str">
        <f t="shared" si="6"/>
        <v>Growth</v>
      </c>
      <c r="H9" s="27" t="str">
        <f t="shared" si="6"/>
        <v>Contraction</v>
      </c>
      <c r="I9" s="27" t="str">
        <f t="shared" si="6"/>
        <v>Growth</v>
      </c>
      <c r="J9" s="27" t="str">
        <f t="shared" si="6"/>
        <v>Contraction</v>
      </c>
      <c r="K9" s="27" t="str">
        <f t="shared" si="6"/>
        <v>Contraction</v>
      </c>
      <c r="L9" s="27" t="str">
        <f t="shared" si="6"/>
        <v>Contraction</v>
      </c>
      <c r="M9" s="27" t="str">
        <f t="shared" si="6"/>
        <v>Growth</v>
      </c>
      <c r="N9" s="27" t="str">
        <f t="shared" si="6"/>
        <v>Growth</v>
      </c>
      <c r="O9" s="27" t="str">
        <f t="shared" si="6"/>
        <v>Growth</v>
      </c>
      <c r="P9" s="27" t="str">
        <f t="shared" si="6"/>
        <v>Contraction</v>
      </c>
      <c r="Q9" s="27" t="str">
        <f t="shared" si="6"/>
        <v>Growth</v>
      </c>
    </row>
    <row r="10" spans="2:25" ht="26.25" customHeight="1" thickBot="1" x14ac:dyDescent="0.25">
      <c r="B10" s="28" t="s">
        <v>58</v>
      </c>
      <c r="C10" s="29" t="e">
        <f t="shared" ref="C10:Q10" si="7">IF(C8&gt;0,"+","-")</f>
        <v>#N/A</v>
      </c>
      <c r="D10" s="29" t="str">
        <f t="shared" si="7"/>
        <v>+</v>
      </c>
      <c r="E10" s="29" t="str">
        <f t="shared" si="7"/>
        <v>-</v>
      </c>
      <c r="F10" s="29" t="str">
        <f t="shared" si="7"/>
        <v>-</v>
      </c>
      <c r="G10" s="29" t="str">
        <f t="shared" si="7"/>
        <v>+</v>
      </c>
      <c r="H10" s="29" t="str">
        <f t="shared" si="7"/>
        <v>-</v>
      </c>
      <c r="I10" s="29" t="str">
        <f t="shared" si="7"/>
        <v>+</v>
      </c>
      <c r="J10" s="29" t="str">
        <f t="shared" si="7"/>
        <v>-</v>
      </c>
      <c r="K10" s="29" t="str">
        <f t="shared" si="7"/>
        <v>-</v>
      </c>
      <c r="L10" s="29" t="str">
        <f t="shared" si="7"/>
        <v>-</v>
      </c>
      <c r="M10" s="29" t="str">
        <f t="shared" si="7"/>
        <v>-</v>
      </c>
      <c r="N10" s="29" t="str">
        <f t="shared" si="7"/>
        <v>+</v>
      </c>
      <c r="O10" s="29" t="str">
        <f t="shared" si="7"/>
        <v>-</v>
      </c>
      <c r="P10" s="29" t="str">
        <f t="shared" si="7"/>
        <v>-</v>
      </c>
      <c r="Q10" s="29" t="str">
        <f t="shared" si="7"/>
        <v>-</v>
      </c>
    </row>
    <row r="11" spans="2:25" ht="26.25" customHeight="1" x14ac:dyDescent="0.2">
      <c r="B11" s="49"/>
      <c r="C11" s="49"/>
      <c r="D11" s="49"/>
      <c r="E11" s="49"/>
      <c r="F11" s="49"/>
      <c r="G11" s="49"/>
      <c r="H11" s="49"/>
      <c r="I11" s="49"/>
      <c r="J11" s="49"/>
      <c r="K11" s="49"/>
      <c r="L11" s="49"/>
      <c r="M11" s="49"/>
      <c r="N11" s="49"/>
      <c r="O11" s="49"/>
      <c r="P11" s="49"/>
      <c r="Q11" s="49"/>
    </row>
    <row r="12" spans="2:25" x14ac:dyDescent="0.2">
      <c r="B12" s="30">
        <v>42064</v>
      </c>
      <c r="C12" s="31">
        <f>VLOOKUP(B12,Global!$A:$B,2,)</f>
        <v>55.1</v>
      </c>
      <c r="D12" s="31">
        <f>VLOOKUP(B12,US!$A:$B,2,)</f>
        <v>59.2</v>
      </c>
      <c r="E12" s="31">
        <f>VLOOKUP(B12,China!$A:$B,2,)</f>
        <v>52.3</v>
      </c>
      <c r="F12" s="31">
        <f>VLOOKUP(B12,EuroArea!$A:$B,2,)</f>
        <v>54.2</v>
      </c>
      <c r="G12" s="31">
        <f>VLOOKUP(B12,Japan!$A:$B,2,)</f>
        <v>48.4</v>
      </c>
      <c r="H12" s="31">
        <f>VLOOKUP(B12,Germany!$A:$B,2,)</f>
        <v>55.4</v>
      </c>
      <c r="I12" s="31">
        <f>VLOOKUP(B12,France!$A:$B,2,)</f>
        <v>52.4</v>
      </c>
      <c r="J12" s="31">
        <f>VLOOKUP(B12,UK!$A:$B,2,)</f>
        <v>58.9</v>
      </c>
      <c r="K12" s="31">
        <f>VLOOKUP(B12,Italy!$A:$B,2,)</f>
        <v>51.6</v>
      </c>
      <c r="L12" s="31">
        <f>VLOOKUP(B12,Spain!$A:$B,2,)</f>
        <v>57.3</v>
      </c>
      <c r="M12" s="31">
        <f>VLOOKUP(B12,Brazil!$A:$B,2,)</f>
        <v>47.9</v>
      </c>
      <c r="N12" s="31">
        <f>VLOOKUP(B12,Russia!$A:$B,2,)</f>
        <v>46.1</v>
      </c>
      <c r="O12" s="31">
        <f>VLOOKUP(B12,India!$A:$B,2,)</f>
        <v>53</v>
      </c>
      <c r="P12" s="31">
        <f>VLOOKUP(B12,Australia!$A:$B,2,)</f>
        <v>50.2</v>
      </c>
      <c r="Q12" s="31">
        <f>VLOOKUP(B12,Ireland!$A:$B,2,)</f>
        <v>60.9</v>
      </c>
    </row>
    <row r="13" spans="2:25" x14ac:dyDescent="0.2">
      <c r="B13" s="30">
        <v>42095</v>
      </c>
      <c r="C13" s="31">
        <f>VLOOKUP(B13,Global!$A:$B,2,)</f>
        <v>54.8</v>
      </c>
      <c r="D13" s="31">
        <f>VLOOKUP(B13,US!$A:$B,2,)</f>
        <v>57.4</v>
      </c>
      <c r="E13" s="31">
        <f>VLOOKUP(B13,China!$A:$B,2,)</f>
        <v>52.9</v>
      </c>
      <c r="F13" s="31">
        <f>VLOOKUP(B13,EuroArea!$A:$B,2,)</f>
        <v>54.1</v>
      </c>
      <c r="G13" s="31">
        <f>VLOOKUP(B13,Japan!$A:$B,2,)</f>
        <v>51.3</v>
      </c>
      <c r="H13" s="31">
        <f>VLOOKUP(B13,Germany!$A:$B,2,)</f>
        <v>54</v>
      </c>
      <c r="I13" s="31">
        <f>VLOOKUP(B13,France!$A:$B,2,)</f>
        <v>51.4</v>
      </c>
      <c r="J13" s="31">
        <f>VLOOKUP(B13,UK!$A:$B,2,)</f>
        <v>59.5</v>
      </c>
      <c r="K13" s="31">
        <f>VLOOKUP(B13,Italy!$A:$B,2,)</f>
        <v>53.1</v>
      </c>
      <c r="L13" s="31">
        <f>VLOOKUP(B13,Spain!$A:$B,2,)</f>
        <v>60.3</v>
      </c>
      <c r="M13" s="31">
        <f>VLOOKUP(B13,Brazil!$A:$B,2,)</f>
        <v>44.6</v>
      </c>
      <c r="N13" s="31">
        <f>VLOOKUP(B13,Russia!$A:$B,2,)</f>
        <v>50.7</v>
      </c>
      <c r="O13" s="31">
        <f>VLOOKUP(B13,India!$A:$B,2,)</f>
        <v>52.4</v>
      </c>
      <c r="P13" s="31">
        <f>VLOOKUP(B13,Australia!$A:$B,2,)</f>
        <v>49.7</v>
      </c>
      <c r="Q13" s="31">
        <f>VLOOKUP(B13,Ireland!$A:$B,2,)</f>
        <v>60.6</v>
      </c>
    </row>
    <row r="14" spans="2:25" x14ac:dyDescent="0.2">
      <c r="B14" s="30">
        <v>42125</v>
      </c>
      <c r="C14" s="31">
        <f>VLOOKUP(B14,Global!$A:$B,2,)</f>
        <v>54.1</v>
      </c>
      <c r="D14" s="31">
        <f>VLOOKUP(B14,US!$A:$B,2,)</f>
        <v>56.2</v>
      </c>
      <c r="E14" s="31">
        <f>VLOOKUP(B14,China!$A:$B,2,)</f>
        <v>53.5</v>
      </c>
      <c r="F14" s="31">
        <f>VLOOKUP(B14,EuroArea!$A:$B,2,)</f>
        <v>53.8</v>
      </c>
      <c r="G14" s="31">
        <f>VLOOKUP(B14,Japan!$A:$B,2,)</f>
        <v>51.5</v>
      </c>
      <c r="H14" s="31">
        <f>VLOOKUP(B14,Germany!$A:$B,2,)</f>
        <v>53</v>
      </c>
      <c r="I14" s="31">
        <f>VLOOKUP(B14,France!$A:$B,2,)</f>
        <v>52.8</v>
      </c>
      <c r="J14" s="31">
        <f>VLOOKUP(B14,UK!$A:$B,2,)</f>
        <v>56.5</v>
      </c>
      <c r="K14" s="31">
        <f>VLOOKUP(B14,Italy!$A:$B,2,)</f>
        <v>52.5</v>
      </c>
      <c r="L14" s="31">
        <f>VLOOKUP(B14,Spain!$A:$B,2,)</f>
        <v>58.4</v>
      </c>
      <c r="M14" s="31">
        <f>VLOOKUP(B14,Brazil!$A:$B,2,)</f>
        <v>42.5</v>
      </c>
      <c r="N14" s="31">
        <f>VLOOKUP(B14,Russia!$A:$B,2,)</f>
        <v>52.8</v>
      </c>
      <c r="O14" s="31">
        <f>VLOOKUP(B14,India!$A:$B,2,)</f>
        <v>49.6</v>
      </c>
      <c r="P14" s="31">
        <f>VLOOKUP(B14,Australia!$A:$B,2,)</f>
        <v>49.6</v>
      </c>
      <c r="Q14" s="31">
        <f>VLOOKUP(B14,Ireland!$A:$B,2,)</f>
        <v>61.4</v>
      </c>
    </row>
    <row r="15" spans="2:25" x14ac:dyDescent="0.2">
      <c r="B15" s="30">
        <v>42156</v>
      </c>
      <c r="C15" s="31">
        <f>VLOOKUP(B15,Global!$A:$B,2,)</f>
        <v>53.5</v>
      </c>
      <c r="D15" s="31">
        <f>VLOOKUP(B15,US!$A:$B,2,)</f>
        <v>54.8</v>
      </c>
      <c r="E15" s="31">
        <f>VLOOKUP(B15,China!$A:$B,2,)</f>
        <v>51.8</v>
      </c>
      <c r="F15" s="31">
        <f>VLOOKUP(B15,EuroArea!$A:$B,2,)</f>
        <v>54.4</v>
      </c>
      <c r="G15" s="31">
        <f>VLOOKUP(B15,Japan!$A:$B,2,)</f>
        <v>51.8</v>
      </c>
      <c r="H15" s="31">
        <f>VLOOKUP(B15,Germany!$A:$B,2,)</f>
        <v>53.8</v>
      </c>
      <c r="I15" s="31">
        <f>VLOOKUP(B15,France!$A:$B,2,)</f>
        <v>54.1</v>
      </c>
      <c r="J15" s="31">
        <f>VLOOKUP(B15,UK!$A:$B,2,)</f>
        <v>58.5</v>
      </c>
      <c r="K15" s="31">
        <f>VLOOKUP(B15,Italy!$A:$B,2,)</f>
        <v>53.4</v>
      </c>
      <c r="L15" s="31">
        <f>VLOOKUP(B15,Spain!$A:$B,2,)</f>
        <v>56.1</v>
      </c>
      <c r="M15" s="31">
        <f>VLOOKUP(B15,Brazil!$A:$B,2,)</f>
        <v>39.9</v>
      </c>
      <c r="N15" s="31">
        <f>VLOOKUP(B15,Russia!$A:$B,2,)</f>
        <v>49.5</v>
      </c>
      <c r="O15" s="31">
        <f>VLOOKUP(B15,India!$A:$B,2,)</f>
        <v>47.7</v>
      </c>
      <c r="P15" s="31">
        <f>VLOOKUP(B15,Australia!$A:$B,2,)</f>
        <v>51.2</v>
      </c>
      <c r="Q15" s="31">
        <f>VLOOKUP(B15,Ireland!$A:$B,2,)</f>
        <v>63.3</v>
      </c>
    </row>
    <row r="16" spans="2:25" x14ac:dyDescent="0.2">
      <c r="B16" s="30">
        <v>42186</v>
      </c>
      <c r="C16" s="31">
        <f>VLOOKUP(B16,Global!$A:$B,2,)</f>
        <v>53.9</v>
      </c>
      <c r="D16" s="31">
        <f>VLOOKUP(B16,US!$A:$B,2,)</f>
        <v>55.7</v>
      </c>
      <c r="E16" s="31">
        <f>VLOOKUP(B16,China!$A:$B,2,)</f>
        <v>53.8</v>
      </c>
      <c r="F16" s="31">
        <f>VLOOKUP(B16,EuroArea!$A:$B,2,)</f>
        <v>54</v>
      </c>
      <c r="G16" s="31">
        <f>VLOOKUP(B16,Japan!$A:$B,2,)</f>
        <v>51.2</v>
      </c>
      <c r="H16" s="31">
        <f>VLOOKUP(B16,Germany!$A:$B,2,)</f>
        <v>53.8</v>
      </c>
      <c r="I16" s="31">
        <f>VLOOKUP(B16,France!$A:$B,2,)</f>
        <v>52</v>
      </c>
      <c r="J16" s="31">
        <f>VLOOKUP(B16,UK!$A:$B,2,)</f>
        <v>57.4</v>
      </c>
      <c r="K16" s="31">
        <f>VLOOKUP(B16,Italy!$A:$B,2,)</f>
        <v>52</v>
      </c>
      <c r="L16" s="31">
        <f>VLOOKUP(B16,Spain!$A:$B,2,)</f>
        <v>59.7</v>
      </c>
      <c r="M16" s="31">
        <f>VLOOKUP(B16,Brazil!$A:$B,2,)</f>
        <v>39.1</v>
      </c>
      <c r="N16" s="31">
        <f>VLOOKUP(B16,Russia!$A:$B,2,)</f>
        <v>51.6</v>
      </c>
      <c r="O16" s="31">
        <f>VLOOKUP(B16,India!$A:$B,2,)</f>
        <v>50.8</v>
      </c>
      <c r="P16" s="31">
        <f>VLOOKUP(B16,Australia!$A:$B,2,)</f>
        <v>54.1</v>
      </c>
      <c r="Q16" s="31">
        <f>VLOOKUP(B16,Ireland!$A:$B,2,)</f>
        <v>63.4</v>
      </c>
    </row>
    <row r="17" spans="2:17" x14ac:dyDescent="0.2">
      <c r="B17" s="30">
        <v>42217</v>
      </c>
      <c r="C17" s="31">
        <f>VLOOKUP(B17,Global!$A:$B,2,)</f>
        <v>54.4</v>
      </c>
      <c r="D17" s="31">
        <f>VLOOKUP(B17,US!$A:$B,2,)</f>
        <v>56.1</v>
      </c>
      <c r="E17" s="31">
        <f>VLOOKUP(B17,China!$A:$B,2,)</f>
        <v>51.5</v>
      </c>
      <c r="F17" s="31">
        <f>VLOOKUP(B17,EuroArea!$A:$B,2,)</f>
        <v>54.4</v>
      </c>
      <c r="G17" s="31">
        <f>VLOOKUP(B17,Japan!$A:$B,2,)</f>
        <v>53.7</v>
      </c>
      <c r="H17" s="31">
        <f>VLOOKUP(B17,Germany!$A:$B,2,)</f>
        <v>54.9</v>
      </c>
      <c r="I17" s="31">
        <f>VLOOKUP(B17,France!$A:$B,2,)</f>
        <v>50.6</v>
      </c>
      <c r="J17" s="31">
        <f>VLOOKUP(B17,UK!$A:$B,2,)</f>
        <v>55.6</v>
      </c>
      <c r="K17" s="31">
        <f>VLOOKUP(B17,Italy!$A:$B,2,)</f>
        <v>54.6</v>
      </c>
      <c r="L17" s="31">
        <f>VLOOKUP(B17,Spain!$A:$B,2,)</f>
        <v>59.6</v>
      </c>
      <c r="M17" s="31">
        <f>VLOOKUP(B17,Brazil!$A:$B,2,)</f>
        <v>44.8</v>
      </c>
      <c r="N17" s="31">
        <f>VLOOKUP(B17,Russia!$A:$B,2,)</f>
        <v>49.1</v>
      </c>
      <c r="O17" s="31">
        <f>VLOOKUP(B17,India!$A:$B,2,)</f>
        <v>51.8</v>
      </c>
      <c r="P17" s="31">
        <f>VLOOKUP(B17,Australia!$A:$B,2,)</f>
        <v>55.6</v>
      </c>
      <c r="Q17" s="31">
        <f>VLOOKUP(B17,Ireland!$A:$B,2,)</f>
        <v>62.1</v>
      </c>
    </row>
    <row r="18" spans="2:17" x14ac:dyDescent="0.2">
      <c r="B18" s="30">
        <v>42248</v>
      </c>
      <c r="C18" s="31">
        <f>VLOOKUP(B18,Global!$A:$B,2,)</f>
        <v>53.3</v>
      </c>
      <c r="D18" s="31">
        <f>VLOOKUP(B18,US!$A:$B,2,)</f>
        <v>55.1</v>
      </c>
      <c r="E18" s="31">
        <f>VLOOKUP(B18,China!$A:$B,2,)</f>
        <v>50.5</v>
      </c>
      <c r="F18" s="31">
        <f>VLOOKUP(B18,EuroArea!$A:$B,2,)</f>
        <v>53.7</v>
      </c>
      <c r="G18" s="31">
        <f>VLOOKUP(B18,Japan!$A:$B,2,)</f>
        <v>51.4</v>
      </c>
      <c r="H18" s="31">
        <f>VLOOKUP(B18,Germany!$A:$B,2,)</f>
        <v>54.1</v>
      </c>
      <c r="I18" s="31">
        <f>VLOOKUP(B18,France!$A:$B,2,)</f>
        <v>51.9</v>
      </c>
      <c r="J18" s="31">
        <f>VLOOKUP(B18,UK!$A:$B,2,)</f>
        <v>53.3</v>
      </c>
      <c r="K18" s="31">
        <f>VLOOKUP(B18,Italy!$A:$B,2,)</f>
        <v>53.3</v>
      </c>
      <c r="L18" s="31">
        <f>VLOOKUP(B18,Spain!$A:$B,2,)</f>
        <v>55.1</v>
      </c>
      <c r="M18" s="31">
        <f>VLOOKUP(B18,Brazil!$A:$B,2,)</f>
        <v>41.7</v>
      </c>
      <c r="N18" s="31">
        <f>VLOOKUP(B18,Russia!$A:$B,2,)</f>
        <v>51.3</v>
      </c>
      <c r="O18" s="31">
        <f>VLOOKUP(B18,India!$A:$B,2,)</f>
        <v>51.3</v>
      </c>
      <c r="P18" s="31">
        <f>VLOOKUP(B18,Australia!$A:$B,2,)</f>
        <v>52.3</v>
      </c>
      <c r="Q18" s="31">
        <f>VLOOKUP(B18,Ireland!$A:$B,2,)</f>
        <v>62.4</v>
      </c>
    </row>
    <row r="19" spans="2:17" x14ac:dyDescent="0.2">
      <c r="B19" s="30">
        <v>42278</v>
      </c>
      <c r="C19" s="31">
        <f>VLOOKUP(B19,Global!$A:$B,2,)</f>
        <v>53.7</v>
      </c>
      <c r="D19" s="31">
        <f>VLOOKUP(B19,US!$A:$B,2,)</f>
        <v>54.8</v>
      </c>
      <c r="E19" s="31">
        <f>VLOOKUP(B19,China!$A:$B,2,)</f>
        <v>52</v>
      </c>
      <c r="F19" s="31">
        <f>VLOOKUP(B19,EuroArea!$A:$B,2,)</f>
        <v>54.1</v>
      </c>
      <c r="G19" s="31">
        <f>VLOOKUP(B19,Japan!$A:$B,2,)</f>
        <v>52.2</v>
      </c>
      <c r="H19" s="31">
        <f>VLOOKUP(B19,Germany!$A:$B,2,)</f>
        <v>54.5</v>
      </c>
      <c r="I19" s="31">
        <f>VLOOKUP(B19,France!$A:$B,2,)</f>
        <v>52.7</v>
      </c>
      <c r="J19" s="31">
        <f>VLOOKUP(B19,UK!$A:$B,2,)</f>
        <v>54.9</v>
      </c>
      <c r="K19" s="31">
        <f>VLOOKUP(B19,Italy!$A:$B,2,)</f>
        <v>53.4</v>
      </c>
      <c r="L19" s="31">
        <f>VLOOKUP(B19,Spain!$A:$B,2,)</f>
        <v>55.9</v>
      </c>
      <c r="M19" s="31">
        <f>VLOOKUP(B19,Brazil!$A:$B,2,)</f>
        <v>43</v>
      </c>
      <c r="N19" s="31">
        <f>VLOOKUP(B19,Russia!$A:$B,2,)</f>
        <v>47.8</v>
      </c>
      <c r="O19" s="31">
        <f>VLOOKUP(B19,India!$A:$B,2,)</f>
        <v>53.2</v>
      </c>
      <c r="P19" s="31">
        <f>VLOOKUP(B19,Australia!$A:$B,2,)</f>
        <v>48.9</v>
      </c>
      <c r="Q19" s="31">
        <f>VLOOKUP(B19,Ireland!$A:$B,2,)</f>
        <v>60.1</v>
      </c>
    </row>
    <row r="20" spans="2:17" x14ac:dyDescent="0.2">
      <c r="B20" s="30">
        <v>42309</v>
      </c>
      <c r="C20" s="31">
        <f>VLOOKUP(B20,Global!$A:$B,2,)</f>
        <v>54.1</v>
      </c>
      <c r="D20" s="31">
        <f>VLOOKUP(B20,US!$A:$B,2,)</f>
        <v>56.1</v>
      </c>
      <c r="E20" s="31">
        <f>VLOOKUP(B20,China!$A:$B,2,)</f>
        <v>51.2</v>
      </c>
      <c r="F20" s="31">
        <f>VLOOKUP(B20,EuroArea!$A:$B,2,)</f>
        <v>54.2</v>
      </c>
      <c r="G20" s="31">
        <f>VLOOKUP(B20,Japan!$A:$B,2,)</f>
        <v>51.6</v>
      </c>
      <c r="H20" s="31">
        <f>VLOOKUP(B20,Germany!$A:$B,2,)</f>
        <v>55.6</v>
      </c>
      <c r="I20" s="31">
        <f>VLOOKUP(B20,France!$A:$B,2,)</f>
        <v>51</v>
      </c>
      <c r="J20" s="31">
        <f>VLOOKUP(B20,UK!$A:$B,2,)</f>
        <v>55.9</v>
      </c>
      <c r="K20" s="31">
        <f>VLOOKUP(B20,Italy!$A:$B,2,)</f>
        <v>53.4</v>
      </c>
      <c r="L20" s="31">
        <f>VLOOKUP(B20,Spain!$A:$B,2,)</f>
        <v>56.7</v>
      </c>
      <c r="M20" s="31">
        <f>VLOOKUP(B20,Brazil!$A:$B,2,)</f>
        <v>45.5</v>
      </c>
      <c r="N20" s="31">
        <f>VLOOKUP(B20,Russia!$A:$B,2,)</f>
        <v>49.8</v>
      </c>
      <c r="O20" s="31">
        <f>VLOOKUP(B20,India!$A:$B,2,)</f>
        <v>50.1</v>
      </c>
      <c r="P20" s="31">
        <f>VLOOKUP(B20,Australia!$A:$B,2,)</f>
        <v>48.2</v>
      </c>
      <c r="Q20" s="31">
        <f>VLOOKUP(B20,Ireland!$A:$B,2,)</f>
        <v>63.6</v>
      </c>
    </row>
    <row r="21" spans="2:17" x14ac:dyDescent="0.2">
      <c r="B21" s="30">
        <v>42339</v>
      </c>
      <c r="C21" s="31">
        <f>VLOOKUP(B21,Global!$A:$B,2,)</f>
        <v>53.1</v>
      </c>
      <c r="D21" s="31">
        <f>VLOOKUP(B21,US!$A:$B,2,)</f>
        <v>54.3</v>
      </c>
      <c r="E21" s="31">
        <f>VLOOKUP(B21,China!$A:$B,2,)</f>
        <v>50.2</v>
      </c>
      <c r="F21" s="31">
        <f>VLOOKUP(B21,EuroArea!$A:$B,2,)</f>
        <v>54.2</v>
      </c>
      <c r="G21" s="31">
        <f>VLOOKUP(B21,Japan!$A:$B,2,)</f>
        <v>51.5</v>
      </c>
      <c r="H21" s="31">
        <f>VLOOKUP(B21,Germany!$A:$B,2,)</f>
        <v>56</v>
      </c>
      <c r="I21" s="31">
        <f>VLOOKUP(B21,France!$A:$B,2,)</f>
        <v>49.8</v>
      </c>
      <c r="J21" s="31">
        <f>VLOOKUP(B21,UK!$A:$B,2,)</f>
        <v>55.5</v>
      </c>
      <c r="K21" s="31">
        <f>VLOOKUP(B21,Italy!$A:$B,2,)</f>
        <v>55.3</v>
      </c>
      <c r="L21" s="31">
        <f>VLOOKUP(B21,Spain!$A:$B,2,)</f>
        <v>55.1</v>
      </c>
      <c r="M21" s="31">
        <f>VLOOKUP(B21,Brazil!$A:$B,2,)</f>
        <v>43.5</v>
      </c>
      <c r="N21" s="31">
        <f>VLOOKUP(B21,Russia!$A:$B,2,)</f>
        <v>47.8</v>
      </c>
      <c r="O21" s="31">
        <f>VLOOKUP(B21,India!$A:$B,2,)</f>
        <v>53.6</v>
      </c>
      <c r="P21" s="31">
        <f>VLOOKUP(B21,Australia!$A:$B,2,)</f>
        <v>46.3</v>
      </c>
      <c r="Q21" s="31">
        <f>VLOOKUP(B21,Ireland!$A:$B,2,)</f>
        <v>61.8</v>
      </c>
    </row>
    <row r="22" spans="2:17" x14ac:dyDescent="0.2">
      <c r="B22" s="30">
        <v>42370</v>
      </c>
      <c r="C22" s="31">
        <f>VLOOKUP(B22,Global!$A:$B,2,)</f>
        <v>52.8</v>
      </c>
      <c r="D22" s="31">
        <f>VLOOKUP(B22,US!$A:$B,2,)</f>
        <v>53.2</v>
      </c>
      <c r="E22" s="31">
        <f>VLOOKUP(B22,China!$A:$B,2,)</f>
        <v>52.4</v>
      </c>
      <c r="F22" s="31">
        <f>VLOOKUP(B22,EuroArea!$A:$B,2,)</f>
        <v>53.6</v>
      </c>
      <c r="G22" s="31">
        <f>VLOOKUP(B22,Japan!$A:$B,2,)</f>
        <v>52.4</v>
      </c>
      <c r="H22" s="31">
        <f>VLOOKUP(B22,Germany!$A:$B,2,)</f>
        <v>55</v>
      </c>
      <c r="I22" s="31">
        <f>VLOOKUP(B22,France!$A:$B,2,)</f>
        <v>50.3</v>
      </c>
      <c r="J22" s="31">
        <f>VLOOKUP(B22,UK!$A:$B,2,)</f>
        <v>55.6</v>
      </c>
      <c r="K22" s="31">
        <f>VLOOKUP(B22,Italy!$A:$B,2,)</f>
        <v>53.6</v>
      </c>
      <c r="L22" s="31">
        <f>VLOOKUP(B22,Spain!$A:$B,2,)</f>
        <v>54.6</v>
      </c>
      <c r="M22" s="31">
        <f>VLOOKUP(B22,Brazil!$A:$B,2,)</f>
        <v>44.4</v>
      </c>
      <c r="N22" s="31">
        <f>VLOOKUP(B22,Russia!$A:$B,2,)</f>
        <v>47.1</v>
      </c>
      <c r="O22" s="31">
        <f>VLOOKUP(B22,India!$A:$B,2,)</f>
        <v>54.3</v>
      </c>
      <c r="P22" s="31">
        <f>VLOOKUP(B22,Australia!$A:$B,2,)</f>
        <v>48.4</v>
      </c>
      <c r="Q22" s="31">
        <f>VLOOKUP(B22,Ireland!$A:$B,2,)</f>
        <v>64</v>
      </c>
    </row>
    <row r="23" spans="2:17" x14ac:dyDescent="0.2">
      <c r="B23" s="30">
        <v>42401</v>
      </c>
      <c r="C23" s="31">
        <f>VLOOKUP(B23,Global!$A:$B,2,)</f>
        <v>50.7</v>
      </c>
      <c r="D23" s="31">
        <f>VLOOKUP(B23,US!$A:$B,2,)</f>
        <v>49.7</v>
      </c>
      <c r="E23" s="31">
        <f>VLOOKUP(B23,China!$A:$B,2,)</f>
        <v>51.2</v>
      </c>
      <c r="F23" s="31">
        <f>VLOOKUP(B23,EuroArea!$A:$B,2,)</f>
        <v>53.3</v>
      </c>
      <c r="G23" s="31">
        <f>VLOOKUP(B23,Japan!$A:$B,2,)</f>
        <v>51.2</v>
      </c>
      <c r="H23" s="31">
        <f>VLOOKUP(B23,Germany!$A:$B,2,)</f>
        <v>55.3</v>
      </c>
      <c r="I23" s="31">
        <f>VLOOKUP(B23,France!$A:$B,2,)</f>
        <v>49.2</v>
      </c>
      <c r="J23" s="31">
        <f>VLOOKUP(B23,UK!$A:$B,2,)</f>
        <v>52.7</v>
      </c>
      <c r="K23" s="31">
        <f>VLOOKUP(B23,Italy!$A:$B,2,)</f>
        <v>53.8</v>
      </c>
      <c r="L23" s="31">
        <f>VLOOKUP(B23,Spain!$A:$B,2,)</f>
        <v>54.1</v>
      </c>
      <c r="M23" s="31">
        <f>VLOOKUP(B23,Brazil!$A:$B,2,)</f>
        <v>36.9</v>
      </c>
      <c r="N23" s="31">
        <f>VLOOKUP(B23,Russia!$A:$B,2,)</f>
        <v>50.9</v>
      </c>
      <c r="O23" s="31">
        <f>VLOOKUP(B23,India!$A:$B,2,)</f>
        <v>51.4</v>
      </c>
      <c r="P23" s="31">
        <f>VLOOKUP(B23,Australia!$A:$B,2,)</f>
        <v>51.8</v>
      </c>
      <c r="Q23" s="31">
        <f>VLOOKUP(B23,Ireland!$A:$B,2,)</f>
        <v>62.1</v>
      </c>
    </row>
    <row r="24" spans="2:17" x14ac:dyDescent="0.2">
      <c r="B24" s="30">
        <v>42430</v>
      </c>
      <c r="C24" s="31">
        <f>VLOOKUP(B24,Global!$A:$B,2,)</f>
        <v>51.4</v>
      </c>
      <c r="D24" s="31">
        <f>VLOOKUP(B24,US!$A:$B,2,)</f>
        <v>51.3</v>
      </c>
      <c r="E24" s="31">
        <f>VLOOKUP(B24,China!$A:$B,2,)</f>
        <v>52.2</v>
      </c>
      <c r="F24" s="31">
        <f>VLOOKUP(B24,EuroArea!$A:$B,2,)</f>
        <v>53.1</v>
      </c>
      <c r="G24" s="31">
        <f>VLOOKUP(B24,Japan!$A:$B,2,)</f>
        <v>50</v>
      </c>
      <c r="H24" s="31">
        <f>VLOOKUP(B24,Germany!$A:$B,2,)</f>
        <v>55.1</v>
      </c>
      <c r="I24" s="31">
        <f>VLOOKUP(B24,France!$A:$B,2,)</f>
        <v>49.9</v>
      </c>
      <c r="J24" s="31">
        <f>VLOOKUP(B24,UK!$A:$B,2,)</f>
        <v>53.7</v>
      </c>
      <c r="K24" s="31">
        <f>VLOOKUP(B24,Italy!$A:$B,2,)</f>
        <v>51.2</v>
      </c>
      <c r="L24" s="31">
        <f>VLOOKUP(B24,Spain!$A:$B,2,)</f>
        <v>55.3</v>
      </c>
      <c r="M24" s="31">
        <f>VLOOKUP(B24,Brazil!$A:$B,2,)</f>
        <v>38.6</v>
      </c>
      <c r="N24" s="31">
        <f>VLOOKUP(B24,Russia!$A:$B,2,)</f>
        <v>52</v>
      </c>
      <c r="O24" s="31">
        <f>VLOOKUP(B24,India!$A:$B,2,)</f>
        <v>54.3</v>
      </c>
      <c r="P24" s="31">
        <f>VLOOKUP(B24,Australia!$A:$B,2,)</f>
        <v>49.5</v>
      </c>
      <c r="Q24" s="31">
        <f>VLOOKUP(B24,Ireland!$A:$B,2,)</f>
        <v>62.8</v>
      </c>
    </row>
    <row r="25" spans="2:17" x14ac:dyDescent="0.2">
      <c r="B25" s="30">
        <v>42461</v>
      </c>
      <c r="C25" s="31">
        <f>VLOOKUP(B25,Global!$A:$B,2,)</f>
        <v>51.9</v>
      </c>
      <c r="D25" s="31">
        <f>VLOOKUP(B25,US!$A:$B,2,)</f>
        <v>52.8</v>
      </c>
      <c r="E25" s="31">
        <f>VLOOKUP(B25,China!$A:$B,2,)</f>
        <v>51.8</v>
      </c>
      <c r="F25" s="31">
        <f>VLOOKUP(B25,EuroArea!$A:$B,2,)</f>
        <v>53.1</v>
      </c>
      <c r="G25" s="31">
        <f>VLOOKUP(B25,Japan!$A:$B,2,)</f>
        <v>49.3</v>
      </c>
      <c r="H25" s="31">
        <f>VLOOKUP(B25,Germany!$A:$B,2,)</f>
        <v>54.5</v>
      </c>
      <c r="I25" s="31">
        <f>VLOOKUP(B25,France!$A:$B,2,)</f>
        <v>50.6</v>
      </c>
      <c r="J25" s="31">
        <f>VLOOKUP(B25,UK!$A:$B,2,)</f>
        <v>52.3</v>
      </c>
      <c r="K25" s="31">
        <f>VLOOKUP(B25,Italy!$A:$B,2,)</f>
        <v>52.1</v>
      </c>
      <c r="L25" s="31">
        <f>VLOOKUP(B25,Spain!$A:$B,2,)</f>
        <v>55.1</v>
      </c>
      <c r="M25" s="31">
        <f>VLOOKUP(B25,Brazil!$A:$B,2,)</f>
        <v>37.4</v>
      </c>
      <c r="N25" s="31">
        <f>VLOOKUP(B25,Russia!$A:$B,2,)</f>
        <v>54.2</v>
      </c>
      <c r="O25" s="31">
        <f>VLOOKUP(B25,India!$A:$B,2,)</f>
        <v>53.7</v>
      </c>
      <c r="P25" s="31">
        <f>VLOOKUP(B25,Australia!$A:$B,2,)</f>
        <v>49.7</v>
      </c>
      <c r="Q25" s="31">
        <f>VLOOKUP(B25,Ireland!$A:$B,2,)</f>
        <v>59.8</v>
      </c>
    </row>
    <row r="26" spans="2:17" x14ac:dyDescent="0.2">
      <c r="B26" s="30">
        <v>42491</v>
      </c>
      <c r="C26" s="31">
        <f>VLOOKUP(B26,Global!$A:$B,2,)</f>
        <v>52.8</v>
      </c>
      <c r="D26" s="31">
        <f>VLOOKUP(B26,US!$A:$B,2,)</f>
        <v>51.3</v>
      </c>
      <c r="E26" s="31">
        <f>VLOOKUP(B26,China!$A:$B,2,)</f>
        <v>51.2</v>
      </c>
      <c r="F26" s="31">
        <f>VLOOKUP(B26,EuroArea!$A:$B,2,)</f>
        <v>53.3</v>
      </c>
      <c r="G26" s="31">
        <f>VLOOKUP(B26,Japan!$A:$B,2,)</f>
        <v>50.4</v>
      </c>
      <c r="H26" s="31">
        <f>VLOOKUP(B26,Germany!$A:$B,2,)</f>
        <v>55.2</v>
      </c>
      <c r="I26" s="31">
        <f>VLOOKUP(B26,France!$A:$B,2,)</f>
        <v>51.6</v>
      </c>
      <c r="J26" s="31">
        <f>VLOOKUP(B26,UK!$A:$B,2,)</f>
        <v>53.5</v>
      </c>
      <c r="K26" s="31">
        <f>VLOOKUP(B26,Italy!$A:$B,2,)</f>
        <v>49.8</v>
      </c>
      <c r="L26" s="31">
        <f>VLOOKUP(B26,Spain!$A:$B,2,)</f>
        <v>55.4</v>
      </c>
      <c r="M26" s="31">
        <f>VLOOKUP(B26,Brazil!$A:$B,2,)</f>
        <v>37.299999999999997</v>
      </c>
      <c r="N26" s="31">
        <f>VLOOKUP(B26,Russia!$A:$B,2,)</f>
        <v>51.8</v>
      </c>
      <c r="O26" s="31">
        <f>VLOOKUP(B26,India!$A:$B,2,)</f>
        <v>51</v>
      </c>
      <c r="P26" s="31">
        <f>VLOOKUP(B26,Australia!$A:$B,2,)</f>
        <v>51.5</v>
      </c>
      <c r="Q26" s="31">
        <f>VLOOKUP(B26,Ireland!$A:$B,2,)</f>
        <v>61.7</v>
      </c>
    </row>
    <row r="27" spans="2:17" x14ac:dyDescent="0.2">
      <c r="B27" s="30">
        <v>42522</v>
      </c>
      <c r="C27" s="31">
        <f>VLOOKUP(B27,Global!$A:$B,2,)</f>
        <v>51.3</v>
      </c>
      <c r="D27" s="31">
        <f>VLOOKUP(B27,US!$A:$B,2,)</f>
        <v>51.4</v>
      </c>
      <c r="E27" s="31">
        <f>VLOOKUP(B27,China!$A:$B,2,)</f>
        <v>52.7</v>
      </c>
      <c r="F27" s="31">
        <f>VLOOKUP(B27,EuroArea!$A:$B,2,)</f>
        <v>52.8</v>
      </c>
      <c r="G27" s="31">
        <f>VLOOKUP(B27,Japan!$A:$B,2,)</f>
        <v>49.4</v>
      </c>
      <c r="H27" s="31">
        <f>VLOOKUP(B27,Germany!$A:$B,2,)</f>
        <v>53.7</v>
      </c>
      <c r="I27" s="31">
        <f>VLOOKUP(B27,France!$A:$B,2,)</f>
        <v>49.9</v>
      </c>
      <c r="J27" s="31">
        <f>VLOOKUP(B27,UK!$A:$B,2,)</f>
        <v>52.3</v>
      </c>
      <c r="K27" s="31">
        <f>VLOOKUP(B27,Italy!$A:$B,2,)</f>
        <v>51.9</v>
      </c>
      <c r="L27" s="31">
        <f>VLOOKUP(B27,Spain!$A:$B,2,)</f>
        <v>56</v>
      </c>
      <c r="M27" s="31">
        <f>VLOOKUP(B27,Brazil!$A:$B,2,)</f>
        <v>41.4</v>
      </c>
      <c r="N27" s="31">
        <f>VLOOKUP(B27,Russia!$A:$B,2,)</f>
        <v>53.8</v>
      </c>
      <c r="O27" s="31">
        <f>VLOOKUP(B27,India!$A:$B,2,)</f>
        <v>50.3</v>
      </c>
      <c r="P27" s="31">
        <f>VLOOKUP(B27,Australia!$A:$B,2,)</f>
        <v>51.3</v>
      </c>
      <c r="Q27" s="31">
        <f>VLOOKUP(B27,Ireland!$A:$B,2,)</f>
        <v>61.2</v>
      </c>
    </row>
    <row r="28" spans="2:17" x14ac:dyDescent="0.2">
      <c r="B28" s="30">
        <v>42552</v>
      </c>
      <c r="C28" s="31">
        <f>VLOOKUP(B28,Global!$A:$B,2,)</f>
        <v>51.3</v>
      </c>
      <c r="D28" s="31">
        <f>VLOOKUP(B28,US!$A:$B,2,)</f>
        <v>51.4</v>
      </c>
      <c r="E28" s="31">
        <f>VLOOKUP(B28,China!$A:$B,2,)</f>
        <v>51.7</v>
      </c>
      <c r="F28" s="31">
        <f>VLOOKUP(B28,EuroArea!$A:$B,2,)</f>
        <v>52.9</v>
      </c>
      <c r="G28" s="31">
        <f>VLOOKUP(B28,Japan!$A:$B,2,)</f>
        <v>50.4</v>
      </c>
      <c r="H28" s="31">
        <f>VLOOKUP(B28,Germany!$A:$B,2,)</f>
        <v>54.4</v>
      </c>
      <c r="I28" s="31">
        <f>VLOOKUP(B28,France!$A:$B,2,)</f>
        <v>50.5</v>
      </c>
      <c r="J28" s="31">
        <f>VLOOKUP(B28,UK!$A:$B,2,)</f>
        <v>47.4</v>
      </c>
      <c r="K28" s="31">
        <f>VLOOKUP(B28,Italy!$A:$B,2,)</f>
        <v>52</v>
      </c>
      <c r="L28" s="31">
        <f>VLOOKUP(B28,Spain!$A:$B,2,)</f>
        <v>54.1</v>
      </c>
      <c r="M28" s="31">
        <f>VLOOKUP(B28,Brazil!$A:$B,2,)</f>
        <v>45.6</v>
      </c>
      <c r="N28" s="31">
        <f>VLOOKUP(B28,Russia!$A:$B,2,)</f>
        <v>55</v>
      </c>
      <c r="O28" s="31">
        <f>VLOOKUP(B28,India!$A:$B,2,)</f>
        <v>51.9</v>
      </c>
      <c r="P28" s="31">
        <f>VLOOKUP(B28,Australia!$A:$B,2,)</f>
        <v>53.9</v>
      </c>
      <c r="Q28" s="31">
        <f>VLOOKUP(B28,Ireland!$A:$B,2,)</f>
        <v>59.5</v>
      </c>
    </row>
    <row r="29" spans="2:17" x14ac:dyDescent="0.2">
      <c r="B29" s="30">
        <v>42583</v>
      </c>
      <c r="C29" s="31">
        <f>VLOOKUP(B29,Global!$A:$B,2,)</f>
        <v>51.5</v>
      </c>
      <c r="D29" s="31">
        <f>VLOOKUP(B29,US!$A:$B,2,)</f>
        <v>51</v>
      </c>
      <c r="E29" s="31">
        <f>VLOOKUP(B29,China!$A:$B,2,)</f>
        <v>52.1</v>
      </c>
      <c r="F29" s="31">
        <f>VLOOKUP(B29,EuroArea!$A:$B,2,)</f>
        <v>52.8</v>
      </c>
      <c r="G29" s="31">
        <f>VLOOKUP(B29,Japan!$A:$B,2,)</f>
        <v>49.6</v>
      </c>
      <c r="H29" s="31">
        <f>VLOOKUP(B29,Germany!$A:$B,2,)</f>
        <v>51.7</v>
      </c>
      <c r="I29" s="31">
        <f>VLOOKUP(B29,France!$A:$B,2,)</f>
        <v>52.3</v>
      </c>
      <c r="J29" s="31">
        <f>VLOOKUP(B29,UK!$A:$B,2,)</f>
        <v>52.9</v>
      </c>
      <c r="K29" s="31">
        <f>VLOOKUP(B29,Italy!$A:$B,2,)</f>
        <v>52.3</v>
      </c>
      <c r="L29" s="31">
        <f>VLOOKUP(B29,Spain!$A:$B,2,)</f>
        <v>56</v>
      </c>
      <c r="M29" s="31">
        <f>VLOOKUP(B29,Brazil!$A:$B,2,)</f>
        <v>42.7</v>
      </c>
      <c r="N29" s="31">
        <f>VLOOKUP(B29,Russia!$A:$B,2,)</f>
        <v>53.5</v>
      </c>
      <c r="O29" s="31">
        <f>VLOOKUP(B29,India!$A:$B,2,)</f>
        <v>54.7</v>
      </c>
      <c r="P29" s="31">
        <f>VLOOKUP(B29,Australia!$A:$B,2,)</f>
        <v>45</v>
      </c>
      <c r="Q29" s="31">
        <f>VLOOKUP(B29,Ireland!$A:$B,2,)</f>
        <v>59.7</v>
      </c>
    </row>
    <row r="30" spans="2:17" x14ac:dyDescent="0.2">
      <c r="B30" s="30">
        <v>42614</v>
      </c>
      <c r="C30" s="31">
        <f>VLOOKUP(B30,Global!$A:$B,2,)</f>
        <v>51.6</v>
      </c>
      <c r="D30" s="31">
        <f>VLOOKUP(B30,US!$A:$B,2,)</f>
        <v>52.3</v>
      </c>
      <c r="E30" s="31">
        <f>VLOOKUP(B30,China!$A:$B,2,)</f>
        <v>51</v>
      </c>
      <c r="F30" s="31">
        <f>VLOOKUP(B30,EuroArea!$A:$B,2,)</f>
        <v>52.2</v>
      </c>
      <c r="G30" s="31">
        <f>VLOOKUP(B30,Japan!$A:$B,2,)</f>
        <v>48.2</v>
      </c>
      <c r="H30" s="31">
        <f>VLOOKUP(B30,Germany!$A:$B,2,)</f>
        <v>50.9</v>
      </c>
      <c r="I30" s="31">
        <f>VLOOKUP(B30,France!$A:$B,2,)</f>
        <v>53.3</v>
      </c>
      <c r="J30" s="31">
        <f>VLOOKUP(B30,UK!$A:$B,2,)</f>
        <v>52.6</v>
      </c>
      <c r="K30" s="31">
        <f>VLOOKUP(B30,Italy!$A:$B,2,)</f>
        <v>50.7</v>
      </c>
      <c r="L30" s="31">
        <f>VLOOKUP(B30,Spain!$A:$B,2,)</f>
        <v>54.7</v>
      </c>
      <c r="M30" s="31">
        <f>VLOOKUP(B30,Brazil!$A:$B,2,)</f>
        <v>45.3</v>
      </c>
      <c r="N30" s="31">
        <f>VLOOKUP(B30,Russia!$A:$B,2,)</f>
        <v>53</v>
      </c>
      <c r="O30" s="31">
        <f>VLOOKUP(B30,India!$A:$B,2,)</f>
        <v>52</v>
      </c>
      <c r="P30" s="31">
        <f>VLOOKUP(B30,Australia!$A:$B,2,)</f>
        <v>48.9</v>
      </c>
      <c r="Q30" s="31">
        <f>VLOOKUP(B30,Ireland!$A:$B,2,)</f>
        <v>56.2</v>
      </c>
    </row>
    <row r="31" spans="2:17" x14ac:dyDescent="0.2">
      <c r="B31" s="30">
        <v>42644</v>
      </c>
      <c r="C31" s="31">
        <f>VLOOKUP(B31,Global!$A:$B,2,)</f>
        <v>53.2</v>
      </c>
      <c r="D31" s="31">
        <f>VLOOKUP(B31,US!$A:$B,2,)</f>
        <v>54.8</v>
      </c>
      <c r="E31" s="31">
        <f>VLOOKUP(B31,China!$A:$B,2,)</f>
        <v>52.4</v>
      </c>
      <c r="F31" s="31">
        <f>VLOOKUP(B31,EuroArea!$A:$B,2,)</f>
        <v>52.8</v>
      </c>
      <c r="G31" s="31">
        <f>VLOOKUP(B31,Japan!$A:$B,2,)</f>
        <v>50.5</v>
      </c>
      <c r="H31" s="31">
        <f>VLOOKUP(B31,Germany!$A:$B,2,)</f>
        <v>54.2</v>
      </c>
      <c r="I31" s="31">
        <f>VLOOKUP(B31,France!$A:$B,2,)</f>
        <v>51.4</v>
      </c>
      <c r="J31" s="31">
        <f>VLOOKUP(B31,UK!$A:$B,2,)</f>
        <v>54.5</v>
      </c>
      <c r="K31" s="31">
        <f>VLOOKUP(B31,Italy!$A:$B,2,)</f>
        <v>51</v>
      </c>
      <c r="L31" s="31">
        <f>VLOOKUP(B31,Spain!$A:$B,2,)</f>
        <v>54.6</v>
      </c>
      <c r="M31" s="31">
        <f>VLOOKUP(B31,Brazil!$A:$B,2,)</f>
        <v>43.9</v>
      </c>
      <c r="N31" s="31">
        <f>VLOOKUP(B31,Russia!$A:$B,2,)</f>
        <v>52.7</v>
      </c>
      <c r="O31" s="31">
        <f>VLOOKUP(B31,India!$A:$B,2,)</f>
        <v>54.5</v>
      </c>
      <c r="P31" s="31">
        <f>VLOOKUP(B31,Australia!$A:$B,2,)</f>
        <v>50.5</v>
      </c>
      <c r="Q31" s="31">
        <f>VLOOKUP(B31,Ireland!$A:$B,2,)</f>
        <v>54.6</v>
      </c>
    </row>
    <row r="32" spans="2:17" x14ac:dyDescent="0.2">
      <c r="B32" s="30">
        <v>42675</v>
      </c>
      <c r="C32" s="31">
        <f>VLOOKUP(B32,Global!$A:$B,2,)</f>
        <v>53.3</v>
      </c>
      <c r="D32" s="31">
        <f>VLOOKUP(B32,US!$A:$B,2,)</f>
        <v>54.6</v>
      </c>
      <c r="E32" s="31">
        <f>VLOOKUP(B32,China!$A:$B,2,)</f>
        <v>53.1</v>
      </c>
      <c r="F32" s="31">
        <f>VLOOKUP(B32,EuroArea!$A:$B,2,)</f>
        <v>53.8</v>
      </c>
      <c r="G32" s="31">
        <f>VLOOKUP(B32,Japan!$A:$B,2,)</f>
        <v>51.8</v>
      </c>
      <c r="H32" s="31">
        <f>VLOOKUP(B32,Germany!$A:$B,2,)</f>
        <v>55.1</v>
      </c>
      <c r="I32" s="31">
        <f>VLOOKUP(B32,France!$A:$B,2,)</f>
        <v>51.6</v>
      </c>
      <c r="J32" s="31">
        <f>VLOOKUP(B32,UK!$A:$B,2,)</f>
        <v>55.2</v>
      </c>
      <c r="K32" s="31">
        <f>VLOOKUP(B32,Italy!$A:$B,2,)</f>
        <v>53.3</v>
      </c>
      <c r="L32" s="31">
        <f>VLOOKUP(B32,Spain!$A:$B,2,)</f>
        <v>55.1</v>
      </c>
      <c r="M32" s="31">
        <f>VLOOKUP(B32,Brazil!$A:$B,2,)</f>
        <v>44.4</v>
      </c>
      <c r="N32" s="31">
        <f>VLOOKUP(B32,Russia!$A:$B,2,)</f>
        <v>54.7</v>
      </c>
      <c r="O32" s="31">
        <f>VLOOKUP(B32,India!$A:$B,2,)</f>
        <v>46.7</v>
      </c>
      <c r="P32" s="31">
        <f>VLOOKUP(B32,Australia!$A:$B,2,)</f>
        <v>51.1</v>
      </c>
      <c r="Q32" s="31">
        <f>VLOOKUP(B32,Ireland!$A:$B,2,)</f>
        <v>56</v>
      </c>
    </row>
    <row r="33" spans="2:17" x14ac:dyDescent="0.2">
      <c r="B33" s="30">
        <v>42705</v>
      </c>
      <c r="C33" s="31">
        <f>VLOOKUP(B33,Global!$A:$B,2,)</f>
        <v>53.3</v>
      </c>
      <c r="D33" s="31">
        <f>VLOOKUP(B33,US!$A:$B,2,)</f>
        <v>53.9</v>
      </c>
      <c r="E33" s="31">
        <f>VLOOKUP(B33,China!$A:$B,2,)</f>
        <v>53.4</v>
      </c>
      <c r="F33" s="31">
        <f>VLOOKUP(B33,EuroArea!$A:$B,2,)</f>
        <v>53.7</v>
      </c>
      <c r="G33" s="31">
        <f>VLOOKUP(B33,Japan!$A:$B,2,)</f>
        <v>52.3</v>
      </c>
      <c r="H33" s="31">
        <f>VLOOKUP(B33,Germany!$A:$B,2,)</f>
        <v>54.3</v>
      </c>
      <c r="I33" s="31">
        <f>VLOOKUP(B33,France!$A:$B,2,)</f>
        <v>52.9</v>
      </c>
      <c r="J33" s="31">
        <f>VLOOKUP(B33,UK!$A:$B,2,)</f>
        <v>56.2</v>
      </c>
      <c r="K33" s="31">
        <f>VLOOKUP(B33,Italy!$A:$B,2,)</f>
        <v>52.3</v>
      </c>
      <c r="L33" s="31">
        <f>VLOOKUP(B33,Spain!$A:$B,2,)</f>
        <v>55</v>
      </c>
      <c r="M33" s="31">
        <f>VLOOKUP(B33,Brazil!$A:$B,2,)</f>
        <v>45.1</v>
      </c>
      <c r="N33" s="31">
        <f>VLOOKUP(B33,Russia!$A:$B,2,)</f>
        <v>56.5</v>
      </c>
      <c r="O33" s="31">
        <f>VLOOKUP(B33,India!$A:$B,2,)</f>
        <v>46.8</v>
      </c>
      <c r="P33" s="31">
        <f>VLOOKUP(B33,Australia!$A:$B,2,)</f>
        <v>57.7</v>
      </c>
      <c r="Q33" s="31">
        <f>VLOOKUP(B33,Ireland!$A:$B,2,)</f>
        <v>59.1</v>
      </c>
    </row>
    <row r="34" spans="2:17" x14ac:dyDescent="0.2">
      <c r="B34" s="30">
        <v>42736</v>
      </c>
      <c r="C34" s="31">
        <f>VLOOKUP(B34,Global!$A:$B,2,)</f>
        <v>53.9</v>
      </c>
      <c r="D34" s="31">
        <f>VLOOKUP(B34,US!$A:$B,2,)</f>
        <v>55.6</v>
      </c>
      <c r="E34" s="31">
        <f>VLOOKUP(B34,China!$A:$B,2,)</f>
        <v>53.1</v>
      </c>
      <c r="F34" s="31">
        <f>VLOOKUP(B34,EuroArea!$A:$B,2,)</f>
        <v>53.7</v>
      </c>
      <c r="G34" s="31">
        <f>VLOOKUP(B34,Japan!$A:$B,2,)</f>
        <v>51.9</v>
      </c>
      <c r="H34" s="31">
        <f>VLOOKUP(B34,Germany!$A:$B,2,)</f>
        <v>53.4</v>
      </c>
      <c r="I34" s="31">
        <f>VLOOKUP(B34,France!$A:$B,2,)</f>
        <v>54.1</v>
      </c>
      <c r="J34" s="31">
        <f>VLOOKUP(B34,UK!$A:$B,2,)</f>
        <v>54.5</v>
      </c>
      <c r="K34" s="31">
        <f>VLOOKUP(B34,Italy!$A:$B,2,)</f>
        <v>52.4</v>
      </c>
      <c r="L34" s="31">
        <f>VLOOKUP(B34,Spain!$A:$B,2,)</f>
        <v>54.2</v>
      </c>
      <c r="M34" s="31">
        <f>VLOOKUP(B34,Brazil!$A:$B,2,)</f>
        <v>45.1</v>
      </c>
      <c r="N34" s="31">
        <f>VLOOKUP(B34,Russia!$A:$B,2,)</f>
        <v>58.4</v>
      </c>
      <c r="O34" s="31">
        <f>VLOOKUP(B34,India!$A:$B,2,)</f>
        <v>48.7</v>
      </c>
      <c r="P34" s="31">
        <f>VLOOKUP(B34,Australia!$A:$B,2,)</f>
        <v>54.5</v>
      </c>
      <c r="Q34" s="31">
        <f>VLOOKUP(B34,Ireland!$A:$B,2,)</f>
        <v>61</v>
      </c>
    </row>
    <row r="35" spans="2:17" x14ac:dyDescent="0.2">
      <c r="B35" s="30">
        <v>42767</v>
      </c>
      <c r="C35" s="31">
        <f>VLOOKUP(B35,Global!$A:$B,2,)</f>
        <v>53.3</v>
      </c>
      <c r="D35" s="31">
        <f>VLOOKUP(B35,US!$A:$B,2,)</f>
        <v>53.8</v>
      </c>
      <c r="E35" s="31">
        <f>VLOOKUP(B35,China!$A:$B,2,)</f>
        <v>52.6</v>
      </c>
      <c r="F35" s="31">
        <f>VLOOKUP(B35,EuroArea!$A:$B,2,)</f>
        <v>55.5</v>
      </c>
      <c r="G35" s="31">
        <f>VLOOKUP(B35,Japan!$A:$B,2,)</f>
        <v>51.3</v>
      </c>
      <c r="H35" s="31">
        <f>VLOOKUP(B35,Germany!$A:$B,2,)</f>
        <v>54.4</v>
      </c>
      <c r="I35" s="31">
        <f>VLOOKUP(B35,France!$A:$B,2,)</f>
        <v>56.4</v>
      </c>
      <c r="J35" s="31">
        <f>VLOOKUP(B35,UK!$A:$B,2,)</f>
        <v>53.3</v>
      </c>
      <c r="K35" s="31">
        <f>VLOOKUP(B35,Italy!$A:$B,2,)</f>
        <v>54.1</v>
      </c>
      <c r="L35" s="31">
        <f>VLOOKUP(B35,Spain!$A:$B,2,)</f>
        <v>57</v>
      </c>
      <c r="M35" s="31">
        <f>VLOOKUP(B35,Brazil!$A:$B,2,)</f>
        <v>46.4</v>
      </c>
      <c r="N35" s="31">
        <f>VLOOKUP(B35,Russia!$A:$B,2,)</f>
        <v>55.5</v>
      </c>
      <c r="O35" s="31">
        <f>VLOOKUP(B35,India!$A:$B,2,)</f>
        <v>50.3</v>
      </c>
      <c r="P35" s="31">
        <f>VLOOKUP(B35,Australia!$A:$B,2,)</f>
        <v>49</v>
      </c>
      <c r="Q35" s="31">
        <f>VLOOKUP(B35,Ireland!$A:$B,2,)</f>
        <v>60.6</v>
      </c>
    </row>
    <row r="36" spans="2:17" x14ac:dyDescent="0.2">
      <c r="B36" s="30">
        <v>42795</v>
      </c>
      <c r="C36" s="31">
        <f>VLOOKUP(B36,Global!$A:$B,2,)</f>
        <v>53.6</v>
      </c>
      <c r="D36" s="31">
        <f>VLOOKUP(B36,US!$A:$B,2,)</f>
        <v>52.8</v>
      </c>
      <c r="E36" s="31">
        <f>VLOOKUP(B36,China!$A:$B,2,)</f>
        <v>52.2</v>
      </c>
      <c r="F36" s="31">
        <f>VLOOKUP(B36,EuroArea!$A:$B,2,)</f>
        <v>56</v>
      </c>
      <c r="G36" s="31">
        <f>VLOOKUP(B36,Japan!$A:$B,2,)</f>
        <v>52.9</v>
      </c>
      <c r="H36" s="31">
        <f>VLOOKUP(B36,Germany!$A:$B,2,)</f>
        <v>55.6</v>
      </c>
      <c r="I36" s="31">
        <f>VLOOKUP(B36,France!$A:$B,2,)</f>
        <v>57.5</v>
      </c>
      <c r="J36" s="31">
        <f>VLOOKUP(B36,UK!$A:$B,2,)</f>
        <v>55</v>
      </c>
      <c r="K36" s="31">
        <f>VLOOKUP(B36,Italy!$A:$B,2,)</f>
        <v>52.9</v>
      </c>
      <c r="L36" s="31">
        <f>VLOOKUP(B36,Spain!$A:$B,2,)</f>
        <v>57.4</v>
      </c>
      <c r="M36" s="31">
        <f>VLOOKUP(B36,Brazil!$A:$B,2,)</f>
        <v>47.7</v>
      </c>
      <c r="N36" s="31">
        <f>VLOOKUP(B36,Russia!$A:$B,2,)</f>
        <v>56.6</v>
      </c>
      <c r="O36" s="31">
        <f>VLOOKUP(B36,India!$A:$B,2,)</f>
        <v>51.5</v>
      </c>
      <c r="P36" s="31">
        <f>VLOOKUP(B36,Australia!$A:$B,2,)</f>
        <v>51.7</v>
      </c>
      <c r="Q36" s="31">
        <f>VLOOKUP(B36,Ireland!$A:$B,2,)</f>
        <v>59.1</v>
      </c>
    </row>
    <row r="37" spans="2:17" x14ac:dyDescent="0.2">
      <c r="B37" s="30">
        <v>42826</v>
      </c>
      <c r="C37" s="31">
        <f>VLOOKUP(B37,Global!$A:$B,2,)</f>
        <v>53.6</v>
      </c>
      <c r="D37" s="31">
        <f>VLOOKUP(B37,US!$A:$B,2,)</f>
        <v>53.1</v>
      </c>
      <c r="E37" s="31">
        <f>VLOOKUP(B37,China!$A:$B,2,)</f>
        <v>51.5</v>
      </c>
      <c r="F37" s="31">
        <f>VLOOKUP(B37,EuroArea!$A:$B,2,)</f>
        <v>56.4</v>
      </c>
      <c r="G37" s="31">
        <f>VLOOKUP(B37,Japan!$A:$B,2,)</f>
        <v>52.2</v>
      </c>
      <c r="H37" s="31">
        <f>VLOOKUP(B37,Germany!$A:$B,2,)</f>
        <v>55.4</v>
      </c>
      <c r="I37" s="31">
        <f>VLOOKUP(B37,France!$A:$B,2,)</f>
        <v>56.7</v>
      </c>
      <c r="J37" s="31">
        <f>VLOOKUP(B37,UK!$A:$B,2,)</f>
        <v>55.8</v>
      </c>
      <c r="K37" s="31">
        <f>VLOOKUP(B37,Italy!$A:$B,2,)</f>
        <v>56.2</v>
      </c>
      <c r="L37" s="31">
        <f>VLOOKUP(B37,Spain!$A:$B,2,)</f>
        <v>57.8</v>
      </c>
      <c r="M37" s="31">
        <f>VLOOKUP(B37,Brazil!$A:$B,2,)</f>
        <v>50.3</v>
      </c>
      <c r="N37" s="31">
        <f>VLOOKUP(B37,Russia!$A:$B,2,)</f>
        <v>56.1</v>
      </c>
      <c r="O37" s="31">
        <f>VLOOKUP(B37,India!$A:$B,2,)</f>
        <v>50.2</v>
      </c>
      <c r="P37" s="31">
        <f>VLOOKUP(B37,Australia!$A:$B,2,)</f>
        <v>53</v>
      </c>
      <c r="Q37" s="31">
        <f>VLOOKUP(B37,Ireland!$A:$B,2,)</f>
        <v>61.1</v>
      </c>
    </row>
    <row r="38" spans="2:17" x14ac:dyDescent="0.2">
      <c r="B38" s="30">
        <v>42856</v>
      </c>
      <c r="C38" s="31">
        <f>VLOOKUP(B38,Global!$A:$B,2,)</f>
        <v>53.8</v>
      </c>
      <c r="D38" s="31">
        <f>VLOOKUP(B38,US!$A:$B,2,)</f>
        <v>53.6</v>
      </c>
      <c r="E38" s="31">
        <f>VLOOKUP(B38,China!$A:$B,2,)</f>
        <v>52.8</v>
      </c>
      <c r="F38" s="31">
        <f>VLOOKUP(B38,EuroArea!$A:$B,2,)</f>
        <v>56.3</v>
      </c>
      <c r="G38" s="31">
        <f>VLOOKUP(B38,Japan!$A:$B,2,)</f>
        <v>53</v>
      </c>
      <c r="H38" s="31">
        <f>VLOOKUP(B38,Germany!$A:$B,2,)</f>
        <v>55.4</v>
      </c>
      <c r="I38" s="31">
        <f>VLOOKUP(B38,France!$A:$B,2,)</f>
        <v>57.2</v>
      </c>
      <c r="J38" s="31">
        <f>VLOOKUP(B38,UK!$A:$B,2,)</f>
        <v>53.8</v>
      </c>
      <c r="K38" s="31">
        <f>VLOOKUP(B38,Italy!$A:$B,2,)</f>
        <v>55.1</v>
      </c>
      <c r="L38" s="31">
        <f>VLOOKUP(B38,Spain!$A:$B,2,)</f>
        <v>57.3</v>
      </c>
      <c r="M38" s="31">
        <f>VLOOKUP(B38,Brazil!$A:$B,2,)</f>
        <v>49.2</v>
      </c>
      <c r="N38" s="31">
        <f>VLOOKUP(B38,Russia!$A:$B,2,)</f>
        <v>56.3</v>
      </c>
      <c r="O38" s="31">
        <f>VLOOKUP(B38,India!$A:$B,2,)</f>
        <v>52.2</v>
      </c>
      <c r="P38" s="31">
        <f>VLOOKUP(B38,Australia!$A:$B,2,)</f>
        <v>51.5</v>
      </c>
      <c r="Q38" s="31">
        <f>VLOOKUP(B38,Ireland!$A:$B,2,)</f>
        <v>59.5</v>
      </c>
    </row>
    <row r="39" spans="2:17" x14ac:dyDescent="0.2">
      <c r="B39" s="30">
        <v>42887</v>
      </c>
      <c r="C39" s="31">
        <f>VLOOKUP(B39,Global!$A:$B,2,)</f>
        <v>53.8</v>
      </c>
      <c r="D39" s="31">
        <f>VLOOKUP(B39,US!$A:$B,2,)</f>
        <v>54.2</v>
      </c>
      <c r="E39" s="31">
        <f>VLOOKUP(B39,China!$A:$B,2,)</f>
        <v>51.6</v>
      </c>
      <c r="F39" s="31">
        <f>VLOOKUP(B39,EuroArea!$A:$B,2,)</f>
        <v>55.4</v>
      </c>
      <c r="G39" s="31">
        <f>VLOOKUP(B39,Japan!$A:$B,2,)</f>
        <v>53.3</v>
      </c>
      <c r="H39" s="31">
        <f>VLOOKUP(B39,Germany!$A:$B,2,)</f>
        <v>54</v>
      </c>
      <c r="I39" s="31">
        <f>VLOOKUP(B39,France!$A:$B,2,)</f>
        <v>56.9</v>
      </c>
      <c r="J39" s="31">
        <f>VLOOKUP(B39,UK!$A:$B,2,)</f>
        <v>53.4</v>
      </c>
      <c r="K39" s="31">
        <f>VLOOKUP(B39,Italy!$A:$B,2,)</f>
        <v>53.6</v>
      </c>
      <c r="L39" s="31">
        <f>VLOOKUP(B39,Spain!$A:$B,2,)</f>
        <v>58.3</v>
      </c>
      <c r="M39" s="31">
        <f>VLOOKUP(B39,Brazil!$A:$B,2,)</f>
        <v>47.4</v>
      </c>
      <c r="N39" s="31">
        <f>VLOOKUP(B39,Russia!$A:$B,2,)</f>
        <v>55.5</v>
      </c>
      <c r="O39" s="31">
        <f>VLOOKUP(B39,India!$A:$B,2,)</f>
        <v>53.1</v>
      </c>
      <c r="P39" s="31">
        <f>VLOOKUP(B39,Australia!$A:$B,2,)</f>
        <v>54.8</v>
      </c>
      <c r="Q39" s="31">
        <f>VLOOKUP(B39,Ireland!$A:$B,2,)</f>
        <v>57.6</v>
      </c>
    </row>
    <row r="40" spans="2:17" x14ac:dyDescent="0.2">
      <c r="B40" s="30">
        <v>42917</v>
      </c>
      <c r="C40" s="31">
        <f>VLOOKUP(B40,Global!$A:$B,2,)</f>
        <v>53.7</v>
      </c>
      <c r="D40" s="31">
        <f>VLOOKUP(B40,US!$A:$B,2,)</f>
        <v>54.7</v>
      </c>
      <c r="E40" s="31">
        <f>VLOOKUP(B40,China!$A:$B,2,)</f>
        <v>51.5</v>
      </c>
      <c r="F40" s="31">
        <f>VLOOKUP(B40,EuroArea!$A:$B,2,)</f>
        <v>55.4</v>
      </c>
      <c r="G40" s="31">
        <f>VLOOKUP(B40,Japan!$A:$B,2,)</f>
        <v>52</v>
      </c>
      <c r="H40" s="31">
        <f>VLOOKUP(B40,Germany!$A:$B,2,)</f>
        <v>53.1</v>
      </c>
      <c r="I40" s="31">
        <f>VLOOKUP(B40,France!$A:$B,2,)</f>
        <v>56</v>
      </c>
      <c r="J40" s="31">
        <f>VLOOKUP(B40,UK!$A:$B,2,)</f>
        <v>53.8</v>
      </c>
      <c r="K40" s="31">
        <f>VLOOKUP(B40,Italy!$A:$B,2,)</f>
        <v>56.3</v>
      </c>
      <c r="L40" s="31">
        <f>VLOOKUP(B40,Spain!$A:$B,2,)</f>
        <v>57.6</v>
      </c>
      <c r="M40" s="31">
        <f>VLOOKUP(B40,Brazil!$A:$B,2,)</f>
        <v>48.8</v>
      </c>
      <c r="N40" s="31">
        <f>VLOOKUP(B40,Russia!$A:$B,2,)</f>
        <v>52.6</v>
      </c>
      <c r="O40" s="31">
        <f>VLOOKUP(B40,India!$A:$B,2,)</f>
        <v>45.9</v>
      </c>
      <c r="P40" s="31">
        <f>VLOOKUP(B40,Australia!$A:$B,2,)</f>
        <v>56.4</v>
      </c>
      <c r="Q40" s="31">
        <f>VLOOKUP(B40,Ireland!$A:$B,2,)</f>
        <v>58.3</v>
      </c>
    </row>
    <row r="41" spans="2:17" x14ac:dyDescent="0.2">
      <c r="B41" s="30">
        <v>42948</v>
      </c>
      <c r="C41" s="31">
        <f>VLOOKUP(B41,Global!$A:$B,2,)</f>
        <v>54.1</v>
      </c>
      <c r="D41" s="31">
        <f>VLOOKUP(B41,US!$A:$B,2,)</f>
        <v>56</v>
      </c>
      <c r="E41" s="31">
        <f>VLOOKUP(B41,China!$A:$B,2,)</f>
        <v>52.7</v>
      </c>
      <c r="F41" s="31">
        <f>VLOOKUP(B41,EuroArea!$A:$B,2,)</f>
        <v>54.7</v>
      </c>
      <c r="G41" s="31">
        <f>VLOOKUP(B41,Japan!$A:$B,2,)</f>
        <v>51.6</v>
      </c>
      <c r="H41" s="31">
        <f>VLOOKUP(B41,Germany!$A:$B,2,)</f>
        <v>53.5</v>
      </c>
      <c r="I41" s="31">
        <f>VLOOKUP(B41,France!$A:$B,2,)</f>
        <v>54.9</v>
      </c>
      <c r="J41" s="31">
        <f>VLOOKUP(B41,UK!$A:$B,2,)</f>
        <v>53.2</v>
      </c>
      <c r="K41" s="31">
        <f>VLOOKUP(B41,Italy!$A:$B,2,)</f>
        <v>55.1</v>
      </c>
      <c r="L41" s="31">
        <f>VLOOKUP(B41,Spain!$A:$B,2,)</f>
        <v>56</v>
      </c>
      <c r="M41" s="31">
        <f>VLOOKUP(B41,Brazil!$A:$B,2,)</f>
        <v>49</v>
      </c>
      <c r="N41" s="31">
        <f>VLOOKUP(B41,Russia!$A:$B,2,)</f>
        <v>54.2</v>
      </c>
      <c r="O41" s="31">
        <f>VLOOKUP(B41,India!$A:$B,2,)</f>
        <v>47.5</v>
      </c>
      <c r="P41" s="31">
        <f>VLOOKUP(B41,Australia!$A:$B,2,)</f>
        <v>53</v>
      </c>
      <c r="Q41" s="31">
        <f>VLOOKUP(B41,Ireland!$A:$B,2,)</f>
        <v>58.4</v>
      </c>
    </row>
    <row r="42" spans="2:17" x14ac:dyDescent="0.2">
      <c r="B42" s="30">
        <v>42979</v>
      </c>
      <c r="C42" s="31">
        <f>VLOOKUP(B42,Global!$A:$B,2,)</f>
        <v>54</v>
      </c>
      <c r="D42" s="31">
        <f>VLOOKUP(B42,US!$A:$B,2,)</f>
        <v>55.3</v>
      </c>
      <c r="E42" s="31">
        <f>VLOOKUP(B42,China!$A:$B,2,)</f>
        <v>50.6</v>
      </c>
      <c r="F42" s="31">
        <f>VLOOKUP(B42,EuroArea!$A:$B,2,)</f>
        <v>55.8</v>
      </c>
      <c r="G42" s="31">
        <f>VLOOKUP(B42,Japan!$A:$B,2,)</f>
        <v>51</v>
      </c>
      <c r="H42" s="31">
        <f>VLOOKUP(B42,Germany!$A:$B,2,)</f>
        <v>55.6</v>
      </c>
      <c r="I42" s="31">
        <f>VLOOKUP(B42,France!$A:$B,2,)</f>
        <v>57</v>
      </c>
      <c r="J42" s="31">
        <f>VLOOKUP(B42,UK!$A:$B,2,)</f>
        <v>53.6</v>
      </c>
      <c r="K42" s="31">
        <f>VLOOKUP(B42,Italy!$A:$B,2,)</f>
        <v>53.2</v>
      </c>
      <c r="L42" s="31">
        <f>VLOOKUP(B42,Spain!$A:$B,2,)</f>
        <v>56.7</v>
      </c>
      <c r="M42" s="31">
        <f>VLOOKUP(B42,Brazil!$A:$B,2,)</f>
        <v>50.7</v>
      </c>
      <c r="N42" s="31">
        <f>VLOOKUP(B42,Russia!$A:$B,2,)</f>
        <v>55.2</v>
      </c>
      <c r="O42" s="31">
        <f>VLOOKUP(B42,India!$A:$B,2,)</f>
        <v>50.7</v>
      </c>
      <c r="P42" s="31">
        <f>VLOOKUP(B42,Australia!$A:$B,2,)</f>
        <v>52.1</v>
      </c>
      <c r="Q42" s="31">
        <f>VLOOKUP(B42,Ireland!$A:$B,2,)</f>
        <v>58.7</v>
      </c>
    </row>
    <row r="43" spans="2:17" x14ac:dyDescent="0.2">
      <c r="B43" s="30">
        <v>43009</v>
      </c>
      <c r="C43" s="31">
        <f>VLOOKUP(B43,Global!$A:$B,2,)</f>
        <v>54.1</v>
      </c>
      <c r="D43" s="31">
        <f>VLOOKUP(B43,US!$A:$B,2,)</f>
        <v>55.3</v>
      </c>
      <c r="E43" s="31">
        <f>VLOOKUP(B43,China!$A:$B,2,)</f>
        <v>51.2</v>
      </c>
      <c r="F43" s="31">
        <f>VLOOKUP(B43,EuroArea!$A:$B,2,)</f>
        <v>55</v>
      </c>
      <c r="G43" s="31">
        <f>VLOOKUP(B43,Japan!$A:$B,2,)</f>
        <v>53.4</v>
      </c>
      <c r="H43" s="31">
        <f>VLOOKUP(B43,Germany!$A:$B,2,)</f>
        <v>54.7</v>
      </c>
      <c r="I43" s="31">
        <f>VLOOKUP(B43,France!$A:$B,2,)</f>
        <v>57.3</v>
      </c>
      <c r="J43" s="31">
        <f>VLOOKUP(B43,UK!$A:$B,2,)</f>
        <v>55.6</v>
      </c>
      <c r="K43" s="31">
        <f>VLOOKUP(B43,Italy!$A:$B,2,)</f>
        <v>52.1</v>
      </c>
      <c r="L43" s="31">
        <f>VLOOKUP(B43,Spain!$A:$B,2,)</f>
        <v>54.6</v>
      </c>
      <c r="M43" s="31">
        <f>VLOOKUP(B43,Brazil!$A:$B,2,)</f>
        <v>48.8</v>
      </c>
      <c r="N43" s="31">
        <f>VLOOKUP(B43,Russia!$A:$B,2,)</f>
        <v>53.9</v>
      </c>
      <c r="O43" s="31">
        <f>VLOOKUP(B43,India!$A:$B,2,)</f>
        <v>51.7</v>
      </c>
      <c r="P43" s="31">
        <f>VLOOKUP(B43,Australia!$A:$B,2,)</f>
        <v>51.4</v>
      </c>
      <c r="Q43" s="31">
        <f>VLOOKUP(B43,Ireland!$A:$B,2,)</f>
        <v>57.5</v>
      </c>
    </row>
    <row r="44" spans="2:17" x14ac:dyDescent="0.2">
      <c r="B44" s="30">
        <v>43040</v>
      </c>
      <c r="C44" s="31">
        <f>VLOOKUP(B44,Global!$A:$B,2,)</f>
        <v>53.7</v>
      </c>
      <c r="D44" s="31">
        <f>VLOOKUP(B44,US!$A:$B,2,)</f>
        <v>54.5</v>
      </c>
      <c r="E44" s="31">
        <f>VLOOKUP(B44,China!$A:$B,2,)</f>
        <v>51.9</v>
      </c>
      <c r="F44" s="31">
        <f>VLOOKUP(B44,EuroArea!$A:$B,2,)</f>
        <v>56.2</v>
      </c>
      <c r="G44" s="31">
        <f>VLOOKUP(B44,Japan!$A:$B,2,)</f>
        <v>51.2</v>
      </c>
      <c r="H44" s="31">
        <f>VLOOKUP(B44,Germany!$A:$B,2,)</f>
        <v>54.3</v>
      </c>
      <c r="I44" s="31">
        <f>VLOOKUP(B44,France!$A:$B,2,)</f>
        <v>60.4</v>
      </c>
      <c r="J44" s="31">
        <f>VLOOKUP(B44,UK!$A:$B,2,)</f>
        <v>53.8</v>
      </c>
      <c r="K44" s="31">
        <f>VLOOKUP(B44,Italy!$A:$B,2,)</f>
        <v>54.7</v>
      </c>
      <c r="L44" s="31">
        <f>VLOOKUP(B44,Spain!$A:$B,2,)</f>
        <v>54.4</v>
      </c>
      <c r="M44" s="31">
        <f>VLOOKUP(B44,Brazil!$A:$B,2,)</f>
        <v>46.9</v>
      </c>
      <c r="N44" s="31">
        <f>VLOOKUP(B44,Russia!$A:$B,2,)</f>
        <v>57.4</v>
      </c>
      <c r="O44" s="31">
        <f>VLOOKUP(B44,India!$A:$B,2,)</f>
        <v>48.5</v>
      </c>
      <c r="P44" s="31">
        <f>VLOOKUP(B44,Australia!$A:$B,2,)</f>
        <v>51.7</v>
      </c>
      <c r="Q44" s="31">
        <f>VLOOKUP(B44,Ireland!$A:$B,2,)</f>
        <v>56</v>
      </c>
    </row>
    <row r="45" spans="2:17" x14ac:dyDescent="0.2">
      <c r="B45" s="30">
        <v>43070</v>
      </c>
      <c r="C45" s="31">
        <f>VLOOKUP(B45,Global!$A:$B,2,)</f>
        <v>53.8</v>
      </c>
      <c r="D45" s="31">
        <f>VLOOKUP(B45,US!$A:$B,2,)</f>
        <v>53.7</v>
      </c>
      <c r="E45" s="31">
        <f>VLOOKUP(B45,China!$A:$B,2,)</f>
        <v>53.9</v>
      </c>
      <c r="F45" s="31">
        <f>VLOOKUP(B45,EuroArea!$A:$B,2,)</f>
        <v>56.6</v>
      </c>
      <c r="G45" s="31">
        <f>VLOOKUP(B45,Japan!$A:$B,2,)</f>
        <v>51.1</v>
      </c>
      <c r="H45" s="31">
        <f>VLOOKUP(B45,Germany!$A:$B,2,)</f>
        <v>55.8</v>
      </c>
      <c r="I45" s="31">
        <f>VLOOKUP(B45,France!$A:$B,2,)</f>
        <v>59.1</v>
      </c>
      <c r="J45" s="31">
        <f>VLOOKUP(B45,UK!$A:$B,2,)</f>
        <v>54.2</v>
      </c>
      <c r="K45" s="31">
        <f>VLOOKUP(B45,Italy!$A:$B,2,)</f>
        <v>55.4</v>
      </c>
      <c r="L45" s="31">
        <f>VLOOKUP(B45,Spain!$A:$B,2,)</f>
        <v>54.6</v>
      </c>
      <c r="M45" s="31">
        <f>VLOOKUP(B45,Brazil!$A:$B,2,)</f>
        <v>47.4</v>
      </c>
      <c r="N45" s="31">
        <f>VLOOKUP(B45,Russia!$A:$B,2,)</f>
        <v>56.8</v>
      </c>
      <c r="O45" s="31">
        <f>VLOOKUP(B45,India!$A:$B,2,)</f>
        <v>50.9</v>
      </c>
      <c r="P45" s="31">
        <f>VLOOKUP(B45,Australia!$A:$B,2,)</f>
        <v>52</v>
      </c>
      <c r="Q45" s="31">
        <f>VLOOKUP(B45,Ireland!$A:$B,2,)</f>
        <v>60.4</v>
      </c>
    </row>
    <row r="46" spans="2:17" x14ac:dyDescent="0.2">
      <c r="B46" s="30">
        <v>43101</v>
      </c>
      <c r="C46" s="31">
        <f>VLOOKUP(B46,Global!$A:$B,2,)</f>
        <v>54.1</v>
      </c>
      <c r="D46" s="31">
        <f>VLOOKUP(B46,US!$A:$B,2,)</f>
        <v>53.3</v>
      </c>
      <c r="E46" s="31">
        <f>VLOOKUP(B46,China!$A:$B,2,)</f>
        <v>54.7</v>
      </c>
      <c r="F46" s="31">
        <f>VLOOKUP(B46,EuroArea!$A:$B,2,)</f>
        <v>58</v>
      </c>
      <c r="G46" s="31">
        <f>VLOOKUP(B46,Japan!$A:$B,2,)</f>
        <v>51.9</v>
      </c>
      <c r="H46" s="31">
        <f>VLOOKUP(B46,Germany!$A:$B,2,)</f>
        <v>57.3</v>
      </c>
      <c r="I46" s="31">
        <f>VLOOKUP(B46,France!$A:$B,2,)</f>
        <v>59.2</v>
      </c>
      <c r="J46" s="31">
        <f>VLOOKUP(B46,UK!$A:$B,2,)</f>
        <v>53</v>
      </c>
      <c r="K46" s="31">
        <f>VLOOKUP(B46,Italy!$A:$B,2,)</f>
        <v>57.7</v>
      </c>
      <c r="L46" s="31">
        <f>VLOOKUP(B46,Spain!$A:$B,2,)</f>
        <v>56.9</v>
      </c>
      <c r="M46" s="31">
        <f>VLOOKUP(B46,Brazil!$A:$B,2,)</f>
        <v>50</v>
      </c>
      <c r="N46" s="31">
        <f>VLOOKUP(B46,Russia!$A:$B,2,)</f>
        <v>55.1</v>
      </c>
      <c r="O46" s="31">
        <f>VLOOKUP(B46,India!$A:$B,2,)</f>
        <v>51.7</v>
      </c>
      <c r="P46" s="31">
        <f>VLOOKUP(B46,Australia!$A:$B,2,)</f>
        <v>54.9</v>
      </c>
      <c r="Q46" s="31">
        <f>VLOOKUP(B46,Ireland!$A:$B,2,)</f>
        <v>59.8</v>
      </c>
    </row>
    <row r="47" spans="2:17" x14ac:dyDescent="0.2">
      <c r="B47" s="30">
        <v>43132</v>
      </c>
      <c r="C47" s="31">
        <f>VLOOKUP(B47,Global!$A:$B,2,)</f>
        <v>54.8</v>
      </c>
      <c r="D47" s="31">
        <f>VLOOKUP(B47,US!$A:$B,2,)</f>
        <v>55.9</v>
      </c>
      <c r="E47" s="31">
        <f>VLOOKUP(B47,China!$A:$B,2,)</f>
        <v>54.2</v>
      </c>
      <c r="F47" s="31">
        <f>VLOOKUP(B47,EuroArea!$A:$B,2,)</f>
        <v>56.2</v>
      </c>
      <c r="G47" s="31">
        <f>VLOOKUP(B47,Japan!$A:$B,2,)</f>
        <v>51.7</v>
      </c>
      <c r="H47" s="31">
        <f>VLOOKUP(B47,Germany!$A:$B,2,)</f>
        <v>55.3</v>
      </c>
      <c r="I47" s="31">
        <f>VLOOKUP(B47,France!$A:$B,2,)</f>
        <v>57.4</v>
      </c>
      <c r="J47" s="31">
        <f>VLOOKUP(B47,UK!$A:$B,2,)</f>
        <v>54.5</v>
      </c>
      <c r="K47" s="31">
        <f>VLOOKUP(B47,Italy!$A:$B,2,)</f>
        <v>55</v>
      </c>
      <c r="L47" s="31">
        <f>VLOOKUP(B47,Spain!$A:$B,2,)</f>
        <v>57.3</v>
      </c>
      <c r="M47" s="31">
        <f>VLOOKUP(B47,Brazil!$A:$B,2,)</f>
        <v>52.7</v>
      </c>
      <c r="N47" s="31">
        <f>VLOOKUP(B47,Russia!$A:$B,2,)</f>
        <v>56.5</v>
      </c>
      <c r="O47" s="31">
        <f>VLOOKUP(B47,India!$A:$B,2,)</f>
        <v>47.8</v>
      </c>
      <c r="P47" s="31">
        <f>VLOOKUP(B47,Australia!$A:$B,2,)</f>
        <v>54</v>
      </c>
      <c r="Q47" s="31">
        <f>VLOOKUP(B47,Ireland!$A:$B,2,)</f>
        <v>57.2</v>
      </c>
    </row>
    <row r="48" spans="2:17" x14ac:dyDescent="0.2">
      <c r="B48" s="30">
        <v>43160</v>
      </c>
      <c r="C48" s="31">
        <f>VLOOKUP(B48,Global!$A:$B,2,)</f>
        <v>53.2</v>
      </c>
      <c r="D48" s="31">
        <f>VLOOKUP(B48,US!$A:$B,2,)</f>
        <v>54</v>
      </c>
      <c r="E48" s="31">
        <f>VLOOKUP(B48,China!$A:$B,2,)</f>
        <v>52.3</v>
      </c>
      <c r="F48" s="31">
        <f>VLOOKUP(B48,EuroArea!$A:$B,2,)</f>
        <v>54.9</v>
      </c>
      <c r="G48" s="31">
        <f>VLOOKUP(B48,Japan!$A:$B,2,)</f>
        <v>50.9</v>
      </c>
      <c r="H48" s="31">
        <f>VLOOKUP(B48,Germany!$A:$B,2,)</f>
        <v>53.9</v>
      </c>
      <c r="I48" s="31">
        <f>VLOOKUP(B48,France!$A:$B,2,)</f>
        <v>56.8</v>
      </c>
      <c r="J48" s="31">
        <f>VLOOKUP(B48,UK!$A:$B,2,)</f>
        <v>51.7</v>
      </c>
      <c r="K48" s="31">
        <f>VLOOKUP(B48,Italy!$A:$B,2,)</f>
        <v>52.6</v>
      </c>
      <c r="L48" s="31">
        <f>VLOOKUP(B48,Spain!$A:$B,2,)</f>
        <v>56.2</v>
      </c>
      <c r="M48" s="31">
        <f>VLOOKUP(B48,Brazil!$A:$B,2,)</f>
        <v>50.4</v>
      </c>
      <c r="N48" s="31">
        <f>VLOOKUP(B48,Russia!$A:$B,2,)</f>
        <v>53.7</v>
      </c>
      <c r="O48" s="31">
        <f>VLOOKUP(B48,India!$A:$B,2,)</f>
        <v>50.3</v>
      </c>
      <c r="P48" s="31">
        <f>VLOOKUP(B48,Australia!$A:$B,2,)</f>
        <v>56.9</v>
      </c>
      <c r="Q48" s="31">
        <f>VLOOKUP(B48,Ireland!$A:$B,2,)</f>
        <v>56.5</v>
      </c>
    </row>
    <row r="49" spans="2:17" x14ac:dyDescent="0.2">
      <c r="B49" s="30">
        <v>43191</v>
      </c>
      <c r="C49" s="31">
        <f>VLOOKUP(B49,Global!$A:$B,2,)</f>
        <v>53.8</v>
      </c>
      <c r="D49" s="31">
        <f>VLOOKUP(B49,US!$A:$B,2,)</f>
        <v>54.6</v>
      </c>
      <c r="E49" s="31">
        <f>VLOOKUP(B49,China!$A:$B,2,)</f>
        <v>52.9</v>
      </c>
      <c r="F49" s="31">
        <f>VLOOKUP(B49,EuroArea!$A:$B,2,)</f>
        <v>54.7</v>
      </c>
      <c r="G49" s="31">
        <f>VLOOKUP(B49,Japan!$A:$B,2,)</f>
        <v>52.5</v>
      </c>
      <c r="H49" s="31">
        <f>VLOOKUP(B49,Germany!$A:$B,2,)</f>
        <v>53</v>
      </c>
      <c r="I49" s="31">
        <f>VLOOKUP(B49,France!$A:$B,2,)</f>
        <v>57.4</v>
      </c>
      <c r="J49" s="31">
        <f>VLOOKUP(B49,UK!$A:$B,2,)</f>
        <v>52.8</v>
      </c>
      <c r="K49" s="31">
        <f>VLOOKUP(B49,Italy!$A:$B,2,)</f>
        <v>52.6</v>
      </c>
      <c r="L49" s="31">
        <f>VLOOKUP(B49,Spain!$A:$B,2,)</f>
        <v>55.6</v>
      </c>
      <c r="M49" s="31">
        <f>VLOOKUP(B49,Brazil!$A:$B,2,)</f>
        <v>50</v>
      </c>
      <c r="N49" s="31">
        <f>VLOOKUP(B49,Russia!$A:$B,2,)</f>
        <v>55.5</v>
      </c>
      <c r="O49" s="31">
        <f>VLOOKUP(B49,India!$A:$B,2,)</f>
        <v>51.4</v>
      </c>
      <c r="P49" s="31">
        <f>VLOOKUP(B49,Australia!$A:$B,2,)</f>
        <v>55.2</v>
      </c>
      <c r="Q49" s="31">
        <f>VLOOKUP(B49,Ireland!$A:$B,2,)</f>
        <v>58.3</v>
      </c>
    </row>
    <row r="50" spans="2:17" s="49" customFormat="1" x14ac:dyDescent="0.2">
      <c r="B50" s="30">
        <v>43221</v>
      </c>
      <c r="C50" s="31">
        <f>VLOOKUP(B50,Global!$A:$B,2,)</f>
        <v>54.3</v>
      </c>
      <c r="D50" s="31">
        <f>VLOOKUP(B50,US!$A:$B,2,)</f>
        <v>56.8</v>
      </c>
      <c r="E50" s="31">
        <f>VLOOKUP(B50,China!$A:$B,2,)</f>
        <v>52.9</v>
      </c>
      <c r="F50" s="31">
        <f>VLOOKUP(B50,EuroArea!$A:$B,2,)</f>
        <v>53.8</v>
      </c>
      <c r="G50" s="31">
        <f>VLOOKUP(B50,Japan!$A:$B,2,)</f>
        <v>51</v>
      </c>
      <c r="H50" s="31">
        <f>VLOOKUP(B50,Germany!$A:$B,2,)</f>
        <v>52.1</v>
      </c>
      <c r="I50" s="31">
        <f>VLOOKUP(B50,France!$A:$B,2,)</f>
        <v>54.3</v>
      </c>
      <c r="J50" s="31">
        <f>VLOOKUP(B50,UK!$A:$B,2,)</f>
        <v>54</v>
      </c>
      <c r="K50" s="31">
        <f>VLOOKUP(B50,Italy!$A:$B,2,)</f>
        <v>53.1</v>
      </c>
      <c r="L50" s="31">
        <f>VLOOKUP(B50,Spain!$A:$B,2,)</f>
        <v>56.4</v>
      </c>
      <c r="M50" s="31">
        <f>VLOOKUP(B50,Brazil!$A:$B,2,)</f>
        <v>49.5</v>
      </c>
      <c r="N50" s="31">
        <f>VLOOKUP(B50,Russia!$A:$B,2,)</f>
        <v>54.1</v>
      </c>
      <c r="O50" s="31">
        <f>VLOOKUP(B50,India!$A:$B,2,)</f>
        <v>49.6</v>
      </c>
      <c r="P50" s="31">
        <f>VLOOKUP(B50,Australia!$A:$B,2,)</f>
        <v>59</v>
      </c>
      <c r="Q50" s="31">
        <f>VLOOKUP(B50,Ireland!$A:$B,2,)</f>
        <v>59.3</v>
      </c>
    </row>
    <row r="51" spans="2:17" s="49" customFormat="1" x14ac:dyDescent="0.2">
      <c r="B51" s="30">
        <v>43252</v>
      </c>
      <c r="C51" s="31">
        <f>VLOOKUP(B51,Global!$A:$B,2,)</f>
        <v>54.6</v>
      </c>
      <c r="D51" s="31">
        <f>VLOOKUP(B51,US!$A:$B,2,)</f>
        <v>56.5</v>
      </c>
      <c r="E51" s="31">
        <f>VLOOKUP(B51,China!$A:$B,2,)</f>
        <v>53.9</v>
      </c>
      <c r="F51" s="31">
        <f>VLOOKUP(B51,EuroArea!$A:$B,2,)</f>
        <v>55.2</v>
      </c>
      <c r="G51" s="31">
        <f>VLOOKUP(B51,Japan!$A:$B,2,)</f>
        <v>51.4</v>
      </c>
      <c r="H51" s="31">
        <f>VLOOKUP(B51,Germany!$A:$B,2,)</f>
        <v>54.5</v>
      </c>
      <c r="I51" s="31">
        <f>VLOOKUP(B51,France!$A:$B,2,)</f>
        <v>55.9</v>
      </c>
      <c r="J51" s="31">
        <f>VLOOKUP(B51,UK!$A:$B,2,)</f>
        <v>55.1</v>
      </c>
      <c r="K51" s="31">
        <f>VLOOKUP(B51,Italy!$A:$B,2,)</f>
        <v>54.3</v>
      </c>
      <c r="L51" s="31">
        <f>VLOOKUP(B51,Spain!$A:$B,2,)</f>
        <v>55.4</v>
      </c>
      <c r="M51" s="31">
        <f>VLOOKUP(B51,Brazil!$A:$B,2,)</f>
        <v>47</v>
      </c>
      <c r="N51" s="31">
        <f>VLOOKUP(B51,Russia!$A:$B,2,)</f>
        <v>52.3</v>
      </c>
      <c r="O51" s="31">
        <f>VLOOKUP(B51,India!$A:$B,2,)</f>
        <v>52.6</v>
      </c>
      <c r="P51" s="31">
        <f>VLOOKUP(B51,Australia!$A:$B,2,)</f>
        <v>63</v>
      </c>
      <c r="Q51" s="31">
        <f>VLOOKUP(B51,Ireland!$A:$B,2,)</f>
        <v>59.5</v>
      </c>
    </row>
    <row r="52" spans="2:17" s="49" customFormat="1" x14ac:dyDescent="0.2">
      <c r="B52" s="30">
        <v>43282</v>
      </c>
      <c r="C52" s="31">
        <f>VLOOKUP(B52,Global!$A:$B,2,)</f>
        <v>54</v>
      </c>
      <c r="D52" s="31">
        <f>VLOOKUP(B52,US!$A:$B,2,)</f>
        <v>56</v>
      </c>
      <c r="E52" s="31">
        <f>VLOOKUP(B52,China!$A:$B,2,)</f>
        <v>52.8</v>
      </c>
      <c r="F52" s="31">
        <f>VLOOKUP(B52,EuroArea!$A:$B,2,)</f>
        <v>54.2</v>
      </c>
      <c r="G52" s="31">
        <f>VLOOKUP(B52,Japan!$A:$B,2,)</f>
        <v>51.3</v>
      </c>
      <c r="H52" s="31">
        <f>VLOOKUP(B52,Germany!$A:$B,2,)</f>
        <v>54.1</v>
      </c>
      <c r="I52" s="31">
        <f>VLOOKUP(B52,France!$A:$B,2,)</f>
        <v>54.9</v>
      </c>
      <c r="J52" s="31">
        <f>VLOOKUP(B52,UK!$A:$B,2,)</f>
        <v>53.5</v>
      </c>
      <c r="K52" s="31">
        <f>VLOOKUP(B52,Italy!$A:$B,2,)</f>
        <v>54</v>
      </c>
      <c r="L52" s="31">
        <f>VLOOKUP(B52,Spain!$A:$B,2,)</f>
        <v>52.6</v>
      </c>
      <c r="M52" s="31">
        <f>VLOOKUP(B52,Brazil!$A:$B,2,)</f>
        <v>50.4</v>
      </c>
      <c r="N52" s="31">
        <f>VLOOKUP(B52,Russia!$A:$B,2,)</f>
        <v>52.8</v>
      </c>
      <c r="O52" s="31">
        <f>VLOOKUP(B52,India!$A:$B,2,)</f>
        <v>54.2</v>
      </c>
      <c r="P52" s="31">
        <f>VLOOKUP(B52,Australia!$A:$B,2,)</f>
        <v>53.6</v>
      </c>
      <c r="Q52" s="31">
        <f>VLOOKUP(B52,Ireland!$A:$B,2,)</f>
        <v>57.4</v>
      </c>
    </row>
    <row r="53" spans="2:17" s="49" customFormat="1" x14ac:dyDescent="0.2">
      <c r="B53" s="30">
        <v>43313</v>
      </c>
      <c r="C53" s="31">
        <f>VLOOKUP(B53,Global!$A:$B,2,)</f>
        <v>53.5</v>
      </c>
      <c r="D53" s="31">
        <f>VLOOKUP(B53,US!$A:$B,2,)</f>
        <v>55.2</v>
      </c>
      <c r="E53" s="31">
        <f>VLOOKUP(B53,China!$A:$B,2,)</f>
        <v>51.5</v>
      </c>
      <c r="F53" s="31">
        <f>VLOOKUP(B53,EuroArea!$A:$B,2,)</f>
        <v>54.4</v>
      </c>
      <c r="G53" s="31">
        <f>VLOOKUP(B53,Japan!$A:$B,2,)</f>
        <v>51.5</v>
      </c>
      <c r="H53" s="31">
        <f>VLOOKUP(B53,Germany!$A:$B,2,)</f>
        <v>55</v>
      </c>
      <c r="I53" s="31">
        <f>VLOOKUP(B53,France!$A:$B,2,)</f>
        <v>55.4</v>
      </c>
      <c r="J53" s="31">
        <f>VLOOKUP(B53,UK!$A:$B,2,)</f>
        <v>54.3</v>
      </c>
      <c r="K53" s="31">
        <f>VLOOKUP(B53,Italy!$A:$B,2,)</f>
        <v>52.6</v>
      </c>
      <c r="L53" s="31">
        <f>VLOOKUP(B53,Spain!$A:$B,2,)</f>
        <v>52.7</v>
      </c>
      <c r="M53" s="31">
        <f>VLOOKUP(B53,Brazil!$A:$B,2,)</f>
        <v>46.8</v>
      </c>
      <c r="N53" s="31">
        <f>VLOOKUP(B53,Russia!$A:$B,2,)</f>
        <v>53.3</v>
      </c>
      <c r="O53" s="31">
        <f>VLOOKUP(B53,India!$A:$B,2,)</f>
        <v>51.5</v>
      </c>
      <c r="P53" s="31">
        <f>VLOOKUP(B53,Australia!$A:$B,2,)</f>
        <v>52.2</v>
      </c>
      <c r="Q53" s="31">
        <f>VLOOKUP(B53,Ireland!$A:$B,2,)</f>
        <v>58</v>
      </c>
    </row>
    <row r="54" spans="2:17" s="49" customFormat="1" x14ac:dyDescent="0.2">
      <c r="B54" s="30">
        <v>43344</v>
      </c>
      <c r="C54" s="31">
        <f>VLOOKUP(B54,Global!$A:$B,2,)</f>
        <v>52.9</v>
      </c>
      <c r="D54" s="31">
        <f>VLOOKUP(B54,US!$A:$B,2,)</f>
        <v>52.9</v>
      </c>
      <c r="E54" s="31">
        <f>VLOOKUP(B54,China!$A:$B,2,)</f>
        <v>53.1</v>
      </c>
      <c r="F54" s="31">
        <f>VLOOKUP(B54,EuroArea!$A:$B,2,)</f>
        <v>54.7</v>
      </c>
      <c r="G54" s="31">
        <f>VLOOKUP(B54,Japan!$A:$B,2,)</f>
        <v>50.2</v>
      </c>
      <c r="H54" s="31">
        <f>VLOOKUP(B54,Germany!$A:$B,2,)</f>
        <v>55.9</v>
      </c>
      <c r="I54" s="31">
        <f>VLOOKUP(B54,France!$A:$B,2,)</f>
        <v>54.8</v>
      </c>
      <c r="J54" s="31">
        <f>VLOOKUP(B54,UK!$A:$B,2,)</f>
        <v>53.9</v>
      </c>
      <c r="K54" s="31">
        <f>VLOOKUP(B54,Italy!$A:$B,2,)</f>
        <v>53.3</v>
      </c>
      <c r="L54" s="31">
        <f>VLOOKUP(B54,Spain!$A:$B,2,)</f>
        <v>52.5</v>
      </c>
      <c r="M54" s="31">
        <f>VLOOKUP(B54,Brazil!$A:$B,2,)</f>
        <v>46.4</v>
      </c>
      <c r="N54" s="31">
        <f>VLOOKUP(B54,Russia!$A:$B,2,)</f>
        <v>54.7</v>
      </c>
      <c r="O54" s="31">
        <f>VLOOKUP(B54,India!$A:$B,2,)</f>
        <v>50.9</v>
      </c>
      <c r="P54" s="31">
        <f>VLOOKUP(B54,Australia!$A:$B,2,)</f>
        <v>52.5</v>
      </c>
      <c r="Q54" s="31">
        <f>VLOOKUP(B54,Ireland!$A:$B,2,)</f>
        <v>58.7</v>
      </c>
    </row>
    <row r="55" spans="2:17" s="49" customFormat="1" x14ac:dyDescent="0.2">
      <c r="B55" s="30">
        <v>43374</v>
      </c>
      <c r="C55" s="31">
        <f>VLOOKUP(B55,Global!$A:$B,2,)</f>
        <v>53.4</v>
      </c>
      <c r="D55" s="31">
        <f>VLOOKUP(B55,US!$A:$B,2,)</f>
        <v>54.8</v>
      </c>
      <c r="E55" s="31">
        <f>VLOOKUP(B55,China!$A:$B,2,)</f>
        <v>50.8</v>
      </c>
      <c r="F55" s="31">
        <f>VLOOKUP(B55,EuroArea!$A:$B,2,)</f>
        <v>53.7</v>
      </c>
      <c r="G55" s="31">
        <f>VLOOKUP(B55,Japan!$A:$B,2,)</f>
        <v>52.4</v>
      </c>
      <c r="H55" s="31">
        <f>VLOOKUP(B55,Germany!$A:$B,2,)</f>
        <v>54.7</v>
      </c>
      <c r="I55" s="31">
        <f>VLOOKUP(B55,France!$A:$B,2,)</f>
        <v>55.3</v>
      </c>
      <c r="J55" s="31">
        <f>VLOOKUP(B55,UK!$A:$B,2,)</f>
        <v>52.2</v>
      </c>
      <c r="K55" s="31">
        <f>VLOOKUP(B55,Italy!$A:$B,2,)</f>
        <v>49.2</v>
      </c>
      <c r="L55" s="31">
        <f>VLOOKUP(B55,Spain!$A:$B,2,)</f>
        <v>54</v>
      </c>
      <c r="M55" s="31">
        <f>VLOOKUP(B55,Brazil!$A:$B,2,)</f>
        <v>50.5</v>
      </c>
      <c r="N55" s="31">
        <f>VLOOKUP(B55,Russia!$A:$B,2,)</f>
        <v>56.9</v>
      </c>
      <c r="O55" s="31">
        <f>VLOOKUP(B55,India!$A:$B,2,)</f>
        <v>52.2</v>
      </c>
      <c r="P55" s="31">
        <f>VLOOKUP(B55,Australia!$A:$B,2,)</f>
        <v>51.1</v>
      </c>
      <c r="Q55" s="31">
        <f>VLOOKUP(B55,Ireland!$A:$B,2,)</f>
        <v>57.2</v>
      </c>
    </row>
    <row r="56" spans="2:17" s="49" customFormat="1" x14ac:dyDescent="0.2">
      <c r="B56" s="30">
        <v>43405</v>
      </c>
      <c r="C56" s="31">
        <f>VLOOKUP(B56,Global!$A:$B,2,)</f>
        <v>53.7</v>
      </c>
      <c r="D56" s="31">
        <f>VLOOKUP(B56,US!$A:$B,2,)</f>
        <v>54.4</v>
      </c>
      <c r="E56" s="31">
        <f>VLOOKUP(B56,China!$A:$B,2,)</f>
        <v>53.8</v>
      </c>
      <c r="F56" s="31">
        <f>VLOOKUP(B56,EuroArea!$A:$B,2,)</f>
        <v>53.4</v>
      </c>
      <c r="G56" s="31">
        <f>VLOOKUP(B56,Japan!$A:$B,2,)</f>
        <v>52.3</v>
      </c>
      <c r="H56" s="31">
        <f>VLOOKUP(B56,Germany!$A:$B,2,)</f>
        <v>53.3</v>
      </c>
      <c r="I56" s="31">
        <f>VLOOKUP(B56,France!$A:$B,2,)</f>
        <v>55.1</v>
      </c>
      <c r="J56" s="31">
        <f>VLOOKUP(B56,UK!$A:$B,2,)</f>
        <v>50.4</v>
      </c>
      <c r="K56" s="31">
        <f>VLOOKUP(B56,Italy!$A:$B,2,)</f>
        <v>50.3</v>
      </c>
      <c r="L56" s="31">
        <f>VLOOKUP(B56,Spain!$A:$B,2,)</f>
        <v>54</v>
      </c>
      <c r="M56" s="31">
        <f>VLOOKUP(B56,Brazil!$A:$B,2,)</f>
        <v>51.3</v>
      </c>
      <c r="N56" s="31">
        <f>VLOOKUP(B56,Russia!$A:$B,2,)</f>
        <v>55.6</v>
      </c>
      <c r="O56" s="31">
        <f>VLOOKUP(B56,India!$A:$B,2,)</f>
        <v>53.7</v>
      </c>
      <c r="P56" s="31">
        <f>VLOOKUP(B56,Australia!$A:$B,2,)</f>
        <v>55.1</v>
      </c>
      <c r="Q56" s="31">
        <f>VLOOKUP(B56,Ireland!$A:$B,2,)</f>
        <v>57.1</v>
      </c>
    </row>
    <row r="57" spans="2:17" s="49" customFormat="1" x14ac:dyDescent="0.2">
      <c r="B57" s="30">
        <v>43435</v>
      </c>
      <c r="C57" s="31">
        <f>VLOOKUP(B57,Global!$A:$B,2,)</f>
        <v>53</v>
      </c>
      <c r="D57" s="31">
        <f>VLOOKUP(B57,US!$A:$B,2,)</f>
        <v>54.4</v>
      </c>
      <c r="E57" s="31">
        <f>VLOOKUP(B57,China!$A:$B,2,)</f>
        <v>53.9</v>
      </c>
      <c r="F57" s="31">
        <f>VLOOKUP(B57,EuroArea!$A:$B,2,)</f>
        <v>51.2</v>
      </c>
      <c r="G57" s="31">
        <f>VLOOKUP(B57,Japan!$A:$B,2,)</f>
        <v>51</v>
      </c>
      <c r="H57" s="31">
        <f>VLOOKUP(B57,Germany!$A:$B,2,)</f>
        <v>51.8</v>
      </c>
      <c r="I57" s="31">
        <f>VLOOKUP(B57,France!$A:$B,2,)</f>
        <v>49</v>
      </c>
      <c r="J57" s="31">
        <f>VLOOKUP(B57,UK!$A:$B,2,)</f>
        <v>51.2</v>
      </c>
      <c r="K57" s="31">
        <f>VLOOKUP(B57,Italy!$A:$B,2,)</f>
        <v>50.5</v>
      </c>
      <c r="L57" s="31">
        <f>VLOOKUP(B57,Spain!$A:$B,2,)</f>
        <v>54</v>
      </c>
      <c r="M57" s="31">
        <f>VLOOKUP(B57,Brazil!$A:$B,2,)</f>
        <v>51.9</v>
      </c>
      <c r="N57" s="31">
        <f>VLOOKUP(B57,Russia!$A:$B,2,)</f>
        <v>54.4</v>
      </c>
      <c r="O57" s="31">
        <f>VLOOKUP(B57,India!$A:$B,2,)</f>
        <v>53.2</v>
      </c>
      <c r="P57" s="31">
        <f>VLOOKUP(B57,Australia!$A:$B,2,)</f>
        <v>52.1</v>
      </c>
      <c r="Q57" s="31">
        <f>VLOOKUP(B57,Ireland!$A:$B,2,)</f>
        <v>56.3</v>
      </c>
    </row>
    <row r="58" spans="2:17" s="49" customFormat="1" x14ac:dyDescent="0.2">
      <c r="B58" s="30">
        <v>43466</v>
      </c>
      <c r="C58" s="31">
        <f>VLOOKUP(B58,Global!$A:$B,2,)</f>
        <v>52.6</v>
      </c>
      <c r="D58" s="31">
        <f>VLOOKUP(B58,US!$A:$B,2,)</f>
        <v>54.2</v>
      </c>
      <c r="E58" s="31">
        <f>VLOOKUP(B58,China!$A:$B,2,)</f>
        <v>53.6</v>
      </c>
      <c r="F58" s="31">
        <f>VLOOKUP(B58,EuroArea!$A:$B,2,)</f>
        <v>51.2</v>
      </c>
      <c r="G58" s="31">
        <f>VLOOKUP(B58,Japan!$A:$B,2,)</f>
        <v>51.6</v>
      </c>
      <c r="H58" s="31">
        <f>VLOOKUP(B58,Germany!$A:$B,2,)</f>
        <v>53</v>
      </c>
      <c r="I58" s="31">
        <f>VLOOKUP(B58,France!$A:$B,2,)</f>
        <v>47.8</v>
      </c>
      <c r="J58" s="31">
        <f>VLOOKUP(B58,UK!$A:$B,2,)</f>
        <v>50.1</v>
      </c>
      <c r="K58" s="31">
        <f>VLOOKUP(B58,Italy!$A:$B,2,)</f>
        <v>49.7</v>
      </c>
      <c r="L58" s="31">
        <f>VLOOKUP(B58,Spain!$A:$B,2,)</f>
        <v>54.7</v>
      </c>
      <c r="M58" s="31">
        <f>VLOOKUP(B58,Brazil!$A:$B,2,)</f>
        <v>52</v>
      </c>
      <c r="N58" s="31">
        <f>VLOOKUP(B58,Russia!$A:$B,2,)</f>
        <v>54.9</v>
      </c>
      <c r="O58" s="31">
        <f>VLOOKUP(B58,India!$A:$B,2,)</f>
        <v>52.2</v>
      </c>
      <c r="P58" s="31">
        <f>VLOOKUP(B58,Australia!$A:$B,2,)</f>
        <v>44.3</v>
      </c>
      <c r="Q58" s="31">
        <f>VLOOKUP(B58,Ireland!$A:$B,2,)</f>
        <v>54.2</v>
      </c>
    </row>
    <row r="59" spans="2:17" s="49" customFormat="1" x14ac:dyDescent="0.2">
      <c r="B59" s="30">
        <v>43497</v>
      </c>
      <c r="C59" s="31">
        <f>VLOOKUP(B59,Global!$A:$B,2,)</f>
        <v>53.3</v>
      </c>
      <c r="D59" s="31">
        <f>VLOOKUP(B59,US!$A:$B,2,)</f>
        <v>56.2</v>
      </c>
      <c r="E59" s="31">
        <f>VLOOKUP(B59,China!$A:$B,2,)</f>
        <v>51.1</v>
      </c>
      <c r="F59" s="31">
        <f>VLOOKUP(B59,EuroArea!$A:$B,2,)</f>
        <v>52.8</v>
      </c>
      <c r="G59" s="31">
        <f>VLOOKUP(B59,Japan!$A:$B,2,)</f>
        <v>52.3</v>
      </c>
      <c r="H59" s="31">
        <f>VLOOKUP(B59,Germany!$A:$B,2,)</f>
        <v>55.3</v>
      </c>
      <c r="I59" s="31">
        <f>VLOOKUP(B59,France!$A:$B,2,)</f>
        <v>50.2</v>
      </c>
      <c r="J59" s="31">
        <f>VLOOKUP(B59,UK!$A:$B,2,)</f>
        <v>51.3</v>
      </c>
      <c r="K59" s="31">
        <f>VLOOKUP(B59,Italy!$A:$B,2,)</f>
        <v>50.4</v>
      </c>
      <c r="L59" s="31">
        <f>VLOOKUP(B59,Spain!$A:$B,2,)</f>
        <v>54.5</v>
      </c>
      <c r="M59" s="31">
        <f>VLOOKUP(B59,Brazil!$A:$B,2,)</f>
        <v>52.2</v>
      </c>
      <c r="N59" s="31">
        <f>VLOOKUP(B59,Russia!$A:$B,2,)</f>
        <v>55.3</v>
      </c>
      <c r="O59" s="31">
        <f>VLOOKUP(B59,India!$A:$B,2,)</f>
        <v>52.5</v>
      </c>
      <c r="P59" s="31">
        <f>VLOOKUP(B59,Australia!$A:$B,2,)</f>
        <v>44.5</v>
      </c>
      <c r="Q59" s="31">
        <f>VLOOKUP(B59,Ireland!$A:$B,2,)</f>
        <v>55.9</v>
      </c>
    </row>
    <row r="60" spans="2:17" s="49" customFormat="1" x14ac:dyDescent="0.2">
      <c r="B60" s="30">
        <v>43525</v>
      </c>
      <c r="C60" s="31">
        <f>VLOOKUP(B60,Global!$A:$B,2,)</f>
        <v>53.7</v>
      </c>
      <c r="D60" s="31">
        <f>VLOOKUP(B60,US!$A:$B,2,)</f>
        <v>54.8</v>
      </c>
      <c r="E60" s="31">
        <f>VLOOKUP(B60,China!$A:$B,2,)</f>
        <v>54.4</v>
      </c>
      <c r="F60" s="31">
        <f>VLOOKUP(B60,EuroArea!$A:$B,2,)</f>
        <v>53.3</v>
      </c>
      <c r="G60" s="31">
        <f>VLOOKUP(B60,Japan!$A:$B,2,)</f>
        <v>52</v>
      </c>
      <c r="H60" s="31">
        <f>VLOOKUP(B60,Germany!$A:$B,2,)</f>
        <v>55.4</v>
      </c>
      <c r="I60" s="31">
        <f>VLOOKUP(B60,France!$A:$B,2,)</f>
        <v>49.1</v>
      </c>
      <c r="J60" s="31">
        <f>VLOOKUP(B60,UK!$A:$B,2,)</f>
        <v>48.9</v>
      </c>
      <c r="K60" s="31">
        <f>VLOOKUP(B60,Italy!$A:$B,2,)</f>
        <v>53.1</v>
      </c>
      <c r="L60" s="31">
        <f>VLOOKUP(B60,Spain!$A:$B,2,)</f>
        <v>56.8</v>
      </c>
      <c r="M60" s="31">
        <f>VLOOKUP(B60,Brazil!$A:$B,2,)</f>
        <v>52.7</v>
      </c>
      <c r="N60" s="31">
        <f>VLOOKUP(B60,Russia!$A:$B,2,)</f>
        <v>54.4</v>
      </c>
      <c r="O60" s="31">
        <f>VLOOKUP(B60,India!$A:$B,2,)</f>
        <v>52</v>
      </c>
      <c r="P60" s="31">
        <f>VLOOKUP(B60,Australia!$A:$B,2,)</f>
        <v>44.8</v>
      </c>
      <c r="Q60" s="31">
        <f>VLOOKUP(B60,Ireland!$A:$B,2,)</f>
        <v>55.3</v>
      </c>
    </row>
    <row r="61" spans="2:17" s="49" customFormat="1" x14ac:dyDescent="0.2">
      <c r="B61" s="30">
        <v>43556</v>
      </c>
      <c r="C61" s="31">
        <f>VLOOKUP(B61,Global!$A:$B,2,)</f>
        <v>52.7</v>
      </c>
      <c r="D61" s="31">
        <f>VLOOKUP(B61,US!$A:$B,2,)</f>
        <v>53</v>
      </c>
      <c r="E61" s="31">
        <f>VLOOKUP(B61,China!$A:$B,2,)</f>
        <v>54.5</v>
      </c>
      <c r="F61" s="31">
        <f>VLOOKUP(B61,EuroArea!$A:$B,2,)</f>
        <v>52.8</v>
      </c>
      <c r="G61" s="31">
        <f>VLOOKUP(B61,Japan!$A:$B,2,)</f>
        <v>51.8</v>
      </c>
      <c r="H61" s="31">
        <f>VLOOKUP(B61,Germany!$A:$B,2,)</f>
        <v>55.7</v>
      </c>
      <c r="I61" s="31">
        <f>VLOOKUP(B61,France!$A:$B,2,)</f>
        <v>50.5</v>
      </c>
      <c r="J61" s="31">
        <f>VLOOKUP(B61,UK!$A:$B,2,)</f>
        <v>50.4</v>
      </c>
      <c r="K61" s="31">
        <f>VLOOKUP(B61,Italy!$A:$B,2,)</f>
        <v>50.4</v>
      </c>
      <c r="L61" s="31">
        <f>VLOOKUP(B61,Spain!$A:$B,2,)</f>
        <v>53.1</v>
      </c>
      <c r="M61" s="31">
        <f>VLOOKUP(B61,Brazil!$A:$B,2,)</f>
        <v>49.9</v>
      </c>
      <c r="N61" s="31">
        <f>VLOOKUP(B61,Russia!$A:$B,2,)</f>
        <v>52.6</v>
      </c>
      <c r="O61" s="31">
        <f>VLOOKUP(B61,India!$A:$B,2,)</f>
        <v>51</v>
      </c>
      <c r="P61" s="31">
        <f>VLOOKUP(B61,Australia!$A:$B,2,)</f>
        <v>46.5</v>
      </c>
      <c r="Q61" s="31">
        <f>VLOOKUP(B61,Ireland!$A:$B,2,)</f>
        <v>54.7</v>
      </c>
    </row>
    <row r="62" spans="2:17" s="49" customFormat="1" x14ac:dyDescent="0.2">
      <c r="B62" s="30">
        <v>43586</v>
      </c>
      <c r="C62" s="31">
        <f>VLOOKUP(B62,Global!$A:$B,2,)</f>
        <v>51.6</v>
      </c>
      <c r="D62" s="31">
        <f>VLOOKUP(B62,US!$A:$B,2,)</f>
        <v>50.9</v>
      </c>
      <c r="E62" s="31">
        <f>VLOOKUP(B62,China!$A:$B,2,)</f>
        <v>52.7</v>
      </c>
      <c r="F62" s="31">
        <f>VLOOKUP(B62,EuroArea!$A:$B,2,)</f>
        <v>52.9</v>
      </c>
      <c r="G62" s="31">
        <f>VLOOKUP(B62,Japan!$A:$B,2,)</f>
        <v>51.7</v>
      </c>
      <c r="H62" s="31">
        <f>VLOOKUP(B62,Germany!$A:$B,2,)</f>
        <v>55.4</v>
      </c>
      <c r="I62" s="31">
        <f>VLOOKUP(B62,France!$A:$B,2,)</f>
        <v>51.5</v>
      </c>
      <c r="J62" s="31">
        <f>VLOOKUP(B62,UK!$A:$B,2,)</f>
        <v>51</v>
      </c>
      <c r="K62" s="31">
        <f>VLOOKUP(B62,Italy!$A:$B,2,)</f>
        <v>50</v>
      </c>
      <c r="L62" s="31">
        <f>VLOOKUP(B62,Spain!$A:$B,2,)</f>
        <v>52.8</v>
      </c>
      <c r="M62" s="31">
        <f>VLOOKUP(B62,Brazil!$A:$B,2,)</f>
        <v>47.8</v>
      </c>
      <c r="N62" s="31">
        <f>VLOOKUP(B62,Russia!$A:$B,2,)</f>
        <v>52</v>
      </c>
      <c r="O62" s="31">
        <f>VLOOKUP(B62,India!$A:$B,2,)</f>
        <v>50.2</v>
      </c>
      <c r="P62" s="31">
        <f>VLOOKUP(B62,Australia!$A:$B,2,)</f>
        <v>52.5</v>
      </c>
      <c r="Q62" s="31">
        <f>VLOOKUP(B62,Ireland!$A:$B,2,)</f>
        <v>57</v>
      </c>
    </row>
    <row r="63" spans="2:17" s="49" customFormat="1" x14ac:dyDescent="0.2">
      <c r="B63" s="30">
        <v>43617</v>
      </c>
      <c r="C63" s="31">
        <f>VLOOKUP(B63,Global!$A:$B,2,)</f>
        <v>51.9</v>
      </c>
      <c r="D63" s="31">
        <f>VLOOKUP(B63,US!$A:$B,2,)</f>
        <v>51.5</v>
      </c>
      <c r="E63" s="31">
        <f>VLOOKUP(B63,China!$A:$B,2,)</f>
        <v>52</v>
      </c>
      <c r="F63" s="31">
        <f>VLOOKUP(B63,EuroArea!$A:$B,2,)</f>
        <v>53.6</v>
      </c>
      <c r="G63" s="31">
        <f>VLOOKUP(B63,Japan!$A:$B,2,)</f>
        <v>51.9</v>
      </c>
      <c r="H63" s="31">
        <f>VLOOKUP(B63,Germany!$A:$B,2,)</f>
        <v>55.8</v>
      </c>
      <c r="I63" s="31">
        <f>VLOOKUP(B63,France!$A:$B,2,)</f>
        <v>52.9</v>
      </c>
      <c r="J63" s="31">
        <f>VLOOKUP(B63,UK!$A:$B,2,)</f>
        <v>50.2</v>
      </c>
      <c r="K63" s="31">
        <f>VLOOKUP(B63,Italy!$A:$B,2,)</f>
        <v>50.5</v>
      </c>
      <c r="L63" s="31">
        <f>VLOOKUP(B63,Spain!$A:$B,2,)</f>
        <v>53.6</v>
      </c>
      <c r="M63" s="31">
        <f>VLOOKUP(B63,Brazil!$A:$B,2,)</f>
        <v>48.2</v>
      </c>
      <c r="N63" s="31">
        <f>VLOOKUP(B63,Russia!$A:$B,2,)</f>
        <v>49.7</v>
      </c>
      <c r="O63" s="31">
        <f>VLOOKUP(B63,India!$A:$B,2,)</f>
        <v>49.6</v>
      </c>
      <c r="P63" s="31">
        <f>VLOOKUP(B63,Australia!$A:$B,2,)</f>
        <v>52.2</v>
      </c>
      <c r="Q63" s="31">
        <f>VLOOKUP(B63,Ireland!$A:$B,2,)</f>
        <v>56.9</v>
      </c>
    </row>
    <row r="64" spans="2:17" s="49" customFormat="1" x14ac:dyDescent="0.2">
      <c r="B64" s="30">
        <v>43647</v>
      </c>
      <c r="C64" s="31">
        <f>VLOOKUP(B64,Global!$A:$B,2,)</f>
        <v>52.5</v>
      </c>
      <c r="D64" s="31">
        <f>VLOOKUP(B64,US!$A:$B,2,)</f>
        <v>53</v>
      </c>
      <c r="E64" s="31">
        <f>VLOOKUP(B64,China!$A:$B,2,)</f>
        <v>51.6</v>
      </c>
      <c r="F64" s="31">
        <f>VLOOKUP(B64,EuroArea!$A:$B,2,)</f>
        <v>53.2</v>
      </c>
      <c r="G64" s="31">
        <f>VLOOKUP(B64,Japan!$A:$B,2,)</f>
        <v>51.8</v>
      </c>
      <c r="H64" s="31">
        <f>VLOOKUP(B64,Germany!$A:$B,2,)</f>
        <v>54.5</v>
      </c>
      <c r="I64" s="31">
        <f>VLOOKUP(B64,France!$A:$B,2,)</f>
        <v>52.6</v>
      </c>
      <c r="J64" s="31">
        <f>VLOOKUP(B64,UK!$A:$B,2,)</f>
        <v>51.4</v>
      </c>
      <c r="K64" s="31">
        <f>VLOOKUP(B64,Italy!$A:$B,2,)</f>
        <v>51.7</v>
      </c>
      <c r="L64" s="31">
        <f>VLOOKUP(B64,Spain!$A:$B,2,)</f>
        <v>52.9</v>
      </c>
      <c r="M64" s="31">
        <f>VLOOKUP(B64,Brazil!$A:$B,2,)</f>
        <v>52.2</v>
      </c>
      <c r="N64" s="31">
        <f>VLOOKUP(B64,Russia!$A:$B,2,)</f>
        <v>50.4</v>
      </c>
      <c r="O64" s="31">
        <f>VLOOKUP(B64,India!$A:$B,2,)</f>
        <v>53.8</v>
      </c>
      <c r="P64" s="31">
        <f>VLOOKUP(B64,Australia!$A:$B,2,)</f>
        <v>43.9</v>
      </c>
      <c r="Q64" s="31">
        <f>VLOOKUP(B64,Ireland!$A:$B,2,)</f>
        <v>55</v>
      </c>
    </row>
    <row r="65" spans="2:17" s="49" customFormat="1" x14ac:dyDescent="0.2">
      <c r="B65" s="30">
        <v>43678</v>
      </c>
      <c r="C65" s="31">
        <f>VLOOKUP(B65,Global!$A:$B,2,)</f>
        <v>51.8</v>
      </c>
      <c r="D65" s="31">
        <f>VLOOKUP(B65,US!$A:$B,2,)</f>
        <v>50.7</v>
      </c>
      <c r="E65" s="31">
        <f>VLOOKUP(B65,China!$A:$B,2,)</f>
        <v>52.1</v>
      </c>
      <c r="F65" s="31">
        <f>VLOOKUP(B65,EuroArea!$A:$B,2,)</f>
        <v>53.5</v>
      </c>
      <c r="G65" s="31">
        <f>VLOOKUP(B65,Japan!$A:$B,2,)</f>
        <v>53.3</v>
      </c>
      <c r="H65" s="31">
        <f>VLOOKUP(B65,Germany!$A:$B,2,)</f>
        <v>54.8</v>
      </c>
      <c r="I65" s="31">
        <f>VLOOKUP(B65,France!$A:$B,2,)</f>
        <v>53.4</v>
      </c>
      <c r="J65" s="31">
        <f>VLOOKUP(B65,UK!$A:$B,2,)</f>
        <v>50.6</v>
      </c>
      <c r="K65" s="31">
        <f>VLOOKUP(B65,Italy!$A:$B,2,)</f>
        <v>50.6</v>
      </c>
      <c r="L65" s="31">
        <f>VLOOKUP(B65,Spain!$A:$B,2,)</f>
        <v>54.3</v>
      </c>
      <c r="M65" s="31">
        <f>VLOOKUP(B65,Brazil!$A:$B,2,)</f>
        <v>51.4</v>
      </c>
      <c r="N65" s="31">
        <f>VLOOKUP(B65,Russia!$A:$B,2,)</f>
        <v>52.1</v>
      </c>
      <c r="O65" s="31">
        <f>VLOOKUP(B65,India!$A:$B,2,)</f>
        <v>52.4</v>
      </c>
      <c r="P65" s="31">
        <f>VLOOKUP(B65,Australia!$A:$B,2,)</f>
        <v>51.4</v>
      </c>
      <c r="Q65" s="31">
        <f>VLOOKUP(B65,Ireland!$A:$B,2,)</f>
        <v>54.6</v>
      </c>
    </row>
    <row r="66" spans="2:17" s="49" customFormat="1" x14ac:dyDescent="0.2">
      <c r="B66" s="30">
        <v>43709</v>
      </c>
      <c r="C66" s="31">
        <f>VLOOKUP(B66,Global!$A:$B,2,)</f>
        <v>51.6</v>
      </c>
      <c r="D66" s="31">
        <f>VLOOKUP(B66,US!$A:$B,2,)</f>
        <v>50.9</v>
      </c>
      <c r="E66" s="31">
        <f>VLOOKUP(B66,China!$A:$B,2,)</f>
        <v>51.3</v>
      </c>
      <c r="F66" s="31">
        <f>VLOOKUP(B66,EuroArea!$A:$B,2,)</f>
        <v>51.6</v>
      </c>
      <c r="G66" s="31">
        <f>VLOOKUP(B66,Japan!$A:$B,2,)</f>
        <v>52.8</v>
      </c>
      <c r="H66" s="31">
        <f>VLOOKUP(B66,Germany!$A:$B,2,)</f>
        <v>51.4</v>
      </c>
      <c r="I66" s="31">
        <f>VLOOKUP(B66,France!$A:$B,2,)</f>
        <v>51.1</v>
      </c>
      <c r="J66" s="31">
        <f>VLOOKUP(B66,UK!$A:$B,2,)</f>
        <v>49.5</v>
      </c>
      <c r="K66" s="31">
        <f>VLOOKUP(B66,Italy!$A:$B,2,)</f>
        <v>51.4</v>
      </c>
      <c r="L66" s="31">
        <f>VLOOKUP(B66,Spain!$A:$B,2,)</f>
        <v>53.3</v>
      </c>
      <c r="M66" s="31">
        <f>VLOOKUP(B66,Brazil!$A:$B,2,)</f>
        <v>51.8</v>
      </c>
      <c r="N66" s="31">
        <f>VLOOKUP(B66,Russia!$A:$B,2,)</f>
        <v>53.6</v>
      </c>
      <c r="O66" s="31">
        <f>VLOOKUP(B66,India!$A:$B,2,)</f>
        <v>48.7</v>
      </c>
      <c r="P66" s="31">
        <f>VLOOKUP(B66,Australia!$A:$B,2,)</f>
        <v>51.5</v>
      </c>
      <c r="Q66" s="31">
        <f>VLOOKUP(B66,Ireland!$A:$B,2,)</f>
        <v>53.1</v>
      </c>
    </row>
    <row r="67" spans="2:17" s="49" customFormat="1" x14ac:dyDescent="0.2">
      <c r="B67" s="30">
        <v>43739</v>
      </c>
      <c r="C67" s="31">
        <f>VLOOKUP(B67,Global!$A:$B,2,)</f>
        <v>51</v>
      </c>
      <c r="D67" s="31">
        <f>VLOOKUP(B67,US!$A:$B,2,)</f>
        <v>50.6</v>
      </c>
      <c r="E67" s="31">
        <f>VLOOKUP(B67,China!$A:$B,2,)</f>
        <v>51.1</v>
      </c>
      <c r="F67" s="31">
        <f>VLOOKUP(B67,EuroArea!$A:$B,2,)</f>
        <v>52.2</v>
      </c>
      <c r="G67" s="31">
        <f>VLOOKUP(B67,Japan!$A:$B,2,)</f>
        <v>49.7</v>
      </c>
      <c r="H67" s="31">
        <f>VLOOKUP(B67,Germany!$A:$B,2,)</f>
        <v>51.6</v>
      </c>
      <c r="I67" s="31">
        <f>VLOOKUP(B67,France!$A:$B,2,)</f>
        <v>52.9</v>
      </c>
      <c r="J67" s="31">
        <f>VLOOKUP(B67,UK!$A:$B,2,)</f>
        <v>50</v>
      </c>
      <c r="K67" s="31">
        <f>VLOOKUP(B67,Italy!$A:$B,2,)</f>
        <v>52.2</v>
      </c>
      <c r="L67" s="31">
        <f>VLOOKUP(B67,Spain!$A:$B,2,)</f>
        <v>52.7</v>
      </c>
      <c r="M67" s="31">
        <f>VLOOKUP(B67,Brazil!$A:$B,2,)</f>
        <v>51.2</v>
      </c>
      <c r="N67" s="31">
        <f>VLOOKUP(B67,Russia!$A:$B,2,)</f>
        <v>55.8</v>
      </c>
      <c r="O67" s="31">
        <f>VLOOKUP(B67,India!$A:$B,2,)</f>
        <v>49.2</v>
      </c>
      <c r="P67" s="31">
        <f>VLOOKUP(B67,Australia!$A:$B,2,)</f>
        <v>54.2</v>
      </c>
      <c r="Q67" s="31">
        <f>VLOOKUP(B67,Ireland!$A:$B,2,)</f>
        <v>50.6</v>
      </c>
    </row>
    <row r="68" spans="2:17" s="49" customFormat="1" x14ac:dyDescent="0.2">
      <c r="B68" s="30">
        <v>43770</v>
      </c>
      <c r="C68" s="31">
        <f>VLOOKUP(B68,Global!$A:$B,2,)</f>
        <v>51.6</v>
      </c>
      <c r="D68" s="31">
        <f>VLOOKUP(B68,US!$A:$B,2,)</f>
        <v>51.6</v>
      </c>
      <c r="E68" s="31">
        <f>VLOOKUP(B68,China!$A:$B,2,)</f>
        <v>53.5</v>
      </c>
      <c r="F68" s="31">
        <f>VLOOKUP(B68,EuroArea!$A:$B,2,)</f>
        <v>51.9</v>
      </c>
      <c r="G68" s="31">
        <f>VLOOKUP(B68,Japan!$A:$B,2,)</f>
        <v>50.3</v>
      </c>
      <c r="H68" s="31">
        <f>VLOOKUP(B68,Germany!$A:$B,2,)</f>
        <v>51.7</v>
      </c>
      <c r="I68" s="31">
        <f>VLOOKUP(B68,France!$A:$B,2,)</f>
        <v>52.2</v>
      </c>
      <c r="J68" s="31">
        <f>VLOOKUP(B68,UK!$A:$B,2,)</f>
        <v>49.3</v>
      </c>
      <c r="K68" s="31">
        <f>VLOOKUP(B68,Italy!$A:$B,2,)</f>
        <v>50.4</v>
      </c>
      <c r="L68" s="31">
        <f>VLOOKUP(B68,Spain!$A:$B,2,)</f>
        <v>53.2</v>
      </c>
      <c r="M68" s="31">
        <f>VLOOKUP(B68,Brazil!$A:$B,2,)</f>
        <v>50.9</v>
      </c>
      <c r="N68" s="31">
        <f>VLOOKUP(B68,Russia!$A:$B,2,)</f>
        <v>55.6</v>
      </c>
      <c r="O68" s="31">
        <f>VLOOKUP(B68,India!$A:$B,2,)</f>
        <v>52.7</v>
      </c>
      <c r="P68" s="31">
        <f>VLOOKUP(B68,Australia!$A:$B,2,)</f>
        <v>53.7</v>
      </c>
      <c r="Q68" s="31">
        <f>VLOOKUP(B68,Ireland!$A:$B,2,)</f>
        <v>52</v>
      </c>
    </row>
    <row r="69" spans="2:17" s="49" customFormat="1" x14ac:dyDescent="0.2">
      <c r="B69" s="30">
        <v>43800</v>
      </c>
      <c r="C69" s="31">
        <f>VLOOKUP(B69,Global!$A:$B,2,)</f>
        <v>52</v>
      </c>
      <c r="D69" s="31">
        <f>VLOOKUP(B69,US!$A:$B,2,)</f>
        <v>52.8</v>
      </c>
      <c r="E69" s="31">
        <f>VLOOKUP(B69,China!$A:$B,2,)</f>
        <v>52.5</v>
      </c>
      <c r="F69" s="31">
        <f>VLOOKUP(B69,EuroArea!$A:$B,2,)</f>
        <v>52.8</v>
      </c>
      <c r="G69" s="31">
        <f>VLOOKUP(B69,Japan!$A:$B,2,)</f>
        <v>49.4</v>
      </c>
      <c r="H69" s="31">
        <f>VLOOKUP(B69,Germany!$A:$B,2,)</f>
        <v>52.9</v>
      </c>
      <c r="I69" s="31">
        <f>VLOOKUP(B69,France!$A:$B,2,)</f>
        <v>52.4</v>
      </c>
      <c r="J69" s="31">
        <f>VLOOKUP(B69,UK!$A:$B,2,)</f>
        <v>50</v>
      </c>
      <c r="K69" s="31">
        <f>VLOOKUP(B69,Italy!$A:$B,2,)</f>
        <v>51.1</v>
      </c>
      <c r="L69" s="31">
        <f>VLOOKUP(B69,Spain!$A:$B,2,)</f>
        <v>54.9</v>
      </c>
      <c r="M69" s="31">
        <f>VLOOKUP(B69,Brazil!$A:$B,2,)</f>
        <v>51</v>
      </c>
      <c r="N69" s="31">
        <f>VLOOKUP(B69,Russia!$A:$B,2,)</f>
        <v>53.1</v>
      </c>
      <c r="O69" s="31">
        <f>VLOOKUP(B69,India!$A:$B,2,)</f>
        <v>53.3</v>
      </c>
      <c r="P69" s="31">
        <f>VLOOKUP(B69,Australia!$A:$B,2,)</f>
        <v>48.7</v>
      </c>
      <c r="Q69" s="31">
        <f>VLOOKUP(B69,Ireland!$A:$B,2,)</f>
        <v>55.9</v>
      </c>
    </row>
    <row r="70" spans="2:17" s="49" customFormat="1" x14ac:dyDescent="0.2">
      <c r="B70" s="30">
        <v>43831</v>
      </c>
      <c r="C70" s="31">
        <f>VLOOKUP(B70,Global!$A:$B,2,)</f>
        <v>52.7</v>
      </c>
      <c r="D70" s="31">
        <f>VLOOKUP(B70,US!$A:$B,2,)</f>
        <v>53.4</v>
      </c>
      <c r="E70" s="31">
        <f>VLOOKUP(B70,China!$A:$B,2,)</f>
        <v>51.8</v>
      </c>
      <c r="F70" s="31">
        <f>VLOOKUP(B70,EuroArea!$A:$B,2,)</f>
        <v>52.5</v>
      </c>
      <c r="G70" s="31">
        <f>VLOOKUP(B70,Japan!$A:$B,2,)</f>
        <v>51</v>
      </c>
      <c r="H70" s="31">
        <f>VLOOKUP(B70,Germany!$A:$B,2,)</f>
        <v>54.2</v>
      </c>
      <c r="I70" s="31">
        <f>VLOOKUP(B70,France!$A:$B,2,)</f>
        <v>51</v>
      </c>
      <c r="J70" s="31">
        <f>VLOOKUP(B70,UK!$A:$B,2,)</f>
        <v>53.9</v>
      </c>
      <c r="K70" s="31">
        <f>VLOOKUP(B70,Italy!$A:$B,2,)</f>
        <v>51.4</v>
      </c>
      <c r="L70" s="31">
        <f>VLOOKUP(B70,Spain!$A:$B,2,)</f>
        <v>52.3</v>
      </c>
      <c r="M70" s="31">
        <f>VLOOKUP(B70,Brazil!$A:$B,2,)</f>
        <v>52.7</v>
      </c>
      <c r="N70" s="31">
        <f>VLOOKUP(B70,Russia!$A:$B,2,)</f>
        <v>54.1</v>
      </c>
      <c r="O70" s="31">
        <f>VLOOKUP(B70,India!$A:$B,2,)</f>
        <v>55.5</v>
      </c>
      <c r="P70" s="31">
        <f>VLOOKUP(B70,Australia!$A:$B,2,)</f>
        <v>46.6</v>
      </c>
      <c r="Q70" s="31">
        <f>VLOOKUP(B70,Ireland!$A:$B,2,)</f>
        <v>56.9</v>
      </c>
    </row>
    <row r="71" spans="2:17" s="49" customFormat="1" x14ac:dyDescent="0.2">
      <c r="B71" s="30">
        <v>43862</v>
      </c>
      <c r="C71" s="31">
        <f>VLOOKUP(B71,Global!$A:$B,2,)</f>
        <v>47.1</v>
      </c>
      <c r="D71" s="31">
        <f>VLOOKUP(B71,US!$A:$B,2,)</f>
        <v>49.4</v>
      </c>
      <c r="E71" s="31">
        <f>VLOOKUP(B71,China!$A:$B,2,)</f>
        <v>26.5</v>
      </c>
      <c r="F71" s="31">
        <f>VLOOKUP(B71,EuroArea!$A:$B,2,)</f>
        <v>52.6</v>
      </c>
      <c r="G71" s="31">
        <f>VLOOKUP(B71,Japan!$A:$B,2,)</f>
        <v>46.8</v>
      </c>
      <c r="H71" s="31">
        <f>VLOOKUP(B71,Germany!$A:$B,2,)</f>
        <v>52.5</v>
      </c>
      <c r="I71" s="31">
        <f>VLOOKUP(B71,France!$A:$B,2,)</f>
        <v>52.5</v>
      </c>
      <c r="J71" s="31">
        <f>VLOOKUP(B71,UK!$A:$B,2,)</f>
        <v>53.2</v>
      </c>
      <c r="K71" s="31">
        <f>VLOOKUP(B71,Italy!$A:$B,2,)</f>
        <v>52.1</v>
      </c>
      <c r="L71" s="31">
        <f>VLOOKUP(B71,Spain!$A:$B,2,)</f>
        <v>52.1</v>
      </c>
      <c r="M71" s="31">
        <f>VLOOKUP(B71,Brazil!$A:$B,2,)</f>
        <v>50.4</v>
      </c>
      <c r="N71" s="31">
        <f>VLOOKUP(B71,Russia!$A:$B,2,)</f>
        <v>52</v>
      </c>
      <c r="O71" s="31">
        <f>VLOOKUP(B71,India!$A:$B,2,)</f>
        <v>57.5</v>
      </c>
      <c r="P71" s="31">
        <f>VLOOKUP(B71,Australia!$A:$B,2,)</f>
        <v>47</v>
      </c>
      <c r="Q71" s="31">
        <f>VLOOKUP(B71,Ireland!$A:$B,2,)</f>
        <v>59.9</v>
      </c>
    </row>
    <row r="72" spans="2:17" s="49" customFormat="1" x14ac:dyDescent="0.2">
      <c r="B72" s="30">
        <v>43891</v>
      </c>
      <c r="C72" s="31">
        <f>VLOOKUP(B72,Global!$A:$B,2,)</f>
        <v>36.799999999999997</v>
      </c>
      <c r="D72" s="31">
        <f>VLOOKUP(B72,US!$A:$B,2,)</f>
        <v>39.799999999999997</v>
      </c>
      <c r="E72" s="31">
        <f>VLOOKUP(B72,China!$A:$B,2,)</f>
        <v>43</v>
      </c>
      <c r="F72" s="31">
        <f>VLOOKUP(B72,EuroArea!$A:$B,2,)</f>
        <v>26.4</v>
      </c>
      <c r="G72" s="31">
        <f>VLOOKUP(B72,Japan!$A:$B,2,)</f>
        <v>33.799999999999997</v>
      </c>
      <c r="H72" s="31">
        <f>VLOOKUP(B72,Germany!$A:$B,2,)</f>
        <v>31.7</v>
      </c>
      <c r="I72" s="31">
        <f>VLOOKUP(B72,France!$A:$B,2,)</f>
        <v>27.4</v>
      </c>
      <c r="J72" s="31">
        <f>VLOOKUP(B72,UK!$A:$B,2,)</f>
        <v>34.5</v>
      </c>
      <c r="K72" s="31">
        <f>VLOOKUP(B72,Italy!$A:$B,2,)</f>
        <v>17.399999999999999</v>
      </c>
      <c r="L72" s="31">
        <f>VLOOKUP(B72,Spain!$A:$B,2,)</f>
        <v>23</v>
      </c>
      <c r="M72" s="31">
        <f>VLOOKUP(B72,Brazil!$A:$B,2,)</f>
        <v>34.5</v>
      </c>
      <c r="N72" s="31">
        <f>VLOOKUP(B72,Russia!$A:$B,2,)</f>
        <v>37.1</v>
      </c>
      <c r="O72" s="31">
        <f>VLOOKUP(B72,India!$A:$B,2,)</f>
        <v>49.3</v>
      </c>
      <c r="P72" s="31">
        <f>VLOOKUP(B72,Australia!$A:$B,2,)</f>
        <v>38.700000000000003</v>
      </c>
      <c r="Q72" s="31">
        <f>VLOOKUP(B72,Ireland!$A:$B,2,)</f>
        <v>32.5</v>
      </c>
    </row>
    <row r="73" spans="2:17" s="49" customFormat="1" x14ac:dyDescent="0.2">
      <c r="B73" s="30">
        <v>43922</v>
      </c>
      <c r="C73" s="31">
        <f>VLOOKUP(B73,Global!$A:$B,2,)</f>
        <v>24</v>
      </c>
      <c r="D73" s="31">
        <f>VLOOKUP(B73,US!$A:$B,2,)</f>
        <v>26.7</v>
      </c>
      <c r="E73" s="31">
        <f>VLOOKUP(B73,China!$A:$B,2,)</f>
        <v>44.4</v>
      </c>
      <c r="F73" s="31">
        <f>VLOOKUP(B73,EuroArea!$A:$B,2,)</f>
        <v>12</v>
      </c>
      <c r="G73" s="31">
        <f>VLOOKUP(B73,Japan!$A:$B,2,)</f>
        <v>22.8</v>
      </c>
      <c r="H73" s="31">
        <f>VLOOKUP(B73,Germany!$A:$B,2,)</f>
        <v>16.2</v>
      </c>
      <c r="I73" s="31">
        <f>VLOOKUP(B73,France!$A:$B,2,)</f>
        <v>10.199999999999999</v>
      </c>
      <c r="J73" s="31">
        <f>VLOOKUP(B73,UK!$A:$B,2,)</f>
        <v>13.4</v>
      </c>
      <c r="K73" s="31">
        <f>VLOOKUP(B73,Italy!$A:$B,2,)</f>
        <v>10.8</v>
      </c>
      <c r="L73" s="31">
        <f>VLOOKUP(B73,Spain!$A:$B,2,)</f>
        <v>7.1</v>
      </c>
      <c r="M73" s="31">
        <f>VLOOKUP(B73,Brazil!$A:$B,2,)</f>
        <v>27.4</v>
      </c>
      <c r="N73" s="31">
        <f>VLOOKUP(B73,Russia!$A:$B,2,)</f>
        <v>12.2</v>
      </c>
      <c r="O73" s="31">
        <f>VLOOKUP(B73,India!$A:$B,2,)</f>
        <v>49.3</v>
      </c>
      <c r="P73" s="31">
        <f>VLOOKUP(B73,Australia!$A:$B,2,)</f>
        <v>27.1</v>
      </c>
      <c r="Q73" s="31">
        <f>VLOOKUP(B73,Ireland!$A:$B,2,)</f>
        <v>13.9</v>
      </c>
    </row>
    <row r="74" spans="2:17" s="49" customFormat="1" x14ac:dyDescent="0.2">
      <c r="B74" s="30">
        <v>43952</v>
      </c>
      <c r="C74" s="31">
        <f>VLOOKUP(B74,Global!$A:$B,2,)</f>
        <v>35.1</v>
      </c>
      <c r="D74" s="31">
        <f>VLOOKUP(B74,US!$A:$B,2,)</f>
        <v>37.5</v>
      </c>
      <c r="E74" s="31">
        <f>VLOOKUP(B74,China!$A:$B,2,)</f>
        <v>55</v>
      </c>
      <c r="F74" s="31">
        <f>VLOOKUP(B74,EuroArea!$A:$B,2,)</f>
        <v>30.5</v>
      </c>
      <c r="G74" s="31">
        <f>VLOOKUP(B74,Japan!$A:$B,2,)</f>
        <v>26.5</v>
      </c>
      <c r="H74" s="31">
        <f>VLOOKUP(B74,Germany!$A:$B,2,)</f>
        <v>32.6</v>
      </c>
      <c r="I74" s="31">
        <f>VLOOKUP(B74,France!$A:$B,2,)</f>
        <v>31.1</v>
      </c>
      <c r="J74" s="31">
        <f>VLOOKUP(B74,UK!$A:$B,2,)</f>
        <v>29</v>
      </c>
      <c r="K74" s="31">
        <f>VLOOKUP(B74,Italy!$A:$B,2,)</f>
        <v>28.9</v>
      </c>
      <c r="L74" s="31">
        <f>VLOOKUP(B74,Spain!$A:$B,2,)</f>
        <v>27.9</v>
      </c>
      <c r="M74" s="31">
        <f>VLOOKUP(B74,Brazil!$A:$B,2,)</f>
        <v>27.6</v>
      </c>
      <c r="N74" s="31">
        <f>VLOOKUP(B74,Russia!$A:$B,2,)</f>
        <v>35.9</v>
      </c>
      <c r="O74" s="31">
        <f>VLOOKUP(B74,India!$A:$B,2,)</f>
        <v>12.6</v>
      </c>
      <c r="P74" s="31">
        <f>VLOOKUP(B74,Australia!$A:$B,2,)</f>
        <v>31.6</v>
      </c>
      <c r="Q74" s="31">
        <f>VLOOKUP(B74,Ireland!$A:$B,2,)</f>
        <v>23.4</v>
      </c>
    </row>
    <row r="75" spans="2:17" s="49" customFormat="1" x14ac:dyDescent="0.2">
      <c r="B75" s="30">
        <v>43983</v>
      </c>
      <c r="C75" s="31">
        <f>VLOOKUP(B75,Global!$A:$B,2,)</f>
        <v>48</v>
      </c>
      <c r="D75" s="31">
        <f>VLOOKUP(B75,US!$A:$B,2,)</f>
        <v>47.9</v>
      </c>
      <c r="E75" s="31">
        <f>VLOOKUP(B75,China!$A:$B,2,)</f>
        <v>58.4</v>
      </c>
      <c r="F75" s="31">
        <f>VLOOKUP(B75,EuroArea!$A:$B,2,)</f>
        <v>48.3</v>
      </c>
      <c r="G75" s="31">
        <f>VLOOKUP(B75,Japan!$A:$B,2,)</f>
        <v>45</v>
      </c>
      <c r="H75" s="31">
        <f>VLOOKUP(B75,Germany!$A:$B,2,)</f>
        <v>47.3</v>
      </c>
      <c r="I75" s="31">
        <f>VLOOKUP(B75,France!$A:$B,2,)</f>
        <v>50.7</v>
      </c>
      <c r="J75" s="31">
        <f>VLOOKUP(B75,UK!$A:$B,2,)</f>
        <v>47.1</v>
      </c>
      <c r="K75" s="31">
        <f>VLOOKUP(B75,Italy!$A:$B,2,)</f>
        <v>46.4</v>
      </c>
      <c r="L75" s="31">
        <f>VLOOKUP(B75,Spain!$A:$B,2,)</f>
        <v>50.2</v>
      </c>
      <c r="M75" s="31">
        <f>VLOOKUP(B75,Brazil!$A:$B,2,)</f>
        <v>35.9</v>
      </c>
      <c r="N75" s="31">
        <f>VLOOKUP(B75,Russia!$A:$B,2,)</f>
        <v>47.8</v>
      </c>
      <c r="O75" s="31">
        <f>VLOOKUP(B75,India!$A:$B,2,)</f>
        <v>33.700000000000003</v>
      </c>
      <c r="P75" s="31">
        <f>VLOOKUP(B75,Australia!$A:$B,2,)</f>
        <v>31.5</v>
      </c>
      <c r="Q75" s="31">
        <f>VLOOKUP(B75,Ireland!$A:$B,2,)</f>
        <v>39.700000000000003</v>
      </c>
    </row>
    <row r="76" spans="2:17" s="49" customFormat="1" x14ac:dyDescent="0.2">
      <c r="B76" s="30">
        <v>44013</v>
      </c>
      <c r="C76" s="31">
        <f>VLOOKUP(B76,Global!$A:$B,2,)</f>
        <v>50.6</v>
      </c>
      <c r="D76" s="31">
        <f>VLOOKUP(B76,US!$A:$B,2,)</f>
        <v>50</v>
      </c>
      <c r="E76" s="31">
        <f>VLOOKUP(B76,China!$A:$B,2,)</f>
        <v>54.1</v>
      </c>
      <c r="F76" s="31">
        <f>VLOOKUP(B76,EuroArea!$A:$B,2,)</f>
        <v>54.7</v>
      </c>
      <c r="G76" s="31">
        <f>VLOOKUP(B76,Japan!$A:$B,2,)</f>
        <v>45.4</v>
      </c>
      <c r="H76" s="31">
        <f>VLOOKUP(B76,Germany!$A:$B,2,)</f>
        <v>55.6</v>
      </c>
      <c r="I76" s="31">
        <f>VLOOKUP(B76,France!$A:$B,2,)</f>
        <v>57.3</v>
      </c>
      <c r="J76" s="31">
        <f>VLOOKUP(B76,UK!$A:$B,2,)</f>
        <v>56.5</v>
      </c>
      <c r="K76" s="31">
        <f>VLOOKUP(B76,Italy!$A:$B,2,)</f>
        <v>51.6</v>
      </c>
      <c r="L76" s="31">
        <f>VLOOKUP(B76,Spain!$A:$B,2,)</f>
        <v>51.9</v>
      </c>
      <c r="M76" s="31">
        <f>VLOOKUP(B76,Brazil!$A:$B,2,)</f>
        <v>42.5</v>
      </c>
      <c r="N76" s="31">
        <f>VLOOKUP(B76,Russia!$A:$B,2,)</f>
        <v>58.5</v>
      </c>
      <c r="O76" s="31">
        <f>VLOOKUP(B76,India!$A:$B,2,)</f>
        <v>34.200000000000003</v>
      </c>
      <c r="P76" s="31">
        <f>VLOOKUP(B76,Australia!$A:$B,2,)</f>
        <v>44</v>
      </c>
      <c r="Q76" s="31">
        <f>VLOOKUP(B76,Ireland!$A:$B,2,)</f>
        <v>51.9</v>
      </c>
    </row>
    <row r="77" spans="2:17" s="49" customFormat="1" x14ac:dyDescent="0.2">
      <c r="B77" s="30">
        <v>44044</v>
      </c>
      <c r="C77" s="31">
        <f>VLOOKUP(B77,Global!$A:$B,2,)</f>
        <v>52</v>
      </c>
      <c r="D77" s="31">
        <f>VLOOKUP(B77,US!$A:$B,2,)</f>
        <v>55</v>
      </c>
      <c r="E77" s="31">
        <f>VLOOKUP(B77,China!$A:$B,2,)</f>
        <v>54</v>
      </c>
      <c r="F77" s="31">
        <f>VLOOKUP(B77,EuroArea!$A:$B,2,)</f>
        <v>50.5</v>
      </c>
      <c r="G77" s="31">
        <f>VLOOKUP(B77,Japan!$A:$B,2,)</f>
        <v>45</v>
      </c>
      <c r="H77" s="31">
        <f>VLOOKUP(B77,Germany!$A:$B,2,)</f>
        <v>52.5</v>
      </c>
      <c r="I77" s="31">
        <f>VLOOKUP(B77,France!$A:$B,2,)</f>
        <v>51.5</v>
      </c>
      <c r="J77" s="31">
        <f>VLOOKUP(B77,UK!$A:$B,2,)</f>
        <v>58.8</v>
      </c>
      <c r="K77" s="31">
        <f>VLOOKUP(B77,Italy!$A:$B,2,)</f>
        <v>47.1</v>
      </c>
      <c r="L77" s="31">
        <f>VLOOKUP(B77,Spain!$A:$B,2,)</f>
        <v>47.7</v>
      </c>
      <c r="M77" s="31">
        <f>VLOOKUP(B77,Brazil!$A:$B,2,)</f>
        <v>49.5</v>
      </c>
      <c r="N77" s="31">
        <f>VLOOKUP(B77,Russia!$A:$B,2,)</f>
        <v>58.2</v>
      </c>
      <c r="O77" s="31">
        <f>VLOOKUP(B77,India!$A:$B,2,)</f>
        <v>41.8</v>
      </c>
      <c r="P77" s="31">
        <f>VLOOKUP(B77,Australia!$A:$B,2,)</f>
        <v>43.5</v>
      </c>
      <c r="Q77" s="31">
        <f>VLOOKUP(B77,Ireland!$A:$B,2,)</f>
        <v>52.4</v>
      </c>
    </row>
    <row r="78" spans="2:17" s="49" customFormat="1" x14ac:dyDescent="0.2">
      <c r="B78" s="30">
        <v>44075</v>
      </c>
      <c r="C78" s="31">
        <f>VLOOKUP(B78,Global!$A:$B,2,)</f>
        <v>52</v>
      </c>
      <c r="D78" s="31">
        <f>VLOOKUP(B78,US!$A:$B,2,)</f>
        <v>54.6</v>
      </c>
      <c r="E78" s="31">
        <f>VLOOKUP(B78,China!$A:$B,2,)</f>
        <v>54.8</v>
      </c>
      <c r="F78" s="31">
        <f>VLOOKUP(B78,EuroArea!$A:$B,2,)</f>
        <v>48</v>
      </c>
      <c r="G78" s="31">
        <f>VLOOKUP(B78,Japan!$A:$B,2,)</f>
        <v>46.9</v>
      </c>
      <c r="H78" s="31">
        <f>VLOOKUP(B78,Germany!$A:$B,2,)</f>
        <v>50.6</v>
      </c>
      <c r="I78" s="31">
        <f>VLOOKUP(B78,France!$A:$B,2,)</f>
        <v>47.5</v>
      </c>
      <c r="J78" s="31">
        <f>VLOOKUP(B78,UK!$A:$B,2,)</f>
        <v>56.1</v>
      </c>
      <c r="K78" s="31">
        <f>VLOOKUP(B78,Italy!$A:$B,2,)</f>
        <v>48.8</v>
      </c>
      <c r="L78" s="31">
        <f>VLOOKUP(B78,Spain!$A:$B,2,)</f>
        <v>42.4</v>
      </c>
      <c r="M78" s="31">
        <f>VLOOKUP(B78,Brazil!$A:$B,2,)</f>
        <v>50.4</v>
      </c>
      <c r="N78" s="31">
        <f>VLOOKUP(B78,Russia!$A:$B,2,)</f>
        <v>53.7</v>
      </c>
      <c r="O78" s="31">
        <f>VLOOKUP(B78,India!$A:$B,2,)</f>
        <v>49.8</v>
      </c>
      <c r="P78" s="31">
        <f>VLOOKUP(B78,Australia!$A:$B,2,)</f>
        <v>36.200000000000003</v>
      </c>
      <c r="Q78" s="31">
        <f>VLOOKUP(B78,Ireland!$A:$B,2,)</f>
        <v>45.8</v>
      </c>
    </row>
    <row r="79" spans="2:17" s="49" customFormat="1" x14ac:dyDescent="0.2">
      <c r="B79" s="30">
        <v>44105</v>
      </c>
      <c r="C79" s="31">
        <f>VLOOKUP(B79,Global!$A:$B,2,)</f>
        <v>52.9</v>
      </c>
      <c r="D79" s="31">
        <f>VLOOKUP(B79,US!$A:$B,2,)</f>
        <v>56.9</v>
      </c>
      <c r="E79" s="31">
        <f>VLOOKUP(B79,China!$A:$B,2,)</f>
        <v>56.8</v>
      </c>
      <c r="F79" s="31">
        <f>VLOOKUP(B79,EuroArea!$A:$B,2,)</f>
        <v>46.9</v>
      </c>
      <c r="G79" s="31">
        <f>VLOOKUP(B79,Japan!$A:$B,2,)</f>
        <v>47.7</v>
      </c>
      <c r="H79" s="31">
        <f>VLOOKUP(B79,Germany!$A:$B,2,)</f>
        <v>49.5</v>
      </c>
      <c r="I79" s="31">
        <f>VLOOKUP(B79,France!$A:$B,2,)</f>
        <v>46.5</v>
      </c>
      <c r="J79" s="31">
        <f>VLOOKUP(B79,UK!$A:$B,2,)</f>
        <v>51.4</v>
      </c>
      <c r="K79" s="31">
        <f>VLOOKUP(B79,Italy!$A:$B,2,)</f>
        <v>46.7</v>
      </c>
      <c r="L79" s="31">
        <f>VLOOKUP(B79,Spain!$A:$B,2,)</f>
        <v>41.4</v>
      </c>
      <c r="M79" s="31">
        <f>VLOOKUP(B79,Brazil!$A:$B,2,)</f>
        <v>52.3</v>
      </c>
      <c r="N79" s="31">
        <f>VLOOKUP(B79,Russia!$A:$B,2,)</f>
        <v>46.9</v>
      </c>
      <c r="O79" s="31">
        <f>VLOOKUP(B79,India!$A:$B,2,)</f>
        <v>54.1</v>
      </c>
      <c r="P79" s="31">
        <f>VLOOKUP(B79,Australia!$A:$B,2,)</f>
        <v>51.4</v>
      </c>
      <c r="Q79" s="31">
        <f>VLOOKUP(B79,Ireland!$A:$B,2,)</f>
        <v>48.3</v>
      </c>
    </row>
    <row r="80" spans="2:17" s="49" customFormat="1" x14ac:dyDescent="0.2">
      <c r="B80" s="30">
        <v>44136</v>
      </c>
      <c r="C80" s="31">
        <f>VLOOKUP(B80,Global!$A:$B,2,)</f>
        <v>52.2</v>
      </c>
      <c r="D80" s="31">
        <f>VLOOKUP(B80,US!$A:$B,2,)</f>
        <v>58.4</v>
      </c>
      <c r="E80" s="31">
        <f>VLOOKUP(B80,China!$A:$B,2,)</f>
        <v>57.8</v>
      </c>
      <c r="F80" s="31">
        <f>VLOOKUP(B80,EuroArea!$A:$B,2,)</f>
        <v>41.7</v>
      </c>
      <c r="G80" s="31">
        <f>VLOOKUP(B80,Japan!$A:$B,2,)</f>
        <v>47.8</v>
      </c>
      <c r="H80" s="31">
        <f>VLOOKUP(B80,Germany!$A:$B,2,)</f>
        <v>46</v>
      </c>
      <c r="I80" s="31">
        <f>VLOOKUP(B80,France!$A:$B,2,)</f>
        <v>38.799999999999997</v>
      </c>
      <c r="J80" s="31">
        <f>VLOOKUP(B80,UK!$A:$B,2,)</f>
        <v>47.6</v>
      </c>
      <c r="K80" s="31">
        <f>VLOOKUP(B80,Italy!$A:$B,2,)</f>
        <v>39.4</v>
      </c>
      <c r="L80" s="31">
        <f>VLOOKUP(B80,Spain!$A:$B,2,)</f>
        <v>39.5</v>
      </c>
      <c r="M80" s="31">
        <f>VLOOKUP(B80,Brazil!$A:$B,2,)</f>
        <v>50.9</v>
      </c>
      <c r="N80" s="31">
        <f>VLOOKUP(B80,Russia!$A:$B,2,)</f>
        <v>48.2</v>
      </c>
      <c r="O80" s="31">
        <f>VLOOKUP(B80,India!$A:$B,2,)</f>
        <v>53.7</v>
      </c>
      <c r="P80" s="31">
        <f>VLOOKUP(B80,Australia!$A:$B,2,)</f>
        <v>52.9</v>
      </c>
      <c r="Q80" s="31">
        <f>VLOOKUP(B80,Ireland!$A:$B,2,)</f>
        <v>45.4</v>
      </c>
    </row>
    <row r="81" spans="2:17" s="49" customFormat="1" x14ac:dyDescent="0.2">
      <c r="B81" s="30">
        <v>44166</v>
      </c>
      <c r="C81" s="31">
        <f>VLOOKUP(B81,Global!$A:$B,2,)</f>
        <v>51.8</v>
      </c>
      <c r="D81" s="31">
        <f>VLOOKUP(B81,US!$A:$B,2,)</f>
        <v>54.8</v>
      </c>
      <c r="E81" s="31">
        <f>VLOOKUP(B81,China!$A:$B,2,)</f>
        <v>56.3</v>
      </c>
      <c r="F81" s="31">
        <f>VLOOKUP(B81,EuroArea!$A:$B,2,)</f>
        <v>46.4</v>
      </c>
      <c r="G81" s="31">
        <f>VLOOKUP(B81,Japan!$A:$B,2,)</f>
        <v>47.2</v>
      </c>
      <c r="H81" s="31">
        <f>VLOOKUP(B81,Germany!$A:$B,2,)</f>
        <v>47</v>
      </c>
      <c r="I81" s="31">
        <f>VLOOKUP(B81,France!$A:$B,2,)</f>
        <v>49.1</v>
      </c>
      <c r="J81" s="31">
        <f>VLOOKUP(B81,UK!$A:$B,2,)</f>
        <v>49.4</v>
      </c>
      <c r="K81" s="31">
        <f>VLOOKUP(B81,Italy!$A:$B,2,)</f>
        <v>39.700000000000003</v>
      </c>
      <c r="L81" s="31">
        <f>VLOOKUP(B81,Spain!$A:$B,2,)</f>
        <v>48</v>
      </c>
      <c r="M81" s="31">
        <f>VLOOKUP(B81,Brazil!$A:$B,2,)</f>
        <v>51.1</v>
      </c>
      <c r="N81" s="31">
        <f>VLOOKUP(B81,Russia!$A:$B,2,)</f>
        <v>48</v>
      </c>
      <c r="O81" s="31">
        <f>VLOOKUP(B81,India!$A:$B,2,)</f>
        <v>52.3</v>
      </c>
      <c r="P81" s="31">
        <f>VLOOKUP(B81,Australia!$A:$B,2,)</f>
        <v>54.3</v>
      </c>
      <c r="Q81" s="31">
        <f>VLOOKUP(B81,Ireland!$A:$B,2,)</f>
        <v>50.1</v>
      </c>
    </row>
    <row r="82" spans="2:17" s="49" customFormat="1" x14ac:dyDescent="0.2">
      <c r="B82" s="30">
        <v>44197</v>
      </c>
      <c r="C82" s="31">
        <f>VLOOKUP(B82,Global!$A:$B,2,)</f>
        <v>51.6</v>
      </c>
      <c r="D82" s="31">
        <f>VLOOKUP(B82,US!$A:$B,2,)</f>
        <v>58.3</v>
      </c>
      <c r="E82" s="31">
        <f>VLOOKUP(B82,China!$A:$B,2,)</f>
        <v>52</v>
      </c>
      <c r="F82" s="31">
        <f>VLOOKUP(B82,EuroArea!$A:$B,2,)</f>
        <v>45.4</v>
      </c>
      <c r="G82" s="31">
        <f>VLOOKUP(B82,Japan!$A:$B,2,)</f>
        <v>46.1</v>
      </c>
      <c r="H82" s="31">
        <f>VLOOKUP(B82,Germany!$A:$B,2,)</f>
        <v>46.7</v>
      </c>
      <c r="I82" s="31">
        <f>VLOOKUP(B82,France!$A:$B,2,)</f>
        <v>47.3</v>
      </c>
      <c r="J82" s="31">
        <f>VLOOKUP(B82,UK!$A:$B,2,)</f>
        <v>39.5</v>
      </c>
      <c r="K82" s="31">
        <f>VLOOKUP(B82,Italy!$A:$B,2,)</f>
        <v>44.7</v>
      </c>
      <c r="L82" s="31">
        <f>VLOOKUP(B82,Spain!$A:$B,2,)</f>
        <v>41.7</v>
      </c>
      <c r="M82" s="31">
        <f>VLOOKUP(B82,Brazil!$A:$B,2,)</f>
        <v>47</v>
      </c>
      <c r="N82" s="31">
        <f>VLOOKUP(B82,Russia!$A:$B,2,)</f>
        <v>52.7</v>
      </c>
      <c r="O82" s="31">
        <f>VLOOKUP(B82,India!$A:$B,2,)</f>
        <v>52.8</v>
      </c>
      <c r="P82" s="31">
        <f>VLOOKUP(B82,Australia!$A:$B,2,)</f>
        <v>54.3</v>
      </c>
      <c r="Q82" s="31">
        <f>VLOOKUP(B82,Ireland!$A:$B,2,)</f>
        <v>36.200000000000003</v>
      </c>
    </row>
    <row r="83" spans="2:17" s="49" customFormat="1" x14ac:dyDescent="0.2">
      <c r="B83" s="30">
        <v>44228</v>
      </c>
      <c r="C83" s="31">
        <f>VLOOKUP(B83,Global!$A:$B,2,)</f>
        <v>52.8</v>
      </c>
      <c r="D83" s="31">
        <f>VLOOKUP(B83,US!$A:$B,2,)</f>
        <v>59.8</v>
      </c>
      <c r="E83" s="31">
        <f>VLOOKUP(B83,China!$A:$B,2,)</f>
        <v>51.5</v>
      </c>
      <c r="F83" s="31">
        <f>VLOOKUP(B83,EuroArea!$A:$B,2,)</f>
        <v>45.7</v>
      </c>
      <c r="G83" s="31">
        <f>VLOOKUP(B83,Japan!$A:$B,2,)</f>
        <v>46.3</v>
      </c>
      <c r="H83" s="31">
        <f>VLOOKUP(B83,Germany!$A:$B,2,)</f>
        <v>45.7</v>
      </c>
      <c r="I83" s="31">
        <f>VLOOKUP(B83,France!$A:$B,2,)</f>
        <v>45.6</v>
      </c>
      <c r="J83" s="31">
        <f>VLOOKUP(B83,UK!$A:$B,2,)</f>
        <v>49.5</v>
      </c>
      <c r="K83" s="31">
        <f>VLOOKUP(B83,Italy!$A:$B,2,)</f>
        <v>48.8</v>
      </c>
      <c r="L83" s="31">
        <f>VLOOKUP(B83,Spain!$A:$B,2,)</f>
        <v>43.1</v>
      </c>
      <c r="M83" s="31">
        <f>VLOOKUP(B83,Brazil!$A:$B,2,)</f>
        <v>47.1</v>
      </c>
      <c r="N83" s="31">
        <f>VLOOKUP(B83,Russia!$A:$B,2,)</f>
        <v>52.2</v>
      </c>
      <c r="O83" s="31">
        <f>VLOOKUP(B83,India!$A:$B,2,)</f>
        <v>55.3</v>
      </c>
      <c r="P83" s="31">
        <f>VLOOKUP(B83,Australia!$A:$B,2,)</f>
        <v>55.8</v>
      </c>
      <c r="Q83" s="31">
        <f>VLOOKUP(B83,Ireland!$A:$B,2,)</f>
        <v>41.2</v>
      </c>
    </row>
    <row r="84" spans="2:17" s="49" customFormat="1" x14ac:dyDescent="0.2">
      <c r="B84" s="30">
        <v>44256</v>
      </c>
      <c r="C84" s="31">
        <f>VLOOKUP(B84,Global!$A:$B,2,)</f>
        <v>54.7</v>
      </c>
      <c r="D84" s="31">
        <f>VLOOKUP(B84,US!$A:$B,2,)</f>
        <v>60.4</v>
      </c>
      <c r="E84" s="31">
        <f>VLOOKUP(B84,China!$A:$B,2,)</f>
        <v>54.3</v>
      </c>
      <c r="F84" s="31">
        <f>VLOOKUP(B84,EuroArea!$A:$B,2,)</f>
        <v>49.6</v>
      </c>
      <c r="G84" s="31">
        <f>VLOOKUP(B84,Japan!$A:$B,2,)</f>
        <v>48.3</v>
      </c>
      <c r="H84" s="31">
        <f>VLOOKUP(B84,Germany!$A:$B,2,)</f>
        <v>51.5</v>
      </c>
      <c r="I84" s="31">
        <f>VLOOKUP(B84,France!$A:$B,2,)</f>
        <v>48.2</v>
      </c>
      <c r="J84" s="31">
        <f>VLOOKUP(B84,UK!$A:$B,2,)</f>
        <v>56.3</v>
      </c>
      <c r="K84" s="31">
        <f>VLOOKUP(B84,Italy!$A:$B,2,)</f>
        <v>48.6</v>
      </c>
      <c r="L84" s="31">
        <f>VLOOKUP(B84,Spain!$A:$B,2,)</f>
        <v>48.1</v>
      </c>
      <c r="M84" s="31">
        <f>VLOOKUP(B84,Brazil!$A:$B,2,)</f>
        <v>44.1</v>
      </c>
      <c r="N84" s="31">
        <f>VLOOKUP(B84,Russia!$A:$B,2,)</f>
        <v>55.8</v>
      </c>
      <c r="O84" s="31">
        <f>VLOOKUP(B84,India!$A:$B,2,)</f>
        <v>54.6</v>
      </c>
      <c r="P84" s="31">
        <f>VLOOKUP(B84,Australia!$A:$B,2,)</f>
        <v>58.7</v>
      </c>
      <c r="Q84" s="31">
        <f>VLOOKUP(B84,Ireland!$A:$B,2,)</f>
        <v>54.6</v>
      </c>
    </row>
    <row r="85" spans="2:17" s="49" customFormat="1" x14ac:dyDescent="0.2">
      <c r="B85" s="30">
        <v>44287</v>
      </c>
      <c r="C85" s="31">
        <f>VLOOKUP(B85,Global!$A:$B,2,)</f>
        <v>57</v>
      </c>
      <c r="D85" s="31">
        <f>VLOOKUP(B85,US!$A:$B,2,)</f>
        <v>64.7</v>
      </c>
      <c r="E85" s="31">
        <f>VLOOKUP(B85,China!$A:$B,2,)</f>
        <v>56.3</v>
      </c>
      <c r="F85" s="31">
        <f>VLOOKUP(B85,EuroArea!$A:$B,2,)</f>
        <v>50.5</v>
      </c>
      <c r="G85" s="31">
        <f>VLOOKUP(B85,Japan!$A:$B,2,)</f>
        <v>49.5</v>
      </c>
      <c r="H85" s="31">
        <f>VLOOKUP(B85,Germany!$A:$B,2,)</f>
        <v>49.9</v>
      </c>
      <c r="I85" s="31">
        <f>VLOOKUP(B85,France!$A:$B,2,)</f>
        <v>50.3</v>
      </c>
      <c r="J85" s="31">
        <f>VLOOKUP(B85,UK!$A:$B,2,)</f>
        <v>60.1</v>
      </c>
      <c r="K85" s="31">
        <f>VLOOKUP(B85,Italy!$A:$B,2,)</f>
        <v>47.3</v>
      </c>
      <c r="L85" s="31">
        <f>VLOOKUP(B85,Spain!$A:$B,2,)</f>
        <v>54.6</v>
      </c>
      <c r="M85" s="31">
        <f>VLOOKUP(B85,Brazil!$A:$B,2,)</f>
        <v>42.9</v>
      </c>
      <c r="N85" s="31">
        <f>VLOOKUP(B85,Russia!$A:$B,2,)</f>
        <v>55.2</v>
      </c>
      <c r="O85" s="31">
        <f>VLOOKUP(B85,India!$A:$B,2,)</f>
        <v>54</v>
      </c>
      <c r="P85" s="31">
        <f>VLOOKUP(B85,Australia!$A:$B,2,)</f>
        <v>61</v>
      </c>
      <c r="Q85" s="31">
        <f>VLOOKUP(B85,Ireland!$A:$B,2,)</f>
        <v>57.7</v>
      </c>
    </row>
    <row r="86" spans="2:17" s="49" customFormat="1" x14ac:dyDescent="0.2">
      <c r="B86" s="30">
        <v>44317</v>
      </c>
      <c r="C86" s="31">
        <f>VLOOKUP(B86,Global!$A:$B,2,)</f>
        <v>59.5</v>
      </c>
      <c r="D86" s="31">
        <f>VLOOKUP(B86,US!$A:$B,2,)</f>
        <v>70.400000000000006</v>
      </c>
      <c r="E86" s="31">
        <f>VLOOKUP(B86,China!$A:$B,2,)</f>
        <v>55.1</v>
      </c>
      <c r="F86" s="31">
        <f>VLOOKUP(B86,EuroArea!$A:$B,2,)</f>
        <v>55.2</v>
      </c>
      <c r="G86" s="31">
        <f>VLOOKUP(B86,Japan!$A:$B,2,)</f>
        <v>46.5</v>
      </c>
      <c r="H86" s="31">
        <f>VLOOKUP(B86,Germany!$A:$B,2,)</f>
        <v>52.8</v>
      </c>
      <c r="I86" s="31">
        <f>VLOOKUP(B86,France!$A:$B,2,)</f>
        <v>56.6</v>
      </c>
      <c r="J86" s="31">
        <f>VLOOKUP(B86,UK!$A:$B,2,)</f>
        <v>62.9</v>
      </c>
      <c r="K86" s="31">
        <f>VLOOKUP(B86,Italy!$A:$B,2,)</f>
        <v>53.1</v>
      </c>
      <c r="L86" s="31">
        <f>VLOOKUP(B86,Spain!$A:$B,2,)</f>
        <v>59.4</v>
      </c>
      <c r="M86" s="31">
        <f>VLOOKUP(B86,Brazil!$A:$B,2,)</f>
        <v>48.3</v>
      </c>
      <c r="N86" s="31">
        <f>VLOOKUP(B86,Russia!$A:$B,2,)</f>
        <v>57.5</v>
      </c>
      <c r="O86" s="31">
        <f>VLOOKUP(B86,India!$A:$B,2,)</f>
        <v>46.4</v>
      </c>
      <c r="P86" s="31">
        <f>VLOOKUP(B86,Australia!$A:$B,2,)</f>
        <v>61.2</v>
      </c>
      <c r="Q86" s="31">
        <f>VLOOKUP(B86,Ireland!$A:$B,2,)</f>
        <v>62.1</v>
      </c>
    </row>
    <row r="87" spans="2:17" s="49" customFormat="1" x14ac:dyDescent="0.2">
      <c r="B87" s="30">
        <v>44348</v>
      </c>
      <c r="C87" s="31">
        <f>VLOOKUP(B87,Global!$A:$B,2,)</f>
        <v>57.4</v>
      </c>
      <c r="D87" s="31">
        <f>VLOOKUP(B87,US!$A:$B,2,)</f>
        <v>64.599999999999994</v>
      </c>
      <c r="E87" s="31">
        <f>VLOOKUP(B87,China!$A:$B,2,)</f>
        <v>50.3</v>
      </c>
      <c r="F87" s="31">
        <f>VLOOKUP(B87,EuroArea!$A:$B,2,)</f>
        <v>58.3</v>
      </c>
      <c r="G87" s="31">
        <f>VLOOKUP(B87,Japan!$A:$B,2,)</f>
        <v>48</v>
      </c>
      <c r="H87" s="31">
        <f>VLOOKUP(B87,Germany!$A:$B,2,)</f>
        <v>57.5</v>
      </c>
      <c r="I87" s="31">
        <f>VLOOKUP(B87,France!$A:$B,2,)</f>
        <v>57.8</v>
      </c>
      <c r="J87" s="31">
        <f>VLOOKUP(B87,UK!$A:$B,2,)</f>
        <v>62.4</v>
      </c>
      <c r="K87" s="31">
        <f>VLOOKUP(B87,Italy!$A:$B,2,)</f>
        <v>56.8</v>
      </c>
      <c r="L87" s="31">
        <f>VLOOKUP(B87,Spain!$A:$B,2,)</f>
        <v>62.5</v>
      </c>
      <c r="M87" s="31">
        <f>VLOOKUP(B87,Brazil!$A:$B,2,)</f>
        <v>53.9</v>
      </c>
      <c r="N87" s="31">
        <f>VLOOKUP(B87,Russia!$A:$B,2,)</f>
        <v>56.5</v>
      </c>
      <c r="O87" s="31">
        <f>VLOOKUP(B87,India!$A:$B,2,)</f>
        <v>41.2</v>
      </c>
      <c r="P87" s="31">
        <f>VLOOKUP(B87,Australia!$A:$B,2,)</f>
        <v>57.8</v>
      </c>
      <c r="Q87" s="31">
        <f>VLOOKUP(B87,Ireland!$A:$B,2,)</f>
        <v>63.1</v>
      </c>
    </row>
    <row r="88" spans="2:17" s="49" customFormat="1" x14ac:dyDescent="0.2">
      <c r="B88" s="30">
        <v>44378</v>
      </c>
      <c r="C88" s="31">
        <f>VLOOKUP(B88,Global!$A:$B,2,)</f>
        <v>56.3</v>
      </c>
      <c r="D88" s="31">
        <f>VLOOKUP(B88,US!$A:$B,2,)</f>
        <v>59.9</v>
      </c>
      <c r="E88" s="31">
        <f>VLOOKUP(B88,China!$A:$B,2,)</f>
        <v>54.9</v>
      </c>
      <c r="F88" s="31">
        <f>VLOOKUP(B88,EuroArea!$A:$B,2,)</f>
        <v>59.8</v>
      </c>
      <c r="G88" s="31">
        <f>VLOOKUP(B88,Japan!$A:$B,2,)</f>
        <v>47.4</v>
      </c>
      <c r="H88" s="31">
        <f>VLOOKUP(B88,Germany!$A:$B,2,)</f>
        <v>61.8</v>
      </c>
      <c r="I88" s="31">
        <f>VLOOKUP(B88,France!$A:$B,2,)</f>
        <v>56.8</v>
      </c>
      <c r="J88" s="31">
        <f>VLOOKUP(B88,UK!$A:$B,2,)</f>
        <v>59.6</v>
      </c>
      <c r="K88" s="31">
        <f>VLOOKUP(B88,Italy!$A:$B,2,)</f>
        <v>58</v>
      </c>
      <c r="L88" s="31">
        <f>VLOOKUP(B88,Spain!$A:$B,2,)</f>
        <v>61.9</v>
      </c>
      <c r="M88" s="31">
        <f>VLOOKUP(B88,Brazil!$A:$B,2,)</f>
        <v>54.4</v>
      </c>
      <c r="N88" s="31">
        <f>VLOOKUP(B88,Russia!$A:$B,2,)</f>
        <v>53.5</v>
      </c>
      <c r="O88" s="31">
        <f>VLOOKUP(B88,India!$A:$B,2,)</f>
        <v>45.4</v>
      </c>
      <c r="P88" s="31">
        <f>VLOOKUP(B88,Australia!$A:$B,2,)</f>
        <v>51.7</v>
      </c>
      <c r="Q88" s="31">
        <f>VLOOKUP(B88,Ireland!$A:$B,2,)</f>
        <v>66.599999999999994</v>
      </c>
    </row>
    <row r="89" spans="2:17" s="49" customFormat="1" x14ac:dyDescent="0.2">
      <c r="B89" s="30">
        <v>44409</v>
      </c>
      <c r="C89" s="31">
        <f>VLOOKUP(B89,Global!$A:$B,2,)</f>
        <v>52.8</v>
      </c>
      <c r="D89" s="31">
        <f>VLOOKUP(B89,US!$A:$B,2,)</f>
        <v>55.1</v>
      </c>
      <c r="E89" s="31">
        <f>VLOOKUP(B89,China!$A:$B,2,)</f>
        <v>46.7</v>
      </c>
      <c r="F89" s="31">
        <f>VLOOKUP(B89,EuroArea!$A:$B,2,)</f>
        <v>59</v>
      </c>
      <c r="G89" s="31">
        <f>VLOOKUP(B89,Japan!$A:$B,2,)</f>
        <v>42.9</v>
      </c>
      <c r="H89" s="31">
        <f>VLOOKUP(B89,Germany!$A:$B,2,)</f>
        <v>60.8</v>
      </c>
      <c r="I89" s="31">
        <f>VLOOKUP(B89,France!$A:$B,2,)</f>
        <v>56.3</v>
      </c>
      <c r="J89" s="31">
        <f>VLOOKUP(B89,UK!$A:$B,2,)</f>
        <v>55</v>
      </c>
      <c r="K89" s="31">
        <f>VLOOKUP(B89,Italy!$A:$B,2,)</f>
        <v>58</v>
      </c>
      <c r="L89" s="31">
        <f>VLOOKUP(B89,Spain!$A:$B,2,)</f>
        <v>60.1</v>
      </c>
      <c r="M89" s="31">
        <f>VLOOKUP(B89,Brazil!$A:$B,2,)</f>
        <v>55.1</v>
      </c>
      <c r="N89" s="31">
        <f>VLOOKUP(B89,Russia!$A:$B,2,)</f>
        <v>49.3</v>
      </c>
      <c r="O89" s="31">
        <f>VLOOKUP(B89,India!$A:$B,2,)</f>
        <v>56.7</v>
      </c>
      <c r="P89" s="31">
        <f>VLOOKUP(B89,Australia!$A:$B,2,)</f>
        <v>45.6</v>
      </c>
      <c r="Q89" s="31">
        <f>VLOOKUP(B89,Ireland!$A:$B,2,)</f>
        <v>63.7</v>
      </c>
    </row>
    <row r="90" spans="2:17" s="49" customFormat="1" x14ac:dyDescent="0.2">
      <c r="B90" s="30">
        <v>44440</v>
      </c>
      <c r="C90" s="31">
        <f>VLOOKUP(B90,Global!$A:$B,2,)</f>
        <v>53.8</v>
      </c>
      <c r="D90" s="31">
        <f>VLOOKUP(B90,US!$A:$B,2,)</f>
        <v>54.9</v>
      </c>
      <c r="E90" s="31">
        <f>VLOOKUP(B90,China!$A:$B,2,)</f>
        <v>53.4</v>
      </c>
      <c r="F90" s="31">
        <f>VLOOKUP(B90,EuroArea!$A:$B,2,)</f>
        <v>56.4</v>
      </c>
      <c r="G90" s="31">
        <f>VLOOKUP(B90,Japan!$A:$B,2,)</f>
        <v>47.8</v>
      </c>
      <c r="H90" s="31">
        <f>VLOOKUP(B90,Germany!$A:$B,2,)</f>
        <v>56.2</v>
      </c>
      <c r="I90" s="31">
        <f>VLOOKUP(B90,France!$A:$B,2,)</f>
        <v>56.2</v>
      </c>
      <c r="J90" s="31">
        <f>VLOOKUP(B90,UK!$A:$B,2,)</f>
        <v>55.4</v>
      </c>
      <c r="K90" s="31">
        <f>VLOOKUP(B90,Italy!$A:$B,2,)</f>
        <v>55.5</v>
      </c>
      <c r="L90" s="31">
        <f>VLOOKUP(B90,Spain!$A:$B,2,)</f>
        <v>56.9</v>
      </c>
      <c r="M90" s="31">
        <f>VLOOKUP(B90,Brazil!$A:$B,2,)</f>
        <v>54.6</v>
      </c>
      <c r="N90" s="31">
        <f>VLOOKUP(B90,Russia!$A:$B,2,)</f>
        <v>50.5</v>
      </c>
      <c r="O90" s="31">
        <f>VLOOKUP(B90,India!$A:$B,2,)</f>
        <v>55.2</v>
      </c>
      <c r="P90" s="31">
        <f>VLOOKUP(B90,Australia!$A:$B,2,)</f>
        <v>45.7</v>
      </c>
      <c r="Q90" s="31">
        <f>VLOOKUP(B90,Ireland!$A:$B,2,)</f>
        <v>63.7</v>
      </c>
    </row>
    <row r="91" spans="2:17" s="49" customFormat="1" x14ac:dyDescent="0.2">
      <c r="B91" s="30">
        <v>44470</v>
      </c>
      <c r="C91" s="31">
        <f>VLOOKUP(B91,Global!$A:$B,2,)</f>
        <v>55.6</v>
      </c>
      <c r="D91" s="31">
        <f>VLOOKUP(B91,US!$A:$B,2,)</f>
        <v>58.7</v>
      </c>
      <c r="E91" s="31">
        <f>VLOOKUP(B91,China!$A:$B,2,)</f>
        <v>53.8</v>
      </c>
      <c r="F91" s="31">
        <f>VLOOKUP(B91,EuroArea!$A:$B,2,)</f>
        <v>54.6</v>
      </c>
      <c r="G91" s="31">
        <f>VLOOKUP(B91,Japan!$A:$B,2,)</f>
        <v>50.7</v>
      </c>
      <c r="H91" s="31">
        <f>VLOOKUP(B91,Germany!$A:$B,2,)</f>
        <v>52.4</v>
      </c>
      <c r="I91" s="31">
        <f>VLOOKUP(B91,France!$A:$B,2,)</f>
        <v>56.6</v>
      </c>
      <c r="J91" s="31">
        <f>VLOOKUP(B91,UK!$A:$B,2,)</f>
        <v>59.1</v>
      </c>
      <c r="K91" s="31">
        <f>VLOOKUP(B91,Italy!$A:$B,2,)</f>
        <v>52.4</v>
      </c>
      <c r="L91" s="31">
        <f>VLOOKUP(B91,Spain!$A:$B,2,)</f>
        <v>56.6</v>
      </c>
      <c r="M91" s="31">
        <f>VLOOKUP(B91,Brazil!$A:$B,2,)</f>
        <v>54.9</v>
      </c>
      <c r="N91" s="31">
        <f>VLOOKUP(B91,Russia!$A:$B,2,)</f>
        <v>58.8</v>
      </c>
      <c r="O91" s="31">
        <f>VLOOKUP(B91,India!$A:$B,2,)</f>
        <v>58.4</v>
      </c>
      <c r="P91" s="31">
        <f>VLOOKUP(B91,Australia!$A:$B,2,)</f>
        <v>47.6</v>
      </c>
      <c r="Q91" s="31">
        <f>VLOOKUP(B91,Ireland!$A:$B,2,)</f>
        <v>63.4</v>
      </c>
    </row>
    <row r="92" spans="2:17" s="49" customFormat="1" x14ac:dyDescent="0.2">
      <c r="B92" s="30">
        <v>44501</v>
      </c>
      <c r="C92" s="31">
        <f>VLOOKUP(B92,Global!$A:$B,2,)</f>
        <v>55.6</v>
      </c>
      <c r="D92" s="31">
        <f>VLOOKUP(B92,US!$A:$B,2,)</f>
        <v>58</v>
      </c>
      <c r="E92" s="31">
        <f>VLOOKUP(B92,China!$A:$B,2,)</f>
        <v>52.1</v>
      </c>
      <c r="F92" s="31">
        <f>VLOOKUP(B92,EuroArea!$A:$B,2,)</f>
        <v>55.9</v>
      </c>
      <c r="G92" s="31">
        <f>VLOOKUP(B92,Japan!$A:$B,2,)</f>
        <v>53</v>
      </c>
      <c r="H92" s="31">
        <f>VLOOKUP(B92,Germany!$A:$B,2,)</f>
        <v>52.7</v>
      </c>
      <c r="I92" s="31">
        <f>VLOOKUP(B92,France!$A:$B,2,)</f>
        <v>57.4</v>
      </c>
      <c r="J92" s="31">
        <f>VLOOKUP(B92,UK!$A:$B,2,)</f>
        <v>58.5</v>
      </c>
      <c r="K92" s="31">
        <f>VLOOKUP(B92,Italy!$A:$B,2,)</f>
        <v>55.9</v>
      </c>
      <c r="L92" s="31">
        <f>VLOOKUP(B92,Spain!$A:$B,2,)</f>
        <v>59.8</v>
      </c>
      <c r="M92" s="31">
        <f>VLOOKUP(B92,Brazil!$A:$B,2,)</f>
        <v>53.6</v>
      </c>
      <c r="N92" s="31">
        <f>VLOOKUP(B92,Russia!$A:$B,2,)</f>
        <v>47.1</v>
      </c>
      <c r="O92" s="31">
        <f>VLOOKUP(B92,India!$A:$B,2,)</f>
        <v>58.1</v>
      </c>
      <c r="P92" s="31">
        <f>VLOOKUP(B92,Australia!$A:$B,2,)</f>
        <v>47.6</v>
      </c>
      <c r="Q92" s="31">
        <f>VLOOKUP(B92,Ireland!$A:$B,2,)</f>
        <v>59.3</v>
      </c>
    </row>
    <row r="93" spans="2:17" s="49" customFormat="1" x14ac:dyDescent="0.2">
      <c r="B93" s="30">
        <v>44531</v>
      </c>
      <c r="C93" s="31">
        <f>VLOOKUP(B93,Global!$A:$B,2,)</f>
        <v>54.6</v>
      </c>
      <c r="D93" s="31">
        <f>VLOOKUP(B93,US!$A:$B,2,)</f>
        <v>57.6</v>
      </c>
      <c r="E93" s="31">
        <f>VLOOKUP(B93,China!$A:$B,2,)</f>
        <v>53.1</v>
      </c>
      <c r="F93" s="31">
        <f>VLOOKUP(B93,EuroArea!$A:$B,2,)</f>
        <v>53.1</v>
      </c>
      <c r="G93" s="31">
        <f>VLOOKUP(B93,Japan!$A:$B,2,)</f>
        <v>52.1</v>
      </c>
      <c r="H93" s="31">
        <f>VLOOKUP(B93,Germany!$A:$B,2,)</f>
        <v>48.7</v>
      </c>
      <c r="I93" s="31">
        <f>VLOOKUP(B93,France!$A:$B,2,)</f>
        <v>57</v>
      </c>
      <c r="J93" s="31">
        <f>VLOOKUP(B93,UK!$A:$B,2,)</f>
        <v>53.6</v>
      </c>
      <c r="K93" s="31">
        <f>VLOOKUP(B93,Italy!$A:$B,2,)</f>
        <v>53</v>
      </c>
      <c r="L93" s="31">
        <f>VLOOKUP(B93,Spain!$A:$B,2,)</f>
        <v>55.8</v>
      </c>
      <c r="M93" s="31">
        <f>VLOOKUP(B93,Brazil!$A:$B,2,)</f>
        <v>53.6</v>
      </c>
      <c r="N93" s="31">
        <f>VLOOKUP(B93,Russia!$A:$B,2,)</f>
        <v>49.5</v>
      </c>
      <c r="O93" s="31">
        <f>VLOOKUP(B93,India!$A:$B,2,)</f>
        <v>55.5</v>
      </c>
      <c r="P93" s="31">
        <f>VLOOKUP(B93,Australia!$A:$B,2,)</f>
        <v>49.6</v>
      </c>
      <c r="Q93" s="31">
        <f>VLOOKUP(B93,Ireland!$A:$B,2,)</f>
        <v>55.4</v>
      </c>
    </row>
    <row r="94" spans="2:17" s="49" customFormat="1" x14ac:dyDescent="0.2">
      <c r="B94" s="30">
        <v>44562</v>
      </c>
      <c r="C94" s="31">
        <f>VLOOKUP(B94,Global!$A:$B,2,)</f>
        <v>51.3</v>
      </c>
      <c r="D94" s="31">
        <f>VLOOKUP(B94,US!$A:$B,2,)</f>
        <v>51.2</v>
      </c>
      <c r="E94" s="31">
        <f>VLOOKUP(B94,China!$A:$B,2,)</f>
        <v>51.4</v>
      </c>
      <c r="F94" s="31">
        <f>VLOOKUP(B94,EuroArea!$A:$B,2,)</f>
        <v>51.1</v>
      </c>
      <c r="G94" s="31">
        <f>VLOOKUP(B94,Japan!$A:$B,2,)</f>
        <v>47.6</v>
      </c>
      <c r="H94" s="31">
        <f>VLOOKUP(B94,Germany!$A:$B,2,)</f>
        <v>52.2</v>
      </c>
      <c r="I94" s="31">
        <f>VLOOKUP(B94,France!$A:$B,2,)</f>
        <v>53.1</v>
      </c>
      <c r="J94" s="31">
        <f>VLOOKUP(B94,UK!$A:$B,2,)</f>
        <v>54.1</v>
      </c>
      <c r="K94" s="31">
        <f>VLOOKUP(B94,Italy!$A:$B,2,)</f>
        <v>48.5</v>
      </c>
      <c r="L94" s="31">
        <f>VLOOKUP(B94,Spain!$A:$B,2,)</f>
        <v>46.6</v>
      </c>
      <c r="M94" s="31">
        <f>VLOOKUP(B94,Brazil!$A:$B,2,)</f>
        <v>52.8</v>
      </c>
      <c r="N94" s="31">
        <f>VLOOKUP(B94,Russia!$A:$B,2,)</f>
        <v>49.8</v>
      </c>
      <c r="O94" s="31">
        <f>VLOOKUP(B94,India!$A:$B,2,)</f>
        <v>51.5</v>
      </c>
      <c r="P94" s="31">
        <f>VLOOKUP(B94,Australia!$A:$B,2,)</f>
        <v>56.2</v>
      </c>
      <c r="Q94" s="31">
        <f>VLOOKUP(B94,Ireland!$A:$B,2,)</f>
        <v>56.2</v>
      </c>
    </row>
    <row r="95" spans="2:17" s="49" customFormat="1" x14ac:dyDescent="0.2">
      <c r="B95" s="30">
        <v>44593</v>
      </c>
      <c r="C95" s="31">
        <f>VLOOKUP(B95,Global!$A:$B,2,)</f>
        <v>53.5</v>
      </c>
      <c r="D95" s="31">
        <f>VLOOKUP(B95,US!$A:$B,2,)</f>
        <v>56.7</v>
      </c>
      <c r="E95" s="31">
        <f>VLOOKUP(B95,China!$A:$B,2,)</f>
        <v>50.2</v>
      </c>
      <c r="F95" s="31">
        <f>VLOOKUP(B95,EuroArea!$A:$B,2,)</f>
        <v>55.8</v>
      </c>
      <c r="G95" s="31">
        <f>VLOOKUP(B95,Japan!$A:$B,2,)</f>
        <v>42.7</v>
      </c>
      <c r="H95" s="31">
        <f>VLOOKUP(B95,Germany!$A:$B,2,)</f>
        <v>56.6</v>
      </c>
      <c r="I95" s="31">
        <f>VLOOKUP(B95,France!$A:$B,2,)</f>
        <v>57.9</v>
      </c>
      <c r="J95" s="31">
        <f>VLOOKUP(B95,UK!$A:$B,2,)</f>
        <v>60.8</v>
      </c>
      <c r="K95" s="31">
        <f>VLOOKUP(B95,Italy!$A:$B,2,)</f>
        <v>52.8</v>
      </c>
      <c r="L95" s="31">
        <f>VLOOKUP(B95,Spain!$A:$B,2,)</f>
        <v>56.6</v>
      </c>
      <c r="M95" s="31">
        <f>VLOOKUP(B95,Brazil!$A:$B,2,)</f>
        <v>54.7</v>
      </c>
      <c r="N95" s="31">
        <f>VLOOKUP(B95,Russia!$A:$B,2,)</f>
        <v>52.1</v>
      </c>
      <c r="O95" s="31">
        <f>VLOOKUP(B95,India!$A:$B,2,)</f>
        <v>51.8</v>
      </c>
      <c r="P95" s="31">
        <f>VLOOKUP(B95,Australia!$A:$B,2,)</f>
        <v>60</v>
      </c>
      <c r="Q95" s="31">
        <f>VLOOKUP(B95,Ireland!$A:$B,2,)</f>
        <v>61.8</v>
      </c>
    </row>
    <row r="96" spans="2:17" s="49" customFormat="1" x14ac:dyDescent="0.2">
      <c r="B96" s="30">
        <v>44621</v>
      </c>
      <c r="C96" s="31">
        <f>VLOOKUP(B96,Global!$A:$B,2,)</f>
        <v>52.7</v>
      </c>
      <c r="D96" s="31">
        <f>VLOOKUP(B96,US!$A:$B,2,)</f>
        <v>58.9</v>
      </c>
      <c r="E96" s="31">
        <f>VLOOKUP(B96,China!$A:$B,2,)</f>
        <v>42</v>
      </c>
      <c r="F96" s="31">
        <f>VLOOKUP(B96,EuroArea!$A:$B,2,)</f>
        <v>54.8</v>
      </c>
      <c r="G96" s="31">
        <f>VLOOKUP(B96,Japan!$A:$B,2,)</f>
        <v>48.7</v>
      </c>
      <c r="H96" s="31">
        <f>VLOOKUP(B96,Germany!$A:$B,2,)</f>
        <v>55</v>
      </c>
      <c r="I96" s="31">
        <f>VLOOKUP(B96,France!$A:$B,2,)</f>
        <v>57.4</v>
      </c>
      <c r="J96" s="31">
        <f>VLOOKUP(B96,UK!$A:$B,2,)</f>
        <v>61</v>
      </c>
      <c r="K96" s="31">
        <f>VLOOKUP(B96,Italy!$A:$B,2,)</f>
        <v>52.1</v>
      </c>
      <c r="L96" s="31">
        <f>VLOOKUP(B96,Spain!$A:$B,2,)</f>
        <v>53.4</v>
      </c>
      <c r="M96" s="31">
        <f>VLOOKUP(B96,Brazil!$A:$B,2,)</f>
        <v>58.1</v>
      </c>
      <c r="N96" s="31">
        <f>VLOOKUP(B96,Russia!$A:$B,2,)</f>
        <v>38.1</v>
      </c>
      <c r="O96" s="31">
        <f>VLOOKUP(B96,India!$A:$B,2,)</f>
        <v>53.6</v>
      </c>
      <c r="P96" s="31">
        <f>VLOOKUP(B96,Australia!$A:$B,2,)</f>
        <v>56.2</v>
      </c>
      <c r="Q96" s="31">
        <f>VLOOKUP(B96,Ireland!$A:$B,2,)</f>
        <v>63.4</v>
      </c>
    </row>
    <row r="97" spans="2:17" s="49" customFormat="1" x14ac:dyDescent="0.2">
      <c r="B97" s="30">
        <v>44652</v>
      </c>
      <c r="C97" s="31">
        <f>VLOOKUP(B97,Global!$A:$B,2,)</f>
        <v>51</v>
      </c>
      <c r="D97" s="31">
        <f>VLOOKUP(B97,US!$A:$B,2,)</f>
        <v>54.7</v>
      </c>
      <c r="E97" s="31">
        <f>VLOOKUP(B97,China!$A:$B,2,)</f>
        <v>36.200000000000003</v>
      </c>
      <c r="F97" s="31">
        <f>VLOOKUP(B97,EuroArea!$A:$B,2,)</f>
        <v>57.7</v>
      </c>
      <c r="G97" s="31">
        <f>VLOOKUP(B97,Japan!$A:$B,2,)</f>
        <v>50.5</v>
      </c>
      <c r="H97" s="31">
        <f>VLOOKUP(B97,Germany!$A:$B,2,)</f>
        <v>57.9</v>
      </c>
      <c r="I97" s="31">
        <f>VLOOKUP(B97,France!$A:$B,2,)</f>
        <v>58.8</v>
      </c>
      <c r="J97" s="31">
        <f>VLOOKUP(B97,UK!$A:$B,2,)</f>
        <v>58.3</v>
      </c>
      <c r="K97" s="31">
        <f>VLOOKUP(B97,Italy!$A:$B,2,)</f>
        <v>55.7</v>
      </c>
      <c r="L97" s="31">
        <f>VLOOKUP(B97,Spain!$A:$B,2,)</f>
        <v>57.1</v>
      </c>
      <c r="M97" s="31">
        <f>VLOOKUP(B97,Brazil!$A:$B,2,)</f>
        <v>60.6</v>
      </c>
      <c r="N97" s="31">
        <f>VLOOKUP(B97,Russia!$A:$B,2,)</f>
        <v>44.5</v>
      </c>
      <c r="O97" s="31">
        <f>VLOOKUP(B97,India!$A:$B,2,)</f>
        <v>57.9</v>
      </c>
      <c r="P97" s="31">
        <f>VLOOKUP(B97,Australia!$A:$B,2,)</f>
        <v>57.8</v>
      </c>
      <c r="Q97" s="31">
        <f>VLOOKUP(B97,Ireland!$A:$B,2,)</f>
        <v>61.7</v>
      </c>
    </row>
    <row r="98" spans="2:17" s="49" customFormat="1" x14ac:dyDescent="0.2">
      <c r="B98" s="30">
        <v>44682</v>
      </c>
      <c r="C98" s="31">
        <f>VLOOKUP(B98,Global!$A:$B,2,)</f>
        <v>51.3</v>
      </c>
      <c r="D98" s="31">
        <f>VLOOKUP(B98,US!$A:$B,2,)</f>
        <v>53.5</v>
      </c>
      <c r="E98" s="31">
        <f>VLOOKUP(B98,China!$A:$B,2,)</f>
        <v>41.4</v>
      </c>
      <c r="F98" s="31">
        <f>VLOOKUP(B98,EuroArea!$A:$B,2,)</f>
        <v>56.3</v>
      </c>
      <c r="G98" s="31">
        <f>VLOOKUP(B98,Japan!$A:$B,2,)</f>
        <v>51.7</v>
      </c>
      <c r="H98" s="31">
        <f>VLOOKUP(B98,Germany!$A:$B,2,)</f>
        <v>56.3</v>
      </c>
      <c r="I98" s="31">
        <f>VLOOKUP(B98,France!$A:$B,2,)</f>
        <v>58.4</v>
      </c>
      <c r="J98" s="31">
        <f>VLOOKUP(B98,UK!$A:$B,2,)</f>
        <v>51.8</v>
      </c>
      <c r="K98" s="31">
        <f>VLOOKUP(B98,Italy!$A:$B,2,)</f>
        <v>53.7</v>
      </c>
      <c r="L98" s="31">
        <f>VLOOKUP(B98,Spain!$A:$B,2,)</f>
        <v>56.5</v>
      </c>
      <c r="M98" s="31">
        <f>VLOOKUP(B98,Brazil!$A:$B,2,)</f>
        <v>58.6</v>
      </c>
      <c r="N98" s="31">
        <f>VLOOKUP(B98,Russia!$A:$B,2,)</f>
        <v>48.5</v>
      </c>
      <c r="O98" s="31">
        <f>VLOOKUP(B98,India!$A:$B,2,)</f>
        <v>58.9</v>
      </c>
      <c r="P98" s="31">
        <f>VLOOKUP(B98,Australia!$A:$B,2,)</f>
        <v>49.2</v>
      </c>
      <c r="Q98" s="31">
        <f>VLOOKUP(B98,Ireland!$A:$B,2,)</f>
        <v>60.2</v>
      </c>
    </row>
    <row r="99" spans="2:17" s="49" customFormat="1" x14ac:dyDescent="0.2">
      <c r="B99" s="30">
        <v>44713</v>
      </c>
      <c r="C99" s="31">
        <f>VLOOKUP(B99,Global!$A:$B,2,)</f>
        <v>53.5</v>
      </c>
      <c r="D99" s="31">
        <f>VLOOKUP(B99,US!$A:$B,2,)</f>
        <v>51.6</v>
      </c>
      <c r="E99" s="31">
        <f>VLOOKUP(B99,China!$A:$B,2,)</f>
        <v>54.5</v>
      </c>
      <c r="F99" s="31">
        <f>VLOOKUP(B99,EuroArea!$A:$B,2,)</f>
        <v>52.8</v>
      </c>
      <c r="G99" s="31">
        <f>VLOOKUP(B99,Japan!$A:$B,2,)</f>
        <v>54.2</v>
      </c>
      <c r="H99" s="31">
        <f>VLOOKUP(B99,Germany!$A:$B,2,)</f>
        <v>52.4</v>
      </c>
      <c r="I99" s="31">
        <f>VLOOKUP(B99,France!$A:$B,2,)</f>
        <v>54.4</v>
      </c>
      <c r="J99" s="31">
        <f>VLOOKUP(B99,UK!$A:$B,2,)</f>
        <v>53.4</v>
      </c>
      <c r="K99" s="31">
        <f>VLOOKUP(B99,Italy!$A:$B,2,)</f>
        <v>51.6</v>
      </c>
      <c r="L99" s="31">
        <f>VLOOKUP(B99,Spain!$A:$B,2,)</f>
        <v>54</v>
      </c>
      <c r="M99" s="31">
        <f>VLOOKUP(B99,Brazil!$A:$B,2,)</f>
        <v>60.8</v>
      </c>
      <c r="N99" s="31">
        <f>VLOOKUP(B99,Russia!$A:$B,2,)</f>
        <v>51.7</v>
      </c>
      <c r="O99" s="31">
        <f>VLOOKUP(B99,India!$A:$B,2,)</f>
        <v>59.2</v>
      </c>
      <c r="P99" s="31">
        <f>VLOOKUP(B99,Australia!$A:$B,2,)</f>
        <v>48.8</v>
      </c>
      <c r="Q99" s="31">
        <f>VLOOKUP(B99,Ireland!$A:$B,2,)</f>
        <v>55.6</v>
      </c>
    </row>
    <row r="100" spans="2:17" s="49" customFormat="1" x14ac:dyDescent="0.2">
      <c r="B100" s="30">
        <v>44743</v>
      </c>
      <c r="C100" s="31" t="e">
        <f>VLOOKUP(B100,Global!$A:$B,2,)</f>
        <v>#N/A</v>
      </c>
      <c r="D100" s="31">
        <f>VLOOKUP(B100,US!$A:$B,2,)</f>
        <v>47.3</v>
      </c>
      <c r="E100" s="31">
        <f>VLOOKUP(B100,China!$A:$B,2,)</f>
        <v>55.5</v>
      </c>
      <c r="F100" s="31">
        <f>VLOOKUP(B100,EuroArea!$A:$B,2,)</f>
        <v>51.2</v>
      </c>
      <c r="G100" s="31">
        <f>VLOOKUP(B100,Japan!$A:$B,2,)</f>
        <v>50.3</v>
      </c>
      <c r="H100" s="31">
        <f>VLOOKUP(B100,Germany!$A:$B,2,)</f>
        <v>49.7</v>
      </c>
      <c r="I100" s="31">
        <f>VLOOKUP(B100,France!$A:$B,2,)</f>
        <v>53.2</v>
      </c>
      <c r="J100" s="31">
        <f>VLOOKUP(B100,UK!$A:$B,2,)</f>
        <v>52.6</v>
      </c>
      <c r="K100" s="31">
        <f>VLOOKUP(B100,Italy!$A:$B,2,)</f>
        <v>48.4</v>
      </c>
      <c r="L100" s="31">
        <f>VLOOKUP(B100,Spain!$A:$B,2,)</f>
        <v>53.8</v>
      </c>
      <c r="M100" s="31">
        <f>VLOOKUP(B100,Brazil!$A:$B,2,)</f>
        <v>55.8</v>
      </c>
      <c r="N100" s="31">
        <f>VLOOKUP(B100,Russia!$A:$B,2,)</f>
        <v>54.7</v>
      </c>
      <c r="O100" s="31">
        <f>VLOOKUP(B100,India!$A:$B,2,)</f>
        <v>55.5</v>
      </c>
      <c r="P100" s="31">
        <f>VLOOKUP(B100,Australia!$A:$B,2,)</f>
        <v>51.7</v>
      </c>
      <c r="Q100" s="31">
        <f>VLOOKUP(B100,Ireland!$A:$B,2,)</f>
        <v>56.3</v>
      </c>
    </row>
    <row r="101" spans="2:17" s="49" customFormat="1" x14ac:dyDescent="0.2">
      <c r="B101" s="30">
        <v>44774</v>
      </c>
      <c r="C101" s="31" t="e">
        <f>VLOOKUP(B101,Global!$A:$B,2,)</f>
        <v>#N/A</v>
      </c>
      <c r="D101" s="31">
        <f>VLOOKUP(B101,US!$A:$B,2,)</f>
        <v>43.7</v>
      </c>
      <c r="E101" s="31">
        <f>VLOOKUP(B101,China!$A:$B,2,)</f>
        <v>55</v>
      </c>
      <c r="F101" s="31">
        <f>VLOOKUP(B101,EuroArea!$A:$B,2,)</f>
        <v>49.8</v>
      </c>
      <c r="G101" s="31">
        <f>VLOOKUP(B101,Japan!$A:$B,2,)</f>
        <v>49.5</v>
      </c>
      <c r="H101" s="31">
        <f>VLOOKUP(B101,Germany!$A:$B,2,)</f>
        <v>47.7</v>
      </c>
      <c r="I101" s="31">
        <f>VLOOKUP(B101,France!$A:$B,2,)</f>
        <v>51.2</v>
      </c>
      <c r="J101" s="31">
        <f>VLOOKUP(B101,UK!$A:$B,2,)</f>
        <v>50.9</v>
      </c>
      <c r="K101" s="31">
        <f>VLOOKUP(B101,Italy!$A:$B,2,)</f>
        <v>50.5</v>
      </c>
      <c r="L101" s="31">
        <f>VLOOKUP(B101,Spain!$A:$B,2,)</f>
        <v>50.6</v>
      </c>
      <c r="M101" s="31">
        <f>VLOOKUP(B101,Brazil!$A:$B,2,)</f>
        <v>53.9</v>
      </c>
      <c r="N101" s="31">
        <f>VLOOKUP(B101,Russia!$A:$B,2,)</f>
        <v>49.9</v>
      </c>
      <c r="O101" s="31">
        <f>VLOOKUP(B101,India!$A:$B,2,)</f>
        <v>57.2</v>
      </c>
      <c r="P101" s="31">
        <f>VLOOKUP(B101,Australia!$A:$B,2,)</f>
        <v>53.3</v>
      </c>
      <c r="Q101" s="31">
        <f>VLOOKUP(B101,Ireland!$A:$B,2,)</f>
        <v>54.7</v>
      </c>
    </row>
    <row r="102" spans="2:17" s="49" customFormat="1" x14ac:dyDescent="0.2">
      <c r="B102" s="30">
        <v>44805</v>
      </c>
      <c r="C102" s="31" t="e">
        <f>VLOOKUP(B102,Global!$A:$B,2,)</f>
        <v>#N/A</v>
      </c>
      <c r="D102" s="31">
        <f>VLOOKUP(B102,US!$A:$B,2,)</f>
        <v>49.3</v>
      </c>
      <c r="E102" s="31">
        <f>VLOOKUP(B102,China!$A:$B,2,)</f>
        <v>49.3</v>
      </c>
      <c r="F102" s="31">
        <f>VLOOKUP(B102,EuroArea!$A:$B,2,)</f>
        <v>48.8</v>
      </c>
      <c r="G102" s="31">
        <f>VLOOKUP(B102,Japan!$A:$B,2,)</f>
        <v>52.2</v>
      </c>
      <c r="H102" s="31">
        <f>VLOOKUP(B102,Germany!$A:$B,2,)</f>
        <v>45</v>
      </c>
      <c r="I102" s="31">
        <f>VLOOKUP(B102,France!$A:$B,2,)</f>
        <v>52.9</v>
      </c>
      <c r="J102" s="31">
        <f>VLOOKUP(B102,UK!$A:$B,2,)</f>
        <v>50</v>
      </c>
      <c r="K102" s="31">
        <f>VLOOKUP(B102,Italy!$A:$B,2,)</f>
        <v>48.8</v>
      </c>
      <c r="L102" s="31">
        <f>VLOOKUP(B102,Spain!$A:$B,2,)</f>
        <v>48.5</v>
      </c>
      <c r="M102" s="31">
        <f>VLOOKUP(B102,Brazil!$A:$B,2,)</f>
        <v>51.9</v>
      </c>
      <c r="N102" s="31">
        <f>VLOOKUP(B102,Russia!$A:$B,2,)</f>
        <v>51.1</v>
      </c>
      <c r="O102" s="31">
        <f>VLOOKUP(B102,India!$A:$B,2,)</f>
        <v>54.3</v>
      </c>
      <c r="P102" s="31">
        <f>VLOOKUP(B102,Australia!$A:$B,2,)</f>
        <v>48</v>
      </c>
      <c r="Q102" s="31">
        <f>VLOOKUP(B102,Ireland!$A:$B,2,)</f>
        <v>54.1</v>
      </c>
    </row>
    <row r="103" spans="2:17" s="49" customFormat="1" x14ac:dyDescent="0.2">
      <c r="B103" s="30">
        <v>44835</v>
      </c>
      <c r="C103" s="31" t="e">
        <f>VLOOKUP(B103,Global!$A:$B,2,)</f>
        <v>#N/A</v>
      </c>
      <c r="D103" s="31">
        <f>VLOOKUP(B103,US!$A:$B,2,)</f>
        <v>47.8</v>
      </c>
      <c r="E103" s="31">
        <f>VLOOKUP(B103,China!$A:$B,2,)</f>
        <v>48.4</v>
      </c>
      <c r="F103" s="31">
        <f>VLOOKUP(B103,EuroArea!$A:$B,2,)</f>
        <v>48.6</v>
      </c>
      <c r="G103" s="31">
        <f>VLOOKUP(B103,Japan!$A:$B,2,)</f>
        <v>53.2</v>
      </c>
      <c r="H103" s="31">
        <f>VLOOKUP(B103,Germany!$A:$B,2,)</f>
        <v>46.5</v>
      </c>
      <c r="I103" s="31">
        <f>VLOOKUP(B103,France!$A:$B,2,)</f>
        <v>51.7</v>
      </c>
      <c r="J103" s="31">
        <f>VLOOKUP(B103,UK!$A:$B,2,)</f>
        <v>48.8</v>
      </c>
      <c r="K103" s="31">
        <f>VLOOKUP(B103,Italy!$A:$B,2,)</f>
        <v>46.4</v>
      </c>
      <c r="L103" s="31">
        <f>VLOOKUP(B103,Spain!$A:$B,2,)</f>
        <v>49.7</v>
      </c>
      <c r="M103" s="31">
        <f>VLOOKUP(B103,Brazil!$A:$B,2,)</f>
        <v>54</v>
      </c>
      <c r="N103" s="31">
        <f>VLOOKUP(B103,Russia!$A:$B,2,)</f>
        <v>43.7</v>
      </c>
      <c r="O103" s="31">
        <f>VLOOKUP(B103,India!$A:$B,2,)</f>
        <v>55.1</v>
      </c>
      <c r="P103" s="31">
        <f>VLOOKUP(B103,Australia!$A:$B,2,)</f>
        <v>47.7</v>
      </c>
      <c r="Q103" s="31">
        <f>VLOOKUP(B103,Ireland!$A:$B,2,)</f>
        <v>53.2</v>
      </c>
    </row>
    <row r="104" spans="2:17" s="49" customFormat="1" x14ac:dyDescent="0.2"/>
    <row r="105" spans="2:17" s="49" customFormat="1" x14ac:dyDescent="0.2"/>
    <row r="106" spans="2:17" s="49" customFormat="1" x14ac:dyDescent="0.2"/>
    <row r="107" spans="2:17" s="49" customFormat="1" x14ac:dyDescent="0.2"/>
    <row r="108" spans="2:17" s="49" customFormat="1" x14ac:dyDescent="0.2"/>
    <row r="109" spans="2:17" s="49" customFormat="1" x14ac:dyDescent="0.2"/>
    <row r="110" spans="2:17" s="49" customFormat="1" x14ac:dyDescent="0.2"/>
    <row r="111" spans="2:17" s="49" customFormat="1" x14ac:dyDescent="0.2"/>
    <row r="112" spans="2:17" s="49" customFormat="1" x14ac:dyDescent="0.2"/>
    <row r="113" s="49" customFormat="1" x14ac:dyDescent="0.2"/>
    <row r="114" s="49" customFormat="1" x14ac:dyDescent="0.2"/>
    <row r="115" s="49" customFormat="1" x14ac:dyDescent="0.2"/>
    <row r="116" s="49" customFormat="1" x14ac:dyDescent="0.2"/>
    <row r="117" s="49" customFormat="1" x14ac:dyDescent="0.2"/>
    <row r="118" s="49" customFormat="1" x14ac:dyDescent="0.2"/>
    <row r="119" s="49" customFormat="1" x14ac:dyDescent="0.2"/>
    <row r="120" s="49" customFormat="1" x14ac:dyDescent="0.2"/>
    <row r="121" s="49" customFormat="1" x14ac:dyDescent="0.2"/>
    <row r="122" s="49" customFormat="1" x14ac:dyDescent="0.2"/>
    <row r="123" s="49" customFormat="1" x14ac:dyDescent="0.2"/>
    <row r="124" s="49" customFormat="1" x14ac:dyDescent="0.2"/>
    <row r="125" s="49" customFormat="1" x14ac:dyDescent="0.2"/>
    <row r="126" s="49" customFormat="1" x14ac:dyDescent="0.2"/>
    <row r="127" s="49" customFormat="1" x14ac:dyDescent="0.2"/>
    <row r="128" s="49" customFormat="1" x14ac:dyDescent="0.2"/>
    <row r="129" s="49" customFormat="1" x14ac:dyDescent="0.2"/>
    <row r="130" s="49" customFormat="1" x14ac:dyDescent="0.2"/>
    <row r="131" s="49" customFormat="1" x14ac:dyDescent="0.2"/>
    <row r="132" s="49" customFormat="1" x14ac:dyDescent="0.2"/>
    <row r="133" s="49" customFormat="1" x14ac:dyDescent="0.2"/>
    <row r="134" s="49" customFormat="1" x14ac:dyDescent="0.2"/>
    <row r="135" s="49" customFormat="1" x14ac:dyDescent="0.2"/>
    <row r="136" s="49" customFormat="1" x14ac:dyDescent="0.2"/>
    <row r="137" s="49" customFormat="1" x14ac:dyDescent="0.2"/>
    <row r="138" s="49" customFormat="1" x14ac:dyDescent="0.2"/>
    <row r="139" s="49" customFormat="1" x14ac:dyDescent="0.2"/>
    <row r="140" s="49" customFormat="1" x14ac:dyDescent="0.2"/>
    <row r="141" s="49" customFormat="1" x14ac:dyDescent="0.2"/>
    <row r="142" s="49" customFormat="1" x14ac:dyDescent="0.2"/>
    <row r="143" s="49" customFormat="1" x14ac:dyDescent="0.2"/>
    <row r="144" s="49" customFormat="1" x14ac:dyDescent="0.2"/>
    <row r="145" s="49" customFormat="1" x14ac:dyDescent="0.2"/>
    <row r="146" s="49" customFormat="1" x14ac:dyDescent="0.2"/>
    <row r="147" s="49" customFormat="1" x14ac:dyDescent="0.2"/>
    <row r="148" s="49" customFormat="1" x14ac:dyDescent="0.2"/>
    <row r="149" s="49" customFormat="1" x14ac:dyDescent="0.2"/>
    <row r="150" s="49" customFormat="1" x14ac:dyDescent="0.2"/>
    <row r="151" s="49" customFormat="1" x14ac:dyDescent="0.2"/>
    <row r="152" s="49" customFormat="1" x14ac:dyDescent="0.2"/>
    <row r="153" s="49" customFormat="1" x14ac:dyDescent="0.2"/>
    <row r="154" s="49" customFormat="1" x14ac:dyDescent="0.2"/>
    <row r="155" s="49" customFormat="1" x14ac:dyDescent="0.2"/>
    <row r="156" s="49" customFormat="1" x14ac:dyDescent="0.2"/>
    <row r="157" s="49" customFormat="1" x14ac:dyDescent="0.2"/>
    <row r="158" s="49" customFormat="1" x14ac:dyDescent="0.2"/>
    <row r="159" s="49" customFormat="1" x14ac:dyDescent="0.2"/>
    <row r="160" s="49" customFormat="1" x14ac:dyDescent="0.2"/>
    <row r="161" s="49" customFormat="1" x14ac:dyDescent="0.2"/>
    <row r="162" s="49" customFormat="1" x14ac:dyDescent="0.2"/>
    <row r="163" s="49" customFormat="1" x14ac:dyDescent="0.2"/>
    <row r="164" s="49" customFormat="1" x14ac:dyDescent="0.2"/>
    <row r="165" s="49" customFormat="1" x14ac:dyDescent="0.2"/>
    <row r="166" s="49" customFormat="1" x14ac:dyDescent="0.2"/>
    <row r="167" s="49" customFormat="1" x14ac:dyDescent="0.2"/>
    <row r="168" s="49" customFormat="1" x14ac:dyDescent="0.2"/>
    <row r="169" s="49" customFormat="1" x14ac:dyDescent="0.2"/>
    <row r="170" s="49" customFormat="1" x14ac:dyDescent="0.2"/>
    <row r="171" s="49" customFormat="1" x14ac:dyDescent="0.2"/>
    <row r="172" s="49" customFormat="1" x14ac:dyDescent="0.2"/>
    <row r="173" s="49" customFormat="1" x14ac:dyDescent="0.2"/>
    <row r="174" s="49" customFormat="1" x14ac:dyDescent="0.2"/>
    <row r="175" s="49" customFormat="1" x14ac:dyDescent="0.2"/>
    <row r="176" s="49" customFormat="1" x14ac:dyDescent="0.2"/>
    <row r="177" s="49" customFormat="1" x14ac:dyDescent="0.2"/>
    <row r="178" s="49" customFormat="1" x14ac:dyDescent="0.2"/>
    <row r="179" s="49" customFormat="1" x14ac:dyDescent="0.2"/>
    <row r="180" s="49" customFormat="1" x14ac:dyDescent="0.2"/>
    <row r="181" s="49" customFormat="1" x14ac:dyDescent="0.2"/>
    <row r="182" s="49" customFormat="1" x14ac:dyDescent="0.2"/>
    <row r="183" s="49" customFormat="1" x14ac:dyDescent="0.2"/>
    <row r="184" s="49" customFormat="1" x14ac:dyDescent="0.2"/>
    <row r="185" s="49" customFormat="1" x14ac:dyDescent="0.2"/>
    <row r="186" s="49" customFormat="1" x14ac:dyDescent="0.2"/>
    <row r="187" s="49" customFormat="1" x14ac:dyDescent="0.2"/>
    <row r="188" s="49" customFormat="1" x14ac:dyDescent="0.2"/>
    <row r="189" s="49" customFormat="1" x14ac:dyDescent="0.2"/>
    <row r="190" s="49" customFormat="1" x14ac:dyDescent="0.2"/>
    <row r="191" s="49" customFormat="1" x14ac:dyDescent="0.2"/>
    <row r="192" s="49" customFormat="1" x14ac:dyDescent="0.2"/>
    <row r="193" s="49" customFormat="1" x14ac:dyDescent="0.2"/>
    <row r="194" s="49" customFormat="1" x14ac:dyDescent="0.2"/>
    <row r="195" s="49" customFormat="1" x14ac:dyDescent="0.2"/>
    <row r="196" s="49" customFormat="1" x14ac:dyDescent="0.2"/>
    <row r="197" s="49" customFormat="1" x14ac:dyDescent="0.2"/>
    <row r="198" s="49" customFormat="1" x14ac:dyDescent="0.2"/>
    <row r="199" s="49" customFormat="1" x14ac:dyDescent="0.2"/>
    <row r="200" s="49" customFormat="1" x14ac:dyDescent="0.2"/>
    <row r="201" s="49" customFormat="1" x14ac:dyDescent="0.2"/>
    <row r="202" s="49" customFormat="1" x14ac:dyDescent="0.2"/>
    <row r="203" s="49" customFormat="1" x14ac:dyDescent="0.2"/>
    <row r="204" s="49" customFormat="1" x14ac:dyDescent="0.2"/>
    <row r="205" s="49" customFormat="1" x14ac:dyDescent="0.2"/>
    <row r="206" s="49" customFormat="1" x14ac:dyDescent="0.2"/>
    <row r="207" s="49" customFormat="1" x14ac:dyDescent="0.2"/>
    <row r="208" s="49" customFormat="1" x14ac:dyDescent="0.2"/>
    <row r="209" s="49" customFormat="1" x14ac:dyDescent="0.2"/>
    <row r="210" s="49" customFormat="1" x14ac:dyDescent="0.2"/>
    <row r="211" s="49" customFormat="1" x14ac:dyDescent="0.2"/>
    <row r="212" s="49" customFormat="1" x14ac:dyDescent="0.2"/>
    <row r="213" s="49" customFormat="1" x14ac:dyDescent="0.2"/>
    <row r="214" s="49" customFormat="1" x14ac:dyDescent="0.2"/>
    <row r="215" s="49" customFormat="1" x14ac:dyDescent="0.2"/>
    <row r="216" s="49" customFormat="1" x14ac:dyDescent="0.2"/>
    <row r="217" s="49" customFormat="1" x14ac:dyDescent="0.2"/>
    <row r="218" s="49" customFormat="1" x14ac:dyDescent="0.2"/>
    <row r="219" s="49" customFormat="1" x14ac:dyDescent="0.2"/>
    <row r="220" s="49" customFormat="1" x14ac:dyDescent="0.2"/>
    <row r="221" s="49" customFormat="1" x14ac:dyDescent="0.2"/>
    <row r="222" s="49" customFormat="1" x14ac:dyDescent="0.2"/>
    <row r="223" s="49" customFormat="1" x14ac:dyDescent="0.2"/>
    <row r="224" s="49" customFormat="1" x14ac:dyDescent="0.2"/>
    <row r="225" s="49" customFormat="1" x14ac:dyDescent="0.2"/>
    <row r="226" s="49" customFormat="1" x14ac:dyDescent="0.2"/>
    <row r="227" s="49" customFormat="1" x14ac:dyDescent="0.2"/>
    <row r="228" s="49" customFormat="1" x14ac:dyDescent="0.2"/>
    <row r="229" s="49" customFormat="1" x14ac:dyDescent="0.2"/>
    <row r="230" s="49" customFormat="1" x14ac:dyDescent="0.2"/>
    <row r="231" s="49" customFormat="1" x14ac:dyDescent="0.2"/>
    <row r="232" s="49" customFormat="1" x14ac:dyDescent="0.2"/>
    <row r="233" s="49" customFormat="1" x14ac:dyDescent="0.2"/>
    <row r="234" s="49" customFormat="1" x14ac:dyDescent="0.2"/>
    <row r="235" s="49" customFormat="1" x14ac:dyDescent="0.2"/>
    <row r="236" s="49" customFormat="1" x14ac:dyDescent="0.2"/>
    <row r="237" s="49" customFormat="1" x14ac:dyDescent="0.2"/>
    <row r="238" s="49" customFormat="1" x14ac:dyDescent="0.2"/>
    <row r="239" s="49" customFormat="1" x14ac:dyDescent="0.2"/>
    <row r="240" s="49" customFormat="1" x14ac:dyDescent="0.2"/>
    <row r="241" s="49" customFormat="1" x14ac:dyDescent="0.2"/>
    <row r="242" s="49" customFormat="1" x14ac:dyDescent="0.2"/>
    <row r="243" s="49" customFormat="1" x14ac:dyDescent="0.2"/>
    <row r="244" s="49" customFormat="1" x14ac:dyDescent="0.2"/>
    <row r="245" s="49" customFormat="1" x14ac:dyDescent="0.2"/>
    <row r="246" s="49" customFormat="1" x14ac:dyDescent="0.2"/>
    <row r="247" s="49" customFormat="1" x14ac:dyDescent="0.2"/>
    <row r="248" s="49" customFormat="1" x14ac:dyDescent="0.2"/>
    <row r="249" s="49" customFormat="1" x14ac:dyDescent="0.2"/>
    <row r="250" s="49" customFormat="1" x14ac:dyDescent="0.2"/>
    <row r="251" s="49" customFormat="1" x14ac:dyDescent="0.2"/>
    <row r="252" s="49" customFormat="1" x14ac:dyDescent="0.2"/>
    <row r="253" s="49" customFormat="1" x14ac:dyDescent="0.2"/>
    <row r="254" s="49" customFormat="1" x14ac:dyDescent="0.2"/>
    <row r="255" s="49" customFormat="1" x14ac:dyDescent="0.2"/>
    <row r="256" s="49" customFormat="1" x14ac:dyDescent="0.2"/>
    <row r="257" s="49" customFormat="1" x14ac:dyDescent="0.2"/>
    <row r="258" s="49" customFormat="1" x14ac:dyDescent="0.2"/>
    <row r="259" s="49" customFormat="1" x14ac:dyDescent="0.2"/>
    <row r="260" s="49" customFormat="1" x14ac:dyDescent="0.2"/>
    <row r="261" s="49" customFormat="1" x14ac:dyDescent="0.2"/>
    <row r="262" s="49" customFormat="1" x14ac:dyDescent="0.2"/>
    <row r="263" s="49" customFormat="1" x14ac:dyDescent="0.2"/>
    <row r="264" s="49" customFormat="1" x14ac:dyDescent="0.2"/>
    <row r="265" s="49" customFormat="1" x14ac:dyDescent="0.2"/>
    <row r="266" s="49" customFormat="1" x14ac:dyDescent="0.2"/>
    <row r="267" s="49" customFormat="1" x14ac:dyDescent="0.2"/>
    <row r="268" s="49" customFormat="1" x14ac:dyDescent="0.2"/>
    <row r="269" s="49" customFormat="1" x14ac:dyDescent="0.2"/>
    <row r="270" s="49" customFormat="1" x14ac:dyDescent="0.2"/>
    <row r="271" s="49" customFormat="1" x14ac:dyDescent="0.2"/>
    <row r="272" s="49" customFormat="1" x14ac:dyDescent="0.2"/>
    <row r="273" s="49" customFormat="1" x14ac:dyDescent="0.2"/>
    <row r="274" s="49" customFormat="1" x14ac:dyDescent="0.2"/>
    <row r="275" s="49" customFormat="1" x14ac:dyDescent="0.2"/>
    <row r="276" s="49" customFormat="1" x14ac:dyDescent="0.2"/>
    <row r="277" s="49" customFormat="1" x14ac:dyDescent="0.2"/>
    <row r="278" s="49" customFormat="1" x14ac:dyDescent="0.2"/>
    <row r="279" s="49" customFormat="1" x14ac:dyDescent="0.2"/>
    <row r="280" s="49" customFormat="1" x14ac:dyDescent="0.2"/>
    <row r="281" s="49" customFormat="1" x14ac:dyDescent="0.2"/>
    <row r="282" s="49" customFormat="1" x14ac:dyDescent="0.2"/>
    <row r="283" s="49" customFormat="1" x14ac:dyDescent="0.2"/>
    <row r="284" s="49" customFormat="1" x14ac:dyDescent="0.2"/>
    <row r="285" s="49" customFormat="1" x14ac:dyDescent="0.2"/>
    <row r="286" s="49" customFormat="1" x14ac:dyDescent="0.2"/>
    <row r="287" s="49" customFormat="1" x14ac:dyDescent="0.2"/>
    <row r="288" s="49" customFormat="1" x14ac:dyDescent="0.2"/>
    <row r="289" s="49" customFormat="1" x14ac:dyDescent="0.2"/>
    <row r="290" s="49" customFormat="1" x14ac:dyDescent="0.2"/>
    <row r="291" s="49" customFormat="1" x14ac:dyDescent="0.2"/>
    <row r="292" s="49" customFormat="1" x14ac:dyDescent="0.2"/>
    <row r="293" s="49" customFormat="1" x14ac:dyDescent="0.2"/>
    <row r="294" s="49" customFormat="1" x14ac:dyDescent="0.2"/>
    <row r="295" s="49" customFormat="1" x14ac:dyDescent="0.2"/>
    <row r="296" s="49" customFormat="1" x14ac:dyDescent="0.2"/>
    <row r="297" s="49" customFormat="1" x14ac:dyDescent="0.2"/>
    <row r="298" s="49" customFormat="1" x14ac:dyDescent="0.2"/>
    <row r="299" s="49" customFormat="1" x14ac:dyDescent="0.2"/>
    <row r="300" s="49" customFormat="1" x14ac:dyDescent="0.2"/>
    <row r="301" s="49" customFormat="1" x14ac:dyDescent="0.2"/>
    <row r="302" s="49" customFormat="1" x14ac:dyDescent="0.2"/>
    <row r="303" s="49" customFormat="1" x14ac:dyDescent="0.2"/>
    <row r="304" s="49" customFormat="1" x14ac:dyDescent="0.2"/>
    <row r="305" s="49" customFormat="1" x14ac:dyDescent="0.2"/>
    <row r="306" s="49" customFormat="1" x14ac:dyDescent="0.2"/>
    <row r="307" s="49" customFormat="1" x14ac:dyDescent="0.2"/>
    <row r="308" s="49" customFormat="1" x14ac:dyDescent="0.2"/>
    <row r="309" s="49" customFormat="1" x14ac:dyDescent="0.2"/>
    <row r="310" s="49" customFormat="1" x14ac:dyDescent="0.2"/>
    <row r="311" s="49" customFormat="1" x14ac:dyDescent="0.2"/>
    <row r="312" s="49" customFormat="1" x14ac:dyDescent="0.2"/>
    <row r="313" s="49" customFormat="1" x14ac:dyDescent="0.2"/>
    <row r="314" s="49" customFormat="1" x14ac:dyDescent="0.2"/>
    <row r="315" s="49" customFormat="1" x14ac:dyDescent="0.2"/>
    <row r="316" s="49" customFormat="1" x14ac:dyDescent="0.2"/>
    <row r="317" s="49" customFormat="1" x14ac:dyDescent="0.2"/>
    <row r="318" s="49" customFormat="1" x14ac:dyDescent="0.2"/>
    <row r="319" s="49" customFormat="1" x14ac:dyDescent="0.2"/>
    <row r="320" s="49" customFormat="1" x14ac:dyDescent="0.2"/>
    <row r="321" s="49" customFormat="1" x14ac:dyDescent="0.2"/>
    <row r="322" s="49" customFormat="1" x14ac:dyDescent="0.2"/>
    <row r="323" s="49" customFormat="1" x14ac:dyDescent="0.2"/>
    <row r="324" s="49" customFormat="1" x14ac:dyDescent="0.2"/>
    <row r="325" s="49" customFormat="1" x14ac:dyDescent="0.2"/>
    <row r="326" s="49" customFormat="1" x14ac:dyDescent="0.2"/>
    <row r="327" s="49" customFormat="1" x14ac:dyDescent="0.2"/>
    <row r="328" s="49" customFormat="1" x14ac:dyDescent="0.2"/>
    <row r="329" s="49" customFormat="1" x14ac:dyDescent="0.2"/>
    <row r="330" s="49" customFormat="1" x14ac:dyDescent="0.2"/>
    <row r="331" s="49" customFormat="1" x14ac:dyDescent="0.2"/>
    <row r="332" s="49" customFormat="1" x14ac:dyDescent="0.2"/>
    <row r="333" s="49" customFormat="1" x14ac:dyDescent="0.2"/>
    <row r="334" s="49" customFormat="1" x14ac:dyDescent="0.2"/>
    <row r="335" s="49" customFormat="1" x14ac:dyDescent="0.2"/>
    <row r="336" s="49" customFormat="1" x14ac:dyDescent="0.2"/>
    <row r="337" s="49" customFormat="1" x14ac:dyDescent="0.2"/>
    <row r="338" s="49" customFormat="1" x14ac:dyDescent="0.2"/>
    <row r="339" s="49" customFormat="1" x14ac:dyDescent="0.2"/>
    <row r="340" s="49" customFormat="1" x14ac:dyDescent="0.2"/>
    <row r="341" s="49" customFormat="1" x14ac:dyDescent="0.2"/>
    <row r="342" s="49" customFormat="1" x14ac:dyDescent="0.2"/>
    <row r="343" s="49" customFormat="1" x14ac:dyDescent="0.2"/>
    <row r="344" s="49" customFormat="1" x14ac:dyDescent="0.2"/>
    <row r="345" s="49" customFormat="1" x14ac:dyDescent="0.2"/>
    <row r="346" s="49" customFormat="1" x14ac:dyDescent="0.2"/>
    <row r="347" s="49" customFormat="1" x14ac:dyDescent="0.2"/>
  </sheetData>
  <conditionalFormatting sqref="C12:Q103">
    <cfRule type="colorScale" priority="13">
      <colorScale>
        <cfvo type="num" val="45"/>
        <cfvo type="num" val="50"/>
        <cfvo type="num" val="58"/>
        <color rgb="FFF8696B"/>
        <color rgb="FFFFEB84"/>
        <color rgb="FF63BE7B"/>
      </colorScale>
    </cfRule>
    <cfRule type="colorScale" priority="183">
      <colorScale>
        <cfvo type="min"/>
        <cfvo type="percentile" val="50"/>
        <cfvo type="max"/>
        <color rgb="FFF8696B"/>
        <color rgb="FFFFEB84"/>
        <color rgb="FF63BE7B"/>
      </colorScale>
    </cfRule>
  </conditionalFormatting>
  <conditionalFormatting sqref="C6:Q6">
    <cfRule type="containsText" dxfId="7" priority="11" operator="containsText" text="below">
      <formula>NOT(ISERROR(SEARCH("below",C6)))</formula>
    </cfRule>
    <cfRule type="containsText" dxfId="6" priority="12" operator="containsText" text="above">
      <formula>NOT(ISERROR(SEARCH("above",C6)))</formula>
    </cfRule>
  </conditionalFormatting>
  <conditionalFormatting sqref="C8:Q8">
    <cfRule type="cellIs" dxfId="5" priority="9" operator="lessThan">
      <formula>0</formula>
    </cfRule>
    <cfRule type="cellIs" dxfId="4" priority="10" operator="greaterThan">
      <formula>0</formula>
    </cfRule>
  </conditionalFormatting>
  <conditionalFormatting sqref="C9:Q9">
    <cfRule type="cellIs" dxfId="3" priority="3" operator="equal">
      <formula>"Growth"</formula>
    </cfRule>
    <cfRule type="cellIs" dxfId="2" priority="4" operator="equal">
      <formula>"Contraction"</formula>
    </cfRule>
  </conditionalFormatting>
  <conditionalFormatting sqref="C10:Q10">
    <cfRule type="cellIs" dxfId="1" priority="1" operator="equal">
      <formula>"+"</formula>
    </cfRule>
    <cfRule type="cellIs" dxfId="0" priority="2" operator="equal">
      <formula>"-"</formula>
    </cfRule>
  </conditionalFormatting>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H149"/>
  <sheetViews>
    <sheetView zoomScale="160" zoomScaleNormal="160" workbookViewId="0">
      <pane ySplit="5" topLeftCell="A132" activePane="bottomLeft" state="frozen"/>
      <selection activeCell="V1" sqref="V1"/>
      <selection pane="bottomLeft" activeCell="A140" sqref="A140:C149"/>
    </sheetView>
  </sheetViews>
  <sheetFormatPr baseColWidth="10" defaultColWidth="9.1640625" defaultRowHeight="15" x14ac:dyDescent="0.2"/>
  <cols>
    <col min="1" max="1" width="13.5" style="49" customWidth="1"/>
    <col min="2" max="2" width="11.33203125" style="49" customWidth="1"/>
    <col min="3" max="11" width="9.1640625" style="49" customWidth="1"/>
    <col min="12" max="16384" width="9.1640625" style="49"/>
  </cols>
  <sheetData>
    <row r="1" spans="1:8" x14ac:dyDescent="0.2">
      <c r="A1" s="49" t="s">
        <v>9</v>
      </c>
    </row>
    <row r="2" spans="1:8" x14ac:dyDescent="0.2">
      <c r="H2" s="49" t="s">
        <v>59</v>
      </c>
    </row>
    <row r="4" spans="1:8" ht="16" customHeight="1" thickBot="1" x14ac:dyDescent="0.25"/>
    <row r="5" spans="1:8" ht="16" customHeight="1" thickBot="1" x14ac:dyDescent="0.25">
      <c r="A5" s="12" t="s">
        <v>33</v>
      </c>
      <c r="B5" s="13" t="s">
        <v>60</v>
      </c>
      <c r="C5" s="13" t="s">
        <v>61</v>
      </c>
    </row>
    <row r="6" spans="1:8" x14ac:dyDescent="0.2">
      <c r="A6" s="10">
        <v>40452</v>
      </c>
      <c r="B6" s="11">
        <f>IF(VLOOKUP(A6,'DB Country PMI'!$A:$V,MATCH($A$1,'DB Country PMI'!$A$1:$V$1,),)=0,#N/A,VLOOKUP(A6,'DB Country PMI'!$A:$V,MATCH($A$1,'DB Country PMI'!$A$1:$V$1,),))</f>
        <v>54.6</v>
      </c>
      <c r="C6" s="11"/>
    </row>
    <row r="7" spans="1:8" x14ac:dyDescent="0.2">
      <c r="A7" s="8">
        <v>40483</v>
      </c>
      <c r="B7" s="11">
        <f>IF(VLOOKUP(A7,'DB Country PMI'!$A:$V,MATCH($A$1,'DB Country PMI'!$A$1:$V$1,),)=0,#N/A,VLOOKUP(A7,'DB Country PMI'!$A:$V,MATCH($A$1,'DB Country PMI'!$A$1:$V$1,),))</f>
        <v>54.8</v>
      </c>
      <c r="C7" s="14">
        <f>Table1[[#This Row],[PMI]]-B6</f>
        <v>0.19999999999999574</v>
      </c>
    </row>
    <row r="8" spans="1:8" x14ac:dyDescent="0.2">
      <c r="A8" s="8">
        <v>40513</v>
      </c>
      <c r="B8" s="11">
        <f>IF(VLOOKUP(A8,'DB Country PMI'!$A:$V,MATCH($A$1,'DB Country PMI'!$A$1:$V$1,),)=0,#N/A,VLOOKUP(A8,'DB Country PMI'!$A:$V,MATCH($A$1,'DB Country PMI'!$A$1:$V$1,),))</f>
        <v>56.3</v>
      </c>
      <c r="C8" s="14">
        <f>Table1[[#This Row],[PMI]]-B7</f>
        <v>1.5</v>
      </c>
    </row>
    <row r="9" spans="1:8" x14ac:dyDescent="0.2">
      <c r="A9" s="8">
        <v>40544</v>
      </c>
      <c r="B9" s="11">
        <f>IF(VLOOKUP(A9,'DB Country PMI'!$A:$V,MATCH($A$1,'DB Country PMI'!$A$1:$V$1,),)=0,#N/A,VLOOKUP(A9,'DB Country PMI'!$A:$V,MATCH($A$1,'DB Country PMI'!$A$1:$V$1,),))</f>
        <v>57.1</v>
      </c>
      <c r="C9" s="14">
        <f>Table1[[#This Row],[PMI]]-B8</f>
        <v>0.80000000000000426</v>
      </c>
    </row>
    <row r="10" spans="1:8" x14ac:dyDescent="0.2">
      <c r="A10" s="8">
        <v>40575</v>
      </c>
      <c r="B10" s="11">
        <f>IF(VLOOKUP(A10,'DB Country PMI'!$A:$V,MATCH($A$1,'DB Country PMI'!$A$1:$V$1,),)=0,#N/A,VLOOKUP(A10,'DB Country PMI'!$A:$V,MATCH($A$1,'DB Country PMI'!$A$1:$V$1,),))</f>
        <v>59.3</v>
      </c>
      <c r="C10" s="14">
        <f>Table1[[#This Row],[PMI]]-B9</f>
        <v>2.1999999999999957</v>
      </c>
    </row>
    <row r="11" spans="1:8" x14ac:dyDescent="0.2">
      <c r="A11" s="8">
        <v>40603</v>
      </c>
      <c r="B11" s="11">
        <f>IF(VLOOKUP(A11,'DB Country PMI'!$A:$V,MATCH($A$1,'DB Country PMI'!$A$1:$V$1,),)=0,#N/A,VLOOKUP(A11,'DB Country PMI'!$A:$V,MATCH($A$1,'DB Country PMI'!$A$1:$V$1,),))</f>
        <v>54</v>
      </c>
      <c r="C11" s="14">
        <f>Table1[[#This Row],[PMI]]-B10</f>
        <v>-5.2999999999999972</v>
      </c>
    </row>
    <row r="12" spans="1:8" x14ac:dyDescent="0.2">
      <c r="A12" s="8">
        <v>40634</v>
      </c>
      <c r="B12" s="11">
        <f>IF(VLOOKUP(A12,'DB Country PMI'!$A:$V,MATCH($A$1,'DB Country PMI'!$A$1:$V$1,),)=0,#N/A,VLOOKUP(A12,'DB Country PMI'!$A:$V,MATCH($A$1,'DB Country PMI'!$A$1:$V$1,),))</f>
        <v>51</v>
      </c>
      <c r="C12" s="14">
        <f>Table1[[#This Row],[PMI]]-B11</f>
        <v>-3</v>
      </c>
    </row>
    <row r="13" spans="1:8" x14ac:dyDescent="0.2">
      <c r="A13" s="8">
        <v>40664</v>
      </c>
      <c r="B13" s="11">
        <f>IF(VLOOKUP(A13,'DB Country PMI'!$A:$V,MATCH($A$1,'DB Country PMI'!$A$1:$V$1,),)=0,#N/A,VLOOKUP(A13,'DB Country PMI'!$A:$V,MATCH($A$1,'DB Country PMI'!$A$1:$V$1,),))</f>
        <v>52.5</v>
      </c>
      <c r="C13" s="14">
        <f>Table1[[#This Row],[PMI]]-B12</f>
        <v>1.5</v>
      </c>
    </row>
    <row r="14" spans="1:8" x14ac:dyDescent="0.2">
      <c r="A14" s="8">
        <v>40695</v>
      </c>
      <c r="B14" s="11">
        <f>IF(VLOOKUP(A14,'DB Country PMI'!$A:$V,MATCH($A$1,'DB Country PMI'!$A$1:$V$1,),)=0,#N/A,VLOOKUP(A14,'DB Country PMI'!$A:$V,MATCH($A$1,'DB Country PMI'!$A$1:$V$1,),))</f>
        <v>52.1</v>
      </c>
      <c r="C14" s="14">
        <f>Table1[[#This Row],[PMI]]-B13</f>
        <v>-0.39999999999999858</v>
      </c>
    </row>
    <row r="15" spans="1:8" x14ac:dyDescent="0.2">
      <c r="A15" s="8">
        <v>40725</v>
      </c>
      <c r="B15" s="11">
        <f>IF(VLOOKUP(A15,'DB Country PMI'!$A:$V,MATCH($A$1,'DB Country PMI'!$A$1:$V$1,),)=0,#N/A,VLOOKUP(A15,'DB Country PMI'!$A:$V,MATCH($A$1,'DB Country PMI'!$A$1:$V$1,),))</f>
        <v>53.1</v>
      </c>
      <c r="C15" s="14">
        <f>Table1[[#This Row],[PMI]]-B14</f>
        <v>1</v>
      </c>
    </row>
    <row r="16" spans="1:8" x14ac:dyDescent="0.2">
      <c r="A16" s="8">
        <v>40756</v>
      </c>
      <c r="B16" s="11">
        <f>IF(VLOOKUP(A16,'DB Country PMI'!$A:$V,MATCH($A$1,'DB Country PMI'!$A$1:$V$1,),)=0,#N/A,VLOOKUP(A16,'DB Country PMI'!$A:$V,MATCH($A$1,'DB Country PMI'!$A$1:$V$1,),))</f>
        <v>52.4</v>
      </c>
      <c r="C16" s="14">
        <f>Table1[[#This Row],[PMI]]-B15</f>
        <v>-0.70000000000000284</v>
      </c>
    </row>
    <row r="17" spans="1:3" x14ac:dyDescent="0.2">
      <c r="A17" s="8">
        <v>40787</v>
      </c>
      <c r="B17" s="11">
        <f>IF(VLOOKUP(A17,'DB Country PMI'!$A:$V,MATCH($A$1,'DB Country PMI'!$A$1:$V$1,),)=0,#N/A,VLOOKUP(A17,'DB Country PMI'!$A:$V,MATCH($A$1,'DB Country PMI'!$A$1:$V$1,),))</f>
        <v>52.6</v>
      </c>
      <c r="C17" s="14">
        <f>Table1[[#This Row],[PMI]]-B16</f>
        <v>0.20000000000000284</v>
      </c>
    </row>
    <row r="18" spans="1:3" x14ac:dyDescent="0.2">
      <c r="A18" s="8">
        <v>40817</v>
      </c>
      <c r="B18" s="11">
        <f>IF(VLOOKUP(A18,'DB Country PMI'!$A:$V,MATCH($A$1,'DB Country PMI'!$A$1:$V$1,),)=0,#N/A,VLOOKUP(A18,'DB Country PMI'!$A:$V,MATCH($A$1,'DB Country PMI'!$A$1:$V$1,),))</f>
        <v>51.8</v>
      </c>
      <c r="C18" s="14">
        <f>Table1[[#This Row],[PMI]]-B17</f>
        <v>-0.80000000000000426</v>
      </c>
    </row>
    <row r="19" spans="1:3" x14ac:dyDescent="0.2">
      <c r="A19" s="8">
        <v>40848</v>
      </c>
      <c r="B19" s="11">
        <f>IF(VLOOKUP(A19,'DB Country PMI'!$A:$V,MATCH($A$1,'DB Country PMI'!$A$1:$V$1,),)=0,#N/A,VLOOKUP(A19,'DB Country PMI'!$A:$V,MATCH($A$1,'DB Country PMI'!$A$1:$V$1,),))</f>
        <v>52.6</v>
      </c>
      <c r="C19" s="14">
        <f>Table1[[#This Row],[PMI]]-B18</f>
        <v>0.80000000000000426</v>
      </c>
    </row>
    <row r="20" spans="1:3" x14ac:dyDescent="0.2">
      <c r="A20" s="8">
        <v>40878</v>
      </c>
      <c r="B20" s="11">
        <f>IF(VLOOKUP(A20,'DB Country PMI'!$A:$V,MATCH($A$1,'DB Country PMI'!$A$1:$V$1,),)=0,#N/A,VLOOKUP(A20,'DB Country PMI'!$A:$V,MATCH($A$1,'DB Country PMI'!$A$1:$V$1,),))</f>
        <v>53.2</v>
      </c>
      <c r="C20" s="14">
        <f>Table1[[#This Row],[PMI]]-B19</f>
        <v>0.60000000000000142</v>
      </c>
    </row>
    <row r="21" spans="1:3" x14ac:dyDescent="0.2">
      <c r="A21" s="8">
        <v>40909</v>
      </c>
      <c r="B21" s="11">
        <f>IF(VLOOKUP(A21,'DB Country PMI'!$A:$V,MATCH($A$1,'DB Country PMI'!$A$1:$V$1,),)=0,#N/A,VLOOKUP(A21,'DB Country PMI'!$A:$V,MATCH($A$1,'DB Country PMI'!$A$1:$V$1,),))</f>
        <v>55.4</v>
      </c>
      <c r="C21" s="14">
        <f>Table1[[#This Row],[PMI]]-B20</f>
        <v>2.1999999999999957</v>
      </c>
    </row>
    <row r="22" spans="1:3" x14ac:dyDescent="0.2">
      <c r="A22" s="8">
        <v>40940</v>
      </c>
      <c r="B22" s="11">
        <f>IF(VLOOKUP(A22,'DB Country PMI'!$A:$V,MATCH($A$1,'DB Country PMI'!$A$1:$V$1,),)=0,#N/A,VLOOKUP(A22,'DB Country PMI'!$A:$V,MATCH($A$1,'DB Country PMI'!$A$1:$V$1,),))</f>
        <v>56.5</v>
      </c>
      <c r="C22" s="14">
        <f>Table1[[#This Row],[PMI]]-B21</f>
        <v>1.1000000000000014</v>
      </c>
    </row>
    <row r="23" spans="1:3" x14ac:dyDescent="0.2">
      <c r="A23" s="8">
        <v>40969</v>
      </c>
      <c r="B23" s="11">
        <f>IF(VLOOKUP(A23,'DB Country PMI'!$A:$V,MATCH($A$1,'DB Country PMI'!$A$1:$V$1,),)=0,#N/A,VLOOKUP(A23,'DB Country PMI'!$A:$V,MATCH($A$1,'DB Country PMI'!$A$1:$V$1,),))</f>
        <v>54.3</v>
      </c>
      <c r="C23" s="14">
        <f>Table1[[#This Row],[PMI]]-B22</f>
        <v>-2.2000000000000028</v>
      </c>
    </row>
    <row r="24" spans="1:3" x14ac:dyDescent="0.2">
      <c r="A24" s="8">
        <v>41000</v>
      </c>
      <c r="B24" s="11">
        <f>IF(VLOOKUP(A24,'DB Country PMI'!$A:$V,MATCH($A$1,'DB Country PMI'!$A$1:$V$1,),)=0,#N/A,VLOOKUP(A24,'DB Country PMI'!$A:$V,MATCH($A$1,'DB Country PMI'!$A$1:$V$1,),))</f>
        <v>53.2</v>
      </c>
      <c r="C24" s="14">
        <f>Table1[[#This Row],[PMI]]-B23</f>
        <v>-1.0999999999999943</v>
      </c>
    </row>
    <row r="25" spans="1:3" x14ac:dyDescent="0.2">
      <c r="A25" s="8">
        <v>41030</v>
      </c>
      <c r="B25" s="11">
        <f>IF(VLOOKUP(A25,'DB Country PMI'!$A:$V,MATCH($A$1,'DB Country PMI'!$A$1:$V$1,),)=0,#N/A,VLOOKUP(A25,'DB Country PMI'!$A:$V,MATCH($A$1,'DB Country PMI'!$A$1:$V$1,),))</f>
        <v>53.3</v>
      </c>
      <c r="C25" s="14">
        <f>Table1[[#This Row],[PMI]]-B24</f>
        <v>9.9999999999994316E-2</v>
      </c>
    </row>
    <row r="26" spans="1:3" x14ac:dyDescent="0.2">
      <c r="A26" s="8">
        <v>41061</v>
      </c>
      <c r="B26" s="11">
        <f>IF(VLOOKUP(A26,'DB Country PMI'!$A:$V,MATCH($A$1,'DB Country PMI'!$A$1:$V$1,),)=0,#N/A,VLOOKUP(A26,'DB Country PMI'!$A:$V,MATCH($A$1,'DB Country PMI'!$A$1:$V$1,),))</f>
        <v>50.1</v>
      </c>
      <c r="C26" s="14">
        <f>Table1[[#This Row],[PMI]]-B25</f>
        <v>-3.1999999999999957</v>
      </c>
    </row>
    <row r="27" spans="1:3" x14ac:dyDescent="0.2">
      <c r="A27" s="8">
        <v>41091</v>
      </c>
      <c r="B27" s="11">
        <f>IF(VLOOKUP(A27,'DB Country PMI'!$A:$V,MATCH($A$1,'DB Country PMI'!$A$1:$V$1,),)=0,#N/A,VLOOKUP(A27,'DB Country PMI'!$A:$V,MATCH($A$1,'DB Country PMI'!$A$1:$V$1,),))</f>
        <v>49.2</v>
      </c>
      <c r="C27" s="14">
        <f>Table1[[#This Row],[PMI]]-B26</f>
        <v>-0.89999999999999858</v>
      </c>
    </row>
    <row r="28" spans="1:3" x14ac:dyDescent="0.2">
      <c r="A28" s="8">
        <v>41122</v>
      </c>
      <c r="B28" s="11">
        <f>IF(VLOOKUP(A28,'DB Country PMI'!$A:$V,MATCH($A$1,'DB Country PMI'!$A$1:$V$1,),)=0,#N/A,VLOOKUP(A28,'DB Country PMI'!$A:$V,MATCH($A$1,'DB Country PMI'!$A$1:$V$1,),))</f>
        <v>52.4</v>
      </c>
      <c r="C28" s="14">
        <f>Table1[[#This Row],[PMI]]-B27</f>
        <v>3.1999999999999957</v>
      </c>
    </row>
    <row r="29" spans="1:3" x14ac:dyDescent="0.2">
      <c r="A29" s="8">
        <v>41153</v>
      </c>
      <c r="B29" s="11">
        <f>IF(VLOOKUP(A29,'DB Country PMI'!$A:$V,MATCH($A$1,'DB Country PMI'!$A$1:$V$1,),)=0,#N/A,VLOOKUP(A29,'DB Country PMI'!$A:$V,MATCH($A$1,'DB Country PMI'!$A$1:$V$1,),))</f>
        <v>53.1</v>
      </c>
      <c r="C29" s="14">
        <f>Table1[[#This Row],[PMI]]-B28</f>
        <v>0.70000000000000284</v>
      </c>
    </row>
    <row r="30" spans="1:3" x14ac:dyDescent="0.2">
      <c r="A30" s="8">
        <v>41183</v>
      </c>
      <c r="B30" s="11">
        <f>IF(VLOOKUP(A30,'DB Country PMI'!$A:$V,MATCH($A$1,'DB Country PMI'!$A$1:$V$1,),)=0,#N/A,VLOOKUP(A30,'DB Country PMI'!$A:$V,MATCH($A$1,'DB Country PMI'!$A$1:$V$1,),))</f>
        <v>53.6</v>
      </c>
      <c r="C30" s="14">
        <f>Table1[[#This Row],[PMI]]-B29</f>
        <v>0.5</v>
      </c>
    </row>
    <row r="31" spans="1:3" x14ac:dyDescent="0.2">
      <c r="A31" s="8">
        <v>41214</v>
      </c>
      <c r="B31" s="11">
        <f>IF(VLOOKUP(A31,'DB Country PMI'!$A:$V,MATCH($A$1,'DB Country PMI'!$A$1:$V$1,),)=0,#N/A,VLOOKUP(A31,'DB Country PMI'!$A:$V,MATCH($A$1,'DB Country PMI'!$A$1:$V$1,),))</f>
        <v>54.8</v>
      </c>
      <c r="C31" s="14">
        <f>Table1[[#This Row],[PMI]]-B30</f>
        <v>1.1999999999999957</v>
      </c>
    </row>
    <row r="32" spans="1:3" x14ac:dyDescent="0.2">
      <c r="A32" s="8">
        <v>41244</v>
      </c>
      <c r="B32" s="11">
        <f>IF(VLOOKUP(A32,'DB Country PMI'!$A:$V,MATCH($A$1,'DB Country PMI'!$A$1:$V$1,),)=0,#N/A,VLOOKUP(A32,'DB Country PMI'!$A:$V,MATCH($A$1,'DB Country PMI'!$A$1:$V$1,),))</f>
        <v>54.8</v>
      </c>
      <c r="C32" s="14">
        <f>Table1[[#This Row],[PMI]]-B31</f>
        <v>0</v>
      </c>
    </row>
    <row r="33" spans="1:3" x14ac:dyDescent="0.2">
      <c r="A33" s="8">
        <v>41275</v>
      </c>
      <c r="B33" s="11">
        <f>IF(VLOOKUP(A33,'DB Country PMI'!$A:$V,MATCH($A$1,'DB Country PMI'!$A$1:$V$1,),)=0,#N/A,VLOOKUP(A33,'DB Country PMI'!$A:$V,MATCH($A$1,'DB Country PMI'!$A$1:$V$1,),))</f>
        <v>53.6</v>
      </c>
      <c r="C33" s="14">
        <f>Table1[[#This Row],[PMI]]-B32</f>
        <v>-1.1999999999999957</v>
      </c>
    </row>
    <row r="34" spans="1:3" x14ac:dyDescent="0.2">
      <c r="A34" s="8">
        <v>41306</v>
      </c>
      <c r="B34" s="11">
        <f>IF(VLOOKUP(A34,'DB Country PMI'!$A:$V,MATCH($A$1,'DB Country PMI'!$A$1:$V$1,),)=0,#N/A,VLOOKUP(A34,'DB Country PMI'!$A:$V,MATCH($A$1,'DB Country PMI'!$A$1:$V$1,),))</f>
        <v>53.2</v>
      </c>
      <c r="C34" s="14">
        <f>Table1[[#This Row],[PMI]]-B33</f>
        <v>-0.39999999999999858</v>
      </c>
    </row>
    <row r="35" spans="1:3" x14ac:dyDescent="0.2">
      <c r="A35" s="8">
        <v>41334</v>
      </c>
      <c r="B35" s="11">
        <f>IF(VLOOKUP(A35,'DB Country PMI'!$A:$V,MATCH($A$1,'DB Country PMI'!$A$1:$V$1,),)=0,#N/A,VLOOKUP(A35,'DB Country PMI'!$A:$V,MATCH($A$1,'DB Country PMI'!$A$1:$V$1,),))</f>
        <v>53.4</v>
      </c>
      <c r="C35" s="14">
        <f>Table1[[#This Row],[PMI]]-B34</f>
        <v>0.19999999999999574</v>
      </c>
    </row>
    <row r="36" spans="1:3" x14ac:dyDescent="0.2">
      <c r="A36" s="8">
        <v>41365</v>
      </c>
      <c r="B36" s="11">
        <f>IF(VLOOKUP(A36,'DB Country PMI'!$A:$V,MATCH($A$1,'DB Country PMI'!$A$1:$V$1,),)=0,#N/A,VLOOKUP(A36,'DB Country PMI'!$A:$V,MATCH($A$1,'DB Country PMI'!$A$1:$V$1,),))</f>
        <v>52.1</v>
      </c>
      <c r="C36" s="14">
        <f>Table1[[#This Row],[PMI]]-B35</f>
        <v>-1.2999999999999972</v>
      </c>
    </row>
    <row r="37" spans="1:3" x14ac:dyDescent="0.2">
      <c r="A37" s="8">
        <v>41395</v>
      </c>
      <c r="B37" s="11">
        <f>IF(VLOOKUP(A37,'DB Country PMI'!$A:$V,MATCH($A$1,'DB Country PMI'!$A$1:$V$1,),)=0,#N/A,VLOOKUP(A37,'DB Country PMI'!$A:$V,MATCH($A$1,'DB Country PMI'!$A$1:$V$1,),))</f>
        <v>53.7</v>
      </c>
      <c r="C37" s="14">
        <f>Table1[[#This Row],[PMI]]-B36</f>
        <v>1.6000000000000014</v>
      </c>
    </row>
    <row r="38" spans="1:3" x14ac:dyDescent="0.2">
      <c r="A38" s="8">
        <v>41426</v>
      </c>
      <c r="B38" s="11">
        <f>IF(VLOOKUP(A38,'DB Country PMI'!$A:$V,MATCH($A$1,'DB Country PMI'!$A$1:$V$1,),)=0,#N/A,VLOOKUP(A38,'DB Country PMI'!$A:$V,MATCH($A$1,'DB Country PMI'!$A$1:$V$1,),))</f>
        <v>51.3</v>
      </c>
      <c r="C38" s="14">
        <f>Table1[[#This Row],[PMI]]-B37</f>
        <v>-2.4000000000000057</v>
      </c>
    </row>
    <row r="39" spans="1:3" x14ac:dyDescent="0.2">
      <c r="A39" s="8">
        <v>41456</v>
      </c>
      <c r="B39" s="11">
        <f>IF(VLOOKUP(A39,'DB Country PMI'!$A:$V,MATCH($A$1,'DB Country PMI'!$A$1:$V$1,),)=0,#N/A,VLOOKUP(A39,'DB Country PMI'!$A:$V,MATCH($A$1,'DB Country PMI'!$A$1:$V$1,),))</f>
        <v>54.9</v>
      </c>
      <c r="C39" s="14">
        <f>Table1[[#This Row],[PMI]]-B38</f>
        <v>3.6000000000000014</v>
      </c>
    </row>
    <row r="40" spans="1:3" x14ac:dyDescent="0.2">
      <c r="A40" s="8">
        <v>41487</v>
      </c>
      <c r="B40" s="11">
        <f>IF(VLOOKUP(A40,'DB Country PMI'!$A:$V,MATCH($A$1,'DB Country PMI'!$A$1:$V$1,),)=0,#N/A,VLOOKUP(A40,'DB Country PMI'!$A:$V,MATCH($A$1,'DB Country PMI'!$A$1:$V$1,),))</f>
        <v>56</v>
      </c>
      <c r="C40" s="14">
        <f>Table1[[#This Row],[PMI]]-B39</f>
        <v>1.1000000000000014</v>
      </c>
    </row>
    <row r="41" spans="1:3" x14ac:dyDescent="0.2">
      <c r="A41" s="8">
        <v>41518</v>
      </c>
      <c r="B41" s="11">
        <f>IF(VLOOKUP(A41,'DB Country PMI'!$A:$V,MATCH($A$1,'DB Country PMI'!$A$1:$V$1,),)=0,#N/A,VLOOKUP(A41,'DB Country PMI'!$A:$V,MATCH($A$1,'DB Country PMI'!$A$1:$V$1,),))</f>
        <v>53.6</v>
      </c>
      <c r="C41" s="14">
        <f>Table1[[#This Row],[PMI]]-B40</f>
        <v>-2.3999999999999986</v>
      </c>
    </row>
    <row r="42" spans="1:3" x14ac:dyDescent="0.2">
      <c r="A42" s="8">
        <v>41548</v>
      </c>
      <c r="B42" s="11">
        <f>IF(VLOOKUP(A42,'DB Country PMI'!$A:$V,MATCH($A$1,'DB Country PMI'!$A$1:$V$1,),)=0,#N/A,VLOOKUP(A42,'DB Country PMI'!$A:$V,MATCH($A$1,'DB Country PMI'!$A$1:$V$1,),))</f>
        <v>51.8</v>
      </c>
      <c r="C42" s="14">
        <f>Table1[[#This Row],[PMI]]-B41</f>
        <v>-1.8000000000000043</v>
      </c>
    </row>
    <row r="43" spans="1:3" x14ac:dyDescent="0.2">
      <c r="A43" s="8">
        <v>41579</v>
      </c>
      <c r="B43" s="11">
        <f>IF(VLOOKUP(A43,'DB Country PMI'!$A:$V,MATCH($A$1,'DB Country PMI'!$A$1:$V$1,),)=0,#N/A,VLOOKUP(A43,'DB Country PMI'!$A:$V,MATCH($A$1,'DB Country PMI'!$A$1:$V$1,),))</f>
        <v>53.9</v>
      </c>
      <c r="C43" s="14">
        <f>Table1[[#This Row],[PMI]]-B42</f>
        <v>2.1000000000000014</v>
      </c>
    </row>
    <row r="44" spans="1:3" x14ac:dyDescent="0.2">
      <c r="A44" s="8">
        <v>41609</v>
      </c>
      <c r="B44" s="11">
        <f>IF(VLOOKUP(A44,'DB Country PMI'!$A:$V,MATCH($A$1,'DB Country PMI'!$A$1:$V$1,),)=0,#N/A,VLOOKUP(A44,'DB Country PMI'!$A:$V,MATCH($A$1,'DB Country PMI'!$A$1:$V$1,),))</f>
        <v>53.5</v>
      </c>
      <c r="C44" s="14">
        <f>Table1[[#This Row],[PMI]]-B43</f>
        <v>-0.39999999999999858</v>
      </c>
    </row>
    <row r="45" spans="1:3" x14ac:dyDescent="0.2">
      <c r="A45" s="8">
        <v>41640</v>
      </c>
      <c r="B45" s="11">
        <f>IF(VLOOKUP(A45,'DB Country PMI'!$A:$V,MATCH($A$1,'DB Country PMI'!$A$1:$V$1,),)=0,#N/A,VLOOKUP(A45,'DB Country PMI'!$A:$V,MATCH($A$1,'DB Country PMI'!$A$1:$V$1,),))</f>
        <v>53.8</v>
      </c>
      <c r="C45" s="14">
        <f>Table1[[#This Row],[PMI]]-B44</f>
        <v>0.29999999999999716</v>
      </c>
    </row>
    <row r="46" spans="1:3" x14ac:dyDescent="0.2">
      <c r="A46" s="8">
        <v>41671</v>
      </c>
      <c r="B46" s="11">
        <f>IF(VLOOKUP(A46,'DB Country PMI'!$A:$V,MATCH($A$1,'DB Country PMI'!$A$1:$V$1,),)=0,#N/A,VLOOKUP(A46,'DB Country PMI'!$A:$V,MATCH($A$1,'DB Country PMI'!$A$1:$V$1,),))</f>
        <v>52.7</v>
      </c>
      <c r="C46" s="14">
        <f>Table1[[#This Row],[PMI]]-B45</f>
        <v>-1.0999999999999943</v>
      </c>
    </row>
    <row r="47" spans="1:3" x14ac:dyDescent="0.2">
      <c r="A47" s="8">
        <v>41699</v>
      </c>
      <c r="B47" s="11">
        <f>IF(VLOOKUP(A47,'DB Country PMI'!$A:$V,MATCH($A$1,'DB Country PMI'!$A$1:$V$1,),)=0,#N/A,VLOOKUP(A47,'DB Country PMI'!$A:$V,MATCH($A$1,'DB Country PMI'!$A$1:$V$1,),))</f>
        <v>53.5</v>
      </c>
      <c r="C47" s="14">
        <f>Table1[[#This Row],[PMI]]-B46</f>
        <v>0.79999999999999716</v>
      </c>
    </row>
    <row r="48" spans="1:3" x14ac:dyDescent="0.2">
      <c r="A48" s="8">
        <v>41730</v>
      </c>
      <c r="B48" s="11">
        <f>IF(VLOOKUP(A48,'DB Country PMI'!$A:$V,MATCH($A$1,'DB Country PMI'!$A$1:$V$1,),)=0,#N/A,VLOOKUP(A48,'DB Country PMI'!$A:$V,MATCH($A$1,'DB Country PMI'!$A$1:$V$1,),))</f>
        <v>52.7</v>
      </c>
      <c r="C48" s="14">
        <f>Table1[[#This Row],[PMI]]-B47</f>
        <v>-0.79999999999999716</v>
      </c>
    </row>
    <row r="49" spans="1:3" x14ac:dyDescent="0.2">
      <c r="A49" s="8">
        <v>41760</v>
      </c>
      <c r="B49" s="11">
        <f>IF(VLOOKUP(A49,'DB Country PMI'!$A:$V,MATCH($A$1,'DB Country PMI'!$A$1:$V$1,),)=0,#N/A,VLOOKUP(A49,'DB Country PMI'!$A:$V,MATCH($A$1,'DB Country PMI'!$A$1:$V$1,),))</f>
        <v>54.6</v>
      </c>
      <c r="C49" s="14">
        <f>Table1[[#This Row],[PMI]]-B48</f>
        <v>1.8999999999999986</v>
      </c>
    </row>
    <row r="50" spans="1:3" x14ac:dyDescent="0.2">
      <c r="A50" s="8">
        <v>41791</v>
      </c>
      <c r="B50" s="11">
        <f>IF(VLOOKUP(A50,'DB Country PMI'!$A:$V,MATCH($A$1,'DB Country PMI'!$A$1:$V$1,),)=0,#N/A,VLOOKUP(A50,'DB Country PMI'!$A:$V,MATCH($A$1,'DB Country PMI'!$A$1:$V$1,),))</f>
        <v>55.8</v>
      </c>
      <c r="C50" s="14">
        <f>Table1[[#This Row],[PMI]]-B49</f>
        <v>1.1999999999999957</v>
      </c>
    </row>
    <row r="51" spans="1:3" x14ac:dyDescent="0.2">
      <c r="A51" s="8">
        <v>41821</v>
      </c>
      <c r="B51" s="11">
        <f>IF(VLOOKUP(A51,'DB Country PMI'!$A:$V,MATCH($A$1,'DB Country PMI'!$A$1:$V$1,),)=0,#N/A,VLOOKUP(A51,'DB Country PMI'!$A:$V,MATCH($A$1,'DB Country PMI'!$A$1:$V$1,),))</f>
        <v>56</v>
      </c>
      <c r="C51" s="14">
        <f>Table1[[#This Row],[PMI]]-B50</f>
        <v>0.20000000000000284</v>
      </c>
    </row>
    <row r="52" spans="1:3" x14ac:dyDescent="0.2">
      <c r="A52" s="8">
        <v>41852</v>
      </c>
      <c r="B52" s="11">
        <f>IF(VLOOKUP(A52,'DB Country PMI'!$A:$V,MATCH($A$1,'DB Country PMI'!$A$1:$V$1,),)=0,#N/A,VLOOKUP(A52,'DB Country PMI'!$A:$V,MATCH($A$1,'DB Country PMI'!$A$1:$V$1,),))</f>
        <v>55.5</v>
      </c>
      <c r="C52" s="14">
        <f>Table1[[#This Row],[PMI]]-B51</f>
        <v>-0.5</v>
      </c>
    </row>
    <row r="53" spans="1:3" x14ac:dyDescent="0.2">
      <c r="A53" s="8">
        <v>41883</v>
      </c>
      <c r="B53" s="11">
        <f>IF(VLOOKUP(A53,'DB Country PMI'!$A:$V,MATCH($A$1,'DB Country PMI'!$A$1:$V$1,),)=0,#N/A,VLOOKUP(A53,'DB Country PMI'!$A:$V,MATCH($A$1,'DB Country PMI'!$A$1:$V$1,),))</f>
        <v>55.3</v>
      </c>
      <c r="C53" s="14">
        <f>Table1[[#This Row],[PMI]]-B52</f>
        <v>-0.20000000000000284</v>
      </c>
    </row>
    <row r="54" spans="1:3" x14ac:dyDescent="0.2">
      <c r="A54" s="8">
        <v>41913</v>
      </c>
      <c r="B54" s="11">
        <f>IF(VLOOKUP(A54,'DB Country PMI'!$A:$V,MATCH($A$1,'DB Country PMI'!$A$1:$V$1,),)=0,#N/A,VLOOKUP(A54,'DB Country PMI'!$A:$V,MATCH($A$1,'DB Country PMI'!$A$1:$V$1,),))</f>
        <v>53.7</v>
      </c>
      <c r="C54" s="14">
        <f>Table1[[#This Row],[PMI]]-B53</f>
        <v>-1.5999999999999943</v>
      </c>
    </row>
    <row r="55" spans="1:3" x14ac:dyDescent="0.2">
      <c r="A55" s="8">
        <v>41944</v>
      </c>
      <c r="B55" s="11">
        <f>IF(VLOOKUP(A55,'DB Country PMI'!$A:$V,MATCH($A$1,'DB Country PMI'!$A$1:$V$1,),)=0,#N/A,VLOOKUP(A55,'DB Country PMI'!$A:$V,MATCH($A$1,'DB Country PMI'!$A$1:$V$1,),))</f>
        <v>53.5</v>
      </c>
      <c r="C55" s="14">
        <f>Table1[[#This Row],[PMI]]-B54</f>
        <v>-0.20000000000000284</v>
      </c>
    </row>
    <row r="56" spans="1:3" x14ac:dyDescent="0.2">
      <c r="A56" s="8">
        <v>41974</v>
      </c>
      <c r="B56" s="11">
        <f>IF(VLOOKUP(A56,'DB Country PMI'!$A:$V,MATCH($A$1,'DB Country PMI'!$A$1:$V$1,),)=0,#N/A,VLOOKUP(A56,'DB Country PMI'!$A:$V,MATCH($A$1,'DB Country PMI'!$A$1:$V$1,),))</f>
        <v>52.3</v>
      </c>
      <c r="C56" s="14">
        <f>Table1[[#This Row],[PMI]]-B55</f>
        <v>-1.2000000000000028</v>
      </c>
    </row>
    <row r="57" spans="1:3" x14ac:dyDescent="0.2">
      <c r="A57" s="8">
        <v>42005</v>
      </c>
      <c r="B57" s="11">
        <f>IF(VLOOKUP(A57,'DB Country PMI'!$A:$V,MATCH($A$1,'DB Country PMI'!$A$1:$V$1,),)=0,#N/A,VLOOKUP(A57,'DB Country PMI'!$A:$V,MATCH($A$1,'DB Country PMI'!$A$1:$V$1,),))</f>
        <v>52.9</v>
      </c>
      <c r="C57" s="14">
        <f>Table1[[#This Row],[PMI]]-B56</f>
        <v>0.60000000000000142</v>
      </c>
    </row>
    <row r="58" spans="1:3" x14ac:dyDescent="0.2">
      <c r="A58" s="8">
        <v>42036</v>
      </c>
      <c r="B58" s="11">
        <f>IF(VLOOKUP(A58,'DB Country PMI'!$A:$V,MATCH($A$1,'DB Country PMI'!$A$1:$V$1,),)=0,#N/A,VLOOKUP(A58,'DB Country PMI'!$A:$V,MATCH($A$1,'DB Country PMI'!$A$1:$V$1,),))</f>
        <v>54.1</v>
      </c>
      <c r="C58" s="14">
        <f>Table1[[#This Row],[PMI]]-B57</f>
        <v>1.2000000000000028</v>
      </c>
    </row>
    <row r="59" spans="1:3" x14ac:dyDescent="0.2">
      <c r="A59" s="8">
        <v>42064</v>
      </c>
      <c r="B59" s="11">
        <f>IF(VLOOKUP(A59,'DB Country PMI'!$A:$V,MATCH($A$1,'DB Country PMI'!$A$1:$V$1,),)=0,#N/A,VLOOKUP(A59,'DB Country PMI'!$A:$V,MATCH($A$1,'DB Country PMI'!$A$1:$V$1,),))</f>
        <v>55.1</v>
      </c>
      <c r="C59" s="14">
        <f>Table1[[#This Row],[PMI]]-B58</f>
        <v>1</v>
      </c>
    </row>
    <row r="60" spans="1:3" x14ac:dyDescent="0.2">
      <c r="A60" s="8">
        <v>42095</v>
      </c>
      <c r="B60" s="11">
        <f>IF(VLOOKUP(A60,'DB Country PMI'!$A:$V,MATCH($A$1,'DB Country PMI'!$A$1:$V$1,),)=0,#N/A,VLOOKUP(A60,'DB Country PMI'!$A:$V,MATCH($A$1,'DB Country PMI'!$A$1:$V$1,),))</f>
        <v>54.8</v>
      </c>
      <c r="C60" s="14">
        <f>Table1[[#This Row],[PMI]]-B59</f>
        <v>-0.30000000000000426</v>
      </c>
    </row>
    <row r="61" spans="1:3" x14ac:dyDescent="0.2">
      <c r="A61" s="8">
        <v>42125</v>
      </c>
      <c r="B61" s="11">
        <f>IF(VLOOKUP(A61,'DB Country PMI'!$A:$V,MATCH($A$1,'DB Country PMI'!$A$1:$V$1,),)=0,#N/A,VLOOKUP(A61,'DB Country PMI'!$A:$V,MATCH($A$1,'DB Country PMI'!$A$1:$V$1,),))</f>
        <v>54.1</v>
      </c>
      <c r="C61" s="14">
        <f>Table1[[#This Row],[PMI]]-B60</f>
        <v>-0.69999999999999574</v>
      </c>
    </row>
    <row r="62" spans="1:3" x14ac:dyDescent="0.2">
      <c r="A62" s="8">
        <v>42156</v>
      </c>
      <c r="B62" s="11">
        <f>IF(VLOOKUP(A62,'DB Country PMI'!$A:$V,MATCH($A$1,'DB Country PMI'!$A$1:$V$1,),)=0,#N/A,VLOOKUP(A62,'DB Country PMI'!$A:$V,MATCH($A$1,'DB Country PMI'!$A$1:$V$1,),))</f>
        <v>53.5</v>
      </c>
      <c r="C62" s="14">
        <f>Table1[[#This Row],[PMI]]-B61</f>
        <v>-0.60000000000000142</v>
      </c>
    </row>
    <row r="63" spans="1:3" x14ac:dyDescent="0.2">
      <c r="A63" s="8">
        <v>42186</v>
      </c>
      <c r="B63" s="11">
        <f>IF(VLOOKUP(A63,'DB Country PMI'!$A:$V,MATCH($A$1,'DB Country PMI'!$A$1:$V$1,),)=0,#N/A,VLOOKUP(A63,'DB Country PMI'!$A:$V,MATCH($A$1,'DB Country PMI'!$A$1:$V$1,),))</f>
        <v>53.9</v>
      </c>
      <c r="C63" s="14">
        <f>Table1[[#This Row],[PMI]]-B62</f>
        <v>0.39999999999999858</v>
      </c>
    </row>
    <row r="64" spans="1:3" x14ac:dyDescent="0.2">
      <c r="A64" s="8">
        <v>42217</v>
      </c>
      <c r="B64" s="11">
        <f>IF(VLOOKUP(A64,'DB Country PMI'!$A:$V,MATCH($A$1,'DB Country PMI'!$A$1:$V$1,),)=0,#N/A,VLOOKUP(A64,'DB Country PMI'!$A:$V,MATCH($A$1,'DB Country PMI'!$A$1:$V$1,),))</f>
        <v>54.4</v>
      </c>
      <c r="C64" s="14">
        <f>Table1[[#This Row],[PMI]]-B63</f>
        <v>0.5</v>
      </c>
    </row>
    <row r="65" spans="1:3" x14ac:dyDescent="0.2">
      <c r="A65" s="8">
        <v>42248</v>
      </c>
      <c r="B65" s="11">
        <f>IF(VLOOKUP(A65,'DB Country PMI'!$A:$V,MATCH($A$1,'DB Country PMI'!$A$1:$V$1,),)=0,#N/A,VLOOKUP(A65,'DB Country PMI'!$A:$V,MATCH($A$1,'DB Country PMI'!$A$1:$V$1,),))</f>
        <v>53.3</v>
      </c>
      <c r="C65" s="14">
        <f>Table1[[#This Row],[PMI]]-B64</f>
        <v>-1.1000000000000014</v>
      </c>
    </row>
    <row r="66" spans="1:3" x14ac:dyDescent="0.2">
      <c r="A66" s="8">
        <v>42278</v>
      </c>
      <c r="B66" s="11">
        <f>IF(VLOOKUP(A66,'DB Country PMI'!$A:$V,MATCH($A$1,'DB Country PMI'!$A$1:$V$1,),)=0,#N/A,VLOOKUP(A66,'DB Country PMI'!$A:$V,MATCH($A$1,'DB Country PMI'!$A$1:$V$1,),))</f>
        <v>53.7</v>
      </c>
      <c r="C66" s="14">
        <f>Table1[[#This Row],[PMI]]-B65</f>
        <v>0.40000000000000568</v>
      </c>
    </row>
    <row r="67" spans="1:3" x14ac:dyDescent="0.2">
      <c r="A67" s="8">
        <v>42309</v>
      </c>
      <c r="B67" s="11">
        <f>IF(VLOOKUP(A67,'DB Country PMI'!$A:$V,MATCH($A$1,'DB Country PMI'!$A$1:$V$1,),)=0,#N/A,VLOOKUP(A67,'DB Country PMI'!$A:$V,MATCH($A$1,'DB Country PMI'!$A$1:$V$1,),))</f>
        <v>54.1</v>
      </c>
      <c r="C67" s="14">
        <f>Table1[[#This Row],[PMI]]-B66</f>
        <v>0.39999999999999858</v>
      </c>
    </row>
    <row r="68" spans="1:3" x14ac:dyDescent="0.2">
      <c r="A68" s="8">
        <v>42339</v>
      </c>
      <c r="B68" s="11">
        <f>IF(VLOOKUP(A68,'DB Country PMI'!$A:$V,MATCH($A$1,'DB Country PMI'!$A$1:$V$1,),)=0,#N/A,VLOOKUP(A68,'DB Country PMI'!$A:$V,MATCH($A$1,'DB Country PMI'!$A$1:$V$1,),))</f>
        <v>53.1</v>
      </c>
      <c r="C68" s="14">
        <f>Table1[[#This Row],[PMI]]-B67</f>
        <v>-1</v>
      </c>
    </row>
    <row r="69" spans="1:3" x14ac:dyDescent="0.2">
      <c r="A69" s="8">
        <v>42370</v>
      </c>
      <c r="B69" s="11">
        <f>IF(VLOOKUP(A69,'DB Country PMI'!$A:$V,MATCH($A$1,'DB Country PMI'!$A$1:$V$1,),)=0,#N/A,VLOOKUP(A69,'DB Country PMI'!$A:$V,MATCH($A$1,'DB Country PMI'!$A$1:$V$1,),))</f>
        <v>52.8</v>
      </c>
      <c r="C69" s="14">
        <f>Table1[[#This Row],[PMI]]-B68</f>
        <v>-0.30000000000000426</v>
      </c>
    </row>
    <row r="70" spans="1:3" x14ac:dyDescent="0.2">
      <c r="A70" s="8">
        <v>42401</v>
      </c>
      <c r="B70" s="11">
        <f>IF(VLOOKUP(A70,'DB Country PMI'!$A:$V,MATCH($A$1,'DB Country PMI'!$A$1:$V$1,),)=0,#N/A,VLOOKUP(A70,'DB Country PMI'!$A:$V,MATCH($A$1,'DB Country PMI'!$A$1:$V$1,),))</f>
        <v>50.7</v>
      </c>
      <c r="C70" s="14">
        <f>Table1[[#This Row],[PMI]]-B69</f>
        <v>-2.0999999999999943</v>
      </c>
    </row>
    <row r="71" spans="1:3" x14ac:dyDescent="0.2">
      <c r="A71" s="8">
        <v>42430</v>
      </c>
      <c r="B71" s="11">
        <f>IF(VLOOKUP(A71,'DB Country PMI'!$A:$V,MATCH($A$1,'DB Country PMI'!$A$1:$V$1,),)=0,#N/A,VLOOKUP(A71,'DB Country PMI'!$A:$V,MATCH($A$1,'DB Country PMI'!$A$1:$V$1,),))</f>
        <v>51.4</v>
      </c>
      <c r="C71" s="14">
        <f>Table1[[#This Row],[PMI]]-B70</f>
        <v>0.69999999999999574</v>
      </c>
    </row>
    <row r="72" spans="1:3" x14ac:dyDescent="0.2">
      <c r="A72" s="8">
        <v>42461</v>
      </c>
      <c r="B72" s="11">
        <f>IF(VLOOKUP(A72,'DB Country PMI'!$A:$V,MATCH($A$1,'DB Country PMI'!$A$1:$V$1,),)=0,#N/A,VLOOKUP(A72,'DB Country PMI'!$A:$V,MATCH($A$1,'DB Country PMI'!$A$1:$V$1,),))</f>
        <v>51.9</v>
      </c>
      <c r="C72" s="14">
        <f>Table1[[#This Row],[PMI]]-B71</f>
        <v>0.5</v>
      </c>
    </row>
    <row r="73" spans="1:3" x14ac:dyDescent="0.2">
      <c r="A73" s="8">
        <v>42491</v>
      </c>
      <c r="B73" s="11">
        <f>IF(VLOOKUP(A73,'DB Country PMI'!$A:$V,MATCH($A$1,'DB Country PMI'!$A$1:$V$1,),)=0,#N/A,VLOOKUP(A73,'DB Country PMI'!$A:$V,MATCH($A$1,'DB Country PMI'!$A$1:$V$1,),))</f>
        <v>52.8</v>
      </c>
      <c r="C73" s="14">
        <f>Table1[[#This Row],[PMI]]-B72</f>
        <v>0.89999999999999858</v>
      </c>
    </row>
    <row r="74" spans="1:3" x14ac:dyDescent="0.2">
      <c r="A74" s="8">
        <v>42522</v>
      </c>
      <c r="B74" s="11">
        <f>IF(VLOOKUP(A74,'DB Country PMI'!$A:$V,MATCH($A$1,'DB Country PMI'!$A$1:$V$1,),)=0,#N/A,VLOOKUP(A74,'DB Country PMI'!$A:$V,MATCH($A$1,'DB Country PMI'!$A$1:$V$1,),))</f>
        <v>51.3</v>
      </c>
      <c r="C74" s="14">
        <f>Table1[[#This Row],[PMI]]-B73</f>
        <v>-1.5</v>
      </c>
    </row>
    <row r="75" spans="1:3" x14ac:dyDescent="0.2">
      <c r="A75" s="8">
        <v>42552</v>
      </c>
      <c r="B75" s="11">
        <f>IF(VLOOKUP(A75,'DB Country PMI'!$A:$V,MATCH($A$1,'DB Country PMI'!$A$1:$V$1,),)=0,#N/A,VLOOKUP(A75,'DB Country PMI'!$A:$V,MATCH($A$1,'DB Country PMI'!$A$1:$V$1,),))</f>
        <v>51.3</v>
      </c>
      <c r="C75" s="14">
        <f>Table1[[#This Row],[PMI]]-B74</f>
        <v>0</v>
      </c>
    </row>
    <row r="76" spans="1:3" x14ac:dyDescent="0.2">
      <c r="A76" s="8">
        <v>42583</v>
      </c>
      <c r="B76" s="11">
        <f>IF(VLOOKUP(A76,'DB Country PMI'!$A:$V,MATCH($A$1,'DB Country PMI'!$A$1:$V$1,),)=0,#N/A,VLOOKUP(A76,'DB Country PMI'!$A:$V,MATCH($A$1,'DB Country PMI'!$A$1:$V$1,),))</f>
        <v>51.5</v>
      </c>
      <c r="C76" s="14">
        <f>Table1[[#This Row],[PMI]]-B75</f>
        <v>0.20000000000000284</v>
      </c>
    </row>
    <row r="77" spans="1:3" x14ac:dyDescent="0.2">
      <c r="A77" s="8">
        <v>42614</v>
      </c>
      <c r="B77" s="11">
        <f>IF(VLOOKUP(A77,'DB Country PMI'!$A:$V,MATCH($A$1,'DB Country PMI'!$A$1:$V$1,),)=0,#N/A,VLOOKUP(A77,'DB Country PMI'!$A:$V,MATCH($A$1,'DB Country PMI'!$A$1:$V$1,),))</f>
        <v>51.6</v>
      </c>
      <c r="C77" s="14">
        <f>Table1[[#This Row],[PMI]]-B76</f>
        <v>0.10000000000000142</v>
      </c>
    </row>
    <row r="78" spans="1:3" x14ac:dyDescent="0.2">
      <c r="A78" s="8">
        <v>42644</v>
      </c>
      <c r="B78" s="11">
        <f>IF(VLOOKUP(A78,'DB Country PMI'!$A:$V,MATCH($A$1,'DB Country PMI'!$A$1:$V$1,),)=0,#N/A,VLOOKUP(A78,'DB Country PMI'!$A:$V,MATCH($A$1,'DB Country PMI'!$A$1:$V$1,),))</f>
        <v>53.2</v>
      </c>
      <c r="C78" s="14">
        <f>Table1[[#This Row],[PMI]]-B77</f>
        <v>1.6000000000000014</v>
      </c>
    </row>
    <row r="79" spans="1:3" x14ac:dyDescent="0.2">
      <c r="A79" s="8">
        <v>42675</v>
      </c>
      <c r="B79" s="11">
        <f>IF(VLOOKUP(A79,'DB Country PMI'!$A:$V,MATCH($A$1,'DB Country PMI'!$A$1:$V$1,),)=0,#N/A,VLOOKUP(A79,'DB Country PMI'!$A:$V,MATCH($A$1,'DB Country PMI'!$A$1:$V$1,),))</f>
        <v>53.3</v>
      </c>
      <c r="C79" s="14">
        <f>Table1[[#This Row],[PMI]]-B78</f>
        <v>9.9999999999994316E-2</v>
      </c>
    </row>
    <row r="80" spans="1:3" x14ac:dyDescent="0.2">
      <c r="A80" s="8">
        <v>42705</v>
      </c>
      <c r="B80" s="11">
        <f>IF(VLOOKUP(A80,'DB Country PMI'!$A:$V,MATCH($A$1,'DB Country PMI'!$A$1:$V$1,),)=0,#N/A,VLOOKUP(A80,'DB Country PMI'!$A:$V,MATCH($A$1,'DB Country PMI'!$A$1:$V$1,),))</f>
        <v>53.3</v>
      </c>
      <c r="C80" s="14">
        <f>Table1[[#This Row],[PMI]]-B79</f>
        <v>0</v>
      </c>
    </row>
    <row r="81" spans="1:3" x14ac:dyDescent="0.2">
      <c r="A81" s="8">
        <v>42736</v>
      </c>
      <c r="B81" s="11">
        <f>IF(VLOOKUP(A81,'DB Country PMI'!$A:$V,MATCH($A$1,'DB Country PMI'!$A$1:$V$1,),)=0,#N/A,VLOOKUP(A81,'DB Country PMI'!$A:$V,MATCH($A$1,'DB Country PMI'!$A$1:$V$1,),))</f>
        <v>53.9</v>
      </c>
      <c r="C81" s="14">
        <f>Table1[[#This Row],[PMI]]-B80</f>
        <v>0.60000000000000142</v>
      </c>
    </row>
    <row r="82" spans="1:3" x14ac:dyDescent="0.2">
      <c r="A82" s="8">
        <v>42767</v>
      </c>
      <c r="B82" s="11">
        <f>IF(VLOOKUP(A82,'DB Country PMI'!$A:$V,MATCH($A$1,'DB Country PMI'!$A$1:$V$1,),)=0,#N/A,VLOOKUP(A82,'DB Country PMI'!$A:$V,MATCH($A$1,'DB Country PMI'!$A$1:$V$1,),))</f>
        <v>53.3</v>
      </c>
      <c r="C82" s="14">
        <f>Table1[[#This Row],[PMI]]-B81</f>
        <v>-0.60000000000000142</v>
      </c>
    </row>
    <row r="83" spans="1:3" x14ac:dyDescent="0.2">
      <c r="A83" s="8">
        <v>42795</v>
      </c>
      <c r="B83" s="11">
        <f>IF(VLOOKUP(A83,'DB Country PMI'!$A:$V,MATCH($A$1,'DB Country PMI'!$A$1:$V$1,),)=0,#N/A,VLOOKUP(A83,'DB Country PMI'!$A:$V,MATCH($A$1,'DB Country PMI'!$A$1:$V$1,),))</f>
        <v>53.6</v>
      </c>
      <c r="C83" s="14">
        <f>Table1[[#This Row],[PMI]]-B82</f>
        <v>0.30000000000000426</v>
      </c>
    </row>
    <row r="84" spans="1:3" x14ac:dyDescent="0.2">
      <c r="A84" s="8">
        <v>42826</v>
      </c>
      <c r="B84" s="11">
        <f>IF(VLOOKUP(A84,'DB Country PMI'!$A:$V,MATCH($A$1,'DB Country PMI'!$A$1:$V$1,),)=0,#N/A,VLOOKUP(A84,'DB Country PMI'!$A:$V,MATCH($A$1,'DB Country PMI'!$A$1:$V$1,),))</f>
        <v>53.6</v>
      </c>
      <c r="C84" s="14">
        <f>Table1[[#This Row],[PMI]]-B83</f>
        <v>0</v>
      </c>
    </row>
    <row r="85" spans="1:3" x14ac:dyDescent="0.2">
      <c r="A85" s="8">
        <v>42856</v>
      </c>
      <c r="B85" s="11">
        <f>IF(VLOOKUP(A85,'DB Country PMI'!$A:$V,MATCH($A$1,'DB Country PMI'!$A$1:$V$1,),)=0,#N/A,VLOOKUP(A85,'DB Country PMI'!$A:$V,MATCH($A$1,'DB Country PMI'!$A$1:$V$1,),))</f>
        <v>53.8</v>
      </c>
      <c r="C85" s="14">
        <f>Table1[[#This Row],[PMI]]-B84</f>
        <v>0.19999999999999574</v>
      </c>
    </row>
    <row r="86" spans="1:3" x14ac:dyDescent="0.2">
      <c r="A86" s="8">
        <v>42887</v>
      </c>
      <c r="B86" s="11">
        <f>IF(VLOOKUP(A86,'DB Country PMI'!$A:$V,MATCH($A$1,'DB Country PMI'!$A$1:$V$1,),)=0,#N/A,VLOOKUP(A86,'DB Country PMI'!$A:$V,MATCH($A$1,'DB Country PMI'!$A$1:$V$1,),))</f>
        <v>53.8</v>
      </c>
      <c r="C86" s="14">
        <f>Table1[[#This Row],[PMI]]-B85</f>
        <v>0</v>
      </c>
    </row>
    <row r="87" spans="1:3" x14ac:dyDescent="0.2">
      <c r="A87" s="8">
        <v>42917</v>
      </c>
      <c r="B87" s="11">
        <f>IF(VLOOKUP(A87,'DB Country PMI'!$A:$V,MATCH($A$1,'DB Country PMI'!$A$1:$V$1,),)=0,#N/A,VLOOKUP(A87,'DB Country PMI'!$A:$V,MATCH($A$1,'DB Country PMI'!$A$1:$V$1,),))</f>
        <v>53.7</v>
      </c>
      <c r="C87" s="14">
        <f>Table1[[#This Row],[PMI]]-B86</f>
        <v>-9.9999999999994316E-2</v>
      </c>
    </row>
    <row r="88" spans="1:3" x14ac:dyDescent="0.2">
      <c r="A88" s="8">
        <v>42948</v>
      </c>
      <c r="B88" s="11">
        <f>IF(VLOOKUP(A88,'DB Country PMI'!$A:$V,MATCH($A$1,'DB Country PMI'!$A$1:$V$1,),)=0,#N/A,VLOOKUP(A88,'DB Country PMI'!$A:$V,MATCH($A$1,'DB Country PMI'!$A$1:$V$1,),))</f>
        <v>54.1</v>
      </c>
      <c r="C88" s="14">
        <f>Table1[[#This Row],[PMI]]-B87</f>
        <v>0.39999999999999858</v>
      </c>
    </row>
    <row r="89" spans="1:3" x14ac:dyDescent="0.2">
      <c r="A89" s="8">
        <v>42979</v>
      </c>
      <c r="B89" s="11">
        <f>IF(VLOOKUP(A89,'DB Country PMI'!$A:$V,MATCH($A$1,'DB Country PMI'!$A$1:$V$1,),)=0,#N/A,VLOOKUP(A89,'DB Country PMI'!$A:$V,MATCH($A$1,'DB Country PMI'!$A$1:$V$1,),))</f>
        <v>54</v>
      </c>
      <c r="C89" s="14">
        <f>Table1[[#This Row],[PMI]]-B88</f>
        <v>-0.10000000000000142</v>
      </c>
    </row>
    <row r="90" spans="1:3" x14ac:dyDescent="0.2">
      <c r="A90" s="8">
        <v>43009</v>
      </c>
      <c r="B90" s="11">
        <f>IF(VLOOKUP(A90,'DB Country PMI'!$A:$V,MATCH($A$1,'DB Country PMI'!$A$1:$V$1,),)=0,#N/A,VLOOKUP(A90,'DB Country PMI'!$A:$V,MATCH($A$1,'DB Country PMI'!$A$1:$V$1,),))</f>
        <v>54.1</v>
      </c>
      <c r="C90" s="14">
        <f>Table1[[#This Row],[PMI]]-B89</f>
        <v>0.10000000000000142</v>
      </c>
    </row>
    <row r="91" spans="1:3" x14ac:dyDescent="0.2">
      <c r="A91" s="8">
        <v>43040</v>
      </c>
      <c r="B91" s="11">
        <f>IF(VLOOKUP(A91,'DB Country PMI'!$A:$V,MATCH($A$1,'DB Country PMI'!$A$1:$V$1,),)=0,#N/A,VLOOKUP(A91,'DB Country PMI'!$A:$V,MATCH($A$1,'DB Country PMI'!$A$1:$V$1,),))</f>
        <v>53.7</v>
      </c>
      <c r="C91" s="14">
        <f>Table1[[#This Row],[PMI]]-B90</f>
        <v>-0.39999999999999858</v>
      </c>
    </row>
    <row r="92" spans="1:3" x14ac:dyDescent="0.2">
      <c r="A92" s="8">
        <v>43070</v>
      </c>
      <c r="B92" s="11">
        <f>IF(VLOOKUP(A92,'DB Country PMI'!$A:$V,MATCH($A$1,'DB Country PMI'!$A$1:$V$1,),)=0,#N/A,VLOOKUP(A92,'DB Country PMI'!$A:$V,MATCH($A$1,'DB Country PMI'!$A$1:$V$1,),))</f>
        <v>53.8</v>
      </c>
      <c r="C92" s="14">
        <f>Table1[[#This Row],[PMI]]-B91</f>
        <v>9.9999999999994316E-2</v>
      </c>
    </row>
    <row r="93" spans="1:3" x14ac:dyDescent="0.2">
      <c r="A93" s="8">
        <v>43101</v>
      </c>
      <c r="B93" s="11">
        <f>IF(VLOOKUP(A93,'DB Country PMI'!$A:$V,MATCH($A$1,'DB Country PMI'!$A$1:$V$1,),)=0,#N/A,VLOOKUP(A93,'DB Country PMI'!$A:$V,MATCH($A$1,'DB Country PMI'!$A$1:$V$1,),))</f>
        <v>54.1</v>
      </c>
      <c r="C93" s="14">
        <f>Table1[[#This Row],[PMI]]-B92</f>
        <v>0.30000000000000426</v>
      </c>
    </row>
    <row r="94" spans="1:3" x14ac:dyDescent="0.2">
      <c r="A94" s="8">
        <v>43132</v>
      </c>
      <c r="B94" s="11">
        <f>IF(VLOOKUP(A94,'DB Country PMI'!$A:$V,MATCH($A$1,'DB Country PMI'!$A$1:$V$1,),)=0,#N/A,VLOOKUP(A94,'DB Country PMI'!$A:$V,MATCH($A$1,'DB Country PMI'!$A$1:$V$1,),))</f>
        <v>54.8</v>
      </c>
      <c r="C94" s="14">
        <f>Table1[[#This Row],[PMI]]-B93</f>
        <v>0.69999999999999574</v>
      </c>
    </row>
    <row r="95" spans="1:3" x14ac:dyDescent="0.2">
      <c r="A95" s="8">
        <v>43160</v>
      </c>
      <c r="B95" s="11">
        <f>IF(VLOOKUP(A95,'DB Country PMI'!$A:$V,MATCH($A$1,'DB Country PMI'!$A$1:$V$1,),)=0,#N/A,VLOOKUP(A95,'DB Country PMI'!$A:$V,MATCH($A$1,'DB Country PMI'!$A$1:$V$1,),))</f>
        <v>53.2</v>
      </c>
      <c r="C95" s="14">
        <f>Table1[[#This Row],[PMI]]-B94</f>
        <v>-1.5999999999999943</v>
      </c>
    </row>
    <row r="96" spans="1:3" x14ac:dyDescent="0.2">
      <c r="A96" s="8">
        <v>43191</v>
      </c>
      <c r="B96" s="11">
        <f>IF(VLOOKUP(A96,'DB Country PMI'!$A:$V,MATCH($A$1,'DB Country PMI'!$A$1:$V$1,),)=0,#N/A,VLOOKUP(A96,'DB Country PMI'!$A:$V,MATCH($A$1,'DB Country PMI'!$A$1:$V$1,),))</f>
        <v>53.8</v>
      </c>
      <c r="C96" s="14">
        <f>Table1[[#This Row],[PMI]]-B95</f>
        <v>0.59999999999999432</v>
      </c>
    </row>
    <row r="97" spans="1:3" x14ac:dyDescent="0.2">
      <c r="A97" s="8">
        <v>43221</v>
      </c>
      <c r="B97" s="11">
        <f>IF(VLOOKUP(A97,'DB Country PMI'!$A:$V,MATCH($A$1,'DB Country PMI'!$A$1:$V$1,),)=0,#N/A,VLOOKUP(A97,'DB Country PMI'!$A:$V,MATCH($A$1,'DB Country PMI'!$A$1:$V$1,),))</f>
        <v>54.3</v>
      </c>
      <c r="C97" s="14">
        <f>Table1[[#This Row],[PMI]]-B96</f>
        <v>0.5</v>
      </c>
    </row>
    <row r="98" spans="1:3" x14ac:dyDescent="0.2">
      <c r="A98" s="8">
        <v>43252</v>
      </c>
      <c r="B98" s="11">
        <f>IF(VLOOKUP(A98,'DB Country PMI'!$A:$V,MATCH($A$1,'DB Country PMI'!$A$1:$V$1,),)=0,#N/A,VLOOKUP(A98,'DB Country PMI'!$A:$V,MATCH($A$1,'DB Country PMI'!$A$1:$V$1,),))</f>
        <v>54.6</v>
      </c>
      <c r="C98" s="14">
        <f>Table1[[#This Row],[PMI]]-B97</f>
        <v>0.30000000000000426</v>
      </c>
    </row>
    <row r="99" spans="1:3" x14ac:dyDescent="0.2">
      <c r="A99" s="8">
        <v>43282</v>
      </c>
      <c r="B99" s="11">
        <f>IF(VLOOKUP(A99,'DB Country PMI'!$A:$V,MATCH($A$1,'DB Country PMI'!$A$1:$V$1,),)=0,#N/A,VLOOKUP(A99,'DB Country PMI'!$A:$V,MATCH($A$1,'DB Country PMI'!$A$1:$V$1,),))</f>
        <v>54</v>
      </c>
      <c r="C99" s="14">
        <f>Table1[[#This Row],[PMI]]-B98</f>
        <v>-0.60000000000000142</v>
      </c>
    </row>
    <row r="100" spans="1:3" x14ac:dyDescent="0.2">
      <c r="A100" s="8">
        <v>43313</v>
      </c>
      <c r="B100" s="11">
        <f>IF(VLOOKUP(A100,'DB Country PMI'!$A:$V,MATCH($A$1,'DB Country PMI'!$A$1:$V$1,),)=0,#N/A,VLOOKUP(A100,'DB Country PMI'!$A:$V,MATCH($A$1,'DB Country PMI'!$A$1:$V$1,),))</f>
        <v>53.5</v>
      </c>
      <c r="C100" s="14">
        <f>Table1[[#This Row],[PMI]]-B99</f>
        <v>-0.5</v>
      </c>
    </row>
    <row r="101" spans="1:3" x14ac:dyDescent="0.2">
      <c r="A101" s="8">
        <v>43344</v>
      </c>
      <c r="B101" s="11">
        <f>IF(VLOOKUP(A101,'DB Country PMI'!$A:$V,MATCH($A$1,'DB Country PMI'!$A$1:$V$1,),)=0,#N/A,VLOOKUP(A101,'DB Country PMI'!$A:$V,MATCH($A$1,'DB Country PMI'!$A$1:$V$1,),))</f>
        <v>52.9</v>
      </c>
      <c r="C101" s="14">
        <f>Table1[[#This Row],[PMI]]-B100</f>
        <v>-0.60000000000000142</v>
      </c>
    </row>
    <row r="102" spans="1:3" x14ac:dyDescent="0.2">
      <c r="A102" s="8">
        <v>43374</v>
      </c>
      <c r="B102" s="11">
        <f>IF(VLOOKUP(A102,'DB Country PMI'!$A:$V,MATCH($A$1,'DB Country PMI'!$A$1:$V$1,),)=0,#N/A,VLOOKUP(A102,'DB Country PMI'!$A:$V,MATCH($A$1,'DB Country PMI'!$A$1:$V$1,),))</f>
        <v>53.4</v>
      </c>
      <c r="C102" s="14">
        <f>Table1[[#This Row],[PMI]]-B101</f>
        <v>0.5</v>
      </c>
    </row>
    <row r="103" spans="1:3" x14ac:dyDescent="0.2">
      <c r="A103" s="8">
        <v>43405</v>
      </c>
      <c r="B103" s="11">
        <f>IF(VLOOKUP(A103,'DB Country PMI'!$A:$V,MATCH($A$1,'DB Country PMI'!$A$1:$V$1,),)=0,#N/A,VLOOKUP(A103,'DB Country PMI'!$A:$V,MATCH($A$1,'DB Country PMI'!$A$1:$V$1,),))</f>
        <v>53.7</v>
      </c>
      <c r="C103" s="14">
        <f>Table1[[#This Row],[PMI]]-B102</f>
        <v>0.30000000000000426</v>
      </c>
    </row>
    <row r="104" spans="1:3" x14ac:dyDescent="0.2">
      <c r="A104" s="8">
        <v>43435</v>
      </c>
      <c r="B104" s="11">
        <f>IF(VLOOKUP(A104,'DB Country PMI'!$A:$V,MATCH($A$1,'DB Country PMI'!$A$1:$V$1,),)=0,#N/A,VLOOKUP(A104,'DB Country PMI'!$A:$V,MATCH($A$1,'DB Country PMI'!$A$1:$V$1,),))</f>
        <v>53</v>
      </c>
      <c r="C104" s="14">
        <f>Table1[[#This Row],[PMI]]-B103</f>
        <v>-0.70000000000000284</v>
      </c>
    </row>
    <row r="105" spans="1:3" x14ac:dyDescent="0.2">
      <c r="A105" s="8">
        <v>43466</v>
      </c>
      <c r="B105" s="11">
        <f>IF(VLOOKUP(A105,'DB Country PMI'!$A:$V,MATCH($A$1,'DB Country PMI'!$A$1:$V$1,),)=0,#N/A,VLOOKUP(A105,'DB Country PMI'!$A:$V,MATCH($A$1,'DB Country PMI'!$A$1:$V$1,),))</f>
        <v>52.6</v>
      </c>
      <c r="C105" s="14">
        <f>Table1[[#This Row],[PMI]]-B104</f>
        <v>-0.39999999999999858</v>
      </c>
    </row>
    <row r="106" spans="1:3" x14ac:dyDescent="0.2">
      <c r="A106" s="8">
        <v>43497</v>
      </c>
      <c r="B106" s="11">
        <f>IF(VLOOKUP(A106,'DB Country PMI'!$A:$V,MATCH($A$1,'DB Country PMI'!$A$1:$V$1,),)=0,#N/A,VLOOKUP(A106,'DB Country PMI'!$A:$V,MATCH($A$1,'DB Country PMI'!$A$1:$V$1,),))</f>
        <v>53.3</v>
      </c>
      <c r="C106" s="14">
        <f>Table1[[#This Row],[PMI]]-B105</f>
        <v>0.69999999999999574</v>
      </c>
    </row>
    <row r="107" spans="1:3" x14ac:dyDescent="0.2">
      <c r="A107" s="8">
        <v>43525</v>
      </c>
      <c r="B107" s="11">
        <f>IF(VLOOKUP(A107,'DB Country PMI'!$A:$V,MATCH($A$1,'DB Country PMI'!$A$1:$V$1,),)=0,#N/A,VLOOKUP(A107,'DB Country PMI'!$A:$V,MATCH($A$1,'DB Country PMI'!$A$1:$V$1,),))</f>
        <v>53.7</v>
      </c>
      <c r="C107" s="14">
        <f>Table1[[#This Row],[PMI]]-B106</f>
        <v>0.40000000000000568</v>
      </c>
    </row>
    <row r="108" spans="1:3" x14ac:dyDescent="0.2">
      <c r="A108" s="8">
        <v>43556</v>
      </c>
      <c r="B108" s="11">
        <f>IF(VLOOKUP(A108,'DB Country PMI'!$A:$V,MATCH($A$1,'DB Country PMI'!$A$1:$V$1,),)=0,#N/A,VLOOKUP(A108,'DB Country PMI'!$A:$V,MATCH($A$1,'DB Country PMI'!$A$1:$V$1,),))</f>
        <v>52.7</v>
      </c>
      <c r="C108" s="14">
        <f>Table1[[#This Row],[PMI]]-B107</f>
        <v>-1</v>
      </c>
    </row>
    <row r="109" spans="1:3" x14ac:dyDescent="0.2">
      <c r="A109" s="8">
        <v>43586</v>
      </c>
      <c r="B109" s="11">
        <f>IF(VLOOKUP(A109,'DB Country PMI'!$A:$V,MATCH($A$1,'DB Country PMI'!$A$1:$V$1,),)=0,#N/A,VLOOKUP(A109,'DB Country PMI'!$A:$V,MATCH($A$1,'DB Country PMI'!$A$1:$V$1,),))</f>
        <v>51.6</v>
      </c>
      <c r="C109" s="14">
        <f>Table1[[#This Row],[PMI]]-B108</f>
        <v>-1.1000000000000014</v>
      </c>
    </row>
    <row r="110" spans="1:3" x14ac:dyDescent="0.2">
      <c r="A110" s="8">
        <v>43617</v>
      </c>
      <c r="B110" s="11">
        <f>IF(VLOOKUP(A110,'DB Country PMI'!$A:$V,MATCH($A$1,'DB Country PMI'!$A$1:$V$1,),)=0,#N/A,VLOOKUP(A110,'DB Country PMI'!$A:$V,MATCH($A$1,'DB Country PMI'!$A$1:$V$1,),))</f>
        <v>51.9</v>
      </c>
      <c r="C110" s="14">
        <f>Table1[[#This Row],[PMI]]-B109</f>
        <v>0.29999999999999716</v>
      </c>
    </row>
    <row r="111" spans="1:3" x14ac:dyDescent="0.2">
      <c r="A111" s="8">
        <v>43647</v>
      </c>
      <c r="B111" s="11">
        <f>IF(VLOOKUP(A111,'DB Country PMI'!$A:$V,MATCH($A$1,'DB Country PMI'!$A$1:$V$1,),)=0,#N/A,VLOOKUP(A111,'DB Country PMI'!$A:$V,MATCH($A$1,'DB Country PMI'!$A$1:$V$1,),))</f>
        <v>52.5</v>
      </c>
      <c r="C111" s="14">
        <f>Table1[[#This Row],[PMI]]-B110</f>
        <v>0.60000000000000142</v>
      </c>
    </row>
    <row r="112" spans="1:3" x14ac:dyDescent="0.2">
      <c r="A112" s="9">
        <v>43678</v>
      </c>
      <c r="B112" s="11">
        <f>IF(VLOOKUP(A112,'DB Country PMI'!$A:$V,MATCH($A$1,'DB Country PMI'!$A$1:$V$1,),)=0,#N/A,VLOOKUP(A112,'DB Country PMI'!$A:$V,MATCH($A$1,'DB Country PMI'!$A$1:$V$1,),))</f>
        <v>51.8</v>
      </c>
      <c r="C112" s="14">
        <f>Table1[[#This Row],[PMI]]-B111</f>
        <v>-0.70000000000000284</v>
      </c>
    </row>
    <row r="113" spans="1:3" x14ac:dyDescent="0.2">
      <c r="A113" s="8">
        <v>43709</v>
      </c>
      <c r="B113" s="11">
        <f>IF(VLOOKUP(A113,'DB Country PMI'!$A:$V,MATCH($A$1,'DB Country PMI'!$A$1:$V$1,),)=0,#N/A,VLOOKUP(A113,'DB Country PMI'!$A:$V,MATCH($A$1,'DB Country PMI'!$A$1:$V$1,),))</f>
        <v>51.6</v>
      </c>
      <c r="C113" s="14">
        <f>Table1[[#This Row],[PMI]]-B112</f>
        <v>-0.19999999999999574</v>
      </c>
    </row>
    <row r="114" spans="1:3" x14ac:dyDescent="0.2">
      <c r="A114" s="9">
        <v>43739</v>
      </c>
      <c r="B114" s="11">
        <f>IF(VLOOKUP(A114,'DB Country PMI'!$A:$V,MATCH($A$1,'DB Country PMI'!$A$1:$V$1,),)=0,#N/A,VLOOKUP(A114,'DB Country PMI'!$A:$V,MATCH($A$1,'DB Country PMI'!$A$1:$V$1,),))</f>
        <v>51</v>
      </c>
      <c r="C114" s="14">
        <f>Table1[[#This Row],[PMI]]-B113</f>
        <v>-0.60000000000000142</v>
      </c>
    </row>
    <row r="115" spans="1:3" x14ac:dyDescent="0.2">
      <c r="A115" s="8">
        <v>43770</v>
      </c>
      <c r="B115" s="11">
        <f>IF(VLOOKUP(A115,'DB Country PMI'!$A:$V,MATCH($A$1,'DB Country PMI'!$A$1:$V$1,),)=0,#N/A,VLOOKUP(A115,'DB Country PMI'!$A:$V,MATCH($A$1,'DB Country PMI'!$A$1:$V$1,),))</f>
        <v>51.6</v>
      </c>
      <c r="C115" s="14">
        <f>Table1[[#This Row],[PMI]]-B114</f>
        <v>0.60000000000000142</v>
      </c>
    </row>
    <row r="116" spans="1:3" x14ac:dyDescent="0.2">
      <c r="A116" s="9">
        <v>43800</v>
      </c>
      <c r="B116" s="11">
        <f>IF(VLOOKUP(A116,'DB Country PMI'!$A:$V,MATCH($A$1,'DB Country PMI'!$A$1:$V$1,),)=0,#N/A,VLOOKUP(A116,'DB Country PMI'!$A:$V,MATCH($A$1,'DB Country PMI'!$A$1:$V$1,),))</f>
        <v>52</v>
      </c>
      <c r="C116" s="14">
        <f>Table1[[#This Row],[PMI]]-B115</f>
        <v>0.39999999999999858</v>
      </c>
    </row>
    <row r="117" spans="1:3" x14ac:dyDescent="0.2">
      <c r="A117" s="8">
        <v>43831</v>
      </c>
      <c r="B117" s="11">
        <f>IF(VLOOKUP(A117,'DB Country PMI'!$A:$V,MATCH($A$1,'DB Country PMI'!$A$1:$V$1,),)=0,#N/A,VLOOKUP(A117,'DB Country PMI'!$A:$V,MATCH($A$1,'DB Country PMI'!$A$1:$V$1,),))</f>
        <v>52.7</v>
      </c>
      <c r="C117" s="14">
        <f>Table1[[#This Row],[PMI]]-B116</f>
        <v>0.70000000000000284</v>
      </c>
    </row>
    <row r="118" spans="1:3" x14ac:dyDescent="0.2">
      <c r="A118" s="9">
        <v>43862</v>
      </c>
      <c r="B118" s="11">
        <f>IF(VLOOKUP(A118,'DB Country PMI'!$A:$V,MATCH($A$1,'DB Country PMI'!$A$1:$V$1,),)=0,#N/A,VLOOKUP(A118,'DB Country PMI'!$A:$V,MATCH($A$1,'DB Country PMI'!$A$1:$V$1,),))</f>
        <v>47.1</v>
      </c>
      <c r="C118" s="14">
        <f>Table1[[#This Row],[PMI]]-B117</f>
        <v>-5.6000000000000014</v>
      </c>
    </row>
    <row r="119" spans="1:3" x14ac:dyDescent="0.2">
      <c r="A119" s="8">
        <v>43891</v>
      </c>
      <c r="B119" s="11">
        <f>IF(VLOOKUP(A119,'DB Country PMI'!$A:$V,MATCH($A$1,'DB Country PMI'!$A$1:$V$1,),)=0,#N/A,VLOOKUP(A119,'DB Country PMI'!$A:$V,MATCH($A$1,'DB Country PMI'!$A$1:$V$1,),))</f>
        <v>36.799999999999997</v>
      </c>
      <c r="C119" s="14">
        <f>Table1[[#This Row],[PMI]]-B118</f>
        <v>-10.300000000000004</v>
      </c>
    </row>
    <row r="120" spans="1:3" x14ac:dyDescent="0.2">
      <c r="A120" s="9">
        <v>43922</v>
      </c>
      <c r="B120" s="11">
        <f>IF(VLOOKUP(A120,'DB Country PMI'!$A:$V,MATCH($A$1,'DB Country PMI'!$A$1:$V$1,),)=0,#N/A,VLOOKUP(A120,'DB Country PMI'!$A:$V,MATCH($A$1,'DB Country PMI'!$A$1:$V$1,),))</f>
        <v>24</v>
      </c>
      <c r="C120" s="14">
        <f>Table1[[#This Row],[PMI]]-B119</f>
        <v>-12.799999999999997</v>
      </c>
    </row>
    <row r="121" spans="1:3" x14ac:dyDescent="0.2">
      <c r="A121" s="8">
        <v>43952</v>
      </c>
      <c r="B121" s="11">
        <f>IF(VLOOKUP(A121,'DB Country PMI'!$A:$V,MATCH($A$1,'DB Country PMI'!$A$1:$V$1,),)=0,#N/A,VLOOKUP(A121,'DB Country PMI'!$A:$V,MATCH($A$1,'DB Country PMI'!$A$1:$V$1,),))</f>
        <v>35.1</v>
      </c>
      <c r="C121" s="14">
        <f>Table1[[#This Row],[PMI]]-B120</f>
        <v>11.100000000000001</v>
      </c>
    </row>
    <row r="122" spans="1:3" x14ac:dyDescent="0.2">
      <c r="A122" s="9">
        <v>43983</v>
      </c>
      <c r="B122" s="11">
        <f>IF(VLOOKUP(A122,'DB Country PMI'!$A:$V,MATCH($A$1,'DB Country PMI'!$A$1:$V$1,),)=0,#N/A,VLOOKUP(A122,'DB Country PMI'!$A:$V,MATCH($A$1,'DB Country PMI'!$A$1:$V$1,),))</f>
        <v>48</v>
      </c>
      <c r="C122" s="14">
        <f>Table1[[#This Row],[PMI]]-B121</f>
        <v>12.899999999999999</v>
      </c>
    </row>
    <row r="123" spans="1:3" x14ac:dyDescent="0.2">
      <c r="A123" s="8">
        <v>44013</v>
      </c>
      <c r="B123" s="11">
        <f>IF(VLOOKUP(A123,'DB Country PMI'!$A:$V,MATCH($A$1,'DB Country PMI'!$A$1:$V$1,),)=0,#N/A,VLOOKUP(A123,'DB Country PMI'!$A:$V,MATCH($A$1,'DB Country PMI'!$A$1:$V$1,),))</f>
        <v>50.6</v>
      </c>
      <c r="C123" s="14">
        <f>Table1[[#This Row],[PMI]]-B122</f>
        <v>2.6000000000000014</v>
      </c>
    </row>
    <row r="124" spans="1:3" x14ac:dyDescent="0.2">
      <c r="A124" s="9">
        <v>44044</v>
      </c>
      <c r="B124" s="11">
        <f>IF(VLOOKUP(A124,'DB Country PMI'!$A:$V,MATCH($A$1,'DB Country PMI'!$A$1:$V$1,),)=0,#N/A,VLOOKUP(A124,'DB Country PMI'!$A:$V,MATCH($A$1,'DB Country PMI'!$A$1:$V$1,),))</f>
        <v>52</v>
      </c>
      <c r="C124" s="14">
        <f>Table1[[#This Row],[PMI]]-B123</f>
        <v>1.3999999999999986</v>
      </c>
    </row>
    <row r="125" spans="1:3" x14ac:dyDescent="0.2">
      <c r="A125" s="8">
        <v>44075</v>
      </c>
      <c r="B125" s="11">
        <f>IF(VLOOKUP(A125,'DB Country PMI'!$A:$V,MATCH($A$1,'DB Country PMI'!$A$1:$V$1,),)=0,#N/A,VLOOKUP(A125,'DB Country PMI'!$A:$V,MATCH($A$1,'DB Country PMI'!$A$1:$V$1,),))</f>
        <v>52</v>
      </c>
      <c r="C125" s="14">
        <f>Table1[[#This Row],[PMI]]-B124</f>
        <v>0</v>
      </c>
    </row>
    <row r="126" spans="1:3" x14ac:dyDescent="0.2">
      <c r="A126" s="9">
        <v>44105</v>
      </c>
      <c r="B126" s="11">
        <f>IF(VLOOKUP(A126,'DB Country PMI'!$A:$V,MATCH($A$1,'DB Country PMI'!$A$1:$V$1,),)=0,#N/A,VLOOKUP(A126,'DB Country PMI'!$A:$V,MATCH($A$1,'DB Country PMI'!$A$1:$V$1,),))</f>
        <v>52.9</v>
      </c>
      <c r="C126" s="14">
        <f>Table1[[#This Row],[PMI]]-B125</f>
        <v>0.89999999999999858</v>
      </c>
    </row>
    <row r="127" spans="1:3" x14ac:dyDescent="0.2">
      <c r="A127" s="8">
        <v>44136</v>
      </c>
      <c r="B127" s="11">
        <f>IF(VLOOKUP(A127,'DB Country PMI'!$A:$V,MATCH($A$1,'DB Country PMI'!$A$1:$V$1,),)=0,#N/A,VLOOKUP(A127,'DB Country PMI'!$A:$V,MATCH($A$1,'DB Country PMI'!$A$1:$V$1,),))</f>
        <v>52.2</v>
      </c>
      <c r="C127" s="14">
        <f>Table1[[#This Row],[PMI]]-B126</f>
        <v>-0.69999999999999574</v>
      </c>
    </row>
    <row r="128" spans="1:3" x14ac:dyDescent="0.2">
      <c r="A128" s="9">
        <v>44166</v>
      </c>
      <c r="B128" s="11">
        <f>IF(VLOOKUP(A128,'DB Country PMI'!$A:$V,MATCH($A$1,'DB Country PMI'!$A$1:$V$1,),)=0,#N/A,VLOOKUP(A128,'DB Country PMI'!$A:$V,MATCH($A$1,'DB Country PMI'!$A$1:$V$1,),))</f>
        <v>51.8</v>
      </c>
      <c r="C128" s="14">
        <f>Table1[[#This Row],[PMI]]-B127</f>
        <v>-0.40000000000000568</v>
      </c>
    </row>
    <row r="129" spans="1:3" x14ac:dyDescent="0.2">
      <c r="A129" s="8">
        <v>44197</v>
      </c>
      <c r="B129" s="11">
        <f>IF(VLOOKUP(A129,'DB Country PMI'!$A:$V,MATCH($A$1,'DB Country PMI'!$A$1:$V$1,),)=0,#N/A,VLOOKUP(A129,'DB Country PMI'!$A:$V,MATCH($A$1,'DB Country PMI'!$A$1:$V$1,),))</f>
        <v>51.6</v>
      </c>
      <c r="C129" s="14">
        <f>Table1[[#This Row],[PMI]]-B128</f>
        <v>-0.19999999999999574</v>
      </c>
    </row>
    <row r="130" spans="1:3" x14ac:dyDescent="0.2">
      <c r="A130" s="9">
        <v>44228</v>
      </c>
      <c r="B130" s="11">
        <f>IF(VLOOKUP(A130,'DB Country PMI'!$A:$V,MATCH($A$1,'DB Country PMI'!$A$1:$V$1,),)=0,#N/A,VLOOKUP(A130,'DB Country PMI'!$A:$V,MATCH($A$1,'DB Country PMI'!$A$1:$V$1,),))</f>
        <v>52.8</v>
      </c>
      <c r="C130" s="14">
        <f>Table1[[#This Row],[PMI]]-B129</f>
        <v>1.1999999999999957</v>
      </c>
    </row>
    <row r="131" spans="1:3" x14ac:dyDescent="0.2">
      <c r="A131" s="8">
        <v>44256</v>
      </c>
      <c r="B131" s="11">
        <f>IF(VLOOKUP(A131,'DB Country PMI'!$A:$V,MATCH($A$1,'DB Country PMI'!$A$1:$V$1,),)=0,#N/A,VLOOKUP(A131,'DB Country PMI'!$A:$V,MATCH($A$1,'DB Country PMI'!$A$1:$V$1,),))</f>
        <v>54.7</v>
      </c>
      <c r="C131" s="14">
        <f>Table1[[#This Row],[PMI]]-B130</f>
        <v>1.9000000000000057</v>
      </c>
    </row>
    <row r="132" spans="1:3" x14ac:dyDescent="0.2">
      <c r="A132" s="9">
        <v>44287</v>
      </c>
      <c r="B132" s="11">
        <f>IF(VLOOKUP(A132,'DB Country PMI'!$A:$V,MATCH($A$1,'DB Country PMI'!$A$1:$V$1,),)=0,#N/A,VLOOKUP(A132,'DB Country PMI'!$A:$V,MATCH($A$1,'DB Country PMI'!$A$1:$V$1,),))</f>
        <v>57</v>
      </c>
      <c r="C132" s="14">
        <f>Table1[[#This Row],[PMI]]-B131</f>
        <v>2.2999999999999972</v>
      </c>
    </row>
    <row r="133" spans="1:3" x14ac:dyDescent="0.2">
      <c r="A133" s="8">
        <v>44317</v>
      </c>
      <c r="B133" s="11">
        <f>IF(VLOOKUP(A133,'DB Country PMI'!$A:$V,MATCH($A$1,'DB Country PMI'!$A$1:$V$1,),)=0,#N/A,VLOOKUP(A133,'DB Country PMI'!$A:$V,MATCH($A$1,'DB Country PMI'!$A$1:$V$1,),))</f>
        <v>59.5</v>
      </c>
      <c r="C133" s="14">
        <f>Table1[[#This Row],[PMI]]-B132</f>
        <v>2.5</v>
      </c>
    </row>
    <row r="134" spans="1:3" x14ac:dyDescent="0.2">
      <c r="A134" s="9">
        <v>44348</v>
      </c>
      <c r="B134" s="11">
        <f>IF(VLOOKUP(A134,'DB Country PMI'!$A:$V,MATCH($A$1,'DB Country PMI'!$A$1:$V$1,),)=0,#N/A,VLOOKUP(A134,'DB Country PMI'!$A:$V,MATCH($A$1,'DB Country PMI'!$A$1:$V$1,),))</f>
        <v>57.4</v>
      </c>
      <c r="C134" s="14">
        <f>Table1[[#This Row],[PMI]]-B133</f>
        <v>-2.1000000000000014</v>
      </c>
    </row>
    <row r="135" spans="1:3" x14ac:dyDescent="0.2">
      <c r="A135" s="8">
        <v>44378</v>
      </c>
      <c r="B135" s="11">
        <f>IF(VLOOKUP(A135,'DB Country PMI'!$A:$V,MATCH($A$1,'DB Country PMI'!$A$1:$V$1,),)=0,#N/A,VLOOKUP(A135,'DB Country PMI'!$A:$V,MATCH($A$1,'DB Country PMI'!$A$1:$V$1,),))</f>
        <v>56.3</v>
      </c>
      <c r="C135" s="14">
        <f>Table1[[#This Row],[PMI]]-B134</f>
        <v>-1.1000000000000014</v>
      </c>
    </row>
    <row r="136" spans="1:3" x14ac:dyDescent="0.2">
      <c r="A136" s="9">
        <v>44409</v>
      </c>
      <c r="B136" s="11">
        <f>IF(VLOOKUP(A136,'DB Country PMI'!$A:$V,MATCH($A$1,'DB Country PMI'!$A$1:$V$1,),)=0,#N/A,VLOOKUP(A136,'DB Country PMI'!$A:$V,MATCH($A$1,'DB Country PMI'!$A$1:$V$1,),))</f>
        <v>52.8</v>
      </c>
      <c r="C136" s="14">
        <f>Table1[[#This Row],[PMI]]-B135</f>
        <v>-3.5</v>
      </c>
    </row>
    <row r="137" spans="1:3" x14ac:dyDescent="0.2">
      <c r="A137" s="8">
        <v>44440</v>
      </c>
      <c r="B137" s="11">
        <f>IF(VLOOKUP(A137,'DB Country PMI'!$A:$V,MATCH($A$1,'DB Country PMI'!$A$1:$V$1,),)=0,#N/A,VLOOKUP(A137,'DB Country PMI'!$A:$V,MATCH($A$1,'DB Country PMI'!$A$1:$V$1,),))</f>
        <v>53.8</v>
      </c>
      <c r="C137" s="14">
        <f>Table1[[#This Row],[PMI]]-B136</f>
        <v>1</v>
      </c>
    </row>
    <row r="138" spans="1:3" x14ac:dyDescent="0.2">
      <c r="A138" s="9">
        <v>44470</v>
      </c>
      <c r="B138" s="11">
        <f>IF(VLOOKUP(A138,'DB Country PMI'!$A:$V,MATCH($A$1,'DB Country PMI'!$A$1:$V$1,),)=0,#N/A,VLOOKUP(A138,'DB Country PMI'!$A:$V,MATCH($A$1,'DB Country PMI'!$A$1:$V$1,),))</f>
        <v>55.6</v>
      </c>
      <c r="C138" s="14">
        <f>Table1[[#This Row],[PMI]]-B137</f>
        <v>1.8000000000000043</v>
      </c>
    </row>
    <row r="139" spans="1:3" x14ac:dyDescent="0.2">
      <c r="A139" s="8">
        <v>44501</v>
      </c>
      <c r="B139" s="11">
        <f>IF(VLOOKUP(A139,'DB Country PMI'!$A:$V,MATCH($A$1,'DB Country PMI'!$A$1:$V$1,),)=0,#N/A,VLOOKUP(A139,'DB Country PMI'!$A:$V,MATCH($A$1,'DB Country PMI'!$A$1:$V$1,),))</f>
        <v>55.6</v>
      </c>
      <c r="C139" s="14">
        <f>Table1[[#This Row],[PMI]]-B138</f>
        <v>0</v>
      </c>
    </row>
    <row r="140" spans="1:3" x14ac:dyDescent="0.2">
      <c r="A140" s="9">
        <v>44531</v>
      </c>
      <c r="B140" s="11">
        <f>IF(VLOOKUP(A140,'DB Country PMI'!$A:$V,MATCH($A$1,'DB Country PMI'!$A$1:$V$1,),)=0,#N/A,VLOOKUP(A140,'DB Country PMI'!$A:$V,MATCH($A$1,'DB Country PMI'!$A$1:$V$1,),))</f>
        <v>54.6</v>
      </c>
      <c r="C140" s="14">
        <f>Table1[[#This Row],[PMI]]-B139</f>
        <v>-1</v>
      </c>
    </row>
    <row r="141" spans="1:3" x14ac:dyDescent="0.2">
      <c r="A141" s="9">
        <v>44562</v>
      </c>
      <c r="B141" s="11">
        <f>IF(VLOOKUP(A141,'DB Country PMI'!$A:$V,MATCH($A$1,'DB Country PMI'!$A$1:$V$1,),)=0,#N/A,VLOOKUP(A141,'DB Country PMI'!$A:$V,MATCH($A$1,'DB Country PMI'!$A$1:$V$1,),))</f>
        <v>51.3</v>
      </c>
      <c r="C141" s="14">
        <f>Table1[[#This Row],[PMI]]-B140</f>
        <v>-3.3000000000000043</v>
      </c>
    </row>
    <row r="142" spans="1:3" x14ac:dyDescent="0.2">
      <c r="A142" s="9">
        <v>44593</v>
      </c>
      <c r="B142" s="11">
        <f>IF(VLOOKUP(A142,'DB Country PMI'!$A:$V,MATCH($A$1,'DB Country PMI'!$A$1:$V$1,),)=0,#N/A,VLOOKUP(A142,'DB Country PMI'!$A:$V,MATCH($A$1,'DB Country PMI'!$A$1:$V$1,),))</f>
        <v>53.5</v>
      </c>
      <c r="C142" s="14">
        <f>Table1[[#This Row],[PMI]]-B141</f>
        <v>2.2000000000000028</v>
      </c>
    </row>
    <row r="143" spans="1:3" x14ac:dyDescent="0.2">
      <c r="A143" s="8">
        <v>44621</v>
      </c>
      <c r="B143" s="11">
        <f>IF(VLOOKUP(A143,'DB Country PMI'!$A:$V,MATCH($A$1,'DB Country PMI'!$A$1:$V$1,),)=0,#N/A,VLOOKUP(A143,'DB Country PMI'!$A:$V,MATCH($A$1,'DB Country PMI'!$A$1:$V$1,),))</f>
        <v>52.7</v>
      </c>
      <c r="C143" s="14">
        <f>Table1[[#This Row],[PMI]]-B142</f>
        <v>-0.79999999999999716</v>
      </c>
    </row>
    <row r="144" spans="1:3" x14ac:dyDescent="0.2">
      <c r="A144" s="9">
        <v>44652</v>
      </c>
      <c r="B144" s="11">
        <f>IF(VLOOKUP(A144,'DB Country PMI'!$A:$V,MATCH($A$1,'DB Country PMI'!$A$1:$V$1,),)=0,#N/A,VLOOKUP(A144,'DB Country PMI'!$A:$V,MATCH($A$1,'DB Country PMI'!$A$1:$V$1,),))</f>
        <v>51</v>
      </c>
      <c r="C144" s="14">
        <f>Table1[[#This Row],[PMI]]-B143</f>
        <v>-1.7000000000000028</v>
      </c>
    </row>
    <row r="145" spans="1:3" x14ac:dyDescent="0.2">
      <c r="A145" s="8">
        <v>44682</v>
      </c>
      <c r="B145" s="11">
        <f>IF(VLOOKUP(A145,'DB Country PMI'!$A:$V,MATCH($A$1,'DB Country PMI'!$A$1:$V$1,),)=0,#N/A,VLOOKUP(A145,'DB Country PMI'!$A:$V,MATCH($A$1,'DB Country PMI'!$A$1:$V$1,),))</f>
        <v>51.3</v>
      </c>
      <c r="C145" s="14">
        <f>Table1[[#This Row],[PMI]]-B144</f>
        <v>0.29999999999999716</v>
      </c>
    </row>
    <row r="146" spans="1:3" x14ac:dyDescent="0.2">
      <c r="A146" s="9">
        <v>44713</v>
      </c>
      <c r="B146" s="11">
        <f>IF(VLOOKUP(A146,'DB Country PMI'!$A:$V,MATCH($A$1,'DB Country PMI'!$A$1:$V$1,),)=0,#N/A,VLOOKUP(A146,'DB Country PMI'!$A:$V,MATCH($A$1,'DB Country PMI'!$A$1:$V$1,),))</f>
        <v>53.5</v>
      </c>
      <c r="C146" s="14">
        <f>Table1[[#This Row],[PMI]]-B145</f>
        <v>2.2000000000000028</v>
      </c>
    </row>
    <row r="147" spans="1:3" x14ac:dyDescent="0.2">
      <c r="A147" s="9">
        <v>44743</v>
      </c>
      <c r="B147" s="11" t="e">
        <f>IF(VLOOKUP(A147,'DB Country PMI'!$A:$V,MATCH($A$1,'DB Country PMI'!$A$1:$V$1,),)=0,#N/A,VLOOKUP(A147,'DB Country PMI'!$A:$V,MATCH($A$1,'DB Country PMI'!$A$1:$V$1,),))</f>
        <v>#N/A</v>
      </c>
      <c r="C147" s="14" t="e">
        <f>Table1[[#This Row],[PMI]]-B146</f>
        <v>#N/A</v>
      </c>
    </row>
    <row r="148" spans="1:3" x14ac:dyDescent="0.2">
      <c r="A148" s="9">
        <v>44774</v>
      </c>
      <c r="B148" s="11" t="e">
        <f>IF(VLOOKUP(A148,'DB Country PMI'!$A:$V,MATCH($A$1,'DB Country PMI'!$A$1:$V$1,),)=0,#N/A,VLOOKUP(A148,'DB Country PMI'!$A:$V,MATCH($A$1,'DB Country PMI'!$A$1:$V$1,),))</f>
        <v>#N/A</v>
      </c>
      <c r="C148" s="14" t="e">
        <f>Table1[[#This Row],[PMI]]-B147</f>
        <v>#N/A</v>
      </c>
    </row>
    <row r="149" spans="1:3" x14ac:dyDescent="0.2">
      <c r="A149" s="9">
        <v>44805</v>
      </c>
      <c r="B149" s="11" t="e">
        <f>IF(VLOOKUP(A149,'DB Country PMI'!$A:$V,MATCH($A$1,'DB Country PMI'!$A$1:$V$1,),)=0,#N/A,VLOOKUP(A149,'DB Country PMI'!$A:$V,MATCH($A$1,'DB Country PMI'!$A$1:$V$1,),))</f>
        <v>#N/A</v>
      </c>
      <c r="C149" s="14" t="e">
        <f>Table1[[#This Row],[PMI]]-B148</f>
        <v>#N/A</v>
      </c>
    </row>
  </sheetData>
  <conditionalFormatting sqref="B6:B149">
    <cfRule type="colorScale" priority="203">
      <colorScale>
        <cfvo type="min"/>
        <cfvo type="percentile" val="50"/>
        <cfvo type="max"/>
        <color rgb="FFF8696B"/>
        <color rgb="FFFFEB84"/>
        <color rgb="FF63BE7B"/>
      </colorScale>
    </cfRule>
  </conditionalFormatting>
  <conditionalFormatting sqref="C7:C149">
    <cfRule type="colorScale" priority="204">
      <colorScale>
        <cfvo type="min"/>
        <cfvo type="percentile" val="50"/>
        <cfvo type="max"/>
        <color rgb="FFF8696B"/>
        <color rgb="FFFCFCFF"/>
        <color rgb="FF5A8AC6"/>
      </colorScale>
    </cfRule>
  </conditionalFormatting>
  <pageMargins left="0.7" right="0.7" top="0.75" bottom="0.75" header="0.3" footer="0.3"/>
  <drawing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J114"/>
  <sheetViews>
    <sheetView zoomScale="160" zoomScaleNormal="160" workbookViewId="0">
      <pane ySplit="5" topLeftCell="A83" activePane="bottomLeft" state="frozen"/>
      <selection pane="bottomLeft" activeCell="Q113" sqref="Q113"/>
    </sheetView>
  </sheetViews>
  <sheetFormatPr baseColWidth="10" defaultColWidth="9.1640625" defaultRowHeight="15" x14ac:dyDescent="0.2"/>
  <cols>
    <col min="1" max="1" width="13.5" style="49" customWidth="1"/>
    <col min="2" max="2" width="11.33203125" style="49" customWidth="1"/>
    <col min="3" max="11" width="9.1640625" style="49" customWidth="1"/>
    <col min="12" max="16384" width="9.1640625" style="49"/>
  </cols>
  <sheetData>
    <row r="1" spans="1:10" x14ac:dyDescent="0.2">
      <c r="A1" s="49" t="s">
        <v>45</v>
      </c>
      <c r="J1" s="49" t="s">
        <v>62</v>
      </c>
    </row>
    <row r="2" spans="1:10" x14ac:dyDescent="0.2">
      <c r="J2" s="49" t="s">
        <v>63</v>
      </c>
    </row>
    <row r="4" spans="1:10" ht="16" customHeight="1" thickBot="1" x14ac:dyDescent="0.25"/>
    <row r="5" spans="1:10" ht="16" customHeight="1" thickBot="1" x14ac:dyDescent="0.25">
      <c r="A5" s="12" t="s">
        <v>33</v>
      </c>
      <c r="B5" s="13" t="s">
        <v>60</v>
      </c>
      <c r="C5" s="13" t="s">
        <v>61</v>
      </c>
    </row>
    <row r="6" spans="1:10" x14ac:dyDescent="0.2">
      <c r="A6" s="10">
        <v>41548</v>
      </c>
      <c r="B6" s="11">
        <f>IF(VLOOKUP(A6,'DB Country PMI'!$A:$V,MATCH($A$1,'DB Country PMI'!$A$1:$V$1,),)=0,#N/A,VLOOKUP(A6,'DB Country PMI'!$A:$V,MATCH($A$1,'DB Country PMI'!$A$1:$V$1,),))</f>
        <v>49.3</v>
      </c>
      <c r="C6" s="11"/>
    </row>
    <row r="7" spans="1:10" x14ac:dyDescent="0.2">
      <c r="A7" s="8">
        <v>41579</v>
      </c>
      <c r="B7" s="11">
        <f>IF(VLOOKUP(A7,'DB Country PMI'!$A:$V,MATCH($A$1,'DB Country PMI'!$A$1:$V$1,),)=0,#N/A,VLOOKUP(A7,'DB Country PMI'!$A:$V,MATCH($A$1,'DB Country PMI'!$A$1:$V$1,),))</f>
        <v>55.9</v>
      </c>
      <c r="C7" s="14">
        <f>Table1346811[[#This Row],[PMI]]-B6</f>
        <v>6.6000000000000014</v>
      </c>
    </row>
    <row r="8" spans="1:10" x14ac:dyDescent="0.2">
      <c r="A8" s="8">
        <v>41609</v>
      </c>
      <c r="B8" s="11">
        <f>IF(VLOOKUP(A8,'DB Country PMI'!$A:$V,MATCH($A$1,'DB Country PMI'!$A$1:$V$1,),)=0,#N/A,VLOOKUP(A8,'DB Country PMI'!$A:$V,MATCH($A$1,'DB Country PMI'!$A$1:$V$1,),))</f>
        <v>55.7</v>
      </c>
      <c r="C8" s="14">
        <f>Table1346811[[#This Row],[PMI]]-B7</f>
        <v>-0.19999999999999574</v>
      </c>
    </row>
    <row r="9" spans="1:10" x14ac:dyDescent="0.2">
      <c r="A9" s="8">
        <v>41640</v>
      </c>
      <c r="B9" s="11">
        <f>IF(VLOOKUP(A9,'DB Country PMI'!$A:$V,MATCH($A$1,'DB Country PMI'!$A$1:$V$1,),)=0,#N/A,VLOOKUP(A9,'DB Country PMI'!$A:$V,MATCH($A$1,'DB Country PMI'!$A$1:$V$1,),))</f>
        <v>56.7</v>
      </c>
      <c r="C9" s="14">
        <f>Table1346811[[#This Row],[PMI]]-B8</f>
        <v>1</v>
      </c>
    </row>
    <row r="10" spans="1:10" x14ac:dyDescent="0.2">
      <c r="A10" s="8">
        <v>41671</v>
      </c>
      <c r="B10" s="11">
        <f>IF(VLOOKUP(A10,'DB Country PMI'!$A:$V,MATCH($A$1,'DB Country PMI'!$A$1:$V$1,),)=0,#N/A,VLOOKUP(A10,'DB Country PMI'!$A:$V,MATCH($A$1,'DB Country PMI'!$A$1:$V$1,),))</f>
        <v>53.3</v>
      </c>
      <c r="C10" s="14">
        <f>Table1346811[[#This Row],[PMI]]-B9</f>
        <v>-3.4000000000000057</v>
      </c>
    </row>
    <row r="11" spans="1:10" x14ac:dyDescent="0.2">
      <c r="A11" s="8">
        <v>41699</v>
      </c>
      <c r="B11" s="11">
        <f>IF(VLOOKUP(A11,'DB Country PMI'!$A:$V,MATCH($A$1,'DB Country PMI'!$A$1:$V$1,),)=0,#N/A,VLOOKUP(A11,'DB Country PMI'!$A:$V,MATCH($A$1,'DB Country PMI'!$A$1:$V$1,),))</f>
        <v>55.3</v>
      </c>
      <c r="C11" s="14">
        <f>Table1346811[[#This Row],[PMI]]-B10</f>
        <v>2</v>
      </c>
    </row>
    <row r="12" spans="1:10" x14ac:dyDescent="0.2">
      <c r="A12" s="8">
        <v>41730</v>
      </c>
      <c r="B12" s="11">
        <f>IF(VLOOKUP(A12,'DB Country PMI'!$A:$V,MATCH($A$1,'DB Country PMI'!$A$1:$V$1,),)=0,#N/A,VLOOKUP(A12,'DB Country PMI'!$A:$V,MATCH($A$1,'DB Country PMI'!$A$1:$V$1,),))</f>
        <v>55</v>
      </c>
      <c r="C12" s="14">
        <f>Table1346811[[#This Row],[PMI]]-B11</f>
        <v>-0.29999999999999716</v>
      </c>
    </row>
    <row r="13" spans="1:10" x14ac:dyDescent="0.2">
      <c r="A13" s="8">
        <v>41760</v>
      </c>
      <c r="B13" s="11">
        <f>IF(VLOOKUP(A13,'DB Country PMI'!$A:$V,MATCH($A$1,'DB Country PMI'!$A$1:$V$1,),)=0,#N/A,VLOOKUP(A13,'DB Country PMI'!$A:$V,MATCH($A$1,'DB Country PMI'!$A$1:$V$1,),))</f>
        <v>58</v>
      </c>
      <c r="C13" s="14">
        <f>Table1346811[[#This Row],[PMI]]-B12</f>
        <v>3</v>
      </c>
    </row>
    <row r="14" spans="1:10" x14ac:dyDescent="0.2">
      <c r="A14" s="8">
        <v>41791</v>
      </c>
      <c r="B14" s="11">
        <f>IF(VLOOKUP(A14,'DB Country PMI'!$A:$V,MATCH($A$1,'DB Country PMI'!$A$1:$V$1,),)=0,#N/A,VLOOKUP(A14,'DB Country PMI'!$A:$V,MATCH($A$1,'DB Country PMI'!$A$1:$V$1,),))</f>
        <v>61</v>
      </c>
      <c r="C14" s="14">
        <f>Table1346811[[#This Row],[PMI]]-B13</f>
        <v>3</v>
      </c>
    </row>
    <row r="15" spans="1:10" x14ac:dyDescent="0.2">
      <c r="A15" s="8">
        <v>41821</v>
      </c>
      <c r="B15" s="11">
        <f>IF(VLOOKUP(A15,'DB Country PMI'!$A:$V,MATCH($A$1,'DB Country PMI'!$A$1:$V$1,),)=0,#N/A,VLOOKUP(A15,'DB Country PMI'!$A:$V,MATCH($A$1,'DB Country PMI'!$A$1:$V$1,),))</f>
        <v>60.8</v>
      </c>
      <c r="C15" s="14">
        <f>Table1346811[[#This Row],[PMI]]-B14</f>
        <v>-0.20000000000000284</v>
      </c>
    </row>
    <row r="16" spans="1:10" x14ac:dyDescent="0.2">
      <c r="A16" s="8">
        <v>41852</v>
      </c>
      <c r="B16" s="11">
        <f>IF(VLOOKUP(A16,'DB Country PMI'!$A:$V,MATCH($A$1,'DB Country PMI'!$A$1:$V$1,),)=0,#N/A,VLOOKUP(A16,'DB Country PMI'!$A:$V,MATCH($A$1,'DB Country PMI'!$A$1:$V$1,),))</f>
        <v>59.5</v>
      </c>
      <c r="C16" s="14">
        <f>Table1346811[[#This Row],[PMI]]-B15</f>
        <v>-1.2999999999999972</v>
      </c>
    </row>
    <row r="17" spans="1:3" x14ac:dyDescent="0.2">
      <c r="A17" s="8">
        <v>41883</v>
      </c>
      <c r="B17" s="11">
        <f>IF(VLOOKUP(A17,'DB Country PMI'!$A:$V,MATCH($A$1,'DB Country PMI'!$A$1:$V$1,),)=0,#N/A,VLOOKUP(A17,'DB Country PMI'!$A:$V,MATCH($A$1,'DB Country PMI'!$A$1:$V$1,),))</f>
        <v>58.9</v>
      </c>
      <c r="C17" s="14">
        <f>Table1346811[[#This Row],[PMI]]-B16</f>
        <v>-0.60000000000000142</v>
      </c>
    </row>
    <row r="18" spans="1:3" x14ac:dyDescent="0.2">
      <c r="A18" s="8">
        <v>41913</v>
      </c>
      <c r="B18" s="11">
        <f>IF(VLOOKUP(A18,'DB Country PMI'!$A:$V,MATCH($A$1,'DB Country PMI'!$A$1:$V$1,),)=0,#N/A,VLOOKUP(A18,'DB Country PMI'!$A:$V,MATCH($A$1,'DB Country PMI'!$A$1:$V$1,),))</f>
        <v>57.1</v>
      </c>
      <c r="C18" s="14">
        <f>Table1346811[[#This Row],[PMI]]-B17</f>
        <v>-1.7999999999999972</v>
      </c>
    </row>
    <row r="19" spans="1:3" x14ac:dyDescent="0.2">
      <c r="A19" s="8">
        <v>41944</v>
      </c>
      <c r="B19" s="11">
        <f>IF(VLOOKUP(A19,'DB Country PMI'!$A:$V,MATCH($A$1,'DB Country PMI'!$A$1:$V$1,),)=0,#N/A,VLOOKUP(A19,'DB Country PMI'!$A:$V,MATCH($A$1,'DB Country PMI'!$A$1:$V$1,),))</f>
        <v>56.2</v>
      </c>
      <c r="C19" s="14">
        <f>Table1346811[[#This Row],[PMI]]-B18</f>
        <v>-0.89999999999999858</v>
      </c>
    </row>
    <row r="20" spans="1:3" x14ac:dyDescent="0.2">
      <c r="A20" s="8">
        <v>41974</v>
      </c>
      <c r="B20" s="11">
        <f>IF(VLOOKUP(A20,'DB Country PMI'!$A:$V,MATCH($A$1,'DB Country PMI'!$A$1:$V$1,),)=0,#N/A,VLOOKUP(A20,'DB Country PMI'!$A:$V,MATCH($A$1,'DB Country PMI'!$A$1:$V$1,),))</f>
        <v>53.3</v>
      </c>
      <c r="C20" s="14">
        <f>Table1346811[[#This Row],[PMI]]-B19</f>
        <v>-2.9000000000000057</v>
      </c>
    </row>
    <row r="21" spans="1:3" x14ac:dyDescent="0.2">
      <c r="A21" s="8">
        <v>42005</v>
      </c>
      <c r="B21" s="11">
        <f>IF(VLOOKUP(A21,'DB Country PMI'!$A:$V,MATCH($A$1,'DB Country PMI'!$A$1:$V$1,),)=0,#N/A,VLOOKUP(A21,'DB Country PMI'!$A:$V,MATCH($A$1,'DB Country PMI'!$A$1:$V$1,),))</f>
        <v>54.2</v>
      </c>
      <c r="C21" s="14">
        <f>Table1346811[[#This Row],[PMI]]-B20</f>
        <v>0.90000000000000568</v>
      </c>
    </row>
    <row r="22" spans="1:3" x14ac:dyDescent="0.2">
      <c r="A22" s="8">
        <v>42036</v>
      </c>
      <c r="B22" s="11">
        <f>IF(VLOOKUP(A22,'DB Country PMI'!$A:$V,MATCH($A$1,'DB Country PMI'!$A$1:$V$1,),)=0,#N/A,VLOOKUP(A22,'DB Country PMI'!$A:$V,MATCH($A$1,'DB Country PMI'!$A$1:$V$1,),))</f>
        <v>57.1</v>
      </c>
      <c r="C22" s="14">
        <f>Table1346811[[#This Row],[PMI]]-B21</f>
        <v>2.8999999999999986</v>
      </c>
    </row>
    <row r="23" spans="1:3" x14ac:dyDescent="0.2">
      <c r="A23" s="8">
        <v>42064</v>
      </c>
      <c r="B23" s="11">
        <f>IF(VLOOKUP(A23,'DB Country PMI'!$A:$V,MATCH($A$1,'DB Country PMI'!$A$1:$V$1,),)=0,#N/A,VLOOKUP(A23,'DB Country PMI'!$A:$V,MATCH($A$1,'DB Country PMI'!$A$1:$V$1,),))</f>
        <v>59.2</v>
      </c>
      <c r="C23" s="14">
        <f>Table1346811[[#This Row],[PMI]]-B22</f>
        <v>2.1000000000000014</v>
      </c>
    </row>
    <row r="24" spans="1:3" x14ac:dyDescent="0.2">
      <c r="A24" s="8">
        <v>42095</v>
      </c>
      <c r="B24" s="11">
        <f>IF(VLOOKUP(A24,'DB Country PMI'!$A:$V,MATCH($A$1,'DB Country PMI'!$A$1:$V$1,),)=0,#N/A,VLOOKUP(A24,'DB Country PMI'!$A:$V,MATCH($A$1,'DB Country PMI'!$A$1:$V$1,),))</f>
        <v>57.4</v>
      </c>
      <c r="C24" s="14">
        <f>Table1346811[[#This Row],[PMI]]-B23</f>
        <v>-1.8000000000000043</v>
      </c>
    </row>
    <row r="25" spans="1:3" x14ac:dyDescent="0.2">
      <c r="A25" s="8">
        <v>42125</v>
      </c>
      <c r="B25" s="11">
        <f>IF(VLOOKUP(A25,'DB Country PMI'!$A:$V,MATCH($A$1,'DB Country PMI'!$A$1:$V$1,),)=0,#N/A,VLOOKUP(A25,'DB Country PMI'!$A:$V,MATCH($A$1,'DB Country PMI'!$A$1:$V$1,),))</f>
        <v>56.2</v>
      </c>
      <c r="C25" s="14">
        <f>Table1346811[[#This Row],[PMI]]-B24</f>
        <v>-1.1999999999999957</v>
      </c>
    </row>
    <row r="26" spans="1:3" x14ac:dyDescent="0.2">
      <c r="A26" s="8">
        <v>42156</v>
      </c>
      <c r="B26" s="11">
        <f>IF(VLOOKUP(A26,'DB Country PMI'!$A:$V,MATCH($A$1,'DB Country PMI'!$A$1:$V$1,),)=0,#N/A,VLOOKUP(A26,'DB Country PMI'!$A:$V,MATCH($A$1,'DB Country PMI'!$A$1:$V$1,),))</f>
        <v>54.8</v>
      </c>
      <c r="C26" s="14">
        <f>Table1346811[[#This Row],[PMI]]-B25</f>
        <v>-1.4000000000000057</v>
      </c>
    </row>
    <row r="27" spans="1:3" x14ac:dyDescent="0.2">
      <c r="A27" s="8">
        <v>42186</v>
      </c>
      <c r="B27" s="11">
        <f>IF(VLOOKUP(A27,'DB Country PMI'!$A:$V,MATCH($A$1,'DB Country PMI'!$A$1:$V$1,),)=0,#N/A,VLOOKUP(A27,'DB Country PMI'!$A:$V,MATCH($A$1,'DB Country PMI'!$A$1:$V$1,),))</f>
        <v>55.7</v>
      </c>
      <c r="C27" s="14">
        <f>Table1346811[[#This Row],[PMI]]-B26</f>
        <v>0.90000000000000568</v>
      </c>
    </row>
    <row r="28" spans="1:3" x14ac:dyDescent="0.2">
      <c r="A28" s="8">
        <v>42217</v>
      </c>
      <c r="B28" s="11">
        <f>IF(VLOOKUP(A28,'DB Country PMI'!$A:$V,MATCH($A$1,'DB Country PMI'!$A$1:$V$1,),)=0,#N/A,VLOOKUP(A28,'DB Country PMI'!$A:$V,MATCH($A$1,'DB Country PMI'!$A$1:$V$1,),))</f>
        <v>56.1</v>
      </c>
      <c r="C28" s="14">
        <f>Table1346811[[#This Row],[PMI]]-B27</f>
        <v>0.39999999999999858</v>
      </c>
    </row>
    <row r="29" spans="1:3" x14ac:dyDescent="0.2">
      <c r="A29" s="8">
        <v>42248</v>
      </c>
      <c r="B29" s="11">
        <f>IF(VLOOKUP(A29,'DB Country PMI'!$A:$V,MATCH($A$1,'DB Country PMI'!$A$1:$V$1,),)=0,#N/A,VLOOKUP(A29,'DB Country PMI'!$A:$V,MATCH($A$1,'DB Country PMI'!$A$1:$V$1,),))</f>
        <v>55.1</v>
      </c>
      <c r="C29" s="14">
        <f>Table1346811[[#This Row],[PMI]]-B28</f>
        <v>-1</v>
      </c>
    </row>
    <row r="30" spans="1:3" x14ac:dyDescent="0.2">
      <c r="A30" s="8">
        <v>42278</v>
      </c>
      <c r="B30" s="11">
        <f>IF(VLOOKUP(A30,'DB Country PMI'!$A:$V,MATCH($A$1,'DB Country PMI'!$A$1:$V$1,),)=0,#N/A,VLOOKUP(A30,'DB Country PMI'!$A:$V,MATCH($A$1,'DB Country PMI'!$A$1:$V$1,),))</f>
        <v>54.8</v>
      </c>
      <c r="C30" s="14">
        <f>Table1346811[[#This Row],[PMI]]-B29</f>
        <v>-0.30000000000000426</v>
      </c>
    </row>
    <row r="31" spans="1:3" x14ac:dyDescent="0.2">
      <c r="A31" s="8">
        <v>42309</v>
      </c>
      <c r="B31" s="11">
        <f>IF(VLOOKUP(A31,'DB Country PMI'!$A:$V,MATCH($A$1,'DB Country PMI'!$A$1:$V$1,),)=0,#N/A,VLOOKUP(A31,'DB Country PMI'!$A:$V,MATCH($A$1,'DB Country PMI'!$A$1:$V$1,),))</f>
        <v>56.1</v>
      </c>
      <c r="C31" s="14">
        <f>Table1346811[[#This Row],[PMI]]-B30</f>
        <v>1.3000000000000043</v>
      </c>
    </row>
    <row r="32" spans="1:3" x14ac:dyDescent="0.2">
      <c r="A32" s="8">
        <v>42339</v>
      </c>
      <c r="B32" s="11">
        <f>IF(VLOOKUP(A32,'DB Country PMI'!$A:$V,MATCH($A$1,'DB Country PMI'!$A$1:$V$1,),)=0,#N/A,VLOOKUP(A32,'DB Country PMI'!$A:$V,MATCH($A$1,'DB Country PMI'!$A$1:$V$1,),))</f>
        <v>54.3</v>
      </c>
      <c r="C32" s="14">
        <f>Table1346811[[#This Row],[PMI]]-B31</f>
        <v>-1.8000000000000043</v>
      </c>
    </row>
    <row r="33" spans="1:3" x14ac:dyDescent="0.2">
      <c r="A33" s="8">
        <v>42370</v>
      </c>
      <c r="B33" s="11">
        <f>IF(VLOOKUP(A33,'DB Country PMI'!$A:$V,MATCH($A$1,'DB Country PMI'!$A$1:$V$1,),)=0,#N/A,VLOOKUP(A33,'DB Country PMI'!$A:$V,MATCH($A$1,'DB Country PMI'!$A$1:$V$1,),))</f>
        <v>53.2</v>
      </c>
      <c r="C33" s="14">
        <f>Table1346811[[#This Row],[PMI]]-B32</f>
        <v>-1.0999999999999943</v>
      </c>
    </row>
    <row r="34" spans="1:3" x14ac:dyDescent="0.2">
      <c r="A34" s="8">
        <v>42401</v>
      </c>
      <c r="B34" s="11">
        <f>IF(VLOOKUP(A34,'DB Country PMI'!$A:$V,MATCH($A$1,'DB Country PMI'!$A$1:$V$1,),)=0,#N/A,VLOOKUP(A34,'DB Country PMI'!$A:$V,MATCH($A$1,'DB Country PMI'!$A$1:$V$1,),))</f>
        <v>49.7</v>
      </c>
      <c r="C34" s="14">
        <f>Table1346811[[#This Row],[PMI]]-B33</f>
        <v>-3.5</v>
      </c>
    </row>
    <row r="35" spans="1:3" x14ac:dyDescent="0.2">
      <c r="A35" s="8">
        <v>42430</v>
      </c>
      <c r="B35" s="11">
        <f>IF(VLOOKUP(A35,'DB Country PMI'!$A:$V,MATCH($A$1,'DB Country PMI'!$A$1:$V$1,),)=0,#N/A,VLOOKUP(A35,'DB Country PMI'!$A:$V,MATCH($A$1,'DB Country PMI'!$A$1:$V$1,),))</f>
        <v>51.3</v>
      </c>
      <c r="C35" s="14">
        <f>Table1346811[[#This Row],[PMI]]-B34</f>
        <v>1.5999999999999943</v>
      </c>
    </row>
    <row r="36" spans="1:3" x14ac:dyDescent="0.2">
      <c r="A36" s="8">
        <v>42461</v>
      </c>
      <c r="B36" s="11">
        <f>IF(VLOOKUP(A36,'DB Country PMI'!$A:$V,MATCH($A$1,'DB Country PMI'!$A$1:$V$1,),)=0,#N/A,VLOOKUP(A36,'DB Country PMI'!$A:$V,MATCH($A$1,'DB Country PMI'!$A$1:$V$1,),))</f>
        <v>52.8</v>
      </c>
      <c r="C36" s="14">
        <f>Table1346811[[#This Row],[PMI]]-B35</f>
        <v>1.5</v>
      </c>
    </row>
    <row r="37" spans="1:3" x14ac:dyDescent="0.2">
      <c r="A37" s="8">
        <v>42491</v>
      </c>
      <c r="B37" s="11">
        <f>IF(VLOOKUP(A37,'DB Country PMI'!$A:$V,MATCH($A$1,'DB Country PMI'!$A$1:$V$1,),)=0,#N/A,VLOOKUP(A37,'DB Country PMI'!$A:$V,MATCH($A$1,'DB Country PMI'!$A$1:$V$1,),))</f>
        <v>51.3</v>
      </c>
      <c r="C37" s="14">
        <f>Table1346811[[#This Row],[PMI]]-B36</f>
        <v>-1.5</v>
      </c>
    </row>
    <row r="38" spans="1:3" x14ac:dyDescent="0.2">
      <c r="A38" s="8">
        <v>42522</v>
      </c>
      <c r="B38" s="11">
        <f>IF(VLOOKUP(A38,'DB Country PMI'!$A:$V,MATCH($A$1,'DB Country PMI'!$A$1:$V$1,),)=0,#N/A,VLOOKUP(A38,'DB Country PMI'!$A:$V,MATCH($A$1,'DB Country PMI'!$A$1:$V$1,),))</f>
        <v>51.4</v>
      </c>
      <c r="C38" s="14">
        <f>Table1346811[[#This Row],[PMI]]-B37</f>
        <v>0.10000000000000142</v>
      </c>
    </row>
    <row r="39" spans="1:3" x14ac:dyDescent="0.2">
      <c r="A39" s="8">
        <v>42552</v>
      </c>
      <c r="B39" s="11">
        <f>IF(VLOOKUP(A39,'DB Country PMI'!$A:$V,MATCH($A$1,'DB Country PMI'!$A$1:$V$1,),)=0,#N/A,VLOOKUP(A39,'DB Country PMI'!$A:$V,MATCH($A$1,'DB Country PMI'!$A$1:$V$1,),))</f>
        <v>51.4</v>
      </c>
      <c r="C39" s="14">
        <f>Table1346811[[#This Row],[PMI]]-B38</f>
        <v>0</v>
      </c>
    </row>
    <row r="40" spans="1:3" x14ac:dyDescent="0.2">
      <c r="A40" s="8">
        <v>42583</v>
      </c>
      <c r="B40" s="11">
        <f>IF(VLOOKUP(A40,'DB Country PMI'!$A:$V,MATCH($A$1,'DB Country PMI'!$A$1:$V$1,),)=0,#N/A,VLOOKUP(A40,'DB Country PMI'!$A:$V,MATCH($A$1,'DB Country PMI'!$A$1:$V$1,),))</f>
        <v>51</v>
      </c>
      <c r="C40" s="14">
        <f>Table1346811[[#This Row],[PMI]]-B39</f>
        <v>-0.39999999999999858</v>
      </c>
    </row>
    <row r="41" spans="1:3" x14ac:dyDescent="0.2">
      <c r="A41" s="8">
        <v>42614</v>
      </c>
      <c r="B41" s="11">
        <f>IF(VLOOKUP(A41,'DB Country PMI'!$A:$V,MATCH($A$1,'DB Country PMI'!$A$1:$V$1,),)=0,#N/A,VLOOKUP(A41,'DB Country PMI'!$A:$V,MATCH($A$1,'DB Country PMI'!$A$1:$V$1,),))</f>
        <v>52.3</v>
      </c>
      <c r="C41" s="14">
        <f>Table1346811[[#This Row],[PMI]]-B40</f>
        <v>1.2999999999999972</v>
      </c>
    </row>
    <row r="42" spans="1:3" x14ac:dyDescent="0.2">
      <c r="A42" s="8">
        <v>42644</v>
      </c>
      <c r="B42" s="11">
        <f>IF(VLOOKUP(A42,'DB Country PMI'!$A:$V,MATCH($A$1,'DB Country PMI'!$A$1:$V$1,),)=0,#N/A,VLOOKUP(A42,'DB Country PMI'!$A:$V,MATCH($A$1,'DB Country PMI'!$A$1:$V$1,),))</f>
        <v>54.8</v>
      </c>
      <c r="C42" s="14">
        <f>Table1346811[[#This Row],[PMI]]-B41</f>
        <v>2.5</v>
      </c>
    </row>
    <row r="43" spans="1:3" x14ac:dyDescent="0.2">
      <c r="A43" s="8">
        <v>42675</v>
      </c>
      <c r="B43" s="11">
        <f>IF(VLOOKUP(A43,'DB Country PMI'!$A:$V,MATCH($A$1,'DB Country PMI'!$A$1:$V$1,),)=0,#N/A,VLOOKUP(A43,'DB Country PMI'!$A:$V,MATCH($A$1,'DB Country PMI'!$A$1:$V$1,),))</f>
        <v>54.6</v>
      </c>
      <c r="C43" s="14">
        <f>Table1346811[[#This Row],[PMI]]-B42</f>
        <v>-0.19999999999999574</v>
      </c>
    </row>
    <row r="44" spans="1:3" x14ac:dyDescent="0.2">
      <c r="A44" s="8">
        <v>42705</v>
      </c>
      <c r="B44" s="11">
        <f>IF(VLOOKUP(A44,'DB Country PMI'!$A:$V,MATCH($A$1,'DB Country PMI'!$A$1:$V$1,),)=0,#N/A,VLOOKUP(A44,'DB Country PMI'!$A:$V,MATCH($A$1,'DB Country PMI'!$A$1:$V$1,),))</f>
        <v>53.9</v>
      </c>
      <c r="C44" s="14">
        <f>Table1346811[[#This Row],[PMI]]-B43</f>
        <v>-0.70000000000000284</v>
      </c>
    </row>
    <row r="45" spans="1:3" x14ac:dyDescent="0.2">
      <c r="A45" s="8">
        <v>42736</v>
      </c>
      <c r="B45" s="11">
        <f>IF(VLOOKUP(A45,'DB Country PMI'!$A:$V,MATCH($A$1,'DB Country PMI'!$A$1:$V$1,),)=0,#N/A,VLOOKUP(A45,'DB Country PMI'!$A:$V,MATCH($A$1,'DB Country PMI'!$A$1:$V$1,),))</f>
        <v>55.6</v>
      </c>
      <c r="C45" s="14">
        <f>Table1346811[[#This Row],[PMI]]-B44</f>
        <v>1.7000000000000028</v>
      </c>
    </row>
    <row r="46" spans="1:3" x14ac:dyDescent="0.2">
      <c r="A46" s="8">
        <v>42767</v>
      </c>
      <c r="B46" s="11">
        <f>IF(VLOOKUP(A46,'DB Country PMI'!$A:$V,MATCH($A$1,'DB Country PMI'!$A$1:$V$1,),)=0,#N/A,VLOOKUP(A46,'DB Country PMI'!$A:$V,MATCH($A$1,'DB Country PMI'!$A$1:$V$1,),))</f>
        <v>53.8</v>
      </c>
      <c r="C46" s="14">
        <f>Table1346811[[#This Row],[PMI]]-B45</f>
        <v>-1.8000000000000043</v>
      </c>
    </row>
    <row r="47" spans="1:3" x14ac:dyDescent="0.2">
      <c r="A47" s="8">
        <v>42795</v>
      </c>
      <c r="B47" s="11">
        <f>IF(VLOOKUP(A47,'DB Country PMI'!$A:$V,MATCH($A$1,'DB Country PMI'!$A$1:$V$1,),)=0,#N/A,VLOOKUP(A47,'DB Country PMI'!$A:$V,MATCH($A$1,'DB Country PMI'!$A$1:$V$1,),))</f>
        <v>52.8</v>
      </c>
      <c r="C47" s="14">
        <f>Table1346811[[#This Row],[PMI]]-B46</f>
        <v>-1</v>
      </c>
    </row>
    <row r="48" spans="1:3" x14ac:dyDescent="0.2">
      <c r="A48" s="8">
        <v>42826</v>
      </c>
      <c r="B48" s="11">
        <f>IF(VLOOKUP(A48,'DB Country PMI'!$A:$V,MATCH($A$1,'DB Country PMI'!$A$1:$V$1,),)=0,#N/A,VLOOKUP(A48,'DB Country PMI'!$A:$V,MATCH($A$1,'DB Country PMI'!$A$1:$V$1,),))</f>
        <v>53.1</v>
      </c>
      <c r="C48" s="14">
        <f>Table1346811[[#This Row],[PMI]]-B47</f>
        <v>0.30000000000000426</v>
      </c>
    </row>
    <row r="49" spans="1:3" x14ac:dyDescent="0.2">
      <c r="A49" s="8">
        <v>42856</v>
      </c>
      <c r="B49" s="11">
        <f>IF(VLOOKUP(A49,'DB Country PMI'!$A:$V,MATCH($A$1,'DB Country PMI'!$A$1:$V$1,),)=0,#N/A,VLOOKUP(A49,'DB Country PMI'!$A:$V,MATCH($A$1,'DB Country PMI'!$A$1:$V$1,),))</f>
        <v>53.6</v>
      </c>
      <c r="C49" s="14">
        <f>Table1346811[[#This Row],[PMI]]-B48</f>
        <v>0.5</v>
      </c>
    </row>
    <row r="50" spans="1:3" x14ac:dyDescent="0.2">
      <c r="A50" s="8">
        <v>42887</v>
      </c>
      <c r="B50" s="11">
        <f>IF(VLOOKUP(A50,'DB Country PMI'!$A:$V,MATCH($A$1,'DB Country PMI'!$A$1:$V$1,),)=0,#N/A,VLOOKUP(A50,'DB Country PMI'!$A:$V,MATCH($A$1,'DB Country PMI'!$A$1:$V$1,),))</f>
        <v>54.2</v>
      </c>
      <c r="C50" s="14">
        <f>Table1346811[[#This Row],[PMI]]-B49</f>
        <v>0.60000000000000142</v>
      </c>
    </row>
    <row r="51" spans="1:3" x14ac:dyDescent="0.2">
      <c r="A51" s="8">
        <v>42917</v>
      </c>
      <c r="B51" s="11">
        <f>IF(VLOOKUP(A51,'DB Country PMI'!$A:$V,MATCH($A$1,'DB Country PMI'!$A$1:$V$1,),)=0,#N/A,VLOOKUP(A51,'DB Country PMI'!$A:$V,MATCH($A$1,'DB Country PMI'!$A$1:$V$1,),))</f>
        <v>54.7</v>
      </c>
      <c r="C51" s="14">
        <f>Table1346811[[#This Row],[PMI]]-B50</f>
        <v>0.5</v>
      </c>
    </row>
    <row r="52" spans="1:3" x14ac:dyDescent="0.2">
      <c r="A52" s="8">
        <v>42948</v>
      </c>
      <c r="B52" s="11">
        <f>IF(VLOOKUP(A52,'DB Country PMI'!$A:$V,MATCH($A$1,'DB Country PMI'!$A$1:$V$1,),)=0,#N/A,VLOOKUP(A52,'DB Country PMI'!$A:$V,MATCH($A$1,'DB Country PMI'!$A$1:$V$1,),))</f>
        <v>56</v>
      </c>
      <c r="C52" s="14">
        <f>Table1346811[[#This Row],[PMI]]-B51</f>
        <v>1.2999999999999972</v>
      </c>
    </row>
    <row r="53" spans="1:3" x14ac:dyDescent="0.2">
      <c r="A53" s="8">
        <v>42979</v>
      </c>
      <c r="B53" s="11">
        <f>IF(VLOOKUP(A53,'DB Country PMI'!$A:$V,MATCH($A$1,'DB Country PMI'!$A$1:$V$1,),)=0,#N/A,VLOOKUP(A53,'DB Country PMI'!$A:$V,MATCH($A$1,'DB Country PMI'!$A$1:$V$1,),))</f>
        <v>55.3</v>
      </c>
      <c r="C53" s="14">
        <f>Table1346811[[#This Row],[PMI]]-B52</f>
        <v>-0.70000000000000284</v>
      </c>
    </row>
    <row r="54" spans="1:3" x14ac:dyDescent="0.2">
      <c r="A54" s="8">
        <v>43009</v>
      </c>
      <c r="B54" s="11">
        <f>IF(VLOOKUP(A54,'DB Country PMI'!$A:$V,MATCH($A$1,'DB Country PMI'!$A$1:$V$1,),)=0,#N/A,VLOOKUP(A54,'DB Country PMI'!$A:$V,MATCH($A$1,'DB Country PMI'!$A$1:$V$1,),))</f>
        <v>55.3</v>
      </c>
      <c r="C54" s="14">
        <f>Table1346811[[#This Row],[PMI]]-B53</f>
        <v>0</v>
      </c>
    </row>
    <row r="55" spans="1:3" x14ac:dyDescent="0.2">
      <c r="A55" s="8">
        <v>43040</v>
      </c>
      <c r="B55" s="11">
        <f>IF(VLOOKUP(A55,'DB Country PMI'!$A:$V,MATCH($A$1,'DB Country PMI'!$A$1:$V$1,),)=0,#N/A,VLOOKUP(A55,'DB Country PMI'!$A:$V,MATCH($A$1,'DB Country PMI'!$A$1:$V$1,),))</f>
        <v>54.5</v>
      </c>
      <c r="C55" s="14">
        <f>Table1346811[[#This Row],[PMI]]-B54</f>
        <v>-0.79999999999999716</v>
      </c>
    </row>
    <row r="56" spans="1:3" x14ac:dyDescent="0.2">
      <c r="A56" s="8">
        <v>43070</v>
      </c>
      <c r="B56" s="11">
        <f>IF(VLOOKUP(A56,'DB Country PMI'!$A:$V,MATCH($A$1,'DB Country PMI'!$A$1:$V$1,),)=0,#N/A,VLOOKUP(A56,'DB Country PMI'!$A:$V,MATCH($A$1,'DB Country PMI'!$A$1:$V$1,),))</f>
        <v>53.7</v>
      </c>
      <c r="C56" s="14">
        <f>Table1346811[[#This Row],[PMI]]-B55</f>
        <v>-0.79999999999999716</v>
      </c>
    </row>
    <row r="57" spans="1:3" x14ac:dyDescent="0.2">
      <c r="A57" s="8">
        <v>43101</v>
      </c>
      <c r="B57" s="11">
        <f>IF(VLOOKUP(A57,'DB Country PMI'!$A:$V,MATCH($A$1,'DB Country PMI'!$A$1:$V$1,),)=0,#N/A,VLOOKUP(A57,'DB Country PMI'!$A:$V,MATCH($A$1,'DB Country PMI'!$A$1:$V$1,),))</f>
        <v>53.3</v>
      </c>
      <c r="C57" s="14">
        <f>Table1346811[[#This Row],[PMI]]-B56</f>
        <v>-0.40000000000000568</v>
      </c>
    </row>
    <row r="58" spans="1:3" x14ac:dyDescent="0.2">
      <c r="A58" s="8">
        <v>43132</v>
      </c>
      <c r="B58" s="11">
        <f>IF(VLOOKUP(A58,'DB Country PMI'!$A:$V,MATCH($A$1,'DB Country PMI'!$A$1:$V$1,),)=0,#N/A,VLOOKUP(A58,'DB Country PMI'!$A:$V,MATCH($A$1,'DB Country PMI'!$A$1:$V$1,),))</f>
        <v>55.9</v>
      </c>
      <c r="C58" s="14">
        <f>Table1346811[[#This Row],[PMI]]-B57</f>
        <v>2.6000000000000014</v>
      </c>
    </row>
    <row r="59" spans="1:3" x14ac:dyDescent="0.2">
      <c r="A59" s="8">
        <v>43160</v>
      </c>
      <c r="B59" s="11">
        <f>IF(VLOOKUP(A59,'DB Country PMI'!$A:$V,MATCH($A$1,'DB Country PMI'!$A$1:$V$1,),)=0,#N/A,VLOOKUP(A59,'DB Country PMI'!$A:$V,MATCH($A$1,'DB Country PMI'!$A$1:$V$1,),))</f>
        <v>54</v>
      </c>
      <c r="C59" s="14">
        <f>Table1346811[[#This Row],[PMI]]-B58</f>
        <v>-1.8999999999999986</v>
      </c>
    </row>
    <row r="60" spans="1:3" x14ac:dyDescent="0.2">
      <c r="A60" s="8">
        <v>43191</v>
      </c>
      <c r="B60" s="11">
        <f>IF(VLOOKUP(A60,'DB Country PMI'!$A:$V,MATCH($A$1,'DB Country PMI'!$A$1:$V$1,),)=0,#N/A,VLOOKUP(A60,'DB Country PMI'!$A:$V,MATCH($A$1,'DB Country PMI'!$A$1:$V$1,),))</f>
        <v>54.6</v>
      </c>
      <c r="C60" s="14">
        <f>Table1346811[[#This Row],[PMI]]-B59</f>
        <v>0.60000000000000142</v>
      </c>
    </row>
    <row r="61" spans="1:3" x14ac:dyDescent="0.2">
      <c r="A61" s="8">
        <v>43221</v>
      </c>
      <c r="B61" s="11">
        <f>IF(VLOOKUP(A61,'DB Country PMI'!$A:$V,MATCH($A$1,'DB Country PMI'!$A$1:$V$1,),)=0,#N/A,VLOOKUP(A61,'DB Country PMI'!$A:$V,MATCH($A$1,'DB Country PMI'!$A$1:$V$1,),))</f>
        <v>56.8</v>
      </c>
      <c r="C61" s="14">
        <f>Table1346811[[#This Row],[PMI]]-B60</f>
        <v>2.1999999999999957</v>
      </c>
    </row>
    <row r="62" spans="1:3" x14ac:dyDescent="0.2">
      <c r="A62" s="8">
        <v>43252</v>
      </c>
      <c r="B62" s="11">
        <f>IF(VLOOKUP(A62,'DB Country PMI'!$A:$V,MATCH($A$1,'DB Country PMI'!$A$1:$V$1,),)=0,#N/A,VLOOKUP(A62,'DB Country PMI'!$A:$V,MATCH($A$1,'DB Country PMI'!$A$1:$V$1,),))</f>
        <v>56.5</v>
      </c>
      <c r="C62" s="14">
        <f>Table1346811[[#This Row],[PMI]]-B61</f>
        <v>-0.29999999999999716</v>
      </c>
    </row>
    <row r="63" spans="1:3" x14ac:dyDescent="0.2">
      <c r="A63" s="8">
        <v>43282</v>
      </c>
      <c r="B63" s="11">
        <f>IF(VLOOKUP(A63,'DB Country PMI'!$A:$V,MATCH($A$1,'DB Country PMI'!$A$1:$V$1,),)=0,#N/A,VLOOKUP(A63,'DB Country PMI'!$A:$V,MATCH($A$1,'DB Country PMI'!$A$1:$V$1,),))</f>
        <v>56</v>
      </c>
      <c r="C63" s="14">
        <f>Table1346811[[#This Row],[PMI]]-B62</f>
        <v>-0.5</v>
      </c>
    </row>
    <row r="64" spans="1:3" x14ac:dyDescent="0.2">
      <c r="A64" s="8">
        <v>43313</v>
      </c>
      <c r="B64" s="11">
        <f>IF(VLOOKUP(A64,'DB Country PMI'!$A:$V,MATCH($A$1,'DB Country PMI'!$A$1:$V$1,),)=0,#N/A,VLOOKUP(A64,'DB Country PMI'!$A:$V,MATCH($A$1,'DB Country PMI'!$A$1:$V$1,),))</f>
        <v>55.2</v>
      </c>
      <c r="C64" s="14">
        <f>Table1346811[[#This Row],[PMI]]-B63</f>
        <v>-0.79999999999999716</v>
      </c>
    </row>
    <row r="65" spans="1:3" x14ac:dyDescent="0.2">
      <c r="A65" s="8">
        <v>43344</v>
      </c>
      <c r="B65" s="11">
        <f>IF(VLOOKUP(A65,'DB Country PMI'!$A:$V,MATCH($A$1,'DB Country PMI'!$A$1:$V$1,),)=0,#N/A,VLOOKUP(A65,'DB Country PMI'!$A:$V,MATCH($A$1,'DB Country PMI'!$A$1:$V$1,),))</f>
        <v>52.9</v>
      </c>
      <c r="C65" s="14">
        <f>Table1346811[[#This Row],[PMI]]-B64</f>
        <v>-2.3000000000000043</v>
      </c>
    </row>
    <row r="66" spans="1:3" x14ac:dyDescent="0.2">
      <c r="A66" s="8">
        <v>43374</v>
      </c>
      <c r="B66" s="11">
        <f>IF(VLOOKUP(A66,'DB Country PMI'!$A:$V,MATCH($A$1,'DB Country PMI'!$A$1:$V$1,),)=0,#N/A,VLOOKUP(A66,'DB Country PMI'!$A:$V,MATCH($A$1,'DB Country PMI'!$A$1:$V$1,),))</f>
        <v>54.8</v>
      </c>
      <c r="C66" s="14">
        <f>Table1346811[[#This Row],[PMI]]-B65</f>
        <v>1.8999999999999986</v>
      </c>
    </row>
    <row r="67" spans="1:3" x14ac:dyDescent="0.2">
      <c r="A67" s="8">
        <v>43405</v>
      </c>
      <c r="B67" s="11">
        <f>IF(VLOOKUP(A67,'DB Country PMI'!$A:$V,MATCH($A$1,'DB Country PMI'!$A$1:$V$1,),)=0,#N/A,VLOOKUP(A67,'DB Country PMI'!$A:$V,MATCH($A$1,'DB Country PMI'!$A$1:$V$1,),))</f>
        <v>54.4</v>
      </c>
      <c r="C67" s="14">
        <f>Table1346811[[#This Row],[PMI]]-B66</f>
        <v>-0.39999999999999858</v>
      </c>
    </row>
    <row r="68" spans="1:3" x14ac:dyDescent="0.2">
      <c r="A68" s="8">
        <v>43435</v>
      </c>
      <c r="B68" s="11">
        <f>IF(VLOOKUP(A68,'DB Country PMI'!$A:$V,MATCH($A$1,'DB Country PMI'!$A$1:$V$1,),)=0,#N/A,VLOOKUP(A68,'DB Country PMI'!$A:$V,MATCH($A$1,'DB Country PMI'!$A$1:$V$1,),))</f>
        <v>54.4</v>
      </c>
      <c r="C68" s="14">
        <f>Table1346811[[#This Row],[PMI]]-B67</f>
        <v>0</v>
      </c>
    </row>
    <row r="69" spans="1:3" x14ac:dyDescent="0.2">
      <c r="A69" s="8">
        <v>43466</v>
      </c>
      <c r="B69" s="11">
        <f>IF(VLOOKUP(A69,'DB Country PMI'!$A:$V,MATCH($A$1,'DB Country PMI'!$A$1:$V$1,),)=0,#N/A,VLOOKUP(A69,'DB Country PMI'!$A:$V,MATCH($A$1,'DB Country PMI'!$A$1:$V$1,),))</f>
        <v>54.2</v>
      </c>
      <c r="C69" s="14">
        <f>Table1346811[[#This Row],[PMI]]-B68</f>
        <v>-0.19999999999999574</v>
      </c>
    </row>
    <row r="70" spans="1:3" x14ac:dyDescent="0.2">
      <c r="A70" s="8">
        <v>43497</v>
      </c>
      <c r="B70" s="11">
        <f>IF(VLOOKUP(A70,'DB Country PMI'!$A:$V,MATCH($A$1,'DB Country PMI'!$A$1:$V$1,),)=0,#N/A,VLOOKUP(A70,'DB Country PMI'!$A:$V,MATCH($A$1,'DB Country PMI'!$A$1:$V$1,),))</f>
        <v>56.2</v>
      </c>
      <c r="C70" s="14">
        <f>Table1346811[[#This Row],[PMI]]-B69</f>
        <v>2</v>
      </c>
    </row>
    <row r="71" spans="1:3" x14ac:dyDescent="0.2">
      <c r="A71" s="8">
        <v>43525</v>
      </c>
      <c r="B71" s="11">
        <f>IF(VLOOKUP(A71,'DB Country PMI'!$A:$V,MATCH($A$1,'DB Country PMI'!$A$1:$V$1,),)=0,#N/A,VLOOKUP(A71,'DB Country PMI'!$A:$V,MATCH($A$1,'DB Country PMI'!$A$1:$V$1,),))</f>
        <v>54.8</v>
      </c>
      <c r="C71" s="14">
        <f>Table1346811[[#This Row],[PMI]]-B70</f>
        <v>-1.4000000000000057</v>
      </c>
    </row>
    <row r="72" spans="1:3" x14ac:dyDescent="0.2">
      <c r="A72" s="8">
        <v>43556</v>
      </c>
      <c r="B72" s="11">
        <f>IF(VLOOKUP(A72,'DB Country PMI'!$A:$V,MATCH($A$1,'DB Country PMI'!$A$1:$V$1,),)=0,#N/A,VLOOKUP(A72,'DB Country PMI'!$A:$V,MATCH($A$1,'DB Country PMI'!$A$1:$V$1,),))</f>
        <v>53</v>
      </c>
      <c r="C72" s="14">
        <f>Table1346811[[#This Row],[PMI]]-B71</f>
        <v>-1.7999999999999972</v>
      </c>
    </row>
    <row r="73" spans="1:3" x14ac:dyDescent="0.2">
      <c r="A73" s="8">
        <v>43586</v>
      </c>
      <c r="B73" s="11">
        <f>IF(VLOOKUP(A73,'DB Country PMI'!$A:$V,MATCH($A$1,'DB Country PMI'!$A$1:$V$1,),)=0,#N/A,VLOOKUP(A73,'DB Country PMI'!$A:$V,MATCH($A$1,'DB Country PMI'!$A$1:$V$1,),))</f>
        <v>50.9</v>
      </c>
      <c r="C73" s="14">
        <f>Table1346811[[#This Row],[PMI]]-B72</f>
        <v>-2.1000000000000014</v>
      </c>
    </row>
    <row r="74" spans="1:3" x14ac:dyDescent="0.2">
      <c r="A74" s="8">
        <v>43617</v>
      </c>
      <c r="B74" s="11">
        <f>IF(VLOOKUP(A74,'DB Country PMI'!$A:$V,MATCH($A$1,'DB Country PMI'!$A$1:$V$1,),)=0,#N/A,VLOOKUP(A74,'DB Country PMI'!$A:$V,MATCH($A$1,'DB Country PMI'!$A$1:$V$1,),))</f>
        <v>51.5</v>
      </c>
      <c r="C74" s="14">
        <f>Table1346811[[#This Row],[PMI]]-B73</f>
        <v>0.60000000000000142</v>
      </c>
    </row>
    <row r="75" spans="1:3" x14ac:dyDescent="0.2">
      <c r="A75" s="8">
        <v>43647</v>
      </c>
      <c r="B75" s="11">
        <f>IF(VLOOKUP(A75,'DB Country PMI'!$A:$V,MATCH($A$1,'DB Country PMI'!$A$1:$V$1,),)=0,#N/A,VLOOKUP(A75,'DB Country PMI'!$A:$V,MATCH($A$1,'DB Country PMI'!$A$1:$V$1,),))</f>
        <v>53</v>
      </c>
      <c r="C75" s="14">
        <f>Table1346811[[#This Row],[PMI]]-B74</f>
        <v>1.5</v>
      </c>
    </row>
    <row r="76" spans="1:3" x14ac:dyDescent="0.2">
      <c r="A76" s="8">
        <v>43678</v>
      </c>
      <c r="B76" s="11">
        <f>IF(VLOOKUP(A76,'DB Country PMI'!$A:$V,MATCH($A$1,'DB Country PMI'!$A$1:$V$1,),)=0,#N/A,VLOOKUP(A76,'DB Country PMI'!$A:$V,MATCH($A$1,'DB Country PMI'!$A$1:$V$1,),))</f>
        <v>50.7</v>
      </c>
      <c r="C76" s="14">
        <f>Table1346811[[#This Row],[PMI]]-B75</f>
        <v>-2.2999999999999972</v>
      </c>
    </row>
    <row r="77" spans="1:3" x14ac:dyDescent="0.2">
      <c r="A77" s="8">
        <v>43709</v>
      </c>
      <c r="B77" s="11">
        <f>IF(VLOOKUP(A77,'DB Country PMI'!$A:$V,MATCH($A$1,'DB Country PMI'!$A$1:$V$1,),)=0,#N/A,VLOOKUP(A77,'DB Country PMI'!$A:$V,MATCH($A$1,'DB Country PMI'!$A$1:$V$1,),))</f>
        <v>50.9</v>
      </c>
      <c r="C77" s="14">
        <f>Table1346811[[#This Row],[PMI]]-B76</f>
        <v>0.19999999999999574</v>
      </c>
    </row>
    <row r="78" spans="1:3" x14ac:dyDescent="0.2">
      <c r="A78" s="8">
        <v>43739</v>
      </c>
      <c r="B78" s="11">
        <f>IF(VLOOKUP(A78,'DB Country PMI'!$A:$V,MATCH($A$1,'DB Country PMI'!$A$1:$V$1,),)=0,#N/A,VLOOKUP(A78,'DB Country PMI'!$A:$V,MATCH($A$1,'DB Country PMI'!$A$1:$V$1,),))</f>
        <v>50.6</v>
      </c>
      <c r="C78" s="14">
        <f>Table1346811[[#This Row],[PMI]]-B77</f>
        <v>-0.29999999999999716</v>
      </c>
    </row>
    <row r="79" spans="1:3" x14ac:dyDescent="0.2">
      <c r="A79" s="8">
        <v>43770</v>
      </c>
      <c r="B79" s="11">
        <f>IF(VLOOKUP(A79,'DB Country PMI'!$A:$V,MATCH($A$1,'DB Country PMI'!$A$1:$V$1,),)=0,#N/A,VLOOKUP(A79,'DB Country PMI'!$A:$V,MATCH($A$1,'DB Country PMI'!$A$1:$V$1,),))</f>
        <v>51.6</v>
      </c>
      <c r="C79" s="14">
        <f>Table1346811[[#This Row],[PMI]]-B78</f>
        <v>1</v>
      </c>
    </row>
    <row r="80" spans="1:3" x14ac:dyDescent="0.2">
      <c r="A80" s="8">
        <v>43800</v>
      </c>
      <c r="B80" s="11">
        <f>IF(VLOOKUP(A80,'DB Country PMI'!$A:$V,MATCH($A$1,'DB Country PMI'!$A$1:$V$1,),)=0,#N/A,VLOOKUP(A80,'DB Country PMI'!$A:$V,MATCH($A$1,'DB Country PMI'!$A$1:$V$1,),))</f>
        <v>52.8</v>
      </c>
      <c r="C80" s="14">
        <f>Table1346811[[#This Row],[PMI]]-B79</f>
        <v>1.1999999999999957</v>
      </c>
    </row>
    <row r="81" spans="1:3" x14ac:dyDescent="0.2">
      <c r="A81" s="8">
        <v>43831</v>
      </c>
      <c r="B81" s="11">
        <f>IF(VLOOKUP(A81,'DB Country PMI'!$A:$V,MATCH($A$1,'DB Country PMI'!$A$1:$V$1,),)=0,#N/A,VLOOKUP(A81,'DB Country PMI'!$A:$V,MATCH($A$1,'DB Country PMI'!$A$1:$V$1,),))</f>
        <v>53.4</v>
      </c>
      <c r="C81" s="14">
        <f>Table1346811[[#This Row],[PMI]]-B80</f>
        <v>0.60000000000000142</v>
      </c>
    </row>
    <row r="82" spans="1:3" x14ac:dyDescent="0.2">
      <c r="A82" s="8">
        <v>43862</v>
      </c>
      <c r="B82" s="11">
        <f>IF(VLOOKUP(A82,'DB Country PMI'!$A:$V,MATCH($A$1,'DB Country PMI'!$A$1:$V$1,),)=0,#N/A,VLOOKUP(A82,'DB Country PMI'!$A:$V,MATCH($A$1,'DB Country PMI'!$A$1:$V$1,),))</f>
        <v>49.4</v>
      </c>
      <c r="C82" s="14">
        <f>Table1346811[[#This Row],[PMI]]-B81</f>
        <v>-4</v>
      </c>
    </row>
    <row r="83" spans="1:3" x14ac:dyDescent="0.2">
      <c r="A83" s="8">
        <v>43891</v>
      </c>
      <c r="B83" s="11">
        <f>IF(VLOOKUP(A83,'DB Country PMI'!$A:$V,MATCH($A$1,'DB Country PMI'!$A$1:$V$1,),)=0,#N/A,VLOOKUP(A83,'DB Country PMI'!$A:$V,MATCH($A$1,'DB Country PMI'!$A$1:$V$1,),))</f>
        <v>39.799999999999997</v>
      </c>
      <c r="C83" s="14">
        <f>Table1346811[[#This Row],[PMI]]-B82</f>
        <v>-9.6000000000000014</v>
      </c>
    </row>
    <row r="84" spans="1:3" x14ac:dyDescent="0.2">
      <c r="A84" s="8">
        <v>43922</v>
      </c>
      <c r="B84" s="11">
        <f>IF(VLOOKUP(A84,'DB Country PMI'!$A:$V,MATCH($A$1,'DB Country PMI'!$A$1:$V$1,),)=0,#N/A,VLOOKUP(A84,'DB Country PMI'!$A:$V,MATCH($A$1,'DB Country PMI'!$A$1:$V$1,),))</f>
        <v>26.7</v>
      </c>
      <c r="C84" s="14">
        <f>Table1346811[[#This Row],[PMI]]-B83</f>
        <v>-13.099999999999998</v>
      </c>
    </row>
    <row r="85" spans="1:3" x14ac:dyDescent="0.2">
      <c r="A85" s="8">
        <v>43952</v>
      </c>
      <c r="B85" s="11">
        <f>IF(VLOOKUP(A85,'DB Country PMI'!$A:$V,MATCH($A$1,'DB Country PMI'!$A$1:$V$1,),)=0,#N/A,VLOOKUP(A85,'DB Country PMI'!$A:$V,MATCH($A$1,'DB Country PMI'!$A$1:$V$1,),))</f>
        <v>37.5</v>
      </c>
      <c r="C85" s="14">
        <f>Table1346811[[#This Row],[PMI]]-B84</f>
        <v>10.8</v>
      </c>
    </row>
    <row r="86" spans="1:3" x14ac:dyDescent="0.2">
      <c r="A86" s="8">
        <v>43983</v>
      </c>
      <c r="B86" s="11">
        <f>IF(VLOOKUP(A86,'DB Country PMI'!$A:$V,MATCH($A$1,'DB Country PMI'!$A$1:$V$1,),)=0,#N/A,VLOOKUP(A86,'DB Country PMI'!$A:$V,MATCH($A$1,'DB Country PMI'!$A$1:$V$1,),))</f>
        <v>47.9</v>
      </c>
      <c r="C86" s="14">
        <f>Table1346811[[#This Row],[PMI]]-B85</f>
        <v>10.399999999999999</v>
      </c>
    </row>
    <row r="87" spans="1:3" x14ac:dyDescent="0.2">
      <c r="A87" s="8">
        <v>44013</v>
      </c>
      <c r="B87" s="11">
        <f>IF(VLOOKUP(A87,'DB Country PMI'!$A:$V,MATCH($A$1,'DB Country PMI'!$A$1:$V$1,),)=0,#N/A,VLOOKUP(A87,'DB Country PMI'!$A:$V,MATCH($A$1,'DB Country PMI'!$A$1:$V$1,),))</f>
        <v>50</v>
      </c>
      <c r="C87" s="14">
        <f>Table1346811[[#This Row],[PMI]]-B86</f>
        <v>2.1000000000000014</v>
      </c>
    </row>
    <row r="88" spans="1:3" x14ac:dyDescent="0.2">
      <c r="A88" s="8">
        <v>44044</v>
      </c>
      <c r="B88" s="11">
        <f>IF(VLOOKUP(A88,'DB Country PMI'!$A:$V,MATCH($A$1,'DB Country PMI'!$A$1:$V$1,),)=0,#N/A,VLOOKUP(A88,'DB Country PMI'!$A:$V,MATCH($A$1,'DB Country PMI'!$A$1:$V$1,),))</f>
        <v>55</v>
      </c>
      <c r="C88" s="14">
        <f>Table1346811[[#This Row],[PMI]]-B87</f>
        <v>5</v>
      </c>
    </row>
    <row r="89" spans="1:3" x14ac:dyDescent="0.2">
      <c r="A89" s="8">
        <v>44075</v>
      </c>
      <c r="B89" s="11">
        <f>IF(VLOOKUP(A89,'DB Country PMI'!$A:$V,MATCH($A$1,'DB Country PMI'!$A$1:$V$1,),)=0,#N/A,VLOOKUP(A89,'DB Country PMI'!$A:$V,MATCH($A$1,'DB Country PMI'!$A$1:$V$1,),))</f>
        <v>54.6</v>
      </c>
      <c r="C89" s="14">
        <f>Table1346811[[#This Row],[PMI]]-B88</f>
        <v>-0.39999999999999858</v>
      </c>
    </row>
    <row r="90" spans="1:3" x14ac:dyDescent="0.2">
      <c r="A90" s="8">
        <v>44105</v>
      </c>
      <c r="B90" s="11">
        <f>IF(VLOOKUP(A90,'DB Country PMI'!$A:$V,MATCH($A$1,'DB Country PMI'!$A$1:$V$1,),)=0,#N/A,VLOOKUP(A90,'DB Country PMI'!$A:$V,MATCH($A$1,'DB Country PMI'!$A$1:$V$1,),))</f>
        <v>56.9</v>
      </c>
      <c r="C90" s="14">
        <f>Table1346811[[#This Row],[PMI]]-B89</f>
        <v>2.2999999999999972</v>
      </c>
    </row>
    <row r="91" spans="1:3" x14ac:dyDescent="0.2">
      <c r="A91" s="8">
        <v>44136</v>
      </c>
      <c r="B91" s="11">
        <f>IF(VLOOKUP(A91,'DB Country PMI'!$A:$V,MATCH($A$1,'DB Country PMI'!$A$1:$V$1,),)=0,#N/A,VLOOKUP(A91,'DB Country PMI'!$A:$V,MATCH($A$1,'DB Country PMI'!$A$1:$V$1,),))</f>
        <v>58.4</v>
      </c>
      <c r="C91" s="14">
        <f>Table1346811[[#This Row],[PMI]]-B90</f>
        <v>1.5</v>
      </c>
    </row>
    <row r="92" spans="1:3" x14ac:dyDescent="0.2">
      <c r="A92" s="8">
        <v>44166</v>
      </c>
      <c r="B92" s="11">
        <f>IF(VLOOKUP(A92,'DB Country PMI'!$A:$V,MATCH($A$1,'DB Country PMI'!$A$1:$V$1,),)=0,#N/A,VLOOKUP(A92,'DB Country PMI'!$A:$V,MATCH($A$1,'DB Country PMI'!$A$1:$V$1,),))</f>
        <v>54.8</v>
      </c>
      <c r="C92" s="14">
        <f>Table1346811[[#This Row],[PMI]]-B91</f>
        <v>-3.6000000000000014</v>
      </c>
    </row>
    <row r="93" spans="1:3" x14ac:dyDescent="0.2">
      <c r="A93" s="8">
        <v>44197</v>
      </c>
      <c r="B93" s="11">
        <f>IF(VLOOKUP(A93,'DB Country PMI'!$A:$V,MATCH($A$1,'DB Country PMI'!$A$1:$V$1,),)=0,#N/A,VLOOKUP(A93,'DB Country PMI'!$A:$V,MATCH($A$1,'DB Country PMI'!$A$1:$V$1,),))</f>
        <v>58.3</v>
      </c>
      <c r="C93" s="14">
        <f>Table1346811[[#This Row],[PMI]]-B92</f>
        <v>3.5</v>
      </c>
    </row>
    <row r="94" spans="1:3" x14ac:dyDescent="0.2">
      <c r="A94" s="8">
        <v>44228</v>
      </c>
      <c r="B94" s="11">
        <f>IF(VLOOKUP(A94,'DB Country PMI'!$A:$V,MATCH($A$1,'DB Country PMI'!$A$1:$V$1,),)=0,#N/A,VLOOKUP(A94,'DB Country PMI'!$A:$V,MATCH($A$1,'DB Country PMI'!$A$1:$V$1,),))</f>
        <v>59.8</v>
      </c>
      <c r="C94" s="14">
        <f>Table1346811[[#This Row],[PMI]]-B93</f>
        <v>1.5</v>
      </c>
    </row>
    <row r="95" spans="1:3" x14ac:dyDescent="0.2">
      <c r="A95" s="8">
        <v>44256</v>
      </c>
      <c r="B95" s="11">
        <f>IF(VLOOKUP(A95,'DB Country PMI'!$A:$V,MATCH($A$1,'DB Country PMI'!$A$1:$V$1,),)=0,#N/A,VLOOKUP(A95,'DB Country PMI'!$A:$V,MATCH($A$1,'DB Country PMI'!$A$1:$V$1,),))</f>
        <v>60.4</v>
      </c>
      <c r="C95" s="14">
        <f>Table1346811[[#This Row],[PMI]]-B94</f>
        <v>0.60000000000000142</v>
      </c>
    </row>
    <row r="96" spans="1:3" x14ac:dyDescent="0.2">
      <c r="A96" s="8">
        <v>44287</v>
      </c>
      <c r="B96" s="11">
        <f>IF(VLOOKUP(A96,'DB Country PMI'!$A:$V,MATCH($A$1,'DB Country PMI'!$A$1:$V$1,),)=0,#N/A,VLOOKUP(A96,'DB Country PMI'!$A:$V,MATCH($A$1,'DB Country PMI'!$A$1:$V$1,),))</f>
        <v>64.7</v>
      </c>
      <c r="C96" s="14">
        <f>Table1346811[[#This Row],[PMI]]-B95</f>
        <v>4.3000000000000043</v>
      </c>
    </row>
    <row r="97" spans="1:3" x14ac:dyDescent="0.2">
      <c r="A97" s="8">
        <v>44317</v>
      </c>
      <c r="B97" s="11">
        <f>IF(VLOOKUP(A97,'DB Country PMI'!$A:$V,MATCH($A$1,'DB Country PMI'!$A$1:$V$1,),)=0,#N/A,VLOOKUP(A97,'DB Country PMI'!$A:$V,MATCH($A$1,'DB Country PMI'!$A$1:$V$1,),))</f>
        <v>70.400000000000006</v>
      </c>
      <c r="C97" s="14">
        <f>Table1346811[[#This Row],[PMI]]-B96</f>
        <v>5.7000000000000028</v>
      </c>
    </row>
    <row r="98" spans="1:3" x14ac:dyDescent="0.2">
      <c r="A98" s="8">
        <v>44348</v>
      </c>
      <c r="B98" s="11">
        <f>IF(VLOOKUP(A98,'DB Country PMI'!$A:$V,MATCH($A$1,'DB Country PMI'!$A$1:$V$1,),)=0,#N/A,VLOOKUP(A98,'DB Country PMI'!$A:$V,MATCH($A$1,'DB Country PMI'!$A$1:$V$1,),))</f>
        <v>64.599999999999994</v>
      </c>
      <c r="C98" s="14">
        <f>Table1346811[[#This Row],[PMI]]-B97</f>
        <v>-5.8000000000000114</v>
      </c>
    </row>
    <row r="99" spans="1:3" x14ac:dyDescent="0.2">
      <c r="A99" s="8">
        <v>44378</v>
      </c>
      <c r="B99" s="11">
        <f>IF(VLOOKUP(A99,'DB Country PMI'!$A:$V,MATCH($A$1,'DB Country PMI'!$A$1:$V$1,),)=0,#N/A,VLOOKUP(A99,'DB Country PMI'!$A:$V,MATCH($A$1,'DB Country PMI'!$A$1:$V$1,),))</f>
        <v>59.9</v>
      </c>
      <c r="C99" s="14">
        <f>Table1346811[[#This Row],[PMI]]-B98</f>
        <v>-4.6999999999999957</v>
      </c>
    </row>
    <row r="100" spans="1:3" x14ac:dyDescent="0.2">
      <c r="A100" s="8">
        <v>44409</v>
      </c>
      <c r="B100" s="11">
        <f>IF(VLOOKUP(A100,'DB Country PMI'!$A:$V,MATCH($A$1,'DB Country PMI'!$A$1:$V$1,),)=0,#N/A,VLOOKUP(A100,'DB Country PMI'!$A:$V,MATCH($A$1,'DB Country PMI'!$A$1:$V$1,),))</f>
        <v>55.1</v>
      </c>
      <c r="C100" s="14">
        <f>Table1346811[[#This Row],[PMI]]-B99</f>
        <v>-4.7999999999999972</v>
      </c>
    </row>
    <row r="101" spans="1:3" x14ac:dyDescent="0.2">
      <c r="A101" s="8">
        <v>44440</v>
      </c>
      <c r="B101" s="11">
        <f>IF(VLOOKUP(A101,'DB Country PMI'!$A:$V,MATCH($A$1,'DB Country PMI'!$A$1:$V$1,),)=0,#N/A,VLOOKUP(A101,'DB Country PMI'!$A:$V,MATCH($A$1,'DB Country PMI'!$A$1:$V$1,),))</f>
        <v>54.9</v>
      </c>
      <c r="C101" s="14">
        <f>Table1346811[[#This Row],[PMI]]-B100</f>
        <v>-0.20000000000000284</v>
      </c>
    </row>
    <row r="102" spans="1:3" x14ac:dyDescent="0.2">
      <c r="A102" s="8">
        <v>44470</v>
      </c>
      <c r="B102" s="11">
        <f>IF(VLOOKUP(A102,'DB Country PMI'!$A:$V,MATCH($A$1,'DB Country PMI'!$A$1:$V$1,),)=0,#N/A,VLOOKUP(A102,'DB Country PMI'!$A:$V,MATCH($A$1,'DB Country PMI'!$A$1:$V$1,),))</f>
        <v>58.7</v>
      </c>
      <c r="C102" s="14">
        <f>Table1346811[[#This Row],[PMI]]-B101</f>
        <v>3.8000000000000043</v>
      </c>
    </row>
    <row r="103" spans="1:3" x14ac:dyDescent="0.2">
      <c r="A103" s="8">
        <v>44501</v>
      </c>
      <c r="B103" s="11">
        <f>IF(VLOOKUP(A103,'DB Country PMI'!$A:$V,MATCH($A$1,'DB Country PMI'!$A$1:$V$1,),)=0,#N/A,VLOOKUP(A103,'DB Country PMI'!$A:$V,MATCH($A$1,'DB Country PMI'!$A$1:$V$1,),))</f>
        <v>58</v>
      </c>
      <c r="C103" s="14">
        <f>Table1346811[[#This Row],[PMI]]-B102</f>
        <v>-0.70000000000000284</v>
      </c>
    </row>
    <row r="104" spans="1:3" x14ac:dyDescent="0.2">
      <c r="A104" s="8">
        <v>44531</v>
      </c>
      <c r="B104" s="11">
        <f>IF(VLOOKUP(A104,'DB Country PMI'!$A:$V,MATCH($A$1,'DB Country PMI'!$A$1:$V$1,),)=0,#N/A,VLOOKUP(A104,'DB Country PMI'!$A:$V,MATCH($A$1,'DB Country PMI'!$A$1:$V$1,),))</f>
        <v>57.6</v>
      </c>
      <c r="C104" s="14">
        <f>Table1346811[[#This Row],[PMI]]-B103</f>
        <v>-0.39999999999999858</v>
      </c>
    </row>
    <row r="105" spans="1:3" x14ac:dyDescent="0.2">
      <c r="A105" s="8">
        <v>44562</v>
      </c>
      <c r="B105" s="11">
        <f>IF(VLOOKUP(A105,'DB Country PMI'!$A:$V,MATCH($A$1,'DB Country PMI'!$A$1:$V$1,),)=0,#N/A,VLOOKUP(A105,'DB Country PMI'!$A:$V,MATCH($A$1,'DB Country PMI'!$A$1:$V$1,),))</f>
        <v>51.2</v>
      </c>
      <c r="C105" s="14">
        <f>Table1346811[[#This Row],[PMI]]-B104</f>
        <v>-6.3999999999999986</v>
      </c>
    </row>
    <row r="106" spans="1:3" x14ac:dyDescent="0.2">
      <c r="A106" s="8">
        <v>44593</v>
      </c>
      <c r="B106" s="11">
        <f>IF(VLOOKUP(A106,'DB Country PMI'!$A:$V,MATCH($A$1,'DB Country PMI'!$A$1:$V$1,),)=0,#N/A,VLOOKUP(A106,'DB Country PMI'!$A:$V,MATCH($A$1,'DB Country PMI'!$A$1:$V$1,),))</f>
        <v>56.7</v>
      </c>
      <c r="C106" s="14">
        <f>Table1346811[[#This Row],[PMI]]-B105</f>
        <v>5.5</v>
      </c>
    </row>
    <row r="107" spans="1:3" x14ac:dyDescent="0.2">
      <c r="A107" s="8">
        <v>44621</v>
      </c>
      <c r="B107" s="11">
        <f>IF(VLOOKUP(A107,'DB Country PMI'!$A:$V,MATCH($A$1,'DB Country PMI'!$A$1:$V$1,),)=0,#N/A,VLOOKUP(A107,'DB Country PMI'!$A:$V,MATCH($A$1,'DB Country PMI'!$A$1:$V$1,),))</f>
        <v>58.9</v>
      </c>
      <c r="C107" s="14">
        <f>Table1346811[[#This Row],[PMI]]-B106</f>
        <v>2.1999999999999957</v>
      </c>
    </row>
    <row r="108" spans="1:3" x14ac:dyDescent="0.2">
      <c r="A108" s="8">
        <v>44652</v>
      </c>
      <c r="B108" s="11">
        <f>IF(VLOOKUP(A108,'DB Country PMI'!$A:$V,MATCH($A$1,'DB Country PMI'!$A$1:$V$1,),)=0,#N/A,VLOOKUP(A108,'DB Country PMI'!$A:$V,MATCH($A$1,'DB Country PMI'!$A$1:$V$1,),))</f>
        <v>54.7</v>
      </c>
      <c r="C108" s="14">
        <f>Table1346811[[#This Row],[PMI]]-B107</f>
        <v>-4.1999999999999957</v>
      </c>
    </row>
    <row r="109" spans="1:3" x14ac:dyDescent="0.2">
      <c r="A109" s="8">
        <v>44682</v>
      </c>
      <c r="B109" s="11">
        <f>IF(VLOOKUP(A109,'DB Country PMI'!$A:$V,MATCH($A$1,'DB Country PMI'!$A$1:$V$1,),)=0,#N/A,VLOOKUP(A109,'DB Country PMI'!$A:$V,MATCH($A$1,'DB Country PMI'!$A$1:$V$1,),))</f>
        <v>53.5</v>
      </c>
      <c r="C109" s="14">
        <f>Table1346811[[#This Row],[PMI]]-B108</f>
        <v>-1.2000000000000028</v>
      </c>
    </row>
    <row r="110" spans="1:3" x14ac:dyDescent="0.2">
      <c r="A110" s="8">
        <v>44713</v>
      </c>
      <c r="B110" s="11">
        <f>IF(VLOOKUP(A110,'DB Country PMI'!$A:$V,MATCH($A$1,'DB Country PMI'!$A$1:$V$1,),)=0,#N/A,VLOOKUP(A110,'DB Country PMI'!$A:$V,MATCH($A$1,'DB Country PMI'!$A$1:$V$1,),))</f>
        <v>51.6</v>
      </c>
      <c r="C110" s="14">
        <f>Table1346811[[#This Row],[PMI]]-B109</f>
        <v>-1.8999999999999986</v>
      </c>
    </row>
    <row r="111" spans="1:3" x14ac:dyDescent="0.2">
      <c r="A111" s="8">
        <v>44743</v>
      </c>
      <c r="B111" s="11">
        <f>IF(VLOOKUP(A111,'DB Country PMI'!$A:$V,MATCH($A$1,'DB Country PMI'!$A$1:$V$1,),)=0,#N/A,VLOOKUP(A111,'DB Country PMI'!$A:$V,MATCH($A$1,'DB Country PMI'!$A$1:$V$1,),))</f>
        <v>47.3</v>
      </c>
      <c r="C111" s="14">
        <f>Table1346811[[#This Row],[PMI]]-B110</f>
        <v>-4.3000000000000043</v>
      </c>
    </row>
    <row r="112" spans="1:3" x14ac:dyDescent="0.2">
      <c r="A112" s="8">
        <v>44774</v>
      </c>
      <c r="B112" s="11">
        <f>IF(VLOOKUP(A112,'DB Country PMI'!$A:$V,MATCH($A$1,'DB Country PMI'!$A$1:$V$1,),)=0,#N/A,VLOOKUP(A112,'DB Country PMI'!$A:$V,MATCH($A$1,'DB Country PMI'!$A$1:$V$1,),))</f>
        <v>43.7</v>
      </c>
      <c r="C112" s="14">
        <f>Table1346811[[#This Row],[PMI]]-B111</f>
        <v>-3.5999999999999943</v>
      </c>
    </row>
    <row r="113" spans="1:3" x14ac:dyDescent="0.2">
      <c r="A113" s="8">
        <v>44805</v>
      </c>
      <c r="B113" s="11">
        <f>IF(VLOOKUP(A113,'DB Country PMI'!$A:$V,MATCH($A$1,'DB Country PMI'!$A$1:$V$1,),)=0,#N/A,VLOOKUP(A113,'DB Country PMI'!$A:$V,MATCH($A$1,'DB Country PMI'!$A$1:$V$1,),))</f>
        <v>49.3</v>
      </c>
      <c r="C113" s="14">
        <f>Table1346811[[#This Row],[PMI]]-B112</f>
        <v>5.5999999999999943</v>
      </c>
    </row>
    <row r="114" spans="1:3" x14ac:dyDescent="0.2">
      <c r="A114" s="8">
        <v>44835</v>
      </c>
      <c r="B114" s="11">
        <f>IF(VLOOKUP(A114,'DB Country PMI'!$A:$V,MATCH($A$1,'DB Country PMI'!$A$1:$V$1,),)=0,#N/A,VLOOKUP(A114,'DB Country PMI'!$A:$V,MATCH($A$1,'DB Country PMI'!$A$1:$V$1,),))</f>
        <v>47.8</v>
      </c>
      <c r="C114" s="14">
        <f>Table1346811[[#This Row],[PMI]]-B113</f>
        <v>-1.5</v>
      </c>
    </row>
  </sheetData>
  <conditionalFormatting sqref="B6:B114">
    <cfRule type="colorScale" priority="46">
      <colorScale>
        <cfvo type="min"/>
        <cfvo type="percentile" val="50"/>
        <cfvo type="max"/>
        <color rgb="FFF8696B"/>
        <color rgb="FFFFEB84"/>
        <color rgb="FF63BE7B"/>
      </colorScale>
    </cfRule>
  </conditionalFormatting>
  <conditionalFormatting sqref="C7:C114">
    <cfRule type="colorScale" priority="47">
      <colorScale>
        <cfvo type="min"/>
        <cfvo type="percentile" val="50"/>
        <cfvo type="max"/>
        <color rgb="FFF8696B"/>
        <color rgb="FFFCFCFF"/>
        <color rgb="FF5A8AC6"/>
      </colorScale>
    </cfRule>
  </conditionalFormatting>
  <pageMargins left="0.7" right="0.7" top="0.75" bottom="0.75" header="0.3" footer="0.3"/>
  <drawing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J189"/>
  <sheetViews>
    <sheetView zoomScale="170" zoomScaleNormal="170" workbookViewId="0">
      <pane ySplit="5" topLeftCell="A164" activePane="bottomLeft" state="frozen"/>
      <selection pane="bottomLeft" activeCell="A178" sqref="A178:C189"/>
    </sheetView>
  </sheetViews>
  <sheetFormatPr baseColWidth="10" defaultColWidth="9.1640625" defaultRowHeight="15" x14ac:dyDescent="0.2"/>
  <cols>
    <col min="1" max="1" width="13.5" style="49" customWidth="1"/>
    <col min="2" max="2" width="11.33203125" style="49" customWidth="1"/>
    <col min="3" max="11" width="9.1640625" style="49" customWidth="1"/>
    <col min="12" max="16384" width="9.1640625" style="49"/>
  </cols>
  <sheetData>
    <row r="1" spans="1:10" x14ac:dyDescent="0.2">
      <c r="A1" s="49" t="s">
        <v>35</v>
      </c>
      <c r="J1" s="49" t="s">
        <v>62</v>
      </c>
    </row>
    <row r="2" spans="1:10" x14ac:dyDescent="0.2">
      <c r="J2" s="49" t="s">
        <v>64</v>
      </c>
    </row>
    <row r="4" spans="1:10" ht="16" customHeight="1" thickBot="1" x14ac:dyDescent="0.25"/>
    <row r="5" spans="1:10" ht="16" customHeight="1" thickBot="1" x14ac:dyDescent="0.25">
      <c r="A5" s="12" t="s">
        <v>33</v>
      </c>
      <c r="B5" s="13" t="s">
        <v>60</v>
      </c>
      <c r="C5" s="13" t="s">
        <v>61</v>
      </c>
    </row>
    <row r="6" spans="1:10" x14ac:dyDescent="0.2">
      <c r="A6" s="10">
        <v>39264</v>
      </c>
      <c r="B6" s="11">
        <f>IF(VLOOKUP(A6,'DB Country PMI'!$A:$V,MATCH($A$1,'DB Country PMI'!$A$1:$V$1,),)=0,#N/A,VLOOKUP(A6,'DB Country PMI'!$A:$V,MATCH($A$1,'DB Country PMI'!$A$1:$V$1,),))</f>
        <v>58.3</v>
      </c>
      <c r="C6" s="11"/>
    </row>
    <row r="7" spans="1:10" x14ac:dyDescent="0.2">
      <c r="A7" s="8">
        <v>39295</v>
      </c>
      <c r="B7" s="11">
        <f>IF(VLOOKUP(A7,'DB Country PMI'!$A:$V,MATCH($A$1,'DB Country PMI'!$A$1:$V$1,),)=0,#N/A,VLOOKUP(A7,'DB Country PMI'!$A:$V,MATCH($A$1,'DB Country PMI'!$A$1:$V$1,),))</f>
        <v>58</v>
      </c>
      <c r="C7" s="14">
        <f>Table13468113[[#This Row],[PMI]]-B6</f>
        <v>-0.29999999999999716</v>
      </c>
    </row>
    <row r="8" spans="1:10" x14ac:dyDescent="0.2">
      <c r="A8" s="8">
        <v>39326</v>
      </c>
      <c r="B8" s="11">
        <f>IF(VLOOKUP(A8,'DB Country PMI'!$A:$V,MATCH($A$1,'DB Country PMI'!$A$1:$V$1,),)=0,#N/A,VLOOKUP(A8,'DB Country PMI'!$A:$V,MATCH($A$1,'DB Country PMI'!$A$1:$V$1,),))</f>
        <v>54.2</v>
      </c>
      <c r="C8" s="14">
        <f>Table13468113[[#This Row],[PMI]]-B7</f>
        <v>-3.7999999999999972</v>
      </c>
    </row>
    <row r="9" spans="1:10" x14ac:dyDescent="0.2">
      <c r="A9" s="8">
        <v>39356</v>
      </c>
      <c r="B9" s="11">
        <f>IF(VLOOKUP(A9,'DB Country PMI'!$A:$V,MATCH($A$1,'DB Country PMI'!$A$1:$V$1,),)=0,#N/A,VLOOKUP(A9,'DB Country PMI'!$A:$V,MATCH($A$1,'DB Country PMI'!$A$1:$V$1,),))</f>
        <v>55.8</v>
      </c>
      <c r="C9" s="14">
        <f>Table13468113[[#This Row],[PMI]]-B8</f>
        <v>1.5999999999999943</v>
      </c>
    </row>
    <row r="10" spans="1:10" x14ac:dyDescent="0.2">
      <c r="A10" s="8">
        <v>39387</v>
      </c>
      <c r="B10" s="11">
        <f>IF(VLOOKUP(A10,'DB Country PMI'!$A:$V,MATCH($A$1,'DB Country PMI'!$A$1:$V$1,),)=0,#N/A,VLOOKUP(A10,'DB Country PMI'!$A:$V,MATCH($A$1,'DB Country PMI'!$A$1:$V$1,),))</f>
        <v>54.1</v>
      </c>
      <c r="C10" s="14">
        <f>Table13468113[[#This Row],[PMI]]-B9</f>
        <v>-1.6999999999999957</v>
      </c>
    </row>
    <row r="11" spans="1:10" x14ac:dyDescent="0.2">
      <c r="A11" s="8">
        <v>39417</v>
      </c>
      <c r="B11" s="11">
        <f>IF(VLOOKUP(A11,'DB Country PMI'!$A:$V,MATCH($A$1,'DB Country PMI'!$A$1:$V$1,),)=0,#N/A,VLOOKUP(A11,'DB Country PMI'!$A:$V,MATCH($A$1,'DB Country PMI'!$A$1:$V$1,),))</f>
        <v>53.1</v>
      </c>
      <c r="C11" s="14">
        <f>Table13468113[[#This Row],[PMI]]-B10</f>
        <v>-1</v>
      </c>
    </row>
    <row r="12" spans="1:10" x14ac:dyDescent="0.2">
      <c r="A12" s="8">
        <v>39448</v>
      </c>
      <c r="B12" s="11">
        <f>IF(VLOOKUP(A12,'DB Country PMI'!$A:$V,MATCH($A$1,'DB Country PMI'!$A$1:$V$1,),)=0,#N/A,VLOOKUP(A12,'DB Country PMI'!$A:$V,MATCH($A$1,'DB Country PMI'!$A$1:$V$1,),))</f>
        <v>50.6</v>
      </c>
      <c r="C12" s="14">
        <f>Table13468113[[#This Row],[PMI]]-B11</f>
        <v>-2.5</v>
      </c>
    </row>
    <row r="13" spans="1:10" x14ac:dyDescent="0.2">
      <c r="A13" s="8">
        <v>39479</v>
      </c>
      <c r="B13" s="11">
        <f>IF(VLOOKUP(A13,'DB Country PMI'!$A:$V,MATCH($A$1,'DB Country PMI'!$A$1:$V$1,),)=0,#N/A,VLOOKUP(A13,'DB Country PMI'!$A:$V,MATCH($A$1,'DB Country PMI'!$A$1:$V$1,),))</f>
        <v>51.7</v>
      </c>
      <c r="C13" s="14">
        <f>Table13468113[[#This Row],[PMI]]-B12</f>
        <v>1.1000000000000014</v>
      </c>
    </row>
    <row r="14" spans="1:10" x14ac:dyDescent="0.2">
      <c r="A14" s="8">
        <v>39508</v>
      </c>
      <c r="B14" s="11">
        <f>IF(VLOOKUP(A14,'DB Country PMI'!$A:$V,MATCH($A$1,'DB Country PMI'!$A$1:$V$1,),)=0,#N/A,VLOOKUP(A14,'DB Country PMI'!$A:$V,MATCH($A$1,'DB Country PMI'!$A$1:$V$1,),))</f>
        <v>51.6</v>
      </c>
      <c r="C14" s="14">
        <f>Table13468113[[#This Row],[PMI]]-B13</f>
        <v>-0.10000000000000142</v>
      </c>
    </row>
    <row r="15" spans="1:10" x14ac:dyDescent="0.2">
      <c r="A15" s="8">
        <v>39539</v>
      </c>
      <c r="B15" s="11">
        <f>IF(VLOOKUP(A15,'DB Country PMI'!$A:$V,MATCH($A$1,'DB Country PMI'!$A$1:$V$1,),)=0,#N/A,VLOOKUP(A15,'DB Country PMI'!$A:$V,MATCH($A$1,'DB Country PMI'!$A$1:$V$1,),))</f>
        <v>52</v>
      </c>
      <c r="C15" s="14">
        <f>Table13468113[[#This Row],[PMI]]-B14</f>
        <v>0.39999999999999858</v>
      </c>
    </row>
    <row r="16" spans="1:10" x14ac:dyDescent="0.2">
      <c r="A16" s="8">
        <v>39569</v>
      </c>
      <c r="B16" s="11">
        <f>IF(VLOOKUP(A16,'DB Country PMI'!$A:$V,MATCH($A$1,'DB Country PMI'!$A$1:$V$1,),)=0,#N/A,VLOOKUP(A16,'DB Country PMI'!$A:$V,MATCH($A$1,'DB Country PMI'!$A$1:$V$1,),))</f>
        <v>50.6</v>
      </c>
      <c r="C16" s="14">
        <f>Table13468113[[#This Row],[PMI]]-B15</f>
        <v>-1.3999999999999986</v>
      </c>
    </row>
    <row r="17" spans="1:3" x14ac:dyDescent="0.2">
      <c r="A17" s="8">
        <v>39600</v>
      </c>
      <c r="B17" s="11">
        <f>IF(VLOOKUP(A17,'DB Country PMI'!$A:$V,MATCH($A$1,'DB Country PMI'!$A$1:$V$1,),)=0,#N/A,VLOOKUP(A17,'DB Country PMI'!$A:$V,MATCH($A$1,'DB Country PMI'!$A$1:$V$1,),))</f>
        <v>49.1</v>
      </c>
      <c r="C17" s="14">
        <f>Table13468113[[#This Row],[PMI]]-B16</f>
        <v>-1.5</v>
      </c>
    </row>
    <row r="18" spans="1:3" x14ac:dyDescent="0.2">
      <c r="A18" s="8">
        <v>39630</v>
      </c>
      <c r="B18" s="11">
        <f>IF(VLOOKUP(A18,'DB Country PMI'!$A:$V,MATCH($A$1,'DB Country PMI'!$A$1:$V$1,),)=0,#N/A,VLOOKUP(A18,'DB Country PMI'!$A:$V,MATCH($A$1,'DB Country PMI'!$A$1:$V$1,),))</f>
        <v>48.3</v>
      </c>
      <c r="C18" s="14">
        <f>Table13468113[[#This Row],[PMI]]-B17</f>
        <v>-0.80000000000000426</v>
      </c>
    </row>
    <row r="19" spans="1:3" x14ac:dyDescent="0.2">
      <c r="A19" s="8">
        <v>39661</v>
      </c>
      <c r="B19" s="11">
        <f>IF(VLOOKUP(A19,'DB Country PMI'!$A:$V,MATCH($A$1,'DB Country PMI'!$A$1:$V$1,),)=0,#N/A,VLOOKUP(A19,'DB Country PMI'!$A:$V,MATCH($A$1,'DB Country PMI'!$A$1:$V$1,),))</f>
        <v>48.5</v>
      </c>
      <c r="C19" s="14">
        <f>Table13468113[[#This Row],[PMI]]-B18</f>
        <v>0.20000000000000284</v>
      </c>
    </row>
    <row r="20" spans="1:3" x14ac:dyDescent="0.2">
      <c r="A20" s="8">
        <v>39692</v>
      </c>
      <c r="B20" s="11">
        <f>IF(VLOOKUP(A20,'DB Country PMI'!$A:$V,MATCH($A$1,'DB Country PMI'!$A$1:$V$1,),)=0,#N/A,VLOOKUP(A20,'DB Country PMI'!$A:$V,MATCH($A$1,'DB Country PMI'!$A$1:$V$1,),))</f>
        <v>48.4</v>
      </c>
      <c r="C20" s="14">
        <f>Table13468113[[#This Row],[PMI]]-B19</f>
        <v>-0.10000000000000142</v>
      </c>
    </row>
    <row r="21" spans="1:3" x14ac:dyDescent="0.2">
      <c r="A21" s="8">
        <v>39722</v>
      </c>
      <c r="B21" s="11">
        <f>IF(VLOOKUP(A21,'DB Country PMI'!$A:$V,MATCH($A$1,'DB Country PMI'!$A$1:$V$1,),)=0,#N/A,VLOOKUP(A21,'DB Country PMI'!$A:$V,MATCH($A$1,'DB Country PMI'!$A$1:$V$1,),))</f>
        <v>45.8</v>
      </c>
      <c r="C21" s="14">
        <f>Table13468113[[#This Row],[PMI]]-B20</f>
        <v>-2.6000000000000014</v>
      </c>
    </row>
    <row r="22" spans="1:3" x14ac:dyDescent="0.2">
      <c r="A22" s="8">
        <v>39753</v>
      </c>
      <c r="B22" s="11">
        <f>IF(VLOOKUP(A22,'DB Country PMI'!$A:$V,MATCH($A$1,'DB Country PMI'!$A$1:$V$1,),)=0,#N/A,VLOOKUP(A22,'DB Country PMI'!$A:$V,MATCH($A$1,'DB Country PMI'!$A$1:$V$1,),))</f>
        <v>42.5</v>
      </c>
      <c r="C22" s="14">
        <f>Table13468113[[#This Row],[PMI]]-B21</f>
        <v>-3.2999999999999972</v>
      </c>
    </row>
    <row r="23" spans="1:3" x14ac:dyDescent="0.2">
      <c r="A23" s="8">
        <v>39783</v>
      </c>
      <c r="B23" s="11">
        <f>IF(VLOOKUP(A23,'DB Country PMI'!$A:$V,MATCH($A$1,'DB Country PMI'!$A$1:$V$1,),)=0,#N/A,VLOOKUP(A23,'DB Country PMI'!$A:$V,MATCH($A$1,'DB Country PMI'!$A$1:$V$1,),))</f>
        <v>42.3</v>
      </c>
      <c r="C23" s="14">
        <f>Table13468113[[#This Row],[PMI]]-B22</f>
        <v>-0.20000000000000284</v>
      </c>
    </row>
    <row r="24" spans="1:3" x14ac:dyDescent="0.2">
      <c r="A24" s="8">
        <v>39814</v>
      </c>
      <c r="B24" s="11">
        <f>IF(VLOOKUP(A24,'DB Country PMI'!$A:$V,MATCH($A$1,'DB Country PMI'!$A$1:$V$1,),)=0,#N/A,VLOOKUP(A24,'DB Country PMI'!$A:$V,MATCH($A$1,'DB Country PMI'!$A$1:$V$1,),))</f>
        <v>42.2</v>
      </c>
      <c r="C24" s="14">
        <f>Table13468113[[#This Row],[PMI]]-B23</f>
        <v>-9.9999999999994316E-2</v>
      </c>
    </row>
    <row r="25" spans="1:3" x14ac:dyDescent="0.2">
      <c r="A25" s="8">
        <v>39845</v>
      </c>
      <c r="B25" s="11">
        <f>IF(VLOOKUP(A25,'DB Country PMI'!$A:$V,MATCH($A$1,'DB Country PMI'!$A$1:$V$1,),)=0,#N/A,VLOOKUP(A25,'DB Country PMI'!$A:$V,MATCH($A$1,'DB Country PMI'!$A$1:$V$1,),))</f>
        <v>39.200000000000003</v>
      </c>
      <c r="C25" s="14">
        <f>Table13468113[[#This Row],[PMI]]-B24</f>
        <v>-3</v>
      </c>
    </row>
    <row r="26" spans="1:3" x14ac:dyDescent="0.2">
      <c r="A26" s="8">
        <v>39873</v>
      </c>
      <c r="B26" s="11">
        <f>IF(VLOOKUP(A26,'DB Country PMI'!$A:$V,MATCH($A$1,'DB Country PMI'!$A$1:$V$1,),)=0,#N/A,VLOOKUP(A26,'DB Country PMI'!$A:$V,MATCH($A$1,'DB Country PMI'!$A$1:$V$1,),))</f>
        <v>40.9</v>
      </c>
      <c r="C26" s="14">
        <f>Table13468113[[#This Row],[PMI]]-B25</f>
        <v>1.6999999999999957</v>
      </c>
    </row>
    <row r="27" spans="1:3" x14ac:dyDescent="0.2">
      <c r="A27" s="8">
        <v>39904</v>
      </c>
      <c r="B27" s="11">
        <f>IF(VLOOKUP(A27,'DB Country PMI'!$A:$V,MATCH($A$1,'DB Country PMI'!$A$1:$V$1,),)=0,#N/A,VLOOKUP(A27,'DB Country PMI'!$A:$V,MATCH($A$1,'DB Country PMI'!$A$1:$V$1,),))</f>
        <v>43.8</v>
      </c>
      <c r="C27" s="14">
        <f>Table13468113[[#This Row],[PMI]]-B26</f>
        <v>2.8999999999999986</v>
      </c>
    </row>
    <row r="28" spans="1:3" x14ac:dyDescent="0.2">
      <c r="A28" s="8">
        <v>39934</v>
      </c>
      <c r="B28" s="11">
        <f>IF(VLOOKUP(A28,'DB Country PMI'!$A:$V,MATCH($A$1,'DB Country PMI'!$A$1:$V$1,),)=0,#N/A,VLOOKUP(A28,'DB Country PMI'!$A:$V,MATCH($A$1,'DB Country PMI'!$A$1:$V$1,),))</f>
        <v>44.8</v>
      </c>
      <c r="C28" s="14">
        <f>Table13468113[[#This Row],[PMI]]-B27</f>
        <v>1</v>
      </c>
    </row>
    <row r="29" spans="1:3" x14ac:dyDescent="0.2">
      <c r="A29" s="8">
        <v>39965</v>
      </c>
      <c r="B29" s="11">
        <f>IF(VLOOKUP(A29,'DB Country PMI'!$A:$V,MATCH($A$1,'DB Country PMI'!$A$1:$V$1,),)=0,#N/A,VLOOKUP(A29,'DB Country PMI'!$A:$V,MATCH($A$1,'DB Country PMI'!$A$1:$V$1,),))</f>
        <v>44.7</v>
      </c>
      <c r="C29" s="14">
        <f>Table13468113[[#This Row],[PMI]]-B28</f>
        <v>-9.9999999999994316E-2</v>
      </c>
    </row>
    <row r="30" spans="1:3" x14ac:dyDescent="0.2">
      <c r="A30" s="8">
        <v>39995</v>
      </c>
      <c r="B30" s="11">
        <f>IF(VLOOKUP(A30,'DB Country PMI'!$A:$V,MATCH($A$1,'DB Country PMI'!$A$1:$V$1,),)=0,#N/A,VLOOKUP(A30,'DB Country PMI'!$A:$V,MATCH($A$1,'DB Country PMI'!$A$1:$V$1,),))</f>
        <v>45.7</v>
      </c>
      <c r="C30" s="14">
        <f>Table13468113[[#This Row],[PMI]]-B29</f>
        <v>1</v>
      </c>
    </row>
    <row r="31" spans="1:3" x14ac:dyDescent="0.2">
      <c r="A31" s="8">
        <v>40026</v>
      </c>
      <c r="B31" s="11">
        <f>IF(VLOOKUP(A31,'DB Country PMI'!$A:$V,MATCH($A$1,'DB Country PMI'!$A$1:$V$1,),)=0,#N/A,VLOOKUP(A31,'DB Country PMI'!$A:$V,MATCH($A$1,'DB Country PMI'!$A$1:$V$1,),))</f>
        <v>49.9</v>
      </c>
      <c r="C31" s="14">
        <f>Table13468113[[#This Row],[PMI]]-B30</f>
        <v>4.1999999999999957</v>
      </c>
    </row>
    <row r="32" spans="1:3" x14ac:dyDescent="0.2">
      <c r="A32" s="8">
        <v>40057</v>
      </c>
      <c r="B32" s="11">
        <f>IF(VLOOKUP(A32,'DB Country PMI'!$A:$V,MATCH($A$1,'DB Country PMI'!$A$1:$V$1,),)=0,#N/A,VLOOKUP(A32,'DB Country PMI'!$A:$V,MATCH($A$1,'DB Country PMI'!$A$1:$V$1,),))</f>
        <v>50.9</v>
      </c>
      <c r="C32" s="14">
        <f>Table13468113[[#This Row],[PMI]]-B31</f>
        <v>1</v>
      </c>
    </row>
    <row r="33" spans="1:3" x14ac:dyDescent="0.2">
      <c r="A33" s="8">
        <v>40087</v>
      </c>
      <c r="B33" s="11">
        <f>IF(VLOOKUP(A33,'DB Country PMI'!$A:$V,MATCH($A$1,'DB Country PMI'!$A$1:$V$1,),)=0,#N/A,VLOOKUP(A33,'DB Country PMI'!$A:$V,MATCH($A$1,'DB Country PMI'!$A$1:$V$1,),))</f>
        <v>52.6</v>
      </c>
      <c r="C33" s="14">
        <f>Table13468113[[#This Row],[PMI]]-B32</f>
        <v>1.7000000000000028</v>
      </c>
    </row>
    <row r="34" spans="1:3" x14ac:dyDescent="0.2">
      <c r="A34" s="8">
        <v>40118</v>
      </c>
      <c r="B34" s="11">
        <f>IF(VLOOKUP(A34,'DB Country PMI'!$A:$V,MATCH($A$1,'DB Country PMI'!$A$1:$V$1,),)=0,#N/A,VLOOKUP(A34,'DB Country PMI'!$A:$V,MATCH($A$1,'DB Country PMI'!$A$1:$V$1,),))</f>
        <v>53</v>
      </c>
      <c r="C34" s="14">
        <f>Table13468113[[#This Row],[PMI]]-B33</f>
        <v>0.39999999999999858</v>
      </c>
    </row>
    <row r="35" spans="1:3" x14ac:dyDescent="0.2">
      <c r="A35" s="8">
        <v>40148</v>
      </c>
      <c r="B35" s="11">
        <f>IF(VLOOKUP(A35,'DB Country PMI'!$A:$V,MATCH($A$1,'DB Country PMI'!$A$1:$V$1,),)=0,#N/A,VLOOKUP(A35,'DB Country PMI'!$A:$V,MATCH($A$1,'DB Country PMI'!$A$1:$V$1,),))</f>
        <v>52.9</v>
      </c>
      <c r="C35" s="14">
        <f>Table13468113[[#This Row],[PMI]]-B34</f>
        <v>-0.10000000000000142</v>
      </c>
    </row>
    <row r="36" spans="1:3" x14ac:dyDescent="0.2">
      <c r="A36" s="8">
        <v>40179</v>
      </c>
      <c r="B36" s="11">
        <f>IF(VLOOKUP(A36,'DB Country PMI'!$A:$V,MATCH($A$1,'DB Country PMI'!$A$1:$V$1,),)=0,#N/A,VLOOKUP(A36,'DB Country PMI'!$A:$V,MATCH($A$1,'DB Country PMI'!$A$1:$V$1,),))</f>
        <v>52.5</v>
      </c>
      <c r="C36" s="14">
        <f>Table13468113[[#This Row],[PMI]]-B35</f>
        <v>-0.39999999999999858</v>
      </c>
    </row>
    <row r="37" spans="1:3" x14ac:dyDescent="0.2">
      <c r="A37" s="8">
        <v>40210</v>
      </c>
      <c r="B37" s="11">
        <f>IF(VLOOKUP(A37,'DB Country PMI'!$A:$V,MATCH($A$1,'DB Country PMI'!$A$1:$V$1,),)=0,#N/A,VLOOKUP(A37,'DB Country PMI'!$A:$V,MATCH($A$1,'DB Country PMI'!$A$1:$V$1,),))</f>
        <v>51.8</v>
      </c>
      <c r="C37" s="14">
        <f>Table13468113[[#This Row],[PMI]]-B36</f>
        <v>-0.70000000000000284</v>
      </c>
    </row>
    <row r="38" spans="1:3" x14ac:dyDescent="0.2">
      <c r="A38" s="8">
        <v>40238</v>
      </c>
      <c r="B38" s="11">
        <f>IF(VLOOKUP(A38,'DB Country PMI'!$A:$V,MATCH($A$1,'DB Country PMI'!$A$1:$V$1,),)=0,#N/A,VLOOKUP(A38,'DB Country PMI'!$A:$V,MATCH($A$1,'DB Country PMI'!$A$1:$V$1,),))</f>
        <v>54.1</v>
      </c>
      <c r="C38" s="14">
        <f>Table13468113[[#This Row],[PMI]]-B37</f>
        <v>2.3000000000000043</v>
      </c>
    </row>
    <row r="39" spans="1:3" x14ac:dyDescent="0.2">
      <c r="A39" s="8">
        <v>40269</v>
      </c>
      <c r="B39" s="11">
        <f>IF(VLOOKUP(A39,'DB Country PMI'!$A:$V,MATCH($A$1,'DB Country PMI'!$A$1:$V$1,),)=0,#N/A,VLOOKUP(A39,'DB Country PMI'!$A:$V,MATCH($A$1,'DB Country PMI'!$A$1:$V$1,),))</f>
        <v>55.6</v>
      </c>
      <c r="C39" s="14">
        <f>Table13468113[[#This Row],[PMI]]-B38</f>
        <v>1.5</v>
      </c>
    </row>
    <row r="40" spans="1:3" x14ac:dyDescent="0.2">
      <c r="A40" s="8">
        <v>40299</v>
      </c>
      <c r="B40" s="11">
        <f>IF(VLOOKUP(A40,'DB Country PMI'!$A:$V,MATCH($A$1,'DB Country PMI'!$A$1:$V$1,),)=0,#N/A,VLOOKUP(A40,'DB Country PMI'!$A:$V,MATCH($A$1,'DB Country PMI'!$A$1:$V$1,),))</f>
        <v>56.2</v>
      </c>
      <c r="C40" s="14">
        <f>Table13468113[[#This Row],[PMI]]-B39</f>
        <v>0.60000000000000142</v>
      </c>
    </row>
    <row r="41" spans="1:3" x14ac:dyDescent="0.2">
      <c r="A41" s="8">
        <v>40330</v>
      </c>
      <c r="B41" s="11">
        <f>IF(VLOOKUP(A41,'DB Country PMI'!$A:$V,MATCH($A$1,'DB Country PMI'!$A$1:$V$1,),)=0,#N/A,VLOOKUP(A41,'DB Country PMI'!$A:$V,MATCH($A$1,'DB Country PMI'!$A$1:$V$1,),))</f>
        <v>55.5</v>
      </c>
      <c r="C41" s="14">
        <f>Table13468113[[#This Row],[PMI]]-B40</f>
        <v>-0.70000000000000284</v>
      </c>
    </row>
    <row r="42" spans="1:3" x14ac:dyDescent="0.2">
      <c r="A42" s="8">
        <v>40360</v>
      </c>
      <c r="B42" s="11">
        <f>IF(VLOOKUP(A42,'DB Country PMI'!$A:$V,MATCH($A$1,'DB Country PMI'!$A$1:$V$1,),)=0,#N/A,VLOOKUP(A42,'DB Country PMI'!$A:$V,MATCH($A$1,'DB Country PMI'!$A$1:$V$1,),))</f>
        <v>55.8</v>
      </c>
      <c r="C42" s="14">
        <f>Table13468113[[#This Row],[PMI]]-B41</f>
        <v>0.29999999999999716</v>
      </c>
    </row>
    <row r="43" spans="1:3" x14ac:dyDescent="0.2">
      <c r="A43" s="8">
        <v>40391</v>
      </c>
      <c r="B43" s="11">
        <f>IF(VLOOKUP(A43,'DB Country PMI'!$A:$V,MATCH($A$1,'DB Country PMI'!$A$1:$V$1,),)=0,#N/A,VLOOKUP(A43,'DB Country PMI'!$A:$V,MATCH($A$1,'DB Country PMI'!$A$1:$V$1,),))</f>
        <v>55.9</v>
      </c>
      <c r="C43" s="14">
        <f>Table13468113[[#This Row],[PMI]]-B42</f>
        <v>0.10000000000000142</v>
      </c>
    </row>
    <row r="44" spans="1:3" x14ac:dyDescent="0.2">
      <c r="A44" s="8">
        <v>40422</v>
      </c>
      <c r="B44" s="11">
        <f>IF(VLOOKUP(A44,'DB Country PMI'!$A:$V,MATCH($A$1,'DB Country PMI'!$A$1:$V$1,),)=0,#N/A,VLOOKUP(A44,'DB Country PMI'!$A:$V,MATCH($A$1,'DB Country PMI'!$A$1:$V$1,),))</f>
        <v>54.1</v>
      </c>
      <c r="C44" s="14">
        <f>Table13468113[[#This Row],[PMI]]-B43</f>
        <v>-1.7999999999999972</v>
      </c>
    </row>
    <row r="45" spans="1:3" x14ac:dyDescent="0.2">
      <c r="A45" s="8">
        <v>40452</v>
      </c>
      <c r="B45" s="11">
        <f>IF(VLOOKUP(A45,'DB Country PMI'!$A:$V,MATCH($A$1,'DB Country PMI'!$A$1:$V$1,),)=0,#N/A,VLOOKUP(A45,'DB Country PMI'!$A:$V,MATCH($A$1,'DB Country PMI'!$A$1:$V$1,),))</f>
        <v>53.3</v>
      </c>
      <c r="C45" s="14">
        <f>Table13468113[[#This Row],[PMI]]-B44</f>
        <v>-0.80000000000000426</v>
      </c>
    </row>
    <row r="46" spans="1:3" x14ac:dyDescent="0.2">
      <c r="A46" s="8">
        <v>40483</v>
      </c>
      <c r="B46" s="11">
        <f>IF(VLOOKUP(A46,'DB Country PMI'!$A:$V,MATCH($A$1,'DB Country PMI'!$A$1:$V$1,),)=0,#N/A,VLOOKUP(A46,'DB Country PMI'!$A:$V,MATCH($A$1,'DB Country PMI'!$A$1:$V$1,),))</f>
        <v>55.4</v>
      </c>
      <c r="C46" s="14">
        <f>Table13468113[[#This Row],[PMI]]-B45</f>
        <v>2.1000000000000014</v>
      </c>
    </row>
    <row r="47" spans="1:3" x14ac:dyDescent="0.2">
      <c r="A47" s="8">
        <v>40513</v>
      </c>
      <c r="B47" s="11">
        <f>IF(VLOOKUP(A47,'DB Country PMI'!$A:$V,MATCH($A$1,'DB Country PMI'!$A$1:$V$1,),)=0,#N/A,VLOOKUP(A47,'DB Country PMI'!$A:$V,MATCH($A$1,'DB Country PMI'!$A$1:$V$1,),))</f>
        <v>56.5</v>
      </c>
      <c r="C47" s="14">
        <f>Table13468113[[#This Row],[PMI]]-B46</f>
        <v>1.1000000000000014</v>
      </c>
    </row>
    <row r="48" spans="1:3" x14ac:dyDescent="0.2">
      <c r="A48" s="8">
        <v>40544</v>
      </c>
      <c r="B48" s="11">
        <f>IF(VLOOKUP(A48,'DB Country PMI'!$A:$V,MATCH($A$1,'DB Country PMI'!$A$1:$V$1,),)=0,#N/A,VLOOKUP(A48,'DB Country PMI'!$A:$V,MATCH($A$1,'DB Country PMI'!$A$1:$V$1,),))</f>
        <v>55.9</v>
      </c>
      <c r="C48" s="14">
        <f>Table13468113[[#This Row],[PMI]]-B47</f>
        <v>-0.60000000000000142</v>
      </c>
    </row>
    <row r="49" spans="1:3" x14ac:dyDescent="0.2">
      <c r="A49" s="8">
        <v>40575</v>
      </c>
      <c r="B49" s="11">
        <f>IF(VLOOKUP(A49,'DB Country PMI'!$A:$V,MATCH($A$1,'DB Country PMI'!$A$1:$V$1,),)=0,#N/A,VLOOKUP(A49,'DB Country PMI'!$A:$V,MATCH($A$1,'DB Country PMI'!$A$1:$V$1,),))</f>
        <v>56.8</v>
      </c>
      <c r="C49" s="14">
        <f>Table13468113[[#This Row],[PMI]]-B48</f>
        <v>0.89999999999999858</v>
      </c>
    </row>
    <row r="50" spans="1:3" x14ac:dyDescent="0.2">
      <c r="A50" s="8">
        <v>40603</v>
      </c>
      <c r="B50" s="11">
        <f>IF(VLOOKUP(A50,'DB Country PMI'!$A:$V,MATCH($A$1,'DB Country PMI'!$A$1:$V$1,),)=0,#N/A,VLOOKUP(A50,'DB Country PMI'!$A:$V,MATCH($A$1,'DB Country PMI'!$A$1:$V$1,),))</f>
        <v>57.2</v>
      </c>
      <c r="C50" s="14">
        <f>Table13468113[[#This Row],[PMI]]-B49</f>
        <v>0.40000000000000568</v>
      </c>
    </row>
    <row r="51" spans="1:3" x14ac:dyDescent="0.2">
      <c r="A51" s="8">
        <v>40634</v>
      </c>
      <c r="B51" s="11">
        <f>IF(VLOOKUP(A51,'DB Country PMI'!$A:$V,MATCH($A$1,'DB Country PMI'!$A$1:$V$1,),)=0,#N/A,VLOOKUP(A51,'DB Country PMI'!$A:$V,MATCH($A$1,'DB Country PMI'!$A$1:$V$1,),))</f>
        <v>56.7</v>
      </c>
      <c r="C51" s="14">
        <f>Table13468113[[#This Row],[PMI]]-B50</f>
        <v>-0.5</v>
      </c>
    </row>
    <row r="52" spans="1:3" x14ac:dyDescent="0.2">
      <c r="A52" s="8">
        <v>40664</v>
      </c>
      <c r="B52" s="11">
        <f>IF(VLOOKUP(A52,'DB Country PMI'!$A:$V,MATCH($A$1,'DB Country PMI'!$A$1:$V$1,),)=0,#N/A,VLOOKUP(A52,'DB Country PMI'!$A:$V,MATCH($A$1,'DB Country PMI'!$A$1:$V$1,),))</f>
        <v>55.4</v>
      </c>
      <c r="C52" s="14">
        <f>Table13468113[[#This Row],[PMI]]-B51</f>
        <v>-1.3000000000000043</v>
      </c>
    </row>
    <row r="53" spans="1:3" x14ac:dyDescent="0.2">
      <c r="A53" s="8">
        <v>40695</v>
      </c>
      <c r="B53" s="11">
        <f>IF(VLOOKUP(A53,'DB Country PMI'!$A:$V,MATCH($A$1,'DB Country PMI'!$A$1:$V$1,),)=0,#N/A,VLOOKUP(A53,'DB Country PMI'!$A:$V,MATCH($A$1,'DB Country PMI'!$A$1:$V$1,),))</f>
        <v>53.7</v>
      </c>
      <c r="C53" s="14">
        <f>Table13468113[[#This Row],[PMI]]-B52</f>
        <v>-1.6999999999999957</v>
      </c>
    </row>
    <row r="54" spans="1:3" x14ac:dyDescent="0.2">
      <c r="A54" s="8">
        <v>40725</v>
      </c>
      <c r="B54" s="11">
        <f>IF(VLOOKUP(A54,'DB Country PMI'!$A:$V,MATCH($A$1,'DB Country PMI'!$A$1:$V$1,),)=0,#N/A,VLOOKUP(A54,'DB Country PMI'!$A:$V,MATCH($A$1,'DB Country PMI'!$A$1:$V$1,),))</f>
        <v>51.6</v>
      </c>
      <c r="C54" s="14">
        <f>Table13468113[[#This Row],[PMI]]-B53</f>
        <v>-2.1000000000000014</v>
      </c>
    </row>
    <row r="55" spans="1:3" x14ac:dyDescent="0.2">
      <c r="A55" s="8">
        <v>40756</v>
      </c>
      <c r="B55" s="11">
        <f>IF(VLOOKUP(A55,'DB Country PMI'!$A:$V,MATCH($A$1,'DB Country PMI'!$A$1:$V$1,),)=0,#N/A,VLOOKUP(A55,'DB Country PMI'!$A:$V,MATCH($A$1,'DB Country PMI'!$A$1:$V$1,),))</f>
        <v>51.5</v>
      </c>
      <c r="C55" s="14">
        <f>Table13468113[[#This Row],[PMI]]-B54</f>
        <v>-0.10000000000000142</v>
      </c>
    </row>
    <row r="56" spans="1:3" x14ac:dyDescent="0.2">
      <c r="A56" s="8">
        <v>40787</v>
      </c>
      <c r="B56" s="11">
        <f>IF(VLOOKUP(A56,'DB Country PMI'!$A:$V,MATCH($A$1,'DB Country PMI'!$A$1:$V$1,),)=0,#N/A,VLOOKUP(A56,'DB Country PMI'!$A:$V,MATCH($A$1,'DB Country PMI'!$A$1:$V$1,),))</f>
        <v>48.8</v>
      </c>
      <c r="C56" s="14">
        <f>Table13468113[[#This Row],[PMI]]-B55</f>
        <v>-2.7000000000000028</v>
      </c>
    </row>
    <row r="57" spans="1:3" x14ac:dyDescent="0.2">
      <c r="A57" s="8">
        <v>40817</v>
      </c>
      <c r="B57" s="11">
        <f>IF(VLOOKUP(A57,'DB Country PMI'!$A:$V,MATCH($A$1,'DB Country PMI'!$A$1:$V$1,),)=0,#N/A,VLOOKUP(A57,'DB Country PMI'!$A:$V,MATCH($A$1,'DB Country PMI'!$A$1:$V$1,),))</f>
        <v>46.4</v>
      </c>
      <c r="C57" s="14">
        <f>Table13468113[[#This Row],[PMI]]-B56</f>
        <v>-2.3999999999999986</v>
      </c>
    </row>
    <row r="58" spans="1:3" x14ac:dyDescent="0.2">
      <c r="A58" s="8">
        <v>40848</v>
      </c>
      <c r="B58" s="11">
        <f>IF(VLOOKUP(A58,'DB Country PMI'!$A:$V,MATCH($A$1,'DB Country PMI'!$A$1:$V$1,),)=0,#N/A,VLOOKUP(A58,'DB Country PMI'!$A:$V,MATCH($A$1,'DB Country PMI'!$A$1:$V$1,),))</f>
        <v>47.5</v>
      </c>
      <c r="C58" s="14">
        <f>Table13468113[[#This Row],[PMI]]-B57</f>
        <v>1.1000000000000014</v>
      </c>
    </row>
    <row r="59" spans="1:3" x14ac:dyDescent="0.2">
      <c r="A59" s="8">
        <v>40878</v>
      </c>
      <c r="B59" s="11">
        <f>IF(VLOOKUP(A59,'DB Country PMI'!$A:$V,MATCH($A$1,'DB Country PMI'!$A$1:$V$1,),)=0,#N/A,VLOOKUP(A59,'DB Country PMI'!$A:$V,MATCH($A$1,'DB Country PMI'!$A$1:$V$1,),))</f>
        <v>48.8</v>
      </c>
      <c r="C59" s="14">
        <f>Table13468113[[#This Row],[PMI]]-B58</f>
        <v>1.2999999999999972</v>
      </c>
    </row>
    <row r="60" spans="1:3" x14ac:dyDescent="0.2">
      <c r="A60" s="8">
        <v>40909</v>
      </c>
      <c r="B60" s="11">
        <f>IF(VLOOKUP(A60,'DB Country PMI'!$A:$V,MATCH($A$1,'DB Country PMI'!$A$1:$V$1,),)=0,#N/A,VLOOKUP(A60,'DB Country PMI'!$A:$V,MATCH($A$1,'DB Country PMI'!$A$1:$V$1,),))</f>
        <v>50.4</v>
      </c>
      <c r="C60" s="14">
        <f>Table13468113[[#This Row],[PMI]]-B59</f>
        <v>1.6000000000000014</v>
      </c>
    </row>
    <row r="61" spans="1:3" x14ac:dyDescent="0.2">
      <c r="A61" s="8">
        <v>40940</v>
      </c>
      <c r="B61" s="11">
        <f>IF(VLOOKUP(A61,'DB Country PMI'!$A:$V,MATCH($A$1,'DB Country PMI'!$A$1:$V$1,),)=0,#N/A,VLOOKUP(A61,'DB Country PMI'!$A:$V,MATCH($A$1,'DB Country PMI'!$A$1:$V$1,),))</f>
        <v>48.8</v>
      </c>
      <c r="C61" s="14">
        <f>Table13468113[[#This Row],[PMI]]-B60</f>
        <v>-1.6000000000000014</v>
      </c>
    </row>
    <row r="62" spans="1:3" x14ac:dyDescent="0.2">
      <c r="A62" s="8">
        <v>40969</v>
      </c>
      <c r="B62" s="11">
        <f>IF(VLOOKUP(A62,'DB Country PMI'!$A:$V,MATCH($A$1,'DB Country PMI'!$A$1:$V$1,),)=0,#N/A,VLOOKUP(A62,'DB Country PMI'!$A:$V,MATCH($A$1,'DB Country PMI'!$A$1:$V$1,),))</f>
        <v>47.9</v>
      </c>
      <c r="C62" s="14">
        <f>Table13468113[[#This Row],[PMI]]-B61</f>
        <v>-0.89999999999999858</v>
      </c>
    </row>
    <row r="63" spans="1:3" x14ac:dyDescent="0.2">
      <c r="A63" s="8">
        <v>41000</v>
      </c>
      <c r="B63" s="11">
        <f>IF(VLOOKUP(A63,'DB Country PMI'!$A:$V,MATCH($A$1,'DB Country PMI'!$A$1:$V$1,),)=0,#N/A,VLOOKUP(A63,'DB Country PMI'!$A:$V,MATCH($A$1,'DB Country PMI'!$A$1:$V$1,),))</f>
        <v>46.9</v>
      </c>
      <c r="C63" s="14">
        <f>Table13468113[[#This Row],[PMI]]-B62</f>
        <v>-1</v>
      </c>
    </row>
    <row r="64" spans="1:3" x14ac:dyDescent="0.2">
      <c r="A64" s="8">
        <v>41030</v>
      </c>
      <c r="B64" s="11">
        <f>IF(VLOOKUP(A64,'DB Country PMI'!$A:$V,MATCH($A$1,'DB Country PMI'!$A$1:$V$1,),)=0,#N/A,VLOOKUP(A64,'DB Country PMI'!$A:$V,MATCH($A$1,'DB Country PMI'!$A$1:$V$1,),))</f>
        <v>46.7</v>
      </c>
      <c r="C64" s="14">
        <f>Table13468113[[#This Row],[PMI]]-B63</f>
        <v>-0.19999999999999574</v>
      </c>
    </row>
    <row r="65" spans="1:3" x14ac:dyDescent="0.2">
      <c r="A65" s="8">
        <v>41061</v>
      </c>
      <c r="B65" s="11">
        <f>IF(VLOOKUP(A65,'DB Country PMI'!$A:$V,MATCH($A$1,'DB Country PMI'!$A$1:$V$1,),)=0,#N/A,VLOOKUP(A65,'DB Country PMI'!$A:$V,MATCH($A$1,'DB Country PMI'!$A$1:$V$1,),))</f>
        <v>47.1</v>
      </c>
      <c r="C65" s="14">
        <f>Table13468113[[#This Row],[PMI]]-B64</f>
        <v>0.39999999999999858</v>
      </c>
    </row>
    <row r="66" spans="1:3" x14ac:dyDescent="0.2">
      <c r="A66" s="8">
        <v>41091</v>
      </c>
      <c r="B66" s="11">
        <f>IF(VLOOKUP(A66,'DB Country PMI'!$A:$V,MATCH($A$1,'DB Country PMI'!$A$1:$V$1,),)=0,#N/A,VLOOKUP(A66,'DB Country PMI'!$A:$V,MATCH($A$1,'DB Country PMI'!$A$1:$V$1,),))</f>
        <v>47.9</v>
      </c>
      <c r="C66" s="14">
        <f>Table13468113[[#This Row],[PMI]]-B65</f>
        <v>0.79999999999999716</v>
      </c>
    </row>
    <row r="67" spans="1:3" x14ac:dyDescent="0.2">
      <c r="A67" s="8">
        <v>41122</v>
      </c>
      <c r="B67" s="11">
        <f>IF(VLOOKUP(A67,'DB Country PMI'!$A:$V,MATCH($A$1,'DB Country PMI'!$A$1:$V$1,),)=0,#N/A,VLOOKUP(A67,'DB Country PMI'!$A:$V,MATCH($A$1,'DB Country PMI'!$A$1:$V$1,),))</f>
        <v>47.2</v>
      </c>
      <c r="C67" s="14">
        <f>Table13468113[[#This Row],[PMI]]-B66</f>
        <v>-0.69999999999999574</v>
      </c>
    </row>
    <row r="68" spans="1:3" x14ac:dyDescent="0.2">
      <c r="A68" s="8">
        <v>41153</v>
      </c>
      <c r="B68" s="11">
        <f>IF(VLOOKUP(A68,'DB Country PMI'!$A:$V,MATCH($A$1,'DB Country PMI'!$A$1:$V$1,),)=0,#N/A,VLOOKUP(A68,'DB Country PMI'!$A:$V,MATCH($A$1,'DB Country PMI'!$A$1:$V$1,),))</f>
        <v>46.1</v>
      </c>
      <c r="C68" s="14">
        <f>Table13468113[[#This Row],[PMI]]-B67</f>
        <v>-1.1000000000000014</v>
      </c>
    </row>
    <row r="69" spans="1:3" x14ac:dyDescent="0.2">
      <c r="A69" s="8">
        <v>41183</v>
      </c>
      <c r="B69" s="11">
        <f>IF(VLOOKUP(A69,'DB Country PMI'!$A:$V,MATCH($A$1,'DB Country PMI'!$A$1:$V$1,),)=0,#N/A,VLOOKUP(A69,'DB Country PMI'!$A:$V,MATCH($A$1,'DB Country PMI'!$A$1:$V$1,),))</f>
        <v>46</v>
      </c>
      <c r="C69" s="14">
        <f>Table13468113[[#This Row],[PMI]]-B68</f>
        <v>-0.10000000000000142</v>
      </c>
    </row>
    <row r="70" spans="1:3" x14ac:dyDescent="0.2">
      <c r="A70" s="8">
        <v>41214</v>
      </c>
      <c r="B70" s="11">
        <f>IF(VLOOKUP(A70,'DB Country PMI'!$A:$V,MATCH($A$1,'DB Country PMI'!$A$1:$V$1,),)=0,#N/A,VLOOKUP(A70,'DB Country PMI'!$A:$V,MATCH($A$1,'DB Country PMI'!$A$1:$V$1,),))</f>
        <v>46.7</v>
      </c>
      <c r="C70" s="14">
        <f>Table13468113[[#This Row],[PMI]]-B69</f>
        <v>0.70000000000000284</v>
      </c>
    </row>
    <row r="71" spans="1:3" x14ac:dyDescent="0.2">
      <c r="A71" s="8">
        <v>41244</v>
      </c>
      <c r="B71" s="11">
        <f>IF(VLOOKUP(A71,'DB Country PMI'!$A:$V,MATCH($A$1,'DB Country PMI'!$A$1:$V$1,),)=0,#N/A,VLOOKUP(A71,'DB Country PMI'!$A:$V,MATCH($A$1,'DB Country PMI'!$A$1:$V$1,),))</f>
        <v>47.2</v>
      </c>
      <c r="C71" s="14">
        <f>Table13468113[[#This Row],[PMI]]-B70</f>
        <v>0.5</v>
      </c>
    </row>
    <row r="72" spans="1:3" x14ac:dyDescent="0.2">
      <c r="A72" s="8">
        <v>41275</v>
      </c>
      <c r="B72" s="11">
        <f>IF(VLOOKUP(A72,'DB Country PMI'!$A:$V,MATCH($A$1,'DB Country PMI'!$A$1:$V$1,),)=0,#N/A,VLOOKUP(A72,'DB Country PMI'!$A:$V,MATCH($A$1,'DB Country PMI'!$A$1:$V$1,),))</f>
        <v>48.6</v>
      </c>
      <c r="C72" s="14">
        <f>Table13468113[[#This Row],[PMI]]-B71</f>
        <v>1.3999999999999986</v>
      </c>
    </row>
    <row r="73" spans="1:3" x14ac:dyDescent="0.2">
      <c r="A73" s="8">
        <v>41306</v>
      </c>
      <c r="B73" s="11">
        <f>IF(VLOOKUP(A73,'DB Country PMI'!$A:$V,MATCH($A$1,'DB Country PMI'!$A$1:$V$1,),)=0,#N/A,VLOOKUP(A73,'DB Country PMI'!$A:$V,MATCH($A$1,'DB Country PMI'!$A$1:$V$1,),))</f>
        <v>47.9</v>
      </c>
      <c r="C73" s="14">
        <f>Table13468113[[#This Row],[PMI]]-B72</f>
        <v>-0.70000000000000284</v>
      </c>
    </row>
    <row r="74" spans="1:3" x14ac:dyDescent="0.2">
      <c r="A74" s="8">
        <v>41334</v>
      </c>
      <c r="B74" s="11">
        <f>IF(VLOOKUP(A74,'DB Country PMI'!$A:$V,MATCH($A$1,'DB Country PMI'!$A$1:$V$1,),)=0,#N/A,VLOOKUP(A74,'DB Country PMI'!$A:$V,MATCH($A$1,'DB Country PMI'!$A$1:$V$1,),))</f>
        <v>46.4</v>
      </c>
      <c r="C74" s="14">
        <f>Table13468113[[#This Row],[PMI]]-B73</f>
        <v>-1.5</v>
      </c>
    </row>
    <row r="75" spans="1:3" x14ac:dyDescent="0.2">
      <c r="A75" s="8">
        <v>41365</v>
      </c>
      <c r="B75" s="11">
        <f>IF(VLOOKUP(A75,'DB Country PMI'!$A:$V,MATCH($A$1,'DB Country PMI'!$A$1:$V$1,),)=0,#N/A,VLOOKUP(A75,'DB Country PMI'!$A:$V,MATCH($A$1,'DB Country PMI'!$A$1:$V$1,),))</f>
        <v>47</v>
      </c>
      <c r="C75" s="14">
        <f>Table13468113[[#This Row],[PMI]]-B74</f>
        <v>0.60000000000000142</v>
      </c>
    </row>
    <row r="76" spans="1:3" x14ac:dyDescent="0.2">
      <c r="A76" s="8">
        <v>41395</v>
      </c>
      <c r="B76" s="11">
        <f>IF(VLOOKUP(A76,'DB Country PMI'!$A:$V,MATCH($A$1,'DB Country PMI'!$A$1:$V$1,),)=0,#N/A,VLOOKUP(A76,'DB Country PMI'!$A:$V,MATCH($A$1,'DB Country PMI'!$A$1:$V$1,),))</f>
        <v>47.2</v>
      </c>
      <c r="C76" s="14">
        <f>Table13468113[[#This Row],[PMI]]-B75</f>
        <v>0.20000000000000284</v>
      </c>
    </row>
    <row r="77" spans="1:3" x14ac:dyDescent="0.2">
      <c r="A77" s="8">
        <v>41426</v>
      </c>
      <c r="B77" s="11">
        <f>IF(VLOOKUP(A77,'DB Country PMI'!$A:$V,MATCH($A$1,'DB Country PMI'!$A$1:$V$1,),)=0,#N/A,VLOOKUP(A77,'DB Country PMI'!$A:$V,MATCH($A$1,'DB Country PMI'!$A$1:$V$1,),))</f>
        <v>48.3</v>
      </c>
      <c r="C77" s="14">
        <f>Table13468113[[#This Row],[PMI]]-B76</f>
        <v>1.0999999999999943</v>
      </c>
    </row>
    <row r="78" spans="1:3" x14ac:dyDescent="0.2">
      <c r="A78" s="8">
        <v>41456</v>
      </c>
      <c r="B78" s="11">
        <f>IF(VLOOKUP(A78,'DB Country PMI'!$A:$V,MATCH($A$1,'DB Country PMI'!$A$1:$V$1,),)=0,#N/A,VLOOKUP(A78,'DB Country PMI'!$A:$V,MATCH($A$1,'DB Country PMI'!$A$1:$V$1,),))</f>
        <v>49.8</v>
      </c>
      <c r="C78" s="14">
        <f>Table13468113[[#This Row],[PMI]]-B77</f>
        <v>1.5</v>
      </c>
    </row>
    <row r="79" spans="1:3" x14ac:dyDescent="0.2">
      <c r="A79" s="8">
        <v>41487</v>
      </c>
      <c r="B79" s="11">
        <f>IF(VLOOKUP(A79,'DB Country PMI'!$A:$V,MATCH($A$1,'DB Country PMI'!$A$1:$V$1,),)=0,#N/A,VLOOKUP(A79,'DB Country PMI'!$A:$V,MATCH($A$1,'DB Country PMI'!$A$1:$V$1,),))</f>
        <v>50.7</v>
      </c>
      <c r="C79" s="14">
        <f>Table13468113[[#This Row],[PMI]]-B78</f>
        <v>0.90000000000000568</v>
      </c>
    </row>
    <row r="80" spans="1:3" x14ac:dyDescent="0.2">
      <c r="A80" s="8">
        <v>41518</v>
      </c>
      <c r="B80" s="11">
        <f>IF(VLOOKUP(A80,'DB Country PMI'!$A:$V,MATCH($A$1,'DB Country PMI'!$A$1:$V$1,),)=0,#N/A,VLOOKUP(A80,'DB Country PMI'!$A:$V,MATCH($A$1,'DB Country PMI'!$A$1:$V$1,),))</f>
        <v>52.2</v>
      </c>
      <c r="C80" s="14">
        <f>Table13468113[[#This Row],[PMI]]-B79</f>
        <v>1.5</v>
      </c>
    </row>
    <row r="81" spans="1:3" x14ac:dyDescent="0.2">
      <c r="A81" s="8">
        <v>41548</v>
      </c>
      <c r="B81" s="11">
        <f>IF(VLOOKUP(A81,'DB Country PMI'!$A:$V,MATCH($A$1,'DB Country PMI'!$A$1:$V$1,),)=0,#N/A,VLOOKUP(A81,'DB Country PMI'!$A:$V,MATCH($A$1,'DB Country PMI'!$A$1:$V$1,),))</f>
        <v>51.6</v>
      </c>
      <c r="C81" s="14">
        <f>Table13468113[[#This Row],[PMI]]-B80</f>
        <v>-0.60000000000000142</v>
      </c>
    </row>
    <row r="82" spans="1:3" x14ac:dyDescent="0.2">
      <c r="A82" s="8">
        <v>41579</v>
      </c>
      <c r="B82" s="11">
        <f>IF(VLOOKUP(A82,'DB Country PMI'!$A:$V,MATCH($A$1,'DB Country PMI'!$A$1:$V$1,),)=0,#N/A,VLOOKUP(A82,'DB Country PMI'!$A:$V,MATCH($A$1,'DB Country PMI'!$A$1:$V$1,),))</f>
        <v>51.2</v>
      </c>
      <c r="C82" s="14">
        <f>Table13468113[[#This Row],[PMI]]-B81</f>
        <v>-0.39999999999999858</v>
      </c>
    </row>
    <row r="83" spans="1:3" x14ac:dyDescent="0.2">
      <c r="A83" s="8">
        <v>41609</v>
      </c>
      <c r="B83" s="11">
        <f>IF(VLOOKUP(A83,'DB Country PMI'!$A:$V,MATCH($A$1,'DB Country PMI'!$A$1:$V$1,),)=0,#N/A,VLOOKUP(A83,'DB Country PMI'!$A:$V,MATCH($A$1,'DB Country PMI'!$A$1:$V$1,),))</f>
        <v>51</v>
      </c>
      <c r="C83" s="14">
        <f>Table13468113[[#This Row],[PMI]]-B82</f>
        <v>-0.20000000000000284</v>
      </c>
    </row>
    <row r="84" spans="1:3" x14ac:dyDescent="0.2">
      <c r="A84" s="8">
        <v>41640</v>
      </c>
      <c r="B84" s="11">
        <f>IF(VLOOKUP(A84,'DB Country PMI'!$A:$V,MATCH($A$1,'DB Country PMI'!$A$1:$V$1,),)=0,#N/A,VLOOKUP(A84,'DB Country PMI'!$A:$V,MATCH($A$1,'DB Country PMI'!$A$1:$V$1,),))</f>
        <v>51.6</v>
      </c>
      <c r="C84" s="14">
        <f>Table13468113[[#This Row],[PMI]]-B83</f>
        <v>0.60000000000000142</v>
      </c>
    </row>
    <row r="85" spans="1:3" x14ac:dyDescent="0.2">
      <c r="A85" s="8">
        <v>41671</v>
      </c>
      <c r="B85" s="11">
        <f>IF(VLOOKUP(A85,'DB Country PMI'!$A:$V,MATCH($A$1,'DB Country PMI'!$A$1:$V$1,),)=0,#N/A,VLOOKUP(A85,'DB Country PMI'!$A:$V,MATCH($A$1,'DB Country PMI'!$A$1:$V$1,),))</f>
        <v>52.6</v>
      </c>
      <c r="C85" s="14">
        <f>Table13468113[[#This Row],[PMI]]-B84</f>
        <v>1</v>
      </c>
    </row>
    <row r="86" spans="1:3" x14ac:dyDescent="0.2">
      <c r="A86" s="8">
        <v>41699</v>
      </c>
      <c r="B86" s="11">
        <f>IF(VLOOKUP(A86,'DB Country PMI'!$A:$V,MATCH($A$1,'DB Country PMI'!$A$1:$V$1,),)=0,#N/A,VLOOKUP(A86,'DB Country PMI'!$A:$V,MATCH($A$1,'DB Country PMI'!$A$1:$V$1,),))</f>
        <v>52.2</v>
      </c>
      <c r="C86" s="14">
        <f>Table13468113[[#This Row],[PMI]]-B85</f>
        <v>-0.39999999999999858</v>
      </c>
    </row>
    <row r="87" spans="1:3" x14ac:dyDescent="0.2">
      <c r="A87" s="8">
        <v>41730</v>
      </c>
      <c r="B87" s="11">
        <f>IF(VLOOKUP(A87,'DB Country PMI'!$A:$V,MATCH($A$1,'DB Country PMI'!$A$1:$V$1,),)=0,#N/A,VLOOKUP(A87,'DB Country PMI'!$A:$V,MATCH($A$1,'DB Country PMI'!$A$1:$V$1,),))</f>
        <v>53.1</v>
      </c>
      <c r="C87" s="14">
        <f>Table13468113[[#This Row],[PMI]]-B86</f>
        <v>0.89999999999999858</v>
      </c>
    </row>
    <row r="88" spans="1:3" x14ac:dyDescent="0.2">
      <c r="A88" s="8">
        <v>41760</v>
      </c>
      <c r="B88" s="11">
        <f>IF(VLOOKUP(A88,'DB Country PMI'!$A:$V,MATCH($A$1,'DB Country PMI'!$A$1:$V$1,),)=0,#N/A,VLOOKUP(A88,'DB Country PMI'!$A:$V,MATCH($A$1,'DB Country PMI'!$A$1:$V$1,),))</f>
        <v>53.2</v>
      </c>
      <c r="C88" s="14">
        <f>Table13468113[[#This Row],[PMI]]-B87</f>
        <v>0.10000000000000142</v>
      </c>
    </row>
    <row r="89" spans="1:3" x14ac:dyDescent="0.2">
      <c r="A89" s="8">
        <v>41791</v>
      </c>
      <c r="B89" s="11">
        <f>IF(VLOOKUP(A89,'DB Country PMI'!$A:$V,MATCH($A$1,'DB Country PMI'!$A$1:$V$1,),)=0,#N/A,VLOOKUP(A89,'DB Country PMI'!$A:$V,MATCH($A$1,'DB Country PMI'!$A$1:$V$1,),))</f>
        <v>52.8</v>
      </c>
      <c r="C89" s="14">
        <f>Table13468113[[#This Row],[PMI]]-B88</f>
        <v>-0.40000000000000568</v>
      </c>
    </row>
    <row r="90" spans="1:3" x14ac:dyDescent="0.2">
      <c r="A90" s="8">
        <v>41821</v>
      </c>
      <c r="B90" s="11">
        <f>IF(VLOOKUP(A90,'DB Country PMI'!$A:$V,MATCH($A$1,'DB Country PMI'!$A$1:$V$1,),)=0,#N/A,VLOOKUP(A90,'DB Country PMI'!$A:$V,MATCH($A$1,'DB Country PMI'!$A$1:$V$1,),))</f>
        <v>54.2</v>
      </c>
      <c r="C90" s="14">
        <f>Table13468113[[#This Row],[PMI]]-B89</f>
        <v>1.4000000000000057</v>
      </c>
    </row>
    <row r="91" spans="1:3" x14ac:dyDescent="0.2">
      <c r="A91" s="8">
        <v>41852</v>
      </c>
      <c r="B91" s="11">
        <f>IF(VLOOKUP(A91,'DB Country PMI'!$A:$V,MATCH($A$1,'DB Country PMI'!$A$1:$V$1,),)=0,#N/A,VLOOKUP(A91,'DB Country PMI'!$A:$V,MATCH($A$1,'DB Country PMI'!$A$1:$V$1,),))</f>
        <v>53.1</v>
      </c>
      <c r="C91" s="14">
        <f>Table13468113[[#This Row],[PMI]]-B90</f>
        <v>-1.1000000000000014</v>
      </c>
    </row>
    <row r="92" spans="1:3" x14ac:dyDescent="0.2">
      <c r="A92" s="8">
        <v>41883</v>
      </c>
      <c r="B92" s="11">
        <f>IF(VLOOKUP(A92,'DB Country PMI'!$A:$V,MATCH($A$1,'DB Country PMI'!$A$1:$V$1,),)=0,#N/A,VLOOKUP(A92,'DB Country PMI'!$A:$V,MATCH($A$1,'DB Country PMI'!$A$1:$V$1,),))</f>
        <v>52.4</v>
      </c>
      <c r="C92" s="14">
        <f>Table13468113[[#This Row],[PMI]]-B91</f>
        <v>-0.70000000000000284</v>
      </c>
    </row>
    <row r="93" spans="1:3" x14ac:dyDescent="0.2">
      <c r="A93" s="8">
        <v>41913</v>
      </c>
      <c r="B93" s="11">
        <f>IF(VLOOKUP(A93,'DB Country PMI'!$A:$V,MATCH($A$1,'DB Country PMI'!$A$1:$V$1,),)=0,#N/A,VLOOKUP(A93,'DB Country PMI'!$A:$V,MATCH($A$1,'DB Country PMI'!$A$1:$V$1,),))</f>
        <v>52.3</v>
      </c>
      <c r="C93" s="14">
        <f>Table13468113[[#This Row],[PMI]]-B92</f>
        <v>-0.10000000000000142</v>
      </c>
    </row>
    <row r="94" spans="1:3" x14ac:dyDescent="0.2">
      <c r="A94" s="8">
        <v>41944</v>
      </c>
      <c r="B94" s="11">
        <f>IF(VLOOKUP(A94,'DB Country PMI'!$A:$V,MATCH($A$1,'DB Country PMI'!$A$1:$V$1,),)=0,#N/A,VLOOKUP(A94,'DB Country PMI'!$A:$V,MATCH($A$1,'DB Country PMI'!$A$1:$V$1,),))</f>
        <v>51.1</v>
      </c>
      <c r="C94" s="14">
        <f>Table13468113[[#This Row],[PMI]]-B93</f>
        <v>-1.1999999999999957</v>
      </c>
    </row>
    <row r="95" spans="1:3" x14ac:dyDescent="0.2">
      <c r="A95" s="8">
        <v>41974</v>
      </c>
      <c r="B95" s="11">
        <f>IF(VLOOKUP(A95,'DB Country PMI'!$A:$V,MATCH($A$1,'DB Country PMI'!$A$1:$V$1,),)=0,#N/A,VLOOKUP(A95,'DB Country PMI'!$A:$V,MATCH($A$1,'DB Country PMI'!$A$1:$V$1,),))</f>
        <v>51.6</v>
      </c>
      <c r="C95" s="14">
        <f>Table13468113[[#This Row],[PMI]]-B94</f>
        <v>0.5</v>
      </c>
    </row>
    <row r="96" spans="1:3" x14ac:dyDescent="0.2">
      <c r="A96" s="8">
        <v>42005</v>
      </c>
      <c r="B96" s="11">
        <f>IF(VLOOKUP(A96,'DB Country PMI'!$A:$V,MATCH($A$1,'DB Country PMI'!$A$1:$V$1,),)=0,#N/A,VLOOKUP(A96,'DB Country PMI'!$A:$V,MATCH($A$1,'DB Country PMI'!$A$1:$V$1,),))</f>
        <v>52.7</v>
      </c>
      <c r="C96" s="14">
        <f>Table13468113[[#This Row],[PMI]]-B95</f>
        <v>1.1000000000000014</v>
      </c>
    </row>
    <row r="97" spans="1:3" x14ac:dyDescent="0.2">
      <c r="A97" s="8">
        <v>42036</v>
      </c>
      <c r="B97" s="11">
        <f>IF(VLOOKUP(A97,'DB Country PMI'!$A:$V,MATCH($A$1,'DB Country PMI'!$A$1:$V$1,),)=0,#N/A,VLOOKUP(A97,'DB Country PMI'!$A:$V,MATCH($A$1,'DB Country PMI'!$A$1:$V$1,),))</f>
        <v>53.7</v>
      </c>
      <c r="C97" s="14">
        <f>Table13468113[[#This Row],[PMI]]-B96</f>
        <v>1</v>
      </c>
    </row>
    <row r="98" spans="1:3" x14ac:dyDescent="0.2">
      <c r="A98" s="8">
        <v>42064</v>
      </c>
      <c r="B98" s="11">
        <f>IF(VLOOKUP(A98,'DB Country PMI'!$A:$V,MATCH($A$1,'DB Country PMI'!$A$1:$V$1,),)=0,#N/A,VLOOKUP(A98,'DB Country PMI'!$A:$V,MATCH($A$1,'DB Country PMI'!$A$1:$V$1,),))</f>
        <v>54.2</v>
      </c>
      <c r="C98" s="14">
        <f>Table13468113[[#This Row],[PMI]]-B97</f>
        <v>0.5</v>
      </c>
    </row>
    <row r="99" spans="1:3" x14ac:dyDescent="0.2">
      <c r="A99" s="8">
        <v>42095</v>
      </c>
      <c r="B99" s="11">
        <f>IF(VLOOKUP(A99,'DB Country PMI'!$A:$V,MATCH($A$1,'DB Country PMI'!$A$1:$V$1,),)=0,#N/A,VLOOKUP(A99,'DB Country PMI'!$A:$V,MATCH($A$1,'DB Country PMI'!$A$1:$V$1,),))</f>
        <v>54.1</v>
      </c>
      <c r="C99" s="14">
        <f>Table13468113[[#This Row],[PMI]]-B98</f>
        <v>-0.10000000000000142</v>
      </c>
    </row>
    <row r="100" spans="1:3" x14ac:dyDescent="0.2">
      <c r="A100" s="8">
        <v>42125</v>
      </c>
      <c r="B100" s="11">
        <f>IF(VLOOKUP(A100,'DB Country PMI'!$A:$V,MATCH($A$1,'DB Country PMI'!$A$1:$V$1,),)=0,#N/A,VLOOKUP(A100,'DB Country PMI'!$A:$V,MATCH($A$1,'DB Country PMI'!$A$1:$V$1,),))</f>
        <v>53.8</v>
      </c>
      <c r="C100" s="14">
        <f>Table13468113[[#This Row],[PMI]]-B99</f>
        <v>-0.30000000000000426</v>
      </c>
    </row>
    <row r="101" spans="1:3" x14ac:dyDescent="0.2">
      <c r="A101" s="8">
        <v>42156</v>
      </c>
      <c r="B101" s="11">
        <f>IF(VLOOKUP(A101,'DB Country PMI'!$A:$V,MATCH($A$1,'DB Country PMI'!$A$1:$V$1,),)=0,#N/A,VLOOKUP(A101,'DB Country PMI'!$A:$V,MATCH($A$1,'DB Country PMI'!$A$1:$V$1,),))</f>
        <v>54.4</v>
      </c>
      <c r="C101" s="14">
        <f>Table13468113[[#This Row],[PMI]]-B100</f>
        <v>0.60000000000000142</v>
      </c>
    </row>
    <row r="102" spans="1:3" x14ac:dyDescent="0.2">
      <c r="A102" s="8">
        <v>42186</v>
      </c>
      <c r="B102" s="11">
        <f>IF(VLOOKUP(A102,'DB Country PMI'!$A:$V,MATCH($A$1,'DB Country PMI'!$A$1:$V$1,),)=0,#N/A,VLOOKUP(A102,'DB Country PMI'!$A:$V,MATCH($A$1,'DB Country PMI'!$A$1:$V$1,),))</f>
        <v>54</v>
      </c>
      <c r="C102" s="14">
        <f>Table13468113[[#This Row],[PMI]]-B101</f>
        <v>-0.39999999999999858</v>
      </c>
    </row>
    <row r="103" spans="1:3" x14ac:dyDescent="0.2">
      <c r="A103" s="8">
        <v>42217</v>
      </c>
      <c r="B103" s="11">
        <f>IF(VLOOKUP(A103,'DB Country PMI'!$A:$V,MATCH($A$1,'DB Country PMI'!$A$1:$V$1,),)=0,#N/A,VLOOKUP(A103,'DB Country PMI'!$A:$V,MATCH($A$1,'DB Country PMI'!$A$1:$V$1,),))</f>
        <v>54.4</v>
      </c>
      <c r="C103" s="14">
        <f>Table13468113[[#This Row],[PMI]]-B102</f>
        <v>0.39999999999999858</v>
      </c>
    </row>
    <row r="104" spans="1:3" x14ac:dyDescent="0.2">
      <c r="A104" s="8">
        <v>42248</v>
      </c>
      <c r="B104" s="11">
        <f>IF(VLOOKUP(A104,'DB Country PMI'!$A:$V,MATCH($A$1,'DB Country PMI'!$A$1:$V$1,),)=0,#N/A,VLOOKUP(A104,'DB Country PMI'!$A:$V,MATCH($A$1,'DB Country PMI'!$A$1:$V$1,),))</f>
        <v>53.7</v>
      </c>
      <c r="C104" s="14">
        <f>Table13468113[[#This Row],[PMI]]-B103</f>
        <v>-0.69999999999999574</v>
      </c>
    </row>
    <row r="105" spans="1:3" x14ac:dyDescent="0.2">
      <c r="A105" s="8">
        <v>42278</v>
      </c>
      <c r="B105" s="11">
        <f>IF(VLOOKUP(A105,'DB Country PMI'!$A:$V,MATCH($A$1,'DB Country PMI'!$A$1:$V$1,),)=0,#N/A,VLOOKUP(A105,'DB Country PMI'!$A:$V,MATCH($A$1,'DB Country PMI'!$A$1:$V$1,),))</f>
        <v>54.1</v>
      </c>
      <c r="C105" s="14">
        <f>Table13468113[[#This Row],[PMI]]-B104</f>
        <v>0.39999999999999858</v>
      </c>
    </row>
    <row r="106" spans="1:3" x14ac:dyDescent="0.2">
      <c r="A106" s="8">
        <v>42309</v>
      </c>
      <c r="B106" s="11">
        <f>IF(VLOOKUP(A106,'DB Country PMI'!$A:$V,MATCH($A$1,'DB Country PMI'!$A$1:$V$1,),)=0,#N/A,VLOOKUP(A106,'DB Country PMI'!$A:$V,MATCH($A$1,'DB Country PMI'!$A$1:$V$1,),))</f>
        <v>54.2</v>
      </c>
      <c r="C106" s="14">
        <f>Table13468113[[#This Row],[PMI]]-B105</f>
        <v>0.10000000000000142</v>
      </c>
    </row>
    <row r="107" spans="1:3" x14ac:dyDescent="0.2">
      <c r="A107" s="8">
        <v>42339</v>
      </c>
      <c r="B107" s="11">
        <f>IF(VLOOKUP(A107,'DB Country PMI'!$A:$V,MATCH($A$1,'DB Country PMI'!$A$1:$V$1,),)=0,#N/A,VLOOKUP(A107,'DB Country PMI'!$A:$V,MATCH($A$1,'DB Country PMI'!$A$1:$V$1,),))</f>
        <v>54.2</v>
      </c>
      <c r="C107" s="14">
        <f>Table13468113[[#This Row],[PMI]]-B106</f>
        <v>0</v>
      </c>
    </row>
    <row r="108" spans="1:3" x14ac:dyDescent="0.2">
      <c r="A108" s="8">
        <v>42370</v>
      </c>
      <c r="B108" s="11">
        <f>IF(VLOOKUP(A108,'DB Country PMI'!$A:$V,MATCH($A$1,'DB Country PMI'!$A$1:$V$1,),)=0,#N/A,VLOOKUP(A108,'DB Country PMI'!$A:$V,MATCH($A$1,'DB Country PMI'!$A$1:$V$1,),))</f>
        <v>53.6</v>
      </c>
      <c r="C108" s="14">
        <f>Table13468113[[#This Row],[PMI]]-B107</f>
        <v>-0.60000000000000142</v>
      </c>
    </row>
    <row r="109" spans="1:3" x14ac:dyDescent="0.2">
      <c r="A109" s="8">
        <v>42401</v>
      </c>
      <c r="B109" s="11">
        <f>IF(VLOOKUP(A109,'DB Country PMI'!$A:$V,MATCH($A$1,'DB Country PMI'!$A$1:$V$1,),)=0,#N/A,VLOOKUP(A109,'DB Country PMI'!$A:$V,MATCH($A$1,'DB Country PMI'!$A$1:$V$1,),))</f>
        <v>53.3</v>
      </c>
      <c r="C109" s="14">
        <f>Table13468113[[#This Row],[PMI]]-B108</f>
        <v>-0.30000000000000426</v>
      </c>
    </row>
    <row r="110" spans="1:3" x14ac:dyDescent="0.2">
      <c r="A110" s="8">
        <v>42430</v>
      </c>
      <c r="B110" s="11">
        <f>IF(VLOOKUP(A110,'DB Country PMI'!$A:$V,MATCH($A$1,'DB Country PMI'!$A$1:$V$1,),)=0,#N/A,VLOOKUP(A110,'DB Country PMI'!$A:$V,MATCH($A$1,'DB Country PMI'!$A$1:$V$1,),))</f>
        <v>53.1</v>
      </c>
      <c r="C110" s="14">
        <f>Table13468113[[#This Row],[PMI]]-B109</f>
        <v>-0.19999999999999574</v>
      </c>
    </row>
    <row r="111" spans="1:3" x14ac:dyDescent="0.2">
      <c r="A111" s="8">
        <v>42461</v>
      </c>
      <c r="B111" s="11">
        <f>IF(VLOOKUP(A111,'DB Country PMI'!$A:$V,MATCH($A$1,'DB Country PMI'!$A$1:$V$1,),)=0,#N/A,VLOOKUP(A111,'DB Country PMI'!$A:$V,MATCH($A$1,'DB Country PMI'!$A$1:$V$1,),))</f>
        <v>53.1</v>
      </c>
      <c r="C111" s="14">
        <f>Table13468113[[#This Row],[PMI]]-B110</f>
        <v>0</v>
      </c>
    </row>
    <row r="112" spans="1:3" x14ac:dyDescent="0.2">
      <c r="A112" s="8">
        <v>42491</v>
      </c>
      <c r="B112" s="11">
        <f>IF(VLOOKUP(A112,'DB Country PMI'!$A:$V,MATCH($A$1,'DB Country PMI'!$A$1:$V$1,),)=0,#N/A,VLOOKUP(A112,'DB Country PMI'!$A:$V,MATCH($A$1,'DB Country PMI'!$A$1:$V$1,),))</f>
        <v>53.3</v>
      </c>
      <c r="C112" s="14">
        <f>Table13468113[[#This Row],[PMI]]-B111</f>
        <v>0.19999999999999574</v>
      </c>
    </row>
    <row r="113" spans="1:3" x14ac:dyDescent="0.2">
      <c r="A113" s="8">
        <v>42522</v>
      </c>
      <c r="B113" s="11">
        <f>IF(VLOOKUP(A113,'DB Country PMI'!$A:$V,MATCH($A$1,'DB Country PMI'!$A$1:$V$1,),)=0,#N/A,VLOOKUP(A113,'DB Country PMI'!$A:$V,MATCH($A$1,'DB Country PMI'!$A$1:$V$1,),))</f>
        <v>52.8</v>
      </c>
      <c r="C113" s="14">
        <f>Table13468113[[#This Row],[PMI]]-B112</f>
        <v>-0.5</v>
      </c>
    </row>
    <row r="114" spans="1:3" x14ac:dyDescent="0.2">
      <c r="A114" s="8">
        <v>42552</v>
      </c>
      <c r="B114" s="11">
        <f>IF(VLOOKUP(A114,'DB Country PMI'!$A:$V,MATCH($A$1,'DB Country PMI'!$A$1:$V$1,),)=0,#N/A,VLOOKUP(A114,'DB Country PMI'!$A:$V,MATCH($A$1,'DB Country PMI'!$A$1:$V$1,),))</f>
        <v>52.9</v>
      </c>
      <c r="C114" s="14">
        <f>Table13468113[[#This Row],[PMI]]-B113</f>
        <v>0.10000000000000142</v>
      </c>
    </row>
    <row r="115" spans="1:3" x14ac:dyDescent="0.2">
      <c r="A115" s="8">
        <v>42583</v>
      </c>
      <c r="B115" s="11">
        <f>IF(VLOOKUP(A115,'DB Country PMI'!$A:$V,MATCH($A$1,'DB Country PMI'!$A$1:$V$1,),)=0,#N/A,VLOOKUP(A115,'DB Country PMI'!$A:$V,MATCH($A$1,'DB Country PMI'!$A$1:$V$1,),))</f>
        <v>52.8</v>
      </c>
      <c r="C115" s="14">
        <f>Table13468113[[#This Row],[PMI]]-B114</f>
        <v>-0.10000000000000142</v>
      </c>
    </row>
    <row r="116" spans="1:3" x14ac:dyDescent="0.2">
      <c r="A116" s="8">
        <v>42614</v>
      </c>
      <c r="B116" s="11">
        <f>IF(VLOOKUP(A116,'DB Country PMI'!$A:$V,MATCH($A$1,'DB Country PMI'!$A$1:$V$1,),)=0,#N/A,VLOOKUP(A116,'DB Country PMI'!$A:$V,MATCH($A$1,'DB Country PMI'!$A$1:$V$1,),))</f>
        <v>52.2</v>
      </c>
      <c r="C116" s="14">
        <f>Table13468113[[#This Row],[PMI]]-B115</f>
        <v>-0.59999999999999432</v>
      </c>
    </row>
    <row r="117" spans="1:3" x14ac:dyDescent="0.2">
      <c r="A117" s="8">
        <v>42644</v>
      </c>
      <c r="B117" s="11">
        <f>IF(VLOOKUP(A117,'DB Country PMI'!$A:$V,MATCH($A$1,'DB Country PMI'!$A$1:$V$1,),)=0,#N/A,VLOOKUP(A117,'DB Country PMI'!$A:$V,MATCH($A$1,'DB Country PMI'!$A$1:$V$1,),))</f>
        <v>52.8</v>
      </c>
      <c r="C117" s="14">
        <f>Table13468113[[#This Row],[PMI]]-B116</f>
        <v>0.59999999999999432</v>
      </c>
    </row>
    <row r="118" spans="1:3" x14ac:dyDescent="0.2">
      <c r="A118" s="8">
        <v>42675</v>
      </c>
      <c r="B118" s="11">
        <f>IF(VLOOKUP(A118,'DB Country PMI'!$A:$V,MATCH($A$1,'DB Country PMI'!$A$1:$V$1,),)=0,#N/A,VLOOKUP(A118,'DB Country PMI'!$A:$V,MATCH($A$1,'DB Country PMI'!$A$1:$V$1,),))</f>
        <v>53.8</v>
      </c>
      <c r="C118" s="14">
        <f>Table13468113[[#This Row],[PMI]]-B117</f>
        <v>1</v>
      </c>
    </row>
    <row r="119" spans="1:3" x14ac:dyDescent="0.2">
      <c r="A119" s="8">
        <v>42705</v>
      </c>
      <c r="B119" s="11">
        <f>IF(VLOOKUP(A119,'DB Country PMI'!$A:$V,MATCH($A$1,'DB Country PMI'!$A$1:$V$1,),)=0,#N/A,VLOOKUP(A119,'DB Country PMI'!$A:$V,MATCH($A$1,'DB Country PMI'!$A$1:$V$1,),))</f>
        <v>53.7</v>
      </c>
      <c r="C119" s="14">
        <f>Table13468113[[#This Row],[PMI]]-B118</f>
        <v>-9.9999999999994316E-2</v>
      </c>
    </row>
    <row r="120" spans="1:3" x14ac:dyDescent="0.2">
      <c r="A120" s="8">
        <v>42736</v>
      </c>
      <c r="B120" s="11">
        <f>IF(VLOOKUP(A120,'DB Country PMI'!$A:$V,MATCH($A$1,'DB Country PMI'!$A$1:$V$1,),)=0,#N/A,VLOOKUP(A120,'DB Country PMI'!$A:$V,MATCH($A$1,'DB Country PMI'!$A$1:$V$1,),))</f>
        <v>53.7</v>
      </c>
      <c r="C120" s="14">
        <f>Table13468113[[#This Row],[PMI]]-B119</f>
        <v>0</v>
      </c>
    </row>
    <row r="121" spans="1:3" x14ac:dyDescent="0.2">
      <c r="A121" s="8">
        <v>42767</v>
      </c>
      <c r="B121" s="11">
        <f>IF(VLOOKUP(A121,'DB Country PMI'!$A:$V,MATCH($A$1,'DB Country PMI'!$A$1:$V$1,),)=0,#N/A,VLOOKUP(A121,'DB Country PMI'!$A:$V,MATCH($A$1,'DB Country PMI'!$A$1:$V$1,),))</f>
        <v>55.5</v>
      </c>
      <c r="C121" s="14">
        <f>Table13468113[[#This Row],[PMI]]-B120</f>
        <v>1.7999999999999972</v>
      </c>
    </row>
    <row r="122" spans="1:3" x14ac:dyDescent="0.2">
      <c r="A122" s="8">
        <v>42795</v>
      </c>
      <c r="B122" s="11">
        <f>IF(VLOOKUP(A122,'DB Country PMI'!$A:$V,MATCH($A$1,'DB Country PMI'!$A$1:$V$1,),)=0,#N/A,VLOOKUP(A122,'DB Country PMI'!$A:$V,MATCH($A$1,'DB Country PMI'!$A$1:$V$1,),))</f>
        <v>56</v>
      </c>
      <c r="C122" s="14">
        <f>Table13468113[[#This Row],[PMI]]-B121</f>
        <v>0.5</v>
      </c>
    </row>
    <row r="123" spans="1:3" x14ac:dyDescent="0.2">
      <c r="A123" s="8">
        <v>42826</v>
      </c>
      <c r="B123" s="11">
        <f>IF(VLOOKUP(A123,'DB Country PMI'!$A:$V,MATCH($A$1,'DB Country PMI'!$A$1:$V$1,),)=0,#N/A,VLOOKUP(A123,'DB Country PMI'!$A:$V,MATCH($A$1,'DB Country PMI'!$A$1:$V$1,),))</f>
        <v>56.4</v>
      </c>
      <c r="C123" s="14">
        <f>Table13468113[[#This Row],[PMI]]-B122</f>
        <v>0.39999999999999858</v>
      </c>
    </row>
    <row r="124" spans="1:3" x14ac:dyDescent="0.2">
      <c r="A124" s="8">
        <v>42856</v>
      </c>
      <c r="B124" s="11">
        <f>IF(VLOOKUP(A124,'DB Country PMI'!$A:$V,MATCH($A$1,'DB Country PMI'!$A$1:$V$1,),)=0,#N/A,VLOOKUP(A124,'DB Country PMI'!$A:$V,MATCH($A$1,'DB Country PMI'!$A$1:$V$1,),))</f>
        <v>56.3</v>
      </c>
      <c r="C124" s="14">
        <f>Table13468113[[#This Row],[PMI]]-B123</f>
        <v>-0.10000000000000142</v>
      </c>
    </row>
    <row r="125" spans="1:3" x14ac:dyDescent="0.2">
      <c r="A125" s="8">
        <v>42887</v>
      </c>
      <c r="B125" s="11">
        <f>IF(VLOOKUP(A125,'DB Country PMI'!$A:$V,MATCH($A$1,'DB Country PMI'!$A$1:$V$1,),)=0,#N/A,VLOOKUP(A125,'DB Country PMI'!$A:$V,MATCH($A$1,'DB Country PMI'!$A$1:$V$1,),))</f>
        <v>55.4</v>
      </c>
      <c r="C125" s="14">
        <f>Table13468113[[#This Row],[PMI]]-B124</f>
        <v>-0.89999999999999858</v>
      </c>
    </row>
    <row r="126" spans="1:3" x14ac:dyDescent="0.2">
      <c r="A126" s="8">
        <v>42917</v>
      </c>
      <c r="B126" s="11">
        <f>IF(VLOOKUP(A126,'DB Country PMI'!$A:$V,MATCH($A$1,'DB Country PMI'!$A$1:$V$1,),)=0,#N/A,VLOOKUP(A126,'DB Country PMI'!$A:$V,MATCH($A$1,'DB Country PMI'!$A$1:$V$1,),))</f>
        <v>55.4</v>
      </c>
      <c r="C126" s="14">
        <f>Table13468113[[#This Row],[PMI]]-B125</f>
        <v>0</v>
      </c>
    </row>
    <row r="127" spans="1:3" x14ac:dyDescent="0.2">
      <c r="A127" s="8">
        <v>42948</v>
      </c>
      <c r="B127" s="11">
        <f>IF(VLOOKUP(A127,'DB Country PMI'!$A:$V,MATCH($A$1,'DB Country PMI'!$A$1:$V$1,),)=0,#N/A,VLOOKUP(A127,'DB Country PMI'!$A:$V,MATCH($A$1,'DB Country PMI'!$A$1:$V$1,),))</f>
        <v>54.7</v>
      </c>
      <c r="C127" s="14">
        <f>Table13468113[[#This Row],[PMI]]-B126</f>
        <v>-0.69999999999999574</v>
      </c>
    </row>
    <row r="128" spans="1:3" x14ac:dyDescent="0.2">
      <c r="A128" s="8">
        <v>42979</v>
      </c>
      <c r="B128" s="11">
        <f>IF(VLOOKUP(A128,'DB Country PMI'!$A:$V,MATCH($A$1,'DB Country PMI'!$A$1:$V$1,),)=0,#N/A,VLOOKUP(A128,'DB Country PMI'!$A:$V,MATCH($A$1,'DB Country PMI'!$A$1:$V$1,),))</f>
        <v>55.8</v>
      </c>
      <c r="C128" s="14">
        <f>Table13468113[[#This Row],[PMI]]-B127</f>
        <v>1.0999999999999943</v>
      </c>
    </row>
    <row r="129" spans="1:3" x14ac:dyDescent="0.2">
      <c r="A129" s="8">
        <v>43009</v>
      </c>
      <c r="B129" s="11">
        <f>IF(VLOOKUP(A129,'DB Country PMI'!$A:$V,MATCH($A$1,'DB Country PMI'!$A$1:$V$1,),)=0,#N/A,VLOOKUP(A129,'DB Country PMI'!$A:$V,MATCH($A$1,'DB Country PMI'!$A$1:$V$1,),))</f>
        <v>55</v>
      </c>
      <c r="C129" s="14">
        <f>Table13468113[[#This Row],[PMI]]-B128</f>
        <v>-0.79999999999999716</v>
      </c>
    </row>
    <row r="130" spans="1:3" x14ac:dyDescent="0.2">
      <c r="A130" s="8">
        <v>43040</v>
      </c>
      <c r="B130" s="11">
        <f>IF(VLOOKUP(A130,'DB Country PMI'!$A:$V,MATCH($A$1,'DB Country PMI'!$A$1:$V$1,),)=0,#N/A,VLOOKUP(A130,'DB Country PMI'!$A:$V,MATCH($A$1,'DB Country PMI'!$A$1:$V$1,),))</f>
        <v>56.2</v>
      </c>
      <c r="C130" s="14">
        <f>Table13468113[[#This Row],[PMI]]-B129</f>
        <v>1.2000000000000028</v>
      </c>
    </row>
    <row r="131" spans="1:3" x14ac:dyDescent="0.2">
      <c r="A131" s="8">
        <v>43070</v>
      </c>
      <c r="B131" s="11">
        <f>IF(VLOOKUP(A131,'DB Country PMI'!$A:$V,MATCH($A$1,'DB Country PMI'!$A$1:$V$1,),)=0,#N/A,VLOOKUP(A131,'DB Country PMI'!$A:$V,MATCH($A$1,'DB Country PMI'!$A$1:$V$1,),))</f>
        <v>56.6</v>
      </c>
      <c r="C131" s="14">
        <f>Table13468113[[#This Row],[PMI]]-B130</f>
        <v>0.39999999999999858</v>
      </c>
    </row>
    <row r="132" spans="1:3" x14ac:dyDescent="0.2">
      <c r="A132" s="8">
        <v>43101</v>
      </c>
      <c r="B132" s="11">
        <f>IF(VLOOKUP(A132,'DB Country PMI'!$A:$V,MATCH($A$1,'DB Country PMI'!$A$1:$V$1,),)=0,#N/A,VLOOKUP(A132,'DB Country PMI'!$A:$V,MATCH($A$1,'DB Country PMI'!$A$1:$V$1,),))</f>
        <v>58</v>
      </c>
      <c r="C132" s="14">
        <f>Table13468113[[#This Row],[PMI]]-B131</f>
        <v>1.3999999999999986</v>
      </c>
    </row>
    <row r="133" spans="1:3" x14ac:dyDescent="0.2">
      <c r="A133" s="8">
        <v>43132</v>
      </c>
      <c r="B133" s="11">
        <f>IF(VLOOKUP(A133,'DB Country PMI'!$A:$V,MATCH($A$1,'DB Country PMI'!$A$1:$V$1,),)=0,#N/A,VLOOKUP(A133,'DB Country PMI'!$A:$V,MATCH($A$1,'DB Country PMI'!$A$1:$V$1,),))</f>
        <v>56.2</v>
      </c>
      <c r="C133" s="14">
        <f>Table13468113[[#This Row],[PMI]]-B132</f>
        <v>-1.7999999999999972</v>
      </c>
    </row>
    <row r="134" spans="1:3" x14ac:dyDescent="0.2">
      <c r="A134" s="8">
        <v>43160</v>
      </c>
      <c r="B134" s="11">
        <f>IF(VLOOKUP(A134,'DB Country PMI'!$A:$V,MATCH($A$1,'DB Country PMI'!$A$1:$V$1,),)=0,#N/A,VLOOKUP(A134,'DB Country PMI'!$A:$V,MATCH($A$1,'DB Country PMI'!$A$1:$V$1,),))</f>
        <v>54.9</v>
      </c>
      <c r="C134" s="14">
        <f>Table13468113[[#This Row],[PMI]]-B133</f>
        <v>-1.3000000000000043</v>
      </c>
    </row>
    <row r="135" spans="1:3" x14ac:dyDescent="0.2">
      <c r="A135" s="8">
        <v>43191</v>
      </c>
      <c r="B135" s="11">
        <f>IF(VLOOKUP(A135,'DB Country PMI'!$A:$V,MATCH($A$1,'DB Country PMI'!$A$1:$V$1,),)=0,#N/A,VLOOKUP(A135,'DB Country PMI'!$A:$V,MATCH($A$1,'DB Country PMI'!$A$1:$V$1,),))</f>
        <v>54.7</v>
      </c>
      <c r="C135" s="14">
        <f>Table13468113[[#This Row],[PMI]]-B134</f>
        <v>-0.19999999999999574</v>
      </c>
    </row>
    <row r="136" spans="1:3" x14ac:dyDescent="0.2">
      <c r="A136" s="8">
        <v>43221</v>
      </c>
      <c r="B136" s="11">
        <f>IF(VLOOKUP(A136,'DB Country PMI'!$A:$V,MATCH($A$1,'DB Country PMI'!$A$1:$V$1,),)=0,#N/A,VLOOKUP(A136,'DB Country PMI'!$A:$V,MATCH($A$1,'DB Country PMI'!$A$1:$V$1,),))</f>
        <v>53.8</v>
      </c>
      <c r="C136" s="14">
        <f>Table13468113[[#This Row],[PMI]]-B135</f>
        <v>-0.90000000000000568</v>
      </c>
    </row>
    <row r="137" spans="1:3" x14ac:dyDescent="0.2">
      <c r="A137" s="8">
        <v>43252</v>
      </c>
      <c r="B137" s="11">
        <f>IF(VLOOKUP(A137,'DB Country PMI'!$A:$V,MATCH($A$1,'DB Country PMI'!$A$1:$V$1,),)=0,#N/A,VLOOKUP(A137,'DB Country PMI'!$A:$V,MATCH($A$1,'DB Country PMI'!$A$1:$V$1,),))</f>
        <v>55.2</v>
      </c>
      <c r="C137" s="14">
        <f>Table13468113[[#This Row],[PMI]]-B136</f>
        <v>1.4000000000000057</v>
      </c>
    </row>
    <row r="138" spans="1:3" x14ac:dyDescent="0.2">
      <c r="A138" s="8">
        <v>43282</v>
      </c>
      <c r="B138" s="11">
        <f>IF(VLOOKUP(A138,'DB Country PMI'!$A:$V,MATCH($A$1,'DB Country PMI'!$A$1:$V$1,),)=0,#N/A,VLOOKUP(A138,'DB Country PMI'!$A:$V,MATCH($A$1,'DB Country PMI'!$A$1:$V$1,),))</f>
        <v>54.2</v>
      </c>
      <c r="C138" s="14">
        <f>Table13468113[[#This Row],[PMI]]-B137</f>
        <v>-1</v>
      </c>
    </row>
    <row r="139" spans="1:3" x14ac:dyDescent="0.2">
      <c r="A139" s="8">
        <v>43313</v>
      </c>
      <c r="B139" s="11">
        <f>IF(VLOOKUP(A139,'DB Country PMI'!$A:$V,MATCH($A$1,'DB Country PMI'!$A$1:$V$1,),)=0,#N/A,VLOOKUP(A139,'DB Country PMI'!$A:$V,MATCH($A$1,'DB Country PMI'!$A$1:$V$1,),))</f>
        <v>54.4</v>
      </c>
      <c r="C139" s="14">
        <f>Table13468113[[#This Row],[PMI]]-B138</f>
        <v>0.19999999999999574</v>
      </c>
    </row>
    <row r="140" spans="1:3" x14ac:dyDescent="0.2">
      <c r="A140" s="8">
        <v>43344</v>
      </c>
      <c r="B140" s="11">
        <f>IF(VLOOKUP(A140,'DB Country PMI'!$A:$V,MATCH($A$1,'DB Country PMI'!$A$1:$V$1,),)=0,#N/A,VLOOKUP(A140,'DB Country PMI'!$A:$V,MATCH($A$1,'DB Country PMI'!$A$1:$V$1,),))</f>
        <v>54.7</v>
      </c>
      <c r="C140" s="14">
        <f>Table13468113[[#This Row],[PMI]]-B139</f>
        <v>0.30000000000000426</v>
      </c>
    </row>
    <row r="141" spans="1:3" x14ac:dyDescent="0.2">
      <c r="A141" s="8">
        <v>43374</v>
      </c>
      <c r="B141" s="11">
        <f>IF(VLOOKUP(A141,'DB Country PMI'!$A:$V,MATCH($A$1,'DB Country PMI'!$A$1:$V$1,),)=0,#N/A,VLOOKUP(A141,'DB Country PMI'!$A:$V,MATCH($A$1,'DB Country PMI'!$A$1:$V$1,),))</f>
        <v>53.7</v>
      </c>
      <c r="C141" s="14">
        <f>Table13468113[[#This Row],[PMI]]-B140</f>
        <v>-1</v>
      </c>
    </row>
    <row r="142" spans="1:3" x14ac:dyDescent="0.2">
      <c r="A142" s="8">
        <v>43405</v>
      </c>
      <c r="B142" s="11">
        <f>IF(VLOOKUP(A142,'DB Country PMI'!$A:$V,MATCH($A$1,'DB Country PMI'!$A$1:$V$1,),)=0,#N/A,VLOOKUP(A142,'DB Country PMI'!$A:$V,MATCH($A$1,'DB Country PMI'!$A$1:$V$1,),))</f>
        <v>53.4</v>
      </c>
      <c r="C142" s="14">
        <f>Table13468113[[#This Row],[PMI]]-B141</f>
        <v>-0.30000000000000426</v>
      </c>
    </row>
    <row r="143" spans="1:3" x14ac:dyDescent="0.2">
      <c r="A143" s="8">
        <v>43435</v>
      </c>
      <c r="B143" s="11">
        <f>IF(VLOOKUP(A143,'DB Country PMI'!$A:$V,MATCH($A$1,'DB Country PMI'!$A$1:$V$1,),)=0,#N/A,VLOOKUP(A143,'DB Country PMI'!$A:$V,MATCH($A$1,'DB Country PMI'!$A$1:$V$1,),))</f>
        <v>51.2</v>
      </c>
      <c r="C143" s="14">
        <f>Table13468113[[#This Row],[PMI]]-B142</f>
        <v>-2.1999999999999957</v>
      </c>
    </row>
    <row r="144" spans="1:3" x14ac:dyDescent="0.2">
      <c r="A144" s="8">
        <v>43466</v>
      </c>
      <c r="B144" s="11">
        <f>IF(VLOOKUP(A144,'DB Country PMI'!$A:$V,MATCH($A$1,'DB Country PMI'!$A$1:$V$1,),)=0,#N/A,VLOOKUP(A144,'DB Country PMI'!$A:$V,MATCH($A$1,'DB Country PMI'!$A$1:$V$1,),))</f>
        <v>51.2</v>
      </c>
      <c r="C144" s="14">
        <f>Table13468113[[#This Row],[PMI]]-B143</f>
        <v>0</v>
      </c>
    </row>
    <row r="145" spans="1:3" x14ac:dyDescent="0.2">
      <c r="A145" s="8">
        <v>43497</v>
      </c>
      <c r="B145" s="11">
        <f>IF(VLOOKUP(A145,'DB Country PMI'!$A:$V,MATCH($A$1,'DB Country PMI'!$A$1:$V$1,),)=0,#N/A,VLOOKUP(A145,'DB Country PMI'!$A:$V,MATCH($A$1,'DB Country PMI'!$A$1:$V$1,),))</f>
        <v>52.8</v>
      </c>
      <c r="C145" s="14">
        <f>Table13468113[[#This Row],[PMI]]-B144</f>
        <v>1.5999999999999943</v>
      </c>
    </row>
    <row r="146" spans="1:3" x14ac:dyDescent="0.2">
      <c r="A146" s="8">
        <v>43525</v>
      </c>
      <c r="B146" s="11">
        <f>IF(VLOOKUP(A146,'DB Country PMI'!$A:$V,MATCH($A$1,'DB Country PMI'!$A$1:$V$1,),)=0,#N/A,VLOOKUP(A146,'DB Country PMI'!$A:$V,MATCH($A$1,'DB Country PMI'!$A$1:$V$1,),))</f>
        <v>53.3</v>
      </c>
      <c r="C146" s="14">
        <f>Table13468113[[#This Row],[PMI]]-B145</f>
        <v>0.5</v>
      </c>
    </row>
    <row r="147" spans="1:3" x14ac:dyDescent="0.2">
      <c r="A147" s="8">
        <v>43556</v>
      </c>
      <c r="B147" s="11">
        <f>IF(VLOOKUP(A147,'DB Country PMI'!$A:$V,MATCH($A$1,'DB Country PMI'!$A$1:$V$1,),)=0,#N/A,VLOOKUP(A147,'DB Country PMI'!$A:$V,MATCH($A$1,'DB Country PMI'!$A$1:$V$1,),))</f>
        <v>52.8</v>
      </c>
      <c r="C147" s="14">
        <f>Table13468113[[#This Row],[PMI]]-B146</f>
        <v>-0.5</v>
      </c>
    </row>
    <row r="148" spans="1:3" x14ac:dyDescent="0.2">
      <c r="A148" s="8">
        <v>43586</v>
      </c>
      <c r="B148" s="11">
        <f>IF(VLOOKUP(A148,'DB Country PMI'!$A:$V,MATCH($A$1,'DB Country PMI'!$A$1:$V$1,),)=0,#N/A,VLOOKUP(A148,'DB Country PMI'!$A:$V,MATCH($A$1,'DB Country PMI'!$A$1:$V$1,),))</f>
        <v>52.9</v>
      </c>
      <c r="C148" s="14">
        <f>Table13468113[[#This Row],[PMI]]-B147</f>
        <v>0.10000000000000142</v>
      </c>
    </row>
    <row r="149" spans="1:3" x14ac:dyDescent="0.2">
      <c r="A149" s="8">
        <v>43617</v>
      </c>
      <c r="B149" s="11">
        <f>IF(VLOOKUP(A149,'DB Country PMI'!$A:$V,MATCH($A$1,'DB Country PMI'!$A$1:$V$1,),)=0,#N/A,VLOOKUP(A149,'DB Country PMI'!$A:$V,MATCH($A$1,'DB Country PMI'!$A$1:$V$1,),))</f>
        <v>53.6</v>
      </c>
      <c r="C149" s="14">
        <f>Table13468113[[#This Row],[PMI]]-B148</f>
        <v>0.70000000000000284</v>
      </c>
    </row>
    <row r="150" spans="1:3" x14ac:dyDescent="0.2">
      <c r="A150" s="8">
        <v>43647</v>
      </c>
      <c r="B150" s="11">
        <f>IF(VLOOKUP(A150,'DB Country PMI'!$A:$V,MATCH($A$1,'DB Country PMI'!$A$1:$V$1,),)=0,#N/A,VLOOKUP(A150,'DB Country PMI'!$A:$V,MATCH($A$1,'DB Country PMI'!$A$1:$V$1,),))</f>
        <v>53.2</v>
      </c>
      <c r="C150" s="14">
        <f>Table13468113[[#This Row],[PMI]]-B149</f>
        <v>-0.39999999999999858</v>
      </c>
    </row>
    <row r="151" spans="1:3" x14ac:dyDescent="0.2">
      <c r="A151" s="8">
        <v>43678</v>
      </c>
      <c r="B151" s="11">
        <f>IF(VLOOKUP(A151,'DB Country PMI'!$A:$V,MATCH($A$1,'DB Country PMI'!$A$1:$V$1,),)=0,#N/A,VLOOKUP(A151,'DB Country PMI'!$A:$V,MATCH($A$1,'DB Country PMI'!$A$1:$V$1,),))</f>
        <v>53.5</v>
      </c>
      <c r="C151" s="14">
        <f>Table13468113[[#This Row],[PMI]]-B150</f>
        <v>0.29999999999999716</v>
      </c>
    </row>
    <row r="152" spans="1:3" x14ac:dyDescent="0.2">
      <c r="A152" s="8">
        <v>43709</v>
      </c>
      <c r="B152" s="11">
        <f>IF(VLOOKUP(A152,'DB Country PMI'!$A:$V,MATCH($A$1,'DB Country PMI'!$A$1:$V$1,),)=0,#N/A,VLOOKUP(A152,'DB Country PMI'!$A:$V,MATCH($A$1,'DB Country PMI'!$A$1:$V$1,),))</f>
        <v>51.6</v>
      </c>
      <c r="C152" s="14">
        <f>Table13468113[[#This Row],[PMI]]-B151</f>
        <v>-1.8999999999999986</v>
      </c>
    </row>
    <row r="153" spans="1:3" x14ac:dyDescent="0.2">
      <c r="A153" s="8">
        <v>43739</v>
      </c>
      <c r="B153" s="11">
        <f>IF(VLOOKUP(A153,'DB Country PMI'!$A:$V,MATCH($A$1,'DB Country PMI'!$A$1:$V$1,),)=0,#N/A,VLOOKUP(A153,'DB Country PMI'!$A:$V,MATCH($A$1,'DB Country PMI'!$A$1:$V$1,),))</f>
        <v>52.2</v>
      </c>
      <c r="C153" s="14">
        <f>Table13468113[[#This Row],[PMI]]-B152</f>
        <v>0.60000000000000142</v>
      </c>
    </row>
    <row r="154" spans="1:3" x14ac:dyDescent="0.2">
      <c r="A154" s="8">
        <v>43770</v>
      </c>
      <c r="B154" s="11">
        <f>IF(VLOOKUP(A154,'DB Country PMI'!$A:$V,MATCH($A$1,'DB Country PMI'!$A$1:$V$1,),)=0,#N/A,VLOOKUP(A154,'DB Country PMI'!$A:$V,MATCH($A$1,'DB Country PMI'!$A$1:$V$1,),))</f>
        <v>51.9</v>
      </c>
      <c r="C154" s="14">
        <f>Table13468113[[#This Row],[PMI]]-B153</f>
        <v>-0.30000000000000426</v>
      </c>
    </row>
    <row r="155" spans="1:3" x14ac:dyDescent="0.2">
      <c r="A155" s="8">
        <v>43800</v>
      </c>
      <c r="B155" s="11">
        <f>IF(VLOOKUP(A155,'DB Country PMI'!$A:$V,MATCH($A$1,'DB Country PMI'!$A$1:$V$1,),)=0,#N/A,VLOOKUP(A155,'DB Country PMI'!$A:$V,MATCH($A$1,'DB Country PMI'!$A$1:$V$1,),))</f>
        <v>52.8</v>
      </c>
      <c r="C155" s="14">
        <f>Table13468113[[#This Row],[PMI]]-B154</f>
        <v>0.89999999999999858</v>
      </c>
    </row>
    <row r="156" spans="1:3" x14ac:dyDescent="0.2">
      <c r="A156" s="8">
        <v>43831</v>
      </c>
      <c r="B156" s="11">
        <f>IF(VLOOKUP(A156,'DB Country PMI'!$A:$V,MATCH($A$1,'DB Country PMI'!$A$1:$V$1,),)=0,#N/A,VLOOKUP(A156,'DB Country PMI'!$A:$V,MATCH($A$1,'DB Country PMI'!$A$1:$V$1,),))</f>
        <v>52.5</v>
      </c>
      <c r="C156" s="14">
        <f>Table13468113[[#This Row],[PMI]]-B155</f>
        <v>-0.29999999999999716</v>
      </c>
    </row>
    <row r="157" spans="1:3" x14ac:dyDescent="0.2">
      <c r="A157" s="8">
        <v>43862</v>
      </c>
      <c r="B157" s="11">
        <f>IF(VLOOKUP(A157,'DB Country PMI'!$A:$V,MATCH($A$1,'DB Country PMI'!$A$1:$V$1,),)=0,#N/A,VLOOKUP(A157,'DB Country PMI'!$A:$V,MATCH($A$1,'DB Country PMI'!$A$1:$V$1,),))</f>
        <v>52.6</v>
      </c>
      <c r="C157" s="14">
        <f>Table13468113[[#This Row],[PMI]]-B156</f>
        <v>0.10000000000000142</v>
      </c>
    </row>
    <row r="158" spans="1:3" x14ac:dyDescent="0.2">
      <c r="A158" s="8">
        <v>43891</v>
      </c>
      <c r="B158" s="11">
        <f>IF(VLOOKUP(A158,'DB Country PMI'!$A:$V,MATCH($A$1,'DB Country PMI'!$A$1:$V$1,),)=0,#N/A,VLOOKUP(A158,'DB Country PMI'!$A:$V,MATCH($A$1,'DB Country PMI'!$A$1:$V$1,),))</f>
        <v>26.4</v>
      </c>
      <c r="C158" s="14">
        <f>Table13468113[[#This Row],[PMI]]-B157</f>
        <v>-26.200000000000003</v>
      </c>
    </row>
    <row r="159" spans="1:3" x14ac:dyDescent="0.2">
      <c r="A159" s="8">
        <v>43922</v>
      </c>
      <c r="B159" s="11">
        <f>IF(VLOOKUP(A159,'DB Country PMI'!$A:$V,MATCH($A$1,'DB Country PMI'!$A$1:$V$1,),)=0,#N/A,VLOOKUP(A159,'DB Country PMI'!$A:$V,MATCH($A$1,'DB Country PMI'!$A$1:$V$1,),))</f>
        <v>12</v>
      </c>
      <c r="C159" s="14">
        <f>Table13468113[[#This Row],[PMI]]-B158</f>
        <v>-14.399999999999999</v>
      </c>
    </row>
    <row r="160" spans="1:3" x14ac:dyDescent="0.2">
      <c r="A160" s="8">
        <v>43952</v>
      </c>
      <c r="B160" s="11">
        <f>IF(VLOOKUP(A160,'DB Country PMI'!$A:$V,MATCH($A$1,'DB Country PMI'!$A$1:$V$1,),)=0,#N/A,VLOOKUP(A160,'DB Country PMI'!$A:$V,MATCH($A$1,'DB Country PMI'!$A$1:$V$1,),))</f>
        <v>30.5</v>
      </c>
      <c r="C160" s="14">
        <f>Table13468113[[#This Row],[PMI]]-B159</f>
        <v>18.5</v>
      </c>
    </row>
    <row r="161" spans="1:3" x14ac:dyDescent="0.2">
      <c r="A161" s="8">
        <v>43983</v>
      </c>
      <c r="B161" s="11">
        <f>IF(VLOOKUP(A161,'DB Country PMI'!$A:$V,MATCH($A$1,'DB Country PMI'!$A$1:$V$1,),)=0,#N/A,VLOOKUP(A161,'DB Country PMI'!$A:$V,MATCH($A$1,'DB Country PMI'!$A$1:$V$1,),))</f>
        <v>48.3</v>
      </c>
      <c r="C161" s="14">
        <f>Table13468113[[#This Row],[PMI]]-B160</f>
        <v>17.799999999999997</v>
      </c>
    </row>
    <row r="162" spans="1:3" x14ac:dyDescent="0.2">
      <c r="A162" s="8">
        <v>44013</v>
      </c>
      <c r="B162" s="11">
        <f>IF(VLOOKUP(A162,'DB Country PMI'!$A:$V,MATCH($A$1,'DB Country PMI'!$A$1:$V$1,),)=0,#N/A,VLOOKUP(A162,'DB Country PMI'!$A:$V,MATCH($A$1,'DB Country PMI'!$A$1:$V$1,),))</f>
        <v>54.7</v>
      </c>
      <c r="C162" s="14">
        <f>Table13468113[[#This Row],[PMI]]-B161</f>
        <v>6.4000000000000057</v>
      </c>
    </row>
    <row r="163" spans="1:3" x14ac:dyDescent="0.2">
      <c r="A163" s="8">
        <v>44044</v>
      </c>
      <c r="B163" s="11">
        <f>IF(VLOOKUP(A163,'DB Country PMI'!$A:$V,MATCH($A$1,'DB Country PMI'!$A$1:$V$1,),)=0,#N/A,VLOOKUP(A163,'DB Country PMI'!$A:$V,MATCH($A$1,'DB Country PMI'!$A$1:$V$1,),))</f>
        <v>50.5</v>
      </c>
      <c r="C163" s="14">
        <f>Table13468113[[#This Row],[PMI]]-B162</f>
        <v>-4.2000000000000028</v>
      </c>
    </row>
    <row r="164" spans="1:3" x14ac:dyDescent="0.2">
      <c r="A164" s="8">
        <v>44075</v>
      </c>
      <c r="B164" s="11">
        <f>IF(VLOOKUP(A164,'DB Country PMI'!$A:$V,MATCH($A$1,'DB Country PMI'!$A$1:$V$1,),)=0,#N/A,VLOOKUP(A164,'DB Country PMI'!$A:$V,MATCH($A$1,'DB Country PMI'!$A$1:$V$1,),))</f>
        <v>48</v>
      </c>
      <c r="C164" s="14">
        <f>Table13468113[[#This Row],[PMI]]-B163</f>
        <v>-2.5</v>
      </c>
    </row>
    <row r="165" spans="1:3" x14ac:dyDescent="0.2">
      <c r="A165" s="8">
        <v>44105</v>
      </c>
      <c r="B165" s="11">
        <f>IF(VLOOKUP(A165,'DB Country PMI'!$A:$V,MATCH($A$1,'DB Country PMI'!$A$1:$V$1,),)=0,#N/A,VLOOKUP(A165,'DB Country PMI'!$A:$V,MATCH($A$1,'DB Country PMI'!$A$1:$V$1,),))</f>
        <v>46.9</v>
      </c>
      <c r="C165" s="14">
        <f>Table13468113[[#This Row],[PMI]]-B164</f>
        <v>-1.1000000000000014</v>
      </c>
    </row>
    <row r="166" spans="1:3" x14ac:dyDescent="0.2">
      <c r="A166" s="8">
        <v>44136</v>
      </c>
      <c r="B166" s="11">
        <f>IF(VLOOKUP(A166,'DB Country PMI'!$A:$V,MATCH($A$1,'DB Country PMI'!$A$1:$V$1,),)=0,#N/A,VLOOKUP(A166,'DB Country PMI'!$A:$V,MATCH($A$1,'DB Country PMI'!$A$1:$V$1,),))</f>
        <v>41.7</v>
      </c>
      <c r="C166" s="14">
        <f>Table13468113[[#This Row],[PMI]]-B165</f>
        <v>-5.1999999999999957</v>
      </c>
    </row>
    <row r="167" spans="1:3" x14ac:dyDescent="0.2">
      <c r="A167" s="8">
        <v>44166</v>
      </c>
      <c r="B167" s="11">
        <f>IF(VLOOKUP(A167,'DB Country PMI'!$A:$V,MATCH($A$1,'DB Country PMI'!$A$1:$V$1,),)=0,#N/A,VLOOKUP(A167,'DB Country PMI'!$A:$V,MATCH($A$1,'DB Country PMI'!$A$1:$V$1,),))</f>
        <v>46.4</v>
      </c>
      <c r="C167" s="14">
        <f>Table13468113[[#This Row],[PMI]]-B166</f>
        <v>4.6999999999999957</v>
      </c>
    </row>
    <row r="168" spans="1:3" x14ac:dyDescent="0.2">
      <c r="A168" s="8">
        <v>44197</v>
      </c>
      <c r="B168" s="11">
        <f>IF(VLOOKUP(A168,'DB Country PMI'!$A:$V,MATCH($A$1,'DB Country PMI'!$A$1:$V$1,),)=0,#N/A,VLOOKUP(A168,'DB Country PMI'!$A:$V,MATCH($A$1,'DB Country PMI'!$A$1:$V$1,),))</f>
        <v>45.4</v>
      </c>
      <c r="C168" s="14">
        <f>Table13468113[[#This Row],[PMI]]-B167</f>
        <v>-1</v>
      </c>
    </row>
    <row r="169" spans="1:3" x14ac:dyDescent="0.2">
      <c r="A169" s="8">
        <v>44228</v>
      </c>
      <c r="B169" s="11">
        <f>IF(VLOOKUP(A169,'DB Country PMI'!$A:$V,MATCH($A$1,'DB Country PMI'!$A$1:$V$1,),)=0,#N/A,VLOOKUP(A169,'DB Country PMI'!$A:$V,MATCH($A$1,'DB Country PMI'!$A$1:$V$1,),))</f>
        <v>45.7</v>
      </c>
      <c r="C169" s="14">
        <f>Table13468113[[#This Row],[PMI]]-B168</f>
        <v>0.30000000000000426</v>
      </c>
    </row>
    <row r="170" spans="1:3" x14ac:dyDescent="0.2">
      <c r="A170" s="8">
        <v>44256</v>
      </c>
      <c r="B170" s="11">
        <f>IF(VLOOKUP(A170,'DB Country PMI'!$A:$V,MATCH($A$1,'DB Country PMI'!$A$1:$V$1,),)=0,#N/A,VLOOKUP(A170,'DB Country PMI'!$A:$V,MATCH($A$1,'DB Country PMI'!$A$1:$V$1,),))</f>
        <v>49.6</v>
      </c>
      <c r="C170" s="14">
        <f>Table13468113[[#This Row],[PMI]]-B169</f>
        <v>3.8999999999999986</v>
      </c>
    </row>
    <row r="171" spans="1:3" x14ac:dyDescent="0.2">
      <c r="A171" s="8">
        <v>44287</v>
      </c>
      <c r="B171" s="11">
        <f>IF(VLOOKUP(A171,'DB Country PMI'!$A:$V,MATCH($A$1,'DB Country PMI'!$A$1:$V$1,),)=0,#N/A,VLOOKUP(A171,'DB Country PMI'!$A:$V,MATCH($A$1,'DB Country PMI'!$A$1:$V$1,),))</f>
        <v>50.5</v>
      </c>
      <c r="C171" s="14">
        <f>Table13468113[[#This Row],[PMI]]-B170</f>
        <v>0.89999999999999858</v>
      </c>
    </row>
    <row r="172" spans="1:3" x14ac:dyDescent="0.2">
      <c r="A172" s="8">
        <v>44317</v>
      </c>
      <c r="B172" s="11">
        <f>IF(VLOOKUP(A172,'DB Country PMI'!$A:$V,MATCH($A$1,'DB Country PMI'!$A$1:$V$1,),)=0,#N/A,VLOOKUP(A172,'DB Country PMI'!$A:$V,MATCH($A$1,'DB Country PMI'!$A$1:$V$1,),))</f>
        <v>55.2</v>
      </c>
      <c r="C172" s="14">
        <f>Table13468113[[#This Row],[PMI]]-B171</f>
        <v>4.7000000000000028</v>
      </c>
    </row>
    <row r="173" spans="1:3" x14ac:dyDescent="0.2">
      <c r="A173" s="8">
        <v>44348</v>
      </c>
      <c r="B173" s="11">
        <f>IF(VLOOKUP(A173,'DB Country PMI'!$A:$V,MATCH($A$1,'DB Country PMI'!$A$1:$V$1,),)=0,#N/A,VLOOKUP(A173,'DB Country PMI'!$A:$V,MATCH($A$1,'DB Country PMI'!$A$1:$V$1,),))</f>
        <v>58.3</v>
      </c>
      <c r="C173" s="14">
        <f>Table13468113[[#This Row],[PMI]]-B172</f>
        <v>3.0999999999999943</v>
      </c>
    </row>
    <row r="174" spans="1:3" x14ac:dyDescent="0.2">
      <c r="A174" s="8">
        <v>44378</v>
      </c>
      <c r="B174" s="11">
        <f>IF(VLOOKUP(A174,'DB Country PMI'!$A:$V,MATCH($A$1,'DB Country PMI'!$A$1:$V$1,),)=0,#N/A,VLOOKUP(A174,'DB Country PMI'!$A:$V,MATCH($A$1,'DB Country PMI'!$A$1:$V$1,),))</f>
        <v>59.8</v>
      </c>
      <c r="C174" s="14">
        <f>Table13468113[[#This Row],[PMI]]-B173</f>
        <v>1.5</v>
      </c>
    </row>
    <row r="175" spans="1:3" x14ac:dyDescent="0.2">
      <c r="A175" s="8">
        <v>44409</v>
      </c>
      <c r="B175" s="11">
        <f>IF(VLOOKUP(A175,'DB Country PMI'!$A:$V,MATCH($A$1,'DB Country PMI'!$A$1:$V$1,),)=0,#N/A,VLOOKUP(A175,'DB Country PMI'!$A:$V,MATCH($A$1,'DB Country PMI'!$A$1:$V$1,),))</f>
        <v>59</v>
      </c>
      <c r="C175" s="14">
        <f>Table13468113[[#This Row],[PMI]]-B174</f>
        <v>-0.79999999999999716</v>
      </c>
    </row>
    <row r="176" spans="1:3" x14ac:dyDescent="0.2">
      <c r="A176" s="8">
        <v>44440</v>
      </c>
      <c r="B176" s="11">
        <f>IF(VLOOKUP(A176,'DB Country PMI'!$A:$V,MATCH($A$1,'DB Country PMI'!$A$1:$V$1,),)=0,#N/A,VLOOKUP(A176,'DB Country PMI'!$A:$V,MATCH($A$1,'DB Country PMI'!$A$1:$V$1,),))</f>
        <v>56.4</v>
      </c>
      <c r="C176" s="14">
        <f>Table13468113[[#This Row],[PMI]]-B175</f>
        <v>-2.6000000000000014</v>
      </c>
    </row>
    <row r="177" spans="1:3" x14ac:dyDescent="0.2">
      <c r="A177" s="8">
        <v>44470</v>
      </c>
      <c r="B177" s="11">
        <f>IF(VLOOKUP(A177,'DB Country PMI'!$A:$V,MATCH($A$1,'DB Country PMI'!$A$1:$V$1,),)=0,#N/A,VLOOKUP(A177,'DB Country PMI'!$A:$V,MATCH($A$1,'DB Country PMI'!$A$1:$V$1,),))</f>
        <v>54.6</v>
      </c>
      <c r="C177" s="14">
        <f>Table13468113[[#This Row],[PMI]]-B176</f>
        <v>-1.7999999999999972</v>
      </c>
    </row>
    <row r="178" spans="1:3" x14ac:dyDescent="0.2">
      <c r="A178" s="8">
        <v>44501</v>
      </c>
      <c r="B178" s="11">
        <f>IF(VLOOKUP(A178,'DB Country PMI'!$A:$V,MATCH($A$1,'DB Country PMI'!$A$1:$V$1,),)=0,#N/A,VLOOKUP(A178,'DB Country PMI'!$A:$V,MATCH($A$1,'DB Country PMI'!$A$1:$V$1,),))</f>
        <v>55.9</v>
      </c>
      <c r="C178" s="14">
        <f>Table13468113[[#This Row],[PMI]]-B177</f>
        <v>1.2999999999999972</v>
      </c>
    </row>
    <row r="179" spans="1:3" x14ac:dyDescent="0.2">
      <c r="A179" s="8">
        <v>44531</v>
      </c>
      <c r="B179" s="11">
        <f>IF(VLOOKUP(A179,'DB Country PMI'!$A:$V,MATCH($A$1,'DB Country PMI'!$A$1:$V$1,),)=0,#N/A,VLOOKUP(A179,'DB Country PMI'!$A:$V,MATCH($A$1,'DB Country PMI'!$A$1:$V$1,),))</f>
        <v>53.1</v>
      </c>
      <c r="C179" s="14">
        <f>Table13468113[[#This Row],[PMI]]-B178</f>
        <v>-2.7999999999999972</v>
      </c>
    </row>
    <row r="180" spans="1:3" x14ac:dyDescent="0.2">
      <c r="A180" s="8">
        <v>44562</v>
      </c>
      <c r="B180" s="11">
        <f>IF(VLOOKUP(A180,'DB Country PMI'!$A:$V,MATCH($A$1,'DB Country PMI'!$A$1:$V$1,),)=0,#N/A,VLOOKUP(A180,'DB Country PMI'!$A:$V,MATCH($A$1,'DB Country PMI'!$A$1:$V$1,),))</f>
        <v>51.1</v>
      </c>
      <c r="C180" s="14">
        <f>Table13468113[[#This Row],[PMI]]-B179</f>
        <v>-2</v>
      </c>
    </row>
    <row r="181" spans="1:3" x14ac:dyDescent="0.2">
      <c r="A181" s="8">
        <v>44593</v>
      </c>
      <c r="B181" s="11">
        <f>IF(VLOOKUP(A181,'DB Country PMI'!$A:$V,MATCH($A$1,'DB Country PMI'!$A$1:$V$1,),)=0,#N/A,VLOOKUP(A181,'DB Country PMI'!$A:$V,MATCH($A$1,'DB Country PMI'!$A$1:$V$1,),))</f>
        <v>55.8</v>
      </c>
      <c r="C181" s="14">
        <f>Table13468113[[#This Row],[PMI]]-B180</f>
        <v>4.6999999999999957</v>
      </c>
    </row>
    <row r="182" spans="1:3" x14ac:dyDescent="0.2">
      <c r="A182" s="8">
        <v>44621</v>
      </c>
      <c r="B182" s="11">
        <f>IF(VLOOKUP(A182,'DB Country PMI'!$A:$V,MATCH($A$1,'DB Country PMI'!$A$1:$V$1,),)=0,#N/A,VLOOKUP(A182,'DB Country PMI'!$A:$V,MATCH($A$1,'DB Country PMI'!$A$1:$V$1,),))</f>
        <v>54.8</v>
      </c>
      <c r="C182" s="14">
        <f>Table13468113[[#This Row],[PMI]]-B181</f>
        <v>-1</v>
      </c>
    </row>
    <row r="183" spans="1:3" x14ac:dyDescent="0.2">
      <c r="A183" s="8">
        <v>44652</v>
      </c>
      <c r="B183" s="11">
        <f>IF(VLOOKUP(A183,'DB Country PMI'!$A:$V,MATCH($A$1,'DB Country PMI'!$A$1:$V$1,),)=0,#N/A,VLOOKUP(A183,'DB Country PMI'!$A:$V,MATCH($A$1,'DB Country PMI'!$A$1:$V$1,),))</f>
        <v>57.7</v>
      </c>
      <c r="C183" s="14">
        <f>Table13468113[[#This Row],[PMI]]-B182</f>
        <v>2.9000000000000057</v>
      </c>
    </row>
    <row r="184" spans="1:3" x14ac:dyDescent="0.2">
      <c r="A184" s="8">
        <v>44682</v>
      </c>
      <c r="B184" s="11">
        <f>IF(VLOOKUP(A184,'DB Country PMI'!$A:$V,MATCH($A$1,'DB Country PMI'!$A$1:$V$1,),)=0,#N/A,VLOOKUP(A184,'DB Country PMI'!$A:$V,MATCH($A$1,'DB Country PMI'!$A$1:$V$1,),))</f>
        <v>56.3</v>
      </c>
      <c r="C184" s="14">
        <f>Table13468113[[#This Row],[PMI]]-B183</f>
        <v>-1.4000000000000057</v>
      </c>
    </row>
    <row r="185" spans="1:3" x14ac:dyDescent="0.2">
      <c r="A185" s="8">
        <v>44713</v>
      </c>
      <c r="B185" s="11">
        <f>IF(VLOOKUP(A185,'DB Country PMI'!$A:$V,MATCH($A$1,'DB Country PMI'!$A$1:$V$1,),)=0,#N/A,VLOOKUP(A185,'DB Country PMI'!$A:$V,MATCH($A$1,'DB Country PMI'!$A$1:$V$1,),))</f>
        <v>52.8</v>
      </c>
      <c r="C185" s="14">
        <f>Table13468113[[#This Row],[PMI]]-B184</f>
        <v>-3.5</v>
      </c>
    </row>
    <row r="186" spans="1:3" x14ac:dyDescent="0.2">
      <c r="A186" s="8">
        <v>44743</v>
      </c>
      <c r="B186" s="11">
        <f>IF(VLOOKUP(A186,'DB Country PMI'!$A:$V,MATCH($A$1,'DB Country PMI'!$A$1:$V$1,),)=0,#N/A,VLOOKUP(A186,'DB Country PMI'!$A:$V,MATCH($A$1,'DB Country PMI'!$A$1:$V$1,),))</f>
        <v>51.2</v>
      </c>
      <c r="C186" s="14">
        <f>Table13468113[[#This Row],[PMI]]-B185</f>
        <v>-1.5999999999999943</v>
      </c>
    </row>
    <row r="187" spans="1:3" x14ac:dyDescent="0.2">
      <c r="A187" s="8">
        <v>44774</v>
      </c>
      <c r="B187" s="11">
        <f>IF(VLOOKUP(A187,'DB Country PMI'!$A:$V,MATCH($A$1,'DB Country PMI'!$A$1:$V$1,),)=0,#N/A,VLOOKUP(A187,'DB Country PMI'!$A:$V,MATCH($A$1,'DB Country PMI'!$A$1:$V$1,),))</f>
        <v>49.8</v>
      </c>
      <c r="C187" s="14">
        <f>Table13468113[[#This Row],[PMI]]-B186</f>
        <v>-1.4000000000000057</v>
      </c>
    </row>
    <row r="188" spans="1:3" x14ac:dyDescent="0.2">
      <c r="A188" s="8">
        <v>44805</v>
      </c>
      <c r="B188" s="11">
        <f>IF(VLOOKUP(A188,'DB Country PMI'!$A:$V,MATCH($A$1,'DB Country PMI'!$A$1:$V$1,),)=0,#N/A,VLOOKUP(A188,'DB Country PMI'!$A:$V,MATCH($A$1,'DB Country PMI'!$A$1:$V$1,),))</f>
        <v>48.8</v>
      </c>
      <c r="C188" s="14">
        <f>Table13468113[[#This Row],[PMI]]-B187</f>
        <v>-1</v>
      </c>
    </row>
    <row r="189" spans="1:3" x14ac:dyDescent="0.2">
      <c r="A189" s="8">
        <v>44835</v>
      </c>
      <c r="B189" s="11">
        <f>IF(VLOOKUP(A189,'DB Country PMI'!$A:$V,MATCH($A$1,'DB Country PMI'!$A$1:$V$1,),)=0,#N/A,VLOOKUP(A189,'DB Country PMI'!$A:$V,MATCH($A$1,'DB Country PMI'!$A$1:$V$1,),))</f>
        <v>48.6</v>
      </c>
      <c r="C189" s="14">
        <f>Table13468113[[#This Row],[PMI]]-B188</f>
        <v>-0.19999999999999574</v>
      </c>
    </row>
  </sheetData>
  <conditionalFormatting sqref="B6:B189">
    <cfRule type="colorScale" priority="3">
      <colorScale>
        <cfvo type="min"/>
        <cfvo type="percentile" val="50"/>
        <cfvo type="max"/>
        <color rgb="FFF8696B"/>
        <color rgb="FFFFEB84"/>
        <color rgb="FF63BE7B"/>
      </colorScale>
    </cfRule>
  </conditionalFormatting>
  <conditionalFormatting sqref="C7:C189">
    <cfRule type="colorScale" priority="1">
      <colorScale>
        <cfvo type="min"/>
        <cfvo type="percentile" val="50"/>
        <cfvo type="max"/>
        <color rgb="FFF8696B"/>
        <color rgb="FFFCFCFF"/>
        <color rgb="FF5A8AC6"/>
      </colorScale>
    </cfRule>
  </conditionalFormatting>
  <pageMargins left="0.7" right="0.7" top="0.75" bottom="0.75" header="0.3" footer="0.3"/>
  <drawing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J150"/>
  <sheetViews>
    <sheetView zoomScale="160" zoomScaleNormal="160" workbookViewId="0">
      <pane ySplit="5" topLeftCell="A133" activePane="bottomLeft" state="frozen"/>
      <selection pane="bottomLeft" activeCell="A134" sqref="A134:C150"/>
    </sheetView>
  </sheetViews>
  <sheetFormatPr baseColWidth="10" defaultColWidth="9.1640625" defaultRowHeight="15" x14ac:dyDescent="0.2"/>
  <cols>
    <col min="1" max="1" width="13.5" style="49" customWidth="1"/>
    <col min="2" max="2" width="11.33203125" style="49" customWidth="1"/>
    <col min="3" max="11" width="9.1640625" style="49" customWidth="1"/>
    <col min="12" max="16384" width="9.1640625" style="49"/>
  </cols>
  <sheetData>
    <row r="1" spans="1:10" x14ac:dyDescent="0.2">
      <c r="A1" s="49" t="s">
        <v>34</v>
      </c>
      <c r="J1" s="49" t="s">
        <v>62</v>
      </c>
    </row>
    <row r="2" spans="1:10" x14ac:dyDescent="0.2">
      <c r="J2" s="49" t="s">
        <v>65</v>
      </c>
    </row>
    <row r="4" spans="1:10" ht="16" customHeight="1" thickBot="1" x14ac:dyDescent="0.25"/>
    <row r="5" spans="1:10" ht="16" customHeight="1" thickBot="1" x14ac:dyDescent="0.25">
      <c r="A5" s="12" t="s">
        <v>33</v>
      </c>
      <c r="B5" s="13" t="s">
        <v>60</v>
      </c>
      <c r="C5" s="13" t="s">
        <v>61</v>
      </c>
    </row>
    <row r="6" spans="1:10" x14ac:dyDescent="0.2">
      <c r="A6" s="10">
        <v>40452</v>
      </c>
      <c r="B6" s="11">
        <f>IF(VLOOKUP(A6,'DB Country PMI'!$A:$W,MATCH($A$1,'DB Country PMI'!$A$1:$W$1,),)=0,#N/A,VLOOKUP(A6,'DB Country PMI'!$A:$W,MATCH($A$1,'DB Country PMI'!$A$1:$W$1,),))</f>
        <v>60.5</v>
      </c>
      <c r="C6" s="11"/>
    </row>
    <row r="7" spans="1:10" x14ac:dyDescent="0.2">
      <c r="A7" s="8">
        <v>40483</v>
      </c>
      <c r="B7" s="11">
        <f>IF(VLOOKUP(A7,'DB Country PMI'!$A:$W,MATCH($A$1,'DB Country PMI'!$A$1:$W$1,),)=0,#N/A,VLOOKUP(A7,'DB Country PMI'!$A:$W,MATCH($A$1,'DB Country PMI'!$A$1:$W$1,),))</f>
        <v>53.2</v>
      </c>
      <c r="C7" s="14">
        <f>Table134681134[[#This Row],[PMI]]-B6</f>
        <v>-7.2999999999999972</v>
      </c>
    </row>
    <row r="8" spans="1:10" x14ac:dyDescent="0.2">
      <c r="A8" s="8">
        <v>40513</v>
      </c>
      <c r="B8" s="11">
        <f>IF(VLOOKUP(A8,'DB Country PMI'!$A:$W,MATCH($A$1,'DB Country PMI'!$A$1:$W$1,),)=0,#N/A,VLOOKUP(A8,'DB Country PMI'!$A:$W,MATCH($A$1,'DB Country PMI'!$A$1:$W$1,),))</f>
        <v>48.1</v>
      </c>
      <c r="C8" s="14">
        <f>Table134681134[[#This Row],[PMI]]-B7</f>
        <v>-5.1000000000000014</v>
      </c>
    </row>
    <row r="9" spans="1:10" x14ac:dyDescent="0.2">
      <c r="A9" s="8">
        <v>40544</v>
      </c>
      <c r="B9" s="11">
        <f>IF(VLOOKUP(A9,'DB Country PMI'!$A:$W,MATCH($A$1,'DB Country PMI'!$A$1:$W$1,),)=0,#N/A,VLOOKUP(A9,'DB Country PMI'!$A:$W,MATCH($A$1,'DB Country PMI'!$A$1:$W$1,),))</f>
        <v>46.5</v>
      </c>
      <c r="C9" s="14">
        <f>Table134681134[[#This Row],[PMI]]-B8</f>
        <v>-1.6000000000000014</v>
      </c>
    </row>
    <row r="10" spans="1:10" x14ac:dyDescent="0.2">
      <c r="A10" s="8">
        <v>40575</v>
      </c>
      <c r="B10" s="11">
        <f>IF(VLOOKUP(A10,'DB Country PMI'!$A:$W,MATCH($A$1,'DB Country PMI'!$A$1:$W$1,),)=0,#N/A,VLOOKUP(A10,'DB Country PMI'!$A:$W,MATCH($A$1,'DB Country PMI'!$A$1:$W$1,),))</f>
        <v>44.1</v>
      </c>
      <c r="C10" s="14">
        <f>Table134681134[[#This Row],[PMI]]-B9</f>
        <v>-2.3999999999999986</v>
      </c>
    </row>
    <row r="11" spans="1:10" x14ac:dyDescent="0.2">
      <c r="A11" s="8">
        <v>40603</v>
      </c>
      <c r="B11" s="11">
        <f>IF(VLOOKUP(A11,'DB Country PMI'!$A:$W,MATCH($A$1,'DB Country PMI'!$A$1:$W$1,),)=0,#N/A,VLOOKUP(A11,'DB Country PMI'!$A:$W,MATCH($A$1,'DB Country PMI'!$A$1:$W$1,),))</f>
        <v>60.2</v>
      </c>
      <c r="C11" s="14">
        <f>Table134681134[[#This Row],[PMI]]-B10</f>
        <v>16.100000000000001</v>
      </c>
    </row>
    <row r="12" spans="1:10" x14ac:dyDescent="0.2">
      <c r="A12" s="8">
        <v>40634</v>
      </c>
      <c r="B12" s="11">
        <f>IF(VLOOKUP(A12,'DB Country PMI'!$A:$W,MATCH($A$1,'DB Country PMI'!$A$1:$W$1,),)=0,#N/A,VLOOKUP(A12,'DB Country PMI'!$A:$W,MATCH($A$1,'DB Country PMI'!$A$1:$W$1,),))</f>
        <v>62.5</v>
      </c>
      <c r="C12" s="14">
        <f>Table134681134[[#This Row],[PMI]]-B11</f>
        <v>2.2999999999999972</v>
      </c>
    </row>
    <row r="13" spans="1:10" x14ac:dyDescent="0.2">
      <c r="A13" s="8">
        <v>40664</v>
      </c>
      <c r="B13" s="11">
        <f>IF(VLOOKUP(A13,'DB Country PMI'!$A:$W,MATCH($A$1,'DB Country PMI'!$A$1:$W$1,),)=0,#N/A,VLOOKUP(A13,'DB Country PMI'!$A:$W,MATCH($A$1,'DB Country PMI'!$A$1:$W$1,),))</f>
        <v>61.9</v>
      </c>
      <c r="C13" s="14">
        <f>Table134681134[[#This Row],[PMI]]-B12</f>
        <v>-0.60000000000000142</v>
      </c>
    </row>
    <row r="14" spans="1:10" x14ac:dyDescent="0.2">
      <c r="A14" s="8">
        <v>40695</v>
      </c>
      <c r="B14" s="11">
        <f>IF(VLOOKUP(A14,'DB Country PMI'!$A:$W,MATCH($A$1,'DB Country PMI'!$A$1:$W$1,),)=0,#N/A,VLOOKUP(A14,'DB Country PMI'!$A:$W,MATCH($A$1,'DB Country PMI'!$A$1:$W$1,),))</f>
        <v>57</v>
      </c>
      <c r="C14" s="14">
        <f>Table134681134[[#This Row],[PMI]]-B13</f>
        <v>-4.8999999999999986</v>
      </c>
    </row>
    <row r="15" spans="1:10" x14ac:dyDescent="0.2">
      <c r="A15" s="8">
        <v>40725</v>
      </c>
      <c r="B15" s="11">
        <f>IF(VLOOKUP(A15,'DB Country PMI'!$A:$W,MATCH($A$1,'DB Country PMI'!$A$1:$W$1,),)=0,#N/A,VLOOKUP(A15,'DB Country PMI'!$A:$W,MATCH($A$1,'DB Country PMI'!$A$1:$W$1,),))</f>
        <v>59.6</v>
      </c>
      <c r="C15" s="14">
        <f>Table134681134[[#This Row],[PMI]]-B14</f>
        <v>2.6000000000000014</v>
      </c>
    </row>
    <row r="16" spans="1:10" x14ac:dyDescent="0.2">
      <c r="A16" s="8">
        <v>40756</v>
      </c>
      <c r="B16" s="11">
        <f>IF(VLOOKUP(A16,'DB Country PMI'!$A:$W,MATCH($A$1,'DB Country PMI'!$A$1:$W$1,),)=0,#N/A,VLOOKUP(A16,'DB Country PMI'!$A:$W,MATCH($A$1,'DB Country PMI'!$A$1:$W$1,),))</f>
        <v>58.1</v>
      </c>
      <c r="C16" s="14">
        <f>Table134681134[[#This Row],[PMI]]-B15</f>
        <v>-1.5</v>
      </c>
    </row>
    <row r="17" spans="1:3" x14ac:dyDescent="0.2">
      <c r="A17" s="8">
        <v>40787</v>
      </c>
      <c r="B17" s="11">
        <f>IF(VLOOKUP(A17,'DB Country PMI'!$A:$W,MATCH($A$1,'DB Country PMI'!$A$1:$W$1,),)=0,#N/A,VLOOKUP(A17,'DB Country PMI'!$A:$W,MATCH($A$1,'DB Country PMI'!$A$1:$W$1,),))</f>
        <v>57</v>
      </c>
      <c r="C17" s="14">
        <f>Table134681134[[#This Row],[PMI]]-B16</f>
        <v>-1.1000000000000014</v>
      </c>
    </row>
    <row r="18" spans="1:3" x14ac:dyDescent="0.2">
      <c r="A18" s="8">
        <v>40817</v>
      </c>
      <c r="B18" s="11">
        <f>IF(VLOOKUP(A18,'DB Country PMI'!$A:$W,MATCH($A$1,'DB Country PMI'!$A$1:$W$1,),)=0,#N/A,VLOOKUP(A18,'DB Country PMI'!$A:$W,MATCH($A$1,'DB Country PMI'!$A$1:$W$1,),))</f>
        <v>54.6</v>
      </c>
      <c r="C18" s="14">
        <f>Table134681134[[#This Row],[PMI]]-B17</f>
        <v>-2.3999999999999986</v>
      </c>
    </row>
    <row r="19" spans="1:3" x14ac:dyDescent="0.2">
      <c r="A19" s="8">
        <v>40848</v>
      </c>
      <c r="B19" s="11">
        <f>IF(VLOOKUP(A19,'DB Country PMI'!$A:$W,MATCH($A$1,'DB Country PMI'!$A$1:$W$1,),)=0,#N/A,VLOOKUP(A19,'DB Country PMI'!$A:$W,MATCH($A$1,'DB Country PMI'!$A$1:$W$1,),))</f>
        <v>49.7</v>
      </c>
      <c r="C19" s="14">
        <f>Table134681134[[#This Row],[PMI]]-B18</f>
        <v>-4.8999999999999986</v>
      </c>
    </row>
    <row r="20" spans="1:3" x14ac:dyDescent="0.2">
      <c r="A20" s="8">
        <v>40878</v>
      </c>
      <c r="B20" s="11">
        <f>IF(VLOOKUP(A20,'DB Country PMI'!$A:$W,MATCH($A$1,'DB Country PMI'!$A$1:$W$1,),)=0,#N/A,VLOOKUP(A20,'DB Country PMI'!$A:$W,MATCH($A$1,'DB Country PMI'!$A$1:$W$1,),))</f>
        <v>56</v>
      </c>
      <c r="C20" s="14">
        <f>Table134681134[[#This Row],[PMI]]-B19</f>
        <v>6.2999999999999972</v>
      </c>
    </row>
    <row r="21" spans="1:3" x14ac:dyDescent="0.2">
      <c r="A21" s="8">
        <v>40909</v>
      </c>
      <c r="B21" s="11">
        <f>IF(VLOOKUP(A21,'DB Country PMI'!$A:$W,MATCH($A$1,'DB Country PMI'!$A$1:$W$1,),)=0,#N/A,VLOOKUP(A21,'DB Country PMI'!$A:$W,MATCH($A$1,'DB Country PMI'!$A$1:$W$1,),))</f>
        <v>52.5</v>
      </c>
      <c r="C21" s="14">
        <f>Table134681134[[#This Row],[PMI]]-B20</f>
        <v>-3.5</v>
      </c>
    </row>
    <row r="22" spans="1:3" x14ac:dyDescent="0.2">
      <c r="A22" s="8">
        <v>40940</v>
      </c>
      <c r="B22" s="11">
        <f>IF(VLOOKUP(A22,'DB Country PMI'!$A:$W,MATCH($A$1,'DB Country PMI'!$A$1:$W$1,),)=0,#N/A,VLOOKUP(A22,'DB Country PMI'!$A:$W,MATCH($A$1,'DB Country PMI'!$A$1:$W$1,),))</f>
        <v>53.9</v>
      </c>
      <c r="C22" s="14">
        <f>Table134681134[[#This Row],[PMI]]-B21</f>
        <v>1.3999999999999986</v>
      </c>
    </row>
    <row r="23" spans="1:3" x14ac:dyDescent="0.2">
      <c r="A23" s="8">
        <v>40969</v>
      </c>
      <c r="B23" s="11">
        <f>IF(VLOOKUP(A23,'DB Country PMI'!$A:$W,MATCH($A$1,'DB Country PMI'!$A$1:$W$1,),)=0,#N/A,VLOOKUP(A23,'DB Country PMI'!$A:$W,MATCH($A$1,'DB Country PMI'!$A$1:$W$1,),))</f>
        <v>53.3</v>
      </c>
      <c r="C23" s="14">
        <f>Table134681134[[#This Row],[PMI]]-B22</f>
        <v>-0.60000000000000142</v>
      </c>
    </row>
    <row r="24" spans="1:3" x14ac:dyDescent="0.2">
      <c r="A24" s="8">
        <v>41000</v>
      </c>
      <c r="B24" s="11">
        <f>IF(VLOOKUP(A24,'DB Country PMI'!$A:$W,MATCH($A$1,'DB Country PMI'!$A$1:$W$1,),)=0,#N/A,VLOOKUP(A24,'DB Country PMI'!$A:$W,MATCH($A$1,'DB Country PMI'!$A$1:$W$1,),))</f>
        <v>54.1</v>
      </c>
      <c r="C24" s="14">
        <f>Table134681134[[#This Row],[PMI]]-B23</f>
        <v>0.80000000000000426</v>
      </c>
    </row>
    <row r="25" spans="1:3" x14ac:dyDescent="0.2">
      <c r="A25" s="8">
        <v>41030</v>
      </c>
      <c r="B25" s="11">
        <f>IF(VLOOKUP(A25,'DB Country PMI'!$A:$W,MATCH($A$1,'DB Country PMI'!$A$1:$W$1,),)=0,#N/A,VLOOKUP(A25,'DB Country PMI'!$A:$W,MATCH($A$1,'DB Country PMI'!$A$1:$W$1,),))</f>
        <v>54.7</v>
      </c>
      <c r="C25" s="14">
        <f>Table134681134[[#This Row],[PMI]]-B24</f>
        <v>0.60000000000000142</v>
      </c>
    </row>
    <row r="26" spans="1:3" x14ac:dyDescent="0.2">
      <c r="A26" s="8">
        <v>41061</v>
      </c>
      <c r="B26" s="11">
        <f>IF(VLOOKUP(A26,'DB Country PMI'!$A:$W,MATCH($A$1,'DB Country PMI'!$A$1:$W$1,),)=0,#N/A,VLOOKUP(A26,'DB Country PMI'!$A:$W,MATCH($A$1,'DB Country PMI'!$A$1:$W$1,),))</f>
        <v>52.3</v>
      </c>
      <c r="C26" s="14">
        <f>Table134681134[[#This Row],[PMI]]-B25</f>
        <v>-2.4000000000000057</v>
      </c>
    </row>
    <row r="27" spans="1:3" x14ac:dyDescent="0.2">
      <c r="A27" s="8">
        <v>41091</v>
      </c>
      <c r="B27" s="11">
        <f>IF(VLOOKUP(A27,'DB Country PMI'!$A:$W,MATCH($A$1,'DB Country PMI'!$A$1:$W$1,),)=0,#N/A,VLOOKUP(A27,'DB Country PMI'!$A:$W,MATCH($A$1,'DB Country PMI'!$A$1:$W$1,),))</f>
        <v>53.1</v>
      </c>
      <c r="C27" s="14">
        <f>Table134681134[[#This Row],[PMI]]-B26</f>
        <v>0.80000000000000426</v>
      </c>
    </row>
    <row r="28" spans="1:3" x14ac:dyDescent="0.2">
      <c r="A28" s="8">
        <v>41122</v>
      </c>
      <c r="B28" s="11">
        <f>IF(VLOOKUP(A28,'DB Country PMI'!$A:$W,MATCH($A$1,'DB Country PMI'!$A$1:$W$1,),)=0,#N/A,VLOOKUP(A28,'DB Country PMI'!$A:$W,MATCH($A$1,'DB Country PMI'!$A$1:$W$1,),))</f>
        <v>52</v>
      </c>
      <c r="C28" s="14">
        <f>Table134681134[[#This Row],[PMI]]-B27</f>
        <v>-1.1000000000000014</v>
      </c>
    </row>
    <row r="29" spans="1:3" x14ac:dyDescent="0.2">
      <c r="A29" s="8">
        <v>41153</v>
      </c>
      <c r="B29" s="11">
        <f>IF(VLOOKUP(A29,'DB Country PMI'!$A:$W,MATCH($A$1,'DB Country PMI'!$A$1:$W$1,),)=0,#N/A,VLOOKUP(A29,'DB Country PMI'!$A:$W,MATCH($A$1,'DB Country PMI'!$A$1:$W$1,),))</f>
        <v>54.3</v>
      </c>
      <c r="C29" s="14">
        <f>Table134681134[[#This Row],[PMI]]-B28</f>
        <v>2.2999999999999972</v>
      </c>
    </row>
    <row r="30" spans="1:3" x14ac:dyDescent="0.2">
      <c r="A30" s="8">
        <v>41183</v>
      </c>
      <c r="B30" s="11">
        <f>IF(VLOOKUP(A30,'DB Country PMI'!$A:$W,MATCH($A$1,'DB Country PMI'!$A$1:$W$1,),)=0,#N/A,VLOOKUP(A30,'DB Country PMI'!$A:$W,MATCH($A$1,'DB Country PMI'!$A$1:$W$1,),))</f>
        <v>53.5</v>
      </c>
      <c r="C30" s="14">
        <f>Table134681134[[#This Row],[PMI]]-B29</f>
        <v>-0.79999999999999716</v>
      </c>
    </row>
    <row r="31" spans="1:3" x14ac:dyDescent="0.2">
      <c r="A31" s="8">
        <v>41214</v>
      </c>
      <c r="B31" s="11">
        <f>IF(VLOOKUP(A31,'DB Country PMI'!$A:$W,MATCH($A$1,'DB Country PMI'!$A$1:$W$1,),)=0,#N/A,VLOOKUP(A31,'DB Country PMI'!$A:$W,MATCH($A$1,'DB Country PMI'!$A$1:$W$1,),))</f>
        <v>52.1</v>
      </c>
      <c r="C31" s="14">
        <f>Table134681134[[#This Row],[PMI]]-B30</f>
        <v>-1.3999999999999986</v>
      </c>
    </row>
    <row r="32" spans="1:3" x14ac:dyDescent="0.2">
      <c r="A32" s="8">
        <v>41244</v>
      </c>
      <c r="B32" s="11">
        <f>IF(VLOOKUP(A32,'DB Country PMI'!$A:$W,MATCH($A$1,'DB Country PMI'!$A$1:$W$1,),)=0,#N/A,VLOOKUP(A32,'DB Country PMI'!$A:$W,MATCH($A$1,'DB Country PMI'!$A$1:$W$1,),))</f>
        <v>53.5</v>
      </c>
      <c r="C32" s="14">
        <f>Table134681134[[#This Row],[PMI]]-B31</f>
        <v>1.3999999999999986</v>
      </c>
    </row>
    <row r="33" spans="1:3" x14ac:dyDescent="0.2">
      <c r="A33" s="8">
        <v>41275</v>
      </c>
      <c r="B33" s="11">
        <f>IF(VLOOKUP(A33,'DB Country PMI'!$A:$W,MATCH($A$1,'DB Country PMI'!$A$1:$W$1,),)=0,#N/A,VLOOKUP(A33,'DB Country PMI'!$A:$W,MATCH($A$1,'DB Country PMI'!$A$1:$W$1,),))</f>
        <v>54</v>
      </c>
      <c r="C33" s="14">
        <f>Table134681134[[#This Row],[PMI]]-B32</f>
        <v>0.5</v>
      </c>
    </row>
    <row r="34" spans="1:3" x14ac:dyDescent="0.2">
      <c r="A34" s="8">
        <v>41306</v>
      </c>
      <c r="B34" s="11">
        <f>IF(VLOOKUP(A34,'DB Country PMI'!$A:$W,MATCH($A$1,'DB Country PMI'!$A$1:$W$1,),)=0,#N/A,VLOOKUP(A34,'DB Country PMI'!$A:$W,MATCH($A$1,'DB Country PMI'!$A$1:$W$1,),))</f>
        <v>52.1</v>
      </c>
      <c r="C34" s="14">
        <f>Table134681134[[#This Row],[PMI]]-B33</f>
        <v>-1.8999999999999986</v>
      </c>
    </row>
    <row r="35" spans="1:3" x14ac:dyDescent="0.2">
      <c r="A35" s="8">
        <v>41334</v>
      </c>
      <c r="B35" s="11">
        <f>IF(VLOOKUP(A35,'DB Country PMI'!$A:$W,MATCH($A$1,'DB Country PMI'!$A$1:$W$1,),)=0,#N/A,VLOOKUP(A35,'DB Country PMI'!$A:$W,MATCH($A$1,'DB Country PMI'!$A$1:$W$1,),))</f>
        <v>54.3</v>
      </c>
      <c r="C35" s="14">
        <f>Table134681134[[#This Row],[PMI]]-B34</f>
        <v>2.1999999999999957</v>
      </c>
    </row>
    <row r="36" spans="1:3" x14ac:dyDescent="0.2">
      <c r="A36" s="8">
        <v>41365</v>
      </c>
      <c r="B36" s="11">
        <f>IF(VLOOKUP(A36,'DB Country PMI'!$A:$W,MATCH($A$1,'DB Country PMI'!$A$1:$W$1,),)=0,#N/A,VLOOKUP(A36,'DB Country PMI'!$A:$W,MATCH($A$1,'DB Country PMI'!$A$1:$W$1,),))</f>
        <v>51.1</v>
      </c>
      <c r="C36" s="14">
        <f>Table134681134[[#This Row],[PMI]]-B35</f>
        <v>-3.1999999999999957</v>
      </c>
    </row>
    <row r="37" spans="1:3" x14ac:dyDescent="0.2">
      <c r="A37" s="8">
        <v>41395</v>
      </c>
      <c r="B37" s="11">
        <f>IF(VLOOKUP(A37,'DB Country PMI'!$A:$W,MATCH($A$1,'DB Country PMI'!$A$1:$W$1,),)=0,#N/A,VLOOKUP(A37,'DB Country PMI'!$A:$W,MATCH($A$1,'DB Country PMI'!$A$1:$W$1,),))</f>
        <v>51.2</v>
      </c>
      <c r="C37" s="14">
        <f>Table134681134[[#This Row],[PMI]]-B36</f>
        <v>0.10000000000000142</v>
      </c>
    </row>
    <row r="38" spans="1:3" x14ac:dyDescent="0.2">
      <c r="A38" s="8">
        <v>41426</v>
      </c>
      <c r="B38" s="11">
        <f>IF(VLOOKUP(A38,'DB Country PMI'!$A:$W,MATCH($A$1,'DB Country PMI'!$A$1:$W$1,),)=0,#N/A,VLOOKUP(A38,'DB Country PMI'!$A:$W,MATCH($A$1,'DB Country PMI'!$A$1:$W$1,),))</f>
        <v>51.3</v>
      </c>
      <c r="C38" s="14">
        <f>Table134681134[[#This Row],[PMI]]-B37</f>
        <v>9.9999999999994316E-2</v>
      </c>
    </row>
    <row r="39" spans="1:3" x14ac:dyDescent="0.2">
      <c r="A39" s="8">
        <v>41456</v>
      </c>
      <c r="B39" s="11">
        <f>IF(VLOOKUP(A39,'DB Country PMI'!$A:$W,MATCH($A$1,'DB Country PMI'!$A$1:$W$1,),)=0,#N/A,VLOOKUP(A39,'DB Country PMI'!$A:$W,MATCH($A$1,'DB Country PMI'!$A$1:$W$1,),))</f>
        <v>51.3</v>
      </c>
      <c r="C39" s="14">
        <f>Table134681134[[#This Row],[PMI]]-B38</f>
        <v>0</v>
      </c>
    </row>
    <row r="40" spans="1:3" x14ac:dyDescent="0.2">
      <c r="A40" s="8">
        <v>41487</v>
      </c>
      <c r="B40" s="11">
        <f>IF(VLOOKUP(A40,'DB Country PMI'!$A:$W,MATCH($A$1,'DB Country PMI'!$A$1:$W$1,),)=0,#N/A,VLOOKUP(A40,'DB Country PMI'!$A:$W,MATCH($A$1,'DB Country PMI'!$A$1:$W$1,),))</f>
        <v>52.8</v>
      </c>
      <c r="C40" s="14">
        <f>Table134681134[[#This Row],[PMI]]-B39</f>
        <v>1.5</v>
      </c>
    </row>
    <row r="41" spans="1:3" x14ac:dyDescent="0.2">
      <c r="A41" s="8">
        <v>41518</v>
      </c>
      <c r="B41" s="11">
        <f>IF(VLOOKUP(A41,'DB Country PMI'!$A:$W,MATCH($A$1,'DB Country PMI'!$A$1:$W$1,),)=0,#N/A,VLOOKUP(A41,'DB Country PMI'!$A:$W,MATCH($A$1,'DB Country PMI'!$A$1:$W$1,),))</f>
        <v>52.4</v>
      </c>
      <c r="C41" s="14">
        <f>Table134681134[[#This Row],[PMI]]-B40</f>
        <v>-0.39999999999999858</v>
      </c>
    </row>
    <row r="42" spans="1:3" x14ac:dyDescent="0.2">
      <c r="A42" s="8">
        <v>41548</v>
      </c>
      <c r="B42" s="11">
        <f>IF(VLOOKUP(A42,'DB Country PMI'!$A:$W,MATCH($A$1,'DB Country PMI'!$A$1:$W$1,),)=0,#N/A,VLOOKUP(A42,'DB Country PMI'!$A:$W,MATCH($A$1,'DB Country PMI'!$A$1:$W$1,),))</f>
        <v>52.6</v>
      </c>
      <c r="C42" s="14">
        <f>Table134681134[[#This Row],[PMI]]-B41</f>
        <v>0.20000000000000284</v>
      </c>
    </row>
    <row r="43" spans="1:3" x14ac:dyDescent="0.2">
      <c r="A43" s="8">
        <v>41579</v>
      </c>
      <c r="B43" s="11">
        <f>IF(VLOOKUP(A43,'DB Country PMI'!$A:$W,MATCH($A$1,'DB Country PMI'!$A$1:$W$1,),)=0,#N/A,VLOOKUP(A43,'DB Country PMI'!$A:$W,MATCH($A$1,'DB Country PMI'!$A$1:$W$1,),))</f>
        <v>52.5</v>
      </c>
      <c r="C43" s="14">
        <f>Table134681134[[#This Row],[PMI]]-B42</f>
        <v>-0.10000000000000142</v>
      </c>
    </row>
    <row r="44" spans="1:3" x14ac:dyDescent="0.2">
      <c r="A44" s="8">
        <v>41609</v>
      </c>
      <c r="B44" s="11">
        <f>IF(VLOOKUP(A44,'DB Country PMI'!$A:$W,MATCH($A$1,'DB Country PMI'!$A$1:$W$1,),)=0,#N/A,VLOOKUP(A44,'DB Country PMI'!$A:$W,MATCH($A$1,'DB Country PMI'!$A$1:$W$1,),))</f>
        <v>51.4</v>
      </c>
      <c r="C44" s="14">
        <f>Table134681134[[#This Row],[PMI]]-B43</f>
        <v>-1.1000000000000014</v>
      </c>
    </row>
    <row r="45" spans="1:3" x14ac:dyDescent="0.2">
      <c r="A45" s="8">
        <v>41640</v>
      </c>
      <c r="B45" s="11">
        <f>IF(VLOOKUP(A45,'DB Country PMI'!$A:$W,MATCH($A$1,'DB Country PMI'!$A$1:$W$1,),)=0,#N/A,VLOOKUP(A45,'DB Country PMI'!$A:$W,MATCH($A$1,'DB Country PMI'!$A$1:$W$1,),))</f>
        <v>50.7</v>
      </c>
      <c r="C45" s="14">
        <f>Table134681134[[#This Row],[PMI]]-B44</f>
        <v>-0.69999999999999574</v>
      </c>
    </row>
    <row r="46" spans="1:3" x14ac:dyDescent="0.2">
      <c r="A46" s="8">
        <v>41671</v>
      </c>
      <c r="B46" s="11">
        <f>IF(VLOOKUP(A46,'DB Country PMI'!$A:$W,MATCH($A$1,'DB Country PMI'!$A$1:$W$1,),)=0,#N/A,VLOOKUP(A46,'DB Country PMI'!$A:$W,MATCH($A$1,'DB Country PMI'!$A$1:$W$1,),))</f>
        <v>51</v>
      </c>
      <c r="C46" s="14">
        <f>Table134681134[[#This Row],[PMI]]-B45</f>
        <v>0.29999999999999716</v>
      </c>
    </row>
    <row r="47" spans="1:3" x14ac:dyDescent="0.2">
      <c r="A47" s="8">
        <v>41699</v>
      </c>
      <c r="B47" s="11">
        <f>IF(VLOOKUP(A47,'DB Country PMI'!$A:$W,MATCH($A$1,'DB Country PMI'!$A$1:$W$1,),)=0,#N/A,VLOOKUP(A47,'DB Country PMI'!$A:$W,MATCH($A$1,'DB Country PMI'!$A$1:$W$1,),))</f>
        <v>51.9</v>
      </c>
      <c r="C47" s="14">
        <f>Table134681134[[#This Row],[PMI]]-B46</f>
        <v>0.89999999999999858</v>
      </c>
    </row>
    <row r="48" spans="1:3" x14ac:dyDescent="0.2">
      <c r="A48" s="8">
        <v>41730</v>
      </c>
      <c r="B48" s="11">
        <f>IF(VLOOKUP(A48,'DB Country PMI'!$A:$W,MATCH($A$1,'DB Country PMI'!$A$1:$W$1,),)=0,#N/A,VLOOKUP(A48,'DB Country PMI'!$A:$W,MATCH($A$1,'DB Country PMI'!$A$1:$W$1,),))</f>
        <v>51.4</v>
      </c>
      <c r="C48" s="14">
        <f>Table134681134[[#This Row],[PMI]]-B47</f>
        <v>-0.5</v>
      </c>
    </row>
    <row r="49" spans="1:3" x14ac:dyDescent="0.2">
      <c r="A49" s="8">
        <v>41760</v>
      </c>
      <c r="B49" s="11">
        <f>IF(VLOOKUP(A49,'DB Country PMI'!$A:$W,MATCH($A$1,'DB Country PMI'!$A$1:$W$1,),)=0,#N/A,VLOOKUP(A49,'DB Country PMI'!$A:$W,MATCH($A$1,'DB Country PMI'!$A$1:$W$1,),))</f>
        <v>50.7</v>
      </c>
      <c r="C49" s="14">
        <f>Table134681134[[#This Row],[PMI]]-B48</f>
        <v>-0.69999999999999574</v>
      </c>
    </row>
    <row r="50" spans="1:3" x14ac:dyDescent="0.2">
      <c r="A50" s="8">
        <v>41791</v>
      </c>
      <c r="B50" s="11">
        <f>IF(VLOOKUP(A50,'DB Country PMI'!$A:$W,MATCH($A$1,'DB Country PMI'!$A$1:$W$1,),)=0,#N/A,VLOOKUP(A50,'DB Country PMI'!$A:$W,MATCH($A$1,'DB Country PMI'!$A$1:$W$1,),))</f>
        <v>53.1</v>
      </c>
      <c r="C50" s="14">
        <f>Table134681134[[#This Row],[PMI]]-B49</f>
        <v>2.3999999999999986</v>
      </c>
    </row>
    <row r="51" spans="1:3" x14ac:dyDescent="0.2">
      <c r="A51" s="8">
        <v>41821</v>
      </c>
      <c r="B51" s="11">
        <f>IF(VLOOKUP(A51,'DB Country PMI'!$A:$W,MATCH($A$1,'DB Country PMI'!$A$1:$W$1,),)=0,#N/A,VLOOKUP(A51,'DB Country PMI'!$A:$W,MATCH($A$1,'DB Country PMI'!$A$1:$W$1,),))</f>
        <v>50</v>
      </c>
      <c r="C51" s="14">
        <f>Table134681134[[#This Row],[PMI]]-B50</f>
        <v>-3.1000000000000014</v>
      </c>
    </row>
    <row r="52" spans="1:3" x14ac:dyDescent="0.2">
      <c r="A52" s="8">
        <v>41852</v>
      </c>
      <c r="B52" s="11">
        <f>IF(VLOOKUP(A52,'DB Country PMI'!$A:$W,MATCH($A$1,'DB Country PMI'!$A$1:$W$1,),)=0,#N/A,VLOOKUP(A52,'DB Country PMI'!$A:$W,MATCH($A$1,'DB Country PMI'!$A$1:$W$1,),))</f>
        <v>54.1</v>
      </c>
      <c r="C52" s="14">
        <f>Table134681134[[#This Row],[PMI]]-B51</f>
        <v>4.1000000000000014</v>
      </c>
    </row>
    <row r="53" spans="1:3" x14ac:dyDescent="0.2">
      <c r="A53" s="8">
        <v>41883</v>
      </c>
      <c r="B53" s="11">
        <f>IF(VLOOKUP(A53,'DB Country PMI'!$A:$W,MATCH($A$1,'DB Country PMI'!$A$1:$W$1,),)=0,#N/A,VLOOKUP(A53,'DB Country PMI'!$A:$W,MATCH($A$1,'DB Country PMI'!$A$1:$W$1,),))</f>
        <v>53.5</v>
      </c>
      <c r="C53" s="14">
        <f>Table134681134[[#This Row],[PMI]]-B52</f>
        <v>-0.60000000000000142</v>
      </c>
    </row>
    <row r="54" spans="1:3" x14ac:dyDescent="0.2">
      <c r="A54" s="8">
        <v>41913</v>
      </c>
      <c r="B54" s="11">
        <f>IF(VLOOKUP(A54,'DB Country PMI'!$A:$W,MATCH($A$1,'DB Country PMI'!$A$1:$W$1,),)=0,#N/A,VLOOKUP(A54,'DB Country PMI'!$A:$W,MATCH($A$1,'DB Country PMI'!$A$1:$W$1,),))</f>
        <v>52.9</v>
      </c>
      <c r="C54" s="14">
        <f>Table134681134[[#This Row],[PMI]]-B53</f>
        <v>-0.60000000000000142</v>
      </c>
    </row>
    <row r="55" spans="1:3" x14ac:dyDescent="0.2">
      <c r="A55" s="8">
        <v>41944</v>
      </c>
      <c r="B55" s="11">
        <f>IF(VLOOKUP(A55,'DB Country PMI'!$A:$W,MATCH($A$1,'DB Country PMI'!$A$1:$W$1,),)=0,#N/A,VLOOKUP(A55,'DB Country PMI'!$A:$W,MATCH($A$1,'DB Country PMI'!$A$1:$W$1,),))</f>
        <v>53</v>
      </c>
      <c r="C55" s="14">
        <f>Table134681134[[#This Row],[PMI]]-B54</f>
        <v>0.10000000000000142</v>
      </c>
    </row>
    <row r="56" spans="1:3" x14ac:dyDescent="0.2">
      <c r="A56" s="8">
        <v>41974</v>
      </c>
      <c r="B56" s="11">
        <f>IF(VLOOKUP(A56,'DB Country PMI'!$A:$W,MATCH($A$1,'DB Country PMI'!$A$1:$W$1,),)=0,#N/A,VLOOKUP(A56,'DB Country PMI'!$A:$W,MATCH($A$1,'DB Country PMI'!$A$1:$W$1,),))</f>
        <v>53.4</v>
      </c>
      <c r="C56" s="14">
        <f>Table134681134[[#This Row],[PMI]]-B55</f>
        <v>0.39999999999999858</v>
      </c>
    </row>
    <row r="57" spans="1:3" x14ac:dyDescent="0.2">
      <c r="A57" s="8">
        <v>42005</v>
      </c>
      <c r="B57" s="11">
        <f>IF(VLOOKUP(A57,'DB Country PMI'!$A:$W,MATCH($A$1,'DB Country PMI'!$A$1:$W$1,),)=0,#N/A,VLOOKUP(A57,'DB Country PMI'!$A:$W,MATCH($A$1,'DB Country PMI'!$A$1:$W$1,),))</f>
        <v>51.8</v>
      </c>
      <c r="C57" s="14">
        <f>Table134681134[[#This Row],[PMI]]-B56</f>
        <v>-1.6000000000000014</v>
      </c>
    </row>
    <row r="58" spans="1:3" x14ac:dyDescent="0.2">
      <c r="A58" s="8">
        <v>42036</v>
      </c>
      <c r="B58" s="11">
        <f>IF(VLOOKUP(A58,'DB Country PMI'!$A:$W,MATCH($A$1,'DB Country PMI'!$A$1:$W$1,),)=0,#N/A,VLOOKUP(A58,'DB Country PMI'!$A:$W,MATCH($A$1,'DB Country PMI'!$A$1:$W$1,),))</f>
        <v>52</v>
      </c>
      <c r="C58" s="14">
        <f>Table134681134[[#This Row],[PMI]]-B57</f>
        <v>0.20000000000000284</v>
      </c>
    </row>
    <row r="59" spans="1:3" x14ac:dyDescent="0.2">
      <c r="A59" s="8">
        <v>42064</v>
      </c>
      <c r="B59" s="11">
        <f>IF(VLOOKUP(A59,'DB Country PMI'!$A:$W,MATCH($A$1,'DB Country PMI'!$A$1:$W$1,),)=0,#N/A,VLOOKUP(A59,'DB Country PMI'!$A:$W,MATCH($A$1,'DB Country PMI'!$A$1:$W$1,),))</f>
        <v>52.3</v>
      </c>
      <c r="C59" s="14">
        <f>Table134681134[[#This Row],[PMI]]-B58</f>
        <v>0.29999999999999716</v>
      </c>
    </row>
    <row r="60" spans="1:3" x14ac:dyDescent="0.2">
      <c r="A60" s="8">
        <v>42095</v>
      </c>
      <c r="B60" s="11">
        <f>IF(VLOOKUP(A60,'DB Country PMI'!$A:$W,MATCH($A$1,'DB Country PMI'!$A$1:$W$1,),)=0,#N/A,VLOOKUP(A60,'DB Country PMI'!$A:$W,MATCH($A$1,'DB Country PMI'!$A$1:$W$1,),))</f>
        <v>52.9</v>
      </c>
      <c r="C60" s="14">
        <f>Table134681134[[#This Row],[PMI]]-B59</f>
        <v>0.60000000000000142</v>
      </c>
    </row>
    <row r="61" spans="1:3" x14ac:dyDescent="0.2">
      <c r="A61" s="8">
        <v>42125</v>
      </c>
      <c r="B61" s="11">
        <f>IF(VLOOKUP(A61,'DB Country PMI'!$A:$W,MATCH($A$1,'DB Country PMI'!$A$1:$W$1,),)=0,#N/A,VLOOKUP(A61,'DB Country PMI'!$A:$W,MATCH($A$1,'DB Country PMI'!$A$1:$W$1,),))</f>
        <v>53.5</v>
      </c>
      <c r="C61" s="14">
        <f>Table134681134[[#This Row],[PMI]]-B60</f>
        <v>0.60000000000000142</v>
      </c>
    </row>
    <row r="62" spans="1:3" x14ac:dyDescent="0.2">
      <c r="A62" s="8">
        <v>42156</v>
      </c>
      <c r="B62" s="11">
        <f>IF(VLOOKUP(A62,'DB Country PMI'!$A:$W,MATCH($A$1,'DB Country PMI'!$A$1:$W$1,),)=0,#N/A,VLOOKUP(A62,'DB Country PMI'!$A:$W,MATCH($A$1,'DB Country PMI'!$A$1:$W$1,),))</f>
        <v>51.8</v>
      </c>
      <c r="C62" s="14">
        <f>Table134681134[[#This Row],[PMI]]-B61</f>
        <v>-1.7000000000000028</v>
      </c>
    </row>
    <row r="63" spans="1:3" x14ac:dyDescent="0.2">
      <c r="A63" s="8">
        <v>42186</v>
      </c>
      <c r="B63" s="11">
        <f>IF(VLOOKUP(A63,'DB Country PMI'!$A:$W,MATCH($A$1,'DB Country PMI'!$A$1:$W$1,),)=0,#N/A,VLOOKUP(A63,'DB Country PMI'!$A:$W,MATCH($A$1,'DB Country PMI'!$A$1:$W$1,),))</f>
        <v>53.8</v>
      </c>
      <c r="C63" s="14">
        <f>Table134681134[[#This Row],[PMI]]-B62</f>
        <v>2</v>
      </c>
    </row>
    <row r="64" spans="1:3" x14ac:dyDescent="0.2">
      <c r="A64" s="8">
        <v>42217</v>
      </c>
      <c r="B64" s="11">
        <f>IF(VLOOKUP(A64,'DB Country PMI'!$A:$W,MATCH($A$1,'DB Country PMI'!$A$1:$W$1,),)=0,#N/A,VLOOKUP(A64,'DB Country PMI'!$A:$W,MATCH($A$1,'DB Country PMI'!$A$1:$W$1,),))</f>
        <v>51.5</v>
      </c>
      <c r="C64" s="14">
        <f>Table134681134[[#This Row],[PMI]]-B63</f>
        <v>-2.2999999999999972</v>
      </c>
    </row>
    <row r="65" spans="1:3" x14ac:dyDescent="0.2">
      <c r="A65" s="8">
        <v>42248</v>
      </c>
      <c r="B65" s="11">
        <f>IF(VLOOKUP(A65,'DB Country PMI'!$A:$W,MATCH($A$1,'DB Country PMI'!$A$1:$W$1,),)=0,#N/A,VLOOKUP(A65,'DB Country PMI'!$A:$W,MATCH($A$1,'DB Country PMI'!$A$1:$W$1,),))</f>
        <v>50.5</v>
      </c>
      <c r="C65" s="14">
        <f>Table134681134[[#This Row],[PMI]]-B64</f>
        <v>-1</v>
      </c>
    </row>
    <row r="66" spans="1:3" x14ac:dyDescent="0.2">
      <c r="A66" s="8">
        <v>42278</v>
      </c>
      <c r="B66" s="11">
        <f>IF(VLOOKUP(A66,'DB Country PMI'!$A:$W,MATCH($A$1,'DB Country PMI'!$A$1:$W$1,),)=0,#N/A,VLOOKUP(A66,'DB Country PMI'!$A:$W,MATCH($A$1,'DB Country PMI'!$A$1:$W$1,),))</f>
        <v>52</v>
      </c>
      <c r="C66" s="14">
        <f>Table134681134[[#This Row],[PMI]]-B65</f>
        <v>1.5</v>
      </c>
    </row>
    <row r="67" spans="1:3" x14ac:dyDescent="0.2">
      <c r="A67" s="8">
        <v>42309</v>
      </c>
      <c r="B67" s="11">
        <f>IF(VLOOKUP(A67,'DB Country PMI'!$A:$W,MATCH($A$1,'DB Country PMI'!$A$1:$W$1,),)=0,#N/A,VLOOKUP(A67,'DB Country PMI'!$A:$W,MATCH($A$1,'DB Country PMI'!$A$1:$W$1,),))</f>
        <v>51.2</v>
      </c>
      <c r="C67" s="14">
        <f>Table134681134[[#This Row],[PMI]]-B66</f>
        <v>-0.79999999999999716</v>
      </c>
    </row>
    <row r="68" spans="1:3" x14ac:dyDescent="0.2">
      <c r="A68" s="8">
        <v>42339</v>
      </c>
      <c r="B68" s="11">
        <f>IF(VLOOKUP(A68,'DB Country PMI'!$A:$W,MATCH($A$1,'DB Country PMI'!$A$1:$W$1,),)=0,#N/A,VLOOKUP(A68,'DB Country PMI'!$A:$W,MATCH($A$1,'DB Country PMI'!$A$1:$W$1,),))</f>
        <v>50.2</v>
      </c>
      <c r="C68" s="14">
        <f>Table134681134[[#This Row],[PMI]]-B67</f>
        <v>-1</v>
      </c>
    </row>
    <row r="69" spans="1:3" x14ac:dyDescent="0.2">
      <c r="A69" s="8">
        <v>42370</v>
      </c>
      <c r="B69" s="11">
        <f>IF(VLOOKUP(A69,'DB Country PMI'!$A:$W,MATCH($A$1,'DB Country PMI'!$A$1:$W$1,),)=0,#N/A,VLOOKUP(A69,'DB Country PMI'!$A:$W,MATCH($A$1,'DB Country PMI'!$A$1:$W$1,),))</f>
        <v>52.4</v>
      </c>
      <c r="C69" s="14">
        <f>Table134681134[[#This Row],[PMI]]-B68</f>
        <v>2.1999999999999957</v>
      </c>
    </row>
    <row r="70" spans="1:3" x14ac:dyDescent="0.2">
      <c r="A70" s="8">
        <v>42401</v>
      </c>
      <c r="B70" s="11">
        <f>IF(VLOOKUP(A70,'DB Country PMI'!$A:$W,MATCH($A$1,'DB Country PMI'!$A$1:$W$1,),)=0,#N/A,VLOOKUP(A70,'DB Country PMI'!$A:$W,MATCH($A$1,'DB Country PMI'!$A$1:$W$1,),))</f>
        <v>51.2</v>
      </c>
      <c r="C70" s="14">
        <f>Table134681134[[#This Row],[PMI]]-B69</f>
        <v>-1.1999999999999957</v>
      </c>
    </row>
    <row r="71" spans="1:3" x14ac:dyDescent="0.2">
      <c r="A71" s="8">
        <v>42430</v>
      </c>
      <c r="B71" s="11">
        <f>IF(VLOOKUP(A71,'DB Country PMI'!$A:$W,MATCH($A$1,'DB Country PMI'!$A$1:$W$1,),)=0,#N/A,VLOOKUP(A71,'DB Country PMI'!$A:$W,MATCH($A$1,'DB Country PMI'!$A$1:$W$1,),))</f>
        <v>52.2</v>
      </c>
      <c r="C71" s="14">
        <f>Table134681134[[#This Row],[PMI]]-B70</f>
        <v>1</v>
      </c>
    </row>
    <row r="72" spans="1:3" x14ac:dyDescent="0.2">
      <c r="A72" s="8">
        <v>42461</v>
      </c>
      <c r="B72" s="11">
        <f>IF(VLOOKUP(A72,'DB Country PMI'!$A:$W,MATCH($A$1,'DB Country PMI'!$A$1:$W$1,),)=0,#N/A,VLOOKUP(A72,'DB Country PMI'!$A:$W,MATCH($A$1,'DB Country PMI'!$A$1:$W$1,),))</f>
        <v>51.8</v>
      </c>
      <c r="C72" s="14">
        <f>Table134681134[[#This Row],[PMI]]-B71</f>
        <v>-0.40000000000000568</v>
      </c>
    </row>
    <row r="73" spans="1:3" x14ac:dyDescent="0.2">
      <c r="A73" s="8">
        <v>42491</v>
      </c>
      <c r="B73" s="11">
        <f>IF(VLOOKUP(A73,'DB Country PMI'!$A:$W,MATCH($A$1,'DB Country PMI'!$A$1:$W$1,),)=0,#N/A,VLOOKUP(A73,'DB Country PMI'!$A:$W,MATCH($A$1,'DB Country PMI'!$A$1:$W$1,),))</f>
        <v>51.2</v>
      </c>
      <c r="C73" s="14">
        <f>Table134681134[[#This Row],[PMI]]-B72</f>
        <v>-0.59999999999999432</v>
      </c>
    </row>
    <row r="74" spans="1:3" x14ac:dyDescent="0.2">
      <c r="A74" s="8">
        <v>42522</v>
      </c>
      <c r="B74" s="11">
        <f>IF(VLOOKUP(A74,'DB Country PMI'!$A:$W,MATCH($A$1,'DB Country PMI'!$A$1:$W$1,),)=0,#N/A,VLOOKUP(A74,'DB Country PMI'!$A:$W,MATCH($A$1,'DB Country PMI'!$A$1:$W$1,),))</f>
        <v>52.7</v>
      </c>
      <c r="C74" s="14">
        <f>Table134681134[[#This Row],[PMI]]-B73</f>
        <v>1.5</v>
      </c>
    </row>
    <row r="75" spans="1:3" x14ac:dyDescent="0.2">
      <c r="A75" s="8">
        <v>42552</v>
      </c>
      <c r="B75" s="11">
        <f>IF(VLOOKUP(A75,'DB Country PMI'!$A:$W,MATCH($A$1,'DB Country PMI'!$A$1:$W$1,),)=0,#N/A,VLOOKUP(A75,'DB Country PMI'!$A:$W,MATCH($A$1,'DB Country PMI'!$A$1:$W$1,),))</f>
        <v>51.7</v>
      </c>
      <c r="C75" s="14">
        <f>Table134681134[[#This Row],[PMI]]-B74</f>
        <v>-1</v>
      </c>
    </row>
    <row r="76" spans="1:3" x14ac:dyDescent="0.2">
      <c r="A76" s="8">
        <v>42583</v>
      </c>
      <c r="B76" s="11">
        <f>IF(VLOOKUP(A76,'DB Country PMI'!$A:$W,MATCH($A$1,'DB Country PMI'!$A$1:$W$1,),)=0,#N/A,VLOOKUP(A76,'DB Country PMI'!$A:$W,MATCH($A$1,'DB Country PMI'!$A$1:$W$1,),))</f>
        <v>52.1</v>
      </c>
      <c r="C76" s="14">
        <f>Table134681134[[#This Row],[PMI]]-B75</f>
        <v>0.39999999999999858</v>
      </c>
    </row>
    <row r="77" spans="1:3" x14ac:dyDescent="0.2">
      <c r="A77" s="8">
        <v>42614</v>
      </c>
      <c r="B77" s="11">
        <f>IF(VLOOKUP(A77,'DB Country PMI'!$A:$W,MATCH($A$1,'DB Country PMI'!$A$1:$W$1,),)=0,#N/A,VLOOKUP(A77,'DB Country PMI'!$A:$W,MATCH($A$1,'DB Country PMI'!$A$1:$W$1,),))</f>
        <v>51</v>
      </c>
      <c r="C77" s="14">
        <f>Table134681134[[#This Row],[PMI]]-B76</f>
        <v>-1.1000000000000014</v>
      </c>
    </row>
    <row r="78" spans="1:3" x14ac:dyDescent="0.2">
      <c r="A78" s="8">
        <v>42644</v>
      </c>
      <c r="B78" s="11">
        <f>IF(VLOOKUP(A78,'DB Country PMI'!$A:$W,MATCH($A$1,'DB Country PMI'!$A$1:$W$1,),)=0,#N/A,VLOOKUP(A78,'DB Country PMI'!$A:$W,MATCH($A$1,'DB Country PMI'!$A$1:$W$1,),))</f>
        <v>52.4</v>
      </c>
      <c r="C78" s="14">
        <f>Table134681134[[#This Row],[PMI]]-B77</f>
        <v>1.3999999999999986</v>
      </c>
    </row>
    <row r="79" spans="1:3" x14ac:dyDescent="0.2">
      <c r="A79" s="8">
        <v>42675</v>
      </c>
      <c r="B79" s="11">
        <f>IF(VLOOKUP(A79,'DB Country PMI'!$A:$W,MATCH($A$1,'DB Country PMI'!$A$1:$W$1,),)=0,#N/A,VLOOKUP(A79,'DB Country PMI'!$A:$W,MATCH($A$1,'DB Country PMI'!$A$1:$W$1,),))</f>
        <v>53.1</v>
      </c>
      <c r="C79" s="14">
        <f>Table134681134[[#This Row],[PMI]]-B78</f>
        <v>0.70000000000000284</v>
      </c>
    </row>
    <row r="80" spans="1:3" x14ac:dyDescent="0.2">
      <c r="A80" s="8">
        <v>42705</v>
      </c>
      <c r="B80" s="11">
        <f>IF(VLOOKUP(A80,'DB Country PMI'!$A:$W,MATCH($A$1,'DB Country PMI'!$A$1:$W$1,),)=0,#N/A,VLOOKUP(A80,'DB Country PMI'!$A:$W,MATCH($A$1,'DB Country PMI'!$A$1:$W$1,),))</f>
        <v>53.4</v>
      </c>
      <c r="C80" s="14">
        <f>Table134681134[[#This Row],[PMI]]-B79</f>
        <v>0.29999999999999716</v>
      </c>
    </row>
    <row r="81" spans="1:3" x14ac:dyDescent="0.2">
      <c r="A81" s="8">
        <v>42736</v>
      </c>
      <c r="B81" s="11">
        <f>IF(VLOOKUP(A81,'DB Country PMI'!$A:$W,MATCH($A$1,'DB Country PMI'!$A$1:$W$1,),)=0,#N/A,VLOOKUP(A81,'DB Country PMI'!$A:$W,MATCH($A$1,'DB Country PMI'!$A$1:$W$1,),))</f>
        <v>53.1</v>
      </c>
      <c r="C81" s="14">
        <f>Table134681134[[#This Row],[PMI]]-B80</f>
        <v>-0.29999999999999716</v>
      </c>
    </row>
    <row r="82" spans="1:3" x14ac:dyDescent="0.2">
      <c r="A82" s="8">
        <v>42767</v>
      </c>
      <c r="B82" s="11">
        <f>IF(VLOOKUP(A82,'DB Country PMI'!$A:$W,MATCH($A$1,'DB Country PMI'!$A$1:$W$1,),)=0,#N/A,VLOOKUP(A82,'DB Country PMI'!$A:$W,MATCH($A$1,'DB Country PMI'!$A$1:$W$1,),))</f>
        <v>52.6</v>
      </c>
      <c r="C82" s="14">
        <f>Table134681134[[#This Row],[PMI]]-B81</f>
        <v>-0.5</v>
      </c>
    </row>
    <row r="83" spans="1:3" x14ac:dyDescent="0.2">
      <c r="A83" s="8">
        <v>42795</v>
      </c>
      <c r="B83" s="11">
        <f>IF(VLOOKUP(A83,'DB Country PMI'!$A:$W,MATCH($A$1,'DB Country PMI'!$A$1:$W$1,),)=0,#N/A,VLOOKUP(A83,'DB Country PMI'!$A:$W,MATCH($A$1,'DB Country PMI'!$A$1:$W$1,),))</f>
        <v>52.2</v>
      </c>
      <c r="C83" s="14">
        <f>Table134681134[[#This Row],[PMI]]-B82</f>
        <v>-0.39999999999999858</v>
      </c>
    </row>
    <row r="84" spans="1:3" x14ac:dyDescent="0.2">
      <c r="A84" s="8">
        <v>42826</v>
      </c>
      <c r="B84" s="11">
        <f>IF(VLOOKUP(A84,'DB Country PMI'!$A:$W,MATCH($A$1,'DB Country PMI'!$A$1:$W$1,),)=0,#N/A,VLOOKUP(A84,'DB Country PMI'!$A:$W,MATCH($A$1,'DB Country PMI'!$A$1:$W$1,),))</f>
        <v>51.5</v>
      </c>
      <c r="C84" s="14">
        <f>Table134681134[[#This Row],[PMI]]-B83</f>
        <v>-0.70000000000000284</v>
      </c>
    </row>
    <row r="85" spans="1:3" x14ac:dyDescent="0.2">
      <c r="A85" s="8">
        <v>42856</v>
      </c>
      <c r="B85" s="11">
        <f>IF(VLOOKUP(A85,'DB Country PMI'!$A:$W,MATCH($A$1,'DB Country PMI'!$A$1:$W$1,),)=0,#N/A,VLOOKUP(A85,'DB Country PMI'!$A:$W,MATCH($A$1,'DB Country PMI'!$A$1:$W$1,),))</f>
        <v>52.8</v>
      </c>
      <c r="C85" s="14">
        <f>Table134681134[[#This Row],[PMI]]-B84</f>
        <v>1.2999999999999972</v>
      </c>
    </row>
    <row r="86" spans="1:3" x14ac:dyDescent="0.2">
      <c r="A86" s="8">
        <v>42887</v>
      </c>
      <c r="B86" s="11">
        <f>IF(VLOOKUP(A86,'DB Country PMI'!$A:$W,MATCH($A$1,'DB Country PMI'!$A$1:$W$1,),)=0,#N/A,VLOOKUP(A86,'DB Country PMI'!$A:$W,MATCH($A$1,'DB Country PMI'!$A$1:$W$1,),))</f>
        <v>51.6</v>
      </c>
      <c r="C86" s="14">
        <f>Table134681134[[#This Row],[PMI]]-B85</f>
        <v>-1.1999999999999957</v>
      </c>
    </row>
    <row r="87" spans="1:3" x14ac:dyDescent="0.2">
      <c r="A87" s="8">
        <v>42917</v>
      </c>
      <c r="B87" s="11">
        <f>IF(VLOOKUP(A87,'DB Country PMI'!$A:$W,MATCH($A$1,'DB Country PMI'!$A$1:$W$1,),)=0,#N/A,VLOOKUP(A87,'DB Country PMI'!$A:$W,MATCH($A$1,'DB Country PMI'!$A$1:$W$1,),))</f>
        <v>51.5</v>
      </c>
      <c r="C87" s="14">
        <f>Table134681134[[#This Row],[PMI]]-B86</f>
        <v>-0.10000000000000142</v>
      </c>
    </row>
    <row r="88" spans="1:3" x14ac:dyDescent="0.2">
      <c r="A88" s="8">
        <v>42948</v>
      </c>
      <c r="B88" s="11">
        <f>IF(VLOOKUP(A88,'DB Country PMI'!$A:$W,MATCH($A$1,'DB Country PMI'!$A$1:$W$1,),)=0,#N/A,VLOOKUP(A88,'DB Country PMI'!$A:$W,MATCH($A$1,'DB Country PMI'!$A$1:$W$1,),))</f>
        <v>52.7</v>
      </c>
      <c r="C88" s="14">
        <f>Table134681134[[#This Row],[PMI]]-B87</f>
        <v>1.2000000000000028</v>
      </c>
    </row>
    <row r="89" spans="1:3" x14ac:dyDescent="0.2">
      <c r="A89" s="8">
        <v>42979</v>
      </c>
      <c r="B89" s="11">
        <f>IF(VLOOKUP(A89,'DB Country PMI'!$A:$W,MATCH($A$1,'DB Country PMI'!$A$1:$W$1,),)=0,#N/A,VLOOKUP(A89,'DB Country PMI'!$A:$W,MATCH($A$1,'DB Country PMI'!$A$1:$W$1,),))</f>
        <v>50.6</v>
      </c>
      <c r="C89" s="14">
        <f>Table134681134[[#This Row],[PMI]]-B88</f>
        <v>-2.1000000000000014</v>
      </c>
    </row>
    <row r="90" spans="1:3" x14ac:dyDescent="0.2">
      <c r="A90" s="8">
        <v>43009</v>
      </c>
      <c r="B90" s="11">
        <f>IF(VLOOKUP(A90,'DB Country PMI'!$A:$W,MATCH($A$1,'DB Country PMI'!$A$1:$W$1,),)=0,#N/A,VLOOKUP(A90,'DB Country PMI'!$A:$W,MATCH($A$1,'DB Country PMI'!$A$1:$W$1,),))</f>
        <v>51.2</v>
      </c>
      <c r="C90" s="14">
        <f>Table134681134[[#This Row],[PMI]]-B89</f>
        <v>0.60000000000000142</v>
      </c>
    </row>
    <row r="91" spans="1:3" x14ac:dyDescent="0.2">
      <c r="A91" s="8">
        <v>43040</v>
      </c>
      <c r="B91" s="11">
        <f>IF(VLOOKUP(A91,'DB Country PMI'!$A:$W,MATCH($A$1,'DB Country PMI'!$A$1:$W$1,),)=0,#N/A,VLOOKUP(A91,'DB Country PMI'!$A:$W,MATCH($A$1,'DB Country PMI'!$A$1:$W$1,),))</f>
        <v>51.9</v>
      </c>
      <c r="C91" s="14">
        <f>Table134681134[[#This Row],[PMI]]-B90</f>
        <v>0.69999999999999574</v>
      </c>
    </row>
    <row r="92" spans="1:3" x14ac:dyDescent="0.2">
      <c r="A92" s="8">
        <v>43070</v>
      </c>
      <c r="B92" s="11">
        <f>IF(VLOOKUP(A92,'DB Country PMI'!$A:$W,MATCH($A$1,'DB Country PMI'!$A$1:$W$1,),)=0,#N/A,VLOOKUP(A92,'DB Country PMI'!$A:$W,MATCH($A$1,'DB Country PMI'!$A$1:$W$1,),))</f>
        <v>53.9</v>
      </c>
      <c r="C92" s="14">
        <f>Table134681134[[#This Row],[PMI]]-B91</f>
        <v>2</v>
      </c>
    </row>
    <row r="93" spans="1:3" x14ac:dyDescent="0.2">
      <c r="A93" s="8">
        <v>43101</v>
      </c>
      <c r="B93" s="11">
        <f>IF(VLOOKUP(A93,'DB Country PMI'!$A:$W,MATCH($A$1,'DB Country PMI'!$A$1:$W$1,),)=0,#N/A,VLOOKUP(A93,'DB Country PMI'!$A:$W,MATCH($A$1,'DB Country PMI'!$A$1:$W$1,),))</f>
        <v>54.7</v>
      </c>
      <c r="C93" s="14">
        <f>Table134681134[[#This Row],[PMI]]-B92</f>
        <v>0.80000000000000426</v>
      </c>
    </row>
    <row r="94" spans="1:3" x14ac:dyDescent="0.2">
      <c r="A94" s="8">
        <v>43132</v>
      </c>
      <c r="B94" s="11">
        <f>IF(VLOOKUP(A94,'DB Country PMI'!$A:$W,MATCH($A$1,'DB Country PMI'!$A$1:$W$1,),)=0,#N/A,VLOOKUP(A94,'DB Country PMI'!$A:$W,MATCH($A$1,'DB Country PMI'!$A$1:$W$1,),))</f>
        <v>54.2</v>
      </c>
      <c r="C94" s="14">
        <f>Table134681134[[#This Row],[PMI]]-B93</f>
        <v>-0.5</v>
      </c>
    </row>
    <row r="95" spans="1:3" x14ac:dyDescent="0.2">
      <c r="A95" s="8">
        <v>43160</v>
      </c>
      <c r="B95" s="11">
        <f>IF(VLOOKUP(A95,'DB Country PMI'!$A:$W,MATCH($A$1,'DB Country PMI'!$A$1:$W$1,),)=0,#N/A,VLOOKUP(A95,'DB Country PMI'!$A:$W,MATCH($A$1,'DB Country PMI'!$A$1:$W$1,),))</f>
        <v>52.3</v>
      </c>
      <c r="C95" s="14">
        <f>Table134681134[[#This Row],[PMI]]-B94</f>
        <v>-1.9000000000000057</v>
      </c>
    </row>
    <row r="96" spans="1:3" x14ac:dyDescent="0.2">
      <c r="A96" s="8">
        <v>43191</v>
      </c>
      <c r="B96" s="11">
        <f>IF(VLOOKUP(A96,'DB Country PMI'!$A:$W,MATCH($A$1,'DB Country PMI'!$A$1:$W$1,),)=0,#N/A,VLOOKUP(A96,'DB Country PMI'!$A:$W,MATCH($A$1,'DB Country PMI'!$A$1:$W$1,),))</f>
        <v>52.9</v>
      </c>
      <c r="C96" s="14">
        <f>Table134681134[[#This Row],[PMI]]-B95</f>
        <v>0.60000000000000142</v>
      </c>
    </row>
    <row r="97" spans="1:3" x14ac:dyDescent="0.2">
      <c r="A97" s="8">
        <v>43221</v>
      </c>
      <c r="B97" s="11">
        <f>IF(VLOOKUP(A97,'DB Country PMI'!$A:$W,MATCH($A$1,'DB Country PMI'!$A$1:$W$1,),)=0,#N/A,VLOOKUP(A97,'DB Country PMI'!$A:$W,MATCH($A$1,'DB Country PMI'!$A$1:$W$1,),))</f>
        <v>52.9</v>
      </c>
      <c r="C97" s="14">
        <f>Table134681134[[#This Row],[PMI]]-B96</f>
        <v>0</v>
      </c>
    </row>
    <row r="98" spans="1:3" x14ac:dyDescent="0.2">
      <c r="A98" s="8">
        <v>43252</v>
      </c>
      <c r="B98" s="11">
        <f>IF(VLOOKUP(A98,'DB Country PMI'!$A:$W,MATCH($A$1,'DB Country PMI'!$A$1:$W$1,),)=0,#N/A,VLOOKUP(A98,'DB Country PMI'!$A:$W,MATCH($A$1,'DB Country PMI'!$A$1:$W$1,),))</f>
        <v>53.9</v>
      </c>
      <c r="C98" s="14">
        <f>Table134681134[[#This Row],[PMI]]-B97</f>
        <v>1</v>
      </c>
    </row>
    <row r="99" spans="1:3" x14ac:dyDescent="0.2">
      <c r="A99" s="8">
        <v>43282</v>
      </c>
      <c r="B99" s="11">
        <f>IF(VLOOKUP(A99,'DB Country PMI'!$A:$W,MATCH($A$1,'DB Country PMI'!$A$1:$W$1,),)=0,#N/A,VLOOKUP(A99,'DB Country PMI'!$A:$W,MATCH($A$1,'DB Country PMI'!$A$1:$W$1,),))</f>
        <v>52.8</v>
      </c>
      <c r="C99" s="14">
        <f>Table134681134[[#This Row],[PMI]]-B98</f>
        <v>-1.1000000000000014</v>
      </c>
    </row>
    <row r="100" spans="1:3" x14ac:dyDescent="0.2">
      <c r="A100" s="8">
        <v>43313</v>
      </c>
      <c r="B100" s="11">
        <f>IF(VLOOKUP(A100,'DB Country PMI'!$A:$W,MATCH($A$1,'DB Country PMI'!$A$1:$W$1,),)=0,#N/A,VLOOKUP(A100,'DB Country PMI'!$A:$W,MATCH($A$1,'DB Country PMI'!$A$1:$W$1,),))</f>
        <v>51.5</v>
      </c>
      <c r="C100" s="14">
        <f>Table134681134[[#This Row],[PMI]]-B99</f>
        <v>-1.2999999999999972</v>
      </c>
    </row>
    <row r="101" spans="1:3" x14ac:dyDescent="0.2">
      <c r="A101" s="8">
        <v>43344</v>
      </c>
      <c r="B101" s="11">
        <f>IF(VLOOKUP(A101,'DB Country PMI'!$A:$W,MATCH($A$1,'DB Country PMI'!$A$1:$W$1,),)=0,#N/A,VLOOKUP(A101,'DB Country PMI'!$A:$W,MATCH($A$1,'DB Country PMI'!$A$1:$W$1,),))</f>
        <v>53.1</v>
      </c>
      <c r="C101" s="14">
        <f>Table134681134[[#This Row],[PMI]]-B100</f>
        <v>1.6000000000000014</v>
      </c>
    </row>
    <row r="102" spans="1:3" x14ac:dyDescent="0.2">
      <c r="A102" s="8">
        <v>43374</v>
      </c>
      <c r="B102" s="11">
        <f>IF(VLOOKUP(A102,'DB Country PMI'!$A:$W,MATCH($A$1,'DB Country PMI'!$A$1:$W$1,),)=0,#N/A,VLOOKUP(A102,'DB Country PMI'!$A:$W,MATCH($A$1,'DB Country PMI'!$A$1:$W$1,),))</f>
        <v>50.8</v>
      </c>
      <c r="C102" s="14">
        <f>Table134681134[[#This Row],[PMI]]-B101</f>
        <v>-2.3000000000000043</v>
      </c>
    </row>
    <row r="103" spans="1:3" x14ac:dyDescent="0.2">
      <c r="A103" s="8">
        <v>43405</v>
      </c>
      <c r="B103" s="11">
        <f>IF(VLOOKUP(A103,'DB Country PMI'!$A:$W,MATCH($A$1,'DB Country PMI'!$A$1:$W$1,),)=0,#N/A,VLOOKUP(A103,'DB Country PMI'!$A:$W,MATCH($A$1,'DB Country PMI'!$A$1:$W$1,),))</f>
        <v>53.8</v>
      </c>
      <c r="C103" s="14">
        <f>Table134681134[[#This Row],[PMI]]-B102</f>
        <v>3</v>
      </c>
    </row>
    <row r="104" spans="1:3" x14ac:dyDescent="0.2">
      <c r="A104" s="8">
        <v>43435</v>
      </c>
      <c r="B104" s="11">
        <f>IF(VLOOKUP(A104,'DB Country PMI'!$A:$W,MATCH($A$1,'DB Country PMI'!$A$1:$W$1,),)=0,#N/A,VLOOKUP(A104,'DB Country PMI'!$A:$W,MATCH($A$1,'DB Country PMI'!$A$1:$W$1,),))</f>
        <v>53.9</v>
      </c>
      <c r="C104" s="14">
        <f>Table134681134[[#This Row],[PMI]]-B103</f>
        <v>0.10000000000000142</v>
      </c>
    </row>
    <row r="105" spans="1:3" x14ac:dyDescent="0.2">
      <c r="A105" s="8">
        <v>43466</v>
      </c>
      <c r="B105" s="11">
        <f>IF(VLOOKUP(A105,'DB Country PMI'!$A:$W,MATCH($A$1,'DB Country PMI'!$A$1:$W$1,),)=0,#N/A,VLOOKUP(A105,'DB Country PMI'!$A:$W,MATCH($A$1,'DB Country PMI'!$A$1:$W$1,),))</f>
        <v>53.6</v>
      </c>
      <c r="C105" s="14">
        <f>Table134681134[[#This Row],[PMI]]-B104</f>
        <v>-0.29999999999999716</v>
      </c>
    </row>
    <row r="106" spans="1:3" x14ac:dyDescent="0.2">
      <c r="A106" s="8">
        <v>43497</v>
      </c>
      <c r="B106" s="11">
        <f>IF(VLOOKUP(A106,'DB Country PMI'!$A:$W,MATCH($A$1,'DB Country PMI'!$A$1:$W$1,),)=0,#N/A,VLOOKUP(A106,'DB Country PMI'!$A:$W,MATCH($A$1,'DB Country PMI'!$A$1:$W$1,),))</f>
        <v>51.1</v>
      </c>
      <c r="C106" s="14">
        <f>Table134681134[[#This Row],[PMI]]-B105</f>
        <v>-2.5</v>
      </c>
    </row>
    <row r="107" spans="1:3" x14ac:dyDescent="0.2">
      <c r="A107" s="8">
        <v>43525</v>
      </c>
      <c r="B107" s="11">
        <f>IF(VLOOKUP(A107,'DB Country PMI'!$A:$W,MATCH($A$1,'DB Country PMI'!$A$1:$W$1,),)=0,#N/A,VLOOKUP(A107,'DB Country PMI'!$A:$W,MATCH($A$1,'DB Country PMI'!$A$1:$W$1,),))</f>
        <v>54.4</v>
      </c>
      <c r="C107" s="14">
        <f>Table134681134[[#This Row],[PMI]]-B106</f>
        <v>3.2999999999999972</v>
      </c>
    </row>
    <row r="108" spans="1:3" x14ac:dyDescent="0.2">
      <c r="A108" s="8">
        <v>43556</v>
      </c>
      <c r="B108" s="11">
        <f>IF(VLOOKUP(A108,'DB Country PMI'!$A:$W,MATCH($A$1,'DB Country PMI'!$A$1:$W$1,),)=0,#N/A,VLOOKUP(A108,'DB Country PMI'!$A:$W,MATCH($A$1,'DB Country PMI'!$A$1:$W$1,),))</f>
        <v>54.5</v>
      </c>
      <c r="C108" s="14">
        <f>Table134681134[[#This Row],[PMI]]-B107</f>
        <v>0.10000000000000142</v>
      </c>
    </row>
    <row r="109" spans="1:3" x14ac:dyDescent="0.2">
      <c r="A109" s="8">
        <v>43586</v>
      </c>
      <c r="B109" s="11">
        <f>IF(VLOOKUP(A109,'DB Country PMI'!$A:$W,MATCH($A$1,'DB Country PMI'!$A$1:$W$1,),)=0,#N/A,VLOOKUP(A109,'DB Country PMI'!$A:$W,MATCH($A$1,'DB Country PMI'!$A$1:$W$1,),))</f>
        <v>52.7</v>
      </c>
      <c r="C109" s="14">
        <f>Table134681134[[#This Row],[PMI]]-B108</f>
        <v>-1.7999999999999972</v>
      </c>
    </row>
    <row r="110" spans="1:3" x14ac:dyDescent="0.2">
      <c r="A110" s="8">
        <v>43617</v>
      </c>
      <c r="B110" s="11">
        <f>IF(VLOOKUP(A110,'DB Country PMI'!$A:$W,MATCH($A$1,'DB Country PMI'!$A$1:$W$1,),)=0,#N/A,VLOOKUP(A110,'DB Country PMI'!$A:$W,MATCH($A$1,'DB Country PMI'!$A$1:$W$1,),))</f>
        <v>52</v>
      </c>
      <c r="C110" s="14">
        <f>Table134681134[[#This Row],[PMI]]-B109</f>
        <v>-0.70000000000000284</v>
      </c>
    </row>
    <row r="111" spans="1:3" x14ac:dyDescent="0.2">
      <c r="A111" s="8">
        <v>43647</v>
      </c>
      <c r="B111" s="11">
        <f>IF(VLOOKUP(A111,'DB Country PMI'!$A:$W,MATCH($A$1,'DB Country PMI'!$A$1:$W$1,),)=0,#N/A,VLOOKUP(A111,'DB Country PMI'!$A:$W,MATCH($A$1,'DB Country PMI'!$A$1:$W$1,),))</f>
        <v>51.6</v>
      </c>
      <c r="C111" s="14">
        <f>Table134681134[[#This Row],[PMI]]-B110</f>
        <v>-0.39999999999999858</v>
      </c>
    </row>
    <row r="112" spans="1:3" x14ac:dyDescent="0.2">
      <c r="A112" s="8">
        <v>43678</v>
      </c>
      <c r="B112" s="11">
        <f>IF(VLOOKUP(A112,'DB Country PMI'!$A:$W,MATCH($A$1,'DB Country PMI'!$A$1:$W$1,),)=0,#N/A,VLOOKUP(A112,'DB Country PMI'!$A:$W,MATCH($A$1,'DB Country PMI'!$A$1:$W$1,),))</f>
        <v>52.1</v>
      </c>
      <c r="C112" s="14">
        <f>Table134681134[[#This Row],[PMI]]-B111</f>
        <v>0.5</v>
      </c>
    </row>
    <row r="113" spans="1:6" x14ac:dyDescent="0.2">
      <c r="A113" s="8">
        <v>43709</v>
      </c>
      <c r="B113" s="11">
        <f>IF(VLOOKUP(A113,'DB Country PMI'!$A:$W,MATCH($A$1,'DB Country PMI'!$A$1:$W$1,),)=0,#N/A,VLOOKUP(A113,'DB Country PMI'!$A:$W,MATCH($A$1,'DB Country PMI'!$A$1:$W$1,),))</f>
        <v>51.3</v>
      </c>
      <c r="C113" s="14">
        <f>Table134681134[[#This Row],[PMI]]-B112</f>
        <v>-0.80000000000000426</v>
      </c>
    </row>
    <row r="114" spans="1:6" x14ac:dyDescent="0.2">
      <c r="A114" s="8">
        <v>43739</v>
      </c>
      <c r="B114" s="11">
        <f>IF(VLOOKUP(A114,'DB Country PMI'!$A:$W,MATCH($A$1,'DB Country PMI'!$A$1:$W$1,),)=0,#N/A,VLOOKUP(A114,'DB Country PMI'!$A:$W,MATCH($A$1,'DB Country PMI'!$A$1:$W$1,),))</f>
        <v>51.1</v>
      </c>
      <c r="C114" s="14">
        <f>Table134681134[[#This Row],[PMI]]-B113</f>
        <v>-0.19999999999999574</v>
      </c>
      <c r="F114" s="48"/>
    </row>
    <row r="115" spans="1:6" x14ac:dyDescent="0.2">
      <c r="A115" s="8">
        <v>43770</v>
      </c>
      <c r="B115" s="11">
        <f>IF(VLOOKUP(A115,'DB Country PMI'!$A:$W,MATCH($A$1,'DB Country PMI'!$A$1:$W$1,),)=0,#N/A,VLOOKUP(A115,'DB Country PMI'!$A:$W,MATCH($A$1,'DB Country PMI'!$A$1:$W$1,),))</f>
        <v>53.5</v>
      </c>
      <c r="C115" s="14">
        <f>Table134681134[[#This Row],[PMI]]-B114</f>
        <v>2.3999999999999986</v>
      </c>
    </row>
    <row r="116" spans="1:6" x14ac:dyDescent="0.2">
      <c r="A116" s="8">
        <v>43800</v>
      </c>
      <c r="B116" s="11">
        <f>IF(VLOOKUP(A116,'DB Country PMI'!$A:$W,MATCH($A$1,'DB Country PMI'!$A$1:$W$1,),)=0,#N/A,VLOOKUP(A116,'DB Country PMI'!$A:$W,MATCH($A$1,'DB Country PMI'!$A$1:$W$1,),))</f>
        <v>52.5</v>
      </c>
      <c r="C116" s="14">
        <f>Table134681134[[#This Row],[PMI]]-B115</f>
        <v>-1</v>
      </c>
    </row>
    <row r="117" spans="1:6" x14ac:dyDescent="0.2">
      <c r="A117" s="8">
        <v>43831</v>
      </c>
      <c r="B117" s="11">
        <f>IF(VLOOKUP(A117,'DB Country PMI'!$A:$W,MATCH($A$1,'DB Country PMI'!$A$1:$W$1,),)=0,#N/A,VLOOKUP(A117,'DB Country PMI'!$A:$W,MATCH($A$1,'DB Country PMI'!$A$1:$W$1,),))</f>
        <v>51.8</v>
      </c>
      <c r="C117" s="14">
        <f>Table134681134[[#This Row],[PMI]]-B116</f>
        <v>-0.70000000000000284</v>
      </c>
    </row>
    <row r="118" spans="1:6" x14ac:dyDescent="0.2">
      <c r="A118" s="8">
        <v>43862</v>
      </c>
      <c r="B118" s="11">
        <f>IF(VLOOKUP(A118,'DB Country PMI'!$A:$W,MATCH($A$1,'DB Country PMI'!$A$1:$W$1,),)=0,#N/A,VLOOKUP(A118,'DB Country PMI'!$A:$W,MATCH($A$1,'DB Country PMI'!$A$1:$W$1,),))</f>
        <v>26.5</v>
      </c>
      <c r="C118" s="14">
        <f>Table134681134[[#This Row],[PMI]]-B117</f>
        <v>-25.299999999999997</v>
      </c>
    </row>
    <row r="119" spans="1:6" x14ac:dyDescent="0.2">
      <c r="A119" s="8">
        <v>43891</v>
      </c>
      <c r="B119" s="11">
        <f>IF(VLOOKUP(A119,'DB Country PMI'!$A:$W,MATCH($A$1,'DB Country PMI'!$A$1:$W$1,),)=0,#N/A,VLOOKUP(A119,'DB Country PMI'!$A:$W,MATCH($A$1,'DB Country PMI'!$A$1:$W$1,),))</f>
        <v>43</v>
      </c>
      <c r="C119" s="14">
        <f>Table134681134[[#This Row],[PMI]]-B118</f>
        <v>16.5</v>
      </c>
    </row>
    <row r="120" spans="1:6" x14ac:dyDescent="0.2">
      <c r="A120" s="8">
        <v>43922</v>
      </c>
      <c r="B120" s="11">
        <f>IF(VLOOKUP(A120,'DB Country PMI'!$A:$W,MATCH($A$1,'DB Country PMI'!$A$1:$W$1,),)=0,#N/A,VLOOKUP(A120,'DB Country PMI'!$A:$W,MATCH($A$1,'DB Country PMI'!$A$1:$W$1,),))</f>
        <v>44.4</v>
      </c>
      <c r="C120" s="14">
        <f>Table134681134[[#This Row],[PMI]]-B119</f>
        <v>1.3999999999999986</v>
      </c>
    </row>
    <row r="121" spans="1:6" x14ac:dyDescent="0.2">
      <c r="A121" s="8">
        <v>43952</v>
      </c>
      <c r="B121" s="11">
        <f>IF(VLOOKUP(A121,'DB Country PMI'!$A:$W,MATCH($A$1,'DB Country PMI'!$A$1:$W$1,),)=0,#N/A,VLOOKUP(A121,'DB Country PMI'!$A:$W,MATCH($A$1,'DB Country PMI'!$A$1:$W$1,),))</f>
        <v>55</v>
      </c>
      <c r="C121" s="14">
        <f>Table134681134[[#This Row],[PMI]]-B120</f>
        <v>10.600000000000001</v>
      </c>
    </row>
    <row r="122" spans="1:6" x14ac:dyDescent="0.2">
      <c r="A122" s="8">
        <v>43983</v>
      </c>
      <c r="B122" s="11">
        <f>IF(VLOOKUP(A122,'DB Country PMI'!$A:$W,MATCH($A$1,'DB Country PMI'!$A$1:$W$1,),)=0,#N/A,VLOOKUP(A122,'DB Country PMI'!$A:$W,MATCH($A$1,'DB Country PMI'!$A$1:$W$1,),))</f>
        <v>58.4</v>
      </c>
      <c r="C122" s="14">
        <f>Table134681134[[#This Row],[PMI]]-B121</f>
        <v>3.3999999999999986</v>
      </c>
    </row>
    <row r="123" spans="1:6" x14ac:dyDescent="0.2">
      <c r="A123" s="8">
        <v>44013</v>
      </c>
      <c r="B123" s="11">
        <f>IF(VLOOKUP(A123,'DB Country PMI'!$A:$W,MATCH($A$1,'DB Country PMI'!$A$1:$W$1,),)=0,#N/A,VLOOKUP(A123,'DB Country PMI'!$A:$W,MATCH($A$1,'DB Country PMI'!$A$1:$W$1,),))</f>
        <v>54.1</v>
      </c>
      <c r="C123" s="14">
        <f>Table134681134[[#This Row],[PMI]]-B122</f>
        <v>-4.2999999999999972</v>
      </c>
    </row>
    <row r="124" spans="1:6" x14ac:dyDescent="0.2">
      <c r="A124" s="8">
        <v>44044</v>
      </c>
      <c r="B124" s="11">
        <f>IF(VLOOKUP(A124,'DB Country PMI'!$A:$W,MATCH($A$1,'DB Country PMI'!$A$1:$W$1,),)=0,#N/A,VLOOKUP(A124,'DB Country PMI'!$A:$W,MATCH($A$1,'DB Country PMI'!$A$1:$W$1,),))</f>
        <v>54</v>
      </c>
      <c r="C124" s="14">
        <f>Table134681134[[#This Row],[PMI]]-B123</f>
        <v>-0.10000000000000142</v>
      </c>
    </row>
    <row r="125" spans="1:6" x14ac:dyDescent="0.2">
      <c r="A125" s="8">
        <v>44075</v>
      </c>
      <c r="B125" s="11">
        <f>IF(VLOOKUP(A125,'DB Country PMI'!$A:$W,MATCH($A$1,'DB Country PMI'!$A$1:$W$1,),)=0,#N/A,VLOOKUP(A125,'DB Country PMI'!$A:$W,MATCH($A$1,'DB Country PMI'!$A$1:$W$1,),))</f>
        <v>54.8</v>
      </c>
      <c r="C125" s="14">
        <f>Table134681134[[#This Row],[PMI]]-B124</f>
        <v>0.79999999999999716</v>
      </c>
    </row>
    <row r="126" spans="1:6" x14ac:dyDescent="0.2">
      <c r="A126" s="8">
        <v>44105</v>
      </c>
      <c r="B126" s="11">
        <f>IF(VLOOKUP(A126,'DB Country PMI'!$A:$W,MATCH($A$1,'DB Country PMI'!$A$1:$W$1,),)=0,#N/A,VLOOKUP(A126,'DB Country PMI'!$A:$W,MATCH($A$1,'DB Country PMI'!$A$1:$W$1,),))</f>
        <v>56.8</v>
      </c>
      <c r="C126" s="14">
        <f>Table134681134[[#This Row],[PMI]]-B125</f>
        <v>2</v>
      </c>
    </row>
    <row r="127" spans="1:6" x14ac:dyDescent="0.2">
      <c r="A127" s="8">
        <v>44136</v>
      </c>
      <c r="B127" s="11">
        <f>IF(VLOOKUP(A127,'DB Country PMI'!$A:$W,MATCH($A$1,'DB Country PMI'!$A$1:$W$1,),)=0,#N/A,VLOOKUP(A127,'DB Country PMI'!$A:$W,MATCH($A$1,'DB Country PMI'!$A$1:$W$1,),))</f>
        <v>57.8</v>
      </c>
      <c r="C127" s="14">
        <f>Table134681134[[#This Row],[PMI]]-B126</f>
        <v>1</v>
      </c>
    </row>
    <row r="128" spans="1:6" x14ac:dyDescent="0.2">
      <c r="A128" s="8">
        <v>44166</v>
      </c>
      <c r="B128" s="11">
        <f>IF(VLOOKUP(A128,'DB Country PMI'!$A:$W,MATCH($A$1,'DB Country PMI'!$A$1:$W$1,),)=0,#N/A,VLOOKUP(A128,'DB Country PMI'!$A:$W,MATCH($A$1,'DB Country PMI'!$A$1:$W$1,),))</f>
        <v>56.3</v>
      </c>
      <c r="C128" s="14">
        <f>Table134681134[[#This Row],[PMI]]-B127</f>
        <v>-1.5</v>
      </c>
    </row>
    <row r="129" spans="1:3" x14ac:dyDescent="0.2">
      <c r="A129" s="8">
        <v>44197</v>
      </c>
      <c r="B129" s="11">
        <f>IF(VLOOKUP(A129,'DB Country PMI'!$A:$W,MATCH($A$1,'DB Country PMI'!$A$1:$W$1,),)=0,#N/A,VLOOKUP(A129,'DB Country PMI'!$A:$W,MATCH($A$1,'DB Country PMI'!$A$1:$W$1,),))</f>
        <v>52</v>
      </c>
      <c r="C129" s="14">
        <f>Table134681134[[#This Row],[PMI]]-B128</f>
        <v>-4.2999999999999972</v>
      </c>
    </row>
    <row r="130" spans="1:3" x14ac:dyDescent="0.2">
      <c r="A130" s="8">
        <v>44228</v>
      </c>
      <c r="B130" s="11">
        <f>IF(VLOOKUP(A130,'DB Country PMI'!$A:$W,MATCH($A$1,'DB Country PMI'!$A$1:$W$1,),)=0,#N/A,VLOOKUP(A130,'DB Country PMI'!$A:$W,MATCH($A$1,'DB Country PMI'!$A$1:$W$1,),))</f>
        <v>51.5</v>
      </c>
      <c r="C130" s="14">
        <f>Table134681134[[#This Row],[PMI]]-B129</f>
        <v>-0.5</v>
      </c>
    </row>
    <row r="131" spans="1:3" x14ac:dyDescent="0.2">
      <c r="A131" s="8">
        <v>44256</v>
      </c>
      <c r="B131" s="11">
        <f>IF(VLOOKUP(A131,'DB Country PMI'!$A:$W,MATCH($A$1,'DB Country PMI'!$A$1:$W$1,),)=0,#N/A,VLOOKUP(A131,'DB Country PMI'!$A:$W,MATCH($A$1,'DB Country PMI'!$A$1:$W$1,),))</f>
        <v>54.3</v>
      </c>
      <c r="C131" s="14">
        <f>Table134681134[[#This Row],[PMI]]-B130</f>
        <v>2.7999999999999972</v>
      </c>
    </row>
    <row r="132" spans="1:3" x14ac:dyDescent="0.2">
      <c r="A132" s="8">
        <v>44287</v>
      </c>
      <c r="B132" s="11">
        <f>IF(VLOOKUP(A132,'DB Country PMI'!$A:$W,MATCH($A$1,'DB Country PMI'!$A$1:$W$1,),)=0,#N/A,VLOOKUP(A132,'DB Country PMI'!$A:$W,MATCH($A$1,'DB Country PMI'!$A$1:$W$1,),))</f>
        <v>56.3</v>
      </c>
      <c r="C132" s="14">
        <f>Table134681134[[#This Row],[PMI]]-B131</f>
        <v>2</v>
      </c>
    </row>
    <row r="133" spans="1:3" x14ac:dyDescent="0.2">
      <c r="A133" s="8">
        <v>44317</v>
      </c>
      <c r="B133" s="11">
        <f>IF(VLOOKUP(A133,'DB Country PMI'!$A:$W,MATCH($A$1,'DB Country PMI'!$A$1:$W$1,),)=0,#N/A,VLOOKUP(A133,'DB Country PMI'!$A:$W,MATCH($A$1,'DB Country PMI'!$A$1:$W$1,),))</f>
        <v>55.1</v>
      </c>
      <c r="C133" s="14">
        <f>Table134681134[[#This Row],[PMI]]-B132</f>
        <v>-1.1999999999999957</v>
      </c>
    </row>
    <row r="134" spans="1:3" x14ac:dyDescent="0.2">
      <c r="A134" s="8">
        <v>44348</v>
      </c>
      <c r="B134" s="11">
        <f>IF(VLOOKUP(A134,'DB Country PMI'!$A:$W,MATCH($A$1,'DB Country PMI'!$A$1:$W$1,),)=0,#N/A,VLOOKUP(A134,'DB Country PMI'!$A:$W,MATCH($A$1,'DB Country PMI'!$A$1:$W$1,),))</f>
        <v>50.3</v>
      </c>
      <c r="C134" s="14">
        <f>Table134681134[[#This Row],[PMI]]-B133</f>
        <v>-4.8000000000000043</v>
      </c>
    </row>
    <row r="135" spans="1:3" x14ac:dyDescent="0.2">
      <c r="A135" s="8">
        <v>44378</v>
      </c>
      <c r="B135" s="11">
        <f>IF(VLOOKUP(A135,'DB Country PMI'!$A:$W,MATCH($A$1,'DB Country PMI'!$A$1:$W$1,),)=0,#N/A,VLOOKUP(A135,'DB Country PMI'!$A:$W,MATCH($A$1,'DB Country PMI'!$A$1:$W$1,),))</f>
        <v>54.9</v>
      </c>
      <c r="C135" s="14">
        <f>Table134681134[[#This Row],[PMI]]-B134</f>
        <v>4.6000000000000014</v>
      </c>
    </row>
    <row r="136" spans="1:3" x14ac:dyDescent="0.2">
      <c r="A136" s="8">
        <v>44409</v>
      </c>
      <c r="B136" s="11">
        <f>IF(VLOOKUP(A136,'DB Country PMI'!$A:$W,MATCH($A$1,'DB Country PMI'!$A$1:$W$1,),)=0,#N/A,VLOOKUP(A136,'DB Country PMI'!$A:$W,MATCH($A$1,'DB Country PMI'!$A$1:$W$1,),))</f>
        <v>46.7</v>
      </c>
      <c r="C136" s="14">
        <f>Table134681134[[#This Row],[PMI]]-B135</f>
        <v>-8.1999999999999957</v>
      </c>
    </row>
    <row r="137" spans="1:3" x14ac:dyDescent="0.2">
      <c r="A137" s="8">
        <v>44440</v>
      </c>
      <c r="B137" s="11">
        <f>IF(VLOOKUP(A137,'DB Country PMI'!$A:$W,MATCH($A$1,'DB Country PMI'!$A$1:$W$1,),)=0,#N/A,VLOOKUP(A137,'DB Country PMI'!$A:$W,MATCH($A$1,'DB Country PMI'!$A$1:$W$1,),))</f>
        <v>53.4</v>
      </c>
      <c r="C137" s="14">
        <f>Table134681134[[#This Row],[PMI]]-B136</f>
        <v>6.6999999999999957</v>
      </c>
    </row>
    <row r="138" spans="1:3" x14ac:dyDescent="0.2">
      <c r="A138" s="8">
        <v>44470</v>
      </c>
      <c r="B138" s="11">
        <f>IF(VLOOKUP(A138,'DB Country PMI'!$A:$W,MATCH($A$1,'DB Country PMI'!$A$1:$W$1,),)=0,#N/A,VLOOKUP(A138,'DB Country PMI'!$A:$W,MATCH($A$1,'DB Country PMI'!$A$1:$W$1,),))</f>
        <v>53.8</v>
      </c>
      <c r="C138" s="14">
        <f>Table134681134[[#This Row],[PMI]]-B137</f>
        <v>0.39999999999999858</v>
      </c>
    </row>
    <row r="139" spans="1:3" x14ac:dyDescent="0.2">
      <c r="A139" s="8">
        <v>44501</v>
      </c>
      <c r="B139" s="11">
        <f>IF(VLOOKUP(A139,'DB Country PMI'!$A:$W,MATCH($A$1,'DB Country PMI'!$A$1:$W$1,),)=0,#N/A,VLOOKUP(A139,'DB Country PMI'!$A:$W,MATCH($A$1,'DB Country PMI'!$A$1:$W$1,),))</f>
        <v>52.1</v>
      </c>
      <c r="C139" s="14">
        <f>Table134681134[[#This Row],[PMI]]-B138</f>
        <v>-1.6999999999999957</v>
      </c>
    </row>
    <row r="140" spans="1:3" x14ac:dyDescent="0.2">
      <c r="A140" s="8">
        <v>44531</v>
      </c>
      <c r="B140" s="11">
        <f>IF(VLOOKUP(A140,'DB Country PMI'!$A:$W,MATCH($A$1,'DB Country PMI'!$A$1:$W$1,),)=0,#N/A,VLOOKUP(A140,'DB Country PMI'!$A:$W,MATCH($A$1,'DB Country PMI'!$A$1:$W$1,),))</f>
        <v>53.1</v>
      </c>
      <c r="C140" s="14">
        <f>Table134681134[[#This Row],[PMI]]-B139</f>
        <v>1</v>
      </c>
    </row>
    <row r="141" spans="1:3" x14ac:dyDescent="0.2">
      <c r="A141" s="8">
        <v>44562</v>
      </c>
      <c r="B141" s="11">
        <f>IF(VLOOKUP(A141,'DB Country PMI'!$A:$W,MATCH($A$1,'DB Country PMI'!$A$1:$W$1,),)=0,#N/A,VLOOKUP(A141,'DB Country PMI'!$A:$W,MATCH($A$1,'DB Country PMI'!$A$1:$W$1,),))</f>
        <v>51.4</v>
      </c>
      <c r="C141" s="14">
        <f>Table134681134[[#This Row],[PMI]]-B140</f>
        <v>-1.7000000000000028</v>
      </c>
    </row>
    <row r="142" spans="1:3" x14ac:dyDescent="0.2">
      <c r="A142" s="8">
        <v>44593</v>
      </c>
      <c r="B142" s="11">
        <f>IF(VLOOKUP(A142,'DB Country PMI'!$A:$W,MATCH($A$1,'DB Country PMI'!$A$1:$W$1,),)=0,#N/A,VLOOKUP(A142,'DB Country PMI'!$A:$W,MATCH($A$1,'DB Country PMI'!$A$1:$W$1,),))</f>
        <v>50.2</v>
      </c>
      <c r="C142" s="14">
        <f>Table134681134[[#This Row],[PMI]]-B141</f>
        <v>-1.1999999999999957</v>
      </c>
    </row>
    <row r="143" spans="1:3" x14ac:dyDescent="0.2">
      <c r="A143" s="8">
        <v>44621</v>
      </c>
      <c r="B143" s="11">
        <f>IF(VLOOKUP(A143,'DB Country PMI'!$A:$W,MATCH($A$1,'DB Country PMI'!$A$1:$W$1,),)=0,#N/A,VLOOKUP(A143,'DB Country PMI'!$A:$W,MATCH($A$1,'DB Country PMI'!$A$1:$W$1,),))</f>
        <v>42</v>
      </c>
      <c r="C143" s="14">
        <f>Table134681134[[#This Row],[PMI]]-B142</f>
        <v>-8.2000000000000028</v>
      </c>
    </row>
    <row r="144" spans="1:3" x14ac:dyDescent="0.2">
      <c r="A144" s="8">
        <v>44652</v>
      </c>
      <c r="B144" s="11">
        <f>IF(VLOOKUP(A144,'DB Country PMI'!$A:$W,MATCH($A$1,'DB Country PMI'!$A$1:$W$1,),)=0,#N/A,VLOOKUP(A144,'DB Country PMI'!$A:$W,MATCH($A$1,'DB Country PMI'!$A$1:$W$1,),))</f>
        <v>36.200000000000003</v>
      </c>
      <c r="C144" s="14">
        <f>Table134681134[[#This Row],[PMI]]-B143</f>
        <v>-5.7999999999999972</v>
      </c>
    </row>
    <row r="145" spans="1:3" x14ac:dyDescent="0.2">
      <c r="A145" s="8">
        <v>44682</v>
      </c>
      <c r="B145" s="11">
        <f>IF(VLOOKUP(A145,'DB Country PMI'!$A:$W,MATCH($A$1,'DB Country PMI'!$A$1:$W$1,),)=0,#N/A,VLOOKUP(A145,'DB Country PMI'!$A:$W,MATCH($A$1,'DB Country PMI'!$A$1:$W$1,),))</f>
        <v>41.4</v>
      </c>
      <c r="C145" s="14">
        <f>Table134681134[[#This Row],[PMI]]-B144</f>
        <v>5.1999999999999957</v>
      </c>
    </row>
    <row r="146" spans="1:3" x14ac:dyDescent="0.2">
      <c r="A146" s="8">
        <v>44713</v>
      </c>
      <c r="B146" s="11">
        <f>IF(VLOOKUP(A146,'DB Country PMI'!$A:$W,MATCH($A$1,'DB Country PMI'!$A$1:$W$1,),)=0,#N/A,VLOOKUP(A146,'DB Country PMI'!$A:$W,MATCH($A$1,'DB Country PMI'!$A$1:$W$1,),))</f>
        <v>54.5</v>
      </c>
      <c r="C146" s="14">
        <f>Table134681134[[#This Row],[PMI]]-B145</f>
        <v>13.100000000000001</v>
      </c>
    </row>
    <row r="147" spans="1:3" x14ac:dyDescent="0.2">
      <c r="A147" s="8">
        <v>44743</v>
      </c>
      <c r="B147" s="11">
        <f>IF(VLOOKUP(A147,'DB Country PMI'!$A:$W,MATCH($A$1,'DB Country PMI'!$A$1:$W$1,),)=0,#N/A,VLOOKUP(A147,'DB Country PMI'!$A:$W,MATCH($A$1,'DB Country PMI'!$A$1:$W$1,),))</f>
        <v>55.5</v>
      </c>
      <c r="C147" s="14">
        <f>Table134681134[[#This Row],[PMI]]-B146</f>
        <v>1</v>
      </c>
    </row>
    <row r="148" spans="1:3" x14ac:dyDescent="0.2">
      <c r="A148" s="8">
        <v>44774</v>
      </c>
      <c r="B148" s="11">
        <f>IF(VLOOKUP(A148,'DB Country PMI'!$A:$W,MATCH($A$1,'DB Country PMI'!$A$1:$W$1,),)=0,#N/A,VLOOKUP(A148,'DB Country PMI'!$A:$W,MATCH($A$1,'DB Country PMI'!$A$1:$W$1,),))</f>
        <v>55</v>
      </c>
      <c r="C148" s="14">
        <f>Table134681134[[#This Row],[PMI]]-B147</f>
        <v>-0.5</v>
      </c>
    </row>
    <row r="149" spans="1:3" x14ac:dyDescent="0.2">
      <c r="A149" s="8">
        <v>44805</v>
      </c>
      <c r="B149" s="11">
        <f>IF(VLOOKUP(A149,'DB Country PMI'!$A:$W,MATCH($A$1,'DB Country PMI'!$A$1:$W$1,),)=0,#N/A,VLOOKUP(A149,'DB Country PMI'!$A:$W,MATCH($A$1,'DB Country PMI'!$A$1:$W$1,),))</f>
        <v>49.3</v>
      </c>
      <c r="C149" s="14">
        <f>Table134681134[[#This Row],[PMI]]-B148</f>
        <v>-5.7000000000000028</v>
      </c>
    </row>
    <row r="150" spans="1:3" x14ac:dyDescent="0.2">
      <c r="A150" s="8">
        <v>44835</v>
      </c>
      <c r="B150" s="11">
        <f>IF(VLOOKUP(A150,'DB Country PMI'!$A:$W,MATCH($A$1,'DB Country PMI'!$A$1:$W$1,),)=0,#N/A,VLOOKUP(A150,'DB Country PMI'!$A:$W,MATCH($A$1,'DB Country PMI'!$A$1:$W$1,),))</f>
        <v>48.4</v>
      </c>
      <c r="C150" s="14">
        <f>Table134681134[[#This Row],[PMI]]-B149</f>
        <v>-0.89999999999999858</v>
      </c>
    </row>
  </sheetData>
  <conditionalFormatting sqref="C7:C150">
    <cfRule type="colorScale" priority="205">
      <colorScale>
        <cfvo type="min"/>
        <cfvo type="percentile" val="50"/>
        <cfvo type="max"/>
        <color rgb="FFF8696B"/>
        <color rgb="FFFCFCFF"/>
        <color rgb="FF5A8AC6"/>
      </colorScale>
    </cfRule>
  </conditionalFormatting>
  <conditionalFormatting sqref="B6:B150">
    <cfRule type="colorScale" priority="206">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J176"/>
  <sheetViews>
    <sheetView zoomScale="160" zoomScaleNormal="160" workbookViewId="0">
      <pane ySplit="5" topLeftCell="A163" activePane="bottomLeft" state="frozen"/>
      <selection pane="bottomLeft" activeCell="A163" sqref="A163:C176"/>
    </sheetView>
  </sheetViews>
  <sheetFormatPr baseColWidth="10" defaultColWidth="9.1640625" defaultRowHeight="15" x14ac:dyDescent="0.2"/>
  <cols>
    <col min="1" max="1" width="13.5" style="49" customWidth="1"/>
    <col min="2" max="2" width="11.33203125" style="49" customWidth="1"/>
    <col min="3" max="11" width="9.1640625" style="49" customWidth="1"/>
    <col min="12" max="16384" width="9.1640625" style="49"/>
  </cols>
  <sheetData>
    <row r="1" spans="1:10" x14ac:dyDescent="0.2">
      <c r="A1" s="49" t="s">
        <v>24</v>
      </c>
      <c r="J1" s="49" t="s">
        <v>62</v>
      </c>
    </row>
    <row r="2" spans="1:10" x14ac:dyDescent="0.2">
      <c r="J2" s="49" t="s">
        <v>66</v>
      </c>
    </row>
    <row r="4" spans="1:10" ht="16" customHeight="1" thickBot="1" x14ac:dyDescent="0.25"/>
    <row r="5" spans="1:10" ht="16" customHeight="1" thickBot="1" x14ac:dyDescent="0.25">
      <c r="A5" s="12" t="s">
        <v>33</v>
      </c>
      <c r="B5" s="13" t="s">
        <v>60</v>
      </c>
      <c r="C5" s="13" t="s">
        <v>61</v>
      </c>
    </row>
    <row r="6" spans="1:10" x14ac:dyDescent="0.2">
      <c r="A6" s="10">
        <v>39661</v>
      </c>
      <c r="B6" s="11">
        <f>IF(VLOOKUP(A6,'DB Country PMI'!$A:$W,MATCH($A$1,'DB Country PMI'!$A$1:$W$1,),)=0,#N/A,VLOOKUP(A6,'DB Country PMI'!$A:$W,MATCH($A$1,'DB Country PMI'!$A$1:$W$1,),))</f>
        <v>48</v>
      </c>
      <c r="C6" s="11"/>
    </row>
    <row r="7" spans="1:10" x14ac:dyDescent="0.2">
      <c r="A7" s="8">
        <v>39692</v>
      </c>
      <c r="B7" s="11">
        <f>IF(VLOOKUP(A7,'DB Country PMI'!$A:$W,MATCH($A$1,'DB Country PMI'!$A$1:$W$1,),)=0,#N/A,VLOOKUP(A7,'DB Country PMI'!$A:$W,MATCH($A$1,'DB Country PMI'!$A$1:$W$1,),))</f>
        <v>50.1</v>
      </c>
      <c r="C7" s="14">
        <f>Table1346811345[[#This Row],[PMI]]-B6</f>
        <v>2.1000000000000014</v>
      </c>
    </row>
    <row r="8" spans="1:10" x14ac:dyDescent="0.2">
      <c r="A8" s="8">
        <v>39722</v>
      </c>
      <c r="B8" s="11">
        <f>IF(VLOOKUP(A8,'DB Country PMI'!$A:$W,MATCH($A$1,'DB Country PMI'!$A$1:$W$1,),)=0,#N/A,VLOOKUP(A8,'DB Country PMI'!$A:$W,MATCH($A$1,'DB Country PMI'!$A$1:$W$1,),))</f>
        <v>47.5</v>
      </c>
      <c r="C8" s="14">
        <f>Table1346811345[[#This Row],[PMI]]-B7</f>
        <v>-2.6000000000000014</v>
      </c>
    </row>
    <row r="9" spans="1:10" x14ac:dyDescent="0.2">
      <c r="A9" s="8">
        <v>39753</v>
      </c>
      <c r="B9" s="11">
        <f>IF(VLOOKUP(A9,'DB Country PMI'!$A:$W,MATCH($A$1,'DB Country PMI'!$A$1:$W$1,),)=0,#N/A,VLOOKUP(A9,'DB Country PMI'!$A:$W,MATCH($A$1,'DB Country PMI'!$A$1:$W$1,),))</f>
        <v>46.2</v>
      </c>
      <c r="C9" s="14">
        <f>Table1346811345[[#This Row],[PMI]]-B8</f>
        <v>-1.2999999999999972</v>
      </c>
    </row>
    <row r="10" spans="1:10" x14ac:dyDescent="0.2">
      <c r="A10" s="8">
        <v>39783</v>
      </c>
      <c r="B10" s="11">
        <f>IF(VLOOKUP(A10,'DB Country PMI'!$A:$W,MATCH($A$1,'DB Country PMI'!$A$1:$W$1,),)=0,#N/A,VLOOKUP(A10,'DB Country PMI'!$A:$W,MATCH($A$1,'DB Country PMI'!$A$1:$W$1,),))</f>
        <v>44.2</v>
      </c>
      <c r="C10" s="14">
        <f>Table1346811345[[#This Row],[PMI]]-B9</f>
        <v>-2</v>
      </c>
    </row>
    <row r="11" spans="1:10" x14ac:dyDescent="0.2">
      <c r="A11" s="8">
        <v>39814</v>
      </c>
      <c r="B11" s="11">
        <f>IF(VLOOKUP(A11,'DB Country PMI'!$A:$W,MATCH($A$1,'DB Country PMI'!$A$1:$W$1,),)=0,#N/A,VLOOKUP(A11,'DB Country PMI'!$A:$W,MATCH($A$1,'DB Country PMI'!$A$1:$W$1,),))</f>
        <v>42.6</v>
      </c>
      <c r="C11" s="14">
        <f>Table1346811345[[#This Row],[PMI]]-B10</f>
        <v>-1.6000000000000014</v>
      </c>
    </row>
    <row r="12" spans="1:10" x14ac:dyDescent="0.2">
      <c r="A12" s="8">
        <v>39845</v>
      </c>
      <c r="B12" s="11">
        <f>IF(VLOOKUP(A12,'DB Country PMI'!$A:$W,MATCH($A$1,'DB Country PMI'!$A$1:$W$1,),)=0,#N/A,VLOOKUP(A12,'DB Country PMI'!$A:$W,MATCH($A$1,'DB Country PMI'!$A$1:$W$1,),))</f>
        <v>40.200000000000003</v>
      </c>
      <c r="C12" s="14">
        <f>Table1346811345[[#This Row],[PMI]]-B11</f>
        <v>-2.3999999999999986</v>
      </c>
    </row>
    <row r="13" spans="1:10" x14ac:dyDescent="0.2">
      <c r="A13" s="8">
        <v>39873</v>
      </c>
      <c r="B13" s="11">
        <f>IF(VLOOKUP(A13,'DB Country PMI'!$A:$W,MATCH($A$1,'DB Country PMI'!$A$1:$W$1,),)=0,#N/A,VLOOKUP(A13,'DB Country PMI'!$A:$W,MATCH($A$1,'DB Country PMI'!$A$1:$W$1,),))</f>
        <v>43.6</v>
      </c>
      <c r="C13" s="14">
        <f>Table1346811345[[#This Row],[PMI]]-B12</f>
        <v>3.3999999999999986</v>
      </c>
    </row>
    <row r="14" spans="1:10" x14ac:dyDescent="0.2">
      <c r="A14" s="8">
        <v>39904</v>
      </c>
      <c r="B14" s="11">
        <f>IF(VLOOKUP(A14,'DB Country PMI'!$A:$W,MATCH($A$1,'DB Country PMI'!$A$1:$W$1,),)=0,#N/A,VLOOKUP(A14,'DB Country PMI'!$A:$W,MATCH($A$1,'DB Country PMI'!$A$1:$W$1,),))</f>
        <v>46.5</v>
      </c>
      <c r="C14" s="14">
        <f>Table1346811345[[#This Row],[PMI]]-B13</f>
        <v>2.8999999999999986</v>
      </c>
    </row>
    <row r="15" spans="1:10" x14ac:dyDescent="0.2">
      <c r="A15" s="8">
        <v>39934</v>
      </c>
      <c r="B15" s="11">
        <f>IF(VLOOKUP(A15,'DB Country PMI'!$A:$W,MATCH($A$1,'DB Country PMI'!$A$1:$W$1,),)=0,#N/A,VLOOKUP(A15,'DB Country PMI'!$A:$W,MATCH($A$1,'DB Country PMI'!$A$1:$W$1,),))</f>
        <v>48.3</v>
      </c>
      <c r="C15" s="14">
        <f>Table1346811345[[#This Row],[PMI]]-B14</f>
        <v>1.7999999999999972</v>
      </c>
    </row>
    <row r="16" spans="1:10" x14ac:dyDescent="0.2">
      <c r="A16" s="8">
        <v>39965</v>
      </c>
      <c r="B16" s="11">
        <f>IF(VLOOKUP(A16,'DB Country PMI'!$A:$W,MATCH($A$1,'DB Country PMI'!$A$1:$W$1,),)=0,#N/A,VLOOKUP(A16,'DB Country PMI'!$A:$W,MATCH($A$1,'DB Country PMI'!$A$1:$W$1,),))</f>
        <v>47.2</v>
      </c>
      <c r="C16" s="14">
        <f>Table1346811345[[#This Row],[PMI]]-B15</f>
        <v>-1.0999999999999943</v>
      </c>
    </row>
    <row r="17" spans="1:3" x14ac:dyDescent="0.2">
      <c r="A17" s="8">
        <v>39995</v>
      </c>
      <c r="B17" s="11">
        <f>IF(VLOOKUP(A17,'DB Country PMI'!$A:$W,MATCH($A$1,'DB Country PMI'!$A$1:$W$1,),)=0,#N/A,VLOOKUP(A17,'DB Country PMI'!$A:$W,MATCH($A$1,'DB Country PMI'!$A$1:$W$1,),))</f>
        <v>45.5</v>
      </c>
      <c r="C17" s="14">
        <f>Table1346811345[[#This Row],[PMI]]-B16</f>
        <v>-1.7000000000000028</v>
      </c>
    </row>
    <row r="18" spans="1:3" x14ac:dyDescent="0.2">
      <c r="A18" s="8">
        <v>40026</v>
      </c>
      <c r="B18" s="11">
        <f>IF(VLOOKUP(A18,'DB Country PMI'!$A:$W,MATCH($A$1,'DB Country PMI'!$A$1:$W$1,),)=0,#N/A,VLOOKUP(A18,'DB Country PMI'!$A:$W,MATCH($A$1,'DB Country PMI'!$A$1:$W$1,),))</f>
        <v>49.3</v>
      </c>
      <c r="C18" s="14">
        <f>Table1346811345[[#This Row],[PMI]]-B17</f>
        <v>3.7999999999999972</v>
      </c>
    </row>
    <row r="19" spans="1:3" x14ac:dyDescent="0.2">
      <c r="A19" s="8">
        <v>40057</v>
      </c>
      <c r="B19" s="11">
        <f>IF(VLOOKUP(A19,'DB Country PMI'!$A:$W,MATCH($A$1,'DB Country PMI'!$A$1:$W$1,),)=0,#N/A,VLOOKUP(A19,'DB Country PMI'!$A:$W,MATCH($A$1,'DB Country PMI'!$A$1:$W$1,),))</f>
        <v>53.2</v>
      </c>
      <c r="C19" s="14">
        <f>Table1346811345[[#This Row],[PMI]]-B18</f>
        <v>3.9000000000000057</v>
      </c>
    </row>
    <row r="20" spans="1:3" x14ac:dyDescent="0.2">
      <c r="A20" s="8">
        <v>40087</v>
      </c>
      <c r="B20" s="11">
        <f>IF(VLOOKUP(A20,'DB Country PMI'!$A:$W,MATCH($A$1,'DB Country PMI'!$A$1:$W$1,),)=0,#N/A,VLOOKUP(A20,'DB Country PMI'!$A:$W,MATCH($A$1,'DB Country PMI'!$A$1:$W$1,),))</f>
        <v>57.7</v>
      </c>
      <c r="C20" s="14">
        <f>Table1346811345[[#This Row],[PMI]]-B19</f>
        <v>4.5</v>
      </c>
    </row>
    <row r="21" spans="1:3" x14ac:dyDescent="0.2">
      <c r="A21" s="8">
        <v>40118</v>
      </c>
      <c r="B21" s="11">
        <f>IF(VLOOKUP(A21,'DB Country PMI'!$A:$W,MATCH($A$1,'DB Country PMI'!$A$1:$W$1,),)=0,#N/A,VLOOKUP(A21,'DB Country PMI'!$A:$W,MATCH($A$1,'DB Country PMI'!$A$1:$W$1,),))</f>
        <v>60.9</v>
      </c>
      <c r="C21" s="14">
        <f>Table1346811345[[#This Row],[PMI]]-B20</f>
        <v>3.1999999999999957</v>
      </c>
    </row>
    <row r="22" spans="1:3" x14ac:dyDescent="0.2">
      <c r="A22" s="8">
        <v>40148</v>
      </c>
      <c r="B22" s="11">
        <f>IF(VLOOKUP(A22,'DB Country PMI'!$A:$W,MATCH($A$1,'DB Country PMI'!$A$1:$W$1,),)=0,#N/A,VLOOKUP(A22,'DB Country PMI'!$A:$W,MATCH($A$1,'DB Country PMI'!$A$1:$W$1,),))</f>
        <v>58.2</v>
      </c>
      <c r="C22" s="14">
        <f>Table1346811345[[#This Row],[PMI]]-B21</f>
        <v>-2.6999999999999957</v>
      </c>
    </row>
    <row r="23" spans="1:3" x14ac:dyDescent="0.2">
      <c r="A23" s="8">
        <v>40179</v>
      </c>
      <c r="B23" s="11">
        <f>IF(VLOOKUP(A23,'DB Country PMI'!$A:$W,MATCH($A$1,'DB Country PMI'!$A$1:$W$1,),)=0,#N/A,VLOOKUP(A23,'DB Country PMI'!$A:$W,MATCH($A$1,'DB Country PMI'!$A$1:$W$1,),))</f>
        <v>56.3</v>
      </c>
      <c r="C23" s="14">
        <f>Table1346811345[[#This Row],[PMI]]-B22</f>
        <v>-1.9000000000000057</v>
      </c>
    </row>
    <row r="24" spans="1:3" x14ac:dyDescent="0.2">
      <c r="A24" s="8">
        <v>40210</v>
      </c>
      <c r="B24" s="11">
        <f>IF(VLOOKUP(A24,'DB Country PMI'!$A:$W,MATCH($A$1,'DB Country PMI'!$A$1:$W$1,),)=0,#N/A,VLOOKUP(A24,'DB Country PMI'!$A:$W,MATCH($A$1,'DB Country PMI'!$A$1:$W$1,),))</f>
        <v>54.6</v>
      </c>
      <c r="C24" s="14">
        <f>Table1346811345[[#This Row],[PMI]]-B23</f>
        <v>-1.6999999999999957</v>
      </c>
    </row>
    <row r="25" spans="1:3" x14ac:dyDescent="0.2">
      <c r="A25" s="8">
        <v>40238</v>
      </c>
      <c r="B25" s="11">
        <f>IF(VLOOKUP(A25,'DB Country PMI'!$A:$W,MATCH($A$1,'DB Country PMI'!$A$1:$W$1,),)=0,#N/A,VLOOKUP(A25,'DB Country PMI'!$A:$W,MATCH($A$1,'DB Country PMI'!$A$1:$W$1,),))</f>
        <v>53.8</v>
      </c>
      <c r="C25" s="14">
        <f>Table1346811345[[#This Row],[PMI]]-B24</f>
        <v>-0.80000000000000426</v>
      </c>
    </row>
    <row r="26" spans="1:3" x14ac:dyDescent="0.2">
      <c r="A26" s="8">
        <v>40269</v>
      </c>
      <c r="B26" s="11">
        <f>IF(VLOOKUP(A26,'DB Country PMI'!$A:$W,MATCH($A$1,'DB Country PMI'!$A$1:$W$1,),)=0,#N/A,VLOOKUP(A26,'DB Country PMI'!$A:$W,MATCH($A$1,'DB Country PMI'!$A$1:$W$1,),))</f>
        <v>59.2</v>
      </c>
      <c r="C26" s="14">
        <f>Table1346811345[[#This Row],[PMI]]-B25</f>
        <v>5.4000000000000057</v>
      </c>
    </row>
    <row r="27" spans="1:3" x14ac:dyDescent="0.2">
      <c r="A27" s="8">
        <v>40299</v>
      </c>
      <c r="B27" s="11">
        <f>IF(VLOOKUP(A27,'DB Country PMI'!$A:$W,MATCH($A$1,'DB Country PMI'!$A$1:$W$1,),)=0,#N/A,VLOOKUP(A27,'DB Country PMI'!$A:$W,MATCH($A$1,'DB Country PMI'!$A$1:$W$1,),))</f>
        <v>61.4</v>
      </c>
      <c r="C27" s="14">
        <f>Table1346811345[[#This Row],[PMI]]-B26</f>
        <v>2.1999999999999957</v>
      </c>
    </row>
    <row r="28" spans="1:3" x14ac:dyDescent="0.2">
      <c r="A28" s="8">
        <v>40330</v>
      </c>
      <c r="B28" s="11">
        <f>IF(VLOOKUP(A28,'DB Country PMI'!$A:$W,MATCH($A$1,'DB Country PMI'!$A$1:$W$1,),)=0,#N/A,VLOOKUP(A28,'DB Country PMI'!$A:$W,MATCH($A$1,'DB Country PMI'!$A$1:$W$1,),))</f>
        <v>60.8</v>
      </c>
      <c r="C28" s="14">
        <f>Table1346811345[[#This Row],[PMI]]-B27</f>
        <v>-0.60000000000000142</v>
      </c>
    </row>
    <row r="29" spans="1:3" x14ac:dyDescent="0.2">
      <c r="A29" s="8">
        <v>40360</v>
      </c>
      <c r="B29" s="11">
        <f>IF(VLOOKUP(A29,'DB Country PMI'!$A:$W,MATCH($A$1,'DB Country PMI'!$A$1:$W$1,),)=0,#N/A,VLOOKUP(A29,'DB Country PMI'!$A:$W,MATCH($A$1,'DB Country PMI'!$A$1:$W$1,),))</f>
        <v>61.1</v>
      </c>
      <c r="C29" s="14">
        <f>Table1346811345[[#This Row],[PMI]]-B28</f>
        <v>0.30000000000000426</v>
      </c>
    </row>
    <row r="30" spans="1:3" x14ac:dyDescent="0.2">
      <c r="A30" s="8">
        <v>40391</v>
      </c>
      <c r="B30" s="11">
        <f>IF(VLOOKUP(A30,'DB Country PMI'!$A:$W,MATCH($A$1,'DB Country PMI'!$A$1:$W$1,),)=0,#N/A,VLOOKUP(A30,'DB Country PMI'!$A:$W,MATCH($A$1,'DB Country PMI'!$A$1:$W$1,),))</f>
        <v>60.4</v>
      </c>
      <c r="C30" s="14">
        <f>Table1346811345[[#This Row],[PMI]]-B29</f>
        <v>-0.70000000000000284</v>
      </c>
    </row>
    <row r="31" spans="1:3" x14ac:dyDescent="0.2">
      <c r="A31" s="8">
        <v>40422</v>
      </c>
      <c r="B31" s="11">
        <f>IF(VLOOKUP(A31,'DB Country PMI'!$A:$W,MATCH($A$1,'DB Country PMI'!$A$1:$W$1,),)=0,#N/A,VLOOKUP(A31,'DB Country PMI'!$A:$W,MATCH($A$1,'DB Country PMI'!$A$1:$W$1,),))</f>
        <v>58.2</v>
      </c>
      <c r="C31" s="14">
        <f>Table1346811345[[#This Row],[PMI]]-B30</f>
        <v>-2.1999999999999957</v>
      </c>
    </row>
    <row r="32" spans="1:3" x14ac:dyDescent="0.2">
      <c r="A32" s="8">
        <v>40452</v>
      </c>
      <c r="B32" s="11">
        <f>IF(VLOOKUP(A32,'DB Country PMI'!$A:$W,MATCH($A$1,'DB Country PMI'!$A$1:$W$1,),)=0,#N/A,VLOOKUP(A32,'DB Country PMI'!$A:$W,MATCH($A$1,'DB Country PMI'!$A$1:$W$1,),))</f>
        <v>54.8</v>
      </c>
      <c r="C32" s="14">
        <f>Table1346811345[[#This Row],[PMI]]-B31</f>
        <v>-3.4000000000000057</v>
      </c>
    </row>
    <row r="33" spans="1:3" x14ac:dyDescent="0.2">
      <c r="A33" s="8">
        <v>40483</v>
      </c>
      <c r="B33" s="11">
        <f>IF(VLOOKUP(A33,'DB Country PMI'!$A:$W,MATCH($A$1,'DB Country PMI'!$A$1:$W$1,),)=0,#N/A,VLOOKUP(A33,'DB Country PMI'!$A:$W,MATCH($A$1,'DB Country PMI'!$A$1:$W$1,),))</f>
        <v>55</v>
      </c>
      <c r="C33" s="14">
        <f>Table1346811345[[#This Row],[PMI]]-B32</f>
        <v>0.20000000000000284</v>
      </c>
    </row>
    <row r="34" spans="1:3" x14ac:dyDescent="0.2">
      <c r="A34" s="8">
        <v>40513</v>
      </c>
      <c r="B34" s="11">
        <f>IF(VLOOKUP(A34,'DB Country PMI'!$A:$W,MATCH($A$1,'DB Country PMI'!$A$1:$W$1,),)=0,#N/A,VLOOKUP(A34,'DB Country PMI'!$A:$W,MATCH($A$1,'DB Country PMI'!$A$1:$W$1,),))</f>
        <v>57.1</v>
      </c>
      <c r="C34" s="14">
        <f>Table1346811345[[#This Row],[PMI]]-B33</f>
        <v>2.1000000000000014</v>
      </c>
    </row>
    <row r="35" spans="1:3" x14ac:dyDescent="0.2">
      <c r="A35" s="8">
        <v>40544</v>
      </c>
      <c r="B35" s="11">
        <f>IF(VLOOKUP(A35,'DB Country PMI'!$A:$W,MATCH($A$1,'DB Country PMI'!$A$1:$W$1,),)=0,#N/A,VLOOKUP(A35,'DB Country PMI'!$A:$W,MATCH($A$1,'DB Country PMI'!$A$1:$W$1,),))</f>
        <v>58.3</v>
      </c>
      <c r="C35" s="14">
        <f>Table1346811345[[#This Row],[PMI]]-B34</f>
        <v>1.1999999999999957</v>
      </c>
    </row>
    <row r="36" spans="1:3" x14ac:dyDescent="0.2">
      <c r="A36" s="8">
        <v>40575</v>
      </c>
      <c r="B36" s="11">
        <f>IF(VLOOKUP(A36,'DB Country PMI'!$A:$W,MATCH($A$1,'DB Country PMI'!$A$1:$W$1,),)=0,#N/A,VLOOKUP(A36,'DB Country PMI'!$A:$W,MATCH($A$1,'DB Country PMI'!$A$1:$W$1,),))</f>
        <v>59.7</v>
      </c>
      <c r="C36" s="14">
        <f>Table1346811345[[#This Row],[PMI]]-B35</f>
        <v>1.4000000000000057</v>
      </c>
    </row>
    <row r="37" spans="1:3" x14ac:dyDescent="0.2">
      <c r="A37" s="8">
        <v>40603</v>
      </c>
      <c r="B37" s="11">
        <f>IF(VLOOKUP(A37,'DB Country PMI'!$A:$W,MATCH($A$1,'DB Country PMI'!$A$1:$W$1,),)=0,#N/A,VLOOKUP(A37,'DB Country PMI'!$A:$W,MATCH($A$1,'DB Country PMI'!$A$1:$W$1,),))</f>
        <v>60.4</v>
      </c>
      <c r="C37" s="14">
        <f>Table1346811345[[#This Row],[PMI]]-B36</f>
        <v>0.69999999999999574</v>
      </c>
    </row>
    <row r="38" spans="1:3" x14ac:dyDescent="0.2">
      <c r="A38" s="8">
        <v>40634</v>
      </c>
      <c r="B38" s="11">
        <f>IF(VLOOKUP(A38,'DB Country PMI'!$A:$W,MATCH($A$1,'DB Country PMI'!$A$1:$W$1,),)=0,#N/A,VLOOKUP(A38,'DB Country PMI'!$A:$W,MATCH($A$1,'DB Country PMI'!$A$1:$W$1,),))</f>
        <v>62.9</v>
      </c>
      <c r="C38" s="14">
        <f>Table1346811345[[#This Row],[PMI]]-B37</f>
        <v>2.5</v>
      </c>
    </row>
    <row r="39" spans="1:3" x14ac:dyDescent="0.2">
      <c r="A39" s="8">
        <v>40664</v>
      </c>
      <c r="B39" s="11">
        <f>IF(VLOOKUP(A39,'DB Country PMI'!$A:$W,MATCH($A$1,'DB Country PMI'!$A$1:$W$1,),)=0,#N/A,VLOOKUP(A39,'DB Country PMI'!$A:$W,MATCH($A$1,'DB Country PMI'!$A$1:$W$1,),))</f>
        <v>62.5</v>
      </c>
      <c r="C39" s="14">
        <f>Table1346811345[[#This Row],[PMI]]-B38</f>
        <v>-0.39999999999999858</v>
      </c>
    </row>
    <row r="40" spans="1:3" x14ac:dyDescent="0.2">
      <c r="A40" s="8">
        <v>40695</v>
      </c>
      <c r="B40" s="11">
        <f>IF(VLOOKUP(A40,'DB Country PMI'!$A:$W,MATCH($A$1,'DB Country PMI'!$A$1:$W$1,),)=0,#N/A,VLOOKUP(A40,'DB Country PMI'!$A:$W,MATCH($A$1,'DB Country PMI'!$A$1:$W$1,),))</f>
        <v>56.1</v>
      </c>
      <c r="C40" s="14">
        <f>Table1346811345[[#This Row],[PMI]]-B39</f>
        <v>-6.3999999999999986</v>
      </c>
    </row>
    <row r="41" spans="1:3" x14ac:dyDescent="0.2">
      <c r="A41" s="8">
        <v>40725</v>
      </c>
      <c r="B41" s="11">
        <f>IF(VLOOKUP(A41,'DB Country PMI'!$A:$W,MATCH($A$1,'DB Country PMI'!$A$1:$W$1,),)=0,#N/A,VLOOKUP(A41,'DB Country PMI'!$A:$W,MATCH($A$1,'DB Country PMI'!$A$1:$W$1,),))</f>
        <v>54.2</v>
      </c>
      <c r="C41" s="14">
        <f>Table1346811345[[#This Row],[PMI]]-B40</f>
        <v>-1.8999999999999986</v>
      </c>
    </row>
    <row r="42" spans="1:3" x14ac:dyDescent="0.2">
      <c r="A42" s="8">
        <v>40756</v>
      </c>
      <c r="B42" s="11">
        <f>IF(VLOOKUP(A42,'DB Country PMI'!$A:$W,MATCH($A$1,'DB Country PMI'!$A$1:$W$1,),)=0,#N/A,VLOOKUP(A42,'DB Country PMI'!$A:$W,MATCH($A$1,'DB Country PMI'!$A$1:$W$1,),))</f>
        <v>52.3</v>
      </c>
      <c r="C42" s="14">
        <f>Table1346811345[[#This Row],[PMI]]-B41</f>
        <v>-1.9000000000000057</v>
      </c>
    </row>
    <row r="43" spans="1:3" x14ac:dyDescent="0.2">
      <c r="A43" s="8">
        <v>40787</v>
      </c>
      <c r="B43" s="11">
        <f>IF(VLOOKUP(A43,'DB Country PMI'!$A:$W,MATCH($A$1,'DB Country PMI'!$A$1:$W$1,),)=0,#N/A,VLOOKUP(A43,'DB Country PMI'!$A:$W,MATCH($A$1,'DB Country PMI'!$A$1:$W$1,),))</f>
        <v>51.5</v>
      </c>
      <c r="C43" s="14">
        <f>Table1346811345[[#This Row],[PMI]]-B42</f>
        <v>-0.79999999999999716</v>
      </c>
    </row>
    <row r="44" spans="1:3" x14ac:dyDescent="0.2">
      <c r="A44" s="8">
        <v>40817</v>
      </c>
      <c r="B44" s="11">
        <f>IF(VLOOKUP(A44,'DB Country PMI'!$A:$W,MATCH($A$1,'DB Country PMI'!$A$1:$W$1,),)=0,#N/A,VLOOKUP(A44,'DB Country PMI'!$A:$W,MATCH($A$1,'DB Country PMI'!$A$1:$W$1,),))</f>
        <v>44.6</v>
      </c>
      <c r="C44" s="14">
        <f>Table1346811345[[#This Row],[PMI]]-B43</f>
        <v>-6.8999999999999986</v>
      </c>
    </row>
    <row r="45" spans="1:3" x14ac:dyDescent="0.2">
      <c r="A45" s="8">
        <v>40848</v>
      </c>
      <c r="B45" s="11">
        <f>IF(VLOOKUP(A45,'DB Country PMI'!$A:$W,MATCH($A$1,'DB Country PMI'!$A$1:$W$1,),)=0,#N/A,VLOOKUP(A45,'DB Country PMI'!$A:$W,MATCH($A$1,'DB Country PMI'!$A$1:$W$1,),))</f>
        <v>49.6</v>
      </c>
      <c r="C45" s="14">
        <f>Table1346811345[[#This Row],[PMI]]-B44</f>
        <v>5</v>
      </c>
    </row>
    <row r="46" spans="1:3" x14ac:dyDescent="0.2">
      <c r="A46" s="8">
        <v>40878</v>
      </c>
      <c r="B46" s="11">
        <f>IF(VLOOKUP(A46,'DB Country PMI'!$A:$W,MATCH($A$1,'DB Country PMI'!$A$1:$W$1,),)=0,#N/A,VLOOKUP(A46,'DB Country PMI'!$A:$W,MATCH($A$1,'DB Country PMI'!$A$1:$W$1,),))</f>
        <v>50.3</v>
      </c>
      <c r="C46" s="14">
        <f>Table1346811345[[#This Row],[PMI]]-B45</f>
        <v>0.69999999999999574</v>
      </c>
    </row>
    <row r="47" spans="1:3" x14ac:dyDescent="0.2">
      <c r="A47" s="8">
        <v>40909</v>
      </c>
      <c r="B47" s="11">
        <f>IF(VLOOKUP(A47,'DB Country PMI'!$A:$W,MATCH($A$1,'DB Country PMI'!$A$1:$W$1,),)=0,#N/A,VLOOKUP(A47,'DB Country PMI'!$A:$W,MATCH($A$1,'DB Country PMI'!$A$1:$W$1,),))</f>
        <v>52.3</v>
      </c>
      <c r="C47" s="14">
        <f>Table1346811345[[#This Row],[PMI]]-B46</f>
        <v>2</v>
      </c>
    </row>
    <row r="48" spans="1:3" x14ac:dyDescent="0.2">
      <c r="A48" s="8">
        <v>40940</v>
      </c>
      <c r="B48" s="11">
        <f>IF(VLOOKUP(A48,'DB Country PMI'!$A:$W,MATCH($A$1,'DB Country PMI'!$A$1:$W$1,),)=0,#N/A,VLOOKUP(A48,'DB Country PMI'!$A:$W,MATCH($A$1,'DB Country PMI'!$A$1:$W$1,),))</f>
        <v>50</v>
      </c>
      <c r="C48" s="14">
        <f>Table1346811345[[#This Row],[PMI]]-B47</f>
        <v>-2.2999999999999972</v>
      </c>
    </row>
    <row r="49" spans="1:3" x14ac:dyDescent="0.2">
      <c r="A49" s="8">
        <v>40969</v>
      </c>
      <c r="B49" s="11">
        <f>IF(VLOOKUP(A49,'DB Country PMI'!$A:$W,MATCH($A$1,'DB Country PMI'!$A$1:$W$1,),)=0,#N/A,VLOOKUP(A49,'DB Country PMI'!$A:$W,MATCH($A$1,'DB Country PMI'!$A$1:$W$1,),))</f>
        <v>50.1</v>
      </c>
      <c r="C49" s="14">
        <f>Table1346811345[[#This Row],[PMI]]-B48</f>
        <v>0.10000000000000142</v>
      </c>
    </row>
    <row r="50" spans="1:3" x14ac:dyDescent="0.2">
      <c r="A50" s="8">
        <v>41000</v>
      </c>
      <c r="B50" s="11">
        <f>IF(VLOOKUP(A50,'DB Country PMI'!$A:$W,MATCH($A$1,'DB Country PMI'!$A$1:$W$1,),)=0,#N/A,VLOOKUP(A50,'DB Country PMI'!$A:$W,MATCH($A$1,'DB Country PMI'!$A$1:$W$1,),))</f>
        <v>45.2</v>
      </c>
      <c r="C50" s="14">
        <f>Table1346811345[[#This Row],[PMI]]-B49</f>
        <v>-4.8999999999999986</v>
      </c>
    </row>
    <row r="51" spans="1:3" x14ac:dyDescent="0.2">
      <c r="A51" s="8">
        <v>41030</v>
      </c>
      <c r="B51" s="11">
        <f>IF(VLOOKUP(A51,'DB Country PMI'!$A:$W,MATCH($A$1,'DB Country PMI'!$A$1:$W$1,),)=0,#N/A,VLOOKUP(A51,'DB Country PMI'!$A:$W,MATCH($A$1,'DB Country PMI'!$A$1:$W$1,),))</f>
        <v>45.1</v>
      </c>
      <c r="C51" s="14">
        <f>Table1346811345[[#This Row],[PMI]]-B50</f>
        <v>-0.10000000000000142</v>
      </c>
    </row>
    <row r="52" spans="1:3" x14ac:dyDescent="0.2">
      <c r="A52" s="8">
        <v>41061</v>
      </c>
      <c r="B52" s="11">
        <f>IF(VLOOKUP(A52,'DB Country PMI'!$A:$W,MATCH($A$1,'DB Country PMI'!$A$1:$W$1,),)=0,#N/A,VLOOKUP(A52,'DB Country PMI'!$A:$W,MATCH($A$1,'DB Country PMI'!$A$1:$W$1,),))</f>
        <v>47.9</v>
      </c>
      <c r="C52" s="14">
        <f>Table1346811345[[#This Row],[PMI]]-B51</f>
        <v>2.7999999999999972</v>
      </c>
    </row>
    <row r="53" spans="1:3" x14ac:dyDescent="0.2">
      <c r="A53" s="8">
        <v>41091</v>
      </c>
      <c r="B53" s="11">
        <f>IF(VLOOKUP(A53,'DB Country PMI'!$A:$W,MATCH($A$1,'DB Country PMI'!$A$1:$W$1,),)=0,#N/A,VLOOKUP(A53,'DB Country PMI'!$A:$W,MATCH($A$1,'DB Country PMI'!$A$1:$W$1,),))</f>
        <v>50</v>
      </c>
      <c r="C53" s="14">
        <f>Table1346811345[[#This Row],[PMI]]-B52</f>
        <v>2.1000000000000014</v>
      </c>
    </row>
    <row r="54" spans="1:3" x14ac:dyDescent="0.2">
      <c r="A54" s="8">
        <v>41122</v>
      </c>
      <c r="B54" s="11">
        <f>IF(VLOOKUP(A54,'DB Country PMI'!$A:$W,MATCH($A$1,'DB Country PMI'!$A$1:$W$1,),)=0,#N/A,VLOOKUP(A54,'DB Country PMI'!$A:$W,MATCH($A$1,'DB Country PMI'!$A$1:$W$1,),))</f>
        <v>49.2</v>
      </c>
      <c r="C54" s="14">
        <f>Table1346811345[[#This Row],[PMI]]-B53</f>
        <v>-0.79999999999999716</v>
      </c>
    </row>
    <row r="55" spans="1:3" x14ac:dyDescent="0.2">
      <c r="A55" s="8">
        <v>41153</v>
      </c>
      <c r="B55" s="11">
        <f>IF(VLOOKUP(A55,'DB Country PMI'!$A:$W,MATCH($A$1,'DB Country PMI'!$A$1:$W$1,),)=0,#N/A,VLOOKUP(A55,'DB Country PMI'!$A:$W,MATCH($A$1,'DB Country PMI'!$A$1:$W$1,),))</f>
        <v>45</v>
      </c>
      <c r="C55" s="14">
        <f>Table1346811345[[#This Row],[PMI]]-B54</f>
        <v>-4.2000000000000028</v>
      </c>
    </row>
    <row r="56" spans="1:3" x14ac:dyDescent="0.2">
      <c r="A56" s="8">
        <v>41183</v>
      </c>
      <c r="B56" s="11">
        <f>IF(VLOOKUP(A56,'DB Country PMI'!$A:$W,MATCH($A$1,'DB Country PMI'!$A$1:$W$1,),)=0,#N/A,VLOOKUP(A56,'DB Country PMI'!$A:$W,MATCH($A$1,'DB Country PMI'!$A$1:$W$1,),))</f>
        <v>44.6</v>
      </c>
      <c r="C56" s="14">
        <f>Table1346811345[[#This Row],[PMI]]-B55</f>
        <v>-0.39999999999999858</v>
      </c>
    </row>
    <row r="57" spans="1:3" x14ac:dyDescent="0.2">
      <c r="A57" s="8">
        <v>41214</v>
      </c>
      <c r="B57" s="11">
        <f>IF(VLOOKUP(A57,'DB Country PMI'!$A:$W,MATCH($A$1,'DB Country PMI'!$A$1:$W$1,),)=0,#N/A,VLOOKUP(A57,'DB Country PMI'!$A:$W,MATCH($A$1,'DB Country PMI'!$A$1:$W$1,),))</f>
        <v>45.8</v>
      </c>
      <c r="C57" s="14">
        <f>Table1346811345[[#This Row],[PMI]]-B56</f>
        <v>1.1999999999999957</v>
      </c>
    </row>
    <row r="58" spans="1:3" x14ac:dyDescent="0.2">
      <c r="A58" s="8">
        <v>41244</v>
      </c>
      <c r="B58" s="11">
        <f>IF(VLOOKUP(A58,'DB Country PMI'!$A:$W,MATCH($A$1,'DB Country PMI'!$A$1:$W$1,),)=0,#N/A,VLOOKUP(A58,'DB Country PMI'!$A:$W,MATCH($A$1,'DB Country PMI'!$A$1:$W$1,),))</f>
        <v>44.1</v>
      </c>
      <c r="C58" s="14">
        <f>Table1346811345[[#This Row],[PMI]]-B57</f>
        <v>-1.6999999999999957</v>
      </c>
    </row>
    <row r="59" spans="1:3" x14ac:dyDescent="0.2">
      <c r="A59" s="8">
        <v>41275</v>
      </c>
      <c r="B59" s="11">
        <f>IF(VLOOKUP(A59,'DB Country PMI'!$A:$W,MATCH($A$1,'DB Country PMI'!$A$1:$W$1,),)=0,#N/A,VLOOKUP(A59,'DB Country PMI'!$A:$W,MATCH($A$1,'DB Country PMI'!$A$1:$W$1,),))</f>
        <v>43.6</v>
      </c>
      <c r="C59" s="14">
        <f>Table1346811345[[#This Row],[PMI]]-B58</f>
        <v>-0.5</v>
      </c>
    </row>
    <row r="60" spans="1:3" x14ac:dyDescent="0.2">
      <c r="A60" s="8">
        <v>41306</v>
      </c>
      <c r="B60" s="11">
        <f>IF(VLOOKUP(A60,'DB Country PMI'!$A:$W,MATCH($A$1,'DB Country PMI'!$A$1:$W$1,),)=0,#N/A,VLOOKUP(A60,'DB Country PMI'!$A:$W,MATCH($A$1,'DB Country PMI'!$A$1:$W$1,),))</f>
        <v>43.7</v>
      </c>
      <c r="C60" s="14">
        <f>Table1346811345[[#This Row],[PMI]]-B59</f>
        <v>0.10000000000000142</v>
      </c>
    </row>
    <row r="61" spans="1:3" x14ac:dyDescent="0.2">
      <c r="A61" s="8">
        <v>41334</v>
      </c>
      <c r="B61" s="11">
        <f>IF(VLOOKUP(A61,'DB Country PMI'!$A:$W,MATCH($A$1,'DB Country PMI'!$A$1:$W$1,),)=0,#N/A,VLOOKUP(A61,'DB Country PMI'!$A:$W,MATCH($A$1,'DB Country PMI'!$A$1:$W$1,),))</f>
        <v>41.3</v>
      </c>
      <c r="C61" s="14">
        <f>Table1346811345[[#This Row],[PMI]]-B60</f>
        <v>-2.4000000000000057</v>
      </c>
    </row>
    <row r="62" spans="1:3" x14ac:dyDescent="0.2">
      <c r="A62" s="8">
        <v>41365</v>
      </c>
      <c r="B62" s="11">
        <f>IF(VLOOKUP(A62,'DB Country PMI'!$A:$W,MATCH($A$1,'DB Country PMI'!$A$1:$W$1,),)=0,#N/A,VLOOKUP(A62,'DB Country PMI'!$A:$W,MATCH($A$1,'DB Country PMI'!$A$1:$W$1,),))</f>
        <v>44.3</v>
      </c>
      <c r="C62" s="14">
        <f>Table1346811345[[#This Row],[PMI]]-B61</f>
        <v>3</v>
      </c>
    </row>
    <row r="63" spans="1:3" x14ac:dyDescent="0.2">
      <c r="A63" s="8">
        <v>41395</v>
      </c>
      <c r="B63" s="11">
        <f>IF(VLOOKUP(A63,'DB Country PMI'!$A:$W,MATCH($A$1,'DB Country PMI'!$A$1:$W$1,),)=0,#N/A,VLOOKUP(A63,'DB Country PMI'!$A:$W,MATCH($A$1,'DB Country PMI'!$A$1:$W$1,),))</f>
        <v>44.3</v>
      </c>
      <c r="C63" s="14">
        <f>Table1346811345[[#This Row],[PMI]]-B62</f>
        <v>0</v>
      </c>
    </row>
    <row r="64" spans="1:3" x14ac:dyDescent="0.2">
      <c r="A64" s="8">
        <v>41426</v>
      </c>
      <c r="B64" s="11">
        <f>IF(VLOOKUP(A64,'DB Country PMI'!$A:$W,MATCH($A$1,'DB Country PMI'!$A$1:$W$1,),)=0,#N/A,VLOOKUP(A64,'DB Country PMI'!$A:$W,MATCH($A$1,'DB Country PMI'!$A$1:$W$1,),))</f>
        <v>47.2</v>
      </c>
      <c r="C64" s="14">
        <f>Table1346811345[[#This Row],[PMI]]-B63</f>
        <v>2.9000000000000057</v>
      </c>
    </row>
    <row r="65" spans="1:3" x14ac:dyDescent="0.2">
      <c r="A65" s="8">
        <v>41456</v>
      </c>
      <c r="B65" s="11">
        <f>IF(VLOOKUP(A65,'DB Country PMI'!$A:$W,MATCH($A$1,'DB Country PMI'!$A$1:$W$1,),)=0,#N/A,VLOOKUP(A65,'DB Country PMI'!$A:$W,MATCH($A$1,'DB Country PMI'!$A$1:$W$1,),))</f>
        <v>48.6</v>
      </c>
      <c r="C65" s="14">
        <f>Table1346811345[[#This Row],[PMI]]-B64</f>
        <v>1.3999999999999986</v>
      </c>
    </row>
    <row r="66" spans="1:3" x14ac:dyDescent="0.2">
      <c r="A66" s="8">
        <v>41487</v>
      </c>
      <c r="B66" s="11">
        <f>IF(VLOOKUP(A66,'DB Country PMI'!$A:$W,MATCH($A$1,'DB Country PMI'!$A$1:$W$1,),)=0,#N/A,VLOOKUP(A66,'DB Country PMI'!$A:$W,MATCH($A$1,'DB Country PMI'!$A$1:$W$1,),))</f>
        <v>48.9</v>
      </c>
      <c r="C66" s="14">
        <f>Table1346811345[[#This Row],[PMI]]-B65</f>
        <v>0.29999999999999716</v>
      </c>
    </row>
    <row r="67" spans="1:3" x14ac:dyDescent="0.2">
      <c r="A67" s="8">
        <v>41518</v>
      </c>
      <c r="B67" s="11">
        <f>IF(VLOOKUP(A67,'DB Country PMI'!$A:$W,MATCH($A$1,'DB Country PMI'!$A$1:$W$1,),)=0,#N/A,VLOOKUP(A67,'DB Country PMI'!$A:$W,MATCH($A$1,'DB Country PMI'!$A$1:$W$1,),))</f>
        <v>51</v>
      </c>
      <c r="C67" s="14">
        <f>Table1346811345[[#This Row],[PMI]]-B66</f>
        <v>2.1000000000000014</v>
      </c>
    </row>
    <row r="68" spans="1:3" x14ac:dyDescent="0.2">
      <c r="A68" s="8">
        <v>41548</v>
      </c>
      <c r="B68" s="11">
        <f>IF(VLOOKUP(A68,'DB Country PMI'!$A:$W,MATCH($A$1,'DB Country PMI'!$A$1:$W$1,),)=0,#N/A,VLOOKUP(A68,'DB Country PMI'!$A:$W,MATCH($A$1,'DB Country PMI'!$A$1:$W$1,),))</f>
        <v>50.9</v>
      </c>
      <c r="C68" s="14">
        <f>Table1346811345[[#This Row],[PMI]]-B67</f>
        <v>-0.10000000000000142</v>
      </c>
    </row>
    <row r="69" spans="1:3" x14ac:dyDescent="0.2">
      <c r="A69" s="8">
        <v>41579</v>
      </c>
      <c r="B69" s="11">
        <f>IF(VLOOKUP(A69,'DB Country PMI'!$A:$W,MATCH($A$1,'DB Country PMI'!$A$1:$W$1,),)=0,#N/A,VLOOKUP(A69,'DB Country PMI'!$A:$W,MATCH($A$1,'DB Country PMI'!$A$1:$W$1,),))</f>
        <v>48</v>
      </c>
      <c r="C69" s="14">
        <f>Table1346811345[[#This Row],[PMI]]-B68</f>
        <v>-2.8999999999999986</v>
      </c>
    </row>
    <row r="70" spans="1:3" x14ac:dyDescent="0.2">
      <c r="A70" s="8">
        <v>41609</v>
      </c>
      <c r="B70" s="11">
        <f>IF(VLOOKUP(A70,'DB Country PMI'!$A:$W,MATCH($A$1,'DB Country PMI'!$A$1:$W$1,),)=0,#N/A,VLOOKUP(A70,'DB Country PMI'!$A:$W,MATCH($A$1,'DB Country PMI'!$A$1:$W$1,),))</f>
        <v>48.1</v>
      </c>
      <c r="C70" s="14">
        <f>Table1346811345[[#This Row],[PMI]]-B69</f>
        <v>0.10000000000000142</v>
      </c>
    </row>
    <row r="71" spans="1:3" x14ac:dyDescent="0.2">
      <c r="A71" s="8">
        <v>41640</v>
      </c>
      <c r="B71" s="11">
        <f>IF(VLOOKUP(A71,'DB Country PMI'!$A:$W,MATCH($A$1,'DB Country PMI'!$A$1:$W$1,),)=0,#N/A,VLOOKUP(A71,'DB Country PMI'!$A:$W,MATCH($A$1,'DB Country PMI'!$A$1:$W$1,),))</f>
        <v>48.9</v>
      </c>
      <c r="C71" s="14">
        <f>Table1346811345[[#This Row],[PMI]]-B70</f>
        <v>0.79999999999999716</v>
      </c>
    </row>
    <row r="72" spans="1:3" x14ac:dyDescent="0.2">
      <c r="A72" s="8">
        <v>41671</v>
      </c>
      <c r="B72" s="11">
        <f>IF(VLOOKUP(A72,'DB Country PMI'!$A:$W,MATCH($A$1,'DB Country PMI'!$A$1:$W$1,),)=0,#N/A,VLOOKUP(A72,'DB Country PMI'!$A:$W,MATCH($A$1,'DB Country PMI'!$A$1:$W$1,),))</f>
        <v>47.2</v>
      </c>
      <c r="C72" s="14">
        <f>Table1346811345[[#This Row],[PMI]]-B71</f>
        <v>-1.6999999999999957</v>
      </c>
    </row>
    <row r="73" spans="1:3" x14ac:dyDescent="0.2">
      <c r="A73" s="8">
        <v>41699</v>
      </c>
      <c r="B73" s="11">
        <f>IF(VLOOKUP(A73,'DB Country PMI'!$A:$W,MATCH($A$1,'DB Country PMI'!$A$1:$W$1,),)=0,#N/A,VLOOKUP(A73,'DB Country PMI'!$A:$W,MATCH($A$1,'DB Country PMI'!$A$1:$W$1,),))</f>
        <v>51.5</v>
      </c>
      <c r="C73" s="14">
        <f>Table1346811345[[#This Row],[PMI]]-B72</f>
        <v>4.2999999999999972</v>
      </c>
    </row>
    <row r="74" spans="1:3" x14ac:dyDescent="0.2">
      <c r="A74" s="8">
        <v>41730</v>
      </c>
      <c r="B74" s="11">
        <f>IF(VLOOKUP(A74,'DB Country PMI'!$A:$W,MATCH($A$1,'DB Country PMI'!$A$1:$W$1,),)=0,#N/A,VLOOKUP(A74,'DB Country PMI'!$A:$W,MATCH($A$1,'DB Country PMI'!$A$1:$W$1,),))</f>
        <v>50.4</v>
      </c>
      <c r="C74" s="14">
        <f>Table1346811345[[#This Row],[PMI]]-B73</f>
        <v>-1.1000000000000014</v>
      </c>
    </row>
    <row r="75" spans="1:3" x14ac:dyDescent="0.2">
      <c r="A75" s="8">
        <v>41760</v>
      </c>
      <c r="B75" s="11">
        <f>IF(VLOOKUP(A75,'DB Country PMI'!$A:$W,MATCH($A$1,'DB Country PMI'!$A$1:$W$1,),)=0,#N/A,VLOOKUP(A75,'DB Country PMI'!$A:$W,MATCH($A$1,'DB Country PMI'!$A$1:$W$1,),))</f>
        <v>49.1</v>
      </c>
      <c r="C75" s="14">
        <f>Table1346811345[[#This Row],[PMI]]-B74</f>
        <v>-1.2999999999999972</v>
      </c>
    </row>
    <row r="76" spans="1:3" x14ac:dyDescent="0.2">
      <c r="A76" s="8">
        <v>41791</v>
      </c>
      <c r="B76" s="11">
        <f>IF(VLOOKUP(A76,'DB Country PMI'!$A:$W,MATCH($A$1,'DB Country PMI'!$A$1:$W$1,),)=0,#N/A,VLOOKUP(A76,'DB Country PMI'!$A:$W,MATCH($A$1,'DB Country PMI'!$A$1:$W$1,),))</f>
        <v>48.2</v>
      </c>
      <c r="C76" s="14">
        <f>Table1346811345[[#This Row],[PMI]]-B75</f>
        <v>-0.89999999999999858</v>
      </c>
    </row>
    <row r="77" spans="1:3" x14ac:dyDescent="0.2">
      <c r="A77" s="8">
        <v>41821</v>
      </c>
      <c r="B77" s="11">
        <f>IF(VLOOKUP(A77,'DB Country PMI'!$A:$W,MATCH($A$1,'DB Country PMI'!$A$1:$W$1,),)=0,#N/A,VLOOKUP(A77,'DB Country PMI'!$A:$W,MATCH($A$1,'DB Country PMI'!$A$1:$W$1,),))</f>
        <v>50.4</v>
      </c>
      <c r="C77" s="14">
        <f>Table1346811345[[#This Row],[PMI]]-B76</f>
        <v>2.1999999999999957</v>
      </c>
    </row>
    <row r="78" spans="1:3" x14ac:dyDescent="0.2">
      <c r="A78" s="8">
        <v>41852</v>
      </c>
      <c r="B78" s="11">
        <f>IF(VLOOKUP(A78,'DB Country PMI'!$A:$W,MATCH($A$1,'DB Country PMI'!$A$1:$W$1,),)=0,#N/A,VLOOKUP(A78,'DB Country PMI'!$A:$W,MATCH($A$1,'DB Country PMI'!$A$1:$W$1,),))</f>
        <v>50.3</v>
      </c>
      <c r="C78" s="14">
        <f>Table1346811345[[#This Row],[PMI]]-B77</f>
        <v>-0.10000000000000142</v>
      </c>
    </row>
    <row r="79" spans="1:3" x14ac:dyDescent="0.2">
      <c r="A79" s="8">
        <v>41883</v>
      </c>
      <c r="B79" s="11">
        <f>IF(VLOOKUP(A79,'DB Country PMI'!$A:$W,MATCH($A$1,'DB Country PMI'!$A$1:$W$1,),)=0,#N/A,VLOOKUP(A79,'DB Country PMI'!$A:$W,MATCH($A$1,'DB Country PMI'!$A$1:$W$1,),))</f>
        <v>48.4</v>
      </c>
      <c r="C79" s="14">
        <f>Table1346811345[[#This Row],[PMI]]-B78</f>
        <v>-1.8999999999999986</v>
      </c>
    </row>
    <row r="80" spans="1:3" x14ac:dyDescent="0.2">
      <c r="A80" s="8">
        <v>41913</v>
      </c>
      <c r="B80" s="11">
        <f>IF(VLOOKUP(A80,'DB Country PMI'!$A:$W,MATCH($A$1,'DB Country PMI'!$A$1:$W$1,),)=0,#N/A,VLOOKUP(A80,'DB Country PMI'!$A:$W,MATCH($A$1,'DB Country PMI'!$A$1:$W$1,),))</f>
        <v>48.3</v>
      </c>
      <c r="C80" s="14">
        <f>Table1346811345[[#This Row],[PMI]]-B79</f>
        <v>-0.10000000000000142</v>
      </c>
    </row>
    <row r="81" spans="1:3" x14ac:dyDescent="0.2">
      <c r="A81" s="8">
        <v>41944</v>
      </c>
      <c r="B81" s="11">
        <f>IF(VLOOKUP(A81,'DB Country PMI'!$A:$W,MATCH($A$1,'DB Country PMI'!$A$1:$W$1,),)=0,#N/A,VLOOKUP(A81,'DB Country PMI'!$A:$W,MATCH($A$1,'DB Country PMI'!$A$1:$W$1,),))</f>
        <v>47.9</v>
      </c>
      <c r="C81" s="14">
        <f>Table1346811345[[#This Row],[PMI]]-B80</f>
        <v>-0.39999999999999858</v>
      </c>
    </row>
    <row r="82" spans="1:3" x14ac:dyDescent="0.2">
      <c r="A82" s="8">
        <v>41974</v>
      </c>
      <c r="B82" s="11">
        <f>IF(VLOOKUP(A82,'DB Country PMI'!$A:$W,MATCH($A$1,'DB Country PMI'!$A$1:$W$1,),)=0,#N/A,VLOOKUP(A82,'DB Country PMI'!$A:$W,MATCH($A$1,'DB Country PMI'!$A$1:$W$1,),))</f>
        <v>50.6</v>
      </c>
      <c r="C82" s="14">
        <f>Table1346811345[[#This Row],[PMI]]-B81</f>
        <v>2.7000000000000028</v>
      </c>
    </row>
    <row r="83" spans="1:3" x14ac:dyDescent="0.2">
      <c r="A83" s="8">
        <v>42005</v>
      </c>
      <c r="B83" s="11">
        <f>IF(VLOOKUP(A83,'DB Country PMI'!$A:$W,MATCH($A$1,'DB Country PMI'!$A$1:$W$1,),)=0,#N/A,VLOOKUP(A83,'DB Country PMI'!$A:$W,MATCH($A$1,'DB Country PMI'!$A$1:$W$1,),))</f>
        <v>49.4</v>
      </c>
      <c r="C83" s="14">
        <f>Table1346811345[[#This Row],[PMI]]-B82</f>
        <v>-1.2000000000000028</v>
      </c>
    </row>
    <row r="84" spans="1:3" x14ac:dyDescent="0.2">
      <c r="A84" s="8">
        <v>42036</v>
      </c>
      <c r="B84" s="11">
        <f>IF(VLOOKUP(A84,'DB Country PMI'!$A:$W,MATCH($A$1,'DB Country PMI'!$A$1:$W$1,),)=0,#N/A,VLOOKUP(A84,'DB Country PMI'!$A:$W,MATCH($A$1,'DB Country PMI'!$A$1:$W$1,),))</f>
        <v>53.4</v>
      </c>
      <c r="C84" s="14">
        <f>Table1346811345[[#This Row],[PMI]]-B83</f>
        <v>4</v>
      </c>
    </row>
    <row r="85" spans="1:3" x14ac:dyDescent="0.2">
      <c r="A85" s="8">
        <v>42064</v>
      </c>
      <c r="B85" s="11">
        <f>IF(VLOOKUP(A85,'DB Country PMI'!$A:$W,MATCH($A$1,'DB Country PMI'!$A$1:$W$1,),)=0,#N/A,VLOOKUP(A85,'DB Country PMI'!$A:$W,MATCH($A$1,'DB Country PMI'!$A$1:$W$1,),))</f>
        <v>52.4</v>
      </c>
      <c r="C85" s="14">
        <f>Table1346811345[[#This Row],[PMI]]-B84</f>
        <v>-1</v>
      </c>
    </row>
    <row r="86" spans="1:3" x14ac:dyDescent="0.2">
      <c r="A86" s="8">
        <v>42095</v>
      </c>
      <c r="B86" s="11">
        <f>IF(VLOOKUP(A86,'DB Country PMI'!$A:$W,MATCH($A$1,'DB Country PMI'!$A$1:$W$1,),)=0,#N/A,VLOOKUP(A86,'DB Country PMI'!$A:$W,MATCH($A$1,'DB Country PMI'!$A$1:$W$1,),))</f>
        <v>51.4</v>
      </c>
      <c r="C86" s="14">
        <f>Table1346811345[[#This Row],[PMI]]-B85</f>
        <v>-1</v>
      </c>
    </row>
    <row r="87" spans="1:3" x14ac:dyDescent="0.2">
      <c r="A87" s="8">
        <v>42125</v>
      </c>
      <c r="B87" s="11">
        <f>IF(VLOOKUP(A87,'DB Country PMI'!$A:$W,MATCH($A$1,'DB Country PMI'!$A$1:$W$1,),)=0,#N/A,VLOOKUP(A87,'DB Country PMI'!$A:$W,MATCH($A$1,'DB Country PMI'!$A$1:$W$1,),))</f>
        <v>52.8</v>
      </c>
      <c r="C87" s="14">
        <f>Table1346811345[[#This Row],[PMI]]-B86</f>
        <v>1.3999999999999986</v>
      </c>
    </row>
    <row r="88" spans="1:3" x14ac:dyDescent="0.2">
      <c r="A88" s="8">
        <v>42156</v>
      </c>
      <c r="B88" s="11">
        <f>IF(VLOOKUP(A88,'DB Country PMI'!$A:$W,MATCH($A$1,'DB Country PMI'!$A$1:$W$1,),)=0,#N/A,VLOOKUP(A88,'DB Country PMI'!$A:$W,MATCH($A$1,'DB Country PMI'!$A$1:$W$1,),))</f>
        <v>54.1</v>
      </c>
      <c r="C88" s="14">
        <f>Table1346811345[[#This Row],[PMI]]-B87</f>
        <v>1.3000000000000043</v>
      </c>
    </row>
    <row r="89" spans="1:3" x14ac:dyDescent="0.2">
      <c r="A89" s="8">
        <v>42186</v>
      </c>
      <c r="B89" s="11">
        <f>IF(VLOOKUP(A89,'DB Country PMI'!$A:$W,MATCH($A$1,'DB Country PMI'!$A$1:$W$1,),)=0,#N/A,VLOOKUP(A89,'DB Country PMI'!$A:$W,MATCH($A$1,'DB Country PMI'!$A$1:$W$1,),))</f>
        <v>52</v>
      </c>
      <c r="C89" s="14">
        <f>Table1346811345[[#This Row],[PMI]]-B88</f>
        <v>-2.1000000000000014</v>
      </c>
    </row>
    <row r="90" spans="1:3" x14ac:dyDescent="0.2">
      <c r="A90" s="8">
        <v>42217</v>
      </c>
      <c r="B90" s="11">
        <f>IF(VLOOKUP(A90,'DB Country PMI'!$A:$W,MATCH($A$1,'DB Country PMI'!$A$1:$W$1,),)=0,#N/A,VLOOKUP(A90,'DB Country PMI'!$A:$W,MATCH($A$1,'DB Country PMI'!$A$1:$W$1,),))</f>
        <v>50.6</v>
      </c>
      <c r="C90" s="14">
        <f>Table1346811345[[#This Row],[PMI]]-B89</f>
        <v>-1.3999999999999986</v>
      </c>
    </row>
    <row r="91" spans="1:3" x14ac:dyDescent="0.2">
      <c r="A91" s="8">
        <v>42248</v>
      </c>
      <c r="B91" s="11">
        <f>IF(VLOOKUP(A91,'DB Country PMI'!$A:$W,MATCH($A$1,'DB Country PMI'!$A$1:$W$1,),)=0,#N/A,VLOOKUP(A91,'DB Country PMI'!$A:$W,MATCH($A$1,'DB Country PMI'!$A$1:$W$1,),))</f>
        <v>51.9</v>
      </c>
      <c r="C91" s="14">
        <f>Table1346811345[[#This Row],[PMI]]-B90</f>
        <v>1.2999999999999972</v>
      </c>
    </row>
    <row r="92" spans="1:3" x14ac:dyDescent="0.2">
      <c r="A92" s="8">
        <v>42278</v>
      </c>
      <c r="B92" s="11">
        <f>IF(VLOOKUP(A92,'DB Country PMI'!$A:$W,MATCH($A$1,'DB Country PMI'!$A$1:$W$1,),)=0,#N/A,VLOOKUP(A92,'DB Country PMI'!$A:$W,MATCH($A$1,'DB Country PMI'!$A$1:$W$1,),))</f>
        <v>52.7</v>
      </c>
      <c r="C92" s="14">
        <f>Table1346811345[[#This Row],[PMI]]-B91</f>
        <v>0.80000000000000426</v>
      </c>
    </row>
    <row r="93" spans="1:3" x14ac:dyDescent="0.2">
      <c r="A93" s="8">
        <v>42309</v>
      </c>
      <c r="B93" s="11">
        <f>IF(VLOOKUP(A93,'DB Country PMI'!$A:$W,MATCH($A$1,'DB Country PMI'!$A$1:$W$1,),)=0,#N/A,VLOOKUP(A93,'DB Country PMI'!$A:$W,MATCH($A$1,'DB Country PMI'!$A$1:$W$1,),))</f>
        <v>51</v>
      </c>
      <c r="C93" s="14">
        <f>Table1346811345[[#This Row],[PMI]]-B92</f>
        <v>-1.7000000000000028</v>
      </c>
    </row>
    <row r="94" spans="1:3" x14ac:dyDescent="0.2">
      <c r="A94" s="8">
        <v>42339</v>
      </c>
      <c r="B94" s="11">
        <f>IF(VLOOKUP(A94,'DB Country PMI'!$A:$W,MATCH($A$1,'DB Country PMI'!$A$1:$W$1,),)=0,#N/A,VLOOKUP(A94,'DB Country PMI'!$A:$W,MATCH($A$1,'DB Country PMI'!$A$1:$W$1,),))</f>
        <v>49.8</v>
      </c>
      <c r="C94" s="14">
        <f>Table1346811345[[#This Row],[PMI]]-B93</f>
        <v>-1.2000000000000028</v>
      </c>
    </row>
    <row r="95" spans="1:3" x14ac:dyDescent="0.2">
      <c r="A95" s="8">
        <v>42370</v>
      </c>
      <c r="B95" s="11">
        <f>IF(VLOOKUP(A95,'DB Country PMI'!$A:$W,MATCH($A$1,'DB Country PMI'!$A$1:$W$1,),)=0,#N/A,VLOOKUP(A95,'DB Country PMI'!$A:$W,MATCH($A$1,'DB Country PMI'!$A$1:$W$1,),))</f>
        <v>50.3</v>
      </c>
      <c r="C95" s="14">
        <f>Table1346811345[[#This Row],[PMI]]-B94</f>
        <v>0.5</v>
      </c>
    </row>
    <row r="96" spans="1:3" x14ac:dyDescent="0.2">
      <c r="A96" s="8">
        <v>42401</v>
      </c>
      <c r="B96" s="11">
        <f>IF(VLOOKUP(A96,'DB Country PMI'!$A:$W,MATCH($A$1,'DB Country PMI'!$A$1:$W$1,),)=0,#N/A,VLOOKUP(A96,'DB Country PMI'!$A:$W,MATCH($A$1,'DB Country PMI'!$A$1:$W$1,),))</f>
        <v>49.2</v>
      </c>
      <c r="C96" s="14">
        <f>Table1346811345[[#This Row],[PMI]]-B95</f>
        <v>-1.0999999999999943</v>
      </c>
    </row>
    <row r="97" spans="1:3" x14ac:dyDescent="0.2">
      <c r="A97" s="8">
        <v>42430</v>
      </c>
      <c r="B97" s="11">
        <f>IF(VLOOKUP(A97,'DB Country PMI'!$A:$W,MATCH($A$1,'DB Country PMI'!$A$1:$W$1,),)=0,#N/A,VLOOKUP(A97,'DB Country PMI'!$A:$W,MATCH($A$1,'DB Country PMI'!$A$1:$W$1,),))</f>
        <v>49.9</v>
      </c>
      <c r="C97" s="14">
        <f>Table1346811345[[#This Row],[PMI]]-B96</f>
        <v>0.69999999999999574</v>
      </c>
    </row>
    <row r="98" spans="1:3" x14ac:dyDescent="0.2">
      <c r="A98" s="8">
        <v>42461</v>
      </c>
      <c r="B98" s="11">
        <f>IF(VLOOKUP(A98,'DB Country PMI'!$A:$W,MATCH($A$1,'DB Country PMI'!$A$1:$W$1,),)=0,#N/A,VLOOKUP(A98,'DB Country PMI'!$A:$W,MATCH($A$1,'DB Country PMI'!$A$1:$W$1,),))</f>
        <v>50.6</v>
      </c>
      <c r="C98" s="14">
        <f>Table1346811345[[#This Row],[PMI]]-B97</f>
        <v>0.70000000000000284</v>
      </c>
    </row>
    <row r="99" spans="1:3" x14ac:dyDescent="0.2">
      <c r="A99" s="8">
        <v>42491</v>
      </c>
      <c r="B99" s="11">
        <f>IF(VLOOKUP(A99,'DB Country PMI'!$A:$W,MATCH($A$1,'DB Country PMI'!$A$1:$W$1,),)=0,#N/A,VLOOKUP(A99,'DB Country PMI'!$A:$W,MATCH($A$1,'DB Country PMI'!$A$1:$W$1,),))</f>
        <v>51.6</v>
      </c>
      <c r="C99" s="14">
        <f>Table1346811345[[#This Row],[PMI]]-B98</f>
        <v>1</v>
      </c>
    </row>
    <row r="100" spans="1:3" x14ac:dyDescent="0.2">
      <c r="A100" s="8">
        <v>42522</v>
      </c>
      <c r="B100" s="11">
        <f>IF(VLOOKUP(A100,'DB Country PMI'!$A:$W,MATCH($A$1,'DB Country PMI'!$A$1:$W$1,),)=0,#N/A,VLOOKUP(A100,'DB Country PMI'!$A:$W,MATCH($A$1,'DB Country PMI'!$A$1:$W$1,),))</f>
        <v>49.9</v>
      </c>
      <c r="C100" s="14">
        <f>Table1346811345[[#This Row],[PMI]]-B99</f>
        <v>-1.7000000000000028</v>
      </c>
    </row>
    <row r="101" spans="1:3" x14ac:dyDescent="0.2">
      <c r="A101" s="8">
        <v>42552</v>
      </c>
      <c r="B101" s="11">
        <f>IF(VLOOKUP(A101,'DB Country PMI'!$A:$W,MATCH($A$1,'DB Country PMI'!$A$1:$W$1,),)=0,#N/A,VLOOKUP(A101,'DB Country PMI'!$A:$W,MATCH($A$1,'DB Country PMI'!$A$1:$W$1,),))</f>
        <v>50.5</v>
      </c>
      <c r="C101" s="14">
        <f>Table1346811345[[#This Row],[PMI]]-B100</f>
        <v>0.60000000000000142</v>
      </c>
    </row>
    <row r="102" spans="1:3" x14ac:dyDescent="0.2">
      <c r="A102" s="8">
        <v>42583</v>
      </c>
      <c r="B102" s="11">
        <f>IF(VLOOKUP(A102,'DB Country PMI'!$A:$W,MATCH($A$1,'DB Country PMI'!$A$1:$W$1,),)=0,#N/A,VLOOKUP(A102,'DB Country PMI'!$A:$W,MATCH($A$1,'DB Country PMI'!$A$1:$W$1,),))</f>
        <v>52.3</v>
      </c>
      <c r="C102" s="14">
        <f>Table1346811345[[#This Row],[PMI]]-B101</f>
        <v>1.7999999999999972</v>
      </c>
    </row>
    <row r="103" spans="1:3" x14ac:dyDescent="0.2">
      <c r="A103" s="8">
        <v>42614</v>
      </c>
      <c r="B103" s="11">
        <f>IF(VLOOKUP(A103,'DB Country PMI'!$A:$W,MATCH($A$1,'DB Country PMI'!$A$1:$W$1,),)=0,#N/A,VLOOKUP(A103,'DB Country PMI'!$A:$W,MATCH($A$1,'DB Country PMI'!$A$1:$W$1,),))</f>
        <v>53.3</v>
      </c>
      <c r="C103" s="14">
        <f>Table1346811345[[#This Row],[PMI]]-B102</f>
        <v>1</v>
      </c>
    </row>
    <row r="104" spans="1:3" x14ac:dyDescent="0.2">
      <c r="A104" s="8">
        <v>42644</v>
      </c>
      <c r="B104" s="11">
        <f>IF(VLOOKUP(A104,'DB Country PMI'!$A:$W,MATCH($A$1,'DB Country PMI'!$A$1:$W$1,),)=0,#N/A,VLOOKUP(A104,'DB Country PMI'!$A:$W,MATCH($A$1,'DB Country PMI'!$A$1:$W$1,),))</f>
        <v>51.4</v>
      </c>
      <c r="C104" s="14">
        <f>Table1346811345[[#This Row],[PMI]]-B103</f>
        <v>-1.8999999999999986</v>
      </c>
    </row>
    <row r="105" spans="1:3" x14ac:dyDescent="0.2">
      <c r="A105" s="8">
        <v>42675</v>
      </c>
      <c r="B105" s="11">
        <f>IF(VLOOKUP(A105,'DB Country PMI'!$A:$W,MATCH($A$1,'DB Country PMI'!$A$1:$W$1,),)=0,#N/A,VLOOKUP(A105,'DB Country PMI'!$A:$W,MATCH($A$1,'DB Country PMI'!$A$1:$W$1,),))</f>
        <v>51.6</v>
      </c>
      <c r="C105" s="14">
        <f>Table1346811345[[#This Row],[PMI]]-B104</f>
        <v>0.20000000000000284</v>
      </c>
    </row>
    <row r="106" spans="1:3" x14ac:dyDescent="0.2">
      <c r="A106" s="8">
        <v>42705</v>
      </c>
      <c r="B106" s="11">
        <f>IF(VLOOKUP(A106,'DB Country PMI'!$A:$W,MATCH($A$1,'DB Country PMI'!$A$1:$W$1,),)=0,#N/A,VLOOKUP(A106,'DB Country PMI'!$A:$W,MATCH($A$1,'DB Country PMI'!$A$1:$W$1,),))</f>
        <v>52.9</v>
      </c>
      <c r="C106" s="14">
        <f>Table1346811345[[#This Row],[PMI]]-B105</f>
        <v>1.2999999999999972</v>
      </c>
    </row>
    <row r="107" spans="1:3" x14ac:dyDescent="0.2">
      <c r="A107" s="8">
        <v>42736</v>
      </c>
      <c r="B107" s="11">
        <f>IF(VLOOKUP(A107,'DB Country PMI'!$A:$W,MATCH($A$1,'DB Country PMI'!$A$1:$W$1,),)=0,#N/A,VLOOKUP(A107,'DB Country PMI'!$A:$W,MATCH($A$1,'DB Country PMI'!$A$1:$W$1,),))</f>
        <v>54.1</v>
      </c>
      <c r="C107" s="14">
        <f>Table1346811345[[#This Row],[PMI]]-B106</f>
        <v>1.2000000000000028</v>
      </c>
    </row>
    <row r="108" spans="1:3" x14ac:dyDescent="0.2">
      <c r="A108" s="8">
        <v>42767</v>
      </c>
      <c r="B108" s="11">
        <f>IF(VLOOKUP(A108,'DB Country PMI'!$A:$W,MATCH($A$1,'DB Country PMI'!$A$1:$W$1,),)=0,#N/A,VLOOKUP(A108,'DB Country PMI'!$A:$W,MATCH($A$1,'DB Country PMI'!$A$1:$W$1,),))</f>
        <v>56.4</v>
      </c>
      <c r="C108" s="14">
        <f>Table1346811345[[#This Row],[PMI]]-B107</f>
        <v>2.2999999999999972</v>
      </c>
    </row>
    <row r="109" spans="1:3" x14ac:dyDescent="0.2">
      <c r="A109" s="8">
        <v>42795</v>
      </c>
      <c r="B109" s="11">
        <f>IF(VLOOKUP(A109,'DB Country PMI'!$A:$W,MATCH($A$1,'DB Country PMI'!$A$1:$W$1,),)=0,#N/A,VLOOKUP(A109,'DB Country PMI'!$A:$W,MATCH($A$1,'DB Country PMI'!$A$1:$W$1,),))</f>
        <v>57.5</v>
      </c>
      <c r="C109" s="14">
        <f>Table1346811345[[#This Row],[PMI]]-B108</f>
        <v>1.1000000000000014</v>
      </c>
    </row>
    <row r="110" spans="1:3" x14ac:dyDescent="0.2">
      <c r="A110" s="8">
        <v>42826</v>
      </c>
      <c r="B110" s="11">
        <f>IF(VLOOKUP(A110,'DB Country PMI'!$A:$W,MATCH($A$1,'DB Country PMI'!$A$1:$W$1,),)=0,#N/A,VLOOKUP(A110,'DB Country PMI'!$A:$W,MATCH($A$1,'DB Country PMI'!$A$1:$W$1,),))</f>
        <v>56.7</v>
      </c>
      <c r="C110" s="14">
        <f>Table1346811345[[#This Row],[PMI]]-B109</f>
        <v>-0.79999999999999716</v>
      </c>
    </row>
    <row r="111" spans="1:3" x14ac:dyDescent="0.2">
      <c r="A111" s="8">
        <v>42856</v>
      </c>
      <c r="B111" s="11">
        <f>IF(VLOOKUP(A111,'DB Country PMI'!$A:$W,MATCH($A$1,'DB Country PMI'!$A$1:$W$1,),)=0,#N/A,VLOOKUP(A111,'DB Country PMI'!$A:$W,MATCH($A$1,'DB Country PMI'!$A$1:$W$1,),))</f>
        <v>57.2</v>
      </c>
      <c r="C111" s="14">
        <f>Table1346811345[[#This Row],[PMI]]-B110</f>
        <v>0.5</v>
      </c>
    </row>
    <row r="112" spans="1:3" x14ac:dyDescent="0.2">
      <c r="A112" s="8">
        <v>42887</v>
      </c>
      <c r="B112" s="11">
        <f>IF(VLOOKUP(A112,'DB Country PMI'!$A:$W,MATCH($A$1,'DB Country PMI'!$A$1:$W$1,),)=0,#N/A,VLOOKUP(A112,'DB Country PMI'!$A:$W,MATCH($A$1,'DB Country PMI'!$A$1:$W$1,),))</f>
        <v>56.9</v>
      </c>
      <c r="C112" s="14">
        <f>Table1346811345[[#This Row],[PMI]]-B111</f>
        <v>-0.30000000000000426</v>
      </c>
    </row>
    <row r="113" spans="1:3" x14ac:dyDescent="0.2">
      <c r="A113" s="8">
        <v>42917</v>
      </c>
      <c r="B113" s="11">
        <f>IF(VLOOKUP(A113,'DB Country PMI'!$A:$W,MATCH($A$1,'DB Country PMI'!$A$1:$W$1,),)=0,#N/A,VLOOKUP(A113,'DB Country PMI'!$A:$W,MATCH($A$1,'DB Country PMI'!$A$1:$W$1,),))</f>
        <v>56</v>
      </c>
      <c r="C113" s="14">
        <f>Table1346811345[[#This Row],[PMI]]-B112</f>
        <v>-0.89999999999999858</v>
      </c>
    </row>
    <row r="114" spans="1:3" x14ac:dyDescent="0.2">
      <c r="A114" s="8">
        <v>42948</v>
      </c>
      <c r="B114" s="11">
        <f>IF(VLOOKUP(A114,'DB Country PMI'!$A:$W,MATCH($A$1,'DB Country PMI'!$A$1:$W$1,),)=0,#N/A,VLOOKUP(A114,'DB Country PMI'!$A:$W,MATCH($A$1,'DB Country PMI'!$A$1:$W$1,),))</f>
        <v>54.9</v>
      </c>
      <c r="C114" s="14">
        <f>Table1346811345[[#This Row],[PMI]]-B113</f>
        <v>-1.1000000000000014</v>
      </c>
    </row>
    <row r="115" spans="1:3" x14ac:dyDescent="0.2">
      <c r="A115" s="8">
        <v>42979</v>
      </c>
      <c r="B115" s="11">
        <f>IF(VLOOKUP(A115,'DB Country PMI'!$A:$W,MATCH($A$1,'DB Country PMI'!$A$1:$W$1,),)=0,#N/A,VLOOKUP(A115,'DB Country PMI'!$A:$W,MATCH($A$1,'DB Country PMI'!$A$1:$W$1,),))</f>
        <v>57</v>
      </c>
      <c r="C115" s="14">
        <f>Table1346811345[[#This Row],[PMI]]-B114</f>
        <v>2.1000000000000014</v>
      </c>
    </row>
    <row r="116" spans="1:3" x14ac:dyDescent="0.2">
      <c r="A116" s="8">
        <v>43009</v>
      </c>
      <c r="B116" s="11">
        <f>IF(VLOOKUP(A116,'DB Country PMI'!$A:$W,MATCH($A$1,'DB Country PMI'!$A$1:$W$1,),)=0,#N/A,VLOOKUP(A116,'DB Country PMI'!$A:$W,MATCH($A$1,'DB Country PMI'!$A$1:$W$1,),))</f>
        <v>57.3</v>
      </c>
      <c r="C116" s="14">
        <f>Table1346811345[[#This Row],[PMI]]-B115</f>
        <v>0.29999999999999716</v>
      </c>
    </row>
    <row r="117" spans="1:3" x14ac:dyDescent="0.2">
      <c r="A117" s="8">
        <v>43040</v>
      </c>
      <c r="B117" s="11">
        <f>IF(VLOOKUP(A117,'DB Country PMI'!$A:$W,MATCH($A$1,'DB Country PMI'!$A$1:$W$1,),)=0,#N/A,VLOOKUP(A117,'DB Country PMI'!$A:$W,MATCH($A$1,'DB Country PMI'!$A$1:$W$1,),))</f>
        <v>60.4</v>
      </c>
      <c r="C117" s="14">
        <f>Table1346811345[[#This Row],[PMI]]-B116</f>
        <v>3.1000000000000014</v>
      </c>
    </row>
    <row r="118" spans="1:3" x14ac:dyDescent="0.2">
      <c r="A118" s="8">
        <v>43070</v>
      </c>
      <c r="B118" s="11">
        <f>IF(VLOOKUP(A118,'DB Country PMI'!$A:$W,MATCH($A$1,'DB Country PMI'!$A$1:$W$1,),)=0,#N/A,VLOOKUP(A118,'DB Country PMI'!$A:$W,MATCH($A$1,'DB Country PMI'!$A$1:$W$1,),))</f>
        <v>59.1</v>
      </c>
      <c r="C118" s="14">
        <f>Table1346811345[[#This Row],[PMI]]-B117</f>
        <v>-1.2999999999999972</v>
      </c>
    </row>
    <row r="119" spans="1:3" x14ac:dyDescent="0.2">
      <c r="A119" s="8">
        <v>43101</v>
      </c>
      <c r="B119" s="11">
        <f>IF(VLOOKUP(A119,'DB Country PMI'!$A:$W,MATCH($A$1,'DB Country PMI'!$A$1:$W$1,),)=0,#N/A,VLOOKUP(A119,'DB Country PMI'!$A:$W,MATCH($A$1,'DB Country PMI'!$A$1:$W$1,),))</f>
        <v>59.2</v>
      </c>
      <c r="C119" s="14">
        <f>Table1346811345[[#This Row],[PMI]]-B118</f>
        <v>0.10000000000000142</v>
      </c>
    </row>
    <row r="120" spans="1:3" x14ac:dyDescent="0.2">
      <c r="A120" s="8">
        <v>43132</v>
      </c>
      <c r="B120" s="11">
        <f>IF(VLOOKUP(A120,'DB Country PMI'!$A:$W,MATCH($A$1,'DB Country PMI'!$A$1:$W$1,),)=0,#N/A,VLOOKUP(A120,'DB Country PMI'!$A:$W,MATCH($A$1,'DB Country PMI'!$A$1:$W$1,),))</f>
        <v>57.4</v>
      </c>
      <c r="C120" s="14">
        <f>Table1346811345[[#This Row],[PMI]]-B119</f>
        <v>-1.8000000000000043</v>
      </c>
    </row>
    <row r="121" spans="1:3" x14ac:dyDescent="0.2">
      <c r="A121" s="8">
        <v>43160</v>
      </c>
      <c r="B121" s="11">
        <f>IF(VLOOKUP(A121,'DB Country PMI'!$A:$W,MATCH($A$1,'DB Country PMI'!$A$1:$W$1,),)=0,#N/A,VLOOKUP(A121,'DB Country PMI'!$A:$W,MATCH($A$1,'DB Country PMI'!$A$1:$W$1,),))</f>
        <v>56.8</v>
      </c>
      <c r="C121" s="14">
        <f>Table1346811345[[#This Row],[PMI]]-B120</f>
        <v>-0.60000000000000142</v>
      </c>
    </row>
    <row r="122" spans="1:3" x14ac:dyDescent="0.2">
      <c r="A122" s="8">
        <v>43191</v>
      </c>
      <c r="B122" s="11">
        <f>IF(VLOOKUP(A122,'DB Country PMI'!$A:$W,MATCH($A$1,'DB Country PMI'!$A$1:$W$1,),)=0,#N/A,VLOOKUP(A122,'DB Country PMI'!$A:$W,MATCH($A$1,'DB Country PMI'!$A$1:$W$1,),))</f>
        <v>57.4</v>
      </c>
      <c r="C122" s="14">
        <f>Table1346811345[[#This Row],[PMI]]-B121</f>
        <v>0.60000000000000142</v>
      </c>
    </row>
    <row r="123" spans="1:3" x14ac:dyDescent="0.2">
      <c r="A123" s="8">
        <v>43221</v>
      </c>
      <c r="B123" s="11">
        <f>IF(VLOOKUP(A123,'DB Country PMI'!$A:$W,MATCH($A$1,'DB Country PMI'!$A$1:$W$1,),)=0,#N/A,VLOOKUP(A123,'DB Country PMI'!$A:$W,MATCH($A$1,'DB Country PMI'!$A$1:$W$1,),))</f>
        <v>54.3</v>
      </c>
      <c r="C123" s="14">
        <f>Table1346811345[[#This Row],[PMI]]-B122</f>
        <v>-3.1000000000000014</v>
      </c>
    </row>
    <row r="124" spans="1:3" x14ac:dyDescent="0.2">
      <c r="A124" s="8">
        <v>43252</v>
      </c>
      <c r="B124" s="11">
        <f>IF(VLOOKUP(A124,'DB Country PMI'!$A:$W,MATCH($A$1,'DB Country PMI'!$A$1:$W$1,),)=0,#N/A,VLOOKUP(A124,'DB Country PMI'!$A:$W,MATCH($A$1,'DB Country PMI'!$A$1:$W$1,),))</f>
        <v>55.9</v>
      </c>
      <c r="C124" s="14">
        <f>Table1346811345[[#This Row],[PMI]]-B123</f>
        <v>1.6000000000000014</v>
      </c>
    </row>
    <row r="125" spans="1:3" x14ac:dyDescent="0.2">
      <c r="A125" s="8">
        <v>43282</v>
      </c>
      <c r="B125" s="11">
        <f>IF(VLOOKUP(A125,'DB Country PMI'!$A:$W,MATCH($A$1,'DB Country PMI'!$A$1:$W$1,),)=0,#N/A,VLOOKUP(A125,'DB Country PMI'!$A:$W,MATCH($A$1,'DB Country PMI'!$A$1:$W$1,),))</f>
        <v>54.9</v>
      </c>
      <c r="C125" s="14">
        <f>Table1346811345[[#This Row],[PMI]]-B124</f>
        <v>-1</v>
      </c>
    </row>
    <row r="126" spans="1:3" x14ac:dyDescent="0.2">
      <c r="A126" s="8">
        <v>43313</v>
      </c>
      <c r="B126" s="11">
        <f>IF(VLOOKUP(A126,'DB Country PMI'!$A:$W,MATCH($A$1,'DB Country PMI'!$A$1:$W$1,),)=0,#N/A,VLOOKUP(A126,'DB Country PMI'!$A:$W,MATCH($A$1,'DB Country PMI'!$A$1:$W$1,),))</f>
        <v>55.4</v>
      </c>
      <c r="C126" s="14">
        <f>Table1346811345[[#This Row],[PMI]]-B125</f>
        <v>0.5</v>
      </c>
    </row>
    <row r="127" spans="1:3" x14ac:dyDescent="0.2">
      <c r="A127" s="8">
        <v>43344</v>
      </c>
      <c r="B127" s="11">
        <f>IF(VLOOKUP(A127,'DB Country PMI'!$A:$W,MATCH($A$1,'DB Country PMI'!$A$1:$W$1,),)=0,#N/A,VLOOKUP(A127,'DB Country PMI'!$A:$W,MATCH($A$1,'DB Country PMI'!$A$1:$W$1,),))</f>
        <v>54.8</v>
      </c>
      <c r="C127" s="14">
        <f>Table1346811345[[#This Row],[PMI]]-B126</f>
        <v>-0.60000000000000142</v>
      </c>
    </row>
    <row r="128" spans="1:3" x14ac:dyDescent="0.2">
      <c r="A128" s="8">
        <v>43374</v>
      </c>
      <c r="B128" s="11">
        <f>IF(VLOOKUP(A128,'DB Country PMI'!$A:$W,MATCH($A$1,'DB Country PMI'!$A$1:$W$1,),)=0,#N/A,VLOOKUP(A128,'DB Country PMI'!$A:$W,MATCH($A$1,'DB Country PMI'!$A$1:$W$1,),))</f>
        <v>55.3</v>
      </c>
      <c r="C128" s="14">
        <f>Table1346811345[[#This Row],[PMI]]-B127</f>
        <v>0.5</v>
      </c>
    </row>
    <row r="129" spans="1:3" x14ac:dyDescent="0.2">
      <c r="A129" s="8">
        <v>43405</v>
      </c>
      <c r="B129" s="11">
        <f>IF(VLOOKUP(A129,'DB Country PMI'!$A:$W,MATCH($A$1,'DB Country PMI'!$A$1:$W$1,),)=0,#N/A,VLOOKUP(A129,'DB Country PMI'!$A:$W,MATCH($A$1,'DB Country PMI'!$A$1:$W$1,),))</f>
        <v>55.1</v>
      </c>
      <c r="C129" s="14">
        <f>Table1346811345[[#This Row],[PMI]]-B128</f>
        <v>-0.19999999999999574</v>
      </c>
    </row>
    <row r="130" spans="1:3" x14ac:dyDescent="0.2">
      <c r="A130" s="8">
        <v>43435</v>
      </c>
      <c r="B130" s="11">
        <f>IF(VLOOKUP(A130,'DB Country PMI'!$A:$W,MATCH($A$1,'DB Country PMI'!$A$1:$W$1,),)=0,#N/A,VLOOKUP(A130,'DB Country PMI'!$A:$W,MATCH($A$1,'DB Country PMI'!$A$1:$W$1,),))</f>
        <v>49</v>
      </c>
      <c r="C130" s="14">
        <f>Table1346811345[[#This Row],[PMI]]-B129</f>
        <v>-6.1000000000000014</v>
      </c>
    </row>
    <row r="131" spans="1:3" x14ac:dyDescent="0.2">
      <c r="A131" s="8">
        <v>43466</v>
      </c>
      <c r="B131" s="11">
        <f>IF(VLOOKUP(A131,'DB Country PMI'!$A:$W,MATCH($A$1,'DB Country PMI'!$A$1:$W$1,),)=0,#N/A,VLOOKUP(A131,'DB Country PMI'!$A:$W,MATCH($A$1,'DB Country PMI'!$A$1:$W$1,),))</f>
        <v>47.8</v>
      </c>
      <c r="C131" s="14">
        <f>Table1346811345[[#This Row],[PMI]]-B130</f>
        <v>-1.2000000000000028</v>
      </c>
    </row>
    <row r="132" spans="1:3" x14ac:dyDescent="0.2">
      <c r="A132" s="8">
        <v>43497</v>
      </c>
      <c r="B132" s="11">
        <f>IF(VLOOKUP(A132,'DB Country PMI'!$A:$W,MATCH($A$1,'DB Country PMI'!$A$1:$W$1,),)=0,#N/A,VLOOKUP(A132,'DB Country PMI'!$A:$W,MATCH($A$1,'DB Country PMI'!$A$1:$W$1,),))</f>
        <v>50.2</v>
      </c>
      <c r="C132" s="14">
        <f>Table1346811345[[#This Row],[PMI]]-B131</f>
        <v>2.4000000000000057</v>
      </c>
    </row>
    <row r="133" spans="1:3" x14ac:dyDescent="0.2">
      <c r="A133" s="8">
        <v>43525</v>
      </c>
      <c r="B133" s="11">
        <f>IF(VLOOKUP(A133,'DB Country PMI'!$A:$W,MATCH($A$1,'DB Country PMI'!$A$1:$W$1,),)=0,#N/A,VLOOKUP(A133,'DB Country PMI'!$A:$W,MATCH($A$1,'DB Country PMI'!$A$1:$W$1,),))</f>
        <v>49.1</v>
      </c>
      <c r="C133" s="14">
        <f>Table1346811345[[#This Row],[PMI]]-B132</f>
        <v>-1.1000000000000014</v>
      </c>
    </row>
    <row r="134" spans="1:3" x14ac:dyDescent="0.2">
      <c r="A134" s="8">
        <v>43556</v>
      </c>
      <c r="B134" s="11">
        <f>IF(VLOOKUP(A134,'DB Country PMI'!$A:$W,MATCH($A$1,'DB Country PMI'!$A$1:$W$1,),)=0,#N/A,VLOOKUP(A134,'DB Country PMI'!$A:$W,MATCH($A$1,'DB Country PMI'!$A$1:$W$1,),))</f>
        <v>50.5</v>
      </c>
      <c r="C134" s="14">
        <f>Table1346811345[[#This Row],[PMI]]-B133</f>
        <v>1.3999999999999986</v>
      </c>
    </row>
    <row r="135" spans="1:3" x14ac:dyDescent="0.2">
      <c r="A135" s="8">
        <v>43586</v>
      </c>
      <c r="B135" s="11">
        <f>IF(VLOOKUP(A135,'DB Country PMI'!$A:$W,MATCH($A$1,'DB Country PMI'!$A$1:$W$1,),)=0,#N/A,VLOOKUP(A135,'DB Country PMI'!$A:$W,MATCH($A$1,'DB Country PMI'!$A$1:$W$1,),))</f>
        <v>51.5</v>
      </c>
      <c r="C135" s="14">
        <f>Table1346811345[[#This Row],[PMI]]-B134</f>
        <v>1</v>
      </c>
    </row>
    <row r="136" spans="1:3" x14ac:dyDescent="0.2">
      <c r="A136" s="8">
        <v>43617</v>
      </c>
      <c r="B136" s="11">
        <f>IF(VLOOKUP(A136,'DB Country PMI'!$A:$W,MATCH($A$1,'DB Country PMI'!$A$1:$W$1,),)=0,#N/A,VLOOKUP(A136,'DB Country PMI'!$A:$W,MATCH($A$1,'DB Country PMI'!$A$1:$W$1,),))</f>
        <v>52.9</v>
      </c>
      <c r="C136" s="14">
        <f>Table1346811345[[#This Row],[PMI]]-B135</f>
        <v>1.3999999999999986</v>
      </c>
    </row>
    <row r="137" spans="1:3" x14ac:dyDescent="0.2">
      <c r="A137" s="8">
        <v>43647</v>
      </c>
      <c r="B137" s="11">
        <f>IF(VLOOKUP(A137,'DB Country PMI'!$A:$W,MATCH($A$1,'DB Country PMI'!$A$1:$W$1,),)=0,#N/A,VLOOKUP(A137,'DB Country PMI'!$A:$W,MATCH($A$1,'DB Country PMI'!$A$1:$W$1,),))</f>
        <v>52.6</v>
      </c>
      <c r="C137" s="14">
        <f>Table1346811345[[#This Row],[PMI]]-B136</f>
        <v>-0.29999999999999716</v>
      </c>
    </row>
    <row r="138" spans="1:3" x14ac:dyDescent="0.2">
      <c r="A138" s="8">
        <v>43678</v>
      </c>
      <c r="B138" s="11">
        <f>IF(VLOOKUP(A138,'DB Country PMI'!$A:$W,MATCH($A$1,'DB Country PMI'!$A$1:$W$1,),)=0,#N/A,VLOOKUP(A138,'DB Country PMI'!$A:$W,MATCH($A$1,'DB Country PMI'!$A$1:$W$1,),))</f>
        <v>53.4</v>
      </c>
      <c r="C138" s="14">
        <f>Table1346811345[[#This Row],[PMI]]-B137</f>
        <v>0.79999999999999716</v>
      </c>
    </row>
    <row r="139" spans="1:3" x14ac:dyDescent="0.2">
      <c r="A139" s="8">
        <v>43709</v>
      </c>
      <c r="B139" s="11">
        <f>IF(VLOOKUP(A139,'DB Country PMI'!$A:$W,MATCH($A$1,'DB Country PMI'!$A$1:$W$1,),)=0,#N/A,VLOOKUP(A139,'DB Country PMI'!$A:$W,MATCH($A$1,'DB Country PMI'!$A$1:$W$1,),))</f>
        <v>51.1</v>
      </c>
      <c r="C139" s="14">
        <f>Table1346811345[[#This Row],[PMI]]-B138</f>
        <v>-2.2999999999999972</v>
      </c>
    </row>
    <row r="140" spans="1:3" x14ac:dyDescent="0.2">
      <c r="A140" s="8">
        <v>43739</v>
      </c>
      <c r="B140" s="11">
        <f>IF(VLOOKUP(A140,'DB Country PMI'!$A:$W,MATCH($A$1,'DB Country PMI'!$A$1:$W$1,),)=0,#N/A,VLOOKUP(A140,'DB Country PMI'!$A:$W,MATCH($A$1,'DB Country PMI'!$A$1:$W$1,),))</f>
        <v>52.9</v>
      </c>
      <c r="C140" s="14">
        <f>Table1346811345[[#This Row],[PMI]]-B139</f>
        <v>1.7999999999999972</v>
      </c>
    </row>
    <row r="141" spans="1:3" x14ac:dyDescent="0.2">
      <c r="A141" s="8">
        <v>43770</v>
      </c>
      <c r="B141" s="11">
        <f>IF(VLOOKUP(A141,'DB Country PMI'!$A:$W,MATCH($A$1,'DB Country PMI'!$A$1:$W$1,),)=0,#N/A,VLOOKUP(A141,'DB Country PMI'!$A:$W,MATCH($A$1,'DB Country PMI'!$A$1:$W$1,),))</f>
        <v>52.2</v>
      </c>
      <c r="C141" s="14">
        <f>Table1346811345[[#This Row],[PMI]]-B140</f>
        <v>-0.69999999999999574</v>
      </c>
    </row>
    <row r="142" spans="1:3" x14ac:dyDescent="0.2">
      <c r="A142" s="8">
        <v>43800</v>
      </c>
      <c r="B142" s="11">
        <f>IF(VLOOKUP(A142,'DB Country PMI'!$A:$W,MATCH($A$1,'DB Country PMI'!$A$1:$W$1,),)=0,#N/A,VLOOKUP(A142,'DB Country PMI'!$A:$W,MATCH($A$1,'DB Country PMI'!$A$1:$W$1,),))</f>
        <v>52.4</v>
      </c>
      <c r="C142" s="14">
        <f>Table1346811345[[#This Row],[PMI]]-B141</f>
        <v>0.19999999999999574</v>
      </c>
    </row>
    <row r="143" spans="1:3" x14ac:dyDescent="0.2">
      <c r="A143" s="8">
        <v>43831</v>
      </c>
      <c r="B143" s="11">
        <f>IF(VLOOKUP(A143,'DB Country PMI'!$A:$W,MATCH($A$1,'DB Country PMI'!$A$1:$W$1,),)=0,#N/A,VLOOKUP(A143,'DB Country PMI'!$A:$W,MATCH($A$1,'DB Country PMI'!$A$1:$W$1,),))</f>
        <v>51</v>
      </c>
      <c r="C143" s="14">
        <f>Table1346811345[[#This Row],[PMI]]-B142</f>
        <v>-1.3999999999999986</v>
      </c>
    </row>
    <row r="144" spans="1:3" x14ac:dyDescent="0.2">
      <c r="A144" s="8">
        <v>43862</v>
      </c>
      <c r="B144" s="11">
        <f>IF(VLOOKUP(A144,'DB Country PMI'!$A:$W,MATCH($A$1,'DB Country PMI'!$A$1:$W$1,),)=0,#N/A,VLOOKUP(A144,'DB Country PMI'!$A:$W,MATCH($A$1,'DB Country PMI'!$A$1:$W$1,),))</f>
        <v>52.5</v>
      </c>
      <c r="C144" s="14">
        <f>Table1346811345[[#This Row],[PMI]]-B143</f>
        <v>1.5</v>
      </c>
    </row>
    <row r="145" spans="1:3" x14ac:dyDescent="0.2">
      <c r="A145" s="8">
        <v>43891</v>
      </c>
      <c r="B145" s="11">
        <f>IF(VLOOKUP(A145,'DB Country PMI'!$A:$W,MATCH($A$1,'DB Country PMI'!$A$1:$W$1,),)=0,#N/A,VLOOKUP(A145,'DB Country PMI'!$A:$W,MATCH($A$1,'DB Country PMI'!$A$1:$W$1,),))</f>
        <v>27.4</v>
      </c>
      <c r="C145" s="14">
        <f>Table1346811345[[#This Row],[PMI]]-B144</f>
        <v>-25.1</v>
      </c>
    </row>
    <row r="146" spans="1:3" x14ac:dyDescent="0.2">
      <c r="A146" s="8">
        <v>43922</v>
      </c>
      <c r="B146" s="11">
        <f>IF(VLOOKUP(A146,'DB Country PMI'!$A:$W,MATCH($A$1,'DB Country PMI'!$A$1:$W$1,),)=0,#N/A,VLOOKUP(A146,'DB Country PMI'!$A:$W,MATCH($A$1,'DB Country PMI'!$A$1:$W$1,),))</f>
        <v>10.199999999999999</v>
      </c>
      <c r="C146" s="14">
        <f>Table1346811345[[#This Row],[PMI]]-B145</f>
        <v>-17.2</v>
      </c>
    </row>
    <row r="147" spans="1:3" x14ac:dyDescent="0.2">
      <c r="A147" s="8">
        <v>43952</v>
      </c>
      <c r="B147" s="11">
        <f>IF(VLOOKUP(A147,'DB Country PMI'!$A:$W,MATCH($A$1,'DB Country PMI'!$A$1:$W$1,),)=0,#N/A,VLOOKUP(A147,'DB Country PMI'!$A:$W,MATCH($A$1,'DB Country PMI'!$A$1:$W$1,),))</f>
        <v>31.1</v>
      </c>
      <c r="C147" s="14">
        <f>Table1346811345[[#This Row],[PMI]]-B146</f>
        <v>20.900000000000002</v>
      </c>
    </row>
    <row r="148" spans="1:3" x14ac:dyDescent="0.2">
      <c r="A148" s="8">
        <v>43983</v>
      </c>
      <c r="B148" s="11">
        <f>IF(VLOOKUP(A148,'DB Country PMI'!$A:$W,MATCH($A$1,'DB Country PMI'!$A$1:$W$1,),)=0,#N/A,VLOOKUP(A148,'DB Country PMI'!$A:$W,MATCH($A$1,'DB Country PMI'!$A$1:$W$1,),))</f>
        <v>50.7</v>
      </c>
      <c r="C148" s="14">
        <f>Table1346811345[[#This Row],[PMI]]-B147</f>
        <v>19.600000000000001</v>
      </c>
    </row>
    <row r="149" spans="1:3" x14ac:dyDescent="0.2">
      <c r="A149" s="8">
        <v>44013</v>
      </c>
      <c r="B149" s="11">
        <f>IF(VLOOKUP(A149,'DB Country PMI'!$A:$W,MATCH($A$1,'DB Country PMI'!$A$1:$W$1,),)=0,#N/A,VLOOKUP(A149,'DB Country PMI'!$A:$W,MATCH($A$1,'DB Country PMI'!$A$1:$W$1,),))</f>
        <v>57.3</v>
      </c>
      <c r="C149" s="14">
        <f>Table1346811345[[#This Row],[PMI]]-B148</f>
        <v>6.5999999999999943</v>
      </c>
    </row>
    <row r="150" spans="1:3" x14ac:dyDescent="0.2">
      <c r="A150" s="8">
        <v>44044</v>
      </c>
      <c r="B150" s="11">
        <f>IF(VLOOKUP(A150,'DB Country PMI'!$A:$W,MATCH($A$1,'DB Country PMI'!$A$1:$W$1,),)=0,#N/A,VLOOKUP(A150,'DB Country PMI'!$A:$W,MATCH($A$1,'DB Country PMI'!$A$1:$W$1,),))</f>
        <v>51.5</v>
      </c>
      <c r="C150" s="14">
        <f>Table1346811345[[#This Row],[PMI]]-B149</f>
        <v>-5.7999999999999972</v>
      </c>
    </row>
    <row r="151" spans="1:3" x14ac:dyDescent="0.2">
      <c r="A151" s="8">
        <v>44075</v>
      </c>
      <c r="B151" s="11">
        <f>IF(VLOOKUP(A151,'DB Country PMI'!$A:$W,MATCH($A$1,'DB Country PMI'!$A$1:$W$1,),)=0,#N/A,VLOOKUP(A151,'DB Country PMI'!$A:$W,MATCH($A$1,'DB Country PMI'!$A$1:$W$1,),))</f>
        <v>47.5</v>
      </c>
      <c r="C151" s="14">
        <f>Table1346811345[[#This Row],[PMI]]-B150</f>
        <v>-4</v>
      </c>
    </row>
    <row r="152" spans="1:3" x14ac:dyDescent="0.2">
      <c r="A152" s="8">
        <v>44105</v>
      </c>
      <c r="B152" s="11">
        <f>IF(VLOOKUP(A152,'DB Country PMI'!$A:$W,MATCH($A$1,'DB Country PMI'!$A$1:$W$1,),)=0,#N/A,VLOOKUP(A152,'DB Country PMI'!$A:$W,MATCH($A$1,'DB Country PMI'!$A$1:$W$1,),))</f>
        <v>46.5</v>
      </c>
      <c r="C152" s="14">
        <f>Table1346811345[[#This Row],[PMI]]-B151</f>
        <v>-1</v>
      </c>
    </row>
    <row r="153" spans="1:3" x14ac:dyDescent="0.2">
      <c r="A153" s="8">
        <v>44136</v>
      </c>
      <c r="B153" s="11">
        <f>IF(VLOOKUP(A153,'DB Country PMI'!$A:$W,MATCH($A$1,'DB Country PMI'!$A$1:$W$1,),)=0,#N/A,VLOOKUP(A153,'DB Country PMI'!$A:$W,MATCH($A$1,'DB Country PMI'!$A$1:$W$1,),))</f>
        <v>38.799999999999997</v>
      </c>
      <c r="C153" s="14">
        <f>Table1346811345[[#This Row],[PMI]]-B152</f>
        <v>-7.7000000000000028</v>
      </c>
    </row>
    <row r="154" spans="1:3" x14ac:dyDescent="0.2">
      <c r="A154" s="8">
        <v>44166</v>
      </c>
      <c r="B154" s="11">
        <f>IF(VLOOKUP(A154,'DB Country PMI'!$A:$W,MATCH($A$1,'DB Country PMI'!$A$1:$W$1,),)=0,#N/A,VLOOKUP(A154,'DB Country PMI'!$A:$W,MATCH($A$1,'DB Country PMI'!$A$1:$W$1,),))</f>
        <v>49.1</v>
      </c>
      <c r="C154" s="14">
        <f>Table1346811345[[#This Row],[PMI]]-B153</f>
        <v>10.300000000000004</v>
      </c>
    </row>
    <row r="155" spans="1:3" x14ac:dyDescent="0.2">
      <c r="A155" s="8">
        <v>44197</v>
      </c>
      <c r="B155" s="11">
        <f>IF(VLOOKUP(A155,'DB Country PMI'!$A:$W,MATCH($A$1,'DB Country PMI'!$A$1:$W$1,),)=0,#N/A,VLOOKUP(A155,'DB Country PMI'!$A:$W,MATCH($A$1,'DB Country PMI'!$A$1:$W$1,),))</f>
        <v>47.3</v>
      </c>
      <c r="C155" s="14">
        <f>Table1346811345[[#This Row],[PMI]]-B154</f>
        <v>-1.8000000000000043</v>
      </c>
    </row>
    <row r="156" spans="1:3" x14ac:dyDescent="0.2">
      <c r="A156" s="8">
        <v>44228</v>
      </c>
      <c r="B156" s="11">
        <f>IF(VLOOKUP(A156,'DB Country PMI'!$A:$W,MATCH($A$1,'DB Country PMI'!$A$1:$W$1,),)=0,#N/A,VLOOKUP(A156,'DB Country PMI'!$A:$W,MATCH($A$1,'DB Country PMI'!$A$1:$W$1,),))</f>
        <v>45.6</v>
      </c>
      <c r="C156" s="14">
        <f>Table1346811345[[#This Row],[PMI]]-B155</f>
        <v>-1.6999999999999957</v>
      </c>
    </row>
    <row r="157" spans="1:3" x14ac:dyDescent="0.2">
      <c r="A157" s="8">
        <v>44256</v>
      </c>
      <c r="B157" s="11">
        <f>IF(VLOOKUP(A157,'DB Country PMI'!$A:$W,MATCH($A$1,'DB Country PMI'!$A$1:$W$1,),)=0,#N/A,VLOOKUP(A157,'DB Country PMI'!$A:$W,MATCH($A$1,'DB Country PMI'!$A$1:$W$1,),))</f>
        <v>48.2</v>
      </c>
      <c r="C157" s="14">
        <f>Table1346811345[[#This Row],[PMI]]-B156</f>
        <v>2.6000000000000014</v>
      </c>
    </row>
    <row r="158" spans="1:3" x14ac:dyDescent="0.2">
      <c r="A158" s="8">
        <v>44287</v>
      </c>
      <c r="B158" s="11">
        <f>IF(VLOOKUP(A158,'DB Country PMI'!$A:$W,MATCH($A$1,'DB Country PMI'!$A$1:$W$1,),)=0,#N/A,VLOOKUP(A158,'DB Country PMI'!$A:$W,MATCH($A$1,'DB Country PMI'!$A$1:$W$1,),))</f>
        <v>50.3</v>
      </c>
      <c r="C158" s="14">
        <f>Table1346811345[[#This Row],[PMI]]-B157</f>
        <v>2.0999999999999943</v>
      </c>
    </row>
    <row r="159" spans="1:3" x14ac:dyDescent="0.2">
      <c r="A159" s="8">
        <v>44317</v>
      </c>
      <c r="B159" s="11">
        <f>IF(VLOOKUP(A159,'DB Country PMI'!$A:$W,MATCH($A$1,'DB Country PMI'!$A$1:$W$1,),)=0,#N/A,VLOOKUP(A159,'DB Country PMI'!$A:$W,MATCH($A$1,'DB Country PMI'!$A$1:$W$1,),))</f>
        <v>56.6</v>
      </c>
      <c r="C159" s="14">
        <f>Table1346811345[[#This Row],[PMI]]-B158</f>
        <v>6.3000000000000043</v>
      </c>
    </row>
    <row r="160" spans="1:3" x14ac:dyDescent="0.2">
      <c r="A160" s="8">
        <v>44348</v>
      </c>
      <c r="B160" s="11">
        <f>IF(VLOOKUP(A160,'DB Country PMI'!$A:$W,MATCH($A$1,'DB Country PMI'!$A$1:$W$1,),)=0,#N/A,VLOOKUP(A160,'DB Country PMI'!$A:$W,MATCH($A$1,'DB Country PMI'!$A$1:$W$1,),))</f>
        <v>57.8</v>
      </c>
      <c r="C160" s="14">
        <f>Table1346811345[[#This Row],[PMI]]-B159</f>
        <v>1.1999999999999957</v>
      </c>
    </row>
    <row r="161" spans="1:3" x14ac:dyDescent="0.2">
      <c r="A161" s="8">
        <v>44378</v>
      </c>
      <c r="B161" s="11">
        <f>IF(VLOOKUP(A161,'DB Country PMI'!$A:$W,MATCH($A$1,'DB Country PMI'!$A$1:$W$1,),)=0,#N/A,VLOOKUP(A161,'DB Country PMI'!$A:$W,MATCH($A$1,'DB Country PMI'!$A$1:$W$1,),))</f>
        <v>56.8</v>
      </c>
      <c r="C161" s="14">
        <f>Table1346811345[[#This Row],[PMI]]-B160</f>
        <v>-1</v>
      </c>
    </row>
    <row r="162" spans="1:3" x14ac:dyDescent="0.2">
      <c r="A162" s="8">
        <v>44409</v>
      </c>
      <c r="B162" s="11">
        <f>IF(VLOOKUP(A162,'DB Country PMI'!$A:$W,MATCH($A$1,'DB Country PMI'!$A$1:$W$1,),)=0,#N/A,VLOOKUP(A162,'DB Country PMI'!$A:$W,MATCH($A$1,'DB Country PMI'!$A$1:$W$1,),))</f>
        <v>56.3</v>
      </c>
      <c r="C162" s="14">
        <f>Table1346811345[[#This Row],[PMI]]-B161</f>
        <v>-0.5</v>
      </c>
    </row>
    <row r="163" spans="1:3" x14ac:dyDescent="0.2">
      <c r="A163" s="8">
        <v>44440</v>
      </c>
      <c r="B163" s="11">
        <f>IF(VLOOKUP(A163,'DB Country PMI'!$A:$W,MATCH($A$1,'DB Country PMI'!$A$1:$W$1,),)=0,#N/A,VLOOKUP(A163,'DB Country PMI'!$A:$W,MATCH($A$1,'DB Country PMI'!$A$1:$W$1,),))</f>
        <v>56.2</v>
      </c>
      <c r="C163" s="14">
        <f>Table1346811345[[#This Row],[PMI]]-B162</f>
        <v>-9.9999999999994316E-2</v>
      </c>
    </row>
    <row r="164" spans="1:3" x14ac:dyDescent="0.2">
      <c r="A164" s="8">
        <v>44470</v>
      </c>
      <c r="B164" s="11">
        <f>IF(VLOOKUP(A164,'DB Country PMI'!$A:$W,MATCH($A$1,'DB Country PMI'!$A$1:$W$1,),)=0,#N/A,VLOOKUP(A164,'DB Country PMI'!$A:$W,MATCH($A$1,'DB Country PMI'!$A$1:$W$1,),))</f>
        <v>56.6</v>
      </c>
      <c r="C164" s="14">
        <f>Table1346811345[[#This Row],[PMI]]-B163</f>
        <v>0.39999999999999858</v>
      </c>
    </row>
    <row r="165" spans="1:3" x14ac:dyDescent="0.2">
      <c r="A165" s="8">
        <v>44501</v>
      </c>
      <c r="B165" s="11">
        <f>IF(VLOOKUP(A165,'DB Country PMI'!$A:$W,MATCH($A$1,'DB Country PMI'!$A$1:$W$1,),)=0,#N/A,VLOOKUP(A165,'DB Country PMI'!$A:$W,MATCH($A$1,'DB Country PMI'!$A$1:$W$1,),))</f>
        <v>57.4</v>
      </c>
      <c r="C165" s="14">
        <f>Table1346811345[[#This Row],[PMI]]-B164</f>
        <v>0.79999999999999716</v>
      </c>
    </row>
    <row r="166" spans="1:3" x14ac:dyDescent="0.2">
      <c r="A166" s="8">
        <v>44531</v>
      </c>
      <c r="B166" s="11">
        <f>IF(VLOOKUP(A166,'DB Country PMI'!$A:$W,MATCH($A$1,'DB Country PMI'!$A$1:$W$1,),)=0,#N/A,VLOOKUP(A166,'DB Country PMI'!$A:$W,MATCH($A$1,'DB Country PMI'!$A$1:$W$1,),))</f>
        <v>57</v>
      </c>
      <c r="C166" s="14">
        <f>Table1346811345[[#This Row],[PMI]]-B165</f>
        <v>-0.39999999999999858</v>
      </c>
    </row>
    <row r="167" spans="1:3" x14ac:dyDescent="0.2">
      <c r="A167" s="8">
        <v>44562</v>
      </c>
      <c r="B167" s="11">
        <f>IF(VLOOKUP(A167,'DB Country PMI'!$A:$W,MATCH($A$1,'DB Country PMI'!$A$1:$W$1,),)=0,#N/A,VLOOKUP(A167,'DB Country PMI'!$A:$W,MATCH($A$1,'DB Country PMI'!$A$1:$W$1,),))</f>
        <v>53.1</v>
      </c>
      <c r="C167" s="14">
        <f>Table1346811345[[#This Row],[PMI]]-B166</f>
        <v>-3.8999999999999986</v>
      </c>
    </row>
    <row r="168" spans="1:3" x14ac:dyDescent="0.2">
      <c r="A168" s="8">
        <v>44593</v>
      </c>
      <c r="B168" s="11">
        <f>IF(VLOOKUP(A168,'DB Country PMI'!$A:$W,MATCH($A$1,'DB Country PMI'!$A$1:$W$1,),)=0,#N/A,VLOOKUP(A168,'DB Country PMI'!$A:$W,MATCH($A$1,'DB Country PMI'!$A$1:$W$1,),))</f>
        <v>57.9</v>
      </c>
      <c r="C168" s="14">
        <f>Table1346811345[[#This Row],[PMI]]-B167</f>
        <v>4.7999999999999972</v>
      </c>
    </row>
    <row r="169" spans="1:3" x14ac:dyDescent="0.2">
      <c r="A169" s="8">
        <v>44621</v>
      </c>
      <c r="B169" s="11">
        <f>IF(VLOOKUP(A169,'DB Country PMI'!$A:$W,MATCH($A$1,'DB Country PMI'!$A$1:$W$1,),)=0,#N/A,VLOOKUP(A169,'DB Country PMI'!$A:$W,MATCH($A$1,'DB Country PMI'!$A$1:$W$1,),))</f>
        <v>57.4</v>
      </c>
      <c r="C169" s="14">
        <f>Table1346811345[[#This Row],[PMI]]-B168</f>
        <v>-0.5</v>
      </c>
    </row>
    <row r="170" spans="1:3" x14ac:dyDescent="0.2">
      <c r="A170" s="8">
        <v>44652</v>
      </c>
      <c r="B170" s="11">
        <f>IF(VLOOKUP(A170,'DB Country PMI'!$A:$W,MATCH($A$1,'DB Country PMI'!$A$1:$W$1,),)=0,#N/A,VLOOKUP(A170,'DB Country PMI'!$A:$W,MATCH($A$1,'DB Country PMI'!$A$1:$W$1,),))</f>
        <v>58.8</v>
      </c>
      <c r="C170" s="14">
        <f>Table1346811345[[#This Row],[PMI]]-B169</f>
        <v>1.3999999999999986</v>
      </c>
    </row>
    <row r="171" spans="1:3" x14ac:dyDescent="0.2">
      <c r="A171" s="8">
        <v>44682</v>
      </c>
      <c r="B171" s="11">
        <f>IF(VLOOKUP(A171,'DB Country PMI'!$A:$W,MATCH($A$1,'DB Country PMI'!$A$1:$W$1,),)=0,#N/A,VLOOKUP(A171,'DB Country PMI'!$A:$W,MATCH($A$1,'DB Country PMI'!$A$1:$W$1,),))</f>
        <v>58.4</v>
      </c>
      <c r="C171" s="14">
        <f>Table1346811345[[#This Row],[PMI]]-B170</f>
        <v>-0.39999999999999858</v>
      </c>
    </row>
    <row r="172" spans="1:3" x14ac:dyDescent="0.2">
      <c r="A172" s="8">
        <v>44713</v>
      </c>
      <c r="B172" s="11">
        <f>IF(VLOOKUP(A172,'DB Country PMI'!$A:$W,MATCH($A$1,'DB Country PMI'!$A$1:$W$1,),)=0,#N/A,VLOOKUP(A172,'DB Country PMI'!$A:$W,MATCH($A$1,'DB Country PMI'!$A$1:$W$1,),))</f>
        <v>54.4</v>
      </c>
      <c r="C172" s="14">
        <f>Table1346811345[[#This Row],[PMI]]-B171</f>
        <v>-4</v>
      </c>
    </row>
    <row r="173" spans="1:3" x14ac:dyDescent="0.2">
      <c r="A173" s="8">
        <v>44743</v>
      </c>
      <c r="B173" s="11">
        <f>IF(VLOOKUP(A173,'DB Country PMI'!$A:$W,MATCH($A$1,'DB Country PMI'!$A$1:$W$1,),)=0,#N/A,VLOOKUP(A173,'DB Country PMI'!$A:$W,MATCH($A$1,'DB Country PMI'!$A$1:$W$1,),))</f>
        <v>53.2</v>
      </c>
      <c r="C173" s="14">
        <f>Table1346811345[[#This Row],[PMI]]-B172</f>
        <v>-1.1999999999999957</v>
      </c>
    </row>
    <row r="174" spans="1:3" x14ac:dyDescent="0.2">
      <c r="A174" s="8">
        <v>44774</v>
      </c>
      <c r="B174" s="11">
        <f>IF(VLOOKUP(A174,'DB Country PMI'!$A:$W,MATCH($A$1,'DB Country PMI'!$A$1:$W$1,),)=0,#N/A,VLOOKUP(A174,'DB Country PMI'!$A:$W,MATCH($A$1,'DB Country PMI'!$A$1:$W$1,),))</f>
        <v>51.2</v>
      </c>
      <c r="C174" s="14">
        <f>Table1346811345[[#This Row],[PMI]]-B173</f>
        <v>-2</v>
      </c>
    </row>
    <row r="175" spans="1:3" x14ac:dyDescent="0.2">
      <c r="A175" s="8">
        <v>44805</v>
      </c>
      <c r="B175" s="11">
        <f>IF(VLOOKUP(A175,'DB Country PMI'!$A:$W,MATCH($A$1,'DB Country PMI'!$A$1:$W$1,),)=0,#N/A,VLOOKUP(A175,'DB Country PMI'!$A:$W,MATCH($A$1,'DB Country PMI'!$A$1:$W$1,),))</f>
        <v>52.9</v>
      </c>
      <c r="C175" s="14">
        <f>Table1346811345[[#This Row],[PMI]]-B174</f>
        <v>1.6999999999999957</v>
      </c>
    </row>
    <row r="176" spans="1:3" x14ac:dyDescent="0.2">
      <c r="A176" s="8">
        <v>44835</v>
      </c>
      <c r="B176" s="11">
        <f>IF(VLOOKUP(A176,'DB Country PMI'!$A:$W,MATCH($A$1,'DB Country PMI'!$A$1:$W$1,),)=0,#N/A,VLOOKUP(A176,'DB Country PMI'!$A:$W,MATCH($A$1,'DB Country PMI'!$A$1:$W$1,),))</f>
        <v>51.7</v>
      </c>
      <c r="C176" s="14">
        <f>Table1346811345[[#This Row],[PMI]]-B175</f>
        <v>-1.1999999999999957</v>
      </c>
    </row>
  </sheetData>
  <conditionalFormatting sqref="C7:C176">
    <cfRule type="colorScale" priority="1">
      <colorScale>
        <cfvo type="min"/>
        <cfvo type="percentile" val="50"/>
        <cfvo type="max"/>
        <color rgb="FFF8696B"/>
        <color rgb="FFFCFCFF"/>
        <color rgb="FF5A8AC6"/>
      </colorScale>
    </cfRule>
  </conditionalFormatting>
  <conditionalFormatting sqref="B6:B176">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J189"/>
  <sheetViews>
    <sheetView zoomScale="150" zoomScaleNormal="150" workbookViewId="0">
      <pane ySplit="5" topLeftCell="A154" activePane="bottomLeft" state="frozen"/>
      <selection pane="bottomLeft" activeCell="A178" sqref="A178:C189"/>
    </sheetView>
  </sheetViews>
  <sheetFormatPr baseColWidth="10" defaultColWidth="9.1640625" defaultRowHeight="15" x14ac:dyDescent="0.2"/>
  <cols>
    <col min="1" max="1" width="13.5" style="49" customWidth="1"/>
    <col min="2" max="2" width="11.33203125" style="49" customWidth="1"/>
    <col min="3" max="11" width="9.1640625" style="49" customWidth="1"/>
    <col min="12" max="16384" width="9.1640625" style="49"/>
  </cols>
  <sheetData>
    <row r="1" spans="1:10" x14ac:dyDescent="0.2">
      <c r="A1" s="49" t="s">
        <v>23</v>
      </c>
      <c r="J1" s="49" t="s">
        <v>62</v>
      </c>
    </row>
    <row r="2" spans="1:10" x14ac:dyDescent="0.2">
      <c r="J2" s="49" t="s">
        <v>67</v>
      </c>
    </row>
    <row r="4" spans="1:10" ht="16" customHeight="1" thickBot="1" x14ac:dyDescent="0.25"/>
    <row r="5" spans="1:10" ht="16" customHeight="1" thickBot="1" x14ac:dyDescent="0.25">
      <c r="A5" s="12" t="s">
        <v>33</v>
      </c>
      <c r="B5" s="13" t="s">
        <v>60</v>
      </c>
      <c r="C5" s="13" t="s">
        <v>61</v>
      </c>
    </row>
    <row r="6" spans="1:10" x14ac:dyDescent="0.2">
      <c r="A6" s="10">
        <v>39264</v>
      </c>
      <c r="B6" s="11">
        <f>IF(VLOOKUP(A6,'DB Country PMI'!$A:$W,MATCH($A$1,'DB Country PMI'!$A$1:$W$1,),)=0,#N/A,VLOOKUP(A6,'DB Country PMI'!$A:$W,MATCH($A$1,'DB Country PMI'!$A$1:$W$1,),))</f>
        <v>58.9</v>
      </c>
      <c r="C6" s="11"/>
    </row>
    <row r="7" spans="1:10" x14ac:dyDescent="0.2">
      <c r="A7" s="8">
        <v>39295</v>
      </c>
      <c r="B7" s="11">
        <f>IF(VLOOKUP(A7,'DB Country PMI'!$A:$W,MATCH($A$1,'DB Country PMI'!$A$1:$W$1,),)=0,#N/A,VLOOKUP(A7,'DB Country PMI'!$A:$W,MATCH($A$1,'DB Country PMI'!$A$1:$W$1,),))</f>
        <v>59.8</v>
      </c>
      <c r="C7" s="14">
        <f>Table13468113456[[#This Row],[PMI]]-B6</f>
        <v>0.89999999999999858</v>
      </c>
    </row>
    <row r="8" spans="1:10" x14ac:dyDescent="0.2">
      <c r="A8" s="8">
        <v>39326</v>
      </c>
      <c r="B8" s="11">
        <f>IF(VLOOKUP(A8,'DB Country PMI'!$A:$W,MATCH($A$1,'DB Country PMI'!$A$1:$W$1,),)=0,#N/A,VLOOKUP(A8,'DB Country PMI'!$A:$W,MATCH($A$1,'DB Country PMI'!$A$1:$W$1,),))</f>
        <v>53.1</v>
      </c>
      <c r="C8" s="14">
        <f>Table13468113456[[#This Row],[PMI]]-B7</f>
        <v>-6.6999999999999957</v>
      </c>
    </row>
    <row r="9" spans="1:10" x14ac:dyDescent="0.2">
      <c r="A9" s="8">
        <v>39356</v>
      </c>
      <c r="B9" s="11">
        <f>IF(VLOOKUP(A9,'DB Country PMI'!$A:$W,MATCH($A$1,'DB Country PMI'!$A$1:$W$1,),)=0,#N/A,VLOOKUP(A9,'DB Country PMI'!$A:$W,MATCH($A$1,'DB Country PMI'!$A$1:$W$1,),))</f>
        <v>55.1</v>
      </c>
      <c r="C9" s="14">
        <f>Table13468113456[[#This Row],[PMI]]-B8</f>
        <v>2</v>
      </c>
    </row>
    <row r="10" spans="1:10" x14ac:dyDescent="0.2">
      <c r="A10" s="8">
        <v>39387</v>
      </c>
      <c r="B10" s="11">
        <f>IF(VLOOKUP(A10,'DB Country PMI'!$A:$W,MATCH($A$1,'DB Country PMI'!$A$1:$W$1,),)=0,#N/A,VLOOKUP(A10,'DB Country PMI'!$A:$W,MATCH($A$1,'DB Country PMI'!$A$1:$W$1,),))</f>
        <v>53.1</v>
      </c>
      <c r="C10" s="14">
        <f>Table13468113456[[#This Row],[PMI]]-B9</f>
        <v>-2</v>
      </c>
    </row>
    <row r="11" spans="1:10" x14ac:dyDescent="0.2">
      <c r="A11" s="8">
        <v>39417</v>
      </c>
      <c r="B11" s="11">
        <f>IF(VLOOKUP(A11,'DB Country PMI'!$A:$W,MATCH($A$1,'DB Country PMI'!$A$1:$W$1,),)=0,#N/A,VLOOKUP(A11,'DB Country PMI'!$A:$W,MATCH($A$1,'DB Country PMI'!$A$1:$W$1,),))</f>
        <v>51.5</v>
      </c>
      <c r="C11" s="14">
        <f>Table13468113456[[#This Row],[PMI]]-B10</f>
        <v>-1.6000000000000014</v>
      </c>
    </row>
    <row r="12" spans="1:10" x14ac:dyDescent="0.2">
      <c r="A12" s="8">
        <v>39448</v>
      </c>
      <c r="B12" s="11">
        <f>IF(VLOOKUP(A12,'DB Country PMI'!$A:$W,MATCH($A$1,'DB Country PMI'!$A$1:$W$1,),)=0,#N/A,VLOOKUP(A12,'DB Country PMI'!$A:$W,MATCH($A$1,'DB Country PMI'!$A$1:$W$1,),))</f>
        <v>49.2</v>
      </c>
      <c r="C12" s="14">
        <f>Table13468113456[[#This Row],[PMI]]-B11</f>
        <v>-2.2999999999999972</v>
      </c>
    </row>
    <row r="13" spans="1:10" x14ac:dyDescent="0.2">
      <c r="A13" s="8">
        <v>39479</v>
      </c>
      <c r="B13" s="11">
        <f>IF(VLOOKUP(A13,'DB Country PMI'!$A:$W,MATCH($A$1,'DB Country PMI'!$A$1:$W$1,),)=0,#N/A,VLOOKUP(A13,'DB Country PMI'!$A:$W,MATCH($A$1,'DB Country PMI'!$A$1:$W$1,),))</f>
        <v>52.2</v>
      </c>
      <c r="C13" s="14">
        <f>Table13468113456[[#This Row],[PMI]]-B12</f>
        <v>3</v>
      </c>
    </row>
    <row r="14" spans="1:10" x14ac:dyDescent="0.2">
      <c r="A14" s="8">
        <v>39508</v>
      </c>
      <c r="B14" s="11">
        <f>IF(VLOOKUP(A14,'DB Country PMI'!$A:$W,MATCH($A$1,'DB Country PMI'!$A$1:$W$1,),)=0,#N/A,VLOOKUP(A14,'DB Country PMI'!$A:$W,MATCH($A$1,'DB Country PMI'!$A$1:$W$1,),))</f>
        <v>51.8</v>
      </c>
      <c r="C14" s="14">
        <f>Table13468113456[[#This Row],[PMI]]-B13</f>
        <v>-0.40000000000000568</v>
      </c>
    </row>
    <row r="15" spans="1:10" x14ac:dyDescent="0.2">
      <c r="A15" s="8">
        <v>39539</v>
      </c>
      <c r="B15" s="11">
        <f>IF(VLOOKUP(A15,'DB Country PMI'!$A:$W,MATCH($A$1,'DB Country PMI'!$A$1:$W$1,),)=0,#N/A,VLOOKUP(A15,'DB Country PMI'!$A:$W,MATCH($A$1,'DB Country PMI'!$A$1:$W$1,),))</f>
        <v>54.9</v>
      </c>
      <c r="C15" s="14">
        <f>Table13468113456[[#This Row],[PMI]]-B14</f>
        <v>3.1000000000000014</v>
      </c>
    </row>
    <row r="16" spans="1:10" x14ac:dyDescent="0.2">
      <c r="A16" s="8">
        <v>39569</v>
      </c>
      <c r="B16" s="11">
        <f>IF(VLOOKUP(A16,'DB Country PMI'!$A:$W,MATCH($A$1,'DB Country PMI'!$A$1:$W$1,),)=0,#N/A,VLOOKUP(A16,'DB Country PMI'!$A:$W,MATCH($A$1,'DB Country PMI'!$A$1:$W$1,),))</f>
        <v>53.8</v>
      </c>
      <c r="C16" s="14">
        <f>Table13468113456[[#This Row],[PMI]]-B15</f>
        <v>-1.1000000000000014</v>
      </c>
    </row>
    <row r="17" spans="1:3" x14ac:dyDescent="0.2">
      <c r="A17" s="8">
        <v>39600</v>
      </c>
      <c r="B17" s="11">
        <f>IF(VLOOKUP(A17,'DB Country PMI'!$A:$W,MATCH($A$1,'DB Country PMI'!$A$1:$W$1,),)=0,#N/A,VLOOKUP(A17,'DB Country PMI'!$A:$W,MATCH($A$1,'DB Country PMI'!$A$1:$W$1,),))</f>
        <v>52.1</v>
      </c>
      <c r="C17" s="14">
        <f>Table13468113456[[#This Row],[PMI]]-B16</f>
        <v>-1.6999999999999957</v>
      </c>
    </row>
    <row r="18" spans="1:3" x14ac:dyDescent="0.2">
      <c r="A18" s="8">
        <v>39630</v>
      </c>
      <c r="B18" s="11">
        <f>IF(VLOOKUP(A18,'DB Country PMI'!$A:$W,MATCH($A$1,'DB Country PMI'!$A$1:$W$1,),)=0,#N/A,VLOOKUP(A18,'DB Country PMI'!$A:$W,MATCH($A$1,'DB Country PMI'!$A$1:$W$1,),))</f>
        <v>53.1</v>
      </c>
      <c r="C18" s="14">
        <f>Table13468113456[[#This Row],[PMI]]-B17</f>
        <v>1</v>
      </c>
    </row>
    <row r="19" spans="1:3" x14ac:dyDescent="0.2">
      <c r="A19" s="8">
        <v>39661</v>
      </c>
      <c r="B19" s="11">
        <f>IF(VLOOKUP(A19,'DB Country PMI'!$A:$W,MATCH($A$1,'DB Country PMI'!$A$1:$W$1,),)=0,#N/A,VLOOKUP(A19,'DB Country PMI'!$A:$W,MATCH($A$1,'DB Country PMI'!$A$1:$W$1,),))</f>
        <v>51.4</v>
      </c>
      <c r="C19" s="14">
        <f>Table13468113456[[#This Row],[PMI]]-B18</f>
        <v>-1.7000000000000028</v>
      </c>
    </row>
    <row r="20" spans="1:3" x14ac:dyDescent="0.2">
      <c r="A20" s="8">
        <v>39692</v>
      </c>
      <c r="B20" s="11">
        <f>IF(VLOOKUP(A20,'DB Country PMI'!$A:$W,MATCH($A$1,'DB Country PMI'!$A$1:$W$1,),)=0,#N/A,VLOOKUP(A20,'DB Country PMI'!$A:$W,MATCH($A$1,'DB Country PMI'!$A$1:$W$1,),))</f>
        <v>50.2</v>
      </c>
      <c r="C20" s="14">
        <f>Table13468113456[[#This Row],[PMI]]-B19</f>
        <v>-1.1999999999999957</v>
      </c>
    </row>
    <row r="21" spans="1:3" x14ac:dyDescent="0.2">
      <c r="A21" s="8">
        <v>39722</v>
      </c>
      <c r="B21" s="11">
        <f>IF(VLOOKUP(A21,'DB Country PMI'!$A:$W,MATCH($A$1,'DB Country PMI'!$A$1:$W$1,),)=0,#N/A,VLOOKUP(A21,'DB Country PMI'!$A:$W,MATCH($A$1,'DB Country PMI'!$A$1:$W$1,),))</f>
        <v>48.3</v>
      </c>
      <c r="C21" s="14">
        <f>Table13468113456[[#This Row],[PMI]]-B20</f>
        <v>-1.9000000000000057</v>
      </c>
    </row>
    <row r="22" spans="1:3" x14ac:dyDescent="0.2">
      <c r="A22" s="8">
        <v>39753</v>
      </c>
      <c r="B22" s="11">
        <f>IF(VLOOKUP(A22,'DB Country PMI'!$A:$W,MATCH($A$1,'DB Country PMI'!$A$1:$W$1,),)=0,#N/A,VLOOKUP(A22,'DB Country PMI'!$A:$W,MATCH($A$1,'DB Country PMI'!$A$1:$W$1,),))</f>
        <v>45.1</v>
      </c>
      <c r="C22" s="14">
        <f>Table13468113456[[#This Row],[PMI]]-B21</f>
        <v>-3.1999999999999957</v>
      </c>
    </row>
    <row r="23" spans="1:3" x14ac:dyDescent="0.2">
      <c r="A23" s="8">
        <v>39783</v>
      </c>
      <c r="B23" s="11">
        <f>IF(VLOOKUP(A23,'DB Country PMI'!$A:$W,MATCH($A$1,'DB Country PMI'!$A$1:$W$1,),)=0,#N/A,VLOOKUP(A23,'DB Country PMI'!$A:$W,MATCH($A$1,'DB Country PMI'!$A$1:$W$1,),))</f>
        <v>43.1</v>
      </c>
      <c r="C23" s="14">
        <f>Table13468113456[[#This Row],[PMI]]-B22</f>
        <v>-2</v>
      </c>
    </row>
    <row r="24" spans="1:3" x14ac:dyDescent="0.2">
      <c r="A24" s="8">
        <v>39814</v>
      </c>
      <c r="B24" s="11">
        <f>IF(VLOOKUP(A24,'DB Country PMI'!$A:$W,MATCH($A$1,'DB Country PMI'!$A$1:$W$1,),)=0,#N/A,VLOOKUP(A24,'DB Country PMI'!$A:$W,MATCH($A$1,'DB Country PMI'!$A$1:$W$1,),))</f>
        <v>45.2</v>
      </c>
      <c r="C24" s="14">
        <f>Table13468113456[[#This Row],[PMI]]-B23</f>
        <v>2.1000000000000014</v>
      </c>
    </row>
    <row r="25" spans="1:3" x14ac:dyDescent="0.2">
      <c r="A25" s="8">
        <v>39845</v>
      </c>
      <c r="B25" s="11">
        <f>IF(VLOOKUP(A25,'DB Country PMI'!$A:$W,MATCH($A$1,'DB Country PMI'!$A$1:$W$1,),)=0,#N/A,VLOOKUP(A25,'DB Country PMI'!$A:$W,MATCH($A$1,'DB Country PMI'!$A$1:$W$1,),))</f>
        <v>41.3</v>
      </c>
      <c r="C25" s="14">
        <f>Table13468113456[[#This Row],[PMI]]-B24</f>
        <v>-3.9000000000000057</v>
      </c>
    </row>
    <row r="26" spans="1:3" x14ac:dyDescent="0.2">
      <c r="A26" s="8">
        <v>39873</v>
      </c>
      <c r="B26" s="11">
        <f>IF(VLOOKUP(A26,'DB Country PMI'!$A:$W,MATCH($A$1,'DB Country PMI'!$A$1:$W$1,),)=0,#N/A,VLOOKUP(A26,'DB Country PMI'!$A:$W,MATCH($A$1,'DB Country PMI'!$A$1:$W$1,),))</f>
        <v>42.3</v>
      </c>
      <c r="C26" s="14">
        <f>Table13468113456[[#This Row],[PMI]]-B25</f>
        <v>1</v>
      </c>
    </row>
    <row r="27" spans="1:3" x14ac:dyDescent="0.2">
      <c r="A27" s="8">
        <v>39904</v>
      </c>
      <c r="B27" s="11">
        <f>IF(VLOOKUP(A27,'DB Country PMI'!$A:$W,MATCH($A$1,'DB Country PMI'!$A$1:$W$1,),)=0,#N/A,VLOOKUP(A27,'DB Country PMI'!$A:$W,MATCH($A$1,'DB Country PMI'!$A$1:$W$1,),))</f>
        <v>43.8</v>
      </c>
      <c r="C27" s="14">
        <f>Table13468113456[[#This Row],[PMI]]-B26</f>
        <v>1.5</v>
      </c>
    </row>
    <row r="28" spans="1:3" x14ac:dyDescent="0.2">
      <c r="A28" s="8">
        <v>39934</v>
      </c>
      <c r="B28" s="11">
        <f>IF(VLOOKUP(A28,'DB Country PMI'!$A:$W,MATCH($A$1,'DB Country PMI'!$A$1:$W$1,),)=0,#N/A,VLOOKUP(A28,'DB Country PMI'!$A:$W,MATCH($A$1,'DB Country PMI'!$A$1:$W$1,),))</f>
        <v>45.2</v>
      </c>
      <c r="C28" s="14">
        <f>Table13468113456[[#This Row],[PMI]]-B27</f>
        <v>1.4000000000000057</v>
      </c>
    </row>
    <row r="29" spans="1:3" x14ac:dyDescent="0.2">
      <c r="A29" s="8">
        <v>39965</v>
      </c>
      <c r="B29" s="11">
        <f>IF(VLOOKUP(A29,'DB Country PMI'!$A:$W,MATCH($A$1,'DB Country PMI'!$A$1:$W$1,),)=0,#N/A,VLOOKUP(A29,'DB Country PMI'!$A:$W,MATCH($A$1,'DB Country PMI'!$A$1:$W$1,),))</f>
        <v>45.2</v>
      </c>
      <c r="C29" s="14">
        <f>Table13468113456[[#This Row],[PMI]]-B28</f>
        <v>0</v>
      </c>
    </row>
    <row r="30" spans="1:3" x14ac:dyDescent="0.2">
      <c r="A30" s="8">
        <v>39995</v>
      </c>
      <c r="B30" s="11">
        <f>IF(VLOOKUP(A30,'DB Country PMI'!$A:$W,MATCH($A$1,'DB Country PMI'!$A$1:$W$1,),)=0,#N/A,VLOOKUP(A30,'DB Country PMI'!$A:$W,MATCH($A$1,'DB Country PMI'!$A$1:$W$1,),))</f>
        <v>48.1</v>
      </c>
      <c r="C30" s="14">
        <f>Table13468113456[[#This Row],[PMI]]-B29</f>
        <v>2.8999999999999986</v>
      </c>
    </row>
    <row r="31" spans="1:3" x14ac:dyDescent="0.2">
      <c r="A31" s="8">
        <v>40026</v>
      </c>
      <c r="B31" s="11">
        <f>IF(VLOOKUP(A31,'DB Country PMI'!$A:$W,MATCH($A$1,'DB Country PMI'!$A$1:$W$1,),)=0,#N/A,VLOOKUP(A31,'DB Country PMI'!$A:$W,MATCH($A$1,'DB Country PMI'!$A$1:$W$1,),))</f>
        <v>53.8</v>
      </c>
      <c r="C31" s="14">
        <f>Table13468113456[[#This Row],[PMI]]-B30</f>
        <v>5.6999999999999957</v>
      </c>
    </row>
    <row r="32" spans="1:3" x14ac:dyDescent="0.2">
      <c r="A32" s="8">
        <v>40057</v>
      </c>
      <c r="B32" s="11">
        <f>IF(VLOOKUP(A32,'DB Country PMI'!$A:$W,MATCH($A$1,'DB Country PMI'!$A$1:$W$1,),)=0,#N/A,VLOOKUP(A32,'DB Country PMI'!$A:$W,MATCH($A$1,'DB Country PMI'!$A$1:$W$1,),))</f>
        <v>52.2</v>
      </c>
      <c r="C32" s="14">
        <f>Table13468113456[[#This Row],[PMI]]-B31</f>
        <v>-1.5999999999999943</v>
      </c>
    </row>
    <row r="33" spans="1:3" x14ac:dyDescent="0.2">
      <c r="A33" s="8">
        <v>40087</v>
      </c>
      <c r="B33" s="11">
        <f>IF(VLOOKUP(A33,'DB Country PMI'!$A:$W,MATCH($A$1,'DB Country PMI'!$A$1:$W$1,),)=0,#N/A,VLOOKUP(A33,'DB Country PMI'!$A:$W,MATCH($A$1,'DB Country PMI'!$A$1:$W$1,),))</f>
        <v>50.7</v>
      </c>
      <c r="C33" s="14">
        <f>Table13468113456[[#This Row],[PMI]]-B32</f>
        <v>-1.5</v>
      </c>
    </row>
    <row r="34" spans="1:3" x14ac:dyDescent="0.2">
      <c r="A34" s="8">
        <v>40118</v>
      </c>
      <c r="B34" s="11">
        <f>IF(VLOOKUP(A34,'DB Country PMI'!$A:$W,MATCH($A$1,'DB Country PMI'!$A$1:$W$1,),)=0,#N/A,VLOOKUP(A34,'DB Country PMI'!$A:$W,MATCH($A$1,'DB Country PMI'!$A$1:$W$1,),))</f>
        <v>51.4</v>
      </c>
      <c r="C34" s="14">
        <f>Table13468113456[[#This Row],[PMI]]-B33</f>
        <v>0.69999999999999574</v>
      </c>
    </row>
    <row r="35" spans="1:3" x14ac:dyDescent="0.2">
      <c r="A35" s="8">
        <v>40148</v>
      </c>
      <c r="B35" s="11">
        <f>IF(VLOOKUP(A35,'DB Country PMI'!$A:$W,MATCH($A$1,'DB Country PMI'!$A$1:$W$1,),)=0,#N/A,VLOOKUP(A35,'DB Country PMI'!$A:$W,MATCH($A$1,'DB Country PMI'!$A$1:$W$1,),))</f>
        <v>52.1</v>
      </c>
      <c r="C35" s="14">
        <f>Table13468113456[[#This Row],[PMI]]-B34</f>
        <v>0.70000000000000284</v>
      </c>
    </row>
    <row r="36" spans="1:3" x14ac:dyDescent="0.2">
      <c r="A36" s="8">
        <v>40179</v>
      </c>
      <c r="B36" s="11">
        <f>IF(VLOOKUP(A36,'DB Country PMI'!$A:$W,MATCH($A$1,'DB Country PMI'!$A$1:$W$1,),)=0,#N/A,VLOOKUP(A36,'DB Country PMI'!$A:$W,MATCH($A$1,'DB Country PMI'!$A$1:$W$1,),))</f>
        <v>52.2</v>
      </c>
      <c r="C36" s="14">
        <f>Table13468113456[[#This Row],[PMI]]-B35</f>
        <v>0.10000000000000142</v>
      </c>
    </row>
    <row r="37" spans="1:3" x14ac:dyDescent="0.2">
      <c r="A37" s="8">
        <v>40210</v>
      </c>
      <c r="B37" s="11">
        <f>IF(VLOOKUP(A37,'DB Country PMI'!$A:$W,MATCH($A$1,'DB Country PMI'!$A$1:$W$1,),)=0,#N/A,VLOOKUP(A37,'DB Country PMI'!$A:$W,MATCH($A$1,'DB Country PMI'!$A$1:$W$1,),))</f>
        <v>51.9</v>
      </c>
      <c r="C37" s="14">
        <f>Table13468113456[[#This Row],[PMI]]-B36</f>
        <v>-0.30000000000000426</v>
      </c>
    </row>
    <row r="38" spans="1:3" x14ac:dyDescent="0.2">
      <c r="A38" s="8">
        <v>40238</v>
      </c>
      <c r="B38" s="11">
        <f>IF(VLOOKUP(A38,'DB Country PMI'!$A:$W,MATCH($A$1,'DB Country PMI'!$A$1:$W$1,),)=0,#N/A,VLOOKUP(A38,'DB Country PMI'!$A:$W,MATCH($A$1,'DB Country PMI'!$A$1:$W$1,),))</f>
        <v>54.9</v>
      </c>
      <c r="C38" s="14">
        <f>Table13468113456[[#This Row],[PMI]]-B37</f>
        <v>3</v>
      </c>
    </row>
    <row r="39" spans="1:3" x14ac:dyDescent="0.2">
      <c r="A39" s="8">
        <v>40269</v>
      </c>
      <c r="B39" s="11">
        <f>IF(VLOOKUP(A39,'DB Country PMI'!$A:$W,MATCH($A$1,'DB Country PMI'!$A$1:$W$1,),)=0,#N/A,VLOOKUP(A39,'DB Country PMI'!$A:$W,MATCH($A$1,'DB Country PMI'!$A$1:$W$1,),))</f>
        <v>53.7</v>
      </c>
      <c r="C39" s="14">
        <f>Table13468113456[[#This Row],[PMI]]-B38</f>
        <v>-1.1999999999999957</v>
      </c>
    </row>
    <row r="40" spans="1:3" x14ac:dyDescent="0.2">
      <c r="A40" s="8">
        <v>40299</v>
      </c>
      <c r="B40" s="11">
        <f>IF(VLOOKUP(A40,'DB Country PMI'!$A:$W,MATCH($A$1,'DB Country PMI'!$A$1:$W$1,),)=0,#N/A,VLOOKUP(A40,'DB Country PMI'!$A:$W,MATCH($A$1,'DB Country PMI'!$A$1:$W$1,),))</f>
        <v>54.8</v>
      </c>
      <c r="C40" s="14">
        <f>Table13468113456[[#This Row],[PMI]]-B39</f>
        <v>1.0999999999999943</v>
      </c>
    </row>
    <row r="41" spans="1:3" x14ac:dyDescent="0.2">
      <c r="A41" s="8">
        <v>40330</v>
      </c>
      <c r="B41" s="11">
        <f>IF(VLOOKUP(A41,'DB Country PMI'!$A:$W,MATCH($A$1,'DB Country PMI'!$A$1:$W$1,),)=0,#N/A,VLOOKUP(A41,'DB Country PMI'!$A:$W,MATCH($A$1,'DB Country PMI'!$A$1:$W$1,),))</f>
        <v>54.8</v>
      </c>
      <c r="C41" s="14">
        <f>Table13468113456[[#This Row],[PMI]]-B40</f>
        <v>0</v>
      </c>
    </row>
    <row r="42" spans="1:3" x14ac:dyDescent="0.2">
      <c r="A42" s="8">
        <v>40360</v>
      </c>
      <c r="B42" s="11">
        <f>IF(VLOOKUP(A42,'DB Country PMI'!$A:$W,MATCH($A$1,'DB Country PMI'!$A$1:$W$1,),)=0,#N/A,VLOOKUP(A42,'DB Country PMI'!$A:$W,MATCH($A$1,'DB Country PMI'!$A$1:$W$1,),))</f>
        <v>56.5</v>
      </c>
      <c r="C42" s="14">
        <f>Table13468113456[[#This Row],[PMI]]-B41</f>
        <v>1.7000000000000028</v>
      </c>
    </row>
    <row r="43" spans="1:3" x14ac:dyDescent="0.2">
      <c r="A43" s="8">
        <v>40391</v>
      </c>
      <c r="B43" s="11">
        <f>IF(VLOOKUP(A43,'DB Country PMI'!$A:$W,MATCH($A$1,'DB Country PMI'!$A$1:$W$1,),)=0,#N/A,VLOOKUP(A43,'DB Country PMI'!$A:$W,MATCH($A$1,'DB Country PMI'!$A$1:$W$1,),))</f>
        <v>57.2</v>
      </c>
      <c r="C43" s="14">
        <f>Table13468113456[[#This Row],[PMI]]-B42</f>
        <v>0.70000000000000284</v>
      </c>
    </row>
    <row r="44" spans="1:3" x14ac:dyDescent="0.2">
      <c r="A44" s="8">
        <v>40422</v>
      </c>
      <c r="B44" s="11">
        <f>IF(VLOOKUP(A44,'DB Country PMI'!$A:$W,MATCH($A$1,'DB Country PMI'!$A$1:$W$1,),)=0,#N/A,VLOOKUP(A44,'DB Country PMI'!$A:$W,MATCH($A$1,'DB Country PMI'!$A$1:$W$1,),))</f>
        <v>54.9</v>
      </c>
      <c r="C44" s="14">
        <f>Table13468113456[[#This Row],[PMI]]-B43</f>
        <v>-2.3000000000000043</v>
      </c>
    </row>
    <row r="45" spans="1:3" x14ac:dyDescent="0.2">
      <c r="A45" s="8">
        <v>40452</v>
      </c>
      <c r="B45" s="11">
        <f>IF(VLOOKUP(A45,'DB Country PMI'!$A:$W,MATCH($A$1,'DB Country PMI'!$A$1:$W$1,),)=0,#N/A,VLOOKUP(A45,'DB Country PMI'!$A:$W,MATCH($A$1,'DB Country PMI'!$A$1:$W$1,),))</f>
        <v>56</v>
      </c>
      <c r="C45" s="14">
        <f>Table13468113456[[#This Row],[PMI]]-B44</f>
        <v>1.1000000000000014</v>
      </c>
    </row>
    <row r="46" spans="1:3" x14ac:dyDescent="0.2">
      <c r="A46" s="8">
        <v>40483</v>
      </c>
      <c r="B46" s="11">
        <f>IF(VLOOKUP(A46,'DB Country PMI'!$A:$W,MATCH($A$1,'DB Country PMI'!$A$1:$W$1,),)=0,#N/A,VLOOKUP(A46,'DB Country PMI'!$A:$W,MATCH($A$1,'DB Country PMI'!$A$1:$W$1,),))</f>
        <v>59.2</v>
      </c>
      <c r="C46" s="14">
        <f>Table13468113456[[#This Row],[PMI]]-B45</f>
        <v>3.2000000000000028</v>
      </c>
    </row>
    <row r="47" spans="1:3" x14ac:dyDescent="0.2">
      <c r="A47" s="8">
        <v>40513</v>
      </c>
      <c r="B47" s="11">
        <f>IF(VLOOKUP(A47,'DB Country PMI'!$A:$W,MATCH($A$1,'DB Country PMI'!$A$1:$W$1,),)=0,#N/A,VLOOKUP(A47,'DB Country PMI'!$A:$W,MATCH($A$1,'DB Country PMI'!$A$1:$W$1,),))</f>
        <v>59.5</v>
      </c>
      <c r="C47" s="14">
        <f>Table13468113456[[#This Row],[PMI]]-B46</f>
        <v>0.29999999999999716</v>
      </c>
    </row>
    <row r="48" spans="1:3" x14ac:dyDescent="0.2">
      <c r="A48" s="8">
        <v>40544</v>
      </c>
      <c r="B48" s="11">
        <f>IF(VLOOKUP(A48,'DB Country PMI'!$A:$W,MATCH($A$1,'DB Country PMI'!$A$1:$W$1,),)=0,#N/A,VLOOKUP(A48,'DB Country PMI'!$A:$W,MATCH($A$1,'DB Country PMI'!$A$1:$W$1,),))</f>
        <v>60.3</v>
      </c>
      <c r="C48" s="14">
        <f>Table13468113456[[#This Row],[PMI]]-B47</f>
        <v>0.79999999999999716</v>
      </c>
    </row>
    <row r="49" spans="1:3" x14ac:dyDescent="0.2">
      <c r="A49" s="8">
        <v>40575</v>
      </c>
      <c r="B49" s="11">
        <f>IF(VLOOKUP(A49,'DB Country PMI'!$A:$W,MATCH($A$1,'DB Country PMI'!$A$1:$W$1,),)=0,#N/A,VLOOKUP(A49,'DB Country PMI'!$A:$W,MATCH($A$1,'DB Country PMI'!$A$1:$W$1,),))</f>
        <v>58.6</v>
      </c>
      <c r="C49" s="14">
        <f>Table13468113456[[#This Row],[PMI]]-B48</f>
        <v>-1.6999999999999957</v>
      </c>
    </row>
    <row r="50" spans="1:3" x14ac:dyDescent="0.2">
      <c r="A50" s="8">
        <v>40603</v>
      </c>
      <c r="B50" s="11">
        <f>IF(VLOOKUP(A50,'DB Country PMI'!$A:$W,MATCH($A$1,'DB Country PMI'!$A$1:$W$1,),)=0,#N/A,VLOOKUP(A50,'DB Country PMI'!$A:$W,MATCH($A$1,'DB Country PMI'!$A$1:$W$1,),))</f>
        <v>60.1</v>
      </c>
      <c r="C50" s="14">
        <f>Table13468113456[[#This Row],[PMI]]-B49</f>
        <v>1.5</v>
      </c>
    </row>
    <row r="51" spans="1:3" x14ac:dyDescent="0.2">
      <c r="A51" s="8">
        <v>40634</v>
      </c>
      <c r="B51" s="11">
        <f>IF(VLOOKUP(A51,'DB Country PMI'!$A:$W,MATCH($A$1,'DB Country PMI'!$A$1:$W$1,),)=0,#N/A,VLOOKUP(A51,'DB Country PMI'!$A:$W,MATCH($A$1,'DB Country PMI'!$A$1:$W$1,),))</f>
        <v>56.8</v>
      </c>
      <c r="C51" s="14">
        <f>Table13468113456[[#This Row],[PMI]]-B50</f>
        <v>-3.3000000000000043</v>
      </c>
    </row>
    <row r="52" spans="1:3" x14ac:dyDescent="0.2">
      <c r="A52" s="8">
        <v>40664</v>
      </c>
      <c r="B52" s="11">
        <f>IF(VLOOKUP(A52,'DB Country PMI'!$A:$W,MATCH($A$1,'DB Country PMI'!$A$1:$W$1,),)=0,#N/A,VLOOKUP(A52,'DB Country PMI'!$A:$W,MATCH($A$1,'DB Country PMI'!$A$1:$W$1,),))</f>
        <v>56.1</v>
      </c>
      <c r="C52" s="14">
        <f>Table13468113456[[#This Row],[PMI]]-B51</f>
        <v>-0.69999999999999574</v>
      </c>
    </row>
    <row r="53" spans="1:3" x14ac:dyDescent="0.2">
      <c r="A53" s="8">
        <v>40695</v>
      </c>
      <c r="B53" s="11">
        <f>IF(VLOOKUP(A53,'DB Country PMI'!$A:$W,MATCH($A$1,'DB Country PMI'!$A$1:$W$1,),)=0,#N/A,VLOOKUP(A53,'DB Country PMI'!$A:$W,MATCH($A$1,'DB Country PMI'!$A$1:$W$1,),))</f>
        <v>56.7</v>
      </c>
      <c r="C53" s="14">
        <f>Table13468113456[[#This Row],[PMI]]-B52</f>
        <v>0.60000000000000142</v>
      </c>
    </row>
    <row r="54" spans="1:3" x14ac:dyDescent="0.2">
      <c r="A54" s="8">
        <v>40725</v>
      </c>
      <c r="B54" s="11">
        <f>IF(VLOOKUP(A54,'DB Country PMI'!$A:$W,MATCH($A$1,'DB Country PMI'!$A$1:$W$1,),)=0,#N/A,VLOOKUP(A54,'DB Country PMI'!$A:$W,MATCH($A$1,'DB Country PMI'!$A$1:$W$1,),))</f>
        <v>52.9</v>
      </c>
      <c r="C54" s="14">
        <f>Table13468113456[[#This Row],[PMI]]-B53</f>
        <v>-3.8000000000000043</v>
      </c>
    </row>
    <row r="55" spans="1:3" x14ac:dyDescent="0.2">
      <c r="A55" s="8">
        <v>40756</v>
      </c>
      <c r="B55" s="11">
        <f>IF(VLOOKUP(A55,'DB Country PMI'!$A:$W,MATCH($A$1,'DB Country PMI'!$A$1:$W$1,),)=0,#N/A,VLOOKUP(A55,'DB Country PMI'!$A:$W,MATCH($A$1,'DB Country PMI'!$A$1:$W$1,),))</f>
        <v>51.1</v>
      </c>
      <c r="C55" s="14">
        <f>Table13468113456[[#This Row],[PMI]]-B54</f>
        <v>-1.7999999999999972</v>
      </c>
    </row>
    <row r="56" spans="1:3" x14ac:dyDescent="0.2">
      <c r="A56" s="8">
        <v>40787</v>
      </c>
      <c r="B56" s="11">
        <f>IF(VLOOKUP(A56,'DB Country PMI'!$A:$W,MATCH($A$1,'DB Country PMI'!$A$1:$W$1,),)=0,#N/A,VLOOKUP(A56,'DB Country PMI'!$A:$W,MATCH($A$1,'DB Country PMI'!$A$1:$W$1,),))</f>
        <v>49.7</v>
      </c>
      <c r="C56" s="14">
        <f>Table13468113456[[#This Row],[PMI]]-B55</f>
        <v>-1.3999999999999986</v>
      </c>
    </row>
    <row r="57" spans="1:3" x14ac:dyDescent="0.2">
      <c r="A57" s="8">
        <v>40817</v>
      </c>
      <c r="B57" s="11">
        <f>IF(VLOOKUP(A57,'DB Country PMI'!$A:$W,MATCH($A$1,'DB Country PMI'!$A$1:$W$1,),)=0,#N/A,VLOOKUP(A57,'DB Country PMI'!$A:$W,MATCH($A$1,'DB Country PMI'!$A$1:$W$1,),))</f>
        <v>50.6</v>
      </c>
      <c r="C57" s="14">
        <f>Table13468113456[[#This Row],[PMI]]-B56</f>
        <v>0.89999999999999858</v>
      </c>
    </row>
    <row r="58" spans="1:3" x14ac:dyDescent="0.2">
      <c r="A58" s="8">
        <v>40848</v>
      </c>
      <c r="B58" s="11">
        <f>IF(VLOOKUP(A58,'DB Country PMI'!$A:$W,MATCH($A$1,'DB Country PMI'!$A$1:$W$1,),)=0,#N/A,VLOOKUP(A58,'DB Country PMI'!$A:$W,MATCH($A$1,'DB Country PMI'!$A$1:$W$1,),))</f>
        <v>50.3</v>
      </c>
      <c r="C58" s="14">
        <f>Table13468113456[[#This Row],[PMI]]-B57</f>
        <v>-0.30000000000000426</v>
      </c>
    </row>
    <row r="59" spans="1:3" x14ac:dyDescent="0.2">
      <c r="A59" s="8">
        <v>40878</v>
      </c>
      <c r="B59" s="11">
        <f>IF(VLOOKUP(A59,'DB Country PMI'!$A:$W,MATCH($A$1,'DB Country PMI'!$A$1:$W$1,),)=0,#N/A,VLOOKUP(A59,'DB Country PMI'!$A:$W,MATCH($A$1,'DB Country PMI'!$A$1:$W$1,),))</f>
        <v>52.4</v>
      </c>
      <c r="C59" s="14">
        <f>Table13468113456[[#This Row],[PMI]]-B58</f>
        <v>2.1000000000000014</v>
      </c>
    </row>
    <row r="60" spans="1:3" x14ac:dyDescent="0.2">
      <c r="A60" s="8">
        <v>40909</v>
      </c>
      <c r="B60" s="11">
        <f>IF(VLOOKUP(A60,'DB Country PMI'!$A:$W,MATCH($A$1,'DB Country PMI'!$A$1:$W$1,),)=0,#N/A,VLOOKUP(A60,'DB Country PMI'!$A:$W,MATCH($A$1,'DB Country PMI'!$A$1:$W$1,),))</f>
        <v>53.7</v>
      </c>
      <c r="C60" s="14">
        <f>Table13468113456[[#This Row],[PMI]]-B59</f>
        <v>1.3000000000000043</v>
      </c>
    </row>
    <row r="61" spans="1:3" x14ac:dyDescent="0.2">
      <c r="A61" s="8">
        <v>40940</v>
      </c>
      <c r="B61" s="11">
        <f>IF(VLOOKUP(A61,'DB Country PMI'!$A:$W,MATCH($A$1,'DB Country PMI'!$A$1:$W$1,),)=0,#N/A,VLOOKUP(A61,'DB Country PMI'!$A:$W,MATCH($A$1,'DB Country PMI'!$A$1:$W$1,),))</f>
        <v>52.8</v>
      </c>
      <c r="C61" s="14">
        <f>Table13468113456[[#This Row],[PMI]]-B60</f>
        <v>-0.90000000000000568</v>
      </c>
    </row>
    <row r="62" spans="1:3" x14ac:dyDescent="0.2">
      <c r="A62" s="8">
        <v>40969</v>
      </c>
      <c r="B62" s="11">
        <f>IF(VLOOKUP(A62,'DB Country PMI'!$A:$W,MATCH($A$1,'DB Country PMI'!$A$1:$W$1,),)=0,#N/A,VLOOKUP(A62,'DB Country PMI'!$A:$W,MATCH($A$1,'DB Country PMI'!$A$1:$W$1,),))</f>
        <v>52.1</v>
      </c>
      <c r="C62" s="14">
        <f>Table13468113456[[#This Row],[PMI]]-B61</f>
        <v>-0.69999999999999574</v>
      </c>
    </row>
    <row r="63" spans="1:3" x14ac:dyDescent="0.2">
      <c r="A63" s="8">
        <v>41000</v>
      </c>
      <c r="B63" s="11">
        <f>IF(VLOOKUP(A63,'DB Country PMI'!$A:$W,MATCH($A$1,'DB Country PMI'!$A$1:$W$1,),)=0,#N/A,VLOOKUP(A63,'DB Country PMI'!$A:$W,MATCH($A$1,'DB Country PMI'!$A$1:$W$1,),))</f>
        <v>52.2</v>
      </c>
      <c r="C63" s="14">
        <f>Table13468113456[[#This Row],[PMI]]-B62</f>
        <v>0.10000000000000142</v>
      </c>
    </row>
    <row r="64" spans="1:3" x14ac:dyDescent="0.2">
      <c r="A64" s="8">
        <v>41030</v>
      </c>
      <c r="B64" s="11">
        <f>IF(VLOOKUP(A64,'DB Country PMI'!$A:$W,MATCH($A$1,'DB Country PMI'!$A$1:$W$1,),)=0,#N/A,VLOOKUP(A64,'DB Country PMI'!$A:$W,MATCH($A$1,'DB Country PMI'!$A$1:$W$1,),))</f>
        <v>51.8</v>
      </c>
      <c r="C64" s="14">
        <f>Table13468113456[[#This Row],[PMI]]-B63</f>
        <v>-0.40000000000000568</v>
      </c>
    </row>
    <row r="65" spans="1:3" x14ac:dyDescent="0.2">
      <c r="A65" s="8">
        <v>41061</v>
      </c>
      <c r="B65" s="11">
        <f>IF(VLOOKUP(A65,'DB Country PMI'!$A:$W,MATCH($A$1,'DB Country PMI'!$A$1:$W$1,),)=0,#N/A,VLOOKUP(A65,'DB Country PMI'!$A:$W,MATCH($A$1,'DB Country PMI'!$A$1:$W$1,),))</f>
        <v>49.9</v>
      </c>
      <c r="C65" s="14">
        <f>Table13468113456[[#This Row],[PMI]]-B64</f>
        <v>-1.8999999999999986</v>
      </c>
    </row>
    <row r="66" spans="1:3" x14ac:dyDescent="0.2">
      <c r="A66" s="8">
        <v>41091</v>
      </c>
      <c r="B66" s="11">
        <f>IF(VLOOKUP(A66,'DB Country PMI'!$A:$W,MATCH($A$1,'DB Country PMI'!$A$1:$W$1,),)=0,#N/A,VLOOKUP(A66,'DB Country PMI'!$A:$W,MATCH($A$1,'DB Country PMI'!$A$1:$W$1,),))</f>
        <v>50.3</v>
      </c>
      <c r="C66" s="14">
        <f>Table13468113456[[#This Row],[PMI]]-B65</f>
        <v>0.39999999999999858</v>
      </c>
    </row>
    <row r="67" spans="1:3" x14ac:dyDescent="0.2">
      <c r="A67" s="8">
        <v>41122</v>
      </c>
      <c r="B67" s="11">
        <f>IF(VLOOKUP(A67,'DB Country PMI'!$A:$W,MATCH($A$1,'DB Country PMI'!$A$1:$W$1,),)=0,#N/A,VLOOKUP(A67,'DB Country PMI'!$A:$W,MATCH($A$1,'DB Country PMI'!$A$1:$W$1,),))</f>
        <v>48.3</v>
      </c>
      <c r="C67" s="14">
        <f>Table13468113456[[#This Row],[PMI]]-B66</f>
        <v>-2</v>
      </c>
    </row>
    <row r="68" spans="1:3" x14ac:dyDescent="0.2">
      <c r="A68" s="8">
        <v>41153</v>
      </c>
      <c r="B68" s="11">
        <f>IF(VLOOKUP(A68,'DB Country PMI'!$A:$W,MATCH($A$1,'DB Country PMI'!$A$1:$W$1,),)=0,#N/A,VLOOKUP(A68,'DB Country PMI'!$A:$W,MATCH($A$1,'DB Country PMI'!$A$1:$W$1,),))</f>
        <v>49.7</v>
      </c>
      <c r="C68" s="14">
        <f>Table13468113456[[#This Row],[PMI]]-B67</f>
        <v>1.4000000000000057</v>
      </c>
    </row>
    <row r="69" spans="1:3" x14ac:dyDescent="0.2">
      <c r="A69" s="8">
        <v>41183</v>
      </c>
      <c r="B69" s="11">
        <f>IF(VLOOKUP(A69,'DB Country PMI'!$A:$W,MATCH($A$1,'DB Country PMI'!$A$1:$W$1,),)=0,#N/A,VLOOKUP(A69,'DB Country PMI'!$A:$W,MATCH($A$1,'DB Country PMI'!$A$1:$W$1,),))</f>
        <v>48.4</v>
      </c>
      <c r="C69" s="14">
        <f>Table13468113456[[#This Row],[PMI]]-B68</f>
        <v>-1.3000000000000043</v>
      </c>
    </row>
    <row r="70" spans="1:3" x14ac:dyDescent="0.2">
      <c r="A70" s="8">
        <v>41214</v>
      </c>
      <c r="B70" s="11">
        <f>IF(VLOOKUP(A70,'DB Country PMI'!$A:$W,MATCH($A$1,'DB Country PMI'!$A$1:$W$1,),)=0,#N/A,VLOOKUP(A70,'DB Country PMI'!$A:$W,MATCH($A$1,'DB Country PMI'!$A$1:$W$1,),))</f>
        <v>49.7</v>
      </c>
      <c r="C70" s="14">
        <f>Table13468113456[[#This Row],[PMI]]-B69</f>
        <v>1.3000000000000043</v>
      </c>
    </row>
    <row r="71" spans="1:3" x14ac:dyDescent="0.2">
      <c r="A71" s="8">
        <v>41244</v>
      </c>
      <c r="B71" s="11">
        <f>IF(VLOOKUP(A71,'DB Country PMI'!$A:$W,MATCH($A$1,'DB Country PMI'!$A$1:$W$1,),)=0,#N/A,VLOOKUP(A71,'DB Country PMI'!$A:$W,MATCH($A$1,'DB Country PMI'!$A$1:$W$1,),))</f>
        <v>55.7</v>
      </c>
      <c r="C71" s="14">
        <f>Table13468113456[[#This Row],[PMI]]-B70</f>
        <v>6</v>
      </c>
    </row>
    <row r="72" spans="1:3" x14ac:dyDescent="0.2">
      <c r="A72" s="8">
        <v>41275</v>
      </c>
      <c r="B72" s="11">
        <f>IF(VLOOKUP(A72,'DB Country PMI'!$A:$W,MATCH($A$1,'DB Country PMI'!$A$1:$W$1,),)=0,#N/A,VLOOKUP(A72,'DB Country PMI'!$A:$W,MATCH($A$1,'DB Country PMI'!$A$1:$W$1,),))</f>
        <v>54.7</v>
      </c>
      <c r="C72" s="14">
        <f>Table13468113456[[#This Row],[PMI]]-B71</f>
        <v>-1</v>
      </c>
    </row>
    <row r="73" spans="1:3" x14ac:dyDescent="0.2">
      <c r="A73" s="8">
        <v>41306</v>
      </c>
      <c r="B73" s="11">
        <f>IF(VLOOKUP(A73,'DB Country PMI'!$A:$W,MATCH($A$1,'DB Country PMI'!$A$1:$W$1,),)=0,#N/A,VLOOKUP(A73,'DB Country PMI'!$A:$W,MATCH($A$1,'DB Country PMI'!$A$1:$W$1,),))</f>
        <v>50.9</v>
      </c>
      <c r="C73" s="14">
        <f>Table13468113456[[#This Row],[PMI]]-B72</f>
        <v>-3.8000000000000043</v>
      </c>
    </row>
    <row r="74" spans="1:3" x14ac:dyDescent="0.2">
      <c r="A74" s="8">
        <v>41334</v>
      </c>
      <c r="B74" s="11">
        <f>IF(VLOOKUP(A74,'DB Country PMI'!$A:$W,MATCH($A$1,'DB Country PMI'!$A$1:$W$1,),)=0,#N/A,VLOOKUP(A74,'DB Country PMI'!$A:$W,MATCH($A$1,'DB Country PMI'!$A$1:$W$1,),))</f>
        <v>49.6</v>
      </c>
      <c r="C74" s="14">
        <f>Table13468113456[[#This Row],[PMI]]-B73</f>
        <v>-1.2999999999999972</v>
      </c>
    </row>
    <row r="75" spans="1:3" x14ac:dyDescent="0.2">
      <c r="A75" s="8">
        <v>41365</v>
      </c>
      <c r="B75" s="11">
        <f>IF(VLOOKUP(A75,'DB Country PMI'!$A:$W,MATCH($A$1,'DB Country PMI'!$A$1:$W$1,),)=0,#N/A,VLOOKUP(A75,'DB Country PMI'!$A:$W,MATCH($A$1,'DB Country PMI'!$A$1:$W$1,),))</f>
        <v>49.7</v>
      </c>
      <c r="C75" s="14">
        <f>Table13468113456[[#This Row],[PMI]]-B74</f>
        <v>0.10000000000000142</v>
      </c>
    </row>
    <row r="76" spans="1:3" x14ac:dyDescent="0.2">
      <c r="A76" s="8">
        <v>41395</v>
      </c>
      <c r="B76" s="11">
        <f>IF(VLOOKUP(A76,'DB Country PMI'!$A:$W,MATCH($A$1,'DB Country PMI'!$A$1:$W$1,),)=0,#N/A,VLOOKUP(A76,'DB Country PMI'!$A:$W,MATCH($A$1,'DB Country PMI'!$A$1:$W$1,),))</f>
        <v>50.4</v>
      </c>
      <c r="C76" s="14">
        <f>Table13468113456[[#This Row],[PMI]]-B75</f>
        <v>0.69999999999999574</v>
      </c>
    </row>
    <row r="77" spans="1:3" x14ac:dyDescent="0.2">
      <c r="A77" s="8">
        <v>41426</v>
      </c>
      <c r="B77" s="11">
        <f>IF(VLOOKUP(A77,'DB Country PMI'!$A:$W,MATCH($A$1,'DB Country PMI'!$A$1:$W$1,),)=0,#N/A,VLOOKUP(A77,'DB Country PMI'!$A:$W,MATCH($A$1,'DB Country PMI'!$A$1:$W$1,),))</f>
        <v>51.3</v>
      </c>
      <c r="C77" s="14">
        <f>Table13468113456[[#This Row],[PMI]]-B76</f>
        <v>0.89999999999999858</v>
      </c>
    </row>
    <row r="78" spans="1:3" x14ac:dyDescent="0.2">
      <c r="A78" s="8">
        <v>41456</v>
      </c>
      <c r="B78" s="11">
        <f>IF(VLOOKUP(A78,'DB Country PMI'!$A:$W,MATCH($A$1,'DB Country PMI'!$A$1:$W$1,),)=0,#N/A,VLOOKUP(A78,'DB Country PMI'!$A:$W,MATCH($A$1,'DB Country PMI'!$A$1:$W$1,),))</f>
        <v>52.8</v>
      </c>
      <c r="C78" s="14">
        <f>Table13468113456[[#This Row],[PMI]]-B77</f>
        <v>1.5</v>
      </c>
    </row>
    <row r="79" spans="1:3" x14ac:dyDescent="0.2">
      <c r="A79" s="8">
        <v>41487</v>
      </c>
      <c r="B79" s="11">
        <f>IF(VLOOKUP(A79,'DB Country PMI'!$A:$W,MATCH($A$1,'DB Country PMI'!$A$1:$W$1,),)=0,#N/A,VLOOKUP(A79,'DB Country PMI'!$A:$W,MATCH($A$1,'DB Country PMI'!$A$1:$W$1,),))</f>
        <v>53.7</v>
      </c>
      <c r="C79" s="14">
        <f>Table13468113456[[#This Row],[PMI]]-B78</f>
        <v>0.90000000000000568</v>
      </c>
    </row>
    <row r="80" spans="1:3" x14ac:dyDescent="0.2">
      <c r="A80" s="8">
        <v>41518</v>
      </c>
      <c r="B80" s="11">
        <f>IF(VLOOKUP(A80,'DB Country PMI'!$A:$W,MATCH($A$1,'DB Country PMI'!$A$1:$W$1,),)=0,#N/A,VLOOKUP(A80,'DB Country PMI'!$A:$W,MATCH($A$1,'DB Country PMI'!$A$1:$W$1,),))</f>
        <v>52.9</v>
      </c>
      <c r="C80" s="14">
        <f>Table13468113456[[#This Row],[PMI]]-B79</f>
        <v>-0.80000000000000426</v>
      </c>
    </row>
    <row r="81" spans="1:3" x14ac:dyDescent="0.2">
      <c r="A81" s="8">
        <v>41548</v>
      </c>
      <c r="B81" s="11">
        <f>IF(VLOOKUP(A81,'DB Country PMI'!$A:$W,MATCH($A$1,'DB Country PMI'!$A$1:$W$1,),)=0,#N/A,VLOOKUP(A81,'DB Country PMI'!$A:$W,MATCH($A$1,'DB Country PMI'!$A$1:$W$1,),))</f>
        <v>55.7</v>
      </c>
      <c r="C81" s="14">
        <f>Table13468113456[[#This Row],[PMI]]-B80</f>
        <v>2.8000000000000043</v>
      </c>
    </row>
    <row r="82" spans="1:3" x14ac:dyDescent="0.2">
      <c r="A82" s="8">
        <v>41579</v>
      </c>
      <c r="B82" s="11">
        <f>IF(VLOOKUP(A82,'DB Country PMI'!$A:$W,MATCH($A$1,'DB Country PMI'!$A$1:$W$1,),)=0,#N/A,VLOOKUP(A82,'DB Country PMI'!$A:$W,MATCH($A$1,'DB Country PMI'!$A$1:$W$1,),))</f>
        <v>53.5</v>
      </c>
      <c r="C82" s="14">
        <f>Table13468113456[[#This Row],[PMI]]-B81</f>
        <v>-2.2000000000000028</v>
      </c>
    </row>
    <row r="83" spans="1:3" x14ac:dyDescent="0.2">
      <c r="A83" s="8">
        <v>41609</v>
      </c>
      <c r="B83" s="11">
        <f>IF(VLOOKUP(A83,'DB Country PMI'!$A:$W,MATCH($A$1,'DB Country PMI'!$A$1:$W$1,),)=0,#N/A,VLOOKUP(A83,'DB Country PMI'!$A:$W,MATCH($A$1,'DB Country PMI'!$A$1:$W$1,),))</f>
        <v>53.1</v>
      </c>
      <c r="C83" s="14">
        <f>Table13468113456[[#This Row],[PMI]]-B82</f>
        <v>-0.39999999999999858</v>
      </c>
    </row>
    <row r="84" spans="1:3" x14ac:dyDescent="0.2">
      <c r="A84" s="8">
        <v>41640</v>
      </c>
      <c r="B84" s="11">
        <f>IF(VLOOKUP(A84,'DB Country PMI'!$A:$W,MATCH($A$1,'DB Country PMI'!$A$1:$W$1,),)=0,#N/A,VLOOKUP(A84,'DB Country PMI'!$A:$W,MATCH($A$1,'DB Country PMI'!$A$1:$W$1,),))</f>
        <v>55.9</v>
      </c>
      <c r="C84" s="14">
        <f>Table13468113456[[#This Row],[PMI]]-B83</f>
        <v>2.7999999999999972</v>
      </c>
    </row>
    <row r="85" spans="1:3" x14ac:dyDescent="0.2">
      <c r="A85" s="8">
        <v>41671</v>
      </c>
      <c r="B85" s="11">
        <f>IF(VLOOKUP(A85,'DB Country PMI'!$A:$W,MATCH($A$1,'DB Country PMI'!$A$1:$W$1,),)=0,#N/A,VLOOKUP(A85,'DB Country PMI'!$A:$W,MATCH($A$1,'DB Country PMI'!$A$1:$W$1,),))</f>
        <v>53</v>
      </c>
      <c r="C85" s="14">
        <f>Table13468113456[[#This Row],[PMI]]-B84</f>
        <v>-2.8999999999999986</v>
      </c>
    </row>
    <row r="86" spans="1:3" x14ac:dyDescent="0.2">
      <c r="A86" s="8">
        <v>41699</v>
      </c>
      <c r="B86" s="11">
        <f>IF(VLOOKUP(A86,'DB Country PMI'!$A:$W,MATCH($A$1,'DB Country PMI'!$A$1:$W$1,),)=0,#N/A,VLOOKUP(A86,'DB Country PMI'!$A:$W,MATCH($A$1,'DB Country PMI'!$A$1:$W$1,),))</f>
        <v>54.7</v>
      </c>
      <c r="C86" s="14">
        <f>Table13468113456[[#This Row],[PMI]]-B85</f>
        <v>1.7000000000000028</v>
      </c>
    </row>
    <row r="87" spans="1:3" x14ac:dyDescent="0.2">
      <c r="A87" s="8">
        <v>41730</v>
      </c>
      <c r="B87" s="11">
        <f>IF(VLOOKUP(A87,'DB Country PMI'!$A:$W,MATCH($A$1,'DB Country PMI'!$A$1:$W$1,),)=0,#N/A,VLOOKUP(A87,'DB Country PMI'!$A:$W,MATCH($A$1,'DB Country PMI'!$A$1:$W$1,),))</f>
        <v>56.4</v>
      </c>
      <c r="C87" s="14">
        <f>Table13468113456[[#This Row],[PMI]]-B86</f>
        <v>1.6999999999999957</v>
      </c>
    </row>
    <row r="88" spans="1:3" x14ac:dyDescent="0.2">
      <c r="A88" s="8">
        <v>41760</v>
      </c>
      <c r="B88" s="11">
        <f>IF(VLOOKUP(A88,'DB Country PMI'!$A:$W,MATCH($A$1,'DB Country PMI'!$A$1:$W$1,),)=0,#N/A,VLOOKUP(A88,'DB Country PMI'!$A:$W,MATCH($A$1,'DB Country PMI'!$A$1:$W$1,),))</f>
        <v>56</v>
      </c>
      <c r="C88" s="14">
        <f>Table13468113456[[#This Row],[PMI]]-B87</f>
        <v>-0.39999999999999858</v>
      </c>
    </row>
    <row r="89" spans="1:3" x14ac:dyDescent="0.2">
      <c r="A89" s="8">
        <v>41791</v>
      </c>
      <c r="B89" s="11">
        <f>IF(VLOOKUP(A89,'DB Country PMI'!$A:$W,MATCH($A$1,'DB Country PMI'!$A$1:$W$1,),)=0,#N/A,VLOOKUP(A89,'DB Country PMI'!$A:$W,MATCH($A$1,'DB Country PMI'!$A$1:$W$1,),))</f>
        <v>54.6</v>
      </c>
      <c r="C89" s="14">
        <f>Table13468113456[[#This Row],[PMI]]-B88</f>
        <v>-1.3999999999999986</v>
      </c>
    </row>
    <row r="90" spans="1:3" x14ac:dyDescent="0.2">
      <c r="A90" s="8">
        <v>41821</v>
      </c>
      <c r="B90" s="11">
        <f>IF(VLOOKUP(A90,'DB Country PMI'!$A:$W,MATCH($A$1,'DB Country PMI'!$A$1:$W$1,),)=0,#N/A,VLOOKUP(A90,'DB Country PMI'!$A:$W,MATCH($A$1,'DB Country PMI'!$A$1:$W$1,),))</f>
        <v>56.7</v>
      </c>
      <c r="C90" s="14">
        <f>Table13468113456[[#This Row],[PMI]]-B89</f>
        <v>2.1000000000000014</v>
      </c>
    </row>
    <row r="91" spans="1:3" x14ac:dyDescent="0.2">
      <c r="A91" s="8">
        <v>41852</v>
      </c>
      <c r="B91" s="11">
        <f>IF(VLOOKUP(A91,'DB Country PMI'!$A:$W,MATCH($A$1,'DB Country PMI'!$A$1:$W$1,),)=0,#N/A,VLOOKUP(A91,'DB Country PMI'!$A:$W,MATCH($A$1,'DB Country PMI'!$A$1:$W$1,),))</f>
        <v>54.9</v>
      </c>
      <c r="C91" s="14">
        <f>Table13468113456[[#This Row],[PMI]]-B90</f>
        <v>-1.8000000000000043</v>
      </c>
    </row>
    <row r="92" spans="1:3" x14ac:dyDescent="0.2">
      <c r="A92" s="8">
        <v>41883</v>
      </c>
      <c r="B92" s="11">
        <f>IF(VLOOKUP(A92,'DB Country PMI'!$A:$W,MATCH($A$1,'DB Country PMI'!$A$1:$W$1,),)=0,#N/A,VLOOKUP(A92,'DB Country PMI'!$A:$W,MATCH($A$1,'DB Country PMI'!$A$1:$W$1,),))</f>
        <v>55.7</v>
      </c>
      <c r="C92" s="14">
        <f>Table13468113456[[#This Row],[PMI]]-B91</f>
        <v>0.80000000000000426</v>
      </c>
    </row>
    <row r="93" spans="1:3" x14ac:dyDescent="0.2">
      <c r="A93" s="8">
        <v>41913</v>
      </c>
      <c r="B93" s="11">
        <f>IF(VLOOKUP(A93,'DB Country PMI'!$A:$W,MATCH($A$1,'DB Country PMI'!$A$1:$W$1,),)=0,#N/A,VLOOKUP(A93,'DB Country PMI'!$A:$W,MATCH($A$1,'DB Country PMI'!$A$1:$W$1,),))</f>
        <v>54.4</v>
      </c>
      <c r="C93" s="14">
        <f>Table13468113456[[#This Row],[PMI]]-B92</f>
        <v>-1.3000000000000043</v>
      </c>
    </row>
    <row r="94" spans="1:3" x14ac:dyDescent="0.2">
      <c r="A94" s="8">
        <v>41944</v>
      </c>
      <c r="B94" s="11">
        <f>IF(VLOOKUP(A94,'DB Country PMI'!$A:$W,MATCH($A$1,'DB Country PMI'!$A$1:$W$1,),)=0,#N/A,VLOOKUP(A94,'DB Country PMI'!$A:$W,MATCH($A$1,'DB Country PMI'!$A$1:$W$1,),))</f>
        <v>52.1</v>
      </c>
      <c r="C94" s="14">
        <f>Table13468113456[[#This Row],[PMI]]-B93</f>
        <v>-2.2999999999999972</v>
      </c>
    </row>
    <row r="95" spans="1:3" x14ac:dyDescent="0.2">
      <c r="A95" s="8">
        <v>41974</v>
      </c>
      <c r="B95" s="11">
        <f>IF(VLOOKUP(A95,'DB Country PMI'!$A:$W,MATCH($A$1,'DB Country PMI'!$A$1:$W$1,),)=0,#N/A,VLOOKUP(A95,'DB Country PMI'!$A:$W,MATCH($A$1,'DB Country PMI'!$A$1:$W$1,),))</f>
        <v>52.1</v>
      </c>
      <c r="C95" s="14">
        <f>Table13468113456[[#This Row],[PMI]]-B94</f>
        <v>0</v>
      </c>
    </row>
    <row r="96" spans="1:3" x14ac:dyDescent="0.2">
      <c r="A96" s="8">
        <v>42005</v>
      </c>
      <c r="B96" s="11">
        <f>IF(VLOOKUP(A96,'DB Country PMI'!$A:$W,MATCH($A$1,'DB Country PMI'!$A$1:$W$1,),)=0,#N/A,VLOOKUP(A96,'DB Country PMI'!$A:$W,MATCH($A$1,'DB Country PMI'!$A$1:$W$1,),))</f>
        <v>54</v>
      </c>
      <c r="C96" s="14">
        <f>Table13468113456[[#This Row],[PMI]]-B95</f>
        <v>1.8999999999999986</v>
      </c>
    </row>
    <row r="97" spans="1:3" x14ac:dyDescent="0.2">
      <c r="A97" s="8">
        <v>42036</v>
      </c>
      <c r="B97" s="11">
        <f>IF(VLOOKUP(A97,'DB Country PMI'!$A:$W,MATCH($A$1,'DB Country PMI'!$A$1:$W$1,),)=0,#N/A,VLOOKUP(A97,'DB Country PMI'!$A:$W,MATCH($A$1,'DB Country PMI'!$A$1:$W$1,),))</f>
        <v>54.7</v>
      </c>
      <c r="C97" s="14">
        <f>Table13468113456[[#This Row],[PMI]]-B96</f>
        <v>0.70000000000000284</v>
      </c>
    </row>
    <row r="98" spans="1:3" x14ac:dyDescent="0.2">
      <c r="A98" s="8">
        <v>42064</v>
      </c>
      <c r="B98" s="11">
        <f>IF(VLOOKUP(A98,'DB Country PMI'!$A:$W,MATCH($A$1,'DB Country PMI'!$A$1:$W$1,),)=0,#N/A,VLOOKUP(A98,'DB Country PMI'!$A:$W,MATCH($A$1,'DB Country PMI'!$A$1:$W$1,),))</f>
        <v>55.4</v>
      </c>
      <c r="C98" s="14">
        <f>Table13468113456[[#This Row],[PMI]]-B97</f>
        <v>0.69999999999999574</v>
      </c>
    </row>
    <row r="99" spans="1:3" x14ac:dyDescent="0.2">
      <c r="A99" s="8">
        <v>42095</v>
      </c>
      <c r="B99" s="11">
        <f>IF(VLOOKUP(A99,'DB Country PMI'!$A:$W,MATCH($A$1,'DB Country PMI'!$A$1:$W$1,),)=0,#N/A,VLOOKUP(A99,'DB Country PMI'!$A:$W,MATCH($A$1,'DB Country PMI'!$A$1:$W$1,),))</f>
        <v>54</v>
      </c>
      <c r="C99" s="14">
        <f>Table13468113456[[#This Row],[PMI]]-B98</f>
        <v>-1.3999999999999986</v>
      </c>
    </row>
    <row r="100" spans="1:3" x14ac:dyDescent="0.2">
      <c r="A100" s="8">
        <v>42125</v>
      </c>
      <c r="B100" s="11">
        <f>IF(VLOOKUP(A100,'DB Country PMI'!$A:$W,MATCH($A$1,'DB Country PMI'!$A$1:$W$1,),)=0,#N/A,VLOOKUP(A100,'DB Country PMI'!$A:$W,MATCH($A$1,'DB Country PMI'!$A$1:$W$1,),))</f>
        <v>53</v>
      </c>
      <c r="C100" s="14">
        <f>Table13468113456[[#This Row],[PMI]]-B99</f>
        <v>-1</v>
      </c>
    </row>
    <row r="101" spans="1:3" x14ac:dyDescent="0.2">
      <c r="A101" s="8">
        <v>42156</v>
      </c>
      <c r="B101" s="11">
        <f>IF(VLOOKUP(A101,'DB Country PMI'!$A:$W,MATCH($A$1,'DB Country PMI'!$A$1:$W$1,),)=0,#N/A,VLOOKUP(A101,'DB Country PMI'!$A:$W,MATCH($A$1,'DB Country PMI'!$A$1:$W$1,),))</f>
        <v>53.8</v>
      </c>
      <c r="C101" s="14">
        <f>Table13468113456[[#This Row],[PMI]]-B100</f>
        <v>0.79999999999999716</v>
      </c>
    </row>
    <row r="102" spans="1:3" x14ac:dyDescent="0.2">
      <c r="A102" s="8">
        <v>42186</v>
      </c>
      <c r="B102" s="11">
        <f>IF(VLOOKUP(A102,'DB Country PMI'!$A:$W,MATCH($A$1,'DB Country PMI'!$A$1:$W$1,),)=0,#N/A,VLOOKUP(A102,'DB Country PMI'!$A:$W,MATCH($A$1,'DB Country PMI'!$A$1:$W$1,),))</f>
        <v>53.8</v>
      </c>
      <c r="C102" s="14">
        <f>Table13468113456[[#This Row],[PMI]]-B101</f>
        <v>0</v>
      </c>
    </row>
    <row r="103" spans="1:3" x14ac:dyDescent="0.2">
      <c r="A103" s="8">
        <v>42217</v>
      </c>
      <c r="B103" s="11">
        <f>IF(VLOOKUP(A103,'DB Country PMI'!$A:$W,MATCH($A$1,'DB Country PMI'!$A$1:$W$1,),)=0,#N/A,VLOOKUP(A103,'DB Country PMI'!$A:$W,MATCH($A$1,'DB Country PMI'!$A$1:$W$1,),))</f>
        <v>54.9</v>
      </c>
      <c r="C103" s="14">
        <f>Table13468113456[[#This Row],[PMI]]-B102</f>
        <v>1.1000000000000014</v>
      </c>
    </row>
    <row r="104" spans="1:3" x14ac:dyDescent="0.2">
      <c r="A104" s="8">
        <v>42248</v>
      </c>
      <c r="B104" s="11">
        <f>IF(VLOOKUP(A104,'DB Country PMI'!$A:$W,MATCH($A$1,'DB Country PMI'!$A$1:$W$1,),)=0,#N/A,VLOOKUP(A104,'DB Country PMI'!$A:$W,MATCH($A$1,'DB Country PMI'!$A$1:$W$1,),))</f>
        <v>54.1</v>
      </c>
      <c r="C104" s="14">
        <f>Table13468113456[[#This Row],[PMI]]-B103</f>
        <v>-0.79999999999999716</v>
      </c>
    </row>
    <row r="105" spans="1:3" x14ac:dyDescent="0.2">
      <c r="A105" s="8">
        <v>42278</v>
      </c>
      <c r="B105" s="11">
        <f>IF(VLOOKUP(A105,'DB Country PMI'!$A:$W,MATCH($A$1,'DB Country PMI'!$A$1:$W$1,),)=0,#N/A,VLOOKUP(A105,'DB Country PMI'!$A:$W,MATCH($A$1,'DB Country PMI'!$A$1:$W$1,),))</f>
        <v>54.5</v>
      </c>
      <c r="C105" s="14">
        <f>Table13468113456[[#This Row],[PMI]]-B104</f>
        <v>0.39999999999999858</v>
      </c>
    </row>
    <row r="106" spans="1:3" x14ac:dyDescent="0.2">
      <c r="A106" s="8">
        <v>42309</v>
      </c>
      <c r="B106" s="11">
        <f>IF(VLOOKUP(A106,'DB Country PMI'!$A:$W,MATCH($A$1,'DB Country PMI'!$A$1:$W$1,),)=0,#N/A,VLOOKUP(A106,'DB Country PMI'!$A:$W,MATCH($A$1,'DB Country PMI'!$A$1:$W$1,),))</f>
        <v>55.6</v>
      </c>
      <c r="C106" s="14">
        <f>Table13468113456[[#This Row],[PMI]]-B105</f>
        <v>1.1000000000000014</v>
      </c>
    </row>
    <row r="107" spans="1:3" x14ac:dyDescent="0.2">
      <c r="A107" s="8">
        <v>42339</v>
      </c>
      <c r="B107" s="11">
        <f>IF(VLOOKUP(A107,'DB Country PMI'!$A:$W,MATCH($A$1,'DB Country PMI'!$A$1:$W$1,),)=0,#N/A,VLOOKUP(A107,'DB Country PMI'!$A:$W,MATCH($A$1,'DB Country PMI'!$A$1:$W$1,),))</f>
        <v>56</v>
      </c>
      <c r="C107" s="14">
        <f>Table13468113456[[#This Row],[PMI]]-B106</f>
        <v>0.39999999999999858</v>
      </c>
    </row>
    <row r="108" spans="1:3" x14ac:dyDescent="0.2">
      <c r="A108" s="8">
        <v>42370</v>
      </c>
      <c r="B108" s="11">
        <f>IF(VLOOKUP(A108,'DB Country PMI'!$A:$W,MATCH($A$1,'DB Country PMI'!$A$1:$W$1,),)=0,#N/A,VLOOKUP(A108,'DB Country PMI'!$A:$W,MATCH($A$1,'DB Country PMI'!$A$1:$W$1,),))</f>
        <v>55</v>
      </c>
      <c r="C108" s="14">
        <f>Table13468113456[[#This Row],[PMI]]-B107</f>
        <v>-1</v>
      </c>
    </row>
    <row r="109" spans="1:3" x14ac:dyDescent="0.2">
      <c r="A109" s="8">
        <v>42401</v>
      </c>
      <c r="B109" s="11">
        <f>IF(VLOOKUP(A109,'DB Country PMI'!$A:$W,MATCH($A$1,'DB Country PMI'!$A$1:$W$1,),)=0,#N/A,VLOOKUP(A109,'DB Country PMI'!$A:$W,MATCH($A$1,'DB Country PMI'!$A$1:$W$1,),))</f>
        <v>55.3</v>
      </c>
      <c r="C109" s="14">
        <f>Table13468113456[[#This Row],[PMI]]-B108</f>
        <v>0.29999999999999716</v>
      </c>
    </row>
    <row r="110" spans="1:3" x14ac:dyDescent="0.2">
      <c r="A110" s="8">
        <v>42430</v>
      </c>
      <c r="B110" s="11">
        <f>IF(VLOOKUP(A110,'DB Country PMI'!$A:$W,MATCH($A$1,'DB Country PMI'!$A$1:$W$1,),)=0,#N/A,VLOOKUP(A110,'DB Country PMI'!$A:$W,MATCH($A$1,'DB Country PMI'!$A$1:$W$1,),))</f>
        <v>55.1</v>
      </c>
      <c r="C110" s="14">
        <f>Table13468113456[[#This Row],[PMI]]-B109</f>
        <v>-0.19999999999999574</v>
      </c>
    </row>
    <row r="111" spans="1:3" x14ac:dyDescent="0.2">
      <c r="A111" s="8">
        <v>42461</v>
      </c>
      <c r="B111" s="11">
        <f>IF(VLOOKUP(A111,'DB Country PMI'!$A:$W,MATCH($A$1,'DB Country PMI'!$A$1:$W$1,),)=0,#N/A,VLOOKUP(A111,'DB Country PMI'!$A:$W,MATCH($A$1,'DB Country PMI'!$A$1:$W$1,),))</f>
        <v>54.5</v>
      </c>
      <c r="C111" s="14">
        <f>Table13468113456[[#This Row],[PMI]]-B110</f>
        <v>-0.60000000000000142</v>
      </c>
    </row>
    <row r="112" spans="1:3" x14ac:dyDescent="0.2">
      <c r="A112" s="8">
        <v>42491</v>
      </c>
      <c r="B112" s="11">
        <f>IF(VLOOKUP(A112,'DB Country PMI'!$A:$W,MATCH($A$1,'DB Country PMI'!$A$1:$W$1,),)=0,#N/A,VLOOKUP(A112,'DB Country PMI'!$A:$W,MATCH($A$1,'DB Country PMI'!$A$1:$W$1,),))</f>
        <v>55.2</v>
      </c>
      <c r="C112" s="14">
        <f>Table13468113456[[#This Row],[PMI]]-B111</f>
        <v>0.70000000000000284</v>
      </c>
    </row>
    <row r="113" spans="1:3" x14ac:dyDescent="0.2">
      <c r="A113" s="8">
        <v>42522</v>
      </c>
      <c r="B113" s="11">
        <f>IF(VLOOKUP(A113,'DB Country PMI'!$A:$W,MATCH($A$1,'DB Country PMI'!$A$1:$W$1,),)=0,#N/A,VLOOKUP(A113,'DB Country PMI'!$A:$W,MATCH($A$1,'DB Country PMI'!$A$1:$W$1,),))</f>
        <v>53.7</v>
      </c>
      <c r="C113" s="14">
        <f>Table13468113456[[#This Row],[PMI]]-B112</f>
        <v>-1.5</v>
      </c>
    </row>
    <row r="114" spans="1:3" x14ac:dyDescent="0.2">
      <c r="A114" s="8">
        <v>42552</v>
      </c>
      <c r="B114" s="11">
        <f>IF(VLOOKUP(A114,'DB Country PMI'!$A:$W,MATCH($A$1,'DB Country PMI'!$A$1:$W$1,),)=0,#N/A,VLOOKUP(A114,'DB Country PMI'!$A:$W,MATCH($A$1,'DB Country PMI'!$A$1:$W$1,),))</f>
        <v>54.4</v>
      </c>
      <c r="C114" s="14">
        <f>Table13468113456[[#This Row],[PMI]]-B113</f>
        <v>0.69999999999999574</v>
      </c>
    </row>
    <row r="115" spans="1:3" x14ac:dyDescent="0.2">
      <c r="A115" s="8">
        <v>42583</v>
      </c>
      <c r="B115" s="11">
        <f>IF(VLOOKUP(A115,'DB Country PMI'!$A:$W,MATCH($A$1,'DB Country PMI'!$A$1:$W$1,),)=0,#N/A,VLOOKUP(A115,'DB Country PMI'!$A:$W,MATCH($A$1,'DB Country PMI'!$A$1:$W$1,),))</f>
        <v>51.7</v>
      </c>
      <c r="C115" s="14">
        <f>Table13468113456[[#This Row],[PMI]]-B114</f>
        <v>-2.6999999999999957</v>
      </c>
    </row>
    <row r="116" spans="1:3" x14ac:dyDescent="0.2">
      <c r="A116" s="8">
        <v>42614</v>
      </c>
      <c r="B116" s="11">
        <f>IF(VLOOKUP(A116,'DB Country PMI'!$A:$W,MATCH($A$1,'DB Country PMI'!$A$1:$W$1,),)=0,#N/A,VLOOKUP(A116,'DB Country PMI'!$A:$W,MATCH($A$1,'DB Country PMI'!$A$1:$W$1,),))</f>
        <v>50.9</v>
      </c>
      <c r="C116" s="14">
        <f>Table13468113456[[#This Row],[PMI]]-B115</f>
        <v>-0.80000000000000426</v>
      </c>
    </row>
    <row r="117" spans="1:3" x14ac:dyDescent="0.2">
      <c r="A117" s="8">
        <v>42644</v>
      </c>
      <c r="B117" s="11">
        <f>IF(VLOOKUP(A117,'DB Country PMI'!$A:$W,MATCH($A$1,'DB Country PMI'!$A$1:$W$1,),)=0,#N/A,VLOOKUP(A117,'DB Country PMI'!$A:$W,MATCH($A$1,'DB Country PMI'!$A$1:$W$1,),))</f>
        <v>54.2</v>
      </c>
      <c r="C117" s="14">
        <f>Table13468113456[[#This Row],[PMI]]-B116</f>
        <v>3.3000000000000043</v>
      </c>
    </row>
    <row r="118" spans="1:3" x14ac:dyDescent="0.2">
      <c r="A118" s="8">
        <v>42675</v>
      </c>
      <c r="B118" s="11">
        <f>IF(VLOOKUP(A118,'DB Country PMI'!$A:$W,MATCH($A$1,'DB Country PMI'!$A$1:$W$1,),)=0,#N/A,VLOOKUP(A118,'DB Country PMI'!$A:$W,MATCH($A$1,'DB Country PMI'!$A$1:$W$1,),))</f>
        <v>55.1</v>
      </c>
      <c r="C118" s="14">
        <f>Table13468113456[[#This Row],[PMI]]-B117</f>
        <v>0.89999999999999858</v>
      </c>
    </row>
    <row r="119" spans="1:3" x14ac:dyDescent="0.2">
      <c r="A119" s="8">
        <v>42705</v>
      </c>
      <c r="B119" s="11">
        <f>IF(VLOOKUP(A119,'DB Country PMI'!$A:$W,MATCH($A$1,'DB Country PMI'!$A$1:$W$1,),)=0,#N/A,VLOOKUP(A119,'DB Country PMI'!$A:$W,MATCH($A$1,'DB Country PMI'!$A$1:$W$1,),))</f>
        <v>54.3</v>
      </c>
      <c r="C119" s="14">
        <f>Table13468113456[[#This Row],[PMI]]-B118</f>
        <v>-0.80000000000000426</v>
      </c>
    </row>
    <row r="120" spans="1:3" x14ac:dyDescent="0.2">
      <c r="A120" s="8">
        <v>42736</v>
      </c>
      <c r="B120" s="11">
        <f>IF(VLOOKUP(A120,'DB Country PMI'!$A:$W,MATCH($A$1,'DB Country PMI'!$A$1:$W$1,),)=0,#N/A,VLOOKUP(A120,'DB Country PMI'!$A:$W,MATCH($A$1,'DB Country PMI'!$A$1:$W$1,),))</f>
        <v>53.4</v>
      </c>
      <c r="C120" s="14">
        <f>Table13468113456[[#This Row],[PMI]]-B119</f>
        <v>-0.89999999999999858</v>
      </c>
    </row>
    <row r="121" spans="1:3" x14ac:dyDescent="0.2">
      <c r="A121" s="8">
        <v>42767</v>
      </c>
      <c r="B121" s="11">
        <f>IF(VLOOKUP(A121,'DB Country PMI'!$A:$W,MATCH($A$1,'DB Country PMI'!$A$1:$W$1,),)=0,#N/A,VLOOKUP(A121,'DB Country PMI'!$A:$W,MATCH($A$1,'DB Country PMI'!$A$1:$W$1,),))</f>
        <v>54.4</v>
      </c>
      <c r="C121" s="14">
        <f>Table13468113456[[#This Row],[PMI]]-B120</f>
        <v>1</v>
      </c>
    </row>
    <row r="122" spans="1:3" x14ac:dyDescent="0.2">
      <c r="A122" s="8">
        <v>42795</v>
      </c>
      <c r="B122" s="11">
        <f>IF(VLOOKUP(A122,'DB Country PMI'!$A:$W,MATCH($A$1,'DB Country PMI'!$A$1:$W$1,),)=0,#N/A,VLOOKUP(A122,'DB Country PMI'!$A:$W,MATCH($A$1,'DB Country PMI'!$A$1:$W$1,),))</f>
        <v>55.6</v>
      </c>
      <c r="C122" s="14">
        <f>Table13468113456[[#This Row],[PMI]]-B121</f>
        <v>1.2000000000000028</v>
      </c>
    </row>
    <row r="123" spans="1:3" x14ac:dyDescent="0.2">
      <c r="A123" s="8">
        <v>42826</v>
      </c>
      <c r="B123" s="11">
        <f>IF(VLOOKUP(A123,'DB Country PMI'!$A:$W,MATCH($A$1,'DB Country PMI'!$A$1:$W$1,),)=0,#N/A,VLOOKUP(A123,'DB Country PMI'!$A:$W,MATCH($A$1,'DB Country PMI'!$A$1:$W$1,),))</f>
        <v>55.4</v>
      </c>
      <c r="C123" s="14">
        <f>Table13468113456[[#This Row],[PMI]]-B122</f>
        <v>-0.20000000000000284</v>
      </c>
    </row>
    <row r="124" spans="1:3" x14ac:dyDescent="0.2">
      <c r="A124" s="8">
        <v>42856</v>
      </c>
      <c r="B124" s="11">
        <f>IF(VLOOKUP(A124,'DB Country PMI'!$A:$W,MATCH($A$1,'DB Country PMI'!$A$1:$W$1,),)=0,#N/A,VLOOKUP(A124,'DB Country PMI'!$A:$W,MATCH($A$1,'DB Country PMI'!$A$1:$W$1,),))</f>
        <v>55.4</v>
      </c>
      <c r="C124" s="14">
        <f>Table13468113456[[#This Row],[PMI]]-B123</f>
        <v>0</v>
      </c>
    </row>
    <row r="125" spans="1:3" x14ac:dyDescent="0.2">
      <c r="A125" s="8">
        <v>42887</v>
      </c>
      <c r="B125" s="11">
        <f>IF(VLOOKUP(A125,'DB Country PMI'!$A:$W,MATCH($A$1,'DB Country PMI'!$A$1:$W$1,),)=0,#N/A,VLOOKUP(A125,'DB Country PMI'!$A:$W,MATCH($A$1,'DB Country PMI'!$A$1:$W$1,),))</f>
        <v>54</v>
      </c>
      <c r="C125" s="14">
        <f>Table13468113456[[#This Row],[PMI]]-B124</f>
        <v>-1.3999999999999986</v>
      </c>
    </row>
    <row r="126" spans="1:3" x14ac:dyDescent="0.2">
      <c r="A126" s="8">
        <v>42917</v>
      </c>
      <c r="B126" s="11">
        <f>IF(VLOOKUP(A126,'DB Country PMI'!$A:$W,MATCH($A$1,'DB Country PMI'!$A$1:$W$1,),)=0,#N/A,VLOOKUP(A126,'DB Country PMI'!$A:$W,MATCH($A$1,'DB Country PMI'!$A$1:$W$1,),))</f>
        <v>53.1</v>
      </c>
      <c r="C126" s="14">
        <f>Table13468113456[[#This Row],[PMI]]-B125</f>
        <v>-0.89999999999999858</v>
      </c>
    </row>
    <row r="127" spans="1:3" x14ac:dyDescent="0.2">
      <c r="A127" s="8">
        <v>42948</v>
      </c>
      <c r="B127" s="11">
        <f>IF(VLOOKUP(A127,'DB Country PMI'!$A:$W,MATCH($A$1,'DB Country PMI'!$A$1:$W$1,),)=0,#N/A,VLOOKUP(A127,'DB Country PMI'!$A:$W,MATCH($A$1,'DB Country PMI'!$A$1:$W$1,),))</f>
        <v>53.5</v>
      </c>
      <c r="C127" s="14">
        <f>Table13468113456[[#This Row],[PMI]]-B126</f>
        <v>0.39999999999999858</v>
      </c>
    </row>
    <row r="128" spans="1:3" x14ac:dyDescent="0.2">
      <c r="A128" s="8">
        <v>42979</v>
      </c>
      <c r="B128" s="11">
        <f>IF(VLOOKUP(A128,'DB Country PMI'!$A:$W,MATCH($A$1,'DB Country PMI'!$A$1:$W$1,),)=0,#N/A,VLOOKUP(A128,'DB Country PMI'!$A:$W,MATCH($A$1,'DB Country PMI'!$A$1:$W$1,),))</f>
        <v>55.6</v>
      </c>
      <c r="C128" s="14">
        <f>Table13468113456[[#This Row],[PMI]]-B127</f>
        <v>2.1000000000000014</v>
      </c>
    </row>
    <row r="129" spans="1:3" x14ac:dyDescent="0.2">
      <c r="A129" s="8">
        <v>43009</v>
      </c>
      <c r="B129" s="11">
        <f>IF(VLOOKUP(A129,'DB Country PMI'!$A:$W,MATCH($A$1,'DB Country PMI'!$A$1:$W$1,),)=0,#N/A,VLOOKUP(A129,'DB Country PMI'!$A:$W,MATCH($A$1,'DB Country PMI'!$A$1:$W$1,),))</f>
        <v>54.7</v>
      </c>
      <c r="C129" s="14">
        <f>Table13468113456[[#This Row],[PMI]]-B128</f>
        <v>-0.89999999999999858</v>
      </c>
    </row>
    <row r="130" spans="1:3" x14ac:dyDescent="0.2">
      <c r="A130" s="8">
        <v>43040</v>
      </c>
      <c r="B130" s="11">
        <f>IF(VLOOKUP(A130,'DB Country PMI'!$A:$W,MATCH($A$1,'DB Country PMI'!$A$1:$W$1,),)=0,#N/A,VLOOKUP(A130,'DB Country PMI'!$A:$W,MATCH($A$1,'DB Country PMI'!$A$1:$W$1,),))</f>
        <v>54.3</v>
      </c>
      <c r="C130" s="14">
        <f>Table13468113456[[#This Row],[PMI]]-B129</f>
        <v>-0.40000000000000568</v>
      </c>
    </row>
    <row r="131" spans="1:3" x14ac:dyDescent="0.2">
      <c r="A131" s="8">
        <v>43070</v>
      </c>
      <c r="B131" s="11">
        <f>IF(VLOOKUP(A131,'DB Country PMI'!$A:$W,MATCH($A$1,'DB Country PMI'!$A$1:$W$1,),)=0,#N/A,VLOOKUP(A131,'DB Country PMI'!$A:$W,MATCH($A$1,'DB Country PMI'!$A$1:$W$1,),))</f>
        <v>55.8</v>
      </c>
      <c r="C131" s="14">
        <f>Table13468113456[[#This Row],[PMI]]-B130</f>
        <v>1.5</v>
      </c>
    </row>
    <row r="132" spans="1:3" x14ac:dyDescent="0.2">
      <c r="A132" s="8">
        <v>43101</v>
      </c>
      <c r="B132" s="11">
        <f>IF(VLOOKUP(A132,'DB Country PMI'!$A:$W,MATCH($A$1,'DB Country PMI'!$A$1:$W$1,),)=0,#N/A,VLOOKUP(A132,'DB Country PMI'!$A:$W,MATCH($A$1,'DB Country PMI'!$A$1:$W$1,),))</f>
        <v>57.3</v>
      </c>
      <c r="C132" s="14">
        <f>Table13468113456[[#This Row],[PMI]]-B131</f>
        <v>1.5</v>
      </c>
    </row>
    <row r="133" spans="1:3" x14ac:dyDescent="0.2">
      <c r="A133" s="8">
        <v>43132</v>
      </c>
      <c r="B133" s="11">
        <f>IF(VLOOKUP(A133,'DB Country PMI'!$A:$W,MATCH($A$1,'DB Country PMI'!$A$1:$W$1,),)=0,#N/A,VLOOKUP(A133,'DB Country PMI'!$A:$W,MATCH($A$1,'DB Country PMI'!$A$1:$W$1,),))</f>
        <v>55.3</v>
      </c>
      <c r="C133" s="14">
        <f>Table13468113456[[#This Row],[PMI]]-B132</f>
        <v>-2</v>
      </c>
    </row>
    <row r="134" spans="1:3" x14ac:dyDescent="0.2">
      <c r="A134" s="8">
        <v>43160</v>
      </c>
      <c r="B134" s="11">
        <f>IF(VLOOKUP(A134,'DB Country PMI'!$A:$W,MATCH($A$1,'DB Country PMI'!$A$1:$W$1,),)=0,#N/A,VLOOKUP(A134,'DB Country PMI'!$A:$W,MATCH($A$1,'DB Country PMI'!$A$1:$W$1,),))</f>
        <v>53.9</v>
      </c>
      <c r="C134" s="14">
        <f>Table13468113456[[#This Row],[PMI]]-B133</f>
        <v>-1.3999999999999986</v>
      </c>
    </row>
    <row r="135" spans="1:3" x14ac:dyDescent="0.2">
      <c r="A135" s="8">
        <v>43191</v>
      </c>
      <c r="B135" s="11">
        <f>IF(VLOOKUP(A135,'DB Country PMI'!$A:$W,MATCH($A$1,'DB Country PMI'!$A$1:$W$1,),)=0,#N/A,VLOOKUP(A135,'DB Country PMI'!$A:$W,MATCH($A$1,'DB Country PMI'!$A$1:$W$1,),))</f>
        <v>53</v>
      </c>
      <c r="C135" s="14">
        <f>Table13468113456[[#This Row],[PMI]]-B134</f>
        <v>-0.89999999999999858</v>
      </c>
    </row>
    <row r="136" spans="1:3" x14ac:dyDescent="0.2">
      <c r="A136" s="8">
        <v>43221</v>
      </c>
      <c r="B136" s="11">
        <f>IF(VLOOKUP(A136,'DB Country PMI'!$A:$W,MATCH($A$1,'DB Country PMI'!$A$1:$W$1,),)=0,#N/A,VLOOKUP(A136,'DB Country PMI'!$A:$W,MATCH($A$1,'DB Country PMI'!$A$1:$W$1,),))</f>
        <v>52.1</v>
      </c>
      <c r="C136" s="14">
        <f>Table13468113456[[#This Row],[PMI]]-B135</f>
        <v>-0.89999999999999858</v>
      </c>
    </row>
    <row r="137" spans="1:3" x14ac:dyDescent="0.2">
      <c r="A137" s="8">
        <v>43252</v>
      </c>
      <c r="B137" s="11">
        <f>IF(VLOOKUP(A137,'DB Country PMI'!$A:$W,MATCH($A$1,'DB Country PMI'!$A$1:$W$1,),)=0,#N/A,VLOOKUP(A137,'DB Country PMI'!$A:$W,MATCH($A$1,'DB Country PMI'!$A$1:$W$1,),))</f>
        <v>54.5</v>
      </c>
      <c r="C137" s="14">
        <f>Table13468113456[[#This Row],[PMI]]-B136</f>
        <v>2.3999999999999986</v>
      </c>
    </row>
    <row r="138" spans="1:3" x14ac:dyDescent="0.2">
      <c r="A138" s="8">
        <v>43282</v>
      </c>
      <c r="B138" s="11">
        <f>IF(VLOOKUP(A138,'DB Country PMI'!$A:$W,MATCH($A$1,'DB Country PMI'!$A$1:$W$1,),)=0,#N/A,VLOOKUP(A138,'DB Country PMI'!$A:$W,MATCH($A$1,'DB Country PMI'!$A$1:$W$1,),))</f>
        <v>54.1</v>
      </c>
      <c r="C138" s="14">
        <f>Table13468113456[[#This Row],[PMI]]-B137</f>
        <v>-0.39999999999999858</v>
      </c>
    </row>
    <row r="139" spans="1:3" x14ac:dyDescent="0.2">
      <c r="A139" s="8">
        <v>43313</v>
      </c>
      <c r="B139" s="11">
        <f>IF(VLOOKUP(A139,'DB Country PMI'!$A:$W,MATCH($A$1,'DB Country PMI'!$A$1:$W$1,),)=0,#N/A,VLOOKUP(A139,'DB Country PMI'!$A:$W,MATCH($A$1,'DB Country PMI'!$A$1:$W$1,),))</f>
        <v>55</v>
      </c>
      <c r="C139" s="14">
        <f>Table13468113456[[#This Row],[PMI]]-B138</f>
        <v>0.89999999999999858</v>
      </c>
    </row>
    <row r="140" spans="1:3" x14ac:dyDescent="0.2">
      <c r="A140" s="8">
        <v>43344</v>
      </c>
      <c r="B140" s="11">
        <f>IF(VLOOKUP(A140,'DB Country PMI'!$A:$W,MATCH($A$1,'DB Country PMI'!$A$1:$W$1,),)=0,#N/A,VLOOKUP(A140,'DB Country PMI'!$A:$W,MATCH($A$1,'DB Country PMI'!$A$1:$W$1,),))</f>
        <v>55.9</v>
      </c>
      <c r="C140" s="14">
        <f>Table13468113456[[#This Row],[PMI]]-B139</f>
        <v>0.89999999999999858</v>
      </c>
    </row>
    <row r="141" spans="1:3" x14ac:dyDescent="0.2">
      <c r="A141" s="8">
        <v>43374</v>
      </c>
      <c r="B141" s="11">
        <f>IF(VLOOKUP(A141,'DB Country PMI'!$A:$W,MATCH($A$1,'DB Country PMI'!$A$1:$W$1,),)=0,#N/A,VLOOKUP(A141,'DB Country PMI'!$A:$W,MATCH($A$1,'DB Country PMI'!$A$1:$W$1,),))</f>
        <v>54.7</v>
      </c>
      <c r="C141" s="14">
        <f>Table13468113456[[#This Row],[PMI]]-B140</f>
        <v>-1.1999999999999957</v>
      </c>
    </row>
    <row r="142" spans="1:3" x14ac:dyDescent="0.2">
      <c r="A142" s="8">
        <v>43405</v>
      </c>
      <c r="B142" s="11">
        <f>IF(VLOOKUP(A142,'DB Country PMI'!$A:$W,MATCH($A$1,'DB Country PMI'!$A$1:$W$1,),)=0,#N/A,VLOOKUP(A142,'DB Country PMI'!$A:$W,MATCH($A$1,'DB Country PMI'!$A$1:$W$1,),))</f>
        <v>53.3</v>
      </c>
      <c r="C142" s="14">
        <f>Table13468113456[[#This Row],[PMI]]-B141</f>
        <v>-1.4000000000000057</v>
      </c>
    </row>
    <row r="143" spans="1:3" x14ac:dyDescent="0.2">
      <c r="A143" s="8">
        <v>43435</v>
      </c>
      <c r="B143" s="11">
        <f>IF(VLOOKUP(A143,'DB Country PMI'!$A:$W,MATCH($A$1,'DB Country PMI'!$A$1:$W$1,),)=0,#N/A,VLOOKUP(A143,'DB Country PMI'!$A:$W,MATCH($A$1,'DB Country PMI'!$A$1:$W$1,),))</f>
        <v>51.8</v>
      </c>
      <c r="C143" s="14">
        <f>Table13468113456[[#This Row],[PMI]]-B142</f>
        <v>-1.5</v>
      </c>
    </row>
    <row r="144" spans="1:3" x14ac:dyDescent="0.2">
      <c r="A144" s="8">
        <v>43466</v>
      </c>
      <c r="B144" s="11">
        <f>IF(VLOOKUP(A144,'DB Country PMI'!$A:$W,MATCH($A$1,'DB Country PMI'!$A$1:$W$1,),)=0,#N/A,VLOOKUP(A144,'DB Country PMI'!$A:$W,MATCH($A$1,'DB Country PMI'!$A$1:$W$1,),))</f>
        <v>53</v>
      </c>
      <c r="C144" s="14">
        <f>Table13468113456[[#This Row],[PMI]]-B143</f>
        <v>1.2000000000000028</v>
      </c>
    </row>
    <row r="145" spans="1:3" x14ac:dyDescent="0.2">
      <c r="A145" s="8">
        <v>43497</v>
      </c>
      <c r="B145" s="11">
        <f>IF(VLOOKUP(A145,'DB Country PMI'!$A:$W,MATCH($A$1,'DB Country PMI'!$A$1:$W$1,),)=0,#N/A,VLOOKUP(A145,'DB Country PMI'!$A:$W,MATCH($A$1,'DB Country PMI'!$A$1:$W$1,),))</f>
        <v>55.3</v>
      </c>
      <c r="C145" s="14">
        <f>Table13468113456[[#This Row],[PMI]]-B144</f>
        <v>2.2999999999999972</v>
      </c>
    </row>
    <row r="146" spans="1:3" x14ac:dyDescent="0.2">
      <c r="A146" s="8">
        <v>43525</v>
      </c>
      <c r="B146" s="11">
        <f>IF(VLOOKUP(A146,'DB Country PMI'!$A:$W,MATCH($A$1,'DB Country PMI'!$A$1:$W$1,),)=0,#N/A,VLOOKUP(A146,'DB Country PMI'!$A:$W,MATCH($A$1,'DB Country PMI'!$A$1:$W$1,),))</f>
        <v>55.4</v>
      </c>
      <c r="C146" s="14">
        <f>Table13468113456[[#This Row],[PMI]]-B145</f>
        <v>0.10000000000000142</v>
      </c>
    </row>
    <row r="147" spans="1:3" x14ac:dyDescent="0.2">
      <c r="A147" s="8">
        <v>43556</v>
      </c>
      <c r="B147" s="11">
        <f>IF(VLOOKUP(A147,'DB Country PMI'!$A:$W,MATCH($A$1,'DB Country PMI'!$A$1:$W$1,),)=0,#N/A,VLOOKUP(A147,'DB Country PMI'!$A:$W,MATCH($A$1,'DB Country PMI'!$A$1:$W$1,),))</f>
        <v>55.7</v>
      </c>
      <c r="C147" s="14">
        <f>Table13468113456[[#This Row],[PMI]]-B146</f>
        <v>0.30000000000000426</v>
      </c>
    </row>
    <row r="148" spans="1:3" x14ac:dyDescent="0.2">
      <c r="A148" s="8">
        <v>43586</v>
      </c>
      <c r="B148" s="11">
        <f>IF(VLOOKUP(A148,'DB Country PMI'!$A:$W,MATCH($A$1,'DB Country PMI'!$A$1:$W$1,),)=0,#N/A,VLOOKUP(A148,'DB Country PMI'!$A:$W,MATCH($A$1,'DB Country PMI'!$A$1:$W$1,),))</f>
        <v>55.4</v>
      </c>
      <c r="C148" s="14">
        <f>Table13468113456[[#This Row],[PMI]]-B147</f>
        <v>-0.30000000000000426</v>
      </c>
    </row>
    <row r="149" spans="1:3" x14ac:dyDescent="0.2">
      <c r="A149" s="8">
        <v>43617</v>
      </c>
      <c r="B149" s="11">
        <f>IF(VLOOKUP(A149,'DB Country PMI'!$A:$W,MATCH($A$1,'DB Country PMI'!$A$1:$W$1,),)=0,#N/A,VLOOKUP(A149,'DB Country PMI'!$A:$W,MATCH($A$1,'DB Country PMI'!$A$1:$W$1,),))</f>
        <v>55.8</v>
      </c>
      <c r="C149" s="14">
        <f>Table13468113456[[#This Row],[PMI]]-B148</f>
        <v>0.39999999999999858</v>
      </c>
    </row>
    <row r="150" spans="1:3" x14ac:dyDescent="0.2">
      <c r="A150" s="8">
        <v>43647</v>
      </c>
      <c r="B150" s="11">
        <f>IF(VLOOKUP(A150,'DB Country PMI'!$A:$W,MATCH($A$1,'DB Country PMI'!$A$1:$W$1,),)=0,#N/A,VLOOKUP(A150,'DB Country PMI'!$A:$W,MATCH($A$1,'DB Country PMI'!$A$1:$W$1,),))</f>
        <v>54.5</v>
      </c>
      <c r="C150" s="14">
        <f>Table13468113456[[#This Row],[PMI]]-B149</f>
        <v>-1.2999999999999972</v>
      </c>
    </row>
    <row r="151" spans="1:3" x14ac:dyDescent="0.2">
      <c r="A151" s="8">
        <v>43678</v>
      </c>
      <c r="B151" s="11">
        <f>IF(VLOOKUP(A151,'DB Country PMI'!$A:$W,MATCH($A$1,'DB Country PMI'!$A$1:$W$1,),)=0,#N/A,VLOOKUP(A151,'DB Country PMI'!$A:$W,MATCH($A$1,'DB Country PMI'!$A$1:$W$1,),))</f>
        <v>54.8</v>
      </c>
      <c r="C151" s="14">
        <f>Table13468113456[[#This Row],[PMI]]-B150</f>
        <v>0.29999999999999716</v>
      </c>
    </row>
    <row r="152" spans="1:3" x14ac:dyDescent="0.2">
      <c r="A152" s="8">
        <v>43709</v>
      </c>
      <c r="B152" s="11">
        <f>IF(VLOOKUP(A152,'DB Country PMI'!$A:$W,MATCH($A$1,'DB Country PMI'!$A$1:$W$1,),)=0,#N/A,VLOOKUP(A152,'DB Country PMI'!$A:$W,MATCH($A$1,'DB Country PMI'!$A$1:$W$1,),))</f>
        <v>51.4</v>
      </c>
      <c r="C152" s="14">
        <f>Table13468113456[[#This Row],[PMI]]-B151</f>
        <v>-3.3999999999999986</v>
      </c>
    </row>
    <row r="153" spans="1:3" x14ac:dyDescent="0.2">
      <c r="A153" s="8">
        <v>43739</v>
      </c>
      <c r="B153" s="11">
        <f>IF(VLOOKUP(A153,'DB Country PMI'!$A:$W,MATCH($A$1,'DB Country PMI'!$A$1:$W$1,),)=0,#N/A,VLOOKUP(A153,'DB Country PMI'!$A:$W,MATCH($A$1,'DB Country PMI'!$A$1:$W$1,),))</f>
        <v>51.6</v>
      </c>
      <c r="C153" s="14">
        <f>Table13468113456[[#This Row],[PMI]]-B152</f>
        <v>0.20000000000000284</v>
      </c>
    </row>
    <row r="154" spans="1:3" x14ac:dyDescent="0.2">
      <c r="A154" s="8">
        <v>43770</v>
      </c>
      <c r="B154" s="11">
        <f>IF(VLOOKUP(A154,'DB Country PMI'!$A:$W,MATCH($A$1,'DB Country PMI'!$A$1:$W$1,),)=0,#N/A,VLOOKUP(A154,'DB Country PMI'!$A:$W,MATCH($A$1,'DB Country PMI'!$A$1:$W$1,),))</f>
        <v>51.7</v>
      </c>
      <c r="C154" s="14">
        <f>Table13468113456[[#This Row],[PMI]]-B153</f>
        <v>0.10000000000000142</v>
      </c>
    </row>
    <row r="155" spans="1:3" x14ac:dyDescent="0.2">
      <c r="A155" s="8">
        <v>43800</v>
      </c>
      <c r="B155" s="11">
        <f>IF(VLOOKUP(A155,'DB Country PMI'!$A:$W,MATCH($A$1,'DB Country PMI'!$A$1:$W$1,),)=0,#N/A,VLOOKUP(A155,'DB Country PMI'!$A:$W,MATCH($A$1,'DB Country PMI'!$A$1:$W$1,),))</f>
        <v>52.9</v>
      </c>
      <c r="C155" s="14">
        <f>Table13468113456[[#This Row],[PMI]]-B154</f>
        <v>1.1999999999999957</v>
      </c>
    </row>
    <row r="156" spans="1:3" x14ac:dyDescent="0.2">
      <c r="A156" s="8">
        <v>43831</v>
      </c>
      <c r="B156" s="11">
        <f>IF(VLOOKUP(A156,'DB Country PMI'!$A:$W,MATCH($A$1,'DB Country PMI'!$A$1:$W$1,),)=0,#N/A,VLOOKUP(A156,'DB Country PMI'!$A:$W,MATCH($A$1,'DB Country PMI'!$A$1:$W$1,),))</f>
        <v>54.2</v>
      </c>
      <c r="C156" s="14">
        <f>Table13468113456[[#This Row],[PMI]]-B155</f>
        <v>1.3000000000000043</v>
      </c>
    </row>
    <row r="157" spans="1:3" x14ac:dyDescent="0.2">
      <c r="A157" s="8">
        <v>43862</v>
      </c>
      <c r="B157" s="11">
        <f>IF(VLOOKUP(A157,'DB Country PMI'!$A:$W,MATCH($A$1,'DB Country PMI'!$A$1:$W$1,),)=0,#N/A,VLOOKUP(A157,'DB Country PMI'!$A:$W,MATCH($A$1,'DB Country PMI'!$A$1:$W$1,),))</f>
        <v>52.5</v>
      </c>
      <c r="C157" s="14">
        <f>Table13468113456[[#This Row],[PMI]]-B156</f>
        <v>-1.7000000000000028</v>
      </c>
    </row>
    <row r="158" spans="1:3" x14ac:dyDescent="0.2">
      <c r="A158" s="8">
        <v>43891</v>
      </c>
      <c r="B158" s="11">
        <f>IF(VLOOKUP(A158,'DB Country PMI'!$A:$W,MATCH($A$1,'DB Country PMI'!$A$1:$W$1,),)=0,#N/A,VLOOKUP(A158,'DB Country PMI'!$A:$W,MATCH($A$1,'DB Country PMI'!$A$1:$W$1,),))</f>
        <v>31.7</v>
      </c>
      <c r="C158" s="14">
        <f>Table13468113456[[#This Row],[PMI]]-B157</f>
        <v>-20.8</v>
      </c>
    </row>
    <row r="159" spans="1:3" x14ac:dyDescent="0.2">
      <c r="A159" s="8">
        <v>43922</v>
      </c>
      <c r="B159" s="11">
        <f>IF(VLOOKUP(A159,'DB Country PMI'!$A:$W,MATCH($A$1,'DB Country PMI'!$A$1:$W$1,),)=0,#N/A,VLOOKUP(A159,'DB Country PMI'!$A:$W,MATCH($A$1,'DB Country PMI'!$A$1:$W$1,),))</f>
        <v>16.2</v>
      </c>
      <c r="C159" s="14">
        <f>Table13468113456[[#This Row],[PMI]]-B158</f>
        <v>-15.5</v>
      </c>
    </row>
    <row r="160" spans="1:3" x14ac:dyDescent="0.2">
      <c r="A160" s="8">
        <v>43952</v>
      </c>
      <c r="B160" s="11">
        <f>IF(VLOOKUP(A160,'DB Country PMI'!$A:$W,MATCH($A$1,'DB Country PMI'!$A$1:$W$1,),)=0,#N/A,VLOOKUP(A160,'DB Country PMI'!$A:$W,MATCH($A$1,'DB Country PMI'!$A$1:$W$1,),))</f>
        <v>32.6</v>
      </c>
      <c r="C160" s="14">
        <f>Table13468113456[[#This Row],[PMI]]-B159</f>
        <v>16.400000000000002</v>
      </c>
    </row>
    <row r="161" spans="1:3" x14ac:dyDescent="0.2">
      <c r="A161" s="8">
        <v>43983</v>
      </c>
      <c r="B161" s="11">
        <f>IF(VLOOKUP(A161,'DB Country PMI'!$A:$W,MATCH($A$1,'DB Country PMI'!$A$1:$W$1,),)=0,#N/A,VLOOKUP(A161,'DB Country PMI'!$A:$W,MATCH($A$1,'DB Country PMI'!$A$1:$W$1,),))</f>
        <v>47.3</v>
      </c>
      <c r="C161" s="14">
        <f>Table13468113456[[#This Row],[PMI]]-B160</f>
        <v>14.699999999999996</v>
      </c>
    </row>
    <row r="162" spans="1:3" x14ac:dyDescent="0.2">
      <c r="A162" s="8">
        <v>44013</v>
      </c>
      <c r="B162" s="11">
        <f>IF(VLOOKUP(A162,'DB Country PMI'!$A:$W,MATCH($A$1,'DB Country PMI'!$A$1:$W$1,),)=0,#N/A,VLOOKUP(A162,'DB Country PMI'!$A:$W,MATCH($A$1,'DB Country PMI'!$A$1:$W$1,),))</f>
        <v>55.6</v>
      </c>
      <c r="C162" s="14">
        <f>Table13468113456[[#This Row],[PMI]]-B161</f>
        <v>8.3000000000000043</v>
      </c>
    </row>
    <row r="163" spans="1:3" x14ac:dyDescent="0.2">
      <c r="A163" s="8">
        <v>44044</v>
      </c>
      <c r="B163" s="11">
        <f>IF(VLOOKUP(A163,'DB Country PMI'!$A:$W,MATCH($A$1,'DB Country PMI'!$A$1:$W$1,),)=0,#N/A,VLOOKUP(A163,'DB Country PMI'!$A:$W,MATCH($A$1,'DB Country PMI'!$A$1:$W$1,),))</f>
        <v>52.5</v>
      </c>
      <c r="C163" s="14">
        <f>Table13468113456[[#This Row],[PMI]]-B162</f>
        <v>-3.1000000000000014</v>
      </c>
    </row>
    <row r="164" spans="1:3" x14ac:dyDescent="0.2">
      <c r="A164" s="8">
        <v>44075</v>
      </c>
      <c r="B164" s="11">
        <f>IF(VLOOKUP(A164,'DB Country PMI'!$A:$W,MATCH($A$1,'DB Country PMI'!$A$1:$W$1,),)=0,#N/A,VLOOKUP(A164,'DB Country PMI'!$A:$W,MATCH($A$1,'DB Country PMI'!$A$1:$W$1,),))</f>
        <v>50.6</v>
      </c>
      <c r="C164" s="14">
        <f>Table13468113456[[#This Row],[PMI]]-B163</f>
        <v>-1.8999999999999986</v>
      </c>
    </row>
    <row r="165" spans="1:3" x14ac:dyDescent="0.2">
      <c r="A165" s="8">
        <v>44105</v>
      </c>
      <c r="B165" s="11">
        <f>IF(VLOOKUP(A165,'DB Country PMI'!$A:$W,MATCH($A$1,'DB Country PMI'!$A$1:$W$1,),)=0,#N/A,VLOOKUP(A165,'DB Country PMI'!$A:$W,MATCH($A$1,'DB Country PMI'!$A$1:$W$1,),))</f>
        <v>49.5</v>
      </c>
      <c r="C165" s="14">
        <f>Table13468113456[[#This Row],[PMI]]-B164</f>
        <v>-1.1000000000000014</v>
      </c>
    </row>
    <row r="166" spans="1:3" x14ac:dyDescent="0.2">
      <c r="A166" s="8">
        <v>44136</v>
      </c>
      <c r="B166" s="11">
        <f>IF(VLOOKUP(A166,'DB Country PMI'!$A:$W,MATCH($A$1,'DB Country PMI'!$A$1:$W$1,),)=0,#N/A,VLOOKUP(A166,'DB Country PMI'!$A:$W,MATCH($A$1,'DB Country PMI'!$A$1:$W$1,),))</f>
        <v>46</v>
      </c>
      <c r="C166" s="14">
        <f>Table13468113456[[#This Row],[PMI]]-B165</f>
        <v>-3.5</v>
      </c>
    </row>
    <row r="167" spans="1:3" x14ac:dyDescent="0.2">
      <c r="A167" s="8">
        <v>44166</v>
      </c>
      <c r="B167" s="11">
        <f>IF(VLOOKUP(A167,'DB Country PMI'!$A:$W,MATCH($A$1,'DB Country PMI'!$A$1:$W$1,),)=0,#N/A,VLOOKUP(A167,'DB Country PMI'!$A:$W,MATCH($A$1,'DB Country PMI'!$A$1:$W$1,),))</f>
        <v>47</v>
      </c>
      <c r="C167" s="14">
        <f>Table13468113456[[#This Row],[PMI]]-B166</f>
        <v>1</v>
      </c>
    </row>
    <row r="168" spans="1:3" x14ac:dyDescent="0.2">
      <c r="A168" s="8">
        <v>44197</v>
      </c>
      <c r="B168" s="11">
        <f>IF(VLOOKUP(A168,'DB Country PMI'!$A:$W,MATCH($A$1,'DB Country PMI'!$A$1:$W$1,),)=0,#N/A,VLOOKUP(A168,'DB Country PMI'!$A:$W,MATCH($A$1,'DB Country PMI'!$A$1:$W$1,),))</f>
        <v>46.7</v>
      </c>
      <c r="C168" s="14">
        <f>Table13468113456[[#This Row],[PMI]]-B167</f>
        <v>-0.29999999999999716</v>
      </c>
    </row>
    <row r="169" spans="1:3" x14ac:dyDescent="0.2">
      <c r="A169" s="8">
        <v>44228</v>
      </c>
      <c r="B169" s="11">
        <f>IF(VLOOKUP(A169,'DB Country PMI'!$A:$W,MATCH($A$1,'DB Country PMI'!$A$1:$W$1,),)=0,#N/A,VLOOKUP(A169,'DB Country PMI'!$A:$W,MATCH($A$1,'DB Country PMI'!$A$1:$W$1,),))</f>
        <v>45.7</v>
      </c>
      <c r="C169" s="14">
        <f>Table13468113456[[#This Row],[PMI]]-B168</f>
        <v>-1</v>
      </c>
    </row>
    <row r="170" spans="1:3" x14ac:dyDescent="0.2">
      <c r="A170" s="8">
        <v>44256</v>
      </c>
      <c r="B170" s="11">
        <f>IF(VLOOKUP(A170,'DB Country PMI'!$A:$W,MATCH($A$1,'DB Country PMI'!$A$1:$W$1,),)=0,#N/A,VLOOKUP(A170,'DB Country PMI'!$A:$W,MATCH($A$1,'DB Country PMI'!$A$1:$W$1,),))</f>
        <v>51.5</v>
      </c>
      <c r="C170" s="14">
        <f>Table13468113456[[#This Row],[PMI]]-B169</f>
        <v>5.7999999999999972</v>
      </c>
    </row>
    <row r="171" spans="1:3" x14ac:dyDescent="0.2">
      <c r="A171" s="8">
        <v>44287</v>
      </c>
      <c r="B171" s="11">
        <f>IF(VLOOKUP(A171,'DB Country PMI'!$A:$W,MATCH($A$1,'DB Country PMI'!$A$1:$W$1,),)=0,#N/A,VLOOKUP(A171,'DB Country PMI'!$A:$W,MATCH($A$1,'DB Country PMI'!$A$1:$W$1,),))</f>
        <v>49.9</v>
      </c>
      <c r="C171" s="14">
        <f>Table13468113456[[#This Row],[PMI]]-B170</f>
        <v>-1.6000000000000014</v>
      </c>
    </row>
    <row r="172" spans="1:3" x14ac:dyDescent="0.2">
      <c r="A172" s="8">
        <v>44317</v>
      </c>
      <c r="B172" s="11">
        <f>IF(VLOOKUP(A172,'DB Country PMI'!$A:$W,MATCH($A$1,'DB Country PMI'!$A$1:$W$1,),)=0,#N/A,VLOOKUP(A172,'DB Country PMI'!$A:$W,MATCH($A$1,'DB Country PMI'!$A$1:$W$1,),))</f>
        <v>52.8</v>
      </c>
      <c r="C172" s="14">
        <f>Table13468113456[[#This Row],[PMI]]-B171</f>
        <v>2.8999999999999986</v>
      </c>
    </row>
    <row r="173" spans="1:3" x14ac:dyDescent="0.2">
      <c r="A173" s="8">
        <v>44348</v>
      </c>
      <c r="B173" s="11">
        <f>IF(VLOOKUP(A173,'DB Country PMI'!$A:$W,MATCH($A$1,'DB Country PMI'!$A$1:$W$1,),)=0,#N/A,VLOOKUP(A173,'DB Country PMI'!$A:$W,MATCH($A$1,'DB Country PMI'!$A$1:$W$1,),))</f>
        <v>57.5</v>
      </c>
      <c r="C173" s="14">
        <f>Table13468113456[[#This Row],[PMI]]-B172</f>
        <v>4.7000000000000028</v>
      </c>
    </row>
    <row r="174" spans="1:3" x14ac:dyDescent="0.2">
      <c r="A174" s="8">
        <v>44378</v>
      </c>
      <c r="B174" s="11">
        <f>IF(VLOOKUP(A174,'DB Country PMI'!$A:$W,MATCH($A$1,'DB Country PMI'!$A$1:$W$1,),)=0,#N/A,VLOOKUP(A174,'DB Country PMI'!$A:$W,MATCH($A$1,'DB Country PMI'!$A$1:$W$1,),))</f>
        <v>61.8</v>
      </c>
      <c r="C174" s="14">
        <f>Table13468113456[[#This Row],[PMI]]-B173</f>
        <v>4.2999999999999972</v>
      </c>
    </row>
    <row r="175" spans="1:3" x14ac:dyDescent="0.2">
      <c r="A175" s="8">
        <v>44409</v>
      </c>
      <c r="B175" s="11">
        <f>IF(VLOOKUP(A175,'DB Country PMI'!$A:$W,MATCH($A$1,'DB Country PMI'!$A$1:$W$1,),)=0,#N/A,VLOOKUP(A175,'DB Country PMI'!$A:$W,MATCH($A$1,'DB Country PMI'!$A$1:$W$1,),))</f>
        <v>60.8</v>
      </c>
      <c r="C175" s="14">
        <f>Table13468113456[[#This Row],[PMI]]-B174</f>
        <v>-1</v>
      </c>
    </row>
    <row r="176" spans="1:3" x14ac:dyDescent="0.2">
      <c r="A176" s="8">
        <v>44440</v>
      </c>
      <c r="B176" s="11">
        <f>IF(VLOOKUP(A176,'DB Country PMI'!$A:$W,MATCH($A$1,'DB Country PMI'!$A$1:$W$1,),)=0,#N/A,VLOOKUP(A176,'DB Country PMI'!$A:$W,MATCH($A$1,'DB Country PMI'!$A$1:$W$1,),))</f>
        <v>56.2</v>
      </c>
      <c r="C176" s="14">
        <f>Table13468113456[[#This Row],[PMI]]-B175</f>
        <v>-4.5999999999999943</v>
      </c>
    </row>
    <row r="177" spans="1:3" x14ac:dyDescent="0.2">
      <c r="A177" s="8">
        <v>44470</v>
      </c>
      <c r="B177" s="11">
        <f>IF(VLOOKUP(A177,'DB Country PMI'!$A:$W,MATCH($A$1,'DB Country PMI'!$A$1:$W$1,),)=0,#N/A,VLOOKUP(A177,'DB Country PMI'!$A:$W,MATCH($A$1,'DB Country PMI'!$A$1:$W$1,),))</f>
        <v>52.4</v>
      </c>
      <c r="C177" s="14">
        <f>Table13468113456[[#This Row],[PMI]]-B176</f>
        <v>-3.8000000000000043</v>
      </c>
    </row>
    <row r="178" spans="1:3" x14ac:dyDescent="0.2">
      <c r="A178" s="8">
        <v>44501</v>
      </c>
      <c r="B178" s="11">
        <f>IF(VLOOKUP(A178,'DB Country PMI'!$A:$W,MATCH($A$1,'DB Country PMI'!$A$1:$W$1,),)=0,#N/A,VLOOKUP(A178,'DB Country PMI'!$A:$W,MATCH($A$1,'DB Country PMI'!$A$1:$W$1,),))</f>
        <v>52.7</v>
      </c>
      <c r="C178" s="14">
        <f>Table13468113456[[#This Row],[PMI]]-B177</f>
        <v>0.30000000000000426</v>
      </c>
    </row>
    <row r="179" spans="1:3" x14ac:dyDescent="0.2">
      <c r="A179" s="8">
        <v>44531</v>
      </c>
      <c r="B179" s="11">
        <f>IF(VLOOKUP(A179,'DB Country PMI'!$A:$W,MATCH($A$1,'DB Country PMI'!$A$1:$W$1,),)=0,#N/A,VLOOKUP(A179,'DB Country PMI'!$A:$W,MATCH($A$1,'DB Country PMI'!$A$1:$W$1,),))</f>
        <v>48.7</v>
      </c>
      <c r="C179" s="14">
        <f>Table13468113456[[#This Row],[PMI]]-B178</f>
        <v>-4</v>
      </c>
    </row>
    <row r="180" spans="1:3" x14ac:dyDescent="0.2">
      <c r="A180" s="8">
        <v>44562</v>
      </c>
      <c r="B180" s="11">
        <f>IF(VLOOKUP(A180,'DB Country PMI'!$A:$W,MATCH($A$1,'DB Country PMI'!$A$1:$W$1,),)=0,#N/A,VLOOKUP(A180,'DB Country PMI'!$A:$W,MATCH($A$1,'DB Country PMI'!$A$1:$W$1,),))</f>
        <v>52.2</v>
      </c>
      <c r="C180" s="14">
        <f>Table13468113456[[#This Row],[PMI]]-B179</f>
        <v>3.5</v>
      </c>
    </row>
    <row r="181" spans="1:3" x14ac:dyDescent="0.2">
      <c r="A181" s="8">
        <v>44593</v>
      </c>
      <c r="B181" s="11">
        <f>IF(VLOOKUP(A181,'DB Country PMI'!$A:$W,MATCH($A$1,'DB Country PMI'!$A$1:$W$1,),)=0,#N/A,VLOOKUP(A181,'DB Country PMI'!$A:$W,MATCH($A$1,'DB Country PMI'!$A$1:$W$1,),))</f>
        <v>56.6</v>
      </c>
      <c r="C181" s="14">
        <f>Table13468113456[[#This Row],[PMI]]-B180</f>
        <v>4.3999999999999986</v>
      </c>
    </row>
    <row r="182" spans="1:3" x14ac:dyDescent="0.2">
      <c r="A182" s="8">
        <v>44621</v>
      </c>
      <c r="B182" s="11">
        <f>IF(VLOOKUP(A182,'DB Country PMI'!$A:$W,MATCH($A$1,'DB Country PMI'!$A$1:$W$1,),)=0,#N/A,VLOOKUP(A182,'DB Country PMI'!$A:$W,MATCH($A$1,'DB Country PMI'!$A$1:$W$1,),))</f>
        <v>55</v>
      </c>
      <c r="C182" s="14">
        <f>Table13468113456[[#This Row],[PMI]]-B181</f>
        <v>-1.6000000000000014</v>
      </c>
    </row>
    <row r="183" spans="1:3" x14ac:dyDescent="0.2">
      <c r="A183" s="8">
        <v>44652</v>
      </c>
      <c r="B183" s="11">
        <f>IF(VLOOKUP(A183,'DB Country PMI'!$A:$W,MATCH($A$1,'DB Country PMI'!$A$1:$W$1,),)=0,#N/A,VLOOKUP(A183,'DB Country PMI'!$A:$W,MATCH($A$1,'DB Country PMI'!$A$1:$W$1,),))</f>
        <v>57.9</v>
      </c>
      <c r="C183" s="14">
        <f>Table13468113456[[#This Row],[PMI]]-B182</f>
        <v>2.8999999999999986</v>
      </c>
    </row>
    <row r="184" spans="1:3" x14ac:dyDescent="0.2">
      <c r="A184" s="8">
        <v>44682</v>
      </c>
      <c r="B184" s="11">
        <f>IF(VLOOKUP(A184,'DB Country PMI'!$A:$W,MATCH($A$1,'DB Country PMI'!$A$1:$W$1,),)=0,#N/A,VLOOKUP(A184,'DB Country PMI'!$A:$W,MATCH($A$1,'DB Country PMI'!$A$1:$W$1,),))</f>
        <v>56.3</v>
      </c>
      <c r="C184" s="14">
        <f>Table13468113456[[#This Row],[PMI]]-B183</f>
        <v>-1.6000000000000014</v>
      </c>
    </row>
    <row r="185" spans="1:3" x14ac:dyDescent="0.2">
      <c r="A185" s="8">
        <v>44713</v>
      </c>
      <c r="B185" s="11">
        <f>IF(VLOOKUP(A185,'DB Country PMI'!$A:$W,MATCH($A$1,'DB Country PMI'!$A$1:$W$1,),)=0,#N/A,VLOOKUP(A185,'DB Country PMI'!$A:$W,MATCH($A$1,'DB Country PMI'!$A$1:$W$1,),))</f>
        <v>52.4</v>
      </c>
      <c r="C185" s="14">
        <f>Table13468113456[[#This Row],[PMI]]-B184</f>
        <v>-3.8999999999999986</v>
      </c>
    </row>
    <row r="186" spans="1:3" x14ac:dyDescent="0.2">
      <c r="A186" s="8">
        <v>44743</v>
      </c>
      <c r="B186" s="11">
        <f>IF(VLOOKUP(A186,'DB Country PMI'!$A:$W,MATCH($A$1,'DB Country PMI'!$A$1:$W$1,),)=0,#N/A,VLOOKUP(A186,'DB Country PMI'!$A:$W,MATCH($A$1,'DB Country PMI'!$A$1:$W$1,),))</f>
        <v>49.7</v>
      </c>
      <c r="C186" s="14">
        <f>Table13468113456[[#This Row],[PMI]]-B185</f>
        <v>-2.6999999999999957</v>
      </c>
    </row>
    <row r="187" spans="1:3" x14ac:dyDescent="0.2">
      <c r="A187" s="8">
        <v>44774</v>
      </c>
      <c r="B187" s="11">
        <f>IF(VLOOKUP(A187,'DB Country PMI'!$A:$W,MATCH($A$1,'DB Country PMI'!$A$1:$W$1,),)=0,#N/A,VLOOKUP(A187,'DB Country PMI'!$A:$W,MATCH($A$1,'DB Country PMI'!$A$1:$W$1,),))</f>
        <v>47.7</v>
      </c>
      <c r="C187" s="14">
        <f>Table13468113456[[#This Row],[PMI]]-B186</f>
        <v>-2</v>
      </c>
    </row>
    <row r="188" spans="1:3" x14ac:dyDescent="0.2">
      <c r="A188" s="8">
        <v>44805</v>
      </c>
      <c r="B188" s="11">
        <f>IF(VLOOKUP(A188,'DB Country PMI'!$A:$W,MATCH($A$1,'DB Country PMI'!$A$1:$W$1,),)=0,#N/A,VLOOKUP(A188,'DB Country PMI'!$A:$W,MATCH($A$1,'DB Country PMI'!$A$1:$W$1,),))</f>
        <v>45</v>
      </c>
      <c r="C188" s="14">
        <f>Table13468113456[[#This Row],[PMI]]-B187</f>
        <v>-2.7000000000000028</v>
      </c>
    </row>
    <row r="189" spans="1:3" x14ac:dyDescent="0.2">
      <c r="A189" s="8">
        <v>44835</v>
      </c>
      <c r="B189" s="11">
        <f>IF(VLOOKUP(A189,'DB Country PMI'!$A:$W,MATCH($A$1,'DB Country PMI'!$A$1:$W$1,),)=0,#N/A,VLOOKUP(A189,'DB Country PMI'!$A:$W,MATCH($A$1,'DB Country PMI'!$A$1:$W$1,),))</f>
        <v>46.5</v>
      </c>
      <c r="C189" s="14">
        <f>Table13468113456[[#This Row],[PMI]]-B188</f>
        <v>1.5</v>
      </c>
    </row>
  </sheetData>
  <conditionalFormatting sqref="C7:C189">
    <cfRule type="colorScale" priority="1">
      <colorScale>
        <cfvo type="min"/>
        <cfvo type="percentile" val="50"/>
        <cfvo type="max"/>
        <color rgb="FFF8696B"/>
        <color rgb="FFFCFCFF"/>
        <color rgb="FF5A8AC6"/>
      </colorScale>
    </cfRule>
  </conditionalFormatting>
  <conditionalFormatting sqref="B6:B189">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J150"/>
  <sheetViews>
    <sheetView zoomScale="150" zoomScaleNormal="150" workbookViewId="0">
      <pane ySplit="5" topLeftCell="A140" activePane="bottomLeft" state="frozen"/>
      <selection pane="bottomLeft" activeCell="A139" sqref="A139:C150"/>
    </sheetView>
  </sheetViews>
  <sheetFormatPr baseColWidth="10" defaultColWidth="9.1640625" defaultRowHeight="15" x14ac:dyDescent="0.2"/>
  <cols>
    <col min="1" max="1" width="13.5" style="49" customWidth="1"/>
    <col min="2" max="2" width="11.33203125" style="49" customWidth="1"/>
    <col min="3" max="11" width="9.1640625" style="49" customWidth="1"/>
    <col min="12" max="16384" width="9.1640625" style="49"/>
  </cols>
  <sheetData>
    <row r="1" spans="1:10" x14ac:dyDescent="0.2">
      <c r="A1" s="49" t="s">
        <v>44</v>
      </c>
      <c r="J1" s="49" t="s">
        <v>62</v>
      </c>
    </row>
    <row r="2" spans="1:10" x14ac:dyDescent="0.2">
      <c r="J2" s="49" t="s">
        <v>68</v>
      </c>
    </row>
    <row r="4" spans="1:10" ht="16" customHeight="1" thickBot="1" x14ac:dyDescent="0.25"/>
    <row r="5" spans="1:10" ht="16" customHeight="1" thickBot="1" x14ac:dyDescent="0.25">
      <c r="A5" s="12" t="s">
        <v>33</v>
      </c>
      <c r="B5" s="13" t="s">
        <v>60</v>
      </c>
      <c r="C5" s="13" t="s">
        <v>61</v>
      </c>
    </row>
    <row r="6" spans="1:10" x14ac:dyDescent="0.2">
      <c r="A6" s="10">
        <v>40452</v>
      </c>
      <c r="B6" s="11">
        <f>IF(VLOOKUP(A6,'DB Country PMI'!$A:$W,MATCH($A$1,'DB Country PMI'!$A$1:$W$1,),)=0,#N/A,VLOOKUP(A6,'DB Country PMI'!$A:$W,MATCH($A$1,'DB Country PMI'!$A$1:$W$1,),))</f>
        <v>53.2</v>
      </c>
      <c r="C6" s="11"/>
    </row>
    <row r="7" spans="1:10" x14ac:dyDescent="0.2">
      <c r="A7" s="8">
        <v>40483</v>
      </c>
      <c r="B7" s="11">
        <f>IF(VLOOKUP(A7,'DB Country PMI'!$A:$W,MATCH($A$1,'DB Country PMI'!$A$1:$W$1,),)=0,#N/A,VLOOKUP(A7,'DB Country PMI'!$A:$W,MATCH($A$1,'DB Country PMI'!$A$1:$W$1,),))</f>
        <v>53</v>
      </c>
      <c r="C7" s="14">
        <f>Table1346811345671012131415[[#This Row],[PMI]]-B6</f>
        <v>-0.20000000000000284</v>
      </c>
    </row>
    <row r="8" spans="1:10" x14ac:dyDescent="0.2">
      <c r="A8" s="8">
        <v>40513</v>
      </c>
      <c r="B8" s="11">
        <f>IF(VLOOKUP(A8,'DB Country PMI'!$A:$W,MATCH($A$1,'DB Country PMI'!$A$1:$W$1,),)=0,#N/A,VLOOKUP(A8,'DB Country PMI'!$A:$W,MATCH($A$1,'DB Country PMI'!$A$1:$W$1,),))</f>
        <v>53.9</v>
      </c>
      <c r="C8" s="14">
        <f>Table1346811345671012131415[[#This Row],[PMI]]-B7</f>
        <v>0.89999999999999858</v>
      </c>
    </row>
    <row r="9" spans="1:10" x14ac:dyDescent="0.2">
      <c r="A9" s="8">
        <v>40544</v>
      </c>
      <c r="B9" s="11">
        <f>IF(VLOOKUP(A9,'DB Country PMI'!$A:$W,MATCH($A$1,'DB Country PMI'!$A$1:$W$1,),)=0,#N/A,VLOOKUP(A9,'DB Country PMI'!$A:$W,MATCH($A$1,'DB Country PMI'!$A$1:$W$1,),))</f>
        <v>54.5</v>
      </c>
      <c r="C9" s="14">
        <f>Table1346811345671012131415[[#This Row],[PMI]]-B8</f>
        <v>0.60000000000000142</v>
      </c>
    </row>
    <row r="10" spans="1:10" x14ac:dyDescent="0.2">
      <c r="A10" s="8">
        <v>40575</v>
      </c>
      <c r="B10" s="11">
        <f>IF(VLOOKUP(A10,'DB Country PMI'!$A:$W,MATCH($A$1,'DB Country PMI'!$A$1:$W$1,),)=0,#N/A,VLOOKUP(A10,'DB Country PMI'!$A:$W,MATCH($A$1,'DB Country PMI'!$A$1:$W$1,),))</f>
        <v>52.6</v>
      </c>
      <c r="C10" s="14">
        <f>Table1346811345671012131415[[#This Row],[PMI]]-B9</f>
        <v>-1.8999999999999986</v>
      </c>
    </row>
    <row r="11" spans="1:10" x14ac:dyDescent="0.2">
      <c r="A11" s="8">
        <v>40603</v>
      </c>
      <c r="B11" s="11">
        <f>IF(VLOOKUP(A11,'DB Country PMI'!$A:$W,MATCH($A$1,'DB Country PMI'!$A$1:$W$1,),)=0,#N/A,VLOOKUP(A11,'DB Country PMI'!$A:$W,MATCH($A$1,'DB Country PMI'!$A$1:$W$1,),))</f>
        <v>57.1</v>
      </c>
      <c r="C11" s="14">
        <f>Table1346811345671012131415[[#This Row],[PMI]]-B10</f>
        <v>4.5</v>
      </c>
    </row>
    <row r="12" spans="1:10" x14ac:dyDescent="0.2">
      <c r="A12" s="8">
        <v>40634</v>
      </c>
      <c r="B12" s="11">
        <f>IF(VLOOKUP(A12,'DB Country PMI'!$A:$W,MATCH($A$1,'DB Country PMI'!$A$1:$W$1,),)=0,#N/A,VLOOKUP(A12,'DB Country PMI'!$A:$W,MATCH($A$1,'DB Country PMI'!$A$1:$W$1,),))</f>
        <v>54.3</v>
      </c>
      <c r="C12" s="14">
        <f>Table1346811345671012131415[[#This Row],[PMI]]-B11</f>
        <v>-2.8000000000000043</v>
      </c>
    </row>
    <row r="13" spans="1:10" x14ac:dyDescent="0.2">
      <c r="A13" s="8">
        <v>40664</v>
      </c>
      <c r="B13" s="11">
        <f>IF(VLOOKUP(A13,'DB Country PMI'!$A:$W,MATCH($A$1,'DB Country PMI'!$A$1:$W$1,),)=0,#N/A,VLOOKUP(A13,'DB Country PMI'!$A:$W,MATCH($A$1,'DB Country PMI'!$A$1:$W$1,),))</f>
        <v>53.8</v>
      </c>
      <c r="C13" s="14">
        <f>Table1346811345671012131415[[#This Row],[PMI]]-B12</f>
        <v>-0.5</v>
      </c>
    </row>
    <row r="14" spans="1:10" x14ac:dyDescent="0.2">
      <c r="A14" s="8">
        <v>40695</v>
      </c>
      <c r="B14" s="11">
        <f>IF(VLOOKUP(A14,'DB Country PMI'!$A:$W,MATCH($A$1,'DB Country PMI'!$A$1:$W$1,),)=0,#N/A,VLOOKUP(A14,'DB Country PMI'!$A:$W,MATCH($A$1,'DB Country PMI'!$A$1:$W$1,),))</f>
        <v>53.9</v>
      </c>
      <c r="C14" s="14">
        <f>Table1346811345671012131415[[#This Row],[PMI]]-B13</f>
        <v>0.10000000000000142</v>
      </c>
    </row>
    <row r="15" spans="1:10" x14ac:dyDescent="0.2">
      <c r="A15" s="8">
        <v>40725</v>
      </c>
      <c r="B15" s="11">
        <f>IF(VLOOKUP(A15,'DB Country PMI'!$A:$W,MATCH($A$1,'DB Country PMI'!$A$1:$W$1,),)=0,#N/A,VLOOKUP(A15,'DB Country PMI'!$A:$W,MATCH($A$1,'DB Country PMI'!$A$1:$W$1,),))</f>
        <v>55.4</v>
      </c>
      <c r="C15" s="14">
        <f>Table1346811345671012131415[[#This Row],[PMI]]-B14</f>
        <v>1.5</v>
      </c>
    </row>
    <row r="16" spans="1:10" x14ac:dyDescent="0.2">
      <c r="A16" s="8">
        <v>40756</v>
      </c>
      <c r="B16" s="11">
        <f>IF(VLOOKUP(A16,'DB Country PMI'!$A:$W,MATCH($A$1,'DB Country PMI'!$A$1:$W$1,),)=0,#N/A,VLOOKUP(A16,'DB Country PMI'!$A:$W,MATCH($A$1,'DB Country PMI'!$A$1:$W$1,),))</f>
        <v>51.1</v>
      </c>
      <c r="C16" s="14">
        <f>Table1346811345671012131415[[#This Row],[PMI]]-B15</f>
        <v>-4.2999999999999972</v>
      </c>
    </row>
    <row r="17" spans="1:3" x14ac:dyDescent="0.2">
      <c r="A17" s="8">
        <v>40787</v>
      </c>
      <c r="B17" s="11">
        <f>IF(VLOOKUP(A17,'DB Country PMI'!$A:$W,MATCH($A$1,'DB Country PMI'!$A$1:$W$1,),)=0,#N/A,VLOOKUP(A17,'DB Country PMI'!$A:$W,MATCH($A$1,'DB Country PMI'!$A$1:$W$1,),))</f>
        <v>52.9</v>
      </c>
      <c r="C17" s="14">
        <f>Table1346811345671012131415[[#This Row],[PMI]]-B16</f>
        <v>1.7999999999999972</v>
      </c>
    </row>
    <row r="18" spans="1:3" x14ac:dyDescent="0.2">
      <c r="A18" s="8">
        <v>40817</v>
      </c>
      <c r="B18" s="11">
        <f>IF(VLOOKUP(A18,'DB Country PMI'!$A:$W,MATCH($A$1,'DB Country PMI'!$A$1:$W$1,),)=0,#N/A,VLOOKUP(A18,'DB Country PMI'!$A:$W,MATCH($A$1,'DB Country PMI'!$A$1:$W$1,),))</f>
        <v>51.3</v>
      </c>
      <c r="C18" s="14">
        <f>Table1346811345671012131415[[#This Row],[PMI]]-B17</f>
        <v>-1.6000000000000014</v>
      </c>
    </row>
    <row r="19" spans="1:3" x14ac:dyDescent="0.2">
      <c r="A19" s="8">
        <v>40848</v>
      </c>
      <c r="B19" s="11">
        <f>IF(VLOOKUP(A19,'DB Country PMI'!$A:$W,MATCH($A$1,'DB Country PMI'!$A$1:$W$1,),)=0,#N/A,VLOOKUP(A19,'DB Country PMI'!$A:$W,MATCH($A$1,'DB Country PMI'!$A$1:$W$1,),))</f>
        <v>52.1</v>
      </c>
      <c r="C19" s="14">
        <f>Table1346811345671012131415[[#This Row],[PMI]]-B18</f>
        <v>0.80000000000000426</v>
      </c>
    </row>
    <row r="20" spans="1:3" x14ac:dyDescent="0.2">
      <c r="A20" s="8">
        <v>40878</v>
      </c>
      <c r="B20" s="11">
        <f>IF(VLOOKUP(A20,'DB Country PMI'!$A:$W,MATCH($A$1,'DB Country PMI'!$A$1:$W$1,),)=0,#N/A,VLOOKUP(A20,'DB Country PMI'!$A:$W,MATCH($A$1,'DB Country PMI'!$A$1:$W$1,),))</f>
        <v>54</v>
      </c>
      <c r="C20" s="14">
        <f>Table1346811345671012131415[[#This Row],[PMI]]-B19</f>
        <v>1.8999999999999986</v>
      </c>
    </row>
    <row r="21" spans="1:3" x14ac:dyDescent="0.2">
      <c r="A21" s="8">
        <v>40909</v>
      </c>
      <c r="B21" s="11">
        <f>IF(VLOOKUP(A21,'DB Country PMI'!$A:$W,MATCH($A$1,'DB Country PMI'!$A$1:$W$1,),)=0,#N/A,VLOOKUP(A21,'DB Country PMI'!$A:$W,MATCH($A$1,'DB Country PMI'!$A$1:$W$1,),))</f>
        <v>56</v>
      </c>
      <c r="C21" s="14">
        <f>Table1346811345671012131415[[#This Row],[PMI]]-B20</f>
        <v>2</v>
      </c>
    </row>
    <row r="22" spans="1:3" x14ac:dyDescent="0.2">
      <c r="A22" s="8">
        <v>40940</v>
      </c>
      <c r="B22" s="11">
        <f>IF(VLOOKUP(A22,'DB Country PMI'!$A:$W,MATCH($A$1,'DB Country PMI'!$A$1:$W$1,),)=0,#N/A,VLOOKUP(A22,'DB Country PMI'!$A:$W,MATCH($A$1,'DB Country PMI'!$A$1:$W$1,),))</f>
        <v>53.8</v>
      </c>
      <c r="C22" s="14">
        <f>Table1346811345671012131415[[#This Row],[PMI]]-B21</f>
        <v>-2.2000000000000028</v>
      </c>
    </row>
    <row r="23" spans="1:3" x14ac:dyDescent="0.2">
      <c r="A23" s="8">
        <v>40969</v>
      </c>
      <c r="B23" s="11">
        <f>IF(VLOOKUP(A23,'DB Country PMI'!$A:$W,MATCH($A$1,'DB Country PMI'!$A$1:$W$1,),)=0,#N/A,VLOOKUP(A23,'DB Country PMI'!$A:$W,MATCH($A$1,'DB Country PMI'!$A$1:$W$1,),))</f>
        <v>55.3</v>
      </c>
      <c r="C23" s="14">
        <f>Table1346811345671012131415[[#This Row],[PMI]]-B22</f>
        <v>1.5</v>
      </c>
    </row>
    <row r="24" spans="1:3" x14ac:dyDescent="0.2">
      <c r="A24" s="8">
        <v>41000</v>
      </c>
      <c r="B24" s="11">
        <f>IF(VLOOKUP(A24,'DB Country PMI'!$A:$W,MATCH($A$1,'DB Country PMI'!$A$1:$W$1,),)=0,#N/A,VLOOKUP(A24,'DB Country PMI'!$A:$W,MATCH($A$1,'DB Country PMI'!$A$1:$W$1,),))</f>
        <v>53.3</v>
      </c>
      <c r="C24" s="14">
        <f>Table1346811345671012131415[[#This Row],[PMI]]-B23</f>
        <v>-2</v>
      </c>
    </row>
    <row r="25" spans="1:3" x14ac:dyDescent="0.2">
      <c r="A25" s="8">
        <v>41030</v>
      </c>
      <c r="B25" s="11">
        <f>IF(VLOOKUP(A25,'DB Country PMI'!$A:$W,MATCH($A$1,'DB Country PMI'!$A$1:$W$1,),)=0,#N/A,VLOOKUP(A25,'DB Country PMI'!$A:$W,MATCH($A$1,'DB Country PMI'!$A$1:$W$1,),))</f>
        <v>53.3</v>
      </c>
      <c r="C25" s="14">
        <f>Table1346811345671012131415[[#This Row],[PMI]]-B24</f>
        <v>0</v>
      </c>
    </row>
    <row r="26" spans="1:3" x14ac:dyDescent="0.2">
      <c r="A26" s="8">
        <v>41061</v>
      </c>
      <c r="B26" s="11">
        <f>IF(VLOOKUP(A26,'DB Country PMI'!$A:$W,MATCH($A$1,'DB Country PMI'!$A$1:$W$1,),)=0,#N/A,VLOOKUP(A26,'DB Country PMI'!$A:$W,MATCH($A$1,'DB Country PMI'!$A$1:$W$1,),))</f>
        <v>51.3</v>
      </c>
      <c r="C26" s="14">
        <f>Table1346811345671012131415[[#This Row],[PMI]]-B25</f>
        <v>-2</v>
      </c>
    </row>
    <row r="27" spans="1:3" x14ac:dyDescent="0.2">
      <c r="A27" s="8">
        <v>41091</v>
      </c>
      <c r="B27" s="11">
        <f>IF(VLOOKUP(A27,'DB Country PMI'!$A:$W,MATCH($A$1,'DB Country PMI'!$A$1:$W$1,),)=0,#N/A,VLOOKUP(A27,'DB Country PMI'!$A:$W,MATCH($A$1,'DB Country PMI'!$A$1:$W$1,),))</f>
        <v>51.3</v>
      </c>
      <c r="C27" s="14">
        <f>Table1346811345671012131415[[#This Row],[PMI]]-B26</f>
        <v>0</v>
      </c>
    </row>
    <row r="28" spans="1:3" x14ac:dyDescent="0.2">
      <c r="A28" s="8">
        <v>41122</v>
      </c>
      <c r="B28" s="11">
        <f>IF(VLOOKUP(A28,'DB Country PMI'!$A:$W,MATCH($A$1,'DB Country PMI'!$A$1:$W$1,),)=0,#N/A,VLOOKUP(A28,'DB Country PMI'!$A:$W,MATCH($A$1,'DB Country PMI'!$A$1:$W$1,),))</f>
        <v>51</v>
      </c>
      <c r="C28" s="14">
        <f>Table1346811345671012131415[[#This Row],[PMI]]-B27</f>
        <v>-0.29999999999999716</v>
      </c>
    </row>
    <row r="29" spans="1:3" x14ac:dyDescent="0.2">
      <c r="A29" s="8">
        <v>41153</v>
      </c>
      <c r="B29" s="11">
        <f>IF(VLOOKUP(A29,'DB Country PMI'!$A:$W,MATCH($A$1,'DB Country PMI'!$A$1:$W$1,),)=0,#N/A,VLOOKUP(A29,'DB Country PMI'!$A:$W,MATCH($A$1,'DB Country PMI'!$A$1:$W$1,),))</f>
        <v>53.7</v>
      </c>
      <c r="C29" s="14">
        <f>Table1346811345671012131415[[#This Row],[PMI]]-B28</f>
        <v>2.7000000000000028</v>
      </c>
    </row>
    <row r="30" spans="1:3" x14ac:dyDescent="0.2">
      <c r="A30" s="8">
        <v>41183</v>
      </c>
      <c r="B30" s="11">
        <f>IF(VLOOKUP(A30,'DB Country PMI'!$A:$W,MATCH($A$1,'DB Country PMI'!$A$1:$W$1,),)=0,#N/A,VLOOKUP(A30,'DB Country PMI'!$A:$W,MATCH($A$1,'DB Country PMI'!$A$1:$W$1,),))</f>
        <v>52.2</v>
      </c>
      <c r="C30" s="14">
        <f>Table1346811345671012131415[[#This Row],[PMI]]-B29</f>
        <v>-1.5</v>
      </c>
    </row>
    <row r="31" spans="1:3" x14ac:dyDescent="0.2">
      <c r="A31" s="8">
        <v>41214</v>
      </c>
      <c r="B31" s="11">
        <f>IF(VLOOKUP(A31,'DB Country PMI'!$A:$W,MATCH($A$1,'DB Country PMI'!$A$1:$W$1,),)=0,#N/A,VLOOKUP(A31,'DB Country PMI'!$A:$W,MATCH($A$1,'DB Country PMI'!$A$1:$W$1,),))</f>
        <v>50.6</v>
      </c>
      <c r="C31" s="14">
        <f>Table1346811345671012131415[[#This Row],[PMI]]-B30</f>
        <v>-1.6000000000000014</v>
      </c>
    </row>
    <row r="32" spans="1:3" x14ac:dyDescent="0.2">
      <c r="A32" s="8">
        <v>41244</v>
      </c>
      <c r="B32" s="11">
        <f>IF(VLOOKUP(A32,'DB Country PMI'!$A:$W,MATCH($A$1,'DB Country PMI'!$A$1:$W$1,),)=0,#N/A,VLOOKUP(A32,'DB Country PMI'!$A:$W,MATCH($A$1,'DB Country PMI'!$A$1:$W$1,),))</f>
        <v>50.2</v>
      </c>
      <c r="C32" s="14">
        <f>Table1346811345671012131415[[#This Row],[PMI]]-B31</f>
        <v>-0.39999999999999858</v>
      </c>
    </row>
    <row r="33" spans="1:3" x14ac:dyDescent="0.2">
      <c r="A33" s="8">
        <v>41275</v>
      </c>
      <c r="B33" s="11">
        <f>IF(VLOOKUP(A33,'DB Country PMI'!$A:$W,MATCH($A$1,'DB Country PMI'!$A$1:$W$1,),)=0,#N/A,VLOOKUP(A33,'DB Country PMI'!$A:$W,MATCH($A$1,'DB Country PMI'!$A$1:$W$1,),))</f>
        <v>51.5</v>
      </c>
      <c r="C33" s="14">
        <f>Table1346811345671012131415[[#This Row],[PMI]]-B32</f>
        <v>1.2999999999999972</v>
      </c>
    </row>
    <row r="34" spans="1:3" x14ac:dyDescent="0.2">
      <c r="A34" s="8">
        <v>41306</v>
      </c>
      <c r="B34" s="11">
        <f>IF(VLOOKUP(A34,'DB Country PMI'!$A:$W,MATCH($A$1,'DB Country PMI'!$A$1:$W$1,),)=0,#N/A,VLOOKUP(A34,'DB Country PMI'!$A:$W,MATCH($A$1,'DB Country PMI'!$A$1:$W$1,),))</f>
        <v>51.8</v>
      </c>
      <c r="C34" s="14">
        <f>Table1346811345671012131415[[#This Row],[PMI]]-B33</f>
        <v>0.29999999999999716</v>
      </c>
    </row>
    <row r="35" spans="1:3" x14ac:dyDescent="0.2">
      <c r="A35" s="8">
        <v>41334</v>
      </c>
      <c r="B35" s="11">
        <f>IF(VLOOKUP(A35,'DB Country PMI'!$A:$W,MATCH($A$1,'DB Country PMI'!$A$1:$W$1,),)=0,#N/A,VLOOKUP(A35,'DB Country PMI'!$A:$W,MATCH($A$1,'DB Country PMI'!$A$1:$W$1,),))</f>
        <v>52.4</v>
      </c>
      <c r="C35" s="14">
        <f>Table1346811345671012131415[[#This Row],[PMI]]-B34</f>
        <v>0.60000000000000142</v>
      </c>
    </row>
    <row r="36" spans="1:3" x14ac:dyDescent="0.2">
      <c r="A36" s="8">
        <v>41365</v>
      </c>
      <c r="B36" s="11">
        <f>IF(VLOOKUP(A36,'DB Country PMI'!$A:$W,MATCH($A$1,'DB Country PMI'!$A$1:$W$1,),)=0,#N/A,VLOOKUP(A36,'DB Country PMI'!$A:$W,MATCH($A$1,'DB Country PMI'!$A$1:$W$1,),))</f>
        <v>52.9</v>
      </c>
      <c r="C36" s="14">
        <f>Table1346811345671012131415[[#This Row],[PMI]]-B35</f>
        <v>0.5</v>
      </c>
    </row>
    <row r="37" spans="1:3" x14ac:dyDescent="0.2">
      <c r="A37" s="8">
        <v>41395</v>
      </c>
      <c r="B37" s="11">
        <f>IF(VLOOKUP(A37,'DB Country PMI'!$A:$W,MATCH($A$1,'DB Country PMI'!$A$1:$W$1,),)=0,#N/A,VLOOKUP(A37,'DB Country PMI'!$A:$W,MATCH($A$1,'DB Country PMI'!$A$1:$W$1,),))</f>
        <v>54.9</v>
      </c>
      <c r="C37" s="14">
        <f>Table1346811345671012131415[[#This Row],[PMI]]-B36</f>
        <v>2</v>
      </c>
    </row>
    <row r="38" spans="1:3" x14ac:dyDescent="0.2">
      <c r="A38" s="8">
        <v>41426</v>
      </c>
      <c r="B38" s="11">
        <f>IF(VLOOKUP(A38,'DB Country PMI'!$A:$W,MATCH($A$1,'DB Country PMI'!$A$1:$W$1,),)=0,#N/A,VLOOKUP(A38,'DB Country PMI'!$A:$W,MATCH($A$1,'DB Country PMI'!$A$1:$W$1,),))</f>
        <v>56.9</v>
      </c>
      <c r="C38" s="14">
        <f>Table1346811345671012131415[[#This Row],[PMI]]-B37</f>
        <v>2</v>
      </c>
    </row>
    <row r="39" spans="1:3" x14ac:dyDescent="0.2">
      <c r="A39" s="8">
        <v>41456</v>
      </c>
      <c r="B39" s="11">
        <f>IF(VLOOKUP(A39,'DB Country PMI'!$A:$W,MATCH($A$1,'DB Country PMI'!$A$1:$W$1,),)=0,#N/A,VLOOKUP(A39,'DB Country PMI'!$A:$W,MATCH($A$1,'DB Country PMI'!$A$1:$W$1,),))</f>
        <v>60.2</v>
      </c>
      <c r="C39" s="14">
        <f>Table1346811345671012131415[[#This Row],[PMI]]-B38</f>
        <v>3.3000000000000043</v>
      </c>
    </row>
    <row r="40" spans="1:3" x14ac:dyDescent="0.2">
      <c r="A40" s="8">
        <v>41487</v>
      </c>
      <c r="B40" s="11">
        <f>IF(VLOOKUP(A40,'DB Country PMI'!$A:$W,MATCH($A$1,'DB Country PMI'!$A$1:$W$1,),)=0,#N/A,VLOOKUP(A40,'DB Country PMI'!$A:$W,MATCH($A$1,'DB Country PMI'!$A$1:$W$1,),))</f>
        <v>60.5</v>
      </c>
      <c r="C40" s="14">
        <f>Table1346811345671012131415[[#This Row],[PMI]]-B39</f>
        <v>0.29999999999999716</v>
      </c>
    </row>
    <row r="41" spans="1:3" x14ac:dyDescent="0.2">
      <c r="A41" s="8">
        <v>41518</v>
      </c>
      <c r="B41" s="11">
        <f>IF(VLOOKUP(A41,'DB Country PMI'!$A:$W,MATCH($A$1,'DB Country PMI'!$A$1:$W$1,),)=0,#N/A,VLOOKUP(A41,'DB Country PMI'!$A:$W,MATCH($A$1,'DB Country PMI'!$A$1:$W$1,),))</f>
        <v>60.3</v>
      </c>
      <c r="C41" s="14">
        <f>Table1346811345671012131415[[#This Row],[PMI]]-B40</f>
        <v>-0.20000000000000284</v>
      </c>
    </row>
    <row r="42" spans="1:3" x14ac:dyDescent="0.2">
      <c r="A42" s="8">
        <v>41548</v>
      </c>
      <c r="B42" s="11">
        <f>IF(VLOOKUP(A42,'DB Country PMI'!$A:$W,MATCH($A$1,'DB Country PMI'!$A$1:$W$1,),)=0,#N/A,VLOOKUP(A42,'DB Country PMI'!$A:$W,MATCH($A$1,'DB Country PMI'!$A$1:$W$1,),))</f>
        <v>62.5</v>
      </c>
      <c r="C42" s="14">
        <f>Table1346811345671012131415[[#This Row],[PMI]]-B41</f>
        <v>2.2000000000000028</v>
      </c>
    </row>
    <row r="43" spans="1:3" x14ac:dyDescent="0.2">
      <c r="A43" s="8">
        <v>41579</v>
      </c>
      <c r="B43" s="11">
        <f>IF(VLOOKUP(A43,'DB Country PMI'!$A:$W,MATCH($A$1,'DB Country PMI'!$A$1:$W$1,),)=0,#N/A,VLOOKUP(A43,'DB Country PMI'!$A:$W,MATCH($A$1,'DB Country PMI'!$A$1:$W$1,),))</f>
        <v>60</v>
      </c>
      <c r="C43" s="14">
        <f>Table1346811345671012131415[[#This Row],[PMI]]-B42</f>
        <v>-2.5</v>
      </c>
    </row>
    <row r="44" spans="1:3" x14ac:dyDescent="0.2">
      <c r="A44" s="8">
        <v>41609</v>
      </c>
      <c r="B44" s="11">
        <f>IF(VLOOKUP(A44,'DB Country PMI'!$A:$W,MATCH($A$1,'DB Country PMI'!$A$1:$W$1,),)=0,#N/A,VLOOKUP(A44,'DB Country PMI'!$A:$W,MATCH($A$1,'DB Country PMI'!$A$1:$W$1,),))</f>
        <v>58.8</v>
      </c>
      <c r="C44" s="14">
        <f>Table1346811345671012131415[[#This Row],[PMI]]-B43</f>
        <v>-1.2000000000000028</v>
      </c>
    </row>
    <row r="45" spans="1:3" x14ac:dyDescent="0.2">
      <c r="A45" s="8">
        <v>41640</v>
      </c>
      <c r="B45" s="11">
        <f>IF(VLOOKUP(A45,'DB Country PMI'!$A:$W,MATCH($A$1,'DB Country PMI'!$A$1:$W$1,),)=0,#N/A,VLOOKUP(A45,'DB Country PMI'!$A:$W,MATCH($A$1,'DB Country PMI'!$A$1:$W$1,),))</f>
        <v>58.3</v>
      </c>
      <c r="C45" s="14">
        <f>Table1346811345671012131415[[#This Row],[PMI]]-B44</f>
        <v>-0.5</v>
      </c>
    </row>
    <row r="46" spans="1:3" x14ac:dyDescent="0.2">
      <c r="A46" s="8">
        <v>41671</v>
      </c>
      <c r="B46" s="11">
        <f>IF(VLOOKUP(A46,'DB Country PMI'!$A:$W,MATCH($A$1,'DB Country PMI'!$A$1:$W$1,),)=0,#N/A,VLOOKUP(A46,'DB Country PMI'!$A:$W,MATCH($A$1,'DB Country PMI'!$A$1:$W$1,),))</f>
        <v>58.2</v>
      </c>
      <c r="C46" s="14">
        <f>Table1346811345671012131415[[#This Row],[PMI]]-B45</f>
        <v>-9.9999999999994316E-2</v>
      </c>
    </row>
    <row r="47" spans="1:3" x14ac:dyDescent="0.2">
      <c r="A47" s="8">
        <v>41699</v>
      </c>
      <c r="B47" s="11">
        <f>IF(VLOOKUP(A47,'DB Country PMI'!$A:$W,MATCH($A$1,'DB Country PMI'!$A$1:$W$1,),)=0,#N/A,VLOOKUP(A47,'DB Country PMI'!$A:$W,MATCH($A$1,'DB Country PMI'!$A$1:$W$1,),))</f>
        <v>57.6</v>
      </c>
      <c r="C47" s="14">
        <f>Table1346811345671012131415[[#This Row],[PMI]]-B46</f>
        <v>-0.60000000000000142</v>
      </c>
    </row>
    <row r="48" spans="1:3" x14ac:dyDescent="0.2">
      <c r="A48" s="8">
        <v>41730</v>
      </c>
      <c r="B48" s="11">
        <f>IF(VLOOKUP(A48,'DB Country PMI'!$A:$W,MATCH($A$1,'DB Country PMI'!$A$1:$W$1,),)=0,#N/A,VLOOKUP(A48,'DB Country PMI'!$A:$W,MATCH($A$1,'DB Country PMI'!$A$1:$W$1,),))</f>
        <v>58.7</v>
      </c>
      <c r="C48" s="14">
        <f>Table1346811345671012131415[[#This Row],[PMI]]-B47</f>
        <v>1.1000000000000014</v>
      </c>
    </row>
    <row r="49" spans="1:3" x14ac:dyDescent="0.2">
      <c r="A49" s="8">
        <v>41760</v>
      </c>
      <c r="B49" s="11">
        <f>IF(VLOOKUP(A49,'DB Country PMI'!$A:$W,MATCH($A$1,'DB Country PMI'!$A$1:$W$1,),)=0,#N/A,VLOOKUP(A49,'DB Country PMI'!$A:$W,MATCH($A$1,'DB Country PMI'!$A$1:$W$1,),))</f>
        <v>58.6</v>
      </c>
      <c r="C49" s="14">
        <f>Table1346811345671012131415[[#This Row],[PMI]]-B48</f>
        <v>-0.10000000000000142</v>
      </c>
    </row>
    <row r="50" spans="1:3" x14ac:dyDescent="0.2">
      <c r="A50" s="8">
        <v>41791</v>
      </c>
      <c r="B50" s="11">
        <f>IF(VLOOKUP(A50,'DB Country PMI'!$A:$W,MATCH($A$1,'DB Country PMI'!$A$1:$W$1,),)=0,#N/A,VLOOKUP(A50,'DB Country PMI'!$A:$W,MATCH($A$1,'DB Country PMI'!$A$1:$W$1,),))</f>
        <v>57.7</v>
      </c>
      <c r="C50" s="14">
        <f>Table1346811345671012131415[[#This Row],[PMI]]-B49</f>
        <v>-0.89999999999999858</v>
      </c>
    </row>
    <row r="51" spans="1:3" x14ac:dyDescent="0.2">
      <c r="A51" s="8">
        <v>41821</v>
      </c>
      <c r="B51" s="11">
        <f>IF(VLOOKUP(A51,'DB Country PMI'!$A:$W,MATCH($A$1,'DB Country PMI'!$A$1:$W$1,),)=0,#N/A,VLOOKUP(A51,'DB Country PMI'!$A:$W,MATCH($A$1,'DB Country PMI'!$A$1:$W$1,),))</f>
        <v>59.1</v>
      </c>
      <c r="C51" s="14">
        <f>Table1346811345671012131415[[#This Row],[PMI]]-B50</f>
        <v>1.3999999999999986</v>
      </c>
    </row>
    <row r="52" spans="1:3" x14ac:dyDescent="0.2">
      <c r="A52" s="8">
        <v>41852</v>
      </c>
      <c r="B52" s="11">
        <f>IF(VLOOKUP(A52,'DB Country PMI'!$A:$W,MATCH($A$1,'DB Country PMI'!$A$1:$W$1,),)=0,#N/A,VLOOKUP(A52,'DB Country PMI'!$A:$W,MATCH($A$1,'DB Country PMI'!$A$1:$W$1,),))</f>
        <v>60.5</v>
      </c>
      <c r="C52" s="14">
        <f>Table1346811345671012131415[[#This Row],[PMI]]-B51</f>
        <v>1.3999999999999986</v>
      </c>
    </row>
    <row r="53" spans="1:3" x14ac:dyDescent="0.2">
      <c r="A53" s="8">
        <v>41883</v>
      </c>
      <c r="B53" s="11">
        <f>IF(VLOOKUP(A53,'DB Country PMI'!$A:$W,MATCH($A$1,'DB Country PMI'!$A$1:$W$1,),)=0,#N/A,VLOOKUP(A53,'DB Country PMI'!$A:$W,MATCH($A$1,'DB Country PMI'!$A$1:$W$1,),))</f>
        <v>58.7</v>
      </c>
      <c r="C53" s="14">
        <f>Table1346811345671012131415[[#This Row],[PMI]]-B52</f>
        <v>-1.7999999999999972</v>
      </c>
    </row>
    <row r="54" spans="1:3" x14ac:dyDescent="0.2">
      <c r="A54" s="8">
        <v>41913</v>
      </c>
      <c r="B54" s="11">
        <f>IF(VLOOKUP(A54,'DB Country PMI'!$A:$W,MATCH($A$1,'DB Country PMI'!$A$1:$W$1,),)=0,#N/A,VLOOKUP(A54,'DB Country PMI'!$A:$W,MATCH($A$1,'DB Country PMI'!$A$1:$W$1,),))</f>
        <v>56.2</v>
      </c>
      <c r="C54" s="14">
        <f>Table1346811345671012131415[[#This Row],[PMI]]-B53</f>
        <v>-2.5</v>
      </c>
    </row>
    <row r="55" spans="1:3" x14ac:dyDescent="0.2">
      <c r="A55" s="8">
        <v>41944</v>
      </c>
      <c r="B55" s="11">
        <f>IF(VLOOKUP(A55,'DB Country PMI'!$A:$W,MATCH($A$1,'DB Country PMI'!$A$1:$W$1,),)=0,#N/A,VLOOKUP(A55,'DB Country PMI'!$A:$W,MATCH($A$1,'DB Country PMI'!$A$1:$W$1,),))</f>
        <v>58.6</v>
      </c>
      <c r="C55" s="14">
        <f>Table1346811345671012131415[[#This Row],[PMI]]-B54</f>
        <v>2.3999999999999986</v>
      </c>
    </row>
    <row r="56" spans="1:3" x14ac:dyDescent="0.2">
      <c r="A56" s="8">
        <v>41974</v>
      </c>
      <c r="B56" s="11">
        <f>IF(VLOOKUP(A56,'DB Country PMI'!$A:$W,MATCH($A$1,'DB Country PMI'!$A$1:$W$1,),)=0,#N/A,VLOOKUP(A56,'DB Country PMI'!$A:$W,MATCH($A$1,'DB Country PMI'!$A$1:$W$1,),))</f>
        <v>55.8</v>
      </c>
      <c r="C56" s="14">
        <f>Table1346811345671012131415[[#This Row],[PMI]]-B55</f>
        <v>-2.8000000000000043</v>
      </c>
    </row>
    <row r="57" spans="1:3" x14ac:dyDescent="0.2">
      <c r="A57" s="8">
        <v>42005</v>
      </c>
      <c r="B57" s="11">
        <f>IF(VLOOKUP(A57,'DB Country PMI'!$A:$W,MATCH($A$1,'DB Country PMI'!$A$1:$W$1,),)=0,#N/A,VLOOKUP(A57,'DB Country PMI'!$A:$W,MATCH($A$1,'DB Country PMI'!$A$1:$W$1,),))</f>
        <v>57.2</v>
      </c>
      <c r="C57" s="14">
        <f>Table1346811345671012131415[[#This Row],[PMI]]-B56</f>
        <v>1.4000000000000057</v>
      </c>
    </row>
    <row r="58" spans="1:3" x14ac:dyDescent="0.2">
      <c r="A58" s="8">
        <v>42036</v>
      </c>
      <c r="B58" s="11">
        <f>IF(VLOOKUP(A58,'DB Country PMI'!$A:$W,MATCH($A$1,'DB Country PMI'!$A$1:$W$1,),)=0,#N/A,VLOOKUP(A58,'DB Country PMI'!$A:$W,MATCH($A$1,'DB Country PMI'!$A$1:$W$1,),))</f>
        <v>56.7</v>
      </c>
      <c r="C58" s="14">
        <f>Table1346811345671012131415[[#This Row],[PMI]]-B57</f>
        <v>-0.5</v>
      </c>
    </row>
    <row r="59" spans="1:3" x14ac:dyDescent="0.2">
      <c r="A59" s="8">
        <v>42064</v>
      </c>
      <c r="B59" s="11">
        <f>IF(VLOOKUP(A59,'DB Country PMI'!$A:$W,MATCH($A$1,'DB Country PMI'!$A$1:$W$1,),)=0,#N/A,VLOOKUP(A59,'DB Country PMI'!$A:$W,MATCH($A$1,'DB Country PMI'!$A$1:$W$1,),))</f>
        <v>58.9</v>
      </c>
      <c r="C59" s="14">
        <f>Table1346811345671012131415[[#This Row],[PMI]]-B58</f>
        <v>2.1999999999999957</v>
      </c>
    </row>
    <row r="60" spans="1:3" x14ac:dyDescent="0.2">
      <c r="A60" s="8">
        <v>42095</v>
      </c>
      <c r="B60" s="11">
        <f>IF(VLOOKUP(A60,'DB Country PMI'!$A:$W,MATCH($A$1,'DB Country PMI'!$A$1:$W$1,),)=0,#N/A,VLOOKUP(A60,'DB Country PMI'!$A:$W,MATCH($A$1,'DB Country PMI'!$A$1:$W$1,),))</f>
        <v>59.5</v>
      </c>
      <c r="C60" s="14">
        <f>Table1346811345671012131415[[#This Row],[PMI]]-B59</f>
        <v>0.60000000000000142</v>
      </c>
    </row>
    <row r="61" spans="1:3" x14ac:dyDescent="0.2">
      <c r="A61" s="8">
        <v>42125</v>
      </c>
      <c r="B61" s="11">
        <f>IF(VLOOKUP(A61,'DB Country PMI'!$A:$W,MATCH($A$1,'DB Country PMI'!$A$1:$W$1,),)=0,#N/A,VLOOKUP(A61,'DB Country PMI'!$A:$W,MATCH($A$1,'DB Country PMI'!$A$1:$W$1,),))</f>
        <v>56.5</v>
      </c>
      <c r="C61" s="14">
        <f>Table1346811345671012131415[[#This Row],[PMI]]-B60</f>
        <v>-3</v>
      </c>
    </row>
    <row r="62" spans="1:3" x14ac:dyDescent="0.2">
      <c r="A62" s="8">
        <v>42156</v>
      </c>
      <c r="B62" s="11">
        <f>IF(VLOOKUP(A62,'DB Country PMI'!$A:$W,MATCH($A$1,'DB Country PMI'!$A$1:$W$1,),)=0,#N/A,VLOOKUP(A62,'DB Country PMI'!$A:$W,MATCH($A$1,'DB Country PMI'!$A$1:$W$1,),))</f>
        <v>58.5</v>
      </c>
      <c r="C62" s="14">
        <f>Table1346811345671012131415[[#This Row],[PMI]]-B61</f>
        <v>2</v>
      </c>
    </row>
    <row r="63" spans="1:3" x14ac:dyDescent="0.2">
      <c r="A63" s="8">
        <v>42186</v>
      </c>
      <c r="B63" s="11">
        <f>IF(VLOOKUP(A63,'DB Country PMI'!$A:$W,MATCH($A$1,'DB Country PMI'!$A$1:$W$1,),)=0,#N/A,VLOOKUP(A63,'DB Country PMI'!$A:$W,MATCH($A$1,'DB Country PMI'!$A$1:$W$1,),))</f>
        <v>57.4</v>
      </c>
      <c r="C63" s="14">
        <f>Table1346811345671012131415[[#This Row],[PMI]]-B62</f>
        <v>-1.1000000000000014</v>
      </c>
    </row>
    <row r="64" spans="1:3" x14ac:dyDescent="0.2">
      <c r="A64" s="8">
        <v>42217</v>
      </c>
      <c r="B64" s="11">
        <f>IF(VLOOKUP(A64,'DB Country PMI'!$A:$W,MATCH($A$1,'DB Country PMI'!$A$1:$W$1,),)=0,#N/A,VLOOKUP(A64,'DB Country PMI'!$A:$W,MATCH($A$1,'DB Country PMI'!$A$1:$W$1,),))</f>
        <v>55.6</v>
      </c>
      <c r="C64" s="14">
        <f>Table1346811345671012131415[[#This Row],[PMI]]-B63</f>
        <v>-1.7999999999999972</v>
      </c>
    </row>
    <row r="65" spans="1:3" x14ac:dyDescent="0.2">
      <c r="A65" s="8">
        <v>42248</v>
      </c>
      <c r="B65" s="11">
        <f>IF(VLOOKUP(A65,'DB Country PMI'!$A:$W,MATCH($A$1,'DB Country PMI'!$A$1:$W$1,),)=0,#N/A,VLOOKUP(A65,'DB Country PMI'!$A:$W,MATCH($A$1,'DB Country PMI'!$A$1:$W$1,),))</f>
        <v>53.3</v>
      </c>
      <c r="C65" s="14">
        <f>Table1346811345671012131415[[#This Row],[PMI]]-B64</f>
        <v>-2.3000000000000043</v>
      </c>
    </row>
    <row r="66" spans="1:3" x14ac:dyDescent="0.2">
      <c r="A66" s="8">
        <v>42278</v>
      </c>
      <c r="B66" s="11">
        <f>IF(VLOOKUP(A66,'DB Country PMI'!$A:$W,MATCH($A$1,'DB Country PMI'!$A$1:$W$1,),)=0,#N/A,VLOOKUP(A66,'DB Country PMI'!$A:$W,MATCH($A$1,'DB Country PMI'!$A$1:$W$1,),))</f>
        <v>54.9</v>
      </c>
      <c r="C66" s="14">
        <f>Table1346811345671012131415[[#This Row],[PMI]]-B65</f>
        <v>1.6000000000000014</v>
      </c>
    </row>
    <row r="67" spans="1:3" x14ac:dyDescent="0.2">
      <c r="A67" s="8">
        <v>42309</v>
      </c>
      <c r="B67" s="11">
        <f>IF(VLOOKUP(A67,'DB Country PMI'!$A:$W,MATCH($A$1,'DB Country PMI'!$A$1:$W$1,),)=0,#N/A,VLOOKUP(A67,'DB Country PMI'!$A:$W,MATCH($A$1,'DB Country PMI'!$A$1:$W$1,),))</f>
        <v>55.9</v>
      </c>
      <c r="C67" s="14">
        <f>Table1346811345671012131415[[#This Row],[PMI]]-B66</f>
        <v>1</v>
      </c>
    </row>
    <row r="68" spans="1:3" x14ac:dyDescent="0.2">
      <c r="A68" s="8">
        <v>42339</v>
      </c>
      <c r="B68" s="11">
        <f>IF(VLOOKUP(A68,'DB Country PMI'!$A:$W,MATCH($A$1,'DB Country PMI'!$A$1:$W$1,),)=0,#N/A,VLOOKUP(A68,'DB Country PMI'!$A:$W,MATCH($A$1,'DB Country PMI'!$A$1:$W$1,),))</f>
        <v>55.5</v>
      </c>
      <c r="C68" s="14">
        <f>Table1346811345671012131415[[#This Row],[PMI]]-B67</f>
        <v>-0.39999999999999858</v>
      </c>
    </row>
    <row r="69" spans="1:3" x14ac:dyDescent="0.2">
      <c r="A69" s="8">
        <v>42370</v>
      </c>
      <c r="B69" s="11">
        <f>IF(VLOOKUP(A69,'DB Country PMI'!$A:$W,MATCH($A$1,'DB Country PMI'!$A$1:$W$1,),)=0,#N/A,VLOOKUP(A69,'DB Country PMI'!$A:$W,MATCH($A$1,'DB Country PMI'!$A$1:$W$1,),))</f>
        <v>55.6</v>
      </c>
      <c r="C69" s="14">
        <f>Table1346811345671012131415[[#This Row],[PMI]]-B68</f>
        <v>0.10000000000000142</v>
      </c>
    </row>
    <row r="70" spans="1:3" x14ac:dyDescent="0.2">
      <c r="A70" s="8">
        <v>42401</v>
      </c>
      <c r="B70" s="11">
        <f>IF(VLOOKUP(A70,'DB Country PMI'!$A:$W,MATCH($A$1,'DB Country PMI'!$A$1:$W$1,),)=0,#N/A,VLOOKUP(A70,'DB Country PMI'!$A:$W,MATCH($A$1,'DB Country PMI'!$A$1:$W$1,),))</f>
        <v>52.7</v>
      </c>
      <c r="C70" s="14">
        <f>Table1346811345671012131415[[#This Row],[PMI]]-B69</f>
        <v>-2.8999999999999986</v>
      </c>
    </row>
    <row r="71" spans="1:3" x14ac:dyDescent="0.2">
      <c r="A71" s="8">
        <v>42430</v>
      </c>
      <c r="B71" s="11">
        <f>IF(VLOOKUP(A71,'DB Country PMI'!$A:$W,MATCH($A$1,'DB Country PMI'!$A$1:$W$1,),)=0,#N/A,VLOOKUP(A71,'DB Country PMI'!$A:$W,MATCH($A$1,'DB Country PMI'!$A$1:$W$1,),))</f>
        <v>53.7</v>
      </c>
      <c r="C71" s="14">
        <f>Table1346811345671012131415[[#This Row],[PMI]]-B70</f>
        <v>1</v>
      </c>
    </row>
    <row r="72" spans="1:3" x14ac:dyDescent="0.2">
      <c r="A72" s="8">
        <v>42461</v>
      </c>
      <c r="B72" s="11">
        <f>IF(VLOOKUP(A72,'DB Country PMI'!$A:$W,MATCH($A$1,'DB Country PMI'!$A$1:$W$1,),)=0,#N/A,VLOOKUP(A72,'DB Country PMI'!$A:$W,MATCH($A$1,'DB Country PMI'!$A$1:$W$1,),))</f>
        <v>52.3</v>
      </c>
      <c r="C72" s="14">
        <f>Table1346811345671012131415[[#This Row],[PMI]]-B71</f>
        <v>-1.4000000000000057</v>
      </c>
    </row>
    <row r="73" spans="1:3" x14ac:dyDescent="0.2">
      <c r="A73" s="8">
        <v>42491</v>
      </c>
      <c r="B73" s="11">
        <f>IF(VLOOKUP(A73,'DB Country PMI'!$A:$W,MATCH($A$1,'DB Country PMI'!$A$1:$W$1,),)=0,#N/A,VLOOKUP(A73,'DB Country PMI'!$A:$W,MATCH($A$1,'DB Country PMI'!$A$1:$W$1,),))</f>
        <v>53.5</v>
      </c>
      <c r="C73" s="14">
        <f>Table1346811345671012131415[[#This Row],[PMI]]-B72</f>
        <v>1.2000000000000028</v>
      </c>
    </row>
    <row r="74" spans="1:3" x14ac:dyDescent="0.2">
      <c r="A74" s="8">
        <v>42522</v>
      </c>
      <c r="B74" s="11">
        <f>IF(VLOOKUP(A74,'DB Country PMI'!$A:$W,MATCH($A$1,'DB Country PMI'!$A$1:$W$1,),)=0,#N/A,VLOOKUP(A74,'DB Country PMI'!$A:$W,MATCH($A$1,'DB Country PMI'!$A$1:$W$1,),))</f>
        <v>52.3</v>
      </c>
      <c r="C74" s="14">
        <f>Table1346811345671012131415[[#This Row],[PMI]]-B73</f>
        <v>-1.2000000000000028</v>
      </c>
    </row>
    <row r="75" spans="1:3" x14ac:dyDescent="0.2">
      <c r="A75" s="8">
        <v>42552</v>
      </c>
      <c r="B75" s="11">
        <f>IF(VLOOKUP(A75,'DB Country PMI'!$A:$W,MATCH($A$1,'DB Country PMI'!$A$1:$W$1,),)=0,#N/A,VLOOKUP(A75,'DB Country PMI'!$A:$W,MATCH($A$1,'DB Country PMI'!$A$1:$W$1,),))</f>
        <v>47.4</v>
      </c>
      <c r="C75" s="14">
        <f>Table1346811345671012131415[[#This Row],[PMI]]-B74</f>
        <v>-4.8999999999999986</v>
      </c>
    </row>
    <row r="76" spans="1:3" x14ac:dyDescent="0.2">
      <c r="A76" s="8">
        <v>42583</v>
      </c>
      <c r="B76" s="11">
        <f>IF(VLOOKUP(A76,'DB Country PMI'!$A:$W,MATCH($A$1,'DB Country PMI'!$A$1:$W$1,),)=0,#N/A,VLOOKUP(A76,'DB Country PMI'!$A:$W,MATCH($A$1,'DB Country PMI'!$A$1:$W$1,),))</f>
        <v>52.9</v>
      </c>
      <c r="C76" s="14">
        <f>Table1346811345671012131415[[#This Row],[PMI]]-B75</f>
        <v>5.5</v>
      </c>
    </row>
    <row r="77" spans="1:3" x14ac:dyDescent="0.2">
      <c r="A77" s="8">
        <v>42614</v>
      </c>
      <c r="B77" s="11">
        <f>IF(VLOOKUP(A77,'DB Country PMI'!$A:$W,MATCH($A$1,'DB Country PMI'!$A$1:$W$1,),)=0,#N/A,VLOOKUP(A77,'DB Country PMI'!$A:$W,MATCH($A$1,'DB Country PMI'!$A$1:$W$1,),))</f>
        <v>52.6</v>
      </c>
      <c r="C77" s="14">
        <f>Table1346811345671012131415[[#This Row],[PMI]]-B76</f>
        <v>-0.29999999999999716</v>
      </c>
    </row>
    <row r="78" spans="1:3" x14ac:dyDescent="0.2">
      <c r="A78" s="8">
        <v>42644</v>
      </c>
      <c r="B78" s="11">
        <f>IF(VLOOKUP(A78,'DB Country PMI'!$A:$W,MATCH($A$1,'DB Country PMI'!$A$1:$W$1,),)=0,#N/A,VLOOKUP(A78,'DB Country PMI'!$A:$W,MATCH($A$1,'DB Country PMI'!$A$1:$W$1,),))</f>
        <v>54.5</v>
      </c>
      <c r="C78" s="14">
        <f>Table1346811345671012131415[[#This Row],[PMI]]-B77</f>
        <v>1.8999999999999986</v>
      </c>
    </row>
    <row r="79" spans="1:3" x14ac:dyDescent="0.2">
      <c r="A79" s="8">
        <v>42675</v>
      </c>
      <c r="B79" s="11">
        <f>IF(VLOOKUP(A79,'DB Country PMI'!$A:$W,MATCH($A$1,'DB Country PMI'!$A$1:$W$1,),)=0,#N/A,VLOOKUP(A79,'DB Country PMI'!$A:$W,MATCH($A$1,'DB Country PMI'!$A$1:$W$1,),))</f>
        <v>55.2</v>
      </c>
      <c r="C79" s="14">
        <f>Table1346811345671012131415[[#This Row],[PMI]]-B78</f>
        <v>0.70000000000000284</v>
      </c>
    </row>
    <row r="80" spans="1:3" x14ac:dyDescent="0.2">
      <c r="A80" s="8">
        <v>42705</v>
      </c>
      <c r="B80" s="11">
        <f>IF(VLOOKUP(A80,'DB Country PMI'!$A:$W,MATCH($A$1,'DB Country PMI'!$A$1:$W$1,),)=0,#N/A,VLOOKUP(A80,'DB Country PMI'!$A:$W,MATCH($A$1,'DB Country PMI'!$A$1:$W$1,),))</f>
        <v>56.2</v>
      </c>
      <c r="C80" s="14">
        <f>Table1346811345671012131415[[#This Row],[PMI]]-B79</f>
        <v>1</v>
      </c>
    </row>
    <row r="81" spans="1:3" x14ac:dyDescent="0.2">
      <c r="A81" s="8">
        <v>42736</v>
      </c>
      <c r="B81" s="11">
        <f>IF(VLOOKUP(A81,'DB Country PMI'!$A:$W,MATCH($A$1,'DB Country PMI'!$A$1:$W$1,),)=0,#N/A,VLOOKUP(A81,'DB Country PMI'!$A:$W,MATCH($A$1,'DB Country PMI'!$A$1:$W$1,),))</f>
        <v>54.5</v>
      </c>
      <c r="C81" s="14">
        <f>Table1346811345671012131415[[#This Row],[PMI]]-B80</f>
        <v>-1.7000000000000028</v>
      </c>
    </row>
    <row r="82" spans="1:3" x14ac:dyDescent="0.2">
      <c r="A82" s="8">
        <v>42767</v>
      </c>
      <c r="B82" s="11">
        <f>IF(VLOOKUP(A82,'DB Country PMI'!$A:$W,MATCH($A$1,'DB Country PMI'!$A$1:$W$1,),)=0,#N/A,VLOOKUP(A82,'DB Country PMI'!$A:$W,MATCH($A$1,'DB Country PMI'!$A$1:$W$1,),))</f>
        <v>53.3</v>
      </c>
      <c r="C82" s="14">
        <f>Table1346811345671012131415[[#This Row],[PMI]]-B81</f>
        <v>-1.2000000000000028</v>
      </c>
    </row>
    <row r="83" spans="1:3" x14ac:dyDescent="0.2">
      <c r="A83" s="8">
        <v>42795</v>
      </c>
      <c r="B83" s="11">
        <f>IF(VLOOKUP(A83,'DB Country PMI'!$A:$W,MATCH($A$1,'DB Country PMI'!$A$1:$W$1,),)=0,#N/A,VLOOKUP(A83,'DB Country PMI'!$A:$W,MATCH($A$1,'DB Country PMI'!$A$1:$W$1,),))</f>
        <v>55</v>
      </c>
      <c r="C83" s="14">
        <f>Table1346811345671012131415[[#This Row],[PMI]]-B82</f>
        <v>1.7000000000000028</v>
      </c>
    </row>
    <row r="84" spans="1:3" x14ac:dyDescent="0.2">
      <c r="A84" s="8">
        <v>42826</v>
      </c>
      <c r="B84" s="11">
        <f>IF(VLOOKUP(A84,'DB Country PMI'!$A:$W,MATCH($A$1,'DB Country PMI'!$A$1:$W$1,),)=0,#N/A,VLOOKUP(A84,'DB Country PMI'!$A:$W,MATCH($A$1,'DB Country PMI'!$A$1:$W$1,),))</f>
        <v>55.8</v>
      </c>
      <c r="C84" s="14">
        <f>Table1346811345671012131415[[#This Row],[PMI]]-B83</f>
        <v>0.79999999999999716</v>
      </c>
    </row>
    <row r="85" spans="1:3" x14ac:dyDescent="0.2">
      <c r="A85" s="8">
        <v>42856</v>
      </c>
      <c r="B85" s="11">
        <f>IF(VLOOKUP(A85,'DB Country PMI'!$A:$W,MATCH($A$1,'DB Country PMI'!$A$1:$W$1,),)=0,#N/A,VLOOKUP(A85,'DB Country PMI'!$A:$W,MATCH($A$1,'DB Country PMI'!$A$1:$W$1,),))</f>
        <v>53.8</v>
      </c>
      <c r="C85" s="14">
        <f>Table1346811345671012131415[[#This Row],[PMI]]-B84</f>
        <v>-2</v>
      </c>
    </row>
    <row r="86" spans="1:3" x14ac:dyDescent="0.2">
      <c r="A86" s="8">
        <v>42887</v>
      </c>
      <c r="B86" s="11">
        <f>IF(VLOOKUP(A86,'DB Country PMI'!$A:$W,MATCH($A$1,'DB Country PMI'!$A$1:$W$1,),)=0,#N/A,VLOOKUP(A86,'DB Country PMI'!$A:$W,MATCH($A$1,'DB Country PMI'!$A$1:$W$1,),))</f>
        <v>53.4</v>
      </c>
      <c r="C86" s="14">
        <f>Table1346811345671012131415[[#This Row],[PMI]]-B85</f>
        <v>-0.39999999999999858</v>
      </c>
    </row>
    <row r="87" spans="1:3" x14ac:dyDescent="0.2">
      <c r="A87" s="8">
        <v>42917</v>
      </c>
      <c r="B87" s="11">
        <f>IF(VLOOKUP(A87,'DB Country PMI'!$A:$W,MATCH($A$1,'DB Country PMI'!$A$1:$W$1,),)=0,#N/A,VLOOKUP(A87,'DB Country PMI'!$A:$W,MATCH($A$1,'DB Country PMI'!$A$1:$W$1,),))</f>
        <v>53.8</v>
      </c>
      <c r="C87" s="14">
        <f>Table1346811345671012131415[[#This Row],[PMI]]-B86</f>
        <v>0.39999999999999858</v>
      </c>
    </row>
    <row r="88" spans="1:3" x14ac:dyDescent="0.2">
      <c r="A88" s="8">
        <v>42948</v>
      </c>
      <c r="B88" s="11">
        <f>IF(VLOOKUP(A88,'DB Country PMI'!$A:$W,MATCH($A$1,'DB Country PMI'!$A$1:$W$1,),)=0,#N/A,VLOOKUP(A88,'DB Country PMI'!$A:$W,MATCH($A$1,'DB Country PMI'!$A$1:$W$1,),))</f>
        <v>53.2</v>
      </c>
      <c r="C88" s="14">
        <f>Table1346811345671012131415[[#This Row],[PMI]]-B87</f>
        <v>-0.59999999999999432</v>
      </c>
    </row>
    <row r="89" spans="1:3" x14ac:dyDescent="0.2">
      <c r="A89" s="8">
        <v>42979</v>
      </c>
      <c r="B89" s="11">
        <f>IF(VLOOKUP(A89,'DB Country PMI'!$A:$W,MATCH($A$1,'DB Country PMI'!$A$1:$W$1,),)=0,#N/A,VLOOKUP(A89,'DB Country PMI'!$A:$W,MATCH($A$1,'DB Country PMI'!$A$1:$W$1,),))</f>
        <v>53.6</v>
      </c>
      <c r="C89" s="14">
        <f>Table1346811345671012131415[[#This Row],[PMI]]-B88</f>
        <v>0.39999999999999858</v>
      </c>
    </row>
    <row r="90" spans="1:3" x14ac:dyDescent="0.2">
      <c r="A90" s="8">
        <v>43009</v>
      </c>
      <c r="B90" s="11">
        <f>IF(VLOOKUP(A90,'DB Country PMI'!$A:$W,MATCH($A$1,'DB Country PMI'!$A$1:$W$1,),)=0,#N/A,VLOOKUP(A90,'DB Country PMI'!$A:$W,MATCH($A$1,'DB Country PMI'!$A$1:$W$1,),))</f>
        <v>55.6</v>
      </c>
      <c r="C90" s="14">
        <f>Table1346811345671012131415[[#This Row],[PMI]]-B89</f>
        <v>2</v>
      </c>
    </row>
    <row r="91" spans="1:3" x14ac:dyDescent="0.2">
      <c r="A91" s="8">
        <v>43040</v>
      </c>
      <c r="B91" s="11">
        <f>IF(VLOOKUP(A91,'DB Country PMI'!$A:$W,MATCH($A$1,'DB Country PMI'!$A$1:$W$1,),)=0,#N/A,VLOOKUP(A91,'DB Country PMI'!$A:$W,MATCH($A$1,'DB Country PMI'!$A$1:$W$1,),))</f>
        <v>53.8</v>
      </c>
      <c r="C91" s="14">
        <f>Table1346811345671012131415[[#This Row],[PMI]]-B90</f>
        <v>-1.8000000000000043</v>
      </c>
    </row>
    <row r="92" spans="1:3" x14ac:dyDescent="0.2">
      <c r="A92" s="8">
        <v>43070</v>
      </c>
      <c r="B92" s="11">
        <f>IF(VLOOKUP(A92,'DB Country PMI'!$A:$W,MATCH($A$1,'DB Country PMI'!$A$1:$W$1,),)=0,#N/A,VLOOKUP(A92,'DB Country PMI'!$A:$W,MATCH($A$1,'DB Country PMI'!$A$1:$W$1,),))</f>
        <v>54.2</v>
      </c>
      <c r="C92" s="14">
        <f>Table1346811345671012131415[[#This Row],[PMI]]-B91</f>
        <v>0.40000000000000568</v>
      </c>
    </row>
    <row r="93" spans="1:3" x14ac:dyDescent="0.2">
      <c r="A93" s="8">
        <v>43101</v>
      </c>
      <c r="B93" s="11">
        <f>IF(VLOOKUP(A93,'DB Country PMI'!$A:$W,MATCH($A$1,'DB Country PMI'!$A$1:$W$1,),)=0,#N/A,VLOOKUP(A93,'DB Country PMI'!$A:$W,MATCH($A$1,'DB Country PMI'!$A$1:$W$1,),))</f>
        <v>53</v>
      </c>
      <c r="C93" s="14">
        <f>Table1346811345671012131415[[#This Row],[PMI]]-B92</f>
        <v>-1.2000000000000028</v>
      </c>
    </row>
    <row r="94" spans="1:3" x14ac:dyDescent="0.2">
      <c r="A94" s="8">
        <v>43132</v>
      </c>
      <c r="B94" s="11">
        <f>IF(VLOOKUP(A94,'DB Country PMI'!$A:$W,MATCH($A$1,'DB Country PMI'!$A$1:$W$1,),)=0,#N/A,VLOOKUP(A94,'DB Country PMI'!$A:$W,MATCH($A$1,'DB Country PMI'!$A$1:$W$1,),))</f>
        <v>54.5</v>
      </c>
      <c r="C94" s="14">
        <f>Table1346811345671012131415[[#This Row],[PMI]]-B93</f>
        <v>1.5</v>
      </c>
    </row>
    <row r="95" spans="1:3" x14ac:dyDescent="0.2">
      <c r="A95" s="8">
        <v>43160</v>
      </c>
      <c r="B95" s="11">
        <f>IF(VLOOKUP(A95,'DB Country PMI'!$A:$W,MATCH($A$1,'DB Country PMI'!$A$1:$W$1,),)=0,#N/A,VLOOKUP(A95,'DB Country PMI'!$A:$W,MATCH($A$1,'DB Country PMI'!$A$1:$W$1,),))</f>
        <v>51.7</v>
      </c>
      <c r="C95" s="14">
        <f>Table1346811345671012131415[[#This Row],[PMI]]-B94</f>
        <v>-2.7999999999999972</v>
      </c>
    </row>
    <row r="96" spans="1:3" x14ac:dyDescent="0.2">
      <c r="A96" s="8">
        <v>43191</v>
      </c>
      <c r="B96" s="11">
        <f>IF(VLOOKUP(A96,'DB Country PMI'!$A:$W,MATCH($A$1,'DB Country PMI'!$A$1:$W$1,),)=0,#N/A,VLOOKUP(A96,'DB Country PMI'!$A:$W,MATCH($A$1,'DB Country PMI'!$A$1:$W$1,),))</f>
        <v>52.8</v>
      </c>
      <c r="C96" s="14">
        <f>Table1346811345671012131415[[#This Row],[PMI]]-B95</f>
        <v>1.0999999999999943</v>
      </c>
    </row>
    <row r="97" spans="1:3" x14ac:dyDescent="0.2">
      <c r="A97" s="8">
        <v>43221</v>
      </c>
      <c r="B97" s="11">
        <f>IF(VLOOKUP(A97,'DB Country PMI'!$A:$W,MATCH($A$1,'DB Country PMI'!$A$1:$W$1,),)=0,#N/A,VLOOKUP(A97,'DB Country PMI'!$A:$W,MATCH($A$1,'DB Country PMI'!$A$1:$W$1,),))</f>
        <v>54</v>
      </c>
      <c r="C97" s="14">
        <f>Table1346811345671012131415[[#This Row],[PMI]]-B96</f>
        <v>1.2000000000000028</v>
      </c>
    </row>
    <row r="98" spans="1:3" x14ac:dyDescent="0.2">
      <c r="A98" s="8">
        <v>43252</v>
      </c>
      <c r="B98" s="11">
        <f>IF(VLOOKUP(A98,'DB Country PMI'!$A:$W,MATCH($A$1,'DB Country PMI'!$A$1:$W$1,),)=0,#N/A,VLOOKUP(A98,'DB Country PMI'!$A:$W,MATCH($A$1,'DB Country PMI'!$A$1:$W$1,),))</f>
        <v>55.1</v>
      </c>
      <c r="C98" s="14">
        <f>Table1346811345671012131415[[#This Row],[PMI]]-B97</f>
        <v>1.1000000000000014</v>
      </c>
    </row>
    <row r="99" spans="1:3" x14ac:dyDescent="0.2">
      <c r="A99" s="8">
        <v>43282</v>
      </c>
      <c r="B99" s="11">
        <f>IF(VLOOKUP(A99,'DB Country PMI'!$A:$W,MATCH($A$1,'DB Country PMI'!$A$1:$W$1,),)=0,#N/A,VLOOKUP(A99,'DB Country PMI'!$A:$W,MATCH($A$1,'DB Country PMI'!$A$1:$W$1,),))</f>
        <v>53.5</v>
      </c>
      <c r="C99" s="14">
        <f>Table1346811345671012131415[[#This Row],[PMI]]-B98</f>
        <v>-1.6000000000000014</v>
      </c>
    </row>
    <row r="100" spans="1:3" x14ac:dyDescent="0.2">
      <c r="A100" s="8">
        <v>43313</v>
      </c>
      <c r="B100" s="11">
        <f>IF(VLOOKUP(A100,'DB Country PMI'!$A:$W,MATCH($A$1,'DB Country PMI'!$A$1:$W$1,),)=0,#N/A,VLOOKUP(A100,'DB Country PMI'!$A:$W,MATCH($A$1,'DB Country PMI'!$A$1:$W$1,),))</f>
        <v>54.3</v>
      </c>
      <c r="C100" s="14">
        <f>Table1346811345671012131415[[#This Row],[PMI]]-B99</f>
        <v>0.79999999999999716</v>
      </c>
    </row>
    <row r="101" spans="1:3" x14ac:dyDescent="0.2">
      <c r="A101" s="8">
        <v>43344</v>
      </c>
      <c r="B101" s="11">
        <f>IF(VLOOKUP(A101,'DB Country PMI'!$A:$W,MATCH($A$1,'DB Country PMI'!$A$1:$W$1,),)=0,#N/A,VLOOKUP(A101,'DB Country PMI'!$A:$W,MATCH($A$1,'DB Country PMI'!$A$1:$W$1,),))</f>
        <v>53.9</v>
      </c>
      <c r="C101" s="14">
        <f>Table1346811345671012131415[[#This Row],[PMI]]-B100</f>
        <v>-0.39999999999999858</v>
      </c>
    </row>
    <row r="102" spans="1:3" x14ac:dyDescent="0.2">
      <c r="A102" s="8">
        <v>43374</v>
      </c>
      <c r="B102" s="11">
        <f>IF(VLOOKUP(A102,'DB Country PMI'!$A:$W,MATCH($A$1,'DB Country PMI'!$A$1:$W$1,),)=0,#N/A,VLOOKUP(A102,'DB Country PMI'!$A:$W,MATCH($A$1,'DB Country PMI'!$A$1:$W$1,),))</f>
        <v>52.2</v>
      </c>
      <c r="C102" s="14">
        <f>Table1346811345671012131415[[#This Row],[PMI]]-B101</f>
        <v>-1.6999999999999957</v>
      </c>
    </row>
    <row r="103" spans="1:3" x14ac:dyDescent="0.2">
      <c r="A103" s="8">
        <v>43405</v>
      </c>
      <c r="B103" s="11">
        <f>IF(VLOOKUP(A103,'DB Country PMI'!$A:$W,MATCH($A$1,'DB Country PMI'!$A$1:$W$1,),)=0,#N/A,VLOOKUP(A103,'DB Country PMI'!$A:$W,MATCH($A$1,'DB Country PMI'!$A$1:$W$1,),))</f>
        <v>50.4</v>
      </c>
      <c r="C103" s="14">
        <f>Table1346811345671012131415[[#This Row],[PMI]]-B102</f>
        <v>-1.8000000000000043</v>
      </c>
    </row>
    <row r="104" spans="1:3" x14ac:dyDescent="0.2">
      <c r="A104" s="8">
        <v>43435</v>
      </c>
      <c r="B104" s="11">
        <f>IF(VLOOKUP(A104,'DB Country PMI'!$A:$W,MATCH($A$1,'DB Country PMI'!$A$1:$W$1,),)=0,#N/A,VLOOKUP(A104,'DB Country PMI'!$A:$W,MATCH($A$1,'DB Country PMI'!$A$1:$W$1,),))</f>
        <v>51.2</v>
      </c>
      <c r="C104" s="14">
        <f>Table1346811345671012131415[[#This Row],[PMI]]-B103</f>
        <v>0.80000000000000426</v>
      </c>
    </row>
    <row r="105" spans="1:3" x14ac:dyDescent="0.2">
      <c r="A105" s="8">
        <v>43466</v>
      </c>
      <c r="B105" s="11">
        <f>IF(VLOOKUP(A105,'DB Country PMI'!$A:$W,MATCH($A$1,'DB Country PMI'!$A$1:$W$1,),)=0,#N/A,VLOOKUP(A105,'DB Country PMI'!$A:$W,MATCH($A$1,'DB Country PMI'!$A$1:$W$1,),))</f>
        <v>50.1</v>
      </c>
      <c r="C105" s="14">
        <f>Table1346811345671012131415[[#This Row],[PMI]]-B104</f>
        <v>-1.1000000000000014</v>
      </c>
    </row>
    <row r="106" spans="1:3" x14ac:dyDescent="0.2">
      <c r="A106" s="8">
        <v>43497</v>
      </c>
      <c r="B106" s="11">
        <f>IF(VLOOKUP(A106,'DB Country PMI'!$A:$W,MATCH($A$1,'DB Country PMI'!$A$1:$W$1,),)=0,#N/A,VLOOKUP(A106,'DB Country PMI'!$A:$W,MATCH($A$1,'DB Country PMI'!$A$1:$W$1,),))</f>
        <v>51.3</v>
      </c>
      <c r="C106" s="14">
        <f>Table1346811345671012131415[[#This Row],[PMI]]-B105</f>
        <v>1.1999999999999957</v>
      </c>
    </row>
    <row r="107" spans="1:3" x14ac:dyDescent="0.2">
      <c r="A107" s="8">
        <v>43525</v>
      </c>
      <c r="B107" s="11">
        <f>IF(VLOOKUP(A107,'DB Country PMI'!$A:$W,MATCH($A$1,'DB Country PMI'!$A$1:$W$1,),)=0,#N/A,VLOOKUP(A107,'DB Country PMI'!$A:$W,MATCH($A$1,'DB Country PMI'!$A$1:$W$1,),))</f>
        <v>48.9</v>
      </c>
      <c r="C107" s="14">
        <f>Table1346811345671012131415[[#This Row],[PMI]]-B106</f>
        <v>-2.3999999999999986</v>
      </c>
    </row>
    <row r="108" spans="1:3" x14ac:dyDescent="0.2">
      <c r="A108" s="8">
        <v>43556</v>
      </c>
      <c r="B108" s="11">
        <f>IF(VLOOKUP(A108,'DB Country PMI'!$A:$W,MATCH($A$1,'DB Country PMI'!$A$1:$W$1,),)=0,#N/A,VLOOKUP(A108,'DB Country PMI'!$A:$W,MATCH($A$1,'DB Country PMI'!$A$1:$W$1,),))</f>
        <v>50.4</v>
      </c>
      <c r="C108" s="14">
        <f>Table1346811345671012131415[[#This Row],[PMI]]-B107</f>
        <v>1.5</v>
      </c>
    </row>
    <row r="109" spans="1:3" x14ac:dyDescent="0.2">
      <c r="A109" s="8">
        <v>43586</v>
      </c>
      <c r="B109" s="11">
        <f>IF(VLOOKUP(A109,'DB Country PMI'!$A:$W,MATCH($A$1,'DB Country PMI'!$A$1:$W$1,),)=0,#N/A,VLOOKUP(A109,'DB Country PMI'!$A:$W,MATCH($A$1,'DB Country PMI'!$A$1:$W$1,),))</f>
        <v>51</v>
      </c>
      <c r="C109" s="14">
        <f>Table1346811345671012131415[[#This Row],[PMI]]-B108</f>
        <v>0.60000000000000142</v>
      </c>
    </row>
    <row r="110" spans="1:3" x14ac:dyDescent="0.2">
      <c r="A110" s="8">
        <v>43617</v>
      </c>
      <c r="B110" s="11">
        <f>IF(VLOOKUP(A110,'DB Country PMI'!$A:$W,MATCH($A$1,'DB Country PMI'!$A$1:$W$1,),)=0,#N/A,VLOOKUP(A110,'DB Country PMI'!$A:$W,MATCH($A$1,'DB Country PMI'!$A$1:$W$1,),))</f>
        <v>50.2</v>
      </c>
      <c r="C110" s="14">
        <f>Table1346811345671012131415[[#This Row],[PMI]]-B109</f>
        <v>-0.79999999999999716</v>
      </c>
    </row>
    <row r="111" spans="1:3" x14ac:dyDescent="0.2">
      <c r="A111" s="8">
        <v>43647</v>
      </c>
      <c r="B111" s="11">
        <f>IF(VLOOKUP(A111,'DB Country PMI'!$A:$W,MATCH($A$1,'DB Country PMI'!$A$1:$W$1,),)=0,#N/A,VLOOKUP(A111,'DB Country PMI'!$A:$W,MATCH($A$1,'DB Country PMI'!$A$1:$W$1,),))</f>
        <v>51.4</v>
      </c>
      <c r="C111" s="14">
        <f>Table1346811345671012131415[[#This Row],[PMI]]-B110</f>
        <v>1.1999999999999957</v>
      </c>
    </row>
    <row r="112" spans="1:3" x14ac:dyDescent="0.2">
      <c r="A112" s="8">
        <v>43678</v>
      </c>
      <c r="B112" s="11">
        <f>IF(VLOOKUP(A112,'DB Country PMI'!$A:$W,MATCH($A$1,'DB Country PMI'!$A$1:$W$1,),)=0,#N/A,VLOOKUP(A112,'DB Country PMI'!$A:$W,MATCH($A$1,'DB Country PMI'!$A$1:$W$1,),))</f>
        <v>50.6</v>
      </c>
      <c r="C112" s="14">
        <f>Table1346811345671012131415[[#This Row],[PMI]]-B111</f>
        <v>-0.79999999999999716</v>
      </c>
    </row>
    <row r="113" spans="1:3" x14ac:dyDescent="0.2">
      <c r="A113" s="8">
        <v>43709</v>
      </c>
      <c r="B113" s="11">
        <f>IF(VLOOKUP(A113,'DB Country PMI'!$A:$W,MATCH($A$1,'DB Country PMI'!$A$1:$W$1,),)=0,#N/A,VLOOKUP(A113,'DB Country PMI'!$A:$W,MATCH($A$1,'DB Country PMI'!$A$1:$W$1,),))</f>
        <v>49.5</v>
      </c>
      <c r="C113" s="14">
        <f>Table1346811345671012131415[[#This Row],[PMI]]-B112</f>
        <v>-1.1000000000000014</v>
      </c>
    </row>
    <row r="114" spans="1:3" x14ac:dyDescent="0.2">
      <c r="A114" s="8">
        <v>43739</v>
      </c>
      <c r="B114" s="11">
        <f>IF(VLOOKUP(A114,'DB Country PMI'!$A:$W,MATCH($A$1,'DB Country PMI'!$A$1:$W$1,),)=0,#N/A,VLOOKUP(A114,'DB Country PMI'!$A:$W,MATCH($A$1,'DB Country PMI'!$A$1:$W$1,),))</f>
        <v>50</v>
      </c>
      <c r="C114" s="14">
        <f>Table1346811345671012131415[[#This Row],[PMI]]-B113</f>
        <v>0.5</v>
      </c>
    </row>
    <row r="115" spans="1:3" x14ac:dyDescent="0.2">
      <c r="A115" s="8">
        <v>43770</v>
      </c>
      <c r="B115" s="11">
        <f>IF(VLOOKUP(A115,'DB Country PMI'!$A:$W,MATCH($A$1,'DB Country PMI'!$A$1:$W$1,),)=0,#N/A,VLOOKUP(A115,'DB Country PMI'!$A:$W,MATCH($A$1,'DB Country PMI'!$A$1:$W$1,),))</f>
        <v>49.3</v>
      </c>
      <c r="C115" s="14">
        <f>Table1346811345671012131415[[#This Row],[PMI]]-B114</f>
        <v>-0.70000000000000284</v>
      </c>
    </row>
    <row r="116" spans="1:3" x14ac:dyDescent="0.2">
      <c r="A116" s="8">
        <v>43800</v>
      </c>
      <c r="B116" s="11">
        <f>IF(VLOOKUP(A116,'DB Country PMI'!$A:$W,MATCH($A$1,'DB Country PMI'!$A$1:$W$1,),)=0,#N/A,VLOOKUP(A116,'DB Country PMI'!$A:$W,MATCH($A$1,'DB Country PMI'!$A$1:$W$1,),))</f>
        <v>50</v>
      </c>
      <c r="C116" s="14">
        <f>Table1346811345671012131415[[#This Row],[PMI]]-B115</f>
        <v>0.70000000000000284</v>
      </c>
    </row>
    <row r="117" spans="1:3" x14ac:dyDescent="0.2">
      <c r="A117" s="8">
        <v>43831</v>
      </c>
      <c r="B117" s="11">
        <f>IF(VLOOKUP(A117,'DB Country PMI'!$A:$W,MATCH($A$1,'DB Country PMI'!$A$1:$W$1,),)=0,#N/A,VLOOKUP(A117,'DB Country PMI'!$A:$W,MATCH($A$1,'DB Country PMI'!$A$1:$W$1,),))</f>
        <v>53.9</v>
      </c>
      <c r="C117" s="14">
        <f>Table1346811345671012131415[[#This Row],[PMI]]-B116</f>
        <v>3.8999999999999986</v>
      </c>
    </row>
    <row r="118" spans="1:3" x14ac:dyDescent="0.2">
      <c r="A118" s="8">
        <v>43862</v>
      </c>
      <c r="B118" s="11">
        <f>IF(VLOOKUP(A118,'DB Country PMI'!$A:$W,MATCH($A$1,'DB Country PMI'!$A$1:$W$1,),)=0,#N/A,VLOOKUP(A118,'DB Country PMI'!$A:$W,MATCH($A$1,'DB Country PMI'!$A$1:$W$1,),))</f>
        <v>53.2</v>
      </c>
      <c r="C118" s="14">
        <f>Table1346811345671012131415[[#This Row],[PMI]]-B117</f>
        <v>-0.69999999999999574</v>
      </c>
    </row>
    <row r="119" spans="1:3" x14ac:dyDescent="0.2">
      <c r="A119" s="8">
        <v>43891</v>
      </c>
      <c r="B119" s="11">
        <f>IF(VLOOKUP(A119,'DB Country PMI'!$A:$W,MATCH($A$1,'DB Country PMI'!$A$1:$W$1,),)=0,#N/A,VLOOKUP(A119,'DB Country PMI'!$A:$W,MATCH($A$1,'DB Country PMI'!$A$1:$W$1,),))</f>
        <v>34.5</v>
      </c>
      <c r="C119" s="14">
        <f>Table1346811345671012131415[[#This Row],[PMI]]-B118</f>
        <v>-18.700000000000003</v>
      </c>
    </row>
    <row r="120" spans="1:3" x14ac:dyDescent="0.2">
      <c r="A120" s="8">
        <v>43922</v>
      </c>
      <c r="B120" s="11">
        <f>IF(VLOOKUP(A120,'DB Country PMI'!$A:$W,MATCH($A$1,'DB Country PMI'!$A$1:$W$1,),)=0,#N/A,VLOOKUP(A120,'DB Country PMI'!$A:$W,MATCH($A$1,'DB Country PMI'!$A$1:$W$1,),))</f>
        <v>13.4</v>
      </c>
      <c r="C120" s="14">
        <f>Table1346811345671012131415[[#This Row],[PMI]]-B119</f>
        <v>-21.1</v>
      </c>
    </row>
    <row r="121" spans="1:3" x14ac:dyDescent="0.2">
      <c r="A121" s="8">
        <v>43952</v>
      </c>
      <c r="B121" s="11">
        <f>IF(VLOOKUP(A121,'DB Country PMI'!$A:$W,MATCH($A$1,'DB Country PMI'!$A$1:$W$1,),)=0,#N/A,VLOOKUP(A121,'DB Country PMI'!$A:$W,MATCH($A$1,'DB Country PMI'!$A$1:$W$1,),))</f>
        <v>29</v>
      </c>
      <c r="C121" s="14">
        <f>Table1346811345671012131415[[#This Row],[PMI]]-B120</f>
        <v>15.6</v>
      </c>
    </row>
    <row r="122" spans="1:3" x14ac:dyDescent="0.2">
      <c r="A122" s="8">
        <v>43983</v>
      </c>
      <c r="B122" s="11">
        <f>IF(VLOOKUP(A122,'DB Country PMI'!$A:$W,MATCH($A$1,'DB Country PMI'!$A$1:$W$1,),)=0,#N/A,VLOOKUP(A122,'DB Country PMI'!$A:$W,MATCH($A$1,'DB Country PMI'!$A$1:$W$1,),))</f>
        <v>47.1</v>
      </c>
      <c r="C122" s="14">
        <f>Table1346811345671012131415[[#This Row],[PMI]]-B121</f>
        <v>18.100000000000001</v>
      </c>
    </row>
    <row r="123" spans="1:3" x14ac:dyDescent="0.2">
      <c r="A123" s="8">
        <v>44013</v>
      </c>
      <c r="B123" s="11">
        <f>IF(VLOOKUP(A123,'DB Country PMI'!$A:$W,MATCH($A$1,'DB Country PMI'!$A$1:$W$1,),)=0,#N/A,VLOOKUP(A123,'DB Country PMI'!$A:$W,MATCH($A$1,'DB Country PMI'!$A$1:$W$1,),))</f>
        <v>56.5</v>
      </c>
      <c r="C123" s="14">
        <f>Table1346811345671012131415[[#This Row],[PMI]]-B122</f>
        <v>9.3999999999999986</v>
      </c>
    </row>
    <row r="124" spans="1:3" x14ac:dyDescent="0.2">
      <c r="A124" s="8">
        <v>44044</v>
      </c>
      <c r="B124" s="11">
        <f>IF(VLOOKUP(A124,'DB Country PMI'!$A:$W,MATCH($A$1,'DB Country PMI'!$A$1:$W$1,),)=0,#N/A,VLOOKUP(A124,'DB Country PMI'!$A:$W,MATCH($A$1,'DB Country PMI'!$A$1:$W$1,),))</f>
        <v>58.8</v>
      </c>
      <c r="C124" s="14">
        <f>Table1346811345671012131415[[#This Row],[PMI]]-B123</f>
        <v>2.2999999999999972</v>
      </c>
    </row>
    <row r="125" spans="1:3" x14ac:dyDescent="0.2">
      <c r="A125" s="8">
        <v>44075</v>
      </c>
      <c r="B125" s="11">
        <f>IF(VLOOKUP(A125,'DB Country PMI'!$A:$W,MATCH($A$1,'DB Country PMI'!$A$1:$W$1,),)=0,#N/A,VLOOKUP(A125,'DB Country PMI'!$A:$W,MATCH($A$1,'DB Country PMI'!$A$1:$W$1,),))</f>
        <v>56.1</v>
      </c>
      <c r="C125" s="14">
        <f>Table1346811345671012131415[[#This Row],[PMI]]-B124</f>
        <v>-2.6999999999999957</v>
      </c>
    </row>
    <row r="126" spans="1:3" x14ac:dyDescent="0.2">
      <c r="A126" s="8">
        <v>44105</v>
      </c>
      <c r="B126" s="11">
        <f>IF(VLOOKUP(A126,'DB Country PMI'!$A:$W,MATCH($A$1,'DB Country PMI'!$A$1:$W$1,),)=0,#N/A,VLOOKUP(A126,'DB Country PMI'!$A:$W,MATCH($A$1,'DB Country PMI'!$A$1:$W$1,),))</f>
        <v>51.4</v>
      </c>
      <c r="C126" s="14">
        <f>Table1346811345671012131415[[#This Row],[PMI]]-B125</f>
        <v>-4.7000000000000028</v>
      </c>
    </row>
    <row r="127" spans="1:3" x14ac:dyDescent="0.2">
      <c r="A127" s="8">
        <v>44136</v>
      </c>
      <c r="B127" s="11">
        <f>IF(VLOOKUP(A127,'DB Country PMI'!$A:$W,MATCH($A$1,'DB Country PMI'!$A$1:$W$1,),)=0,#N/A,VLOOKUP(A127,'DB Country PMI'!$A:$W,MATCH($A$1,'DB Country PMI'!$A$1:$W$1,),))</f>
        <v>47.6</v>
      </c>
      <c r="C127" s="14">
        <f>Table1346811345671012131415[[#This Row],[PMI]]-B126</f>
        <v>-3.7999999999999972</v>
      </c>
    </row>
    <row r="128" spans="1:3" x14ac:dyDescent="0.2">
      <c r="A128" s="8">
        <v>44166</v>
      </c>
      <c r="B128" s="11">
        <f>IF(VLOOKUP(A128,'DB Country PMI'!$A:$W,MATCH($A$1,'DB Country PMI'!$A$1:$W$1,),)=0,#N/A,VLOOKUP(A128,'DB Country PMI'!$A:$W,MATCH($A$1,'DB Country PMI'!$A$1:$W$1,),))</f>
        <v>49.4</v>
      </c>
      <c r="C128" s="14">
        <f>Table1346811345671012131415[[#This Row],[PMI]]-B127</f>
        <v>1.7999999999999972</v>
      </c>
    </row>
    <row r="129" spans="1:3" x14ac:dyDescent="0.2">
      <c r="A129" s="8">
        <v>44197</v>
      </c>
      <c r="B129" s="11">
        <f>IF(VLOOKUP(A129,'DB Country PMI'!$A:$W,MATCH($A$1,'DB Country PMI'!$A$1:$W$1,),)=0,#N/A,VLOOKUP(A129,'DB Country PMI'!$A:$W,MATCH($A$1,'DB Country PMI'!$A$1:$W$1,),))</f>
        <v>39.5</v>
      </c>
      <c r="C129" s="14">
        <f>Table1346811345671012131415[[#This Row],[PMI]]-B128</f>
        <v>-9.8999999999999986</v>
      </c>
    </row>
    <row r="130" spans="1:3" x14ac:dyDescent="0.2">
      <c r="A130" s="8">
        <v>44228</v>
      </c>
      <c r="B130" s="11">
        <f>IF(VLOOKUP(A130,'DB Country PMI'!$A:$W,MATCH($A$1,'DB Country PMI'!$A$1:$W$1,),)=0,#N/A,VLOOKUP(A130,'DB Country PMI'!$A:$W,MATCH($A$1,'DB Country PMI'!$A$1:$W$1,),))</f>
        <v>49.5</v>
      </c>
      <c r="C130" s="14">
        <f>Table1346811345671012131415[[#This Row],[PMI]]-B129</f>
        <v>10</v>
      </c>
    </row>
    <row r="131" spans="1:3" x14ac:dyDescent="0.2">
      <c r="A131" s="8">
        <v>44256</v>
      </c>
      <c r="B131" s="11">
        <f>IF(VLOOKUP(A131,'DB Country PMI'!$A:$W,MATCH($A$1,'DB Country PMI'!$A$1:$W$1,),)=0,#N/A,VLOOKUP(A131,'DB Country PMI'!$A:$W,MATCH($A$1,'DB Country PMI'!$A$1:$W$1,),))</f>
        <v>56.3</v>
      </c>
      <c r="C131" s="14">
        <f>Table1346811345671012131415[[#This Row],[PMI]]-B130</f>
        <v>6.7999999999999972</v>
      </c>
    </row>
    <row r="132" spans="1:3" x14ac:dyDescent="0.2">
      <c r="A132" s="8">
        <v>44287</v>
      </c>
      <c r="B132" s="11">
        <f>IF(VLOOKUP(A132,'DB Country PMI'!$A:$W,MATCH($A$1,'DB Country PMI'!$A$1:$W$1,),)=0,#N/A,VLOOKUP(A132,'DB Country PMI'!$A:$W,MATCH($A$1,'DB Country PMI'!$A$1:$W$1,),))</f>
        <v>60.1</v>
      </c>
      <c r="C132" s="14">
        <f>Table1346811345671012131415[[#This Row],[PMI]]-B131</f>
        <v>3.8000000000000043</v>
      </c>
    </row>
    <row r="133" spans="1:3" x14ac:dyDescent="0.2">
      <c r="A133" s="8">
        <v>44317</v>
      </c>
      <c r="B133" s="11">
        <f>IF(VLOOKUP(A133,'DB Country PMI'!$A:$W,MATCH($A$1,'DB Country PMI'!$A$1:$W$1,),)=0,#N/A,VLOOKUP(A133,'DB Country PMI'!$A:$W,MATCH($A$1,'DB Country PMI'!$A$1:$W$1,),))</f>
        <v>62.9</v>
      </c>
      <c r="C133" s="14">
        <f>Table1346811345671012131415[[#This Row],[PMI]]-B132</f>
        <v>2.7999999999999972</v>
      </c>
    </row>
    <row r="134" spans="1:3" x14ac:dyDescent="0.2">
      <c r="A134" s="8">
        <v>44348</v>
      </c>
      <c r="B134" s="11">
        <f>IF(VLOOKUP(A134,'DB Country PMI'!$A:$W,MATCH($A$1,'DB Country PMI'!$A$1:$W$1,),)=0,#N/A,VLOOKUP(A134,'DB Country PMI'!$A:$W,MATCH($A$1,'DB Country PMI'!$A$1:$W$1,),))</f>
        <v>62.4</v>
      </c>
      <c r="C134" s="14">
        <f>Table1346811345671012131415[[#This Row],[PMI]]-B133</f>
        <v>-0.5</v>
      </c>
    </row>
    <row r="135" spans="1:3" x14ac:dyDescent="0.2">
      <c r="A135" s="8">
        <v>44378</v>
      </c>
      <c r="B135" s="11">
        <f>IF(VLOOKUP(A135,'DB Country PMI'!$A:$W,MATCH($A$1,'DB Country PMI'!$A$1:$W$1,),)=0,#N/A,VLOOKUP(A135,'DB Country PMI'!$A:$W,MATCH($A$1,'DB Country PMI'!$A$1:$W$1,),))</f>
        <v>59.6</v>
      </c>
      <c r="C135" s="14">
        <f>Table1346811345671012131415[[#This Row],[PMI]]-B134</f>
        <v>-2.7999999999999972</v>
      </c>
    </row>
    <row r="136" spans="1:3" x14ac:dyDescent="0.2">
      <c r="A136" s="8">
        <v>44409</v>
      </c>
      <c r="B136" s="11">
        <f>IF(VLOOKUP(A136,'DB Country PMI'!$A:$W,MATCH($A$1,'DB Country PMI'!$A$1:$W$1,),)=0,#N/A,VLOOKUP(A136,'DB Country PMI'!$A:$W,MATCH($A$1,'DB Country PMI'!$A$1:$W$1,),))</f>
        <v>55</v>
      </c>
      <c r="C136" s="14">
        <f>Table1346811345671012131415[[#This Row],[PMI]]-B135</f>
        <v>-4.6000000000000014</v>
      </c>
    </row>
    <row r="137" spans="1:3" x14ac:dyDescent="0.2">
      <c r="A137" s="8">
        <v>44440</v>
      </c>
      <c r="B137" s="11">
        <f>IF(VLOOKUP(A137,'DB Country PMI'!$A:$W,MATCH($A$1,'DB Country PMI'!$A$1:$W$1,),)=0,#N/A,VLOOKUP(A137,'DB Country PMI'!$A:$W,MATCH($A$1,'DB Country PMI'!$A$1:$W$1,),))</f>
        <v>55.4</v>
      </c>
      <c r="C137" s="14">
        <f>Table1346811345671012131415[[#This Row],[PMI]]-B136</f>
        <v>0.39999999999999858</v>
      </c>
    </row>
    <row r="138" spans="1:3" x14ac:dyDescent="0.2">
      <c r="A138" s="8">
        <v>44470</v>
      </c>
      <c r="B138" s="11">
        <f>IF(VLOOKUP(A138,'DB Country PMI'!$A:$W,MATCH($A$1,'DB Country PMI'!$A$1:$W$1,),)=0,#N/A,VLOOKUP(A138,'DB Country PMI'!$A:$W,MATCH($A$1,'DB Country PMI'!$A$1:$W$1,),))</f>
        <v>59.1</v>
      </c>
      <c r="C138" s="14">
        <f>Table1346811345671012131415[[#This Row],[PMI]]-B137</f>
        <v>3.7000000000000028</v>
      </c>
    </row>
    <row r="139" spans="1:3" x14ac:dyDescent="0.2">
      <c r="A139" s="8">
        <v>44501</v>
      </c>
      <c r="B139" s="11">
        <f>IF(VLOOKUP(A139,'DB Country PMI'!$A:$W,MATCH($A$1,'DB Country PMI'!$A$1:$W$1,),)=0,#N/A,VLOOKUP(A139,'DB Country PMI'!$A:$W,MATCH($A$1,'DB Country PMI'!$A$1:$W$1,),))</f>
        <v>58.5</v>
      </c>
      <c r="C139" s="14">
        <f>Table1346811345671012131415[[#This Row],[PMI]]-B138</f>
        <v>-0.60000000000000142</v>
      </c>
    </row>
    <row r="140" spans="1:3" x14ac:dyDescent="0.2">
      <c r="A140" s="8">
        <v>44531</v>
      </c>
      <c r="B140" s="11">
        <f>IF(VLOOKUP(A140,'DB Country PMI'!$A:$W,MATCH($A$1,'DB Country PMI'!$A$1:$W$1,),)=0,#N/A,VLOOKUP(A140,'DB Country PMI'!$A:$W,MATCH($A$1,'DB Country PMI'!$A$1:$W$1,),))</f>
        <v>53.6</v>
      </c>
      <c r="C140" s="14">
        <f>Table1346811345671012131415[[#This Row],[PMI]]-B139</f>
        <v>-4.8999999999999986</v>
      </c>
    </row>
    <row r="141" spans="1:3" x14ac:dyDescent="0.2">
      <c r="A141" s="8">
        <v>44562</v>
      </c>
      <c r="B141" s="11">
        <f>IF(VLOOKUP(A141,'DB Country PMI'!$A:$W,MATCH($A$1,'DB Country PMI'!$A$1:$W$1,),)=0,#N/A,VLOOKUP(A141,'DB Country PMI'!$A:$W,MATCH($A$1,'DB Country PMI'!$A$1:$W$1,),))</f>
        <v>54.1</v>
      </c>
      <c r="C141" s="14">
        <f>Table1346811345671012131415[[#This Row],[PMI]]-B140</f>
        <v>0.5</v>
      </c>
    </row>
    <row r="142" spans="1:3" x14ac:dyDescent="0.2">
      <c r="A142" s="8">
        <v>44593</v>
      </c>
      <c r="B142" s="11">
        <f>IF(VLOOKUP(A142,'DB Country PMI'!$A:$W,MATCH($A$1,'DB Country PMI'!$A$1:$W$1,),)=0,#N/A,VLOOKUP(A142,'DB Country PMI'!$A:$W,MATCH($A$1,'DB Country PMI'!$A$1:$W$1,),))</f>
        <v>60.8</v>
      </c>
      <c r="C142" s="14">
        <f>Table1346811345671012131415[[#This Row],[PMI]]-B141</f>
        <v>6.6999999999999957</v>
      </c>
    </row>
    <row r="143" spans="1:3" x14ac:dyDescent="0.2">
      <c r="A143" s="8">
        <v>44621</v>
      </c>
      <c r="B143" s="11">
        <f>IF(VLOOKUP(A143,'DB Country PMI'!$A:$W,MATCH($A$1,'DB Country PMI'!$A$1:$W$1,),)=0,#N/A,VLOOKUP(A143,'DB Country PMI'!$A:$W,MATCH($A$1,'DB Country PMI'!$A$1:$W$1,),))</f>
        <v>61</v>
      </c>
      <c r="C143" s="14">
        <f>Table1346811345671012131415[[#This Row],[PMI]]-B142</f>
        <v>0.20000000000000284</v>
      </c>
    </row>
    <row r="144" spans="1:3" x14ac:dyDescent="0.2">
      <c r="A144" s="8">
        <v>44652</v>
      </c>
      <c r="B144" s="11">
        <f>IF(VLOOKUP(A144,'DB Country PMI'!$A:$W,MATCH($A$1,'DB Country PMI'!$A$1:$W$1,),)=0,#N/A,VLOOKUP(A144,'DB Country PMI'!$A:$W,MATCH($A$1,'DB Country PMI'!$A$1:$W$1,),))</f>
        <v>58.3</v>
      </c>
      <c r="C144" s="14">
        <f>Table1346811345671012131415[[#This Row],[PMI]]-B143</f>
        <v>-2.7000000000000028</v>
      </c>
    </row>
    <row r="145" spans="1:3" x14ac:dyDescent="0.2">
      <c r="A145" s="8">
        <v>44682</v>
      </c>
      <c r="B145" s="11">
        <f>IF(VLOOKUP(A145,'DB Country PMI'!$A:$W,MATCH($A$1,'DB Country PMI'!$A$1:$W$1,),)=0,#N/A,VLOOKUP(A145,'DB Country PMI'!$A:$W,MATCH($A$1,'DB Country PMI'!$A$1:$W$1,),))</f>
        <v>51.8</v>
      </c>
      <c r="C145" s="14">
        <f>Table1346811345671012131415[[#This Row],[PMI]]-B144</f>
        <v>-6.5</v>
      </c>
    </row>
    <row r="146" spans="1:3" x14ac:dyDescent="0.2">
      <c r="A146" s="8">
        <v>44713</v>
      </c>
      <c r="B146" s="11">
        <f>IF(VLOOKUP(A146,'DB Country PMI'!$A:$W,MATCH($A$1,'DB Country PMI'!$A$1:$W$1,),)=0,#N/A,VLOOKUP(A146,'DB Country PMI'!$A:$W,MATCH($A$1,'DB Country PMI'!$A$1:$W$1,),))</f>
        <v>53.4</v>
      </c>
      <c r="C146" s="14">
        <f>Table1346811345671012131415[[#This Row],[PMI]]-B145</f>
        <v>1.6000000000000014</v>
      </c>
    </row>
    <row r="147" spans="1:3" x14ac:dyDescent="0.2">
      <c r="A147" s="8">
        <v>44743</v>
      </c>
      <c r="B147" s="11">
        <f>IF(VLOOKUP(A147,'DB Country PMI'!$A:$W,MATCH($A$1,'DB Country PMI'!$A$1:$W$1,),)=0,#N/A,VLOOKUP(A147,'DB Country PMI'!$A:$W,MATCH($A$1,'DB Country PMI'!$A$1:$W$1,),))</f>
        <v>52.6</v>
      </c>
      <c r="C147" s="14">
        <f>Table1346811345671012131415[[#This Row],[PMI]]-B146</f>
        <v>-0.79999999999999716</v>
      </c>
    </row>
    <row r="148" spans="1:3" x14ac:dyDescent="0.2">
      <c r="A148" s="8">
        <v>44774</v>
      </c>
      <c r="B148" s="11">
        <f>IF(VLOOKUP(A148,'DB Country PMI'!$A:$W,MATCH($A$1,'DB Country PMI'!$A$1:$W$1,),)=0,#N/A,VLOOKUP(A148,'DB Country PMI'!$A:$W,MATCH($A$1,'DB Country PMI'!$A$1:$W$1,),))</f>
        <v>50.9</v>
      </c>
      <c r="C148" s="14">
        <f>Table1346811345671012131415[[#This Row],[PMI]]-B147</f>
        <v>-1.7000000000000028</v>
      </c>
    </row>
    <row r="149" spans="1:3" x14ac:dyDescent="0.2">
      <c r="A149" s="8">
        <v>44805</v>
      </c>
      <c r="B149" s="11">
        <f>IF(VLOOKUP(A149,'DB Country PMI'!$A:$W,MATCH($A$1,'DB Country PMI'!$A$1:$W$1,),)=0,#N/A,VLOOKUP(A149,'DB Country PMI'!$A:$W,MATCH($A$1,'DB Country PMI'!$A$1:$W$1,),))</f>
        <v>50</v>
      </c>
      <c r="C149" s="14">
        <f>Table1346811345671012131415[[#This Row],[PMI]]-B148</f>
        <v>-0.89999999999999858</v>
      </c>
    </row>
    <row r="150" spans="1:3" x14ac:dyDescent="0.2">
      <c r="A150" s="8">
        <v>44835</v>
      </c>
      <c r="B150" s="11">
        <f>IF(VLOOKUP(A150,'DB Country PMI'!$A:$W,MATCH($A$1,'DB Country PMI'!$A$1:$W$1,),)=0,#N/A,VLOOKUP(A150,'DB Country PMI'!$A:$W,MATCH($A$1,'DB Country PMI'!$A$1:$W$1,),))</f>
        <v>48.8</v>
      </c>
      <c r="C150" s="14">
        <f>Table1346811345671012131415[[#This Row],[PMI]]-B149</f>
        <v>-1.2000000000000028</v>
      </c>
    </row>
  </sheetData>
  <conditionalFormatting sqref="C7:C150">
    <cfRule type="colorScale" priority="1">
      <colorScale>
        <cfvo type="min"/>
        <cfvo type="percentile" val="50"/>
        <cfvo type="max"/>
        <color rgb="FFF8696B"/>
        <color rgb="FFFCFCFF"/>
        <color rgb="FF5A8AC6"/>
      </colorScale>
    </cfRule>
  </conditionalFormatting>
  <conditionalFormatting sqref="B6:B150">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J150"/>
  <sheetViews>
    <sheetView zoomScale="160" zoomScaleNormal="160" workbookViewId="0">
      <pane ySplit="5" topLeftCell="A141" activePane="bottomLeft" state="frozen"/>
      <selection pane="bottomLeft" activeCell="A135" sqref="A135:C150"/>
    </sheetView>
  </sheetViews>
  <sheetFormatPr baseColWidth="10" defaultColWidth="9.1640625" defaultRowHeight="15" x14ac:dyDescent="0.2"/>
  <cols>
    <col min="1" max="1" width="13.5" style="49" customWidth="1"/>
    <col min="2" max="2" width="11.33203125" style="49" customWidth="1"/>
    <col min="3" max="11" width="9.1640625" style="49" customWidth="1"/>
    <col min="12" max="16384" width="9.1640625" style="49"/>
  </cols>
  <sheetData>
    <row r="1" spans="1:10" x14ac:dyDescent="0.2">
      <c r="A1" s="49" t="s">
        <v>30</v>
      </c>
      <c r="J1" s="49" t="s">
        <v>62</v>
      </c>
    </row>
    <row r="2" spans="1:10" x14ac:dyDescent="0.2">
      <c r="J2" s="49" t="s">
        <v>69</v>
      </c>
    </row>
    <row r="4" spans="1:10" ht="16" customHeight="1" thickBot="1" x14ac:dyDescent="0.25"/>
    <row r="5" spans="1:10" ht="16" customHeight="1" thickBot="1" x14ac:dyDescent="0.25">
      <c r="A5" s="12" t="s">
        <v>33</v>
      </c>
      <c r="B5" s="13" t="s">
        <v>60</v>
      </c>
      <c r="C5" s="13" t="s">
        <v>61</v>
      </c>
    </row>
    <row r="6" spans="1:10" x14ac:dyDescent="0.2">
      <c r="A6" s="10">
        <v>40452</v>
      </c>
      <c r="B6" s="11">
        <f>IF(VLOOKUP(A6,'DB Country PMI'!$A:$W,MATCH($A$1,'DB Country PMI'!$A$1:$W$1,),)=0,#N/A,VLOOKUP(A6,'DB Country PMI'!$A:$W,MATCH($A$1,'DB Country PMI'!$A$1:$W$1,),))</f>
        <v>58.4</v>
      </c>
      <c r="C6" s="11"/>
    </row>
    <row r="7" spans="1:10" x14ac:dyDescent="0.2">
      <c r="A7" s="8">
        <v>40483</v>
      </c>
      <c r="B7" s="11">
        <f>IF(VLOOKUP(A7,'DB Country PMI'!$A:$W,MATCH($A$1,'DB Country PMI'!$A$1:$W$1,),)=0,#N/A,VLOOKUP(A7,'DB Country PMI'!$A:$W,MATCH($A$1,'DB Country PMI'!$A$1:$W$1,),))</f>
        <v>61.3</v>
      </c>
      <c r="C7" s="14">
        <f>Table134681134567[[#This Row],[PMI]]-B6</f>
        <v>2.8999999999999986</v>
      </c>
    </row>
    <row r="8" spans="1:10" x14ac:dyDescent="0.2">
      <c r="A8" s="8">
        <v>40513</v>
      </c>
      <c r="B8" s="11">
        <f>IF(VLOOKUP(A8,'DB Country PMI'!$A:$W,MATCH($A$1,'DB Country PMI'!$A$1:$W$1,),)=0,#N/A,VLOOKUP(A8,'DB Country PMI'!$A:$W,MATCH($A$1,'DB Country PMI'!$A$1:$W$1,),))</f>
        <v>62.1</v>
      </c>
      <c r="C8" s="14">
        <f>Table134681134567[[#This Row],[PMI]]-B7</f>
        <v>0.80000000000000426</v>
      </c>
    </row>
    <row r="9" spans="1:10" x14ac:dyDescent="0.2">
      <c r="A9" s="8">
        <v>40544</v>
      </c>
      <c r="B9" s="11">
        <f>IF(VLOOKUP(A9,'DB Country PMI'!$A:$W,MATCH($A$1,'DB Country PMI'!$A$1:$W$1,),)=0,#N/A,VLOOKUP(A9,'DB Country PMI'!$A:$W,MATCH($A$1,'DB Country PMI'!$A$1:$W$1,),))</f>
        <v>59.4</v>
      </c>
      <c r="C9" s="14">
        <f>Table134681134567[[#This Row],[PMI]]-B8</f>
        <v>-2.7000000000000028</v>
      </c>
    </row>
    <row r="10" spans="1:10" x14ac:dyDescent="0.2">
      <c r="A10" s="8">
        <v>40575</v>
      </c>
      <c r="B10" s="11">
        <f>IF(VLOOKUP(A10,'DB Country PMI'!$A:$W,MATCH($A$1,'DB Country PMI'!$A$1:$W$1,),)=0,#N/A,VLOOKUP(A10,'DB Country PMI'!$A:$W,MATCH($A$1,'DB Country PMI'!$A$1:$W$1,),))</f>
        <v>61</v>
      </c>
      <c r="C10" s="14">
        <f>Table134681134567[[#This Row],[PMI]]-B9</f>
        <v>1.6000000000000014</v>
      </c>
    </row>
    <row r="11" spans="1:10" x14ac:dyDescent="0.2">
      <c r="A11" s="8">
        <v>40603</v>
      </c>
      <c r="B11" s="11">
        <f>IF(VLOOKUP(A11,'DB Country PMI'!$A:$W,MATCH($A$1,'DB Country PMI'!$A$1:$W$1,),)=0,#N/A,VLOOKUP(A11,'DB Country PMI'!$A:$W,MATCH($A$1,'DB Country PMI'!$A$1:$W$1,),))</f>
        <v>60</v>
      </c>
      <c r="C11" s="14">
        <f>Table134681134567[[#This Row],[PMI]]-B10</f>
        <v>-1</v>
      </c>
    </row>
    <row r="12" spans="1:10" x14ac:dyDescent="0.2">
      <c r="A12" s="8">
        <v>40634</v>
      </c>
      <c r="B12" s="11">
        <f>IF(VLOOKUP(A12,'DB Country PMI'!$A:$W,MATCH($A$1,'DB Country PMI'!$A$1:$W$1,),)=0,#N/A,VLOOKUP(A12,'DB Country PMI'!$A:$W,MATCH($A$1,'DB Country PMI'!$A$1:$W$1,),))</f>
        <v>59.2</v>
      </c>
      <c r="C12" s="14">
        <f>Table134681134567[[#This Row],[PMI]]-B11</f>
        <v>-0.79999999999999716</v>
      </c>
    </row>
    <row r="13" spans="1:10" x14ac:dyDescent="0.2">
      <c r="A13" s="8">
        <v>40664</v>
      </c>
      <c r="B13" s="11">
        <f>IF(VLOOKUP(A13,'DB Country PMI'!$A:$W,MATCH($A$1,'DB Country PMI'!$A$1:$W$1,),)=0,#N/A,VLOOKUP(A13,'DB Country PMI'!$A:$W,MATCH($A$1,'DB Country PMI'!$A$1:$W$1,),))</f>
        <v>57.7</v>
      </c>
      <c r="C13" s="14">
        <f>Table134681134567[[#This Row],[PMI]]-B12</f>
        <v>-1.5</v>
      </c>
    </row>
    <row r="14" spans="1:10" x14ac:dyDescent="0.2">
      <c r="A14" s="8">
        <v>40695</v>
      </c>
      <c r="B14" s="11">
        <f>IF(VLOOKUP(A14,'DB Country PMI'!$A:$W,MATCH($A$1,'DB Country PMI'!$A$1:$W$1,),)=0,#N/A,VLOOKUP(A14,'DB Country PMI'!$A:$W,MATCH($A$1,'DB Country PMI'!$A$1:$W$1,),))</f>
        <v>56.1</v>
      </c>
      <c r="C14" s="14">
        <f>Table134681134567[[#This Row],[PMI]]-B13</f>
        <v>-1.6000000000000014</v>
      </c>
    </row>
    <row r="15" spans="1:10" x14ac:dyDescent="0.2">
      <c r="A15" s="8">
        <v>40725</v>
      </c>
      <c r="B15" s="11">
        <f>IF(VLOOKUP(A15,'DB Country PMI'!$A:$W,MATCH($A$1,'DB Country PMI'!$A$1:$W$1,),)=0,#N/A,VLOOKUP(A15,'DB Country PMI'!$A:$W,MATCH($A$1,'DB Country PMI'!$A$1:$W$1,),))</f>
        <v>58.2</v>
      </c>
      <c r="C15" s="14">
        <f>Table134681134567[[#This Row],[PMI]]-B14</f>
        <v>2.1000000000000014</v>
      </c>
    </row>
    <row r="16" spans="1:10" x14ac:dyDescent="0.2">
      <c r="A16" s="8">
        <v>40756</v>
      </c>
      <c r="B16" s="11">
        <f>IF(VLOOKUP(A16,'DB Country PMI'!$A:$W,MATCH($A$1,'DB Country PMI'!$A$1:$W$1,),)=0,#N/A,VLOOKUP(A16,'DB Country PMI'!$A:$W,MATCH($A$1,'DB Country PMI'!$A$1:$W$1,),))</f>
        <v>56.7</v>
      </c>
      <c r="C16" s="14">
        <f>Table134681134567[[#This Row],[PMI]]-B15</f>
        <v>-1.5</v>
      </c>
    </row>
    <row r="17" spans="1:3" x14ac:dyDescent="0.2">
      <c r="A17" s="8">
        <v>40787</v>
      </c>
      <c r="B17" s="11">
        <f>IF(VLOOKUP(A17,'DB Country PMI'!$A:$W,MATCH($A$1,'DB Country PMI'!$A$1:$W$1,),)=0,#N/A,VLOOKUP(A17,'DB Country PMI'!$A:$W,MATCH($A$1,'DB Country PMI'!$A$1:$W$1,),))</f>
        <v>49.8</v>
      </c>
      <c r="C17" s="14">
        <f>Table134681134567[[#This Row],[PMI]]-B16</f>
        <v>-6.9000000000000057</v>
      </c>
    </row>
    <row r="18" spans="1:3" x14ac:dyDescent="0.2">
      <c r="A18" s="8">
        <v>40817</v>
      </c>
      <c r="B18" s="11">
        <f>IF(VLOOKUP(A18,'DB Country PMI'!$A:$W,MATCH($A$1,'DB Country PMI'!$A$1:$W$1,),)=0,#N/A,VLOOKUP(A18,'DB Country PMI'!$A:$W,MATCH($A$1,'DB Country PMI'!$A$1:$W$1,),))</f>
        <v>49.1</v>
      </c>
      <c r="C18" s="14">
        <f>Table134681134567[[#This Row],[PMI]]-B17</f>
        <v>-0.69999999999999574</v>
      </c>
    </row>
    <row r="19" spans="1:3" x14ac:dyDescent="0.2">
      <c r="A19" s="8">
        <v>40848</v>
      </c>
      <c r="B19" s="11">
        <f>IF(VLOOKUP(A19,'DB Country PMI'!$A:$W,MATCH($A$1,'DB Country PMI'!$A$1:$W$1,),)=0,#N/A,VLOOKUP(A19,'DB Country PMI'!$A:$W,MATCH($A$1,'DB Country PMI'!$A$1:$W$1,),))</f>
        <v>53.2</v>
      </c>
      <c r="C19" s="14">
        <f>Table134681134567[[#This Row],[PMI]]-B18</f>
        <v>4.1000000000000014</v>
      </c>
    </row>
    <row r="20" spans="1:3" x14ac:dyDescent="0.2">
      <c r="A20" s="8">
        <v>40878</v>
      </c>
      <c r="B20" s="11">
        <f>IF(VLOOKUP(A20,'DB Country PMI'!$A:$W,MATCH($A$1,'DB Country PMI'!$A$1:$W$1,),)=0,#N/A,VLOOKUP(A20,'DB Country PMI'!$A:$W,MATCH($A$1,'DB Country PMI'!$A$1:$W$1,),))</f>
        <v>54.2</v>
      </c>
      <c r="C20" s="14">
        <f>Table134681134567[[#This Row],[PMI]]-B19</f>
        <v>1</v>
      </c>
    </row>
    <row r="21" spans="1:3" x14ac:dyDescent="0.2">
      <c r="A21" s="8">
        <v>40909</v>
      </c>
      <c r="B21" s="11">
        <f>IF(VLOOKUP(A21,'DB Country PMI'!$A:$W,MATCH($A$1,'DB Country PMI'!$A$1:$W$1,),)=0,#N/A,VLOOKUP(A21,'DB Country PMI'!$A:$W,MATCH($A$1,'DB Country PMI'!$A$1:$W$1,),))</f>
        <v>55.1</v>
      </c>
      <c r="C21" s="14">
        <f>Table134681134567[[#This Row],[PMI]]-B20</f>
        <v>0.89999999999999858</v>
      </c>
    </row>
    <row r="22" spans="1:3" x14ac:dyDescent="0.2">
      <c r="A22" s="8">
        <v>40940</v>
      </c>
      <c r="B22" s="11">
        <f>IF(VLOOKUP(A22,'DB Country PMI'!$A:$W,MATCH($A$1,'DB Country PMI'!$A$1:$W$1,),)=0,#N/A,VLOOKUP(A22,'DB Country PMI'!$A:$W,MATCH($A$1,'DB Country PMI'!$A$1:$W$1,),))</f>
        <v>53.4</v>
      </c>
      <c r="C22" s="14">
        <f>Table134681134567[[#This Row],[PMI]]-B21</f>
        <v>-1.7000000000000028</v>
      </c>
    </row>
    <row r="23" spans="1:3" x14ac:dyDescent="0.2">
      <c r="A23" s="8">
        <v>40969</v>
      </c>
      <c r="B23" s="11">
        <f>IF(VLOOKUP(A23,'DB Country PMI'!$A:$W,MATCH($A$1,'DB Country PMI'!$A$1:$W$1,),)=0,#N/A,VLOOKUP(A23,'DB Country PMI'!$A:$W,MATCH($A$1,'DB Country PMI'!$A$1:$W$1,),))</f>
        <v>54.1</v>
      </c>
      <c r="C23" s="14">
        <f>Table134681134567[[#This Row],[PMI]]-B22</f>
        <v>0.70000000000000284</v>
      </c>
    </row>
    <row r="24" spans="1:3" x14ac:dyDescent="0.2">
      <c r="A24" s="8">
        <v>41000</v>
      </c>
      <c r="B24" s="11">
        <f>IF(VLOOKUP(A24,'DB Country PMI'!$A:$W,MATCH($A$1,'DB Country PMI'!$A$1:$W$1,),)=0,#N/A,VLOOKUP(A24,'DB Country PMI'!$A:$W,MATCH($A$1,'DB Country PMI'!$A$1:$W$1,),))</f>
        <v>52.3</v>
      </c>
      <c r="C24" s="14">
        <f>Table134681134567[[#This Row],[PMI]]-B23</f>
        <v>-1.8000000000000043</v>
      </c>
    </row>
    <row r="25" spans="1:3" x14ac:dyDescent="0.2">
      <c r="A25" s="8">
        <v>41030</v>
      </c>
      <c r="B25" s="11">
        <f>IF(VLOOKUP(A25,'DB Country PMI'!$A:$W,MATCH($A$1,'DB Country PMI'!$A$1:$W$1,),)=0,#N/A,VLOOKUP(A25,'DB Country PMI'!$A:$W,MATCH($A$1,'DB Country PMI'!$A$1:$W$1,),))</f>
        <v>52.8</v>
      </c>
      <c r="C25" s="14">
        <f>Table134681134567[[#This Row],[PMI]]-B24</f>
        <v>0.5</v>
      </c>
    </row>
    <row r="26" spans="1:3" x14ac:dyDescent="0.2">
      <c r="A26" s="8">
        <v>41061</v>
      </c>
      <c r="B26" s="11">
        <f>IF(VLOOKUP(A26,'DB Country PMI'!$A:$W,MATCH($A$1,'DB Country PMI'!$A$1:$W$1,),)=0,#N/A,VLOOKUP(A26,'DB Country PMI'!$A:$W,MATCH($A$1,'DB Country PMI'!$A$1:$W$1,),))</f>
        <v>54.7</v>
      </c>
      <c r="C26" s="14">
        <f>Table134681134567[[#This Row],[PMI]]-B25</f>
        <v>1.9000000000000057</v>
      </c>
    </row>
    <row r="27" spans="1:3" x14ac:dyDescent="0.2">
      <c r="A27" s="8">
        <v>41091</v>
      </c>
      <c r="B27" s="11">
        <f>IF(VLOOKUP(A27,'DB Country PMI'!$A:$W,MATCH($A$1,'DB Country PMI'!$A$1:$W$1,),)=0,#N/A,VLOOKUP(A27,'DB Country PMI'!$A:$W,MATCH($A$1,'DB Country PMI'!$A$1:$W$1,),))</f>
        <v>54.3</v>
      </c>
      <c r="C27" s="14">
        <f>Table134681134567[[#This Row],[PMI]]-B26</f>
        <v>-0.40000000000000568</v>
      </c>
    </row>
    <row r="28" spans="1:3" x14ac:dyDescent="0.2">
      <c r="A28" s="8">
        <v>41122</v>
      </c>
      <c r="B28" s="11">
        <f>IF(VLOOKUP(A28,'DB Country PMI'!$A:$W,MATCH($A$1,'DB Country PMI'!$A$1:$W$1,),)=0,#N/A,VLOOKUP(A28,'DB Country PMI'!$A:$W,MATCH($A$1,'DB Country PMI'!$A$1:$W$1,),))</f>
        <v>54.2</v>
      </c>
      <c r="C28" s="14">
        <f>Table134681134567[[#This Row],[PMI]]-B27</f>
        <v>-9.9999999999994316E-2</v>
      </c>
    </row>
    <row r="29" spans="1:3" x14ac:dyDescent="0.2">
      <c r="A29" s="8">
        <v>41153</v>
      </c>
      <c r="B29" s="11">
        <f>IF(VLOOKUP(A29,'DB Country PMI'!$A:$W,MATCH($A$1,'DB Country PMI'!$A$1:$W$1,),)=0,#N/A,VLOOKUP(A29,'DB Country PMI'!$A:$W,MATCH($A$1,'DB Country PMI'!$A$1:$W$1,),))</f>
        <v>55</v>
      </c>
      <c r="C29" s="14">
        <f>Table134681134567[[#This Row],[PMI]]-B28</f>
        <v>0.79999999999999716</v>
      </c>
    </row>
    <row r="30" spans="1:3" x14ac:dyDescent="0.2">
      <c r="A30" s="8">
        <v>41183</v>
      </c>
      <c r="B30" s="11">
        <f>IF(VLOOKUP(A30,'DB Country PMI'!$A:$W,MATCH($A$1,'DB Country PMI'!$A$1:$W$1,),)=0,#N/A,VLOOKUP(A30,'DB Country PMI'!$A:$W,MATCH($A$1,'DB Country PMI'!$A$1:$W$1,),))</f>
        <v>55.8</v>
      </c>
      <c r="C30" s="14">
        <f>Table134681134567[[#This Row],[PMI]]-B29</f>
        <v>0.79999999999999716</v>
      </c>
    </row>
    <row r="31" spans="1:3" x14ac:dyDescent="0.2">
      <c r="A31" s="8">
        <v>41214</v>
      </c>
      <c r="B31" s="11">
        <f>IF(VLOOKUP(A31,'DB Country PMI'!$A:$W,MATCH($A$1,'DB Country PMI'!$A$1:$W$1,),)=0,#N/A,VLOOKUP(A31,'DB Country PMI'!$A:$W,MATCH($A$1,'DB Country PMI'!$A$1:$W$1,),))</f>
        <v>53.8</v>
      </c>
      <c r="C31" s="14">
        <f>Table134681134567[[#This Row],[PMI]]-B30</f>
        <v>-2</v>
      </c>
    </row>
    <row r="32" spans="1:3" x14ac:dyDescent="0.2">
      <c r="A32" s="8">
        <v>41244</v>
      </c>
      <c r="B32" s="11">
        <f>IF(VLOOKUP(A32,'DB Country PMI'!$A:$W,MATCH($A$1,'DB Country PMI'!$A$1:$W$1,),)=0,#N/A,VLOOKUP(A32,'DB Country PMI'!$A:$W,MATCH($A$1,'DB Country PMI'!$A$1:$W$1,),))</f>
        <v>52.1</v>
      </c>
      <c r="C32" s="14">
        <f>Table134681134567[[#This Row],[PMI]]-B31</f>
        <v>-1.6999999999999957</v>
      </c>
    </row>
    <row r="33" spans="1:3" x14ac:dyDescent="0.2">
      <c r="A33" s="8">
        <v>41275</v>
      </c>
      <c r="B33" s="11">
        <f>IF(VLOOKUP(A33,'DB Country PMI'!$A:$W,MATCH($A$1,'DB Country PMI'!$A$1:$W$1,),)=0,#N/A,VLOOKUP(A33,'DB Country PMI'!$A:$W,MATCH($A$1,'DB Country PMI'!$A$1:$W$1,),))</f>
        <v>57.5</v>
      </c>
      <c r="C33" s="14">
        <f>Table134681134567[[#This Row],[PMI]]-B32</f>
        <v>5.3999999999999986</v>
      </c>
    </row>
    <row r="34" spans="1:3" x14ac:dyDescent="0.2">
      <c r="A34" s="8">
        <v>41306</v>
      </c>
      <c r="B34" s="11">
        <f>IF(VLOOKUP(A34,'DB Country PMI'!$A:$W,MATCH($A$1,'DB Country PMI'!$A$1:$W$1,),)=0,#N/A,VLOOKUP(A34,'DB Country PMI'!$A:$W,MATCH($A$1,'DB Country PMI'!$A$1:$W$1,),))</f>
        <v>54.2</v>
      </c>
      <c r="C34" s="14">
        <f>Table134681134567[[#This Row],[PMI]]-B33</f>
        <v>-3.2999999999999972</v>
      </c>
    </row>
    <row r="35" spans="1:3" x14ac:dyDescent="0.2">
      <c r="A35" s="8">
        <v>41334</v>
      </c>
      <c r="B35" s="11">
        <f>IF(VLOOKUP(A35,'DB Country PMI'!$A:$W,MATCH($A$1,'DB Country PMI'!$A$1:$W$1,),)=0,#N/A,VLOOKUP(A35,'DB Country PMI'!$A:$W,MATCH($A$1,'DB Country PMI'!$A$1:$W$1,),))</f>
        <v>51.4</v>
      </c>
      <c r="C35" s="14">
        <f>Table134681134567[[#This Row],[PMI]]-B34</f>
        <v>-2.8000000000000043</v>
      </c>
    </row>
    <row r="36" spans="1:3" x14ac:dyDescent="0.2">
      <c r="A36" s="8">
        <v>41365</v>
      </c>
      <c r="B36" s="11">
        <f>IF(VLOOKUP(A36,'DB Country PMI'!$A:$W,MATCH($A$1,'DB Country PMI'!$A$1:$W$1,),)=0,#N/A,VLOOKUP(A36,'DB Country PMI'!$A:$W,MATCH($A$1,'DB Country PMI'!$A$1:$W$1,),))</f>
        <v>50.7</v>
      </c>
      <c r="C36" s="14">
        <f>Table134681134567[[#This Row],[PMI]]-B35</f>
        <v>-0.69999999999999574</v>
      </c>
    </row>
    <row r="37" spans="1:3" x14ac:dyDescent="0.2">
      <c r="A37" s="8">
        <v>41395</v>
      </c>
      <c r="B37" s="11">
        <f>IF(VLOOKUP(A37,'DB Country PMI'!$A:$W,MATCH($A$1,'DB Country PMI'!$A$1:$W$1,),)=0,#N/A,VLOOKUP(A37,'DB Country PMI'!$A:$W,MATCH($A$1,'DB Country PMI'!$A$1:$W$1,),))</f>
        <v>53.6</v>
      </c>
      <c r="C37" s="14">
        <f>Table134681134567[[#This Row],[PMI]]-B36</f>
        <v>2.8999999999999986</v>
      </c>
    </row>
    <row r="38" spans="1:3" x14ac:dyDescent="0.2">
      <c r="A38" s="8">
        <v>41426</v>
      </c>
      <c r="B38" s="11">
        <f>IF(VLOOKUP(A38,'DB Country PMI'!$A:$W,MATCH($A$1,'DB Country PMI'!$A$1:$W$1,),)=0,#N/A,VLOOKUP(A38,'DB Country PMI'!$A:$W,MATCH($A$1,'DB Country PMI'!$A$1:$W$1,),))</f>
        <v>51.7</v>
      </c>
      <c r="C38" s="14">
        <f>Table134681134567[[#This Row],[PMI]]-B37</f>
        <v>-1.8999999999999986</v>
      </c>
    </row>
    <row r="39" spans="1:3" x14ac:dyDescent="0.2">
      <c r="A39" s="8">
        <v>41456</v>
      </c>
      <c r="B39" s="11">
        <f>IF(VLOOKUP(A39,'DB Country PMI'!$A:$W,MATCH($A$1,'DB Country PMI'!$A$1:$W$1,),)=0,#N/A,VLOOKUP(A39,'DB Country PMI'!$A:$W,MATCH($A$1,'DB Country PMI'!$A$1:$W$1,),))</f>
        <v>47.9</v>
      </c>
      <c r="C39" s="14">
        <f>Table134681134567[[#This Row],[PMI]]-B38</f>
        <v>-3.8000000000000043</v>
      </c>
    </row>
    <row r="40" spans="1:3" x14ac:dyDescent="0.2">
      <c r="A40" s="8">
        <v>41487</v>
      </c>
      <c r="B40" s="11">
        <f>IF(VLOOKUP(A40,'DB Country PMI'!$A:$W,MATCH($A$1,'DB Country PMI'!$A$1:$W$1,),)=0,#N/A,VLOOKUP(A40,'DB Country PMI'!$A:$W,MATCH($A$1,'DB Country PMI'!$A$1:$W$1,),))</f>
        <v>47.6</v>
      </c>
      <c r="C40" s="14">
        <f>Table134681134567[[#This Row],[PMI]]-B39</f>
        <v>-0.29999999999999716</v>
      </c>
    </row>
    <row r="41" spans="1:3" x14ac:dyDescent="0.2">
      <c r="A41" s="8">
        <v>41518</v>
      </c>
      <c r="B41" s="11">
        <f>IF(VLOOKUP(A41,'DB Country PMI'!$A:$W,MATCH($A$1,'DB Country PMI'!$A$1:$W$1,),)=0,#N/A,VLOOKUP(A41,'DB Country PMI'!$A:$W,MATCH($A$1,'DB Country PMI'!$A$1:$W$1,),))</f>
        <v>44.6</v>
      </c>
      <c r="C41" s="14">
        <f>Table134681134567[[#This Row],[PMI]]-B40</f>
        <v>-3</v>
      </c>
    </row>
    <row r="42" spans="1:3" x14ac:dyDescent="0.2">
      <c r="A42" s="8">
        <v>41548</v>
      </c>
      <c r="B42" s="11">
        <f>IF(VLOOKUP(A42,'DB Country PMI'!$A:$W,MATCH($A$1,'DB Country PMI'!$A$1:$W$1,),)=0,#N/A,VLOOKUP(A42,'DB Country PMI'!$A:$W,MATCH($A$1,'DB Country PMI'!$A$1:$W$1,),))</f>
        <v>47.1</v>
      </c>
      <c r="C42" s="14">
        <f>Table134681134567[[#This Row],[PMI]]-B41</f>
        <v>2.5</v>
      </c>
    </row>
    <row r="43" spans="1:3" x14ac:dyDescent="0.2">
      <c r="A43" s="8">
        <v>41579</v>
      </c>
      <c r="B43" s="11">
        <f>IF(VLOOKUP(A43,'DB Country PMI'!$A:$W,MATCH($A$1,'DB Country PMI'!$A$1:$W$1,),)=0,#N/A,VLOOKUP(A43,'DB Country PMI'!$A:$W,MATCH($A$1,'DB Country PMI'!$A$1:$W$1,),))</f>
        <v>47.2</v>
      </c>
      <c r="C43" s="14">
        <f>Table134681134567[[#This Row],[PMI]]-B42</f>
        <v>0.10000000000000142</v>
      </c>
    </row>
    <row r="44" spans="1:3" x14ac:dyDescent="0.2">
      <c r="A44" s="8">
        <v>41609</v>
      </c>
      <c r="B44" s="11">
        <f>IF(VLOOKUP(A44,'DB Country PMI'!$A:$W,MATCH($A$1,'DB Country PMI'!$A$1:$W$1,),)=0,#N/A,VLOOKUP(A44,'DB Country PMI'!$A:$W,MATCH($A$1,'DB Country PMI'!$A$1:$W$1,),))</f>
        <v>47.9</v>
      </c>
      <c r="C44" s="14">
        <f>Table134681134567[[#This Row],[PMI]]-B43</f>
        <v>0.69999999999999574</v>
      </c>
    </row>
    <row r="45" spans="1:3" x14ac:dyDescent="0.2">
      <c r="A45" s="8">
        <v>41640</v>
      </c>
      <c r="B45" s="11">
        <f>IF(VLOOKUP(A45,'DB Country PMI'!$A:$W,MATCH($A$1,'DB Country PMI'!$A$1:$W$1,),)=0,#N/A,VLOOKUP(A45,'DB Country PMI'!$A:$W,MATCH($A$1,'DB Country PMI'!$A$1:$W$1,),))</f>
        <v>48.3</v>
      </c>
      <c r="C45" s="14">
        <f>Table134681134567[[#This Row],[PMI]]-B44</f>
        <v>0.39999999999999858</v>
      </c>
    </row>
    <row r="46" spans="1:3" x14ac:dyDescent="0.2">
      <c r="A46" s="8">
        <v>41671</v>
      </c>
      <c r="B46" s="11">
        <f>IF(VLOOKUP(A46,'DB Country PMI'!$A:$W,MATCH($A$1,'DB Country PMI'!$A$1:$W$1,),)=0,#N/A,VLOOKUP(A46,'DB Country PMI'!$A:$W,MATCH($A$1,'DB Country PMI'!$A$1:$W$1,),))</f>
        <v>48.8</v>
      </c>
      <c r="C46" s="14">
        <f>Table134681134567[[#This Row],[PMI]]-B45</f>
        <v>0.5</v>
      </c>
    </row>
    <row r="47" spans="1:3" x14ac:dyDescent="0.2">
      <c r="A47" s="8">
        <v>41699</v>
      </c>
      <c r="B47" s="11">
        <f>IF(VLOOKUP(A47,'DB Country PMI'!$A:$W,MATCH($A$1,'DB Country PMI'!$A$1:$W$1,),)=0,#N/A,VLOOKUP(A47,'DB Country PMI'!$A:$W,MATCH($A$1,'DB Country PMI'!$A$1:$W$1,),))</f>
        <v>47.5</v>
      </c>
      <c r="C47" s="14">
        <f>Table134681134567[[#This Row],[PMI]]-B46</f>
        <v>-1.2999999999999972</v>
      </c>
    </row>
    <row r="48" spans="1:3" x14ac:dyDescent="0.2">
      <c r="A48" s="8">
        <v>41730</v>
      </c>
      <c r="B48" s="11">
        <f>IF(VLOOKUP(A48,'DB Country PMI'!$A:$W,MATCH($A$1,'DB Country PMI'!$A$1:$W$1,),)=0,#N/A,VLOOKUP(A48,'DB Country PMI'!$A:$W,MATCH($A$1,'DB Country PMI'!$A$1:$W$1,),))</f>
        <v>48.5</v>
      </c>
      <c r="C48" s="14">
        <f>Table134681134567[[#This Row],[PMI]]-B47</f>
        <v>1</v>
      </c>
    </row>
    <row r="49" spans="1:3" x14ac:dyDescent="0.2">
      <c r="A49" s="8">
        <v>41760</v>
      </c>
      <c r="B49" s="11">
        <f>IF(VLOOKUP(A49,'DB Country PMI'!$A:$W,MATCH($A$1,'DB Country PMI'!$A$1:$W$1,),)=0,#N/A,VLOOKUP(A49,'DB Country PMI'!$A:$W,MATCH($A$1,'DB Country PMI'!$A$1:$W$1,),))</f>
        <v>50.7</v>
      </c>
      <c r="C49" s="14">
        <f>Table134681134567[[#This Row],[PMI]]-B48</f>
        <v>2.2000000000000028</v>
      </c>
    </row>
    <row r="50" spans="1:3" x14ac:dyDescent="0.2">
      <c r="A50" s="8">
        <v>41791</v>
      </c>
      <c r="B50" s="11">
        <f>IF(VLOOKUP(A50,'DB Country PMI'!$A:$W,MATCH($A$1,'DB Country PMI'!$A$1:$W$1,),)=0,#N/A,VLOOKUP(A50,'DB Country PMI'!$A:$W,MATCH($A$1,'DB Country PMI'!$A$1:$W$1,),))</f>
        <v>54.4</v>
      </c>
      <c r="C50" s="14">
        <f>Table134681134567[[#This Row],[PMI]]-B49</f>
        <v>3.6999999999999957</v>
      </c>
    </row>
    <row r="51" spans="1:3" x14ac:dyDescent="0.2">
      <c r="A51" s="8">
        <v>41821</v>
      </c>
      <c r="B51" s="11">
        <f>IF(VLOOKUP(A51,'DB Country PMI'!$A:$W,MATCH($A$1,'DB Country PMI'!$A$1:$W$1,),)=0,#N/A,VLOOKUP(A51,'DB Country PMI'!$A:$W,MATCH($A$1,'DB Country PMI'!$A$1:$W$1,),))</f>
        <v>52.2</v>
      </c>
      <c r="C51" s="14">
        <f>Table134681134567[[#This Row],[PMI]]-B50</f>
        <v>-2.1999999999999957</v>
      </c>
    </row>
    <row r="52" spans="1:3" x14ac:dyDescent="0.2">
      <c r="A52" s="8">
        <v>41852</v>
      </c>
      <c r="B52" s="11">
        <f>IF(VLOOKUP(A52,'DB Country PMI'!$A:$W,MATCH($A$1,'DB Country PMI'!$A$1:$W$1,),)=0,#N/A,VLOOKUP(A52,'DB Country PMI'!$A:$W,MATCH($A$1,'DB Country PMI'!$A$1:$W$1,),))</f>
        <v>50.6</v>
      </c>
      <c r="C52" s="14">
        <f>Table134681134567[[#This Row],[PMI]]-B51</f>
        <v>-1.6000000000000014</v>
      </c>
    </row>
    <row r="53" spans="1:3" x14ac:dyDescent="0.2">
      <c r="A53" s="8">
        <v>41883</v>
      </c>
      <c r="B53" s="11">
        <f>IF(VLOOKUP(A53,'DB Country PMI'!$A:$W,MATCH($A$1,'DB Country PMI'!$A$1:$W$1,),)=0,#N/A,VLOOKUP(A53,'DB Country PMI'!$A:$W,MATCH($A$1,'DB Country PMI'!$A$1:$W$1,),))</f>
        <v>51.6</v>
      </c>
      <c r="C53" s="14">
        <f>Table134681134567[[#This Row],[PMI]]-B52</f>
        <v>1</v>
      </c>
    </row>
    <row r="54" spans="1:3" x14ac:dyDescent="0.2">
      <c r="A54" s="8">
        <v>41913</v>
      </c>
      <c r="B54" s="11">
        <f>IF(VLOOKUP(A54,'DB Country PMI'!$A:$W,MATCH($A$1,'DB Country PMI'!$A$1:$W$1,),)=0,#N/A,VLOOKUP(A54,'DB Country PMI'!$A:$W,MATCH($A$1,'DB Country PMI'!$A$1:$W$1,),))</f>
        <v>50</v>
      </c>
      <c r="C54" s="14">
        <f>Table134681134567[[#This Row],[PMI]]-B53</f>
        <v>-1.6000000000000014</v>
      </c>
    </row>
    <row r="55" spans="1:3" x14ac:dyDescent="0.2">
      <c r="A55" s="8">
        <v>41944</v>
      </c>
      <c r="B55" s="11">
        <f>IF(VLOOKUP(A55,'DB Country PMI'!$A:$W,MATCH($A$1,'DB Country PMI'!$A$1:$W$1,),)=0,#N/A,VLOOKUP(A55,'DB Country PMI'!$A:$W,MATCH($A$1,'DB Country PMI'!$A$1:$W$1,),))</f>
        <v>52.6</v>
      </c>
      <c r="C55" s="14">
        <f>Table134681134567[[#This Row],[PMI]]-B54</f>
        <v>2.6000000000000014</v>
      </c>
    </row>
    <row r="56" spans="1:3" x14ac:dyDescent="0.2">
      <c r="A56" s="8">
        <v>41974</v>
      </c>
      <c r="B56" s="11">
        <f>IF(VLOOKUP(A56,'DB Country PMI'!$A:$W,MATCH($A$1,'DB Country PMI'!$A$1:$W$1,),)=0,#N/A,VLOOKUP(A56,'DB Country PMI'!$A:$W,MATCH($A$1,'DB Country PMI'!$A$1:$W$1,),))</f>
        <v>51.1</v>
      </c>
      <c r="C56" s="14">
        <f>Table134681134567[[#This Row],[PMI]]-B55</f>
        <v>-1.5</v>
      </c>
    </row>
    <row r="57" spans="1:3" x14ac:dyDescent="0.2">
      <c r="A57" s="8">
        <v>42005</v>
      </c>
      <c r="B57" s="11">
        <f>IF(VLOOKUP(A57,'DB Country PMI'!$A:$W,MATCH($A$1,'DB Country PMI'!$A$1:$W$1,),)=0,#N/A,VLOOKUP(A57,'DB Country PMI'!$A:$W,MATCH($A$1,'DB Country PMI'!$A$1:$W$1,),))</f>
        <v>52.4</v>
      </c>
      <c r="C57" s="14">
        <f>Table134681134567[[#This Row],[PMI]]-B56</f>
        <v>1.2999999999999972</v>
      </c>
    </row>
    <row r="58" spans="1:3" x14ac:dyDescent="0.2">
      <c r="A58" s="8">
        <v>42036</v>
      </c>
      <c r="B58" s="11">
        <f>IF(VLOOKUP(A58,'DB Country PMI'!$A:$W,MATCH($A$1,'DB Country PMI'!$A$1:$W$1,),)=0,#N/A,VLOOKUP(A58,'DB Country PMI'!$A:$W,MATCH($A$1,'DB Country PMI'!$A$1:$W$1,),))</f>
        <v>53.9</v>
      </c>
      <c r="C58" s="14">
        <f>Table134681134567[[#This Row],[PMI]]-B57</f>
        <v>1.5</v>
      </c>
    </row>
    <row r="59" spans="1:3" x14ac:dyDescent="0.2">
      <c r="A59" s="8">
        <v>42064</v>
      </c>
      <c r="B59" s="11">
        <f>IF(VLOOKUP(A59,'DB Country PMI'!$A:$W,MATCH($A$1,'DB Country PMI'!$A$1:$W$1,),)=0,#N/A,VLOOKUP(A59,'DB Country PMI'!$A:$W,MATCH($A$1,'DB Country PMI'!$A$1:$W$1,),))</f>
        <v>53</v>
      </c>
      <c r="C59" s="14">
        <f>Table134681134567[[#This Row],[PMI]]-B58</f>
        <v>-0.89999999999999858</v>
      </c>
    </row>
    <row r="60" spans="1:3" x14ac:dyDescent="0.2">
      <c r="A60" s="8">
        <v>42095</v>
      </c>
      <c r="B60" s="11">
        <f>IF(VLOOKUP(A60,'DB Country PMI'!$A:$W,MATCH($A$1,'DB Country PMI'!$A$1:$W$1,),)=0,#N/A,VLOOKUP(A60,'DB Country PMI'!$A:$W,MATCH($A$1,'DB Country PMI'!$A$1:$W$1,),))</f>
        <v>52.4</v>
      </c>
      <c r="C60" s="14">
        <f>Table134681134567[[#This Row],[PMI]]-B59</f>
        <v>-0.60000000000000142</v>
      </c>
    </row>
    <row r="61" spans="1:3" x14ac:dyDescent="0.2">
      <c r="A61" s="8">
        <v>42125</v>
      </c>
      <c r="B61" s="11">
        <f>IF(VLOOKUP(A61,'DB Country PMI'!$A:$W,MATCH($A$1,'DB Country PMI'!$A$1:$W$1,),)=0,#N/A,VLOOKUP(A61,'DB Country PMI'!$A:$W,MATCH($A$1,'DB Country PMI'!$A$1:$W$1,),))</f>
        <v>49.6</v>
      </c>
      <c r="C61" s="14">
        <f>Table134681134567[[#This Row],[PMI]]-B60</f>
        <v>-2.7999999999999972</v>
      </c>
    </row>
    <row r="62" spans="1:3" x14ac:dyDescent="0.2">
      <c r="A62" s="8">
        <v>42156</v>
      </c>
      <c r="B62" s="11">
        <f>IF(VLOOKUP(A62,'DB Country PMI'!$A:$W,MATCH($A$1,'DB Country PMI'!$A$1:$W$1,),)=0,#N/A,VLOOKUP(A62,'DB Country PMI'!$A:$W,MATCH($A$1,'DB Country PMI'!$A$1:$W$1,),))</f>
        <v>47.7</v>
      </c>
      <c r="C62" s="14">
        <f>Table134681134567[[#This Row],[PMI]]-B61</f>
        <v>-1.8999999999999986</v>
      </c>
    </row>
    <row r="63" spans="1:3" x14ac:dyDescent="0.2">
      <c r="A63" s="8">
        <v>42186</v>
      </c>
      <c r="B63" s="11">
        <f>IF(VLOOKUP(A63,'DB Country PMI'!$A:$W,MATCH($A$1,'DB Country PMI'!$A$1:$W$1,),)=0,#N/A,VLOOKUP(A63,'DB Country PMI'!$A:$W,MATCH($A$1,'DB Country PMI'!$A$1:$W$1,),))</f>
        <v>50.8</v>
      </c>
      <c r="C63" s="14">
        <f>Table134681134567[[#This Row],[PMI]]-B62</f>
        <v>3.0999999999999943</v>
      </c>
    </row>
    <row r="64" spans="1:3" x14ac:dyDescent="0.2">
      <c r="A64" s="8">
        <v>42217</v>
      </c>
      <c r="B64" s="11">
        <f>IF(VLOOKUP(A64,'DB Country PMI'!$A:$W,MATCH($A$1,'DB Country PMI'!$A$1:$W$1,),)=0,#N/A,VLOOKUP(A64,'DB Country PMI'!$A:$W,MATCH($A$1,'DB Country PMI'!$A$1:$W$1,),))</f>
        <v>51.8</v>
      </c>
      <c r="C64" s="14">
        <f>Table134681134567[[#This Row],[PMI]]-B63</f>
        <v>1</v>
      </c>
    </row>
    <row r="65" spans="1:3" x14ac:dyDescent="0.2">
      <c r="A65" s="8">
        <v>42248</v>
      </c>
      <c r="B65" s="11">
        <f>IF(VLOOKUP(A65,'DB Country PMI'!$A:$W,MATCH($A$1,'DB Country PMI'!$A$1:$W$1,),)=0,#N/A,VLOOKUP(A65,'DB Country PMI'!$A:$W,MATCH($A$1,'DB Country PMI'!$A$1:$W$1,),))</f>
        <v>51.3</v>
      </c>
      <c r="C65" s="14">
        <f>Table134681134567[[#This Row],[PMI]]-B64</f>
        <v>-0.5</v>
      </c>
    </row>
    <row r="66" spans="1:3" x14ac:dyDescent="0.2">
      <c r="A66" s="8">
        <v>42278</v>
      </c>
      <c r="B66" s="11">
        <f>IF(VLOOKUP(A66,'DB Country PMI'!$A:$W,MATCH($A$1,'DB Country PMI'!$A$1:$W$1,),)=0,#N/A,VLOOKUP(A66,'DB Country PMI'!$A:$W,MATCH($A$1,'DB Country PMI'!$A$1:$W$1,),))</f>
        <v>53.2</v>
      </c>
      <c r="C66" s="14">
        <f>Table134681134567[[#This Row],[PMI]]-B65</f>
        <v>1.9000000000000057</v>
      </c>
    </row>
    <row r="67" spans="1:3" x14ac:dyDescent="0.2">
      <c r="A67" s="8">
        <v>42309</v>
      </c>
      <c r="B67" s="11">
        <f>IF(VLOOKUP(A67,'DB Country PMI'!$A:$W,MATCH($A$1,'DB Country PMI'!$A$1:$W$1,),)=0,#N/A,VLOOKUP(A67,'DB Country PMI'!$A:$W,MATCH($A$1,'DB Country PMI'!$A$1:$W$1,),))</f>
        <v>50.1</v>
      </c>
      <c r="C67" s="14">
        <f>Table134681134567[[#This Row],[PMI]]-B66</f>
        <v>-3.1000000000000014</v>
      </c>
    </row>
    <row r="68" spans="1:3" x14ac:dyDescent="0.2">
      <c r="A68" s="8">
        <v>42339</v>
      </c>
      <c r="B68" s="11">
        <f>IF(VLOOKUP(A68,'DB Country PMI'!$A:$W,MATCH($A$1,'DB Country PMI'!$A$1:$W$1,),)=0,#N/A,VLOOKUP(A68,'DB Country PMI'!$A:$W,MATCH($A$1,'DB Country PMI'!$A$1:$W$1,),))</f>
        <v>53.6</v>
      </c>
      <c r="C68" s="14">
        <f>Table134681134567[[#This Row],[PMI]]-B67</f>
        <v>3.5</v>
      </c>
    </row>
    <row r="69" spans="1:3" x14ac:dyDescent="0.2">
      <c r="A69" s="8">
        <v>42370</v>
      </c>
      <c r="B69" s="11">
        <f>IF(VLOOKUP(A69,'DB Country PMI'!$A:$W,MATCH($A$1,'DB Country PMI'!$A$1:$W$1,),)=0,#N/A,VLOOKUP(A69,'DB Country PMI'!$A:$W,MATCH($A$1,'DB Country PMI'!$A$1:$W$1,),))</f>
        <v>54.3</v>
      </c>
      <c r="C69" s="14">
        <f>Table134681134567[[#This Row],[PMI]]-B68</f>
        <v>0.69999999999999574</v>
      </c>
    </row>
    <row r="70" spans="1:3" x14ac:dyDescent="0.2">
      <c r="A70" s="8">
        <v>42401</v>
      </c>
      <c r="B70" s="11">
        <f>IF(VLOOKUP(A70,'DB Country PMI'!$A:$W,MATCH($A$1,'DB Country PMI'!$A$1:$W$1,),)=0,#N/A,VLOOKUP(A70,'DB Country PMI'!$A:$W,MATCH($A$1,'DB Country PMI'!$A$1:$W$1,),))</f>
        <v>51.4</v>
      </c>
      <c r="C70" s="14">
        <f>Table134681134567[[#This Row],[PMI]]-B69</f>
        <v>-2.8999999999999986</v>
      </c>
    </row>
    <row r="71" spans="1:3" x14ac:dyDescent="0.2">
      <c r="A71" s="8">
        <v>42430</v>
      </c>
      <c r="B71" s="11">
        <f>IF(VLOOKUP(A71,'DB Country PMI'!$A:$W,MATCH($A$1,'DB Country PMI'!$A$1:$W$1,),)=0,#N/A,VLOOKUP(A71,'DB Country PMI'!$A:$W,MATCH($A$1,'DB Country PMI'!$A$1:$W$1,),))</f>
        <v>54.3</v>
      </c>
      <c r="C71" s="14">
        <f>Table134681134567[[#This Row],[PMI]]-B70</f>
        <v>2.8999999999999986</v>
      </c>
    </row>
    <row r="72" spans="1:3" x14ac:dyDescent="0.2">
      <c r="A72" s="8">
        <v>42461</v>
      </c>
      <c r="B72" s="11">
        <f>IF(VLOOKUP(A72,'DB Country PMI'!$A:$W,MATCH($A$1,'DB Country PMI'!$A$1:$W$1,),)=0,#N/A,VLOOKUP(A72,'DB Country PMI'!$A:$W,MATCH($A$1,'DB Country PMI'!$A$1:$W$1,),))</f>
        <v>53.7</v>
      </c>
      <c r="C72" s="14">
        <f>Table134681134567[[#This Row],[PMI]]-B71</f>
        <v>-0.59999999999999432</v>
      </c>
    </row>
    <row r="73" spans="1:3" x14ac:dyDescent="0.2">
      <c r="A73" s="8">
        <v>42491</v>
      </c>
      <c r="B73" s="11">
        <f>IF(VLOOKUP(A73,'DB Country PMI'!$A:$W,MATCH($A$1,'DB Country PMI'!$A$1:$W$1,),)=0,#N/A,VLOOKUP(A73,'DB Country PMI'!$A:$W,MATCH($A$1,'DB Country PMI'!$A$1:$W$1,),))</f>
        <v>51</v>
      </c>
      <c r="C73" s="14">
        <f>Table134681134567[[#This Row],[PMI]]-B72</f>
        <v>-2.7000000000000028</v>
      </c>
    </row>
    <row r="74" spans="1:3" x14ac:dyDescent="0.2">
      <c r="A74" s="8">
        <v>42522</v>
      </c>
      <c r="B74" s="11">
        <f>IF(VLOOKUP(A74,'DB Country PMI'!$A:$W,MATCH($A$1,'DB Country PMI'!$A$1:$W$1,),)=0,#N/A,VLOOKUP(A74,'DB Country PMI'!$A:$W,MATCH($A$1,'DB Country PMI'!$A$1:$W$1,),))</f>
        <v>50.3</v>
      </c>
      <c r="C74" s="14">
        <f>Table134681134567[[#This Row],[PMI]]-B73</f>
        <v>-0.70000000000000284</v>
      </c>
    </row>
    <row r="75" spans="1:3" x14ac:dyDescent="0.2">
      <c r="A75" s="8">
        <v>42552</v>
      </c>
      <c r="B75" s="11">
        <f>IF(VLOOKUP(A75,'DB Country PMI'!$A:$W,MATCH($A$1,'DB Country PMI'!$A$1:$W$1,),)=0,#N/A,VLOOKUP(A75,'DB Country PMI'!$A:$W,MATCH($A$1,'DB Country PMI'!$A$1:$W$1,),))</f>
        <v>51.9</v>
      </c>
      <c r="C75" s="14">
        <f>Table134681134567[[#This Row],[PMI]]-B74</f>
        <v>1.6000000000000014</v>
      </c>
    </row>
    <row r="76" spans="1:3" x14ac:dyDescent="0.2">
      <c r="A76" s="8">
        <v>42583</v>
      </c>
      <c r="B76" s="11">
        <f>IF(VLOOKUP(A76,'DB Country PMI'!$A:$W,MATCH($A$1,'DB Country PMI'!$A$1:$W$1,),)=0,#N/A,VLOOKUP(A76,'DB Country PMI'!$A:$W,MATCH($A$1,'DB Country PMI'!$A$1:$W$1,),))</f>
        <v>54.7</v>
      </c>
      <c r="C76" s="14">
        <f>Table134681134567[[#This Row],[PMI]]-B75</f>
        <v>2.8000000000000043</v>
      </c>
    </row>
    <row r="77" spans="1:3" x14ac:dyDescent="0.2">
      <c r="A77" s="8">
        <v>42614</v>
      </c>
      <c r="B77" s="11">
        <f>IF(VLOOKUP(A77,'DB Country PMI'!$A:$W,MATCH($A$1,'DB Country PMI'!$A$1:$W$1,),)=0,#N/A,VLOOKUP(A77,'DB Country PMI'!$A:$W,MATCH($A$1,'DB Country PMI'!$A$1:$W$1,),))</f>
        <v>52</v>
      </c>
      <c r="C77" s="14">
        <f>Table134681134567[[#This Row],[PMI]]-B76</f>
        <v>-2.7000000000000028</v>
      </c>
    </row>
    <row r="78" spans="1:3" x14ac:dyDescent="0.2">
      <c r="A78" s="8">
        <v>42644</v>
      </c>
      <c r="B78" s="11">
        <f>IF(VLOOKUP(A78,'DB Country PMI'!$A:$W,MATCH($A$1,'DB Country PMI'!$A$1:$W$1,),)=0,#N/A,VLOOKUP(A78,'DB Country PMI'!$A:$W,MATCH($A$1,'DB Country PMI'!$A$1:$W$1,),))</f>
        <v>54.5</v>
      </c>
      <c r="C78" s="14">
        <f>Table134681134567[[#This Row],[PMI]]-B77</f>
        <v>2.5</v>
      </c>
    </row>
    <row r="79" spans="1:3" x14ac:dyDescent="0.2">
      <c r="A79" s="8">
        <v>42675</v>
      </c>
      <c r="B79" s="11">
        <f>IF(VLOOKUP(A79,'DB Country PMI'!$A:$W,MATCH($A$1,'DB Country PMI'!$A$1:$W$1,),)=0,#N/A,VLOOKUP(A79,'DB Country PMI'!$A:$W,MATCH($A$1,'DB Country PMI'!$A$1:$W$1,),))</f>
        <v>46.7</v>
      </c>
      <c r="C79" s="14">
        <f>Table134681134567[[#This Row],[PMI]]-B78</f>
        <v>-7.7999999999999972</v>
      </c>
    </row>
    <row r="80" spans="1:3" x14ac:dyDescent="0.2">
      <c r="A80" s="8">
        <v>42705</v>
      </c>
      <c r="B80" s="11">
        <f>IF(VLOOKUP(A80,'DB Country PMI'!$A:$W,MATCH($A$1,'DB Country PMI'!$A$1:$W$1,),)=0,#N/A,VLOOKUP(A80,'DB Country PMI'!$A:$W,MATCH($A$1,'DB Country PMI'!$A$1:$W$1,),))</f>
        <v>46.8</v>
      </c>
      <c r="C80" s="14">
        <f>Table134681134567[[#This Row],[PMI]]-B79</f>
        <v>9.9999999999994316E-2</v>
      </c>
    </row>
    <row r="81" spans="1:3" x14ac:dyDescent="0.2">
      <c r="A81" s="8">
        <v>42736</v>
      </c>
      <c r="B81" s="11">
        <f>IF(VLOOKUP(A81,'DB Country PMI'!$A:$W,MATCH($A$1,'DB Country PMI'!$A$1:$W$1,),)=0,#N/A,VLOOKUP(A81,'DB Country PMI'!$A:$W,MATCH($A$1,'DB Country PMI'!$A$1:$W$1,),))</f>
        <v>48.7</v>
      </c>
      <c r="C81" s="14">
        <f>Table134681134567[[#This Row],[PMI]]-B80</f>
        <v>1.9000000000000057</v>
      </c>
    </row>
    <row r="82" spans="1:3" x14ac:dyDescent="0.2">
      <c r="A82" s="8">
        <v>42767</v>
      </c>
      <c r="B82" s="11">
        <f>IF(VLOOKUP(A82,'DB Country PMI'!$A:$W,MATCH($A$1,'DB Country PMI'!$A$1:$W$1,),)=0,#N/A,VLOOKUP(A82,'DB Country PMI'!$A:$W,MATCH($A$1,'DB Country PMI'!$A$1:$W$1,),))</f>
        <v>50.3</v>
      </c>
      <c r="C82" s="14">
        <f>Table134681134567[[#This Row],[PMI]]-B81</f>
        <v>1.5999999999999943</v>
      </c>
    </row>
    <row r="83" spans="1:3" x14ac:dyDescent="0.2">
      <c r="A83" s="8">
        <v>42795</v>
      </c>
      <c r="B83" s="11">
        <f>IF(VLOOKUP(A83,'DB Country PMI'!$A:$W,MATCH($A$1,'DB Country PMI'!$A$1:$W$1,),)=0,#N/A,VLOOKUP(A83,'DB Country PMI'!$A:$W,MATCH($A$1,'DB Country PMI'!$A$1:$W$1,),))</f>
        <v>51.5</v>
      </c>
      <c r="C83" s="14">
        <f>Table134681134567[[#This Row],[PMI]]-B82</f>
        <v>1.2000000000000028</v>
      </c>
    </row>
    <row r="84" spans="1:3" x14ac:dyDescent="0.2">
      <c r="A84" s="8">
        <v>42826</v>
      </c>
      <c r="B84" s="11">
        <f>IF(VLOOKUP(A84,'DB Country PMI'!$A:$W,MATCH($A$1,'DB Country PMI'!$A$1:$W$1,),)=0,#N/A,VLOOKUP(A84,'DB Country PMI'!$A:$W,MATCH($A$1,'DB Country PMI'!$A$1:$W$1,),))</f>
        <v>50.2</v>
      </c>
      <c r="C84" s="14">
        <f>Table134681134567[[#This Row],[PMI]]-B83</f>
        <v>-1.2999999999999972</v>
      </c>
    </row>
    <row r="85" spans="1:3" x14ac:dyDescent="0.2">
      <c r="A85" s="8">
        <v>42856</v>
      </c>
      <c r="B85" s="11">
        <f>IF(VLOOKUP(A85,'DB Country PMI'!$A:$W,MATCH($A$1,'DB Country PMI'!$A$1:$W$1,),)=0,#N/A,VLOOKUP(A85,'DB Country PMI'!$A:$W,MATCH($A$1,'DB Country PMI'!$A$1:$W$1,),))</f>
        <v>52.2</v>
      </c>
      <c r="C85" s="14">
        <f>Table134681134567[[#This Row],[PMI]]-B84</f>
        <v>2</v>
      </c>
    </row>
    <row r="86" spans="1:3" x14ac:dyDescent="0.2">
      <c r="A86" s="8">
        <v>42887</v>
      </c>
      <c r="B86" s="11">
        <f>IF(VLOOKUP(A86,'DB Country PMI'!$A:$W,MATCH($A$1,'DB Country PMI'!$A$1:$W$1,),)=0,#N/A,VLOOKUP(A86,'DB Country PMI'!$A:$W,MATCH($A$1,'DB Country PMI'!$A$1:$W$1,),))</f>
        <v>53.1</v>
      </c>
      <c r="C86" s="14">
        <f>Table134681134567[[#This Row],[PMI]]-B85</f>
        <v>0.89999999999999858</v>
      </c>
    </row>
    <row r="87" spans="1:3" x14ac:dyDescent="0.2">
      <c r="A87" s="8">
        <v>42917</v>
      </c>
      <c r="B87" s="11">
        <f>IF(VLOOKUP(A87,'DB Country PMI'!$A:$W,MATCH($A$1,'DB Country PMI'!$A$1:$W$1,),)=0,#N/A,VLOOKUP(A87,'DB Country PMI'!$A:$W,MATCH($A$1,'DB Country PMI'!$A$1:$W$1,),))</f>
        <v>45.9</v>
      </c>
      <c r="C87" s="14">
        <f>Table134681134567[[#This Row],[PMI]]-B86</f>
        <v>-7.2000000000000028</v>
      </c>
    </row>
    <row r="88" spans="1:3" x14ac:dyDescent="0.2">
      <c r="A88" s="8">
        <v>42948</v>
      </c>
      <c r="B88" s="11">
        <f>IF(VLOOKUP(A88,'DB Country PMI'!$A:$W,MATCH($A$1,'DB Country PMI'!$A$1:$W$1,),)=0,#N/A,VLOOKUP(A88,'DB Country PMI'!$A:$W,MATCH($A$1,'DB Country PMI'!$A$1:$W$1,),))</f>
        <v>47.5</v>
      </c>
      <c r="C88" s="14">
        <f>Table134681134567[[#This Row],[PMI]]-B87</f>
        <v>1.6000000000000014</v>
      </c>
    </row>
    <row r="89" spans="1:3" x14ac:dyDescent="0.2">
      <c r="A89" s="8">
        <v>42979</v>
      </c>
      <c r="B89" s="11">
        <f>IF(VLOOKUP(A89,'DB Country PMI'!$A:$W,MATCH($A$1,'DB Country PMI'!$A$1:$W$1,),)=0,#N/A,VLOOKUP(A89,'DB Country PMI'!$A:$W,MATCH($A$1,'DB Country PMI'!$A$1:$W$1,),))</f>
        <v>50.7</v>
      </c>
      <c r="C89" s="14">
        <f>Table134681134567[[#This Row],[PMI]]-B88</f>
        <v>3.2000000000000028</v>
      </c>
    </row>
    <row r="90" spans="1:3" x14ac:dyDescent="0.2">
      <c r="A90" s="8">
        <v>43009</v>
      </c>
      <c r="B90" s="11">
        <f>IF(VLOOKUP(A90,'DB Country PMI'!$A:$W,MATCH($A$1,'DB Country PMI'!$A$1:$W$1,),)=0,#N/A,VLOOKUP(A90,'DB Country PMI'!$A:$W,MATCH($A$1,'DB Country PMI'!$A$1:$W$1,),))</f>
        <v>51.7</v>
      </c>
      <c r="C90" s="14">
        <f>Table134681134567[[#This Row],[PMI]]-B89</f>
        <v>1</v>
      </c>
    </row>
    <row r="91" spans="1:3" x14ac:dyDescent="0.2">
      <c r="A91" s="8">
        <v>43040</v>
      </c>
      <c r="B91" s="11">
        <f>IF(VLOOKUP(A91,'DB Country PMI'!$A:$W,MATCH($A$1,'DB Country PMI'!$A$1:$W$1,),)=0,#N/A,VLOOKUP(A91,'DB Country PMI'!$A:$W,MATCH($A$1,'DB Country PMI'!$A$1:$W$1,),))</f>
        <v>48.5</v>
      </c>
      <c r="C91" s="14">
        <f>Table134681134567[[#This Row],[PMI]]-B90</f>
        <v>-3.2000000000000028</v>
      </c>
    </row>
    <row r="92" spans="1:3" x14ac:dyDescent="0.2">
      <c r="A92" s="8">
        <v>43070</v>
      </c>
      <c r="B92" s="11">
        <f>IF(VLOOKUP(A92,'DB Country PMI'!$A:$W,MATCH($A$1,'DB Country PMI'!$A$1:$W$1,),)=0,#N/A,VLOOKUP(A92,'DB Country PMI'!$A:$W,MATCH($A$1,'DB Country PMI'!$A$1:$W$1,),))</f>
        <v>50.9</v>
      </c>
      <c r="C92" s="14">
        <f>Table134681134567[[#This Row],[PMI]]-B91</f>
        <v>2.3999999999999986</v>
      </c>
    </row>
    <row r="93" spans="1:3" x14ac:dyDescent="0.2">
      <c r="A93" s="8">
        <v>43101</v>
      </c>
      <c r="B93" s="11">
        <f>IF(VLOOKUP(A93,'DB Country PMI'!$A:$W,MATCH($A$1,'DB Country PMI'!$A$1:$W$1,),)=0,#N/A,VLOOKUP(A93,'DB Country PMI'!$A:$W,MATCH($A$1,'DB Country PMI'!$A$1:$W$1,),))</f>
        <v>51.7</v>
      </c>
      <c r="C93" s="14">
        <f>Table134681134567[[#This Row],[PMI]]-B92</f>
        <v>0.80000000000000426</v>
      </c>
    </row>
    <row r="94" spans="1:3" x14ac:dyDescent="0.2">
      <c r="A94" s="8">
        <v>43132</v>
      </c>
      <c r="B94" s="11">
        <f>IF(VLOOKUP(A94,'DB Country PMI'!$A:$W,MATCH($A$1,'DB Country PMI'!$A$1:$W$1,),)=0,#N/A,VLOOKUP(A94,'DB Country PMI'!$A:$W,MATCH($A$1,'DB Country PMI'!$A$1:$W$1,),))</f>
        <v>47.8</v>
      </c>
      <c r="C94" s="14">
        <f>Table134681134567[[#This Row],[PMI]]-B93</f>
        <v>-3.9000000000000057</v>
      </c>
    </row>
    <row r="95" spans="1:3" x14ac:dyDescent="0.2">
      <c r="A95" s="8">
        <v>43160</v>
      </c>
      <c r="B95" s="11">
        <f>IF(VLOOKUP(A95,'DB Country PMI'!$A:$W,MATCH($A$1,'DB Country PMI'!$A$1:$W$1,),)=0,#N/A,VLOOKUP(A95,'DB Country PMI'!$A:$W,MATCH($A$1,'DB Country PMI'!$A$1:$W$1,),))</f>
        <v>50.3</v>
      </c>
      <c r="C95" s="14">
        <f>Table134681134567[[#This Row],[PMI]]-B94</f>
        <v>2.5</v>
      </c>
    </row>
    <row r="96" spans="1:3" x14ac:dyDescent="0.2">
      <c r="A96" s="8">
        <v>43191</v>
      </c>
      <c r="B96" s="11">
        <f>IF(VLOOKUP(A96,'DB Country PMI'!$A:$W,MATCH($A$1,'DB Country PMI'!$A$1:$W$1,),)=0,#N/A,VLOOKUP(A96,'DB Country PMI'!$A:$W,MATCH($A$1,'DB Country PMI'!$A$1:$W$1,),))</f>
        <v>51.4</v>
      </c>
      <c r="C96" s="14">
        <f>Table134681134567[[#This Row],[PMI]]-B95</f>
        <v>1.1000000000000014</v>
      </c>
    </row>
    <row r="97" spans="1:3" x14ac:dyDescent="0.2">
      <c r="A97" s="8">
        <v>43221</v>
      </c>
      <c r="B97" s="11">
        <f>IF(VLOOKUP(A97,'DB Country PMI'!$A:$W,MATCH($A$1,'DB Country PMI'!$A$1:$W$1,),)=0,#N/A,VLOOKUP(A97,'DB Country PMI'!$A:$W,MATCH($A$1,'DB Country PMI'!$A$1:$W$1,),))</f>
        <v>49.6</v>
      </c>
      <c r="C97" s="14">
        <f>Table134681134567[[#This Row],[PMI]]-B96</f>
        <v>-1.7999999999999972</v>
      </c>
    </row>
    <row r="98" spans="1:3" x14ac:dyDescent="0.2">
      <c r="A98" s="8">
        <v>43252</v>
      </c>
      <c r="B98" s="11">
        <f>IF(VLOOKUP(A98,'DB Country PMI'!$A:$W,MATCH($A$1,'DB Country PMI'!$A$1:$W$1,),)=0,#N/A,VLOOKUP(A98,'DB Country PMI'!$A:$W,MATCH($A$1,'DB Country PMI'!$A$1:$W$1,),))</f>
        <v>52.6</v>
      </c>
      <c r="C98" s="14">
        <f>Table134681134567[[#This Row],[PMI]]-B97</f>
        <v>3</v>
      </c>
    </row>
    <row r="99" spans="1:3" x14ac:dyDescent="0.2">
      <c r="A99" s="8">
        <v>43282</v>
      </c>
      <c r="B99" s="11">
        <f>IF(VLOOKUP(A99,'DB Country PMI'!$A:$W,MATCH($A$1,'DB Country PMI'!$A$1:$W$1,),)=0,#N/A,VLOOKUP(A99,'DB Country PMI'!$A:$W,MATCH($A$1,'DB Country PMI'!$A$1:$W$1,),))</f>
        <v>54.2</v>
      </c>
      <c r="C99" s="14">
        <f>Table134681134567[[#This Row],[PMI]]-B98</f>
        <v>1.6000000000000014</v>
      </c>
    </row>
    <row r="100" spans="1:3" x14ac:dyDescent="0.2">
      <c r="A100" s="8">
        <v>43313</v>
      </c>
      <c r="B100" s="11">
        <f>IF(VLOOKUP(A100,'DB Country PMI'!$A:$W,MATCH($A$1,'DB Country PMI'!$A$1:$W$1,),)=0,#N/A,VLOOKUP(A100,'DB Country PMI'!$A:$W,MATCH($A$1,'DB Country PMI'!$A$1:$W$1,),))</f>
        <v>51.5</v>
      </c>
      <c r="C100" s="14">
        <f>Table134681134567[[#This Row],[PMI]]-B99</f>
        <v>-2.7000000000000028</v>
      </c>
    </row>
    <row r="101" spans="1:3" x14ac:dyDescent="0.2">
      <c r="A101" s="8">
        <v>43344</v>
      </c>
      <c r="B101" s="11">
        <f>IF(VLOOKUP(A101,'DB Country PMI'!$A:$W,MATCH($A$1,'DB Country PMI'!$A$1:$W$1,),)=0,#N/A,VLOOKUP(A101,'DB Country PMI'!$A:$W,MATCH($A$1,'DB Country PMI'!$A$1:$W$1,),))</f>
        <v>50.9</v>
      </c>
      <c r="C101" s="14">
        <f>Table134681134567[[#This Row],[PMI]]-B100</f>
        <v>-0.60000000000000142</v>
      </c>
    </row>
    <row r="102" spans="1:3" x14ac:dyDescent="0.2">
      <c r="A102" s="8">
        <v>43374</v>
      </c>
      <c r="B102" s="11">
        <f>IF(VLOOKUP(A102,'DB Country PMI'!$A:$W,MATCH($A$1,'DB Country PMI'!$A$1:$W$1,),)=0,#N/A,VLOOKUP(A102,'DB Country PMI'!$A:$W,MATCH($A$1,'DB Country PMI'!$A$1:$W$1,),))</f>
        <v>52.2</v>
      </c>
      <c r="C102" s="14">
        <f>Table134681134567[[#This Row],[PMI]]-B101</f>
        <v>1.3000000000000043</v>
      </c>
    </row>
    <row r="103" spans="1:3" x14ac:dyDescent="0.2">
      <c r="A103" s="8">
        <v>43405</v>
      </c>
      <c r="B103" s="11">
        <f>IF(VLOOKUP(A103,'DB Country PMI'!$A:$W,MATCH($A$1,'DB Country PMI'!$A$1:$W$1,),)=0,#N/A,VLOOKUP(A103,'DB Country PMI'!$A:$W,MATCH($A$1,'DB Country PMI'!$A$1:$W$1,),))</f>
        <v>53.7</v>
      </c>
      <c r="C103" s="14">
        <f>Table134681134567[[#This Row],[PMI]]-B102</f>
        <v>1.5</v>
      </c>
    </row>
    <row r="104" spans="1:3" x14ac:dyDescent="0.2">
      <c r="A104" s="8">
        <v>43435</v>
      </c>
      <c r="B104" s="11">
        <f>IF(VLOOKUP(A104,'DB Country PMI'!$A:$W,MATCH($A$1,'DB Country PMI'!$A$1:$W$1,),)=0,#N/A,VLOOKUP(A104,'DB Country PMI'!$A:$W,MATCH($A$1,'DB Country PMI'!$A$1:$W$1,),))</f>
        <v>53.2</v>
      </c>
      <c r="C104" s="14">
        <f>Table134681134567[[#This Row],[PMI]]-B103</f>
        <v>-0.5</v>
      </c>
    </row>
    <row r="105" spans="1:3" x14ac:dyDescent="0.2">
      <c r="A105" s="8">
        <v>43466</v>
      </c>
      <c r="B105" s="11">
        <f>IF(VLOOKUP(A105,'DB Country PMI'!$A:$W,MATCH($A$1,'DB Country PMI'!$A$1:$W$1,),)=0,#N/A,VLOOKUP(A105,'DB Country PMI'!$A:$W,MATCH($A$1,'DB Country PMI'!$A$1:$W$1,),))</f>
        <v>52.2</v>
      </c>
      <c r="C105" s="14">
        <f>Table134681134567[[#This Row],[PMI]]-B104</f>
        <v>-1</v>
      </c>
    </row>
    <row r="106" spans="1:3" x14ac:dyDescent="0.2">
      <c r="A106" s="8">
        <v>43497</v>
      </c>
      <c r="B106" s="11">
        <f>IF(VLOOKUP(A106,'DB Country PMI'!$A:$W,MATCH($A$1,'DB Country PMI'!$A$1:$W$1,),)=0,#N/A,VLOOKUP(A106,'DB Country PMI'!$A:$W,MATCH($A$1,'DB Country PMI'!$A$1:$W$1,),))</f>
        <v>52.5</v>
      </c>
      <c r="C106" s="14">
        <f>Table134681134567[[#This Row],[PMI]]-B105</f>
        <v>0.29999999999999716</v>
      </c>
    </row>
    <row r="107" spans="1:3" x14ac:dyDescent="0.2">
      <c r="A107" s="8">
        <v>43525</v>
      </c>
      <c r="B107" s="11">
        <f>IF(VLOOKUP(A107,'DB Country PMI'!$A:$W,MATCH($A$1,'DB Country PMI'!$A$1:$W$1,),)=0,#N/A,VLOOKUP(A107,'DB Country PMI'!$A:$W,MATCH($A$1,'DB Country PMI'!$A$1:$W$1,),))</f>
        <v>52</v>
      </c>
      <c r="C107" s="14">
        <f>Table134681134567[[#This Row],[PMI]]-B106</f>
        <v>-0.5</v>
      </c>
    </row>
    <row r="108" spans="1:3" x14ac:dyDescent="0.2">
      <c r="A108" s="8">
        <v>43556</v>
      </c>
      <c r="B108" s="11">
        <f>IF(VLOOKUP(A108,'DB Country PMI'!$A:$W,MATCH($A$1,'DB Country PMI'!$A$1:$W$1,),)=0,#N/A,VLOOKUP(A108,'DB Country PMI'!$A:$W,MATCH($A$1,'DB Country PMI'!$A$1:$W$1,),))</f>
        <v>51</v>
      </c>
      <c r="C108" s="14">
        <f>Table134681134567[[#This Row],[PMI]]-B107</f>
        <v>-1</v>
      </c>
    </row>
    <row r="109" spans="1:3" x14ac:dyDescent="0.2">
      <c r="A109" s="8">
        <v>43586</v>
      </c>
      <c r="B109" s="11">
        <f>IF(VLOOKUP(A109,'DB Country PMI'!$A:$W,MATCH($A$1,'DB Country PMI'!$A$1:$W$1,),)=0,#N/A,VLOOKUP(A109,'DB Country PMI'!$A:$W,MATCH($A$1,'DB Country PMI'!$A$1:$W$1,),))</f>
        <v>50.2</v>
      </c>
      <c r="C109" s="14">
        <f>Table134681134567[[#This Row],[PMI]]-B108</f>
        <v>-0.79999999999999716</v>
      </c>
    </row>
    <row r="110" spans="1:3" x14ac:dyDescent="0.2">
      <c r="A110" s="8">
        <v>43617</v>
      </c>
      <c r="B110" s="11">
        <f>IF(VLOOKUP(A110,'DB Country PMI'!$A:$W,MATCH($A$1,'DB Country PMI'!$A$1:$W$1,),)=0,#N/A,VLOOKUP(A110,'DB Country PMI'!$A:$W,MATCH($A$1,'DB Country PMI'!$A$1:$W$1,),))</f>
        <v>49.6</v>
      </c>
      <c r="C110" s="14">
        <f>Table134681134567[[#This Row],[PMI]]-B109</f>
        <v>-0.60000000000000142</v>
      </c>
    </row>
    <row r="111" spans="1:3" x14ac:dyDescent="0.2">
      <c r="A111" s="8">
        <v>43647</v>
      </c>
      <c r="B111" s="11">
        <f>IF(VLOOKUP(A111,'DB Country PMI'!$A:$W,MATCH($A$1,'DB Country PMI'!$A$1:$W$1,),)=0,#N/A,VLOOKUP(A111,'DB Country PMI'!$A:$W,MATCH($A$1,'DB Country PMI'!$A$1:$W$1,),))</f>
        <v>53.8</v>
      </c>
      <c r="C111" s="14">
        <f>Table134681134567[[#This Row],[PMI]]-B110</f>
        <v>4.1999999999999957</v>
      </c>
    </row>
    <row r="112" spans="1:3" x14ac:dyDescent="0.2">
      <c r="A112" s="8">
        <v>43678</v>
      </c>
      <c r="B112" s="11">
        <f>IF(VLOOKUP(A112,'DB Country PMI'!$A:$W,MATCH($A$1,'DB Country PMI'!$A$1:$W$1,),)=0,#N/A,VLOOKUP(A112,'DB Country PMI'!$A:$W,MATCH($A$1,'DB Country PMI'!$A$1:$W$1,),))</f>
        <v>52.4</v>
      </c>
      <c r="C112" s="14">
        <f>Table134681134567[[#This Row],[PMI]]-B111</f>
        <v>-1.3999999999999986</v>
      </c>
    </row>
    <row r="113" spans="1:3" x14ac:dyDescent="0.2">
      <c r="A113" s="8">
        <v>43709</v>
      </c>
      <c r="B113" s="11">
        <f>IF(VLOOKUP(A113,'DB Country PMI'!$A:$W,MATCH($A$1,'DB Country PMI'!$A$1:$W$1,),)=0,#N/A,VLOOKUP(A113,'DB Country PMI'!$A:$W,MATCH($A$1,'DB Country PMI'!$A$1:$W$1,),))</f>
        <v>48.7</v>
      </c>
      <c r="C113" s="14">
        <f>Table134681134567[[#This Row],[PMI]]-B112</f>
        <v>-3.6999999999999957</v>
      </c>
    </row>
    <row r="114" spans="1:3" x14ac:dyDescent="0.2">
      <c r="A114" s="8">
        <v>43739</v>
      </c>
      <c r="B114" s="11">
        <f>IF(VLOOKUP(A114,'DB Country PMI'!$A:$W,MATCH($A$1,'DB Country PMI'!$A$1:$W$1,),)=0,#N/A,VLOOKUP(A114,'DB Country PMI'!$A:$W,MATCH($A$1,'DB Country PMI'!$A$1:$W$1,),))</f>
        <v>49.2</v>
      </c>
      <c r="C114" s="14">
        <f>Table134681134567[[#This Row],[PMI]]-B113</f>
        <v>0.5</v>
      </c>
    </row>
    <row r="115" spans="1:3" x14ac:dyDescent="0.2">
      <c r="A115" s="8">
        <v>43770</v>
      </c>
      <c r="B115" s="11">
        <f>IF(VLOOKUP(A115,'DB Country PMI'!$A:$W,MATCH($A$1,'DB Country PMI'!$A$1:$W$1,),)=0,#N/A,VLOOKUP(A115,'DB Country PMI'!$A:$W,MATCH($A$1,'DB Country PMI'!$A$1:$W$1,),))</f>
        <v>52.7</v>
      </c>
      <c r="C115" s="14">
        <f>Table134681134567[[#This Row],[PMI]]-B114</f>
        <v>3.5</v>
      </c>
    </row>
    <row r="116" spans="1:3" x14ac:dyDescent="0.2">
      <c r="A116" s="8">
        <v>43800</v>
      </c>
      <c r="B116" s="11">
        <f>IF(VLOOKUP(A116,'DB Country PMI'!$A:$W,MATCH($A$1,'DB Country PMI'!$A$1:$W$1,),)=0,#N/A,VLOOKUP(A116,'DB Country PMI'!$A:$W,MATCH($A$1,'DB Country PMI'!$A$1:$W$1,),))</f>
        <v>53.3</v>
      </c>
      <c r="C116" s="14">
        <f>Table134681134567[[#This Row],[PMI]]-B115</f>
        <v>0.59999999999999432</v>
      </c>
    </row>
    <row r="117" spans="1:3" x14ac:dyDescent="0.2">
      <c r="A117" s="8">
        <v>43831</v>
      </c>
      <c r="B117" s="11">
        <f>IF(VLOOKUP(A117,'DB Country PMI'!$A:$W,MATCH($A$1,'DB Country PMI'!$A$1:$W$1,),)=0,#N/A,VLOOKUP(A117,'DB Country PMI'!$A:$W,MATCH($A$1,'DB Country PMI'!$A$1:$W$1,),))</f>
        <v>55.5</v>
      </c>
      <c r="C117" s="14">
        <f>Table134681134567[[#This Row],[PMI]]-B116</f>
        <v>2.2000000000000028</v>
      </c>
    </row>
    <row r="118" spans="1:3" x14ac:dyDescent="0.2">
      <c r="A118" s="8">
        <v>43862</v>
      </c>
      <c r="B118" s="11">
        <f>IF(VLOOKUP(A118,'DB Country PMI'!$A:$W,MATCH($A$1,'DB Country PMI'!$A$1:$W$1,),)=0,#N/A,VLOOKUP(A118,'DB Country PMI'!$A:$W,MATCH($A$1,'DB Country PMI'!$A$1:$W$1,),))</f>
        <v>57.5</v>
      </c>
      <c r="C118" s="14">
        <f>Table134681134567[[#This Row],[PMI]]-B117</f>
        <v>2</v>
      </c>
    </row>
    <row r="119" spans="1:3" x14ac:dyDescent="0.2">
      <c r="A119" s="8">
        <v>43891</v>
      </c>
      <c r="B119" s="11">
        <f>IF(VLOOKUP(A119,'DB Country PMI'!$A:$W,MATCH($A$1,'DB Country PMI'!$A$1:$W$1,),)=0,#N/A,VLOOKUP(A119,'DB Country PMI'!$A:$W,MATCH($A$1,'DB Country PMI'!$A$1:$W$1,),))</f>
        <v>49.3</v>
      </c>
      <c r="C119" s="14">
        <f>Table134681134567[[#This Row],[PMI]]-B118</f>
        <v>-8.2000000000000028</v>
      </c>
    </row>
    <row r="120" spans="1:3" x14ac:dyDescent="0.2">
      <c r="A120" s="8">
        <v>43922</v>
      </c>
      <c r="B120" s="11">
        <f>IF(VLOOKUP(A120,'DB Country PMI'!$A:$W,MATCH($A$1,'DB Country PMI'!$A$1:$W$1,),)=0,#N/A,VLOOKUP(A120,'DB Country PMI'!$A:$W,MATCH($A$1,'DB Country PMI'!$A$1:$W$1,),))</f>
        <v>49.3</v>
      </c>
      <c r="C120" s="14">
        <f>Table134681134567[[#This Row],[PMI]]-B119</f>
        <v>0</v>
      </c>
    </row>
    <row r="121" spans="1:3" x14ac:dyDescent="0.2">
      <c r="A121" s="8">
        <v>43952</v>
      </c>
      <c r="B121" s="11">
        <f>IF(VLOOKUP(A121,'DB Country PMI'!$A:$W,MATCH($A$1,'DB Country PMI'!$A$1:$W$1,),)=0,#N/A,VLOOKUP(A121,'DB Country PMI'!$A:$W,MATCH($A$1,'DB Country PMI'!$A$1:$W$1,),))</f>
        <v>12.6</v>
      </c>
      <c r="C121" s="14">
        <f>Table134681134567[[#This Row],[PMI]]-B120</f>
        <v>-36.699999999999996</v>
      </c>
    </row>
    <row r="122" spans="1:3" x14ac:dyDescent="0.2">
      <c r="A122" s="8">
        <v>43983</v>
      </c>
      <c r="B122" s="11">
        <f>IF(VLOOKUP(A122,'DB Country PMI'!$A:$W,MATCH($A$1,'DB Country PMI'!$A$1:$W$1,),)=0,#N/A,VLOOKUP(A122,'DB Country PMI'!$A:$W,MATCH($A$1,'DB Country PMI'!$A$1:$W$1,),))</f>
        <v>33.700000000000003</v>
      </c>
      <c r="C122" s="14">
        <f>Table134681134567[[#This Row],[PMI]]-B121</f>
        <v>21.1</v>
      </c>
    </row>
    <row r="123" spans="1:3" x14ac:dyDescent="0.2">
      <c r="A123" s="8">
        <v>44013</v>
      </c>
      <c r="B123" s="11">
        <f>IF(VLOOKUP(A123,'DB Country PMI'!$A:$W,MATCH($A$1,'DB Country PMI'!$A$1:$W$1,),)=0,#N/A,VLOOKUP(A123,'DB Country PMI'!$A:$W,MATCH($A$1,'DB Country PMI'!$A$1:$W$1,),))</f>
        <v>34.200000000000003</v>
      </c>
      <c r="C123" s="14">
        <f>Table134681134567[[#This Row],[PMI]]-B122</f>
        <v>0.5</v>
      </c>
    </row>
    <row r="124" spans="1:3" x14ac:dyDescent="0.2">
      <c r="A124" s="8">
        <v>44044</v>
      </c>
      <c r="B124" s="11">
        <f>IF(VLOOKUP(A124,'DB Country PMI'!$A:$W,MATCH($A$1,'DB Country PMI'!$A$1:$W$1,),)=0,#N/A,VLOOKUP(A124,'DB Country PMI'!$A:$W,MATCH($A$1,'DB Country PMI'!$A$1:$W$1,),))</f>
        <v>41.8</v>
      </c>
      <c r="C124" s="14">
        <f>Table134681134567[[#This Row],[PMI]]-B123</f>
        <v>7.5999999999999943</v>
      </c>
    </row>
    <row r="125" spans="1:3" x14ac:dyDescent="0.2">
      <c r="A125" s="8">
        <v>44075</v>
      </c>
      <c r="B125" s="11">
        <f>IF(VLOOKUP(A125,'DB Country PMI'!$A:$W,MATCH($A$1,'DB Country PMI'!$A$1:$W$1,),)=0,#N/A,VLOOKUP(A125,'DB Country PMI'!$A:$W,MATCH($A$1,'DB Country PMI'!$A$1:$W$1,),))</f>
        <v>49.8</v>
      </c>
      <c r="C125" s="14">
        <f>Table134681134567[[#This Row],[PMI]]-B124</f>
        <v>8</v>
      </c>
    </row>
    <row r="126" spans="1:3" x14ac:dyDescent="0.2">
      <c r="A126" s="8">
        <v>44105</v>
      </c>
      <c r="B126" s="11">
        <f>IF(VLOOKUP(A126,'DB Country PMI'!$A:$W,MATCH($A$1,'DB Country PMI'!$A$1:$W$1,),)=0,#N/A,VLOOKUP(A126,'DB Country PMI'!$A:$W,MATCH($A$1,'DB Country PMI'!$A$1:$W$1,),))</f>
        <v>54.1</v>
      </c>
      <c r="C126" s="14">
        <f>Table134681134567[[#This Row],[PMI]]-B125</f>
        <v>4.3000000000000043</v>
      </c>
    </row>
    <row r="127" spans="1:3" x14ac:dyDescent="0.2">
      <c r="A127" s="8">
        <v>44136</v>
      </c>
      <c r="B127" s="11">
        <f>IF(VLOOKUP(A127,'DB Country PMI'!$A:$W,MATCH($A$1,'DB Country PMI'!$A$1:$W$1,),)=0,#N/A,VLOOKUP(A127,'DB Country PMI'!$A:$W,MATCH($A$1,'DB Country PMI'!$A$1:$W$1,),))</f>
        <v>53.7</v>
      </c>
      <c r="C127" s="14">
        <f>Table134681134567[[#This Row],[PMI]]-B126</f>
        <v>-0.39999999999999858</v>
      </c>
    </row>
    <row r="128" spans="1:3" x14ac:dyDescent="0.2">
      <c r="A128" s="8">
        <v>44166</v>
      </c>
      <c r="B128" s="11">
        <f>IF(VLOOKUP(A128,'DB Country PMI'!$A:$W,MATCH($A$1,'DB Country PMI'!$A$1:$W$1,),)=0,#N/A,VLOOKUP(A128,'DB Country PMI'!$A:$W,MATCH($A$1,'DB Country PMI'!$A$1:$W$1,),))</f>
        <v>52.3</v>
      </c>
      <c r="C128" s="14">
        <f>Table134681134567[[#This Row],[PMI]]-B127</f>
        <v>-1.4000000000000057</v>
      </c>
    </row>
    <row r="129" spans="1:3" x14ac:dyDescent="0.2">
      <c r="A129" s="8">
        <v>44197</v>
      </c>
      <c r="B129" s="11">
        <f>IF(VLOOKUP(A129,'DB Country PMI'!$A:$W,MATCH($A$1,'DB Country PMI'!$A$1:$W$1,),)=0,#N/A,VLOOKUP(A129,'DB Country PMI'!$A:$W,MATCH($A$1,'DB Country PMI'!$A$1:$W$1,),))</f>
        <v>52.8</v>
      </c>
      <c r="C129" s="14">
        <f>Table134681134567[[#This Row],[PMI]]-B128</f>
        <v>0.5</v>
      </c>
    </row>
    <row r="130" spans="1:3" x14ac:dyDescent="0.2">
      <c r="A130" s="8">
        <v>44228</v>
      </c>
      <c r="B130" s="11">
        <f>IF(VLOOKUP(A130,'DB Country PMI'!$A:$W,MATCH($A$1,'DB Country PMI'!$A$1:$W$1,),)=0,#N/A,VLOOKUP(A130,'DB Country PMI'!$A:$W,MATCH($A$1,'DB Country PMI'!$A$1:$W$1,),))</f>
        <v>55.3</v>
      </c>
      <c r="C130" s="14">
        <f>Table134681134567[[#This Row],[PMI]]-B129</f>
        <v>2.5</v>
      </c>
    </row>
    <row r="131" spans="1:3" x14ac:dyDescent="0.2">
      <c r="A131" s="8">
        <v>44256</v>
      </c>
      <c r="B131" s="11">
        <f>IF(VLOOKUP(A131,'DB Country PMI'!$A:$W,MATCH($A$1,'DB Country PMI'!$A$1:$W$1,),)=0,#N/A,VLOOKUP(A131,'DB Country PMI'!$A:$W,MATCH($A$1,'DB Country PMI'!$A$1:$W$1,),))</f>
        <v>54.6</v>
      </c>
      <c r="C131" s="14">
        <f>Table134681134567[[#This Row],[PMI]]-B130</f>
        <v>-0.69999999999999574</v>
      </c>
    </row>
    <row r="132" spans="1:3" x14ac:dyDescent="0.2">
      <c r="A132" s="8">
        <v>44287</v>
      </c>
      <c r="B132" s="11">
        <f>IF(VLOOKUP(A132,'DB Country PMI'!$A:$W,MATCH($A$1,'DB Country PMI'!$A$1:$W$1,),)=0,#N/A,VLOOKUP(A132,'DB Country PMI'!$A:$W,MATCH($A$1,'DB Country PMI'!$A$1:$W$1,),))</f>
        <v>54</v>
      </c>
      <c r="C132" s="14">
        <f>Table134681134567[[#This Row],[PMI]]-B131</f>
        <v>-0.60000000000000142</v>
      </c>
    </row>
    <row r="133" spans="1:3" x14ac:dyDescent="0.2">
      <c r="A133" s="8">
        <v>44317</v>
      </c>
      <c r="B133" s="11">
        <f>IF(VLOOKUP(A133,'DB Country PMI'!$A:$W,MATCH($A$1,'DB Country PMI'!$A$1:$W$1,),)=0,#N/A,VLOOKUP(A133,'DB Country PMI'!$A:$W,MATCH($A$1,'DB Country PMI'!$A$1:$W$1,),))</f>
        <v>46.4</v>
      </c>
      <c r="C133" s="14">
        <f>Table134681134567[[#This Row],[PMI]]-B132</f>
        <v>-7.6000000000000014</v>
      </c>
    </row>
    <row r="134" spans="1:3" x14ac:dyDescent="0.2">
      <c r="A134" s="8">
        <v>44348</v>
      </c>
      <c r="B134" s="11">
        <f>IF(VLOOKUP(A134,'DB Country PMI'!$A:$W,MATCH($A$1,'DB Country PMI'!$A$1:$W$1,),)=0,#N/A,VLOOKUP(A134,'DB Country PMI'!$A:$W,MATCH($A$1,'DB Country PMI'!$A$1:$W$1,),))</f>
        <v>41.2</v>
      </c>
      <c r="C134" s="14">
        <f>Table134681134567[[#This Row],[PMI]]-B133</f>
        <v>-5.1999999999999957</v>
      </c>
    </row>
    <row r="135" spans="1:3" x14ac:dyDescent="0.2">
      <c r="A135" s="8">
        <v>44378</v>
      </c>
      <c r="B135" s="11">
        <f>IF(VLOOKUP(A135,'DB Country PMI'!$A:$W,MATCH($A$1,'DB Country PMI'!$A$1:$W$1,),)=0,#N/A,VLOOKUP(A135,'DB Country PMI'!$A:$W,MATCH($A$1,'DB Country PMI'!$A$1:$W$1,),))</f>
        <v>45.4</v>
      </c>
      <c r="C135" s="14">
        <f>Table134681134567[[#This Row],[PMI]]-B134</f>
        <v>4.1999999999999957</v>
      </c>
    </row>
    <row r="136" spans="1:3" x14ac:dyDescent="0.2">
      <c r="A136" s="8">
        <v>44409</v>
      </c>
      <c r="B136" s="11">
        <f>IF(VLOOKUP(A136,'DB Country PMI'!$A:$W,MATCH($A$1,'DB Country PMI'!$A$1:$W$1,),)=0,#N/A,VLOOKUP(A136,'DB Country PMI'!$A:$W,MATCH($A$1,'DB Country PMI'!$A$1:$W$1,),))</f>
        <v>56.7</v>
      </c>
      <c r="C136" s="14">
        <f>Table134681134567[[#This Row],[PMI]]-B135</f>
        <v>11.300000000000004</v>
      </c>
    </row>
    <row r="137" spans="1:3" x14ac:dyDescent="0.2">
      <c r="A137" s="8">
        <v>44440</v>
      </c>
      <c r="B137" s="11">
        <f>IF(VLOOKUP(A137,'DB Country PMI'!$A:$W,MATCH($A$1,'DB Country PMI'!$A$1:$W$1,),)=0,#N/A,VLOOKUP(A137,'DB Country PMI'!$A:$W,MATCH($A$1,'DB Country PMI'!$A$1:$W$1,),))</f>
        <v>55.2</v>
      </c>
      <c r="C137" s="14">
        <f>Table134681134567[[#This Row],[PMI]]-B136</f>
        <v>-1.5</v>
      </c>
    </row>
    <row r="138" spans="1:3" x14ac:dyDescent="0.2">
      <c r="A138" s="8">
        <v>44470</v>
      </c>
      <c r="B138" s="11">
        <f>IF(VLOOKUP(A138,'DB Country PMI'!$A:$W,MATCH($A$1,'DB Country PMI'!$A$1:$W$1,),)=0,#N/A,VLOOKUP(A138,'DB Country PMI'!$A:$W,MATCH($A$1,'DB Country PMI'!$A$1:$W$1,),))</f>
        <v>58.4</v>
      </c>
      <c r="C138" s="14">
        <f>Table134681134567[[#This Row],[PMI]]-B137</f>
        <v>3.1999999999999957</v>
      </c>
    </row>
    <row r="139" spans="1:3" x14ac:dyDescent="0.2">
      <c r="A139" s="8">
        <v>44501</v>
      </c>
      <c r="B139" s="11">
        <f>IF(VLOOKUP(A139,'DB Country PMI'!$A:$W,MATCH($A$1,'DB Country PMI'!$A$1:$W$1,),)=0,#N/A,VLOOKUP(A139,'DB Country PMI'!$A:$W,MATCH($A$1,'DB Country PMI'!$A$1:$W$1,),))</f>
        <v>58.1</v>
      </c>
      <c r="C139" s="14">
        <f>Table134681134567[[#This Row],[PMI]]-B138</f>
        <v>-0.29999999999999716</v>
      </c>
    </row>
    <row r="140" spans="1:3" x14ac:dyDescent="0.2">
      <c r="A140" s="8">
        <v>44531</v>
      </c>
      <c r="B140" s="11">
        <f>IF(VLOOKUP(A140,'DB Country PMI'!$A:$W,MATCH($A$1,'DB Country PMI'!$A$1:$W$1,),)=0,#N/A,VLOOKUP(A140,'DB Country PMI'!$A:$W,MATCH($A$1,'DB Country PMI'!$A$1:$W$1,),))</f>
        <v>55.5</v>
      </c>
      <c r="C140" s="14">
        <f>Table134681134567[[#This Row],[PMI]]-B139</f>
        <v>-2.6000000000000014</v>
      </c>
    </row>
    <row r="141" spans="1:3" x14ac:dyDescent="0.2">
      <c r="A141" s="8">
        <v>44562</v>
      </c>
      <c r="B141" s="11">
        <f>IF(VLOOKUP(A141,'DB Country PMI'!$A:$W,MATCH($A$1,'DB Country PMI'!$A$1:$W$1,),)=0,#N/A,VLOOKUP(A141,'DB Country PMI'!$A:$W,MATCH($A$1,'DB Country PMI'!$A$1:$W$1,),))</f>
        <v>51.5</v>
      </c>
      <c r="C141" s="14">
        <f>Table134681134567[[#This Row],[PMI]]-B140</f>
        <v>-4</v>
      </c>
    </row>
    <row r="142" spans="1:3" x14ac:dyDescent="0.2">
      <c r="A142" s="8">
        <v>44593</v>
      </c>
      <c r="B142" s="11">
        <f>IF(VLOOKUP(A142,'DB Country PMI'!$A:$W,MATCH($A$1,'DB Country PMI'!$A$1:$W$1,),)=0,#N/A,VLOOKUP(A142,'DB Country PMI'!$A:$W,MATCH($A$1,'DB Country PMI'!$A$1:$W$1,),))</f>
        <v>51.8</v>
      </c>
      <c r="C142" s="14">
        <f>Table134681134567[[#This Row],[PMI]]-B141</f>
        <v>0.29999999999999716</v>
      </c>
    </row>
    <row r="143" spans="1:3" x14ac:dyDescent="0.2">
      <c r="A143" s="8">
        <v>44621</v>
      </c>
      <c r="B143" s="11">
        <f>IF(VLOOKUP(A143,'DB Country PMI'!$A:$W,MATCH($A$1,'DB Country PMI'!$A$1:$W$1,),)=0,#N/A,VLOOKUP(A143,'DB Country PMI'!$A:$W,MATCH($A$1,'DB Country PMI'!$A$1:$W$1,),))</f>
        <v>53.6</v>
      </c>
      <c r="C143" s="14">
        <f>Table134681134567[[#This Row],[PMI]]-B142</f>
        <v>1.8000000000000043</v>
      </c>
    </row>
    <row r="144" spans="1:3" x14ac:dyDescent="0.2">
      <c r="A144" s="8">
        <v>44652</v>
      </c>
      <c r="B144" s="11">
        <f>IF(VLOOKUP(A144,'DB Country PMI'!$A:$W,MATCH($A$1,'DB Country PMI'!$A$1:$W$1,),)=0,#N/A,VLOOKUP(A144,'DB Country PMI'!$A:$W,MATCH($A$1,'DB Country PMI'!$A$1:$W$1,),))</f>
        <v>57.9</v>
      </c>
      <c r="C144" s="14">
        <f>Table134681134567[[#This Row],[PMI]]-B143</f>
        <v>4.2999999999999972</v>
      </c>
    </row>
    <row r="145" spans="1:3" x14ac:dyDescent="0.2">
      <c r="A145" s="8">
        <v>44682</v>
      </c>
      <c r="B145" s="11">
        <f>IF(VLOOKUP(A145,'DB Country PMI'!$A:$W,MATCH($A$1,'DB Country PMI'!$A$1:$W$1,),)=0,#N/A,VLOOKUP(A145,'DB Country PMI'!$A:$W,MATCH($A$1,'DB Country PMI'!$A$1:$W$1,),))</f>
        <v>58.9</v>
      </c>
      <c r="C145" s="14">
        <f>Table134681134567[[#This Row],[PMI]]-B144</f>
        <v>1</v>
      </c>
    </row>
    <row r="146" spans="1:3" x14ac:dyDescent="0.2">
      <c r="A146" s="8">
        <v>44713</v>
      </c>
      <c r="B146" s="11">
        <f>IF(VLOOKUP(A146,'DB Country PMI'!$A:$W,MATCH($A$1,'DB Country PMI'!$A$1:$W$1,),)=0,#N/A,VLOOKUP(A146,'DB Country PMI'!$A:$W,MATCH($A$1,'DB Country PMI'!$A$1:$W$1,),))</f>
        <v>59.2</v>
      </c>
      <c r="C146" s="14">
        <f>Table134681134567[[#This Row],[PMI]]-B145</f>
        <v>0.30000000000000426</v>
      </c>
    </row>
    <row r="147" spans="1:3" x14ac:dyDescent="0.2">
      <c r="A147" s="8">
        <v>44743</v>
      </c>
      <c r="B147" s="11">
        <f>IF(VLOOKUP(A147,'DB Country PMI'!$A:$W,MATCH($A$1,'DB Country PMI'!$A$1:$W$1,),)=0,#N/A,VLOOKUP(A147,'DB Country PMI'!$A:$W,MATCH($A$1,'DB Country PMI'!$A$1:$W$1,),))</f>
        <v>55.5</v>
      </c>
      <c r="C147" s="14">
        <f>Table134681134567[[#This Row],[PMI]]-B146</f>
        <v>-3.7000000000000028</v>
      </c>
    </row>
    <row r="148" spans="1:3" x14ac:dyDescent="0.2">
      <c r="A148" s="8">
        <v>44774</v>
      </c>
      <c r="B148" s="11">
        <f>IF(VLOOKUP(A148,'DB Country PMI'!$A:$W,MATCH($A$1,'DB Country PMI'!$A$1:$W$1,),)=0,#N/A,VLOOKUP(A148,'DB Country PMI'!$A:$W,MATCH($A$1,'DB Country PMI'!$A$1:$W$1,),))</f>
        <v>57.2</v>
      </c>
      <c r="C148" s="14">
        <f>Table134681134567[[#This Row],[PMI]]-B147</f>
        <v>1.7000000000000028</v>
      </c>
    </row>
    <row r="149" spans="1:3" x14ac:dyDescent="0.2">
      <c r="A149" s="8">
        <v>44805</v>
      </c>
      <c r="B149" s="11">
        <f>IF(VLOOKUP(A149,'DB Country PMI'!$A:$W,MATCH($A$1,'DB Country PMI'!$A$1:$W$1,),)=0,#N/A,VLOOKUP(A149,'DB Country PMI'!$A:$W,MATCH($A$1,'DB Country PMI'!$A$1:$W$1,),))</f>
        <v>54.3</v>
      </c>
      <c r="C149" s="14">
        <f>Table134681134567[[#This Row],[PMI]]-B148</f>
        <v>-2.9000000000000057</v>
      </c>
    </row>
    <row r="150" spans="1:3" x14ac:dyDescent="0.2">
      <c r="A150" s="8">
        <v>44835</v>
      </c>
      <c r="B150" s="11">
        <f>IF(VLOOKUP(A150,'DB Country PMI'!$A:$W,MATCH($A$1,'DB Country PMI'!$A$1:$W$1,),)=0,#N/A,VLOOKUP(A150,'DB Country PMI'!$A:$W,MATCH($A$1,'DB Country PMI'!$A$1:$W$1,),))</f>
        <v>55.1</v>
      </c>
      <c r="C150" s="14">
        <f>Table134681134567[[#This Row],[PMI]]-B149</f>
        <v>0.80000000000000426</v>
      </c>
    </row>
  </sheetData>
  <conditionalFormatting sqref="C7:C150">
    <cfRule type="colorScale" priority="1">
      <colorScale>
        <cfvo type="min"/>
        <cfvo type="percentile" val="50"/>
        <cfvo type="max"/>
        <color rgb="FFF8696B"/>
        <color rgb="FFFCFCFF"/>
        <color rgb="FF5A8AC6"/>
      </colorScale>
    </cfRule>
  </conditionalFormatting>
  <conditionalFormatting sqref="B6:B150">
    <cfRule type="colorScale" priority="49">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dimension ref="A1:J150"/>
  <sheetViews>
    <sheetView zoomScale="150" zoomScaleNormal="150" workbookViewId="0">
      <pane ySplit="5" topLeftCell="A132" activePane="bottomLeft" state="frozen"/>
      <selection pane="bottomLeft" activeCell="A139" sqref="A139:C150"/>
    </sheetView>
  </sheetViews>
  <sheetFormatPr baseColWidth="10" defaultColWidth="9.1640625" defaultRowHeight="15" x14ac:dyDescent="0.2"/>
  <cols>
    <col min="1" max="1" width="13.5" style="49" customWidth="1"/>
    <col min="2" max="2" width="11.33203125" style="49" customWidth="1"/>
    <col min="3" max="11" width="9.1640625" style="49" customWidth="1"/>
    <col min="12" max="16384" width="9.1640625" style="49"/>
  </cols>
  <sheetData>
    <row r="1" spans="1:10" x14ac:dyDescent="0.2">
      <c r="A1" s="49" t="s">
        <v>31</v>
      </c>
      <c r="J1" s="49" t="s">
        <v>62</v>
      </c>
    </row>
    <row r="2" spans="1:10" x14ac:dyDescent="0.2">
      <c r="J2" s="49" t="s">
        <v>70</v>
      </c>
    </row>
    <row r="4" spans="1:10" ht="16" customHeight="1" thickBot="1" x14ac:dyDescent="0.25"/>
    <row r="5" spans="1:10" ht="16" customHeight="1" thickBot="1" x14ac:dyDescent="0.25">
      <c r="A5" s="12" t="s">
        <v>33</v>
      </c>
      <c r="B5" s="13" t="s">
        <v>60</v>
      </c>
      <c r="C5" s="13" t="s">
        <v>61</v>
      </c>
    </row>
    <row r="6" spans="1:10" x14ac:dyDescent="0.2">
      <c r="A6" s="10">
        <v>40452</v>
      </c>
      <c r="B6" s="11">
        <f>IF(VLOOKUP(A6,'DB Country PMI'!$A:$W,MATCH($A$1,'DB Country PMI'!$A$1:$W$1,),)=0,#N/A,VLOOKUP(A6,'DB Country PMI'!$A:$W,MATCH($A$1,'DB Country PMI'!$A$1:$W$1,),))</f>
        <v>50.7</v>
      </c>
      <c r="C6" s="11"/>
    </row>
    <row r="7" spans="1:10" x14ac:dyDescent="0.2">
      <c r="A7" s="8">
        <v>40483</v>
      </c>
      <c r="B7" s="11">
        <f>IF(VLOOKUP(A7,'DB Country PMI'!$A:$W,MATCH($A$1,'DB Country PMI'!$A$1:$W$1,),)=0,#N/A,VLOOKUP(A7,'DB Country PMI'!$A:$W,MATCH($A$1,'DB Country PMI'!$A$1:$W$1,),))</f>
        <v>46.2</v>
      </c>
      <c r="C7" s="14">
        <f>Table13468113456716[[#This Row],[PMI]]-B6</f>
        <v>-4.5</v>
      </c>
    </row>
    <row r="8" spans="1:10" x14ac:dyDescent="0.2">
      <c r="A8" s="8">
        <v>40513</v>
      </c>
      <c r="B8" s="11">
        <f>IF(VLOOKUP(A8,'DB Country PMI'!$A:$W,MATCH($A$1,'DB Country PMI'!$A$1:$W$1,),)=0,#N/A,VLOOKUP(A8,'DB Country PMI'!$A:$W,MATCH($A$1,'DB Country PMI'!$A$1:$W$1,),))</f>
        <v>47.1</v>
      </c>
      <c r="C8" s="14">
        <f>Table13468113456716[[#This Row],[PMI]]-B7</f>
        <v>0.89999999999999858</v>
      </c>
    </row>
    <row r="9" spans="1:10" x14ac:dyDescent="0.2">
      <c r="A9" s="8">
        <v>40544</v>
      </c>
      <c r="B9" s="11">
        <f>IF(VLOOKUP(A9,'DB Country PMI'!$A:$W,MATCH($A$1,'DB Country PMI'!$A$1:$W$1,),)=0,#N/A,VLOOKUP(A9,'DB Country PMI'!$A:$W,MATCH($A$1,'DB Country PMI'!$A$1:$W$1,),))</f>
        <v>45.5</v>
      </c>
      <c r="C9" s="14">
        <f>Table13468113456716[[#This Row],[PMI]]-B8</f>
        <v>-1.6000000000000014</v>
      </c>
    </row>
    <row r="10" spans="1:10" x14ac:dyDescent="0.2">
      <c r="A10" s="8">
        <v>40575</v>
      </c>
      <c r="B10" s="11">
        <f>IF(VLOOKUP(A10,'DB Country PMI'!$A:$W,MATCH($A$1,'DB Country PMI'!$A$1:$W$1,),)=0,#N/A,VLOOKUP(A10,'DB Country PMI'!$A:$W,MATCH($A$1,'DB Country PMI'!$A$1:$W$1,),))</f>
        <v>48.7</v>
      </c>
      <c r="C10" s="14">
        <f>Table13468113456716[[#This Row],[PMI]]-B9</f>
        <v>3.2000000000000028</v>
      </c>
    </row>
    <row r="11" spans="1:10" x14ac:dyDescent="0.2">
      <c r="A11" s="8">
        <v>40603</v>
      </c>
      <c r="B11" s="11">
        <f>IF(VLOOKUP(A11,'DB Country PMI'!$A:$W,MATCH($A$1,'DB Country PMI'!$A$1:$W$1,),)=0,#N/A,VLOOKUP(A11,'DB Country PMI'!$A:$W,MATCH($A$1,'DB Country PMI'!$A$1:$W$1,),))</f>
        <v>46.5</v>
      </c>
      <c r="C11" s="14">
        <f>Table13468113456716[[#This Row],[PMI]]-B10</f>
        <v>-2.2000000000000028</v>
      </c>
    </row>
    <row r="12" spans="1:10" x14ac:dyDescent="0.2">
      <c r="A12" s="8">
        <v>40634</v>
      </c>
      <c r="B12" s="11">
        <f>IF(VLOOKUP(A12,'DB Country PMI'!$A:$W,MATCH($A$1,'DB Country PMI'!$A$1:$W$1,),)=0,#N/A,VLOOKUP(A12,'DB Country PMI'!$A:$W,MATCH($A$1,'DB Country PMI'!$A$1:$W$1,),))</f>
        <v>51.5</v>
      </c>
      <c r="C12" s="14">
        <f>Table13468113456716[[#This Row],[PMI]]-B11</f>
        <v>5</v>
      </c>
    </row>
    <row r="13" spans="1:10" x14ac:dyDescent="0.2">
      <c r="A13" s="8">
        <v>40664</v>
      </c>
      <c r="B13" s="11">
        <f>IF(VLOOKUP(A13,'DB Country PMI'!$A:$W,MATCH($A$1,'DB Country PMI'!$A$1:$W$1,),)=0,#N/A,VLOOKUP(A13,'DB Country PMI'!$A:$W,MATCH($A$1,'DB Country PMI'!$A$1:$W$1,),))</f>
        <v>49.9</v>
      </c>
      <c r="C13" s="14">
        <f>Table13468113456716[[#This Row],[PMI]]-B12</f>
        <v>-1.6000000000000014</v>
      </c>
    </row>
    <row r="14" spans="1:10" x14ac:dyDescent="0.2">
      <c r="A14" s="8">
        <v>40695</v>
      </c>
      <c r="B14" s="11">
        <f>IF(VLOOKUP(A14,'DB Country PMI'!$A:$W,MATCH($A$1,'DB Country PMI'!$A$1:$W$1,),)=0,#N/A,VLOOKUP(A14,'DB Country PMI'!$A:$W,MATCH($A$1,'DB Country PMI'!$A$1:$W$1,),))</f>
        <v>48.5</v>
      </c>
      <c r="C14" s="14">
        <f>Table13468113456716[[#This Row],[PMI]]-B13</f>
        <v>-1.3999999999999986</v>
      </c>
    </row>
    <row r="15" spans="1:10" x14ac:dyDescent="0.2">
      <c r="A15" s="8">
        <v>40725</v>
      </c>
      <c r="B15" s="11">
        <f>IF(VLOOKUP(A15,'DB Country PMI'!$A:$W,MATCH($A$1,'DB Country PMI'!$A$1:$W$1,),)=0,#N/A,VLOOKUP(A15,'DB Country PMI'!$A:$W,MATCH($A$1,'DB Country PMI'!$A$1:$W$1,),))</f>
        <v>48.8</v>
      </c>
      <c r="C15" s="14">
        <f>Table13468113456716[[#This Row],[PMI]]-B14</f>
        <v>0.29999999999999716</v>
      </c>
    </row>
    <row r="16" spans="1:10" x14ac:dyDescent="0.2">
      <c r="A16" s="8">
        <v>40756</v>
      </c>
      <c r="B16" s="11">
        <f>IF(VLOOKUP(A16,'DB Country PMI'!$A:$W,MATCH($A$1,'DB Country PMI'!$A$1:$W$1,),)=0,#N/A,VLOOKUP(A16,'DB Country PMI'!$A:$W,MATCH($A$1,'DB Country PMI'!$A$1:$W$1,),))</f>
        <v>52.1</v>
      </c>
      <c r="C16" s="14">
        <f>Table13468113456716[[#This Row],[PMI]]-B15</f>
        <v>3.3000000000000043</v>
      </c>
    </row>
    <row r="17" spans="1:3" x14ac:dyDescent="0.2">
      <c r="A17" s="8">
        <v>40787</v>
      </c>
      <c r="B17" s="11">
        <f>IF(VLOOKUP(A17,'DB Country PMI'!$A:$W,MATCH($A$1,'DB Country PMI'!$A$1:$W$1,),)=0,#N/A,VLOOKUP(A17,'DB Country PMI'!$A:$W,MATCH($A$1,'DB Country PMI'!$A$1:$W$1,),))</f>
        <v>50.3</v>
      </c>
      <c r="C17" s="14">
        <f>Table13468113456716[[#This Row],[PMI]]-B16</f>
        <v>-1.8000000000000043</v>
      </c>
    </row>
    <row r="18" spans="1:3" x14ac:dyDescent="0.2">
      <c r="A18" s="8">
        <v>40817</v>
      </c>
      <c r="B18" s="11">
        <f>IF(VLOOKUP(A18,'DB Country PMI'!$A:$W,MATCH($A$1,'DB Country PMI'!$A$1:$W$1,),)=0,#N/A,VLOOKUP(A18,'DB Country PMI'!$A:$W,MATCH($A$1,'DB Country PMI'!$A$1:$W$1,),))</f>
        <v>48.8</v>
      </c>
      <c r="C18" s="14">
        <f>Table13468113456716[[#This Row],[PMI]]-B17</f>
        <v>-1.5</v>
      </c>
    </row>
    <row r="19" spans="1:3" x14ac:dyDescent="0.2">
      <c r="A19" s="8">
        <v>40848</v>
      </c>
      <c r="B19" s="11">
        <f>IF(VLOOKUP(A19,'DB Country PMI'!$A:$W,MATCH($A$1,'DB Country PMI'!$A$1:$W$1,),)=0,#N/A,VLOOKUP(A19,'DB Country PMI'!$A:$W,MATCH($A$1,'DB Country PMI'!$A$1:$W$1,),))</f>
        <v>47.7</v>
      </c>
      <c r="C19" s="14">
        <f>Table13468113456716[[#This Row],[PMI]]-B18</f>
        <v>-1.0999999999999943</v>
      </c>
    </row>
    <row r="20" spans="1:3" x14ac:dyDescent="0.2">
      <c r="A20" s="8">
        <v>40878</v>
      </c>
      <c r="B20" s="11">
        <f>IF(VLOOKUP(A20,'DB Country PMI'!$A:$W,MATCH($A$1,'DB Country PMI'!$A$1:$W$1,),)=0,#N/A,VLOOKUP(A20,'DB Country PMI'!$A:$W,MATCH($A$1,'DB Country PMI'!$A$1:$W$1,),))</f>
        <v>49</v>
      </c>
      <c r="C20" s="14">
        <f>Table13468113456716[[#This Row],[PMI]]-B19</f>
        <v>1.2999999999999972</v>
      </c>
    </row>
    <row r="21" spans="1:3" x14ac:dyDescent="0.2">
      <c r="A21" s="8">
        <v>40909</v>
      </c>
      <c r="B21" s="11">
        <f>IF(VLOOKUP(A21,'DB Country PMI'!$A:$W,MATCH($A$1,'DB Country PMI'!$A$1:$W$1,),)=0,#N/A,VLOOKUP(A21,'DB Country PMI'!$A:$W,MATCH($A$1,'DB Country PMI'!$A$1:$W$1,),))</f>
        <v>51.9</v>
      </c>
      <c r="C21" s="14">
        <f>Table13468113456716[[#This Row],[PMI]]-B20</f>
        <v>2.8999999999999986</v>
      </c>
    </row>
    <row r="22" spans="1:3" x14ac:dyDescent="0.2">
      <c r="A22" s="8">
        <v>40940</v>
      </c>
      <c r="B22" s="11">
        <f>IF(VLOOKUP(A22,'DB Country PMI'!$A:$W,MATCH($A$1,'DB Country PMI'!$A$1:$W$1,),)=0,#N/A,VLOOKUP(A22,'DB Country PMI'!$A:$W,MATCH($A$1,'DB Country PMI'!$A$1:$W$1,),))</f>
        <v>46.7</v>
      </c>
      <c r="C22" s="14">
        <f>Table13468113456716[[#This Row],[PMI]]-B21</f>
        <v>-5.1999999999999957</v>
      </c>
    </row>
    <row r="23" spans="1:3" x14ac:dyDescent="0.2">
      <c r="A23" s="8">
        <v>40969</v>
      </c>
      <c r="B23" s="11">
        <f>IF(VLOOKUP(A23,'DB Country PMI'!$A:$W,MATCH($A$1,'DB Country PMI'!$A$1:$W$1,),)=0,#N/A,VLOOKUP(A23,'DB Country PMI'!$A:$W,MATCH($A$1,'DB Country PMI'!$A$1:$W$1,),))</f>
        <v>47</v>
      </c>
      <c r="C23" s="14">
        <f>Table13468113456716[[#This Row],[PMI]]-B22</f>
        <v>0.29999999999999716</v>
      </c>
    </row>
    <row r="24" spans="1:3" x14ac:dyDescent="0.2">
      <c r="A24" s="8">
        <v>41000</v>
      </c>
      <c r="B24" s="11">
        <f>IF(VLOOKUP(A24,'DB Country PMI'!$A:$W,MATCH($A$1,'DB Country PMI'!$A$1:$W$1,),)=0,#N/A,VLOOKUP(A24,'DB Country PMI'!$A:$W,MATCH($A$1,'DB Country PMI'!$A$1:$W$1,),))</f>
        <v>39.6</v>
      </c>
      <c r="C24" s="14">
        <f>Table13468113456716[[#This Row],[PMI]]-B23</f>
        <v>-7.3999999999999986</v>
      </c>
    </row>
    <row r="25" spans="1:3" x14ac:dyDescent="0.2">
      <c r="A25" s="8">
        <v>41030</v>
      </c>
      <c r="B25" s="11">
        <f>IF(VLOOKUP(A25,'DB Country PMI'!$A:$W,MATCH($A$1,'DB Country PMI'!$A$1:$W$1,),)=0,#N/A,VLOOKUP(A25,'DB Country PMI'!$A:$W,MATCH($A$1,'DB Country PMI'!$A$1:$W$1,),))</f>
        <v>43.5</v>
      </c>
      <c r="C25" s="14">
        <f>Table13468113456716[[#This Row],[PMI]]-B24</f>
        <v>3.8999999999999986</v>
      </c>
    </row>
    <row r="26" spans="1:3" x14ac:dyDescent="0.2">
      <c r="A26" s="8">
        <v>41061</v>
      </c>
      <c r="B26" s="11">
        <f>IF(VLOOKUP(A26,'DB Country PMI'!$A:$W,MATCH($A$1,'DB Country PMI'!$A$1:$W$1,),)=0,#N/A,VLOOKUP(A26,'DB Country PMI'!$A:$W,MATCH($A$1,'DB Country PMI'!$A$1:$W$1,),))</f>
        <v>48.8</v>
      </c>
      <c r="C26" s="14">
        <f>Table13468113456716[[#This Row],[PMI]]-B25</f>
        <v>5.2999999999999972</v>
      </c>
    </row>
    <row r="27" spans="1:3" x14ac:dyDescent="0.2">
      <c r="A27" s="8">
        <v>41091</v>
      </c>
      <c r="B27" s="11">
        <f>IF(VLOOKUP(A27,'DB Country PMI'!$A:$W,MATCH($A$1,'DB Country PMI'!$A$1:$W$1,),)=0,#N/A,VLOOKUP(A27,'DB Country PMI'!$A:$W,MATCH($A$1,'DB Country PMI'!$A$1:$W$1,),))</f>
        <v>46.5</v>
      </c>
      <c r="C27" s="14">
        <f>Table13468113456716[[#This Row],[PMI]]-B26</f>
        <v>-2.2999999999999972</v>
      </c>
    </row>
    <row r="28" spans="1:3" x14ac:dyDescent="0.2">
      <c r="A28" s="8">
        <v>41122</v>
      </c>
      <c r="B28" s="11">
        <f>IF(VLOOKUP(A28,'DB Country PMI'!$A:$W,MATCH($A$1,'DB Country PMI'!$A$1:$W$1,),)=0,#N/A,VLOOKUP(A28,'DB Country PMI'!$A:$W,MATCH($A$1,'DB Country PMI'!$A$1:$W$1,),))</f>
        <v>42.4</v>
      </c>
      <c r="C28" s="14">
        <f>Table13468113456716[[#This Row],[PMI]]-B27</f>
        <v>-4.1000000000000014</v>
      </c>
    </row>
    <row r="29" spans="1:3" x14ac:dyDescent="0.2">
      <c r="A29" s="8">
        <v>41153</v>
      </c>
      <c r="B29" s="11">
        <f>IF(VLOOKUP(A29,'DB Country PMI'!$A:$W,MATCH($A$1,'DB Country PMI'!$A$1:$W$1,),)=0,#N/A,VLOOKUP(A29,'DB Country PMI'!$A:$W,MATCH($A$1,'DB Country PMI'!$A$1:$W$1,),))</f>
        <v>41.9</v>
      </c>
      <c r="C29" s="14">
        <f>Table13468113456716[[#This Row],[PMI]]-B28</f>
        <v>-0.5</v>
      </c>
    </row>
    <row r="30" spans="1:3" x14ac:dyDescent="0.2">
      <c r="A30" s="8">
        <v>41183</v>
      </c>
      <c r="B30" s="11">
        <f>IF(VLOOKUP(A30,'DB Country PMI'!$A:$W,MATCH($A$1,'DB Country PMI'!$A$1:$W$1,),)=0,#N/A,VLOOKUP(A30,'DB Country PMI'!$A:$W,MATCH($A$1,'DB Country PMI'!$A$1:$W$1,),))</f>
        <v>42.8</v>
      </c>
      <c r="C30" s="14">
        <f>Table13468113456716[[#This Row],[PMI]]-B29</f>
        <v>0.89999999999999858</v>
      </c>
    </row>
    <row r="31" spans="1:3" x14ac:dyDescent="0.2">
      <c r="A31" s="8">
        <v>41214</v>
      </c>
      <c r="B31" s="11">
        <f>IF(VLOOKUP(A31,'DB Country PMI'!$A:$W,MATCH($A$1,'DB Country PMI'!$A$1:$W$1,),)=0,#N/A,VLOOKUP(A31,'DB Country PMI'!$A:$W,MATCH($A$1,'DB Country PMI'!$A$1:$W$1,),))</f>
        <v>47.1</v>
      </c>
      <c r="C31" s="14">
        <f>Table13468113456716[[#This Row],[PMI]]-B30</f>
        <v>4.3000000000000043</v>
      </c>
    </row>
    <row r="32" spans="1:3" x14ac:dyDescent="0.2">
      <c r="A32" s="8">
        <v>41244</v>
      </c>
      <c r="B32" s="11">
        <f>IF(VLOOKUP(A32,'DB Country PMI'!$A:$W,MATCH($A$1,'DB Country PMI'!$A$1:$W$1,),)=0,#N/A,VLOOKUP(A32,'DB Country PMI'!$A:$W,MATCH($A$1,'DB Country PMI'!$A$1:$W$1,),))</f>
        <v>46.3</v>
      </c>
      <c r="C32" s="14">
        <f>Table13468113456716[[#This Row],[PMI]]-B31</f>
        <v>-0.80000000000000426</v>
      </c>
    </row>
    <row r="33" spans="1:3" x14ac:dyDescent="0.2">
      <c r="A33" s="8">
        <v>41275</v>
      </c>
      <c r="B33" s="11">
        <f>IF(VLOOKUP(A33,'DB Country PMI'!$A:$W,MATCH($A$1,'DB Country PMI'!$A$1:$W$1,),)=0,#N/A,VLOOKUP(A33,'DB Country PMI'!$A:$W,MATCH($A$1,'DB Country PMI'!$A$1:$W$1,),))</f>
        <v>45.4</v>
      </c>
      <c r="C33" s="14">
        <f>Table13468113456716[[#This Row],[PMI]]-B32</f>
        <v>-0.89999999999999858</v>
      </c>
    </row>
    <row r="34" spans="1:3" x14ac:dyDescent="0.2">
      <c r="A34" s="8">
        <v>41306</v>
      </c>
      <c r="B34" s="11">
        <f>IF(VLOOKUP(A34,'DB Country PMI'!$A:$W,MATCH($A$1,'DB Country PMI'!$A$1:$W$1,),)=0,#N/A,VLOOKUP(A34,'DB Country PMI'!$A:$W,MATCH($A$1,'DB Country PMI'!$A$1:$W$1,),))</f>
        <v>48.5</v>
      </c>
      <c r="C34" s="14">
        <f>Table13468113456716[[#This Row],[PMI]]-B33</f>
        <v>3.1000000000000014</v>
      </c>
    </row>
    <row r="35" spans="1:3" x14ac:dyDescent="0.2">
      <c r="A35" s="8">
        <v>41334</v>
      </c>
      <c r="B35" s="11">
        <f>IF(VLOOKUP(A35,'DB Country PMI'!$A:$W,MATCH($A$1,'DB Country PMI'!$A$1:$W$1,),)=0,#N/A,VLOOKUP(A35,'DB Country PMI'!$A:$W,MATCH($A$1,'DB Country PMI'!$A$1:$W$1,),))</f>
        <v>49.6</v>
      </c>
      <c r="C35" s="14">
        <f>Table13468113456716[[#This Row],[PMI]]-B34</f>
        <v>1.1000000000000014</v>
      </c>
    </row>
    <row r="36" spans="1:3" x14ac:dyDescent="0.2">
      <c r="A36" s="8">
        <v>41365</v>
      </c>
      <c r="B36" s="11">
        <f>IF(VLOOKUP(A36,'DB Country PMI'!$A:$W,MATCH($A$1,'DB Country PMI'!$A$1:$W$1,),)=0,#N/A,VLOOKUP(A36,'DB Country PMI'!$A:$W,MATCH($A$1,'DB Country PMI'!$A$1:$W$1,),))</f>
        <v>44.1</v>
      </c>
      <c r="C36" s="14">
        <f>Table13468113456716[[#This Row],[PMI]]-B35</f>
        <v>-5.5</v>
      </c>
    </row>
    <row r="37" spans="1:3" x14ac:dyDescent="0.2">
      <c r="A37" s="8">
        <v>41395</v>
      </c>
      <c r="B37" s="11">
        <f>IF(VLOOKUP(A37,'DB Country PMI'!$A:$W,MATCH($A$1,'DB Country PMI'!$A$1:$W$1,),)=0,#N/A,VLOOKUP(A37,'DB Country PMI'!$A:$W,MATCH($A$1,'DB Country PMI'!$A$1:$W$1,),))</f>
        <v>40.6</v>
      </c>
      <c r="C37" s="14">
        <f>Table13468113456716[[#This Row],[PMI]]-B36</f>
        <v>-3.5</v>
      </c>
    </row>
    <row r="38" spans="1:3" x14ac:dyDescent="0.2">
      <c r="A38" s="8">
        <v>41426</v>
      </c>
      <c r="B38" s="11">
        <f>IF(VLOOKUP(A38,'DB Country PMI'!$A:$W,MATCH($A$1,'DB Country PMI'!$A$1:$W$1,),)=0,#N/A,VLOOKUP(A38,'DB Country PMI'!$A:$W,MATCH($A$1,'DB Country PMI'!$A$1:$W$1,),))</f>
        <v>41.5</v>
      </c>
      <c r="C38" s="14">
        <f>Table13468113456716[[#This Row],[PMI]]-B37</f>
        <v>0.89999999999999858</v>
      </c>
    </row>
    <row r="39" spans="1:3" x14ac:dyDescent="0.2">
      <c r="A39" s="8">
        <v>41456</v>
      </c>
      <c r="B39" s="11">
        <f>IF(VLOOKUP(A39,'DB Country PMI'!$A:$W,MATCH($A$1,'DB Country PMI'!$A$1:$W$1,),)=0,#N/A,VLOOKUP(A39,'DB Country PMI'!$A:$W,MATCH($A$1,'DB Country PMI'!$A$1:$W$1,),))</f>
        <v>39.4</v>
      </c>
      <c r="C39" s="14">
        <f>Table13468113456716[[#This Row],[PMI]]-B38</f>
        <v>-2.1000000000000014</v>
      </c>
    </row>
    <row r="40" spans="1:3" x14ac:dyDescent="0.2">
      <c r="A40" s="8">
        <v>41487</v>
      </c>
      <c r="B40" s="11">
        <f>IF(VLOOKUP(A40,'DB Country PMI'!$A:$W,MATCH($A$1,'DB Country PMI'!$A$1:$W$1,),)=0,#N/A,VLOOKUP(A40,'DB Country PMI'!$A:$W,MATCH($A$1,'DB Country PMI'!$A$1:$W$1,),))</f>
        <v>39</v>
      </c>
      <c r="C40" s="14">
        <f>Table13468113456716[[#This Row],[PMI]]-B39</f>
        <v>-0.39999999999999858</v>
      </c>
    </row>
    <row r="41" spans="1:3" x14ac:dyDescent="0.2">
      <c r="A41" s="8">
        <v>41518</v>
      </c>
      <c r="B41" s="11">
        <f>IF(VLOOKUP(A41,'DB Country PMI'!$A:$W,MATCH($A$1,'DB Country PMI'!$A$1:$W$1,),)=0,#N/A,VLOOKUP(A41,'DB Country PMI'!$A:$W,MATCH($A$1,'DB Country PMI'!$A$1:$W$1,),))</f>
        <v>47.1</v>
      </c>
      <c r="C41" s="14">
        <f>Table13468113456716[[#This Row],[PMI]]-B40</f>
        <v>8.1000000000000014</v>
      </c>
    </row>
    <row r="42" spans="1:3" x14ac:dyDescent="0.2">
      <c r="A42" s="8">
        <v>41548</v>
      </c>
      <c r="B42" s="11">
        <f>IF(VLOOKUP(A42,'DB Country PMI'!$A:$W,MATCH($A$1,'DB Country PMI'!$A$1:$W$1,),)=0,#N/A,VLOOKUP(A42,'DB Country PMI'!$A:$W,MATCH($A$1,'DB Country PMI'!$A$1:$W$1,),))</f>
        <v>47.9</v>
      </c>
      <c r="C42" s="14">
        <f>Table13468113456716[[#This Row],[PMI]]-B41</f>
        <v>0.79999999999999716</v>
      </c>
    </row>
    <row r="43" spans="1:3" x14ac:dyDescent="0.2">
      <c r="A43" s="8">
        <v>41579</v>
      </c>
      <c r="B43" s="11">
        <f>IF(VLOOKUP(A43,'DB Country PMI'!$A:$W,MATCH($A$1,'DB Country PMI'!$A$1:$W$1,),)=0,#N/A,VLOOKUP(A43,'DB Country PMI'!$A:$W,MATCH($A$1,'DB Country PMI'!$A$1:$W$1,),))</f>
        <v>48.9</v>
      </c>
      <c r="C43" s="14">
        <f>Table13468113456716[[#This Row],[PMI]]-B42</f>
        <v>1</v>
      </c>
    </row>
    <row r="44" spans="1:3" x14ac:dyDescent="0.2">
      <c r="A44" s="8">
        <v>41609</v>
      </c>
      <c r="B44" s="11">
        <f>IF(VLOOKUP(A44,'DB Country PMI'!$A:$W,MATCH($A$1,'DB Country PMI'!$A$1:$W$1,),)=0,#N/A,VLOOKUP(A44,'DB Country PMI'!$A:$W,MATCH($A$1,'DB Country PMI'!$A$1:$W$1,),))</f>
        <v>46.1</v>
      </c>
      <c r="C44" s="14">
        <f>Table13468113456716[[#This Row],[PMI]]-B43</f>
        <v>-2.7999999999999972</v>
      </c>
    </row>
    <row r="45" spans="1:3" x14ac:dyDescent="0.2">
      <c r="A45" s="8">
        <v>41640</v>
      </c>
      <c r="B45" s="11">
        <f>IF(VLOOKUP(A45,'DB Country PMI'!$A:$W,MATCH($A$1,'DB Country PMI'!$A$1:$W$1,),)=0,#N/A,VLOOKUP(A45,'DB Country PMI'!$A:$W,MATCH($A$1,'DB Country PMI'!$A$1:$W$1,),))</f>
        <v>49.3</v>
      </c>
      <c r="C45" s="14">
        <f>Table13468113456716[[#This Row],[PMI]]-B44</f>
        <v>3.1999999999999957</v>
      </c>
    </row>
    <row r="46" spans="1:3" x14ac:dyDescent="0.2">
      <c r="A46" s="8">
        <v>41671</v>
      </c>
      <c r="B46" s="11">
        <f>IF(VLOOKUP(A46,'DB Country PMI'!$A:$W,MATCH($A$1,'DB Country PMI'!$A$1:$W$1,),)=0,#N/A,VLOOKUP(A46,'DB Country PMI'!$A:$W,MATCH($A$1,'DB Country PMI'!$A$1:$W$1,),))</f>
        <v>55.2</v>
      </c>
      <c r="C46" s="14">
        <f>Table13468113456716[[#This Row],[PMI]]-B45</f>
        <v>5.9000000000000057</v>
      </c>
    </row>
    <row r="47" spans="1:3" x14ac:dyDescent="0.2">
      <c r="A47" s="8">
        <v>41699</v>
      </c>
      <c r="B47" s="11">
        <f>IF(VLOOKUP(A47,'DB Country PMI'!$A:$W,MATCH($A$1,'DB Country PMI'!$A$1:$W$1,),)=0,#N/A,VLOOKUP(A47,'DB Country PMI'!$A:$W,MATCH($A$1,'DB Country PMI'!$A$1:$W$1,),))</f>
        <v>48.9</v>
      </c>
      <c r="C47" s="14">
        <f>Table13468113456716[[#This Row],[PMI]]-B46</f>
        <v>-6.3000000000000043</v>
      </c>
    </row>
    <row r="48" spans="1:3" x14ac:dyDescent="0.2">
      <c r="A48" s="8">
        <v>41730</v>
      </c>
      <c r="B48" s="11">
        <f>IF(VLOOKUP(A48,'DB Country PMI'!$A:$W,MATCH($A$1,'DB Country PMI'!$A$1:$W$1,),)=0,#N/A,VLOOKUP(A48,'DB Country PMI'!$A:$W,MATCH($A$1,'DB Country PMI'!$A$1:$W$1,),))</f>
        <v>48.6</v>
      </c>
      <c r="C48" s="14">
        <f>Table13468113456716[[#This Row],[PMI]]-B47</f>
        <v>-0.29999999999999716</v>
      </c>
    </row>
    <row r="49" spans="1:3" x14ac:dyDescent="0.2">
      <c r="A49" s="8">
        <v>41760</v>
      </c>
      <c r="B49" s="11">
        <f>IF(VLOOKUP(A49,'DB Country PMI'!$A:$W,MATCH($A$1,'DB Country PMI'!$A$1:$W$1,),)=0,#N/A,VLOOKUP(A49,'DB Country PMI'!$A:$W,MATCH($A$1,'DB Country PMI'!$A$1:$W$1,),))</f>
        <v>49.9</v>
      </c>
      <c r="C49" s="14">
        <f>Table13468113456716[[#This Row],[PMI]]-B48</f>
        <v>1.2999999999999972</v>
      </c>
    </row>
    <row r="50" spans="1:3" x14ac:dyDescent="0.2">
      <c r="A50" s="8">
        <v>41791</v>
      </c>
      <c r="B50" s="11">
        <f>IF(VLOOKUP(A50,'DB Country PMI'!$A:$W,MATCH($A$1,'DB Country PMI'!$A$1:$W$1,),)=0,#N/A,VLOOKUP(A50,'DB Country PMI'!$A:$W,MATCH($A$1,'DB Country PMI'!$A$1:$W$1,),))</f>
        <v>47.6</v>
      </c>
      <c r="C50" s="14">
        <f>Table13468113456716[[#This Row],[PMI]]-B49</f>
        <v>-2.2999999999999972</v>
      </c>
    </row>
    <row r="51" spans="1:3" x14ac:dyDescent="0.2">
      <c r="A51" s="8">
        <v>41821</v>
      </c>
      <c r="B51" s="11">
        <f>IF(VLOOKUP(A51,'DB Country PMI'!$A:$W,MATCH($A$1,'DB Country PMI'!$A$1:$W$1,),)=0,#N/A,VLOOKUP(A51,'DB Country PMI'!$A:$W,MATCH($A$1,'DB Country PMI'!$A$1:$W$1,),))</f>
        <v>49.3</v>
      </c>
      <c r="C51" s="14">
        <f>Table13468113456716[[#This Row],[PMI]]-B50</f>
        <v>1.6999999999999957</v>
      </c>
    </row>
    <row r="52" spans="1:3" x14ac:dyDescent="0.2">
      <c r="A52" s="8">
        <v>41852</v>
      </c>
      <c r="B52" s="11">
        <f>IF(VLOOKUP(A52,'DB Country PMI'!$A:$W,MATCH($A$1,'DB Country PMI'!$A$1:$W$1,),)=0,#N/A,VLOOKUP(A52,'DB Country PMI'!$A:$W,MATCH($A$1,'DB Country PMI'!$A$1:$W$1,),))</f>
        <v>49.4</v>
      </c>
      <c r="C52" s="14">
        <f>Table13468113456716[[#This Row],[PMI]]-B51</f>
        <v>0.10000000000000142</v>
      </c>
    </row>
    <row r="53" spans="1:3" x14ac:dyDescent="0.2">
      <c r="A53" s="8">
        <v>41883</v>
      </c>
      <c r="B53" s="11">
        <f>IF(VLOOKUP(A53,'DB Country PMI'!$A:$W,MATCH($A$1,'DB Country PMI'!$A$1:$W$1,),)=0,#N/A,VLOOKUP(A53,'DB Country PMI'!$A:$W,MATCH($A$1,'DB Country PMI'!$A$1:$W$1,),))</f>
        <v>45.5</v>
      </c>
      <c r="C53" s="14">
        <f>Table13468113456716[[#This Row],[PMI]]-B52</f>
        <v>-3.8999999999999986</v>
      </c>
    </row>
    <row r="54" spans="1:3" x14ac:dyDescent="0.2">
      <c r="A54" s="8">
        <v>41913</v>
      </c>
      <c r="B54" s="11">
        <f>IF(VLOOKUP(A54,'DB Country PMI'!$A:$W,MATCH($A$1,'DB Country PMI'!$A$1:$W$1,),)=0,#N/A,VLOOKUP(A54,'DB Country PMI'!$A:$W,MATCH($A$1,'DB Country PMI'!$A$1:$W$1,),))</f>
        <v>43.6</v>
      </c>
      <c r="C54" s="14">
        <f>Table13468113456716[[#This Row],[PMI]]-B53</f>
        <v>-1.8999999999999986</v>
      </c>
    </row>
    <row r="55" spans="1:3" x14ac:dyDescent="0.2">
      <c r="A55" s="8">
        <v>41944</v>
      </c>
      <c r="B55" s="11">
        <f>IF(VLOOKUP(A55,'DB Country PMI'!$A:$W,MATCH($A$1,'DB Country PMI'!$A$1:$W$1,),)=0,#N/A,VLOOKUP(A55,'DB Country PMI'!$A:$W,MATCH($A$1,'DB Country PMI'!$A$1:$W$1,),))</f>
        <v>43.8</v>
      </c>
      <c r="C55" s="14">
        <f>Table13468113456716[[#This Row],[PMI]]-B54</f>
        <v>0.19999999999999574</v>
      </c>
    </row>
    <row r="56" spans="1:3" x14ac:dyDescent="0.2">
      <c r="A56" s="8">
        <v>41974</v>
      </c>
      <c r="B56" s="11">
        <f>IF(VLOOKUP(A56,'DB Country PMI'!$A:$W,MATCH($A$1,'DB Country PMI'!$A$1:$W$1,),)=0,#N/A,VLOOKUP(A56,'DB Country PMI'!$A:$W,MATCH($A$1,'DB Country PMI'!$A$1:$W$1,),))</f>
        <v>47.5</v>
      </c>
      <c r="C56" s="14">
        <f>Table13468113456716[[#This Row],[PMI]]-B55</f>
        <v>3.7000000000000028</v>
      </c>
    </row>
    <row r="57" spans="1:3" x14ac:dyDescent="0.2">
      <c r="A57" s="8">
        <v>42005</v>
      </c>
      <c r="B57" s="11">
        <f>IF(VLOOKUP(A57,'DB Country PMI'!$A:$W,MATCH($A$1,'DB Country PMI'!$A$1:$W$1,),)=0,#N/A,VLOOKUP(A57,'DB Country PMI'!$A:$W,MATCH($A$1,'DB Country PMI'!$A$1:$W$1,),))</f>
        <v>49.5</v>
      </c>
      <c r="C57" s="14">
        <f>Table13468113456716[[#This Row],[PMI]]-B56</f>
        <v>2</v>
      </c>
    </row>
    <row r="58" spans="1:3" x14ac:dyDescent="0.2">
      <c r="A58" s="8">
        <v>42036</v>
      </c>
      <c r="B58" s="11">
        <f>IF(VLOOKUP(A58,'DB Country PMI'!$A:$W,MATCH($A$1,'DB Country PMI'!$A$1:$W$1,),)=0,#N/A,VLOOKUP(A58,'DB Country PMI'!$A:$W,MATCH($A$1,'DB Country PMI'!$A$1:$W$1,),))</f>
        <v>51.7</v>
      </c>
      <c r="C58" s="14">
        <f>Table13468113456716[[#This Row],[PMI]]-B57</f>
        <v>2.2000000000000028</v>
      </c>
    </row>
    <row r="59" spans="1:3" x14ac:dyDescent="0.2">
      <c r="A59" s="8">
        <v>42064</v>
      </c>
      <c r="B59" s="11">
        <f>IF(VLOOKUP(A59,'DB Country PMI'!$A:$W,MATCH($A$1,'DB Country PMI'!$A$1:$W$1,),)=0,#N/A,VLOOKUP(A59,'DB Country PMI'!$A:$W,MATCH($A$1,'DB Country PMI'!$A$1:$W$1,),))</f>
        <v>50.2</v>
      </c>
      <c r="C59" s="14">
        <f>Table13468113456716[[#This Row],[PMI]]-B58</f>
        <v>-1.5</v>
      </c>
    </row>
    <row r="60" spans="1:3" x14ac:dyDescent="0.2">
      <c r="A60" s="8">
        <v>42095</v>
      </c>
      <c r="B60" s="11">
        <f>IF(VLOOKUP(A60,'DB Country PMI'!$A:$W,MATCH($A$1,'DB Country PMI'!$A$1:$W$1,),)=0,#N/A,VLOOKUP(A60,'DB Country PMI'!$A:$W,MATCH($A$1,'DB Country PMI'!$A$1:$W$1,),))</f>
        <v>49.7</v>
      </c>
      <c r="C60" s="14">
        <f>Table13468113456716[[#This Row],[PMI]]-B59</f>
        <v>-0.5</v>
      </c>
    </row>
    <row r="61" spans="1:3" x14ac:dyDescent="0.2">
      <c r="A61" s="8">
        <v>42125</v>
      </c>
      <c r="B61" s="11">
        <f>IF(VLOOKUP(A61,'DB Country PMI'!$A:$W,MATCH($A$1,'DB Country PMI'!$A$1:$W$1,),)=0,#N/A,VLOOKUP(A61,'DB Country PMI'!$A:$W,MATCH($A$1,'DB Country PMI'!$A$1:$W$1,),))</f>
        <v>49.6</v>
      </c>
      <c r="C61" s="14">
        <f>Table13468113456716[[#This Row],[PMI]]-B60</f>
        <v>-0.10000000000000142</v>
      </c>
    </row>
    <row r="62" spans="1:3" x14ac:dyDescent="0.2">
      <c r="A62" s="8">
        <v>42156</v>
      </c>
      <c r="B62" s="11">
        <f>IF(VLOOKUP(A62,'DB Country PMI'!$A:$W,MATCH($A$1,'DB Country PMI'!$A$1:$W$1,),)=0,#N/A,VLOOKUP(A62,'DB Country PMI'!$A:$W,MATCH($A$1,'DB Country PMI'!$A$1:$W$1,),))</f>
        <v>51.2</v>
      </c>
      <c r="C62" s="14">
        <f>Table13468113456716[[#This Row],[PMI]]-B61</f>
        <v>1.6000000000000014</v>
      </c>
    </row>
    <row r="63" spans="1:3" x14ac:dyDescent="0.2">
      <c r="A63" s="8">
        <v>42186</v>
      </c>
      <c r="B63" s="11">
        <f>IF(VLOOKUP(A63,'DB Country PMI'!$A:$W,MATCH($A$1,'DB Country PMI'!$A$1:$W$1,),)=0,#N/A,VLOOKUP(A63,'DB Country PMI'!$A:$W,MATCH($A$1,'DB Country PMI'!$A$1:$W$1,),))</f>
        <v>54.1</v>
      </c>
      <c r="C63" s="14">
        <f>Table13468113456716[[#This Row],[PMI]]-B62</f>
        <v>2.8999999999999986</v>
      </c>
    </row>
    <row r="64" spans="1:3" x14ac:dyDescent="0.2">
      <c r="A64" s="8">
        <v>42217</v>
      </c>
      <c r="B64" s="11">
        <f>IF(VLOOKUP(A64,'DB Country PMI'!$A:$W,MATCH($A$1,'DB Country PMI'!$A$1:$W$1,),)=0,#N/A,VLOOKUP(A64,'DB Country PMI'!$A:$W,MATCH($A$1,'DB Country PMI'!$A$1:$W$1,),))</f>
        <v>55.6</v>
      </c>
      <c r="C64" s="14">
        <f>Table13468113456716[[#This Row],[PMI]]-B63</f>
        <v>1.5</v>
      </c>
    </row>
    <row r="65" spans="1:3" x14ac:dyDescent="0.2">
      <c r="A65" s="8">
        <v>42248</v>
      </c>
      <c r="B65" s="11">
        <f>IF(VLOOKUP(A65,'DB Country PMI'!$A:$W,MATCH($A$1,'DB Country PMI'!$A$1:$W$1,),)=0,#N/A,VLOOKUP(A65,'DB Country PMI'!$A:$W,MATCH($A$1,'DB Country PMI'!$A$1:$W$1,),))</f>
        <v>52.3</v>
      </c>
      <c r="C65" s="14">
        <f>Table13468113456716[[#This Row],[PMI]]-B64</f>
        <v>-3.3000000000000043</v>
      </c>
    </row>
    <row r="66" spans="1:3" x14ac:dyDescent="0.2">
      <c r="A66" s="8">
        <v>42278</v>
      </c>
      <c r="B66" s="11">
        <f>IF(VLOOKUP(A66,'DB Country PMI'!$A:$W,MATCH($A$1,'DB Country PMI'!$A$1:$W$1,),)=0,#N/A,VLOOKUP(A66,'DB Country PMI'!$A:$W,MATCH($A$1,'DB Country PMI'!$A$1:$W$1,),))</f>
        <v>48.9</v>
      </c>
      <c r="C66" s="14">
        <f>Table13468113456716[[#This Row],[PMI]]-B65</f>
        <v>-3.3999999999999986</v>
      </c>
    </row>
    <row r="67" spans="1:3" x14ac:dyDescent="0.2">
      <c r="A67" s="8">
        <v>42309</v>
      </c>
      <c r="B67" s="11">
        <f>IF(VLOOKUP(A67,'DB Country PMI'!$A:$W,MATCH($A$1,'DB Country PMI'!$A$1:$W$1,),)=0,#N/A,VLOOKUP(A67,'DB Country PMI'!$A:$W,MATCH($A$1,'DB Country PMI'!$A$1:$W$1,),))</f>
        <v>48.2</v>
      </c>
      <c r="C67" s="14">
        <f>Table13468113456716[[#This Row],[PMI]]-B66</f>
        <v>-0.69999999999999574</v>
      </c>
    </row>
    <row r="68" spans="1:3" x14ac:dyDescent="0.2">
      <c r="A68" s="8">
        <v>42339</v>
      </c>
      <c r="B68" s="11">
        <f>IF(VLOOKUP(A68,'DB Country PMI'!$A:$W,MATCH($A$1,'DB Country PMI'!$A$1:$W$1,),)=0,#N/A,VLOOKUP(A68,'DB Country PMI'!$A:$W,MATCH($A$1,'DB Country PMI'!$A$1:$W$1,),))</f>
        <v>46.3</v>
      </c>
      <c r="C68" s="14">
        <f>Table13468113456716[[#This Row],[PMI]]-B67</f>
        <v>-1.9000000000000057</v>
      </c>
    </row>
    <row r="69" spans="1:3" x14ac:dyDescent="0.2">
      <c r="A69" s="8">
        <v>42370</v>
      </c>
      <c r="B69" s="11">
        <f>IF(VLOOKUP(A69,'DB Country PMI'!$A:$W,MATCH($A$1,'DB Country PMI'!$A$1:$W$1,),)=0,#N/A,VLOOKUP(A69,'DB Country PMI'!$A:$W,MATCH($A$1,'DB Country PMI'!$A$1:$W$1,),))</f>
        <v>48.4</v>
      </c>
      <c r="C69" s="14">
        <f>Table13468113456716[[#This Row],[PMI]]-B68</f>
        <v>2.1000000000000014</v>
      </c>
    </row>
    <row r="70" spans="1:3" x14ac:dyDescent="0.2">
      <c r="A70" s="8">
        <v>42401</v>
      </c>
      <c r="B70" s="11">
        <f>IF(VLOOKUP(A70,'DB Country PMI'!$A:$W,MATCH($A$1,'DB Country PMI'!$A$1:$W$1,),)=0,#N/A,VLOOKUP(A70,'DB Country PMI'!$A:$W,MATCH($A$1,'DB Country PMI'!$A$1:$W$1,),))</f>
        <v>51.8</v>
      </c>
      <c r="C70" s="14">
        <f>Table13468113456716[[#This Row],[PMI]]-B69</f>
        <v>3.3999999999999986</v>
      </c>
    </row>
    <row r="71" spans="1:3" x14ac:dyDescent="0.2">
      <c r="A71" s="8">
        <v>42430</v>
      </c>
      <c r="B71" s="11">
        <f>IF(VLOOKUP(A71,'DB Country PMI'!$A:$W,MATCH($A$1,'DB Country PMI'!$A$1:$W$1,),)=0,#N/A,VLOOKUP(A71,'DB Country PMI'!$A:$W,MATCH($A$1,'DB Country PMI'!$A$1:$W$1,),))</f>
        <v>49.5</v>
      </c>
      <c r="C71" s="14">
        <f>Table13468113456716[[#This Row],[PMI]]-B70</f>
        <v>-2.2999999999999972</v>
      </c>
    </row>
    <row r="72" spans="1:3" x14ac:dyDescent="0.2">
      <c r="A72" s="8">
        <v>42461</v>
      </c>
      <c r="B72" s="11">
        <f>IF(VLOOKUP(A72,'DB Country PMI'!$A:$W,MATCH($A$1,'DB Country PMI'!$A$1:$W$1,),)=0,#N/A,VLOOKUP(A72,'DB Country PMI'!$A:$W,MATCH($A$1,'DB Country PMI'!$A$1:$W$1,),))</f>
        <v>49.7</v>
      </c>
      <c r="C72" s="14">
        <f>Table13468113456716[[#This Row],[PMI]]-B71</f>
        <v>0.20000000000000284</v>
      </c>
    </row>
    <row r="73" spans="1:3" x14ac:dyDescent="0.2">
      <c r="A73" s="8">
        <v>42491</v>
      </c>
      <c r="B73" s="11">
        <f>IF(VLOOKUP(A73,'DB Country PMI'!$A:$W,MATCH($A$1,'DB Country PMI'!$A$1:$W$1,),)=0,#N/A,VLOOKUP(A73,'DB Country PMI'!$A:$W,MATCH($A$1,'DB Country PMI'!$A$1:$W$1,),))</f>
        <v>51.5</v>
      </c>
      <c r="C73" s="14">
        <f>Table13468113456716[[#This Row],[PMI]]-B72</f>
        <v>1.7999999999999972</v>
      </c>
    </row>
    <row r="74" spans="1:3" x14ac:dyDescent="0.2">
      <c r="A74" s="8">
        <v>42522</v>
      </c>
      <c r="B74" s="11">
        <f>IF(VLOOKUP(A74,'DB Country PMI'!$A:$W,MATCH($A$1,'DB Country PMI'!$A$1:$W$1,),)=0,#N/A,VLOOKUP(A74,'DB Country PMI'!$A:$W,MATCH($A$1,'DB Country PMI'!$A$1:$W$1,),))</f>
        <v>51.3</v>
      </c>
      <c r="C74" s="14">
        <f>Table13468113456716[[#This Row],[PMI]]-B73</f>
        <v>-0.20000000000000284</v>
      </c>
    </row>
    <row r="75" spans="1:3" x14ac:dyDescent="0.2">
      <c r="A75" s="8">
        <v>42552</v>
      </c>
      <c r="B75" s="11">
        <f>IF(VLOOKUP(A75,'DB Country PMI'!$A:$W,MATCH($A$1,'DB Country PMI'!$A$1:$W$1,),)=0,#N/A,VLOOKUP(A75,'DB Country PMI'!$A:$W,MATCH($A$1,'DB Country PMI'!$A$1:$W$1,),))</f>
        <v>53.9</v>
      </c>
      <c r="C75" s="14">
        <f>Table13468113456716[[#This Row],[PMI]]-B74</f>
        <v>2.6000000000000014</v>
      </c>
    </row>
    <row r="76" spans="1:3" x14ac:dyDescent="0.2">
      <c r="A76" s="8">
        <v>42583</v>
      </c>
      <c r="B76" s="11">
        <f>IF(VLOOKUP(A76,'DB Country PMI'!$A:$W,MATCH($A$1,'DB Country PMI'!$A$1:$W$1,),)=0,#N/A,VLOOKUP(A76,'DB Country PMI'!$A:$W,MATCH($A$1,'DB Country PMI'!$A$1:$W$1,),))</f>
        <v>45</v>
      </c>
      <c r="C76" s="14">
        <f>Table13468113456716[[#This Row],[PMI]]-B75</f>
        <v>-8.8999999999999986</v>
      </c>
    </row>
    <row r="77" spans="1:3" x14ac:dyDescent="0.2">
      <c r="A77" s="8">
        <v>42614</v>
      </c>
      <c r="B77" s="11">
        <f>IF(VLOOKUP(A77,'DB Country PMI'!$A:$W,MATCH($A$1,'DB Country PMI'!$A$1:$W$1,),)=0,#N/A,VLOOKUP(A77,'DB Country PMI'!$A:$W,MATCH($A$1,'DB Country PMI'!$A$1:$W$1,),))</f>
        <v>48.9</v>
      </c>
      <c r="C77" s="14">
        <f>Table13468113456716[[#This Row],[PMI]]-B76</f>
        <v>3.8999999999999986</v>
      </c>
    </row>
    <row r="78" spans="1:3" x14ac:dyDescent="0.2">
      <c r="A78" s="8">
        <v>42644</v>
      </c>
      <c r="B78" s="11">
        <f>IF(VLOOKUP(A78,'DB Country PMI'!$A:$W,MATCH($A$1,'DB Country PMI'!$A$1:$W$1,),)=0,#N/A,VLOOKUP(A78,'DB Country PMI'!$A:$W,MATCH($A$1,'DB Country PMI'!$A$1:$W$1,),))</f>
        <v>50.5</v>
      </c>
      <c r="C78" s="14">
        <f>Table13468113456716[[#This Row],[PMI]]-B77</f>
        <v>1.6000000000000014</v>
      </c>
    </row>
    <row r="79" spans="1:3" x14ac:dyDescent="0.2">
      <c r="A79" s="8">
        <v>42675</v>
      </c>
      <c r="B79" s="11">
        <f>IF(VLOOKUP(A79,'DB Country PMI'!$A:$W,MATCH($A$1,'DB Country PMI'!$A$1:$W$1,),)=0,#N/A,VLOOKUP(A79,'DB Country PMI'!$A:$W,MATCH($A$1,'DB Country PMI'!$A$1:$W$1,),))</f>
        <v>51.1</v>
      </c>
      <c r="C79" s="14">
        <f>Table13468113456716[[#This Row],[PMI]]-B78</f>
        <v>0.60000000000000142</v>
      </c>
    </row>
    <row r="80" spans="1:3" x14ac:dyDescent="0.2">
      <c r="A80" s="8">
        <v>42705</v>
      </c>
      <c r="B80" s="11">
        <f>IF(VLOOKUP(A80,'DB Country PMI'!$A:$W,MATCH($A$1,'DB Country PMI'!$A$1:$W$1,),)=0,#N/A,VLOOKUP(A80,'DB Country PMI'!$A:$W,MATCH($A$1,'DB Country PMI'!$A$1:$W$1,),))</f>
        <v>57.7</v>
      </c>
      <c r="C80" s="14">
        <f>Table13468113456716[[#This Row],[PMI]]-B79</f>
        <v>6.6000000000000014</v>
      </c>
    </row>
    <row r="81" spans="1:3" x14ac:dyDescent="0.2">
      <c r="A81" s="8">
        <v>42736</v>
      </c>
      <c r="B81" s="11">
        <f>IF(VLOOKUP(A81,'DB Country PMI'!$A:$W,MATCH($A$1,'DB Country PMI'!$A$1:$W$1,),)=0,#N/A,VLOOKUP(A81,'DB Country PMI'!$A:$W,MATCH($A$1,'DB Country PMI'!$A$1:$W$1,),))</f>
        <v>54.5</v>
      </c>
      <c r="C81" s="14">
        <f>Table13468113456716[[#This Row],[PMI]]-B80</f>
        <v>-3.2000000000000028</v>
      </c>
    </row>
    <row r="82" spans="1:3" x14ac:dyDescent="0.2">
      <c r="A82" s="8">
        <v>42767</v>
      </c>
      <c r="B82" s="11">
        <f>IF(VLOOKUP(A82,'DB Country PMI'!$A:$W,MATCH($A$1,'DB Country PMI'!$A$1:$W$1,),)=0,#N/A,VLOOKUP(A82,'DB Country PMI'!$A:$W,MATCH($A$1,'DB Country PMI'!$A$1:$W$1,),))</f>
        <v>49</v>
      </c>
      <c r="C82" s="14">
        <f>Table13468113456716[[#This Row],[PMI]]-B81</f>
        <v>-5.5</v>
      </c>
    </row>
    <row r="83" spans="1:3" x14ac:dyDescent="0.2">
      <c r="A83" s="8">
        <v>42795</v>
      </c>
      <c r="B83" s="11">
        <f>IF(VLOOKUP(A83,'DB Country PMI'!$A:$W,MATCH($A$1,'DB Country PMI'!$A$1:$W$1,),)=0,#N/A,VLOOKUP(A83,'DB Country PMI'!$A:$W,MATCH($A$1,'DB Country PMI'!$A$1:$W$1,),))</f>
        <v>51.7</v>
      </c>
      <c r="C83" s="14">
        <f>Table13468113456716[[#This Row],[PMI]]-B82</f>
        <v>2.7000000000000028</v>
      </c>
    </row>
    <row r="84" spans="1:3" x14ac:dyDescent="0.2">
      <c r="A84" s="8">
        <v>42826</v>
      </c>
      <c r="B84" s="11">
        <f>IF(VLOOKUP(A84,'DB Country PMI'!$A:$W,MATCH($A$1,'DB Country PMI'!$A$1:$W$1,),)=0,#N/A,VLOOKUP(A84,'DB Country PMI'!$A:$W,MATCH($A$1,'DB Country PMI'!$A$1:$W$1,),))</f>
        <v>53</v>
      </c>
      <c r="C84" s="14">
        <f>Table13468113456716[[#This Row],[PMI]]-B83</f>
        <v>1.2999999999999972</v>
      </c>
    </row>
    <row r="85" spans="1:3" x14ac:dyDescent="0.2">
      <c r="A85" s="8">
        <v>42856</v>
      </c>
      <c r="B85" s="11">
        <f>IF(VLOOKUP(A85,'DB Country PMI'!$A:$W,MATCH($A$1,'DB Country PMI'!$A$1:$W$1,),)=0,#N/A,VLOOKUP(A85,'DB Country PMI'!$A:$W,MATCH($A$1,'DB Country PMI'!$A$1:$W$1,),))</f>
        <v>51.5</v>
      </c>
      <c r="C85" s="14">
        <f>Table13468113456716[[#This Row],[PMI]]-B84</f>
        <v>-1.5</v>
      </c>
    </row>
    <row r="86" spans="1:3" x14ac:dyDescent="0.2">
      <c r="A86" s="8">
        <v>42887</v>
      </c>
      <c r="B86" s="11">
        <f>IF(VLOOKUP(A86,'DB Country PMI'!$A:$W,MATCH($A$1,'DB Country PMI'!$A$1:$W$1,),)=0,#N/A,VLOOKUP(A86,'DB Country PMI'!$A:$W,MATCH($A$1,'DB Country PMI'!$A$1:$W$1,),))</f>
        <v>54.8</v>
      </c>
      <c r="C86" s="14">
        <f>Table13468113456716[[#This Row],[PMI]]-B85</f>
        <v>3.2999999999999972</v>
      </c>
    </row>
    <row r="87" spans="1:3" x14ac:dyDescent="0.2">
      <c r="A87" s="8">
        <v>42917</v>
      </c>
      <c r="B87" s="11">
        <f>IF(VLOOKUP(A87,'DB Country PMI'!$A:$W,MATCH($A$1,'DB Country PMI'!$A$1:$W$1,),)=0,#N/A,VLOOKUP(A87,'DB Country PMI'!$A:$W,MATCH($A$1,'DB Country PMI'!$A$1:$W$1,),))</f>
        <v>56.4</v>
      </c>
      <c r="C87" s="14">
        <f>Table13468113456716[[#This Row],[PMI]]-B86</f>
        <v>1.6000000000000014</v>
      </c>
    </row>
    <row r="88" spans="1:3" x14ac:dyDescent="0.2">
      <c r="A88" s="8">
        <v>42948</v>
      </c>
      <c r="B88" s="11">
        <f>IF(VLOOKUP(A88,'DB Country PMI'!$A:$W,MATCH($A$1,'DB Country PMI'!$A$1:$W$1,),)=0,#N/A,VLOOKUP(A88,'DB Country PMI'!$A:$W,MATCH($A$1,'DB Country PMI'!$A$1:$W$1,),))</f>
        <v>53</v>
      </c>
      <c r="C88" s="14">
        <f>Table13468113456716[[#This Row],[PMI]]-B87</f>
        <v>-3.3999999999999986</v>
      </c>
    </row>
    <row r="89" spans="1:3" x14ac:dyDescent="0.2">
      <c r="A89" s="8">
        <v>42979</v>
      </c>
      <c r="B89" s="11">
        <f>IF(VLOOKUP(A89,'DB Country PMI'!$A:$W,MATCH($A$1,'DB Country PMI'!$A$1:$W$1,),)=0,#N/A,VLOOKUP(A89,'DB Country PMI'!$A:$W,MATCH($A$1,'DB Country PMI'!$A$1:$W$1,),))</f>
        <v>52.1</v>
      </c>
      <c r="C89" s="14">
        <f>Table13468113456716[[#This Row],[PMI]]-B88</f>
        <v>-0.89999999999999858</v>
      </c>
    </row>
    <row r="90" spans="1:3" x14ac:dyDescent="0.2">
      <c r="A90" s="8">
        <v>43009</v>
      </c>
      <c r="B90" s="11">
        <f>IF(VLOOKUP(A90,'DB Country PMI'!$A:$W,MATCH($A$1,'DB Country PMI'!$A$1:$W$1,),)=0,#N/A,VLOOKUP(A90,'DB Country PMI'!$A:$W,MATCH($A$1,'DB Country PMI'!$A$1:$W$1,),))</f>
        <v>51.4</v>
      </c>
      <c r="C90" s="14">
        <f>Table13468113456716[[#This Row],[PMI]]-B89</f>
        <v>-0.70000000000000284</v>
      </c>
    </row>
    <row r="91" spans="1:3" x14ac:dyDescent="0.2">
      <c r="A91" s="8">
        <v>43040</v>
      </c>
      <c r="B91" s="11">
        <f>IF(VLOOKUP(A91,'DB Country PMI'!$A:$W,MATCH($A$1,'DB Country PMI'!$A$1:$W$1,),)=0,#N/A,VLOOKUP(A91,'DB Country PMI'!$A:$W,MATCH($A$1,'DB Country PMI'!$A$1:$W$1,),))</f>
        <v>51.7</v>
      </c>
      <c r="C91" s="14">
        <f>Table13468113456716[[#This Row],[PMI]]-B90</f>
        <v>0.30000000000000426</v>
      </c>
    </row>
    <row r="92" spans="1:3" x14ac:dyDescent="0.2">
      <c r="A92" s="8">
        <v>43070</v>
      </c>
      <c r="B92" s="11">
        <f>IF(VLOOKUP(A92,'DB Country PMI'!$A:$W,MATCH($A$1,'DB Country PMI'!$A$1:$W$1,),)=0,#N/A,VLOOKUP(A92,'DB Country PMI'!$A:$W,MATCH($A$1,'DB Country PMI'!$A$1:$W$1,),))</f>
        <v>52</v>
      </c>
      <c r="C92" s="14">
        <f>Table13468113456716[[#This Row],[PMI]]-B91</f>
        <v>0.29999999999999716</v>
      </c>
    </row>
    <row r="93" spans="1:3" x14ac:dyDescent="0.2">
      <c r="A93" s="8">
        <v>43101</v>
      </c>
      <c r="B93" s="11">
        <f>IF(VLOOKUP(A93,'DB Country PMI'!$A:$W,MATCH($A$1,'DB Country PMI'!$A$1:$W$1,),)=0,#N/A,VLOOKUP(A93,'DB Country PMI'!$A:$W,MATCH($A$1,'DB Country PMI'!$A$1:$W$1,),))</f>
        <v>54.9</v>
      </c>
      <c r="C93" s="14">
        <f>Table13468113456716[[#This Row],[PMI]]-B92</f>
        <v>2.8999999999999986</v>
      </c>
    </row>
    <row r="94" spans="1:3" x14ac:dyDescent="0.2">
      <c r="A94" s="8">
        <v>43132</v>
      </c>
      <c r="B94" s="11">
        <f>IF(VLOOKUP(A94,'DB Country PMI'!$A:$W,MATCH($A$1,'DB Country PMI'!$A$1:$W$1,),)=0,#N/A,VLOOKUP(A94,'DB Country PMI'!$A:$W,MATCH($A$1,'DB Country PMI'!$A$1:$W$1,),))</f>
        <v>54</v>
      </c>
      <c r="C94" s="14">
        <f>Table13468113456716[[#This Row],[PMI]]-B93</f>
        <v>-0.89999999999999858</v>
      </c>
    </row>
    <row r="95" spans="1:3" x14ac:dyDescent="0.2">
      <c r="A95" s="8">
        <v>43160</v>
      </c>
      <c r="B95" s="11">
        <f>IF(VLOOKUP(A95,'DB Country PMI'!$A:$W,MATCH($A$1,'DB Country PMI'!$A$1:$W$1,),)=0,#N/A,VLOOKUP(A95,'DB Country PMI'!$A:$W,MATCH($A$1,'DB Country PMI'!$A$1:$W$1,),))</f>
        <v>56.9</v>
      </c>
      <c r="C95" s="14">
        <f>Table13468113456716[[#This Row],[PMI]]-B94</f>
        <v>2.8999999999999986</v>
      </c>
    </row>
    <row r="96" spans="1:3" x14ac:dyDescent="0.2">
      <c r="A96" s="8">
        <v>43191</v>
      </c>
      <c r="B96" s="11">
        <f>IF(VLOOKUP(A96,'DB Country PMI'!$A:$W,MATCH($A$1,'DB Country PMI'!$A$1:$W$1,),)=0,#N/A,VLOOKUP(A96,'DB Country PMI'!$A:$W,MATCH($A$1,'DB Country PMI'!$A$1:$W$1,),))</f>
        <v>55.2</v>
      </c>
      <c r="C96" s="14">
        <f>Table13468113456716[[#This Row],[PMI]]-B95</f>
        <v>-1.6999999999999957</v>
      </c>
    </row>
    <row r="97" spans="1:3" x14ac:dyDescent="0.2">
      <c r="A97" s="8">
        <v>43221</v>
      </c>
      <c r="B97" s="11">
        <f>IF(VLOOKUP(A97,'DB Country PMI'!$A:$W,MATCH($A$1,'DB Country PMI'!$A$1:$W$1,),)=0,#N/A,VLOOKUP(A97,'DB Country PMI'!$A:$W,MATCH($A$1,'DB Country PMI'!$A$1:$W$1,),))</f>
        <v>59</v>
      </c>
      <c r="C97" s="14">
        <f>Table13468113456716[[#This Row],[PMI]]-B96</f>
        <v>3.7999999999999972</v>
      </c>
    </row>
    <row r="98" spans="1:3" x14ac:dyDescent="0.2">
      <c r="A98" s="8">
        <v>43252</v>
      </c>
      <c r="B98" s="11">
        <f>IF(VLOOKUP(A98,'DB Country PMI'!$A:$W,MATCH($A$1,'DB Country PMI'!$A$1:$W$1,),)=0,#N/A,VLOOKUP(A98,'DB Country PMI'!$A:$W,MATCH($A$1,'DB Country PMI'!$A$1:$W$1,),))</f>
        <v>63</v>
      </c>
      <c r="C98" s="14">
        <f>Table13468113456716[[#This Row],[PMI]]-B97</f>
        <v>4</v>
      </c>
    </row>
    <row r="99" spans="1:3" x14ac:dyDescent="0.2">
      <c r="A99" s="8">
        <v>43282</v>
      </c>
      <c r="B99" s="11">
        <f>IF(VLOOKUP(A99,'DB Country PMI'!$A:$W,MATCH($A$1,'DB Country PMI'!$A$1:$W$1,),)=0,#N/A,VLOOKUP(A99,'DB Country PMI'!$A:$W,MATCH($A$1,'DB Country PMI'!$A$1:$W$1,),))</f>
        <v>53.6</v>
      </c>
      <c r="C99" s="14">
        <f>Table13468113456716[[#This Row],[PMI]]-B98</f>
        <v>-9.3999999999999986</v>
      </c>
    </row>
    <row r="100" spans="1:3" x14ac:dyDescent="0.2">
      <c r="A100" s="8">
        <v>43313</v>
      </c>
      <c r="B100" s="11">
        <f>IF(VLOOKUP(A100,'DB Country PMI'!$A:$W,MATCH($A$1,'DB Country PMI'!$A$1:$W$1,),)=0,#N/A,VLOOKUP(A100,'DB Country PMI'!$A:$W,MATCH($A$1,'DB Country PMI'!$A$1:$W$1,),))</f>
        <v>52.2</v>
      </c>
      <c r="C100" s="14">
        <f>Table13468113456716[[#This Row],[PMI]]-B99</f>
        <v>-1.3999999999999986</v>
      </c>
    </row>
    <row r="101" spans="1:3" x14ac:dyDescent="0.2">
      <c r="A101" s="8">
        <v>43344</v>
      </c>
      <c r="B101" s="11">
        <f>IF(VLOOKUP(A101,'DB Country PMI'!$A:$W,MATCH($A$1,'DB Country PMI'!$A$1:$W$1,),)=0,#N/A,VLOOKUP(A101,'DB Country PMI'!$A:$W,MATCH($A$1,'DB Country PMI'!$A$1:$W$1,),))</f>
        <v>52.5</v>
      </c>
      <c r="C101" s="14">
        <f>Table13468113456716[[#This Row],[PMI]]-B100</f>
        <v>0.29999999999999716</v>
      </c>
    </row>
    <row r="102" spans="1:3" x14ac:dyDescent="0.2">
      <c r="A102" s="8">
        <v>43374</v>
      </c>
      <c r="B102" s="11">
        <f>IF(VLOOKUP(A102,'DB Country PMI'!$A:$W,MATCH($A$1,'DB Country PMI'!$A$1:$W$1,),)=0,#N/A,VLOOKUP(A102,'DB Country PMI'!$A:$W,MATCH($A$1,'DB Country PMI'!$A$1:$W$1,),))</f>
        <v>51.1</v>
      </c>
      <c r="C102" s="14">
        <f>Table13468113456716[[#This Row],[PMI]]-B101</f>
        <v>-1.3999999999999986</v>
      </c>
    </row>
    <row r="103" spans="1:3" x14ac:dyDescent="0.2">
      <c r="A103" s="8">
        <v>43405</v>
      </c>
      <c r="B103" s="11">
        <f>IF(VLOOKUP(A103,'DB Country PMI'!$A:$W,MATCH($A$1,'DB Country PMI'!$A$1:$W$1,),)=0,#N/A,VLOOKUP(A103,'DB Country PMI'!$A:$W,MATCH($A$1,'DB Country PMI'!$A$1:$W$1,),))</f>
        <v>55.1</v>
      </c>
      <c r="C103" s="14">
        <f>Table13468113456716[[#This Row],[PMI]]-B102</f>
        <v>4</v>
      </c>
    </row>
    <row r="104" spans="1:3" x14ac:dyDescent="0.2">
      <c r="A104" s="8">
        <v>43435</v>
      </c>
      <c r="B104" s="11">
        <f>IF(VLOOKUP(A104,'DB Country PMI'!$A:$W,MATCH($A$1,'DB Country PMI'!$A$1:$W$1,),)=0,#N/A,VLOOKUP(A104,'DB Country PMI'!$A:$W,MATCH($A$1,'DB Country PMI'!$A$1:$W$1,),))</f>
        <v>52.1</v>
      </c>
      <c r="C104" s="14">
        <f>Table13468113456716[[#This Row],[PMI]]-B103</f>
        <v>-3</v>
      </c>
    </row>
    <row r="105" spans="1:3" x14ac:dyDescent="0.2">
      <c r="A105" s="8">
        <v>43466</v>
      </c>
      <c r="B105" s="11">
        <f>IF(VLOOKUP(A105,'DB Country PMI'!$A:$W,MATCH($A$1,'DB Country PMI'!$A$1:$W$1,),)=0,#N/A,VLOOKUP(A105,'DB Country PMI'!$A:$W,MATCH($A$1,'DB Country PMI'!$A$1:$W$1,),))</f>
        <v>44.3</v>
      </c>
      <c r="C105" s="14">
        <f>Table13468113456716[[#This Row],[PMI]]-B104</f>
        <v>-7.8000000000000043</v>
      </c>
    </row>
    <row r="106" spans="1:3" x14ac:dyDescent="0.2">
      <c r="A106" s="8">
        <v>43497</v>
      </c>
      <c r="B106" s="11">
        <f>IF(VLOOKUP(A106,'DB Country PMI'!$A:$W,MATCH($A$1,'DB Country PMI'!$A$1:$W$1,),)=0,#N/A,VLOOKUP(A106,'DB Country PMI'!$A:$W,MATCH($A$1,'DB Country PMI'!$A$1:$W$1,),))</f>
        <v>44.5</v>
      </c>
      <c r="C106" s="14">
        <f>Table13468113456716[[#This Row],[PMI]]-B105</f>
        <v>0.20000000000000284</v>
      </c>
    </row>
    <row r="107" spans="1:3" x14ac:dyDescent="0.2">
      <c r="A107" s="8">
        <v>43525</v>
      </c>
      <c r="B107" s="11">
        <f>IF(VLOOKUP(A107,'DB Country PMI'!$A:$W,MATCH($A$1,'DB Country PMI'!$A$1:$W$1,),)=0,#N/A,VLOOKUP(A107,'DB Country PMI'!$A:$W,MATCH($A$1,'DB Country PMI'!$A$1:$W$1,),))</f>
        <v>44.8</v>
      </c>
      <c r="C107" s="14">
        <f>Table13468113456716[[#This Row],[PMI]]-B106</f>
        <v>0.29999999999999716</v>
      </c>
    </row>
    <row r="108" spans="1:3" x14ac:dyDescent="0.2">
      <c r="A108" s="8">
        <v>43556</v>
      </c>
      <c r="B108" s="11">
        <f>IF(VLOOKUP(A108,'DB Country PMI'!$A:$W,MATCH($A$1,'DB Country PMI'!$A$1:$W$1,),)=0,#N/A,VLOOKUP(A108,'DB Country PMI'!$A:$W,MATCH($A$1,'DB Country PMI'!$A$1:$W$1,),))</f>
        <v>46.5</v>
      </c>
      <c r="C108" s="14">
        <f>Table13468113456716[[#This Row],[PMI]]-B107</f>
        <v>1.7000000000000028</v>
      </c>
    </row>
    <row r="109" spans="1:3" x14ac:dyDescent="0.2">
      <c r="A109" s="8">
        <v>43586</v>
      </c>
      <c r="B109" s="11">
        <f>IF(VLOOKUP(A109,'DB Country PMI'!$A:$W,MATCH($A$1,'DB Country PMI'!$A$1:$W$1,),)=0,#N/A,VLOOKUP(A109,'DB Country PMI'!$A:$W,MATCH($A$1,'DB Country PMI'!$A$1:$W$1,),))</f>
        <v>52.5</v>
      </c>
      <c r="C109" s="14">
        <f>Table13468113456716[[#This Row],[PMI]]-B108</f>
        <v>6</v>
      </c>
    </row>
    <row r="110" spans="1:3" x14ac:dyDescent="0.2">
      <c r="A110" s="8">
        <v>43617</v>
      </c>
      <c r="B110" s="11">
        <f>IF(VLOOKUP(A110,'DB Country PMI'!$A:$W,MATCH($A$1,'DB Country PMI'!$A$1:$W$1,),)=0,#N/A,VLOOKUP(A110,'DB Country PMI'!$A:$W,MATCH($A$1,'DB Country PMI'!$A$1:$W$1,),))</f>
        <v>52.2</v>
      </c>
      <c r="C110" s="14">
        <f>Table13468113456716[[#This Row],[PMI]]-B109</f>
        <v>-0.29999999999999716</v>
      </c>
    </row>
    <row r="111" spans="1:3" x14ac:dyDescent="0.2">
      <c r="A111" s="8">
        <v>43647</v>
      </c>
      <c r="B111" s="11">
        <f>IF(VLOOKUP(A111,'DB Country PMI'!$A:$W,MATCH($A$1,'DB Country PMI'!$A$1:$W$1,),)=0,#N/A,VLOOKUP(A111,'DB Country PMI'!$A:$W,MATCH($A$1,'DB Country PMI'!$A$1:$W$1,),))</f>
        <v>43.9</v>
      </c>
      <c r="C111" s="14">
        <f>Table13468113456716[[#This Row],[PMI]]-B110</f>
        <v>-8.3000000000000043</v>
      </c>
    </row>
    <row r="112" spans="1:3" x14ac:dyDescent="0.2">
      <c r="A112" s="8">
        <v>43678</v>
      </c>
      <c r="B112" s="11">
        <f>IF(VLOOKUP(A112,'DB Country PMI'!$A:$W,MATCH($A$1,'DB Country PMI'!$A$1:$W$1,),)=0,#N/A,VLOOKUP(A112,'DB Country PMI'!$A:$W,MATCH($A$1,'DB Country PMI'!$A$1:$W$1,),))</f>
        <v>51.4</v>
      </c>
      <c r="C112" s="14">
        <f>Table13468113456716[[#This Row],[PMI]]-B111</f>
        <v>7.5</v>
      </c>
    </row>
    <row r="113" spans="1:3" x14ac:dyDescent="0.2">
      <c r="A113" s="8">
        <v>43709</v>
      </c>
      <c r="B113" s="11">
        <f>IF(VLOOKUP(A113,'DB Country PMI'!$A:$W,MATCH($A$1,'DB Country PMI'!$A$1:$W$1,),)=0,#N/A,VLOOKUP(A113,'DB Country PMI'!$A:$W,MATCH($A$1,'DB Country PMI'!$A$1:$W$1,),))</f>
        <v>51.5</v>
      </c>
      <c r="C113" s="14">
        <f>Table13468113456716[[#This Row],[PMI]]-B112</f>
        <v>0.10000000000000142</v>
      </c>
    </row>
    <row r="114" spans="1:3" x14ac:dyDescent="0.2">
      <c r="A114" s="8">
        <v>43739</v>
      </c>
      <c r="B114" s="11">
        <f>IF(VLOOKUP(A114,'DB Country PMI'!$A:$W,MATCH($A$1,'DB Country PMI'!$A$1:$W$1,),)=0,#N/A,VLOOKUP(A114,'DB Country PMI'!$A:$W,MATCH($A$1,'DB Country PMI'!$A$1:$W$1,),))</f>
        <v>54.2</v>
      </c>
      <c r="C114" s="14">
        <f>Table13468113456716[[#This Row],[PMI]]-B113</f>
        <v>2.7000000000000028</v>
      </c>
    </row>
    <row r="115" spans="1:3" x14ac:dyDescent="0.2">
      <c r="A115" s="8">
        <v>43770</v>
      </c>
      <c r="B115" s="11">
        <f>IF(VLOOKUP(A115,'DB Country PMI'!$A:$W,MATCH($A$1,'DB Country PMI'!$A$1:$W$1,),)=0,#N/A,VLOOKUP(A115,'DB Country PMI'!$A:$W,MATCH($A$1,'DB Country PMI'!$A$1:$W$1,),))</f>
        <v>53.7</v>
      </c>
      <c r="C115" s="14">
        <f>Table13468113456716[[#This Row],[PMI]]-B114</f>
        <v>-0.5</v>
      </c>
    </row>
    <row r="116" spans="1:3" x14ac:dyDescent="0.2">
      <c r="A116" s="8">
        <v>43800</v>
      </c>
      <c r="B116" s="11">
        <f>IF(VLOOKUP(A116,'DB Country PMI'!$A:$W,MATCH($A$1,'DB Country PMI'!$A$1:$W$1,),)=0,#N/A,VLOOKUP(A116,'DB Country PMI'!$A:$W,MATCH($A$1,'DB Country PMI'!$A$1:$W$1,),))</f>
        <v>48.7</v>
      </c>
      <c r="C116" s="14">
        <f>Table13468113456716[[#This Row],[PMI]]-B115</f>
        <v>-5</v>
      </c>
    </row>
    <row r="117" spans="1:3" x14ac:dyDescent="0.2">
      <c r="A117" s="8">
        <v>43831</v>
      </c>
      <c r="B117" s="11">
        <f>IF(VLOOKUP(A117,'DB Country PMI'!$A:$W,MATCH($A$1,'DB Country PMI'!$A$1:$W$1,),)=0,#N/A,VLOOKUP(A117,'DB Country PMI'!$A:$W,MATCH($A$1,'DB Country PMI'!$A$1:$W$1,),))</f>
        <v>46.6</v>
      </c>
      <c r="C117" s="14">
        <f>Table13468113456716[[#This Row],[PMI]]-B116</f>
        <v>-2.1000000000000014</v>
      </c>
    </row>
    <row r="118" spans="1:3" x14ac:dyDescent="0.2">
      <c r="A118" s="8">
        <v>43862</v>
      </c>
      <c r="B118" s="11">
        <f>IF(VLOOKUP(A118,'DB Country PMI'!$A:$W,MATCH($A$1,'DB Country PMI'!$A$1:$W$1,),)=0,#N/A,VLOOKUP(A118,'DB Country PMI'!$A:$W,MATCH($A$1,'DB Country PMI'!$A$1:$W$1,),))</f>
        <v>47</v>
      </c>
      <c r="C118" s="14">
        <f>Table13468113456716[[#This Row],[PMI]]-B117</f>
        <v>0.39999999999999858</v>
      </c>
    </row>
    <row r="119" spans="1:3" x14ac:dyDescent="0.2">
      <c r="A119" s="8">
        <v>43891</v>
      </c>
      <c r="B119" s="11">
        <f>IF(VLOOKUP(A119,'DB Country PMI'!$A:$W,MATCH($A$1,'DB Country PMI'!$A$1:$W$1,),)=0,#N/A,VLOOKUP(A119,'DB Country PMI'!$A:$W,MATCH($A$1,'DB Country PMI'!$A$1:$W$1,),))</f>
        <v>38.700000000000003</v>
      </c>
      <c r="C119" s="14">
        <f>Table13468113456716[[#This Row],[PMI]]-B118</f>
        <v>-8.2999999999999972</v>
      </c>
    </row>
    <row r="120" spans="1:3" x14ac:dyDescent="0.2">
      <c r="A120" s="8">
        <v>43922</v>
      </c>
      <c r="B120" s="11">
        <f>IF(VLOOKUP(A120,'DB Country PMI'!$A:$W,MATCH($A$1,'DB Country PMI'!$A$1:$W$1,),)=0,#N/A,VLOOKUP(A120,'DB Country PMI'!$A:$W,MATCH($A$1,'DB Country PMI'!$A$1:$W$1,),))</f>
        <v>27.1</v>
      </c>
      <c r="C120" s="14">
        <f>Table13468113456716[[#This Row],[PMI]]-B119</f>
        <v>-11.600000000000001</v>
      </c>
    </row>
    <row r="121" spans="1:3" x14ac:dyDescent="0.2">
      <c r="A121" s="8">
        <v>43952</v>
      </c>
      <c r="B121" s="11">
        <f>IF(VLOOKUP(A121,'DB Country PMI'!$A:$W,MATCH($A$1,'DB Country PMI'!$A$1:$W$1,),)=0,#N/A,VLOOKUP(A121,'DB Country PMI'!$A:$W,MATCH($A$1,'DB Country PMI'!$A$1:$W$1,),))</f>
        <v>31.6</v>
      </c>
      <c r="C121" s="14">
        <f>Table13468113456716[[#This Row],[PMI]]-B120</f>
        <v>4.5</v>
      </c>
    </row>
    <row r="122" spans="1:3" x14ac:dyDescent="0.2">
      <c r="A122" s="8">
        <v>43983</v>
      </c>
      <c r="B122" s="11">
        <f>IF(VLOOKUP(A122,'DB Country PMI'!$A:$W,MATCH($A$1,'DB Country PMI'!$A$1:$W$1,),)=0,#N/A,VLOOKUP(A122,'DB Country PMI'!$A:$W,MATCH($A$1,'DB Country PMI'!$A$1:$W$1,),))</f>
        <v>31.5</v>
      </c>
      <c r="C122" s="14">
        <f>Table13468113456716[[#This Row],[PMI]]-B121</f>
        <v>-0.10000000000000142</v>
      </c>
    </row>
    <row r="123" spans="1:3" x14ac:dyDescent="0.2">
      <c r="A123" s="8">
        <v>44013</v>
      </c>
      <c r="B123" s="11">
        <f>IF(VLOOKUP(A123,'DB Country PMI'!$A:$W,MATCH($A$1,'DB Country PMI'!$A$1:$W$1,),)=0,#N/A,VLOOKUP(A123,'DB Country PMI'!$A:$W,MATCH($A$1,'DB Country PMI'!$A$1:$W$1,),))</f>
        <v>44</v>
      </c>
      <c r="C123" s="14">
        <f>Table13468113456716[[#This Row],[PMI]]-B122</f>
        <v>12.5</v>
      </c>
    </row>
    <row r="124" spans="1:3" x14ac:dyDescent="0.2">
      <c r="A124" s="8">
        <v>44044</v>
      </c>
      <c r="B124" s="11">
        <f>IF(VLOOKUP(A124,'DB Country PMI'!$A:$W,MATCH($A$1,'DB Country PMI'!$A$1:$W$1,),)=0,#N/A,VLOOKUP(A124,'DB Country PMI'!$A:$W,MATCH($A$1,'DB Country PMI'!$A$1:$W$1,),))</f>
        <v>43.5</v>
      </c>
      <c r="C124" s="14">
        <f>Table13468113456716[[#This Row],[PMI]]-B123</f>
        <v>-0.5</v>
      </c>
    </row>
    <row r="125" spans="1:3" x14ac:dyDescent="0.2">
      <c r="A125" s="8">
        <v>44075</v>
      </c>
      <c r="B125" s="11">
        <f>IF(VLOOKUP(A125,'DB Country PMI'!$A:$W,MATCH($A$1,'DB Country PMI'!$A$1:$W$1,),)=0,#N/A,VLOOKUP(A125,'DB Country PMI'!$A:$W,MATCH($A$1,'DB Country PMI'!$A$1:$W$1,),))</f>
        <v>36.200000000000003</v>
      </c>
      <c r="C125" s="14">
        <f>Table13468113456716[[#This Row],[PMI]]-B124</f>
        <v>-7.2999999999999972</v>
      </c>
    </row>
    <row r="126" spans="1:3" x14ac:dyDescent="0.2">
      <c r="A126" s="8">
        <v>44105</v>
      </c>
      <c r="B126" s="11">
        <f>IF(VLOOKUP(A126,'DB Country PMI'!$A:$W,MATCH($A$1,'DB Country PMI'!$A$1:$W$1,),)=0,#N/A,VLOOKUP(A126,'DB Country PMI'!$A:$W,MATCH($A$1,'DB Country PMI'!$A$1:$W$1,),))</f>
        <v>51.4</v>
      </c>
      <c r="C126" s="14">
        <f>Table13468113456716[[#This Row],[PMI]]-B125</f>
        <v>15.199999999999996</v>
      </c>
    </row>
    <row r="127" spans="1:3" x14ac:dyDescent="0.2">
      <c r="A127" s="8">
        <v>44136</v>
      </c>
      <c r="B127" s="11">
        <f>IF(VLOOKUP(A127,'DB Country PMI'!$A:$W,MATCH($A$1,'DB Country PMI'!$A$1:$W$1,),)=0,#N/A,VLOOKUP(A127,'DB Country PMI'!$A:$W,MATCH($A$1,'DB Country PMI'!$A$1:$W$1,),))</f>
        <v>52.9</v>
      </c>
      <c r="C127" s="14">
        <f>Table13468113456716[[#This Row],[PMI]]-B126</f>
        <v>1.5</v>
      </c>
    </row>
    <row r="128" spans="1:3" x14ac:dyDescent="0.2">
      <c r="A128" s="8">
        <v>44166</v>
      </c>
      <c r="B128" s="11">
        <f>IF(VLOOKUP(A128,'DB Country PMI'!$A:$W,MATCH($A$1,'DB Country PMI'!$A$1:$W$1,),)=0,#N/A,VLOOKUP(A128,'DB Country PMI'!$A:$W,MATCH($A$1,'DB Country PMI'!$A$1:$W$1,),))</f>
        <v>54.3</v>
      </c>
      <c r="C128" s="14">
        <f>Table13468113456716[[#This Row],[PMI]]-B127</f>
        <v>1.3999999999999986</v>
      </c>
    </row>
    <row r="129" spans="1:3" x14ac:dyDescent="0.2">
      <c r="A129" s="8">
        <v>44197</v>
      </c>
      <c r="B129" s="11">
        <f>IF(VLOOKUP(A129,'DB Country PMI'!$A:$W,MATCH($A$1,'DB Country PMI'!$A$1:$W$1,),)=0,#N/A,VLOOKUP(A129,'DB Country PMI'!$A:$W,MATCH($A$1,'DB Country PMI'!$A$1:$W$1,),))</f>
        <v>54.3</v>
      </c>
      <c r="C129" s="14">
        <f>Table13468113456716[[#This Row],[PMI]]-B128</f>
        <v>0</v>
      </c>
    </row>
    <row r="130" spans="1:3" x14ac:dyDescent="0.2">
      <c r="A130" s="8">
        <v>44228</v>
      </c>
      <c r="B130" s="11">
        <f>IF(VLOOKUP(A130,'DB Country PMI'!$A:$W,MATCH($A$1,'DB Country PMI'!$A$1:$W$1,),)=0,#N/A,VLOOKUP(A130,'DB Country PMI'!$A:$W,MATCH($A$1,'DB Country PMI'!$A$1:$W$1,),))</f>
        <v>55.8</v>
      </c>
      <c r="C130" s="14">
        <f>Table13468113456716[[#This Row],[PMI]]-B129</f>
        <v>1.5</v>
      </c>
    </row>
    <row r="131" spans="1:3" x14ac:dyDescent="0.2">
      <c r="A131" s="8">
        <v>44256</v>
      </c>
      <c r="B131" s="11">
        <f>IF(VLOOKUP(A131,'DB Country PMI'!$A:$W,MATCH($A$1,'DB Country PMI'!$A$1:$W$1,),)=0,#N/A,VLOOKUP(A131,'DB Country PMI'!$A:$W,MATCH($A$1,'DB Country PMI'!$A$1:$W$1,),))</f>
        <v>58.7</v>
      </c>
      <c r="C131" s="14">
        <f>Table13468113456716[[#This Row],[PMI]]-B130</f>
        <v>2.9000000000000057</v>
      </c>
    </row>
    <row r="132" spans="1:3" x14ac:dyDescent="0.2">
      <c r="A132" s="8">
        <v>44287</v>
      </c>
      <c r="B132" s="11">
        <f>IF(VLOOKUP(A132,'DB Country PMI'!$A:$W,MATCH($A$1,'DB Country PMI'!$A$1:$W$1,),)=0,#N/A,VLOOKUP(A132,'DB Country PMI'!$A:$W,MATCH($A$1,'DB Country PMI'!$A$1:$W$1,),))</f>
        <v>61</v>
      </c>
      <c r="C132" s="14">
        <f>Table13468113456716[[#This Row],[PMI]]-B131</f>
        <v>2.2999999999999972</v>
      </c>
    </row>
    <row r="133" spans="1:3" x14ac:dyDescent="0.2">
      <c r="A133" s="8">
        <v>44317</v>
      </c>
      <c r="B133" s="11">
        <f>IF(VLOOKUP(A133,'DB Country PMI'!$A:$W,MATCH($A$1,'DB Country PMI'!$A$1:$W$1,),)=0,#N/A,VLOOKUP(A133,'DB Country PMI'!$A:$W,MATCH($A$1,'DB Country PMI'!$A$1:$W$1,),))</f>
        <v>61.2</v>
      </c>
      <c r="C133" s="14">
        <f>Table13468113456716[[#This Row],[PMI]]-B132</f>
        <v>0.20000000000000284</v>
      </c>
    </row>
    <row r="134" spans="1:3" x14ac:dyDescent="0.2">
      <c r="A134" s="8">
        <v>44348</v>
      </c>
      <c r="B134" s="11">
        <f>IF(VLOOKUP(A134,'DB Country PMI'!$A:$W,MATCH($A$1,'DB Country PMI'!$A$1:$W$1,),)=0,#N/A,VLOOKUP(A134,'DB Country PMI'!$A:$W,MATCH($A$1,'DB Country PMI'!$A$1:$W$1,),))</f>
        <v>57.8</v>
      </c>
      <c r="C134" s="14">
        <f>Table13468113456716[[#This Row],[PMI]]-B133</f>
        <v>-3.4000000000000057</v>
      </c>
    </row>
    <row r="135" spans="1:3" x14ac:dyDescent="0.2">
      <c r="A135" s="8">
        <v>44378</v>
      </c>
      <c r="B135" s="11">
        <f>IF(VLOOKUP(A135,'DB Country PMI'!$A:$W,MATCH($A$1,'DB Country PMI'!$A$1:$W$1,),)=0,#N/A,VLOOKUP(A135,'DB Country PMI'!$A:$W,MATCH($A$1,'DB Country PMI'!$A$1:$W$1,),))</f>
        <v>51.7</v>
      </c>
      <c r="C135" s="14">
        <f>Table13468113456716[[#This Row],[PMI]]-B134</f>
        <v>-6.0999999999999943</v>
      </c>
    </row>
    <row r="136" spans="1:3" x14ac:dyDescent="0.2">
      <c r="A136" s="8">
        <v>44409</v>
      </c>
      <c r="B136" s="11">
        <f>IF(VLOOKUP(A136,'DB Country PMI'!$A:$W,MATCH($A$1,'DB Country PMI'!$A$1:$W$1,),)=0,#N/A,VLOOKUP(A136,'DB Country PMI'!$A:$W,MATCH($A$1,'DB Country PMI'!$A$1:$W$1,),))</f>
        <v>45.6</v>
      </c>
      <c r="C136" s="14">
        <f>Table13468113456716[[#This Row],[PMI]]-B135</f>
        <v>-6.1000000000000014</v>
      </c>
    </row>
    <row r="137" spans="1:3" x14ac:dyDescent="0.2">
      <c r="A137" s="8">
        <v>44440</v>
      </c>
      <c r="B137" s="11">
        <f>IF(VLOOKUP(A137,'DB Country PMI'!$A:$W,MATCH($A$1,'DB Country PMI'!$A$1:$W$1,),)=0,#N/A,VLOOKUP(A137,'DB Country PMI'!$A:$W,MATCH($A$1,'DB Country PMI'!$A$1:$W$1,),))</f>
        <v>45.7</v>
      </c>
      <c r="C137" s="14">
        <f>Table13468113456716[[#This Row],[PMI]]-B136</f>
        <v>0.10000000000000142</v>
      </c>
    </row>
    <row r="138" spans="1:3" x14ac:dyDescent="0.2">
      <c r="A138" s="8">
        <v>44470</v>
      </c>
      <c r="B138" s="11">
        <f>IF(VLOOKUP(A138,'DB Country PMI'!$A:$W,MATCH($A$1,'DB Country PMI'!$A$1:$W$1,),)=0,#N/A,VLOOKUP(A138,'DB Country PMI'!$A:$W,MATCH($A$1,'DB Country PMI'!$A$1:$W$1,),))</f>
        <v>47.6</v>
      </c>
      <c r="C138" s="14">
        <f>Table13468113456716[[#This Row],[PMI]]-B137</f>
        <v>1.8999999999999986</v>
      </c>
    </row>
    <row r="139" spans="1:3" x14ac:dyDescent="0.2">
      <c r="A139" s="8">
        <v>44501</v>
      </c>
      <c r="B139" s="11">
        <f>IF(VLOOKUP(A139,'DB Country PMI'!$A:$W,MATCH($A$1,'DB Country PMI'!$A$1:$W$1,),)=0,#N/A,VLOOKUP(A139,'DB Country PMI'!$A:$W,MATCH($A$1,'DB Country PMI'!$A$1:$W$1,),))</f>
        <v>47.6</v>
      </c>
      <c r="C139" s="14">
        <f>Table13468113456716[[#This Row],[PMI]]-B138</f>
        <v>0</v>
      </c>
    </row>
    <row r="140" spans="1:3" x14ac:dyDescent="0.2">
      <c r="A140" s="8">
        <v>44531</v>
      </c>
      <c r="B140" s="11">
        <f>IF(VLOOKUP(A140,'DB Country PMI'!$A:$W,MATCH($A$1,'DB Country PMI'!$A$1:$W$1,),)=0,#N/A,VLOOKUP(A140,'DB Country PMI'!$A:$W,MATCH($A$1,'DB Country PMI'!$A$1:$W$1,),))</f>
        <v>49.6</v>
      </c>
      <c r="C140" s="14">
        <f>Table13468113456716[[#This Row],[PMI]]-B139</f>
        <v>2</v>
      </c>
    </row>
    <row r="141" spans="1:3" x14ac:dyDescent="0.2">
      <c r="A141" s="8">
        <v>44562</v>
      </c>
      <c r="B141" s="11">
        <f>IF(VLOOKUP(A141,'DB Country PMI'!$A:$W,MATCH($A$1,'DB Country PMI'!$A$1:$W$1,),)=0,#N/A,VLOOKUP(A141,'DB Country PMI'!$A:$W,MATCH($A$1,'DB Country PMI'!$A$1:$W$1,),))</f>
        <v>56.2</v>
      </c>
      <c r="C141" s="14">
        <f>Table13468113456716[[#This Row],[PMI]]-B140</f>
        <v>6.6000000000000014</v>
      </c>
    </row>
    <row r="142" spans="1:3" x14ac:dyDescent="0.2">
      <c r="A142" s="8">
        <v>44593</v>
      </c>
      <c r="B142" s="11">
        <f>IF(VLOOKUP(A142,'DB Country PMI'!$A:$W,MATCH($A$1,'DB Country PMI'!$A$1:$W$1,),)=0,#N/A,VLOOKUP(A142,'DB Country PMI'!$A:$W,MATCH($A$1,'DB Country PMI'!$A$1:$W$1,),))</f>
        <v>60</v>
      </c>
      <c r="C142" s="14">
        <f>Table13468113456716[[#This Row],[PMI]]-B141</f>
        <v>3.7999999999999972</v>
      </c>
    </row>
    <row r="143" spans="1:3" x14ac:dyDescent="0.2">
      <c r="A143" s="8">
        <v>44621</v>
      </c>
      <c r="B143" s="11">
        <f>IF(VLOOKUP(A143,'DB Country PMI'!$A:$W,MATCH($A$1,'DB Country PMI'!$A$1:$W$1,),)=0,#N/A,VLOOKUP(A143,'DB Country PMI'!$A:$W,MATCH($A$1,'DB Country PMI'!$A$1:$W$1,),))</f>
        <v>56.2</v>
      </c>
      <c r="C143" s="14">
        <f>Table13468113456716[[#This Row],[PMI]]-B142</f>
        <v>-3.7999999999999972</v>
      </c>
    </row>
    <row r="144" spans="1:3" x14ac:dyDescent="0.2">
      <c r="A144" s="8">
        <v>44652</v>
      </c>
      <c r="B144" s="11">
        <f>IF(VLOOKUP(A144,'DB Country PMI'!$A:$W,MATCH($A$1,'DB Country PMI'!$A$1:$W$1,),)=0,#N/A,VLOOKUP(A144,'DB Country PMI'!$A:$W,MATCH($A$1,'DB Country PMI'!$A$1:$W$1,),))</f>
        <v>57.8</v>
      </c>
      <c r="C144" s="14">
        <f>Table13468113456716[[#This Row],[PMI]]-B143</f>
        <v>1.5999999999999943</v>
      </c>
    </row>
    <row r="145" spans="1:3" x14ac:dyDescent="0.2">
      <c r="A145" s="8">
        <v>44682</v>
      </c>
      <c r="B145" s="11">
        <f>IF(VLOOKUP(A145,'DB Country PMI'!$A:$W,MATCH($A$1,'DB Country PMI'!$A$1:$W$1,),)=0,#N/A,VLOOKUP(A145,'DB Country PMI'!$A:$W,MATCH($A$1,'DB Country PMI'!$A$1:$W$1,),))</f>
        <v>49.2</v>
      </c>
      <c r="C145" s="14">
        <f>Table13468113456716[[#This Row],[PMI]]-B144</f>
        <v>-8.5999999999999943</v>
      </c>
    </row>
    <row r="146" spans="1:3" x14ac:dyDescent="0.2">
      <c r="A146" s="8">
        <v>44713</v>
      </c>
      <c r="B146" s="11">
        <f>IF(VLOOKUP(A146,'DB Country PMI'!$A:$W,MATCH($A$1,'DB Country PMI'!$A$1:$W$1,),)=0,#N/A,VLOOKUP(A146,'DB Country PMI'!$A:$W,MATCH($A$1,'DB Country PMI'!$A$1:$W$1,),))</f>
        <v>48.8</v>
      </c>
      <c r="C146" s="14">
        <f>Table13468113456716[[#This Row],[PMI]]-B145</f>
        <v>-0.40000000000000568</v>
      </c>
    </row>
    <row r="147" spans="1:3" x14ac:dyDescent="0.2">
      <c r="A147" s="8">
        <v>44743</v>
      </c>
      <c r="B147" s="11">
        <f>IF(VLOOKUP(A147,'DB Country PMI'!$A:$W,MATCH($A$1,'DB Country PMI'!$A$1:$W$1,),)=0,#N/A,VLOOKUP(A147,'DB Country PMI'!$A:$W,MATCH($A$1,'DB Country PMI'!$A$1:$W$1,),))</f>
        <v>51.7</v>
      </c>
      <c r="C147" s="14">
        <f>Table13468113456716[[#This Row],[PMI]]-B146</f>
        <v>2.9000000000000057</v>
      </c>
    </row>
    <row r="148" spans="1:3" x14ac:dyDescent="0.2">
      <c r="A148" s="8">
        <v>44774</v>
      </c>
      <c r="B148" s="11">
        <f>IF(VLOOKUP(A148,'DB Country PMI'!$A:$W,MATCH($A$1,'DB Country PMI'!$A$1:$W$1,),)=0,#N/A,VLOOKUP(A148,'DB Country PMI'!$A:$W,MATCH($A$1,'DB Country PMI'!$A$1:$W$1,),))</f>
        <v>53.3</v>
      </c>
      <c r="C148" s="14">
        <f>Table13468113456716[[#This Row],[PMI]]-B147</f>
        <v>1.5999999999999943</v>
      </c>
    </row>
    <row r="149" spans="1:3" x14ac:dyDescent="0.2">
      <c r="A149" s="8">
        <v>44805</v>
      </c>
      <c r="B149" s="11">
        <f>IF(VLOOKUP(A149,'DB Country PMI'!$A:$W,MATCH($A$1,'DB Country PMI'!$A$1:$W$1,),)=0,#N/A,VLOOKUP(A149,'DB Country PMI'!$A:$W,MATCH($A$1,'DB Country PMI'!$A$1:$W$1,),))</f>
        <v>48</v>
      </c>
      <c r="C149" s="14">
        <f>Table13468113456716[[#This Row],[PMI]]-B148</f>
        <v>-5.2999999999999972</v>
      </c>
    </row>
    <row r="150" spans="1:3" x14ac:dyDescent="0.2">
      <c r="A150" s="8">
        <v>44835</v>
      </c>
      <c r="B150" s="11">
        <f>IF(VLOOKUP(A150,'DB Country PMI'!$A:$W,MATCH($A$1,'DB Country PMI'!$A$1:$W$1,),)=0,#N/A,VLOOKUP(A150,'DB Country PMI'!$A:$W,MATCH($A$1,'DB Country PMI'!$A$1:$W$1,),))</f>
        <v>47.7</v>
      </c>
      <c r="C150" s="14">
        <f>Table13468113456716[[#This Row],[PMI]]-B149</f>
        <v>-0.29999999999999716</v>
      </c>
    </row>
  </sheetData>
  <conditionalFormatting sqref="C7:C150">
    <cfRule type="colorScale" priority="207">
      <colorScale>
        <cfvo type="min"/>
        <cfvo type="percentile" val="50"/>
        <cfvo type="max"/>
        <color rgb="FFF8696B"/>
        <color rgb="FFFCFCFF"/>
        <color rgb="FF5A8AC6"/>
      </colorScale>
    </cfRule>
  </conditionalFormatting>
  <conditionalFormatting sqref="B6:B150">
    <cfRule type="colorScale" priority="208">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J150"/>
  <sheetViews>
    <sheetView zoomScale="160" zoomScaleNormal="160" workbookViewId="0">
      <pane ySplit="5" topLeftCell="A139" activePane="bottomLeft" state="frozen"/>
      <selection pane="bottomLeft" activeCell="A138" sqref="A138:C150"/>
    </sheetView>
  </sheetViews>
  <sheetFormatPr baseColWidth="10" defaultColWidth="9.1640625" defaultRowHeight="15" x14ac:dyDescent="0.2"/>
  <cols>
    <col min="1" max="1" width="13.5" style="49" customWidth="1"/>
    <col min="2" max="2" width="11.33203125" style="49" customWidth="1"/>
    <col min="3" max="11" width="9.1640625" style="49" customWidth="1"/>
    <col min="12" max="16384" width="9.1640625" style="49"/>
  </cols>
  <sheetData>
    <row r="1" spans="1:10" x14ac:dyDescent="0.2">
      <c r="A1" s="49" t="s">
        <v>32</v>
      </c>
      <c r="J1" s="49" t="s">
        <v>62</v>
      </c>
    </row>
    <row r="2" spans="1:10" x14ac:dyDescent="0.2">
      <c r="J2" s="49" t="s">
        <v>71</v>
      </c>
    </row>
    <row r="4" spans="1:10" ht="16" customHeight="1" thickBot="1" x14ac:dyDescent="0.25"/>
    <row r="5" spans="1:10" ht="16" customHeight="1" thickBot="1" x14ac:dyDescent="0.25">
      <c r="A5" s="12" t="s">
        <v>33</v>
      </c>
      <c r="B5" s="13" t="s">
        <v>60</v>
      </c>
      <c r="C5" s="13" t="s">
        <v>61</v>
      </c>
    </row>
    <row r="6" spans="1:10" x14ac:dyDescent="0.2">
      <c r="A6" s="10">
        <v>40452</v>
      </c>
      <c r="B6" s="11">
        <f>IF(VLOOKUP(A6,'DB Country PMI'!$A:$W,MATCH($A$1,'DB Country PMI'!$A$1:$W$1,),)=0,#N/A,VLOOKUP(A6,'DB Country PMI'!$A:$W,MATCH($A$1,'DB Country PMI'!$A$1:$W$1,),))</f>
        <v>50.9</v>
      </c>
      <c r="C6" s="11"/>
    </row>
    <row r="7" spans="1:10" x14ac:dyDescent="0.2">
      <c r="A7" s="8">
        <v>40483</v>
      </c>
      <c r="B7" s="11">
        <f>IF(VLOOKUP(A7,'DB Country PMI'!$A:$W,MATCH($A$1,'DB Country PMI'!$A$1:$W$1,),)=0,#N/A,VLOOKUP(A7,'DB Country PMI'!$A:$W,MATCH($A$1,'DB Country PMI'!$A$1:$W$1,),))</f>
        <v>50.8</v>
      </c>
      <c r="C7" s="14">
        <f>Table1346811345678[[#This Row],[PMI]]-B6</f>
        <v>-0.10000000000000142</v>
      </c>
    </row>
    <row r="8" spans="1:10" x14ac:dyDescent="0.2">
      <c r="A8" s="8">
        <v>40513</v>
      </c>
      <c r="B8" s="11">
        <f>IF(VLOOKUP(A8,'DB Country PMI'!$A:$W,MATCH($A$1,'DB Country PMI'!$A$1:$W$1,),)=0,#N/A,VLOOKUP(A8,'DB Country PMI'!$A:$W,MATCH($A$1,'DB Country PMI'!$A$1:$W$1,),))</f>
        <v>52.1</v>
      </c>
      <c r="C8" s="14">
        <f>Table1346811345678[[#This Row],[PMI]]-B7</f>
        <v>1.3000000000000043</v>
      </c>
    </row>
    <row r="9" spans="1:10" x14ac:dyDescent="0.2">
      <c r="A9" s="8">
        <v>40544</v>
      </c>
      <c r="B9" s="11">
        <f>IF(VLOOKUP(A9,'DB Country PMI'!$A:$W,MATCH($A$1,'DB Country PMI'!$A$1:$W$1,),)=0,#N/A,VLOOKUP(A9,'DB Country PMI'!$A:$W,MATCH($A$1,'DB Country PMI'!$A$1:$W$1,),))</f>
        <v>53.6</v>
      </c>
      <c r="C9" s="14">
        <f>Table1346811345678[[#This Row],[PMI]]-B8</f>
        <v>1.5</v>
      </c>
    </row>
    <row r="10" spans="1:10" x14ac:dyDescent="0.2">
      <c r="A10" s="8">
        <v>40575</v>
      </c>
      <c r="B10" s="11">
        <f>IF(VLOOKUP(A10,'DB Country PMI'!$A:$W,MATCH($A$1,'DB Country PMI'!$A$1:$W$1,),)=0,#N/A,VLOOKUP(A10,'DB Country PMI'!$A:$W,MATCH($A$1,'DB Country PMI'!$A$1:$W$1,),))</f>
        <v>55.1</v>
      </c>
      <c r="C10" s="14">
        <f>Table1346811345678[[#This Row],[PMI]]-B9</f>
        <v>1.5</v>
      </c>
    </row>
    <row r="11" spans="1:10" x14ac:dyDescent="0.2">
      <c r="A11" s="8">
        <v>40603</v>
      </c>
      <c r="B11" s="11">
        <f>IF(VLOOKUP(A11,'DB Country PMI'!$A:$W,MATCH($A$1,'DB Country PMI'!$A$1:$W$1,),)=0,#N/A,VLOOKUP(A11,'DB Country PMI'!$A:$W,MATCH($A$1,'DB Country PMI'!$A$1:$W$1,),))</f>
        <v>51.1</v>
      </c>
      <c r="C11" s="14">
        <f>Table1346811345678[[#This Row],[PMI]]-B10</f>
        <v>-4</v>
      </c>
    </row>
    <row r="12" spans="1:10" x14ac:dyDescent="0.2">
      <c r="A12" s="8">
        <v>40634</v>
      </c>
      <c r="B12" s="11">
        <f>IF(VLOOKUP(A12,'DB Country PMI'!$A:$W,MATCH($A$1,'DB Country PMI'!$A$1:$W$1,),)=0,#N/A,VLOOKUP(A12,'DB Country PMI'!$A:$W,MATCH($A$1,'DB Country PMI'!$A$1:$W$1,),))</f>
        <v>50.2</v>
      </c>
      <c r="C12" s="14">
        <f>Table1346811345678[[#This Row],[PMI]]-B11</f>
        <v>-0.89999999999999858</v>
      </c>
    </row>
    <row r="13" spans="1:10" x14ac:dyDescent="0.2">
      <c r="A13" s="8">
        <v>40664</v>
      </c>
      <c r="B13" s="11">
        <f>IF(VLOOKUP(A13,'DB Country PMI'!$A:$W,MATCH($A$1,'DB Country PMI'!$A$1:$W$1,),)=0,#N/A,VLOOKUP(A13,'DB Country PMI'!$A:$W,MATCH($A$1,'DB Country PMI'!$A$1:$W$1,),))</f>
        <v>50.5</v>
      </c>
      <c r="C13" s="14">
        <f>Table1346811345678[[#This Row],[PMI]]-B12</f>
        <v>0.29999999999999716</v>
      </c>
    </row>
    <row r="14" spans="1:10" x14ac:dyDescent="0.2">
      <c r="A14" s="8">
        <v>40695</v>
      </c>
      <c r="B14" s="11">
        <f>IF(VLOOKUP(A14,'DB Country PMI'!$A:$W,MATCH($A$1,'DB Country PMI'!$A$1:$W$1,),)=0,#N/A,VLOOKUP(A14,'DB Country PMI'!$A:$W,MATCH($A$1,'DB Country PMI'!$A$1:$W$1,),))</f>
        <v>52.4</v>
      </c>
      <c r="C14" s="14">
        <f>Table1346811345678[[#This Row],[PMI]]-B13</f>
        <v>1.8999999999999986</v>
      </c>
    </row>
    <row r="15" spans="1:10" x14ac:dyDescent="0.2">
      <c r="A15" s="8">
        <v>40725</v>
      </c>
      <c r="B15" s="11">
        <f>IF(VLOOKUP(A15,'DB Country PMI'!$A:$W,MATCH($A$1,'DB Country PMI'!$A$1:$W$1,),)=0,#N/A,VLOOKUP(A15,'DB Country PMI'!$A:$W,MATCH($A$1,'DB Country PMI'!$A$1:$W$1,),))</f>
        <v>51.7</v>
      </c>
      <c r="C15" s="14">
        <f>Table1346811345678[[#This Row],[PMI]]-B14</f>
        <v>-0.69999999999999574</v>
      </c>
    </row>
    <row r="16" spans="1:10" x14ac:dyDescent="0.2">
      <c r="A16" s="8">
        <v>40756</v>
      </c>
      <c r="B16" s="11">
        <f>IF(VLOOKUP(A16,'DB Country PMI'!$A:$W,MATCH($A$1,'DB Country PMI'!$A$1:$W$1,),)=0,#N/A,VLOOKUP(A16,'DB Country PMI'!$A:$W,MATCH($A$1,'DB Country PMI'!$A$1:$W$1,),))</f>
        <v>51.1</v>
      </c>
      <c r="C16" s="14">
        <f>Table1346811345678[[#This Row],[PMI]]-B15</f>
        <v>-0.60000000000000142</v>
      </c>
    </row>
    <row r="17" spans="1:3" x14ac:dyDescent="0.2">
      <c r="A17" s="8">
        <v>40787</v>
      </c>
      <c r="B17" s="11">
        <f>IF(VLOOKUP(A17,'DB Country PMI'!$A:$W,MATCH($A$1,'DB Country PMI'!$A$1:$W$1,),)=0,#N/A,VLOOKUP(A17,'DB Country PMI'!$A:$W,MATCH($A$1,'DB Country PMI'!$A$1:$W$1,),))</f>
        <v>51.3</v>
      </c>
      <c r="C17" s="14">
        <f>Table1346811345678[[#This Row],[PMI]]-B16</f>
        <v>0.19999999999999574</v>
      </c>
    </row>
    <row r="18" spans="1:3" x14ac:dyDescent="0.2">
      <c r="A18" s="8">
        <v>40817</v>
      </c>
      <c r="B18" s="11">
        <f>IF(VLOOKUP(A18,'DB Country PMI'!$A:$W,MATCH($A$1,'DB Country PMI'!$A$1:$W$1,),)=0,#N/A,VLOOKUP(A18,'DB Country PMI'!$A:$W,MATCH($A$1,'DB Country PMI'!$A$1:$W$1,),))</f>
        <v>51.5</v>
      </c>
      <c r="C18" s="14">
        <f>Table1346811345678[[#This Row],[PMI]]-B17</f>
        <v>0.20000000000000284</v>
      </c>
    </row>
    <row r="19" spans="1:3" x14ac:dyDescent="0.2">
      <c r="A19" s="8">
        <v>40848</v>
      </c>
      <c r="B19" s="11">
        <f>IF(VLOOKUP(A19,'DB Country PMI'!$A:$W,MATCH($A$1,'DB Country PMI'!$A$1:$W$1,),)=0,#N/A,VLOOKUP(A19,'DB Country PMI'!$A:$W,MATCH($A$1,'DB Country PMI'!$A$1:$W$1,),))</f>
        <v>52.7</v>
      </c>
      <c r="C19" s="14">
        <f>Table1346811345678[[#This Row],[PMI]]-B18</f>
        <v>1.2000000000000028</v>
      </c>
    </row>
    <row r="20" spans="1:3" x14ac:dyDescent="0.2">
      <c r="A20" s="8">
        <v>40878</v>
      </c>
      <c r="B20" s="11">
        <f>IF(VLOOKUP(A20,'DB Country PMI'!$A:$W,MATCH($A$1,'DB Country PMI'!$A$1:$W$1,),)=0,#N/A,VLOOKUP(A20,'DB Country PMI'!$A:$W,MATCH($A$1,'DB Country PMI'!$A$1:$W$1,),))</f>
        <v>48.4</v>
      </c>
      <c r="C20" s="14">
        <f>Table1346811345678[[#This Row],[PMI]]-B19</f>
        <v>-4.3000000000000043</v>
      </c>
    </row>
    <row r="21" spans="1:3" x14ac:dyDescent="0.2">
      <c r="A21" s="8">
        <v>40909</v>
      </c>
      <c r="B21" s="11">
        <f>IF(VLOOKUP(A21,'DB Country PMI'!$A:$W,MATCH($A$1,'DB Country PMI'!$A$1:$W$1,),)=0,#N/A,VLOOKUP(A21,'DB Country PMI'!$A:$W,MATCH($A$1,'DB Country PMI'!$A$1:$W$1,),))</f>
        <v>48.3</v>
      </c>
      <c r="C21" s="14">
        <f>Table1346811345678[[#This Row],[PMI]]-B20</f>
        <v>-0.10000000000000142</v>
      </c>
    </row>
    <row r="22" spans="1:3" x14ac:dyDescent="0.2">
      <c r="A22" s="8">
        <v>40940</v>
      </c>
      <c r="B22" s="11">
        <f>IF(VLOOKUP(A22,'DB Country PMI'!$A:$W,MATCH($A$1,'DB Country PMI'!$A$1:$W$1,),)=0,#N/A,VLOOKUP(A22,'DB Country PMI'!$A:$W,MATCH($A$1,'DB Country PMI'!$A$1:$W$1,),))</f>
        <v>53.3</v>
      </c>
      <c r="C22" s="14">
        <f>Table1346811345678[[#This Row],[PMI]]-B21</f>
        <v>5</v>
      </c>
    </row>
    <row r="23" spans="1:3" x14ac:dyDescent="0.2">
      <c r="A23" s="8">
        <v>40969</v>
      </c>
      <c r="B23" s="11">
        <f>IF(VLOOKUP(A23,'DB Country PMI'!$A:$W,MATCH($A$1,'DB Country PMI'!$A$1:$W$1,),)=0,#N/A,VLOOKUP(A23,'DB Country PMI'!$A:$W,MATCH($A$1,'DB Country PMI'!$A$1:$W$1,),))</f>
        <v>52.1</v>
      </c>
      <c r="C23" s="14">
        <f>Table1346811345678[[#This Row],[PMI]]-B22</f>
        <v>-1.1999999999999957</v>
      </c>
    </row>
    <row r="24" spans="1:3" x14ac:dyDescent="0.2">
      <c r="A24" s="8">
        <v>41000</v>
      </c>
      <c r="B24" s="11">
        <f>IF(VLOOKUP(A24,'DB Country PMI'!$A:$W,MATCH($A$1,'DB Country PMI'!$A$1:$W$1,),)=0,#N/A,VLOOKUP(A24,'DB Country PMI'!$A:$W,MATCH($A$1,'DB Country PMI'!$A$1:$W$1,),))</f>
        <v>52.2</v>
      </c>
      <c r="C24" s="14">
        <f>Table1346811345678[[#This Row],[PMI]]-B23</f>
        <v>0.10000000000000142</v>
      </c>
    </row>
    <row r="25" spans="1:3" x14ac:dyDescent="0.2">
      <c r="A25" s="8">
        <v>41030</v>
      </c>
      <c r="B25" s="11">
        <f>IF(VLOOKUP(A25,'DB Country PMI'!$A:$W,MATCH($A$1,'DB Country PMI'!$A$1:$W$1,),)=0,#N/A,VLOOKUP(A25,'DB Country PMI'!$A:$W,MATCH($A$1,'DB Country PMI'!$A$1:$W$1,),))</f>
        <v>48.9</v>
      </c>
      <c r="C25" s="14">
        <f>Table1346811345678[[#This Row],[PMI]]-B24</f>
        <v>-3.3000000000000043</v>
      </c>
    </row>
    <row r="26" spans="1:3" x14ac:dyDescent="0.2">
      <c r="A26" s="8">
        <v>41061</v>
      </c>
      <c r="B26" s="11">
        <f>IF(VLOOKUP(A26,'DB Country PMI'!$A:$W,MATCH($A$1,'DB Country PMI'!$A$1:$W$1,),)=0,#N/A,VLOOKUP(A26,'DB Country PMI'!$A:$W,MATCH($A$1,'DB Country PMI'!$A$1:$W$1,),))</f>
        <v>49.7</v>
      </c>
      <c r="C26" s="14">
        <f>Table1346811345678[[#This Row],[PMI]]-B25</f>
        <v>0.80000000000000426</v>
      </c>
    </row>
    <row r="27" spans="1:3" x14ac:dyDescent="0.2">
      <c r="A27" s="8">
        <v>41091</v>
      </c>
      <c r="B27" s="11">
        <f>IF(VLOOKUP(A27,'DB Country PMI'!$A:$W,MATCH($A$1,'DB Country PMI'!$A$1:$W$1,),)=0,#N/A,VLOOKUP(A27,'DB Country PMI'!$A:$W,MATCH($A$1,'DB Country PMI'!$A$1:$W$1,),))</f>
        <v>49.1</v>
      </c>
      <c r="C27" s="14">
        <f>Table1346811345678[[#This Row],[PMI]]-B26</f>
        <v>-0.60000000000000142</v>
      </c>
    </row>
    <row r="28" spans="1:3" x14ac:dyDescent="0.2">
      <c r="A28" s="8">
        <v>41122</v>
      </c>
      <c r="B28" s="11">
        <f>IF(VLOOKUP(A28,'DB Country PMI'!$A:$W,MATCH($A$1,'DB Country PMI'!$A$1:$W$1,),)=0,#N/A,VLOOKUP(A28,'DB Country PMI'!$A:$W,MATCH($A$1,'DB Country PMI'!$A$1:$W$1,),))</f>
        <v>51.7</v>
      </c>
      <c r="C28" s="14">
        <f>Table1346811345678[[#This Row],[PMI]]-B27</f>
        <v>2.6000000000000014</v>
      </c>
    </row>
    <row r="29" spans="1:3" x14ac:dyDescent="0.2">
      <c r="A29" s="8">
        <v>41153</v>
      </c>
      <c r="B29" s="11">
        <f>IF(VLOOKUP(A29,'DB Country PMI'!$A:$W,MATCH($A$1,'DB Country PMI'!$A$1:$W$1,),)=0,#N/A,VLOOKUP(A29,'DB Country PMI'!$A:$W,MATCH($A$1,'DB Country PMI'!$A$1:$W$1,),))</f>
        <v>53.9</v>
      </c>
      <c r="C29" s="14">
        <f>Table1346811345678[[#This Row],[PMI]]-B28</f>
        <v>2.1999999999999957</v>
      </c>
    </row>
    <row r="30" spans="1:3" x14ac:dyDescent="0.2">
      <c r="A30" s="8">
        <v>41183</v>
      </c>
      <c r="B30" s="11">
        <f>IF(VLOOKUP(A30,'DB Country PMI'!$A:$W,MATCH($A$1,'DB Country PMI'!$A$1:$W$1,),)=0,#N/A,VLOOKUP(A30,'DB Country PMI'!$A:$W,MATCH($A$1,'DB Country PMI'!$A$1:$W$1,),))</f>
        <v>56.1</v>
      </c>
      <c r="C30" s="14">
        <f>Table1346811345678[[#This Row],[PMI]]-B29</f>
        <v>2.2000000000000028</v>
      </c>
    </row>
    <row r="31" spans="1:3" x14ac:dyDescent="0.2">
      <c r="A31" s="8">
        <v>41214</v>
      </c>
      <c r="B31" s="11">
        <f>IF(VLOOKUP(A31,'DB Country PMI'!$A:$W,MATCH($A$1,'DB Country PMI'!$A$1:$W$1,),)=0,#N/A,VLOOKUP(A31,'DB Country PMI'!$A:$W,MATCH($A$1,'DB Country PMI'!$A$1:$W$1,),))</f>
        <v>56.1</v>
      </c>
      <c r="C31" s="14">
        <f>Table1346811345678[[#This Row],[PMI]]-B30</f>
        <v>0</v>
      </c>
    </row>
    <row r="32" spans="1:3" x14ac:dyDescent="0.2">
      <c r="A32" s="8">
        <v>41244</v>
      </c>
      <c r="B32" s="11">
        <f>IF(VLOOKUP(A32,'DB Country PMI'!$A:$W,MATCH($A$1,'DB Country PMI'!$A$1:$W$1,),)=0,#N/A,VLOOKUP(A32,'DB Country PMI'!$A:$W,MATCH($A$1,'DB Country PMI'!$A$1:$W$1,),))</f>
        <v>56.5</v>
      </c>
      <c r="C32" s="14">
        <f>Table1346811345678[[#This Row],[PMI]]-B31</f>
        <v>0.39999999999999858</v>
      </c>
    </row>
    <row r="33" spans="1:3" x14ac:dyDescent="0.2">
      <c r="A33" s="8">
        <v>41275</v>
      </c>
      <c r="B33" s="11">
        <f>IF(VLOOKUP(A33,'DB Country PMI'!$A:$W,MATCH($A$1,'DB Country PMI'!$A$1:$W$1,),)=0,#N/A,VLOOKUP(A33,'DB Country PMI'!$A:$W,MATCH($A$1,'DB Country PMI'!$A$1:$W$1,),))</f>
        <v>56.8</v>
      </c>
      <c r="C33" s="14">
        <f>Table1346811345678[[#This Row],[PMI]]-B32</f>
        <v>0.29999999999999716</v>
      </c>
    </row>
    <row r="34" spans="1:3" x14ac:dyDescent="0.2">
      <c r="A34" s="8">
        <v>41306</v>
      </c>
      <c r="B34" s="11">
        <f>IF(VLOOKUP(A34,'DB Country PMI'!$A:$W,MATCH($A$1,'DB Country PMI'!$A$1:$W$1,),)=0,#N/A,VLOOKUP(A34,'DB Country PMI'!$A:$W,MATCH($A$1,'DB Country PMI'!$A$1:$W$1,),))</f>
        <v>53.6</v>
      </c>
      <c r="C34" s="14">
        <f>Table1346811345678[[#This Row],[PMI]]-B33</f>
        <v>-3.1999999999999957</v>
      </c>
    </row>
    <row r="35" spans="1:3" x14ac:dyDescent="0.2">
      <c r="A35" s="8">
        <v>41334</v>
      </c>
      <c r="B35" s="11">
        <f>IF(VLOOKUP(A35,'DB Country PMI'!$A:$W,MATCH($A$1,'DB Country PMI'!$A$1:$W$1,),)=0,#N/A,VLOOKUP(A35,'DB Country PMI'!$A:$W,MATCH($A$1,'DB Country PMI'!$A$1:$W$1,),))</f>
        <v>52.3</v>
      </c>
      <c r="C35" s="14">
        <f>Table1346811345678[[#This Row],[PMI]]-B34</f>
        <v>-1.3000000000000043</v>
      </c>
    </row>
    <row r="36" spans="1:3" x14ac:dyDescent="0.2">
      <c r="A36" s="8">
        <v>41365</v>
      </c>
      <c r="B36" s="11">
        <f>IF(VLOOKUP(A36,'DB Country PMI'!$A:$W,MATCH($A$1,'DB Country PMI'!$A$1:$W$1,),)=0,#N/A,VLOOKUP(A36,'DB Country PMI'!$A:$W,MATCH($A$1,'DB Country PMI'!$A$1:$W$1,),))</f>
        <v>55.2</v>
      </c>
      <c r="C36" s="14">
        <f>Table1346811345678[[#This Row],[PMI]]-B35</f>
        <v>2.9000000000000057</v>
      </c>
    </row>
    <row r="37" spans="1:3" x14ac:dyDescent="0.2">
      <c r="A37" s="8">
        <v>41395</v>
      </c>
      <c r="B37" s="11">
        <f>IF(VLOOKUP(A37,'DB Country PMI'!$A:$W,MATCH($A$1,'DB Country PMI'!$A$1:$W$1,),)=0,#N/A,VLOOKUP(A37,'DB Country PMI'!$A:$W,MATCH($A$1,'DB Country PMI'!$A$1:$W$1,),))</f>
        <v>52.7</v>
      </c>
      <c r="C37" s="14">
        <f>Table1346811345678[[#This Row],[PMI]]-B36</f>
        <v>-2.5</v>
      </c>
    </row>
    <row r="38" spans="1:3" x14ac:dyDescent="0.2">
      <c r="A38" s="8">
        <v>41426</v>
      </c>
      <c r="B38" s="11">
        <f>IF(VLOOKUP(A38,'DB Country PMI'!$A:$W,MATCH($A$1,'DB Country PMI'!$A$1:$W$1,),)=0,#N/A,VLOOKUP(A38,'DB Country PMI'!$A:$W,MATCH($A$1,'DB Country PMI'!$A$1:$W$1,),))</f>
        <v>61.6</v>
      </c>
      <c r="C38" s="14">
        <f>Table1346811345678[[#This Row],[PMI]]-B37</f>
        <v>8.8999999999999986</v>
      </c>
    </row>
    <row r="39" spans="1:3" x14ac:dyDescent="0.2">
      <c r="A39" s="8">
        <v>41456</v>
      </c>
      <c r="B39" s="11">
        <f>IF(VLOOKUP(A39,'DB Country PMI'!$A:$W,MATCH($A$1,'DB Country PMI'!$A$1:$W$1,),)=0,#N/A,VLOOKUP(A39,'DB Country PMI'!$A:$W,MATCH($A$1,'DB Country PMI'!$A$1:$W$1,),))</f>
        <v>59.6</v>
      </c>
      <c r="C39" s="14">
        <f>Table1346811345678[[#This Row],[PMI]]-B38</f>
        <v>-2</v>
      </c>
    </row>
    <row r="40" spans="1:3" x14ac:dyDescent="0.2">
      <c r="A40" s="8">
        <v>41487</v>
      </c>
      <c r="B40" s="11">
        <f>IF(VLOOKUP(A40,'DB Country PMI'!$A:$W,MATCH($A$1,'DB Country PMI'!$A$1:$W$1,),)=0,#N/A,VLOOKUP(A40,'DB Country PMI'!$A:$W,MATCH($A$1,'DB Country PMI'!$A$1:$W$1,),))</f>
        <v>57.2</v>
      </c>
      <c r="C40" s="14">
        <f>Table1346811345678[[#This Row],[PMI]]-B39</f>
        <v>-2.3999999999999986</v>
      </c>
    </row>
    <row r="41" spans="1:3" x14ac:dyDescent="0.2">
      <c r="A41" s="8">
        <v>41518</v>
      </c>
      <c r="B41" s="11">
        <f>IF(VLOOKUP(A41,'DB Country PMI'!$A:$W,MATCH($A$1,'DB Country PMI'!$A$1:$W$1,),)=0,#N/A,VLOOKUP(A41,'DB Country PMI'!$A:$W,MATCH($A$1,'DB Country PMI'!$A$1:$W$1,),))</f>
        <v>56.8</v>
      </c>
      <c r="C41" s="14">
        <f>Table1346811345678[[#This Row],[PMI]]-B40</f>
        <v>-0.40000000000000568</v>
      </c>
    </row>
    <row r="42" spans="1:3" x14ac:dyDescent="0.2">
      <c r="A42" s="8">
        <v>41548</v>
      </c>
      <c r="B42" s="11">
        <f>IF(VLOOKUP(A42,'DB Country PMI'!$A:$W,MATCH($A$1,'DB Country PMI'!$A$1:$W$1,),)=0,#N/A,VLOOKUP(A42,'DB Country PMI'!$A:$W,MATCH($A$1,'DB Country PMI'!$A$1:$W$1,),))</f>
        <v>60.1</v>
      </c>
      <c r="C42" s="14">
        <f>Table1346811345678[[#This Row],[PMI]]-B41</f>
        <v>3.3000000000000043</v>
      </c>
    </row>
    <row r="43" spans="1:3" x14ac:dyDescent="0.2">
      <c r="A43" s="8">
        <v>41579</v>
      </c>
      <c r="B43" s="11">
        <f>IF(VLOOKUP(A43,'DB Country PMI'!$A:$W,MATCH($A$1,'DB Country PMI'!$A$1:$W$1,),)=0,#N/A,VLOOKUP(A43,'DB Country PMI'!$A:$W,MATCH($A$1,'DB Country PMI'!$A$1:$W$1,),))</f>
        <v>57.1</v>
      </c>
      <c r="C43" s="14">
        <f>Table1346811345678[[#This Row],[PMI]]-B42</f>
        <v>-3</v>
      </c>
    </row>
    <row r="44" spans="1:3" x14ac:dyDescent="0.2">
      <c r="A44" s="8">
        <v>41609</v>
      </c>
      <c r="B44" s="11">
        <f>IF(VLOOKUP(A44,'DB Country PMI'!$A:$W,MATCH($A$1,'DB Country PMI'!$A$1:$W$1,),)=0,#N/A,VLOOKUP(A44,'DB Country PMI'!$A:$W,MATCH($A$1,'DB Country PMI'!$A$1:$W$1,),))</f>
        <v>59.3</v>
      </c>
      <c r="C44" s="14">
        <f>Table1346811345678[[#This Row],[PMI]]-B43</f>
        <v>2.1999999999999957</v>
      </c>
    </row>
    <row r="45" spans="1:3" x14ac:dyDescent="0.2">
      <c r="A45" s="8">
        <v>41640</v>
      </c>
      <c r="B45" s="11">
        <f>IF(VLOOKUP(A45,'DB Country PMI'!$A:$W,MATCH($A$1,'DB Country PMI'!$A$1:$W$1,),)=0,#N/A,VLOOKUP(A45,'DB Country PMI'!$A:$W,MATCH($A$1,'DB Country PMI'!$A$1:$W$1,),))</f>
        <v>61.5</v>
      </c>
      <c r="C45" s="14">
        <f>Table1346811345678[[#This Row],[PMI]]-B44</f>
        <v>2.2000000000000028</v>
      </c>
    </row>
    <row r="46" spans="1:3" x14ac:dyDescent="0.2">
      <c r="A46" s="8">
        <v>41671</v>
      </c>
      <c r="B46" s="11">
        <f>IF(VLOOKUP(A46,'DB Country PMI'!$A:$W,MATCH($A$1,'DB Country PMI'!$A$1:$W$1,),)=0,#N/A,VLOOKUP(A46,'DB Country PMI'!$A:$W,MATCH($A$1,'DB Country PMI'!$A$1:$W$1,),))</f>
        <v>57.5</v>
      </c>
      <c r="C46" s="14">
        <f>Table1346811345678[[#This Row],[PMI]]-B45</f>
        <v>-4</v>
      </c>
    </row>
    <row r="47" spans="1:3" x14ac:dyDescent="0.2">
      <c r="A47" s="8">
        <v>41699</v>
      </c>
      <c r="B47" s="11">
        <f>IF(VLOOKUP(A47,'DB Country PMI'!$A:$W,MATCH($A$1,'DB Country PMI'!$A$1:$W$1,),)=0,#N/A,VLOOKUP(A47,'DB Country PMI'!$A:$W,MATCH($A$1,'DB Country PMI'!$A$1:$W$1,),))</f>
        <v>60.7</v>
      </c>
      <c r="C47" s="14">
        <f>Table1346811345678[[#This Row],[PMI]]-B46</f>
        <v>3.2000000000000028</v>
      </c>
    </row>
    <row r="48" spans="1:3" x14ac:dyDescent="0.2">
      <c r="A48" s="8">
        <v>41730</v>
      </c>
      <c r="B48" s="11">
        <f>IF(VLOOKUP(A48,'DB Country PMI'!$A:$W,MATCH($A$1,'DB Country PMI'!$A$1:$W$1,),)=0,#N/A,VLOOKUP(A48,'DB Country PMI'!$A:$W,MATCH($A$1,'DB Country PMI'!$A$1:$W$1,),))</f>
        <v>61.9</v>
      </c>
      <c r="C48" s="14">
        <f>Table1346811345678[[#This Row],[PMI]]-B47</f>
        <v>1.1999999999999957</v>
      </c>
    </row>
    <row r="49" spans="1:3" x14ac:dyDescent="0.2">
      <c r="A49" s="8">
        <v>41760</v>
      </c>
      <c r="B49" s="11">
        <f>IF(VLOOKUP(A49,'DB Country PMI'!$A:$W,MATCH($A$1,'DB Country PMI'!$A$1:$W$1,),)=0,#N/A,VLOOKUP(A49,'DB Country PMI'!$A:$W,MATCH($A$1,'DB Country PMI'!$A$1:$W$1,),))</f>
        <v>61.7</v>
      </c>
      <c r="C49" s="14">
        <f>Table1346811345678[[#This Row],[PMI]]-B48</f>
        <v>-0.19999999999999574</v>
      </c>
    </row>
    <row r="50" spans="1:3" x14ac:dyDescent="0.2">
      <c r="A50" s="8">
        <v>41791</v>
      </c>
      <c r="B50" s="11">
        <f>IF(VLOOKUP(A50,'DB Country PMI'!$A:$W,MATCH($A$1,'DB Country PMI'!$A$1:$W$1,),)=0,#N/A,VLOOKUP(A50,'DB Country PMI'!$A:$W,MATCH($A$1,'DB Country PMI'!$A$1:$W$1,),))</f>
        <v>62.6</v>
      </c>
      <c r="C50" s="14">
        <f>Table1346811345678[[#This Row],[PMI]]-B49</f>
        <v>0.89999999999999858</v>
      </c>
    </row>
    <row r="51" spans="1:3" x14ac:dyDescent="0.2">
      <c r="A51" s="8">
        <v>41821</v>
      </c>
      <c r="B51" s="11">
        <f>IF(VLOOKUP(A51,'DB Country PMI'!$A:$W,MATCH($A$1,'DB Country PMI'!$A$1:$W$1,),)=0,#N/A,VLOOKUP(A51,'DB Country PMI'!$A:$W,MATCH($A$1,'DB Country PMI'!$A$1:$W$1,),))</f>
        <v>61.3</v>
      </c>
      <c r="C51" s="14">
        <f>Table1346811345678[[#This Row],[PMI]]-B50</f>
        <v>-1.3000000000000043</v>
      </c>
    </row>
    <row r="52" spans="1:3" x14ac:dyDescent="0.2">
      <c r="A52" s="8">
        <v>41852</v>
      </c>
      <c r="B52" s="11">
        <f>IF(VLOOKUP(A52,'DB Country PMI'!$A:$W,MATCH($A$1,'DB Country PMI'!$A$1:$W$1,),)=0,#N/A,VLOOKUP(A52,'DB Country PMI'!$A:$W,MATCH($A$1,'DB Country PMI'!$A$1:$W$1,),))</f>
        <v>62.4</v>
      </c>
      <c r="C52" s="14">
        <f>Table1346811345678[[#This Row],[PMI]]-B51</f>
        <v>1.1000000000000014</v>
      </c>
    </row>
    <row r="53" spans="1:3" x14ac:dyDescent="0.2">
      <c r="A53" s="8">
        <v>41883</v>
      </c>
      <c r="B53" s="11">
        <f>IF(VLOOKUP(A53,'DB Country PMI'!$A:$W,MATCH($A$1,'DB Country PMI'!$A$1:$W$1,),)=0,#N/A,VLOOKUP(A53,'DB Country PMI'!$A:$W,MATCH($A$1,'DB Country PMI'!$A$1:$W$1,),))</f>
        <v>62.5</v>
      </c>
      <c r="C53" s="14">
        <f>Table1346811345678[[#This Row],[PMI]]-B52</f>
        <v>0.10000000000000142</v>
      </c>
    </row>
    <row r="54" spans="1:3" x14ac:dyDescent="0.2">
      <c r="A54" s="8">
        <v>41913</v>
      </c>
      <c r="B54" s="11">
        <f>IF(VLOOKUP(A54,'DB Country PMI'!$A:$W,MATCH($A$1,'DB Country PMI'!$A$1:$W$1,),)=0,#N/A,VLOOKUP(A54,'DB Country PMI'!$A:$W,MATCH($A$1,'DB Country PMI'!$A$1:$W$1,),))</f>
        <v>61.5</v>
      </c>
      <c r="C54" s="14">
        <f>Table1346811345678[[#This Row],[PMI]]-B53</f>
        <v>-1</v>
      </c>
    </row>
    <row r="55" spans="1:3" x14ac:dyDescent="0.2">
      <c r="A55" s="8">
        <v>41944</v>
      </c>
      <c r="B55" s="11">
        <f>IF(VLOOKUP(A55,'DB Country PMI'!$A:$W,MATCH($A$1,'DB Country PMI'!$A$1:$W$1,),)=0,#N/A,VLOOKUP(A55,'DB Country PMI'!$A:$W,MATCH($A$1,'DB Country PMI'!$A$1:$W$1,),))</f>
        <v>61.6</v>
      </c>
      <c r="C55" s="14">
        <f>Table1346811345678[[#This Row],[PMI]]-B54</f>
        <v>0.10000000000000142</v>
      </c>
    </row>
    <row r="56" spans="1:3" x14ac:dyDescent="0.2">
      <c r="A56" s="8">
        <v>41974</v>
      </c>
      <c r="B56" s="11">
        <f>IF(VLOOKUP(A56,'DB Country PMI'!$A:$W,MATCH($A$1,'DB Country PMI'!$A$1:$W$1,),)=0,#N/A,VLOOKUP(A56,'DB Country PMI'!$A:$W,MATCH($A$1,'DB Country PMI'!$A$1:$W$1,),))</f>
        <v>62.6</v>
      </c>
      <c r="C56" s="14">
        <f>Table1346811345678[[#This Row],[PMI]]-B55</f>
        <v>1</v>
      </c>
    </row>
    <row r="57" spans="1:3" x14ac:dyDescent="0.2">
      <c r="A57" s="8">
        <v>42005</v>
      </c>
      <c r="B57" s="11">
        <f>IF(VLOOKUP(A57,'DB Country PMI'!$A:$W,MATCH($A$1,'DB Country PMI'!$A$1:$W$1,),)=0,#N/A,VLOOKUP(A57,'DB Country PMI'!$A:$W,MATCH($A$1,'DB Country PMI'!$A$1:$W$1,),))</f>
        <v>62.5</v>
      </c>
      <c r="C57" s="14">
        <f>Table1346811345678[[#This Row],[PMI]]-B56</f>
        <v>-0.10000000000000142</v>
      </c>
    </row>
    <row r="58" spans="1:3" x14ac:dyDescent="0.2">
      <c r="A58" s="8">
        <v>42036</v>
      </c>
      <c r="B58" s="11">
        <f>IF(VLOOKUP(A58,'DB Country PMI'!$A:$W,MATCH($A$1,'DB Country PMI'!$A$1:$W$1,),)=0,#N/A,VLOOKUP(A58,'DB Country PMI'!$A:$W,MATCH($A$1,'DB Country PMI'!$A$1:$W$1,),))</f>
        <v>61.4</v>
      </c>
      <c r="C58" s="14">
        <f>Table1346811345678[[#This Row],[PMI]]-B57</f>
        <v>-1.1000000000000014</v>
      </c>
    </row>
    <row r="59" spans="1:3" x14ac:dyDescent="0.2">
      <c r="A59" s="8">
        <v>42064</v>
      </c>
      <c r="B59" s="11">
        <f>IF(VLOOKUP(A59,'DB Country PMI'!$A:$W,MATCH($A$1,'DB Country PMI'!$A$1:$W$1,),)=0,#N/A,VLOOKUP(A59,'DB Country PMI'!$A:$W,MATCH($A$1,'DB Country PMI'!$A$1:$W$1,),))</f>
        <v>60.9</v>
      </c>
      <c r="C59" s="14">
        <f>Table1346811345678[[#This Row],[PMI]]-B58</f>
        <v>-0.5</v>
      </c>
    </row>
    <row r="60" spans="1:3" x14ac:dyDescent="0.2">
      <c r="A60" s="8">
        <v>42095</v>
      </c>
      <c r="B60" s="11">
        <f>IF(VLOOKUP(A60,'DB Country PMI'!$A:$W,MATCH($A$1,'DB Country PMI'!$A$1:$W$1,),)=0,#N/A,VLOOKUP(A60,'DB Country PMI'!$A:$W,MATCH($A$1,'DB Country PMI'!$A$1:$W$1,),))</f>
        <v>60.6</v>
      </c>
      <c r="C60" s="14">
        <f>Table1346811345678[[#This Row],[PMI]]-B59</f>
        <v>-0.29999999999999716</v>
      </c>
    </row>
    <row r="61" spans="1:3" x14ac:dyDescent="0.2">
      <c r="A61" s="8">
        <v>42125</v>
      </c>
      <c r="B61" s="11">
        <f>IF(VLOOKUP(A61,'DB Country PMI'!$A:$W,MATCH($A$1,'DB Country PMI'!$A$1:$W$1,),)=0,#N/A,VLOOKUP(A61,'DB Country PMI'!$A:$W,MATCH($A$1,'DB Country PMI'!$A$1:$W$1,),))</f>
        <v>61.4</v>
      </c>
      <c r="C61" s="14">
        <f>Table1346811345678[[#This Row],[PMI]]-B60</f>
        <v>0.79999999999999716</v>
      </c>
    </row>
    <row r="62" spans="1:3" x14ac:dyDescent="0.2">
      <c r="A62" s="8">
        <v>42156</v>
      </c>
      <c r="B62" s="11">
        <f>IF(VLOOKUP(A62,'DB Country PMI'!$A:$W,MATCH($A$1,'DB Country PMI'!$A$1:$W$1,),)=0,#N/A,VLOOKUP(A62,'DB Country PMI'!$A:$W,MATCH($A$1,'DB Country PMI'!$A$1:$W$1,),))</f>
        <v>63.3</v>
      </c>
      <c r="C62" s="14">
        <f>Table1346811345678[[#This Row],[PMI]]-B61</f>
        <v>1.8999999999999986</v>
      </c>
    </row>
    <row r="63" spans="1:3" x14ac:dyDescent="0.2">
      <c r="A63" s="8">
        <v>42186</v>
      </c>
      <c r="B63" s="11">
        <f>IF(VLOOKUP(A63,'DB Country PMI'!$A:$W,MATCH($A$1,'DB Country PMI'!$A$1:$W$1,),)=0,#N/A,VLOOKUP(A63,'DB Country PMI'!$A:$W,MATCH($A$1,'DB Country PMI'!$A$1:$W$1,),))</f>
        <v>63.4</v>
      </c>
      <c r="C63" s="14">
        <f>Table1346811345678[[#This Row],[PMI]]-B62</f>
        <v>0.10000000000000142</v>
      </c>
    </row>
    <row r="64" spans="1:3" x14ac:dyDescent="0.2">
      <c r="A64" s="8">
        <v>42217</v>
      </c>
      <c r="B64" s="11">
        <f>IF(VLOOKUP(A64,'DB Country PMI'!$A:$W,MATCH($A$1,'DB Country PMI'!$A$1:$W$1,),)=0,#N/A,VLOOKUP(A64,'DB Country PMI'!$A:$W,MATCH($A$1,'DB Country PMI'!$A$1:$W$1,),))</f>
        <v>62.1</v>
      </c>
      <c r="C64" s="14">
        <f>Table1346811345678[[#This Row],[PMI]]-B63</f>
        <v>-1.2999999999999972</v>
      </c>
    </row>
    <row r="65" spans="1:3" x14ac:dyDescent="0.2">
      <c r="A65" s="8">
        <v>42248</v>
      </c>
      <c r="B65" s="11">
        <f>IF(VLOOKUP(A65,'DB Country PMI'!$A:$W,MATCH($A$1,'DB Country PMI'!$A$1:$W$1,),)=0,#N/A,VLOOKUP(A65,'DB Country PMI'!$A:$W,MATCH($A$1,'DB Country PMI'!$A$1:$W$1,),))</f>
        <v>62.4</v>
      </c>
      <c r="C65" s="14">
        <f>Table1346811345678[[#This Row],[PMI]]-B64</f>
        <v>0.29999999999999716</v>
      </c>
    </row>
    <row r="66" spans="1:3" x14ac:dyDescent="0.2">
      <c r="A66" s="8">
        <v>42278</v>
      </c>
      <c r="B66" s="11">
        <f>IF(VLOOKUP(A66,'DB Country PMI'!$A:$W,MATCH($A$1,'DB Country PMI'!$A$1:$W$1,),)=0,#N/A,VLOOKUP(A66,'DB Country PMI'!$A:$W,MATCH($A$1,'DB Country PMI'!$A$1:$W$1,),))</f>
        <v>60.1</v>
      </c>
      <c r="C66" s="14">
        <f>Table1346811345678[[#This Row],[PMI]]-B65</f>
        <v>-2.2999999999999972</v>
      </c>
    </row>
    <row r="67" spans="1:3" x14ac:dyDescent="0.2">
      <c r="A67" s="8">
        <v>42309</v>
      </c>
      <c r="B67" s="11">
        <f>IF(VLOOKUP(A67,'DB Country PMI'!$A:$W,MATCH($A$1,'DB Country PMI'!$A$1:$W$1,),)=0,#N/A,VLOOKUP(A67,'DB Country PMI'!$A:$W,MATCH($A$1,'DB Country PMI'!$A$1:$W$1,),))</f>
        <v>63.6</v>
      </c>
      <c r="C67" s="14">
        <f>Table1346811345678[[#This Row],[PMI]]-B66</f>
        <v>3.5</v>
      </c>
    </row>
    <row r="68" spans="1:3" x14ac:dyDescent="0.2">
      <c r="A68" s="8">
        <v>42339</v>
      </c>
      <c r="B68" s="11">
        <f>IF(VLOOKUP(A68,'DB Country PMI'!$A:$W,MATCH($A$1,'DB Country PMI'!$A$1:$W$1,),)=0,#N/A,VLOOKUP(A68,'DB Country PMI'!$A:$W,MATCH($A$1,'DB Country PMI'!$A$1:$W$1,),))</f>
        <v>61.8</v>
      </c>
      <c r="C68" s="14">
        <f>Table1346811345678[[#This Row],[PMI]]-B67</f>
        <v>-1.8000000000000043</v>
      </c>
    </row>
    <row r="69" spans="1:3" x14ac:dyDescent="0.2">
      <c r="A69" s="8">
        <v>42370</v>
      </c>
      <c r="B69" s="11">
        <f>IF(VLOOKUP(A69,'DB Country PMI'!$A:$W,MATCH($A$1,'DB Country PMI'!$A$1:$W$1,),)=0,#N/A,VLOOKUP(A69,'DB Country PMI'!$A:$W,MATCH($A$1,'DB Country PMI'!$A$1:$W$1,),))</f>
        <v>64</v>
      </c>
      <c r="C69" s="14">
        <f>Table1346811345678[[#This Row],[PMI]]-B68</f>
        <v>2.2000000000000028</v>
      </c>
    </row>
    <row r="70" spans="1:3" x14ac:dyDescent="0.2">
      <c r="A70" s="8">
        <v>42401</v>
      </c>
      <c r="B70" s="11">
        <f>IF(VLOOKUP(A70,'DB Country PMI'!$A:$W,MATCH($A$1,'DB Country PMI'!$A$1:$W$1,),)=0,#N/A,VLOOKUP(A70,'DB Country PMI'!$A:$W,MATCH($A$1,'DB Country PMI'!$A$1:$W$1,),))</f>
        <v>62.1</v>
      </c>
      <c r="C70" s="14">
        <f>Table1346811345678[[#This Row],[PMI]]-B69</f>
        <v>-1.8999999999999986</v>
      </c>
    </row>
    <row r="71" spans="1:3" x14ac:dyDescent="0.2">
      <c r="A71" s="8">
        <v>42430</v>
      </c>
      <c r="B71" s="11">
        <f>IF(VLOOKUP(A71,'DB Country PMI'!$A:$W,MATCH($A$1,'DB Country PMI'!$A$1:$W$1,),)=0,#N/A,VLOOKUP(A71,'DB Country PMI'!$A:$W,MATCH($A$1,'DB Country PMI'!$A$1:$W$1,),))</f>
        <v>62.8</v>
      </c>
      <c r="C71" s="14">
        <f>Table1346811345678[[#This Row],[PMI]]-B70</f>
        <v>0.69999999999999574</v>
      </c>
    </row>
    <row r="72" spans="1:3" x14ac:dyDescent="0.2">
      <c r="A72" s="8">
        <v>42461</v>
      </c>
      <c r="B72" s="11">
        <f>IF(VLOOKUP(A72,'DB Country PMI'!$A:$W,MATCH($A$1,'DB Country PMI'!$A$1:$W$1,),)=0,#N/A,VLOOKUP(A72,'DB Country PMI'!$A:$W,MATCH($A$1,'DB Country PMI'!$A$1:$W$1,),))</f>
        <v>59.8</v>
      </c>
      <c r="C72" s="14">
        <f>Table1346811345678[[#This Row],[PMI]]-B71</f>
        <v>-3</v>
      </c>
    </row>
    <row r="73" spans="1:3" x14ac:dyDescent="0.2">
      <c r="A73" s="8">
        <v>42491</v>
      </c>
      <c r="B73" s="11">
        <f>IF(VLOOKUP(A73,'DB Country PMI'!$A:$W,MATCH($A$1,'DB Country PMI'!$A$1:$W$1,),)=0,#N/A,VLOOKUP(A73,'DB Country PMI'!$A:$W,MATCH($A$1,'DB Country PMI'!$A$1:$W$1,),))</f>
        <v>61.7</v>
      </c>
      <c r="C73" s="14">
        <f>Table1346811345678[[#This Row],[PMI]]-B72</f>
        <v>1.9000000000000057</v>
      </c>
    </row>
    <row r="74" spans="1:3" x14ac:dyDescent="0.2">
      <c r="A74" s="8">
        <v>42522</v>
      </c>
      <c r="B74" s="11">
        <f>IF(VLOOKUP(A74,'DB Country PMI'!$A:$W,MATCH($A$1,'DB Country PMI'!$A$1:$W$1,),)=0,#N/A,VLOOKUP(A74,'DB Country PMI'!$A:$W,MATCH($A$1,'DB Country PMI'!$A$1:$W$1,),))</f>
        <v>61.2</v>
      </c>
      <c r="C74" s="14">
        <f>Table1346811345678[[#This Row],[PMI]]-B73</f>
        <v>-0.5</v>
      </c>
    </row>
    <row r="75" spans="1:3" x14ac:dyDescent="0.2">
      <c r="A75" s="8">
        <v>42552</v>
      </c>
      <c r="B75" s="11">
        <f>IF(VLOOKUP(A75,'DB Country PMI'!$A:$W,MATCH($A$1,'DB Country PMI'!$A$1:$W$1,),)=0,#N/A,VLOOKUP(A75,'DB Country PMI'!$A:$W,MATCH($A$1,'DB Country PMI'!$A$1:$W$1,),))</f>
        <v>59.5</v>
      </c>
      <c r="C75" s="14">
        <f>Table1346811345678[[#This Row],[PMI]]-B74</f>
        <v>-1.7000000000000028</v>
      </c>
    </row>
    <row r="76" spans="1:3" x14ac:dyDescent="0.2">
      <c r="A76" s="8">
        <v>42583</v>
      </c>
      <c r="B76" s="11">
        <f>IF(VLOOKUP(A76,'DB Country PMI'!$A:$W,MATCH($A$1,'DB Country PMI'!$A$1:$W$1,),)=0,#N/A,VLOOKUP(A76,'DB Country PMI'!$A:$W,MATCH($A$1,'DB Country PMI'!$A$1:$W$1,),))</f>
        <v>59.7</v>
      </c>
      <c r="C76" s="14">
        <f>Table1346811345678[[#This Row],[PMI]]-B75</f>
        <v>0.20000000000000284</v>
      </c>
    </row>
    <row r="77" spans="1:3" x14ac:dyDescent="0.2">
      <c r="A77" s="8">
        <v>42614</v>
      </c>
      <c r="B77" s="11">
        <f>IF(VLOOKUP(A77,'DB Country PMI'!$A:$W,MATCH($A$1,'DB Country PMI'!$A$1:$W$1,),)=0,#N/A,VLOOKUP(A77,'DB Country PMI'!$A:$W,MATCH($A$1,'DB Country PMI'!$A$1:$W$1,),))</f>
        <v>56.2</v>
      </c>
      <c r="C77" s="14">
        <f>Table1346811345678[[#This Row],[PMI]]-B76</f>
        <v>-3.5</v>
      </c>
    </row>
    <row r="78" spans="1:3" x14ac:dyDescent="0.2">
      <c r="A78" s="8">
        <v>42644</v>
      </c>
      <c r="B78" s="11">
        <f>IF(VLOOKUP(A78,'DB Country PMI'!$A:$W,MATCH($A$1,'DB Country PMI'!$A$1:$W$1,),)=0,#N/A,VLOOKUP(A78,'DB Country PMI'!$A:$W,MATCH($A$1,'DB Country PMI'!$A$1:$W$1,),))</f>
        <v>54.6</v>
      </c>
      <c r="C78" s="14">
        <f>Table1346811345678[[#This Row],[PMI]]-B77</f>
        <v>-1.6000000000000014</v>
      </c>
    </row>
    <row r="79" spans="1:3" x14ac:dyDescent="0.2">
      <c r="A79" s="8">
        <v>42675</v>
      </c>
      <c r="B79" s="11">
        <f>IF(VLOOKUP(A79,'DB Country PMI'!$A:$W,MATCH($A$1,'DB Country PMI'!$A$1:$W$1,),)=0,#N/A,VLOOKUP(A79,'DB Country PMI'!$A:$W,MATCH($A$1,'DB Country PMI'!$A$1:$W$1,),))</f>
        <v>56</v>
      </c>
      <c r="C79" s="14">
        <f>Table1346811345678[[#This Row],[PMI]]-B78</f>
        <v>1.3999999999999986</v>
      </c>
    </row>
    <row r="80" spans="1:3" x14ac:dyDescent="0.2">
      <c r="A80" s="8">
        <v>42705</v>
      </c>
      <c r="B80" s="11">
        <f>IF(VLOOKUP(A80,'DB Country PMI'!$A:$W,MATCH($A$1,'DB Country PMI'!$A$1:$W$1,),)=0,#N/A,VLOOKUP(A80,'DB Country PMI'!$A:$W,MATCH($A$1,'DB Country PMI'!$A$1:$W$1,),))</f>
        <v>59.1</v>
      </c>
      <c r="C80" s="14">
        <f>Table1346811345678[[#This Row],[PMI]]-B79</f>
        <v>3.1000000000000014</v>
      </c>
    </row>
    <row r="81" spans="1:3" x14ac:dyDescent="0.2">
      <c r="A81" s="8">
        <v>42736</v>
      </c>
      <c r="B81" s="11">
        <f>IF(VLOOKUP(A81,'DB Country PMI'!$A:$W,MATCH($A$1,'DB Country PMI'!$A$1:$W$1,),)=0,#N/A,VLOOKUP(A81,'DB Country PMI'!$A:$W,MATCH($A$1,'DB Country PMI'!$A$1:$W$1,),))</f>
        <v>61</v>
      </c>
      <c r="C81" s="14">
        <f>Table1346811345678[[#This Row],[PMI]]-B80</f>
        <v>1.8999999999999986</v>
      </c>
    </row>
    <row r="82" spans="1:3" x14ac:dyDescent="0.2">
      <c r="A82" s="8">
        <v>42767</v>
      </c>
      <c r="B82" s="11">
        <f>IF(VLOOKUP(A82,'DB Country PMI'!$A:$W,MATCH($A$1,'DB Country PMI'!$A$1:$W$1,),)=0,#N/A,VLOOKUP(A82,'DB Country PMI'!$A:$W,MATCH($A$1,'DB Country PMI'!$A$1:$W$1,),))</f>
        <v>60.6</v>
      </c>
      <c r="C82" s="14">
        <f>Table1346811345678[[#This Row],[PMI]]-B81</f>
        <v>-0.39999999999999858</v>
      </c>
    </row>
    <row r="83" spans="1:3" x14ac:dyDescent="0.2">
      <c r="A83" s="8">
        <v>42795</v>
      </c>
      <c r="B83" s="11">
        <f>IF(VLOOKUP(A83,'DB Country PMI'!$A:$W,MATCH($A$1,'DB Country PMI'!$A$1:$W$1,),)=0,#N/A,VLOOKUP(A83,'DB Country PMI'!$A:$W,MATCH($A$1,'DB Country PMI'!$A$1:$W$1,),))</f>
        <v>59.1</v>
      </c>
      <c r="C83" s="14">
        <f>Table1346811345678[[#This Row],[PMI]]-B82</f>
        <v>-1.5</v>
      </c>
    </row>
    <row r="84" spans="1:3" x14ac:dyDescent="0.2">
      <c r="A84" s="8">
        <v>42826</v>
      </c>
      <c r="B84" s="11">
        <f>IF(VLOOKUP(A84,'DB Country PMI'!$A:$W,MATCH($A$1,'DB Country PMI'!$A$1:$W$1,),)=0,#N/A,VLOOKUP(A84,'DB Country PMI'!$A:$W,MATCH($A$1,'DB Country PMI'!$A$1:$W$1,),))</f>
        <v>61.1</v>
      </c>
      <c r="C84" s="14">
        <f>Table1346811345678[[#This Row],[PMI]]-B83</f>
        <v>2</v>
      </c>
    </row>
    <row r="85" spans="1:3" x14ac:dyDescent="0.2">
      <c r="A85" s="8">
        <v>42856</v>
      </c>
      <c r="B85" s="11">
        <f>IF(VLOOKUP(A85,'DB Country PMI'!$A:$W,MATCH($A$1,'DB Country PMI'!$A$1:$W$1,),)=0,#N/A,VLOOKUP(A85,'DB Country PMI'!$A:$W,MATCH($A$1,'DB Country PMI'!$A$1:$W$1,),))</f>
        <v>59.5</v>
      </c>
      <c r="C85" s="14">
        <f>Table1346811345678[[#This Row],[PMI]]-B84</f>
        <v>-1.6000000000000014</v>
      </c>
    </row>
    <row r="86" spans="1:3" x14ac:dyDescent="0.2">
      <c r="A86" s="8">
        <v>42887</v>
      </c>
      <c r="B86" s="11">
        <f>IF(VLOOKUP(A86,'DB Country PMI'!$A:$W,MATCH($A$1,'DB Country PMI'!$A$1:$W$1,),)=0,#N/A,VLOOKUP(A86,'DB Country PMI'!$A:$W,MATCH($A$1,'DB Country PMI'!$A$1:$W$1,),))</f>
        <v>57.6</v>
      </c>
      <c r="C86" s="14">
        <f>Table1346811345678[[#This Row],[PMI]]-B85</f>
        <v>-1.8999999999999986</v>
      </c>
    </row>
    <row r="87" spans="1:3" x14ac:dyDescent="0.2">
      <c r="A87" s="8">
        <v>42917</v>
      </c>
      <c r="B87" s="11">
        <f>IF(VLOOKUP(A87,'DB Country PMI'!$A:$W,MATCH($A$1,'DB Country PMI'!$A$1:$W$1,),)=0,#N/A,VLOOKUP(A87,'DB Country PMI'!$A:$W,MATCH($A$1,'DB Country PMI'!$A$1:$W$1,),))</f>
        <v>58.3</v>
      </c>
      <c r="C87" s="14">
        <f>Table1346811345678[[#This Row],[PMI]]-B86</f>
        <v>0.69999999999999574</v>
      </c>
    </row>
    <row r="88" spans="1:3" x14ac:dyDescent="0.2">
      <c r="A88" s="8">
        <v>42948</v>
      </c>
      <c r="B88" s="11">
        <f>IF(VLOOKUP(A88,'DB Country PMI'!$A:$W,MATCH($A$1,'DB Country PMI'!$A$1:$W$1,),)=0,#N/A,VLOOKUP(A88,'DB Country PMI'!$A:$W,MATCH($A$1,'DB Country PMI'!$A$1:$W$1,),))</f>
        <v>58.4</v>
      </c>
      <c r="C88" s="14">
        <f>Table1346811345678[[#This Row],[PMI]]-B87</f>
        <v>0.10000000000000142</v>
      </c>
    </row>
    <row r="89" spans="1:3" x14ac:dyDescent="0.2">
      <c r="A89" s="8">
        <v>42979</v>
      </c>
      <c r="B89" s="11">
        <f>IF(VLOOKUP(A89,'DB Country PMI'!$A:$W,MATCH($A$1,'DB Country PMI'!$A$1:$W$1,),)=0,#N/A,VLOOKUP(A89,'DB Country PMI'!$A:$W,MATCH($A$1,'DB Country PMI'!$A$1:$W$1,),))</f>
        <v>58.7</v>
      </c>
      <c r="C89" s="14">
        <f>Table1346811345678[[#This Row],[PMI]]-B88</f>
        <v>0.30000000000000426</v>
      </c>
    </row>
    <row r="90" spans="1:3" x14ac:dyDescent="0.2">
      <c r="A90" s="8">
        <v>43009</v>
      </c>
      <c r="B90" s="11">
        <f>IF(VLOOKUP(A90,'DB Country PMI'!$A:$W,MATCH($A$1,'DB Country PMI'!$A$1:$W$1,),)=0,#N/A,VLOOKUP(A90,'DB Country PMI'!$A:$W,MATCH($A$1,'DB Country PMI'!$A$1:$W$1,),))</f>
        <v>57.5</v>
      </c>
      <c r="C90" s="14">
        <f>Table1346811345678[[#This Row],[PMI]]-B89</f>
        <v>-1.2000000000000028</v>
      </c>
    </row>
    <row r="91" spans="1:3" x14ac:dyDescent="0.2">
      <c r="A91" s="8">
        <v>43040</v>
      </c>
      <c r="B91" s="11">
        <f>IF(VLOOKUP(A91,'DB Country PMI'!$A:$W,MATCH($A$1,'DB Country PMI'!$A$1:$W$1,),)=0,#N/A,VLOOKUP(A91,'DB Country PMI'!$A:$W,MATCH($A$1,'DB Country PMI'!$A$1:$W$1,),))</f>
        <v>56</v>
      </c>
      <c r="C91" s="14">
        <f>Table1346811345678[[#This Row],[PMI]]-B90</f>
        <v>-1.5</v>
      </c>
    </row>
    <row r="92" spans="1:3" x14ac:dyDescent="0.2">
      <c r="A92" s="8">
        <v>43070</v>
      </c>
      <c r="B92" s="11">
        <f>IF(VLOOKUP(A92,'DB Country PMI'!$A:$W,MATCH($A$1,'DB Country PMI'!$A$1:$W$1,),)=0,#N/A,VLOOKUP(A92,'DB Country PMI'!$A:$W,MATCH($A$1,'DB Country PMI'!$A$1:$W$1,),))</f>
        <v>60.4</v>
      </c>
      <c r="C92" s="14">
        <f>Table1346811345678[[#This Row],[PMI]]-B91</f>
        <v>4.3999999999999986</v>
      </c>
    </row>
    <row r="93" spans="1:3" x14ac:dyDescent="0.2">
      <c r="A93" s="8">
        <v>43101</v>
      </c>
      <c r="B93" s="11">
        <f>IF(VLOOKUP(A93,'DB Country PMI'!$A:$W,MATCH($A$1,'DB Country PMI'!$A$1:$W$1,),)=0,#N/A,VLOOKUP(A93,'DB Country PMI'!$A:$W,MATCH($A$1,'DB Country PMI'!$A$1:$W$1,),))</f>
        <v>59.8</v>
      </c>
      <c r="C93" s="14">
        <f>Table1346811345678[[#This Row],[PMI]]-B92</f>
        <v>-0.60000000000000142</v>
      </c>
    </row>
    <row r="94" spans="1:3" x14ac:dyDescent="0.2">
      <c r="A94" s="8">
        <v>43132</v>
      </c>
      <c r="B94" s="11">
        <f>IF(VLOOKUP(A94,'DB Country PMI'!$A:$W,MATCH($A$1,'DB Country PMI'!$A$1:$W$1,),)=0,#N/A,VLOOKUP(A94,'DB Country PMI'!$A:$W,MATCH($A$1,'DB Country PMI'!$A$1:$W$1,),))</f>
        <v>57.2</v>
      </c>
      <c r="C94" s="14">
        <f>Table1346811345678[[#This Row],[PMI]]-B93</f>
        <v>-2.5999999999999943</v>
      </c>
    </row>
    <row r="95" spans="1:3" x14ac:dyDescent="0.2">
      <c r="A95" s="8">
        <v>43160</v>
      </c>
      <c r="B95" s="11">
        <f>IF(VLOOKUP(A95,'DB Country PMI'!$A:$W,MATCH($A$1,'DB Country PMI'!$A$1:$W$1,),)=0,#N/A,VLOOKUP(A95,'DB Country PMI'!$A:$W,MATCH($A$1,'DB Country PMI'!$A$1:$W$1,),))</f>
        <v>56.5</v>
      </c>
      <c r="C95" s="14">
        <f>Table1346811345678[[#This Row],[PMI]]-B94</f>
        <v>-0.70000000000000284</v>
      </c>
    </row>
    <row r="96" spans="1:3" x14ac:dyDescent="0.2">
      <c r="A96" s="8">
        <v>43191</v>
      </c>
      <c r="B96" s="11">
        <f>IF(VLOOKUP(A96,'DB Country PMI'!$A:$W,MATCH($A$1,'DB Country PMI'!$A$1:$W$1,),)=0,#N/A,VLOOKUP(A96,'DB Country PMI'!$A:$W,MATCH($A$1,'DB Country PMI'!$A$1:$W$1,),))</f>
        <v>58.3</v>
      </c>
      <c r="C96" s="14">
        <f>Table1346811345678[[#This Row],[PMI]]-B95</f>
        <v>1.7999999999999972</v>
      </c>
    </row>
    <row r="97" spans="1:3" x14ac:dyDescent="0.2">
      <c r="A97" s="8">
        <v>43221</v>
      </c>
      <c r="B97" s="11">
        <f>IF(VLOOKUP(A97,'DB Country PMI'!$A:$W,MATCH($A$1,'DB Country PMI'!$A$1:$W$1,),)=0,#N/A,VLOOKUP(A97,'DB Country PMI'!$A:$W,MATCH($A$1,'DB Country PMI'!$A$1:$W$1,),))</f>
        <v>59.3</v>
      </c>
      <c r="C97" s="14">
        <f>Table1346811345678[[#This Row],[PMI]]-B96</f>
        <v>1</v>
      </c>
    </row>
    <row r="98" spans="1:3" x14ac:dyDescent="0.2">
      <c r="A98" s="8">
        <v>43252</v>
      </c>
      <c r="B98" s="11">
        <f>IF(VLOOKUP(A98,'DB Country PMI'!$A:$W,MATCH($A$1,'DB Country PMI'!$A$1:$W$1,),)=0,#N/A,VLOOKUP(A98,'DB Country PMI'!$A:$W,MATCH($A$1,'DB Country PMI'!$A$1:$W$1,),))</f>
        <v>59.5</v>
      </c>
      <c r="C98" s="14">
        <f>Table1346811345678[[#This Row],[PMI]]-B97</f>
        <v>0.20000000000000284</v>
      </c>
    </row>
    <row r="99" spans="1:3" x14ac:dyDescent="0.2">
      <c r="A99" s="8">
        <v>43282</v>
      </c>
      <c r="B99" s="11">
        <f>IF(VLOOKUP(A99,'DB Country PMI'!$A:$W,MATCH($A$1,'DB Country PMI'!$A$1:$W$1,),)=0,#N/A,VLOOKUP(A99,'DB Country PMI'!$A:$W,MATCH($A$1,'DB Country PMI'!$A$1:$W$1,),))</f>
        <v>57.4</v>
      </c>
      <c r="C99" s="14">
        <f>Table1346811345678[[#This Row],[PMI]]-B98</f>
        <v>-2.1000000000000014</v>
      </c>
    </row>
    <row r="100" spans="1:3" x14ac:dyDescent="0.2">
      <c r="A100" s="8">
        <v>43313</v>
      </c>
      <c r="B100" s="11">
        <f>IF(VLOOKUP(A100,'DB Country PMI'!$A:$W,MATCH($A$1,'DB Country PMI'!$A$1:$W$1,),)=0,#N/A,VLOOKUP(A100,'DB Country PMI'!$A:$W,MATCH($A$1,'DB Country PMI'!$A$1:$W$1,),))</f>
        <v>58</v>
      </c>
      <c r="C100" s="14">
        <f>Table1346811345678[[#This Row],[PMI]]-B99</f>
        <v>0.60000000000000142</v>
      </c>
    </row>
    <row r="101" spans="1:3" x14ac:dyDescent="0.2">
      <c r="A101" s="8">
        <v>43344</v>
      </c>
      <c r="B101" s="11">
        <f>IF(VLOOKUP(A101,'DB Country PMI'!$A:$W,MATCH($A$1,'DB Country PMI'!$A$1:$W$1,),)=0,#N/A,VLOOKUP(A101,'DB Country PMI'!$A:$W,MATCH($A$1,'DB Country PMI'!$A$1:$W$1,),))</f>
        <v>58.7</v>
      </c>
      <c r="C101" s="14">
        <f>Table1346811345678[[#This Row],[PMI]]-B100</f>
        <v>0.70000000000000284</v>
      </c>
    </row>
    <row r="102" spans="1:3" x14ac:dyDescent="0.2">
      <c r="A102" s="8">
        <v>43374</v>
      </c>
      <c r="B102" s="11">
        <f>IF(VLOOKUP(A102,'DB Country PMI'!$A:$W,MATCH($A$1,'DB Country PMI'!$A$1:$W$1,),)=0,#N/A,VLOOKUP(A102,'DB Country PMI'!$A:$W,MATCH($A$1,'DB Country PMI'!$A$1:$W$1,),))</f>
        <v>57.2</v>
      </c>
      <c r="C102" s="14">
        <f>Table1346811345678[[#This Row],[PMI]]-B101</f>
        <v>-1.5</v>
      </c>
    </row>
    <row r="103" spans="1:3" x14ac:dyDescent="0.2">
      <c r="A103" s="8">
        <v>43405</v>
      </c>
      <c r="B103" s="11">
        <f>IF(VLOOKUP(A103,'DB Country PMI'!$A:$W,MATCH($A$1,'DB Country PMI'!$A$1:$W$1,),)=0,#N/A,VLOOKUP(A103,'DB Country PMI'!$A:$W,MATCH($A$1,'DB Country PMI'!$A$1:$W$1,),))</f>
        <v>57.1</v>
      </c>
      <c r="C103" s="14">
        <f>Table1346811345678[[#This Row],[PMI]]-B102</f>
        <v>-0.10000000000000142</v>
      </c>
    </row>
    <row r="104" spans="1:3" x14ac:dyDescent="0.2">
      <c r="A104" s="8">
        <v>43435</v>
      </c>
      <c r="B104" s="11">
        <f>IF(VLOOKUP(A104,'DB Country PMI'!$A:$W,MATCH($A$1,'DB Country PMI'!$A$1:$W$1,),)=0,#N/A,VLOOKUP(A104,'DB Country PMI'!$A:$W,MATCH($A$1,'DB Country PMI'!$A$1:$W$1,),))</f>
        <v>56.3</v>
      </c>
      <c r="C104" s="14">
        <f>Table1346811345678[[#This Row],[PMI]]-B103</f>
        <v>-0.80000000000000426</v>
      </c>
    </row>
    <row r="105" spans="1:3" x14ac:dyDescent="0.2">
      <c r="A105" s="8">
        <v>43466</v>
      </c>
      <c r="B105" s="11">
        <f>IF(VLOOKUP(A105,'DB Country PMI'!$A:$W,MATCH($A$1,'DB Country PMI'!$A$1:$W$1,),)=0,#N/A,VLOOKUP(A105,'DB Country PMI'!$A:$W,MATCH($A$1,'DB Country PMI'!$A$1:$W$1,),))</f>
        <v>54.2</v>
      </c>
      <c r="C105" s="14">
        <f>Table1346811345678[[#This Row],[PMI]]-B104</f>
        <v>-2.0999999999999943</v>
      </c>
    </row>
    <row r="106" spans="1:3" x14ac:dyDescent="0.2">
      <c r="A106" s="8">
        <v>43497</v>
      </c>
      <c r="B106" s="11">
        <f>IF(VLOOKUP(A106,'DB Country PMI'!$A:$W,MATCH($A$1,'DB Country PMI'!$A$1:$W$1,),)=0,#N/A,VLOOKUP(A106,'DB Country PMI'!$A:$W,MATCH($A$1,'DB Country PMI'!$A$1:$W$1,),))</f>
        <v>55.9</v>
      </c>
      <c r="C106" s="14">
        <f>Table1346811345678[[#This Row],[PMI]]-B105</f>
        <v>1.6999999999999957</v>
      </c>
    </row>
    <row r="107" spans="1:3" x14ac:dyDescent="0.2">
      <c r="A107" s="8">
        <v>43525</v>
      </c>
      <c r="B107" s="11">
        <f>IF(VLOOKUP(A107,'DB Country PMI'!$A:$W,MATCH($A$1,'DB Country PMI'!$A$1:$W$1,),)=0,#N/A,VLOOKUP(A107,'DB Country PMI'!$A:$W,MATCH($A$1,'DB Country PMI'!$A$1:$W$1,),))</f>
        <v>55.3</v>
      </c>
      <c r="C107" s="14">
        <f>Table1346811345678[[#This Row],[PMI]]-B106</f>
        <v>-0.60000000000000142</v>
      </c>
    </row>
    <row r="108" spans="1:3" x14ac:dyDescent="0.2">
      <c r="A108" s="8">
        <v>43556</v>
      </c>
      <c r="B108" s="11">
        <f>IF(VLOOKUP(A108,'DB Country PMI'!$A:$W,MATCH($A$1,'DB Country PMI'!$A$1:$W$1,),)=0,#N/A,VLOOKUP(A108,'DB Country PMI'!$A:$W,MATCH($A$1,'DB Country PMI'!$A$1:$W$1,),))</f>
        <v>54.7</v>
      </c>
      <c r="C108" s="14">
        <f>Table1346811345678[[#This Row],[PMI]]-B107</f>
        <v>-0.59999999999999432</v>
      </c>
    </row>
    <row r="109" spans="1:3" x14ac:dyDescent="0.2">
      <c r="A109" s="8">
        <v>43586</v>
      </c>
      <c r="B109" s="11">
        <f>IF(VLOOKUP(A109,'DB Country PMI'!$A:$W,MATCH($A$1,'DB Country PMI'!$A$1:$W$1,),)=0,#N/A,VLOOKUP(A109,'DB Country PMI'!$A:$W,MATCH($A$1,'DB Country PMI'!$A$1:$W$1,),))</f>
        <v>57</v>
      </c>
      <c r="C109" s="14">
        <f>Table1346811345678[[#This Row],[PMI]]-B108</f>
        <v>2.2999999999999972</v>
      </c>
    </row>
    <row r="110" spans="1:3" x14ac:dyDescent="0.2">
      <c r="A110" s="8">
        <v>43617</v>
      </c>
      <c r="B110" s="11">
        <f>IF(VLOOKUP(A110,'DB Country PMI'!$A:$W,MATCH($A$1,'DB Country PMI'!$A$1:$W$1,),)=0,#N/A,VLOOKUP(A110,'DB Country PMI'!$A:$W,MATCH($A$1,'DB Country PMI'!$A$1:$W$1,),))</f>
        <v>56.9</v>
      </c>
      <c r="C110" s="14">
        <f>Table1346811345678[[#This Row],[PMI]]-B109</f>
        <v>-0.10000000000000142</v>
      </c>
    </row>
    <row r="111" spans="1:3" x14ac:dyDescent="0.2">
      <c r="A111" s="8">
        <v>43647</v>
      </c>
      <c r="B111" s="11">
        <f>IF(VLOOKUP(A111,'DB Country PMI'!$A:$W,MATCH($A$1,'DB Country PMI'!$A$1:$W$1,),)=0,#N/A,VLOOKUP(A111,'DB Country PMI'!$A:$W,MATCH($A$1,'DB Country PMI'!$A$1:$W$1,),))</f>
        <v>55</v>
      </c>
      <c r="C111" s="14">
        <f>Table1346811345678[[#This Row],[PMI]]-B110</f>
        <v>-1.8999999999999986</v>
      </c>
    </row>
    <row r="112" spans="1:3" x14ac:dyDescent="0.2">
      <c r="A112" s="8">
        <v>43678</v>
      </c>
      <c r="B112" s="11">
        <f>IF(VLOOKUP(A112,'DB Country PMI'!$A:$W,MATCH($A$1,'DB Country PMI'!$A$1:$W$1,),)=0,#N/A,VLOOKUP(A112,'DB Country PMI'!$A:$W,MATCH($A$1,'DB Country PMI'!$A$1:$W$1,),))</f>
        <v>54.6</v>
      </c>
      <c r="C112" s="14">
        <f>Table1346811345678[[#This Row],[PMI]]-B111</f>
        <v>-0.39999999999999858</v>
      </c>
    </row>
    <row r="113" spans="1:3" x14ac:dyDescent="0.2">
      <c r="A113" s="8">
        <v>43709</v>
      </c>
      <c r="B113" s="11">
        <f>IF(VLOOKUP(A113,'DB Country PMI'!$A:$W,MATCH($A$1,'DB Country PMI'!$A$1:$W$1,),)=0,#N/A,VLOOKUP(A113,'DB Country PMI'!$A:$W,MATCH($A$1,'DB Country PMI'!$A$1:$W$1,),))</f>
        <v>53.1</v>
      </c>
      <c r="C113" s="14">
        <f>Table1346811345678[[#This Row],[PMI]]-B112</f>
        <v>-1.5</v>
      </c>
    </row>
    <row r="114" spans="1:3" x14ac:dyDescent="0.2">
      <c r="A114" s="8">
        <v>43739</v>
      </c>
      <c r="B114" s="11">
        <f>IF(VLOOKUP(A114,'DB Country PMI'!$A:$W,MATCH($A$1,'DB Country PMI'!$A$1:$W$1,),)=0,#N/A,VLOOKUP(A114,'DB Country PMI'!$A:$W,MATCH($A$1,'DB Country PMI'!$A$1:$W$1,),))</f>
        <v>50.6</v>
      </c>
      <c r="C114" s="14">
        <f>Table1346811345678[[#This Row],[PMI]]-B113</f>
        <v>-2.5</v>
      </c>
    </row>
    <row r="115" spans="1:3" x14ac:dyDescent="0.2">
      <c r="A115" s="8">
        <v>43770</v>
      </c>
      <c r="B115" s="11">
        <f>IF(VLOOKUP(A115,'DB Country PMI'!$A:$W,MATCH($A$1,'DB Country PMI'!$A$1:$W$1,),)=0,#N/A,VLOOKUP(A115,'DB Country PMI'!$A:$W,MATCH($A$1,'DB Country PMI'!$A$1:$W$1,),))</f>
        <v>52</v>
      </c>
      <c r="C115" s="14">
        <f>Table1346811345678[[#This Row],[PMI]]-B114</f>
        <v>1.3999999999999986</v>
      </c>
    </row>
    <row r="116" spans="1:3" x14ac:dyDescent="0.2">
      <c r="A116" s="8">
        <v>43800</v>
      </c>
      <c r="B116" s="11">
        <f>IF(VLOOKUP(A116,'DB Country PMI'!$A:$W,MATCH($A$1,'DB Country PMI'!$A$1:$W$1,),)=0,#N/A,VLOOKUP(A116,'DB Country PMI'!$A:$W,MATCH($A$1,'DB Country PMI'!$A$1:$W$1,),))</f>
        <v>55.9</v>
      </c>
      <c r="C116" s="14">
        <f>Table1346811345678[[#This Row],[PMI]]-B115</f>
        <v>3.8999999999999986</v>
      </c>
    </row>
    <row r="117" spans="1:3" x14ac:dyDescent="0.2">
      <c r="A117" s="8">
        <v>43831</v>
      </c>
      <c r="B117" s="11">
        <f>IF(VLOOKUP(A117,'DB Country PMI'!$A:$W,MATCH($A$1,'DB Country PMI'!$A$1:$W$1,),)=0,#N/A,VLOOKUP(A117,'DB Country PMI'!$A:$W,MATCH($A$1,'DB Country PMI'!$A$1:$W$1,),))</f>
        <v>56.9</v>
      </c>
      <c r="C117" s="14">
        <f>Table1346811345678[[#This Row],[PMI]]-B116</f>
        <v>1</v>
      </c>
    </row>
    <row r="118" spans="1:3" x14ac:dyDescent="0.2">
      <c r="A118" s="8">
        <v>43862</v>
      </c>
      <c r="B118" s="11">
        <f>IF(VLOOKUP(A118,'DB Country PMI'!$A:$W,MATCH($A$1,'DB Country PMI'!$A$1:$W$1,),)=0,#N/A,VLOOKUP(A118,'DB Country PMI'!$A:$W,MATCH($A$1,'DB Country PMI'!$A$1:$W$1,),))</f>
        <v>59.9</v>
      </c>
      <c r="C118" s="14">
        <f>Table1346811345678[[#This Row],[PMI]]-B117</f>
        <v>3</v>
      </c>
    </row>
    <row r="119" spans="1:3" x14ac:dyDescent="0.2">
      <c r="A119" s="8">
        <v>43891</v>
      </c>
      <c r="B119" s="11">
        <f>IF(VLOOKUP(A119,'DB Country PMI'!$A:$W,MATCH($A$1,'DB Country PMI'!$A$1:$W$1,),)=0,#N/A,VLOOKUP(A119,'DB Country PMI'!$A:$W,MATCH($A$1,'DB Country PMI'!$A$1:$W$1,),))</f>
        <v>32.5</v>
      </c>
      <c r="C119" s="14">
        <f>Table1346811345678[[#This Row],[PMI]]-B118</f>
        <v>-27.4</v>
      </c>
    </row>
    <row r="120" spans="1:3" x14ac:dyDescent="0.2">
      <c r="A120" s="8">
        <v>43922</v>
      </c>
      <c r="B120" s="11">
        <f>IF(VLOOKUP(A120,'DB Country PMI'!$A:$W,MATCH($A$1,'DB Country PMI'!$A$1:$W$1,),)=0,#N/A,VLOOKUP(A120,'DB Country PMI'!$A:$W,MATCH($A$1,'DB Country PMI'!$A$1:$W$1,),))</f>
        <v>13.9</v>
      </c>
      <c r="C120" s="14">
        <f>Table1346811345678[[#This Row],[PMI]]-B119</f>
        <v>-18.600000000000001</v>
      </c>
    </row>
    <row r="121" spans="1:3" x14ac:dyDescent="0.2">
      <c r="A121" s="8">
        <v>43952</v>
      </c>
      <c r="B121" s="11">
        <f>IF(VLOOKUP(A121,'DB Country PMI'!$A:$W,MATCH($A$1,'DB Country PMI'!$A$1:$W$1,),)=0,#N/A,VLOOKUP(A121,'DB Country PMI'!$A:$W,MATCH($A$1,'DB Country PMI'!$A$1:$W$1,),))</f>
        <v>23.4</v>
      </c>
      <c r="C121" s="14">
        <f>Table1346811345678[[#This Row],[PMI]]-B120</f>
        <v>9.4999999999999982</v>
      </c>
    </row>
    <row r="122" spans="1:3" x14ac:dyDescent="0.2">
      <c r="A122" s="8">
        <v>43983</v>
      </c>
      <c r="B122" s="11">
        <f>IF(VLOOKUP(A122,'DB Country PMI'!$A:$W,MATCH($A$1,'DB Country PMI'!$A$1:$W$1,),)=0,#N/A,VLOOKUP(A122,'DB Country PMI'!$A:$W,MATCH($A$1,'DB Country PMI'!$A$1:$W$1,),))</f>
        <v>39.700000000000003</v>
      </c>
      <c r="C122" s="14">
        <f>Table1346811345678[[#This Row],[PMI]]-B121</f>
        <v>16.300000000000004</v>
      </c>
    </row>
    <row r="123" spans="1:3" x14ac:dyDescent="0.2">
      <c r="A123" s="8">
        <v>44013</v>
      </c>
      <c r="B123" s="11">
        <f>IF(VLOOKUP(A123,'DB Country PMI'!$A:$W,MATCH($A$1,'DB Country PMI'!$A$1:$W$1,),)=0,#N/A,VLOOKUP(A123,'DB Country PMI'!$A:$W,MATCH($A$1,'DB Country PMI'!$A$1:$W$1,),))</f>
        <v>51.9</v>
      </c>
      <c r="C123" s="14">
        <f>Table1346811345678[[#This Row],[PMI]]-B122</f>
        <v>12.199999999999996</v>
      </c>
    </row>
    <row r="124" spans="1:3" x14ac:dyDescent="0.2">
      <c r="A124" s="8">
        <v>44044</v>
      </c>
      <c r="B124" s="11">
        <f>IF(VLOOKUP(A124,'DB Country PMI'!$A:$W,MATCH($A$1,'DB Country PMI'!$A$1:$W$1,),)=0,#N/A,VLOOKUP(A124,'DB Country PMI'!$A:$W,MATCH($A$1,'DB Country PMI'!$A$1:$W$1,),))</f>
        <v>52.4</v>
      </c>
      <c r="C124" s="14">
        <f>Table1346811345678[[#This Row],[PMI]]-B123</f>
        <v>0.5</v>
      </c>
    </row>
    <row r="125" spans="1:3" x14ac:dyDescent="0.2">
      <c r="A125" s="8">
        <v>44075</v>
      </c>
      <c r="B125" s="11">
        <f>IF(VLOOKUP(A125,'DB Country PMI'!$A:$W,MATCH($A$1,'DB Country PMI'!$A$1:$W$1,),)=0,#N/A,VLOOKUP(A125,'DB Country PMI'!$A:$W,MATCH($A$1,'DB Country PMI'!$A$1:$W$1,),))</f>
        <v>45.8</v>
      </c>
      <c r="C125" s="14">
        <f>Table1346811345678[[#This Row],[PMI]]-B124</f>
        <v>-6.6000000000000014</v>
      </c>
    </row>
    <row r="126" spans="1:3" x14ac:dyDescent="0.2">
      <c r="A126" s="8">
        <v>44105</v>
      </c>
      <c r="B126" s="11">
        <f>IF(VLOOKUP(A126,'DB Country PMI'!$A:$W,MATCH($A$1,'DB Country PMI'!$A$1:$W$1,),)=0,#N/A,VLOOKUP(A126,'DB Country PMI'!$A:$W,MATCH($A$1,'DB Country PMI'!$A$1:$W$1,),))</f>
        <v>48.3</v>
      </c>
      <c r="C126" s="14">
        <f>Table1346811345678[[#This Row],[PMI]]-B125</f>
        <v>2.5</v>
      </c>
    </row>
    <row r="127" spans="1:3" x14ac:dyDescent="0.2">
      <c r="A127" s="8">
        <v>44136</v>
      </c>
      <c r="B127" s="11">
        <f>IF(VLOOKUP(A127,'DB Country PMI'!$A:$W,MATCH($A$1,'DB Country PMI'!$A$1:$W$1,),)=0,#N/A,VLOOKUP(A127,'DB Country PMI'!$A:$W,MATCH($A$1,'DB Country PMI'!$A$1:$W$1,),))</f>
        <v>45.4</v>
      </c>
      <c r="C127" s="14">
        <f>Table1346811345678[[#This Row],[PMI]]-B126</f>
        <v>-2.8999999999999986</v>
      </c>
    </row>
    <row r="128" spans="1:3" x14ac:dyDescent="0.2">
      <c r="A128" s="8">
        <v>44166</v>
      </c>
      <c r="B128" s="11">
        <f>IF(VLOOKUP(A128,'DB Country PMI'!$A:$W,MATCH($A$1,'DB Country PMI'!$A$1:$W$1,),)=0,#N/A,VLOOKUP(A128,'DB Country PMI'!$A:$W,MATCH($A$1,'DB Country PMI'!$A$1:$W$1,),))</f>
        <v>50.1</v>
      </c>
      <c r="C128" s="14">
        <f>Table1346811345678[[#This Row],[PMI]]-B127</f>
        <v>4.7000000000000028</v>
      </c>
    </row>
    <row r="129" spans="1:3" x14ac:dyDescent="0.2">
      <c r="A129" s="8">
        <v>44197</v>
      </c>
      <c r="B129" s="11">
        <f>IF(VLOOKUP(A129,'DB Country PMI'!$A:$W,MATCH($A$1,'DB Country PMI'!$A$1:$W$1,),)=0,#N/A,VLOOKUP(A129,'DB Country PMI'!$A:$W,MATCH($A$1,'DB Country PMI'!$A$1:$W$1,),))</f>
        <v>36.200000000000003</v>
      </c>
      <c r="C129" s="14">
        <f>Table1346811345678[[#This Row],[PMI]]-B128</f>
        <v>-13.899999999999999</v>
      </c>
    </row>
    <row r="130" spans="1:3" x14ac:dyDescent="0.2">
      <c r="A130" s="8">
        <v>44228</v>
      </c>
      <c r="B130" s="11">
        <f>IF(VLOOKUP(A130,'DB Country PMI'!$A:$W,MATCH($A$1,'DB Country PMI'!$A$1:$W$1,),)=0,#N/A,VLOOKUP(A130,'DB Country PMI'!$A:$W,MATCH($A$1,'DB Country PMI'!$A$1:$W$1,),))</f>
        <v>41.2</v>
      </c>
      <c r="C130" s="14">
        <f>Table1346811345678[[#This Row],[PMI]]-B129</f>
        <v>5</v>
      </c>
    </row>
    <row r="131" spans="1:3" x14ac:dyDescent="0.2">
      <c r="A131" s="8">
        <v>44256</v>
      </c>
      <c r="B131" s="11">
        <f>IF(VLOOKUP(A131,'DB Country PMI'!$A:$W,MATCH($A$1,'DB Country PMI'!$A$1:$W$1,),)=0,#N/A,VLOOKUP(A131,'DB Country PMI'!$A:$W,MATCH($A$1,'DB Country PMI'!$A$1:$W$1,),))</f>
        <v>54.6</v>
      </c>
      <c r="C131" s="14">
        <f>Table1346811345678[[#This Row],[PMI]]-B130</f>
        <v>13.399999999999999</v>
      </c>
    </row>
    <row r="132" spans="1:3" x14ac:dyDescent="0.2">
      <c r="A132" s="8">
        <v>44287</v>
      </c>
      <c r="B132" s="11">
        <f>IF(VLOOKUP(A132,'DB Country PMI'!$A:$W,MATCH($A$1,'DB Country PMI'!$A$1:$W$1,),)=0,#N/A,VLOOKUP(A132,'DB Country PMI'!$A:$W,MATCH($A$1,'DB Country PMI'!$A$1:$W$1,),))</f>
        <v>57.7</v>
      </c>
      <c r="C132" s="14">
        <f>Table1346811345678[[#This Row],[PMI]]-B131</f>
        <v>3.1000000000000014</v>
      </c>
    </row>
    <row r="133" spans="1:3" x14ac:dyDescent="0.2">
      <c r="A133" s="8">
        <v>44317</v>
      </c>
      <c r="B133" s="11">
        <f>IF(VLOOKUP(A133,'DB Country PMI'!$A:$W,MATCH($A$1,'DB Country PMI'!$A$1:$W$1,),)=0,#N/A,VLOOKUP(A133,'DB Country PMI'!$A:$W,MATCH($A$1,'DB Country PMI'!$A$1:$W$1,),))</f>
        <v>62.1</v>
      </c>
      <c r="C133" s="14">
        <f>Table1346811345678[[#This Row],[PMI]]-B132</f>
        <v>4.3999999999999986</v>
      </c>
    </row>
    <row r="134" spans="1:3" x14ac:dyDescent="0.2">
      <c r="A134" s="8">
        <v>44348</v>
      </c>
      <c r="B134" s="11">
        <f>IF(VLOOKUP(A134,'DB Country PMI'!$A:$W,MATCH($A$1,'DB Country PMI'!$A$1:$W$1,),)=0,#N/A,VLOOKUP(A134,'DB Country PMI'!$A:$W,MATCH($A$1,'DB Country PMI'!$A$1:$W$1,),))</f>
        <v>63.1</v>
      </c>
      <c r="C134" s="14">
        <f>Table1346811345678[[#This Row],[PMI]]-B133</f>
        <v>1</v>
      </c>
    </row>
    <row r="135" spans="1:3" x14ac:dyDescent="0.2">
      <c r="A135" s="8">
        <v>44378</v>
      </c>
      <c r="B135" s="11">
        <f>IF(VLOOKUP(A135,'DB Country PMI'!$A:$W,MATCH($A$1,'DB Country PMI'!$A$1:$W$1,),)=0,#N/A,VLOOKUP(A135,'DB Country PMI'!$A:$W,MATCH($A$1,'DB Country PMI'!$A$1:$W$1,),))</f>
        <v>66.599999999999994</v>
      </c>
      <c r="C135" s="14">
        <f>Table1346811345678[[#This Row],[PMI]]-B134</f>
        <v>3.4999999999999929</v>
      </c>
    </row>
    <row r="136" spans="1:3" x14ac:dyDescent="0.2">
      <c r="A136" s="8">
        <v>44409</v>
      </c>
      <c r="B136" s="11">
        <f>IF(VLOOKUP(A136,'DB Country PMI'!$A:$W,MATCH($A$1,'DB Country PMI'!$A$1:$W$1,),)=0,#N/A,VLOOKUP(A136,'DB Country PMI'!$A:$W,MATCH($A$1,'DB Country PMI'!$A$1:$W$1,),))</f>
        <v>63.7</v>
      </c>
      <c r="C136" s="14">
        <f>Table1346811345678[[#This Row],[PMI]]-B135</f>
        <v>-2.8999999999999915</v>
      </c>
    </row>
    <row r="137" spans="1:3" x14ac:dyDescent="0.2">
      <c r="A137" s="8">
        <v>44440</v>
      </c>
      <c r="B137" s="11">
        <f>IF(VLOOKUP(A137,'DB Country PMI'!$A:$W,MATCH($A$1,'DB Country PMI'!$A$1:$W$1,),)=0,#N/A,VLOOKUP(A137,'DB Country PMI'!$A:$W,MATCH($A$1,'DB Country PMI'!$A$1:$W$1,),))</f>
        <v>63.7</v>
      </c>
      <c r="C137" s="14">
        <f>Table1346811345678[[#This Row],[PMI]]-B136</f>
        <v>0</v>
      </c>
    </row>
    <row r="138" spans="1:3" x14ac:dyDescent="0.2">
      <c r="A138" s="8">
        <v>44470</v>
      </c>
      <c r="B138" s="11">
        <f>IF(VLOOKUP(A138,'DB Country PMI'!$A:$W,MATCH($A$1,'DB Country PMI'!$A$1:$W$1,),)=0,#N/A,VLOOKUP(A138,'DB Country PMI'!$A:$W,MATCH($A$1,'DB Country PMI'!$A$1:$W$1,),))</f>
        <v>63.4</v>
      </c>
      <c r="C138" s="14">
        <f>Table1346811345678[[#This Row],[PMI]]-B137</f>
        <v>-0.30000000000000426</v>
      </c>
    </row>
    <row r="139" spans="1:3" x14ac:dyDescent="0.2">
      <c r="A139" s="8">
        <v>44501</v>
      </c>
      <c r="B139" s="11">
        <f>IF(VLOOKUP(A139,'DB Country PMI'!$A:$W,MATCH($A$1,'DB Country PMI'!$A$1:$W$1,),)=0,#N/A,VLOOKUP(A139,'DB Country PMI'!$A:$W,MATCH($A$1,'DB Country PMI'!$A$1:$W$1,),))</f>
        <v>59.3</v>
      </c>
      <c r="C139" s="14">
        <f>Table1346811345678[[#This Row],[PMI]]-B138</f>
        <v>-4.1000000000000014</v>
      </c>
    </row>
    <row r="140" spans="1:3" x14ac:dyDescent="0.2">
      <c r="A140" s="8">
        <v>44531</v>
      </c>
      <c r="B140" s="11">
        <f>IF(VLOOKUP(A140,'DB Country PMI'!$A:$W,MATCH($A$1,'DB Country PMI'!$A$1:$W$1,),)=0,#N/A,VLOOKUP(A140,'DB Country PMI'!$A:$W,MATCH($A$1,'DB Country PMI'!$A$1:$W$1,),))</f>
        <v>55.4</v>
      </c>
      <c r="C140" s="14">
        <f>Table1346811345678[[#This Row],[PMI]]-B139</f>
        <v>-3.8999999999999986</v>
      </c>
    </row>
    <row r="141" spans="1:3" x14ac:dyDescent="0.2">
      <c r="A141" s="8">
        <v>44562</v>
      </c>
      <c r="B141" s="11">
        <f>IF(VLOOKUP(A141,'DB Country PMI'!$A:$W,MATCH($A$1,'DB Country PMI'!$A$1:$W$1,),)=0,#N/A,VLOOKUP(A141,'DB Country PMI'!$A:$W,MATCH($A$1,'DB Country PMI'!$A$1:$W$1,),))</f>
        <v>56.2</v>
      </c>
      <c r="C141" s="14">
        <f>Table1346811345678[[#This Row],[PMI]]-B140</f>
        <v>0.80000000000000426</v>
      </c>
    </row>
    <row r="142" spans="1:3" x14ac:dyDescent="0.2">
      <c r="A142" s="8">
        <v>44593</v>
      </c>
      <c r="B142" s="11">
        <f>IF(VLOOKUP(A142,'DB Country PMI'!$A:$W,MATCH($A$1,'DB Country PMI'!$A$1:$W$1,),)=0,#N/A,VLOOKUP(A142,'DB Country PMI'!$A:$W,MATCH($A$1,'DB Country PMI'!$A$1:$W$1,),))</f>
        <v>61.8</v>
      </c>
      <c r="C142" s="14">
        <f>Table1346811345678[[#This Row],[PMI]]-B141</f>
        <v>5.5999999999999943</v>
      </c>
    </row>
    <row r="143" spans="1:3" x14ac:dyDescent="0.2">
      <c r="A143" s="8">
        <v>44621</v>
      </c>
      <c r="B143" s="11">
        <f>IF(VLOOKUP(A143,'DB Country PMI'!$A:$W,MATCH($A$1,'DB Country PMI'!$A$1:$W$1,),)=0,#N/A,VLOOKUP(A143,'DB Country PMI'!$A:$W,MATCH($A$1,'DB Country PMI'!$A$1:$W$1,),))</f>
        <v>63.4</v>
      </c>
      <c r="C143" s="14">
        <f>Table1346811345678[[#This Row],[PMI]]-B142</f>
        <v>1.6000000000000014</v>
      </c>
    </row>
    <row r="144" spans="1:3" x14ac:dyDescent="0.2">
      <c r="A144" s="8">
        <v>44652</v>
      </c>
      <c r="B144" s="11">
        <f>IF(VLOOKUP(A144,'DB Country PMI'!$A:$W,MATCH($A$1,'DB Country PMI'!$A$1:$W$1,),)=0,#N/A,VLOOKUP(A144,'DB Country PMI'!$A:$W,MATCH($A$1,'DB Country PMI'!$A$1:$W$1,),))</f>
        <v>61.7</v>
      </c>
      <c r="C144" s="14">
        <f>Table1346811345678[[#This Row],[PMI]]-B143</f>
        <v>-1.6999999999999957</v>
      </c>
    </row>
    <row r="145" spans="1:3" x14ac:dyDescent="0.2">
      <c r="A145" s="8">
        <v>44682</v>
      </c>
      <c r="B145" s="11">
        <f>IF(VLOOKUP(A145,'DB Country PMI'!$A:$W,MATCH($A$1,'DB Country PMI'!$A$1:$W$1,),)=0,#N/A,VLOOKUP(A145,'DB Country PMI'!$A:$W,MATCH($A$1,'DB Country PMI'!$A$1:$W$1,),))</f>
        <v>60.2</v>
      </c>
      <c r="C145" s="14">
        <f>Table1346811345678[[#This Row],[PMI]]-B144</f>
        <v>-1.5</v>
      </c>
    </row>
    <row r="146" spans="1:3" x14ac:dyDescent="0.2">
      <c r="A146" s="8">
        <v>44713</v>
      </c>
      <c r="B146" s="11">
        <f>IF(VLOOKUP(A146,'DB Country PMI'!$A:$W,MATCH($A$1,'DB Country PMI'!$A$1:$W$1,),)=0,#N/A,VLOOKUP(A146,'DB Country PMI'!$A:$W,MATCH($A$1,'DB Country PMI'!$A$1:$W$1,),))</f>
        <v>55.6</v>
      </c>
      <c r="C146" s="14">
        <f>Table1346811345678[[#This Row],[PMI]]-B145</f>
        <v>-4.6000000000000014</v>
      </c>
    </row>
    <row r="147" spans="1:3" x14ac:dyDescent="0.2">
      <c r="A147" s="8">
        <v>44743</v>
      </c>
      <c r="B147" s="11">
        <f>IF(VLOOKUP(A147,'DB Country PMI'!$A:$W,MATCH($A$1,'DB Country PMI'!$A$1:$W$1,),)=0,#N/A,VLOOKUP(A147,'DB Country PMI'!$A:$W,MATCH($A$1,'DB Country PMI'!$A$1:$W$1,),))</f>
        <v>56.3</v>
      </c>
      <c r="C147" s="14">
        <f>Table1346811345678[[#This Row],[PMI]]-B146</f>
        <v>0.69999999999999574</v>
      </c>
    </row>
    <row r="148" spans="1:3" x14ac:dyDescent="0.2">
      <c r="A148" s="8">
        <v>44774</v>
      </c>
      <c r="B148" s="11">
        <f>IF(VLOOKUP(A148,'DB Country PMI'!$A:$W,MATCH($A$1,'DB Country PMI'!$A$1:$W$1,),)=0,#N/A,VLOOKUP(A148,'DB Country PMI'!$A:$W,MATCH($A$1,'DB Country PMI'!$A$1:$W$1,),))</f>
        <v>54.7</v>
      </c>
      <c r="C148" s="14">
        <f>Table1346811345678[[#This Row],[PMI]]-B147</f>
        <v>-1.5999999999999943</v>
      </c>
    </row>
    <row r="149" spans="1:3" x14ac:dyDescent="0.2">
      <c r="A149" s="8">
        <v>44805</v>
      </c>
      <c r="B149" s="11">
        <f>IF(VLOOKUP(A149,'DB Country PMI'!$A:$W,MATCH($A$1,'DB Country PMI'!$A$1:$W$1,),)=0,#N/A,VLOOKUP(A149,'DB Country PMI'!$A:$W,MATCH($A$1,'DB Country PMI'!$A$1:$W$1,),))</f>
        <v>54.1</v>
      </c>
      <c r="C149" s="14">
        <f>Table1346811345678[[#This Row],[PMI]]-B148</f>
        <v>-0.60000000000000142</v>
      </c>
    </row>
    <row r="150" spans="1:3" x14ac:dyDescent="0.2">
      <c r="A150" s="8">
        <v>44835</v>
      </c>
      <c r="B150" s="11">
        <f>IF(VLOOKUP(A150,'DB Country PMI'!$A:$W,MATCH($A$1,'DB Country PMI'!$A$1:$W$1,),)=0,#N/A,VLOOKUP(A150,'DB Country PMI'!$A:$W,MATCH($A$1,'DB Country PMI'!$A$1:$W$1,),))</f>
        <v>53.2</v>
      </c>
      <c r="C150" s="14">
        <f>Table1346811345678[[#This Row],[PMI]]-B149</f>
        <v>-0.89999999999999858</v>
      </c>
    </row>
  </sheetData>
  <conditionalFormatting sqref="C7:C150">
    <cfRule type="colorScale" priority="1">
      <colorScale>
        <cfvo type="min"/>
        <cfvo type="percentile" val="50"/>
        <cfvo type="max"/>
        <color rgb="FFF8696B"/>
        <color rgb="FFFCFCFF"/>
        <color rgb="FF5A8AC6"/>
      </colorScale>
    </cfRule>
  </conditionalFormatting>
  <conditionalFormatting sqref="B6:B150">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dimension ref="A1:J150"/>
  <sheetViews>
    <sheetView zoomScale="160" zoomScaleNormal="160" workbookViewId="0">
      <pane ySplit="5" topLeftCell="A136" activePane="bottomLeft" state="frozen"/>
      <selection pane="bottomLeft" activeCell="A135" sqref="A135:C150"/>
    </sheetView>
  </sheetViews>
  <sheetFormatPr baseColWidth="10" defaultColWidth="9.1640625" defaultRowHeight="15" x14ac:dyDescent="0.2"/>
  <cols>
    <col min="1" max="1" width="13.5" style="49" customWidth="1"/>
    <col min="2" max="2" width="11.33203125" style="49" customWidth="1"/>
    <col min="3" max="11" width="9.1640625" style="49" customWidth="1"/>
    <col min="12" max="16384" width="9.1640625" style="49"/>
  </cols>
  <sheetData>
    <row r="1" spans="1:10" x14ac:dyDescent="0.2">
      <c r="A1" s="49" t="s">
        <v>36</v>
      </c>
      <c r="J1" s="49" t="s">
        <v>62</v>
      </c>
    </row>
    <row r="2" spans="1:10" x14ac:dyDescent="0.2">
      <c r="J2" s="49" t="s">
        <v>72</v>
      </c>
    </row>
    <row r="4" spans="1:10" ht="16" customHeight="1" thickBot="1" x14ac:dyDescent="0.25"/>
    <row r="5" spans="1:10" ht="16" customHeight="1" thickBot="1" x14ac:dyDescent="0.25">
      <c r="A5" s="12" t="s">
        <v>33</v>
      </c>
      <c r="B5" s="13" t="s">
        <v>60</v>
      </c>
      <c r="C5" s="13" t="s">
        <v>61</v>
      </c>
    </row>
    <row r="6" spans="1:10" x14ac:dyDescent="0.2">
      <c r="A6" s="10">
        <v>40452</v>
      </c>
      <c r="B6" s="11">
        <f>IF(VLOOKUP(A6,'DB Country PMI'!$A:$W,MATCH($A$1,'DB Country PMI'!$A$1:$W$1,),)=0,#N/A,VLOOKUP(A6,'DB Country PMI'!$A:$W,MATCH($A$1,'DB Country PMI'!$A$1:$W$1,),))</f>
        <v>51</v>
      </c>
      <c r="C6" s="11"/>
    </row>
    <row r="7" spans="1:10" x14ac:dyDescent="0.2">
      <c r="A7" s="8">
        <v>40483</v>
      </c>
      <c r="B7" s="11">
        <f>IF(VLOOKUP(A7,'DB Country PMI'!$A:$W,MATCH($A$1,'DB Country PMI'!$A$1:$W$1,),)=0,#N/A,VLOOKUP(A7,'DB Country PMI'!$A:$W,MATCH($A$1,'DB Country PMI'!$A$1:$W$1,),))</f>
        <v>54.4</v>
      </c>
      <c r="C7" s="14">
        <f>Table13468113456789[[#This Row],[PMI]]-B6</f>
        <v>3.3999999999999986</v>
      </c>
    </row>
    <row r="8" spans="1:10" x14ac:dyDescent="0.2">
      <c r="A8" s="8">
        <v>40513</v>
      </c>
      <c r="B8" s="11">
        <f>IF(VLOOKUP(A8,'DB Country PMI'!$A:$W,MATCH($A$1,'DB Country PMI'!$A$1:$W$1,),)=0,#N/A,VLOOKUP(A8,'DB Country PMI'!$A:$W,MATCH($A$1,'DB Country PMI'!$A$1:$W$1,),))</f>
        <v>52.1</v>
      </c>
      <c r="C8" s="14">
        <f>Table13468113456789[[#This Row],[PMI]]-B7</f>
        <v>-2.2999999999999972</v>
      </c>
    </row>
    <row r="9" spans="1:10" x14ac:dyDescent="0.2">
      <c r="A9" s="8">
        <v>40544</v>
      </c>
      <c r="B9" s="11">
        <f>IF(VLOOKUP(A9,'DB Country PMI'!$A:$W,MATCH($A$1,'DB Country PMI'!$A$1:$W$1,),)=0,#N/A,VLOOKUP(A9,'DB Country PMI'!$A:$W,MATCH($A$1,'DB Country PMI'!$A$1:$W$1,),))</f>
        <v>53.5</v>
      </c>
      <c r="C9" s="14">
        <f>Table13468113456789[[#This Row],[PMI]]-B8</f>
        <v>1.3999999999999986</v>
      </c>
    </row>
    <row r="10" spans="1:10" x14ac:dyDescent="0.2">
      <c r="A10" s="8">
        <v>40575</v>
      </c>
      <c r="B10" s="11">
        <f>IF(VLOOKUP(A10,'DB Country PMI'!$A:$W,MATCH($A$1,'DB Country PMI'!$A$1:$W$1,),)=0,#N/A,VLOOKUP(A10,'DB Country PMI'!$A:$W,MATCH($A$1,'DB Country PMI'!$A$1:$W$1,),))</f>
        <v>53.1</v>
      </c>
      <c r="C10" s="14">
        <f>Table13468113456789[[#This Row],[PMI]]-B9</f>
        <v>-0.39999999999999858</v>
      </c>
    </row>
    <row r="11" spans="1:10" x14ac:dyDescent="0.2">
      <c r="A11" s="8">
        <v>40603</v>
      </c>
      <c r="B11" s="11">
        <f>IF(VLOOKUP(A11,'DB Country PMI'!$A:$W,MATCH($A$1,'DB Country PMI'!$A$1:$W$1,),)=0,#N/A,VLOOKUP(A11,'DB Country PMI'!$A:$W,MATCH($A$1,'DB Country PMI'!$A$1:$W$1,),))</f>
        <v>53.3</v>
      </c>
      <c r="C11" s="14">
        <f>Table13468113456789[[#This Row],[PMI]]-B10</f>
        <v>0.19999999999999574</v>
      </c>
    </row>
    <row r="12" spans="1:10" x14ac:dyDescent="0.2">
      <c r="A12" s="8">
        <v>40634</v>
      </c>
      <c r="B12" s="11">
        <f>IF(VLOOKUP(A12,'DB Country PMI'!$A:$W,MATCH($A$1,'DB Country PMI'!$A$1:$W$1,),)=0,#N/A,VLOOKUP(A12,'DB Country PMI'!$A:$W,MATCH($A$1,'DB Country PMI'!$A$1:$W$1,),))</f>
        <v>52.2</v>
      </c>
      <c r="C12" s="14">
        <f>Table13468113456789[[#This Row],[PMI]]-B11</f>
        <v>-1.0999999999999943</v>
      </c>
    </row>
    <row r="13" spans="1:10" x14ac:dyDescent="0.2">
      <c r="A13" s="8">
        <v>40664</v>
      </c>
      <c r="B13" s="11">
        <f>IF(VLOOKUP(A13,'DB Country PMI'!$A:$W,MATCH($A$1,'DB Country PMI'!$A$1:$W$1,),)=0,#N/A,VLOOKUP(A13,'DB Country PMI'!$A:$W,MATCH($A$1,'DB Country PMI'!$A$1:$W$1,),))</f>
        <v>50.1</v>
      </c>
      <c r="C13" s="14">
        <f>Table13468113456789[[#This Row],[PMI]]-B12</f>
        <v>-2.1000000000000014</v>
      </c>
    </row>
    <row r="14" spans="1:10" x14ac:dyDescent="0.2">
      <c r="A14" s="8">
        <v>40695</v>
      </c>
      <c r="B14" s="11">
        <f>IF(VLOOKUP(A14,'DB Country PMI'!$A:$W,MATCH($A$1,'DB Country PMI'!$A$1:$W$1,),)=0,#N/A,VLOOKUP(A14,'DB Country PMI'!$A:$W,MATCH($A$1,'DB Country PMI'!$A$1:$W$1,),))</f>
        <v>47.4</v>
      </c>
      <c r="C14" s="14">
        <f>Table13468113456789[[#This Row],[PMI]]-B13</f>
        <v>-2.7000000000000028</v>
      </c>
    </row>
    <row r="15" spans="1:10" x14ac:dyDescent="0.2">
      <c r="A15" s="8">
        <v>40725</v>
      </c>
      <c r="B15" s="11">
        <f>IF(VLOOKUP(A15,'DB Country PMI'!$A:$W,MATCH($A$1,'DB Country PMI'!$A$1:$W$1,),)=0,#N/A,VLOOKUP(A15,'DB Country PMI'!$A:$W,MATCH($A$1,'DB Country PMI'!$A$1:$W$1,),))</f>
        <v>48.6</v>
      </c>
      <c r="C15" s="14">
        <f>Table13468113456789[[#This Row],[PMI]]-B14</f>
        <v>1.2000000000000028</v>
      </c>
    </row>
    <row r="16" spans="1:10" x14ac:dyDescent="0.2">
      <c r="A16" s="8">
        <v>40756</v>
      </c>
      <c r="B16" s="11">
        <f>IF(VLOOKUP(A16,'DB Country PMI'!$A:$W,MATCH($A$1,'DB Country PMI'!$A$1:$W$1,),)=0,#N/A,VLOOKUP(A16,'DB Country PMI'!$A:$W,MATCH($A$1,'DB Country PMI'!$A$1:$W$1,),))</f>
        <v>48.4</v>
      </c>
      <c r="C16" s="14">
        <f>Table13468113456789[[#This Row],[PMI]]-B15</f>
        <v>-0.20000000000000284</v>
      </c>
    </row>
    <row r="17" spans="1:3" x14ac:dyDescent="0.2">
      <c r="A17" s="8">
        <v>40787</v>
      </c>
      <c r="B17" s="11">
        <f>IF(VLOOKUP(A17,'DB Country PMI'!$A:$W,MATCH($A$1,'DB Country PMI'!$A$1:$W$1,),)=0,#N/A,VLOOKUP(A17,'DB Country PMI'!$A:$W,MATCH($A$1,'DB Country PMI'!$A$1:$W$1,),))</f>
        <v>45.8</v>
      </c>
      <c r="C17" s="14">
        <f>Table13468113456789[[#This Row],[PMI]]-B16</f>
        <v>-2.6000000000000014</v>
      </c>
    </row>
    <row r="18" spans="1:3" x14ac:dyDescent="0.2">
      <c r="A18" s="8">
        <v>40817</v>
      </c>
      <c r="B18" s="11">
        <f>IF(VLOOKUP(A18,'DB Country PMI'!$A:$W,MATCH($A$1,'DB Country PMI'!$A$1:$W$1,),)=0,#N/A,VLOOKUP(A18,'DB Country PMI'!$A:$W,MATCH($A$1,'DB Country PMI'!$A$1:$W$1,),))</f>
        <v>43.9</v>
      </c>
      <c r="C18" s="14">
        <f>Table13468113456789[[#This Row],[PMI]]-B17</f>
        <v>-1.8999999999999986</v>
      </c>
    </row>
    <row r="19" spans="1:3" x14ac:dyDescent="0.2">
      <c r="A19" s="8">
        <v>40848</v>
      </c>
      <c r="B19" s="11">
        <f>IF(VLOOKUP(A19,'DB Country PMI'!$A:$W,MATCH($A$1,'DB Country PMI'!$A$1:$W$1,),)=0,#N/A,VLOOKUP(A19,'DB Country PMI'!$A:$W,MATCH($A$1,'DB Country PMI'!$A$1:$W$1,),))</f>
        <v>45.8</v>
      </c>
      <c r="C19" s="14">
        <f>Table13468113456789[[#This Row],[PMI]]-B18</f>
        <v>1.8999999999999986</v>
      </c>
    </row>
    <row r="20" spans="1:3" x14ac:dyDescent="0.2">
      <c r="A20" s="8">
        <v>40878</v>
      </c>
      <c r="B20" s="11">
        <f>IF(VLOOKUP(A20,'DB Country PMI'!$A:$W,MATCH($A$1,'DB Country PMI'!$A$1:$W$1,),)=0,#N/A,VLOOKUP(A20,'DB Country PMI'!$A:$W,MATCH($A$1,'DB Country PMI'!$A$1:$W$1,),))</f>
        <v>44.5</v>
      </c>
      <c r="C20" s="14">
        <f>Table13468113456789[[#This Row],[PMI]]-B19</f>
        <v>-1.2999999999999972</v>
      </c>
    </row>
    <row r="21" spans="1:3" x14ac:dyDescent="0.2">
      <c r="A21" s="8">
        <v>40909</v>
      </c>
      <c r="B21" s="11">
        <f>IF(VLOOKUP(A21,'DB Country PMI'!$A:$W,MATCH($A$1,'DB Country PMI'!$A$1:$W$1,),)=0,#N/A,VLOOKUP(A21,'DB Country PMI'!$A:$W,MATCH($A$1,'DB Country PMI'!$A$1:$W$1,),))</f>
        <v>44.8</v>
      </c>
      <c r="C21" s="14">
        <f>Table13468113456789[[#This Row],[PMI]]-B20</f>
        <v>0.29999999999999716</v>
      </c>
    </row>
    <row r="22" spans="1:3" x14ac:dyDescent="0.2">
      <c r="A22" s="8">
        <v>40940</v>
      </c>
      <c r="B22" s="11">
        <f>IF(VLOOKUP(A22,'DB Country PMI'!$A:$W,MATCH($A$1,'DB Country PMI'!$A$1:$W$1,),)=0,#N/A,VLOOKUP(A22,'DB Country PMI'!$A:$W,MATCH($A$1,'DB Country PMI'!$A$1:$W$1,),))</f>
        <v>44.1</v>
      </c>
      <c r="C22" s="14">
        <f>Table13468113456789[[#This Row],[PMI]]-B21</f>
        <v>-0.69999999999999574</v>
      </c>
    </row>
    <row r="23" spans="1:3" x14ac:dyDescent="0.2">
      <c r="A23" s="8">
        <v>40969</v>
      </c>
      <c r="B23" s="11">
        <f>IF(VLOOKUP(A23,'DB Country PMI'!$A:$W,MATCH($A$1,'DB Country PMI'!$A$1:$W$1,),)=0,#N/A,VLOOKUP(A23,'DB Country PMI'!$A:$W,MATCH($A$1,'DB Country PMI'!$A$1:$W$1,),))</f>
        <v>44.3</v>
      </c>
      <c r="C23" s="14">
        <f>Table13468113456789[[#This Row],[PMI]]-B22</f>
        <v>0.19999999999999574</v>
      </c>
    </row>
    <row r="24" spans="1:3" x14ac:dyDescent="0.2">
      <c r="A24" s="8">
        <v>41000</v>
      </c>
      <c r="B24" s="11">
        <f>IF(VLOOKUP(A24,'DB Country PMI'!$A:$W,MATCH($A$1,'DB Country PMI'!$A$1:$W$1,),)=0,#N/A,VLOOKUP(A24,'DB Country PMI'!$A:$W,MATCH($A$1,'DB Country PMI'!$A$1:$W$1,),))</f>
        <v>42.3</v>
      </c>
      <c r="C24" s="14">
        <f>Table13468113456789[[#This Row],[PMI]]-B23</f>
        <v>-2</v>
      </c>
    </row>
    <row r="25" spans="1:3" x14ac:dyDescent="0.2">
      <c r="A25" s="8">
        <v>41030</v>
      </c>
      <c r="B25" s="11">
        <f>IF(VLOOKUP(A25,'DB Country PMI'!$A:$W,MATCH($A$1,'DB Country PMI'!$A$1:$W$1,),)=0,#N/A,VLOOKUP(A25,'DB Country PMI'!$A:$W,MATCH($A$1,'DB Country PMI'!$A$1:$W$1,),))</f>
        <v>42.8</v>
      </c>
      <c r="C25" s="14">
        <f>Table13468113456789[[#This Row],[PMI]]-B24</f>
        <v>0.5</v>
      </c>
    </row>
    <row r="26" spans="1:3" x14ac:dyDescent="0.2">
      <c r="A26" s="8">
        <v>41061</v>
      </c>
      <c r="B26" s="11">
        <f>IF(VLOOKUP(A26,'DB Country PMI'!$A:$W,MATCH($A$1,'DB Country PMI'!$A$1:$W$1,),)=0,#N/A,VLOOKUP(A26,'DB Country PMI'!$A:$W,MATCH($A$1,'DB Country PMI'!$A$1:$W$1,),))</f>
        <v>43.1</v>
      </c>
      <c r="C26" s="14">
        <f>Table13468113456789[[#This Row],[PMI]]-B25</f>
        <v>0.30000000000000426</v>
      </c>
    </row>
    <row r="27" spans="1:3" x14ac:dyDescent="0.2">
      <c r="A27" s="8">
        <v>41091</v>
      </c>
      <c r="B27" s="11">
        <f>IF(VLOOKUP(A27,'DB Country PMI'!$A:$W,MATCH($A$1,'DB Country PMI'!$A$1:$W$1,),)=0,#N/A,VLOOKUP(A27,'DB Country PMI'!$A:$W,MATCH($A$1,'DB Country PMI'!$A$1:$W$1,),))</f>
        <v>43</v>
      </c>
      <c r="C27" s="14">
        <f>Table13468113456789[[#This Row],[PMI]]-B26</f>
        <v>-0.10000000000000142</v>
      </c>
    </row>
    <row r="28" spans="1:3" x14ac:dyDescent="0.2">
      <c r="A28" s="8">
        <v>41122</v>
      </c>
      <c r="B28" s="11">
        <f>IF(VLOOKUP(A28,'DB Country PMI'!$A:$W,MATCH($A$1,'DB Country PMI'!$A$1:$W$1,),)=0,#N/A,VLOOKUP(A28,'DB Country PMI'!$A:$W,MATCH($A$1,'DB Country PMI'!$A$1:$W$1,),))</f>
        <v>44</v>
      </c>
      <c r="C28" s="14">
        <f>Table13468113456789[[#This Row],[PMI]]-B27</f>
        <v>1</v>
      </c>
    </row>
    <row r="29" spans="1:3" x14ac:dyDescent="0.2">
      <c r="A29" s="8">
        <v>41153</v>
      </c>
      <c r="B29" s="11">
        <f>IF(VLOOKUP(A29,'DB Country PMI'!$A:$W,MATCH($A$1,'DB Country PMI'!$A$1:$W$1,),)=0,#N/A,VLOOKUP(A29,'DB Country PMI'!$A:$W,MATCH($A$1,'DB Country PMI'!$A$1:$W$1,),))</f>
        <v>44.5</v>
      </c>
      <c r="C29" s="14">
        <f>Table13468113456789[[#This Row],[PMI]]-B28</f>
        <v>0.5</v>
      </c>
    </row>
    <row r="30" spans="1:3" x14ac:dyDescent="0.2">
      <c r="A30" s="8">
        <v>41183</v>
      </c>
      <c r="B30" s="11">
        <f>IF(VLOOKUP(A30,'DB Country PMI'!$A:$W,MATCH($A$1,'DB Country PMI'!$A$1:$W$1,),)=0,#N/A,VLOOKUP(A30,'DB Country PMI'!$A:$W,MATCH($A$1,'DB Country PMI'!$A$1:$W$1,),))</f>
        <v>46</v>
      </c>
      <c r="C30" s="14">
        <f>Table13468113456789[[#This Row],[PMI]]-B29</f>
        <v>1.5</v>
      </c>
    </row>
    <row r="31" spans="1:3" x14ac:dyDescent="0.2">
      <c r="A31" s="8">
        <v>41214</v>
      </c>
      <c r="B31" s="11">
        <f>IF(VLOOKUP(A31,'DB Country PMI'!$A:$W,MATCH($A$1,'DB Country PMI'!$A$1:$W$1,),)=0,#N/A,VLOOKUP(A31,'DB Country PMI'!$A:$W,MATCH($A$1,'DB Country PMI'!$A$1:$W$1,),))</f>
        <v>44.6</v>
      </c>
      <c r="C31" s="14">
        <f>Table13468113456789[[#This Row],[PMI]]-B30</f>
        <v>-1.3999999999999986</v>
      </c>
    </row>
    <row r="32" spans="1:3" x14ac:dyDescent="0.2">
      <c r="A32" s="8">
        <v>41244</v>
      </c>
      <c r="B32" s="11">
        <f>IF(VLOOKUP(A32,'DB Country PMI'!$A:$W,MATCH($A$1,'DB Country PMI'!$A$1:$W$1,),)=0,#N/A,VLOOKUP(A32,'DB Country PMI'!$A:$W,MATCH($A$1,'DB Country PMI'!$A$1:$W$1,),))</f>
        <v>43.1</v>
      </c>
      <c r="C32" s="14">
        <f>Table13468113456789[[#This Row],[PMI]]-B31</f>
        <v>-1.5</v>
      </c>
    </row>
    <row r="33" spans="1:3" x14ac:dyDescent="0.2">
      <c r="A33" s="8">
        <v>41275</v>
      </c>
      <c r="B33" s="11">
        <f>IF(VLOOKUP(A33,'DB Country PMI'!$A:$W,MATCH($A$1,'DB Country PMI'!$A$1:$W$1,),)=0,#N/A,VLOOKUP(A33,'DB Country PMI'!$A:$W,MATCH($A$1,'DB Country PMI'!$A$1:$W$1,),))</f>
        <v>43.9</v>
      </c>
      <c r="C33" s="14">
        <f>Table13468113456789[[#This Row],[PMI]]-B32</f>
        <v>0.79999999999999716</v>
      </c>
    </row>
    <row r="34" spans="1:3" x14ac:dyDescent="0.2">
      <c r="A34" s="8">
        <v>41306</v>
      </c>
      <c r="B34" s="11">
        <f>IF(VLOOKUP(A34,'DB Country PMI'!$A:$W,MATCH($A$1,'DB Country PMI'!$A$1:$W$1,),)=0,#N/A,VLOOKUP(A34,'DB Country PMI'!$A:$W,MATCH($A$1,'DB Country PMI'!$A$1:$W$1,),))</f>
        <v>43.6</v>
      </c>
      <c r="C34" s="14">
        <f>Table13468113456789[[#This Row],[PMI]]-B33</f>
        <v>-0.29999999999999716</v>
      </c>
    </row>
    <row r="35" spans="1:3" x14ac:dyDescent="0.2">
      <c r="A35" s="8">
        <v>41334</v>
      </c>
      <c r="B35" s="11">
        <f>IF(VLOOKUP(A35,'DB Country PMI'!$A:$W,MATCH($A$1,'DB Country PMI'!$A$1:$W$1,),)=0,#N/A,VLOOKUP(A35,'DB Country PMI'!$A:$W,MATCH($A$1,'DB Country PMI'!$A$1:$W$1,),))</f>
        <v>45.5</v>
      </c>
      <c r="C35" s="14">
        <f>Table13468113456789[[#This Row],[PMI]]-B34</f>
        <v>1.8999999999999986</v>
      </c>
    </row>
    <row r="36" spans="1:3" x14ac:dyDescent="0.2">
      <c r="A36" s="8">
        <v>41365</v>
      </c>
      <c r="B36" s="11">
        <f>IF(VLOOKUP(A36,'DB Country PMI'!$A:$W,MATCH($A$1,'DB Country PMI'!$A$1:$W$1,),)=0,#N/A,VLOOKUP(A36,'DB Country PMI'!$A:$W,MATCH($A$1,'DB Country PMI'!$A$1:$W$1,),))</f>
        <v>47</v>
      </c>
      <c r="C36" s="14">
        <f>Table13468113456789[[#This Row],[PMI]]-B35</f>
        <v>1.5</v>
      </c>
    </row>
    <row r="37" spans="1:3" x14ac:dyDescent="0.2">
      <c r="A37" s="8">
        <v>41395</v>
      </c>
      <c r="B37" s="11">
        <f>IF(VLOOKUP(A37,'DB Country PMI'!$A:$W,MATCH($A$1,'DB Country PMI'!$A$1:$W$1,),)=0,#N/A,VLOOKUP(A37,'DB Country PMI'!$A:$W,MATCH($A$1,'DB Country PMI'!$A$1:$W$1,),))</f>
        <v>46.5</v>
      </c>
      <c r="C37" s="14">
        <f>Table13468113456789[[#This Row],[PMI]]-B36</f>
        <v>-0.5</v>
      </c>
    </row>
    <row r="38" spans="1:3" x14ac:dyDescent="0.2">
      <c r="A38" s="8">
        <v>41426</v>
      </c>
      <c r="B38" s="11">
        <f>IF(VLOOKUP(A38,'DB Country PMI'!$A:$W,MATCH($A$1,'DB Country PMI'!$A$1:$W$1,),)=0,#N/A,VLOOKUP(A38,'DB Country PMI'!$A:$W,MATCH($A$1,'DB Country PMI'!$A$1:$W$1,),))</f>
        <v>45.8</v>
      </c>
      <c r="C38" s="14">
        <f>Table13468113456789[[#This Row],[PMI]]-B37</f>
        <v>-0.70000000000000284</v>
      </c>
    </row>
    <row r="39" spans="1:3" x14ac:dyDescent="0.2">
      <c r="A39" s="8">
        <v>41456</v>
      </c>
      <c r="B39" s="11">
        <f>IF(VLOOKUP(A39,'DB Country PMI'!$A:$W,MATCH($A$1,'DB Country PMI'!$A$1:$W$1,),)=0,#N/A,VLOOKUP(A39,'DB Country PMI'!$A:$W,MATCH($A$1,'DB Country PMI'!$A$1:$W$1,),))</f>
        <v>48.7</v>
      </c>
      <c r="C39" s="14">
        <f>Table13468113456789[[#This Row],[PMI]]-B38</f>
        <v>2.9000000000000057</v>
      </c>
    </row>
    <row r="40" spans="1:3" x14ac:dyDescent="0.2">
      <c r="A40" s="8">
        <v>41487</v>
      </c>
      <c r="B40" s="11">
        <f>IF(VLOOKUP(A40,'DB Country PMI'!$A:$W,MATCH($A$1,'DB Country PMI'!$A$1:$W$1,),)=0,#N/A,VLOOKUP(A40,'DB Country PMI'!$A:$W,MATCH($A$1,'DB Country PMI'!$A$1:$W$1,),))</f>
        <v>48.8</v>
      </c>
      <c r="C40" s="14">
        <f>Table13468113456789[[#This Row],[PMI]]-B39</f>
        <v>9.9999999999994316E-2</v>
      </c>
    </row>
    <row r="41" spans="1:3" x14ac:dyDescent="0.2">
      <c r="A41" s="8">
        <v>41518</v>
      </c>
      <c r="B41" s="11">
        <f>IF(VLOOKUP(A41,'DB Country PMI'!$A:$W,MATCH($A$1,'DB Country PMI'!$A$1:$W$1,),)=0,#N/A,VLOOKUP(A41,'DB Country PMI'!$A:$W,MATCH($A$1,'DB Country PMI'!$A$1:$W$1,),))</f>
        <v>52.7</v>
      </c>
      <c r="C41" s="14">
        <f>Table13468113456789[[#This Row],[PMI]]-B40</f>
        <v>3.9000000000000057</v>
      </c>
    </row>
    <row r="42" spans="1:3" x14ac:dyDescent="0.2">
      <c r="A42" s="8">
        <v>41548</v>
      </c>
      <c r="B42" s="11">
        <f>IF(VLOOKUP(A42,'DB Country PMI'!$A:$W,MATCH($A$1,'DB Country PMI'!$A$1:$W$1,),)=0,#N/A,VLOOKUP(A42,'DB Country PMI'!$A:$W,MATCH($A$1,'DB Country PMI'!$A$1:$W$1,),))</f>
        <v>50.5</v>
      </c>
      <c r="C42" s="14">
        <f>Table13468113456789[[#This Row],[PMI]]-B41</f>
        <v>-2.2000000000000028</v>
      </c>
    </row>
    <row r="43" spans="1:3" x14ac:dyDescent="0.2">
      <c r="A43" s="8">
        <v>41579</v>
      </c>
      <c r="B43" s="11">
        <f>IF(VLOOKUP(A43,'DB Country PMI'!$A:$W,MATCH($A$1,'DB Country PMI'!$A$1:$W$1,),)=0,#N/A,VLOOKUP(A43,'DB Country PMI'!$A:$W,MATCH($A$1,'DB Country PMI'!$A$1:$W$1,),))</f>
        <v>47.2</v>
      </c>
      <c r="C43" s="14">
        <f>Table13468113456789[[#This Row],[PMI]]-B42</f>
        <v>-3.2999999999999972</v>
      </c>
    </row>
    <row r="44" spans="1:3" x14ac:dyDescent="0.2">
      <c r="A44" s="8">
        <v>41609</v>
      </c>
      <c r="B44" s="11">
        <f>IF(VLOOKUP(A44,'DB Country PMI'!$A:$W,MATCH($A$1,'DB Country PMI'!$A$1:$W$1,),)=0,#N/A,VLOOKUP(A44,'DB Country PMI'!$A:$W,MATCH($A$1,'DB Country PMI'!$A$1:$W$1,),))</f>
        <v>48.6</v>
      </c>
      <c r="C44" s="14">
        <f>Table13468113456789[[#This Row],[PMI]]-B43</f>
        <v>1.3999999999999986</v>
      </c>
    </row>
    <row r="45" spans="1:3" x14ac:dyDescent="0.2">
      <c r="A45" s="8">
        <v>41640</v>
      </c>
      <c r="B45" s="11">
        <f>IF(VLOOKUP(A45,'DB Country PMI'!$A:$W,MATCH($A$1,'DB Country PMI'!$A$1:$W$1,),)=0,#N/A,VLOOKUP(A45,'DB Country PMI'!$A:$W,MATCH($A$1,'DB Country PMI'!$A$1:$W$1,),))</f>
        <v>49.4</v>
      </c>
      <c r="C45" s="14">
        <f>Table13468113456789[[#This Row],[PMI]]-B44</f>
        <v>0.79999999999999716</v>
      </c>
    </row>
    <row r="46" spans="1:3" x14ac:dyDescent="0.2">
      <c r="A46" s="8">
        <v>41671</v>
      </c>
      <c r="B46" s="11">
        <f>IF(VLOOKUP(A46,'DB Country PMI'!$A:$W,MATCH($A$1,'DB Country PMI'!$A$1:$W$1,),)=0,#N/A,VLOOKUP(A46,'DB Country PMI'!$A:$W,MATCH($A$1,'DB Country PMI'!$A$1:$W$1,),))</f>
        <v>52.9</v>
      </c>
      <c r="C46" s="14">
        <f>Table13468113456789[[#This Row],[PMI]]-B45</f>
        <v>3.5</v>
      </c>
    </row>
    <row r="47" spans="1:3" x14ac:dyDescent="0.2">
      <c r="A47" s="8">
        <v>41699</v>
      </c>
      <c r="B47" s="11">
        <f>IF(VLOOKUP(A47,'DB Country PMI'!$A:$W,MATCH($A$1,'DB Country PMI'!$A$1:$W$1,),)=0,#N/A,VLOOKUP(A47,'DB Country PMI'!$A:$W,MATCH($A$1,'DB Country PMI'!$A$1:$W$1,),))</f>
        <v>49.5</v>
      </c>
      <c r="C47" s="14">
        <f>Table13468113456789[[#This Row],[PMI]]-B46</f>
        <v>-3.3999999999999986</v>
      </c>
    </row>
    <row r="48" spans="1:3" x14ac:dyDescent="0.2">
      <c r="A48" s="8">
        <v>41730</v>
      </c>
      <c r="B48" s="11">
        <f>IF(VLOOKUP(A48,'DB Country PMI'!$A:$W,MATCH($A$1,'DB Country PMI'!$A$1:$W$1,),)=0,#N/A,VLOOKUP(A48,'DB Country PMI'!$A:$W,MATCH($A$1,'DB Country PMI'!$A$1:$W$1,),))</f>
        <v>51.1</v>
      </c>
      <c r="C48" s="14">
        <f>Table13468113456789[[#This Row],[PMI]]-B47</f>
        <v>1.6000000000000014</v>
      </c>
    </row>
    <row r="49" spans="1:3" x14ac:dyDescent="0.2">
      <c r="A49" s="8">
        <v>41760</v>
      </c>
      <c r="B49" s="11">
        <f>IF(VLOOKUP(A49,'DB Country PMI'!$A:$W,MATCH($A$1,'DB Country PMI'!$A$1:$W$1,),)=0,#N/A,VLOOKUP(A49,'DB Country PMI'!$A:$W,MATCH($A$1,'DB Country PMI'!$A$1:$W$1,),))</f>
        <v>51.6</v>
      </c>
      <c r="C49" s="14">
        <f>Table13468113456789[[#This Row],[PMI]]-B48</f>
        <v>0.5</v>
      </c>
    </row>
    <row r="50" spans="1:3" x14ac:dyDescent="0.2">
      <c r="A50" s="8">
        <v>41791</v>
      </c>
      <c r="B50" s="11">
        <f>IF(VLOOKUP(A50,'DB Country PMI'!$A:$W,MATCH($A$1,'DB Country PMI'!$A$1:$W$1,),)=0,#N/A,VLOOKUP(A50,'DB Country PMI'!$A:$W,MATCH($A$1,'DB Country PMI'!$A$1:$W$1,),))</f>
        <v>53.6</v>
      </c>
      <c r="C50" s="14">
        <f>Table13468113456789[[#This Row],[PMI]]-B49</f>
        <v>2</v>
      </c>
    </row>
    <row r="51" spans="1:3" x14ac:dyDescent="0.2">
      <c r="A51" s="8">
        <v>41821</v>
      </c>
      <c r="B51" s="11">
        <f>IF(VLOOKUP(A51,'DB Country PMI'!$A:$W,MATCH($A$1,'DB Country PMI'!$A$1:$W$1,),)=0,#N/A,VLOOKUP(A51,'DB Country PMI'!$A:$W,MATCH($A$1,'DB Country PMI'!$A$1:$W$1,),))</f>
        <v>52.8</v>
      </c>
      <c r="C51" s="14">
        <f>Table13468113456789[[#This Row],[PMI]]-B50</f>
        <v>-0.80000000000000426</v>
      </c>
    </row>
    <row r="52" spans="1:3" x14ac:dyDescent="0.2">
      <c r="A52" s="8">
        <v>41852</v>
      </c>
      <c r="B52" s="11">
        <f>IF(VLOOKUP(A52,'DB Country PMI'!$A:$W,MATCH($A$1,'DB Country PMI'!$A$1:$W$1,),)=0,#N/A,VLOOKUP(A52,'DB Country PMI'!$A:$W,MATCH($A$1,'DB Country PMI'!$A$1:$W$1,),))</f>
        <v>49.8</v>
      </c>
      <c r="C52" s="14">
        <f>Table13468113456789[[#This Row],[PMI]]-B51</f>
        <v>-3</v>
      </c>
    </row>
    <row r="53" spans="1:3" x14ac:dyDescent="0.2">
      <c r="A53" s="8">
        <v>41883</v>
      </c>
      <c r="B53" s="11">
        <f>IF(VLOOKUP(A53,'DB Country PMI'!$A:$W,MATCH($A$1,'DB Country PMI'!$A$1:$W$1,),)=0,#N/A,VLOOKUP(A53,'DB Country PMI'!$A:$W,MATCH($A$1,'DB Country PMI'!$A$1:$W$1,),))</f>
        <v>48.8</v>
      </c>
      <c r="C53" s="14">
        <f>Table13468113456789[[#This Row],[PMI]]-B52</f>
        <v>-1</v>
      </c>
    </row>
    <row r="54" spans="1:3" x14ac:dyDescent="0.2">
      <c r="A54" s="8">
        <v>41913</v>
      </c>
      <c r="B54" s="11">
        <f>IF(VLOOKUP(A54,'DB Country PMI'!$A:$W,MATCH($A$1,'DB Country PMI'!$A$1:$W$1,),)=0,#N/A,VLOOKUP(A54,'DB Country PMI'!$A:$W,MATCH($A$1,'DB Country PMI'!$A$1:$W$1,),))</f>
        <v>50.8</v>
      </c>
      <c r="C54" s="14">
        <f>Table13468113456789[[#This Row],[PMI]]-B53</f>
        <v>2</v>
      </c>
    </row>
    <row r="55" spans="1:3" x14ac:dyDescent="0.2">
      <c r="A55" s="8">
        <v>41944</v>
      </c>
      <c r="B55" s="11">
        <f>IF(VLOOKUP(A55,'DB Country PMI'!$A:$W,MATCH($A$1,'DB Country PMI'!$A$1:$W$1,),)=0,#N/A,VLOOKUP(A55,'DB Country PMI'!$A:$W,MATCH($A$1,'DB Country PMI'!$A$1:$W$1,),))</f>
        <v>51.8</v>
      </c>
      <c r="C55" s="14">
        <f>Table13468113456789[[#This Row],[PMI]]-B54</f>
        <v>1</v>
      </c>
    </row>
    <row r="56" spans="1:3" x14ac:dyDescent="0.2">
      <c r="A56" s="8">
        <v>41974</v>
      </c>
      <c r="B56" s="11">
        <f>IF(VLOOKUP(A56,'DB Country PMI'!$A:$W,MATCH($A$1,'DB Country PMI'!$A$1:$W$1,),)=0,#N/A,VLOOKUP(A56,'DB Country PMI'!$A:$W,MATCH($A$1,'DB Country PMI'!$A$1:$W$1,),))</f>
        <v>49.4</v>
      </c>
      <c r="C56" s="14">
        <f>Table13468113456789[[#This Row],[PMI]]-B55</f>
        <v>-2.3999999999999986</v>
      </c>
    </row>
    <row r="57" spans="1:3" x14ac:dyDescent="0.2">
      <c r="A57" s="8">
        <v>42005</v>
      </c>
      <c r="B57" s="11">
        <f>IF(VLOOKUP(A57,'DB Country PMI'!$A:$W,MATCH($A$1,'DB Country PMI'!$A$1:$W$1,),)=0,#N/A,VLOOKUP(A57,'DB Country PMI'!$A:$W,MATCH($A$1,'DB Country PMI'!$A$1:$W$1,),))</f>
        <v>51.2</v>
      </c>
      <c r="C57" s="14">
        <f>Table13468113456789[[#This Row],[PMI]]-B56</f>
        <v>1.8000000000000043</v>
      </c>
    </row>
    <row r="58" spans="1:3" x14ac:dyDescent="0.2">
      <c r="A58" s="8">
        <v>42036</v>
      </c>
      <c r="B58" s="11">
        <f>IF(VLOOKUP(A58,'DB Country PMI'!$A:$W,MATCH($A$1,'DB Country PMI'!$A$1:$W$1,),)=0,#N/A,VLOOKUP(A58,'DB Country PMI'!$A:$W,MATCH($A$1,'DB Country PMI'!$A$1:$W$1,),))</f>
        <v>50</v>
      </c>
      <c r="C58" s="14">
        <f>Table13468113456789[[#This Row],[PMI]]-B57</f>
        <v>-1.2000000000000028</v>
      </c>
    </row>
    <row r="59" spans="1:3" x14ac:dyDescent="0.2">
      <c r="A59" s="8">
        <v>42064</v>
      </c>
      <c r="B59" s="11">
        <f>IF(VLOOKUP(A59,'DB Country PMI'!$A:$W,MATCH($A$1,'DB Country PMI'!$A$1:$W$1,),)=0,#N/A,VLOOKUP(A59,'DB Country PMI'!$A:$W,MATCH($A$1,'DB Country PMI'!$A$1:$W$1,),))</f>
        <v>51.6</v>
      </c>
      <c r="C59" s="14">
        <f>Table13468113456789[[#This Row],[PMI]]-B58</f>
        <v>1.6000000000000014</v>
      </c>
    </row>
    <row r="60" spans="1:3" x14ac:dyDescent="0.2">
      <c r="A60" s="8">
        <v>42095</v>
      </c>
      <c r="B60" s="11">
        <f>IF(VLOOKUP(A60,'DB Country PMI'!$A:$W,MATCH($A$1,'DB Country PMI'!$A$1:$W$1,),)=0,#N/A,VLOOKUP(A60,'DB Country PMI'!$A:$W,MATCH($A$1,'DB Country PMI'!$A$1:$W$1,),))</f>
        <v>53.1</v>
      </c>
      <c r="C60" s="14">
        <f>Table13468113456789[[#This Row],[PMI]]-B59</f>
        <v>1.5</v>
      </c>
    </row>
    <row r="61" spans="1:3" x14ac:dyDescent="0.2">
      <c r="A61" s="8">
        <v>42125</v>
      </c>
      <c r="B61" s="11">
        <f>IF(VLOOKUP(A61,'DB Country PMI'!$A:$W,MATCH($A$1,'DB Country PMI'!$A$1:$W$1,),)=0,#N/A,VLOOKUP(A61,'DB Country PMI'!$A:$W,MATCH($A$1,'DB Country PMI'!$A$1:$W$1,),))</f>
        <v>52.5</v>
      </c>
      <c r="C61" s="14">
        <f>Table13468113456789[[#This Row],[PMI]]-B60</f>
        <v>-0.60000000000000142</v>
      </c>
    </row>
    <row r="62" spans="1:3" x14ac:dyDescent="0.2">
      <c r="A62" s="8">
        <v>42156</v>
      </c>
      <c r="B62" s="11">
        <f>IF(VLOOKUP(A62,'DB Country PMI'!$A:$W,MATCH($A$1,'DB Country PMI'!$A$1:$W$1,),)=0,#N/A,VLOOKUP(A62,'DB Country PMI'!$A:$W,MATCH($A$1,'DB Country PMI'!$A$1:$W$1,),))</f>
        <v>53.4</v>
      </c>
      <c r="C62" s="14">
        <f>Table13468113456789[[#This Row],[PMI]]-B61</f>
        <v>0.89999999999999858</v>
      </c>
    </row>
    <row r="63" spans="1:3" x14ac:dyDescent="0.2">
      <c r="A63" s="8">
        <v>42186</v>
      </c>
      <c r="B63" s="11">
        <f>IF(VLOOKUP(A63,'DB Country PMI'!$A:$W,MATCH($A$1,'DB Country PMI'!$A$1:$W$1,),)=0,#N/A,VLOOKUP(A63,'DB Country PMI'!$A:$W,MATCH($A$1,'DB Country PMI'!$A$1:$W$1,),))</f>
        <v>52</v>
      </c>
      <c r="C63" s="14">
        <f>Table13468113456789[[#This Row],[PMI]]-B62</f>
        <v>-1.3999999999999986</v>
      </c>
    </row>
    <row r="64" spans="1:3" x14ac:dyDescent="0.2">
      <c r="A64" s="8">
        <v>42217</v>
      </c>
      <c r="B64" s="11">
        <f>IF(VLOOKUP(A64,'DB Country PMI'!$A:$W,MATCH($A$1,'DB Country PMI'!$A$1:$W$1,),)=0,#N/A,VLOOKUP(A64,'DB Country PMI'!$A:$W,MATCH($A$1,'DB Country PMI'!$A$1:$W$1,),))</f>
        <v>54.6</v>
      </c>
      <c r="C64" s="14">
        <f>Table13468113456789[[#This Row],[PMI]]-B63</f>
        <v>2.6000000000000014</v>
      </c>
    </row>
    <row r="65" spans="1:3" x14ac:dyDescent="0.2">
      <c r="A65" s="8">
        <v>42248</v>
      </c>
      <c r="B65" s="11">
        <f>IF(VLOOKUP(A65,'DB Country PMI'!$A:$W,MATCH($A$1,'DB Country PMI'!$A$1:$W$1,),)=0,#N/A,VLOOKUP(A65,'DB Country PMI'!$A:$W,MATCH($A$1,'DB Country PMI'!$A$1:$W$1,),))</f>
        <v>53.3</v>
      </c>
      <c r="C65" s="14">
        <f>Table13468113456789[[#This Row],[PMI]]-B64</f>
        <v>-1.3000000000000043</v>
      </c>
    </row>
    <row r="66" spans="1:3" x14ac:dyDescent="0.2">
      <c r="A66" s="8">
        <v>42278</v>
      </c>
      <c r="B66" s="11">
        <f>IF(VLOOKUP(A66,'DB Country PMI'!$A:$W,MATCH($A$1,'DB Country PMI'!$A$1:$W$1,),)=0,#N/A,VLOOKUP(A66,'DB Country PMI'!$A:$W,MATCH($A$1,'DB Country PMI'!$A$1:$W$1,),))</f>
        <v>53.4</v>
      </c>
      <c r="C66" s="14">
        <f>Table13468113456789[[#This Row],[PMI]]-B65</f>
        <v>0.10000000000000142</v>
      </c>
    </row>
    <row r="67" spans="1:3" x14ac:dyDescent="0.2">
      <c r="A67" s="8">
        <v>42309</v>
      </c>
      <c r="B67" s="11">
        <f>IF(VLOOKUP(A67,'DB Country PMI'!$A:$W,MATCH($A$1,'DB Country PMI'!$A$1:$W$1,),)=0,#N/A,VLOOKUP(A67,'DB Country PMI'!$A:$W,MATCH($A$1,'DB Country PMI'!$A$1:$W$1,),))</f>
        <v>53.4</v>
      </c>
      <c r="C67" s="14">
        <f>Table13468113456789[[#This Row],[PMI]]-B66</f>
        <v>0</v>
      </c>
    </row>
    <row r="68" spans="1:3" x14ac:dyDescent="0.2">
      <c r="A68" s="8">
        <v>42339</v>
      </c>
      <c r="B68" s="11">
        <f>IF(VLOOKUP(A68,'DB Country PMI'!$A:$W,MATCH($A$1,'DB Country PMI'!$A$1:$W$1,),)=0,#N/A,VLOOKUP(A68,'DB Country PMI'!$A:$W,MATCH($A$1,'DB Country PMI'!$A$1:$W$1,),))</f>
        <v>55.3</v>
      </c>
      <c r="C68" s="14">
        <f>Table13468113456789[[#This Row],[PMI]]-B67</f>
        <v>1.8999999999999986</v>
      </c>
    </row>
    <row r="69" spans="1:3" x14ac:dyDescent="0.2">
      <c r="A69" s="8">
        <v>42370</v>
      </c>
      <c r="B69" s="11">
        <f>IF(VLOOKUP(A69,'DB Country PMI'!$A:$W,MATCH($A$1,'DB Country PMI'!$A$1:$W$1,),)=0,#N/A,VLOOKUP(A69,'DB Country PMI'!$A:$W,MATCH($A$1,'DB Country PMI'!$A$1:$W$1,),))</f>
        <v>53.6</v>
      </c>
      <c r="C69" s="14">
        <f>Table13468113456789[[#This Row],[PMI]]-B68</f>
        <v>-1.6999999999999957</v>
      </c>
    </row>
    <row r="70" spans="1:3" x14ac:dyDescent="0.2">
      <c r="A70" s="8">
        <v>42401</v>
      </c>
      <c r="B70" s="11">
        <f>IF(VLOOKUP(A70,'DB Country PMI'!$A:$W,MATCH($A$1,'DB Country PMI'!$A$1:$W$1,),)=0,#N/A,VLOOKUP(A70,'DB Country PMI'!$A:$W,MATCH($A$1,'DB Country PMI'!$A$1:$W$1,),))</f>
        <v>53.8</v>
      </c>
      <c r="C70" s="14">
        <f>Table13468113456789[[#This Row],[PMI]]-B69</f>
        <v>0.19999999999999574</v>
      </c>
    </row>
    <row r="71" spans="1:3" x14ac:dyDescent="0.2">
      <c r="A71" s="8">
        <v>42430</v>
      </c>
      <c r="B71" s="11">
        <f>IF(VLOOKUP(A71,'DB Country PMI'!$A:$W,MATCH($A$1,'DB Country PMI'!$A$1:$W$1,),)=0,#N/A,VLOOKUP(A71,'DB Country PMI'!$A:$W,MATCH($A$1,'DB Country PMI'!$A$1:$W$1,),))</f>
        <v>51.2</v>
      </c>
      <c r="C71" s="14">
        <f>Table13468113456789[[#This Row],[PMI]]-B70</f>
        <v>-2.5999999999999943</v>
      </c>
    </row>
    <row r="72" spans="1:3" x14ac:dyDescent="0.2">
      <c r="A72" s="8">
        <v>42461</v>
      </c>
      <c r="B72" s="11">
        <f>IF(VLOOKUP(A72,'DB Country PMI'!$A:$W,MATCH($A$1,'DB Country PMI'!$A$1:$W$1,),)=0,#N/A,VLOOKUP(A72,'DB Country PMI'!$A:$W,MATCH($A$1,'DB Country PMI'!$A$1:$W$1,),))</f>
        <v>52.1</v>
      </c>
      <c r="C72" s="14">
        <f>Table13468113456789[[#This Row],[PMI]]-B71</f>
        <v>0.89999999999999858</v>
      </c>
    </row>
    <row r="73" spans="1:3" x14ac:dyDescent="0.2">
      <c r="A73" s="8">
        <v>42491</v>
      </c>
      <c r="B73" s="11">
        <f>IF(VLOOKUP(A73,'DB Country PMI'!$A:$W,MATCH($A$1,'DB Country PMI'!$A$1:$W$1,),)=0,#N/A,VLOOKUP(A73,'DB Country PMI'!$A:$W,MATCH($A$1,'DB Country PMI'!$A$1:$W$1,),))</f>
        <v>49.8</v>
      </c>
      <c r="C73" s="14">
        <f>Table13468113456789[[#This Row],[PMI]]-B72</f>
        <v>-2.3000000000000043</v>
      </c>
    </row>
    <row r="74" spans="1:3" x14ac:dyDescent="0.2">
      <c r="A74" s="8">
        <v>42522</v>
      </c>
      <c r="B74" s="11">
        <f>IF(VLOOKUP(A74,'DB Country PMI'!$A:$W,MATCH($A$1,'DB Country PMI'!$A$1:$W$1,),)=0,#N/A,VLOOKUP(A74,'DB Country PMI'!$A:$W,MATCH($A$1,'DB Country PMI'!$A$1:$W$1,),))</f>
        <v>51.9</v>
      </c>
      <c r="C74" s="14">
        <f>Table13468113456789[[#This Row],[PMI]]-B73</f>
        <v>2.1000000000000014</v>
      </c>
    </row>
    <row r="75" spans="1:3" x14ac:dyDescent="0.2">
      <c r="A75" s="8">
        <v>42552</v>
      </c>
      <c r="B75" s="11">
        <f>IF(VLOOKUP(A75,'DB Country PMI'!$A:$W,MATCH($A$1,'DB Country PMI'!$A$1:$W$1,),)=0,#N/A,VLOOKUP(A75,'DB Country PMI'!$A:$W,MATCH($A$1,'DB Country PMI'!$A$1:$W$1,),))</f>
        <v>52</v>
      </c>
      <c r="C75" s="14">
        <f>Table13468113456789[[#This Row],[PMI]]-B74</f>
        <v>0.10000000000000142</v>
      </c>
    </row>
    <row r="76" spans="1:3" x14ac:dyDescent="0.2">
      <c r="A76" s="8">
        <v>42583</v>
      </c>
      <c r="B76" s="11">
        <f>IF(VLOOKUP(A76,'DB Country PMI'!$A:$W,MATCH($A$1,'DB Country PMI'!$A$1:$W$1,),)=0,#N/A,VLOOKUP(A76,'DB Country PMI'!$A:$W,MATCH($A$1,'DB Country PMI'!$A$1:$W$1,),))</f>
        <v>52.3</v>
      </c>
      <c r="C76" s="14">
        <f>Table13468113456789[[#This Row],[PMI]]-B75</f>
        <v>0.29999999999999716</v>
      </c>
    </row>
    <row r="77" spans="1:3" x14ac:dyDescent="0.2">
      <c r="A77" s="8">
        <v>42614</v>
      </c>
      <c r="B77" s="11">
        <f>IF(VLOOKUP(A77,'DB Country PMI'!$A:$W,MATCH($A$1,'DB Country PMI'!$A$1:$W$1,),)=0,#N/A,VLOOKUP(A77,'DB Country PMI'!$A:$W,MATCH($A$1,'DB Country PMI'!$A$1:$W$1,),))</f>
        <v>50.7</v>
      </c>
      <c r="C77" s="14">
        <f>Table13468113456789[[#This Row],[PMI]]-B76</f>
        <v>-1.5999999999999943</v>
      </c>
    </row>
    <row r="78" spans="1:3" x14ac:dyDescent="0.2">
      <c r="A78" s="8">
        <v>42644</v>
      </c>
      <c r="B78" s="11">
        <f>IF(VLOOKUP(A78,'DB Country PMI'!$A:$W,MATCH($A$1,'DB Country PMI'!$A$1:$W$1,),)=0,#N/A,VLOOKUP(A78,'DB Country PMI'!$A:$W,MATCH($A$1,'DB Country PMI'!$A$1:$W$1,),))</f>
        <v>51</v>
      </c>
      <c r="C78" s="14">
        <f>Table13468113456789[[#This Row],[PMI]]-B77</f>
        <v>0.29999999999999716</v>
      </c>
    </row>
    <row r="79" spans="1:3" x14ac:dyDescent="0.2">
      <c r="A79" s="8">
        <v>42675</v>
      </c>
      <c r="B79" s="11">
        <f>IF(VLOOKUP(A79,'DB Country PMI'!$A:$W,MATCH($A$1,'DB Country PMI'!$A$1:$W$1,),)=0,#N/A,VLOOKUP(A79,'DB Country PMI'!$A:$W,MATCH($A$1,'DB Country PMI'!$A$1:$W$1,),))</f>
        <v>53.3</v>
      </c>
      <c r="C79" s="14">
        <f>Table13468113456789[[#This Row],[PMI]]-B78</f>
        <v>2.2999999999999972</v>
      </c>
    </row>
    <row r="80" spans="1:3" x14ac:dyDescent="0.2">
      <c r="A80" s="8">
        <v>42705</v>
      </c>
      <c r="B80" s="11">
        <f>IF(VLOOKUP(A80,'DB Country PMI'!$A:$W,MATCH($A$1,'DB Country PMI'!$A$1:$W$1,),)=0,#N/A,VLOOKUP(A80,'DB Country PMI'!$A:$W,MATCH($A$1,'DB Country PMI'!$A$1:$W$1,),))</f>
        <v>52.3</v>
      </c>
      <c r="C80" s="14">
        <f>Table13468113456789[[#This Row],[PMI]]-B79</f>
        <v>-1</v>
      </c>
    </row>
    <row r="81" spans="1:3" x14ac:dyDescent="0.2">
      <c r="A81" s="8">
        <v>42736</v>
      </c>
      <c r="B81" s="11">
        <f>IF(VLOOKUP(A81,'DB Country PMI'!$A:$W,MATCH($A$1,'DB Country PMI'!$A$1:$W$1,),)=0,#N/A,VLOOKUP(A81,'DB Country PMI'!$A:$W,MATCH($A$1,'DB Country PMI'!$A$1:$W$1,),))</f>
        <v>52.4</v>
      </c>
      <c r="C81" s="14">
        <f>Table13468113456789[[#This Row],[PMI]]-B80</f>
        <v>0.10000000000000142</v>
      </c>
    </row>
    <row r="82" spans="1:3" x14ac:dyDescent="0.2">
      <c r="A82" s="8">
        <v>42767</v>
      </c>
      <c r="B82" s="11">
        <f>IF(VLOOKUP(A82,'DB Country PMI'!$A:$W,MATCH($A$1,'DB Country PMI'!$A$1:$W$1,),)=0,#N/A,VLOOKUP(A82,'DB Country PMI'!$A:$W,MATCH($A$1,'DB Country PMI'!$A$1:$W$1,),))</f>
        <v>54.1</v>
      </c>
      <c r="C82" s="14">
        <f>Table13468113456789[[#This Row],[PMI]]-B81</f>
        <v>1.7000000000000028</v>
      </c>
    </row>
    <row r="83" spans="1:3" x14ac:dyDescent="0.2">
      <c r="A83" s="8">
        <v>42795</v>
      </c>
      <c r="B83" s="11">
        <f>IF(VLOOKUP(A83,'DB Country PMI'!$A:$W,MATCH($A$1,'DB Country PMI'!$A$1:$W$1,),)=0,#N/A,VLOOKUP(A83,'DB Country PMI'!$A:$W,MATCH($A$1,'DB Country PMI'!$A$1:$W$1,),))</f>
        <v>52.9</v>
      </c>
      <c r="C83" s="14">
        <f>Table13468113456789[[#This Row],[PMI]]-B82</f>
        <v>-1.2000000000000028</v>
      </c>
    </row>
    <row r="84" spans="1:3" x14ac:dyDescent="0.2">
      <c r="A84" s="8">
        <v>42826</v>
      </c>
      <c r="B84" s="11">
        <f>IF(VLOOKUP(A84,'DB Country PMI'!$A:$W,MATCH($A$1,'DB Country PMI'!$A$1:$W$1,),)=0,#N/A,VLOOKUP(A84,'DB Country PMI'!$A:$W,MATCH($A$1,'DB Country PMI'!$A$1:$W$1,),))</f>
        <v>56.2</v>
      </c>
      <c r="C84" s="14">
        <f>Table13468113456789[[#This Row],[PMI]]-B83</f>
        <v>3.3000000000000043</v>
      </c>
    </row>
    <row r="85" spans="1:3" x14ac:dyDescent="0.2">
      <c r="A85" s="8">
        <v>42856</v>
      </c>
      <c r="B85" s="11">
        <f>IF(VLOOKUP(A85,'DB Country PMI'!$A:$W,MATCH($A$1,'DB Country PMI'!$A$1:$W$1,),)=0,#N/A,VLOOKUP(A85,'DB Country PMI'!$A:$W,MATCH($A$1,'DB Country PMI'!$A$1:$W$1,),))</f>
        <v>55.1</v>
      </c>
      <c r="C85" s="14">
        <f>Table13468113456789[[#This Row],[PMI]]-B84</f>
        <v>-1.1000000000000014</v>
      </c>
    </row>
    <row r="86" spans="1:3" x14ac:dyDescent="0.2">
      <c r="A86" s="8">
        <v>42887</v>
      </c>
      <c r="B86" s="11">
        <f>IF(VLOOKUP(A86,'DB Country PMI'!$A:$W,MATCH($A$1,'DB Country PMI'!$A$1:$W$1,),)=0,#N/A,VLOOKUP(A86,'DB Country PMI'!$A:$W,MATCH($A$1,'DB Country PMI'!$A$1:$W$1,),))</f>
        <v>53.6</v>
      </c>
      <c r="C86" s="14">
        <f>Table13468113456789[[#This Row],[PMI]]-B85</f>
        <v>-1.5</v>
      </c>
    </row>
    <row r="87" spans="1:3" x14ac:dyDescent="0.2">
      <c r="A87" s="8">
        <v>42917</v>
      </c>
      <c r="B87" s="11">
        <f>IF(VLOOKUP(A87,'DB Country PMI'!$A:$W,MATCH($A$1,'DB Country PMI'!$A$1:$W$1,),)=0,#N/A,VLOOKUP(A87,'DB Country PMI'!$A:$W,MATCH($A$1,'DB Country PMI'!$A$1:$W$1,),))</f>
        <v>56.3</v>
      </c>
      <c r="C87" s="14">
        <f>Table13468113456789[[#This Row],[PMI]]-B86</f>
        <v>2.6999999999999957</v>
      </c>
    </row>
    <row r="88" spans="1:3" x14ac:dyDescent="0.2">
      <c r="A88" s="8">
        <v>42948</v>
      </c>
      <c r="B88" s="11">
        <f>IF(VLOOKUP(A88,'DB Country PMI'!$A:$W,MATCH($A$1,'DB Country PMI'!$A$1:$W$1,),)=0,#N/A,VLOOKUP(A88,'DB Country PMI'!$A:$W,MATCH($A$1,'DB Country PMI'!$A$1:$W$1,),))</f>
        <v>55.1</v>
      </c>
      <c r="C88" s="14">
        <f>Table13468113456789[[#This Row],[PMI]]-B87</f>
        <v>-1.1999999999999957</v>
      </c>
    </row>
    <row r="89" spans="1:3" x14ac:dyDescent="0.2">
      <c r="A89" s="8">
        <v>42979</v>
      </c>
      <c r="B89" s="11">
        <f>IF(VLOOKUP(A89,'DB Country PMI'!$A:$W,MATCH($A$1,'DB Country PMI'!$A$1:$W$1,),)=0,#N/A,VLOOKUP(A89,'DB Country PMI'!$A:$W,MATCH($A$1,'DB Country PMI'!$A$1:$W$1,),))</f>
        <v>53.2</v>
      </c>
      <c r="C89" s="14">
        <f>Table13468113456789[[#This Row],[PMI]]-B88</f>
        <v>-1.8999999999999986</v>
      </c>
    </row>
    <row r="90" spans="1:3" x14ac:dyDescent="0.2">
      <c r="A90" s="8">
        <v>43009</v>
      </c>
      <c r="B90" s="11">
        <f>IF(VLOOKUP(A90,'DB Country PMI'!$A:$W,MATCH($A$1,'DB Country PMI'!$A$1:$W$1,),)=0,#N/A,VLOOKUP(A90,'DB Country PMI'!$A:$W,MATCH($A$1,'DB Country PMI'!$A$1:$W$1,),))</f>
        <v>52.1</v>
      </c>
      <c r="C90" s="14">
        <f>Table13468113456789[[#This Row],[PMI]]-B89</f>
        <v>-1.1000000000000014</v>
      </c>
    </row>
    <row r="91" spans="1:3" x14ac:dyDescent="0.2">
      <c r="A91" s="8">
        <v>43040</v>
      </c>
      <c r="B91" s="11">
        <f>IF(VLOOKUP(A91,'DB Country PMI'!$A:$W,MATCH($A$1,'DB Country PMI'!$A$1:$W$1,),)=0,#N/A,VLOOKUP(A91,'DB Country PMI'!$A:$W,MATCH($A$1,'DB Country PMI'!$A$1:$W$1,),))</f>
        <v>54.7</v>
      </c>
      <c r="C91" s="14">
        <f>Table13468113456789[[#This Row],[PMI]]-B90</f>
        <v>2.6000000000000014</v>
      </c>
    </row>
    <row r="92" spans="1:3" x14ac:dyDescent="0.2">
      <c r="A92" s="8">
        <v>43070</v>
      </c>
      <c r="B92" s="11">
        <f>IF(VLOOKUP(A92,'DB Country PMI'!$A:$W,MATCH($A$1,'DB Country PMI'!$A$1:$W$1,),)=0,#N/A,VLOOKUP(A92,'DB Country PMI'!$A:$W,MATCH($A$1,'DB Country PMI'!$A$1:$W$1,),))</f>
        <v>55.4</v>
      </c>
      <c r="C92" s="14">
        <f>Table13468113456789[[#This Row],[PMI]]-B91</f>
        <v>0.69999999999999574</v>
      </c>
    </row>
    <row r="93" spans="1:3" x14ac:dyDescent="0.2">
      <c r="A93" s="8">
        <v>43101</v>
      </c>
      <c r="B93" s="11">
        <f>IF(VLOOKUP(A93,'DB Country PMI'!$A:$W,MATCH($A$1,'DB Country PMI'!$A$1:$W$1,),)=0,#N/A,VLOOKUP(A93,'DB Country PMI'!$A:$W,MATCH($A$1,'DB Country PMI'!$A$1:$W$1,),))</f>
        <v>57.7</v>
      </c>
      <c r="C93" s="14">
        <f>Table13468113456789[[#This Row],[PMI]]-B92</f>
        <v>2.3000000000000043</v>
      </c>
    </row>
    <row r="94" spans="1:3" x14ac:dyDescent="0.2">
      <c r="A94" s="8">
        <v>43132</v>
      </c>
      <c r="B94" s="11">
        <f>IF(VLOOKUP(A94,'DB Country PMI'!$A:$W,MATCH($A$1,'DB Country PMI'!$A$1:$W$1,),)=0,#N/A,VLOOKUP(A94,'DB Country PMI'!$A:$W,MATCH($A$1,'DB Country PMI'!$A$1:$W$1,),))</f>
        <v>55</v>
      </c>
      <c r="C94" s="14">
        <f>Table13468113456789[[#This Row],[PMI]]-B93</f>
        <v>-2.7000000000000028</v>
      </c>
    </row>
    <row r="95" spans="1:3" x14ac:dyDescent="0.2">
      <c r="A95" s="8">
        <v>43160</v>
      </c>
      <c r="B95" s="11">
        <f>IF(VLOOKUP(A95,'DB Country PMI'!$A:$W,MATCH($A$1,'DB Country PMI'!$A$1:$W$1,),)=0,#N/A,VLOOKUP(A95,'DB Country PMI'!$A:$W,MATCH($A$1,'DB Country PMI'!$A$1:$W$1,),))</f>
        <v>52.6</v>
      </c>
      <c r="C95" s="14">
        <f>Table13468113456789[[#This Row],[PMI]]-B94</f>
        <v>-2.3999999999999986</v>
      </c>
    </row>
    <row r="96" spans="1:3" x14ac:dyDescent="0.2">
      <c r="A96" s="8">
        <v>43191</v>
      </c>
      <c r="B96" s="11">
        <f>IF(VLOOKUP(A96,'DB Country PMI'!$A:$W,MATCH($A$1,'DB Country PMI'!$A$1:$W$1,),)=0,#N/A,VLOOKUP(A96,'DB Country PMI'!$A:$W,MATCH($A$1,'DB Country PMI'!$A$1:$W$1,),))</f>
        <v>52.6</v>
      </c>
      <c r="C96" s="14">
        <f>Table13468113456789[[#This Row],[PMI]]-B95</f>
        <v>0</v>
      </c>
    </row>
    <row r="97" spans="1:3" x14ac:dyDescent="0.2">
      <c r="A97" s="8">
        <v>43221</v>
      </c>
      <c r="B97" s="11">
        <f>IF(VLOOKUP(A97,'DB Country PMI'!$A:$W,MATCH($A$1,'DB Country PMI'!$A$1:$W$1,),)=0,#N/A,VLOOKUP(A97,'DB Country PMI'!$A:$W,MATCH($A$1,'DB Country PMI'!$A$1:$W$1,),))</f>
        <v>53.1</v>
      </c>
      <c r="C97" s="14">
        <f>Table13468113456789[[#This Row],[PMI]]-B96</f>
        <v>0.5</v>
      </c>
    </row>
    <row r="98" spans="1:3" x14ac:dyDescent="0.2">
      <c r="A98" s="8">
        <v>43252</v>
      </c>
      <c r="B98" s="11">
        <f>IF(VLOOKUP(A98,'DB Country PMI'!$A:$W,MATCH($A$1,'DB Country PMI'!$A$1:$W$1,),)=0,#N/A,VLOOKUP(A98,'DB Country PMI'!$A:$W,MATCH($A$1,'DB Country PMI'!$A$1:$W$1,),))</f>
        <v>54.3</v>
      </c>
      <c r="C98" s="14">
        <f>Table13468113456789[[#This Row],[PMI]]-B97</f>
        <v>1.1999999999999957</v>
      </c>
    </row>
    <row r="99" spans="1:3" x14ac:dyDescent="0.2">
      <c r="A99" s="8">
        <v>43282</v>
      </c>
      <c r="B99" s="11">
        <f>IF(VLOOKUP(A99,'DB Country PMI'!$A:$W,MATCH($A$1,'DB Country PMI'!$A$1:$W$1,),)=0,#N/A,VLOOKUP(A99,'DB Country PMI'!$A:$W,MATCH($A$1,'DB Country PMI'!$A$1:$W$1,),))</f>
        <v>54</v>
      </c>
      <c r="C99" s="14">
        <f>Table13468113456789[[#This Row],[PMI]]-B98</f>
        <v>-0.29999999999999716</v>
      </c>
    </row>
    <row r="100" spans="1:3" x14ac:dyDescent="0.2">
      <c r="A100" s="8">
        <v>43313</v>
      </c>
      <c r="B100" s="11">
        <f>IF(VLOOKUP(A100,'DB Country PMI'!$A:$W,MATCH($A$1,'DB Country PMI'!$A$1:$W$1,),)=0,#N/A,VLOOKUP(A100,'DB Country PMI'!$A:$W,MATCH($A$1,'DB Country PMI'!$A$1:$W$1,),))</f>
        <v>52.6</v>
      </c>
      <c r="C100" s="14">
        <f>Table13468113456789[[#This Row],[PMI]]-B99</f>
        <v>-1.3999999999999986</v>
      </c>
    </row>
    <row r="101" spans="1:3" x14ac:dyDescent="0.2">
      <c r="A101" s="8">
        <v>43344</v>
      </c>
      <c r="B101" s="11">
        <f>IF(VLOOKUP(A101,'DB Country PMI'!$A:$W,MATCH($A$1,'DB Country PMI'!$A$1:$W$1,),)=0,#N/A,VLOOKUP(A101,'DB Country PMI'!$A:$W,MATCH($A$1,'DB Country PMI'!$A$1:$W$1,),))</f>
        <v>53.3</v>
      </c>
      <c r="C101" s="14">
        <f>Table13468113456789[[#This Row],[PMI]]-B100</f>
        <v>0.69999999999999574</v>
      </c>
    </row>
    <row r="102" spans="1:3" x14ac:dyDescent="0.2">
      <c r="A102" s="8">
        <v>43374</v>
      </c>
      <c r="B102" s="11">
        <f>IF(VLOOKUP(A102,'DB Country PMI'!$A:$W,MATCH($A$1,'DB Country PMI'!$A$1:$W$1,),)=0,#N/A,VLOOKUP(A102,'DB Country PMI'!$A:$W,MATCH($A$1,'DB Country PMI'!$A$1:$W$1,),))</f>
        <v>49.2</v>
      </c>
      <c r="C102" s="14">
        <f>Table13468113456789[[#This Row],[PMI]]-B101</f>
        <v>-4.0999999999999943</v>
      </c>
    </row>
    <row r="103" spans="1:3" x14ac:dyDescent="0.2">
      <c r="A103" s="8">
        <v>43405</v>
      </c>
      <c r="B103" s="11">
        <f>IF(VLOOKUP(A103,'DB Country PMI'!$A:$W,MATCH($A$1,'DB Country PMI'!$A$1:$W$1,),)=0,#N/A,VLOOKUP(A103,'DB Country PMI'!$A:$W,MATCH($A$1,'DB Country PMI'!$A$1:$W$1,),))</f>
        <v>50.3</v>
      </c>
      <c r="C103" s="14">
        <f>Table13468113456789[[#This Row],[PMI]]-B102</f>
        <v>1.0999999999999943</v>
      </c>
    </row>
    <row r="104" spans="1:3" x14ac:dyDescent="0.2">
      <c r="A104" s="8">
        <v>43435</v>
      </c>
      <c r="B104" s="11">
        <f>IF(VLOOKUP(A104,'DB Country PMI'!$A:$W,MATCH($A$1,'DB Country PMI'!$A$1:$W$1,),)=0,#N/A,VLOOKUP(A104,'DB Country PMI'!$A:$W,MATCH($A$1,'DB Country PMI'!$A$1:$W$1,),))</f>
        <v>50.5</v>
      </c>
      <c r="C104" s="14">
        <f>Table13468113456789[[#This Row],[PMI]]-B103</f>
        <v>0.20000000000000284</v>
      </c>
    </row>
    <row r="105" spans="1:3" x14ac:dyDescent="0.2">
      <c r="A105" s="8">
        <v>43466</v>
      </c>
      <c r="B105" s="11">
        <f>IF(VLOOKUP(A105,'DB Country PMI'!$A:$W,MATCH($A$1,'DB Country PMI'!$A$1:$W$1,),)=0,#N/A,VLOOKUP(A105,'DB Country PMI'!$A:$W,MATCH($A$1,'DB Country PMI'!$A$1:$W$1,),))</f>
        <v>49.7</v>
      </c>
      <c r="C105" s="14">
        <f>Table13468113456789[[#This Row],[PMI]]-B104</f>
        <v>-0.79999999999999716</v>
      </c>
    </row>
    <row r="106" spans="1:3" x14ac:dyDescent="0.2">
      <c r="A106" s="8">
        <v>43497</v>
      </c>
      <c r="B106" s="11">
        <f>IF(VLOOKUP(A106,'DB Country PMI'!$A:$W,MATCH($A$1,'DB Country PMI'!$A$1:$W$1,),)=0,#N/A,VLOOKUP(A106,'DB Country PMI'!$A:$W,MATCH($A$1,'DB Country PMI'!$A$1:$W$1,),))</f>
        <v>50.4</v>
      </c>
      <c r="C106" s="14">
        <f>Table13468113456789[[#This Row],[PMI]]-B105</f>
        <v>0.69999999999999574</v>
      </c>
    </row>
    <row r="107" spans="1:3" x14ac:dyDescent="0.2">
      <c r="A107" s="8">
        <v>43525</v>
      </c>
      <c r="B107" s="11">
        <f>IF(VLOOKUP(A107,'DB Country PMI'!$A:$W,MATCH($A$1,'DB Country PMI'!$A$1:$W$1,),)=0,#N/A,VLOOKUP(A107,'DB Country PMI'!$A:$W,MATCH($A$1,'DB Country PMI'!$A$1:$W$1,),))</f>
        <v>53.1</v>
      </c>
      <c r="C107" s="14">
        <f>Table13468113456789[[#This Row],[PMI]]-B106</f>
        <v>2.7000000000000028</v>
      </c>
    </row>
    <row r="108" spans="1:3" x14ac:dyDescent="0.2">
      <c r="A108" s="8">
        <v>43556</v>
      </c>
      <c r="B108" s="11">
        <f>IF(VLOOKUP(A108,'DB Country PMI'!$A:$W,MATCH($A$1,'DB Country PMI'!$A$1:$W$1,),)=0,#N/A,VLOOKUP(A108,'DB Country PMI'!$A:$W,MATCH($A$1,'DB Country PMI'!$A$1:$W$1,),))</f>
        <v>50.4</v>
      </c>
      <c r="C108" s="14">
        <f>Table13468113456789[[#This Row],[PMI]]-B107</f>
        <v>-2.7000000000000028</v>
      </c>
    </row>
    <row r="109" spans="1:3" x14ac:dyDescent="0.2">
      <c r="A109" s="8">
        <v>43586</v>
      </c>
      <c r="B109" s="11">
        <f>IF(VLOOKUP(A109,'DB Country PMI'!$A:$W,MATCH($A$1,'DB Country PMI'!$A$1:$W$1,),)=0,#N/A,VLOOKUP(A109,'DB Country PMI'!$A:$W,MATCH($A$1,'DB Country PMI'!$A$1:$W$1,),))</f>
        <v>50</v>
      </c>
      <c r="C109" s="14">
        <f>Table13468113456789[[#This Row],[PMI]]-B108</f>
        <v>-0.39999999999999858</v>
      </c>
    </row>
    <row r="110" spans="1:3" x14ac:dyDescent="0.2">
      <c r="A110" s="8">
        <v>43617</v>
      </c>
      <c r="B110" s="11">
        <f>IF(VLOOKUP(A110,'DB Country PMI'!$A:$W,MATCH($A$1,'DB Country PMI'!$A$1:$W$1,),)=0,#N/A,VLOOKUP(A110,'DB Country PMI'!$A:$W,MATCH($A$1,'DB Country PMI'!$A$1:$W$1,),))</f>
        <v>50.5</v>
      </c>
      <c r="C110" s="14">
        <f>Table13468113456789[[#This Row],[PMI]]-B109</f>
        <v>0.5</v>
      </c>
    </row>
    <row r="111" spans="1:3" x14ac:dyDescent="0.2">
      <c r="A111" s="8">
        <v>43647</v>
      </c>
      <c r="B111" s="11">
        <f>IF(VLOOKUP(A111,'DB Country PMI'!$A:$W,MATCH($A$1,'DB Country PMI'!$A$1:$W$1,),)=0,#N/A,VLOOKUP(A111,'DB Country PMI'!$A:$W,MATCH($A$1,'DB Country PMI'!$A$1:$W$1,),))</f>
        <v>51.7</v>
      </c>
      <c r="C111" s="14">
        <f>Table13468113456789[[#This Row],[PMI]]-B110</f>
        <v>1.2000000000000028</v>
      </c>
    </row>
    <row r="112" spans="1:3" x14ac:dyDescent="0.2">
      <c r="A112" s="8">
        <v>43678</v>
      </c>
      <c r="B112" s="11">
        <f>IF(VLOOKUP(A112,'DB Country PMI'!$A:$W,MATCH($A$1,'DB Country PMI'!$A$1:$W$1,),)=0,#N/A,VLOOKUP(A112,'DB Country PMI'!$A:$W,MATCH($A$1,'DB Country PMI'!$A$1:$W$1,),))</f>
        <v>50.6</v>
      </c>
      <c r="C112" s="14">
        <f>Table13468113456789[[#This Row],[PMI]]-B111</f>
        <v>-1.1000000000000014</v>
      </c>
    </row>
    <row r="113" spans="1:3" x14ac:dyDescent="0.2">
      <c r="A113" s="8">
        <v>43709</v>
      </c>
      <c r="B113" s="11">
        <f>IF(VLOOKUP(A113,'DB Country PMI'!$A:$W,MATCH($A$1,'DB Country PMI'!$A$1:$W$1,),)=0,#N/A,VLOOKUP(A113,'DB Country PMI'!$A:$W,MATCH($A$1,'DB Country PMI'!$A$1:$W$1,),))</f>
        <v>51.4</v>
      </c>
      <c r="C113" s="14">
        <f>Table13468113456789[[#This Row],[PMI]]-B112</f>
        <v>0.79999999999999716</v>
      </c>
    </row>
    <row r="114" spans="1:3" x14ac:dyDescent="0.2">
      <c r="A114" s="8">
        <v>43739</v>
      </c>
      <c r="B114" s="11">
        <f>IF(VLOOKUP(A114,'DB Country PMI'!$A:$W,MATCH($A$1,'DB Country PMI'!$A$1:$W$1,),)=0,#N/A,VLOOKUP(A114,'DB Country PMI'!$A:$W,MATCH($A$1,'DB Country PMI'!$A$1:$W$1,),))</f>
        <v>52.2</v>
      </c>
      <c r="C114" s="14">
        <f>Table13468113456789[[#This Row],[PMI]]-B113</f>
        <v>0.80000000000000426</v>
      </c>
    </row>
    <row r="115" spans="1:3" x14ac:dyDescent="0.2">
      <c r="A115" s="8">
        <v>43770</v>
      </c>
      <c r="B115" s="11">
        <f>IF(VLOOKUP(A115,'DB Country PMI'!$A:$W,MATCH($A$1,'DB Country PMI'!$A$1:$W$1,),)=0,#N/A,VLOOKUP(A115,'DB Country PMI'!$A:$W,MATCH($A$1,'DB Country PMI'!$A$1:$W$1,),))</f>
        <v>50.4</v>
      </c>
      <c r="C115" s="14">
        <f>Table13468113456789[[#This Row],[PMI]]-B114</f>
        <v>-1.8000000000000043</v>
      </c>
    </row>
    <row r="116" spans="1:3" x14ac:dyDescent="0.2">
      <c r="A116" s="8">
        <v>43800</v>
      </c>
      <c r="B116" s="11">
        <f>IF(VLOOKUP(A116,'DB Country PMI'!$A:$W,MATCH($A$1,'DB Country PMI'!$A$1:$W$1,),)=0,#N/A,VLOOKUP(A116,'DB Country PMI'!$A:$W,MATCH($A$1,'DB Country PMI'!$A$1:$W$1,),))</f>
        <v>51.1</v>
      </c>
      <c r="C116" s="14">
        <f>Table13468113456789[[#This Row],[PMI]]-B115</f>
        <v>0.70000000000000284</v>
      </c>
    </row>
    <row r="117" spans="1:3" x14ac:dyDescent="0.2">
      <c r="A117" s="8">
        <v>43831</v>
      </c>
      <c r="B117" s="11">
        <f>IF(VLOOKUP(A117,'DB Country PMI'!$A:$W,MATCH($A$1,'DB Country PMI'!$A$1:$W$1,),)=0,#N/A,VLOOKUP(A117,'DB Country PMI'!$A:$W,MATCH($A$1,'DB Country PMI'!$A$1:$W$1,),))</f>
        <v>51.4</v>
      </c>
      <c r="C117" s="14">
        <f>Table13468113456789[[#This Row],[PMI]]-B116</f>
        <v>0.29999999999999716</v>
      </c>
    </row>
    <row r="118" spans="1:3" x14ac:dyDescent="0.2">
      <c r="A118" s="8">
        <v>43862</v>
      </c>
      <c r="B118" s="11">
        <f>IF(VLOOKUP(A118,'DB Country PMI'!$A:$W,MATCH($A$1,'DB Country PMI'!$A$1:$W$1,),)=0,#N/A,VLOOKUP(A118,'DB Country PMI'!$A:$W,MATCH($A$1,'DB Country PMI'!$A$1:$W$1,),))</f>
        <v>52.1</v>
      </c>
      <c r="C118" s="14">
        <f>Table13468113456789[[#This Row],[PMI]]-B117</f>
        <v>0.70000000000000284</v>
      </c>
    </row>
    <row r="119" spans="1:3" x14ac:dyDescent="0.2">
      <c r="A119" s="8">
        <v>43891</v>
      </c>
      <c r="B119" s="11">
        <f>IF(VLOOKUP(A119,'DB Country PMI'!$A:$W,MATCH($A$1,'DB Country PMI'!$A$1:$W$1,),)=0,#N/A,VLOOKUP(A119,'DB Country PMI'!$A:$W,MATCH($A$1,'DB Country PMI'!$A$1:$W$1,),))</f>
        <v>17.399999999999999</v>
      </c>
      <c r="C119" s="14">
        <f>Table13468113456789[[#This Row],[PMI]]-B118</f>
        <v>-34.700000000000003</v>
      </c>
    </row>
    <row r="120" spans="1:3" x14ac:dyDescent="0.2">
      <c r="A120" s="8">
        <v>43922</v>
      </c>
      <c r="B120" s="11">
        <f>IF(VLOOKUP(A120,'DB Country PMI'!$A:$W,MATCH($A$1,'DB Country PMI'!$A$1:$W$1,),)=0,#N/A,VLOOKUP(A120,'DB Country PMI'!$A:$W,MATCH($A$1,'DB Country PMI'!$A$1:$W$1,),))</f>
        <v>10.8</v>
      </c>
      <c r="C120" s="14">
        <f>Table13468113456789[[#This Row],[PMI]]-B119</f>
        <v>-6.5999999999999979</v>
      </c>
    </row>
    <row r="121" spans="1:3" x14ac:dyDescent="0.2">
      <c r="A121" s="8">
        <v>43952</v>
      </c>
      <c r="B121" s="11">
        <f>IF(VLOOKUP(A121,'DB Country PMI'!$A:$W,MATCH($A$1,'DB Country PMI'!$A$1:$W$1,),)=0,#N/A,VLOOKUP(A121,'DB Country PMI'!$A:$W,MATCH($A$1,'DB Country PMI'!$A$1:$W$1,),))</f>
        <v>28.9</v>
      </c>
      <c r="C121" s="14">
        <f>Table13468113456789[[#This Row],[PMI]]-B120</f>
        <v>18.099999999999998</v>
      </c>
    </row>
    <row r="122" spans="1:3" x14ac:dyDescent="0.2">
      <c r="A122" s="8">
        <v>43983</v>
      </c>
      <c r="B122" s="11">
        <f>IF(VLOOKUP(A122,'DB Country PMI'!$A:$W,MATCH($A$1,'DB Country PMI'!$A$1:$W$1,),)=0,#N/A,VLOOKUP(A122,'DB Country PMI'!$A:$W,MATCH($A$1,'DB Country PMI'!$A$1:$W$1,),))</f>
        <v>46.4</v>
      </c>
      <c r="C122" s="14">
        <f>Table13468113456789[[#This Row],[PMI]]-B121</f>
        <v>17.5</v>
      </c>
    </row>
    <row r="123" spans="1:3" x14ac:dyDescent="0.2">
      <c r="A123" s="8">
        <v>44013</v>
      </c>
      <c r="B123" s="11">
        <f>IF(VLOOKUP(A123,'DB Country PMI'!$A:$W,MATCH($A$1,'DB Country PMI'!$A$1:$W$1,),)=0,#N/A,VLOOKUP(A123,'DB Country PMI'!$A:$W,MATCH($A$1,'DB Country PMI'!$A$1:$W$1,),))</f>
        <v>51.6</v>
      </c>
      <c r="C123" s="14">
        <f>Table13468113456789[[#This Row],[PMI]]-B122</f>
        <v>5.2000000000000028</v>
      </c>
    </row>
    <row r="124" spans="1:3" x14ac:dyDescent="0.2">
      <c r="A124" s="8">
        <v>44044</v>
      </c>
      <c r="B124" s="11">
        <f>IF(VLOOKUP(A124,'DB Country PMI'!$A:$W,MATCH($A$1,'DB Country PMI'!$A$1:$W$1,),)=0,#N/A,VLOOKUP(A124,'DB Country PMI'!$A:$W,MATCH($A$1,'DB Country PMI'!$A$1:$W$1,),))</f>
        <v>47.1</v>
      </c>
      <c r="C124" s="14">
        <f>Table13468113456789[[#This Row],[PMI]]-B123</f>
        <v>-4.5</v>
      </c>
    </row>
    <row r="125" spans="1:3" x14ac:dyDescent="0.2">
      <c r="A125" s="8">
        <v>44075</v>
      </c>
      <c r="B125" s="11">
        <f>IF(VLOOKUP(A125,'DB Country PMI'!$A:$W,MATCH($A$1,'DB Country PMI'!$A$1:$W$1,),)=0,#N/A,VLOOKUP(A125,'DB Country PMI'!$A:$W,MATCH($A$1,'DB Country PMI'!$A$1:$W$1,),))</f>
        <v>48.8</v>
      </c>
      <c r="C125" s="14">
        <f>Table13468113456789[[#This Row],[PMI]]-B124</f>
        <v>1.6999999999999957</v>
      </c>
    </row>
    <row r="126" spans="1:3" x14ac:dyDescent="0.2">
      <c r="A126" s="8">
        <v>44105</v>
      </c>
      <c r="B126" s="11">
        <f>IF(VLOOKUP(A126,'DB Country PMI'!$A:$W,MATCH($A$1,'DB Country PMI'!$A$1:$W$1,),)=0,#N/A,VLOOKUP(A126,'DB Country PMI'!$A:$W,MATCH($A$1,'DB Country PMI'!$A$1:$W$1,),))</f>
        <v>46.7</v>
      </c>
      <c r="C126" s="14">
        <f>Table13468113456789[[#This Row],[PMI]]-B125</f>
        <v>-2.0999999999999943</v>
      </c>
    </row>
    <row r="127" spans="1:3" x14ac:dyDescent="0.2">
      <c r="A127" s="8">
        <v>44136</v>
      </c>
      <c r="B127" s="11">
        <f>IF(VLOOKUP(A127,'DB Country PMI'!$A:$W,MATCH($A$1,'DB Country PMI'!$A$1:$W$1,),)=0,#N/A,VLOOKUP(A127,'DB Country PMI'!$A:$W,MATCH($A$1,'DB Country PMI'!$A$1:$W$1,),))</f>
        <v>39.4</v>
      </c>
      <c r="C127" s="14">
        <f>Table13468113456789[[#This Row],[PMI]]-B126</f>
        <v>-7.3000000000000043</v>
      </c>
    </row>
    <row r="128" spans="1:3" x14ac:dyDescent="0.2">
      <c r="A128" s="8">
        <v>44166</v>
      </c>
      <c r="B128" s="11">
        <f>IF(VLOOKUP(A128,'DB Country PMI'!$A:$W,MATCH($A$1,'DB Country PMI'!$A$1:$W$1,),)=0,#N/A,VLOOKUP(A128,'DB Country PMI'!$A:$W,MATCH($A$1,'DB Country PMI'!$A$1:$W$1,),))</f>
        <v>39.700000000000003</v>
      </c>
      <c r="C128" s="14">
        <f>Table13468113456789[[#This Row],[PMI]]-B127</f>
        <v>0.30000000000000426</v>
      </c>
    </row>
    <row r="129" spans="1:3" x14ac:dyDescent="0.2">
      <c r="A129" s="8">
        <v>44197</v>
      </c>
      <c r="B129" s="11">
        <f>IF(VLOOKUP(A129,'DB Country PMI'!$A:$W,MATCH($A$1,'DB Country PMI'!$A$1:$W$1,),)=0,#N/A,VLOOKUP(A129,'DB Country PMI'!$A:$W,MATCH($A$1,'DB Country PMI'!$A$1:$W$1,),))</f>
        <v>44.7</v>
      </c>
      <c r="C129" s="14">
        <f>Table13468113456789[[#This Row],[PMI]]-B128</f>
        <v>5</v>
      </c>
    </row>
    <row r="130" spans="1:3" x14ac:dyDescent="0.2">
      <c r="A130" s="8">
        <v>44228</v>
      </c>
      <c r="B130" s="11">
        <f>IF(VLOOKUP(A130,'DB Country PMI'!$A:$W,MATCH($A$1,'DB Country PMI'!$A$1:$W$1,),)=0,#N/A,VLOOKUP(A130,'DB Country PMI'!$A:$W,MATCH($A$1,'DB Country PMI'!$A$1:$W$1,),))</f>
        <v>48.8</v>
      </c>
      <c r="C130" s="14">
        <f>Table13468113456789[[#This Row],[PMI]]-B129</f>
        <v>4.0999999999999943</v>
      </c>
    </row>
    <row r="131" spans="1:3" x14ac:dyDescent="0.2">
      <c r="A131" s="8">
        <v>44256</v>
      </c>
      <c r="B131" s="11">
        <f>IF(VLOOKUP(A131,'DB Country PMI'!$A:$W,MATCH($A$1,'DB Country PMI'!$A$1:$W$1,),)=0,#N/A,VLOOKUP(A131,'DB Country PMI'!$A:$W,MATCH($A$1,'DB Country PMI'!$A$1:$W$1,),))</f>
        <v>48.6</v>
      </c>
      <c r="C131" s="14">
        <f>Table13468113456789[[#This Row],[PMI]]-B130</f>
        <v>-0.19999999999999574</v>
      </c>
    </row>
    <row r="132" spans="1:3" x14ac:dyDescent="0.2">
      <c r="A132" s="8">
        <v>44287</v>
      </c>
      <c r="B132" s="11">
        <f>IF(VLOOKUP(A132,'DB Country PMI'!$A:$W,MATCH($A$1,'DB Country PMI'!$A$1:$W$1,),)=0,#N/A,VLOOKUP(A132,'DB Country PMI'!$A:$W,MATCH($A$1,'DB Country PMI'!$A$1:$W$1,),))</f>
        <v>47.3</v>
      </c>
      <c r="C132" s="14">
        <f>Table13468113456789[[#This Row],[PMI]]-B131</f>
        <v>-1.3000000000000043</v>
      </c>
    </row>
    <row r="133" spans="1:3" x14ac:dyDescent="0.2">
      <c r="A133" s="8">
        <v>44317</v>
      </c>
      <c r="B133" s="11">
        <f>IF(VLOOKUP(A133,'DB Country PMI'!$A:$W,MATCH($A$1,'DB Country PMI'!$A$1:$W$1,),)=0,#N/A,VLOOKUP(A133,'DB Country PMI'!$A:$W,MATCH($A$1,'DB Country PMI'!$A$1:$W$1,),))</f>
        <v>53.1</v>
      </c>
      <c r="C133" s="14">
        <f>Table13468113456789[[#This Row],[PMI]]-B132</f>
        <v>5.8000000000000043</v>
      </c>
    </row>
    <row r="134" spans="1:3" x14ac:dyDescent="0.2">
      <c r="A134" s="8">
        <v>44348</v>
      </c>
      <c r="B134" s="11">
        <f>IF(VLOOKUP(A134,'DB Country PMI'!$A:$W,MATCH($A$1,'DB Country PMI'!$A$1:$W$1,),)=0,#N/A,VLOOKUP(A134,'DB Country PMI'!$A:$W,MATCH($A$1,'DB Country PMI'!$A$1:$W$1,),))</f>
        <v>56.8</v>
      </c>
      <c r="C134" s="14">
        <f>Table13468113456789[[#This Row],[PMI]]-B133</f>
        <v>3.6999999999999957</v>
      </c>
    </row>
    <row r="135" spans="1:3" x14ac:dyDescent="0.2">
      <c r="A135" s="8">
        <v>44378</v>
      </c>
      <c r="B135" s="11">
        <f>IF(VLOOKUP(A135,'DB Country PMI'!$A:$W,MATCH($A$1,'DB Country PMI'!$A$1:$W$1,),)=0,#N/A,VLOOKUP(A135,'DB Country PMI'!$A:$W,MATCH($A$1,'DB Country PMI'!$A$1:$W$1,),))</f>
        <v>58</v>
      </c>
      <c r="C135" s="14">
        <f>Table13468113456789[[#This Row],[PMI]]-B134</f>
        <v>1.2000000000000028</v>
      </c>
    </row>
    <row r="136" spans="1:3" x14ac:dyDescent="0.2">
      <c r="A136" s="8">
        <v>44409</v>
      </c>
      <c r="B136" s="11">
        <f>IF(VLOOKUP(A136,'DB Country PMI'!$A:$W,MATCH($A$1,'DB Country PMI'!$A$1:$W$1,),)=0,#N/A,VLOOKUP(A136,'DB Country PMI'!$A:$W,MATCH($A$1,'DB Country PMI'!$A$1:$W$1,),))</f>
        <v>58</v>
      </c>
      <c r="C136" s="14">
        <f>Table13468113456789[[#This Row],[PMI]]-B135</f>
        <v>0</v>
      </c>
    </row>
    <row r="137" spans="1:3" x14ac:dyDescent="0.2">
      <c r="A137" s="8">
        <v>44440</v>
      </c>
      <c r="B137" s="11">
        <f>IF(VLOOKUP(A137,'DB Country PMI'!$A:$W,MATCH($A$1,'DB Country PMI'!$A$1:$W$1,),)=0,#N/A,VLOOKUP(A137,'DB Country PMI'!$A:$W,MATCH($A$1,'DB Country PMI'!$A$1:$W$1,),))</f>
        <v>55.5</v>
      </c>
      <c r="C137" s="14">
        <f>Table13468113456789[[#This Row],[PMI]]-B136</f>
        <v>-2.5</v>
      </c>
    </row>
    <row r="138" spans="1:3" x14ac:dyDescent="0.2">
      <c r="A138" s="8">
        <v>44470</v>
      </c>
      <c r="B138" s="11">
        <f>IF(VLOOKUP(A138,'DB Country PMI'!$A:$W,MATCH($A$1,'DB Country PMI'!$A$1:$W$1,),)=0,#N/A,VLOOKUP(A138,'DB Country PMI'!$A:$W,MATCH($A$1,'DB Country PMI'!$A$1:$W$1,),))</f>
        <v>52.4</v>
      </c>
      <c r="C138" s="14">
        <f>Table13468113456789[[#This Row],[PMI]]-B137</f>
        <v>-3.1000000000000014</v>
      </c>
    </row>
    <row r="139" spans="1:3" x14ac:dyDescent="0.2">
      <c r="A139" s="8">
        <v>44501</v>
      </c>
      <c r="B139" s="11">
        <f>IF(VLOOKUP(A139,'DB Country PMI'!$A:$W,MATCH($A$1,'DB Country PMI'!$A$1:$W$1,),)=0,#N/A,VLOOKUP(A139,'DB Country PMI'!$A:$W,MATCH($A$1,'DB Country PMI'!$A$1:$W$1,),))</f>
        <v>55.9</v>
      </c>
      <c r="C139" s="14">
        <f>Table13468113456789[[#This Row],[PMI]]-B138</f>
        <v>3.5</v>
      </c>
    </row>
    <row r="140" spans="1:3" x14ac:dyDescent="0.2">
      <c r="A140" s="8">
        <v>44531</v>
      </c>
      <c r="B140" s="11">
        <f>IF(VLOOKUP(A140,'DB Country PMI'!$A:$W,MATCH($A$1,'DB Country PMI'!$A$1:$W$1,),)=0,#N/A,VLOOKUP(A140,'DB Country PMI'!$A:$W,MATCH($A$1,'DB Country PMI'!$A$1:$W$1,),))</f>
        <v>53</v>
      </c>
      <c r="C140" s="14">
        <f>Table13468113456789[[#This Row],[PMI]]-B139</f>
        <v>-2.8999999999999986</v>
      </c>
    </row>
    <row r="141" spans="1:3" x14ac:dyDescent="0.2">
      <c r="A141" s="8">
        <v>44562</v>
      </c>
      <c r="B141" s="11">
        <f>IF(VLOOKUP(A141,'DB Country PMI'!$A:$W,MATCH($A$1,'DB Country PMI'!$A$1:$W$1,),)=0,#N/A,VLOOKUP(A141,'DB Country PMI'!$A:$W,MATCH($A$1,'DB Country PMI'!$A$1:$W$1,),))</f>
        <v>48.5</v>
      </c>
      <c r="C141" s="14">
        <f>Table13468113456789[[#This Row],[PMI]]-B140</f>
        <v>-4.5</v>
      </c>
    </row>
    <row r="142" spans="1:3" x14ac:dyDescent="0.2">
      <c r="A142" s="8">
        <v>44593</v>
      </c>
      <c r="B142" s="11">
        <f>IF(VLOOKUP(A142,'DB Country PMI'!$A:$W,MATCH($A$1,'DB Country PMI'!$A$1:$W$1,),)=0,#N/A,VLOOKUP(A142,'DB Country PMI'!$A:$W,MATCH($A$1,'DB Country PMI'!$A$1:$W$1,),))</f>
        <v>52.8</v>
      </c>
      <c r="C142" s="14">
        <f>Table13468113456789[[#This Row],[PMI]]-B141</f>
        <v>4.2999999999999972</v>
      </c>
    </row>
    <row r="143" spans="1:3" x14ac:dyDescent="0.2">
      <c r="A143" s="8">
        <v>44621</v>
      </c>
      <c r="B143" s="11">
        <f>IF(VLOOKUP(A143,'DB Country PMI'!$A:$W,MATCH($A$1,'DB Country PMI'!$A$1:$W$1,),)=0,#N/A,VLOOKUP(A143,'DB Country PMI'!$A:$W,MATCH($A$1,'DB Country PMI'!$A$1:$W$1,),))</f>
        <v>52.1</v>
      </c>
      <c r="C143" s="14">
        <f>Table13468113456789[[#This Row],[PMI]]-B142</f>
        <v>-0.69999999999999574</v>
      </c>
    </row>
    <row r="144" spans="1:3" x14ac:dyDescent="0.2">
      <c r="A144" s="8">
        <v>44652</v>
      </c>
      <c r="B144" s="11">
        <f>IF(VLOOKUP(A144,'DB Country PMI'!$A:$W,MATCH($A$1,'DB Country PMI'!$A$1:$W$1,),)=0,#N/A,VLOOKUP(A144,'DB Country PMI'!$A:$W,MATCH($A$1,'DB Country PMI'!$A$1:$W$1,),))</f>
        <v>55.7</v>
      </c>
      <c r="C144" s="14">
        <f>Table13468113456789[[#This Row],[PMI]]-B143</f>
        <v>3.6000000000000014</v>
      </c>
    </row>
    <row r="145" spans="1:3" x14ac:dyDescent="0.2">
      <c r="A145" s="8">
        <v>44682</v>
      </c>
      <c r="B145" s="11">
        <f>IF(VLOOKUP(A145,'DB Country PMI'!$A:$W,MATCH($A$1,'DB Country PMI'!$A$1:$W$1,),)=0,#N/A,VLOOKUP(A145,'DB Country PMI'!$A:$W,MATCH($A$1,'DB Country PMI'!$A$1:$W$1,),))</f>
        <v>53.7</v>
      </c>
      <c r="C145" s="14">
        <f>Table13468113456789[[#This Row],[PMI]]-B144</f>
        <v>-2</v>
      </c>
    </row>
    <row r="146" spans="1:3" x14ac:dyDescent="0.2">
      <c r="A146" s="8">
        <v>44713</v>
      </c>
      <c r="B146" s="11">
        <f>IF(VLOOKUP(A146,'DB Country PMI'!$A:$W,MATCH($A$1,'DB Country PMI'!$A$1:$W$1,),)=0,#N/A,VLOOKUP(A146,'DB Country PMI'!$A:$W,MATCH($A$1,'DB Country PMI'!$A$1:$W$1,),))</f>
        <v>51.6</v>
      </c>
      <c r="C146" s="14">
        <f>Table13468113456789[[#This Row],[PMI]]-B145</f>
        <v>-2.1000000000000014</v>
      </c>
    </row>
    <row r="147" spans="1:3" x14ac:dyDescent="0.2">
      <c r="A147" s="8">
        <v>44743</v>
      </c>
      <c r="B147" s="11">
        <f>IF(VLOOKUP(A147,'DB Country PMI'!$A:$W,MATCH($A$1,'DB Country PMI'!$A$1:$W$1,),)=0,#N/A,VLOOKUP(A147,'DB Country PMI'!$A:$W,MATCH($A$1,'DB Country PMI'!$A$1:$W$1,),))</f>
        <v>48.4</v>
      </c>
      <c r="C147" s="14">
        <f>Table13468113456789[[#This Row],[PMI]]-B146</f>
        <v>-3.2000000000000028</v>
      </c>
    </row>
    <row r="148" spans="1:3" x14ac:dyDescent="0.2">
      <c r="A148" s="8">
        <v>44774</v>
      </c>
      <c r="B148" s="11">
        <f>IF(VLOOKUP(A148,'DB Country PMI'!$A:$W,MATCH($A$1,'DB Country PMI'!$A$1:$W$1,),)=0,#N/A,VLOOKUP(A148,'DB Country PMI'!$A:$W,MATCH($A$1,'DB Country PMI'!$A$1:$W$1,),))</f>
        <v>50.5</v>
      </c>
      <c r="C148" s="14">
        <f>Table13468113456789[[#This Row],[PMI]]-B147</f>
        <v>2.1000000000000014</v>
      </c>
    </row>
    <row r="149" spans="1:3" x14ac:dyDescent="0.2">
      <c r="A149" s="8">
        <v>44805</v>
      </c>
      <c r="B149" s="11">
        <f>IF(VLOOKUP(A149,'DB Country PMI'!$A:$W,MATCH($A$1,'DB Country PMI'!$A$1:$W$1,),)=0,#N/A,VLOOKUP(A149,'DB Country PMI'!$A:$W,MATCH($A$1,'DB Country PMI'!$A$1:$W$1,),))</f>
        <v>48.8</v>
      </c>
      <c r="C149" s="14">
        <f>Table13468113456789[[#This Row],[PMI]]-B148</f>
        <v>-1.7000000000000028</v>
      </c>
    </row>
    <row r="150" spans="1:3" x14ac:dyDescent="0.2">
      <c r="A150" s="8">
        <v>44835</v>
      </c>
      <c r="B150" s="11">
        <f>IF(VLOOKUP(A150,'DB Country PMI'!$A:$W,MATCH($A$1,'DB Country PMI'!$A$1:$W$1,),)=0,#N/A,VLOOKUP(A150,'DB Country PMI'!$A:$W,MATCH($A$1,'DB Country PMI'!$A$1:$W$1,),))</f>
        <v>46.4</v>
      </c>
      <c r="C150" s="14">
        <f>Table13468113456789[[#This Row],[PMI]]-B149</f>
        <v>-2.3999999999999986</v>
      </c>
    </row>
  </sheetData>
  <conditionalFormatting sqref="C7:C150">
    <cfRule type="colorScale" priority="1">
      <colorScale>
        <cfvo type="min"/>
        <cfvo type="percentile" val="50"/>
        <cfvo type="max"/>
        <color rgb="FFF8696B"/>
        <color rgb="FFFCFCFF"/>
        <color rgb="FF5A8AC6"/>
      </colorScale>
    </cfRule>
  </conditionalFormatting>
  <conditionalFormatting sqref="B6:B150">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J150"/>
  <sheetViews>
    <sheetView zoomScale="150" zoomScaleNormal="150" workbookViewId="0">
      <pane ySplit="5" topLeftCell="A134" activePane="bottomLeft" state="frozen"/>
      <selection pane="bottomLeft" activeCell="A140" sqref="A140:C150"/>
    </sheetView>
  </sheetViews>
  <sheetFormatPr baseColWidth="10" defaultColWidth="9.1640625" defaultRowHeight="15" x14ac:dyDescent="0.2"/>
  <cols>
    <col min="1" max="1" width="13.5" style="49" customWidth="1"/>
    <col min="2" max="2" width="11.33203125" style="49" customWidth="1"/>
    <col min="3" max="11" width="9.1640625" style="49" customWidth="1"/>
    <col min="12" max="16384" width="9.1640625" style="49"/>
  </cols>
  <sheetData>
    <row r="1" spans="1:10" x14ac:dyDescent="0.2">
      <c r="A1" s="49" t="s">
        <v>37</v>
      </c>
      <c r="J1" s="49" t="s">
        <v>62</v>
      </c>
    </row>
    <row r="2" spans="1:10" x14ac:dyDescent="0.2">
      <c r="J2" s="49" t="s">
        <v>73</v>
      </c>
    </row>
    <row r="4" spans="1:10" ht="16" customHeight="1" thickBot="1" x14ac:dyDescent="0.25"/>
    <row r="5" spans="1:10" ht="16" customHeight="1" thickBot="1" x14ac:dyDescent="0.25">
      <c r="A5" s="12" t="s">
        <v>33</v>
      </c>
      <c r="B5" s="13" t="s">
        <v>60</v>
      </c>
      <c r="C5" s="13" t="s">
        <v>61</v>
      </c>
    </row>
    <row r="6" spans="1:10" x14ac:dyDescent="0.2">
      <c r="A6" s="10">
        <v>40452</v>
      </c>
      <c r="B6" s="11">
        <f>IF(VLOOKUP(A6,'DB Country PMI'!$A:$W,MATCH($A$1,'DB Country PMI'!$A$1:$W$1,),)=0,#N/A,VLOOKUP(A6,'DB Country PMI'!$A:$W,MATCH($A$1,'DB Country PMI'!$A$1:$W$1,),))</f>
        <v>47.2</v>
      </c>
      <c r="C6" s="11"/>
    </row>
    <row r="7" spans="1:10" x14ac:dyDescent="0.2">
      <c r="A7" s="8">
        <v>40483</v>
      </c>
      <c r="B7" s="11">
        <f>IF(VLOOKUP(A7,'DB Country PMI'!$A:$W,MATCH($A$1,'DB Country PMI'!$A$1:$W$1,),)=0,#N/A,VLOOKUP(A7,'DB Country PMI'!$A:$W,MATCH($A$1,'DB Country PMI'!$A$1:$W$1,),))</f>
        <v>49.5</v>
      </c>
      <c r="C7" s="14">
        <f>Table13468113456710[[#This Row],[PMI]]-B6</f>
        <v>2.2999999999999972</v>
      </c>
    </row>
    <row r="8" spans="1:10" x14ac:dyDescent="0.2">
      <c r="A8" s="8">
        <v>40513</v>
      </c>
      <c r="B8" s="11">
        <f>IF(VLOOKUP(A8,'DB Country PMI'!$A:$W,MATCH($A$1,'DB Country PMI'!$A$1:$W$1,),)=0,#N/A,VLOOKUP(A8,'DB Country PMI'!$A:$W,MATCH($A$1,'DB Country PMI'!$A$1:$W$1,),))</f>
        <v>50.1</v>
      </c>
      <c r="C8" s="14">
        <f>Table13468113456710[[#This Row],[PMI]]-B7</f>
        <v>0.60000000000000142</v>
      </c>
    </row>
    <row r="9" spans="1:10" x14ac:dyDescent="0.2">
      <c r="A9" s="8">
        <v>40544</v>
      </c>
      <c r="B9" s="11">
        <f>IF(VLOOKUP(A9,'DB Country PMI'!$A:$W,MATCH($A$1,'DB Country PMI'!$A$1:$W$1,),)=0,#N/A,VLOOKUP(A9,'DB Country PMI'!$A:$W,MATCH($A$1,'DB Country PMI'!$A$1:$W$1,),))</f>
        <v>48.1</v>
      </c>
      <c r="C9" s="14">
        <f>Table13468113456710[[#This Row],[PMI]]-B8</f>
        <v>-2</v>
      </c>
    </row>
    <row r="10" spans="1:10" x14ac:dyDescent="0.2">
      <c r="A10" s="8">
        <v>40575</v>
      </c>
      <c r="B10" s="11">
        <f>IF(VLOOKUP(A10,'DB Country PMI'!$A:$W,MATCH($A$1,'DB Country PMI'!$A$1:$W$1,),)=0,#N/A,VLOOKUP(A10,'DB Country PMI'!$A:$W,MATCH($A$1,'DB Country PMI'!$A$1:$W$1,),))</f>
        <v>49.8</v>
      </c>
      <c r="C10" s="14">
        <f>Table13468113456710[[#This Row],[PMI]]-B9</f>
        <v>1.6999999999999957</v>
      </c>
    </row>
    <row r="11" spans="1:10" x14ac:dyDescent="0.2">
      <c r="A11" s="8">
        <v>40603</v>
      </c>
      <c r="B11" s="11">
        <f>IF(VLOOKUP(A11,'DB Country PMI'!$A:$W,MATCH($A$1,'DB Country PMI'!$A$1:$W$1,),)=0,#N/A,VLOOKUP(A11,'DB Country PMI'!$A:$W,MATCH($A$1,'DB Country PMI'!$A$1:$W$1,),))</f>
        <v>35.299999999999997</v>
      </c>
      <c r="C11" s="14">
        <f>Table13468113456710[[#This Row],[PMI]]-B10</f>
        <v>-14.5</v>
      </c>
    </row>
    <row r="12" spans="1:10" x14ac:dyDescent="0.2">
      <c r="A12" s="8">
        <v>40634</v>
      </c>
      <c r="B12" s="11">
        <f>IF(VLOOKUP(A12,'DB Country PMI'!$A:$W,MATCH($A$1,'DB Country PMI'!$A$1:$W$1,),)=0,#N/A,VLOOKUP(A12,'DB Country PMI'!$A:$W,MATCH($A$1,'DB Country PMI'!$A$1:$W$1,),))</f>
        <v>35</v>
      </c>
      <c r="C12" s="14">
        <f>Table13468113456710[[#This Row],[PMI]]-B11</f>
        <v>-0.29999999999999716</v>
      </c>
    </row>
    <row r="13" spans="1:10" x14ac:dyDescent="0.2">
      <c r="A13" s="8">
        <v>40664</v>
      </c>
      <c r="B13" s="11">
        <f>IF(VLOOKUP(A13,'DB Country PMI'!$A:$W,MATCH($A$1,'DB Country PMI'!$A$1:$W$1,),)=0,#N/A,VLOOKUP(A13,'DB Country PMI'!$A:$W,MATCH($A$1,'DB Country PMI'!$A$1:$W$1,),))</f>
        <v>43.8</v>
      </c>
      <c r="C13" s="14">
        <f>Table13468113456710[[#This Row],[PMI]]-B12</f>
        <v>8.7999999999999972</v>
      </c>
    </row>
    <row r="14" spans="1:10" x14ac:dyDescent="0.2">
      <c r="A14" s="8">
        <v>40695</v>
      </c>
      <c r="B14" s="11">
        <f>IF(VLOOKUP(A14,'DB Country PMI'!$A:$W,MATCH($A$1,'DB Country PMI'!$A$1:$W$1,),)=0,#N/A,VLOOKUP(A14,'DB Country PMI'!$A:$W,MATCH($A$1,'DB Country PMI'!$A$1:$W$1,),))</f>
        <v>45.4</v>
      </c>
      <c r="C14" s="14">
        <f>Table13468113456710[[#This Row],[PMI]]-B13</f>
        <v>1.6000000000000014</v>
      </c>
    </row>
    <row r="15" spans="1:10" x14ac:dyDescent="0.2">
      <c r="A15" s="8">
        <v>40725</v>
      </c>
      <c r="B15" s="11">
        <f>IF(VLOOKUP(A15,'DB Country PMI'!$A:$W,MATCH($A$1,'DB Country PMI'!$A$1:$W$1,),)=0,#N/A,VLOOKUP(A15,'DB Country PMI'!$A:$W,MATCH($A$1,'DB Country PMI'!$A$1:$W$1,),))</f>
        <v>45.3</v>
      </c>
      <c r="C15" s="14">
        <f>Table13468113456710[[#This Row],[PMI]]-B14</f>
        <v>-0.10000000000000142</v>
      </c>
    </row>
    <row r="16" spans="1:10" x14ac:dyDescent="0.2">
      <c r="A16" s="8">
        <v>40756</v>
      </c>
      <c r="B16" s="11">
        <f>IF(VLOOKUP(A16,'DB Country PMI'!$A:$W,MATCH($A$1,'DB Country PMI'!$A$1:$W$1,),)=0,#N/A,VLOOKUP(A16,'DB Country PMI'!$A:$W,MATCH($A$1,'DB Country PMI'!$A$1:$W$1,),))</f>
        <v>44.1</v>
      </c>
      <c r="C16" s="14">
        <f>Table13468113456710[[#This Row],[PMI]]-B15</f>
        <v>-1.1999999999999957</v>
      </c>
    </row>
    <row r="17" spans="1:3" x14ac:dyDescent="0.2">
      <c r="A17" s="8">
        <v>40787</v>
      </c>
      <c r="B17" s="11">
        <f>IF(VLOOKUP(A17,'DB Country PMI'!$A:$W,MATCH($A$1,'DB Country PMI'!$A$1:$W$1,),)=0,#N/A,VLOOKUP(A17,'DB Country PMI'!$A:$W,MATCH($A$1,'DB Country PMI'!$A$1:$W$1,),))</f>
        <v>46.4</v>
      </c>
      <c r="C17" s="14">
        <f>Table13468113456710[[#This Row],[PMI]]-B16</f>
        <v>2.2999999999999972</v>
      </c>
    </row>
    <row r="18" spans="1:3" x14ac:dyDescent="0.2">
      <c r="A18" s="8">
        <v>40817</v>
      </c>
      <c r="B18" s="11">
        <f>IF(VLOOKUP(A18,'DB Country PMI'!$A:$W,MATCH($A$1,'DB Country PMI'!$A$1:$W$1,),)=0,#N/A,VLOOKUP(A18,'DB Country PMI'!$A:$W,MATCH($A$1,'DB Country PMI'!$A$1:$W$1,),))</f>
        <v>52.3</v>
      </c>
      <c r="C18" s="14">
        <f>Table13468113456710[[#This Row],[PMI]]-B17</f>
        <v>5.8999999999999986</v>
      </c>
    </row>
    <row r="19" spans="1:3" x14ac:dyDescent="0.2">
      <c r="A19" s="8">
        <v>40848</v>
      </c>
      <c r="B19" s="11">
        <f>IF(VLOOKUP(A19,'DB Country PMI'!$A:$W,MATCH($A$1,'DB Country PMI'!$A$1:$W$1,),)=0,#N/A,VLOOKUP(A19,'DB Country PMI'!$A:$W,MATCH($A$1,'DB Country PMI'!$A$1:$W$1,),))</f>
        <v>49.5</v>
      </c>
      <c r="C19" s="14">
        <f>Table13468113456710[[#This Row],[PMI]]-B18</f>
        <v>-2.7999999999999972</v>
      </c>
    </row>
    <row r="20" spans="1:3" x14ac:dyDescent="0.2">
      <c r="A20" s="8">
        <v>40878</v>
      </c>
      <c r="B20" s="11">
        <f>IF(VLOOKUP(A20,'DB Country PMI'!$A:$W,MATCH($A$1,'DB Country PMI'!$A$1:$W$1,),)=0,#N/A,VLOOKUP(A20,'DB Country PMI'!$A:$W,MATCH($A$1,'DB Country PMI'!$A$1:$W$1,),))</f>
        <v>50.4</v>
      </c>
      <c r="C20" s="14">
        <f>Table13468113456710[[#This Row],[PMI]]-B19</f>
        <v>0.89999999999999858</v>
      </c>
    </row>
    <row r="21" spans="1:3" x14ac:dyDescent="0.2">
      <c r="A21" s="8">
        <v>40909</v>
      </c>
      <c r="B21" s="11">
        <f>IF(VLOOKUP(A21,'DB Country PMI'!$A:$W,MATCH($A$1,'DB Country PMI'!$A$1:$W$1,),)=0,#N/A,VLOOKUP(A21,'DB Country PMI'!$A:$W,MATCH($A$1,'DB Country PMI'!$A$1:$W$1,),))</f>
        <v>51</v>
      </c>
      <c r="C21" s="14">
        <f>Table13468113456710[[#This Row],[PMI]]-B20</f>
        <v>0.60000000000000142</v>
      </c>
    </row>
    <row r="22" spans="1:3" x14ac:dyDescent="0.2">
      <c r="A22" s="8">
        <v>40940</v>
      </c>
      <c r="B22" s="11">
        <f>IF(VLOOKUP(A22,'DB Country PMI'!$A:$W,MATCH($A$1,'DB Country PMI'!$A$1:$W$1,),)=0,#N/A,VLOOKUP(A22,'DB Country PMI'!$A:$W,MATCH($A$1,'DB Country PMI'!$A$1:$W$1,),))</f>
        <v>51.2</v>
      </c>
      <c r="C22" s="14">
        <f>Table13468113456710[[#This Row],[PMI]]-B21</f>
        <v>0.20000000000000284</v>
      </c>
    </row>
    <row r="23" spans="1:3" x14ac:dyDescent="0.2">
      <c r="A23" s="8">
        <v>40969</v>
      </c>
      <c r="B23" s="11">
        <f>IF(VLOOKUP(A23,'DB Country PMI'!$A:$W,MATCH($A$1,'DB Country PMI'!$A$1:$W$1,),)=0,#N/A,VLOOKUP(A23,'DB Country PMI'!$A:$W,MATCH($A$1,'DB Country PMI'!$A$1:$W$1,),))</f>
        <v>53.7</v>
      </c>
      <c r="C23" s="14">
        <f>Table13468113456710[[#This Row],[PMI]]-B22</f>
        <v>2.5</v>
      </c>
    </row>
    <row r="24" spans="1:3" x14ac:dyDescent="0.2">
      <c r="A24" s="8">
        <v>41000</v>
      </c>
      <c r="B24" s="11">
        <f>IF(VLOOKUP(A24,'DB Country PMI'!$A:$W,MATCH($A$1,'DB Country PMI'!$A$1:$W$1,),)=0,#N/A,VLOOKUP(A24,'DB Country PMI'!$A:$W,MATCH($A$1,'DB Country PMI'!$A$1:$W$1,),))</f>
        <v>51</v>
      </c>
      <c r="C24" s="14">
        <f>Table13468113456710[[#This Row],[PMI]]-B23</f>
        <v>-2.7000000000000028</v>
      </c>
    </row>
    <row r="25" spans="1:3" x14ac:dyDescent="0.2">
      <c r="A25" s="8">
        <v>41030</v>
      </c>
      <c r="B25" s="11">
        <f>IF(VLOOKUP(A25,'DB Country PMI'!$A:$W,MATCH($A$1,'DB Country PMI'!$A$1:$W$1,),)=0,#N/A,VLOOKUP(A25,'DB Country PMI'!$A:$W,MATCH($A$1,'DB Country PMI'!$A$1:$W$1,),))</f>
        <v>50.5</v>
      </c>
      <c r="C25" s="14">
        <f>Table13468113456710[[#This Row],[PMI]]-B24</f>
        <v>-0.5</v>
      </c>
    </row>
    <row r="26" spans="1:3" x14ac:dyDescent="0.2">
      <c r="A26" s="8">
        <v>41061</v>
      </c>
      <c r="B26" s="11">
        <f>IF(VLOOKUP(A26,'DB Country PMI'!$A:$W,MATCH($A$1,'DB Country PMI'!$A$1:$W$1,),)=0,#N/A,VLOOKUP(A26,'DB Country PMI'!$A:$W,MATCH($A$1,'DB Country PMI'!$A$1:$W$1,),))</f>
        <v>49.5</v>
      </c>
      <c r="C26" s="14">
        <f>Table13468113456710[[#This Row],[PMI]]-B25</f>
        <v>-1</v>
      </c>
    </row>
    <row r="27" spans="1:3" x14ac:dyDescent="0.2">
      <c r="A27" s="8">
        <v>41091</v>
      </c>
      <c r="B27" s="11">
        <f>IF(VLOOKUP(A27,'DB Country PMI'!$A:$W,MATCH($A$1,'DB Country PMI'!$A$1:$W$1,),)=0,#N/A,VLOOKUP(A27,'DB Country PMI'!$A:$W,MATCH($A$1,'DB Country PMI'!$A$1:$W$1,),))</f>
        <v>48.7</v>
      </c>
      <c r="C27" s="14">
        <f>Table13468113456710[[#This Row],[PMI]]-B26</f>
        <v>-0.79999999999999716</v>
      </c>
    </row>
    <row r="28" spans="1:3" x14ac:dyDescent="0.2">
      <c r="A28" s="8">
        <v>41122</v>
      </c>
      <c r="B28" s="11">
        <f>IF(VLOOKUP(A28,'DB Country PMI'!$A:$W,MATCH($A$1,'DB Country PMI'!$A$1:$W$1,),)=0,#N/A,VLOOKUP(A28,'DB Country PMI'!$A:$W,MATCH($A$1,'DB Country PMI'!$A$1:$W$1,),))</f>
        <v>47.5</v>
      </c>
      <c r="C28" s="14">
        <f>Table13468113456710[[#This Row],[PMI]]-B27</f>
        <v>-1.2000000000000028</v>
      </c>
    </row>
    <row r="29" spans="1:3" x14ac:dyDescent="0.2">
      <c r="A29" s="8">
        <v>41153</v>
      </c>
      <c r="B29" s="11">
        <f>IF(VLOOKUP(A29,'DB Country PMI'!$A:$W,MATCH($A$1,'DB Country PMI'!$A$1:$W$1,),)=0,#N/A,VLOOKUP(A29,'DB Country PMI'!$A:$W,MATCH($A$1,'DB Country PMI'!$A$1:$W$1,),))</f>
        <v>48.8</v>
      </c>
      <c r="C29" s="14">
        <f>Table13468113456710[[#This Row],[PMI]]-B28</f>
        <v>1.2999999999999972</v>
      </c>
    </row>
    <row r="30" spans="1:3" x14ac:dyDescent="0.2">
      <c r="A30" s="8">
        <v>41183</v>
      </c>
      <c r="B30" s="11">
        <f>IF(VLOOKUP(A30,'DB Country PMI'!$A:$W,MATCH($A$1,'DB Country PMI'!$A$1:$W$1,),)=0,#N/A,VLOOKUP(A30,'DB Country PMI'!$A:$W,MATCH($A$1,'DB Country PMI'!$A$1:$W$1,),))</f>
        <v>49.7</v>
      </c>
      <c r="C30" s="14">
        <f>Table13468113456710[[#This Row],[PMI]]-B29</f>
        <v>0.90000000000000568</v>
      </c>
    </row>
    <row r="31" spans="1:3" x14ac:dyDescent="0.2">
      <c r="A31" s="8">
        <v>41214</v>
      </c>
      <c r="B31" s="11">
        <f>IF(VLOOKUP(A31,'DB Country PMI'!$A:$W,MATCH($A$1,'DB Country PMI'!$A$1:$W$1,),)=0,#N/A,VLOOKUP(A31,'DB Country PMI'!$A:$W,MATCH($A$1,'DB Country PMI'!$A$1:$W$1,),))</f>
        <v>49.1</v>
      </c>
      <c r="C31" s="14">
        <f>Table13468113456710[[#This Row],[PMI]]-B30</f>
        <v>-0.60000000000000142</v>
      </c>
    </row>
    <row r="32" spans="1:3" x14ac:dyDescent="0.2">
      <c r="A32" s="8">
        <v>41244</v>
      </c>
      <c r="B32" s="11">
        <f>IF(VLOOKUP(A32,'DB Country PMI'!$A:$W,MATCH($A$1,'DB Country PMI'!$A$1:$W$1,),)=0,#N/A,VLOOKUP(A32,'DB Country PMI'!$A:$W,MATCH($A$1,'DB Country PMI'!$A$1:$W$1,),))</f>
        <v>50.1</v>
      </c>
      <c r="C32" s="14">
        <f>Table13468113456710[[#This Row],[PMI]]-B31</f>
        <v>1</v>
      </c>
    </row>
    <row r="33" spans="1:3" x14ac:dyDescent="0.2">
      <c r="A33" s="8">
        <v>41275</v>
      </c>
      <c r="B33" s="11">
        <f>IF(VLOOKUP(A33,'DB Country PMI'!$A:$W,MATCH($A$1,'DB Country PMI'!$A$1:$W$1,),)=0,#N/A,VLOOKUP(A33,'DB Country PMI'!$A:$W,MATCH($A$1,'DB Country PMI'!$A$1:$W$1,),))</f>
        <v>50.4</v>
      </c>
      <c r="C33" s="14">
        <f>Table13468113456710[[#This Row],[PMI]]-B32</f>
        <v>0.29999999999999716</v>
      </c>
    </row>
    <row r="34" spans="1:3" x14ac:dyDescent="0.2">
      <c r="A34" s="8">
        <v>41306</v>
      </c>
      <c r="B34" s="11">
        <f>IF(VLOOKUP(A34,'DB Country PMI'!$A:$W,MATCH($A$1,'DB Country PMI'!$A$1:$W$1,),)=0,#N/A,VLOOKUP(A34,'DB Country PMI'!$A:$W,MATCH($A$1,'DB Country PMI'!$A$1:$W$1,),))</f>
        <v>51.3</v>
      </c>
      <c r="C34" s="14">
        <f>Table13468113456710[[#This Row],[PMI]]-B33</f>
        <v>0.89999999999999858</v>
      </c>
    </row>
    <row r="35" spans="1:3" x14ac:dyDescent="0.2">
      <c r="A35" s="8">
        <v>41334</v>
      </c>
      <c r="B35" s="11">
        <f>IF(VLOOKUP(A35,'DB Country PMI'!$A:$W,MATCH($A$1,'DB Country PMI'!$A$1:$W$1,),)=0,#N/A,VLOOKUP(A35,'DB Country PMI'!$A:$W,MATCH($A$1,'DB Country PMI'!$A$1:$W$1,),))</f>
        <v>53.4</v>
      </c>
      <c r="C35" s="14">
        <f>Table13468113456710[[#This Row],[PMI]]-B34</f>
        <v>2.1000000000000014</v>
      </c>
    </row>
    <row r="36" spans="1:3" x14ac:dyDescent="0.2">
      <c r="A36" s="8">
        <v>41365</v>
      </c>
      <c r="B36" s="11">
        <f>IF(VLOOKUP(A36,'DB Country PMI'!$A:$W,MATCH($A$1,'DB Country PMI'!$A$1:$W$1,),)=0,#N/A,VLOOKUP(A36,'DB Country PMI'!$A:$W,MATCH($A$1,'DB Country PMI'!$A$1:$W$1,),))</f>
        <v>52.5</v>
      </c>
      <c r="C36" s="14">
        <f>Table13468113456710[[#This Row],[PMI]]-B35</f>
        <v>-0.89999999999999858</v>
      </c>
    </row>
    <row r="37" spans="1:3" x14ac:dyDescent="0.2">
      <c r="A37" s="8">
        <v>41395</v>
      </c>
      <c r="B37" s="11">
        <f>IF(VLOOKUP(A37,'DB Country PMI'!$A:$W,MATCH($A$1,'DB Country PMI'!$A$1:$W$1,),)=0,#N/A,VLOOKUP(A37,'DB Country PMI'!$A:$W,MATCH($A$1,'DB Country PMI'!$A$1:$W$1,),))</f>
        <v>54.8</v>
      </c>
      <c r="C37" s="14">
        <f>Table13468113456710[[#This Row],[PMI]]-B36</f>
        <v>2.2999999999999972</v>
      </c>
    </row>
    <row r="38" spans="1:3" x14ac:dyDescent="0.2">
      <c r="A38" s="8">
        <v>41426</v>
      </c>
      <c r="B38" s="11">
        <f>IF(VLOOKUP(A38,'DB Country PMI'!$A:$W,MATCH($A$1,'DB Country PMI'!$A$1:$W$1,),)=0,#N/A,VLOOKUP(A38,'DB Country PMI'!$A:$W,MATCH($A$1,'DB Country PMI'!$A$1:$W$1,),))</f>
        <v>52.1</v>
      </c>
      <c r="C38" s="14">
        <f>Table13468113456710[[#This Row],[PMI]]-B37</f>
        <v>-2.6999999999999957</v>
      </c>
    </row>
    <row r="39" spans="1:3" x14ac:dyDescent="0.2">
      <c r="A39" s="8">
        <v>41456</v>
      </c>
      <c r="B39" s="11">
        <f>IF(VLOOKUP(A39,'DB Country PMI'!$A:$W,MATCH($A$1,'DB Country PMI'!$A$1:$W$1,),)=0,#N/A,VLOOKUP(A39,'DB Country PMI'!$A:$W,MATCH($A$1,'DB Country PMI'!$A$1:$W$1,),))</f>
        <v>50.6</v>
      </c>
      <c r="C39" s="14">
        <f>Table13468113456710[[#This Row],[PMI]]-B38</f>
        <v>-1.5</v>
      </c>
    </row>
    <row r="40" spans="1:3" x14ac:dyDescent="0.2">
      <c r="A40" s="8">
        <v>41487</v>
      </c>
      <c r="B40" s="11">
        <f>IF(VLOOKUP(A40,'DB Country PMI'!$A:$W,MATCH($A$1,'DB Country PMI'!$A$1:$W$1,),)=0,#N/A,VLOOKUP(A40,'DB Country PMI'!$A:$W,MATCH($A$1,'DB Country PMI'!$A$1:$W$1,),))</f>
        <v>51.2</v>
      </c>
      <c r="C40" s="14">
        <f>Table13468113456710[[#This Row],[PMI]]-B39</f>
        <v>0.60000000000000142</v>
      </c>
    </row>
    <row r="41" spans="1:3" x14ac:dyDescent="0.2">
      <c r="A41" s="8">
        <v>41518</v>
      </c>
      <c r="B41" s="11">
        <f>IF(VLOOKUP(A41,'DB Country PMI'!$A:$W,MATCH($A$1,'DB Country PMI'!$A$1:$W$1,),)=0,#N/A,VLOOKUP(A41,'DB Country PMI'!$A:$W,MATCH($A$1,'DB Country PMI'!$A$1:$W$1,),))</f>
        <v>53</v>
      </c>
      <c r="C41" s="14">
        <f>Table13468113456710[[#This Row],[PMI]]-B40</f>
        <v>1.7999999999999972</v>
      </c>
    </row>
    <row r="42" spans="1:3" x14ac:dyDescent="0.2">
      <c r="A42" s="8">
        <v>41548</v>
      </c>
      <c r="B42" s="11">
        <f>IF(VLOOKUP(A42,'DB Country PMI'!$A:$W,MATCH($A$1,'DB Country PMI'!$A$1:$W$1,),)=0,#N/A,VLOOKUP(A42,'DB Country PMI'!$A:$W,MATCH($A$1,'DB Country PMI'!$A$1:$W$1,),))</f>
        <v>55.3</v>
      </c>
      <c r="C42" s="14">
        <f>Table13468113456710[[#This Row],[PMI]]-B41</f>
        <v>2.2999999999999972</v>
      </c>
    </row>
    <row r="43" spans="1:3" x14ac:dyDescent="0.2">
      <c r="A43" s="8">
        <v>41579</v>
      </c>
      <c r="B43" s="11">
        <f>IF(VLOOKUP(A43,'DB Country PMI'!$A:$W,MATCH($A$1,'DB Country PMI'!$A$1:$W$1,),)=0,#N/A,VLOOKUP(A43,'DB Country PMI'!$A:$W,MATCH($A$1,'DB Country PMI'!$A$1:$W$1,),))</f>
        <v>51.8</v>
      </c>
      <c r="C43" s="14">
        <f>Table13468113456710[[#This Row],[PMI]]-B42</f>
        <v>-3.5</v>
      </c>
    </row>
    <row r="44" spans="1:3" x14ac:dyDescent="0.2">
      <c r="A44" s="8">
        <v>41609</v>
      </c>
      <c r="B44" s="11">
        <f>IF(VLOOKUP(A44,'DB Country PMI'!$A:$W,MATCH($A$1,'DB Country PMI'!$A$1:$W$1,),)=0,#N/A,VLOOKUP(A44,'DB Country PMI'!$A:$W,MATCH($A$1,'DB Country PMI'!$A$1:$W$1,),))</f>
        <v>52.1</v>
      </c>
      <c r="C44" s="14">
        <f>Table13468113456710[[#This Row],[PMI]]-B43</f>
        <v>0.30000000000000426</v>
      </c>
    </row>
    <row r="45" spans="1:3" x14ac:dyDescent="0.2">
      <c r="A45" s="8">
        <v>41640</v>
      </c>
      <c r="B45" s="11">
        <f>IF(VLOOKUP(A45,'DB Country PMI'!$A:$W,MATCH($A$1,'DB Country PMI'!$A$1:$W$1,),)=0,#N/A,VLOOKUP(A45,'DB Country PMI'!$A:$W,MATCH($A$1,'DB Country PMI'!$A$1:$W$1,),))</f>
        <v>51.2</v>
      </c>
      <c r="C45" s="14">
        <f>Table13468113456710[[#This Row],[PMI]]-B44</f>
        <v>-0.89999999999999858</v>
      </c>
    </row>
    <row r="46" spans="1:3" x14ac:dyDescent="0.2">
      <c r="A46" s="8">
        <v>41671</v>
      </c>
      <c r="B46" s="11">
        <f>IF(VLOOKUP(A46,'DB Country PMI'!$A:$W,MATCH($A$1,'DB Country PMI'!$A$1:$W$1,),)=0,#N/A,VLOOKUP(A46,'DB Country PMI'!$A:$W,MATCH($A$1,'DB Country PMI'!$A$1:$W$1,),))</f>
        <v>49.3</v>
      </c>
      <c r="C46" s="14">
        <f>Table13468113456710[[#This Row],[PMI]]-B45</f>
        <v>-1.9000000000000057</v>
      </c>
    </row>
    <row r="47" spans="1:3" x14ac:dyDescent="0.2">
      <c r="A47" s="8">
        <v>41699</v>
      </c>
      <c r="B47" s="11">
        <f>IF(VLOOKUP(A47,'DB Country PMI'!$A:$W,MATCH($A$1,'DB Country PMI'!$A$1:$W$1,),)=0,#N/A,VLOOKUP(A47,'DB Country PMI'!$A:$W,MATCH($A$1,'DB Country PMI'!$A$1:$W$1,),))</f>
        <v>52.2</v>
      </c>
      <c r="C47" s="14">
        <f>Table13468113456710[[#This Row],[PMI]]-B46</f>
        <v>2.9000000000000057</v>
      </c>
    </row>
    <row r="48" spans="1:3" x14ac:dyDescent="0.2">
      <c r="A48" s="8">
        <v>41730</v>
      </c>
      <c r="B48" s="11">
        <f>IF(VLOOKUP(A48,'DB Country PMI'!$A:$W,MATCH($A$1,'DB Country PMI'!$A$1:$W$1,),)=0,#N/A,VLOOKUP(A48,'DB Country PMI'!$A:$W,MATCH($A$1,'DB Country PMI'!$A$1:$W$1,),))</f>
        <v>46.4</v>
      </c>
      <c r="C48" s="14">
        <f>Table13468113456710[[#This Row],[PMI]]-B47</f>
        <v>-5.8000000000000043</v>
      </c>
    </row>
    <row r="49" spans="1:3" x14ac:dyDescent="0.2">
      <c r="A49" s="8">
        <v>41760</v>
      </c>
      <c r="B49" s="11">
        <f>IF(VLOOKUP(A49,'DB Country PMI'!$A:$W,MATCH($A$1,'DB Country PMI'!$A$1:$W$1,),)=0,#N/A,VLOOKUP(A49,'DB Country PMI'!$A:$W,MATCH($A$1,'DB Country PMI'!$A$1:$W$1,),))</f>
        <v>49.3</v>
      </c>
      <c r="C49" s="14">
        <f>Table13468113456710[[#This Row],[PMI]]-B48</f>
        <v>2.8999999999999986</v>
      </c>
    </row>
    <row r="50" spans="1:3" x14ac:dyDescent="0.2">
      <c r="A50" s="8">
        <v>41791</v>
      </c>
      <c r="B50" s="11">
        <f>IF(VLOOKUP(A50,'DB Country PMI'!$A:$W,MATCH($A$1,'DB Country PMI'!$A$1:$W$1,),)=0,#N/A,VLOOKUP(A50,'DB Country PMI'!$A:$W,MATCH($A$1,'DB Country PMI'!$A$1:$W$1,),))</f>
        <v>49</v>
      </c>
      <c r="C50" s="14">
        <f>Table13468113456710[[#This Row],[PMI]]-B49</f>
        <v>-0.29999999999999716</v>
      </c>
    </row>
    <row r="51" spans="1:3" x14ac:dyDescent="0.2">
      <c r="A51" s="8">
        <v>41821</v>
      </c>
      <c r="B51" s="11">
        <f>IF(VLOOKUP(A51,'DB Country PMI'!$A:$W,MATCH($A$1,'DB Country PMI'!$A$1:$W$1,),)=0,#N/A,VLOOKUP(A51,'DB Country PMI'!$A:$W,MATCH($A$1,'DB Country PMI'!$A$1:$W$1,),))</f>
        <v>50.4</v>
      </c>
      <c r="C51" s="14">
        <f>Table13468113456710[[#This Row],[PMI]]-B50</f>
        <v>1.3999999999999986</v>
      </c>
    </row>
    <row r="52" spans="1:3" x14ac:dyDescent="0.2">
      <c r="A52" s="8">
        <v>41852</v>
      </c>
      <c r="B52" s="11">
        <f>IF(VLOOKUP(A52,'DB Country PMI'!$A:$W,MATCH($A$1,'DB Country PMI'!$A$1:$W$1,),)=0,#N/A,VLOOKUP(A52,'DB Country PMI'!$A:$W,MATCH($A$1,'DB Country PMI'!$A$1:$W$1,),))</f>
        <v>49.9</v>
      </c>
      <c r="C52" s="14">
        <f>Table13468113456710[[#This Row],[PMI]]-B51</f>
        <v>-0.5</v>
      </c>
    </row>
    <row r="53" spans="1:3" x14ac:dyDescent="0.2">
      <c r="A53" s="8">
        <v>41883</v>
      </c>
      <c r="B53" s="11">
        <f>IF(VLOOKUP(A53,'DB Country PMI'!$A:$W,MATCH($A$1,'DB Country PMI'!$A$1:$W$1,),)=0,#N/A,VLOOKUP(A53,'DB Country PMI'!$A:$W,MATCH($A$1,'DB Country PMI'!$A$1:$W$1,),))</f>
        <v>52.5</v>
      </c>
      <c r="C53" s="14">
        <f>Table13468113456710[[#This Row],[PMI]]-B52</f>
        <v>2.6000000000000014</v>
      </c>
    </row>
    <row r="54" spans="1:3" x14ac:dyDescent="0.2">
      <c r="A54" s="8">
        <v>41913</v>
      </c>
      <c r="B54" s="11">
        <f>IF(VLOOKUP(A54,'DB Country PMI'!$A:$W,MATCH($A$1,'DB Country PMI'!$A$1:$W$1,),)=0,#N/A,VLOOKUP(A54,'DB Country PMI'!$A:$W,MATCH($A$1,'DB Country PMI'!$A$1:$W$1,),))</f>
        <v>48.7</v>
      </c>
      <c r="C54" s="14">
        <f>Table13468113456710[[#This Row],[PMI]]-B53</f>
        <v>-3.7999999999999972</v>
      </c>
    </row>
    <row r="55" spans="1:3" x14ac:dyDescent="0.2">
      <c r="A55" s="8">
        <v>41944</v>
      </c>
      <c r="B55" s="11">
        <f>IF(VLOOKUP(A55,'DB Country PMI'!$A:$W,MATCH($A$1,'DB Country PMI'!$A$1:$W$1,),)=0,#N/A,VLOOKUP(A55,'DB Country PMI'!$A:$W,MATCH($A$1,'DB Country PMI'!$A$1:$W$1,),))</f>
        <v>50.6</v>
      </c>
      <c r="C55" s="14">
        <f>Table13468113456710[[#This Row],[PMI]]-B54</f>
        <v>1.8999999999999986</v>
      </c>
    </row>
    <row r="56" spans="1:3" x14ac:dyDescent="0.2">
      <c r="A56" s="8">
        <v>41974</v>
      </c>
      <c r="B56" s="11">
        <f>IF(VLOOKUP(A56,'DB Country PMI'!$A:$W,MATCH($A$1,'DB Country PMI'!$A$1:$W$1,),)=0,#N/A,VLOOKUP(A56,'DB Country PMI'!$A:$W,MATCH($A$1,'DB Country PMI'!$A$1:$W$1,),))</f>
        <v>51.7</v>
      </c>
      <c r="C56" s="14">
        <f>Table13468113456710[[#This Row],[PMI]]-B55</f>
        <v>1.1000000000000014</v>
      </c>
    </row>
    <row r="57" spans="1:3" x14ac:dyDescent="0.2">
      <c r="A57" s="8">
        <v>42005</v>
      </c>
      <c r="B57" s="11">
        <f>IF(VLOOKUP(A57,'DB Country PMI'!$A:$W,MATCH($A$1,'DB Country PMI'!$A$1:$W$1,),)=0,#N/A,VLOOKUP(A57,'DB Country PMI'!$A:$W,MATCH($A$1,'DB Country PMI'!$A$1:$W$1,),))</f>
        <v>51.3</v>
      </c>
      <c r="C57" s="14">
        <f>Table13468113456710[[#This Row],[PMI]]-B56</f>
        <v>-0.40000000000000568</v>
      </c>
    </row>
    <row r="58" spans="1:3" x14ac:dyDescent="0.2">
      <c r="A58" s="8">
        <v>42036</v>
      </c>
      <c r="B58" s="11">
        <f>IF(VLOOKUP(A58,'DB Country PMI'!$A:$W,MATCH($A$1,'DB Country PMI'!$A$1:$W$1,),)=0,#N/A,VLOOKUP(A58,'DB Country PMI'!$A:$W,MATCH($A$1,'DB Country PMI'!$A$1:$W$1,),))</f>
        <v>48.5</v>
      </c>
      <c r="C58" s="14">
        <f>Table13468113456710[[#This Row],[PMI]]-B57</f>
        <v>-2.7999999999999972</v>
      </c>
    </row>
    <row r="59" spans="1:3" x14ac:dyDescent="0.2">
      <c r="A59" s="8">
        <v>42064</v>
      </c>
      <c r="B59" s="11">
        <f>IF(VLOOKUP(A59,'DB Country PMI'!$A:$W,MATCH($A$1,'DB Country PMI'!$A$1:$W$1,),)=0,#N/A,VLOOKUP(A59,'DB Country PMI'!$A:$W,MATCH($A$1,'DB Country PMI'!$A$1:$W$1,),))</f>
        <v>48.4</v>
      </c>
      <c r="C59" s="14">
        <f>Table13468113456710[[#This Row],[PMI]]-B58</f>
        <v>-0.10000000000000142</v>
      </c>
    </row>
    <row r="60" spans="1:3" x14ac:dyDescent="0.2">
      <c r="A60" s="8">
        <v>42095</v>
      </c>
      <c r="B60" s="11">
        <f>IF(VLOOKUP(A60,'DB Country PMI'!$A:$W,MATCH($A$1,'DB Country PMI'!$A$1:$W$1,),)=0,#N/A,VLOOKUP(A60,'DB Country PMI'!$A:$W,MATCH($A$1,'DB Country PMI'!$A$1:$W$1,),))</f>
        <v>51.3</v>
      </c>
      <c r="C60" s="14">
        <f>Table13468113456710[[#This Row],[PMI]]-B59</f>
        <v>2.8999999999999986</v>
      </c>
    </row>
    <row r="61" spans="1:3" x14ac:dyDescent="0.2">
      <c r="A61" s="8">
        <v>42125</v>
      </c>
      <c r="B61" s="11">
        <f>IF(VLOOKUP(A61,'DB Country PMI'!$A:$W,MATCH($A$1,'DB Country PMI'!$A$1:$W$1,),)=0,#N/A,VLOOKUP(A61,'DB Country PMI'!$A:$W,MATCH($A$1,'DB Country PMI'!$A$1:$W$1,),))</f>
        <v>51.5</v>
      </c>
      <c r="C61" s="14">
        <f>Table13468113456710[[#This Row],[PMI]]-B60</f>
        <v>0.20000000000000284</v>
      </c>
    </row>
    <row r="62" spans="1:3" x14ac:dyDescent="0.2">
      <c r="A62" s="8">
        <v>42156</v>
      </c>
      <c r="B62" s="11">
        <f>IF(VLOOKUP(A62,'DB Country PMI'!$A:$W,MATCH($A$1,'DB Country PMI'!$A$1:$W$1,),)=0,#N/A,VLOOKUP(A62,'DB Country PMI'!$A:$W,MATCH($A$1,'DB Country PMI'!$A$1:$W$1,),))</f>
        <v>51.8</v>
      </c>
      <c r="C62" s="14">
        <f>Table13468113456710[[#This Row],[PMI]]-B61</f>
        <v>0.29999999999999716</v>
      </c>
    </row>
    <row r="63" spans="1:3" x14ac:dyDescent="0.2">
      <c r="A63" s="8">
        <v>42186</v>
      </c>
      <c r="B63" s="11">
        <f>IF(VLOOKUP(A63,'DB Country PMI'!$A:$W,MATCH($A$1,'DB Country PMI'!$A$1:$W$1,),)=0,#N/A,VLOOKUP(A63,'DB Country PMI'!$A:$W,MATCH($A$1,'DB Country PMI'!$A$1:$W$1,),))</f>
        <v>51.2</v>
      </c>
      <c r="C63" s="14">
        <f>Table13468113456710[[#This Row],[PMI]]-B62</f>
        <v>-0.59999999999999432</v>
      </c>
    </row>
    <row r="64" spans="1:3" x14ac:dyDescent="0.2">
      <c r="A64" s="8">
        <v>42217</v>
      </c>
      <c r="B64" s="11">
        <f>IF(VLOOKUP(A64,'DB Country PMI'!$A:$W,MATCH($A$1,'DB Country PMI'!$A$1:$W$1,),)=0,#N/A,VLOOKUP(A64,'DB Country PMI'!$A:$W,MATCH($A$1,'DB Country PMI'!$A$1:$W$1,),))</f>
        <v>53.7</v>
      </c>
      <c r="C64" s="14">
        <f>Table13468113456710[[#This Row],[PMI]]-B63</f>
        <v>2.5</v>
      </c>
    </row>
    <row r="65" spans="1:3" x14ac:dyDescent="0.2">
      <c r="A65" s="8">
        <v>42248</v>
      </c>
      <c r="B65" s="11">
        <f>IF(VLOOKUP(A65,'DB Country PMI'!$A:$W,MATCH($A$1,'DB Country PMI'!$A$1:$W$1,),)=0,#N/A,VLOOKUP(A65,'DB Country PMI'!$A:$W,MATCH($A$1,'DB Country PMI'!$A$1:$W$1,),))</f>
        <v>51.4</v>
      </c>
      <c r="C65" s="14">
        <f>Table13468113456710[[#This Row],[PMI]]-B64</f>
        <v>-2.3000000000000043</v>
      </c>
    </row>
    <row r="66" spans="1:3" x14ac:dyDescent="0.2">
      <c r="A66" s="8">
        <v>42278</v>
      </c>
      <c r="B66" s="11">
        <f>IF(VLOOKUP(A66,'DB Country PMI'!$A:$W,MATCH($A$1,'DB Country PMI'!$A$1:$W$1,),)=0,#N/A,VLOOKUP(A66,'DB Country PMI'!$A:$W,MATCH($A$1,'DB Country PMI'!$A$1:$W$1,),))</f>
        <v>52.2</v>
      </c>
      <c r="C66" s="14">
        <f>Table13468113456710[[#This Row],[PMI]]-B65</f>
        <v>0.80000000000000426</v>
      </c>
    </row>
    <row r="67" spans="1:3" x14ac:dyDescent="0.2">
      <c r="A67" s="8">
        <v>42309</v>
      </c>
      <c r="B67" s="11">
        <f>IF(VLOOKUP(A67,'DB Country PMI'!$A:$W,MATCH($A$1,'DB Country PMI'!$A$1:$W$1,),)=0,#N/A,VLOOKUP(A67,'DB Country PMI'!$A:$W,MATCH($A$1,'DB Country PMI'!$A$1:$W$1,),))</f>
        <v>51.6</v>
      </c>
      <c r="C67" s="14">
        <f>Table13468113456710[[#This Row],[PMI]]-B66</f>
        <v>-0.60000000000000142</v>
      </c>
    </row>
    <row r="68" spans="1:3" x14ac:dyDescent="0.2">
      <c r="A68" s="8">
        <v>42339</v>
      </c>
      <c r="B68" s="11">
        <f>IF(VLOOKUP(A68,'DB Country PMI'!$A:$W,MATCH($A$1,'DB Country PMI'!$A$1:$W$1,),)=0,#N/A,VLOOKUP(A68,'DB Country PMI'!$A:$W,MATCH($A$1,'DB Country PMI'!$A$1:$W$1,),))</f>
        <v>51.5</v>
      </c>
      <c r="C68" s="14">
        <f>Table13468113456710[[#This Row],[PMI]]-B67</f>
        <v>-0.10000000000000142</v>
      </c>
    </row>
    <row r="69" spans="1:3" x14ac:dyDescent="0.2">
      <c r="A69" s="8">
        <v>42370</v>
      </c>
      <c r="B69" s="11">
        <f>IF(VLOOKUP(A69,'DB Country PMI'!$A:$W,MATCH($A$1,'DB Country PMI'!$A$1:$W$1,),)=0,#N/A,VLOOKUP(A69,'DB Country PMI'!$A:$W,MATCH($A$1,'DB Country PMI'!$A$1:$W$1,),))</f>
        <v>52.4</v>
      </c>
      <c r="C69" s="14">
        <f>Table13468113456710[[#This Row],[PMI]]-B68</f>
        <v>0.89999999999999858</v>
      </c>
    </row>
    <row r="70" spans="1:3" x14ac:dyDescent="0.2">
      <c r="A70" s="8">
        <v>42401</v>
      </c>
      <c r="B70" s="11">
        <f>IF(VLOOKUP(A70,'DB Country PMI'!$A:$W,MATCH($A$1,'DB Country PMI'!$A$1:$W$1,),)=0,#N/A,VLOOKUP(A70,'DB Country PMI'!$A:$W,MATCH($A$1,'DB Country PMI'!$A$1:$W$1,),))</f>
        <v>51.2</v>
      </c>
      <c r="C70" s="14">
        <f>Table13468113456710[[#This Row],[PMI]]-B69</f>
        <v>-1.1999999999999957</v>
      </c>
    </row>
    <row r="71" spans="1:3" x14ac:dyDescent="0.2">
      <c r="A71" s="8">
        <v>42430</v>
      </c>
      <c r="B71" s="11">
        <f>IF(VLOOKUP(A71,'DB Country PMI'!$A:$W,MATCH($A$1,'DB Country PMI'!$A$1:$W$1,),)=0,#N/A,VLOOKUP(A71,'DB Country PMI'!$A:$W,MATCH($A$1,'DB Country PMI'!$A$1:$W$1,),))</f>
        <v>50</v>
      </c>
      <c r="C71" s="14">
        <f>Table13468113456710[[#This Row],[PMI]]-B70</f>
        <v>-1.2000000000000028</v>
      </c>
    </row>
    <row r="72" spans="1:3" x14ac:dyDescent="0.2">
      <c r="A72" s="8">
        <v>42461</v>
      </c>
      <c r="B72" s="11">
        <f>IF(VLOOKUP(A72,'DB Country PMI'!$A:$W,MATCH($A$1,'DB Country PMI'!$A$1:$W$1,),)=0,#N/A,VLOOKUP(A72,'DB Country PMI'!$A:$W,MATCH($A$1,'DB Country PMI'!$A$1:$W$1,),))</f>
        <v>49.3</v>
      </c>
      <c r="C72" s="14">
        <f>Table13468113456710[[#This Row],[PMI]]-B71</f>
        <v>-0.70000000000000284</v>
      </c>
    </row>
    <row r="73" spans="1:3" x14ac:dyDescent="0.2">
      <c r="A73" s="8">
        <v>42491</v>
      </c>
      <c r="B73" s="11">
        <f>IF(VLOOKUP(A73,'DB Country PMI'!$A:$W,MATCH($A$1,'DB Country PMI'!$A$1:$W$1,),)=0,#N/A,VLOOKUP(A73,'DB Country PMI'!$A:$W,MATCH($A$1,'DB Country PMI'!$A$1:$W$1,),))</f>
        <v>50.4</v>
      </c>
      <c r="C73" s="14">
        <f>Table13468113456710[[#This Row],[PMI]]-B72</f>
        <v>1.1000000000000014</v>
      </c>
    </row>
    <row r="74" spans="1:3" x14ac:dyDescent="0.2">
      <c r="A74" s="8">
        <v>42522</v>
      </c>
      <c r="B74" s="11">
        <f>IF(VLOOKUP(A74,'DB Country PMI'!$A:$W,MATCH($A$1,'DB Country PMI'!$A$1:$W$1,),)=0,#N/A,VLOOKUP(A74,'DB Country PMI'!$A:$W,MATCH($A$1,'DB Country PMI'!$A$1:$W$1,),))</f>
        <v>49.4</v>
      </c>
      <c r="C74" s="14">
        <f>Table13468113456710[[#This Row],[PMI]]-B73</f>
        <v>-1</v>
      </c>
    </row>
    <row r="75" spans="1:3" x14ac:dyDescent="0.2">
      <c r="A75" s="8">
        <v>42552</v>
      </c>
      <c r="B75" s="11">
        <f>IF(VLOOKUP(A75,'DB Country PMI'!$A:$W,MATCH($A$1,'DB Country PMI'!$A$1:$W$1,),)=0,#N/A,VLOOKUP(A75,'DB Country PMI'!$A:$W,MATCH($A$1,'DB Country PMI'!$A$1:$W$1,),))</f>
        <v>50.4</v>
      </c>
      <c r="C75" s="14">
        <f>Table13468113456710[[#This Row],[PMI]]-B74</f>
        <v>1</v>
      </c>
    </row>
    <row r="76" spans="1:3" x14ac:dyDescent="0.2">
      <c r="A76" s="8">
        <v>42583</v>
      </c>
      <c r="B76" s="11">
        <f>IF(VLOOKUP(A76,'DB Country PMI'!$A:$W,MATCH($A$1,'DB Country PMI'!$A$1:$W$1,),)=0,#N/A,VLOOKUP(A76,'DB Country PMI'!$A:$W,MATCH($A$1,'DB Country PMI'!$A$1:$W$1,),))</f>
        <v>49.6</v>
      </c>
      <c r="C76" s="14">
        <f>Table13468113456710[[#This Row],[PMI]]-B75</f>
        <v>-0.79999999999999716</v>
      </c>
    </row>
    <row r="77" spans="1:3" x14ac:dyDescent="0.2">
      <c r="A77" s="8">
        <v>42614</v>
      </c>
      <c r="B77" s="11">
        <f>IF(VLOOKUP(A77,'DB Country PMI'!$A:$W,MATCH($A$1,'DB Country PMI'!$A$1:$W$1,),)=0,#N/A,VLOOKUP(A77,'DB Country PMI'!$A:$W,MATCH($A$1,'DB Country PMI'!$A$1:$W$1,),))</f>
        <v>48.2</v>
      </c>
      <c r="C77" s="14">
        <f>Table13468113456710[[#This Row],[PMI]]-B76</f>
        <v>-1.3999999999999986</v>
      </c>
    </row>
    <row r="78" spans="1:3" x14ac:dyDescent="0.2">
      <c r="A78" s="8">
        <v>42644</v>
      </c>
      <c r="B78" s="11">
        <f>IF(VLOOKUP(A78,'DB Country PMI'!$A:$W,MATCH($A$1,'DB Country PMI'!$A$1:$W$1,),)=0,#N/A,VLOOKUP(A78,'DB Country PMI'!$A:$W,MATCH($A$1,'DB Country PMI'!$A$1:$W$1,),))</f>
        <v>50.5</v>
      </c>
      <c r="C78" s="14">
        <f>Table13468113456710[[#This Row],[PMI]]-B77</f>
        <v>2.2999999999999972</v>
      </c>
    </row>
    <row r="79" spans="1:3" x14ac:dyDescent="0.2">
      <c r="A79" s="8">
        <v>42675</v>
      </c>
      <c r="B79" s="11">
        <f>IF(VLOOKUP(A79,'DB Country PMI'!$A:$W,MATCH($A$1,'DB Country PMI'!$A$1:$W$1,),)=0,#N/A,VLOOKUP(A79,'DB Country PMI'!$A:$W,MATCH($A$1,'DB Country PMI'!$A$1:$W$1,),))</f>
        <v>51.8</v>
      </c>
      <c r="C79" s="14">
        <f>Table13468113456710[[#This Row],[PMI]]-B78</f>
        <v>1.2999999999999972</v>
      </c>
    </row>
    <row r="80" spans="1:3" x14ac:dyDescent="0.2">
      <c r="A80" s="8">
        <v>42705</v>
      </c>
      <c r="B80" s="11">
        <f>IF(VLOOKUP(A80,'DB Country PMI'!$A:$W,MATCH($A$1,'DB Country PMI'!$A$1:$W$1,),)=0,#N/A,VLOOKUP(A80,'DB Country PMI'!$A:$W,MATCH($A$1,'DB Country PMI'!$A$1:$W$1,),))</f>
        <v>52.3</v>
      </c>
      <c r="C80" s="14">
        <f>Table13468113456710[[#This Row],[PMI]]-B79</f>
        <v>0.5</v>
      </c>
    </row>
    <row r="81" spans="1:3" x14ac:dyDescent="0.2">
      <c r="A81" s="8">
        <v>42736</v>
      </c>
      <c r="B81" s="11">
        <f>IF(VLOOKUP(A81,'DB Country PMI'!$A:$W,MATCH($A$1,'DB Country PMI'!$A$1:$W$1,),)=0,#N/A,VLOOKUP(A81,'DB Country PMI'!$A:$W,MATCH($A$1,'DB Country PMI'!$A$1:$W$1,),))</f>
        <v>51.9</v>
      </c>
      <c r="C81" s="14">
        <f>Table13468113456710[[#This Row],[PMI]]-B80</f>
        <v>-0.39999999999999858</v>
      </c>
    </row>
    <row r="82" spans="1:3" x14ac:dyDescent="0.2">
      <c r="A82" s="8">
        <v>42767</v>
      </c>
      <c r="B82" s="11">
        <f>IF(VLOOKUP(A82,'DB Country PMI'!$A:$W,MATCH($A$1,'DB Country PMI'!$A$1:$W$1,),)=0,#N/A,VLOOKUP(A82,'DB Country PMI'!$A:$W,MATCH($A$1,'DB Country PMI'!$A$1:$W$1,),))</f>
        <v>51.3</v>
      </c>
      <c r="C82" s="14">
        <f>Table13468113456710[[#This Row],[PMI]]-B81</f>
        <v>-0.60000000000000142</v>
      </c>
    </row>
    <row r="83" spans="1:3" x14ac:dyDescent="0.2">
      <c r="A83" s="8">
        <v>42795</v>
      </c>
      <c r="B83" s="11">
        <f>IF(VLOOKUP(A83,'DB Country PMI'!$A:$W,MATCH($A$1,'DB Country PMI'!$A$1:$W$1,),)=0,#N/A,VLOOKUP(A83,'DB Country PMI'!$A:$W,MATCH($A$1,'DB Country PMI'!$A$1:$W$1,),))</f>
        <v>52.9</v>
      </c>
      <c r="C83" s="14">
        <f>Table13468113456710[[#This Row],[PMI]]-B82</f>
        <v>1.6000000000000014</v>
      </c>
    </row>
    <row r="84" spans="1:3" x14ac:dyDescent="0.2">
      <c r="A84" s="8">
        <v>42826</v>
      </c>
      <c r="B84" s="11">
        <f>IF(VLOOKUP(A84,'DB Country PMI'!$A:$W,MATCH($A$1,'DB Country PMI'!$A$1:$W$1,),)=0,#N/A,VLOOKUP(A84,'DB Country PMI'!$A:$W,MATCH($A$1,'DB Country PMI'!$A$1:$W$1,),))</f>
        <v>52.2</v>
      </c>
      <c r="C84" s="14">
        <f>Table13468113456710[[#This Row],[PMI]]-B83</f>
        <v>-0.69999999999999574</v>
      </c>
    </row>
    <row r="85" spans="1:3" x14ac:dyDescent="0.2">
      <c r="A85" s="8">
        <v>42856</v>
      </c>
      <c r="B85" s="11">
        <f>IF(VLOOKUP(A85,'DB Country PMI'!$A:$W,MATCH($A$1,'DB Country PMI'!$A$1:$W$1,),)=0,#N/A,VLOOKUP(A85,'DB Country PMI'!$A:$W,MATCH($A$1,'DB Country PMI'!$A$1:$W$1,),))</f>
        <v>53</v>
      </c>
      <c r="C85" s="14">
        <f>Table13468113456710[[#This Row],[PMI]]-B84</f>
        <v>0.79999999999999716</v>
      </c>
    </row>
    <row r="86" spans="1:3" x14ac:dyDescent="0.2">
      <c r="A86" s="8">
        <v>42887</v>
      </c>
      <c r="B86" s="11">
        <f>IF(VLOOKUP(A86,'DB Country PMI'!$A:$W,MATCH($A$1,'DB Country PMI'!$A$1:$W$1,),)=0,#N/A,VLOOKUP(A86,'DB Country PMI'!$A:$W,MATCH($A$1,'DB Country PMI'!$A$1:$W$1,),))</f>
        <v>53.3</v>
      </c>
      <c r="C86" s="14">
        <f>Table13468113456710[[#This Row],[PMI]]-B85</f>
        <v>0.29999999999999716</v>
      </c>
    </row>
    <row r="87" spans="1:3" x14ac:dyDescent="0.2">
      <c r="A87" s="8">
        <v>42917</v>
      </c>
      <c r="B87" s="11">
        <f>IF(VLOOKUP(A87,'DB Country PMI'!$A:$W,MATCH($A$1,'DB Country PMI'!$A$1:$W$1,),)=0,#N/A,VLOOKUP(A87,'DB Country PMI'!$A:$W,MATCH($A$1,'DB Country PMI'!$A$1:$W$1,),))</f>
        <v>52</v>
      </c>
      <c r="C87" s="14">
        <f>Table13468113456710[[#This Row],[PMI]]-B86</f>
        <v>-1.2999999999999972</v>
      </c>
    </row>
    <row r="88" spans="1:3" x14ac:dyDescent="0.2">
      <c r="A88" s="8">
        <v>42948</v>
      </c>
      <c r="B88" s="11">
        <f>IF(VLOOKUP(A88,'DB Country PMI'!$A:$W,MATCH($A$1,'DB Country PMI'!$A$1:$W$1,),)=0,#N/A,VLOOKUP(A88,'DB Country PMI'!$A:$W,MATCH($A$1,'DB Country PMI'!$A$1:$W$1,),))</f>
        <v>51.6</v>
      </c>
      <c r="C88" s="14">
        <f>Table13468113456710[[#This Row],[PMI]]-B87</f>
        <v>-0.39999999999999858</v>
      </c>
    </row>
    <row r="89" spans="1:3" x14ac:dyDescent="0.2">
      <c r="A89" s="8">
        <v>42979</v>
      </c>
      <c r="B89" s="11">
        <f>IF(VLOOKUP(A89,'DB Country PMI'!$A:$W,MATCH($A$1,'DB Country PMI'!$A$1:$W$1,),)=0,#N/A,VLOOKUP(A89,'DB Country PMI'!$A:$W,MATCH($A$1,'DB Country PMI'!$A$1:$W$1,),))</f>
        <v>51</v>
      </c>
      <c r="C89" s="14">
        <f>Table13468113456710[[#This Row],[PMI]]-B88</f>
        <v>-0.60000000000000142</v>
      </c>
    </row>
    <row r="90" spans="1:3" x14ac:dyDescent="0.2">
      <c r="A90" s="8">
        <v>43009</v>
      </c>
      <c r="B90" s="11">
        <f>IF(VLOOKUP(A90,'DB Country PMI'!$A:$W,MATCH($A$1,'DB Country PMI'!$A$1:$W$1,),)=0,#N/A,VLOOKUP(A90,'DB Country PMI'!$A:$W,MATCH($A$1,'DB Country PMI'!$A$1:$W$1,),))</f>
        <v>53.4</v>
      </c>
      <c r="C90" s="14">
        <f>Table13468113456710[[#This Row],[PMI]]-B89</f>
        <v>2.3999999999999986</v>
      </c>
    </row>
    <row r="91" spans="1:3" x14ac:dyDescent="0.2">
      <c r="A91" s="8">
        <v>43040</v>
      </c>
      <c r="B91" s="11">
        <f>IF(VLOOKUP(A91,'DB Country PMI'!$A:$W,MATCH($A$1,'DB Country PMI'!$A$1:$W$1,),)=0,#N/A,VLOOKUP(A91,'DB Country PMI'!$A:$W,MATCH($A$1,'DB Country PMI'!$A$1:$W$1,),))</f>
        <v>51.2</v>
      </c>
      <c r="C91" s="14">
        <f>Table13468113456710[[#This Row],[PMI]]-B90</f>
        <v>-2.1999999999999957</v>
      </c>
    </row>
    <row r="92" spans="1:3" x14ac:dyDescent="0.2">
      <c r="A92" s="8">
        <v>43070</v>
      </c>
      <c r="B92" s="11">
        <f>IF(VLOOKUP(A92,'DB Country PMI'!$A:$W,MATCH($A$1,'DB Country PMI'!$A$1:$W$1,),)=0,#N/A,VLOOKUP(A92,'DB Country PMI'!$A:$W,MATCH($A$1,'DB Country PMI'!$A$1:$W$1,),))</f>
        <v>51.1</v>
      </c>
      <c r="C92" s="14">
        <f>Table13468113456710[[#This Row],[PMI]]-B91</f>
        <v>-0.10000000000000142</v>
      </c>
    </row>
    <row r="93" spans="1:3" x14ac:dyDescent="0.2">
      <c r="A93" s="8">
        <v>43101</v>
      </c>
      <c r="B93" s="11">
        <f>IF(VLOOKUP(A93,'DB Country PMI'!$A:$W,MATCH($A$1,'DB Country PMI'!$A$1:$W$1,),)=0,#N/A,VLOOKUP(A93,'DB Country PMI'!$A:$W,MATCH($A$1,'DB Country PMI'!$A$1:$W$1,),))</f>
        <v>51.9</v>
      </c>
      <c r="C93" s="14">
        <f>Table13468113456710[[#This Row],[PMI]]-B92</f>
        <v>0.79999999999999716</v>
      </c>
    </row>
    <row r="94" spans="1:3" x14ac:dyDescent="0.2">
      <c r="A94" s="8">
        <v>43132</v>
      </c>
      <c r="B94" s="11">
        <f>IF(VLOOKUP(A94,'DB Country PMI'!$A:$W,MATCH($A$1,'DB Country PMI'!$A$1:$W$1,),)=0,#N/A,VLOOKUP(A94,'DB Country PMI'!$A:$W,MATCH($A$1,'DB Country PMI'!$A$1:$W$1,),))</f>
        <v>51.7</v>
      </c>
      <c r="C94" s="14">
        <f>Table13468113456710[[#This Row],[PMI]]-B93</f>
        <v>-0.19999999999999574</v>
      </c>
    </row>
    <row r="95" spans="1:3" x14ac:dyDescent="0.2">
      <c r="A95" s="8">
        <v>43160</v>
      </c>
      <c r="B95" s="11">
        <f>IF(VLOOKUP(A95,'DB Country PMI'!$A:$W,MATCH($A$1,'DB Country PMI'!$A$1:$W$1,),)=0,#N/A,VLOOKUP(A95,'DB Country PMI'!$A:$W,MATCH($A$1,'DB Country PMI'!$A$1:$W$1,),))</f>
        <v>50.9</v>
      </c>
      <c r="C95" s="14">
        <f>Table13468113456710[[#This Row],[PMI]]-B94</f>
        <v>-0.80000000000000426</v>
      </c>
    </row>
    <row r="96" spans="1:3" x14ac:dyDescent="0.2">
      <c r="A96" s="8">
        <v>43191</v>
      </c>
      <c r="B96" s="11">
        <f>IF(VLOOKUP(A96,'DB Country PMI'!$A:$W,MATCH($A$1,'DB Country PMI'!$A$1:$W$1,),)=0,#N/A,VLOOKUP(A96,'DB Country PMI'!$A:$W,MATCH($A$1,'DB Country PMI'!$A$1:$W$1,),))</f>
        <v>52.5</v>
      </c>
      <c r="C96" s="14">
        <f>Table13468113456710[[#This Row],[PMI]]-B95</f>
        <v>1.6000000000000014</v>
      </c>
    </row>
    <row r="97" spans="1:3" x14ac:dyDescent="0.2">
      <c r="A97" s="8">
        <v>43221</v>
      </c>
      <c r="B97" s="11">
        <f>IF(VLOOKUP(A97,'DB Country PMI'!$A:$W,MATCH($A$1,'DB Country PMI'!$A$1:$W$1,),)=0,#N/A,VLOOKUP(A97,'DB Country PMI'!$A:$W,MATCH($A$1,'DB Country PMI'!$A$1:$W$1,),))</f>
        <v>51</v>
      </c>
      <c r="C97" s="14">
        <f>Table13468113456710[[#This Row],[PMI]]-B96</f>
        <v>-1.5</v>
      </c>
    </row>
    <row r="98" spans="1:3" x14ac:dyDescent="0.2">
      <c r="A98" s="8">
        <v>43252</v>
      </c>
      <c r="B98" s="11">
        <f>IF(VLOOKUP(A98,'DB Country PMI'!$A:$W,MATCH($A$1,'DB Country PMI'!$A$1:$W$1,),)=0,#N/A,VLOOKUP(A98,'DB Country PMI'!$A:$W,MATCH($A$1,'DB Country PMI'!$A$1:$W$1,),))</f>
        <v>51.4</v>
      </c>
      <c r="C98" s="14">
        <f>Table13468113456710[[#This Row],[PMI]]-B97</f>
        <v>0.39999999999999858</v>
      </c>
    </row>
    <row r="99" spans="1:3" x14ac:dyDescent="0.2">
      <c r="A99" s="8">
        <v>43282</v>
      </c>
      <c r="B99" s="11">
        <f>IF(VLOOKUP(A99,'DB Country PMI'!$A:$W,MATCH($A$1,'DB Country PMI'!$A$1:$W$1,),)=0,#N/A,VLOOKUP(A99,'DB Country PMI'!$A:$W,MATCH($A$1,'DB Country PMI'!$A$1:$W$1,),))</f>
        <v>51.3</v>
      </c>
      <c r="C99" s="14">
        <f>Table13468113456710[[#This Row],[PMI]]-B98</f>
        <v>-0.10000000000000142</v>
      </c>
    </row>
    <row r="100" spans="1:3" x14ac:dyDescent="0.2">
      <c r="A100" s="8">
        <v>43313</v>
      </c>
      <c r="B100" s="11">
        <f>IF(VLOOKUP(A100,'DB Country PMI'!$A:$W,MATCH($A$1,'DB Country PMI'!$A$1:$W$1,),)=0,#N/A,VLOOKUP(A100,'DB Country PMI'!$A:$W,MATCH($A$1,'DB Country PMI'!$A$1:$W$1,),))</f>
        <v>51.5</v>
      </c>
      <c r="C100" s="14">
        <f>Table13468113456710[[#This Row],[PMI]]-B99</f>
        <v>0.20000000000000284</v>
      </c>
    </row>
    <row r="101" spans="1:3" x14ac:dyDescent="0.2">
      <c r="A101" s="8">
        <v>43344</v>
      </c>
      <c r="B101" s="11">
        <f>IF(VLOOKUP(A101,'DB Country PMI'!$A:$W,MATCH($A$1,'DB Country PMI'!$A$1:$W$1,),)=0,#N/A,VLOOKUP(A101,'DB Country PMI'!$A:$W,MATCH($A$1,'DB Country PMI'!$A$1:$W$1,),))</f>
        <v>50.2</v>
      </c>
      <c r="C101" s="14">
        <f>Table13468113456710[[#This Row],[PMI]]-B100</f>
        <v>-1.2999999999999972</v>
      </c>
    </row>
    <row r="102" spans="1:3" x14ac:dyDescent="0.2">
      <c r="A102" s="8">
        <v>43374</v>
      </c>
      <c r="B102" s="11">
        <f>IF(VLOOKUP(A102,'DB Country PMI'!$A:$W,MATCH($A$1,'DB Country PMI'!$A$1:$W$1,),)=0,#N/A,VLOOKUP(A102,'DB Country PMI'!$A:$W,MATCH($A$1,'DB Country PMI'!$A$1:$W$1,),))</f>
        <v>52.4</v>
      </c>
      <c r="C102" s="14">
        <f>Table13468113456710[[#This Row],[PMI]]-B101</f>
        <v>2.1999999999999957</v>
      </c>
    </row>
    <row r="103" spans="1:3" x14ac:dyDescent="0.2">
      <c r="A103" s="8">
        <v>43405</v>
      </c>
      <c r="B103" s="11">
        <f>IF(VLOOKUP(A103,'DB Country PMI'!$A:$W,MATCH($A$1,'DB Country PMI'!$A$1:$W$1,),)=0,#N/A,VLOOKUP(A103,'DB Country PMI'!$A:$W,MATCH($A$1,'DB Country PMI'!$A$1:$W$1,),))</f>
        <v>52.3</v>
      </c>
      <c r="C103" s="14">
        <f>Table13468113456710[[#This Row],[PMI]]-B102</f>
        <v>-0.10000000000000142</v>
      </c>
    </row>
    <row r="104" spans="1:3" x14ac:dyDescent="0.2">
      <c r="A104" s="8">
        <v>43435</v>
      </c>
      <c r="B104" s="11">
        <f>IF(VLOOKUP(A104,'DB Country PMI'!$A:$W,MATCH($A$1,'DB Country PMI'!$A$1:$W$1,),)=0,#N/A,VLOOKUP(A104,'DB Country PMI'!$A:$W,MATCH($A$1,'DB Country PMI'!$A$1:$W$1,),))</f>
        <v>51</v>
      </c>
      <c r="C104" s="14">
        <f>Table13468113456710[[#This Row],[PMI]]-B103</f>
        <v>-1.2999999999999972</v>
      </c>
    </row>
    <row r="105" spans="1:3" x14ac:dyDescent="0.2">
      <c r="A105" s="8">
        <v>43466</v>
      </c>
      <c r="B105" s="11">
        <f>IF(VLOOKUP(A105,'DB Country PMI'!$A:$W,MATCH($A$1,'DB Country PMI'!$A$1:$W$1,),)=0,#N/A,VLOOKUP(A105,'DB Country PMI'!$A:$W,MATCH($A$1,'DB Country PMI'!$A$1:$W$1,),))</f>
        <v>51.6</v>
      </c>
      <c r="C105" s="14">
        <f>Table13468113456710[[#This Row],[PMI]]-B104</f>
        <v>0.60000000000000142</v>
      </c>
    </row>
    <row r="106" spans="1:3" x14ac:dyDescent="0.2">
      <c r="A106" s="8">
        <v>43497</v>
      </c>
      <c r="B106" s="11">
        <f>IF(VLOOKUP(A106,'DB Country PMI'!$A:$W,MATCH($A$1,'DB Country PMI'!$A$1:$W$1,),)=0,#N/A,VLOOKUP(A106,'DB Country PMI'!$A:$W,MATCH($A$1,'DB Country PMI'!$A$1:$W$1,),))</f>
        <v>52.3</v>
      </c>
      <c r="C106" s="14">
        <f>Table13468113456710[[#This Row],[PMI]]-B105</f>
        <v>0.69999999999999574</v>
      </c>
    </row>
    <row r="107" spans="1:3" x14ac:dyDescent="0.2">
      <c r="A107" s="8">
        <v>43525</v>
      </c>
      <c r="B107" s="11">
        <f>IF(VLOOKUP(A107,'DB Country PMI'!$A:$W,MATCH($A$1,'DB Country PMI'!$A$1:$W$1,),)=0,#N/A,VLOOKUP(A107,'DB Country PMI'!$A:$W,MATCH($A$1,'DB Country PMI'!$A$1:$W$1,),))</f>
        <v>52</v>
      </c>
      <c r="C107" s="14">
        <f>Table13468113456710[[#This Row],[PMI]]-B106</f>
        <v>-0.29999999999999716</v>
      </c>
    </row>
    <row r="108" spans="1:3" x14ac:dyDescent="0.2">
      <c r="A108" s="8">
        <v>43556</v>
      </c>
      <c r="B108" s="11">
        <f>IF(VLOOKUP(A108,'DB Country PMI'!$A:$W,MATCH($A$1,'DB Country PMI'!$A$1:$W$1,),)=0,#N/A,VLOOKUP(A108,'DB Country PMI'!$A:$W,MATCH($A$1,'DB Country PMI'!$A$1:$W$1,),))</f>
        <v>51.8</v>
      </c>
      <c r="C108" s="14">
        <f>Table13468113456710[[#This Row],[PMI]]-B107</f>
        <v>-0.20000000000000284</v>
      </c>
    </row>
    <row r="109" spans="1:3" x14ac:dyDescent="0.2">
      <c r="A109" s="8">
        <v>43586</v>
      </c>
      <c r="B109" s="11">
        <f>IF(VLOOKUP(A109,'DB Country PMI'!$A:$W,MATCH($A$1,'DB Country PMI'!$A$1:$W$1,),)=0,#N/A,VLOOKUP(A109,'DB Country PMI'!$A:$W,MATCH($A$1,'DB Country PMI'!$A$1:$W$1,),))</f>
        <v>51.7</v>
      </c>
      <c r="C109" s="14">
        <f>Table13468113456710[[#This Row],[PMI]]-B108</f>
        <v>-9.9999999999994316E-2</v>
      </c>
    </row>
    <row r="110" spans="1:3" x14ac:dyDescent="0.2">
      <c r="A110" s="8">
        <v>43617</v>
      </c>
      <c r="B110" s="11">
        <f>IF(VLOOKUP(A110,'DB Country PMI'!$A:$W,MATCH($A$1,'DB Country PMI'!$A$1:$W$1,),)=0,#N/A,VLOOKUP(A110,'DB Country PMI'!$A:$W,MATCH($A$1,'DB Country PMI'!$A$1:$W$1,),))</f>
        <v>51.9</v>
      </c>
      <c r="C110" s="14">
        <f>Table13468113456710[[#This Row],[PMI]]-B109</f>
        <v>0.19999999999999574</v>
      </c>
    </row>
    <row r="111" spans="1:3" x14ac:dyDescent="0.2">
      <c r="A111" s="8">
        <v>43647</v>
      </c>
      <c r="B111" s="11">
        <f>IF(VLOOKUP(A111,'DB Country PMI'!$A:$W,MATCH($A$1,'DB Country PMI'!$A$1:$W$1,),)=0,#N/A,VLOOKUP(A111,'DB Country PMI'!$A:$W,MATCH($A$1,'DB Country PMI'!$A$1:$W$1,),))</f>
        <v>51.8</v>
      </c>
      <c r="C111" s="14">
        <f>Table13468113456710[[#This Row],[PMI]]-B110</f>
        <v>-0.10000000000000142</v>
      </c>
    </row>
    <row r="112" spans="1:3" x14ac:dyDescent="0.2">
      <c r="A112" s="8">
        <v>43678</v>
      </c>
      <c r="B112" s="11">
        <f>IF(VLOOKUP(A112,'DB Country PMI'!$A:$W,MATCH($A$1,'DB Country PMI'!$A$1:$W$1,),)=0,#N/A,VLOOKUP(A112,'DB Country PMI'!$A:$W,MATCH($A$1,'DB Country PMI'!$A$1:$W$1,),))</f>
        <v>53.3</v>
      </c>
      <c r="C112" s="14">
        <f>Table13468113456710[[#This Row],[PMI]]-B111</f>
        <v>1.5</v>
      </c>
    </row>
    <row r="113" spans="1:3" x14ac:dyDescent="0.2">
      <c r="A113" s="8">
        <v>43709</v>
      </c>
      <c r="B113" s="11">
        <f>IF(VLOOKUP(A113,'DB Country PMI'!$A:$W,MATCH($A$1,'DB Country PMI'!$A$1:$W$1,),)=0,#N/A,VLOOKUP(A113,'DB Country PMI'!$A:$W,MATCH($A$1,'DB Country PMI'!$A$1:$W$1,),))</f>
        <v>52.8</v>
      </c>
      <c r="C113" s="14">
        <f>Table13468113456710[[#This Row],[PMI]]-B112</f>
        <v>-0.5</v>
      </c>
    </row>
    <row r="114" spans="1:3" x14ac:dyDescent="0.2">
      <c r="A114" s="8">
        <v>43739</v>
      </c>
      <c r="B114" s="11">
        <f>IF(VLOOKUP(A114,'DB Country PMI'!$A:$W,MATCH($A$1,'DB Country PMI'!$A$1:$W$1,),)=0,#N/A,VLOOKUP(A114,'DB Country PMI'!$A:$W,MATCH($A$1,'DB Country PMI'!$A$1:$W$1,),))</f>
        <v>49.7</v>
      </c>
      <c r="C114" s="14">
        <f>Table13468113456710[[#This Row],[PMI]]-B113</f>
        <v>-3.0999999999999943</v>
      </c>
    </row>
    <row r="115" spans="1:3" x14ac:dyDescent="0.2">
      <c r="A115" s="8">
        <v>43770</v>
      </c>
      <c r="B115" s="11">
        <f>IF(VLOOKUP(A115,'DB Country PMI'!$A:$W,MATCH($A$1,'DB Country PMI'!$A$1:$W$1,),)=0,#N/A,VLOOKUP(A115,'DB Country PMI'!$A:$W,MATCH($A$1,'DB Country PMI'!$A$1:$W$1,),))</f>
        <v>50.3</v>
      </c>
      <c r="C115" s="14">
        <f>Table13468113456710[[#This Row],[PMI]]-B114</f>
        <v>0.59999999999999432</v>
      </c>
    </row>
    <row r="116" spans="1:3" x14ac:dyDescent="0.2">
      <c r="A116" s="8">
        <v>43800</v>
      </c>
      <c r="B116" s="11">
        <f>IF(VLOOKUP(A116,'DB Country PMI'!$A:$W,MATCH($A$1,'DB Country PMI'!$A$1:$W$1,),)=0,#N/A,VLOOKUP(A116,'DB Country PMI'!$A:$W,MATCH($A$1,'DB Country PMI'!$A$1:$W$1,),))</f>
        <v>49.4</v>
      </c>
      <c r="C116" s="14">
        <f>Table13468113456710[[#This Row],[PMI]]-B115</f>
        <v>-0.89999999999999858</v>
      </c>
    </row>
    <row r="117" spans="1:3" x14ac:dyDescent="0.2">
      <c r="A117" s="8">
        <v>43831</v>
      </c>
      <c r="B117" s="11">
        <f>IF(VLOOKUP(A117,'DB Country PMI'!$A:$W,MATCH($A$1,'DB Country PMI'!$A$1:$W$1,),)=0,#N/A,VLOOKUP(A117,'DB Country PMI'!$A:$W,MATCH($A$1,'DB Country PMI'!$A$1:$W$1,),))</f>
        <v>51</v>
      </c>
      <c r="C117" s="14">
        <f>Table13468113456710[[#This Row],[PMI]]-B116</f>
        <v>1.6000000000000014</v>
      </c>
    </row>
    <row r="118" spans="1:3" x14ac:dyDescent="0.2">
      <c r="A118" s="8">
        <v>43862</v>
      </c>
      <c r="B118" s="11">
        <f>IF(VLOOKUP(A118,'DB Country PMI'!$A:$W,MATCH($A$1,'DB Country PMI'!$A$1:$W$1,),)=0,#N/A,VLOOKUP(A118,'DB Country PMI'!$A:$W,MATCH($A$1,'DB Country PMI'!$A$1:$W$1,),))</f>
        <v>46.8</v>
      </c>
      <c r="C118" s="14">
        <f>Table13468113456710[[#This Row],[PMI]]-B117</f>
        <v>-4.2000000000000028</v>
      </c>
    </row>
    <row r="119" spans="1:3" x14ac:dyDescent="0.2">
      <c r="A119" s="8">
        <v>43891</v>
      </c>
      <c r="B119" s="11">
        <f>IF(VLOOKUP(A119,'DB Country PMI'!$A:$W,MATCH($A$1,'DB Country PMI'!$A$1:$W$1,),)=0,#N/A,VLOOKUP(A119,'DB Country PMI'!$A:$W,MATCH($A$1,'DB Country PMI'!$A$1:$W$1,),))</f>
        <v>33.799999999999997</v>
      </c>
      <c r="C119" s="14">
        <f>Table13468113456710[[#This Row],[PMI]]-B118</f>
        <v>-13</v>
      </c>
    </row>
    <row r="120" spans="1:3" x14ac:dyDescent="0.2">
      <c r="A120" s="8">
        <v>43922</v>
      </c>
      <c r="B120" s="11">
        <f>IF(VLOOKUP(A120,'DB Country PMI'!$A:$W,MATCH($A$1,'DB Country PMI'!$A$1:$W$1,),)=0,#N/A,VLOOKUP(A120,'DB Country PMI'!$A:$W,MATCH($A$1,'DB Country PMI'!$A$1:$W$1,),))</f>
        <v>22.8</v>
      </c>
      <c r="C120" s="14">
        <f>Table13468113456710[[#This Row],[PMI]]-B119</f>
        <v>-10.999999999999996</v>
      </c>
    </row>
    <row r="121" spans="1:3" x14ac:dyDescent="0.2">
      <c r="A121" s="8">
        <v>43952</v>
      </c>
      <c r="B121" s="11">
        <f>IF(VLOOKUP(A121,'DB Country PMI'!$A:$W,MATCH($A$1,'DB Country PMI'!$A$1:$W$1,),)=0,#N/A,VLOOKUP(A121,'DB Country PMI'!$A:$W,MATCH($A$1,'DB Country PMI'!$A$1:$W$1,),))</f>
        <v>26.5</v>
      </c>
      <c r="C121" s="14">
        <f>Table13468113456710[[#This Row],[PMI]]-B120</f>
        <v>3.6999999999999993</v>
      </c>
    </row>
    <row r="122" spans="1:3" x14ac:dyDescent="0.2">
      <c r="A122" s="8">
        <v>43983</v>
      </c>
      <c r="B122" s="11">
        <f>IF(VLOOKUP(A122,'DB Country PMI'!$A:$W,MATCH($A$1,'DB Country PMI'!$A$1:$W$1,),)=0,#N/A,VLOOKUP(A122,'DB Country PMI'!$A:$W,MATCH($A$1,'DB Country PMI'!$A$1:$W$1,),))</f>
        <v>45</v>
      </c>
      <c r="C122" s="14">
        <f>Table13468113456710[[#This Row],[PMI]]-B121</f>
        <v>18.5</v>
      </c>
    </row>
    <row r="123" spans="1:3" x14ac:dyDescent="0.2">
      <c r="A123" s="8">
        <v>44013</v>
      </c>
      <c r="B123" s="11">
        <f>IF(VLOOKUP(A123,'DB Country PMI'!$A:$W,MATCH($A$1,'DB Country PMI'!$A$1:$W$1,),)=0,#N/A,VLOOKUP(A123,'DB Country PMI'!$A:$W,MATCH($A$1,'DB Country PMI'!$A$1:$W$1,),))</f>
        <v>45.4</v>
      </c>
      <c r="C123" s="14">
        <f>Table13468113456710[[#This Row],[PMI]]-B122</f>
        <v>0.39999999999999858</v>
      </c>
    </row>
    <row r="124" spans="1:3" x14ac:dyDescent="0.2">
      <c r="A124" s="8">
        <v>44044</v>
      </c>
      <c r="B124" s="11">
        <f>IF(VLOOKUP(A124,'DB Country PMI'!$A:$W,MATCH($A$1,'DB Country PMI'!$A$1:$W$1,),)=0,#N/A,VLOOKUP(A124,'DB Country PMI'!$A:$W,MATCH($A$1,'DB Country PMI'!$A$1:$W$1,),))</f>
        <v>45</v>
      </c>
      <c r="C124" s="14">
        <f>Table13468113456710[[#This Row],[PMI]]-B123</f>
        <v>-0.39999999999999858</v>
      </c>
    </row>
    <row r="125" spans="1:3" x14ac:dyDescent="0.2">
      <c r="A125" s="8">
        <v>44075</v>
      </c>
      <c r="B125" s="11">
        <f>IF(VLOOKUP(A125,'DB Country PMI'!$A:$W,MATCH($A$1,'DB Country PMI'!$A$1:$W$1,),)=0,#N/A,VLOOKUP(A125,'DB Country PMI'!$A:$W,MATCH($A$1,'DB Country PMI'!$A$1:$W$1,),))</f>
        <v>46.9</v>
      </c>
      <c r="C125" s="14">
        <f>Table13468113456710[[#This Row],[PMI]]-B124</f>
        <v>1.8999999999999986</v>
      </c>
    </row>
    <row r="126" spans="1:3" x14ac:dyDescent="0.2">
      <c r="A126" s="8">
        <v>44105</v>
      </c>
      <c r="B126" s="11">
        <f>IF(VLOOKUP(A126,'DB Country PMI'!$A:$W,MATCH($A$1,'DB Country PMI'!$A$1:$W$1,),)=0,#N/A,VLOOKUP(A126,'DB Country PMI'!$A:$W,MATCH($A$1,'DB Country PMI'!$A$1:$W$1,),))</f>
        <v>47.7</v>
      </c>
      <c r="C126" s="14">
        <f>Table13468113456710[[#This Row],[PMI]]-B125</f>
        <v>0.80000000000000426</v>
      </c>
    </row>
    <row r="127" spans="1:3" x14ac:dyDescent="0.2">
      <c r="A127" s="8">
        <v>44136</v>
      </c>
      <c r="B127" s="11">
        <f>IF(VLOOKUP(A127,'DB Country PMI'!$A:$W,MATCH($A$1,'DB Country PMI'!$A$1:$W$1,),)=0,#N/A,VLOOKUP(A127,'DB Country PMI'!$A:$W,MATCH($A$1,'DB Country PMI'!$A$1:$W$1,),))</f>
        <v>47.8</v>
      </c>
      <c r="C127" s="14">
        <f>Table13468113456710[[#This Row],[PMI]]-B126</f>
        <v>9.9999999999994316E-2</v>
      </c>
    </row>
    <row r="128" spans="1:3" x14ac:dyDescent="0.2">
      <c r="A128" s="8">
        <v>44166</v>
      </c>
      <c r="B128" s="11">
        <f>IF(VLOOKUP(A128,'DB Country PMI'!$A:$W,MATCH($A$1,'DB Country PMI'!$A$1:$W$1,),)=0,#N/A,VLOOKUP(A128,'DB Country PMI'!$A:$W,MATCH($A$1,'DB Country PMI'!$A$1:$W$1,),))</f>
        <v>47.2</v>
      </c>
      <c r="C128" s="14">
        <f>Table13468113456710[[#This Row],[PMI]]-B127</f>
        <v>-0.59999999999999432</v>
      </c>
    </row>
    <row r="129" spans="1:3" x14ac:dyDescent="0.2">
      <c r="A129" s="8">
        <v>44197</v>
      </c>
      <c r="B129" s="11">
        <f>IF(VLOOKUP(A129,'DB Country PMI'!$A:$W,MATCH($A$1,'DB Country PMI'!$A$1:$W$1,),)=0,#N/A,VLOOKUP(A129,'DB Country PMI'!$A:$W,MATCH($A$1,'DB Country PMI'!$A$1:$W$1,),))</f>
        <v>46.1</v>
      </c>
      <c r="C129" s="14">
        <f>Table13468113456710[[#This Row],[PMI]]-B128</f>
        <v>-1.1000000000000014</v>
      </c>
    </row>
    <row r="130" spans="1:3" x14ac:dyDescent="0.2">
      <c r="A130" s="8">
        <v>44228</v>
      </c>
      <c r="B130" s="11">
        <f>IF(VLOOKUP(A130,'DB Country PMI'!$A:$W,MATCH($A$1,'DB Country PMI'!$A$1:$W$1,),)=0,#N/A,VLOOKUP(A130,'DB Country PMI'!$A:$W,MATCH($A$1,'DB Country PMI'!$A$1:$W$1,),))</f>
        <v>46.3</v>
      </c>
      <c r="C130" s="14">
        <f>Table13468113456710[[#This Row],[PMI]]-B129</f>
        <v>0.19999999999999574</v>
      </c>
    </row>
    <row r="131" spans="1:3" x14ac:dyDescent="0.2">
      <c r="A131" s="8">
        <v>44256</v>
      </c>
      <c r="B131" s="11">
        <f>IF(VLOOKUP(A131,'DB Country PMI'!$A:$W,MATCH($A$1,'DB Country PMI'!$A$1:$W$1,),)=0,#N/A,VLOOKUP(A131,'DB Country PMI'!$A:$W,MATCH($A$1,'DB Country PMI'!$A$1:$W$1,),))</f>
        <v>48.3</v>
      </c>
      <c r="C131" s="14">
        <f>Table13468113456710[[#This Row],[PMI]]-B130</f>
        <v>2</v>
      </c>
    </row>
    <row r="132" spans="1:3" x14ac:dyDescent="0.2">
      <c r="A132" s="8">
        <v>44287</v>
      </c>
      <c r="B132" s="11">
        <f>IF(VLOOKUP(A132,'DB Country PMI'!$A:$W,MATCH($A$1,'DB Country PMI'!$A$1:$W$1,),)=0,#N/A,VLOOKUP(A132,'DB Country PMI'!$A:$W,MATCH($A$1,'DB Country PMI'!$A$1:$W$1,),))</f>
        <v>49.5</v>
      </c>
      <c r="C132" s="14">
        <f>Table13468113456710[[#This Row],[PMI]]-B131</f>
        <v>1.2000000000000028</v>
      </c>
    </row>
    <row r="133" spans="1:3" x14ac:dyDescent="0.2">
      <c r="A133" s="8">
        <v>44317</v>
      </c>
      <c r="B133" s="11">
        <f>IF(VLOOKUP(A133,'DB Country PMI'!$A:$W,MATCH($A$1,'DB Country PMI'!$A$1:$W$1,),)=0,#N/A,VLOOKUP(A133,'DB Country PMI'!$A:$W,MATCH($A$1,'DB Country PMI'!$A$1:$W$1,),))</f>
        <v>46.5</v>
      </c>
      <c r="C133" s="14">
        <f>Table13468113456710[[#This Row],[PMI]]-B132</f>
        <v>-3</v>
      </c>
    </row>
    <row r="134" spans="1:3" x14ac:dyDescent="0.2">
      <c r="A134" s="8">
        <v>44348</v>
      </c>
      <c r="B134" s="11">
        <f>IF(VLOOKUP(A134,'DB Country PMI'!$A:$W,MATCH($A$1,'DB Country PMI'!$A$1:$W$1,),)=0,#N/A,VLOOKUP(A134,'DB Country PMI'!$A:$W,MATCH($A$1,'DB Country PMI'!$A$1:$W$1,),))</f>
        <v>48</v>
      </c>
      <c r="C134" s="14">
        <f>Table13468113456710[[#This Row],[PMI]]-B133</f>
        <v>1.5</v>
      </c>
    </row>
    <row r="135" spans="1:3" x14ac:dyDescent="0.2">
      <c r="A135" s="8">
        <v>44378</v>
      </c>
      <c r="B135" s="11">
        <f>IF(VLOOKUP(A135,'DB Country PMI'!$A:$W,MATCH($A$1,'DB Country PMI'!$A$1:$W$1,),)=0,#N/A,VLOOKUP(A135,'DB Country PMI'!$A:$W,MATCH($A$1,'DB Country PMI'!$A$1:$W$1,),))</f>
        <v>47.4</v>
      </c>
      <c r="C135" s="14">
        <f>Table13468113456710[[#This Row],[PMI]]-B134</f>
        <v>-0.60000000000000142</v>
      </c>
    </row>
    <row r="136" spans="1:3" x14ac:dyDescent="0.2">
      <c r="A136" s="8">
        <v>44409</v>
      </c>
      <c r="B136" s="11">
        <f>IF(VLOOKUP(A136,'DB Country PMI'!$A:$W,MATCH($A$1,'DB Country PMI'!$A$1:$W$1,),)=0,#N/A,VLOOKUP(A136,'DB Country PMI'!$A:$W,MATCH($A$1,'DB Country PMI'!$A$1:$W$1,),))</f>
        <v>42.9</v>
      </c>
      <c r="C136" s="14">
        <f>Table13468113456710[[#This Row],[PMI]]-B135</f>
        <v>-4.5</v>
      </c>
    </row>
    <row r="137" spans="1:3" x14ac:dyDescent="0.2">
      <c r="A137" s="8">
        <v>44440</v>
      </c>
      <c r="B137" s="11">
        <f>IF(VLOOKUP(A137,'DB Country PMI'!$A:$W,MATCH($A$1,'DB Country PMI'!$A$1:$W$1,),)=0,#N/A,VLOOKUP(A137,'DB Country PMI'!$A:$W,MATCH($A$1,'DB Country PMI'!$A$1:$W$1,),))</f>
        <v>47.8</v>
      </c>
      <c r="C137" s="14">
        <f>Table13468113456710[[#This Row],[PMI]]-B136</f>
        <v>4.8999999999999986</v>
      </c>
    </row>
    <row r="138" spans="1:3" x14ac:dyDescent="0.2">
      <c r="A138" s="8">
        <v>44470</v>
      </c>
      <c r="B138" s="11">
        <f>IF(VLOOKUP(A138,'DB Country PMI'!$A:$W,MATCH($A$1,'DB Country PMI'!$A$1:$W$1,),)=0,#N/A,VLOOKUP(A138,'DB Country PMI'!$A:$W,MATCH($A$1,'DB Country PMI'!$A$1:$W$1,),))</f>
        <v>50.7</v>
      </c>
      <c r="C138" s="14">
        <f>Table13468113456710[[#This Row],[PMI]]-B137</f>
        <v>2.9000000000000057</v>
      </c>
    </row>
    <row r="139" spans="1:3" x14ac:dyDescent="0.2">
      <c r="A139" s="8">
        <v>44501</v>
      </c>
      <c r="B139" s="11">
        <f>IF(VLOOKUP(A139,'DB Country PMI'!$A:$W,MATCH($A$1,'DB Country PMI'!$A$1:$W$1,),)=0,#N/A,VLOOKUP(A139,'DB Country PMI'!$A:$W,MATCH($A$1,'DB Country PMI'!$A$1:$W$1,),))</f>
        <v>53</v>
      </c>
      <c r="C139" s="14">
        <f>Table13468113456710[[#This Row],[PMI]]-B138</f>
        <v>2.2999999999999972</v>
      </c>
    </row>
    <row r="140" spans="1:3" x14ac:dyDescent="0.2">
      <c r="A140" s="8">
        <v>44531</v>
      </c>
      <c r="B140" s="11">
        <f>IF(VLOOKUP(A140,'DB Country PMI'!$A:$W,MATCH($A$1,'DB Country PMI'!$A$1:$W$1,),)=0,#N/A,VLOOKUP(A140,'DB Country PMI'!$A:$W,MATCH($A$1,'DB Country PMI'!$A$1:$W$1,),))</f>
        <v>52.1</v>
      </c>
      <c r="C140" s="14">
        <f>Table13468113456710[[#This Row],[PMI]]-B139</f>
        <v>-0.89999999999999858</v>
      </c>
    </row>
    <row r="141" spans="1:3" x14ac:dyDescent="0.2">
      <c r="A141" s="8">
        <v>44562</v>
      </c>
      <c r="B141" s="11">
        <f>IF(VLOOKUP(A141,'DB Country PMI'!$A:$W,MATCH($A$1,'DB Country PMI'!$A$1:$W$1,),)=0,#N/A,VLOOKUP(A141,'DB Country PMI'!$A:$W,MATCH($A$1,'DB Country PMI'!$A$1:$W$1,),))</f>
        <v>47.6</v>
      </c>
      <c r="C141" s="14">
        <f>Table13468113456710[[#This Row],[PMI]]-B140</f>
        <v>-4.5</v>
      </c>
    </row>
    <row r="142" spans="1:3" x14ac:dyDescent="0.2">
      <c r="A142" s="8">
        <v>44593</v>
      </c>
      <c r="B142" s="11">
        <f>IF(VLOOKUP(A142,'DB Country PMI'!$A:$W,MATCH($A$1,'DB Country PMI'!$A$1:$W$1,),)=0,#N/A,VLOOKUP(A142,'DB Country PMI'!$A:$W,MATCH($A$1,'DB Country PMI'!$A$1:$W$1,),))</f>
        <v>42.7</v>
      </c>
      <c r="C142" s="14">
        <f>Table13468113456710[[#This Row],[PMI]]-B141</f>
        <v>-4.8999999999999986</v>
      </c>
    </row>
    <row r="143" spans="1:3" x14ac:dyDescent="0.2">
      <c r="A143" s="8">
        <v>44621</v>
      </c>
      <c r="B143" s="11">
        <f>IF(VLOOKUP(A143,'DB Country PMI'!$A:$W,MATCH($A$1,'DB Country PMI'!$A$1:$W$1,),)=0,#N/A,VLOOKUP(A143,'DB Country PMI'!$A:$W,MATCH($A$1,'DB Country PMI'!$A$1:$W$1,),))</f>
        <v>48.7</v>
      </c>
      <c r="C143" s="14">
        <f>Table13468113456710[[#This Row],[PMI]]-B142</f>
        <v>6</v>
      </c>
    </row>
    <row r="144" spans="1:3" x14ac:dyDescent="0.2">
      <c r="A144" s="8">
        <v>44652</v>
      </c>
      <c r="B144" s="11">
        <f>IF(VLOOKUP(A144,'DB Country PMI'!$A:$W,MATCH($A$1,'DB Country PMI'!$A$1:$W$1,),)=0,#N/A,VLOOKUP(A144,'DB Country PMI'!$A:$W,MATCH($A$1,'DB Country PMI'!$A$1:$W$1,),))</f>
        <v>50.5</v>
      </c>
      <c r="C144" s="14">
        <f>Table13468113456710[[#This Row],[PMI]]-B143</f>
        <v>1.7999999999999972</v>
      </c>
    </row>
    <row r="145" spans="1:3" x14ac:dyDescent="0.2">
      <c r="A145" s="8">
        <v>44682</v>
      </c>
      <c r="B145" s="11">
        <f>IF(VLOOKUP(A145,'DB Country PMI'!$A:$W,MATCH($A$1,'DB Country PMI'!$A$1:$W$1,),)=0,#N/A,VLOOKUP(A145,'DB Country PMI'!$A:$W,MATCH($A$1,'DB Country PMI'!$A$1:$W$1,),))</f>
        <v>51.7</v>
      </c>
      <c r="C145" s="14">
        <f>Table13468113456710[[#This Row],[PMI]]-B144</f>
        <v>1.2000000000000028</v>
      </c>
    </row>
    <row r="146" spans="1:3" x14ac:dyDescent="0.2">
      <c r="A146" s="8">
        <v>44713</v>
      </c>
      <c r="B146" s="11">
        <f>IF(VLOOKUP(A146,'DB Country PMI'!$A:$W,MATCH($A$1,'DB Country PMI'!$A$1:$W$1,),)=0,#N/A,VLOOKUP(A146,'DB Country PMI'!$A:$W,MATCH($A$1,'DB Country PMI'!$A$1:$W$1,),))</f>
        <v>54.2</v>
      </c>
      <c r="C146" s="14">
        <f>Table13468113456710[[#This Row],[PMI]]-B145</f>
        <v>2.5</v>
      </c>
    </row>
    <row r="147" spans="1:3" x14ac:dyDescent="0.2">
      <c r="A147" s="8">
        <v>44743</v>
      </c>
      <c r="B147" s="11">
        <f>IF(VLOOKUP(A147,'DB Country PMI'!$A:$W,MATCH($A$1,'DB Country PMI'!$A$1:$W$1,),)=0,#N/A,VLOOKUP(A147,'DB Country PMI'!$A:$W,MATCH($A$1,'DB Country PMI'!$A$1:$W$1,),))</f>
        <v>50.3</v>
      </c>
      <c r="C147" s="14">
        <f>Table13468113456710[[#This Row],[PMI]]-B146</f>
        <v>-3.9000000000000057</v>
      </c>
    </row>
    <row r="148" spans="1:3" x14ac:dyDescent="0.2">
      <c r="A148" s="8">
        <v>44774</v>
      </c>
      <c r="B148" s="11">
        <f>IF(VLOOKUP(A148,'DB Country PMI'!$A:$W,MATCH($A$1,'DB Country PMI'!$A$1:$W$1,),)=0,#N/A,VLOOKUP(A148,'DB Country PMI'!$A:$W,MATCH($A$1,'DB Country PMI'!$A$1:$W$1,),))</f>
        <v>49.5</v>
      </c>
      <c r="C148" s="14">
        <f>Table13468113456710[[#This Row],[PMI]]-B147</f>
        <v>-0.79999999999999716</v>
      </c>
    </row>
    <row r="149" spans="1:3" x14ac:dyDescent="0.2">
      <c r="A149" s="8">
        <v>44805</v>
      </c>
      <c r="B149" s="11">
        <f>IF(VLOOKUP(A149,'DB Country PMI'!$A:$W,MATCH($A$1,'DB Country PMI'!$A$1:$W$1,),)=0,#N/A,VLOOKUP(A149,'DB Country PMI'!$A:$W,MATCH($A$1,'DB Country PMI'!$A$1:$W$1,),))</f>
        <v>52.2</v>
      </c>
      <c r="C149" s="14">
        <f>Table13468113456710[[#This Row],[PMI]]-B148</f>
        <v>2.7000000000000028</v>
      </c>
    </row>
    <row r="150" spans="1:3" x14ac:dyDescent="0.2">
      <c r="A150" s="8">
        <v>44835</v>
      </c>
      <c r="B150" s="11">
        <f>IF(VLOOKUP(A150,'DB Country PMI'!$A:$W,MATCH($A$1,'DB Country PMI'!$A$1:$W$1,),)=0,#N/A,VLOOKUP(A150,'DB Country PMI'!$A:$W,MATCH($A$1,'DB Country PMI'!$A$1:$W$1,),))</f>
        <v>53.2</v>
      </c>
      <c r="C150" s="14">
        <f>Table13468113456710[[#This Row],[PMI]]-B149</f>
        <v>1</v>
      </c>
    </row>
  </sheetData>
  <conditionalFormatting sqref="C7:C150">
    <cfRule type="colorScale" priority="1">
      <colorScale>
        <cfvo type="min"/>
        <cfvo type="percentile" val="50"/>
        <cfvo type="max"/>
        <color rgb="FFF8696B"/>
        <color rgb="FFFCFCFF"/>
        <color rgb="FF5A8AC6"/>
      </colorScale>
    </cfRule>
  </conditionalFormatting>
  <conditionalFormatting sqref="B6:B150">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dimension ref="A1:J150"/>
  <sheetViews>
    <sheetView zoomScale="160" zoomScaleNormal="160" workbookViewId="0">
      <pane ySplit="5" topLeftCell="A137" activePane="bottomLeft" state="frozen"/>
      <selection pane="bottomLeft" activeCell="A139" sqref="A139:C150"/>
    </sheetView>
  </sheetViews>
  <sheetFormatPr baseColWidth="10" defaultColWidth="9.1640625" defaultRowHeight="15" x14ac:dyDescent="0.2"/>
  <cols>
    <col min="1" max="1" width="13.5" style="49" customWidth="1"/>
    <col min="2" max="2" width="11.33203125" style="49" customWidth="1"/>
    <col min="3" max="11" width="9.1640625" style="49" customWidth="1"/>
    <col min="12" max="16384" width="9.1640625" style="49"/>
  </cols>
  <sheetData>
    <row r="1" spans="1:10" x14ac:dyDescent="0.2">
      <c r="A1" s="49" t="s">
        <v>28</v>
      </c>
      <c r="J1" s="49" t="s">
        <v>62</v>
      </c>
    </row>
    <row r="2" spans="1:10" x14ac:dyDescent="0.2">
      <c r="J2" s="49" t="s">
        <v>74</v>
      </c>
    </row>
    <row r="4" spans="1:10" ht="16" customHeight="1" thickBot="1" x14ac:dyDescent="0.25"/>
    <row r="5" spans="1:10" ht="16" customHeight="1" thickBot="1" x14ac:dyDescent="0.25">
      <c r="A5" s="12" t="s">
        <v>33</v>
      </c>
      <c r="B5" s="13" t="s">
        <v>60</v>
      </c>
      <c r="C5" s="13" t="s">
        <v>61</v>
      </c>
    </row>
    <row r="6" spans="1:10" x14ac:dyDescent="0.2">
      <c r="A6" s="10">
        <v>40452</v>
      </c>
      <c r="B6" s="11">
        <f>IF(VLOOKUP(A6,'DB Country PMI'!$A:$W,MATCH($A$1,'DB Country PMI'!$A$1:$W$1,),)=0,#N/A,VLOOKUP(A6,'DB Country PMI'!$A:$W,MATCH($A$1,'DB Country PMI'!$A$1:$W$1,),))</f>
        <v>51.8</v>
      </c>
      <c r="C6" s="11"/>
    </row>
    <row r="7" spans="1:10" x14ac:dyDescent="0.2">
      <c r="A7" s="8">
        <v>40483</v>
      </c>
      <c r="B7" s="11">
        <f>IF(VLOOKUP(A7,'DB Country PMI'!$A:$W,MATCH($A$1,'DB Country PMI'!$A$1:$W$1,),)=0,#N/A,VLOOKUP(A7,'DB Country PMI'!$A:$W,MATCH($A$1,'DB Country PMI'!$A$1:$W$1,),))</f>
        <v>52.1</v>
      </c>
      <c r="C7" s="14">
        <f>Table1346811345671012[[#This Row],[PMI]]-B6</f>
        <v>0.30000000000000426</v>
      </c>
    </row>
    <row r="8" spans="1:10" x14ac:dyDescent="0.2">
      <c r="A8" s="8">
        <v>40513</v>
      </c>
      <c r="B8" s="11">
        <f>IF(VLOOKUP(A8,'DB Country PMI'!$A:$W,MATCH($A$1,'DB Country PMI'!$A$1:$W$1,),)=0,#N/A,VLOOKUP(A8,'DB Country PMI'!$A:$W,MATCH($A$1,'DB Country PMI'!$A$1:$W$1,),))</f>
        <v>50.2</v>
      </c>
      <c r="C8" s="14">
        <f>Table1346811345671012[[#This Row],[PMI]]-B7</f>
        <v>-1.8999999999999986</v>
      </c>
    </row>
    <row r="9" spans="1:10" x14ac:dyDescent="0.2">
      <c r="A9" s="8">
        <v>40544</v>
      </c>
      <c r="B9" s="11">
        <f>IF(VLOOKUP(A9,'DB Country PMI'!$A:$W,MATCH($A$1,'DB Country PMI'!$A$1:$W$1,),)=0,#N/A,VLOOKUP(A9,'DB Country PMI'!$A:$W,MATCH($A$1,'DB Country PMI'!$A$1:$W$1,),))</f>
        <v>51.2</v>
      </c>
      <c r="C9" s="14">
        <f>Table1346811345671012[[#This Row],[PMI]]-B8</f>
        <v>1</v>
      </c>
    </row>
    <row r="10" spans="1:10" x14ac:dyDescent="0.2">
      <c r="A10" s="8">
        <v>40575</v>
      </c>
      <c r="B10" s="11">
        <f>IF(VLOOKUP(A10,'DB Country PMI'!$A:$W,MATCH($A$1,'DB Country PMI'!$A$1:$W$1,),)=0,#N/A,VLOOKUP(A10,'DB Country PMI'!$A:$W,MATCH($A$1,'DB Country PMI'!$A$1:$W$1,),))</f>
        <v>52.7</v>
      </c>
      <c r="C10" s="14">
        <f>Table1346811345671012[[#This Row],[PMI]]-B9</f>
        <v>1.5</v>
      </c>
    </row>
    <row r="11" spans="1:10" x14ac:dyDescent="0.2">
      <c r="A11" s="8">
        <v>40603</v>
      </c>
      <c r="B11" s="11">
        <f>IF(VLOOKUP(A11,'DB Country PMI'!$A:$W,MATCH($A$1,'DB Country PMI'!$A$1:$W$1,),)=0,#N/A,VLOOKUP(A11,'DB Country PMI'!$A:$W,MATCH($A$1,'DB Country PMI'!$A$1:$W$1,),))</f>
        <v>53.5</v>
      </c>
      <c r="C11" s="14">
        <f>Table1346811345671012[[#This Row],[PMI]]-B10</f>
        <v>0.79999999999999716</v>
      </c>
    </row>
    <row r="12" spans="1:10" x14ac:dyDescent="0.2">
      <c r="A12" s="8">
        <v>40634</v>
      </c>
      <c r="B12" s="11">
        <f>IF(VLOOKUP(A12,'DB Country PMI'!$A:$W,MATCH($A$1,'DB Country PMI'!$A$1:$W$1,),)=0,#N/A,VLOOKUP(A12,'DB Country PMI'!$A:$W,MATCH($A$1,'DB Country PMI'!$A$1:$W$1,),))</f>
        <v>53.2</v>
      </c>
      <c r="C12" s="14">
        <f>Table1346811345671012[[#This Row],[PMI]]-B11</f>
        <v>-0.29999999999999716</v>
      </c>
    </row>
    <row r="13" spans="1:10" x14ac:dyDescent="0.2">
      <c r="A13" s="8">
        <v>40664</v>
      </c>
      <c r="B13" s="11">
        <f>IF(VLOOKUP(A13,'DB Country PMI'!$A:$W,MATCH($A$1,'DB Country PMI'!$A$1:$W$1,),)=0,#N/A,VLOOKUP(A13,'DB Country PMI'!$A:$W,MATCH($A$1,'DB Country PMI'!$A$1:$W$1,),))</f>
        <v>53.3</v>
      </c>
      <c r="C13" s="14">
        <f>Table1346811345671012[[#This Row],[PMI]]-B12</f>
        <v>9.9999999999994316E-2</v>
      </c>
    </row>
    <row r="14" spans="1:10" x14ac:dyDescent="0.2">
      <c r="A14" s="8">
        <v>40695</v>
      </c>
      <c r="B14" s="11">
        <f>IF(VLOOKUP(A14,'DB Country PMI'!$A:$W,MATCH($A$1,'DB Country PMI'!$A$1:$W$1,),)=0,#N/A,VLOOKUP(A14,'DB Country PMI'!$A:$W,MATCH($A$1,'DB Country PMI'!$A$1:$W$1,),))</f>
        <v>52.1</v>
      </c>
      <c r="C14" s="14">
        <f>Table1346811345671012[[#This Row],[PMI]]-B13</f>
        <v>-1.1999999999999957</v>
      </c>
    </row>
    <row r="15" spans="1:10" x14ac:dyDescent="0.2">
      <c r="A15" s="8">
        <v>40725</v>
      </c>
      <c r="B15" s="11">
        <f>IF(VLOOKUP(A15,'DB Country PMI'!$A:$W,MATCH($A$1,'DB Country PMI'!$A$1:$W$1,),)=0,#N/A,VLOOKUP(A15,'DB Country PMI'!$A:$W,MATCH($A$1,'DB Country PMI'!$A$1:$W$1,),))</f>
        <v>53.7</v>
      </c>
      <c r="C15" s="14">
        <f>Table1346811345671012[[#This Row],[PMI]]-B14</f>
        <v>1.6000000000000014</v>
      </c>
    </row>
    <row r="16" spans="1:10" x14ac:dyDescent="0.2">
      <c r="A16" s="8">
        <v>40756</v>
      </c>
      <c r="B16" s="11">
        <f>IF(VLOOKUP(A16,'DB Country PMI'!$A:$W,MATCH($A$1,'DB Country PMI'!$A$1:$W$1,),)=0,#N/A,VLOOKUP(A16,'DB Country PMI'!$A:$W,MATCH($A$1,'DB Country PMI'!$A$1:$W$1,),))</f>
        <v>52.1</v>
      </c>
      <c r="C16" s="14">
        <f>Table1346811345671012[[#This Row],[PMI]]-B15</f>
        <v>-1.6000000000000014</v>
      </c>
    </row>
    <row r="17" spans="1:3" x14ac:dyDescent="0.2">
      <c r="A17" s="8">
        <v>40787</v>
      </c>
      <c r="B17" s="11">
        <f>IF(VLOOKUP(A17,'DB Country PMI'!$A:$W,MATCH($A$1,'DB Country PMI'!$A$1:$W$1,),)=0,#N/A,VLOOKUP(A17,'DB Country PMI'!$A:$W,MATCH($A$1,'DB Country PMI'!$A$1:$W$1,),))</f>
        <v>50.5</v>
      </c>
      <c r="C17" s="14">
        <f>Table1346811345671012[[#This Row],[PMI]]-B16</f>
        <v>-1.6000000000000014</v>
      </c>
    </row>
    <row r="18" spans="1:3" x14ac:dyDescent="0.2">
      <c r="A18" s="8">
        <v>40817</v>
      </c>
      <c r="B18" s="11">
        <f>IF(VLOOKUP(A18,'DB Country PMI'!$A:$W,MATCH($A$1,'DB Country PMI'!$A$1:$W$1,),)=0,#N/A,VLOOKUP(A18,'DB Country PMI'!$A:$W,MATCH($A$1,'DB Country PMI'!$A$1:$W$1,),))</f>
        <v>53.6</v>
      </c>
      <c r="C18" s="14">
        <f>Table1346811345671012[[#This Row],[PMI]]-B17</f>
        <v>3.1000000000000014</v>
      </c>
    </row>
    <row r="19" spans="1:3" x14ac:dyDescent="0.2">
      <c r="A19" s="8">
        <v>40848</v>
      </c>
      <c r="B19" s="11">
        <f>IF(VLOOKUP(A19,'DB Country PMI'!$A:$W,MATCH($A$1,'DB Country PMI'!$A$1:$W$1,),)=0,#N/A,VLOOKUP(A19,'DB Country PMI'!$A:$W,MATCH($A$1,'DB Country PMI'!$A$1:$W$1,),))</f>
        <v>52.6</v>
      </c>
      <c r="C19" s="14">
        <f>Table1346811345671012[[#This Row],[PMI]]-B18</f>
        <v>-1</v>
      </c>
    </row>
    <row r="20" spans="1:3" x14ac:dyDescent="0.2">
      <c r="A20" s="8">
        <v>40878</v>
      </c>
      <c r="B20" s="11">
        <f>IF(VLOOKUP(A20,'DB Country PMI'!$A:$W,MATCH($A$1,'DB Country PMI'!$A$1:$W$1,),)=0,#N/A,VLOOKUP(A20,'DB Country PMI'!$A:$W,MATCH($A$1,'DB Country PMI'!$A$1:$W$1,),))</f>
        <v>54.8</v>
      </c>
      <c r="C20" s="14">
        <f>Table1346811345671012[[#This Row],[PMI]]-B19</f>
        <v>2.1999999999999957</v>
      </c>
    </row>
    <row r="21" spans="1:3" x14ac:dyDescent="0.2">
      <c r="A21" s="8">
        <v>40909</v>
      </c>
      <c r="B21" s="11">
        <f>IF(VLOOKUP(A21,'DB Country PMI'!$A:$W,MATCH($A$1,'DB Country PMI'!$A$1:$W$1,),)=0,#N/A,VLOOKUP(A21,'DB Country PMI'!$A:$W,MATCH($A$1,'DB Country PMI'!$A$1:$W$1,),))</f>
        <v>55</v>
      </c>
      <c r="C21" s="14">
        <f>Table1346811345671012[[#This Row],[PMI]]-B20</f>
        <v>0.20000000000000284</v>
      </c>
    </row>
    <row r="22" spans="1:3" x14ac:dyDescent="0.2">
      <c r="A22" s="8">
        <v>40940</v>
      </c>
      <c r="B22" s="11">
        <f>IF(VLOOKUP(A22,'DB Country PMI'!$A:$W,MATCH($A$1,'DB Country PMI'!$A$1:$W$1,),)=0,#N/A,VLOOKUP(A22,'DB Country PMI'!$A:$W,MATCH($A$1,'DB Country PMI'!$A$1:$W$1,),))</f>
        <v>57.1</v>
      </c>
      <c r="C22" s="14">
        <f>Table1346811345671012[[#This Row],[PMI]]-B21</f>
        <v>2.1000000000000014</v>
      </c>
    </row>
    <row r="23" spans="1:3" x14ac:dyDescent="0.2">
      <c r="A23" s="8">
        <v>40969</v>
      </c>
      <c r="B23" s="11">
        <f>IF(VLOOKUP(A23,'DB Country PMI'!$A:$W,MATCH($A$1,'DB Country PMI'!$A$1:$W$1,),)=0,#N/A,VLOOKUP(A23,'DB Country PMI'!$A:$W,MATCH($A$1,'DB Country PMI'!$A$1:$W$1,),))</f>
        <v>53.8</v>
      </c>
      <c r="C23" s="14">
        <f>Table1346811345671012[[#This Row],[PMI]]-B22</f>
        <v>-3.3000000000000043</v>
      </c>
    </row>
    <row r="24" spans="1:3" x14ac:dyDescent="0.2">
      <c r="A24" s="8">
        <v>41000</v>
      </c>
      <c r="B24" s="11">
        <f>IF(VLOOKUP(A24,'DB Country PMI'!$A:$W,MATCH($A$1,'DB Country PMI'!$A$1:$W$1,),)=0,#N/A,VLOOKUP(A24,'DB Country PMI'!$A:$W,MATCH($A$1,'DB Country PMI'!$A$1:$W$1,),))</f>
        <v>54.4</v>
      </c>
      <c r="C24" s="14">
        <f>Table1346811345671012[[#This Row],[PMI]]-B23</f>
        <v>0.60000000000000142</v>
      </c>
    </row>
    <row r="25" spans="1:3" x14ac:dyDescent="0.2">
      <c r="A25" s="8">
        <v>41030</v>
      </c>
      <c r="B25" s="11">
        <f>IF(VLOOKUP(A25,'DB Country PMI'!$A:$W,MATCH($A$1,'DB Country PMI'!$A$1:$W$1,),)=0,#N/A,VLOOKUP(A25,'DB Country PMI'!$A:$W,MATCH($A$1,'DB Country PMI'!$A$1:$W$1,),))</f>
        <v>49.7</v>
      </c>
      <c r="C25" s="14">
        <f>Table1346811345671012[[#This Row],[PMI]]-B24</f>
        <v>-4.6999999999999957</v>
      </c>
    </row>
    <row r="26" spans="1:3" x14ac:dyDescent="0.2">
      <c r="A26" s="8">
        <v>41061</v>
      </c>
      <c r="B26" s="11">
        <f>IF(VLOOKUP(A26,'DB Country PMI'!$A:$W,MATCH($A$1,'DB Country PMI'!$A$1:$W$1,),)=0,#N/A,VLOOKUP(A26,'DB Country PMI'!$A:$W,MATCH($A$1,'DB Country PMI'!$A$1:$W$1,),))</f>
        <v>53</v>
      </c>
      <c r="C26" s="14">
        <f>Table1346811345671012[[#This Row],[PMI]]-B25</f>
        <v>3.2999999999999972</v>
      </c>
    </row>
    <row r="27" spans="1:3" x14ac:dyDescent="0.2">
      <c r="A27" s="8">
        <v>41091</v>
      </c>
      <c r="B27" s="11">
        <f>IF(VLOOKUP(A27,'DB Country PMI'!$A:$W,MATCH($A$1,'DB Country PMI'!$A$1:$W$1,),)=0,#N/A,VLOOKUP(A27,'DB Country PMI'!$A:$W,MATCH($A$1,'DB Country PMI'!$A$1:$W$1,),))</f>
        <v>48.9</v>
      </c>
      <c r="C27" s="14">
        <f>Table1346811345671012[[#This Row],[PMI]]-B26</f>
        <v>-4.1000000000000014</v>
      </c>
    </row>
    <row r="28" spans="1:3" x14ac:dyDescent="0.2">
      <c r="A28" s="8">
        <v>41122</v>
      </c>
      <c r="B28" s="11">
        <f>IF(VLOOKUP(A28,'DB Country PMI'!$A:$W,MATCH($A$1,'DB Country PMI'!$A$1:$W$1,),)=0,#N/A,VLOOKUP(A28,'DB Country PMI'!$A:$W,MATCH($A$1,'DB Country PMI'!$A$1:$W$1,),))</f>
        <v>48.1</v>
      </c>
      <c r="C28" s="14">
        <f>Table1346811345671012[[#This Row],[PMI]]-B27</f>
        <v>-0.79999999999999716</v>
      </c>
    </row>
    <row r="29" spans="1:3" x14ac:dyDescent="0.2">
      <c r="A29" s="8">
        <v>41153</v>
      </c>
      <c r="B29" s="11">
        <f>IF(VLOOKUP(A29,'DB Country PMI'!$A:$W,MATCH($A$1,'DB Country PMI'!$A$1:$W$1,),)=0,#N/A,VLOOKUP(A29,'DB Country PMI'!$A:$W,MATCH($A$1,'DB Country PMI'!$A$1:$W$1,),))</f>
        <v>52.8</v>
      </c>
      <c r="C29" s="14">
        <f>Table1346811345671012[[#This Row],[PMI]]-B28</f>
        <v>4.6999999999999957</v>
      </c>
    </row>
    <row r="30" spans="1:3" x14ac:dyDescent="0.2">
      <c r="A30" s="8">
        <v>41183</v>
      </c>
      <c r="B30" s="11">
        <f>IF(VLOOKUP(A30,'DB Country PMI'!$A:$W,MATCH($A$1,'DB Country PMI'!$A$1:$W$1,),)=0,#N/A,VLOOKUP(A30,'DB Country PMI'!$A:$W,MATCH($A$1,'DB Country PMI'!$A$1:$W$1,),))</f>
        <v>50.4</v>
      </c>
      <c r="C30" s="14">
        <f>Table1346811345671012[[#This Row],[PMI]]-B29</f>
        <v>-2.3999999999999986</v>
      </c>
    </row>
    <row r="31" spans="1:3" x14ac:dyDescent="0.2">
      <c r="A31" s="8">
        <v>41214</v>
      </c>
      <c r="B31" s="11">
        <f>IF(VLOOKUP(A31,'DB Country PMI'!$A:$W,MATCH($A$1,'DB Country PMI'!$A$1:$W$1,),)=0,#N/A,VLOOKUP(A31,'DB Country PMI'!$A:$W,MATCH($A$1,'DB Country PMI'!$A$1:$W$1,),))</f>
        <v>52.5</v>
      </c>
      <c r="C31" s="14">
        <f>Table1346811345671012[[#This Row],[PMI]]-B30</f>
        <v>2.1000000000000014</v>
      </c>
    </row>
    <row r="32" spans="1:3" x14ac:dyDescent="0.2">
      <c r="A32" s="8">
        <v>41244</v>
      </c>
      <c r="B32" s="11">
        <f>IF(VLOOKUP(A32,'DB Country PMI'!$A:$W,MATCH($A$1,'DB Country PMI'!$A$1:$W$1,),)=0,#N/A,VLOOKUP(A32,'DB Country PMI'!$A:$W,MATCH($A$1,'DB Country PMI'!$A$1:$W$1,),))</f>
        <v>53.2</v>
      </c>
      <c r="C32" s="14">
        <f>Table1346811345671012[[#This Row],[PMI]]-B31</f>
        <v>0.70000000000000284</v>
      </c>
    </row>
    <row r="33" spans="1:3" x14ac:dyDescent="0.2">
      <c r="A33" s="8">
        <v>41275</v>
      </c>
      <c r="B33" s="11">
        <f>IF(VLOOKUP(A33,'DB Country PMI'!$A:$W,MATCH($A$1,'DB Country PMI'!$A$1:$W$1,),)=0,#N/A,VLOOKUP(A33,'DB Country PMI'!$A:$W,MATCH($A$1,'DB Country PMI'!$A$1:$W$1,),))</f>
        <v>54.5</v>
      </c>
      <c r="C33" s="14">
        <f>Table1346811345671012[[#This Row],[PMI]]-B32</f>
        <v>1.2999999999999972</v>
      </c>
    </row>
    <row r="34" spans="1:3" x14ac:dyDescent="0.2">
      <c r="A34" s="8">
        <v>41306</v>
      </c>
      <c r="B34" s="11">
        <f>IF(VLOOKUP(A34,'DB Country PMI'!$A:$W,MATCH($A$1,'DB Country PMI'!$A$1:$W$1,),)=0,#N/A,VLOOKUP(A34,'DB Country PMI'!$A:$W,MATCH($A$1,'DB Country PMI'!$A$1:$W$1,),))</f>
        <v>52.1</v>
      </c>
      <c r="C34" s="14">
        <f>Table1346811345671012[[#This Row],[PMI]]-B33</f>
        <v>-2.3999999999999986</v>
      </c>
    </row>
    <row r="35" spans="1:3" x14ac:dyDescent="0.2">
      <c r="A35" s="8">
        <v>41334</v>
      </c>
      <c r="B35" s="11">
        <f>IF(VLOOKUP(A35,'DB Country PMI'!$A:$W,MATCH($A$1,'DB Country PMI'!$A$1:$W$1,),)=0,#N/A,VLOOKUP(A35,'DB Country PMI'!$A:$W,MATCH($A$1,'DB Country PMI'!$A$1:$W$1,),))</f>
        <v>50.3</v>
      </c>
      <c r="C35" s="14">
        <f>Table1346811345671012[[#This Row],[PMI]]-B34</f>
        <v>-1.8000000000000043</v>
      </c>
    </row>
    <row r="36" spans="1:3" x14ac:dyDescent="0.2">
      <c r="A36" s="8">
        <v>41365</v>
      </c>
      <c r="B36" s="11">
        <f>IF(VLOOKUP(A36,'DB Country PMI'!$A:$W,MATCH($A$1,'DB Country PMI'!$A$1:$W$1,),)=0,#N/A,VLOOKUP(A36,'DB Country PMI'!$A:$W,MATCH($A$1,'DB Country PMI'!$A$1:$W$1,),))</f>
        <v>51</v>
      </c>
      <c r="C36" s="14">
        <f>Table1346811345671012[[#This Row],[PMI]]-B35</f>
        <v>0.70000000000000284</v>
      </c>
    </row>
    <row r="37" spans="1:3" x14ac:dyDescent="0.2">
      <c r="A37" s="8">
        <v>41395</v>
      </c>
      <c r="B37" s="11">
        <f>IF(VLOOKUP(A37,'DB Country PMI'!$A:$W,MATCH($A$1,'DB Country PMI'!$A$1:$W$1,),)=0,#N/A,VLOOKUP(A37,'DB Country PMI'!$A:$W,MATCH($A$1,'DB Country PMI'!$A$1:$W$1,),))</f>
        <v>51</v>
      </c>
      <c r="C37" s="14">
        <f>Table1346811345671012[[#This Row],[PMI]]-B36</f>
        <v>0</v>
      </c>
    </row>
    <row r="38" spans="1:3" x14ac:dyDescent="0.2">
      <c r="A38" s="8">
        <v>41426</v>
      </c>
      <c r="B38" s="11">
        <f>IF(VLOOKUP(A38,'DB Country PMI'!$A:$W,MATCH($A$1,'DB Country PMI'!$A$1:$W$1,),)=0,#N/A,VLOOKUP(A38,'DB Country PMI'!$A:$W,MATCH($A$1,'DB Country PMI'!$A$1:$W$1,),))</f>
        <v>50.3</v>
      </c>
      <c r="C38" s="14">
        <f>Table1346811345671012[[#This Row],[PMI]]-B37</f>
        <v>-0.70000000000000284</v>
      </c>
    </row>
    <row r="39" spans="1:3" x14ac:dyDescent="0.2">
      <c r="A39" s="8">
        <v>41456</v>
      </c>
      <c r="B39" s="11">
        <f>IF(VLOOKUP(A39,'DB Country PMI'!$A:$W,MATCH($A$1,'DB Country PMI'!$A$1:$W$1,),)=0,#N/A,VLOOKUP(A39,'DB Country PMI'!$A:$W,MATCH($A$1,'DB Country PMI'!$A$1:$W$1,),))</f>
        <v>49.7</v>
      </c>
      <c r="C39" s="14">
        <f>Table1346811345671012[[#This Row],[PMI]]-B38</f>
        <v>-0.59999999999999432</v>
      </c>
    </row>
    <row r="40" spans="1:3" x14ac:dyDescent="0.2">
      <c r="A40" s="8">
        <v>41487</v>
      </c>
      <c r="B40" s="11">
        <f>IF(VLOOKUP(A40,'DB Country PMI'!$A:$W,MATCH($A$1,'DB Country PMI'!$A$1:$W$1,),)=0,#N/A,VLOOKUP(A40,'DB Country PMI'!$A:$W,MATCH($A$1,'DB Country PMI'!$A$1:$W$1,),))</f>
        <v>50.7</v>
      </c>
      <c r="C40" s="14">
        <f>Table1346811345671012[[#This Row],[PMI]]-B39</f>
        <v>1</v>
      </c>
    </row>
    <row r="41" spans="1:3" x14ac:dyDescent="0.2">
      <c r="A41" s="8">
        <v>41518</v>
      </c>
      <c r="B41" s="11">
        <f>IF(VLOOKUP(A41,'DB Country PMI'!$A:$W,MATCH($A$1,'DB Country PMI'!$A$1:$W$1,),)=0,#N/A,VLOOKUP(A41,'DB Country PMI'!$A:$W,MATCH($A$1,'DB Country PMI'!$A$1:$W$1,),))</f>
        <v>52.1</v>
      </c>
      <c r="C41" s="14">
        <f>Table1346811345671012[[#This Row],[PMI]]-B40</f>
        <v>1.3999999999999986</v>
      </c>
    </row>
    <row r="42" spans="1:3" x14ac:dyDescent="0.2">
      <c r="A42" s="8">
        <v>41548</v>
      </c>
      <c r="B42" s="11">
        <f>IF(VLOOKUP(A42,'DB Country PMI'!$A:$W,MATCH($A$1,'DB Country PMI'!$A$1:$W$1,),)=0,#N/A,VLOOKUP(A42,'DB Country PMI'!$A:$W,MATCH($A$1,'DB Country PMI'!$A$1:$W$1,),))</f>
        <v>52.3</v>
      </c>
      <c r="C42" s="14">
        <f>Table1346811345671012[[#This Row],[PMI]]-B41</f>
        <v>0.19999999999999574</v>
      </c>
    </row>
    <row r="43" spans="1:3" x14ac:dyDescent="0.2">
      <c r="A43" s="8">
        <v>41579</v>
      </c>
      <c r="B43" s="11">
        <f>IF(VLOOKUP(A43,'DB Country PMI'!$A:$W,MATCH($A$1,'DB Country PMI'!$A$1:$W$1,),)=0,#N/A,VLOOKUP(A43,'DB Country PMI'!$A:$W,MATCH($A$1,'DB Country PMI'!$A$1:$W$1,),))</f>
        <v>51.7</v>
      </c>
      <c r="C43" s="14">
        <f>Table1346811345671012[[#This Row],[PMI]]-B42</f>
        <v>-0.59999999999999432</v>
      </c>
    </row>
    <row r="44" spans="1:3" x14ac:dyDescent="0.2">
      <c r="A44" s="8">
        <v>41609</v>
      </c>
      <c r="B44" s="11">
        <f>IF(VLOOKUP(A44,'DB Country PMI'!$A:$W,MATCH($A$1,'DB Country PMI'!$A$1:$W$1,),)=0,#N/A,VLOOKUP(A44,'DB Country PMI'!$A:$W,MATCH($A$1,'DB Country PMI'!$A$1:$W$1,),))</f>
        <v>50.5</v>
      </c>
      <c r="C44" s="14">
        <f>Table1346811345671012[[#This Row],[PMI]]-B43</f>
        <v>-1.2000000000000028</v>
      </c>
    </row>
    <row r="45" spans="1:3" x14ac:dyDescent="0.2">
      <c r="A45" s="8">
        <v>41640</v>
      </c>
      <c r="B45" s="11">
        <f>IF(VLOOKUP(A45,'DB Country PMI'!$A:$W,MATCH($A$1,'DB Country PMI'!$A$1:$W$1,),)=0,#N/A,VLOOKUP(A45,'DB Country PMI'!$A:$W,MATCH($A$1,'DB Country PMI'!$A$1:$W$1,),))</f>
        <v>49.6</v>
      </c>
      <c r="C45" s="14">
        <f>Table1346811345671012[[#This Row],[PMI]]-B44</f>
        <v>-0.89999999999999858</v>
      </c>
    </row>
    <row r="46" spans="1:3" x14ac:dyDescent="0.2">
      <c r="A46" s="8">
        <v>41671</v>
      </c>
      <c r="B46" s="11">
        <f>IF(VLOOKUP(A46,'DB Country PMI'!$A:$W,MATCH($A$1,'DB Country PMI'!$A$1:$W$1,),)=0,#N/A,VLOOKUP(A46,'DB Country PMI'!$A:$W,MATCH($A$1,'DB Country PMI'!$A$1:$W$1,),))</f>
        <v>50.8</v>
      </c>
      <c r="C46" s="14">
        <f>Table1346811345671012[[#This Row],[PMI]]-B45</f>
        <v>1.1999999999999957</v>
      </c>
    </row>
    <row r="47" spans="1:3" x14ac:dyDescent="0.2">
      <c r="A47" s="8">
        <v>41699</v>
      </c>
      <c r="B47" s="11">
        <f>IF(VLOOKUP(A47,'DB Country PMI'!$A:$W,MATCH($A$1,'DB Country PMI'!$A$1:$W$1,),)=0,#N/A,VLOOKUP(A47,'DB Country PMI'!$A:$W,MATCH($A$1,'DB Country PMI'!$A$1:$W$1,),))</f>
        <v>51</v>
      </c>
      <c r="C47" s="14">
        <f>Table1346811345671012[[#This Row],[PMI]]-B46</f>
        <v>0.20000000000000284</v>
      </c>
    </row>
    <row r="48" spans="1:3" x14ac:dyDescent="0.2">
      <c r="A48" s="8">
        <v>41730</v>
      </c>
      <c r="B48" s="11">
        <f>IF(VLOOKUP(A48,'DB Country PMI'!$A:$W,MATCH($A$1,'DB Country PMI'!$A$1:$W$1,),)=0,#N/A,VLOOKUP(A48,'DB Country PMI'!$A:$W,MATCH($A$1,'DB Country PMI'!$A$1:$W$1,),))</f>
        <v>48.6</v>
      </c>
      <c r="C48" s="14">
        <f>Table1346811345671012[[#This Row],[PMI]]-B47</f>
        <v>-2.3999999999999986</v>
      </c>
    </row>
    <row r="49" spans="1:3" x14ac:dyDescent="0.2">
      <c r="A49" s="8">
        <v>41760</v>
      </c>
      <c r="B49" s="11">
        <f>IF(VLOOKUP(A49,'DB Country PMI'!$A:$W,MATCH($A$1,'DB Country PMI'!$A$1:$W$1,),)=0,#N/A,VLOOKUP(A49,'DB Country PMI'!$A:$W,MATCH($A$1,'DB Country PMI'!$A$1:$W$1,),))</f>
        <v>50.6</v>
      </c>
      <c r="C49" s="14">
        <f>Table1346811345671012[[#This Row],[PMI]]-B48</f>
        <v>2</v>
      </c>
    </row>
    <row r="50" spans="1:3" x14ac:dyDescent="0.2">
      <c r="A50" s="8">
        <v>41791</v>
      </c>
      <c r="B50" s="11">
        <f>IF(VLOOKUP(A50,'DB Country PMI'!$A:$W,MATCH($A$1,'DB Country PMI'!$A$1:$W$1,),)=0,#N/A,VLOOKUP(A50,'DB Country PMI'!$A:$W,MATCH($A$1,'DB Country PMI'!$A$1:$W$1,),))</f>
        <v>51.4</v>
      </c>
      <c r="C50" s="14">
        <f>Table1346811345671012[[#This Row],[PMI]]-B49</f>
        <v>0.79999999999999716</v>
      </c>
    </row>
    <row r="51" spans="1:3" x14ac:dyDescent="0.2">
      <c r="A51" s="8">
        <v>41821</v>
      </c>
      <c r="B51" s="11">
        <f>IF(VLOOKUP(A51,'DB Country PMI'!$A:$W,MATCH($A$1,'DB Country PMI'!$A$1:$W$1,),)=0,#N/A,VLOOKUP(A51,'DB Country PMI'!$A:$W,MATCH($A$1,'DB Country PMI'!$A$1:$W$1,),))</f>
        <v>50.2</v>
      </c>
      <c r="C51" s="14">
        <f>Table1346811345671012[[#This Row],[PMI]]-B50</f>
        <v>-1.1999999999999957</v>
      </c>
    </row>
    <row r="52" spans="1:3" x14ac:dyDescent="0.2">
      <c r="A52" s="8">
        <v>41852</v>
      </c>
      <c r="B52" s="11">
        <f>IF(VLOOKUP(A52,'DB Country PMI'!$A:$W,MATCH($A$1,'DB Country PMI'!$A$1:$W$1,),)=0,#N/A,VLOOKUP(A52,'DB Country PMI'!$A:$W,MATCH($A$1,'DB Country PMI'!$A$1:$W$1,),))</f>
        <v>49.2</v>
      </c>
      <c r="C52" s="14">
        <f>Table1346811345671012[[#This Row],[PMI]]-B51</f>
        <v>-1</v>
      </c>
    </row>
    <row r="53" spans="1:3" x14ac:dyDescent="0.2">
      <c r="A53" s="8">
        <v>41883</v>
      </c>
      <c r="B53" s="11">
        <f>IF(VLOOKUP(A53,'DB Country PMI'!$A:$W,MATCH($A$1,'DB Country PMI'!$A$1:$W$1,),)=0,#N/A,VLOOKUP(A53,'DB Country PMI'!$A:$W,MATCH($A$1,'DB Country PMI'!$A$1:$W$1,),))</f>
        <v>51.2</v>
      </c>
      <c r="C53" s="14">
        <f>Table1346811345671012[[#This Row],[PMI]]-B52</f>
        <v>2</v>
      </c>
    </row>
    <row r="54" spans="1:3" x14ac:dyDescent="0.2">
      <c r="A54" s="8">
        <v>41913</v>
      </c>
      <c r="B54" s="11">
        <f>IF(VLOOKUP(A54,'DB Country PMI'!$A:$W,MATCH($A$1,'DB Country PMI'!$A$1:$W$1,),)=0,#N/A,VLOOKUP(A54,'DB Country PMI'!$A:$W,MATCH($A$1,'DB Country PMI'!$A$1:$W$1,),))</f>
        <v>48.2</v>
      </c>
      <c r="C54" s="14">
        <f>Table1346811345671012[[#This Row],[PMI]]-B53</f>
        <v>-3</v>
      </c>
    </row>
    <row r="55" spans="1:3" x14ac:dyDescent="0.2">
      <c r="A55" s="8">
        <v>41944</v>
      </c>
      <c r="B55" s="11">
        <f>IF(VLOOKUP(A55,'DB Country PMI'!$A:$W,MATCH($A$1,'DB Country PMI'!$A$1:$W$1,),)=0,#N/A,VLOOKUP(A55,'DB Country PMI'!$A:$W,MATCH($A$1,'DB Country PMI'!$A$1:$W$1,),))</f>
        <v>48.5</v>
      </c>
      <c r="C55" s="14">
        <f>Table1346811345671012[[#This Row],[PMI]]-B54</f>
        <v>0.29999999999999716</v>
      </c>
    </row>
    <row r="56" spans="1:3" x14ac:dyDescent="0.2">
      <c r="A56" s="8">
        <v>41974</v>
      </c>
      <c r="B56" s="11">
        <f>IF(VLOOKUP(A56,'DB Country PMI'!$A:$W,MATCH($A$1,'DB Country PMI'!$A$1:$W$1,),)=0,#N/A,VLOOKUP(A56,'DB Country PMI'!$A:$W,MATCH($A$1,'DB Country PMI'!$A$1:$W$1,),))</f>
        <v>49.1</v>
      </c>
      <c r="C56" s="14">
        <f>Table1346811345671012[[#This Row],[PMI]]-B55</f>
        <v>0.60000000000000142</v>
      </c>
    </row>
    <row r="57" spans="1:3" x14ac:dyDescent="0.2">
      <c r="A57" s="8">
        <v>42005</v>
      </c>
      <c r="B57" s="11">
        <f>IF(VLOOKUP(A57,'DB Country PMI'!$A:$W,MATCH($A$1,'DB Country PMI'!$A$1:$W$1,),)=0,#N/A,VLOOKUP(A57,'DB Country PMI'!$A:$W,MATCH($A$1,'DB Country PMI'!$A$1:$W$1,),))</f>
        <v>48.4</v>
      </c>
      <c r="C57" s="14">
        <f>Table1346811345671012[[#This Row],[PMI]]-B56</f>
        <v>-0.70000000000000284</v>
      </c>
    </row>
    <row r="58" spans="1:3" x14ac:dyDescent="0.2">
      <c r="A58" s="8">
        <v>42036</v>
      </c>
      <c r="B58" s="11">
        <f>IF(VLOOKUP(A58,'DB Country PMI'!$A:$W,MATCH($A$1,'DB Country PMI'!$A$1:$W$1,),)=0,#N/A,VLOOKUP(A58,'DB Country PMI'!$A:$W,MATCH($A$1,'DB Country PMI'!$A$1:$W$1,),))</f>
        <v>52.3</v>
      </c>
      <c r="C58" s="14">
        <f>Table1346811345671012[[#This Row],[PMI]]-B57</f>
        <v>3.8999999999999986</v>
      </c>
    </row>
    <row r="59" spans="1:3" x14ac:dyDescent="0.2">
      <c r="A59" s="8">
        <v>42064</v>
      </c>
      <c r="B59" s="11">
        <f>IF(VLOOKUP(A59,'DB Country PMI'!$A:$W,MATCH($A$1,'DB Country PMI'!$A$1:$W$1,),)=0,#N/A,VLOOKUP(A59,'DB Country PMI'!$A:$W,MATCH($A$1,'DB Country PMI'!$A$1:$W$1,),))</f>
        <v>47.9</v>
      </c>
      <c r="C59" s="14">
        <f>Table1346811345671012[[#This Row],[PMI]]-B58</f>
        <v>-4.3999999999999986</v>
      </c>
    </row>
    <row r="60" spans="1:3" x14ac:dyDescent="0.2">
      <c r="A60" s="8">
        <v>42095</v>
      </c>
      <c r="B60" s="11">
        <f>IF(VLOOKUP(A60,'DB Country PMI'!$A:$W,MATCH($A$1,'DB Country PMI'!$A$1:$W$1,),)=0,#N/A,VLOOKUP(A60,'DB Country PMI'!$A:$W,MATCH($A$1,'DB Country PMI'!$A$1:$W$1,),))</f>
        <v>44.6</v>
      </c>
      <c r="C60" s="14">
        <f>Table1346811345671012[[#This Row],[PMI]]-B59</f>
        <v>-3.2999999999999972</v>
      </c>
    </row>
    <row r="61" spans="1:3" x14ac:dyDescent="0.2">
      <c r="A61" s="8">
        <v>42125</v>
      </c>
      <c r="B61" s="11">
        <f>IF(VLOOKUP(A61,'DB Country PMI'!$A:$W,MATCH($A$1,'DB Country PMI'!$A$1:$W$1,),)=0,#N/A,VLOOKUP(A61,'DB Country PMI'!$A:$W,MATCH($A$1,'DB Country PMI'!$A$1:$W$1,),))</f>
        <v>42.5</v>
      </c>
      <c r="C61" s="14">
        <f>Table1346811345671012[[#This Row],[PMI]]-B60</f>
        <v>-2.1000000000000014</v>
      </c>
    </row>
    <row r="62" spans="1:3" x14ac:dyDescent="0.2">
      <c r="A62" s="8">
        <v>42156</v>
      </c>
      <c r="B62" s="11">
        <f>IF(VLOOKUP(A62,'DB Country PMI'!$A:$W,MATCH($A$1,'DB Country PMI'!$A$1:$W$1,),)=0,#N/A,VLOOKUP(A62,'DB Country PMI'!$A:$W,MATCH($A$1,'DB Country PMI'!$A$1:$W$1,),))</f>
        <v>39.9</v>
      </c>
      <c r="C62" s="14">
        <f>Table1346811345671012[[#This Row],[PMI]]-B61</f>
        <v>-2.6000000000000014</v>
      </c>
    </row>
    <row r="63" spans="1:3" x14ac:dyDescent="0.2">
      <c r="A63" s="8">
        <v>42186</v>
      </c>
      <c r="B63" s="11">
        <f>IF(VLOOKUP(A63,'DB Country PMI'!$A:$W,MATCH($A$1,'DB Country PMI'!$A$1:$W$1,),)=0,#N/A,VLOOKUP(A63,'DB Country PMI'!$A:$W,MATCH($A$1,'DB Country PMI'!$A$1:$W$1,),))</f>
        <v>39.1</v>
      </c>
      <c r="C63" s="14">
        <f>Table1346811345671012[[#This Row],[PMI]]-B62</f>
        <v>-0.79999999999999716</v>
      </c>
    </row>
    <row r="64" spans="1:3" x14ac:dyDescent="0.2">
      <c r="A64" s="8">
        <v>42217</v>
      </c>
      <c r="B64" s="11">
        <f>IF(VLOOKUP(A64,'DB Country PMI'!$A:$W,MATCH($A$1,'DB Country PMI'!$A$1:$W$1,),)=0,#N/A,VLOOKUP(A64,'DB Country PMI'!$A:$W,MATCH($A$1,'DB Country PMI'!$A$1:$W$1,),))</f>
        <v>44.8</v>
      </c>
      <c r="C64" s="14">
        <f>Table1346811345671012[[#This Row],[PMI]]-B63</f>
        <v>5.6999999999999957</v>
      </c>
    </row>
    <row r="65" spans="1:3" x14ac:dyDescent="0.2">
      <c r="A65" s="8">
        <v>42248</v>
      </c>
      <c r="B65" s="11">
        <f>IF(VLOOKUP(A65,'DB Country PMI'!$A:$W,MATCH($A$1,'DB Country PMI'!$A$1:$W$1,),)=0,#N/A,VLOOKUP(A65,'DB Country PMI'!$A:$W,MATCH($A$1,'DB Country PMI'!$A$1:$W$1,),))</f>
        <v>41.7</v>
      </c>
      <c r="C65" s="14">
        <f>Table1346811345671012[[#This Row],[PMI]]-B64</f>
        <v>-3.0999999999999943</v>
      </c>
    </row>
    <row r="66" spans="1:3" x14ac:dyDescent="0.2">
      <c r="A66" s="8">
        <v>42278</v>
      </c>
      <c r="B66" s="11">
        <f>IF(VLOOKUP(A66,'DB Country PMI'!$A:$W,MATCH($A$1,'DB Country PMI'!$A$1:$W$1,),)=0,#N/A,VLOOKUP(A66,'DB Country PMI'!$A:$W,MATCH($A$1,'DB Country PMI'!$A$1:$W$1,),))</f>
        <v>43</v>
      </c>
      <c r="C66" s="14">
        <f>Table1346811345671012[[#This Row],[PMI]]-B65</f>
        <v>1.2999999999999972</v>
      </c>
    </row>
    <row r="67" spans="1:3" x14ac:dyDescent="0.2">
      <c r="A67" s="8">
        <v>42309</v>
      </c>
      <c r="B67" s="11">
        <f>IF(VLOOKUP(A67,'DB Country PMI'!$A:$W,MATCH($A$1,'DB Country PMI'!$A$1:$W$1,),)=0,#N/A,VLOOKUP(A67,'DB Country PMI'!$A:$W,MATCH($A$1,'DB Country PMI'!$A$1:$W$1,),))</f>
        <v>45.5</v>
      </c>
      <c r="C67" s="14">
        <f>Table1346811345671012[[#This Row],[PMI]]-B66</f>
        <v>2.5</v>
      </c>
    </row>
    <row r="68" spans="1:3" x14ac:dyDescent="0.2">
      <c r="A68" s="8">
        <v>42339</v>
      </c>
      <c r="B68" s="11">
        <f>IF(VLOOKUP(A68,'DB Country PMI'!$A:$W,MATCH($A$1,'DB Country PMI'!$A$1:$W$1,),)=0,#N/A,VLOOKUP(A68,'DB Country PMI'!$A:$W,MATCH($A$1,'DB Country PMI'!$A$1:$W$1,),))</f>
        <v>43.5</v>
      </c>
      <c r="C68" s="14">
        <f>Table1346811345671012[[#This Row],[PMI]]-B67</f>
        <v>-2</v>
      </c>
    </row>
    <row r="69" spans="1:3" x14ac:dyDescent="0.2">
      <c r="A69" s="8">
        <v>42370</v>
      </c>
      <c r="B69" s="11">
        <f>IF(VLOOKUP(A69,'DB Country PMI'!$A:$W,MATCH($A$1,'DB Country PMI'!$A$1:$W$1,),)=0,#N/A,VLOOKUP(A69,'DB Country PMI'!$A:$W,MATCH($A$1,'DB Country PMI'!$A$1:$W$1,),))</f>
        <v>44.4</v>
      </c>
      <c r="C69" s="14">
        <f>Table1346811345671012[[#This Row],[PMI]]-B68</f>
        <v>0.89999999999999858</v>
      </c>
    </row>
    <row r="70" spans="1:3" x14ac:dyDescent="0.2">
      <c r="A70" s="8">
        <v>42401</v>
      </c>
      <c r="B70" s="11">
        <f>IF(VLOOKUP(A70,'DB Country PMI'!$A:$W,MATCH($A$1,'DB Country PMI'!$A$1:$W$1,),)=0,#N/A,VLOOKUP(A70,'DB Country PMI'!$A:$W,MATCH($A$1,'DB Country PMI'!$A$1:$W$1,),))</f>
        <v>36.9</v>
      </c>
      <c r="C70" s="14">
        <f>Table1346811345671012[[#This Row],[PMI]]-B69</f>
        <v>-7.5</v>
      </c>
    </row>
    <row r="71" spans="1:3" x14ac:dyDescent="0.2">
      <c r="A71" s="8">
        <v>42430</v>
      </c>
      <c r="B71" s="11">
        <f>IF(VLOOKUP(A71,'DB Country PMI'!$A:$W,MATCH($A$1,'DB Country PMI'!$A$1:$W$1,),)=0,#N/A,VLOOKUP(A71,'DB Country PMI'!$A:$W,MATCH($A$1,'DB Country PMI'!$A$1:$W$1,),))</f>
        <v>38.6</v>
      </c>
      <c r="C71" s="14">
        <f>Table1346811345671012[[#This Row],[PMI]]-B70</f>
        <v>1.7000000000000028</v>
      </c>
    </row>
    <row r="72" spans="1:3" x14ac:dyDescent="0.2">
      <c r="A72" s="8">
        <v>42461</v>
      </c>
      <c r="B72" s="11">
        <f>IF(VLOOKUP(A72,'DB Country PMI'!$A:$W,MATCH($A$1,'DB Country PMI'!$A$1:$W$1,),)=0,#N/A,VLOOKUP(A72,'DB Country PMI'!$A:$W,MATCH($A$1,'DB Country PMI'!$A$1:$W$1,),))</f>
        <v>37.4</v>
      </c>
      <c r="C72" s="14">
        <f>Table1346811345671012[[#This Row],[PMI]]-B71</f>
        <v>-1.2000000000000028</v>
      </c>
    </row>
    <row r="73" spans="1:3" x14ac:dyDescent="0.2">
      <c r="A73" s="8">
        <v>42491</v>
      </c>
      <c r="B73" s="11">
        <f>IF(VLOOKUP(A73,'DB Country PMI'!$A:$W,MATCH($A$1,'DB Country PMI'!$A$1:$W$1,),)=0,#N/A,VLOOKUP(A73,'DB Country PMI'!$A:$W,MATCH($A$1,'DB Country PMI'!$A$1:$W$1,),))</f>
        <v>37.299999999999997</v>
      </c>
      <c r="C73" s="14">
        <f>Table1346811345671012[[#This Row],[PMI]]-B72</f>
        <v>-0.10000000000000142</v>
      </c>
    </row>
    <row r="74" spans="1:3" x14ac:dyDescent="0.2">
      <c r="A74" s="8">
        <v>42522</v>
      </c>
      <c r="B74" s="11">
        <f>IF(VLOOKUP(A74,'DB Country PMI'!$A:$W,MATCH($A$1,'DB Country PMI'!$A$1:$W$1,),)=0,#N/A,VLOOKUP(A74,'DB Country PMI'!$A:$W,MATCH($A$1,'DB Country PMI'!$A$1:$W$1,),))</f>
        <v>41.4</v>
      </c>
      <c r="C74" s="14">
        <f>Table1346811345671012[[#This Row],[PMI]]-B73</f>
        <v>4.1000000000000014</v>
      </c>
    </row>
    <row r="75" spans="1:3" x14ac:dyDescent="0.2">
      <c r="A75" s="8">
        <v>42552</v>
      </c>
      <c r="B75" s="11">
        <f>IF(VLOOKUP(A75,'DB Country PMI'!$A:$W,MATCH($A$1,'DB Country PMI'!$A$1:$W$1,),)=0,#N/A,VLOOKUP(A75,'DB Country PMI'!$A:$W,MATCH($A$1,'DB Country PMI'!$A$1:$W$1,),))</f>
        <v>45.6</v>
      </c>
      <c r="C75" s="14">
        <f>Table1346811345671012[[#This Row],[PMI]]-B74</f>
        <v>4.2000000000000028</v>
      </c>
    </row>
    <row r="76" spans="1:3" x14ac:dyDescent="0.2">
      <c r="A76" s="8">
        <v>42583</v>
      </c>
      <c r="B76" s="11">
        <f>IF(VLOOKUP(A76,'DB Country PMI'!$A:$W,MATCH($A$1,'DB Country PMI'!$A$1:$W$1,),)=0,#N/A,VLOOKUP(A76,'DB Country PMI'!$A:$W,MATCH($A$1,'DB Country PMI'!$A$1:$W$1,),))</f>
        <v>42.7</v>
      </c>
      <c r="C76" s="14">
        <f>Table1346811345671012[[#This Row],[PMI]]-B75</f>
        <v>-2.8999999999999986</v>
      </c>
    </row>
    <row r="77" spans="1:3" x14ac:dyDescent="0.2">
      <c r="A77" s="8">
        <v>42614</v>
      </c>
      <c r="B77" s="11">
        <f>IF(VLOOKUP(A77,'DB Country PMI'!$A:$W,MATCH($A$1,'DB Country PMI'!$A$1:$W$1,),)=0,#N/A,VLOOKUP(A77,'DB Country PMI'!$A:$W,MATCH($A$1,'DB Country PMI'!$A$1:$W$1,),))</f>
        <v>45.3</v>
      </c>
      <c r="C77" s="14">
        <f>Table1346811345671012[[#This Row],[PMI]]-B76</f>
        <v>2.5999999999999943</v>
      </c>
    </row>
    <row r="78" spans="1:3" x14ac:dyDescent="0.2">
      <c r="A78" s="8">
        <v>42644</v>
      </c>
      <c r="B78" s="11">
        <f>IF(VLOOKUP(A78,'DB Country PMI'!$A:$W,MATCH($A$1,'DB Country PMI'!$A$1:$W$1,),)=0,#N/A,VLOOKUP(A78,'DB Country PMI'!$A:$W,MATCH($A$1,'DB Country PMI'!$A$1:$W$1,),))</f>
        <v>43.9</v>
      </c>
      <c r="C78" s="14">
        <f>Table1346811345671012[[#This Row],[PMI]]-B77</f>
        <v>-1.3999999999999986</v>
      </c>
    </row>
    <row r="79" spans="1:3" x14ac:dyDescent="0.2">
      <c r="A79" s="8">
        <v>42675</v>
      </c>
      <c r="B79" s="11">
        <f>IF(VLOOKUP(A79,'DB Country PMI'!$A:$W,MATCH($A$1,'DB Country PMI'!$A$1:$W$1,),)=0,#N/A,VLOOKUP(A79,'DB Country PMI'!$A:$W,MATCH($A$1,'DB Country PMI'!$A$1:$W$1,),))</f>
        <v>44.4</v>
      </c>
      <c r="C79" s="14">
        <f>Table1346811345671012[[#This Row],[PMI]]-B78</f>
        <v>0.5</v>
      </c>
    </row>
    <row r="80" spans="1:3" x14ac:dyDescent="0.2">
      <c r="A80" s="8">
        <v>42705</v>
      </c>
      <c r="B80" s="11">
        <f>IF(VLOOKUP(A80,'DB Country PMI'!$A:$W,MATCH($A$1,'DB Country PMI'!$A$1:$W$1,),)=0,#N/A,VLOOKUP(A80,'DB Country PMI'!$A:$W,MATCH($A$1,'DB Country PMI'!$A$1:$W$1,),))</f>
        <v>45.1</v>
      </c>
      <c r="C80" s="14">
        <f>Table1346811345671012[[#This Row],[PMI]]-B79</f>
        <v>0.70000000000000284</v>
      </c>
    </row>
    <row r="81" spans="1:3" x14ac:dyDescent="0.2">
      <c r="A81" s="8">
        <v>42736</v>
      </c>
      <c r="B81" s="11">
        <f>IF(VLOOKUP(A81,'DB Country PMI'!$A:$W,MATCH($A$1,'DB Country PMI'!$A$1:$W$1,),)=0,#N/A,VLOOKUP(A81,'DB Country PMI'!$A:$W,MATCH($A$1,'DB Country PMI'!$A$1:$W$1,),))</f>
        <v>45.1</v>
      </c>
      <c r="C81" s="14">
        <f>Table1346811345671012[[#This Row],[PMI]]-B80</f>
        <v>0</v>
      </c>
    </row>
    <row r="82" spans="1:3" x14ac:dyDescent="0.2">
      <c r="A82" s="8">
        <v>42767</v>
      </c>
      <c r="B82" s="11">
        <f>IF(VLOOKUP(A82,'DB Country PMI'!$A:$W,MATCH($A$1,'DB Country PMI'!$A$1:$W$1,),)=0,#N/A,VLOOKUP(A82,'DB Country PMI'!$A:$W,MATCH($A$1,'DB Country PMI'!$A$1:$W$1,),))</f>
        <v>46.4</v>
      </c>
      <c r="C82" s="14">
        <f>Table1346811345671012[[#This Row],[PMI]]-B81</f>
        <v>1.2999999999999972</v>
      </c>
    </row>
    <row r="83" spans="1:3" x14ac:dyDescent="0.2">
      <c r="A83" s="8">
        <v>42795</v>
      </c>
      <c r="B83" s="11">
        <f>IF(VLOOKUP(A83,'DB Country PMI'!$A:$W,MATCH($A$1,'DB Country PMI'!$A$1:$W$1,),)=0,#N/A,VLOOKUP(A83,'DB Country PMI'!$A:$W,MATCH($A$1,'DB Country PMI'!$A$1:$W$1,),))</f>
        <v>47.7</v>
      </c>
      <c r="C83" s="14">
        <f>Table1346811345671012[[#This Row],[PMI]]-B82</f>
        <v>1.3000000000000043</v>
      </c>
    </row>
    <row r="84" spans="1:3" x14ac:dyDescent="0.2">
      <c r="A84" s="8">
        <v>42826</v>
      </c>
      <c r="B84" s="11">
        <f>IF(VLOOKUP(A84,'DB Country PMI'!$A:$W,MATCH($A$1,'DB Country PMI'!$A$1:$W$1,),)=0,#N/A,VLOOKUP(A84,'DB Country PMI'!$A:$W,MATCH($A$1,'DB Country PMI'!$A$1:$W$1,),))</f>
        <v>50.3</v>
      </c>
      <c r="C84" s="14">
        <f>Table1346811345671012[[#This Row],[PMI]]-B83</f>
        <v>2.5999999999999943</v>
      </c>
    </row>
    <row r="85" spans="1:3" x14ac:dyDescent="0.2">
      <c r="A85" s="8">
        <v>42856</v>
      </c>
      <c r="B85" s="11">
        <f>IF(VLOOKUP(A85,'DB Country PMI'!$A:$W,MATCH($A$1,'DB Country PMI'!$A$1:$W$1,),)=0,#N/A,VLOOKUP(A85,'DB Country PMI'!$A:$W,MATCH($A$1,'DB Country PMI'!$A$1:$W$1,),))</f>
        <v>49.2</v>
      </c>
      <c r="C85" s="14">
        <f>Table1346811345671012[[#This Row],[PMI]]-B84</f>
        <v>-1.0999999999999943</v>
      </c>
    </row>
    <row r="86" spans="1:3" x14ac:dyDescent="0.2">
      <c r="A86" s="8">
        <v>42887</v>
      </c>
      <c r="B86" s="11">
        <f>IF(VLOOKUP(A86,'DB Country PMI'!$A:$W,MATCH($A$1,'DB Country PMI'!$A$1:$W$1,),)=0,#N/A,VLOOKUP(A86,'DB Country PMI'!$A:$W,MATCH($A$1,'DB Country PMI'!$A$1:$W$1,),))</f>
        <v>47.4</v>
      </c>
      <c r="C86" s="14">
        <f>Table1346811345671012[[#This Row],[PMI]]-B85</f>
        <v>-1.8000000000000043</v>
      </c>
    </row>
    <row r="87" spans="1:3" x14ac:dyDescent="0.2">
      <c r="A87" s="8">
        <v>42917</v>
      </c>
      <c r="B87" s="11">
        <f>IF(VLOOKUP(A87,'DB Country PMI'!$A:$W,MATCH($A$1,'DB Country PMI'!$A$1:$W$1,),)=0,#N/A,VLOOKUP(A87,'DB Country PMI'!$A:$W,MATCH($A$1,'DB Country PMI'!$A$1:$W$1,),))</f>
        <v>48.8</v>
      </c>
      <c r="C87" s="14">
        <f>Table1346811345671012[[#This Row],[PMI]]-B86</f>
        <v>1.3999999999999986</v>
      </c>
    </row>
    <row r="88" spans="1:3" x14ac:dyDescent="0.2">
      <c r="A88" s="8">
        <v>42948</v>
      </c>
      <c r="B88" s="11">
        <f>IF(VLOOKUP(A88,'DB Country PMI'!$A:$W,MATCH($A$1,'DB Country PMI'!$A$1:$W$1,),)=0,#N/A,VLOOKUP(A88,'DB Country PMI'!$A:$W,MATCH($A$1,'DB Country PMI'!$A$1:$W$1,),))</f>
        <v>49</v>
      </c>
      <c r="C88" s="14">
        <f>Table1346811345671012[[#This Row],[PMI]]-B87</f>
        <v>0.20000000000000284</v>
      </c>
    </row>
    <row r="89" spans="1:3" x14ac:dyDescent="0.2">
      <c r="A89" s="8">
        <v>42979</v>
      </c>
      <c r="B89" s="11">
        <f>IF(VLOOKUP(A89,'DB Country PMI'!$A:$W,MATCH($A$1,'DB Country PMI'!$A$1:$W$1,),)=0,#N/A,VLOOKUP(A89,'DB Country PMI'!$A:$W,MATCH($A$1,'DB Country PMI'!$A$1:$W$1,),))</f>
        <v>50.7</v>
      </c>
      <c r="C89" s="14">
        <f>Table1346811345671012[[#This Row],[PMI]]-B88</f>
        <v>1.7000000000000028</v>
      </c>
    </row>
    <row r="90" spans="1:3" x14ac:dyDescent="0.2">
      <c r="A90" s="8">
        <v>43009</v>
      </c>
      <c r="B90" s="11">
        <f>IF(VLOOKUP(A90,'DB Country PMI'!$A:$W,MATCH($A$1,'DB Country PMI'!$A$1:$W$1,),)=0,#N/A,VLOOKUP(A90,'DB Country PMI'!$A:$W,MATCH($A$1,'DB Country PMI'!$A$1:$W$1,),))</f>
        <v>48.8</v>
      </c>
      <c r="C90" s="14">
        <f>Table1346811345671012[[#This Row],[PMI]]-B89</f>
        <v>-1.9000000000000057</v>
      </c>
    </row>
    <row r="91" spans="1:3" x14ac:dyDescent="0.2">
      <c r="A91" s="8">
        <v>43040</v>
      </c>
      <c r="B91" s="11">
        <f>IF(VLOOKUP(A91,'DB Country PMI'!$A:$W,MATCH($A$1,'DB Country PMI'!$A$1:$W$1,),)=0,#N/A,VLOOKUP(A91,'DB Country PMI'!$A:$W,MATCH($A$1,'DB Country PMI'!$A$1:$W$1,),))</f>
        <v>46.9</v>
      </c>
      <c r="C91" s="14">
        <f>Table1346811345671012[[#This Row],[PMI]]-B90</f>
        <v>-1.8999999999999986</v>
      </c>
    </row>
    <row r="92" spans="1:3" x14ac:dyDescent="0.2">
      <c r="A92" s="8">
        <v>43070</v>
      </c>
      <c r="B92" s="11">
        <f>IF(VLOOKUP(A92,'DB Country PMI'!$A:$W,MATCH($A$1,'DB Country PMI'!$A$1:$W$1,),)=0,#N/A,VLOOKUP(A92,'DB Country PMI'!$A:$W,MATCH($A$1,'DB Country PMI'!$A$1:$W$1,),))</f>
        <v>47.4</v>
      </c>
      <c r="C92" s="14">
        <f>Table1346811345671012[[#This Row],[PMI]]-B91</f>
        <v>0.5</v>
      </c>
    </row>
    <row r="93" spans="1:3" x14ac:dyDescent="0.2">
      <c r="A93" s="8">
        <v>43101</v>
      </c>
      <c r="B93" s="11">
        <f>IF(VLOOKUP(A93,'DB Country PMI'!$A:$W,MATCH($A$1,'DB Country PMI'!$A$1:$W$1,),)=0,#N/A,VLOOKUP(A93,'DB Country PMI'!$A:$W,MATCH($A$1,'DB Country PMI'!$A$1:$W$1,),))</f>
        <v>50</v>
      </c>
      <c r="C93" s="14">
        <f>Table1346811345671012[[#This Row],[PMI]]-B92</f>
        <v>2.6000000000000014</v>
      </c>
    </row>
    <row r="94" spans="1:3" x14ac:dyDescent="0.2">
      <c r="A94" s="8">
        <v>43132</v>
      </c>
      <c r="B94" s="11">
        <f>IF(VLOOKUP(A94,'DB Country PMI'!$A:$W,MATCH($A$1,'DB Country PMI'!$A$1:$W$1,),)=0,#N/A,VLOOKUP(A94,'DB Country PMI'!$A:$W,MATCH($A$1,'DB Country PMI'!$A$1:$W$1,),))</f>
        <v>52.7</v>
      </c>
      <c r="C94" s="14">
        <f>Table1346811345671012[[#This Row],[PMI]]-B93</f>
        <v>2.7000000000000028</v>
      </c>
    </row>
    <row r="95" spans="1:3" x14ac:dyDescent="0.2">
      <c r="A95" s="8">
        <v>43160</v>
      </c>
      <c r="B95" s="11">
        <f>IF(VLOOKUP(A95,'DB Country PMI'!$A:$W,MATCH($A$1,'DB Country PMI'!$A$1:$W$1,),)=0,#N/A,VLOOKUP(A95,'DB Country PMI'!$A:$W,MATCH($A$1,'DB Country PMI'!$A$1:$W$1,),))</f>
        <v>50.4</v>
      </c>
      <c r="C95" s="14">
        <f>Table1346811345671012[[#This Row],[PMI]]-B94</f>
        <v>-2.3000000000000043</v>
      </c>
    </row>
    <row r="96" spans="1:3" x14ac:dyDescent="0.2">
      <c r="A96" s="8">
        <v>43191</v>
      </c>
      <c r="B96" s="11">
        <f>IF(VLOOKUP(A96,'DB Country PMI'!$A:$W,MATCH($A$1,'DB Country PMI'!$A$1:$W$1,),)=0,#N/A,VLOOKUP(A96,'DB Country PMI'!$A:$W,MATCH($A$1,'DB Country PMI'!$A$1:$W$1,),))</f>
        <v>50</v>
      </c>
      <c r="C96" s="14">
        <f>Table1346811345671012[[#This Row],[PMI]]-B95</f>
        <v>-0.39999999999999858</v>
      </c>
    </row>
    <row r="97" spans="1:3" x14ac:dyDescent="0.2">
      <c r="A97" s="8">
        <v>43221</v>
      </c>
      <c r="B97" s="11">
        <f>IF(VLOOKUP(A97,'DB Country PMI'!$A:$W,MATCH($A$1,'DB Country PMI'!$A$1:$W$1,),)=0,#N/A,VLOOKUP(A97,'DB Country PMI'!$A:$W,MATCH($A$1,'DB Country PMI'!$A$1:$W$1,),))</f>
        <v>49.5</v>
      </c>
      <c r="C97" s="14">
        <f>Table1346811345671012[[#This Row],[PMI]]-B96</f>
        <v>-0.5</v>
      </c>
    </row>
    <row r="98" spans="1:3" x14ac:dyDescent="0.2">
      <c r="A98" s="8">
        <v>43252</v>
      </c>
      <c r="B98" s="11">
        <f>IF(VLOOKUP(A98,'DB Country PMI'!$A:$W,MATCH($A$1,'DB Country PMI'!$A$1:$W$1,),)=0,#N/A,VLOOKUP(A98,'DB Country PMI'!$A:$W,MATCH($A$1,'DB Country PMI'!$A$1:$W$1,),))</f>
        <v>47</v>
      </c>
      <c r="C98" s="14">
        <f>Table1346811345671012[[#This Row],[PMI]]-B97</f>
        <v>-2.5</v>
      </c>
    </row>
    <row r="99" spans="1:3" x14ac:dyDescent="0.2">
      <c r="A99" s="8">
        <v>43282</v>
      </c>
      <c r="B99" s="11">
        <f>IF(VLOOKUP(A99,'DB Country PMI'!$A:$W,MATCH($A$1,'DB Country PMI'!$A$1:$W$1,),)=0,#N/A,VLOOKUP(A99,'DB Country PMI'!$A:$W,MATCH($A$1,'DB Country PMI'!$A$1:$W$1,),))</f>
        <v>50.4</v>
      </c>
      <c r="C99" s="14">
        <f>Table1346811345671012[[#This Row],[PMI]]-B98</f>
        <v>3.3999999999999986</v>
      </c>
    </row>
    <row r="100" spans="1:3" x14ac:dyDescent="0.2">
      <c r="A100" s="8">
        <v>43313</v>
      </c>
      <c r="B100" s="11">
        <f>IF(VLOOKUP(A100,'DB Country PMI'!$A:$W,MATCH($A$1,'DB Country PMI'!$A$1:$W$1,),)=0,#N/A,VLOOKUP(A100,'DB Country PMI'!$A:$W,MATCH($A$1,'DB Country PMI'!$A$1:$W$1,),))</f>
        <v>46.8</v>
      </c>
      <c r="C100" s="14">
        <f>Table1346811345671012[[#This Row],[PMI]]-B99</f>
        <v>-3.6000000000000014</v>
      </c>
    </row>
    <row r="101" spans="1:3" x14ac:dyDescent="0.2">
      <c r="A101" s="8">
        <v>43344</v>
      </c>
      <c r="B101" s="11">
        <f>IF(VLOOKUP(A101,'DB Country PMI'!$A:$W,MATCH($A$1,'DB Country PMI'!$A$1:$W$1,),)=0,#N/A,VLOOKUP(A101,'DB Country PMI'!$A:$W,MATCH($A$1,'DB Country PMI'!$A$1:$W$1,),))</f>
        <v>46.4</v>
      </c>
      <c r="C101" s="14">
        <f>Table1346811345671012[[#This Row],[PMI]]-B100</f>
        <v>-0.39999999999999858</v>
      </c>
    </row>
    <row r="102" spans="1:3" x14ac:dyDescent="0.2">
      <c r="A102" s="8">
        <v>43374</v>
      </c>
      <c r="B102" s="11">
        <f>IF(VLOOKUP(A102,'DB Country PMI'!$A:$W,MATCH($A$1,'DB Country PMI'!$A$1:$W$1,),)=0,#N/A,VLOOKUP(A102,'DB Country PMI'!$A:$W,MATCH($A$1,'DB Country PMI'!$A$1:$W$1,),))</f>
        <v>50.5</v>
      </c>
      <c r="C102" s="14">
        <f>Table1346811345671012[[#This Row],[PMI]]-B101</f>
        <v>4.1000000000000014</v>
      </c>
    </row>
    <row r="103" spans="1:3" x14ac:dyDescent="0.2">
      <c r="A103" s="8">
        <v>43405</v>
      </c>
      <c r="B103" s="11">
        <f>IF(VLOOKUP(A103,'DB Country PMI'!$A:$W,MATCH($A$1,'DB Country PMI'!$A$1:$W$1,),)=0,#N/A,VLOOKUP(A103,'DB Country PMI'!$A:$W,MATCH($A$1,'DB Country PMI'!$A$1:$W$1,),))</f>
        <v>51.3</v>
      </c>
      <c r="C103" s="14">
        <f>Table1346811345671012[[#This Row],[PMI]]-B102</f>
        <v>0.79999999999999716</v>
      </c>
    </row>
    <row r="104" spans="1:3" x14ac:dyDescent="0.2">
      <c r="A104" s="8">
        <v>43435</v>
      </c>
      <c r="B104" s="11">
        <f>IF(VLOOKUP(A104,'DB Country PMI'!$A:$W,MATCH($A$1,'DB Country PMI'!$A$1:$W$1,),)=0,#N/A,VLOOKUP(A104,'DB Country PMI'!$A:$W,MATCH($A$1,'DB Country PMI'!$A$1:$W$1,),))</f>
        <v>51.9</v>
      </c>
      <c r="C104" s="14">
        <f>Table1346811345671012[[#This Row],[PMI]]-B103</f>
        <v>0.60000000000000142</v>
      </c>
    </row>
    <row r="105" spans="1:3" x14ac:dyDescent="0.2">
      <c r="A105" s="8">
        <v>43466</v>
      </c>
      <c r="B105" s="11">
        <f>IF(VLOOKUP(A105,'DB Country PMI'!$A:$W,MATCH($A$1,'DB Country PMI'!$A$1:$W$1,),)=0,#N/A,VLOOKUP(A105,'DB Country PMI'!$A:$W,MATCH($A$1,'DB Country PMI'!$A$1:$W$1,),))</f>
        <v>52</v>
      </c>
      <c r="C105" s="14">
        <f>Table1346811345671012[[#This Row],[PMI]]-B104</f>
        <v>0.10000000000000142</v>
      </c>
    </row>
    <row r="106" spans="1:3" x14ac:dyDescent="0.2">
      <c r="A106" s="8">
        <v>43497</v>
      </c>
      <c r="B106" s="11">
        <f>IF(VLOOKUP(A106,'DB Country PMI'!$A:$W,MATCH($A$1,'DB Country PMI'!$A$1:$W$1,),)=0,#N/A,VLOOKUP(A106,'DB Country PMI'!$A:$W,MATCH($A$1,'DB Country PMI'!$A$1:$W$1,),))</f>
        <v>52.2</v>
      </c>
      <c r="C106" s="14">
        <f>Table1346811345671012[[#This Row],[PMI]]-B105</f>
        <v>0.20000000000000284</v>
      </c>
    </row>
    <row r="107" spans="1:3" x14ac:dyDescent="0.2">
      <c r="A107" s="8">
        <v>43525</v>
      </c>
      <c r="B107" s="11">
        <f>IF(VLOOKUP(A107,'DB Country PMI'!$A:$W,MATCH($A$1,'DB Country PMI'!$A$1:$W$1,),)=0,#N/A,VLOOKUP(A107,'DB Country PMI'!$A:$W,MATCH($A$1,'DB Country PMI'!$A$1:$W$1,),))</f>
        <v>52.7</v>
      </c>
      <c r="C107" s="14">
        <f>Table1346811345671012[[#This Row],[PMI]]-B106</f>
        <v>0.5</v>
      </c>
    </row>
    <row r="108" spans="1:3" x14ac:dyDescent="0.2">
      <c r="A108" s="8">
        <v>43556</v>
      </c>
      <c r="B108" s="11">
        <f>IF(VLOOKUP(A108,'DB Country PMI'!$A:$W,MATCH($A$1,'DB Country PMI'!$A$1:$W$1,),)=0,#N/A,VLOOKUP(A108,'DB Country PMI'!$A:$W,MATCH($A$1,'DB Country PMI'!$A$1:$W$1,),))</f>
        <v>49.9</v>
      </c>
      <c r="C108" s="14">
        <f>Table1346811345671012[[#This Row],[PMI]]-B107</f>
        <v>-2.8000000000000043</v>
      </c>
    </row>
    <row r="109" spans="1:3" x14ac:dyDescent="0.2">
      <c r="A109" s="8">
        <v>43586</v>
      </c>
      <c r="B109" s="11">
        <f>IF(VLOOKUP(A109,'DB Country PMI'!$A:$W,MATCH($A$1,'DB Country PMI'!$A$1:$W$1,),)=0,#N/A,VLOOKUP(A109,'DB Country PMI'!$A:$W,MATCH($A$1,'DB Country PMI'!$A$1:$W$1,),))</f>
        <v>47.8</v>
      </c>
      <c r="C109" s="14">
        <f>Table1346811345671012[[#This Row],[PMI]]-B108</f>
        <v>-2.1000000000000014</v>
      </c>
    </row>
    <row r="110" spans="1:3" x14ac:dyDescent="0.2">
      <c r="A110" s="8">
        <v>43617</v>
      </c>
      <c r="B110" s="11">
        <f>IF(VLOOKUP(A110,'DB Country PMI'!$A:$W,MATCH($A$1,'DB Country PMI'!$A$1:$W$1,),)=0,#N/A,VLOOKUP(A110,'DB Country PMI'!$A:$W,MATCH($A$1,'DB Country PMI'!$A$1:$W$1,),))</f>
        <v>48.2</v>
      </c>
      <c r="C110" s="14">
        <f>Table1346811345671012[[#This Row],[PMI]]-B109</f>
        <v>0.40000000000000568</v>
      </c>
    </row>
    <row r="111" spans="1:3" x14ac:dyDescent="0.2">
      <c r="A111" s="8">
        <v>43647</v>
      </c>
      <c r="B111" s="11">
        <f>IF(VLOOKUP(A111,'DB Country PMI'!$A:$W,MATCH($A$1,'DB Country PMI'!$A$1:$W$1,),)=0,#N/A,VLOOKUP(A111,'DB Country PMI'!$A:$W,MATCH($A$1,'DB Country PMI'!$A$1:$W$1,),))</f>
        <v>52.2</v>
      </c>
      <c r="C111" s="14">
        <f>Table1346811345671012[[#This Row],[PMI]]-B110</f>
        <v>4</v>
      </c>
    </row>
    <row r="112" spans="1:3" x14ac:dyDescent="0.2">
      <c r="A112" s="8">
        <v>43678</v>
      </c>
      <c r="B112" s="11">
        <f>IF(VLOOKUP(A112,'DB Country PMI'!$A:$W,MATCH($A$1,'DB Country PMI'!$A$1:$W$1,),)=0,#N/A,VLOOKUP(A112,'DB Country PMI'!$A:$W,MATCH($A$1,'DB Country PMI'!$A$1:$W$1,),))</f>
        <v>51.4</v>
      </c>
      <c r="C112" s="14">
        <f>Table1346811345671012[[#This Row],[PMI]]-B111</f>
        <v>-0.80000000000000426</v>
      </c>
    </row>
    <row r="113" spans="1:3" x14ac:dyDescent="0.2">
      <c r="A113" s="8">
        <v>43709</v>
      </c>
      <c r="B113" s="11">
        <f>IF(VLOOKUP(A113,'DB Country PMI'!$A:$W,MATCH($A$1,'DB Country PMI'!$A$1:$W$1,),)=0,#N/A,VLOOKUP(A113,'DB Country PMI'!$A:$W,MATCH($A$1,'DB Country PMI'!$A$1:$W$1,),))</f>
        <v>51.8</v>
      </c>
      <c r="C113" s="14">
        <f>Table1346811345671012[[#This Row],[PMI]]-B112</f>
        <v>0.39999999999999858</v>
      </c>
    </row>
    <row r="114" spans="1:3" x14ac:dyDescent="0.2">
      <c r="A114" s="8">
        <v>43739</v>
      </c>
      <c r="B114" s="11">
        <f>IF(VLOOKUP(A114,'DB Country PMI'!$A:$W,MATCH($A$1,'DB Country PMI'!$A$1:$W$1,),)=0,#N/A,VLOOKUP(A114,'DB Country PMI'!$A:$W,MATCH($A$1,'DB Country PMI'!$A$1:$W$1,),))</f>
        <v>51.2</v>
      </c>
      <c r="C114" s="14">
        <f>Table1346811345671012[[#This Row],[PMI]]-B113</f>
        <v>-0.59999999999999432</v>
      </c>
    </row>
    <row r="115" spans="1:3" x14ac:dyDescent="0.2">
      <c r="A115" s="8">
        <v>43770</v>
      </c>
      <c r="B115" s="11">
        <f>IF(VLOOKUP(A115,'DB Country PMI'!$A:$W,MATCH($A$1,'DB Country PMI'!$A$1:$W$1,),)=0,#N/A,VLOOKUP(A115,'DB Country PMI'!$A:$W,MATCH($A$1,'DB Country PMI'!$A$1:$W$1,),))</f>
        <v>50.9</v>
      </c>
      <c r="C115" s="14">
        <f>Table1346811345671012[[#This Row],[PMI]]-B114</f>
        <v>-0.30000000000000426</v>
      </c>
    </row>
    <row r="116" spans="1:3" x14ac:dyDescent="0.2">
      <c r="A116" s="8">
        <v>43800</v>
      </c>
      <c r="B116" s="11">
        <f>IF(VLOOKUP(A116,'DB Country PMI'!$A:$W,MATCH($A$1,'DB Country PMI'!$A$1:$W$1,),)=0,#N/A,VLOOKUP(A116,'DB Country PMI'!$A:$W,MATCH($A$1,'DB Country PMI'!$A$1:$W$1,),))</f>
        <v>51</v>
      </c>
      <c r="C116" s="14">
        <f>Table1346811345671012[[#This Row],[PMI]]-B115</f>
        <v>0.10000000000000142</v>
      </c>
    </row>
    <row r="117" spans="1:3" x14ac:dyDescent="0.2">
      <c r="A117" s="8">
        <v>43831</v>
      </c>
      <c r="B117" s="11">
        <f>IF(VLOOKUP(A117,'DB Country PMI'!$A:$W,MATCH($A$1,'DB Country PMI'!$A$1:$W$1,),)=0,#N/A,VLOOKUP(A117,'DB Country PMI'!$A:$W,MATCH($A$1,'DB Country PMI'!$A$1:$W$1,),))</f>
        <v>52.7</v>
      </c>
      <c r="C117" s="14">
        <f>Table1346811345671012[[#This Row],[PMI]]-B116</f>
        <v>1.7000000000000028</v>
      </c>
    </row>
    <row r="118" spans="1:3" x14ac:dyDescent="0.2">
      <c r="A118" s="8">
        <v>43862</v>
      </c>
      <c r="B118" s="11">
        <f>IF(VLOOKUP(A118,'DB Country PMI'!$A:$W,MATCH($A$1,'DB Country PMI'!$A$1:$W$1,),)=0,#N/A,VLOOKUP(A118,'DB Country PMI'!$A:$W,MATCH($A$1,'DB Country PMI'!$A$1:$W$1,),))</f>
        <v>50.4</v>
      </c>
      <c r="C118" s="14">
        <f>Table1346811345671012[[#This Row],[PMI]]-B117</f>
        <v>-2.3000000000000043</v>
      </c>
    </row>
    <row r="119" spans="1:3" x14ac:dyDescent="0.2">
      <c r="A119" s="8">
        <v>43891</v>
      </c>
      <c r="B119" s="11">
        <f>IF(VLOOKUP(A119,'DB Country PMI'!$A:$W,MATCH($A$1,'DB Country PMI'!$A$1:$W$1,),)=0,#N/A,VLOOKUP(A119,'DB Country PMI'!$A:$W,MATCH($A$1,'DB Country PMI'!$A$1:$W$1,),))</f>
        <v>34.5</v>
      </c>
      <c r="C119" s="14">
        <f>Table1346811345671012[[#This Row],[PMI]]-B118</f>
        <v>-15.899999999999999</v>
      </c>
    </row>
    <row r="120" spans="1:3" x14ac:dyDescent="0.2">
      <c r="A120" s="8">
        <v>43922</v>
      </c>
      <c r="B120" s="11">
        <f>IF(VLOOKUP(A120,'DB Country PMI'!$A:$W,MATCH($A$1,'DB Country PMI'!$A$1:$W$1,),)=0,#N/A,VLOOKUP(A120,'DB Country PMI'!$A:$W,MATCH($A$1,'DB Country PMI'!$A$1:$W$1,),))</f>
        <v>27.4</v>
      </c>
      <c r="C120" s="14">
        <f>Table1346811345671012[[#This Row],[PMI]]-B119</f>
        <v>-7.1000000000000014</v>
      </c>
    </row>
    <row r="121" spans="1:3" x14ac:dyDescent="0.2">
      <c r="A121" s="8">
        <v>43952</v>
      </c>
      <c r="B121" s="11">
        <f>IF(VLOOKUP(A121,'DB Country PMI'!$A:$W,MATCH($A$1,'DB Country PMI'!$A$1:$W$1,),)=0,#N/A,VLOOKUP(A121,'DB Country PMI'!$A:$W,MATCH($A$1,'DB Country PMI'!$A$1:$W$1,),))</f>
        <v>27.6</v>
      </c>
      <c r="C121" s="14">
        <f>Table1346811345671012[[#This Row],[PMI]]-B120</f>
        <v>0.20000000000000284</v>
      </c>
    </row>
    <row r="122" spans="1:3" x14ac:dyDescent="0.2">
      <c r="A122" s="8">
        <v>43983</v>
      </c>
      <c r="B122" s="11">
        <f>IF(VLOOKUP(A122,'DB Country PMI'!$A:$W,MATCH($A$1,'DB Country PMI'!$A$1:$W$1,),)=0,#N/A,VLOOKUP(A122,'DB Country PMI'!$A:$W,MATCH($A$1,'DB Country PMI'!$A$1:$W$1,),))</f>
        <v>35.9</v>
      </c>
      <c r="C122" s="14">
        <f>Table1346811345671012[[#This Row],[PMI]]-B121</f>
        <v>8.2999999999999972</v>
      </c>
    </row>
    <row r="123" spans="1:3" x14ac:dyDescent="0.2">
      <c r="A123" s="8">
        <v>44013</v>
      </c>
      <c r="B123" s="11">
        <f>IF(VLOOKUP(A123,'DB Country PMI'!$A:$W,MATCH($A$1,'DB Country PMI'!$A$1:$W$1,),)=0,#N/A,VLOOKUP(A123,'DB Country PMI'!$A:$W,MATCH($A$1,'DB Country PMI'!$A$1:$W$1,),))</f>
        <v>42.5</v>
      </c>
      <c r="C123" s="14">
        <f>Table1346811345671012[[#This Row],[PMI]]-B122</f>
        <v>6.6000000000000014</v>
      </c>
    </row>
    <row r="124" spans="1:3" x14ac:dyDescent="0.2">
      <c r="A124" s="8">
        <v>44044</v>
      </c>
      <c r="B124" s="11">
        <f>IF(VLOOKUP(A124,'DB Country PMI'!$A:$W,MATCH($A$1,'DB Country PMI'!$A$1:$W$1,),)=0,#N/A,VLOOKUP(A124,'DB Country PMI'!$A:$W,MATCH($A$1,'DB Country PMI'!$A$1:$W$1,),))</f>
        <v>49.5</v>
      </c>
      <c r="C124" s="14">
        <f>Table1346811345671012[[#This Row],[PMI]]-B123</f>
        <v>7</v>
      </c>
    </row>
    <row r="125" spans="1:3" x14ac:dyDescent="0.2">
      <c r="A125" s="8">
        <v>44075</v>
      </c>
      <c r="B125" s="11">
        <f>IF(VLOOKUP(A125,'DB Country PMI'!$A:$W,MATCH($A$1,'DB Country PMI'!$A$1:$W$1,),)=0,#N/A,VLOOKUP(A125,'DB Country PMI'!$A:$W,MATCH($A$1,'DB Country PMI'!$A$1:$W$1,),))</f>
        <v>50.4</v>
      </c>
      <c r="C125" s="14">
        <f>Table1346811345671012[[#This Row],[PMI]]-B124</f>
        <v>0.89999999999999858</v>
      </c>
    </row>
    <row r="126" spans="1:3" x14ac:dyDescent="0.2">
      <c r="A126" s="8">
        <v>44105</v>
      </c>
      <c r="B126" s="11">
        <f>IF(VLOOKUP(A126,'DB Country PMI'!$A:$W,MATCH($A$1,'DB Country PMI'!$A$1:$W$1,),)=0,#N/A,VLOOKUP(A126,'DB Country PMI'!$A:$W,MATCH($A$1,'DB Country PMI'!$A$1:$W$1,),))</f>
        <v>52.3</v>
      </c>
      <c r="C126" s="14">
        <f>Table1346811345671012[[#This Row],[PMI]]-B125</f>
        <v>1.8999999999999986</v>
      </c>
    </row>
    <row r="127" spans="1:3" x14ac:dyDescent="0.2">
      <c r="A127" s="8">
        <v>44136</v>
      </c>
      <c r="B127" s="11">
        <f>IF(VLOOKUP(A127,'DB Country PMI'!$A:$W,MATCH($A$1,'DB Country PMI'!$A$1:$W$1,),)=0,#N/A,VLOOKUP(A127,'DB Country PMI'!$A:$W,MATCH($A$1,'DB Country PMI'!$A$1:$W$1,),))</f>
        <v>50.9</v>
      </c>
      <c r="C127" s="14">
        <f>Table1346811345671012[[#This Row],[PMI]]-B126</f>
        <v>-1.3999999999999986</v>
      </c>
    </row>
    <row r="128" spans="1:3" x14ac:dyDescent="0.2">
      <c r="A128" s="8">
        <v>44166</v>
      </c>
      <c r="B128" s="11">
        <f>IF(VLOOKUP(A128,'DB Country PMI'!$A:$W,MATCH($A$1,'DB Country PMI'!$A$1:$W$1,),)=0,#N/A,VLOOKUP(A128,'DB Country PMI'!$A:$W,MATCH($A$1,'DB Country PMI'!$A$1:$W$1,),))</f>
        <v>51.1</v>
      </c>
      <c r="C128" s="14">
        <f>Table1346811345671012[[#This Row],[PMI]]-B127</f>
        <v>0.20000000000000284</v>
      </c>
    </row>
    <row r="129" spans="1:3" x14ac:dyDescent="0.2">
      <c r="A129" s="8">
        <v>44197</v>
      </c>
      <c r="B129" s="11">
        <f>IF(VLOOKUP(A129,'DB Country PMI'!$A:$W,MATCH($A$1,'DB Country PMI'!$A$1:$W$1,),)=0,#N/A,VLOOKUP(A129,'DB Country PMI'!$A:$W,MATCH($A$1,'DB Country PMI'!$A$1:$W$1,),))</f>
        <v>47</v>
      </c>
      <c r="C129" s="14">
        <f>Table1346811345671012[[#This Row],[PMI]]-B128</f>
        <v>-4.1000000000000014</v>
      </c>
    </row>
    <row r="130" spans="1:3" x14ac:dyDescent="0.2">
      <c r="A130" s="8">
        <v>44228</v>
      </c>
      <c r="B130" s="11">
        <f>IF(VLOOKUP(A130,'DB Country PMI'!$A:$W,MATCH($A$1,'DB Country PMI'!$A$1:$W$1,),)=0,#N/A,VLOOKUP(A130,'DB Country PMI'!$A:$W,MATCH($A$1,'DB Country PMI'!$A$1:$W$1,),))</f>
        <v>47.1</v>
      </c>
      <c r="C130" s="14">
        <f>Table1346811345671012[[#This Row],[PMI]]-B129</f>
        <v>0.10000000000000142</v>
      </c>
    </row>
    <row r="131" spans="1:3" x14ac:dyDescent="0.2">
      <c r="A131" s="8">
        <v>44256</v>
      </c>
      <c r="B131" s="11">
        <f>IF(VLOOKUP(A131,'DB Country PMI'!$A:$W,MATCH($A$1,'DB Country PMI'!$A$1:$W$1,),)=0,#N/A,VLOOKUP(A131,'DB Country PMI'!$A:$W,MATCH($A$1,'DB Country PMI'!$A$1:$W$1,),))</f>
        <v>44.1</v>
      </c>
      <c r="C131" s="14">
        <f>Table1346811345671012[[#This Row],[PMI]]-B130</f>
        <v>-3</v>
      </c>
    </row>
    <row r="132" spans="1:3" x14ac:dyDescent="0.2">
      <c r="A132" s="8">
        <v>44287</v>
      </c>
      <c r="B132" s="11">
        <f>IF(VLOOKUP(A132,'DB Country PMI'!$A:$W,MATCH($A$1,'DB Country PMI'!$A$1:$W$1,),)=0,#N/A,VLOOKUP(A132,'DB Country PMI'!$A:$W,MATCH($A$1,'DB Country PMI'!$A$1:$W$1,),))</f>
        <v>42.9</v>
      </c>
      <c r="C132" s="14">
        <f>Table1346811345671012[[#This Row],[PMI]]-B131</f>
        <v>-1.2000000000000028</v>
      </c>
    </row>
    <row r="133" spans="1:3" x14ac:dyDescent="0.2">
      <c r="A133" s="8">
        <v>44317</v>
      </c>
      <c r="B133" s="11">
        <f>IF(VLOOKUP(A133,'DB Country PMI'!$A:$W,MATCH($A$1,'DB Country PMI'!$A$1:$W$1,),)=0,#N/A,VLOOKUP(A133,'DB Country PMI'!$A:$W,MATCH($A$1,'DB Country PMI'!$A$1:$W$1,),))</f>
        <v>48.3</v>
      </c>
      <c r="C133" s="14">
        <f>Table1346811345671012[[#This Row],[PMI]]-B132</f>
        <v>5.3999999999999986</v>
      </c>
    </row>
    <row r="134" spans="1:3" x14ac:dyDescent="0.2">
      <c r="A134" s="8">
        <v>44348</v>
      </c>
      <c r="B134" s="11">
        <f>IF(VLOOKUP(A134,'DB Country PMI'!$A:$W,MATCH($A$1,'DB Country PMI'!$A$1:$W$1,),)=0,#N/A,VLOOKUP(A134,'DB Country PMI'!$A:$W,MATCH($A$1,'DB Country PMI'!$A$1:$W$1,),))</f>
        <v>53.9</v>
      </c>
      <c r="C134" s="14">
        <f>Table1346811345671012[[#This Row],[PMI]]-B133</f>
        <v>5.6000000000000014</v>
      </c>
    </row>
    <row r="135" spans="1:3" x14ac:dyDescent="0.2">
      <c r="A135" s="8">
        <v>44378</v>
      </c>
      <c r="B135" s="11">
        <f>IF(VLOOKUP(A135,'DB Country PMI'!$A:$W,MATCH($A$1,'DB Country PMI'!$A$1:$W$1,),)=0,#N/A,VLOOKUP(A135,'DB Country PMI'!$A:$W,MATCH($A$1,'DB Country PMI'!$A$1:$W$1,),))</f>
        <v>54.4</v>
      </c>
      <c r="C135" s="14">
        <f>Table1346811345671012[[#This Row],[PMI]]-B134</f>
        <v>0.5</v>
      </c>
    </row>
    <row r="136" spans="1:3" x14ac:dyDescent="0.2">
      <c r="A136" s="8">
        <v>44409</v>
      </c>
      <c r="B136" s="11">
        <f>IF(VLOOKUP(A136,'DB Country PMI'!$A:$W,MATCH($A$1,'DB Country PMI'!$A$1:$W$1,),)=0,#N/A,VLOOKUP(A136,'DB Country PMI'!$A:$W,MATCH($A$1,'DB Country PMI'!$A$1:$W$1,),))</f>
        <v>55.1</v>
      </c>
      <c r="C136" s="14">
        <f>Table1346811345671012[[#This Row],[PMI]]-B135</f>
        <v>0.70000000000000284</v>
      </c>
    </row>
    <row r="137" spans="1:3" x14ac:dyDescent="0.2">
      <c r="A137" s="8">
        <v>44440</v>
      </c>
      <c r="B137" s="11">
        <f>IF(VLOOKUP(A137,'DB Country PMI'!$A:$W,MATCH($A$1,'DB Country PMI'!$A$1:$W$1,),)=0,#N/A,VLOOKUP(A137,'DB Country PMI'!$A:$W,MATCH($A$1,'DB Country PMI'!$A$1:$W$1,),))</f>
        <v>54.6</v>
      </c>
      <c r="C137" s="14">
        <f>Table1346811345671012[[#This Row],[PMI]]-B136</f>
        <v>-0.5</v>
      </c>
    </row>
    <row r="138" spans="1:3" x14ac:dyDescent="0.2">
      <c r="A138" s="8">
        <v>44470</v>
      </c>
      <c r="B138" s="11">
        <f>IF(VLOOKUP(A138,'DB Country PMI'!$A:$W,MATCH($A$1,'DB Country PMI'!$A$1:$W$1,),)=0,#N/A,VLOOKUP(A138,'DB Country PMI'!$A:$W,MATCH($A$1,'DB Country PMI'!$A$1:$W$1,),))</f>
        <v>54.9</v>
      </c>
      <c r="C138" s="14">
        <f>Table1346811345671012[[#This Row],[PMI]]-B137</f>
        <v>0.29999999999999716</v>
      </c>
    </row>
    <row r="139" spans="1:3" x14ac:dyDescent="0.2">
      <c r="A139" s="8">
        <v>44501</v>
      </c>
      <c r="B139" s="11">
        <f>IF(VLOOKUP(A139,'DB Country PMI'!$A:$W,MATCH($A$1,'DB Country PMI'!$A$1:$W$1,),)=0,#N/A,VLOOKUP(A139,'DB Country PMI'!$A:$W,MATCH($A$1,'DB Country PMI'!$A$1:$W$1,),))</f>
        <v>53.6</v>
      </c>
      <c r="C139" s="14">
        <f>Table1346811345671012[[#This Row],[PMI]]-B138</f>
        <v>-1.2999999999999972</v>
      </c>
    </row>
    <row r="140" spans="1:3" x14ac:dyDescent="0.2">
      <c r="A140" s="8">
        <v>44531</v>
      </c>
      <c r="B140" s="11">
        <f>IF(VLOOKUP(A140,'DB Country PMI'!$A:$W,MATCH($A$1,'DB Country PMI'!$A$1:$W$1,),)=0,#N/A,VLOOKUP(A140,'DB Country PMI'!$A:$W,MATCH($A$1,'DB Country PMI'!$A$1:$W$1,),))</f>
        <v>53.6</v>
      </c>
      <c r="C140" s="14">
        <f>Table1346811345671012[[#This Row],[PMI]]-B139</f>
        <v>0</v>
      </c>
    </row>
    <row r="141" spans="1:3" x14ac:dyDescent="0.2">
      <c r="A141" s="8">
        <v>44562</v>
      </c>
      <c r="B141" s="11">
        <f>IF(VLOOKUP(A141,'DB Country PMI'!$A:$W,MATCH($A$1,'DB Country PMI'!$A$1:$W$1,),)=0,#N/A,VLOOKUP(A141,'DB Country PMI'!$A:$W,MATCH($A$1,'DB Country PMI'!$A$1:$W$1,),))</f>
        <v>52.8</v>
      </c>
      <c r="C141" s="14">
        <f>Table1346811345671012[[#This Row],[PMI]]-B140</f>
        <v>-0.80000000000000426</v>
      </c>
    </row>
    <row r="142" spans="1:3" x14ac:dyDescent="0.2">
      <c r="A142" s="8">
        <v>44593</v>
      </c>
      <c r="B142" s="11">
        <f>IF(VLOOKUP(A142,'DB Country PMI'!$A:$W,MATCH($A$1,'DB Country PMI'!$A$1:$W$1,),)=0,#N/A,VLOOKUP(A142,'DB Country PMI'!$A:$W,MATCH($A$1,'DB Country PMI'!$A$1:$W$1,),))</f>
        <v>54.7</v>
      </c>
      <c r="C142" s="14">
        <f>Table1346811345671012[[#This Row],[PMI]]-B141</f>
        <v>1.9000000000000057</v>
      </c>
    </row>
    <row r="143" spans="1:3" x14ac:dyDescent="0.2">
      <c r="A143" s="8">
        <v>44621</v>
      </c>
      <c r="B143" s="11">
        <f>IF(VLOOKUP(A143,'DB Country PMI'!$A:$W,MATCH($A$1,'DB Country PMI'!$A$1:$W$1,),)=0,#N/A,VLOOKUP(A143,'DB Country PMI'!$A:$W,MATCH($A$1,'DB Country PMI'!$A$1:$W$1,),))</f>
        <v>58.1</v>
      </c>
      <c r="C143" s="14">
        <f>Table1346811345671012[[#This Row],[PMI]]-B142</f>
        <v>3.3999999999999986</v>
      </c>
    </row>
    <row r="144" spans="1:3" x14ac:dyDescent="0.2">
      <c r="A144" s="8">
        <v>44652</v>
      </c>
      <c r="B144" s="11">
        <f>IF(VLOOKUP(A144,'DB Country PMI'!$A:$W,MATCH($A$1,'DB Country PMI'!$A$1:$W$1,),)=0,#N/A,VLOOKUP(A144,'DB Country PMI'!$A:$W,MATCH($A$1,'DB Country PMI'!$A$1:$W$1,),))</f>
        <v>60.6</v>
      </c>
      <c r="C144" s="14">
        <f>Table1346811345671012[[#This Row],[PMI]]-B143</f>
        <v>2.5</v>
      </c>
    </row>
    <row r="145" spans="1:3" x14ac:dyDescent="0.2">
      <c r="A145" s="8">
        <v>44682</v>
      </c>
      <c r="B145" s="11">
        <f>IF(VLOOKUP(A145,'DB Country PMI'!$A:$W,MATCH($A$1,'DB Country PMI'!$A$1:$W$1,),)=0,#N/A,VLOOKUP(A145,'DB Country PMI'!$A:$W,MATCH($A$1,'DB Country PMI'!$A$1:$W$1,),))</f>
        <v>58.6</v>
      </c>
      <c r="C145" s="14">
        <f>Table1346811345671012[[#This Row],[PMI]]-B144</f>
        <v>-2</v>
      </c>
    </row>
    <row r="146" spans="1:3" x14ac:dyDescent="0.2">
      <c r="A146" s="8">
        <v>44713</v>
      </c>
      <c r="B146" s="11">
        <f>IF(VLOOKUP(A146,'DB Country PMI'!$A:$W,MATCH($A$1,'DB Country PMI'!$A$1:$W$1,),)=0,#N/A,VLOOKUP(A146,'DB Country PMI'!$A:$W,MATCH($A$1,'DB Country PMI'!$A$1:$W$1,),))</f>
        <v>60.8</v>
      </c>
      <c r="C146" s="14">
        <f>Table1346811345671012[[#This Row],[PMI]]-B145</f>
        <v>2.1999999999999957</v>
      </c>
    </row>
    <row r="147" spans="1:3" x14ac:dyDescent="0.2">
      <c r="A147" s="8">
        <v>44743</v>
      </c>
      <c r="B147" s="11">
        <f>IF(VLOOKUP(A147,'DB Country PMI'!$A:$W,MATCH($A$1,'DB Country PMI'!$A$1:$W$1,),)=0,#N/A,VLOOKUP(A147,'DB Country PMI'!$A:$W,MATCH($A$1,'DB Country PMI'!$A$1:$W$1,),))</f>
        <v>55.8</v>
      </c>
      <c r="C147" s="14">
        <f>Table1346811345671012[[#This Row],[PMI]]-B146</f>
        <v>-5</v>
      </c>
    </row>
    <row r="148" spans="1:3" x14ac:dyDescent="0.2">
      <c r="A148" s="8">
        <v>44774</v>
      </c>
      <c r="B148" s="11">
        <f>IF(VLOOKUP(A148,'DB Country PMI'!$A:$W,MATCH($A$1,'DB Country PMI'!$A$1:$W$1,),)=0,#N/A,VLOOKUP(A148,'DB Country PMI'!$A:$W,MATCH($A$1,'DB Country PMI'!$A$1:$W$1,),))</f>
        <v>53.9</v>
      </c>
      <c r="C148" s="14">
        <f>Table1346811345671012[[#This Row],[PMI]]-B147</f>
        <v>-1.8999999999999986</v>
      </c>
    </row>
    <row r="149" spans="1:3" x14ac:dyDescent="0.2">
      <c r="A149" s="8">
        <v>44805</v>
      </c>
      <c r="B149" s="11">
        <f>IF(VLOOKUP(A149,'DB Country PMI'!$A:$W,MATCH($A$1,'DB Country PMI'!$A$1:$W$1,),)=0,#N/A,VLOOKUP(A149,'DB Country PMI'!$A:$W,MATCH($A$1,'DB Country PMI'!$A$1:$W$1,),))</f>
        <v>51.9</v>
      </c>
      <c r="C149" s="14">
        <f>Table1346811345671012[[#This Row],[PMI]]-B148</f>
        <v>-2</v>
      </c>
    </row>
    <row r="150" spans="1:3" x14ac:dyDescent="0.2">
      <c r="A150" s="8">
        <v>44835</v>
      </c>
      <c r="B150" s="11">
        <f>IF(VLOOKUP(A150,'DB Country PMI'!$A:$W,MATCH($A$1,'DB Country PMI'!$A$1:$W$1,),)=0,#N/A,VLOOKUP(A150,'DB Country PMI'!$A:$W,MATCH($A$1,'DB Country PMI'!$A$1:$W$1,),))</f>
        <v>54</v>
      </c>
      <c r="C150" s="14">
        <f>Table1346811345671012[[#This Row],[PMI]]-B149</f>
        <v>2.1000000000000014</v>
      </c>
    </row>
  </sheetData>
  <conditionalFormatting sqref="C7:C150">
    <cfRule type="colorScale" priority="1">
      <colorScale>
        <cfvo type="min"/>
        <cfvo type="percentile" val="50"/>
        <cfvo type="max"/>
        <color rgb="FFF8696B"/>
        <color rgb="FFFCFCFF"/>
        <color rgb="FF5A8AC6"/>
      </colorScale>
    </cfRule>
  </conditionalFormatting>
  <conditionalFormatting sqref="B6:B150">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dimension ref="A1:J150"/>
  <sheetViews>
    <sheetView zoomScale="160" zoomScaleNormal="160" workbookViewId="0">
      <pane ySplit="5" topLeftCell="A135" activePane="bottomLeft" state="frozen"/>
      <selection pane="bottomLeft" activeCell="A138" sqref="A138:C150"/>
    </sheetView>
  </sheetViews>
  <sheetFormatPr baseColWidth="10" defaultColWidth="9.1640625" defaultRowHeight="15" x14ac:dyDescent="0.2"/>
  <cols>
    <col min="1" max="1" width="13.5" style="49" customWidth="1"/>
    <col min="2" max="2" width="11.33203125" style="49" customWidth="1"/>
    <col min="3" max="11" width="9.1640625" style="49" customWidth="1"/>
    <col min="12" max="16384" width="9.1640625" style="49"/>
  </cols>
  <sheetData>
    <row r="1" spans="1:10" x14ac:dyDescent="0.2">
      <c r="A1" s="49" t="s">
        <v>29</v>
      </c>
      <c r="J1" s="49" t="s">
        <v>62</v>
      </c>
    </row>
    <row r="2" spans="1:10" x14ac:dyDescent="0.2">
      <c r="J2" s="49" t="s">
        <v>75</v>
      </c>
    </row>
    <row r="4" spans="1:10" ht="16" customHeight="1" thickBot="1" x14ac:dyDescent="0.25"/>
    <row r="5" spans="1:10" ht="16" customHeight="1" thickBot="1" x14ac:dyDescent="0.25">
      <c r="A5" s="12" t="s">
        <v>33</v>
      </c>
      <c r="B5" s="13" t="s">
        <v>60</v>
      </c>
      <c r="C5" s="13" t="s">
        <v>61</v>
      </c>
    </row>
    <row r="6" spans="1:10" x14ac:dyDescent="0.2">
      <c r="A6" s="10">
        <v>40452</v>
      </c>
      <c r="B6" s="11">
        <f>IF(VLOOKUP(A6,'DB Country PMI'!$A:$W,MATCH($A$1,'DB Country PMI'!$A$1:$W$1,),)=0,#N/A,VLOOKUP(A6,'DB Country PMI'!$A:$W,MATCH($A$1,'DB Country PMI'!$A$1:$W$1,),))</f>
        <v>54.7</v>
      </c>
      <c r="C6" s="11"/>
    </row>
    <row r="7" spans="1:10" x14ac:dyDescent="0.2">
      <c r="A7" s="8">
        <v>40483</v>
      </c>
      <c r="B7" s="11">
        <f>IF(VLOOKUP(A7,'DB Country PMI'!$A:$W,MATCH($A$1,'DB Country PMI'!$A$1:$W$1,),)=0,#N/A,VLOOKUP(A7,'DB Country PMI'!$A:$W,MATCH($A$1,'DB Country PMI'!$A$1:$W$1,),))</f>
        <v>54.1</v>
      </c>
      <c r="C7" s="14">
        <f>Table134681134567101213[[#This Row],[PMI]]-B6</f>
        <v>-0.60000000000000142</v>
      </c>
    </row>
    <row r="8" spans="1:10" x14ac:dyDescent="0.2">
      <c r="A8" s="8">
        <v>40513</v>
      </c>
      <c r="B8" s="11">
        <f>IF(VLOOKUP(A8,'DB Country PMI'!$A:$W,MATCH($A$1,'DB Country PMI'!$A$1:$W$1,),)=0,#N/A,VLOOKUP(A8,'DB Country PMI'!$A:$W,MATCH($A$1,'DB Country PMI'!$A$1:$W$1,),))</f>
        <v>53.4</v>
      </c>
      <c r="C8" s="14">
        <f>Table134681134567101213[[#This Row],[PMI]]-B7</f>
        <v>-0.70000000000000284</v>
      </c>
    </row>
    <row r="9" spans="1:10" x14ac:dyDescent="0.2">
      <c r="A9" s="8">
        <v>40544</v>
      </c>
      <c r="B9" s="11">
        <f>IF(VLOOKUP(A9,'DB Country PMI'!$A:$W,MATCH($A$1,'DB Country PMI'!$A$1:$W$1,),)=0,#N/A,VLOOKUP(A9,'DB Country PMI'!$A:$W,MATCH($A$1,'DB Country PMI'!$A$1:$W$1,),))</f>
        <v>52.4</v>
      </c>
      <c r="C9" s="14">
        <f>Table134681134567101213[[#This Row],[PMI]]-B8</f>
        <v>-1</v>
      </c>
    </row>
    <row r="10" spans="1:10" x14ac:dyDescent="0.2">
      <c r="A10" s="8">
        <v>40575</v>
      </c>
      <c r="B10" s="11">
        <f>IF(VLOOKUP(A10,'DB Country PMI'!$A:$W,MATCH($A$1,'DB Country PMI'!$A$1:$W$1,),)=0,#N/A,VLOOKUP(A10,'DB Country PMI'!$A:$W,MATCH($A$1,'DB Country PMI'!$A$1:$W$1,),))</f>
        <v>53.4</v>
      </c>
      <c r="C10" s="14">
        <f>Table134681134567101213[[#This Row],[PMI]]-B9</f>
        <v>1</v>
      </c>
    </row>
    <row r="11" spans="1:10" x14ac:dyDescent="0.2">
      <c r="A11" s="8">
        <v>40603</v>
      </c>
      <c r="B11" s="11">
        <f>IF(VLOOKUP(A11,'DB Country PMI'!$A:$W,MATCH($A$1,'DB Country PMI'!$A$1:$W$1,),)=0,#N/A,VLOOKUP(A11,'DB Country PMI'!$A:$W,MATCH($A$1,'DB Country PMI'!$A$1:$W$1,),))</f>
        <v>53.3</v>
      </c>
      <c r="C11" s="14">
        <f>Table134681134567101213[[#This Row],[PMI]]-B10</f>
        <v>-0.10000000000000142</v>
      </c>
    </row>
    <row r="12" spans="1:10" x14ac:dyDescent="0.2">
      <c r="A12" s="8">
        <v>40634</v>
      </c>
      <c r="B12" s="11">
        <f>IF(VLOOKUP(A12,'DB Country PMI'!$A:$W,MATCH($A$1,'DB Country PMI'!$A$1:$W$1,),)=0,#N/A,VLOOKUP(A12,'DB Country PMI'!$A:$W,MATCH($A$1,'DB Country PMI'!$A$1:$W$1,),))</f>
        <v>55.8</v>
      </c>
      <c r="C12" s="14">
        <f>Table134681134567101213[[#This Row],[PMI]]-B11</f>
        <v>2.5</v>
      </c>
    </row>
    <row r="13" spans="1:10" x14ac:dyDescent="0.2">
      <c r="A13" s="8">
        <v>40664</v>
      </c>
      <c r="B13" s="11">
        <f>IF(VLOOKUP(A13,'DB Country PMI'!$A:$W,MATCH($A$1,'DB Country PMI'!$A$1:$W$1,),)=0,#N/A,VLOOKUP(A13,'DB Country PMI'!$A:$W,MATCH($A$1,'DB Country PMI'!$A$1:$W$1,),))</f>
        <v>57.6</v>
      </c>
      <c r="C13" s="14">
        <f>Table134681134567101213[[#This Row],[PMI]]-B12</f>
        <v>1.8000000000000043</v>
      </c>
    </row>
    <row r="14" spans="1:10" x14ac:dyDescent="0.2">
      <c r="A14" s="8">
        <v>40695</v>
      </c>
      <c r="B14" s="11">
        <f>IF(VLOOKUP(A14,'DB Country PMI'!$A:$W,MATCH($A$1,'DB Country PMI'!$A$1:$W$1,),)=0,#N/A,VLOOKUP(A14,'DB Country PMI'!$A:$W,MATCH($A$1,'DB Country PMI'!$A$1:$W$1,),))</f>
        <v>55.1</v>
      </c>
      <c r="C14" s="14">
        <f>Table134681134567101213[[#This Row],[PMI]]-B13</f>
        <v>-2.5</v>
      </c>
    </row>
    <row r="15" spans="1:10" x14ac:dyDescent="0.2">
      <c r="A15" s="8">
        <v>40725</v>
      </c>
      <c r="B15" s="11">
        <f>IF(VLOOKUP(A15,'DB Country PMI'!$A:$W,MATCH($A$1,'DB Country PMI'!$A$1:$W$1,),)=0,#N/A,VLOOKUP(A15,'DB Country PMI'!$A:$W,MATCH($A$1,'DB Country PMI'!$A$1:$W$1,),))</f>
        <v>56.9</v>
      </c>
      <c r="C15" s="14">
        <f>Table134681134567101213[[#This Row],[PMI]]-B14</f>
        <v>1.7999999999999972</v>
      </c>
    </row>
    <row r="16" spans="1:10" x14ac:dyDescent="0.2">
      <c r="A16" s="8">
        <v>40756</v>
      </c>
      <c r="B16" s="11">
        <f>IF(VLOOKUP(A16,'DB Country PMI'!$A:$W,MATCH($A$1,'DB Country PMI'!$A$1:$W$1,),)=0,#N/A,VLOOKUP(A16,'DB Country PMI'!$A:$W,MATCH($A$1,'DB Country PMI'!$A$1:$W$1,),))</f>
        <v>55.1</v>
      </c>
      <c r="C16" s="14">
        <f>Table134681134567101213[[#This Row],[PMI]]-B15</f>
        <v>-1.7999999999999972</v>
      </c>
    </row>
    <row r="17" spans="1:3" x14ac:dyDescent="0.2">
      <c r="A17" s="8">
        <v>40787</v>
      </c>
      <c r="B17" s="11">
        <f>IF(VLOOKUP(A17,'DB Country PMI'!$A:$W,MATCH($A$1,'DB Country PMI'!$A$1:$W$1,),)=0,#N/A,VLOOKUP(A17,'DB Country PMI'!$A:$W,MATCH($A$1,'DB Country PMI'!$A$1:$W$1,),))</f>
        <v>53.3</v>
      </c>
      <c r="C17" s="14">
        <f>Table134681134567101213[[#This Row],[PMI]]-B16</f>
        <v>-1.8000000000000043</v>
      </c>
    </row>
    <row r="18" spans="1:3" x14ac:dyDescent="0.2">
      <c r="A18" s="8">
        <v>40817</v>
      </c>
      <c r="B18" s="11">
        <f>IF(VLOOKUP(A18,'DB Country PMI'!$A:$W,MATCH($A$1,'DB Country PMI'!$A$1:$W$1,),)=0,#N/A,VLOOKUP(A18,'DB Country PMI'!$A:$W,MATCH($A$1,'DB Country PMI'!$A$1:$W$1,),))</f>
        <v>53.5</v>
      </c>
      <c r="C18" s="14">
        <f>Table134681134567101213[[#This Row],[PMI]]-B17</f>
        <v>0.20000000000000284</v>
      </c>
    </row>
    <row r="19" spans="1:3" x14ac:dyDescent="0.2">
      <c r="A19" s="8">
        <v>40848</v>
      </c>
      <c r="B19" s="11">
        <f>IF(VLOOKUP(A19,'DB Country PMI'!$A:$W,MATCH($A$1,'DB Country PMI'!$A$1:$W$1,),)=0,#N/A,VLOOKUP(A19,'DB Country PMI'!$A:$W,MATCH($A$1,'DB Country PMI'!$A$1:$W$1,),))</f>
        <v>54.8</v>
      </c>
      <c r="C19" s="14">
        <f>Table134681134567101213[[#This Row],[PMI]]-B18</f>
        <v>1.2999999999999972</v>
      </c>
    </row>
    <row r="20" spans="1:3" x14ac:dyDescent="0.2">
      <c r="A20" s="8">
        <v>40878</v>
      </c>
      <c r="B20" s="11">
        <f>IF(VLOOKUP(A20,'DB Country PMI'!$A:$W,MATCH($A$1,'DB Country PMI'!$A$1:$W$1,),)=0,#N/A,VLOOKUP(A20,'DB Country PMI'!$A:$W,MATCH($A$1,'DB Country PMI'!$A$1:$W$1,),))</f>
        <v>53.8</v>
      </c>
      <c r="C20" s="14">
        <f>Table134681134567101213[[#This Row],[PMI]]-B19</f>
        <v>-1</v>
      </c>
    </row>
    <row r="21" spans="1:3" x14ac:dyDescent="0.2">
      <c r="A21" s="8">
        <v>40909</v>
      </c>
      <c r="B21" s="11">
        <f>IF(VLOOKUP(A21,'DB Country PMI'!$A:$W,MATCH($A$1,'DB Country PMI'!$A$1:$W$1,),)=0,#N/A,VLOOKUP(A21,'DB Country PMI'!$A:$W,MATCH($A$1,'DB Country PMI'!$A$1:$W$1,),))</f>
        <v>56.5</v>
      </c>
      <c r="C21" s="14">
        <f>Table134681134567101213[[#This Row],[PMI]]-B20</f>
        <v>2.7000000000000028</v>
      </c>
    </row>
    <row r="22" spans="1:3" x14ac:dyDescent="0.2">
      <c r="A22" s="8">
        <v>40940</v>
      </c>
      <c r="B22" s="11">
        <f>IF(VLOOKUP(A22,'DB Country PMI'!$A:$W,MATCH($A$1,'DB Country PMI'!$A$1:$W$1,),)=0,#N/A,VLOOKUP(A22,'DB Country PMI'!$A:$W,MATCH($A$1,'DB Country PMI'!$A$1:$W$1,),))</f>
        <v>55.3</v>
      </c>
      <c r="C22" s="14">
        <f>Table134681134567101213[[#This Row],[PMI]]-B21</f>
        <v>-1.2000000000000028</v>
      </c>
    </row>
    <row r="23" spans="1:3" x14ac:dyDescent="0.2">
      <c r="A23" s="8">
        <v>40969</v>
      </c>
      <c r="B23" s="11">
        <f>IF(VLOOKUP(A23,'DB Country PMI'!$A:$W,MATCH($A$1,'DB Country PMI'!$A$1:$W$1,),)=0,#N/A,VLOOKUP(A23,'DB Country PMI'!$A:$W,MATCH($A$1,'DB Country PMI'!$A$1:$W$1,),))</f>
        <v>54.4</v>
      </c>
      <c r="C23" s="14">
        <f>Table134681134567101213[[#This Row],[PMI]]-B22</f>
        <v>-0.89999999999999858</v>
      </c>
    </row>
    <row r="24" spans="1:3" x14ac:dyDescent="0.2">
      <c r="A24" s="8">
        <v>41000</v>
      </c>
      <c r="B24" s="11">
        <f>IF(VLOOKUP(A24,'DB Country PMI'!$A:$W,MATCH($A$1,'DB Country PMI'!$A$1:$W$1,),)=0,#N/A,VLOOKUP(A24,'DB Country PMI'!$A:$W,MATCH($A$1,'DB Country PMI'!$A$1:$W$1,),))</f>
        <v>52.6</v>
      </c>
      <c r="C24" s="14">
        <f>Table134681134567101213[[#This Row],[PMI]]-B23</f>
        <v>-1.7999999999999972</v>
      </c>
    </row>
    <row r="25" spans="1:3" x14ac:dyDescent="0.2">
      <c r="A25" s="8">
        <v>41030</v>
      </c>
      <c r="B25" s="11">
        <f>IF(VLOOKUP(A25,'DB Country PMI'!$A:$W,MATCH($A$1,'DB Country PMI'!$A$1:$W$1,),)=0,#N/A,VLOOKUP(A25,'DB Country PMI'!$A:$W,MATCH($A$1,'DB Country PMI'!$A$1:$W$1,),))</f>
        <v>54.9</v>
      </c>
      <c r="C25" s="14">
        <f>Table134681134567101213[[#This Row],[PMI]]-B24</f>
        <v>2.2999999999999972</v>
      </c>
    </row>
    <row r="26" spans="1:3" x14ac:dyDescent="0.2">
      <c r="A26" s="8">
        <v>41061</v>
      </c>
      <c r="B26" s="11">
        <f>IF(VLOOKUP(A26,'DB Country PMI'!$A:$W,MATCH($A$1,'DB Country PMI'!$A$1:$W$1,),)=0,#N/A,VLOOKUP(A26,'DB Country PMI'!$A:$W,MATCH($A$1,'DB Country PMI'!$A$1:$W$1,),))</f>
        <v>53.2</v>
      </c>
      <c r="C26" s="14">
        <f>Table134681134567101213[[#This Row],[PMI]]-B25</f>
        <v>-1.6999999999999957</v>
      </c>
    </row>
    <row r="27" spans="1:3" x14ac:dyDescent="0.2">
      <c r="A27" s="8">
        <v>41091</v>
      </c>
      <c r="B27" s="11">
        <f>IF(VLOOKUP(A27,'DB Country PMI'!$A:$W,MATCH($A$1,'DB Country PMI'!$A$1:$W$1,),)=0,#N/A,VLOOKUP(A27,'DB Country PMI'!$A:$W,MATCH($A$1,'DB Country PMI'!$A$1:$W$1,),))</f>
        <v>52</v>
      </c>
      <c r="C27" s="14">
        <f>Table134681134567101213[[#This Row],[PMI]]-B26</f>
        <v>-1.2000000000000028</v>
      </c>
    </row>
    <row r="28" spans="1:3" x14ac:dyDescent="0.2">
      <c r="A28" s="8">
        <v>41122</v>
      </c>
      <c r="B28" s="11">
        <f>IF(VLOOKUP(A28,'DB Country PMI'!$A:$W,MATCH($A$1,'DB Country PMI'!$A$1:$W$1,),)=0,#N/A,VLOOKUP(A28,'DB Country PMI'!$A:$W,MATCH($A$1,'DB Country PMI'!$A$1:$W$1,),))</f>
        <v>52.6</v>
      </c>
      <c r="C28" s="14">
        <f>Table134681134567101213[[#This Row],[PMI]]-B27</f>
        <v>0.60000000000000142</v>
      </c>
    </row>
    <row r="29" spans="1:3" x14ac:dyDescent="0.2">
      <c r="A29" s="8">
        <v>41153</v>
      </c>
      <c r="B29" s="11">
        <f>IF(VLOOKUP(A29,'DB Country PMI'!$A:$W,MATCH($A$1,'DB Country PMI'!$A$1:$W$1,),)=0,#N/A,VLOOKUP(A29,'DB Country PMI'!$A:$W,MATCH($A$1,'DB Country PMI'!$A$1:$W$1,),))</f>
        <v>54.5</v>
      </c>
      <c r="C29" s="14">
        <f>Table134681134567101213[[#This Row],[PMI]]-B28</f>
        <v>1.8999999999999986</v>
      </c>
    </row>
    <row r="30" spans="1:3" x14ac:dyDescent="0.2">
      <c r="A30" s="8">
        <v>41183</v>
      </c>
      <c r="B30" s="11">
        <f>IF(VLOOKUP(A30,'DB Country PMI'!$A:$W,MATCH($A$1,'DB Country PMI'!$A$1:$W$1,),)=0,#N/A,VLOOKUP(A30,'DB Country PMI'!$A:$W,MATCH($A$1,'DB Country PMI'!$A$1:$W$1,),))</f>
        <v>57.3</v>
      </c>
      <c r="C30" s="14">
        <f>Table134681134567101213[[#This Row],[PMI]]-B29</f>
        <v>2.7999999999999972</v>
      </c>
    </row>
    <row r="31" spans="1:3" x14ac:dyDescent="0.2">
      <c r="A31" s="8">
        <v>41214</v>
      </c>
      <c r="B31" s="11">
        <f>IF(VLOOKUP(A31,'DB Country PMI'!$A:$W,MATCH($A$1,'DB Country PMI'!$A$1:$W$1,),)=0,#N/A,VLOOKUP(A31,'DB Country PMI'!$A:$W,MATCH($A$1,'DB Country PMI'!$A$1:$W$1,),))</f>
        <v>57.1</v>
      </c>
      <c r="C31" s="14">
        <f>Table134681134567101213[[#This Row],[PMI]]-B30</f>
        <v>-0.19999999999999574</v>
      </c>
    </row>
    <row r="32" spans="1:3" x14ac:dyDescent="0.2">
      <c r="A32" s="8">
        <v>41244</v>
      </c>
      <c r="B32" s="11">
        <f>IF(VLOOKUP(A32,'DB Country PMI'!$A:$W,MATCH($A$1,'DB Country PMI'!$A$1:$W$1,),)=0,#N/A,VLOOKUP(A32,'DB Country PMI'!$A:$W,MATCH($A$1,'DB Country PMI'!$A$1:$W$1,),))</f>
        <v>56.1</v>
      </c>
      <c r="C32" s="14">
        <f>Table134681134567101213[[#This Row],[PMI]]-B31</f>
        <v>-1</v>
      </c>
    </row>
    <row r="33" spans="1:3" x14ac:dyDescent="0.2">
      <c r="A33" s="8">
        <v>41275</v>
      </c>
      <c r="B33" s="11">
        <f>IF(VLOOKUP(A33,'DB Country PMI'!$A:$W,MATCH($A$1,'DB Country PMI'!$A$1:$W$1,),)=0,#N/A,VLOOKUP(A33,'DB Country PMI'!$A:$W,MATCH($A$1,'DB Country PMI'!$A$1:$W$1,),))</f>
        <v>55.7</v>
      </c>
      <c r="C33" s="14">
        <f>Table134681134567101213[[#This Row],[PMI]]-B32</f>
        <v>-0.39999999999999858</v>
      </c>
    </row>
    <row r="34" spans="1:3" x14ac:dyDescent="0.2">
      <c r="A34" s="8">
        <v>41306</v>
      </c>
      <c r="B34" s="11">
        <f>IF(VLOOKUP(A34,'DB Country PMI'!$A:$W,MATCH($A$1,'DB Country PMI'!$A$1:$W$1,),)=0,#N/A,VLOOKUP(A34,'DB Country PMI'!$A:$W,MATCH($A$1,'DB Country PMI'!$A$1:$W$1,),))</f>
        <v>56.1</v>
      </c>
      <c r="C34" s="14">
        <f>Table134681134567101213[[#This Row],[PMI]]-B33</f>
        <v>0.39999999999999858</v>
      </c>
    </row>
    <row r="35" spans="1:3" x14ac:dyDescent="0.2">
      <c r="A35" s="8">
        <v>41334</v>
      </c>
      <c r="B35" s="11">
        <f>IF(VLOOKUP(A35,'DB Country PMI'!$A:$W,MATCH($A$1,'DB Country PMI'!$A$1:$W$1,),)=0,#N/A,VLOOKUP(A35,'DB Country PMI'!$A:$W,MATCH($A$1,'DB Country PMI'!$A$1:$W$1,),))</f>
        <v>54.6</v>
      </c>
      <c r="C35" s="14">
        <f>Table134681134567101213[[#This Row],[PMI]]-B34</f>
        <v>-1.5</v>
      </c>
    </row>
    <row r="36" spans="1:3" x14ac:dyDescent="0.2">
      <c r="A36" s="8">
        <v>41365</v>
      </c>
      <c r="B36" s="11">
        <f>IF(VLOOKUP(A36,'DB Country PMI'!$A:$W,MATCH($A$1,'DB Country PMI'!$A$1:$W$1,),)=0,#N/A,VLOOKUP(A36,'DB Country PMI'!$A:$W,MATCH($A$1,'DB Country PMI'!$A$1:$W$1,),))</f>
        <v>53</v>
      </c>
      <c r="C36" s="14">
        <f>Table134681134567101213[[#This Row],[PMI]]-B35</f>
        <v>-1.6000000000000014</v>
      </c>
    </row>
    <row r="37" spans="1:3" x14ac:dyDescent="0.2">
      <c r="A37" s="8">
        <v>41395</v>
      </c>
      <c r="B37" s="11">
        <f>IF(VLOOKUP(A37,'DB Country PMI'!$A:$W,MATCH($A$1,'DB Country PMI'!$A$1:$W$1,),)=0,#N/A,VLOOKUP(A37,'DB Country PMI'!$A:$W,MATCH($A$1,'DB Country PMI'!$A$1:$W$1,),))</f>
        <v>51.4</v>
      </c>
      <c r="C37" s="14">
        <f>Table134681134567101213[[#This Row],[PMI]]-B36</f>
        <v>-1.6000000000000014</v>
      </c>
    </row>
    <row r="38" spans="1:3" x14ac:dyDescent="0.2">
      <c r="A38" s="8">
        <v>41426</v>
      </c>
      <c r="B38" s="11">
        <f>IF(VLOOKUP(A38,'DB Country PMI'!$A:$W,MATCH($A$1,'DB Country PMI'!$A$1:$W$1,),)=0,#N/A,VLOOKUP(A38,'DB Country PMI'!$A:$W,MATCH($A$1,'DB Country PMI'!$A$1:$W$1,),))</f>
        <v>48.8</v>
      </c>
      <c r="C38" s="14">
        <f>Table134681134567101213[[#This Row],[PMI]]-B37</f>
        <v>-2.6000000000000014</v>
      </c>
    </row>
    <row r="39" spans="1:3" x14ac:dyDescent="0.2">
      <c r="A39" s="8">
        <v>41456</v>
      </c>
      <c r="B39" s="11">
        <f>IF(VLOOKUP(A39,'DB Country PMI'!$A:$W,MATCH($A$1,'DB Country PMI'!$A$1:$W$1,),)=0,#N/A,VLOOKUP(A39,'DB Country PMI'!$A:$W,MATCH($A$1,'DB Country PMI'!$A$1:$W$1,),))</f>
        <v>48.7</v>
      </c>
      <c r="C39" s="14">
        <f>Table134681134567101213[[#This Row],[PMI]]-B38</f>
        <v>-9.9999999999994316E-2</v>
      </c>
    </row>
    <row r="40" spans="1:3" x14ac:dyDescent="0.2">
      <c r="A40" s="8">
        <v>41487</v>
      </c>
      <c r="B40" s="11">
        <f>IF(VLOOKUP(A40,'DB Country PMI'!$A:$W,MATCH($A$1,'DB Country PMI'!$A$1:$W$1,),)=0,#N/A,VLOOKUP(A40,'DB Country PMI'!$A:$W,MATCH($A$1,'DB Country PMI'!$A$1:$W$1,),))</f>
        <v>51.8</v>
      </c>
      <c r="C40" s="14">
        <f>Table134681134567101213[[#This Row],[PMI]]-B39</f>
        <v>3.0999999999999943</v>
      </c>
    </row>
    <row r="41" spans="1:3" x14ac:dyDescent="0.2">
      <c r="A41" s="8">
        <v>41518</v>
      </c>
      <c r="B41" s="11">
        <f>IF(VLOOKUP(A41,'DB Country PMI'!$A:$W,MATCH($A$1,'DB Country PMI'!$A$1:$W$1,),)=0,#N/A,VLOOKUP(A41,'DB Country PMI'!$A:$W,MATCH($A$1,'DB Country PMI'!$A$1:$W$1,),))</f>
        <v>51.5</v>
      </c>
      <c r="C41" s="14">
        <f>Table134681134567101213[[#This Row],[PMI]]-B40</f>
        <v>-0.29999999999999716</v>
      </c>
    </row>
    <row r="42" spans="1:3" x14ac:dyDescent="0.2">
      <c r="A42" s="8">
        <v>41548</v>
      </c>
      <c r="B42" s="11">
        <f>IF(VLOOKUP(A42,'DB Country PMI'!$A:$W,MATCH($A$1,'DB Country PMI'!$A$1:$W$1,),)=0,#N/A,VLOOKUP(A42,'DB Country PMI'!$A:$W,MATCH($A$1,'DB Country PMI'!$A$1:$W$1,),))</f>
        <v>52.5</v>
      </c>
      <c r="C42" s="14">
        <f>Table134681134567101213[[#This Row],[PMI]]-B41</f>
        <v>1</v>
      </c>
    </row>
    <row r="43" spans="1:3" x14ac:dyDescent="0.2">
      <c r="A43" s="8">
        <v>41579</v>
      </c>
      <c r="B43" s="11">
        <f>IF(VLOOKUP(A43,'DB Country PMI'!$A:$W,MATCH($A$1,'DB Country PMI'!$A$1:$W$1,),)=0,#N/A,VLOOKUP(A43,'DB Country PMI'!$A:$W,MATCH($A$1,'DB Country PMI'!$A$1:$W$1,),))</f>
        <v>52.9</v>
      </c>
      <c r="C43" s="14">
        <f>Table134681134567101213[[#This Row],[PMI]]-B42</f>
        <v>0.39999999999999858</v>
      </c>
    </row>
    <row r="44" spans="1:3" x14ac:dyDescent="0.2">
      <c r="A44" s="8">
        <v>41609</v>
      </c>
      <c r="B44" s="11">
        <f>IF(VLOOKUP(A44,'DB Country PMI'!$A:$W,MATCH($A$1,'DB Country PMI'!$A$1:$W$1,),)=0,#N/A,VLOOKUP(A44,'DB Country PMI'!$A:$W,MATCH($A$1,'DB Country PMI'!$A$1:$W$1,),))</f>
        <v>51.4</v>
      </c>
      <c r="C44" s="14">
        <f>Table134681134567101213[[#This Row],[PMI]]-B43</f>
        <v>-1.5</v>
      </c>
    </row>
    <row r="45" spans="1:3" x14ac:dyDescent="0.2">
      <c r="A45" s="8">
        <v>41640</v>
      </c>
      <c r="B45" s="11">
        <f>IF(VLOOKUP(A45,'DB Country PMI'!$A:$W,MATCH($A$1,'DB Country PMI'!$A$1:$W$1,),)=0,#N/A,VLOOKUP(A45,'DB Country PMI'!$A:$W,MATCH($A$1,'DB Country PMI'!$A$1:$W$1,),))</f>
        <v>50.2</v>
      </c>
      <c r="C45" s="14">
        <f>Table134681134567101213[[#This Row],[PMI]]-B44</f>
        <v>-1.1999999999999957</v>
      </c>
    </row>
    <row r="46" spans="1:3" x14ac:dyDescent="0.2">
      <c r="A46" s="8">
        <v>41671</v>
      </c>
      <c r="B46" s="11">
        <f>IF(VLOOKUP(A46,'DB Country PMI'!$A:$W,MATCH($A$1,'DB Country PMI'!$A$1:$W$1,),)=0,#N/A,VLOOKUP(A46,'DB Country PMI'!$A:$W,MATCH($A$1,'DB Country PMI'!$A$1:$W$1,),))</f>
        <v>50.8</v>
      </c>
      <c r="C46" s="14">
        <f>Table134681134567101213[[#This Row],[PMI]]-B45</f>
        <v>0.59999999999999432</v>
      </c>
    </row>
    <row r="47" spans="1:3" x14ac:dyDescent="0.2">
      <c r="A47" s="8">
        <v>41699</v>
      </c>
      <c r="B47" s="11">
        <f>IF(VLOOKUP(A47,'DB Country PMI'!$A:$W,MATCH($A$1,'DB Country PMI'!$A$1:$W$1,),)=0,#N/A,VLOOKUP(A47,'DB Country PMI'!$A:$W,MATCH($A$1,'DB Country PMI'!$A$1:$W$1,),))</f>
        <v>47.7</v>
      </c>
      <c r="C47" s="14">
        <f>Table134681134567101213[[#This Row],[PMI]]-B46</f>
        <v>-3.0999999999999943</v>
      </c>
    </row>
    <row r="48" spans="1:3" x14ac:dyDescent="0.2">
      <c r="A48" s="8">
        <v>41730</v>
      </c>
      <c r="B48" s="11">
        <f>IF(VLOOKUP(A48,'DB Country PMI'!$A:$W,MATCH($A$1,'DB Country PMI'!$A$1:$W$1,),)=0,#N/A,VLOOKUP(A48,'DB Country PMI'!$A:$W,MATCH($A$1,'DB Country PMI'!$A$1:$W$1,),))</f>
        <v>46.8</v>
      </c>
      <c r="C48" s="14">
        <f>Table134681134567101213[[#This Row],[PMI]]-B47</f>
        <v>-0.90000000000000568</v>
      </c>
    </row>
    <row r="49" spans="1:3" x14ac:dyDescent="0.2">
      <c r="A49" s="8">
        <v>41760</v>
      </c>
      <c r="B49" s="11">
        <f>IF(VLOOKUP(A49,'DB Country PMI'!$A:$W,MATCH($A$1,'DB Country PMI'!$A$1:$W$1,),)=0,#N/A,VLOOKUP(A49,'DB Country PMI'!$A:$W,MATCH($A$1,'DB Country PMI'!$A$1:$W$1,),))</f>
        <v>46.1</v>
      </c>
      <c r="C49" s="14">
        <f>Table134681134567101213[[#This Row],[PMI]]-B48</f>
        <v>-0.69999999999999574</v>
      </c>
    </row>
    <row r="50" spans="1:3" x14ac:dyDescent="0.2">
      <c r="A50" s="8">
        <v>41791</v>
      </c>
      <c r="B50" s="11">
        <f>IF(VLOOKUP(A50,'DB Country PMI'!$A:$W,MATCH($A$1,'DB Country PMI'!$A$1:$W$1,),)=0,#N/A,VLOOKUP(A50,'DB Country PMI'!$A:$W,MATCH($A$1,'DB Country PMI'!$A$1:$W$1,),))</f>
        <v>49.8</v>
      </c>
      <c r="C50" s="14">
        <f>Table134681134567101213[[#This Row],[PMI]]-B49</f>
        <v>3.6999999999999957</v>
      </c>
    </row>
    <row r="51" spans="1:3" x14ac:dyDescent="0.2">
      <c r="A51" s="8">
        <v>41821</v>
      </c>
      <c r="B51" s="11">
        <f>IF(VLOOKUP(A51,'DB Country PMI'!$A:$W,MATCH($A$1,'DB Country PMI'!$A$1:$W$1,),)=0,#N/A,VLOOKUP(A51,'DB Country PMI'!$A:$W,MATCH($A$1,'DB Country PMI'!$A$1:$W$1,),))</f>
        <v>49.7</v>
      </c>
      <c r="C51" s="14">
        <f>Table134681134567101213[[#This Row],[PMI]]-B50</f>
        <v>-9.9999999999994316E-2</v>
      </c>
    </row>
    <row r="52" spans="1:3" x14ac:dyDescent="0.2">
      <c r="A52" s="8">
        <v>41852</v>
      </c>
      <c r="B52" s="11">
        <f>IF(VLOOKUP(A52,'DB Country PMI'!$A:$W,MATCH($A$1,'DB Country PMI'!$A$1:$W$1,),)=0,#N/A,VLOOKUP(A52,'DB Country PMI'!$A:$W,MATCH($A$1,'DB Country PMI'!$A$1:$W$1,),))</f>
        <v>50.3</v>
      </c>
      <c r="C52" s="14">
        <f>Table134681134567101213[[#This Row],[PMI]]-B51</f>
        <v>0.59999999999999432</v>
      </c>
    </row>
    <row r="53" spans="1:3" x14ac:dyDescent="0.2">
      <c r="A53" s="8">
        <v>41883</v>
      </c>
      <c r="B53" s="11">
        <f>IF(VLOOKUP(A53,'DB Country PMI'!$A:$W,MATCH($A$1,'DB Country PMI'!$A$1:$W$1,),)=0,#N/A,VLOOKUP(A53,'DB Country PMI'!$A:$W,MATCH($A$1,'DB Country PMI'!$A$1:$W$1,),))</f>
        <v>50.5</v>
      </c>
      <c r="C53" s="14">
        <f>Table134681134567101213[[#This Row],[PMI]]-B52</f>
        <v>0.20000000000000284</v>
      </c>
    </row>
    <row r="54" spans="1:3" x14ac:dyDescent="0.2">
      <c r="A54" s="8">
        <v>41913</v>
      </c>
      <c r="B54" s="11">
        <f>IF(VLOOKUP(A54,'DB Country PMI'!$A:$W,MATCH($A$1,'DB Country PMI'!$A$1:$W$1,),)=0,#N/A,VLOOKUP(A54,'DB Country PMI'!$A:$W,MATCH($A$1,'DB Country PMI'!$A$1:$W$1,),))</f>
        <v>47.4</v>
      </c>
      <c r="C54" s="14">
        <f>Table134681134567101213[[#This Row],[PMI]]-B53</f>
        <v>-3.1000000000000014</v>
      </c>
    </row>
    <row r="55" spans="1:3" x14ac:dyDescent="0.2">
      <c r="A55" s="8">
        <v>41944</v>
      </c>
      <c r="B55" s="11">
        <f>IF(VLOOKUP(A55,'DB Country PMI'!$A:$W,MATCH($A$1,'DB Country PMI'!$A$1:$W$1,),)=0,#N/A,VLOOKUP(A55,'DB Country PMI'!$A:$W,MATCH($A$1,'DB Country PMI'!$A$1:$W$1,),))</f>
        <v>44.5</v>
      </c>
      <c r="C55" s="14">
        <f>Table134681134567101213[[#This Row],[PMI]]-B54</f>
        <v>-2.8999999999999986</v>
      </c>
    </row>
    <row r="56" spans="1:3" x14ac:dyDescent="0.2">
      <c r="A56" s="8">
        <v>41974</v>
      </c>
      <c r="B56" s="11">
        <f>IF(VLOOKUP(A56,'DB Country PMI'!$A:$W,MATCH($A$1,'DB Country PMI'!$A$1:$W$1,),)=0,#N/A,VLOOKUP(A56,'DB Country PMI'!$A:$W,MATCH($A$1,'DB Country PMI'!$A$1:$W$1,),))</f>
        <v>45.8</v>
      </c>
      <c r="C56" s="14">
        <f>Table134681134567101213[[#This Row],[PMI]]-B55</f>
        <v>1.2999999999999972</v>
      </c>
    </row>
    <row r="57" spans="1:3" x14ac:dyDescent="0.2">
      <c r="A57" s="8">
        <v>42005</v>
      </c>
      <c r="B57" s="11">
        <f>IF(VLOOKUP(A57,'DB Country PMI'!$A:$W,MATCH($A$1,'DB Country PMI'!$A$1:$W$1,),)=0,#N/A,VLOOKUP(A57,'DB Country PMI'!$A:$W,MATCH($A$1,'DB Country PMI'!$A$1:$W$1,),))</f>
        <v>43.9</v>
      </c>
      <c r="C57" s="14">
        <f>Table134681134567101213[[#This Row],[PMI]]-B56</f>
        <v>-1.8999999999999986</v>
      </c>
    </row>
    <row r="58" spans="1:3" x14ac:dyDescent="0.2">
      <c r="A58" s="8">
        <v>42036</v>
      </c>
      <c r="B58" s="11">
        <f>IF(VLOOKUP(A58,'DB Country PMI'!$A:$W,MATCH($A$1,'DB Country PMI'!$A$1:$W$1,),)=0,#N/A,VLOOKUP(A58,'DB Country PMI'!$A:$W,MATCH($A$1,'DB Country PMI'!$A$1:$W$1,),))</f>
        <v>41.3</v>
      </c>
      <c r="C58" s="14">
        <f>Table134681134567101213[[#This Row],[PMI]]-B57</f>
        <v>-2.6000000000000014</v>
      </c>
    </row>
    <row r="59" spans="1:3" x14ac:dyDescent="0.2">
      <c r="A59" s="8">
        <v>42064</v>
      </c>
      <c r="B59" s="11">
        <f>IF(VLOOKUP(A59,'DB Country PMI'!$A:$W,MATCH($A$1,'DB Country PMI'!$A$1:$W$1,),)=0,#N/A,VLOOKUP(A59,'DB Country PMI'!$A:$W,MATCH($A$1,'DB Country PMI'!$A$1:$W$1,),))</f>
        <v>46.1</v>
      </c>
      <c r="C59" s="14">
        <f>Table134681134567101213[[#This Row],[PMI]]-B58</f>
        <v>4.8000000000000043</v>
      </c>
    </row>
    <row r="60" spans="1:3" x14ac:dyDescent="0.2">
      <c r="A60" s="8">
        <v>42095</v>
      </c>
      <c r="B60" s="11">
        <f>IF(VLOOKUP(A60,'DB Country PMI'!$A:$W,MATCH($A$1,'DB Country PMI'!$A$1:$W$1,),)=0,#N/A,VLOOKUP(A60,'DB Country PMI'!$A:$W,MATCH($A$1,'DB Country PMI'!$A$1:$W$1,),))</f>
        <v>50.7</v>
      </c>
      <c r="C60" s="14">
        <f>Table134681134567101213[[#This Row],[PMI]]-B59</f>
        <v>4.6000000000000014</v>
      </c>
    </row>
    <row r="61" spans="1:3" x14ac:dyDescent="0.2">
      <c r="A61" s="8">
        <v>42125</v>
      </c>
      <c r="B61" s="11">
        <f>IF(VLOOKUP(A61,'DB Country PMI'!$A:$W,MATCH($A$1,'DB Country PMI'!$A$1:$W$1,),)=0,#N/A,VLOOKUP(A61,'DB Country PMI'!$A:$W,MATCH($A$1,'DB Country PMI'!$A$1:$W$1,),))</f>
        <v>52.8</v>
      </c>
      <c r="C61" s="14">
        <f>Table134681134567101213[[#This Row],[PMI]]-B60</f>
        <v>2.0999999999999943</v>
      </c>
    </row>
    <row r="62" spans="1:3" x14ac:dyDescent="0.2">
      <c r="A62" s="8">
        <v>42156</v>
      </c>
      <c r="B62" s="11">
        <f>IF(VLOOKUP(A62,'DB Country PMI'!$A:$W,MATCH($A$1,'DB Country PMI'!$A$1:$W$1,),)=0,#N/A,VLOOKUP(A62,'DB Country PMI'!$A:$W,MATCH($A$1,'DB Country PMI'!$A$1:$W$1,),))</f>
        <v>49.5</v>
      </c>
      <c r="C62" s="14">
        <f>Table134681134567101213[[#This Row],[PMI]]-B61</f>
        <v>-3.2999999999999972</v>
      </c>
    </row>
    <row r="63" spans="1:3" x14ac:dyDescent="0.2">
      <c r="A63" s="8">
        <v>42186</v>
      </c>
      <c r="B63" s="11">
        <f>IF(VLOOKUP(A63,'DB Country PMI'!$A:$W,MATCH($A$1,'DB Country PMI'!$A$1:$W$1,),)=0,#N/A,VLOOKUP(A63,'DB Country PMI'!$A:$W,MATCH($A$1,'DB Country PMI'!$A$1:$W$1,),))</f>
        <v>51.6</v>
      </c>
      <c r="C63" s="14">
        <f>Table134681134567101213[[#This Row],[PMI]]-B62</f>
        <v>2.1000000000000014</v>
      </c>
    </row>
    <row r="64" spans="1:3" x14ac:dyDescent="0.2">
      <c r="A64" s="8">
        <v>42217</v>
      </c>
      <c r="B64" s="11">
        <f>IF(VLOOKUP(A64,'DB Country PMI'!$A:$W,MATCH($A$1,'DB Country PMI'!$A$1:$W$1,),)=0,#N/A,VLOOKUP(A64,'DB Country PMI'!$A:$W,MATCH($A$1,'DB Country PMI'!$A$1:$W$1,),))</f>
        <v>49.1</v>
      </c>
      <c r="C64" s="14">
        <f>Table134681134567101213[[#This Row],[PMI]]-B63</f>
        <v>-2.5</v>
      </c>
    </row>
    <row r="65" spans="1:3" x14ac:dyDescent="0.2">
      <c r="A65" s="8">
        <v>42248</v>
      </c>
      <c r="B65" s="11">
        <f>IF(VLOOKUP(A65,'DB Country PMI'!$A:$W,MATCH($A$1,'DB Country PMI'!$A$1:$W$1,),)=0,#N/A,VLOOKUP(A65,'DB Country PMI'!$A:$W,MATCH($A$1,'DB Country PMI'!$A$1:$W$1,),))</f>
        <v>51.3</v>
      </c>
      <c r="C65" s="14">
        <f>Table134681134567101213[[#This Row],[PMI]]-B64</f>
        <v>2.1999999999999957</v>
      </c>
    </row>
    <row r="66" spans="1:3" x14ac:dyDescent="0.2">
      <c r="A66" s="8">
        <v>42278</v>
      </c>
      <c r="B66" s="11">
        <f>IF(VLOOKUP(A66,'DB Country PMI'!$A:$W,MATCH($A$1,'DB Country PMI'!$A$1:$W$1,),)=0,#N/A,VLOOKUP(A66,'DB Country PMI'!$A:$W,MATCH($A$1,'DB Country PMI'!$A$1:$W$1,),))</f>
        <v>47.8</v>
      </c>
      <c r="C66" s="14">
        <f>Table134681134567101213[[#This Row],[PMI]]-B65</f>
        <v>-3.5</v>
      </c>
    </row>
    <row r="67" spans="1:3" x14ac:dyDescent="0.2">
      <c r="A67" s="8">
        <v>42309</v>
      </c>
      <c r="B67" s="11">
        <f>IF(VLOOKUP(A67,'DB Country PMI'!$A:$W,MATCH($A$1,'DB Country PMI'!$A$1:$W$1,),)=0,#N/A,VLOOKUP(A67,'DB Country PMI'!$A:$W,MATCH($A$1,'DB Country PMI'!$A$1:$W$1,),))</f>
        <v>49.8</v>
      </c>
      <c r="C67" s="14">
        <f>Table134681134567101213[[#This Row],[PMI]]-B66</f>
        <v>2</v>
      </c>
    </row>
    <row r="68" spans="1:3" x14ac:dyDescent="0.2">
      <c r="A68" s="8">
        <v>42339</v>
      </c>
      <c r="B68" s="11">
        <f>IF(VLOOKUP(A68,'DB Country PMI'!$A:$W,MATCH($A$1,'DB Country PMI'!$A$1:$W$1,),)=0,#N/A,VLOOKUP(A68,'DB Country PMI'!$A:$W,MATCH($A$1,'DB Country PMI'!$A$1:$W$1,),))</f>
        <v>47.8</v>
      </c>
      <c r="C68" s="14">
        <f>Table134681134567101213[[#This Row],[PMI]]-B67</f>
        <v>-2</v>
      </c>
    </row>
    <row r="69" spans="1:3" x14ac:dyDescent="0.2">
      <c r="A69" s="8">
        <v>42370</v>
      </c>
      <c r="B69" s="11">
        <f>IF(VLOOKUP(A69,'DB Country PMI'!$A:$W,MATCH($A$1,'DB Country PMI'!$A$1:$W$1,),)=0,#N/A,VLOOKUP(A69,'DB Country PMI'!$A:$W,MATCH($A$1,'DB Country PMI'!$A$1:$W$1,),))</f>
        <v>47.1</v>
      </c>
      <c r="C69" s="14">
        <f>Table134681134567101213[[#This Row],[PMI]]-B68</f>
        <v>-0.69999999999999574</v>
      </c>
    </row>
    <row r="70" spans="1:3" x14ac:dyDescent="0.2">
      <c r="A70" s="8">
        <v>42401</v>
      </c>
      <c r="B70" s="11">
        <f>IF(VLOOKUP(A70,'DB Country PMI'!$A:$W,MATCH($A$1,'DB Country PMI'!$A$1:$W$1,),)=0,#N/A,VLOOKUP(A70,'DB Country PMI'!$A:$W,MATCH($A$1,'DB Country PMI'!$A$1:$W$1,),))</f>
        <v>50.9</v>
      </c>
      <c r="C70" s="14">
        <f>Table134681134567101213[[#This Row],[PMI]]-B69</f>
        <v>3.7999999999999972</v>
      </c>
    </row>
    <row r="71" spans="1:3" x14ac:dyDescent="0.2">
      <c r="A71" s="8">
        <v>42430</v>
      </c>
      <c r="B71" s="11">
        <f>IF(VLOOKUP(A71,'DB Country PMI'!$A:$W,MATCH($A$1,'DB Country PMI'!$A$1:$W$1,),)=0,#N/A,VLOOKUP(A71,'DB Country PMI'!$A:$W,MATCH($A$1,'DB Country PMI'!$A$1:$W$1,),))</f>
        <v>52</v>
      </c>
      <c r="C71" s="14">
        <f>Table134681134567101213[[#This Row],[PMI]]-B70</f>
        <v>1.1000000000000014</v>
      </c>
    </row>
    <row r="72" spans="1:3" x14ac:dyDescent="0.2">
      <c r="A72" s="8">
        <v>42461</v>
      </c>
      <c r="B72" s="11">
        <f>IF(VLOOKUP(A72,'DB Country PMI'!$A:$W,MATCH($A$1,'DB Country PMI'!$A$1:$W$1,),)=0,#N/A,VLOOKUP(A72,'DB Country PMI'!$A:$W,MATCH($A$1,'DB Country PMI'!$A$1:$W$1,),))</f>
        <v>54.2</v>
      </c>
      <c r="C72" s="14">
        <f>Table134681134567101213[[#This Row],[PMI]]-B71</f>
        <v>2.2000000000000028</v>
      </c>
    </row>
    <row r="73" spans="1:3" x14ac:dyDescent="0.2">
      <c r="A73" s="8">
        <v>42491</v>
      </c>
      <c r="B73" s="11">
        <f>IF(VLOOKUP(A73,'DB Country PMI'!$A:$W,MATCH($A$1,'DB Country PMI'!$A$1:$W$1,),)=0,#N/A,VLOOKUP(A73,'DB Country PMI'!$A:$W,MATCH($A$1,'DB Country PMI'!$A$1:$W$1,),))</f>
        <v>51.8</v>
      </c>
      <c r="C73" s="14">
        <f>Table134681134567101213[[#This Row],[PMI]]-B72</f>
        <v>-2.4000000000000057</v>
      </c>
    </row>
    <row r="74" spans="1:3" x14ac:dyDescent="0.2">
      <c r="A74" s="8">
        <v>42522</v>
      </c>
      <c r="B74" s="11">
        <f>IF(VLOOKUP(A74,'DB Country PMI'!$A:$W,MATCH($A$1,'DB Country PMI'!$A$1:$W$1,),)=0,#N/A,VLOOKUP(A74,'DB Country PMI'!$A:$W,MATCH($A$1,'DB Country PMI'!$A$1:$W$1,),))</f>
        <v>53.8</v>
      </c>
      <c r="C74" s="14">
        <f>Table134681134567101213[[#This Row],[PMI]]-B73</f>
        <v>2</v>
      </c>
    </row>
    <row r="75" spans="1:3" x14ac:dyDescent="0.2">
      <c r="A75" s="8">
        <v>42552</v>
      </c>
      <c r="B75" s="11">
        <f>IF(VLOOKUP(A75,'DB Country PMI'!$A:$W,MATCH($A$1,'DB Country PMI'!$A$1:$W$1,),)=0,#N/A,VLOOKUP(A75,'DB Country PMI'!$A:$W,MATCH($A$1,'DB Country PMI'!$A$1:$W$1,),))</f>
        <v>55</v>
      </c>
      <c r="C75" s="14">
        <f>Table134681134567101213[[#This Row],[PMI]]-B74</f>
        <v>1.2000000000000028</v>
      </c>
    </row>
    <row r="76" spans="1:3" x14ac:dyDescent="0.2">
      <c r="A76" s="8">
        <v>42583</v>
      </c>
      <c r="B76" s="11">
        <f>IF(VLOOKUP(A76,'DB Country PMI'!$A:$W,MATCH($A$1,'DB Country PMI'!$A$1:$W$1,),)=0,#N/A,VLOOKUP(A76,'DB Country PMI'!$A:$W,MATCH($A$1,'DB Country PMI'!$A$1:$W$1,),))</f>
        <v>53.5</v>
      </c>
      <c r="C76" s="14">
        <f>Table134681134567101213[[#This Row],[PMI]]-B75</f>
        <v>-1.5</v>
      </c>
    </row>
    <row r="77" spans="1:3" x14ac:dyDescent="0.2">
      <c r="A77" s="8">
        <v>42614</v>
      </c>
      <c r="B77" s="11">
        <f>IF(VLOOKUP(A77,'DB Country PMI'!$A:$W,MATCH($A$1,'DB Country PMI'!$A$1:$W$1,),)=0,#N/A,VLOOKUP(A77,'DB Country PMI'!$A:$W,MATCH($A$1,'DB Country PMI'!$A$1:$W$1,),))</f>
        <v>53</v>
      </c>
      <c r="C77" s="14">
        <f>Table134681134567101213[[#This Row],[PMI]]-B76</f>
        <v>-0.5</v>
      </c>
    </row>
    <row r="78" spans="1:3" x14ac:dyDescent="0.2">
      <c r="A78" s="8">
        <v>42644</v>
      </c>
      <c r="B78" s="11">
        <f>IF(VLOOKUP(A78,'DB Country PMI'!$A:$W,MATCH($A$1,'DB Country PMI'!$A$1:$W$1,),)=0,#N/A,VLOOKUP(A78,'DB Country PMI'!$A:$W,MATCH($A$1,'DB Country PMI'!$A$1:$W$1,),))</f>
        <v>52.7</v>
      </c>
      <c r="C78" s="14">
        <f>Table134681134567101213[[#This Row],[PMI]]-B77</f>
        <v>-0.29999999999999716</v>
      </c>
    </row>
    <row r="79" spans="1:3" x14ac:dyDescent="0.2">
      <c r="A79" s="8">
        <v>42675</v>
      </c>
      <c r="B79" s="11">
        <f>IF(VLOOKUP(A79,'DB Country PMI'!$A:$W,MATCH($A$1,'DB Country PMI'!$A$1:$W$1,),)=0,#N/A,VLOOKUP(A79,'DB Country PMI'!$A:$W,MATCH($A$1,'DB Country PMI'!$A$1:$W$1,),))</f>
        <v>54.7</v>
      </c>
      <c r="C79" s="14">
        <f>Table134681134567101213[[#This Row],[PMI]]-B78</f>
        <v>2</v>
      </c>
    </row>
    <row r="80" spans="1:3" x14ac:dyDescent="0.2">
      <c r="A80" s="8">
        <v>42705</v>
      </c>
      <c r="B80" s="11">
        <f>IF(VLOOKUP(A80,'DB Country PMI'!$A:$W,MATCH($A$1,'DB Country PMI'!$A$1:$W$1,),)=0,#N/A,VLOOKUP(A80,'DB Country PMI'!$A:$W,MATCH($A$1,'DB Country PMI'!$A$1:$W$1,),))</f>
        <v>56.5</v>
      </c>
      <c r="C80" s="14">
        <f>Table134681134567101213[[#This Row],[PMI]]-B79</f>
        <v>1.7999999999999972</v>
      </c>
    </row>
    <row r="81" spans="1:3" x14ac:dyDescent="0.2">
      <c r="A81" s="8">
        <v>42736</v>
      </c>
      <c r="B81" s="11">
        <f>IF(VLOOKUP(A81,'DB Country PMI'!$A:$W,MATCH($A$1,'DB Country PMI'!$A$1:$W$1,),)=0,#N/A,VLOOKUP(A81,'DB Country PMI'!$A:$W,MATCH($A$1,'DB Country PMI'!$A$1:$W$1,),))</f>
        <v>58.4</v>
      </c>
      <c r="C81" s="14">
        <f>Table134681134567101213[[#This Row],[PMI]]-B80</f>
        <v>1.8999999999999986</v>
      </c>
    </row>
    <row r="82" spans="1:3" x14ac:dyDescent="0.2">
      <c r="A82" s="8">
        <v>42767</v>
      </c>
      <c r="B82" s="11">
        <f>IF(VLOOKUP(A82,'DB Country PMI'!$A:$W,MATCH($A$1,'DB Country PMI'!$A$1:$W$1,),)=0,#N/A,VLOOKUP(A82,'DB Country PMI'!$A:$W,MATCH($A$1,'DB Country PMI'!$A$1:$W$1,),))</f>
        <v>55.5</v>
      </c>
      <c r="C82" s="14">
        <f>Table134681134567101213[[#This Row],[PMI]]-B81</f>
        <v>-2.8999999999999986</v>
      </c>
    </row>
    <row r="83" spans="1:3" x14ac:dyDescent="0.2">
      <c r="A83" s="8">
        <v>42795</v>
      </c>
      <c r="B83" s="11">
        <f>IF(VLOOKUP(A83,'DB Country PMI'!$A:$W,MATCH($A$1,'DB Country PMI'!$A$1:$W$1,),)=0,#N/A,VLOOKUP(A83,'DB Country PMI'!$A:$W,MATCH($A$1,'DB Country PMI'!$A$1:$W$1,),))</f>
        <v>56.6</v>
      </c>
      <c r="C83" s="14">
        <f>Table134681134567101213[[#This Row],[PMI]]-B82</f>
        <v>1.1000000000000014</v>
      </c>
    </row>
    <row r="84" spans="1:3" x14ac:dyDescent="0.2">
      <c r="A84" s="8">
        <v>42826</v>
      </c>
      <c r="B84" s="11">
        <f>IF(VLOOKUP(A84,'DB Country PMI'!$A:$W,MATCH($A$1,'DB Country PMI'!$A$1:$W$1,),)=0,#N/A,VLOOKUP(A84,'DB Country PMI'!$A:$W,MATCH($A$1,'DB Country PMI'!$A$1:$W$1,),))</f>
        <v>56.1</v>
      </c>
      <c r="C84" s="14">
        <f>Table134681134567101213[[#This Row],[PMI]]-B83</f>
        <v>-0.5</v>
      </c>
    </row>
    <row r="85" spans="1:3" x14ac:dyDescent="0.2">
      <c r="A85" s="8">
        <v>42856</v>
      </c>
      <c r="B85" s="11">
        <f>IF(VLOOKUP(A85,'DB Country PMI'!$A:$W,MATCH($A$1,'DB Country PMI'!$A$1:$W$1,),)=0,#N/A,VLOOKUP(A85,'DB Country PMI'!$A:$W,MATCH($A$1,'DB Country PMI'!$A$1:$W$1,),))</f>
        <v>56.3</v>
      </c>
      <c r="C85" s="14">
        <f>Table134681134567101213[[#This Row],[PMI]]-B84</f>
        <v>0.19999999999999574</v>
      </c>
    </row>
    <row r="86" spans="1:3" x14ac:dyDescent="0.2">
      <c r="A86" s="8">
        <v>42887</v>
      </c>
      <c r="B86" s="11">
        <f>IF(VLOOKUP(A86,'DB Country PMI'!$A:$W,MATCH($A$1,'DB Country PMI'!$A$1:$W$1,),)=0,#N/A,VLOOKUP(A86,'DB Country PMI'!$A:$W,MATCH($A$1,'DB Country PMI'!$A$1:$W$1,),))</f>
        <v>55.5</v>
      </c>
      <c r="C86" s="14">
        <f>Table134681134567101213[[#This Row],[PMI]]-B85</f>
        <v>-0.79999999999999716</v>
      </c>
    </row>
    <row r="87" spans="1:3" x14ac:dyDescent="0.2">
      <c r="A87" s="8">
        <v>42917</v>
      </c>
      <c r="B87" s="11">
        <f>IF(VLOOKUP(A87,'DB Country PMI'!$A:$W,MATCH($A$1,'DB Country PMI'!$A$1:$W$1,),)=0,#N/A,VLOOKUP(A87,'DB Country PMI'!$A:$W,MATCH($A$1,'DB Country PMI'!$A$1:$W$1,),))</f>
        <v>52.6</v>
      </c>
      <c r="C87" s="14">
        <f>Table134681134567101213[[#This Row],[PMI]]-B86</f>
        <v>-2.8999999999999986</v>
      </c>
    </row>
    <row r="88" spans="1:3" x14ac:dyDescent="0.2">
      <c r="A88" s="8">
        <v>42948</v>
      </c>
      <c r="B88" s="11">
        <f>IF(VLOOKUP(A88,'DB Country PMI'!$A:$W,MATCH($A$1,'DB Country PMI'!$A$1:$W$1,),)=0,#N/A,VLOOKUP(A88,'DB Country PMI'!$A:$W,MATCH($A$1,'DB Country PMI'!$A$1:$W$1,),))</f>
        <v>54.2</v>
      </c>
      <c r="C88" s="14">
        <f>Table134681134567101213[[#This Row],[PMI]]-B87</f>
        <v>1.6000000000000014</v>
      </c>
    </row>
    <row r="89" spans="1:3" x14ac:dyDescent="0.2">
      <c r="A89" s="8">
        <v>42979</v>
      </c>
      <c r="B89" s="11">
        <f>IF(VLOOKUP(A89,'DB Country PMI'!$A:$W,MATCH($A$1,'DB Country PMI'!$A$1:$W$1,),)=0,#N/A,VLOOKUP(A89,'DB Country PMI'!$A:$W,MATCH($A$1,'DB Country PMI'!$A$1:$W$1,),))</f>
        <v>55.2</v>
      </c>
      <c r="C89" s="14">
        <f>Table134681134567101213[[#This Row],[PMI]]-B88</f>
        <v>1</v>
      </c>
    </row>
    <row r="90" spans="1:3" x14ac:dyDescent="0.2">
      <c r="A90" s="8">
        <v>43009</v>
      </c>
      <c r="B90" s="11">
        <f>IF(VLOOKUP(A90,'DB Country PMI'!$A:$W,MATCH($A$1,'DB Country PMI'!$A$1:$W$1,),)=0,#N/A,VLOOKUP(A90,'DB Country PMI'!$A:$W,MATCH($A$1,'DB Country PMI'!$A$1:$W$1,),))</f>
        <v>53.9</v>
      </c>
      <c r="C90" s="14">
        <f>Table134681134567101213[[#This Row],[PMI]]-B89</f>
        <v>-1.3000000000000043</v>
      </c>
    </row>
    <row r="91" spans="1:3" x14ac:dyDescent="0.2">
      <c r="A91" s="8">
        <v>43040</v>
      </c>
      <c r="B91" s="11">
        <f>IF(VLOOKUP(A91,'DB Country PMI'!$A:$W,MATCH($A$1,'DB Country PMI'!$A$1:$W$1,),)=0,#N/A,VLOOKUP(A91,'DB Country PMI'!$A:$W,MATCH($A$1,'DB Country PMI'!$A$1:$W$1,),))</f>
        <v>57.4</v>
      </c>
      <c r="C91" s="14">
        <f>Table134681134567101213[[#This Row],[PMI]]-B90</f>
        <v>3.5</v>
      </c>
    </row>
    <row r="92" spans="1:3" x14ac:dyDescent="0.2">
      <c r="A92" s="8">
        <v>43070</v>
      </c>
      <c r="B92" s="11">
        <f>IF(VLOOKUP(A92,'DB Country PMI'!$A:$W,MATCH($A$1,'DB Country PMI'!$A$1:$W$1,),)=0,#N/A,VLOOKUP(A92,'DB Country PMI'!$A:$W,MATCH($A$1,'DB Country PMI'!$A$1:$W$1,),))</f>
        <v>56.8</v>
      </c>
      <c r="C92" s="14">
        <f>Table134681134567101213[[#This Row],[PMI]]-B91</f>
        <v>-0.60000000000000142</v>
      </c>
    </row>
    <row r="93" spans="1:3" x14ac:dyDescent="0.2">
      <c r="A93" s="8">
        <v>43101</v>
      </c>
      <c r="B93" s="11">
        <f>IF(VLOOKUP(A93,'DB Country PMI'!$A:$W,MATCH($A$1,'DB Country PMI'!$A$1:$W$1,),)=0,#N/A,VLOOKUP(A93,'DB Country PMI'!$A:$W,MATCH($A$1,'DB Country PMI'!$A$1:$W$1,),))</f>
        <v>55.1</v>
      </c>
      <c r="C93" s="14">
        <f>Table134681134567101213[[#This Row],[PMI]]-B92</f>
        <v>-1.6999999999999957</v>
      </c>
    </row>
    <row r="94" spans="1:3" x14ac:dyDescent="0.2">
      <c r="A94" s="8">
        <v>43132</v>
      </c>
      <c r="B94" s="11">
        <f>IF(VLOOKUP(A94,'DB Country PMI'!$A:$W,MATCH($A$1,'DB Country PMI'!$A$1:$W$1,),)=0,#N/A,VLOOKUP(A94,'DB Country PMI'!$A:$W,MATCH($A$1,'DB Country PMI'!$A$1:$W$1,),))</f>
        <v>56.5</v>
      </c>
      <c r="C94" s="14">
        <f>Table134681134567101213[[#This Row],[PMI]]-B93</f>
        <v>1.3999999999999986</v>
      </c>
    </row>
    <row r="95" spans="1:3" x14ac:dyDescent="0.2">
      <c r="A95" s="8">
        <v>43160</v>
      </c>
      <c r="B95" s="11">
        <f>IF(VLOOKUP(A95,'DB Country PMI'!$A:$W,MATCH($A$1,'DB Country PMI'!$A$1:$W$1,),)=0,#N/A,VLOOKUP(A95,'DB Country PMI'!$A:$W,MATCH($A$1,'DB Country PMI'!$A$1:$W$1,),))</f>
        <v>53.7</v>
      </c>
      <c r="C95" s="14">
        <f>Table134681134567101213[[#This Row],[PMI]]-B94</f>
        <v>-2.7999999999999972</v>
      </c>
    </row>
    <row r="96" spans="1:3" x14ac:dyDescent="0.2">
      <c r="A96" s="8">
        <v>43191</v>
      </c>
      <c r="B96" s="11">
        <f>IF(VLOOKUP(A96,'DB Country PMI'!$A:$W,MATCH($A$1,'DB Country PMI'!$A$1:$W$1,),)=0,#N/A,VLOOKUP(A96,'DB Country PMI'!$A:$W,MATCH($A$1,'DB Country PMI'!$A$1:$W$1,),))</f>
        <v>55.5</v>
      </c>
      <c r="C96" s="14">
        <f>Table134681134567101213[[#This Row],[PMI]]-B95</f>
        <v>1.7999999999999972</v>
      </c>
    </row>
    <row r="97" spans="1:3" x14ac:dyDescent="0.2">
      <c r="A97" s="8">
        <v>43221</v>
      </c>
      <c r="B97" s="11">
        <f>IF(VLOOKUP(A97,'DB Country PMI'!$A:$W,MATCH($A$1,'DB Country PMI'!$A$1:$W$1,),)=0,#N/A,VLOOKUP(A97,'DB Country PMI'!$A:$W,MATCH($A$1,'DB Country PMI'!$A$1:$W$1,),))</f>
        <v>54.1</v>
      </c>
      <c r="C97" s="14">
        <f>Table134681134567101213[[#This Row],[PMI]]-B96</f>
        <v>-1.3999999999999986</v>
      </c>
    </row>
    <row r="98" spans="1:3" x14ac:dyDescent="0.2">
      <c r="A98" s="8">
        <v>43252</v>
      </c>
      <c r="B98" s="11">
        <f>IF(VLOOKUP(A98,'DB Country PMI'!$A:$W,MATCH($A$1,'DB Country PMI'!$A$1:$W$1,),)=0,#N/A,VLOOKUP(A98,'DB Country PMI'!$A:$W,MATCH($A$1,'DB Country PMI'!$A$1:$W$1,),))</f>
        <v>52.3</v>
      </c>
      <c r="C98" s="14">
        <f>Table134681134567101213[[#This Row],[PMI]]-B97</f>
        <v>-1.8000000000000043</v>
      </c>
    </row>
    <row r="99" spans="1:3" x14ac:dyDescent="0.2">
      <c r="A99" s="8">
        <v>43282</v>
      </c>
      <c r="B99" s="11">
        <f>IF(VLOOKUP(A99,'DB Country PMI'!$A:$W,MATCH($A$1,'DB Country PMI'!$A$1:$W$1,),)=0,#N/A,VLOOKUP(A99,'DB Country PMI'!$A:$W,MATCH($A$1,'DB Country PMI'!$A$1:$W$1,),))</f>
        <v>52.8</v>
      </c>
      <c r="C99" s="14">
        <f>Table134681134567101213[[#This Row],[PMI]]-B98</f>
        <v>0.5</v>
      </c>
    </row>
    <row r="100" spans="1:3" x14ac:dyDescent="0.2">
      <c r="A100" s="8">
        <v>43313</v>
      </c>
      <c r="B100" s="11">
        <f>IF(VLOOKUP(A100,'DB Country PMI'!$A:$W,MATCH($A$1,'DB Country PMI'!$A$1:$W$1,),)=0,#N/A,VLOOKUP(A100,'DB Country PMI'!$A:$W,MATCH($A$1,'DB Country PMI'!$A$1:$W$1,),))</f>
        <v>53.3</v>
      </c>
      <c r="C100" s="14">
        <f>Table134681134567101213[[#This Row],[PMI]]-B99</f>
        <v>0.5</v>
      </c>
    </row>
    <row r="101" spans="1:3" x14ac:dyDescent="0.2">
      <c r="A101" s="8">
        <v>43344</v>
      </c>
      <c r="B101" s="11">
        <f>IF(VLOOKUP(A101,'DB Country PMI'!$A:$W,MATCH($A$1,'DB Country PMI'!$A$1:$W$1,),)=0,#N/A,VLOOKUP(A101,'DB Country PMI'!$A:$W,MATCH($A$1,'DB Country PMI'!$A$1:$W$1,),))</f>
        <v>54.7</v>
      </c>
      <c r="C101" s="14">
        <f>Table134681134567101213[[#This Row],[PMI]]-B100</f>
        <v>1.4000000000000057</v>
      </c>
    </row>
    <row r="102" spans="1:3" x14ac:dyDescent="0.2">
      <c r="A102" s="8">
        <v>43374</v>
      </c>
      <c r="B102" s="11">
        <f>IF(VLOOKUP(A102,'DB Country PMI'!$A:$W,MATCH($A$1,'DB Country PMI'!$A$1:$W$1,),)=0,#N/A,VLOOKUP(A102,'DB Country PMI'!$A:$W,MATCH($A$1,'DB Country PMI'!$A$1:$W$1,),))</f>
        <v>56.9</v>
      </c>
      <c r="C102" s="14">
        <f>Table134681134567101213[[#This Row],[PMI]]-B101</f>
        <v>2.1999999999999957</v>
      </c>
    </row>
    <row r="103" spans="1:3" x14ac:dyDescent="0.2">
      <c r="A103" s="8">
        <v>43405</v>
      </c>
      <c r="B103" s="11">
        <f>IF(VLOOKUP(A103,'DB Country PMI'!$A:$W,MATCH($A$1,'DB Country PMI'!$A$1:$W$1,),)=0,#N/A,VLOOKUP(A103,'DB Country PMI'!$A:$W,MATCH($A$1,'DB Country PMI'!$A$1:$W$1,),))</f>
        <v>55.6</v>
      </c>
      <c r="C103" s="14">
        <f>Table134681134567101213[[#This Row],[PMI]]-B102</f>
        <v>-1.2999999999999972</v>
      </c>
    </row>
    <row r="104" spans="1:3" x14ac:dyDescent="0.2">
      <c r="A104" s="8">
        <v>43435</v>
      </c>
      <c r="B104" s="11">
        <f>IF(VLOOKUP(A104,'DB Country PMI'!$A:$W,MATCH($A$1,'DB Country PMI'!$A$1:$W$1,),)=0,#N/A,VLOOKUP(A104,'DB Country PMI'!$A:$W,MATCH($A$1,'DB Country PMI'!$A$1:$W$1,),))</f>
        <v>54.4</v>
      </c>
      <c r="C104" s="14">
        <f>Table134681134567101213[[#This Row],[PMI]]-B103</f>
        <v>-1.2000000000000028</v>
      </c>
    </row>
    <row r="105" spans="1:3" x14ac:dyDescent="0.2">
      <c r="A105" s="8">
        <v>43466</v>
      </c>
      <c r="B105" s="11">
        <f>IF(VLOOKUP(A105,'DB Country PMI'!$A:$W,MATCH($A$1,'DB Country PMI'!$A$1:$W$1,),)=0,#N/A,VLOOKUP(A105,'DB Country PMI'!$A:$W,MATCH($A$1,'DB Country PMI'!$A$1:$W$1,),))</f>
        <v>54.9</v>
      </c>
      <c r="C105" s="14">
        <f>Table134681134567101213[[#This Row],[PMI]]-B104</f>
        <v>0.5</v>
      </c>
    </row>
    <row r="106" spans="1:3" x14ac:dyDescent="0.2">
      <c r="A106" s="8">
        <v>43497</v>
      </c>
      <c r="B106" s="11">
        <f>IF(VLOOKUP(A106,'DB Country PMI'!$A:$W,MATCH($A$1,'DB Country PMI'!$A$1:$W$1,),)=0,#N/A,VLOOKUP(A106,'DB Country PMI'!$A:$W,MATCH($A$1,'DB Country PMI'!$A$1:$W$1,),))</f>
        <v>55.3</v>
      </c>
      <c r="C106" s="14">
        <f>Table134681134567101213[[#This Row],[PMI]]-B105</f>
        <v>0.39999999999999858</v>
      </c>
    </row>
    <row r="107" spans="1:3" x14ac:dyDescent="0.2">
      <c r="A107" s="8">
        <v>43525</v>
      </c>
      <c r="B107" s="11">
        <f>IF(VLOOKUP(A107,'DB Country PMI'!$A:$W,MATCH($A$1,'DB Country PMI'!$A$1:$W$1,),)=0,#N/A,VLOOKUP(A107,'DB Country PMI'!$A:$W,MATCH($A$1,'DB Country PMI'!$A$1:$W$1,),))</f>
        <v>54.4</v>
      </c>
      <c r="C107" s="14">
        <f>Table134681134567101213[[#This Row],[PMI]]-B106</f>
        <v>-0.89999999999999858</v>
      </c>
    </row>
    <row r="108" spans="1:3" x14ac:dyDescent="0.2">
      <c r="A108" s="8">
        <v>43556</v>
      </c>
      <c r="B108" s="11">
        <f>IF(VLOOKUP(A108,'DB Country PMI'!$A:$W,MATCH($A$1,'DB Country PMI'!$A$1:$W$1,),)=0,#N/A,VLOOKUP(A108,'DB Country PMI'!$A:$W,MATCH($A$1,'DB Country PMI'!$A$1:$W$1,),))</f>
        <v>52.6</v>
      </c>
      <c r="C108" s="14">
        <f>Table134681134567101213[[#This Row],[PMI]]-B107</f>
        <v>-1.7999999999999972</v>
      </c>
    </row>
    <row r="109" spans="1:3" x14ac:dyDescent="0.2">
      <c r="A109" s="8">
        <v>43586</v>
      </c>
      <c r="B109" s="11">
        <f>IF(VLOOKUP(A109,'DB Country PMI'!$A:$W,MATCH($A$1,'DB Country PMI'!$A$1:$W$1,),)=0,#N/A,VLOOKUP(A109,'DB Country PMI'!$A:$W,MATCH($A$1,'DB Country PMI'!$A$1:$W$1,),))</f>
        <v>52</v>
      </c>
      <c r="C109" s="14">
        <f>Table134681134567101213[[#This Row],[PMI]]-B108</f>
        <v>-0.60000000000000142</v>
      </c>
    </row>
    <row r="110" spans="1:3" x14ac:dyDescent="0.2">
      <c r="A110" s="8">
        <v>43617</v>
      </c>
      <c r="B110" s="11">
        <f>IF(VLOOKUP(A110,'DB Country PMI'!$A:$W,MATCH($A$1,'DB Country PMI'!$A$1:$W$1,),)=0,#N/A,VLOOKUP(A110,'DB Country PMI'!$A:$W,MATCH($A$1,'DB Country PMI'!$A$1:$W$1,),))</f>
        <v>49.7</v>
      </c>
      <c r="C110" s="14">
        <f>Table134681134567101213[[#This Row],[PMI]]-B109</f>
        <v>-2.2999999999999972</v>
      </c>
    </row>
    <row r="111" spans="1:3" x14ac:dyDescent="0.2">
      <c r="A111" s="8">
        <v>43647</v>
      </c>
      <c r="B111" s="11">
        <f>IF(VLOOKUP(A111,'DB Country PMI'!$A:$W,MATCH($A$1,'DB Country PMI'!$A$1:$W$1,),)=0,#N/A,VLOOKUP(A111,'DB Country PMI'!$A:$W,MATCH($A$1,'DB Country PMI'!$A$1:$W$1,),))</f>
        <v>50.4</v>
      </c>
      <c r="C111" s="14">
        <f>Table134681134567101213[[#This Row],[PMI]]-B110</f>
        <v>0.69999999999999574</v>
      </c>
    </row>
    <row r="112" spans="1:3" x14ac:dyDescent="0.2">
      <c r="A112" s="8">
        <v>43678</v>
      </c>
      <c r="B112" s="11">
        <f>IF(VLOOKUP(A112,'DB Country PMI'!$A:$W,MATCH($A$1,'DB Country PMI'!$A$1:$W$1,),)=0,#N/A,VLOOKUP(A112,'DB Country PMI'!$A:$W,MATCH($A$1,'DB Country PMI'!$A$1:$W$1,),))</f>
        <v>52.1</v>
      </c>
      <c r="C112" s="14">
        <f>Table134681134567101213[[#This Row],[PMI]]-B111</f>
        <v>1.7000000000000028</v>
      </c>
    </row>
    <row r="113" spans="1:3" x14ac:dyDescent="0.2">
      <c r="A113" s="8">
        <v>43709</v>
      </c>
      <c r="B113" s="11">
        <f>IF(VLOOKUP(A113,'DB Country PMI'!$A:$W,MATCH($A$1,'DB Country PMI'!$A$1:$W$1,),)=0,#N/A,VLOOKUP(A113,'DB Country PMI'!$A:$W,MATCH($A$1,'DB Country PMI'!$A$1:$W$1,),))</f>
        <v>53.6</v>
      </c>
      <c r="C113" s="14">
        <f>Table134681134567101213[[#This Row],[PMI]]-B112</f>
        <v>1.5</v>
      </c>
    </row>
    <row r="114" spans="1:3" x14ac:dyDescent="0.2">
      <c r="A114" s="8">
        <v>43739</v>
      </c>
      <c r="B114" s="11">
        <f>IF(VLOOKUP(A114,'DB Country PMI'!$A:$W,MATCH($A$1,'DB Country PMI'!$A$1:$W$1,),)=0,#N/A,VLOOKUP(A114,'DB Country PMI'!$A:$W,MATCH($A$1,'DB Country PMI'!$A$1:$W$1,),))</f>
        <v>55.8</v>
      </c>
      <c r="C114" s="14">
        <f>Table134681134567101213[[#This Row],[PMI]]-B113</f>
        <v>2.1999999999999957</v>
      </c>
    </row>
    <row r="115" spans="1:3" x14ac:dyDescent="0.2">
      <c r="A115" s="8">
        <v>43770</v>
      </c>
      <c r="B115" s="11">
        <f>IF(VLOOKUP(A115,'DB Country PMI'!$A:$W,MATCH($A$1,'DB Country PMI'!$A$1:$W$1,),)=0,#N/A,VLOOKUP(A115,'DB Country PMI'!$A:$W,MATCH($A$1,'DB Country PMI'!$A$1:$W$1,),))</f>
        <v>55.6</v>
      </c>
      <c r="C115" s="14">
        <f>Table134681134567101213[[#This Row],[PMI]]-B114</f>
        <v>-0.19999999999999574</v>
      </c>
    </row>
    <row r="116" spans="1:3" x14ac:dyDescent="0.2">
      <c r="A116" s="8">
        <v>43800</v>
      </c>
      <c r="B116" s="11">
        <f>IF(VLOOKUP(A116,'DB Country PMI'!$A:$W,MATCH($A$1,'DB Country PMI'!$A$1:$W$1,),)=0,#N/A,VLOOKUP(A116,'DB Country PMI'!$A:$W,MATCH($A$1,'DB Country PMI'!$A$1:$W$1,),))</f>
        <v>53.1</v>
      </c>
      <c r="C116" s="14">
        <f>Table134681134567101213[[#This Row],[PMI]]-B115</f>
        <v>-2.5</v>
      </c>
    </row>
    <row r="117" spans="1:3" x14ac:dyDescent="0.2">
      <c r="A117" s="8">
        <v>43831</v>
      </c>
      <c r="B117" s="11">
        <f>IF(VLOOKUP(A117,'DB Country PMI'!$A:$W,MATCH($A$1,'DB Country PMI'!$A$1:$W$1,),)=0,#N/A,VLOOKUP(A117,'DB Country PMI'!$A:$W,MATCH($A$1,'DB Country PMI'!$A$1:$W$1,),))</f>
        <v>54.1</v>
      </c>
      <c r="C117" s="14">
        <f>Table134681134567101213[[#This Row],[PMI]]-B116</f>
        <v>1</v>
      </c>
    </row>
    <row r="118" spans="1:3" x14ac:dyDescent="0.2">
      <c r="A118" s="8">
        <v>43862</v>
      </c>
      <c r="B118" s="11">
        <f>IF(VLOOKUP(A118,'DB Country PMI'!$A:$W,MATCH($A$1,'DB Country PMI'!$A$1:$W$1,),)=0,#N/A,VLOOKUP(A118,'DB Country PMI'!$A:$W,MATCH($A$1,'DB Country PMI'!$A$1:$W$1,),))</f>
        <v>52</v>
      </c>
      <c r="C118" s="14">
        <f>Table134681134567101213[[#This Row],[PMI]]-B117</f>
        <v>-2.1000000000000014</v>
      </c>
    </row>
    <row r="119" spans="1:3" x14ac:dyDescent="0.2">
      <c r="A119" s="8">
        <v>43891</v>
      </c>
      <c r="B119" s="11">
        <f>IF(VLOOKUP(A119,'DB Country PMI'!$A:$W,MATCH($A$1,'DB Country PMI'!$A$1:$W$1,),)=0,#N/A,VLOOKUP(A119,'DB Country PMI'!$A:$W,MATCH($A$1,'DB Country PMI'!$A$1:$W$1,),))</f>
        <v>37.1</v>
      </c>
      <c r="C119" s="14">
        <f>Table134681134567101213[[#This Row],[PMI]]-B118</f>
        <v>-14.899999999999999</v>
      </c>
    </row>
    <row r="120" spans="1:3" x14ac:dyDescent="0.2">
      <c r="A120" s="8">
        <v>43922</v>
      </c>
      <c r="B120" s="11">
        <f>IF(VLOOKUP(A120,'DB Country PMI'!$A:$W,MATCH($A$1,'DB Country PMI'!$A$1:$W$1,),)=0,#N/A,VLOOKUP(A120,'DB Country PMI'!$A:$W,MATCH($A$1,'DB Country PMI'!$A$1:$W$1,),))</f>
        <v>12.2</v>
      </c>
      <c r="C120" s="14">
        <f>Table134681134567101213[[#This Row],[PMI]]-B119</f>
        <v>-24.900000000000002</v>
      </c>
    </row>
    <row r="121" spans="1:3" x14ac:dyDescent="0.2">
      <c r="A121" s="8">
        <v>43952</v>
      </c>
      <c r="B121" s="11">
        <f>IF(VLOOKUP(A121,'DB Country PMI'!$A:$W,MATCH($A$1,'DB Country PMI'!$A$1:$W$1,),)=0,#N/A,VLOOKUP(A121,'DB Country PMI'!$A:$W,MATCH($A$1,'DB Country PMI'!$A$1:$W$1,),))</f>
        <v>35.9</v>
      </c>
      <c r="C121" s="14">
        <f>Table134681134567101213[[#This Row],[PMI]]-B120</f>
        <v>23.7</v>
      </c>
    </row>
    <row r="122" spans="1:3" x14ac:dyDescent="0.2">
      <c r="A122" s="8">
        <v>43983</v>
      </c>
      <c r="B122" s="11">
        <f>IF(VLOOKUP(A122,'DB Country PMI'!$A:$W,MATCH($A$1,'DB Country PMI'!$A$1:$W$1,),)=0,#N/A,VLOOKUP(A122,'DB Country PMI'!$A:$W,MATCH($A$1,'DB Country PMI'!$A$1:$W$1,),))</f>
        <v>47.8</v>
      </c>
      <c r="C122" s="14">
        <f>Table134681134567101213[[#This Row],[PMI]]-B121</f>
        <v>11.899999999999999</v>
      </c>
    </row>
    <row r="123" spans="1:3" x14ac:dyDescent="0.2">
      <c r="A123" s="8">
        <v>44013</v>
      </c>
      <c r="B123" s="11">
        <f>IF(VLOOKUP(A123,'DB Country PMI'!$A:$W,MATCH($A$1,'DB Country PMI'!$A$1:$W$1,),)=0,#N/A,VLOOKUP(A123,'DB Country PMI'!$A:$W,MATCH($A$1,'DB Country PMI'!$A$1:$W$1,),))</f>
        <v>58.5</v>
      </c>
      <c r="C123" s="14">
        <f>Table134681134567101213[[#This Row],[PMI]]-B122</f>
        <v>10.700000000000003</v>
      </c>
    </row>
    <row r="124" spans="1:3" x14ac:dyDescent="0.2">
      <c r="A124" s="8">
        <v>44044</v>
      </c>
      <c r="B124" s="11">
        <f>IF(VLOOKUP(A124,'DB Country PMI'!$A:$W,MATCH($A$1,'DB Country PMI'!$A$1:$W$1,),)=0,#N/A,VLOOKUP(A124,'DB Country PMI'!$A:$W,MATCH($A$1,'DB Country PMI'!$A$1:$W$1,),))</f>
        <v>58.2</v>
      </c>
      <c r="C124" s="14">
        <f>Table134681134567101213[[#This Row],[PMI]]-B123</f>
        <v>-0.29999999999999716</v>
      </c>
    </row>
    <row r="125" spans="1:3" x14ac:dyDescent="0.2">
      <c r="A125" s="8">
        <v>44075</v>
      </c>
      <c r="B125" s="11">
        <f>IF(VLOOKUP(A125,'DB Country PMI'!$A:$W,MATCH($A$1,'DB Country PMI'!$A$1:$W$1,),)=0,#N/A,VLOOKUP(A125,'DB Country PMI'!$A:$W,MATCH($A$1,'DB Country PMI'!$A$1:$W$1,),))</f>
        <v>53.7</v>
      </c>
      <c r="C125" s="14">
        <f>Table134681134567101213[[#This Row],[PMI]]-B124</f>
        <v>-4.5</v>
      </c>
    </row>
    <row r="126" spans="1:3" x14ac:dyDescent="0.2">
      <c r="A126" s="8">
        <v>44105</v>
      </c>
      <c r="B126" s="11">
        <f>IF(VLOOKUP(A126,'DB Country PMI'!$A:$W,MATCH($A$1,'DB Country PMI'!$A$1:$W$1,),)=0,#N/A,VLOOKUP(A126,'DB Country PMI'!$A:$W,MATCH($A$1,'DB Country PMI'!$A$1:$W$1,),))</f>
        <v>46.9</v>
      </c>
      <c r="C126" s="14">
        <f>Table134681134567101213[[#This Row],[PMI]]-B125</f>
        <v>-6.8000000000000043</v>
      </c>
    </row>
    <row r="127" spans="1:3" x14ac:dyDescent="0.2">
      <c r="A127" s="8">
        <v>44136</v>
      </c>
      <c r="B127" s="11">
        <f>IF(VLOOKUP(A127,'DB Country PMI'!$A:$W,MATCH($A$1,'DB Country PMI'!$A$1:$W$1,),)=0,#N/A,VLOOKUP(A127,'DB Country PMI'!$A:$W,MATCH($A$1,'DB Country PMI'!$A$1:$W$1,),))</f>
        <v>48.2</v>
      </c>
      <c r="C127" s="14">
        <f>Table134681134567101213[[#This Row],[PMI]]-B126</f>
        <v>1.3000000000000043</v>
      </c>
    </row>
    <row r="128" spans="1:3" x14ac:dyDescent="0.2">
      <c r="A128" s="8">
        <v>44166</v>
      </c>
      <c r="B128" s="11">
        <f>IF(VLOOKUP(A128,'DB Country PMI'!$A:$W,MATCH($A$1,'DB Country PMI'!$A$1:$W$1,),)=0,#N/A,VLOOKUP(A128,'DB Country PMI'!$A:$W,MATCH($A$1,'DB Country PMI'!$A$1:$W$1,),))</f>
        <v>48</v>
      </c>
      <c r="C128" s="14">
        <f>Table134681134567101213[[#This Row],[PMI]]-B127</f>
        <v>-0.20000000000000284</v>
      </c>
    </row>
    <row r="129" spans="1:3" x14ac:dyDescent="0.2">
      <c r="A129" s="8">
        <v>44197</v>
      </c>
      <c r="B129" s="11">
        <f>IF(VLOOKUP(A129,'DB Country PMI'!$A:$W,MATCH($A$1,'DB Country PMI'!$A$1:$W$1,),)=0,#N/A,VLOOKUP(A129,'DB Country PMI'!$A:$W,MATCH($A$1,'DB Country PMI'!$A$1:$W$1,),))</f>
        <v>52.7</v>
      </c>
      <c r="C129" s="14">
        <f>Table134681134567101213[[#This Row],[PMI]]-B128</f>
        <v>4.7000000000000028</v>
      </c>
    </row>
    <row r="130" spans="1:3" x14ac:dyDescent="0.2">
      <c r="A130" s="8">
        <v>44228</v>
      </c>
      <c r="B130" s="11">
        <f>IF(VLOOKUP(A130,'DB Country PMI'!$A:$W,MATCH($A$1,'DB Country PMI'!$A$1:$W$1,),)=0,#N/A,VLOOKUP(A130,'DB Country PMI'!$A:$W,MATCH($A$1,'DB Country PMI'!$A$1:$W$1,),))</f>
        <v>52.2</v>
      </c>
      <c r="C130" s="14">
        <f>Table134681134567101213[[#This Row],[PMI]]-B129</f>
        <v>-0.5</v>
      </c>
    </row>
    <row r="131" spans="1:3" x14ac:dyDescent="0.2">
      <c r="A131" s="8">
        <v>44256</v>
      </c>
      <c r="B131" s="11">
        <f>IF(VLOOKUP(A131,'DB Country PMI'!$A:$W,MATCH($A$1,'DB Country PMI'!$A$1:$W$1,),)=0,#N/A,VLOOKUP(A131,'DB Country PMI'!$A:$W,MATCH($A$1,'DB Country PMI'!$A$1:$W$1,),))</f>
        <v>55.8</v>
      </c>
      <c r="C131" s="14">
        <f>Table134681134567101213[[#This Row],[PMI]]-B130</f>
        <v>3.5999999999999943</v>
      </c>
    </row>
    <row r="132" spans="1:3" x14ac:dyDescent="0.2">
      <c r="A132" s="8">
        <v>44287</v>
      </c>
      <c r="B132" s="11">
        <f>IF(VLOOKUP(A132,'DB Country PMI'!$A:$W,MATCH($A$1,'DB Country PMI'!$A$1:$W$1,),)=0,#N/A,VLOOKUP(A132,'DB Country PMI'!$A:$W,MATCH($A$1,'DB Country PMI'!$A$1:$W$1,),))</f>
        <v>55.2</v>
      </c>
      <c r="C132" s="14">
        <f>Table134681134567101213[[#This Row],[PMI]]-B131</f>
        <v>-0.59999999999999432</v>
      </c>
    </row>
    <row r="133" spans="1:3" x14ac:dyDescent="0.2">
      <c r="A133" s="8">
        <v>44317</v>
      </c>
      <c r="B133" s="11">
        <f>IF(VLOOKUP(A133,'DB Country PMI'!$A:$W,MATCH($A$1,'DB Country PMI'!$A$1:$W$1,),)=0,#N/A,VLOOKUP(A133,'DB Country PMI'!$A:$W,MATCH($A$1,'DB Country PMI'!$A$1:$W$1,),))</f>
        <v>57.5</v>
      </c>
      <c r="C133" s="14">
        <f>Table134681134567101213[[#This Row],[PMI]]-B132</f>
        <v>2.2999999999999972</v>
      </c>
    </row>
    <row r="134" spans="1:3" x14ac:dyDescent="0.2">
      <c r="A134" s="8">
        <v>44348</v>
      </c>
      <c r="B134" s="11">
        <f>IF(VLOOKUP(A134,'DB Country PMI'!$A:$W,MATCH($A$1,'DB Country PMI'!$A$1:$W$1,),)=0,#N/A,VLOOKUP(A134,'DB Country PMI'!$A:$W,MATCH($A$1,'DB Country PMI'!$A$1:$W$1,),))</f>
        <v>56.5</v>
      </c>
      <c r="C134" s="14">
        <f>Table134681134567101213[[#This Row],[PMI]]-B133</f>
        <v>-1</v>
      </c>
    </row>
    <row r="135" spans="1:3" x14ac:dyDescent="0.2">
      <c r="A135" s="8">
        <v>44378</v>
      </c>
      <c r="B135" s="11">
        <f>IF(VLOOKUP(A135,'DB Country PMI'!$A:$W,MATCH($A$1,'DB Country PMI'!$A$1:$W$1,),)=0,#N/A,VLOOKUP(A135,'DB Country PMI'!$A:$W,MATCH($A$1,'DB Country PMI'!$A$1:$W$1,),))</f>
        <v>53.5</v>
      </c>
      <c r="C135" s="14">
        <f>Table134681134567101213[[#This Row],[PMI]]-B134</f>
        <v>-3</v>
      </c>
    </row>
    <row r="136" spans="1:3" x14ac:dyDescent="0.2">
      <c r="A136" s="8">
        <v>44409</v>
      </c>
      <c r="B136" s="11">
        <f>IF(VLOOKUP(A136,'DB Country PMI'!$A:$W,MATCH($A$1,'DB Country PMI'!$A$1:$W$1,),)=0,#N/A,VLOOKUP(A136,'DB Country PMI'!$A:$W,MATCH($A$1,'DB Country PMI'!$A$1:$W$1,),))</f>
        <v>49.3</v>
      </c>
      <c r="C136" s="14">
        <f>Table134681134567101213[[#This Row],[PMI]]-B135</f>
        <v>-4.2000000000000028</v>
      </c>
    </row>
    <row r="137" spans="1:3" x14ac:dyDescent="0.2">
      <c r="A137" s="8">
        <v>44440</v>
      </c>
      <c r="B137" s="11">
        <f>IF(VLOOKUP(A137,'DB Country PMI'!$A:$W,MATCH($A$1,'DB Country PMI'!$A$1:$W$1,),)=0,#N/A,VLOOKUP(A137,'DB Country PMI'!$A:$W,MATCH($A$1,'DB Country PMI'!$A$1:$W$1,),))</f>
        <v>50.5</v>
      </c>
      <c r="C137" s="14">
        <f>Table134681134567101213[[#This Row],[PMI]]-B136</f>
        <v>1.2000000000000028</v>
      </c>
    </row>
    <row r="138" spans="1:3" x14ac:dyDescent="0.2">
      <c r="A138" s="8">
        <v>44470</v>
      </c>
      <c r="B138" s="11">
        <f>IF(VLOOKUP(A138,'DB Country PMI'!$A:$W,MATCH($A$1,'DB Country PMI'!$A$1:$W$1,),)=0,#N/A,VLOOKUP(A138,'DB Country PMI'!$A:$W,MATCH($A$1,'DB Country PMI'!$A$1:$W$1,),))</f>
        <v>58.8</v>
      </c>
      <c r="C138" s="14">
        <f>Table134681134567101213[[#This Row],[PMI]]-B137</f>
        <v>8.2999999999999972</v>
      </c>
    </row>
    <row r="139" spans="1:3" x14ac:dyDescent="0.2">
      <c r="A139" s="8">
        <v>44501</v>
      </c>
      <c r="B139" s="11">
        <f>IF(VLOOKUP(A139,'DB Country PMI'!$A:$W,MATCH($A$1,'DB Country PMI'!$A$1:$W$1,),)=0,#N/A,VLOOKUP(A139,'DB Country PMI'!$A:$W,MATCH($A$1,'DB Country PMI'!$A$1:$W$1,),))</f>
        <v>47.1</v>
      </c>
      <c r="C139" s="14">
        <f>Table134681134567101213[[#This Row],[PMI]]-B138</f>
        <v>-11.699999999999996</v>
      </c>
    </row>
    <row r="140" spans="1:3" x14ac:dyDescent="0.2">
      <c r="A140" s="8">
        <v>44531</v>
      </c>
      <c r="B140" s="11">
        <f>IF(VLOOKUP(A140,'DB Country PMI'!$A:$W,MATCH($A$1,'DB Country PMI'!$A$1:$W$1,),)=0,#N/A,VLOOKUP(A140,'DB Country PMI'!$A:$W,MATCH($A$1,'DB Country PMI'!$A$1:$W$1,),))</f>
        <v>49.5</v>
      </c>
      <c r="C140" s="14">
        <f>Table134681134567101213[[#This Row],[PMI]]-B139</f>
        <v>2.3999999999999986</v>
      </c>
    </row>
    <row r="141" spans="1:3" x14ac:dyDescent="0.2">
      <c r="A141" s="8">
        <v>44562</v>
      </c>
      <c r="B141" s="11">
        <f>IF(VLOOKUP(A141,'DB Country PMI'!$A:$W,MATCH($A$1,'DB Country PMI'!$A$1:$W$1,),)=0,#N/A,VLOOKUP(A141,'DB Country PMI'!$A:$W,MATCH($A$1,'DB Country PMI'!$A$1:$W$1,),))</f>
        <v>49.8</v>
      </c>
      <c r="C141" s="14">
        <f>Table134681134567101213[[#This Row],[PMI]]-B140</f>
        <v>0.29999999999999716</v>
      </c>
    </row>
    <row r="142" spans="1:3" x14ac:dyDescent="0.2">
      <c r="A142" s="8">
        <v>44593</v>
      </c>
      <c r="B142" s="11">
        <f>IF(VLOOKUP(A142,'DB Country PMI'!$A:$W,MATCH($A$1,'DB Country PMI'!$A$1:$W$1,),)=0,#N/A,VLOOKUP(A142,'DB Country PMI'!$A:$W,MATCH($A$1,'DB Country PMI'!$A$1:$W$1,),))</f>
        <v>52.1</v>
      </c>
      <c r="C142" s="14">
        <f>Table134681134567101213[[#This Row],[PMI]]-B141</f>
        <v>2.3000000000000043</v>
      </c>
    </row>
    <row r="143" spans="1:3" x14ac:dyDescent="0.2">
      <c r="A143" s="8">
        <v>44621</v>
      </c>
      <c r="B143" s="11">
        <f>IF(VLOOKUP(A143,'DB Country PMI'!$A:$W,MATCH($A$1,'DB Country PMI'!$A$1:$W$1,),)=0,#N/A,VLOOKUP(A143,'DB Country PMI'!$A:$W,MATCH($A$1,'DB Country PMI'!$A$1:$W$1,),))</f>
        <v>38.1</v>
      </c>
      <c r="C143" s="14">
        <f>Table134681134567101213[[#This Row],[PMI]]-B142</f>
        <v>-14</v>
      </c>
    </row>
    <row r="144" spans="1:3" x14ac:dyDescent="0.2">
      <c r="A144" s="8">
        <v>44652</v>
      </c>
      <c r="B144" s="11">
        <f>IF(VLOOKUP(A144,'DB Country PMI'!$A:$W,MATCH($A$1,'DB Country PMI'!$A$1:$W$1,),)=0,#N/A,VLOOKUP(A144,'DB Country PMI'!$A:$W,MATCH($A$1,'DB Country PMI'!$A$1:$W$1,),))</f>
        <v>44.5</v>
      </c>
      <c r="C144" s="14">
        <f>Table134681134567101213[[#This Row],[PMI]]-B143</f>
        <v>6.3999999999999986</v>
      </c>
    </row>
    <row r="145" spans="1:3" x14ac:dyDescent="0.2">
      <c r="A145" s="8">
        <v>44682</v>
      </c>
      <c r="B145" s="11">
        <f>IF(VLOOKUP(A145,'DB Country PMI'!$A:$W,MATCH($A$1,'DB Country PMI'!$A$1:$W$1,),)=0,#N/A,VLOOKUP(A145,'DB Country PMI'!$A:$W,MATCH($A$1,'DB Country PMI'!$A$1:$W$1,),))</f>
        <v>48.5</v>
      </c>
      <c r="C145" s="14">
        <f>Table134681134567101213[[#This Row],[PMI]]-B144</f>
        <v>4</v>
      </c>
    </row>
    <row r="146" spans="1:3" x14ac:dyDescent="0.2">
      <c r="A146" s="8">
        <v>44713</v>
      </c>
      <c r="B146" s="11">
        <f>IF(VLOOKUP(A146,'DB Country PMI'!$A:$W,MATCH($A$1,'DB Country PMI'!$A$1:$W$1,),)=0,#N/A,VLOOKUP(A146,'DB Country PMI'!$A:$W,MATCH($A$1,'DB Country PMI'!$A$1:$W$1,),))</f>
        <v>51.7</v>
      </c>
      <c r="C146" s="14">
        <f>Table134681134567101213[[#This Row],[PMI]]-B145</f>
        <v>3.2000000000000028</v>
      </c>
    </row>
    <row r="147" spans="1:3" x14ac:dyDescent="0.2">
      <c r="A147" s="8">
        <v>44743</v>
      </c>
      <c r="B147" s="11">
        <f>IF(VLOOKUP(A147,'DB Country PMI'!$A:$W,MATCH($A$1,'DB Country PMI'!$A$1:$W$1,),)=0,#N/A,VLOOKUP(A147,'DB Country PMI'!$A:$W,MATCH($A$1,'DB Country PMI'!$A$1:$W$1,),))</f>
        <v>54.7</v>
      </c>
      <c r="C147" s="14">
        <f>Table134681134567101213[[#This Row],[PMI]]-B146</f>
        <v>3</v>
      </c>
    </row>
    <row r="148" spans="1:3" x14ac:dyDescent="0.2">
      <c r="A148" s="8">
        <v>44774</v>
      </c>
      <c r="B148" s="11">
        <f>IF(VLOOKUP(A148,'DB Country PMI'!$A:$W,MATCH($A$1,'DB Country PMI'!$A$1:$W$1,),)=0,#N/A,VLOOKUP(A148,'DB Country PMI'!$A:$W,MATCH($A$1,'DB Country PMI'!$A$1:$W$1,),))</f>
        <v>49.9</v>
      </c>
      <c r="C148" s="14">
        <f>Table134681134567101213[[#This Row],[PMI]]-B147</f>
        <v>-4.8000000000000043</v>
      </c>
    </row>
    <row r="149" spans="1:3" x14ac:dyDescent="0.2">
      <c r="A149" s="8">
        <v>44805</v>
      </c>
      <c r="B149" s="11">
        <f>IF(VLOOKUP(A149,'DB Country PMI'!$A:$W,MATCH($A$1,'DB Country PMI'!$A$1:$W$1,),)=0,#N/A,VLOOKUP(A149,'DB Country PMI'!$A:$W,MATCH($A$1,'DB Country PMI'!$A$1:$W$1,),))</f>
        <v>51.1</v>
      </c>
      <c r="C149" s="14">
        <f>Table134681134567101213[[#This Row],[PMI]]-B148</f>
        <v>1.2000000000000028</v>
      </c>
    </row>
    <row r="150" spans="1:3" x14ac:dyDescent="0.2">
      <c r="A150" s="8">
        <v>44835</v>
      </c>
      <c r="B150" s="11">
        <f>IF(VLOOKUP(A150,'DB Country PMI'!$A:$W,MATCH($A$1,'DB Country PMI'!$A$1:$W$1,),)=0,#N/A,VLOOKUP(A150,'DB Country PMI'!$A:$W,MATCH($A$1,'DB Country PMI'!$A$1:$W$1,),))</f>
        <v>43.7</v>
      </c>
      <c r="C150" s="14">
        <f>Table134681134567101213[[#This Row],[PMI]]-B149</f>
        <v>-7.3999999999999986</v>
      </c>
    </row>
  </sheetData>
  <conditionalFormatting sqref="C7:C150">
    <cfRule type="colorScale" priority="1">
      <colorScale>
        <cfvo type="min"/>
        <cfvo type="percentile" val="50"/>
        <cfvo type="max"/>
        <color rgb="FFF8696B"/>
        <color rgb="FFFCFCFF"/>
        <color rgb="FF5A8AC6"/>
      </colorScale>
    </cfRule>
  </conditionalFormatting>
  <conditionalFormatting sqref="B6:B150">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dimension ref="A1:J150"/>
  <sheetViews>
    <sheetView zoomScale="170" zoomScaleNormal="170" workbookViewId="0">
      <pane ySplit="5" topLeftCell="A136" activePane="bottomLeft" state="frozen"/>
      <selection pane="bottomLeft" activeCell="A137" sqref="A137:C150"/>
    </sheetView>
  </sheetViews>
  <sheetFormatPr baseColWidth="10" defaultColWidth="9.1640625" defaultRowHeight="15" x14ac:dyDescent="0.2"/>
  <cols>
    <col min="1" max="1" width="13.5" style="49" customWidth="1"/>
    <col min="2" max="2" width="11.33203125" style="49" customWidth="1"/>
    <col min="3" max="11" width="9.1640625" style="49" customWidth="1"/>
    <col min="12" max="16384" width="9.1640625" style="49"/>
  </cols>
  <sheetData>
    <row r="1" spans="1:10" x14ac:dyDescent="0.2">
      <c r="A1" s="49" t="s">
        <v>27</v>
      </c>
      <c r="J1" s="49" t="s">
        <v>62</v>
      </c>
    </row>
    <row r="2" spans="1:10" x14ac:dyDescent="0.2">
      <c r="J2" s="49" t="s">
        <v>76</v>
      </c>
    </row>
    <row r="4" spans="1:10" ht="16" customHeight="1" thickBot="1" x14ac:dyDescent="0.25"/>
    <row r="5" spans="1:10" ht="16" customHeight="1" thickBot="1" x14ac:dyDescent="0.25">
      <c r="A5" s="12" t="s">
        <v>33</v>
      </c>
      <c r="B5" s="13" t="s">
        <v>60</v>
      </c>
      <c r="C5" s="13" t="s">
        <v>61</v>
      </c>
    </row>
    <row r="6" spans="1:10" x14ac:dyDescent="0.2">
      <c r="A6" s="10">
        <v>40452</v>
      </c>
      <c r="B6" s="11">
        <f>IF(VLOOKUP(A6,'DB Country PMI'!$A:$W,MATCH($A$1,'DB Country PMI'!$A$1:$W$1,),)=0,#N/A,VLOOKUP(A6,'DB Country PMI'!$A:$W,MATCH($A$1,'DB Country PMI'!$A$1:$W$1,),))</f>
        <v>46.5</v>
      </c>
      <c r="C6" s="11"/>
    </row>
    <row r="7" spans="1:10" x14ac:dyDescent="0.2">
      <c r="A7" s="8">
        <v>40483</v>
      </c>
      <c r="B7" s="11">
        <f>IF(VLOOKUP(A7,'DB Country PMI'!$A:$W,MATCH($A$1,'DB Country PMI'!$A$1:$W$1,),)=0,#N/A,VLOOKUP(A7,'DB Country PMI'!$A:$W,MATCH($A$1,'DB Country PMI'!$A$1:$W$1,),))</f>
        <v>48.3</v>
      </c>
      <c r="C7" s="14">
        <f>Table13468113456710121314[[#This Row],[PMI]]-B6</f>
        <v>1.7999999999999972</v>
      </c>
    </row>
    <row r="8" spans="1:10" x14ac:dyDescent="0.2">
      <c r="A8" s="8">
        <v>40513</v>
      </c>
      <c r="B8" s="11">
        <f>IF(VLOOKUP(A8,'DB Country PMI'!$A:$W,MATCH($A$1,'DB Country PMI'!$A$1:$W$1,),)=0,#N/A,VLOOKUP(A8,'DB Country PMI'!$A:$W,MATCH($A$1,'DB Country PMI'!$A$1:$W$1,),))</f>
        <v>49.1</v>
      </c>
      <c r="C8" s="14">
        <f>Table13468113456710121314[[#This Row],[PMI]]-B7</f>
        <v>0.80000000000000426</v>
      </c>
    </row>
    <row r="9" spans="1:10" x14ac:dyDescent="0.2">
      <c r="A9" s="8">
        <v>40544</v>
      </c>
      <c r="B9" s="11">
        <f>IF(VLOOKUP(A9,'DB Country PMI'!$A:$W,MATCH($A$1,'DB Country PMI'!$A$1:$W$1,),)=0,#N/A,VLOOKUP(A9,'DB Country PMI'!$A:$W,MATCH($A$1,'DB Country PMI'!$A$1:$W$1,),))</f>
        <v>50.1</v>
      </c>
      <c r="C9" s="14">
        <f>Table13468113456710121314[[#This Row],[PMI]]-B8</f>
        <v>1</v>
      </c>
    </row>
    <row r="10" spans="1:10" x14ac:dyDescent="0.2">
      <c r="A10" s="8">
        <v>40575</v>
      </c>
      <c r="B10" s="11">
        <f>IF(VLOOKUP(A10,'DB Country PMI'!$A:$W,MATCH($A$1,'DB Country PMI'!$A$1:$W$1,),)=0,#N/A,VLOOKUP(A10,'DB Country PMI'!$A:$W,MATCH($A$1,'DB Country PMI'!$A$1:$W$1,),))</f>
        <v>50.8</v>
      </c>
      <c r="C10" s="14">
        <f>Table13468113456710121314[[#This Row],[PMI]]-B9</f>
        <v>0.69999999999999574</v>
      </c>
    </row>
    <row r="11" spans="1:10" x14ac:dyDescent="0.2">
      <c r="A11" s="8">
        <v>40603</v>
      </c>
      <c r="B11" s="11">
        <f>IF(VLOOKUP(A11,'DB Country PMI'!$A:$W,MATCH($A$1,'DB Country PMI'!$A$1:$W$1,),)=0,#N/A,VLOOKUP(A11,'DB Country PMI'!$A:$W,MATCH($A$1,'DB Country PMI'!$A$1:$W$1,),))</f>
        <v>48.7</v>
      </c>
      <c r="C11" s="14">
        <f>Table13468113456710121314[[#This Row],[PMI]]-B10</f>
        <v>-2.0999999999999943</v>
      </c>
    </row>
    <row r="12" spans="1:10" x14ac:dyDescent="0.2">
      <c r="A12" s="8">
        <v>40634</v>
      </c>
      <c r="B12" s="11">
        <f>IF(VLOOKUP(A12,'DB Country PMI'!$A:$W,MATCH($A$1,'DB Country PMI'!$A$1:$W$1,),)=0,#N/A,VLOOKUP(A12,'DB Country PMI'!$A:$W,MATCH($A$1,'DB Country PMI'!$A$1:$W$1,),))</f>
        <v>50.4</v>
      </c>
      <c r="C12" s="14">
        <f>Table13468113456710121314[[#This Row],[PMI]]-B11</f>
        <v>1.6999999999999957</v>
      </c>
    </row>
    <row r="13" spans="1:10" x14ac:dyDescent="0.2">
      <c r="A13" s="8">
        <v>40664</v>
      </c>
      <c r="B13" s="11">
        <f>IF(VLOOKUP(A13,'DB Country PMI'!$A:$W,MATCH($A$1,'DB Country PMI'!$A$1:$W$1,),)=0,#N/A,VLOOKUP(A13,'DB Country PMI'!$A:$W,MATCH($A$1,'DB Country PMI'!$A$1:$W$1,),))</f>
        <v>50.9</v>
      </c>
      <c r="C13" s="14">
        <f>Table13468113456710121314[[#This Row],[PMI]]-B12</f>
        <v>0.5</v>
      </c>
    </row>
    <row r="14" spans="1:10" x14ac:dyDescent="0.2">
      <c r="A14" s="8">
        <v>40695</v>
      </c>
      <c r="B14" s="11">
        <f>IF(VLOOKUP(A14,'DB Country PMI'!$A:$W,MATCH($A$1,'DB Country PMI'!$A$1:$W$1,),)=0,#N/A,VLOOKUP(A14,'DB Country PMI'!$A:$W,MATCH($A$1,'DB Country PMI'!$A$1:$W$1,),))</f>
        <v>50.2</v>
      </c>
      <c r="C14" s="14">
        <f>Table13468113456710121314[[#This Row],[PMI]]-B13</f>
        <v>-0.69999999999999574</v>
      </c>
    </row>
    <row r="15" spans="1:10" x14ac:dyDescent="0.2">
      <c r="A15" s="8">
        <v>40725</v>
      </c>
      <c r="B15" s="11">
        <f>IF(VLOOKUP(A15,'DB Country PMI'!$A:$W,MATCH($A$1,'DB Country PMI'!$A$1:$W$1,),)=0,#N/A,VLOOKUP(A15,'DB Country PMI'!$A:$W,MATCH($A$1,'DB Country PMI'!$A$1:$W$1,),))</f>
        <v>46.5</v>
      </c>
      <c r="C15" s="14">
        <f>Table13468113456710121314[[#This Row],[PMI]]-B14</f>
        <v>-3.7000000000000028</v>
      </c>
    </row>
    <row r="16" spans="1:10" x14ac:dyDescent="0.2">
      <c r="A16" s="8">
        <v>40756</v>
      </c>
      <c r="B16" s="11">
        <f>IF(VLOOKUP(A16,'DB Country PMI'!$A:$W,MATCH($A$1,'DB Country PMI'!$A$1:$W$1,),)=0,#N/A,VLOOKUP(A16,'DB Country PMI'!$A:$W,MATCH($A$1,'DB Country PMI'!$A$1:$W$1,),))</f>
        <v>45.2</v>
      </c>
      <c r="C16" s="14">
        <f>Table13468113456710121314[[#This Row],[PMI]]-B15</f>
        <v>-1.2999999999999972</v>
      </c>
    </row>
    <row r="17" spans="1:3" x14ac:dyDescent="0.2">
      <c r="A17" s="8">
        <v>40787</v>
      </c>
      <c r="B17" s="11">
        <f>IF(VLOOKUP(A17,'DB Country PMI'!$A:$W,MATCH($A$1,'DB Country PMI'!$A$1:$W$1,),)=0,#N/A,VLOOKUP(A17,'DB Country PMI'!$A:$W,MATCH($A$1,'DB Country PMI'!$A$1:$W$1,),))</f>
        <v>44.8</v>
      </c>
      <c r="C17" s="14">
        <f>Table13468113456710121314[[#This Row],[PMI]]-B16</f>
        <v>-0.40000000000000568</v>
      </c>
    </row>
    <row r="18" spans="1:3" x14ac:dyDescent="0.2">
      <c r="A18" s="8">
        <v>40817</v>
      </c>
      <c r="B18" s="11">
        <f>IF(VLOOKUP(A18,'DB Country PMI'!$A:$W,MATCH($A$1,'DB Country PMI'!$A$1:$W$1,),)=0,#N/A,VLOOKUP(A18,'DB Country PMI'!$A:$W,MATCH($A$1,'DB Country PMI'!$A$1:$W$1,),))</f>
        <v>41.8</v>
      </c>
      <c r="C18" s="14">
        <f>Table13468113456710121314[[#This Row],[PMI]]-B17</f>
        <v>-3</v>
      </c>
    </row>
    <row r="19" spans="1:3" x14ac:dyDescent="0.2">
      <c r="A19" s="8">
        <v>40848</v>
      </c>
      <c r="B19" s="11">
        <f>IF(VLOOKUP(A19,'DB Country PMI'!$A:$W,MATCH($A$1,'DB Country PMI'!$A$1:$W$1,),)=0,#N/A,VLOOKUP(A19,'DB Country PMI'!$A:$W,MATCH($A$1,'DB Country PMI'!$A$1:$W$1,),))</f>
        <v>36.799999999999997</v>
      </c>
      <c r="C19" s="14">
        <f>Table13468113456710121314[[#This Row],[PMI]]-B18</f>
        <v>-5</v>
      </c>
    </row>
    <row r="20" spans="1:3" x14ac:dyDescent="0.2">
      <c r="A20" s="8">
        <v>40878</v>
      </c>
      <c r="B20" s="11">
        <f>IF(VLOOKUP(A20,'DB Country PMI'!$A:$W,MATCH($A$1,'DB Country PMI'!$A$1:$W$1,),)=0,#N/A,VLOOKUP(A20,'DB Country PMI'!$A:$W,MATCH($A$1,'DB Country PMI'!$A$1:$W$1,),))</f>
        <v>42.1</v>
      </c>
      <c r="C20" s="14">
        <f>Table13468113456710121314[[#This Row],[PMI]]-B19</f>
        <v>5.3000000000000043</v>
      </c>
    </row>
    <row r="21" spans="1:3" x14ac:dyDescent="0.2">
      <c r="A21" s="8">
        <v>40909</v>
      </c>
      <c r="B21" s="11">
        <f>IF(VLOOKUP(A21,'DB Country PMI'!$A:$W,MATCH($A$1,'DB Country PMI'!$A$1:$W$1,),)=0,#N/A,VLOOKUP(A21,'DB Country PMI'!$A:$W,MATCH($A$1,'DB Country PMI'!$A$1:$W$1,),))</f>
        <v>46.1</v>
      </c>
      <c r="C21" s="14">
        <f>Table13468113456710121314[[#This Row],[PMI]]-B20</f>
        <v>4</v>
      </c>
    </row>
    <row r="22" spans="1:3" x14ac:dyDescent="0.2">
      <c r="A22" s="8">
        <v>40940</v>
      </c>
      <c r="B22" s="11">
        <f>IF(VLOOKUP(A22,'DB Country PMI'!$A:$W,MATCH($A$1,'DB Country PMI'!$A$1:$W$1,),)=0,#N/A,VLOOKUP(A22,'DB Country PMI'!$A:$W,MATCH($A$1,'DB Country PMI'!$A$1:$W$1,),))</f>
        <v>41.9</v>
      </c>
      <c r="C22" s="14">
        <f>Table13468113456710121314[[#This Row],[PMI]]-B21</f>
        <v>-4.2000000000000028</v>
      </c>
    </row>
    <row r="23" spans="1:3" x14ac:dyDescent="0.2">
      <c r="A23" s="8">
        <v>40969</v>
      </c>
      <c r="B23" s="11">
        <f>IF(VLOOKUP(A23,'DB Country PMI'!$A:$W,MATCH($A$1,'DB Country PMI'!$A$1:$W$1,),)=0,#N/A,VLOOKUP(A23,'DB Country PMI'!$A:$W,MATCH($A$1,'DB Country PMI'!$A$1:$W$1,),))</f>
        <v>46.3</v>
      </c>
      <c r="C23" s="14">
        <f>Table13468113456710121314[[#This Row],[PMI]]-B22</f>
        <v>4.3999999999999986</v>
      </c>
    </row>
    <row r="24" spans="1:3" x14ac:dyDescent="0.2">
      <c r="A24" s="8">
        <v>41000</v>
      </c>
      <c r="B24" s="11">
        <f>IF(VLOOKUP(A24,'DB Country PMI'!$A:$W,MATCH($A$1,'DB Country PMI'!$A$1:$W$1,),)=0,#N/A,VLOOKUP(A24,'DB Country PMI'!$A:$W,MATCH($A$1,'DB Country PMI'!$A$1:$W$1,),))</f>
        <v>42.1</v>
      </c>
      <c r="C24" s="14">
        <f>Table13468113456710121314[[#This Row],[PMI]]-B23</f>
        <v>-4.1999999999999957</v>
      </c>
    </row>
    <row r="25" spans="1:3" x14ac:dyDescent="0.2">
      <c r="A25" s="8">
        <v>41030</v>
      </c>
      <c r="B25" s="11">
        <f>IF(VLOOKUP(A25,'DB Country PMI'!$A:$W,MATCH($A$1,'DB Country PMI'!$A$1:$W$1,),)=0,#N/A,VLOOKUP(A25,'DB Country PMI'!$A:$W,MATCH($A$1,'DB Country PMI'!$A$1:$W$1,),))</f>
        <v>41.8</v>
      </c>
      <c r="C25" s="14">
        <f>Table13468113456710121314[[#This Row],[PMI]]-B24</f>
        <v>-0.30000000000000426</v>
      </c>
    </row>
    <row r="26" spans="1:3" x14ac:dyDescent="0.2">
      <c r="A26" s="8">
        <v>41061</v>
      </c>
      <c r="B26" s="11">
        <f>IF(VLOOKUP(A26,'DB Country PMI'!$A:$W,MATCH($A$1,'DB Country PMI'!$A$1:$W$1,),)=0,#N/A,VLOOKUP(A26,'DB Country PMI'!$A:$W,MATCH($A$1,'DB Country PMI'!$A$1:$W$1,),))</f>
        <v>43.4</v>
      </c>
      <c r="C26" s="14">
        <f>Table13468113456710121314[[#This Row],[PMI]]-B25</f>
        <v>1.6000000000000014</v>
      </c>
    </row>
    <row r="27" spans="1:3" x14ac:dyDescent="0.2">
      <c r="A27" s="8">
        <v>41091</v>
      </c>
      <c r="B27" s="11">
        <f>IF(VLOOKUP(A27,'DB Country PMI'!$A:$W,MATCH($A$1,'DB Country PMI'!$A$1:$W$1,),)=0,#N/A,VLOOKUP(A27,'DB Country PMI'!$A:$W,MATCH($A$1,'DB Country PMI'!$A$1:$W$1,),))</f>
        <v>43.7</v>
      </c>
      <c r="C27" s="14">
        <f>Table13468113456710121314[[#This Row],[PMI]]-B26</f>
        <v>0.30000000000000426</v>
      </c>
    </row>
    <row r="28" spans="1:3" x14ac:dyDescent="0.2">
      <c r="A28" s="8">
        <v>41122</v>
      </c>
      <c r="B28" s="11">
        <f>IF(VLOOKUP(A28,'DB Country PMI'!$A:$W,MATCH($A$1,'DB Country PMI'!$A$1:$W$1,),)=0,#N/A,VLOOKUP(A28,'DB Country PMI'!$A:$W,MATCH($A$1,'DB Country PMI'!$A$1:$W$1,),))</f>
        <v>44</v>
      </c>
      <c r="C28" s="14">
        <f>Table13468113456710121314[[#This Row],[PMI]]-B27</f>
        <v>0.29999999999999716</v>
      </c>
    </row>
    <row r="29" spans="1:3" x14ac:dyDescent="0.2">
      <c r="A29" s="8">
        <v>41153</v>
      </c>
      <c r="B29" s="11">
        <f>IF(VLOOKUP(A29,'DB Country PMI'!$A:$W,MATCH($A$1,'DB Country PMI'!$A$1:$W$1,),)=0,#N/A,VLOOKUP(A29,'DB Country PMI'!$A:$W,MATCH($A$1,'DB Country PMI'!$A$1:$W$1,),))</f>
        <v>40.200000000000003</v>
      </c>
      <c r="C29" s="14">
        <f>Table13468113456710121314[[#This Row],[PMI]]-B28</f>
        <v>-3.7999999999999972</v>
      </c>
    </row>
    <row r="30" spans="1:3" x14ac:dyDescent="0.2">
      <c r="A30" s="8">
        <v>41183</v>
      </c>
      <c r="B30" s="11">
        <f>IF(VLOOKUP(A30,'DB Country PMI'!$A:$W,MATCH($A$1,'DB Country PMI'!$A$1:$W$1,),)=0,#N/A,VLOOKUP(A30,'DB Country PMI'!$A:$W,MATCH($A$1,'DB Country PMI'!$A$1:$W$1,),))</f>
        <v>41.2</v>
      </c>
      <c r="C30" s="14">
        <f>Table13468113456710121314[[#This Row],[PMI]]-B29</f>
        <v>1</v>
      </c>
    </row>
    <row r="31" spans="1:3" x14ac:dyDescent="0.2">
      <c r="A31" s="8">
        <v>41214</v>
      </c>
      <c r="B31" s="11">
        <f>IF(VLOOKUP(A31,'DB Country PMI'!$A:$W,MATCH($A$1,'DB Country PMI'!$A$1:$W$1,),)=0,#N/A,VLOOKUP(A31,'DB Country PMI'!$A:$W,MATCH($A$1,'DB Country PMI'!$A$1:$W$1,),))</f>
        <v>42.4</v>
      </c>
      <c r="C31" s="14">
        <f>Table13468113456710121314[[#This Row],[PMI]]-B30</f>
        <v>1.1999999999999957</v>
      </c>
    </row>
    <row r="32" spans="1:3" x14ac:dyDescent="0.2">
      <c r="A32" s="8">
        <v>41244</v>
      </c>
      <c r="B32" s="11">
        <f>IF(VLOOKUP(A32,'DB Country PMI'!$A:$W,MATCH($A$1,'DB Country PMI'!$A$1:$W$1,),)=0,#N/A,VLOOKUP(A32,'DB Country PMI'!$A:$W,MATCH($A$1,'DB Country PMI'!$A$1:$W$1,),))</f>
        <v>44.1</v>
      </c>
      <c r="C32" s="14">
        <f>Table13468113456710121314[[#This Row],[PMI]]-B31</f>
        <v>1.7000000000000028</v>
      </c>
    </row>
    <row r="33" spans="1:3" x14ac:dyDescent="0.2">
      <c r="A33" s="8">
        <v>41275</v>
      </c>
      <c r="B33" s="11">
        <f>IF(VLOOKUP(A33,'DB Country PMI'!$A:$W,MATCH($A$1,'DB Country PMI'!$A$1:$W$1,),)=0,#N/A,VLOOKUP(A33,'DB Country PMI'!$A:$W,MATCH($A$1,'DB Country PMI'!$A$1:$W$1,),))</f>
        <v>47</v>
      </c>
      <c r="C33" s="14">
        <f>Table13468113456710121314[[#This Row],[PMI]]-B32</f>
        <v>2.8999999999999986</v>
      </c>
    </row>
    <row r="34" spans="1:3" x14ac:dyDescent="0.2">
      <c r="A34" s="8">
        <v>41306</v>
      </c>
      <c r="B34" s="11">
        <f>IF(VLOOKUP(A34,'DB Country PMI'!$A:$W,MATCH($A$1,'DB Country PMI'!$A$1:$W$1,),)=0,#N/A,VLOOKUP(A34,'DB Country PMI'!$A:$W,MATCH($A$1,'DB Country PMI'!$A$1:$W$1,),))</f>
        <v>44.7</v>
      </c>
      <c r="C34" s="14">
        <f>Table13468113456710121314[[#This Row],[PMI]]-B33</f>
        <v>-2.2999999999999972</v>
      </c>
    </row>
    <row r="35" spans="1:3" x14ac:dyDescent="0.2">
      <c r="A35" s="8">
        <v>41334</v>
      </c>
      <c r="B35" s="11">
        <f>IF(VLOOKUP(A35,'DB Country PMI'!$A:$W,MATCH($A$1,'DB Country PMI'!$A$1:$W$1,),)=0,#N/A,VLOOKUP(A35,'DB Country PMI'!$A:$W,MATCH($A$1,'DB Country PMI'!$A$1:$W$1,),))</f>
        <v>45.3</v>
      </c>
      <c r="C35" s="14">
        <f>Table13468113456710121314[[#This Row],[PMI]]-B34</f>
        <v>0.59999999999999432</v>
      </c>
    </row>
    <row r="36" spans="1:3" x14ac:dyDescent="0.2">
      <c r="A36" s="8">
        <v>41365</v>
      </c>
      <c r="B36" s="11">
        <f>IF(VLOOKUP(A36,'DB Country PMI'!$A:$W,MATCH($A$1,'DB Country PMI'!$A$1:$W$1,),)=0,#N/A,VLOOKUP(A36,'DB Country PMI'!$A:$W,MATCH($A$1,'DB Country PMI'!$A$1:$W$1,),))</f>
        <v>44.4</v>
      </c>
      <c r="C36" s="14">
        <f>Table13468113456710121314[[#This Row],[PMI]]-B35</f>
        <v>-0.89999999999999858</v>
      </c>
    </row>
    <row r="37" spans="1:3" x14ac:dyDescent="0.2">
      <c r="A37" s="8">
        <v>41395</v>
      </c>
      <c r="B37" s="11">
        <f>IF(VLOOKUP(A37,'DB Country PMI'!$A:$W,MATCH($A$1,'DB Country PMI'!$A$1:$W$1,),)=0,#N/A,VLOOKUP(A37,'DB Country PMI'!$A:$W,MATCH($A$1,'DB Country PMI'!$A$1:$W$1,),))</f>
        <v>47.3</v>
      </c>
      <c r="C37" s="14">
        <f>Table13468113456710121314[[#This Row],[PMI]]-B36</f>
        <v>2.8999999999999986</v>
      </c>
    </row>
    <row r="38" spans="1:3" x14ac:dyDescent="0.2">
      <c r="A38" s="8">
        <v>41426</v>
      </c>
      <c r="B38" s="11">
        <f>IF(VLOOKUP(A38,'DB Country PMI'!$A:$W,MATCH($A$1,'DB Country PMI'!$A$1:$W$1,),)=0,#N/A,VLOOKUP(A38,'DB Country PMI'!$A:$W,MATCH($A$1,'DB Country PMI'!$A$1:$W$1,),))</f>
        <v>47.8</v>
      </c>
      <c r="C38" s="14">
        <f>Table13468113456710121314[[#This Row],[PMI]]-B37</f>
        <v>0.5</v>
      </c>
    </row>
    <row r="39" spans="1:3" x14ac:dyDescent="0.2">
      <c r="A39" s="8">
        <v>41456</v>
      </c>
      <c r="B39" s="11">
        <f>IF(VLOOKUP(A39,'DB Country PMI'!$A:$W,MATCH($A$1,'DB Country PMI'!$A$1:$W$1,),)=0,#N/A,VLOOKUP(A39,'DB Country PMI'!$A:$W,MATCH($A$1,'DB Country PMI'!$A$1:$W$1,),))</f>
        <v>48.5</v>
      </c>
      <c r="C39" s="14">
        <f>Table13468113456710121314[[#This Row],[PMI]]-B38</f>
        <v>0.70000000000000284</v>
      </c>
    </row>
    <row r="40" spans="1:3" x14ac:dyDescent="0.2">
      <c r="A40" s="8">
        <v>41487</v>
      </c>
      <c r="B40" s="11">
        <f>IF(VLOOKUP(A40,'DB Country PMI'!$A:$W,MATCH($A$1,'DB Country PMI'!$A$1:$W$1,),)=0,#N/A,VLOOKUP(A40,'DB Country PMI'!$A:$W,MATCH($A$1,'DB Country PMI'!$A$1:$W$1,),))</f>
        <v>50.5</v>
      </c>
      <c r="C40" s="14">
        <f>Table13468113456710121314[[#This Row],[PMI]]-B39</f>
        <v>2</v>
      </c>
    </row>
    <row r="41" spans="1:3" x14ac:dyDescent="0.2">
      <c r="A41" s="8">
        <v>41518</v>
      </c>
      <c r="B41" s="11">
        <f>IF(VLOOKUP(A41,'DB Country PMI'!$A:$W,MATCH($A$1,'DB Country PMI'!$A$1:$W$1,),)=0,#N/A,VLOOKUP(A41,'DB Country PMI'!$A:$W,MATCH($A$1,'DB Country PMI'!$A$1:$W$1,),))</f>
        <v>49</v>
      </c>
      <c r="C41" s="14">
        <f>Table13468113456710121314[[#This Row],[PMI]]-B40</f>
        <v>-1.5</v>
      </c>
    </row>
    <row r="42" spans="1:3" x14ac:dyDescent="0.2">
      <c r="A42" s="8">
        <v>41548</v>
      </c>
      <c r="B42" s="11">
        <f>IF(VLOOKUP(A42,'DB Country PMI'!$A:$W,MATCH($A$1,'DB Country PMI'!$A$1:$W$1,),)=0,#N/A,VLOOKUP(A42,'DB Country PMI'!$A:$W,MATCH($A$1,'DB Country PMI'!$A$1:$W$1,),))</f>
        <v>49.6</v>
      </c>
      <c r="C42" s="14">
        <f>Table13468113456710121314[[#This Row],[PMI]]-B41</f>
        <v>0.60000000000000142</v>
      </c>
    </row>
    <row r="43" spans="1:3" x14ac:dyDescent="0.2">
      <c r="A43" s="8">
        <v>41579</v>
      </c>
      <c r="B43" s="11">
        <f>IF(VLOOKUP(A43,'DB Country PMI'!$A:$W,MATCH($A$1,'DB Country PMI'!$A$1:$W$1,),)=0,#N/A,VLOOKUP(A43,'DB Country PMI'!$A:$W,MATCH($A$1,'DB Country PMI'!$A$1:$W$1,),))</f>
        <v>51.5</v>
      </c>
      <c r="C43" s="14">
        <f>Table13468113456710121314[[#This Row],[PMI]]-B42</f>
        <v>1.8999999999999986</v>
      </c>
    </row>
    <row r="44" spans="1:3" x14ac:dyDescent="0.2">
      <c r="A44" s="8">
        <v>41609</v>
      </c>
      <c r="B44" s="11">
        <f>IF(VLOOKUP(A44,'DB Country PMI'!$A:$W,MATCH($A$1,'DB Country PMI'!$A$1:$W$1,),)=0,#N/A,VLOOKUP(A44,'DB Country PMI'!$A:$W,MATCH($A$1,'DB Country PMI'!$A$1:$W$1,),))</f>
        <v>53.2</v>
      </c>
      <c r="C44" s="14">
        <f>Table13468113456710121314[[#This Row],[PMI]]-B43</f>
        <v>1.7000000000000028</v>
      </c>
    </row>
    <row r="45" spans="1:3" x14ac:dyDescent="0.2">
      <c r="A45" s="8">
        <v>41640</v>
      </c>
      <c r="B45" s="11">
        <f>IF(VLOOKUP(A45,'DB Country PMI'!$A:$W,MATCH($A$1,'DB Country PMI'!$A$1:$W$1,),)=0,#N/A,VLOOKUP(A45,'DB Country PMI'!$A:$W,MATCH($A$1,'DB Country PMI'!$A$1:$W$1,),))</f>
        <v>54.9</v>
      </c>
      <c r="C45" s="14">
        <f>Table13468113456710121314[[#This Row],[PMI]]-B44</f>
        <v>1.6999999999999957</v>
      </c>
    </row>
    <row r="46" spans="1:3" x14ac:dyDescent="0.2">
      <c r="A46" s="8">
        <v>41671</v>
      </c>
      <c r="B46" s="11">
        <f>IF(VLOOKUP(A46,'DB Country PMI'!$A:$W,MATCH($A$1,'DB Country PMI'!$A$1:$W$1,),)=0,#N/A,VLOOKUP(A46,'DB Country PMI'!$A:$W,MATCH($A$1,'DB Country PMI'!$A$1:$W$1,),))</f>
        <v>53.7</v>
      </c>
      <c r="C46" s="14">
        <f>Table13468113456710121314[[#This Row],[PMI]]-B45</f>
        <v>-1.1999999999999957</v>
      </c>
    </row>
    <row r="47" spans="1:3" x14ac:dyDescent="0.2">
      <c r="A47" s="8">
        <v>41699</v>
      </c>
      <c r="B47" s="11">
        <f>IF(VLOOKUP(A47,'DB Country PMI'!$A:$W,MATCH($A$1,'DB Country PMI'!$A$1:$W$1,),)=0,#N/A,VLOOKUP(A47,'DB Country PMI'!$A:$W,MATCH($A$1,'DB Country PMI'!$A$1:$W$1,),))</f>
        <v>54</v>
      </c>
      <c r="C47" s="14">
        <f>Table13468113456710121314[[#This Row],[PMI]]-B46</f>
        <v>0.29999999999999716</v>
      </c>
    </row>
    <row r="48" spans="1:3" x14ac:dyDescent="0.2">
      <c r="A48" s="8">
        <v>41730</v>
      </c>
      <c r="B48" s="11">
        <f>IF(VLOOKUP(A48,'DB Country PMI'!$A:$W,MATCH($A$1,'DB Country PMI'!$A$1:$W$1,),)=0,#N/A,VLOOKUP(A48,'DB Country PMI'!$A:$W,MATCH($A$1,'DB Country PMI'!$A$1:$W$1,),))</f>
        <v>56.5</v>
      </c>
      <c r="C48" s="14">
        <f>Table13468113456710121314[[#This Row],[PMI]]-B47</f>
        <v>2.5</v>
      </c>
    </row>
    <row r="49" spans="1:3" x14ac:dyDescent="0.2">
      <c r="A49" s="8">
        <v>41760</v>
      </c>
      <c r="B49" s="11">
        <f>IF(VLOOKUP(A49,'DB Country PMI'!$A:$W,MATCH($A$1,'DB Country PMI'!$A$1:$W$1,),)=0,#N/A,VLOOKUP(A49,'DB Country PMI'!$A:$W,MATCH($A$1,'DB Country PMI'!$A$1:$W$1,),))</f>
        <v>55.7</v>
      </c>
      <c r="C49" s="14">
        <f>Table13468113456710121314[[#This Row],[PMI]]-B48</f>
        <v>-0.79999999999999716</v>
      </c>
    </row>
    <row r="50" spans="1:3" x14ac:dyDescent="0.2">
      <c r="A50" s="8">
        <v>41791</v>
      </c>
      <c r="B50" s="11">
        <f>IF(VLOOKUP(A50,'DB Country PMI'!$A:$W,MATCH($A$1,'DB Country PMI'!$A$1:$W$1,),)=0,#N/A,VLOOKUP(A50,'DB Country PMI'!$A:$W,MATCH($A$1,'DB Country PMI'!$A$1:$W$1,),))</f>
        <v>54.8</v>
      </c>
      <c r="C50" s="14">
        <f>Table13468113456710121314[[#This Row],[PMI]]-B49</f>
        <v>-0.90000000000000568</v>
      </c>
    </row>
    <row r="51" spans="1:3" x14ac:dyDescent="0.2">
      <c r="A51" s="8">
        <v>41821</v>
      </c>
      <c r="B51" s="11">
        <f>IF(VLOOKUP(A51,'DB Country PMI'!$A:$W,MATCH($A$1,'DB Country PMI'!$A$1:$W$1,),)=0,#N/A,VLOOKUP(A51,'DB Country PMI'!$A:$W,MATCH($A$1,'DB Country PMI'!$A$1:$W$1,),))</f>
        <v>56.2</v>
      </c>
      <c r="C51" s="14">
        <f>Table13468113456710121314[[#This Row],[PMI]]-B50</f>
        <v>1.4000000000000057</v>
      </c>
    </row>
    <row r="52" spans="1:3" x14ac:dyDescent="0.2">
      <c r="A52" s="8">
        <v>41852</v>
      </c>
      <c r="B52" s="11">
        <f>IF(VLOOKUP(A52,'DB Country PMI'!$A:$W,MATCH($A$1,'DB Country PMI'!$A$1:$W$1,),)=0,#N/A,VLOOKUP(A52,'DB Country PMI'!$A:$W,MATCH($A$1,'DB Country PMI'!$A$1:$W$1,),))</f>
        <v>58.1</v>
      </c>
      <c r="C52" s="14">
        <f>Table13468113456710121314[[#This Row],[PMI]]-B51</f>
        <v>1.8999999999999986</v>
      </c>
    </row>
    <row r="53" spans="1:3" x14ac:dyDescent="0.2">
      <c r="A53" s="8">
        <v>41883</v>
      </c>
      <c r="B53" s="11">
        <f>IF(VLOOKUP(A53,'DB Country PMI'!$A:$W,MATCH($A$1,'DB Country PMI'!$A$1:$W$1,),)=0,#N/A,VLOOKUP(A53,'DB Country PMI'!$A:$W,MATCH($A$1,'DB Country PMI'!$A$1:$W$1,),))</f>
        <v>55.8</v>
      </c>
      <c r="C53" s="14">
        <f>Table13468113456710121314[[#This Row],[PMI]]-B52</f>
        <v>-2.3000000000000043</v>
      </c>
    </row>
    <row r="54" spans="1:3" x14ac:dyDescent="0.2">
      <c r="A54" s="8">
        <v>41913</v>
      </c>
      <c r="B54" s="11">
        <f>IF(VLOOKUP(A54,'DB Country PMI'!$A:$W,MATCH($A$1,'DB Country PMI'!$A$1:$W$1,),)=0,#N/A,VLOOKUP(A54,'DB Country PMI'!$A:$W,MATCH($A$1,'DB Country PMI'!$A$1:$W$1,),))</f>
        <v>55.9</v>
      </c>
      <c r="C54" s="14">
        <f>Table13468113456710121314[[#This Row],[PMI]]-B53</f>
        <v>0.10000000000000142</v>
      </c>
    </row>
    <row r="55" spans="1:3" x14ac:dyDescent="0.2">
      <c r="A55" s="8">
        <v>41944</v>
      </c>
      <c r="B55" s="11">
        <f>IF(VLOOKUP(A55,'DB Country PMI'!$A:$W,MATCH($A$1,'DB Country PMI'!$A$1:$W$1,),)=0,#N/A,VLOOKUP(A55,'DB Country PMI'!$A:$W,MATCH($A$1,'DB Country PMI'!$A$1:$W$1,),))</f>
        <v>52.7</v>
      </c>
      <c r="C55" s="14">
        <f>Table13468113456710121314[[#This Row],[PMI]]-B54</f>
        <v>-3.1999999999999957</v>
      </c>
    </row>
    <row r="56" spans="1:3" x14ac:dyDescent="0.2">
      <c r="A56" s="8">
        <v>41974</v>
      </c>
      <c r="B56" s="11">
        <f>IF(VLOOKUP(A56,'DB Country PMI'!$A:$W,MATCH($A$1,'DB Country PMI'!$A$1:$W$1,),)=0,#N/A,VLOOKUP(A56,'DB Country PMI'!$A:$W,MATCH($A$1,'DB Country PMI'!$A$1:$W$1,),))</f>
        <v>54.3</v>
      </c>
      <c r="C56" s="14">
        <f>Table13468113456710121314[[#This Row],[PMI]]-B55</f>
        <v>1.5999999999999943</v>
      </c>
    </row>
    <row r="57" spans="1:3" x14ac:dyDescent="0.2">
      <c r="A57" s="8">
        <v>42005</v>
      </c>
      <c r="B57" s="11">
        <f>IF(VLOOKUP(A57,'DB Country PMI'!$A:$W,MATCH($A$1,'DB Country PMI'!$A$1:$W$1,),)=0,#N/A,VLOOKUP(A57,'DB Country PMI'!$A:$W,MATCH($A$1,'DB Country PMI'!$A$1:$W$1,),))</f>
        <v>56.7</v>
      </c>
      <c r="C57" s="14">
        <f>Table13468113456710121314[[#This Row],[PMI]]-B56</f>
        <v>2.4000000000000057</v>
      </c>
    </row>
    <row r="58" spans="1:3" x14ac:dyDescent="0.2">
      <c r="A58" s="8">
        <v>42036</v>
      </c>
      <c r="B58" s="11">
        <f>IF(VLOOKUP(A58,'DB Country PMI'!$A:$W,MATCH($A$1,'DB Country PMI'!$A$1:$W$1,),)=0,#N/A,VLOOKUP(A58,'DB Country PMI'!$A:$W,MATCH($A$1,'DB Country PMI'!$A$1:$W$1,),))</f>
        <v>56.2</v>
      </c>
      <c r="C58" s="14">
        <f>Table13468113456710121314[[#This Row],[PMI]]-B57</f>
        <v>-0.5</v>
      </c>
    </row>
    <row r="59" spans="1:3" x14ac:dyDescent="0.2">
      <c r="A59" s="8">
        <v>42064</v>
      </c>
      <c r="B59" s="11">
        <f>IF(VLOOKUP(A59,'DB Country PMI'!$A:$W,MATCH($A$1,'DB Country PMI'!$A$1:$W$1,),)=0,#N/A,VLOOKUP(A59,'DB Country PMI'!$A:$W,MATCH($A$1,'DB Country PMI'!$A$1:$W$1,),))</f>
        <v>57.3</v>
      </c>
      <c r="C59" s="14">
        <f>Table13468113456710121314[[#This Row],[PMI]]-B58</f>
        <v>1.0999999999999943</v>
      </c>
    </row>
    <row r="60" spans="1:3" x14ac:dyDescent="0.2">
      <c r="A60" s="8">
        <v>42095</v>
      </c>
      <c r="B60" s="11">
        <f>IF(VLOOKUP(A60,'DB Country PMI'!$A:$W,MATCH($A$1,'DB Country PMI'!$A$1:$W$1,),)=0,#N/A,VLOOKUP(A60,'DB Country PMI'!$A:$W,MATCH($A$1,'DB Country PMI'!$A$1:$W$1,),))</f>
        <v>60.3</v>
      </c>
      <c r="C60" s="14">
        <f>Table13468113456710121314[[#This Row],[PMI]]-B59</f>
        <v>3</v>
      </c>
    </row>
    <row r="61" spans="1:3" x14ac:dyDescent="0.2">
      <c r="A61" s="8">
        <v>42125</v>
      </c>
      <c r="B61" s="11">
        <f>IF(VLOOKUP(A61,'DB Country PMI'!$A:$W,MATCH($A$1,'DB Country PMI'!$A$1:$W$1,),)=0,#N/A,VLOOKUP(A61,'DB Country PMI'!$A:$W,MATCH($A$1,'DB Country PMI'!$A$1:$W$1,),))</f>
        <v>58.4</v>
      </c>
      <c r="C61" s="14">
        <f>Table13468113456710121314[[#This Row],[PMI]]-B60</f>
        <v>-1.8999999999999986</v>
      </c>
    </row>
    <row r="62" spans="1:3" x14ac:dyDescent="0.2">
      <c r="A62" s="8">
        <v>42156</v>
      </c>
      <c r="B62" s="11">
        <f>IF(VLOOKUP(A62,'DB Country PMI'!$A:$W,MATCH($A$1,'DB Country PMI'!$A$1:$W$1,),)=0,#N/A,VLOOKUP(A62,'DB Country PMI'!$A:$W,MATCH($A$1,'DB Country PMI'!$A$1:$W$1,),))</f>
        <v>56.1</v>
      </c>
      <c r="C62" s="14">
        <f>Table13468113456710121314[[#This Row],[PMI]]-B61</f>
        <v>-2.2999999999999972</v>
      </c>
    </row>
    <row r="63" spans="1:3" x14ac:dyDescent="0.2">
      <c r="A63" s="8">
        <v>42186</v>
      </c>
      <c r="B63" s="11">
        <f>IF(VLOOKUP(A63,'DB Country PMI'!$A:$W,MATCH($A$1,'DB Country PMI'!$A$1:$W$1,),)=0,#N/A,VLOOKUP(A63,'DB Country PMI'!$A:$W,MATCH($A$1,'DB Country PMI'!$A$1:$W$1,),))</f>
        <v>59.7</v>
      </c>
      <c r="C63" s="14">
        <f>Table13468113456710121314[[#This Row],[PMI]]-B62</f>
        <v>3.6000000000000014</v>
      </c>
    </row>
    <row r="64" spans="1:3" x14ac:dyDescent="0.2">
      <c r="A64" s="8">
        <v>42217</v>
      </c>
      <c r="B64" s="11">
        <f>IF(VLOOKUP(A64,'DB Country PMI'!$A:$W,MATCH($A$1,'DB Country PMI'!$A$1:$W$1,),)=0,#N/A,VLOOKUP(A64,'DB Country PMI'!$A:$W,MATCH($A$1,'DB Country PMI'!$A$1:$W$1,),))</f>
        <v>59.6</v>
      </c>
      <c r="C64" s="14">
        <f>Table13468113456710121314[[#This Row],[PMI]]-B63</f>
        <v>-0.10000000000000142</v>
      </c>
    </row>
    <row r="65" spans="1:3" x14ac:dyDescent="0.2">
      <c r="A65" s="8">
        <v>42248</v>
      </c>
      <c r="B65" s="11">
        <f>IF(VLOOKUP(A65,'DB Country PMI'!$A:$W,MATCH($A$1,'DB Country PMI'!$A$1:$W$1,),)=0,#N/A,VLOOKUP(A65,'DB Country PMI'!$A:$W,MATCH($A$1,'DB Country PMI'!$A$1:$W$1,),))</f>
        <v>55.1</v>
      </c>
      <c r="C65" s="14">
        <f>Table13468113456710121314[[#This Row],[PMI]]-B64</f>
        <v>-4.5</v>
      </c>
    </row>
    <row r="66" spans="1:3" x14ac:dyDescent="0.2">
      <c r="A66" s="8">
        <v>42278</v>
      </c>
      <c r="B66" s="11">
        <f>IF(VLOOKUP(A66,'DB Country PMI'!$A:$W,MATCH($A$1,'DB Country PMI'!$A$1:$W$1,),)=0,#N/A,VLOOKUP(A66,'DB Country PMI'!$A:$W,MATCH($A$1,'DB Country PMI'!$A$1:$W$1,),))</f>
        <v>55.9</v>
      </c>
      <c r="C66" s="14">
        <f>Table13468113456710121314[[#This Row],[PMI]]-B65</f>
        <v>0.79999999999999716</v>
      </c>
    </row>
    <row r="67" spans="1:3" x14ac:dyDescent="0.2">
      <c r="A67" s="8">
        <v>42309</v>
      </c>
      <c r="B67" s="11">
        <f>IF(VLOOKUP(A67,'DB Country PMI'!$A:$W,MATCH($A$1,'DB Country PMI'!$A$1:$W$1,),)=0,#N/A,VLOOKUP(A67,'DB Country PMI'!$A:$W,MATCH($A$1,'DB Country PMI'!$A$1:$W$1,),))</f>
        <v>56.7</v>
      </c>
      <c r="C67" s="14">
        <f>Table13468113456710121314[[#This Row],[PMI]]-B66</f>
        <v>0.80000000000000426</v>
      </c>
    </row>
    <row r="68" spans="1:3" x14ac:dyDescent="0.2">
      <c r="A68" s="8">
        <v>42339</v>
      </c>
      <c r="B68" s="11">
        <f>IF(VLOOKUP(A68,'DB Country PMI'!$A:$W,MATCH($A$1,'DB Country PMI'!$A$1:$W$1,),)=0,#N/A,VLOOKUP(A68,'DB Country PMI'!$A:$W,MATCH($A$1,'DB Country PMI'!$A$1:$W$1,),))</f>
        <v>55.1</v>
      </c>
      <c r="C68" s="14">
        <f>Table13468113456710121314[[#This Row],[PMI]]-B67</f>
        <v>-1.6000000000000014</v>
      </c>
    </row>
    <row r="69" spans="1:3" x14ac:dyDescent="0.2">
      <c r="A69" s="8">
        <v>42370</v>
      </c>
      <c r="B69" s="11">
        <f>IF(VLOOKUP(A69,'DB Country PMI'!$A:$W,MATCH($A$1,'DB Country PMI'!$A$1:$W$1,),)=0,#N/A,VLOOKUP(A69,'DB Country PMI'!$A:$W,MATCH($A$1,'DB Country PMI'!$A$1:$W$1,),))</f>
        <v>54.6</v>
      </c>
      <c r="C69" s="14">
        <f>Table13468113456710121314[[#This Row],[PMI]]-B68</f>
        <v>-0.5</v>
      </c>
    </row>
    <row r="70" spans="1:3" x14ac:dyDescent="0.2">
      <c r="A70" s="8">
        <v>42401</v>
      </c>
      <c r="B70" s="11">
        <f>IF(VLOOKUP(A70,'DB Country PMI'!$A:$W,MATCH($A$1,'DB Country PMI'!$A$1:$W$1,),)=0,#N/A,VLOOKUP(A70,'DB Country PMI'!$A:$W,MATCH($A$1,'DB Country PMI'!$A$1:$W$1,),))</f>
        <v>54.1</v>
      </c>
      <c r="C70" s="14">
        <f>Table13468113456710121314[[#This Row],[PMI]]-B69</f>
        <v>-0.5</v>
      </c>
    </row>
    <row r="71" spans="1:3" x14ac:dyDescent="0.2">
      <c r="A71" s="8">
        <v>42430</v>
      </c>
      <c r="B71" s="11">
        <f>IF(VLOOKUP(A71,'DB Country PMI'!$A:$W,MATCH($A$1,'DB Country PMI'!$A$1:$W$1,),)=0,#N/A,VLOOKUP(A71,'DB Country PMI'!$A:$W,MATCH($A$1,'DB Country PMI'!$A$1:$W$1,),))</f>
        <v>55.3</v>
      </c>
      <c r="C71" s="14">
        <f>Table13468113456710121314[[#This Row],[PMI]]-B70</f>
        <v>1.1999999999999957</v>
      </c>
    </row>
    <row r="72" spans="1:3" x14ac:dyDescent="0.2">
      <c r="A72" s="8">
        <v>42461</v>
      </c>
      <c r="B72" s="11">
        <f>IF(VLOOKUP(A72,'DB Country PMI'!$A:$W,MATCH($A$1,'DB Country PMI'!$A$1:$W$1,),)=0,#N/A,VLOOKUP(A72,'DB Country PMI'!$A:$W,MATCH($A$1,'DB Country PMI'!$A$1:$W$1,),))</f>
        <v>55.1</v>
      </c>
      <c r="C72" s="14">
        <f>Table13468113456710121314[[#This Row],[PMI]]-B71</f>
        <v>-0.19999999999999574</v>
      </c>
    </row>
    <row r="73" spans="1:3" x14ac:dyDescent="0.2">
      <c r="A73" s="8">
        <v>42491</v>
      </c>
      <c r="B73" s="11">
        <f>IF(VLOOKUP(A73,'DB Country PMI'!$A:$W,MATCH($A$1,'DB Country PMI'!$A$1:$W$1,),)=0,#N/A,VLOOKUP(A73,'DB Country PMI'!$A:$W,MATCH($A$1,'DB Country PMI'!$A$1:$W$1,),))</f>
        <v>55.4</v>
      </c>
      <c r="C73" s="14">
        <f>Table13468113456710121314[[#This Row],[PMI]]-B72</f>
        <v>0.29999999999999716</v>
      </c>
    </row>
    <row r="74" spans="1:3" x14ac:dyDescent="0.2">
      <c r="A74" s="8">
        <v>42522</v>
      </c>
      <c r="B74" s="11">
        <f>IF(VLOOKUP(A74,'DB Country PMI'!$A:$W,MATCH($A$1,'DB Country PMI'!$A$1:$W$1,),)=0,#N/A,VLOOKUP(A74,'DB Country PMI'!$A:$W,MATCH($A$1,'DB Country PMI'!$A$1:$W$1,),))</f>
        <v>56</v>
      </c>
      <c r="C74" s="14">
        <f>Table13468113456710121314[[#This Row],[PMI]]-B73</f>
        <v>0.60000000000000142</v>
      </c>
    </row>
    <row r="75" spans="1:3" x14ac:dyDescent="0.2">
      <c r="A75" s="8">
        <v>42552</v>
      </c>
      <c r="B75" s="11">
        <f>IF(VLOOKUP(A75,'DB Country PMI'!$A:$W,MATCH($A$1,'DB Country PMI'!$A$1:$W$1,),)=0,#N/A,VLOOKUP(A75,'DB Country PMI'!$A:$W,MATCH($A$1,'DB Country PMI'!$A$1:$W$1,),))</f>
        <v>54.1</v>
      </c>
      <c r="C75" s="14">
        <f>Table13468113456710121314[[#This Row],[PMI]]-B74</f>
        <v>-1.8999999999999986</v>
      </c>
    </row>
    <row r="76" spans="1:3" x14ac:dyDescent="0.2">
      <c r="A76" s="8">
        <v>42583</v>
      </c>
      <c r="B76" s="11">
        <f>IF(VLOOKUP(A76,'DB Country PMI'!$A:$W,MATCH($A$1,'DB Country PMI'!$A$1:$W$1,),)=0,#N/A,VLOOKUP(A76,'DB Country PMI'!$A:$W,MATCH($A$1,'DB Country PMI'!$A$1:$W$1,),))</f>
        <v>56</v>
      </c>
      <c r="C76" s="14">
        <f>Table13468113456710121314[[#This Row],[PMI]]-B75</f>
        <v>1.8999999999999986</v>
      </c>
    </row>
    <row r="77" spans="1:3" x14ac:dyDescent="0.2">
      <c r="A77" s="8">
        <v>42614</v>
      </c>
      <c r="B77" s="11">
        <f>IF(VLOOKUP(A77,'DB Country PMI'!$A:$W,MATCH($A$1,'DB Country PMI'!$A$1:$W$1,),)=0,#N/A,VLOOKUP(A77,'DB Country PMI'!$A:$W,MATCH($A$1,'DB Country PMI'!$A$1:$W$1,),))</f>
        <v>54.7</v>
      </c>
      <c r="C77" s="14">
        <f>Table13468113456710121314[[#This Row],[PMI]]-B76</f>
        <v>-1.2999999999999972</v>
      </c>
    </row>
    <row r="78" spans="1:3" x14ac:dyDescent="0.2">
      <c r="A78" s="8">
        <v>42644</v>
      </c>
      <c r="B78" s="11">
        <f>IF(VLOOKUP(A78,'DB Country PMI'!$A:$W,MATCH($A$1,'DB Country PMI'!$A$1:$W$1,),)=0,#N/A,VLOOKUP(A78,'DB Country PMI'!$A:$W,MATCH($A$1,'DB Country PMI'!$A$1:$W$1,),))</f>
        <v>54.6</v>
      </c>
      <c r="C78" s="14">
        <f>Table13468113456710121314[[#This Row],[PMI]]-B77</f>
        <v>-0.10000000000000142</v>
      </c>
    </row>
    <row r="79" spans="1:3" x14ac:dyDescent="0.2">
      <c r="A79" s="8">
        <v>42675</v>
      </c>
      <c r="B79" s="11">
        <f>IF(VLOOKUP(A79,'DB Country PMI'!$A:$W,MATCH($A$1,'DB Country PMI'!$A$1:$W$1,),)=0,#N/A,VLOOKUP(A79,'DB Country PMI'!$A:$W,MATCH($A$1,'DB Country PMI'!$A$1:$W$1,),))</f>
        <v>55.1</v>
      </c>
      <c r="C79" s="14">
        <f>Table13468113456710121314[[#This Row],[PMI]]-B78</f>
        <v>0.5</v>
      </c>
    </row>
    <row r="80" spans="1:3" x14ac:dyDescent="0.2">
      <c r="A80" s="8">
        <v>42705</v>
      </c>
      <c r="B80" s="11">
        <f>IF(VLOOKUP(A80,'DB Country PMI'!$A:$W,MATCH($A$1,'DB Country PMI'!$A$1:$W$1,),)=0,#N/A,VLOOKUP(A80,'DB Country PMI'!$A:$W,MATCH($A$1,'DB Country PMI'!$A$1:$W$1,),))</f>
        <v>55</v>
      </c>
      <c r="C80" s="14">
        <f>Table13468113456710121314[[#This Row],[PMI]]-B79</f>
        <v>-0.10000000000000142</v>
      </c>
    </row>
    <row r="81" spans="1:3" x14ac:dyDescent="0.2">
      <c r="A81" s="8">
        <v>42736</v>
      </c>
      <c r="B81" s="11">
        <f>IF(VLOOKUP(A81,'DB Country PMI'!$A:$W,MATCH($A$1,'DB Country PMI'!$A$1:$W$1,),)=0,#N/A,VLOOKUP(A81,'DB Country PMI'!$A:$W,MATCH($A$1,'DB Country PMI'!$A$1:$W$1,),))</f>
        <v>54.2</v>
      </c>
      <c r="C81" s="14">
        <f>Table13468113456710121314[[#This Row],[PMI]]-B80</f>
        <v>-0.79999999999999716</v>
      </c>
    </row>
    <row r="82" spans="1:3" x14ac:dyDescent="0.2">
      <c r="A82" s="8">
        <v>42767</v>
      </c>
      <c r="B82" s="11">
        <f>IF(VLOOKUP(A82,'DB Country PMI'!$A:$W,MATCH($A$1,'DB Country PMI'!$A$1:$W$1,),)=0,#N/A,VLOOKUP(A82,'DB Country PMI'!$A:$W,MATCH($A$1,'DB Country PMI'!$A$1:$W$1,),))</f>
        <v>57</v>
      </c>
      <c r="C82" s="14">
        <f>Table13468113456710121314[[#This Row],[PMI]]-B81</f>
        <v>2.7999999999999972</v>
      </c>
    </row>
    <row r="83" spans="1:3" x14ac:dyDescent="0.2">
      <c r="A83" s="8">
        <v>42795</v>
      </c>
      <c r="B83" s="11">
        <f>IF(VLOOKUP(A83,'DB Country PMI'!$A:$W,MATCH($A$1,'DB Country PMI'!$A$1:$W$1,),)=0,#N/A,VLOOKUP(A83,'DB Country PMI'!$A:$W,MATCH($A$1,'DB Country PMI'!$A$1:$W$1,),))</f>
        <v>57.4</v>
      </c>
      <c r="C83" s="14">
        <f>Table13468113456710121314[[#This Row],[PMI]]-B82</f>
        <v>0.39999999999999858</v>
      </c>
    </row>
    <row r="84" spans="1:3" x14ac:dyDescent="0.2">
      <c r="A84" s="8">
        <v>42826</v>
      </c>
      <c r="B84" s="11">
        <f>IF(VLOOKUP(A84,'DB Country PMI'!$A:$W,MATCH($A$1,'DB Country PMI'!$A$1:$W$1,),)=0,#N/A,VLOOKUP(A84,'DB Country PMI'!$A:$W,MATCH($A$1,'DB Country PMI'!$A$1:$W$1,),))</f>
        <v>57.8</v>
      </c>
      <c r="C84" s="14">
        <f>Table13468113456710121314[[#This Row],[PMI]]-B83</f>
        <v>0.39999999999999858</v>
      </c>
    </row>
    <row r="85" spans="1:3" x14ac:dyDescent="0.2">
      <c r="A85" s="8">
        <v>42856</v>
      </c>
      <c r="B85" s="11">
        <f>IF(VLOOKUP(A85,'DB Country PMI'!$A:$W,MATCH($A$1,'DB Country PMI'!$A$1:$W$1,),)=0,#N/A,VLOOKUP(A85,'DB Country PMI'!$A:$W,MATCH($A$1,'DB Country PMI'!$A$1:$W$1,),))</f>
        <v>57.3</v>
      </c>
      <c r="C85" s="14">
        <f>Table13468113456710121314[[#This Row],[PMI]]-B84</f>
        <v>-0.5</v>
      </c>
    </row>
    <row r="86" spans="1:3" x14ac:dyDescent="0.2">
      <c r="A86" s="8">
        <v>42887</v>
      </c>
      <c r="B86" s="11">
        <f>IF(VLOOKUP(A86,'DB Country PMI'!$A:$W,MATCH($A$1,'DB Country PMI'!$A$1:$W$1,),)=0,#N/A,VLOOKUP(A86,'DB Country PMI'!$A:$W,MATCH($A$1,'DB Country PMI'!$A$1:$W$1,),))</f>
        <v>58.3</v>
      </c>
      <c r="C86" s="14">
        <f>Table13468113456710121314[[#This Row],[PMI]]-B85</f>
        <v>1</v>
      </c>
    </row>
    <row r="87" spans="1:3" x14ac:dyDescent="0.2">
      <c r="A87" s="8">
        <v>42917</v>
      </c>
      <c r="B87" s="11">
        <f>IF(VLOOKUP(A87,'DB Country PMI'!$A:$W,MATCH($A$1,'DB Country PMI'!$A$1:$W$1,),)=0,#N/A,VLOOKUP(A87,'DB Country PMI'!$A:$W,MATCH($A$1,'DB Country PMI'!$A$1:$W$1,),))</f>
        <v>57.6</v>
      </c>
      <c r="C87" s="14">
        <f>Table13468113456710121314[[#This Row],[PMI]]-B86</f>
        <v>-0.69999999999999574</v>
      </c>
    </row>
    <row r="88" spans="1:3" x14ac:dyDescent="0.2">
      <c r="A88" s="8">
        <v>42948</v>
      </c>
      <c r="B88" s="11">
        <f>IF(VLOOKUP(A88,'DB Country PMI'!$A:$W,MATCH($A$1,'DB Country PMI'!$A$1:$W$1,),)=0,#N/A,VLOOKUP(A88,'DB Country PMI'!$A:$W,MATCH($A$1,'DB Country PMI'!$A$1:$W$1,),))</f>
        <v>56</v>
      </c>
      <c r="C88" s="14">
        <f>Table13468113456710121314[[#This Row],[PMI]]-B87</f>
        <v>-1.6000000000000014</v>
      </c>
    </row>
    <row r="89" spans="1:3" x14ac:dyDescent="0.2">
      <c r="A89" s="8">
        <v>42979</v>
      </c>
      <c r="B89" s="11">
        <f>IF(VLOOKUP(A89,'DB Country PMI'!$A:$W,MATCH($A$1,'DB Country PMI'!$A$1:$W$1,),)=0,#N/A,VLOOKUP(A89,'DB Country PMI'!$A:$W,MATCH($A$1,'DB Country PMI'!$A$1:$W$1,),))</f>
        <v>56.7</v>
      </c>
      <c r="C89" s="14">
        <f>Table13468113456710121314[[#This Row],[PMI]]-B88</f>
        <v>0.70000000000000284</v>
      </c>
    </row>
    <row r="90" spans="1:3" x14ac:dyDescent="0.2">
      <c r="A90" s="8">
        <v>43009</v>
      </c>
      <c r="B90" s="11">
        <f>IF(VLOOKUP(A90,'DB Country PMI'!$A:$W,MATCH($A$1,'DB Country PMI'!$A$1:$W$1,),)=0,#N/A,VLOOKUP(A90,'DB Country PMI'!$A:$W,MATCH($A$1,'DB Country PMI'!$A$1:$W$1,),))</f>
        <v>54.6</v>
      </c>
      <c r="C90" s="14">
        <f>Table13468113456710121314[[#This Row],[PMI]]-B89</f>
        <v>-2.1000000000000014</v>
      </c>
    </row>
    <row r="91" spans="1:3" x14ac:dyDescent="0.2">
      <c r="A91" s="8">
        <v>43040</v>
      </c>
      <c r="B91" s="11">
        <f>IF(VLOOKUP(A91,'DB Country PMI'!$A:$W,MATCH($A$1,'DB Country PMI'!$A$1:$W$1,),)=0,#N/A,VLOOKUP(A91,'DB Country PMI'!$A:$W,MATCH($A$1,'DB Country PMI'!$A$1:$W$1,),))</f>
        <v>54.4</v>
      </c>
      <c r="C91" s="14">
        <f>Table13468113456710121314[[#This Row],[PMI]]-B90</f>
        <v>-0.20000000000000284</v>
      </c>
    </row>
    <row r="92" spans="1:3" x14ac:dyDescent="0.2">
      <c r="A92" s="8">
        <v>43070</v>
      </c>
      <c r="B92" s="11">
        <f>IF(VLOOKUP(A92,'DB Country PMI'!$A:$W,MATCH($A$1,'DB Country PMI'!$A$1:$W$1,),)=0,#N/A,VLOOKUP(A92,'DB Country PMI'!$A:$W,MATCH($A$1,'DB Country PMI'!$A$1:$W$1,),))</f>
        <v>54.6</v>
      </c>
      <c r="C92" s="14">
        <f>Table13468113456710121314[[#This Row],[PMI]]-B91</f>
        <v>0.20000000000000284</v>
      </c>
    </row>
    <row r="93" spans="1:3" x14ac:dyDescent="0.2">
      <c r="A93" s="8">
        <v>43101</v>
      </c>
      <c r="B93" s="11">
        <f>IF(VLOOKUP(A93,'DB Country PMI'!$A:$W,MATCH($A$1,'DB Country PMI'!$A$1:$W$1,),)=0,#N/A,VLOOKUP(A93,'DB Country PMI'!$A:$W,MATCH($A$1,'DB Country PMI'!$A$1:$W$1,),))</f>
        <v>56.9</v>
      </c>
      <c r="C93" s="14">
        <f>Table13468113456710121314[[#This Row],[PMI]]-B92</f>
        <v>2.2999999999999972</v>
      </c>
    </row>
    <row r="94" spans="1:3" x14ac:dyDescent="0.2">
      <c r="A94" s="8">
        <v>43132</v>
      </c>
      <c r="B94" s="11">
        <f>IF(VLOOKUP(A94,'DB Country PMI'!$A:$W,MATCH($A$1,'DB Country PMI'!$A$1:$W$1,),)=0,#N/A,VLOOKUP(A94,'DB Country PMI'!$A:$W,MATCH($A$1,'DB Country PMI'!$A$1:$W$1,),))</f>
        <v>57.3</v>
      </c>
      <c r="C94" s="14">
        <f>Table13468113456710121314[[#This Row],[PMI]]-B93</f>
        <v>0.39999999999999858</v>
      </c>
    </row>
    <row r="95" spans="1:3" x14ac:dyDescent="0.2">
      <c r="A95" s="8">
        <v>43160</v>
      </c>
      <c r="B95" s="11">
        <f>IF(VLOOKUP(A95,'DB Country PMI'!$A:$W,MATCH($A$1,'DB Country PMI'!$A$1:$W$1,),)=0,#N/A,VLOOKUP(A95,'DB Country PMI'!$A:$W,MATCH($A$1,'DB Country PMI'!$A$1:$W$1,),))</f>
        <v>56.2</v>
      </c>
      <c r="C95" s="14">
        <f>Table13468113456710121314[[#This Row],[PMI]]-B94</f>
        <v>-1.0999999999999943</v>
      </c>
    </row>
    <row r="96" spans="1:3" x14ac:dyDescent="0.2">
      <c r="A96" s="8">
        <v>43191</v>
      </c>
      <c r="B96" s="11">
        <f>IF(VLOOKUP(A96,'DB Country PMI'!$A:$W,MATCH($A$1,'DB Country PMI'!$A$1:$W$1,),)=0,#N/A,VLOOKUP(A96,'DB Country PMI'!$A:$W,MATCH($A$1,'DB Country PMI'!$A$1:$W$1,),))</f>
        <v>55.6</v>
      </c>
      <c r="C96" s="14">
        <f>Table13468113456710121314[[#This Row],[PMI]]-B95</f>
        <v>-0.60000000000000142</v>
      </c>
    </row>
    <row r="97" spans="1:3" x14ac:dyDescent="0.2">
      <c r="A97" s="8">
        <v>43221</v>
      </c>
      <c r="B97" s="11">
        <f>IF(VLOOKUP(A97,'DB Country PMI'!$A:$W,MATCH($A$1,'DB Country PMI'!$A$1:$W$1,),)=0,#N/A,VLOOKUP(A97,'DB Country PMI'!$A:$W,MATCH($A$1,'DB Country PMI'!$A$1:$W$1,),))</f>
        <v>56.4</v>
      </c>
      <c r="C97" s="14">
        <f>Table13468113456710121314[[#This Row],[PMI]]-B96</f>
        <v>0.79999999999999716</v>
      </c>
    </row>
    <row r="98" spans="1:3" x14ac:dyDescent="0.2">
      <c r="A98" s="8">
        <v>43252</v>
      </c>
      <c r="B98" s="11">
        <f>IF(VLOOKUP(A98,'DB Country PMI'!$A:$W,MATCH($A$1,'DB Country PMI'!$A$1:$W$1,),)=0,#N/A,VLOOKUP(A98,'DB Country PMI'!$A:$W,MATCH($A$1,'DB Country PMI'!$A$1:$W$1,),))</f>
        <v>55.4</v>
      </c>
      <c r="C98" s="14">
        <f>Table13468113456710121314[[#This Row],[PMI]]-B97</f>
        <v>-1</v>
      </c>
    </row>
    <row r="99" spans="1:3" x14ac:dyDescent="0.2">
      <c r="A99" s="8">
        <v>43282</v>
      </c>
      <c r="B99" s="11">
        <f>IF(VLOOKUP(A99,'DB Country PMI'!$A:$W,MATCH($A$1,'DB Country PMI'!$A$1:$W$1,),)=0,#N/A,VLOOKUP(A99,'DB Country PMI'!$A:$W,MATCH($A$1,'DB Country PMI'!$A$1:$W$1,),))</f>
        <v>52.6</v>
      </c>
      <c r="C99" s="14">
        <f>Table13468113456710121314[[#This Row],[PMI]]-B98</f>
        <v>-2.7999999999999972</v>
      </c>
    </row>
    <row r="100" spans="1:3" x14ac:dyDescent="0.2">
      <c r="A100" s="8">
        <v>43313</v>
      </c>
      <c r="B100" s="11">
        <f>IF(VLOOKUP(A100,'DB Country PMI'!$A:$W,MATCH($A$1,'DB Country PMI'!$A$1:$W$1,),)=0,#N/A,VLOOKUP(A100,'DB Country PMI'!$A:$W,MATCH($A$1,'DB Country PMI'!$A$1:$W$1,),))</f>
        <v>52.7</v>
      </c>
      <c r="C100" s="14">
        <f>Table13468113456710121314[[#This Row],[PMI]]-B99</f>
        <v>0.10000000000000142</v>
      </c>
    </row>
    <row r="101" spans="1:3" x14ac:dyDescent="0.2">
      <c r="A101" s="8">
        <v>43344</v>
      </c>
      <c r="B101" s="11">
        <f>IF(VLOOKUP(A101,'DB Country PMI'!$A:$W,MATCH($A$1,'DB Country PMI'!$A$1:$W$1,),)=0,#N/A,VLOOKUP(A101,'DB Country PMI'!$A:$W,MATCH($A$1,'DB Country PMI'!$A$1:$W$1,),))</f>
        <v>52.5</v>
      </c>
      <c r="C101" s="14">
        <f>Table13468113456710121314[[#This Row],[PMI]]-B100</f>
        <v>-0.20000000000000284</v>
      </c>
    </row>
    <row r="102" spans="1:3" x14ac:dyDescent="0.2">
      <c r="A102" s="8">
        <v>43374</v>
      </c>
      <c r="B102" s="11">
        <f>IF(VLOOKUP(A102,'DB Country PMI'!$A:$W,MATCH($A$1,'DB Country PMI'!$A$1:$W$1,),)=0,#N/A,VLOOKUP(A102,'DB Country PMI'!$A:$W,MATCH($A$1,'DB Country PMI'!$A$1:$W$1,),))</f>
        <v>54</v>
      </c>
      <c r="C102" s="14">
        <f>Table13468113456710121314[[#This Row],[PMI]]-B101</f>
        <v>1.5</v>
      </c>
    </row>
    <row r="103" spans="1:3" x14ac:dyDescent="0.2">
      <c r="A103" s="8">
        <v>43405</v>
      </c>
      <c r="B103" s="11">
        <f>IF(VLOOKUP(A103,'DB Country PMI'!$A:$W,MATCH($A$1,'DB Country PMI'!$A$1:$W$1,),)=0,#N/A,VLOOKUP(A103,'DB Country PMI'!$A:$W,MATCH($A$1,'DB Country PMI'!$A$1:$W$1,),))</f>
        <v>54</v>
      </c>
      <c r="C103" s="14">
        <f>Table13468113456710121314[[#This Row],[PMI]]-B102</f>
        <v>0</v>
      </c>
    </row>
    <row r="104" spans="1:3" x14ac:dyDescent="0.2">
      <c r="A104" s="8">
        <v>43435</v>
      </c>
      <c r="B104" s="11">
        <f>IF(VLOOKUP(A104,'DB Country PMI'!$A:$W,MATCH($A$1,'DB Country PMI'!$A$1:$W$1,),)=0,#N/A,VLOOKUP(A104,'DB Country PMI'!$A:$W,MATCH($A$1,'DB Country PMI'!$A$1:$W$1,),))</f>
        <v>54</v>
      </c>
      <c r="C104" s="14">
        <f>Table13468113456710121314[[#This Row],[PMI]]-B103</f>
        <v>0</v>
      </c>
    </row>
    <row r="105" spans="1:3" x14ac:dyDescent="0.2">
      <c r="A105" s="8">
        <v>43466</v>
      </c>
      <c r="B105" s="11">
        <f>IF(VLOOKUP(A105,'DB Country PMI'!$A:$W,MATCH($A$1,'DB Country PMI'!$A$1:$W$1,),)=0,#N/A,VLOOKUP(A105,'DB Country PMI'!$A:$W,MATCH($A$1,'DB Country PMI'!$A$1:$W$1,),))</f>
        <v>54.7</v>
      </c>
      <c r="C105" s="14">
        <f>Table13468113456710121314[[#This Row],[PMI]]-B104</f>
        <v>0.70000000000000284</v>
      </c>
    </row>
    <row r="106" spans="1:3" x14ac:dyDescent="0.2">
      <c r="A106" s="8">
        <v>43497</v>
      </c>
      <c r="B106" s="11">
        <f>IF(VLOOKUP(A106,'DB Country PMI'!$A:$W,MATCH($A$1,'DB Country PMI'!$A$1:$W$1,),)=0,#N/A,VLOOKUP(A106,'DB Country PMI'!$A:$W,MATCH($A$1,'DB Country PMI'!$A$1:$W$1,),))</f>
        <v>54.5</v>
      </c>
      <c r="C106" s="14">
        <f>Table13468113456710121314[[#This Row],[PMI]]-B105</f>
        <v>-0.20000000000000284</v>
      </c>
    </row>
    <row r="107" spans="1:3" x14ac:dyDescent="0.2">
      <c r="A107" s="8">
        <v>43525</v>
      </c>
      <c r="B107" s="11">
        <f>IF(VLOOKUP(A107,'DB Country PMI'!$A:$W,MATCH($A$1,'DB Country PMI'!$A$1:$W$1,),)=0,#N/A,VLOOKUP(A107,'DB Country PMI'!$A:$W,MATCH($A$1,'DB Country PMI'!$A$1:$W$1,),))</f>
        <v>56.8</v>
      </c>
      <c r="C107" s="14">
        <f>Table13468113456710121314[[#This Row],[PMI]]-B106</f>
        <v>2.2999999999999972</v>
      </c>
    </row>
    <row r="108" spans="1:3" x14ac:dyDescent="0.2">
      <c r="A108" s="8">
        <v>43556</v>
      </c>
      <c r="B108" s="11">
        <f>IF(VLOOKUP(A108,'DB Country PMI'!$A:$W,MATCH($A$1,'DB Country PMI'!$A$1:$W$1,),)=0,#N/A,VLOOKUP(A108,'DB Country PMI'!$A:$W,MATCH($A$1,'DB Country PMI'!$A$1:$W$1,),))</f>
        <v>53.1</v>
      </c>
      <c r="C108" s="14">
        <f>Table13468113456710121314[[#This Row],[PMI]]-B107</f>
        <v>-3.6999999999999957</v>
      </c>
    </row>
    <row r="109" spans="1:3" x14ac:dyDescent="0.2">
      <c r="A109" s="8">
        <v>43586</v>
      </c>
      <c r="B109" s="11">
        <f>IF(VLOOKUP(A109,'DB Country PMI'!$A:$W,MATCH($A$1,'DB Country PMI'!$A$1:$W$1,),)=0,#N/A,VLOOKUP(A109,'DB Country PMI'!$A:$W,MATCH($A$1,'DB Country PMI'!$A$1:$W$1,),))</f>
        <v>52.8</v>
      </c>
      <c r="C109" s="14">
        <f>Table13468113456710121314[[#This Row],[PMI]]-B108</f>
        <v>-0.30000000000000426</v>
      </c>
    </row>
    <row r="110" spans="1:3" x14ac:dyDescent="0.2">
      <c r="A110" s="8">
        <v>43617</v>
      </c>
      <c r="B110" s="11">
        <f>IF(VLOOKUP(A110,'DB Country PMI'!$A:$W,MATCH($A$1,'DB Country PMI'!$A$1:$W$1,),)=0,#N/A,VLOOKUP(A110,'DB Country PMI'!$A:$W,MATCH($A$1,'DB Country PMI'!$A$1:$W$1,),))</f>
        <v>53.6</v>
      </c>
      <c r="C110" s="14">
        <f>Table13468113456710121314[[#This Row],[PMI]]-B109</f>
        <v>0.80000000000000426</v>
      </c>
    </row>
    <row r="111" spans="1:3" x14ac:dyDescent="0.2">
      <c r="A111" s="8">
        <v>43647</v>
      </c>
      <c r="B111" s="11">
        <f>IF(VLOOKUP(A111,'DB Country PMI'!$A:$W,MATCH($A$1,'DB Country PMI'!$A$1:$W$1,),)=0,#N/A,VLOOKUP(A111,'DB Country PMI'!$A:$W,MATCH($A$1,'DB Country PMI'!$A$1:$W$1,),))</f>
        <v>52.9</v>
      </c>
      <c r="C111" s="14">
        <f>Table13468113456710121314[[#This Row],[PMI]]-B110</f>
        <v>-0.70000000000000284</v>
      </c>
    </row>
    <row r="112" spans="1:3" x14ac:dyDescent="0.2">
      <c r="A112" s="8">
        <v>43678</v>
      </c>
      <c r="B112" s="11">
        <f>IF(VLOOKUP(A112,'DB Country PMI'!$A:$W,MATCH($A$1,'DB Country PMI'!$A$1:$W$1,),)=0,#N/A,VLOOKUP(A112,'DB Country PMI'!$A:$W,MATCH($A$1,'DB Country PMI'!$A$1:$W$1,),))</f>
        <v>54.3</v>
      </c>
      <c r="C112" s="14">
        <f>Table13468113456710121314[[#This Row],[PMI]]-B111</f>
        <v>1.3999999999999986</v>
      </c>
    </row>
    <row r="113" spans="1:3" x14ac:dyDescent="0.2">
      <c r="A113" s="8">
        <v>43709</v>
      </c>
      <c r="B113" s="11">
        <f>IF(VLOOKUP(A113,'DB Country PMI'!$A:$W,MATCH($A$1,'DB Country PMI'!$A$1:$W$1,),)=0,#N/A,VLOOKUP(A113,'DB Country PMI'!$A:$W,MATCH($A$1,'DB Country PMI'!$A$1:$W$1,),))</f>
        <v>53.3</v>
      </c>
      <c r="C113" s="14">
        <f>Table13468113456710121314[[#This Row],[PMI]]-B112</f>
        <v>-1</v>
      </c>
    </row>
    <row r="114" spans="1:3" x14ac:dyDescent="0.2">
      <c r="A114" s="8">
        <v>43739</v>
      </c>
      <c r="B114" s="11">
        <f>IF(VLOOKUP(A114,'DB Country PMI'!$A:$W,MATCH($A$1,'DB Country PMI'!$A$1:$W$1,),)=0,#N/A,VLOOKUP(A114,'DB Country PMI'!$A:$W,MATCH($A$1,'DB Country PMI'!$A$1:$W$1,),))</f>
        <v>52.7</v>
      </c>
      <c r="C114" s="14">
        <f>Table13468113456710121314[[#This Row],[PMI]]-B113</f>
        <v>-0.59999999999999432</v>
      </c>
    </row>
    <row r="115" spans="1:3" x14ac:dyDescent="0.2">
      <c r="A115" s="8">
        <v>43770</v>
      </c>
      <c r="B115" s="11">
        <f>IF(VLOOKUP(A115,'DB Country PMI'!$A:$W,MATCH($A$1,'DB Country PMI'!$A$1:$W$1,),)=0,#N/A,VLOOKUP(A115,'DB Country PMI'!$A:$W,MATCH($A$1,'DB Country PMI'!$A$1:$W$1,),))</f>
        <v>53.2</v>
      </c>
      <c r="C115" s="14">
        <f>Table13468113456710121314[[#This Row],[PMI]]-B114</f>
        <v>0.5</v>
      </c>
    </row>
    <row r="116" spans="1:3" x14ac:dyDescent="0.2">
      <c r="A116" s="8">
        <v>43800</v>
      </c>
      <c r="B116" s="11">
        <f>IF(VLOOKUP(A116,'DB Country PMI'!$A:$W,MATCH($A$1,'DB Country PMI'!$A$1:$W$1,),)=0,#N/A,VLOOKUP(A116,'DB Country PMI'!$A:$W,MATCH($A$1,'DB Country PMI'!$A$1:$W$1,),))</f>
        <v>54.9</v>
      </c>
      <c r="C116" s="14">
        <f>Table13468113456710121314[[#This Row],[PMI]]-B115</f>
        <v>1.6999999999999957</v>
      </c>
    </row>
    <row r="117" spans="1:3" x14ac:dyDescent="0.2">
      <c r="A117" s="8">
        <v>43831</v>
      </c>
      <c r="B117" s="11">
        <f>IF(VLOOKUP(A117,'DB Country PMI'!$A:$W,MATCH($A$1,'DB Country PMI'!$A$1:$W$1,),)=0,#N/A,VLOOKUP(A117,'DB Country PMI'!$A:$W,MATCH($A$1,'DB Country PMI'!$A$1:$W$1,),))</f>
        <v>52.3</v>
      </c>
      <c r="C117" s="14">
        <f>Table13468113456710121314[[#This Row],[PMI]]-B116</f>
        <v>-2.6000000000000014</v>
      </c>
    </row>
    <row r="118" spans="1:3" x14ac:dyDescent="0.2">
      <c r="A118" s="8">
        <v>43862</v>
      </c>
      <c r="B118" s="11">
        <f>IF(VLOOKUP(A118,'DB Country PMI'!$A:$W,MATCH($A$1,'DB Country PMI'!$A$1:$W$1,),)=0,#N/A,VLOOKUP(A118,'DB Country PMI'!$A:$W,MATCH($A$1,'DB Country PMI'!$A$1:$W$1,),))</f>
        <v>52.1</v>
      </c>
      <c r="C118" s="14">
        <f>Table13468113456710121314[[#This Row],[PMI]]-B117</f>
        <v>-0.19999999999999574</v>
      </c>
    </row>
    <row r="119" spans="1:3" x14ac:dyDescent="0.2">
      <c r="A119" s="8">
        <v>43891</v>
      </c>
      <c r="B119" s="11">
        <f>IF(VLOOKUP(A119,'DB Country PMI'!$A:$W,MATCH($A$1,'DB Country PMI'!$A$1:$W$1,),)=0,#N/A,VLOOKUP(A119,'DB Country PMI'!$A:$W,MATCH($A$1,'DB Country PMI'!$A$1:$W$1,),))</f>
        <v>23</v>
      </c>
      <c r="C119" s="14">
        <f>Table13468113456710121314[[#This Row],[PMI]]-B118</f>
        <v>-29.1</v>
      </c>
    </row>
    <row r="120" spans="1:3" x14ac:dyDescent="0.2">
      <c r="A120" s="8">
        <v>43922</v>
      </c>
      <c r="B120" s="11">
        <f>IF(VLOOKUP(A120,'DB Country PMI'!$A:$W,MATCH($A$1,'DB Country PMI'!$A$1:$W$1,),)=0,#N/A,VLOOKUP(A120,'DB Country PMI'!$A:$W,MATCH($A$1,'DB Country PMI'!$A$1:$W$1,),))</f>
        <v>7.1</v>
      </c>
      <c r="C120" s="14">
        <f>Table13468113456710121314[[#This Row],[PMI]]-B119</f>
        <v>-15.9</v>
      </c>
    </row>
    <row r="121" spans="1:3" x14ac:dyDescent="0.2">
      <c r="A121" s="8">
        <v>43952</v>
      </c>
      <c r="B121" s="11">
        <f>IF(VLOOKUP(A121,'DB Country PMI'!$A:$W,MATCH($A$1,'DB Country PMI'!$A$1:$W$1,),)=0,#N/A,VLOOKUP(A121,'DB Country PMI'!$A:$W,MATCH($A$1,'DB Country PMI'!$A$1:$W$1,),))</f>
        <v>27.9</v>
      </c>
      <c r="C121" s="14">
        <f>Table13468113456710121314[[#This Row],[PMI]]-B120</f>
        <v>20.799999999999997</v>
      </c>
    </row>
    <row r="122" spans="1:3" x14ac:dyDescent="0.2">
      <c r="A122" s="8">
        <v>43983</v>
      </c>
      <c r="B122" s="11">
        <f>IF(VLOOKUP(A122,'DB Country PMI'!$A:$W,MATCH($A$1,'DB Country PMI'!$A$1:$W$1,),)=0,#N/A,VLOOKUP(A122,'DB Country PMI'!$A:$W,MATCH($A$1,'DB Country PMI'!$A$1:$W$1,),))</f>
        <v>50.2</v>
      </c>
      <c r="C122" s="14">
        <f>Table13468113456710121314[[#This Row],[PMI]]-B121</f>
        <v>22.300000000000004</v>
      </c>
    </row>
    <row r="123" spans="1:3" x14ac:dyDescent="0.2">
      <c r="A123" s="8">
        <v>44013</v>
      </c>
      <c r="B123" s="11">
        <f>IF(VLOOKUP(A123,'DB Country PMI'!$A:$W,MATCH($A$1,'DB Country PMI'!$A$1:$W$1,),)=0,#N/A,VLOOKUP(A123,'DB Country PMI'!$A:$W,MATCH($A$1,'DB Country PMI'!$A$1:$W$1,),))</f>
        <v>51.9</v>
      </c>
      <c r="C123" s="14">
        <f>Table13468113456710121314[[#This Row],[PMI]]-B122</f>
        <v>1.6999999999999957</v>
      </c>
    </row>
    <row r="124" spans="1:3" x14ac:dyDescent="0.2">
      <c r="A124" s="8">
        <v>44044</v>
      </c>
      <c r="B124" s="11">
        <f>IF(VLOOKUP(A124,'DB Country PMI'!$A:$W,MATCH($A$1,'DB Country PMI'!$A$1:$W$1,),)=0,#N/A,VLOOKUP(A124,'DB Country PMI'!$A:$W,MATCH($A$1,'DB Country PMI'!$A$1:$W$1,),))</f>
        <v>47.7</v>
      </c>
      <c r="C124" s="14">
        <f>Table13468113456710121314[[#This Row],[PMI]]-B123</f>
        <v>-4.1999999999999957</v>
      </c>
    </row>
    <row r="125" spans="1:3" x14ac:dyDescent="0.2">
      <c r="A125" s="8">
        <v>44075</v>
      </c>
      <c r="B125" s="11">
        <f>IF(VLOOKUP(A125,'DB Country PMI'!$A:$W,MATCH($A$1,'DB Country PMI'!$A$1:$W$1,),)=0,#N/A,VLOOKUP(A125,'DB Country PMI'!$A:$W,MATCH($A$1,'DB Country PMI'!$A$1:$W$1,),))</f>
        <v>42.4</v>
      </c>
      <c r="C125" s="14">
        <f>Table13468113456710121314[[#This Row],[PMI]]-B124</f>
        <v>-5.3000000000000043</v>
      </c>
    </row>
    <row r="126" spans="1:3" x14ac:dyDescent="0.2">
      <c r="A126" s="8">
        <v>44105</v>
      </c>
      <c r="B126" s="11">
        <f>IF(VLOOKUP(A126,'DB Country PMI'!$A:$W,MATCH($A$1,'DB Country PMI'!$A$1:$W$1,),)=0,#N/A,VLOOKUP(A126,'DB Country PMI'!$A:$W,MATCH($A$1,'DB Country PMI'!$A$1:$W$1,),))</f>
        <v>41.4</v>
      </c>
      <c r="C126" s="14">
        <f>Table13468113456710121314[[#This Row],[PMI]]-B125</f>
        <v>-1</v>
      </c>
    </row>
    <row r="127" spans="1:3" x14ac:dyDescent="0.2">
      <c r="A127" s="8">
        <v>44136</v>
      </c>
      <c r="B127" s="11">
        <f>IF(VLOOKUP(A127,'DB Country PMI'!$A:$W,MATCH($A$1,'DB Country PMI'!$A$1:$W$1,),)=0,#N/A,VLOOKUP(A127,'DB Country PMI'!$A:$W,MATCH($A$1,'DB Country PMI'!$A$1:$W$1,),))</f>
        <v>39.5</v>
      </c>
      <c r="C127" s="14">
        <f>Table13468113456710121314[[#This Row],[PMI]]-B126</f>
        <v>-1.8999999999999986</v>
      </c>
    </row>
    <row r="128" spans="1:3" x14ac:dyDescent="0.2">
      <c r="A128" s="8">
        <v>44166</v>
      </c>
      <c r="B128" s="11">
        <f>IF(VLOOKUP(A128,'DB Country PMI'!$A:$W,MATCH($A$1,'DB Country PMI'!$A$1:$W$1,),)=0,#N/A,VLOOKUP(A128,'DB Country PMI'!$A:$W,MATCH($A$1,'DB Country PMI'!$A$1:$W$1,),))</f>
        <v>48</v>
      </c>
      <c r="C128" s="14">
        <f>Table13468113456710121314[[#This Row],[PMI]]-B127</f>
        <v>8.5</v>
      </c>
    </row>
    <row r="129" spans="1:3" x14ac:dyDescent="0.2">
      <c r="A129" s="8">
        <v>44197</v>
      </c>
      <c r="B129" s="11">
        <f>IF(VLOOKUP(A129,'DB Country PMI'!$A:$W,MATCH($A$1,'DB Country PMI'!$A$1:$W$1,),)=0,#N/A,VLOOKUP(A129,'DB Country PMI'!$A:$W,MATCH($A$1,'DB Country PMI'!$A$1:$W$1,),))</f>
        <v>41.7</v>
      </c>
      <c r="C129" s="14">
        <f>Table13468113456710121314[[#This Row],[PMI]]-B128</f>
        <v>-6.2999999999999972</v>
      </c>
    </row>
    <row r="130" spans="1:3" x14ac:dyDescent="0.2">
      <c r="A130" s="8">
        <v>44228</v>
      </c>
      <c r="B130" s="11">
        <f>IF(VLOOKUP(A130,'DB Country PMI'!$A:$W,MATCH($A$1,'DB Country PMI'!$A$1:$W$1,),)=0,#N/A,VLOOKUP(A130,'DB Country PMI'!$A:$W,MATCH($A$1,'DB Country PMI'!$A$1:$W$1,),))</f>
        <v>43.1</v>
      </c>
      <c r="C130" s="14">
        <f>Table13468113456710121314[[#This Row],[PMI]]-B129</f>
        <v>1.3999999999999986</v>
      </c>
    </row>
    <row r="131" spans="1:3" x14ac:dyDescent="0.2">
      <c r="A131" s="8">
        <v>44256</v>
      </c>
      <c r="B131" s="11">
        <f>IF(VLOOKUP(A131,'DB Country PMI'!$A:$W,MATCH($A$1,'DB Country PMI'!$A$1:$W$1,),)=0,#N/A,VLOOKUP(A131,'DB Country PMI'!$A:$W,MATCH($A$1,'DB Country PMI'!$A$1:$W$1,),))</f>
        <v>48.1</v>
      </c>
      <c r="C131" s="14">
        <f>Table13468113456710121314[[#This Row],[PMI]]-B130</f>
        <v>5</v>
      </c>
    </row>
    <row r="132" spans="1:3" x14ac:dyDescent="0.2">
      <c r="A132" s="8">
        <v>44287</v>
      </c>
      <c r="B132" s="11">
        <f>IF(VLOOKUP(A132,'DB Country PMI'!$A:$W,MATCH($A$1,'DB Country PMI'!$A$1:$W$1,),)=0,#N/A,VLOOKUP(A132,'DB Country PMI'!$A:$W,MATCH($A$1,'DB Country PMI'!$A$1:$W$1,),))</f>
        <v>54.6</v>
      </c>
      <c r="C132" s="14">
        <f>Table13468113456710121314[[#This Row],[PMI]]-B131</f>
        <v>6.5</v>
      </c>
    </row>
    <row r="133" spans="1:3" x14ac:dyDescent="0.2">
      <c r="A133" s="8">
        <v>44317</v>
      </c>
      <c r="B133" s="11">
        <f>IF(VLOOKUP(A133,'DB Country PMI'!$A:$W,MATCH($A$1,'DB Country PMI'!$A$1:$W$1,),)=0,#N/A,VLOOKUP(A133,'DB Country PMI'!$A:$W,MATCH($A$1,'DB Country PMI'!$A$1:$W$1,),))</f>
        <v>59.4</v>
      </c>
      <c r="C133" s="14">
        <f>Table13468113456710121314[[#This Row],[PMI]]-B132</f>
        <v>4.7999999999999972</v>
      </c>
    </row>
    <row r="134" spans="1:3" x14ac:dyDescent="0.2">
      <c r="A134" s="8">
        <v>44348</v>
      </c>
      <c r="B134" s="11">
        <f>IF(VLOOKUP(A134,'DB Country PMI'!$A:$W,MATCH($A$1,'DB Country PMI'!$A$1:$W$1,),)=0,#N/A,VLOOKUP(A134,'DB Country PMI'!$A:$W,MATCH($A$1,'DB Country PMI'!$A$1:$W$1,),))</f>
        <v>62.5</v>
      </c>
      <c r="C134" s="14">
        <f>Table13468113456710121314[[#This Row],[PMI]]-B133</f>
        <v>3.1000000000000014</v>
      </c>
    </row>
    <row r="135" spans="1:3" x14ac:dyDescent="0.2">
      <c r="A135" s="8">
        <v>44378</v>
      </c>
      <c r="B135" s="11">
        <f>IF(VLOOKUP(A135,'DB Country PMI'!$A:$W,MATCH($A$1,'DB Country PMI'!$A$1:$W$1,),)=0,#N/A,VLOOKUP(A135,'DB Country PMI'!$A:$W,MATCH($A$1,'DB Country PMI'!$A$1:$W$1,),))</f>
        <v>61.9</v>
      </c>
      <c r="C135" s="14">
        <f>Table13468113456710121314[[#This Row],[PMI]]-B134</f>
        <v>-0.60000000000000142</v>
      </c>
    </row>
    <row r="136" spans="1:3" x14ac:dyDescent="0.2">
      <c r="A136" s="8">
        <v>44409</v>
      </c>
      <c r="B136" s="11">
        <f>IF(VLOOKUP(A136,'DB Country PMI'!$A:$W,MATCH($A$1,'DB Country PMI'!$A$1:$W$1,),)=0,#N/A,VLOOKUP(A136,'DB Country PMI'!$A:$W,MATCH($A$1,'DB Country PMI'!$A$1:$W$1,),))</f>
        <v>60.1</v>
      </c>
      <c r="C136" s="14">
        <f>Table13468113456710121314[[#This Row],[PMI]]-B135</f>
        <v>-1.7999999999999972</v>
      </c>
    </row>
    <row r="137" spans="1:3" x14ac:dyDescent="0.2">
      <c r="A137" s="8">
        <v>44440</v>
      </c>
      <c r="B137" s="11">
        <f>IF(VLOOKUP(A137,'DB Country PMI'!$A:$W,MATCH($A$1,'DB Country PMI'!$A$1:$W$1,),)=0,#N/A,VLOOKUP(A137,'DB Country PMI'!$A:$W,MATCH($A$1,'DB Country PMI'!$A$1:$W$1,),))</f>
        <v>56.9</v>
      </c>
      <c r="C137" s="14">
        <f>Table13468113456710121314[[#This Row],[PMI]]-B136</f>
        <v>-3.2000000000000028</v>
      </c>
    </row>
    <row r="138" spans="1:3" x14ac:dyDescent="0.2">
      <c r="A138" s="8">
        <v>44470</v>
      </c>
      <c r="B138" s="11">
        <f>IF(VLOOKUP(A138,'DB Country PMI'!$A:$W,MATCH($A$1,'DB Country PMI'!$A$1:$W$1,),)=0,#N/A,VLOOKUP(A138,'DB Country PMI'!$A:$W,MATCH($A$1,'DB Country PMI'!$A$1:$W$1,),))</f>
        <v>56.6</v>
      </c>
      <c r="C138" s="14">
        <f>Table13468113456710121314[[#This Row],[PMI]]-B137</f>
        <v>-0.29999999999999716</v>
      </c>
    </row>
    <row r="139" spans="1:3" x14ac:dyDescent="0.2">
      <c r="A139" s="8">
        <v>44501</v>
      </c>
      <c r="B139" s="11">
        <f>IF(VLOOKUP(A139,'DB Country PMI'!$A:$W,MATCH($A$1,'DB Country PMI'!$A$1:$W$1,),)=0,#N/A,VLOOKUP(A139,'DB Country PMI'!$A:$W,MATCH($A$1,'DB Country PMI'!$A$1:$W$1,),))</f>
        <v>59.8</v>
      </c>
      <c r="C139" s="14">
        <f>Table13468113456710121314[[#This Row],[PMI]]-B138</f>
        <v>3.1999999999999957</v>
      </c>
    </row>
    <row r="140" spans="1:3" x14ac:dyDescent="0.2">
      <c r="A140" s="8">
        <v>44531</v>
      </c>
      <c r="B140" s="11">
        <f>IF(VLOOKUP(A140,'DB Country PMI'!$A:$W,MATCH($A$1,'DB Country PMI'!$A$1:$W$1,),)=0,#N/A,VLOOKUP(A140,'DB Country PMI'!$A:$W,MATCH($A$1,'DB Country PMI'!$A$1:$W$1,),))</f>
        <v>55.8</v>
      </c>
      <c r="C140" s="14">
        <f>Table13468113456710121314[[#This Row],[PMI]]-B139</f>
        <v>-4</v>
      </c>
    </row>
    <row r="141" spans="1:3" x14ac:dyDescent="0.2">
      <c r="A141" s="8">
        <v>44562</v>
      </c>
      <c r="B141" s="11">
        <f>IF(VLOOKUP(A141,'DB Country PMI'!$A:$W,MATCH($A$1,'DB Country PMI'!$A$1:$W$1,),)=0,#N/A,VLOOKUP(A141,'DB Country PMI'!$A:$W,MATCH($A$1,'DB Country PMI'!$A$1:$W$1,),))</f>
        <v>46.6</v>
      </c>
      <c r="C141" s="14">
        <f>Table13468113456710121314[[#This Row],[PMI]]-B140</f>
        <v>-9.1999999999999957</v>
      </c>
    </row>
    <row r="142" spans="1:3" x14ac:dyDescent="0.2">
      <c r="A142" s="8">
        <v>44593</v>
      </c>
      <c r="B142" s="11">
        <f>IF(VLOOKUP(A142,'DB Country PMI'!$A:$W,MATCH($A$1,'DB Country PMI'!$A$1:$W$1,),)=0,#N/A,VLOOKUP(A142,'DB Country PMI'!$A:$W,MATCH($A$1,'DB Country PMI'!$A$1:$W$1,),))</f>
        <v>56.6</v>
      </c>
      <c r="C142" s="14">
        <f>Table13468113456710121314[[#This Row],[PMI]]-B141</f>
        <v>10</v>
      </c>
    </row>
    <row r="143" spans="1:3" x14ac:dyDescent="0.2">
      <c r="A143" s="8">
        <v>44621</v>
      </c>
      <c r="B143" s="11">
        <f>IF(VLOOKUP(A143,'DB Country PMI'!$A:$W,MATCH($A$1,'DB Country PMI'!$A$1:$W$1,),)=0,#N/A,VLOOKUP(A143,'DB Country PMI'!$A:$W,MATCH($A$1,'DB Country PMI'!$A$1:$W$1,),))</f>
        <v>53.4</v>
      </c>
      <c r="C143" s="14">
        <f>Table13468113456710121314[[#This Row],[PMI]]-B142</f>
        <v>-3.2000000000000028</v>
      </c>
    </row>
    <row r="144" spans="1:3" x14ac:dyDescent="0.2">
      <c r="A144" s="8">
        <v>44652</v>
      </c>
      <c r="B144" s="11">
        <f>IF(VLOOKUP(A144,'DB Country PMI'!$A:$W,MATCH($A$1,'DB Country PMI'!$A$1:$W$1,),)=0,#N/A,VLOOKUP(A144,'DB Country PMI'!$A:$W,MATCH($A$1,'DB Country PMI'!$A$1:$W$1,),))</f>
        <v>57.1</v>
      </c>
      <c r="C144" s="14">
        <f>Table13468113456710121314[[#This Row],[PMI]]-B143</f>
        <v>3.7000000000000028</v>
      </c>
    </row>
    <row r="145" spans="1:3" x14ac:dyDescent="0.2">
      <c r="A145" s="8">
        <v>44682</v>
      </c>
      <c r="B145" s="11">
        <f>IF(VLOOKUP(A145,'DB Country PMI'!$A:$W,MATCH($A$1,'DB Country PMI'!$A$1:$W$1,),)=0,#N/A,VLOOKUP(A145,'DB Country PMI'!$A:$W,MATCH($A$1,'DB Country PMI'!$A$1:$W$1,),))</f>
        <v>56.5</v>
      </c>
      <c r="C145" s="14">
        <f>Table13468113456710121314[[#This Row],[PMI]]-B144</f>
        <v>-0.60000000000000142</v>
      </c>
    </row>
    <row r="146" spans="1:3" x14ac:dyDescent="0.2">
      <c r="A146" s="8">
        <v>44713</v>
      </c>
      <c r="B146" s="11">
        <f>IF(VLOOKUP(A146,'DB Country PMI'!$A:$W,MATCH($A$1,'DB Country PMI'!$A$1:$W$1,),)=0,#N/A,VLOOKUP(A146,'DB Country PMI'!$A:$W,MATCH($A$1,'DB Country PMI'!$A$1:$W$1,),))</f>
        <v>54</v>
      </c>
      <c r="C146" s="14">
        <f>Table13468113456710121314[[#This Row],[PMI]]-B145</f>
        <v>-2.5</v>
      </c>
    </row>
    <row r="147" spans="1:3" x14ac:dyDescent="0.2">
      <c r="A147" s="8">
        <v>44743</v>
      </c>
      <c r="B147" s="11">
        <f>IF(VLOOKUP(A147,'DB Country PMI'!$A:$W,MATCH($A$1,'DB Country PMI'!$A$1:$W$1,),)=0,#N/A,VLOOKUP(A147,'DB Country PMI'!$A:$W,MATCH($A$1,'DB Country PMI'!$A$1:$W$1,),))</f>
        <v>53.8</v>
      </c>
      <c r="C147" s="14">
        <f>Table13468113456710121314[[#This Row],[PMI]]-B146</f>
        <v>-0.20000000000000284</v>
      </c>
    </row>
    <row r="148" spans="1:3" x14ac:dyDescent="0.2">
      <c r="A148" s="8">
        <v>44774</v>
      </c>
      <c r="B148" s="11">
        <f>IF(VLOOKUP(A148,'DB Country PMI'!$A:$W,MATCH($A$1,'DB Country PMI'!$A$1:$W$1,),)=0,#N/A,VLOOKUP(A148,'DB Country PMI'!$A:$W,MATCH($A$1,'DB Country PMI'!$A$1:$W$1,),))</f>
        <v>50.6</v>
      </c>
      <c r="C148" s="14">
        <f>Table13468113456710121314[[#This Row],[PMI]]-B147</f>
        <v>-3.1999999999999957</v>
      </c>
    </row>
    <row r="149" spans="1:3" x14ac:dyDescent="0.2">
      <c r="A149" s="8">
        <v>44805</v>
      </c>
      <c r="B149" s="11">
        <f>IF(VLOOKUP(A149,'DB Country PMI'!$A:$W,MATCH($A$1,'DB Country PMI'!$A$1:$W$1,),)=0,#N/A,VLOOKUP(A149,'DB Country PMI'!$A:$W,MATCH($A$1,'DB Country PMI'!$A$1:$W$1,),))</f>
        <v>48.5</v>
      </c>
      <c r="C149" s="14">
        <f>Table13468113456710121314[[#This Row],[PMI]]-B148</f>
        <v>-2.1000000000000014</v>
      </c>
    </row>
    <row r="150" spans="1:3" x14ac:dyDescent="0.2">
      <c r="A150" s="8">
        <v>44835</v>
      </c>
      <c r="B150" s="11">
        <f>IF(VLOOKUP(A150,'DB Country PMI'!$A:$W,MATCH($A$1,'DB Country PMI'!$A$1:$W$1,),)=0,#N/A,VLOOKUP(A150,'DB Country PMI'!$A:$W,MATCH($A$1,'DB Country PMI'!$A$1:$W$1,),))</f>
        <v>49.7</v>
      </c>
      <c r="C150" s="14">
        <f>Table13468113456710121314[[#This Row],[PMI]]-B149</f>
        <v>1.2000000000000028</v>
      </c>
    </row>
  </sheetData>
  <conditionalFormatting sqref="C7:C150">
    <cfRule type="colorScale" priority="1">
      <colorScale>
        <cfvo type="min"/>
        <cfvo type="percentile" val="50"/>
        <cfvo type="max"/>
        <color rgb="FFF8696B"/>
        <color rgb="FFFCFCFF"/>
        <color rgb="FF5A8AC6"/>
      </colorScale>
    </cfRule>
  </conditionalFormatting>
  <conditionalFormatting sqref="B6:B150">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18</vt:i4>
      </vt:variant>
    </vt:vector>
  </HeadingPairs>
  <TitlesOfParts>
    <vt:vector size="18" baseType="lpstr">
      <vt:lpstr>Note</vt:lpstr>
      <vt:lpstr>DB Country PMI</vt:lpstr>
      <vt:lpstr>Summary</vt:lpstr>
      <vt:lpstr>Global</vt:lpstr>
      <vt:lpstr>US</vt:lpstr>
      <vt:lpstr>EuroArea</vt:lpstr>
      <vt:lpstr>China</vt:lpstr>
      <vt:lpstr>France</vt:lpstr>
      <vt:lpstr>Germany</vt:lpstr>
      <vt:lpstr>UK</vt:lpstr>
      <vt:lpstr>India</vt:lpstr>
      <vt:lpstr>Australia</vt:lpstr>
      <vt:lpstr>Ireland</vt:lpstr>
      <vt:lpstr>Italy</vt:lpstr>
      <vt:lpstr>Japan</vt:lpstr>
      <vt:lpstr>Brazil</vt:lpstr>
      <vt:lpstr>Russia</vt:lpstr>
      <vt:lpstr>Spain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g.dupont</dc:creator>
  <cp:lastModifiedBy>Mark Mukherjee</cp:lastModifiedBy>
  <dcterms:created xsi:type="dcterms:W3CDTF">2019-09-18T11:19:06Z</dcterms:created>
  <dcterms:modified xsi:type="dcterms:W3CDTF">2022-11-12T03:55:32Z</dcterms:modified>
</cp:coreProperties>
</file>