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FD6CAD0-EB65-CA4C-BA27-BC879DAC6079}" xr6:coauthVersionLast="47" xr6:coauthVersionMax="47" xr10:uidLastSave="{00000000-0000-0000-0000-000000000000}"/>
  <bookViews>
    <workbookView xWindow="-59060" yWindow="1020" windowWidth="57100" windowHeight="26640"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10" i="3" l="1"/>
  <c r="P10" i="3"/>
  <c r="Q10" i="3"/>
  <c r="D9" i="3"/>
  <c r="E9" i="3"/>
  <c r="F9" i="3"/>
  <c r="G9" i="3"/>
  <c r="H9" i="3"/>
  <c r="I9" i="3"/>
  <c r="J9" i="3"/>
  <c r="K9" i="3"/>
  <c r="L9" i="3"/>
  <c r="M9" i="3"/>
  <c r="N9" i="3"/>
  <c r="O9" i="3"/>
  <c r="P9" i="3"/>
  <c r="Q9" i="3"/>
  <c r="C9" i="3"/>
  <c r="D8" i="3"/>
  <c r="D10" i="3" s="1"/>
  <c r="E8" i="3"/>
  <c r="E10" i="3" s="1"/>
  <c r="F8" i="3"/>
  <c r="F10" i="3" s="1"/>
  <c r="G8" i="3"/>
  <c r="G10" i="3" s="1"/>
  <c r="H8" i="3"/>
  <c r="H10" i="3" s="1"/>
  <c r="I8" i="3"/>
  <c r="I10" i="3" s="1"/>
  <c r="J8" i="3"/>
  <c r="J10" i="3" s="1"/>
  <c r="K8" i="3"/>
  <c r="K10" i="3" s="1"/>
  <c r="L8" i="3"/>
  <c r="L10" i="3" s="1"/>
  <c r="M8" i="3"/>
  <c r="M10" i="3" s="1"/>
  <c r="N8" i="3"/>
  <c r="N10" i="3" s="1"/>
  <c r="O8" i="3"/>
  <c r="P8" i="3"/>
  <c r="Q8" i="3"/>
  <c r="V3" i="3"/>
  <c r="C8" i="3"/>
  <c r="C10" i="3" s="1"/>
  <c r="C7" i="3"/>
  <c r="V4" i="3"/>
  <c r="D7" i="3"/>
  <c r="E7" i="3"/>
  <c r="F7" i="3"/>
  <c r="G7" i="3"/>
  <c r="H7" i="3"/>
  <c r="I7" i="3"/>
  <c r="J7" i="3"/>
  <c r="K7" i="3"/>
  <c r="L7" i="3"/>
  <c r="M7" i="3"/>
  <c r="N7" i="3"/>
  <c r="O7" i="3"/>
  <c r="P7" i="3"/>
  <c r="Q7" i="3"/>
  <c r="D3" i="3" l="1"/>
  <c r="E3" i="3"/>
  <c r="F3" i="3"/>
  <c r="G3" i="3"/>
  <c r="H3" i="3"/>
  <c r="I3" i="3"/>
  <c r="J3" i="3"/>
  <c r="K3" i="3"/>
  <c r="L3" i="3"/>
  <c r="M3" i="3"/>
  <c r="N3" i="3"/>
  <c r="O3" i="3"/>
  <c r="P3" i="3"/>
  <c r="Q3" i="3"/>
  <c r="D4" i="3"/>
  <c r="E4" i="3"/>
  <c r="F4" i="3"/>
  <c r="G4" i="3"/>
  <c r="H4" i="3"/>
  <c r="I4" i="3"/>
  <c r="J4" i="3"/>
  <c r="K4" i="3"/>
  <c r="L4" i="3"/>
  <c r="M4" i="3"/>
  <c r="N4" i="3"/>
  <c r="O4" i="3"/>
  <c r="P4" i="3"/>
  <c r="Q4" i="3"/>
  <c r="D5" i="3"/>
  <c r="D6" i="3" s="1"/>
  <c r="E5" i="3"/>
  <c r="E6" i="3" s="1"/>
  <c r="F5" i="3"/>
  <c r="F6" i="3" s="1"/>
  <c r="G5" i="3"/>
  <c r="G6" i="3" s="1"/>
  <c r="H5" i="3"/>
  <c r="H6" i="3" s="1"/>
  <c r="I5" i="3"/>
  <c r="I6" i="3" s="1"/>
  <c r="J5" i="3"/>
  <c r="J6" i="3" s="1"/>
  <c r="K5" i="3"/>
  <c r="K6" i="3" s="1"/>
  <c r="L5" i="3"/>
  <c r="L6" i="3" s="1"/>
  <c r="M5" i="3"/>
  <c r="M6" i="3" s="1"/>
  <c r="N5" i="3"/>
  <c r="N6" i="3" s="1"/>
  <c r="O5" i="3"/>
  <c r="O6" i="3" s="1"/>
  <c r="P5" i="3"/>
  <c r="P6" i="3" s="1"/>
  <c r="Q5" i="3"/>
  <c r="Q6" i="3" s="1"/>
  <c r="C4" i="3"/>
  <c r="C3" i="3"/>
  <c r="C5" i="3"/>
  <c r="C6" i="3" s="1"/>
  <c r="B141" i="18"/>
  <c r="B140" i="18"/>
  <c r="C141" i="18" s="1"/>
  <c r="B139" i="18"/>
  <c r="C140" i="18" s="1"/>
  <c r="B138" i="18"/>
  <c r="C139" i="18" s="1"/>
  <c r="B137" i="18"/>
  <c r="B136" i="18"/>
  <c r="C137" i="18" s="1"/>
  <c r="B135" i="18"/>
  <c r="C136" i="18" s="1"/>
  <c r="B134" i="18"/>
  <c r="C135" i="18" s="1"/>
  <c r="B133" i="18"/>
  <c r="B132" i="18"/>
  <c r="C133" i="18" s="1"/>
  <c r="B131" i="18"/>
  <c r="C132" i="18" s="1"/>
  <c r="B130" i="18"/>
  <c r="C131" i="18" s="1"/>
  <c r="B129" i="18"/>
  <c r="B128" i="18"/>
  <c r="C129" i="18" s="1"/>
  <c r="B127" i="18"/>
  <c r="C128" i="18" s="1"/>
  <c r="B126" i="18"/>
  <c r="C127" i="18" s="1"/>
  <c r="B125" i="18"/>
  <c r="B124" i="18"/>
  <c r="C125" i="18" s="1"/>
  <c r="B123" i="18"/>
  <c r="C124" i="18" s="1"/>
  <c r="B122" i="18"/>
  <c r="C123" i="18" s="1"/>
  <c r="B121" i="18"/>
  <c r="B120" i="18"/>
  <c r="C121" i="18" s="1"/>
  <c r="B119" i="18"/>
  <c r="C120" i="18" s="1"/>
  <c r="B118" i="18"/>
  <c r="C119" i="18" s="1"/>
  <c r="B117" i="18"/>
  <c r="B116" i="18"/>
  <c r="C117" i="18" s="1"/>
  <c r="B115" i="18"/>
  <c r="C116" i="18" s="1"/>
  <c r="B114" i="18"/>
  <c r="C115" i="18" s="1"/>
  <c r="B113" i="18"/>
  <c r="B112" i="18"/>
  <c r="C113" i="18" s="1"/>
  <c r="B111" i="18"/>
  <c r="C112" i="18" s="1"/>
  <c r="B110" i="18"/>
  <c r="C111" i="18" s="1"/>
  <c r="B109" i="18"/>
  <c r="B108" i="18"/>
  <c r="C109" i="18" s="1"/>
  <c r="B107" i="18"/>
  <c r="C108" i="18" s="1"/>
  <c r="B106" i="18"/>
  <c r="C107" i="18" s="1"/>
  <c r="B105" i="18"/>
  <c r="B104" i="18"/>
  <c r="C105" i="18" s="1"/>
  <c r="B103" i="18"/>
  <c r="C104" i="18" s="1"/>
  <c r="B102" i="18"/>
  <c r="C103" i="18" s="1"/>
  <c r="B101" i="18"/>
  <c r="B100" i="18"/>
  <c r="C101" i="18" s="1"/>
  <c r="B99" i="18"/>
  <c r="C100" i="18" s="1"/>
  <c r="B98" i="18"/>
  <c r="C99" i="18" s="1"/>
  <c r="B97" i="18"/>
  <c r="B96" i="18"/>
  <c r="C97" i="18" s="1"/>
  <c r="B95" i="18"/>
  <c r="C96" i="18" s="1"/>
  <c r="B94" i="18"/>
  <c r="C95" i="18" s="1"/>
  <c r="B93" i="18"/>
  <c r="B92" i="18"/>
  <c r="C93" i="18" s="1"/>
  <c r="B91" i="18"/>
  <c r="C92" i="18" s="1"/>
  <c r="B90" i="18"/>
  <c r="C91" i="18" s="1"/>
  <c r="B89" i="18"/>
  <c r="B88" i="18"/>
  <c r="C89" i="18" s="1"/>
  <c r="B87" i="18"/>
  <c r="C88" i="18" s="1"/>
  <c r="B86" i="18"/>
  <c r="C87" i="18" s="1"/>
  <c r="B85" i="18"/>
  <c r="B84" i="18"/>
  <c r="C85" i="18" s="1"/>
  <c r="B83" i="18"/>
  <c r="C84" i="18" s="1"/>
  <c r="B82" i="18"/>
  <c r="C83" i="18" s="1"/>
  <c r="B81" i="18"/>
  <c r="B80" i="18"/>
  <c r="C81" i="18" s="1"/>
  <c r="B79" i="18"/>
  <c r="C80" i="18" s="1"/>
  <c r="B78" i="18"/>
  <c r="C79" i="18" s="1"/>
  <c r="B77" i="18"/>
  <c r="B76" i="18"/>
  <c r="C77" i="18" s="1"/>
  <c r="B75" i="18"/>
  <c r="C76" i="18" s="1"/>
  <c r="B74" i="18"/>
  <c r="C75" i="18" s="1"/>
  <c r="B73" i="18"/>
  <c r="B72" i="18"/>
  <c r="C73" i="18" s="1"/>
  <c r="B71" i="18"/>
  <c r="C72" i="18" s="1"/>
  <c r="B70" i="18"/>
  <c r="C71" i="18" s="1"/>
  <c r="B69" i="18"/>
  <c r="B68" i="18"/>
  <c r="C69" i="18" s="1"/>
  <c r="B67" i="18"/>
  <c r="C68" i="18" s="1"/>
  <c r="B66" i="18"/>
  <c r="C67" i="18" s="1"/>
  <c r="B65" i="18"/>
  <c r="B64" i="18"/>
  <c r="C65" i="18" s="1"/>
  <c r="B63" i="18"/>
  <c r="C64" i="18" s="1"/>
  <c r="B62" i="18"/>
  <c r="C63" i="18" s="1"/>
  <c r="B61" i="18"/>
  <c r="B60" i="18"/>
  <c r="C61" i="18" s="1"/>
  <c r="B59" i="18"/>
  <c r="C60" i="18" s="1"/>
  <c r="B58" i="18"/>
  <c r="C59" i="18" s="1"/>
  <c r="B57" i="18"/>
  <c r="B56" i="18"/>
  <c r="C57" i="18" s="1"/>
  <c r="B55" i="18"/>
  <c r="C56" i="18" s="1"/>
  <c r="B54" i="18"/>
  <c r="C55" i="18" s="1"/>
  <c r="B53" i="18"/>
  <c r="B52" i="18"/>
  <c r="C53" i="18" s="1"/>
  <c r="B51" i="18"/>
  <c r="C52" i="18" s="1"/>
  <c r="B50" i="18"/>
  <c r="C51" i="18" s="1"/>
  <c r="B49" i="18"/>
  <c r="B48" i="18"/>
  <c r="C49" i="18" s="1"/>
  <c r="B47" i="18"/>
  <c r="C48" i="18" s="1"/>
  <c r="B46" i="18"/>
  <c r="C47" i="18" s="1"/>
  <c r="B45" i="18"/>
  <c r="B44" i="18"/>
  <c r="C45" i="18" s="1"/>
  <c r="B43" i="18"/>
  <c r="C44" i="18" s="1"/>
  <c r="B42" i="18"/>
  <c r="C43" i="18" s="1"/>
  <c r="B41" i="18"/>
  <c r="B40" i="18"/>
  <c r="C41" i="18" s="1"/>
  <c r="B39" i="18"/>
  <c r="C40" i="18" s="1"/>
  <c r="B38" i="18"/>
  <c r="C39" i="18" s="1"/>
  <c r="B37" i="18"/>
  <c r="B36" i="18"/>
  <c r="C37" i="18" s="1"/>
  <c r="B35" i="18"/>
  <c r="C36" i="18" s="1"/>
  <c r="B34" i="18"/>
  <c r="C35" i="18" s="1"/>
  <c r="B33" i="18"/>
  <c r="B32" i="18"/>
  <c r="C33" i="18" s="1"/>
  <c r="B31" i="18"/>
  <c r="C32" i="18" s="1"/>
  <c r="B30" i="18"/>
  <c r="C31" i="18" s="1"/>
  <c r="B29" i="18"/>
  <c r="B28" i="18"/>
  <c r="C29" i="18" s="1"/>
  <c r="B27" i="18"/>
  <c r="C28" i="18" s="1"/>
  <c r="B26" i="18"/>
  <c r="C27" i="18" s="1"/>
  <c r="B25" i="18"/>
  <c r="B24" i="18"/>
  <c r="C25" i="18" s="1"/>
  <c r="B23" i="18"/>
  <c r="C24" i="18" s="1"/>
  <c r="B22" i="18"/>
  <c r="C23" i="18" s="1"/>
  <c r="B21" i="18"/>
  <c r="B20" i="18"/>
  <c r="C21" i="18" s="1"/>
  <c r="B19" i="18"/>
  <c r="C20" i="18" s="1"/>
  <c r="B18" i="18"/>
  <c r="C19" i="18" s="1"/>
  <c r="B17" i="18"/>
  <c r="B16" i="18"/>
  <c r="C17" i="18" s="1"/>
  <c r="B15" i="18"/>
  <c r="C16" i="18" s="1"/>
  <c r="B14" i="18"/>
  <c r="C15" i="18" s="1"/>
  <c r="B13" i="18"/>
  <c r="B12" i="18"/>
  <c r="C13" i="18" s="1"/>
  <c r="B11" i="18"/>
  <c r="C12" i="18" s="1"/>
  <c r="B10" i="18"/>
  <c r="C11" i="18" s="1"/>
  <c r="B9" i="18"/>
  <c r="B8" i="18"/>
  <c r="C9" i="18" s="1"/>
  <c r="B7" i="18"/>
  <c r="B6" i="18"/>
  <c r="C141" i="17"/>
  <c r="B141" i="17"/>
  <c r="C140" i="17"/>
  <c r="B140" i="17"/>
  <c r="C139" i="17"/>
  <c r="B139" i="17"/>
  <c r="C138" i="17"/>
  <c r="B138" i="17"/>
  <c r="C137" i="17"/>
  <c r="B137" i="17"/>
  <c r="C136" i="17"/>
  <c r="B136" i="17"/>
  <c r="C135" i="17"/>
  <c r="B135" i="17"/>
  <c r="C134" i="17"/>
  <c r="B134" i="17"/>
  <c r="C133" i="17"/>
  <c r="B133" i="17"/>
  <c r="B132" i="17"/>
  <c r="C131" i="17"/>
  <c r="B131" i="17"/>
  <c r="C132" i="17" s="1"/>
  <c r="C130" i="17"/>
  <c r="B130" i="17"/>
  <c r="C129" i="17"/>
  <c r="B129" i="17"/>
  <c r="B128" i="17"/>
  <c r="C127" i="17"/>
  <c r="B127" i="17"/>
  <c r="C128" i="17" s="1"/>
  <c r="C126" i="17"/>
  <c r="B126" i="17"/>
  <c r="C125" i="17"/>
  <c r="B125" i="17"/>
  <c r="B124" i="17"/>
  <c r="C123" i="17"/>
  <c r="B123" i="17"/>
  <c r="C124" i="17" s="1"/>
  <c r="C122" i="17"/>
  <c r="B122" i="17"/>
  <c r="C121" i="17"/>
  <c r="B121" i="17"/>
  <c r="B120" i="17"/>
  <c r="C119" i="17"/>
  <c r="B119" i="17"/>
  <c r="C120" i="17" s="1"/>
  <c r="C118" i="17"/>
  <c r="B118" i="17"/>
  <c r="C117" i="17"/>
  <c r="B117" i="17"/>
  <c r="B116" i="17"/>
  <c r="C115" i="17"/>
  <c r="B115" i="17"/>
  <c r="C116" i="17" s="1"/>
  <c r="C114" i="17"/>
  <c r="B114" i="17"/>
  <c r="C113" i="17"/>
  <c r="B113" i="17"/>
  <c r="B112" i="17"/>
  <c r="C111" i="17"/>
  <c r="B111" i="17"/>
  <c r="C112" i="17" s="1"/>
  <c r="C110" i="17"/>
  <c r="B110" i="17"/>
  <c r="C109" i="17"/>
  <c r="B109" i="17"/>
  <c r="B108" i="17"/>
  <c r="C107" i="17"/>
  <c r="B107" i="17"/>
  <c r="C108" i="17" s="1"/>
  <c r="C106" i="17"/>
  <c r="B106" i="17"/>
  <c r="C105" i="17"/>
  <c r="B105" i="17"/>
  <c r="B104" i="17"/>
  <c r="C103" i="17"/>
  <c r="B103" i="17"/>
  <c r="C104" i="17" s="1"/>
  <c r="C102" i="17"/>
  <c r="B102" i="17"/>
  <c r="C101" i="17"/>
  <c r="B101" i="17"/>
  <c r="B100" i="17"/>
  <c r="C99" i="17"/>
  <c r="B99" i="17"/>
  <c r="C100" i="17" s="1"/>
  <c r="C98" i="17"/>
  <c r="B98" i="17"/>
  <c r="C97" i="17"/>
  <c r="B97" i="17"/>
  <c r="B96" i="17"/>
  <c r="C95" i="17"/>
  <c r="B95" i="17"/>
  <c r="C96" i="17" s="1"/>
  <c r="C94" i="17"/>
  <c r="B94" i="17"/>
  <c r="C93" i="17"/>
  <c r="B93" i="17"/>
  <c r="B92" i="17"/>
  <c r="C91" i="17"/>
  <c r="B91" i="17"/>
  <c r="C92" i="17" s="1"/>
  <c r="C90" i="17"/>
  <c r="B90" i="17"/>
  <c r="C89" i="17"/>
  <c r="B89" i="17"/>
  <c r="B88" i="17"/>
  <c r="C87" i="17"/>
  <c r="B87" i="17"/>
  <c r="C88" i="17" s="1"/>
  <c r="C86" i="17"/>
  <c r="B86" i="17"/>
  <c r="C85" i="17"/>
  <c r="B85" i="17"/>
  <c r="B84" i="17"/>
  <c r="C83" i="17"/>
  <c r="B83" i="17"/>
  <c r="C84" i="17" s="1"/>
  <c r="C82" i="17"/>
  <c r="B82" i="17"/>
  <c r="C81" i="17"/>
  <c r="B81" i="17"/>
  <c r="B80" i="17"/>
  <c r="B79" i="17"/>
  <c r="C80" i="17" s="1"/>
  <c r="C78" i="17"/>
  <c r="B78" i="17"/>
  <c r="C77" i="17"/>
  <c r="B77" i="17"/>
  <c r="B76" i="17"/>
  <c r="B75" i="17"/>
  <c r="C76" i="17" s="1"/>
  <c r="C74" i="17"/>
  <c r="B74" i="17"/>
  <c r="C73" i="17"/>
  <c r="B73" i="17"/>
  <c r="B72" i="17"/>
  <c r="B71" i="17"/>
  <c r="C72" i="17" s="1"/>
  <c r="C70" i="17"/>
  <c r="B70" i="17"/>
  <c r="C69" i="17"/>
  <c r="B69" i="17"/>
  <c r="B68" i="17"/>
  <c r="C67" i="17"/>
  <c r="B67" i="17"/>
  <c r="C68" i="17" s="1"/>
  <c r="C66" i="17"/>
  <c r="B66" i="17"/>
  <c r="C65" i="17"/>
  <c r="B65" i="17"/>
  <c r="B64" i="17"/>
  <c r="B63" i="17"/>
  <c r="C64" i="17" s="1"/>
  <c r="C62" i="17"/>
  <c r="B62" i="17"/>
  <c r="C61" i="17"/>
  <c r="B61" i="17"/>
  <c r="B60" i="17"/>
  <c r="B59" i="17"/>
  <c r="C60" i="17" s="1"/>
  <c r="C58" i="17"/>
  <c r="B58" i="17"/>
  <c r="C57" i="17"/>
  <c r="B57" i="17"/>
  <c r="B56" i="17"/>
  <c r="B55" i="17"/>
  <c r="C56" i="17" s="1"/>
  <c r="C54" i="17"/>
  <c r="B54" i="17"/>
  <c r="C53" i="17"/>
  <c r="B53" i="17"/>
  <c r="B52" i="17"/>
  <c r="C51" i="17"/>
  <c r="B51" i="17"/>
  <c r="C52" i="17" s="1"/>
  <c r="C50" i="17"/>
  <c r="B50" i="17"/>
  <c r="C49" i="17"/>
  <c r="B49" i="17"/>
  <c r="B48" i="17"/>
  <c r="B47" i="17"/>
  <c r="C48" i="17" s="1"/>
  <c r="C46" i="17"/>
  <c r="B46" i="17"/>
  <c r="C45" i="17"/>
  <c r="B45" i="17"/>
  <c r="B44" i="17"/>
  <c r="B43" i="17"/>
  <c r="C44" i="17" s="1"/>
  <c r="C42" i="17"/>
  <c r="B42" i="17"/>
  <c r="C41" i="17"/>
  <c r="B41" i="17"/>
  <c r="B40" i="17"/>
  <c r="B39" i="17"/>
  <c r="C40" i="17" s="1"/>
  <c r="C38" i="17"/>
  <c r="B38" i="17"/>
  <c r="C37" i="17"/>
  <c r="B37" i="17"/>
  <c r="B36" i="17"/>
  <c r="C35" i="17"/>
  <c r="B35" i="17"/>
  <c r="C36" i="17" s="1"/>
  <c r="C34" i="17"/>
  <c r="B34" i="17"/>
  <c r="C33" i="17"/>
  <c r="B33" i="17"/>
  <c r="B32" i="17"/>
  <c r="B31" i="17"/>
  <c r="C32" i="17" s="1"/>
  <c r="C30" i="17"/>
  <c r="B30" i="17"/>
  <c r="C29" i="17"/>
  <c r="B29" i="17"/>
  <c r="B28" i="17"/>
  <c r="B27" i="17"/>
  <c r="C28" i="17" s="1"/>
  <c r="C26" i="17"/>
  <c r="B26" i="17"/>
  <c r="C25" i="17"/>
  <c r="B25" i="17"/>
  <c r="B24" i="17"/>
  <c r="B23" i="17"/>
  <c r="C24" i="17" s="1"/>
  <c r="C22" i="17"/>
  <c r="B22" i="17"/>
  <c r="C21" i="17"/>
  <c r="B21" i="17"/>
  <c r="B20" i="17"/>
  <c r="C19" i="17"/>
  <c r="B19" i="17"/>
  <c r="C20" i="17" s="1"/>
  <c r="C18" i="17"/>
  <c r="B18" i="17"/>
  <c r="C17" i="17"/>
  <c r="B17" i="17"/>
  <c r="B16" i="17"/>
  <c r="B15" i="17"/>
  <c r="C16" i="17" s="1"/>
  <c r="C14" i="17"/>
  <c r="B14" i="17"/>
  <c r="C13" i="17"/>
  <c r="B13" i="17"/>
  <c r="B12" i="17"/>
  <c r="B11" i="17"/>
  <c r="C12" i="17" s="1"/>
  <c r="C10" i="17"/>
  <c r="B10" i="17"/>
  <c r="C9" i="17"/>
  <c r="B9" i="17"/>
  <c r="B8" i="17"/>
  <c r="B7" i="17"/>
  <c r="C8" i="17" s="1"/>
  <c r="B6" i="17"/>
  <c r="C7" i="17" s="1"/>
  <c r="B141" i="16"/>
  <c r="B140" i="16"/>
  <c r="B139" i="16"/>
  <c r="C140" i="16" s="1"/>
  <c r="B138" i="16"/>
  <c r="C139" i="16" s="1"/>
  <c r="B137" i="16"/>
  <c r="C138" i="16" s="1"/>
  <c r="B136" i="16"/>
  <c r="C137" i="16" s="1"/>
  <c r="B135" i="16"/>
  <c r="C136" i="16" s="1"/>
  <c r="C134" i="16"/>
  <c r="B134" i="16"/>
  <c r="B133" i="16"/>
  <c r="B132" i="16"/>
  <c r="C133" i="16" s="1"/>
  <c r="B131" i="16"/>
  <c r="C132" i="16" s="1"/>
  <c r="B130" i="16"/>
  <c r="C131" i="16" s="1"/>
  <c r="B129" i="16"/>
  <c r="C130" i="16" s="1"/>
  <c r="B128" i="16"/>
  <c r="C129" i="16" s="1"/>
  <c r="B127" i="16"/>
  <c r="C128" i="16" s="1"/>
  <c r="B126" i="16"/>
  <c r="C127" i="16" s="1"/>
  <c r="B125" i="16"/>
  <c r="C126" i="16" s="1"/>
  <c r="B124" i="16"/>
  <c r="B123" i="16"/>
  <c r="C124" i="16" s="1"/>
  <c r="B122" i="16"/>
  <c r="C123" i="16" s="1"/>
  <c r="B121" i="16"/>
  <c r="B120" i="16"/>
  <c r="C121" i="16" s="1"/>
  <c r="B119" i="16"/>
  <c r="C120" i="16" s="1"/>
  <c r="B118" i="16"/>
  <c r="C119" i="16" s="1"/>
  <c r="B117" i="16"/>
  <c r="C118" i="16" s="1"/>
  <c r="B116" i="16"/>
  <c r="B115" i="16"/>
  <c r="C116" i="16" s="1"/>
  <c r="B114" i="16"/>
  <c r="B113" i="16"/>
  <c r="C114" i="16" s="1"/>
  <c r="B112" i="16"/>
  <c r="C113" i="16" s="1"/>
  <c r="B111" i="16"/>
  <c r="C112" i="16" s="1"/>
  <c r="B110" i="16"/>
  <c r="C111" i="16" s="1"/>
  <c r="B109" i="16"/>
  <c r="C110" i="16" s="1"/>
  <c r="B108" i="16"/>
  <c r="B107" i="16"/>
  <c r="C108" i="16" s="1"/>
  <c r="B106" i="16"/>
  <c r="C107" i="16" s="1"/>
  <c r="B105" i="16"/>
  <c r="C106" i="16" s="1"/>
  <c r="B104" i="16"/>
  <c r="C105" i="16" s="1"/>
  <c r="B103" i="16"/>
  <c r="C104" i="16" s="1"/>
  <c r="C102" i="16"/>
  <c r="B102" i="16"/>
  <c r="B101" i="16"/>
  <c r="B100" i="16"/>
  <c r="C101" i="16" s="1"/>
  <c r="B99" i="16"/>
  <c r="C100" i="16" s="1"/>
  <c r="B98" i="16"/>
  <c r="C99" i="16" s="1"/>
  <c r="B97" i="16"/>
  <c r="C98" i="16" s="1"/>
  <c r="B96" i="16"/>
  <c r="C97" i="16" s="1"/>
  <c r="B95" i="16"/>
  <c r="C96" i="16" s="1"/>
  <c r="B94" i="16"/>
  <c r="C95" i="16" s="1"/>
  <c r="B93" i="16"/>
  <c r="C94" i="16" s="1"/>
  <c r="B92" i="16"/>
  <c r="B91" i="16"/>
  <c r="C92" i="16" s="1"/>
  <c r="B90" i="16"/>
  <c r="B89" i="16"/>
  <c r="B88" i="16"/>
  <c r="C89" i="16" s="1"/>
  <c r="B87" i="16"/>
  <c r="C88" i="16" s="1"/>
  <c r="B86" i="16"/>
  <c r="C87" i="16" s="1"/>
  <c r="B85" i="16"/>
  <c r="C86" i="16" s="1"/>
  <c r="B84" i="16"/>
  <c r="B83" i="16"/>
  <c r="C84" i="16" s="1"/>
  <c r="B82" i="16"/>
  <c r="B81" i="16"/>
  <c r="C82" i="16" s="1"/>
  <c r="B80" i="16"/>
  <c r="C81" i="16" s="1"/>
  <c r="B79" i="16"/>
  <c r="C80" i="16" s="1"/>
  <c r="B78" i="16"/>
  <c r="C79" i="16" s="1"/>
  <c r="B77" i="16"/>
  <c r="C78" i="16" s="1"/>
  <c r="B76" i="16"/>
  <c r="B75" i="16"/>
  <c r="C76" i="16" s="1"/>
  <c r="B74" i="16"/>
  <c r="C75" i="16" s="1"/>
  <c r="B73" i="16"/>
  <c r="C74" i="16" s="1"/>
  <c r="B72" i="16"/>
  <c r="C73" i="16" s="1"/>
  <c r="B71" i="16"/>
  <c r="C72" i="16" s="1"/>
  <c r="C70" i="16"/>
  <c r="B70" i="16"/>
  <c r="B69" i="16"/>
  <c r="B68" i="16"/>
  <c r="C69" i="16" s="1"/>
  <c r="B67" i="16"/>
  <c r="C68" i="16" s="1"/>
  <c r="B66" i="16"/>
  <c r="C67" i="16" s="1"/>
  <c r="B65" i="16"/>
  <c r="C66" i="16" s="1"/>
  <c r="B64" i="16"/>
  <c r="C65" i="16" s="1"/>
  <c r="B63" i="16"/>
  <c r="C64" i="16" s="1"/>
  <c r="B62" i="16"/>
  <c r="C63" i="16" s="1"/>
  <c r="B61" i="16"/>
  <c r="C62" i="16" s="1"/>
  <c r="B60" i="16"/>
  <c r="C61" i="16" s="1"/>
  <c r="B59" i="16"/>
  <c r="C60" i="16" s="1"/>
  <c r="B58" i="16"/>
  <c r="B57" i="16"/>
  <c r="B56" i="16"/>
  <c r="C57" i="16" s="1"/>
  <c r="B55" i="16"/>
  <c r="C56" i="16" s="1"/>
  <c r="B54" i="16"/>
  <c r="C55" i="16" s="1"/>
  <c r="B53" i="16"/>
  <c r="C54" i="16" s="1"/>
  <c r="B52" i="16"/>
  <c r="B51" i="16"/>
  <c r="C52" i="16" s="1"/>
  <c r="B50" i="16"/>
  <c r="B49" i="16"/>
  <c r="C50" i="16" s="1"/>
  <c r="B48" i="16"/>
  <c r="C49" i="16" s="1"/>
  <c r="B47" i="16"/>
  <c r="C48" i="16" s="1"/>
  <c r="B46" i="16"/>
  <c r="C47" i="16" s="1"/>
  <c r="B45" i="16"/>
  <c r="C46" i="16" s="1"/>
  <c r="B44" i="16"/>
  <c r="B43" i="16"/>
  <c r="C44" i="16" s="1"/>
  <c r="B42" i="16"/>
  <c r="C43" i="16" s="1"/>
  <c r="B41" i="16"/>
  <c r="C42" i="16" s="1"/>
  <c r="B40" i="16"/>
  <c r="C41" i="16" s="1"/>
  <c r="B39" i="16"/>
  <c r="C40" i="16" s="1"/>
  <c r="C38" i="16"/>
  <c r="B38" i="16"/>
  <c r="B37" i="16"/>
  <c r="B36" i="16"/>
  <c r="C37" i="16" s="1"/>
  <c r="B35" i="16"/>
  <c r="C36" i="16" s="1"/>
  <c r="B34" i="16"/>
  <c r="C35" i="16" s="1"/>
  <c r="B33" i="16"/>
  <c r="C34" i="16" s="1"/>
  <c r="B32" i="16"/>
  <c r="C33" i="16" s="1"/>
  <c r="B31" i="16"/>
  <c r="C32" i="16" s="1"/>
  <c r="B30" i="16"/>
  <c r="C31" i="16" s="1"/>
  <c r="B29" i="16"/>
  <c r="C30" i="16" s="1"/>
  <c r="B28" i="16"/>
  <c r="C29" i="16" s="1"/>
  <c r="B27" i="16"/>
  <c r="C28" i="16" s="1"/>
  <c r="B26" i="16"/>
  <c r="B25" i="16"/>
  <c r="B24" i="16"/>
  <c r="C25" i="16" s="1"/>
  <c r="B23" i="16"/>
  <c r="C24" i="16" s="1"/>
  <c r="B22" i="16"/>
  <c r="C23" i="16" s="1"/>
  <c r="B21" i="16"/>
  <c r="C22" i="16" s="1"/>
  <c r="B20" i="16"/>
  <c r="C21" i="16" s="1"/>
  <c r="B19" i="16"/>
  <c r="C20" i="16" s="1"/>
  <c r="B18" i="16"/>
  <c r="B17" i="16"/>
  <c r="C18" i="16" s="1"/>
  <c r="B16" i="16"/>
  <c r="C17" i="16" s="1"/>
  <c r="B15" i="16"/>
  <c r="C16" i="16" s="1"/>
  <c r="B14" i="16"/>
  <c r="C15" i="16" s="1"/>
  <c r="B13" i="16"/>
  <c r="C14" i="16" s="1"/>
  <c r="B12" i="16"/>
  <c r="B11" i="16"/>
  <c r="C12" i="16" s="1"/>
  <c r="B10" i="16"/>
  <c r="C11" i="16" s="1"/>
  <c r="B9" i="16"/>
  <c r="C10" i="16" s="1"/>
  <c r="B8" i="16"/>
  <c r="C9" i="16" s="1"/>
  <c r="B7" i="16"/>
  <c r="C8" i="16" s="1"/>
  <c r="B6" i="16"/>
  <c r="C7" i="16" s="1"/>
  <c r="C141" i="15"/>
  <c r="B141" i="15"/>
  <c r="C140" i="15"/>
  <c r="B140" i="15"/>
  <c r="B139" i="15"/>
  <c r="B138" i="15"/>
  <c r="C139" i="15" s="1"/>
  <c r="C137" i="15"/>
  <c r="B137" i="15"/>
  <c r="C136" i="15"/>
  <c r="B136" i="15"/>
  <c r="B135" i="15"/>
  <c r="B134" i="15"/>
  <c r="C135" i="15" s="1"/>
  <c r="C133" i="15"/>
  <c r="B133" i="15"/>
  <c r="C132" i="15"/>
  <c r="B132" i="15"/>
  <c r="B131" i="15"/>
  <c r="B130" i="15"/>
  <c r="C131" i="15" s="1"/>
  <c r="C129" i="15"/>
  <c r="B129" i="15"/>
  <c r="C128" i="15"/>
  <c r="B128" i="15"/>
  <c r="B127" i="15"/>
  <c r="B126" i="15"/>
  <c r="C127" i="15" s="1"/>
  <c r="C125" i="15"/>
  <c r="B125" i="15"/>
  <c r="C124" i="15"/>
  <c r="B124" i="15"/>
  <c r="B123" i="15"/>
  <c r="B122" i="15"/>
  <c r="C123" i="15" s="1"/>
  <c r="C121" i="15"/>
  <c r="B121" i="15"/>
  <c r="C120" i="15"/>
  <c r="B120" i="15"/>
  <c r="B119" i="15"/>
  <c r="B118" i="15"/>
  <c r="C119" i="15" s="1"/>
  <c r="C117" i="15"/>
  <c r="B117" i="15"/>
  <c r="C116" i="15"/>
  <c r="B116" i="15"/>
  <c r="B115" i="15"/>
  <c r="C114" i="15"/>
  <c r="B114" i="15"/>
  <c r="C115" i="15" s="1"/>
  <c r="C113" i="15"/>
  <c r="B113" i="15"/>
  <c r="C112" i="15"/>
  <c r="B112" i="15"/>
  <c r="B111" i="15"/>
  <c r="B110" i="15"/>
  <c r="C111" i="15" s="1"/>
  <c r="C109" i="15"/>
  <c r="B109" i="15"/>
  <c r="C108" i="15"/>
  <c r="B108" i="15"/>
  <c r="B107" i="15"/>
  <c r="B106" i="15"/>
  <c r="C105" i="15"/>
  <c r="B105" i="15"/>
  <c r="C104" i="15"/>
  <c r="B104" i="15"/>
  <c r="B103" i="15"/>
  <c r="B102" i="15"/>
  <c r="C103" i="15" s="1"/>
  <c r="C101" i="15"/>
  <c r="B101" i="15"/>
  <c r="C100" i="15"/>
  <c r="B100" i="15"/>
  <c r="B99" i="15"/>
  <c r="B98" i="15"/>
  <c r="C99" i="15" s="1"/>
  <c r="C97" i="15"/>
  <c r="B97" i="15"/>
  <c r="C96" i="15"/>
  <c r="B96" i="15"/>
  <c r="B95" i="15"/>
  <c r="B94" i="15"/>
  <c r="C95" i="15" s="1"/>
  <c r="C93" i="15"/>
  <c r="B93" i="15"/>
  <c r="C92" i="15"/>
  <c r="B92" i="15"/>
  <c r="B91" i="15"/>
  <c r="B90" i="15"/>
  <c r="C91" i="15" s="1"/>
  <c r="C89" i="15"/>
  <c r="B89" i="15"/>
  <c r="C88" i="15"/>
  <c r="B88" i="15"/>
  <c r="B87" i="15"/>
  <c r="B86" i="15"/>
  <c r="C87" i="15" s="1"/>
  <c r="C85" i="15"/>
  <c r="B85" i="15"/>
  <c r="C84" i="15"/>
  <c r="B84" i="15"/>
  <c r="B83" i="15"/>
  <c r="C82" i="15"/>
  <c r="B82" i="15"/>
  <c r="C83" i="15" s="1"/>
  <c r="C81" i="15"/>
  <c r="B81" i="15"/>
  <c r="C80" i="15"/>
  <c r="B80" i="15"/>
  <c r="B79" i="15"/>
  <c r="B78" i="15"/>
  <c r="C79" i="15" s="1"/>
  <c r="C77" i="15"/>
  <c r="B77" i="15"/>
  <c r="C76" i="15"/>
  <c r="B76" i="15"/>
  <c r="B75" i="15"/>
  <c r="C74" i="15"/>
  <c r="B74" i="15"/>
  <c r="C75" i="15" s="1"/>
  <c r="C73" i="15"/>
  <c r="B73" i="15"/>
  <c r="C72" i="15"/>
  <c r="B72" i="15"/>
  <c r="B71" i="15"/>
  <c r="B70" i="15"/>
  <c r="C69" i="15"/>
  <c r="B69" i="15"/>
  <c r="C68" i="15"/>
  <c r="B68" i="15"/>
  <c r="B67" i="15"/>
  <c r="B66" i="15"/>
  <c r="C67" i="15" s="1"/>
  <c r="C65" i="15"/>
  <c r="B65" i="15"/>
  <c r="C64" i="15"/>
  <c r="B64" i="15"/>
  <c r="B63" i="15"/>
  <c r="B62" i="15"/>
  <c r="C63" i="15" s="1"/>
  <c r="C61" i="15"/>
  <c r="B61" i="15"/>
  <c r="C60" i="15"/>
  <c r="B60" i="15"/>
  <c r="B59" i="15"/>
  <c r="B58" i="15"/>
  <c r="C59" i="15" s="1"/>
  <c r="C57" i="15"/>
  <c r="B57" i="15"/>
  <c r="C56" i="15"/>
  <c r="B56" i="15"/>
  <c r="B55" i="15"/>
  <c r="B54" i="15"/>
  <c r="C55" i="15" s="1"/>
  <c r="C53" i="15"/>
  <c r="B53" i="15"/>
  <c r="C52" i="15"/>
  <c r="B52" i="15"/>
  <c r="B51" i="15"/>
  <c r="C50" i="15"/>
  <c r="B50" i="15"/>
  <c r="C51" i="15" s="1"/>
  <c r="C49" i="15"/>
  <c r="B49" i="15"/>
  <c r="C48" i="15"/>
  <c r="B48" i="15"/>
  <c r="B47" i="15"/>
  <c r="B46" i="15"/>
  <c r="C47" i="15" s="1"/>
  <c r="C45" i="15"/>
  <c r="B45" i="15"/>
  <c r="C44" i="15"/>
  <c r="B44" i="15"/>
  <c r="B43" i="15"/>
  <c r="B42" i="15"/>
  <c r="C43" i="15" s="1"/>
  <c r="C41" i="15"/>
  <c r="B41" i="15"/>
  <c r="C40" i="15"/>
  <c r="B40" i="15"/>
  <c r="B39" i="15"/>
  <c r="B38" i="15"/>
  <c r="C37" i="15"/>
  <c r="B37" i="15"/>
  <c r="C36" i="15"/>
  <c r="B36" i="15"/>
  <c r="B35" i="15"/>
  <c r="B34" i="15"/>
  <c r="C35" i="15" s="1"/>
  <c r="C33" i="15"/>
  <c r="B33" i="15"/>
  <c r="C32" i="15"/>
  <c r="B32" i="15"/>
  <c r="B31" i="15"/>
  <c r="B30" i="15"/>
  <c r="C31" i="15" s="1"/>
  <c r="C29" i="15"/>
  <c r="B29" i="15"/>
  <c r="C28" i="15"/>
  <c r="B28" i="15"/>
  <c r="B27" i="15"/>
  <c r="B26" i="15"/>
  <c r="C27" i="15" s="1"/>
  <c r="C25" i="15"/>
  <c r="B25" i="15"/>
  <c r="C24" i="15"/>
  <c r="B24" i="15"/>
  <c r="B23" i="15"/>
  <c r="B22" i="15"/>
  <c r="C23" i="15" s="1"/>
  <c r="C21" i="15"/>
  <c r="B21" i="15"/>
  <c r="C20" i="15"/>
  <c r="B20" i="15"/>
  <c r="B19" i="15"/>
  <c r="C18" i="15"/>
  <c r="B18" i="15"/>
  <c r="C19" i="15" s="1"/>
  <c r="C17" i="15"/>
  <c r="B17" i="15"/>
  <c r="C16" i="15"/>
  <c r="B16" i="15"/>
  <c r="B15" i="15"/>
  <c r="B14" i="15"/>
  <c r="C15" i="15" s="1"/>
  <c r="C13" i="15"/>
  <c r="B13" i="15"/>
  <c r="B12" i="15"/>
  <c r="B11" i="15"/>
  <c r="C12" i="15" s="1"/>
  <c r="B10" i="15"/>
  <c r="C11" i="15" s="1"/>
  <c r="C9" i="15"/>
  <c r="B9" i="15"/>
  <c r="B8" i="15"/>
  <c r="B7" i="15"/>
  <c r="C8" i="15" s="1"/>
  <c r="B6" i="15"/>
  <c r="C7" i="15" s="1"/>
  <c r="B141" i="14"/>
  <c r="C141" i="14" s="1"/>
  <c r="C140" i="14"/>
  <c r="B140" i="14"/>
  <c r="B139" i="14"/>
  <c r="B138" i="14"/>
  <c r="C139" i="14" s="1"/>
  <c r="B137" i="14"/>
  <c r="C138" i="14" s="1"/>
  <c r="B136" i="14"/>
  <c r="B135" i="14"/>
  <c r="B134" i="14"/>
  <c r="C135" i="14" s="1"/>
  <c r="B133" i="14"/>
  <c r="C134" i="14" s="1"/>
  <c r="B132" i="14"/>
  <c r="C133" i="14" s="1"/>
  <c r="B131" i="14"/>
  <c r="C132" i="14" s="1"/>
  <c r="B130" i="14"/>
  <c r="B129" i="14"/>
  <c r="C130" i="14" s="1"/>
  <c r="B128" i="14"/>
  <c r="C129" i="14" s="1"/>
  <c r="B127" i="14"/>
  <c r="C126" i="14"/>
  <c r="B126" i="14"/>
  <c r="B125" i="14"/>
  <c r="B124" i="14"/>
  <c r="C125" i="14" s="1"/>
  <c r="B123" i="14"/>
  <c r="C124" i="14" s="1"/>
  <c r="B122" i="14"/>
  <c r="C123" i="14" s="1"/>
  <c r="B121" i="14"/>
  <c r="B120" i="14"/>
  <c r="C121" i="14" s="1"/>
  <c r="B119" i="14"/>
  <c r="C120" i="14" s="1"/>
  <c r="B118" i="14"/>
  <c r="C119" i="14" s="1"/>
  <c r="C117" i="14"/>
  <c r="B117" i="14"/>
  <c r="B116" i="14"/>
  <c r="B115" i="14"/>
  <c r="C116" i="14" s="1"/>
  <c r="B114" i="14"/>
  <c r="C115" i="14" s="1"/>
  <c r="B113" i="14"/>
  <c r="C114" i="14" s="1"/>
  <c r="B112" i="14"/>
  <c r="B111" i="14"/>
  <c r="C112" i="14" s="1"/>
  <c r="B110" i="14"/>
  <c r="C111" i="14" s="1"/>
  <c r="C109" i="14"/>
  <c r="B109" i="14"/>
  <c r="C110" i="14" s="1"/>
  <c r="C108" i="14"/>
  <c r="B108" i="14"/>
  <c r="B107" i="14"/>
  <c r="B106" i="14"/>
  <c r="C107" i="14" s="1"/>
  <c r="B105" i="14"/>
  <c r="C106" i="14" s="1"/>
  <c r="B104" i="14"/>
  <c r="C105" i="14" s="1"/>
  <c r="B103" i="14"/>
  <c r="B102" i="14"/>
  <c r="C103" i="14" s="1"/>
  <c r="B101" i="14"/>
  <c r="C102" i="14" s="1"/>
  <c r="C100" i="14"/>
  <c r="B100" i="14"/>
  <c r="B99" i="14"/>
  <c r="B98" i="14"/>
  <c r="B97" i="14"/>
  <c r="C98" i="14" s="1"/>
  <c r="B96" i="14"/>
  <c r="C97" i="14" s="1"/>
  <c r="B95" i="14"/>
  <c r="C96" i="14" s="1"/>
  <c r="C94" i="14"/>
  <c r="B94" i="14"/>
  <c r="B93" i="14"/>
  <c r="B92" i="14"/>
  <c r="C93" i="14" s="1"/>
  <c r="B91" i="14"/>
  <c r="C92" i="14" s="1"/>
  <c r="B90" i="14"/>
  <c r="C91" i="14" s="1"/>
  <c r="B89" i="14"/>
  <c r="B88" i="14"/>
  <c r="C89" i="14" s="1"/>
  <c r="B87" i="14"/>
  <c r="C88" i="14" s="1"/>
  <c r="B86" i="14"/>
  <c r="C87" i="14" s="1"/>
  <c r="C85" i="14"/>
  <c r="B85" i="14"/>
  <c r="B84" i="14"/>
  <c r="B83" i="14"/>
  <c r="C84" i="14" s="1"/>
  <c r="C82" i="14"/>
  <c r="B82" i="14"/>
  <c r="C83" i="14" s="1"/>
  <c r="B81" i="14"/>
  <c r="C81" i="14" s="1"/>
  <c r="B80" i="14"/>
  <c r="B79" i="14"/>
  <c r="C80" i="14" s="1"/>
  <c r="B78" i="14"/>
  <c r="C79" i="14" s="1"/>
  <c r="B77" i="14"/>
  <c r="C78" i="14" s="1"/>
  <c r="C76" i="14"/>
  <c r="B76" i="14"/>
  <c r="B75" i="14"/>
  <c r="B74" i="14"/>
  <c r="C75" i="14" s="1"/>
  <c r="B73" i="14"/>
  <c r="C74" i="14" s="1"/>
  <c r="B72" i="14"/>
  <c r="C73" i="14" s="1"/>
  <c r="B71" i="14"/>
  <c r="B70" i="14"/>
  <c r="C71" i="14" s="1"/>
  <c r="B69" i="14"/>
  <c r="C70" i="14" s="1"/>
  <c r="B68" i="14"/>
  <c r="C69" i="14" s="1"/>
  <c r="B67" i="14"/>
  <c r="B66" i="14"/>
  <c r="C67" i="14" s="1"/>
  <c r="B65" i="14"/>
  <c r="C66" i="14" s="1"/>
  <c r="B64" i="14"/>
  <c r="C65" i="14" s="1"/>
  <c r="B63" i="14"/>
  <c r="B62" i="14"/>
  <c r="C63" i="14" s="1"/>
  <c r="B61" i="14"/>
  <c r="C62" i="14" s="1"/>
  <c r="B60" i="14"/>
  <c r="C60" i="14" s="1"/>
  <c r="B59" i="14"/>
  <c r="B58" i="14"/>
  <c r="C59" i="14" s="1"/>
  <c r="B57" i="14"/>
  <c r="C58" i="14" s="1"/>
  <c r="B56" i="14"/>
  <c r="C57" i="14" s="1"/>
  <c r="B55" i="14"/>
  <c r="B54" i="14"/>
  <c r="C55" i="14" s="1"/>
  <c r="B53" i="14"/>
  <c r="C54" i="14" s="1"/>
  <c r="B52" i="14"/>
  <c r="C53" i="14" s="1"/>
  <c r="B51" i="14"/>
  <c r="B50" i="14"/>
  <c r="C51" i="14" s="1"/>
  <c r="B49" i="14"/>
  <c r="C50" i="14" s="1"/>
  <c r="B48" i="14"/>
  <c r="C49" i="14" s="1"/>
  <c r="B47" i="14"/>
  <c r="B46" i="14"/>
  <c r="C47" i="14" s="1"/>
  <c r="B45" i="14"/>
  <c r="C46" i="14" s="1"/>
  <c r="B44" i="14"/>
  <c r="C44" i="14" s="1"/>
  <c r="B43" i="14"/>
  <c r="B42" i="14"/>
  <c r="C43" i="14" s="1"/>
  <c r="B41" i="14"/>
  <c r="C42" i="14" s="1"/>
  <c r="B40" i="14"/>
  <c r="C41" i="14" s="1"/>
  <c r="B39" i="14"/>
  <c r="B38" i="14"/>
  <c r="C39" i="14" s="1"/>
  <c r="B37" i="14"/>
  <c r="C38" i="14" s="1"/>
  <c r="B36" i="14"/>
  <c r="C37" i="14" s="1"/>
  <c r="B35" i="14"/>
  <c r="B34" i="14"/>
  <c r="C35" i="14" s="1"/>
  <c r="B33" i="14"/>
  <c r="C34" i="14" s="1"/>
  <c r="B32" i="14"/>
  <c r="C33" i="14" s="1"/>
  <c r="B31" i="14"/>
  <c r="B30" i="14"/>
  <c r="C31" i="14" s="1"/>
  <c r="B29" i="14"/>
  <c r="C30" i="14" s="1"/>
  <c r="B28" i="14"/>
  <c r="C28" i="14" s="1"/>
  <c r="B27" i="14"/>
  <c r="B26" i="14"/>
  <c r="C27" i="14" s="1"/>
  <c r="B25" i="14"/>
  <c r="C26" i="14" s="1"/>
  <c r="B24" i="14"/>
  <c r="C25" i="14" s="1"/>
  <c r="B23" i="14"/>
  <c r="B22" i="14"/>
  <c r="C23" i="14" s="1"/>
  <c r="B21" i="14"/>
  <c r="C22" i="14" s="1"/>
  <c r="B20" i="14"/>
  <c r="C21" i="14" s="1"/>
  <c r="B19" i="14"/>
  <c r="B18" i="14"/>
  <c r="C19" i="14" s="1"/>
  <c r="B17" i="14"/>
  <c r="C18" i="14" s="1"/>
  <c r="B16" i="14"/>
  <c r="C17" i="14" s="1"/>
  <c r="B15" i="14"/>
  <c r="B14" i="14"/>
  <c r="C15" i="14" s="1"/>
  <c r="B13" i="14"/>
  <c r="C14" i="14" s="1"/>
  <c r="B12" i="14"/>
  <c r="C12" i="14" s="1"/>
  <c r="B11" i="14"/>
  <c r="B10" i="14"/>
  <c r="C11" i="14" s="1"/>
  <c r="B9" i="14"/>
  <c r="C10" i="14" s="1"/>
  <c r="B8" i="14"/>
  <c r="C9" i="14" s="1"/>
  <c r="B7" i="14"/>
  <c r="B6" i="14"/>
  <c r="C7" i="14" s="1"/>
  <c r="B141" i="13"/>
  <c r="B140" i="13"/>
  <c r="C141" i="13" s="1"/>
  <c r="C139" i="13"/>
  <c r="B139" i="13"/>
  <c r="B138" i="13"/>
  <c r="B137" i="13"/>
  <c r="C138" i="13" s="1"/>
  <c r="B136" i="13"/>
  <c r="C137" i="13" s="1"/>
  <c r="C135" i="13"/>
  <c r="B135" i="13"/>
  <c r="B134" i="13"/>
  <c r="B133" i="13"/>
  <c r="C134" i="13" s="1"/>
  <c r="C132" i="13"/>
  <c r="B132" i="13"/>
  <c r="C131" i="13"/>
  <c r="B131" i="13"/>
  <c r="B130" i="13"/>
  <c r="B129" i="13"/>
  <c r="C130" i="13" s="1"/>
  <c r="C128" i="13"/>
  <c r="B128" i="13"/>
  <c r="C129" i="13" s="1"/>
  <c r="C127" i="13"/>
  <c r="B127" i="13"/>
  <c r="B126" i="13"/>
  <c r="B125" i="13"/>
  <c r="C126" i="13" s="1"/>
  <c r="B124" i="13"/>
  <c r="C125" i="13" s="1"/>
  <c r="C123" i="13"/>
  <c r="B123" i="13"/>
  <c r="B122" i="13"/>
  <c r="B121" i="13"/>
  <c r="C122" i="13" s="1"/>
  <c r="B120" i="13"/>
  <c r="C121" i="13" s="1"/>
  <c r="C119" i="13"/>
  <c r="B119" i="13"/>
  <c r="B118" i="13"/>
  <c r="B117" i="13"/>
  <c r="C118" i="13" s="1"/>
  <c r="C116" i="13"/>
  <c r="B116" i="13"/>
  <c r="C115" i="13"/>
  <c r="B115" i="13"/>
  <c r="B114" i="13"/>
  <c r="B113" i="13"/>
  <c r="C114" i="13" s="1"/>
  <c r="C112" i="13"/>
  <c r="B112" i="13"/>
  <c r="C113" i="13" s="1"/>
  <c r="C111" i="13"/>
  <c r="B111" i="13"/>
  <c r="B110" i="13"/>
  <c r="B109" i="13"/>
  <c r="C110" i="13" s="1"/>
  <c r="B108" i="13"/>
  <c r="C109" i="13" s="1"/>
  <c r="C107" i="13"/>
  <c r="B107" i="13"/>
  <c r="B106" i="13"/>
  <c r="B105" i="13"/>
  <c r="C106" i="13" s="1"/>
  <c r="B104" i="13"/>
  <c r="C105" i="13" s="1"/>
  <c r="C103" i="13"/>
  <c r="B103" i="13"/>
  <c r="B102" i="13"/>
  <c r="B101" i="13"/>
  <c r="C102" i="13" s="1"/>
  <c r="C100" i="13"/>
  <c r="B100" i="13"/>
  <c r="C99" i="13"/>
  <c r="B99" i="13"/>
  <c r="B98" i="13"/>
  <c r="B97" i="13"/>
  <c r="C98" i="13" s="1"/>
  <c r="C96" i="13"/>
  <c r="B96" i="13"/>
  <c r="C97" i="13" s="1"/>
  <c r="C95" i="13"/>
  <c r="B95" i="13"/>
  <c r="B94" i="13"/>
  <c r="B93" i="13"/>
  <c r="C94" i="13" s="1"/>
  <c r="B92" i="13"/>
  <c r="C93" i="13" s="1"/>
  <c r="C91" i="13"/>
  <c r="B91" i="13"/>
  <c r="B90" i="13"/>
  <c r="B89" i="13"/>
  <c r="C90" i="13" s="1"/>
  <c r="B88" i="13"/>
  <c r="C89" i="13" s="1"/>
  <c r="C87" i="13"/>
  <c r="B87" i="13"/>
  <c r="B86" i="13"/>
  <c r="B85" i="13"/>
  <c r="C86" i="13" s="1"/>
  <c r="C84" i="13"/>
  <c r="B84" i="13"/>
  <c r="C83" i="13"/>
  <c r="B83" i="13"/>
  <c r="B82" i="13"/>
  <c r="B81" i="13"/>
  <c r="C82" i="13" s="1"/>
  <c r="B80" i="13"/>
  <c r="C81" i="13" s="1"/>
  <c r="C79" i="13"/>
  <c r="B79" i="13"/>
  <c r="B78" i="13"/>
  <c r="B77" i="13"/>
  <c r="C78" i="13" s="1"/>
  <c r="B76" i="13"/>
  <c r="C77" i="13" s="1"/>
  <c r="C75" i="13"/>
  <c r="B75" i="13"/>
  <c r="B74" i="13"/>
  <c r="B73" i="13"/>
  <c r="C74" i="13" s="1"/>
  <c r="B72" i="13"/>
  <c r="C73" i="13" s="1"/>
  <c r="C71" i="13"/>
  <c r="B71" i="13"/>
  <c r="B70" i="13"/>
  <c r="B69" i="13"/>
  <c r="C70" i="13" s="1"/>
  <c r="C68" i="13"/>
  <c r="B68" i="13"/>
  <c r="C67" i="13"/>
  <c r="B67" i="13"/>
  <c r="B66" i="13"/>
  <c r="B65" i="13"/>
  <c r="C66" i="13" s="1"/>
  <c r="B64" i="13"/>
  <c r="C65" i="13" s="1"/>
  <c r="C63" i="13"/>
  <c r="B63" i="13"/>
  <c r="B62" i="13"/>
  <c r="B61" i="13"/>
  <c r="C62" i="13" s="1"/>
  <c r="B60" i="13"/>
  <c r="C61" i="13" s="1"/>
  <c r="C59" i="13"/>
  <c r="B59" i="13"/>
  <c r="B58" i="13"/>
  <c r="B57" i="13"/>
  <c r="C58" i="13" s="1"/>
  <c r="B56" i="13"/>
  <c r="C57" i="13" s="1"/>
  <c r="C55" i="13"/>
  <c r="B55" i="13"/>
  <c r="B54" i="13"/>
  <c r="B53" i="13"/>
  <c r="C54" i="13" s="1"/>
  <c r="C52" i="13"/>
  <c r="B52" i="13"/>
  <c r="C51" i="13"/>
  <c r="B51" i="13"/>
  <c r="B50" i="13"/>
  <c r="B49" i="13"/>
  <c r="C50" i="13" s="1"/>
  <c r="B48" i="13"/>
  <c r="C49" i="13" s="1"/>
  <c r="C47" i="13"/>
  <c r="B47" i="13"/>
  <c r="B46" i="13"/>
  <c r="B45" i="13"/>
  <c r="C46" i="13" s="1"/>
  <c r="B44" i="13"/>
  <c r="C45" i="13" s="1"/>
  <c r="C43" i="13"/>
  <c r="B43" i="13"/>
  <c r="B42" i="13"/>
  <c r="B41" i="13"/>
  <c r="C42" i="13" s="1"/>
  <c r="B40" i="13"/>
  <c r="C41" i="13" s="1"/>
  <c r="C39" i="13"/>
  <c r="B39" i="13"/>
  <c r="B38" i="13"/>
  <c r="B37" i="13"/>
  <c r="C38" i="13" s="1"/>
  <c r="C36" i="13"/>
  <c r="B36" i="13"/>
  <c r="C35" i="13"/>
  <c r="B35" i="13"/>
  <c r="B34" i="13"/>
  <c r="B33" i="13"/>
  <c r="C34" i="13" s="1"/>
  <c r="B32" i="13"/>
  <c r="C33" i="13" s="1"/>
  <c r="C31" i="13"/>
  <c r="B31" i="13"/>
  <c r="B30" i="13"/>
  <c r="B29" i="13"/>
  <c r="C30" i="13" s="1"/>
  <c r="B28" i="13"/>
  <c r="C29" i="13" s="1"/>
  <c r="C27" i="13"/>
  <c r="B27" i="13"/>
  <c r="B26" i="13"/>
  <c r="B25" i="13"/>
  <c r="C26" i="13" s="1"/>
  <c r="B24" i="13"/>
  <c r="C25" i="13" s="1"/>
  <c r="C23" i="13"/>
  <c r="B23" i="13"/>
  <c r="B22" i="13"/>
  <c r="B21" i="13"/>
  <c r="C22" i="13" s="1"/>
  <c r="C20" i="13"/>
  <c r="B20" i="13"/>
  <c r="C19" i="13"/>
  <c r="B19" i="13"/>
  <c r="B18" i="13"/>
  <c r="B17" i="13"/>
  <c r="C18" i="13" s="1"/>
  <c r="B16" i="13"/>
  <c r="C17" i="13" s="1"/>
  <c r="C15" i="13"/>
  <c r="B15" i="13"/>
  <c r="B14" i="13"/>
  <c r="B13" i="13"/>
  <c r="C14" i="13" s="1"/>
  <c r="B12" i="13"/>
  <c r="C13" i="13" s="1"/>
  <c r="C11" i="13"/>
  <c r="B11" i="13"/>
  <c r="B10" i="13"/>
  <c r="B9" i="13"/>
  <c r="C10" i="13" s="1"/>
  <c r="B8" i="13"/>
  <c r="C9" i="13" s="1"/>
  <c r="C7" i="13"/>
  <c r="B7" i="13"/>
  <c r="B6" i="13"/>
  <c r="B140" i="12"/>
  <c r="C139" i="12"/>
  <c r="B139" i="12"/>
  <c r="C140" i="12" s="1"/>
  <c r="B138" i="12"/>
  <c r="C138" i="12" s="1"/>
  <c r="B137" i="12"/>
  <c r="B136" i="12"/>
  <c r="C137" i="12" s="1"/>
  <c r="B135" i="12"/>
  <c r="C136" i="12" s="1"/>
  <c r="C134" i="12"/>
  <c r="B134" i="12"/>
  <c r="B133" i="12"/>
  <c r="B132" i="12"/>
  <c r="C133" i="12" s="1"/>
  <c r="B131" i="12"/>
  <c r="C132" i="12" s="1"/>
  <c r="B130" i="12"/>
  <c r="C131" i="12" s="1"/>
  <c r="B129" i="12"/>
  <c r="B128" i="12"/>
  <c r="C129" i="12" s="1"/>
  <c r="B127" i="12"/>
  <c r="C128" i="12" s="1"/>
  <c r="B126" i="12"/>
  <c r="C127" i="12" s="1"/>
  <c r="B125" i="12"/>
  <c r="B124" i="12"/>
  <c r="C125" i="12" s="1"/>
  <c r="C123" i="12"/>
  <c r="B123" i="12"/>
  <c r="C124" i="12" s="1"/>
  <c r="B122" i="12"/>
  <c r="C122" i="12" s="1"/>
  <c r="B121" i="12"/>
  <c r="B120" i="12"/>
  <c r="C121" i="12" s="1"/>
  <c r="B119" i="12"/>
  <c r="C118" i="12"/>
  <c r="B118" i="12"/>
  <c r="B117" i="12"/>
  <c r="B116" i="12"/>
  <c r="C117" i="12" s="1"/>
  <c r="B115" i="12"/>
  <c r="C116" i="12" s="1"/>
  <c r="B114" i="12"/>
  <c r="B113" i="12"/>
  <c r="B112" i="12"/>
  <c r="C113" i="12" s="1"/>
  <c r="B111" i="12"/>
  <c r="C112" i="12" s="1"/>
  <c r="B110" i="12"/>
  <c r="B109" i="12"/>
  <c r="B108" i="12"/>
  <c r="C109" i="12" s="1"/>
  <c r="C107" i="12"/>
  <c r="B107" i="12"/>
  <c r="C108" i="12" s="1"/>
  <c r="B106" i="12"/>
  <c r="C106" i="12" s="1"/>
  <c r="B105" i="12"/>
  <c r="B104" i="12"/>
  <c r="C105" i="12" s="1"/>
  <c r="B103" i="12"/>
  <c r="C102" i="12"/>
  <c r="B102" i="12"/>
  <c r="B101" i="12"/>
  <c r="B100" i="12"/>
  <c r="C101" i="12" s="1"/>
  <c r="B99" i="12"/>
  <c r="C100" i="12" s="1"/>
  <c r="B98" i="12"/>
  <c r="B97" i="12"/>
  <c r="B96" i="12"/>
  <c r="C97" i="12" s="1"/>
  <c r="B95" i="12"/>
  <c r="C96" i="12" s="1"/>
  <c r="B94" i="12"/>
  <c r="B93" i="12"/>
  <c r="B92" i="12"/>
  <c r="C93" i="12" s="1"/>
  <c r="C91" i="12"/>
  <c r="B91" i="12"/>
  <c r="B90" i="12"/>
  <c r="C90" i="12" s="1"/>
  <c r="B89" i="12"/>
  <c r="B88" i="12"/>
  <c r="C89" i="12" s="1"/>
  <c r="B87" i="12"/>
  <c r="C86" i="12"/>
  <c r="B86" i="12"/>
  <c r="B85" i="12"/>
  <c r="B84" i="12"/>
  <c r="C85" i="12" s="1"/>
  <c r="B83" i="12"/>
  <c r="C84" i="12" s="1"/>
  <c r="B82" i="12"/>
  <c r="B81" i="12"/>
  <c r="B80" i="12"/>
  <c r="C81" i="12" s="1"/>
  <c r="B79" i="12"/>
  <c r="C80" i="12" s="1"/>
  <c r="B78" i="12"/>
  <c r="B77" i="12"/>
  <c r="B76" i="12"/>
  <c r="C77" i="12" s="1"/>
  <c r="C75" i="12"/>
  <c r="B75" i="12"/>
  <c r="B74" i="12"/>
  <c r="C74" i="12" s="1"/>
  <c r="B73" i="12"/>
  <c r="B72" i="12"/>
  <c r="C73" i="12" s="1"/>
  <c r="B71" i="12"/>
  <c r="C70" i="12"/>
  <c r="B70" i="12"/>
  <c r="B69" i="12"/>
  <c r="B68" i="12"/>
  <c r="C69" i="12" s="1"/>
  <c r="B67" i="12"/>
  <c r="C68" i="12" s="1"/>
  <c r="B66" i="12"/>
  <c r="B65" i="12"/>
  <c r="B64" i="12"/>
  <c r="C65" i="12" s="1"/>
  <c r="B63" i="12"/>
  <c r="C64" i="12" s="1"/>
  <c r="B62" i="12"/>
  <c r="B61" i="12"/>
  <c r="B60" i="12"/>
  <c r="C61" i="12" s="1"/>
  <c r="C59" i="12"/>
  <c r="B59" i="12"/>
  <c r="B58" i="12"/>
  <c r="C58" i="12" s="1"/>
  <c r="B57" i="12"/>
  <c r="B56" i="12"/>
  <c r="C57" i="12" s="1"/>
  <c r="B55" i="12"/>
  <c r="C54" i="12"/>
  <c r="B54" i="12"/>
  <c r="B53" i="12"/>
  <c r="B52" i="12"/>
  <c r="C53" i="12" s="1"/>
  <c r="B51" i="12"/>
  <c r="C52" i="12" s="1"/>
  <c r="B50" i="12"/>
  <c r="B49" i="12"/>
  <c r="B48" i="12"/>
  <c r="C49" i="12" s="1"/>
  <c r="B47" i="12"/>
  <c r="C48" i="12" s="1"/>
  <c r="B46" i="12"/>
  <c r="B45" i="12"/>
  <c r="B44" i="12"/>
  <c r="C45" i="12" s="1"/>
  <c r="C43" i="12"/>
  <c r="B43" i="12"/>
  <c r="B42" i="12"/>
  <c r="C42" i="12" s="1"/>
  <c r="B41" i="12"/>
  <c r="B40" i="12"/>
  <c r="C41" i="12" s="1"/>
  <c r="B39" i="12"/>
  <c r="C38" i="12"/>
  <c r="B38" i="12"/>
  <c r="B37" i="12"/>
  <c r="B36" i="12"/>
  <c r="C37" i="12" s="1"/>
  <c r="B35" i="12"/>
  <c r="C36" i="12" s="1"/>
  <c r="B34" i="12"/>
  <c r="B33" i="12"/>
  <c r="B32" i="12"/>
  <c r="C33" i="12" s="1"/>
  <c r="B31" i="12"/>
  <c r="C32" i="12" s="1"/>
  <c r="B30" i="12"/>
  <c r="B29" i="12"/>
  <c r="B28" i="12"/>
  <c r="C29" i="12" s="1"/>
  <c r="C27" i="12"/>
  <c r="B27" i="12"/>
  <c r="B26" i="12"/>
  <c r="C26" i="12" s="1"/>
  <c r="B25" i="12"/>
  <c r="B24" i="12"/>
  <c r="C25" i="12" s="1"/>
  <c r="B23" i="12"/>
  <c r="C22" i="12"/>
  <c r="B22" i="12"/>
  <c r="B21" i="12"/>
  <c r="B20" i="12"/>
  <c r="C21" i="12" s="1"/>
  <c r="B19" i="12"/>
  <c r="C20" i="12" s="1"/>
  <c r="B18" i="12"/>
  <c r="B17" i="12"/>
  <c r="B16" i="12"/>
  <c r="C17" i="12" s="1"/>
  <c r="B15" i="12"/>
  <c r="C16" i="12" s="1"/>
  <c r="B14" i="12"/>
  <c r="B13" i="12"/>
  <c r="B12" i="12"/>
  <c r="C13" i="12" s="1"/>
  <c r="C11" i="12"/>
  <c r="B11" i="12"/>
  <c r="B10" i="12"/>
  <c r="C10" i="12" s="1"/>
  <c r="B9" i="12"/>
  <c r="B8" i="12"/>
  <c r="C9" i="12" s="1"/>
  <c r="B7" i="12"/>
  <c r="B6" i="12"/>
  <c r="C141" i="11"/>
  <c r="B141" i="11"/>
  <c r="B140" i="11"/>
  <c r="B139" i="11"/>
  <c r="C140" i="11" s="1"/>
  <c r="B138" i="11"/>
  <c r="C137" i="11"/>
  <c r="B137" i="11"/>
  <c r="B136" i="11"/>
  <c r="B135" i="11"/>
  <c r="C136" i="11" s="1"/>
  <c r="C134" i="11"/>
  <c r="B134" i="11"/>
  <c r="C135" i="11" s="1"/>
  <c r="C133" i="11"/>
  <c r="B133" i="11"/>
  <c r="B132" i="11"/>
  <c r="B131" i="11"/>
  <c r="C132" i="11" s="1"/>
  <c r="B130" i="11"/>
  <c r="C129" i="11"/>
  <c r="B129" i="11"/>
  <c r="B128" i="11"/>
  <c r="C127" i="11"/>
  <c r="B127" i="11"/>
  <c r="C128" i="11" s="1"/>
  <c r="C126" i="11"/>
  <c r="B126" i="11"/>
  <c r="C125" i="11"/>
  <c r="B125" i="11"/>
  <c r="B124" i="11"/>
  <c r="C123" i="11"/>
  <c r="B123" i="11"/>
  <c r="C124" i="11" s="1"/>
  <c r="B122" i="11"/>
  <c r="C122" i="11" s="1"/>
  <c r="C121" i="11"/>
  <c r="B121" i="11"/>
  <c r="B120" i="11"/>
  <c r="C119" i="11"/>
  <c r="B119" i="11"/>
  <c r="C120" i="11" s="1"/>
  <c r="C118" i="11"/>
  <c r="B118" i="11"/>
  <c r="B117" i="11"/>
  <c r="B116" i="11"/>
  <c r="C117" i="11" s="1"/>
  <c r="B115" i="11"/>
  <c r="C114" i="11"/>
  <c r="B114" i="11"/>
  <c r="B113" i="11"/>
  <c r="B112" i="11"/>
  <c r="C113" i="11" s="1"/>
  <c r="C111" i="11"/>
  <c r="B111" i="11"/>
  <c r="C112" i="11" s="1"/>
  <c r="C110" i="11"/>
  <c r="B110" i="11"/>
  <c r="B109" i="11"/>
  <c r="B108" i="11"/>
  <c r="C109" i="11" s="1"/>
  <c r="B107" i="11"/>
  <c r="C108" i="11" s="1"/>
  <c r="B106" i="11"/>
  <c r="C105" i="11"/>
  <c r="B105" i="11"/>
  <c r="B104" i="11"/>
  <c r="B103" i="11"/>
  <c r="C104" i="11" s="1"/>
  <c r="C102" i="11"/>
  <c r="B102" i="11"/>
  <c r="C103" i="11" s="1"/>
  <c r="C101" i="11"/>
  <c r="B101" i="11"/>
  <c r="B100" i="11"/>
  <c r="B99" i="11"/>
  <c r="C100" i="11" s="1"/>
  <c r="B98" i="11"/>
  <c r="B97" i="11"/>
  <c r="B96" i="11"/>
  <c r="C97" i="11" s="1"/>
  <c r="C95" i="11"/>
  <c r="B95" i="11"/>
  <c r="C94" i="11"/>
  <c r="B94" i="11"/>
  <c r="C93" i="11"/>
  <c r="B93" i="11"/>
  <c r="B92" i="11"/>
  <c r="C91" i="11"/>
  <c r="B91" i="11"/>
  <c r="B90" i="11"/>
  <c r="C90" i="11" s="1"/>
  <c r="B89" i="11"/>
  <c r="B88" i="11"/>
  <c r="C89" i="11" s="1"/>
  <c r="C87" i="11"/>
  <c r="B87" i="11"/>
  <c r="C88" i="11" s="1"/>
  <c r="C86" i="11"/>
  <c r="B86" i="11"/>
  <c r="B85" i="11"/>
  <c r="B84" i="11"/>
  <c r="C85" i="11" s="1"/>
  <c r="B83" i="11"/>
  <c r="C82" i="11"/>
  <c r="B82" i="11"/>
  <c r="B81" i="11"/>
  <c r="B80" i="11"/>
  <c r="C81" i="11" s="1"/>
  <c r="C79" i="11"/>
  <c r="B79" i="11"/>
  <c r="C80" i="11" s="1"/>
  <c r="C78" i="11"/>
  <c r="B78" i="11"/>
  <c r="B77" i="11"/>
  <c r="B76" i="11"/>
  <c r="C77" i="11" s="1"/>
  <c r="B75" i="11"/>
  <c r="C76" i="11" s="1"/>
  <c r="B74" i="11"/>
  <c r="C73" i="11"/>
  <c r="B73" i="11"/>
  <c r="B72" i="11"/>
  <c r="B71" i="11"/>
  <c r="C72" i="11" s="1"/>
  <c r="C70" i="11"/>
  <c r="B70" i="11"/>
  <c r="C71" i="11" s="1"/>
  <c r="C69" i="11"/>
  <c r="B69" i="11"/>
  <c r="B68" i="11"/>
  <c r="B67" i="11"/>
  <c r="C68" i="11" s="1"/>
  <c r="B66" i="11"/>
  <c r="B65" i="11"/>
  <c r="B64" i="11"/>
  <c r="C65" i="11" s="1"/>
  <c r="C63" i="11"/>
  <c r="B63" i="11"/>
  <c r="C62" i="11"/>
  <c r="B62" i="11"/>
  <c r="C61" i="11"/>
  <c r="B61" i="11"/>
  <c r="B60" i="11"/>
  <c r="C59" i="11"/>
  <c r="B59" i="11"/>
  <c r="B58" i="11"/>
  <c r="C58" i="11" s="1"/>
  <c r="B57" i="11"/>
  <c r="B56" i="11"/>
  <c r="C57" i="11" s="1"/>
  <c r="C55" i="11"/>
  <c r="B55" i="11"/>
  <c r="C54" i="11"/>
  <c r="B54" i="11"/>
  <c r="B53" i="11"/>
  <c r="B52" i="11"/>
  <c r="C53" i="11" s="1"/>
  <c r="B51" i="11"/>
  <c r="C52" i="11" s="1"/>
  <c r="C50" i="11"/>
  <c r="B50" i="11"/>
  <c r="B49" i="11"/>
  <c r="B48" i="11"/>
  <c r="C49" i="11" s="1"/>
  <c r="C47" i="11"/>
  <c r="B47" i="11"/>
  <c r="C48" i="11" s="1"/>
  <c r="B46" i="11"/>
  <c r="C46" i="11" s="1"/>
  <c r="B45" i="11"/>
  <c r="B44" i="11"/>
  <c r="C45" i="11" s="1"/>
  <c r="B43" i="11"/>
  <c r="C44" i="11" s="1"/>
  <c r="B42" i="11"/>
  <c r="C43" i="11" s="1"/>
  <c r="C41" i="11"/>
  <c r="B41" i="11"/>
  <c r="B40" i="11"/>
  <c r="B39" i="11"/>
  <c r="C40" i="11" s="1"/>
  <c r="B38" i="11"/>
  <c r="C39" i="11" s="1"/>
  <c r="B37" i="11"/>
  <c r="C38" i="11" s="1"/>
  <c r="B36" i="11"/>
  <c r="B35" i="11"/>
  <c r="C36" i="11" s="1"/>
  <c r="B34" i="11"/>
  <c r="C35" i="11" s="1"/>
  <c r="C33" i="11"/>
  <c r="B33" i="11"/>
  <c r="B32" i="11"/>
  <c r="C31" i="11"/>
  <c r="B31" i="11"/>
  <c r="B30" i="11"/>
  <c r="B29" i="11"/>
  <c r="C30" i="11" s="1"/>
  <c r="B28" i="11"/>
  <c r="C29" i="11" s="1"/>
  <c r="C27" i="11"/>
  <c r="B27" i="11"/>
  <c r="B26" i="11"/>
  <c r="B25" i="11"/>
  <c r="C26" i="11" s="1"/>
  <c r="C24" i="11"/>
  <c r="B24" i="11"/>
  <c r="C23" i="11"/>
  <c r="B23" i="11"/>
  <c r="B22" i="11"/>
  <c r="B21" i="11"/>
  <c r="C22" i="11" s="1"/>
  <c r="B20" i="11"/>
  <c r="C21" i="11" s="1"/>
  <c r="C19" i="11"/>
  <c r="B19" i="11"/>
  <c r="B18" i="11"/>
  <c r="B17" i="11"/>
  <c r="C18" i="11" s="1"/>
  <c r="C16" i="11"/>
  <c r="B16" i="11"/>
  <c r="C15" i="11"/>
  <c r="B15" i="11"/>
  <c r="B14" i="11"/>
  <c r="B13" i="11"/>
  <c r="C14" i="11" s="1"/>
  <c r="C12" i="11"/>
  <c r="B12" i="11"/>
  <c r="C13" i="11" s="1"/>
  <c r="C11" i="11"/>
  <c r="B11" i="11"/>
  <c r="B10" i="11"/>
  <c r="B9" i="11"/>
  <c r="C10" i="11" s="1"/>
  <c r="C8" i="11"/>
  <c r="B8" i="11"/>
  <c r="C7" i="11"/>
  <c r="B7" i="11"/>
  <c r="B6" i="11"/>
  <c r="B141" i="10"/>
  <c r="B140" i="10"/>
  <c r="C141" i="10" s="1"/>
  <c r="C139" i="10"/>
  <c r="B139" i="10"/>
  <c r="C138" i="10"/>
  <c r="B138" i="10"/>
  <c r="B137" i="10"/>
  <c r="B136" i="10"/>
  <c r="C137" i="10" s="1"/>
  <c r="C135" i="10"/>
  <c r="B135" i="10"/>
  <c r="C136" i="10" s="1"/>
  <c r="C134" i="10"/>
  <c r="B134" i="10"/>
  <c r="B133" i="10"/>
  <c r="B132" i="10"/>
  <c r="C133" i="10" s="1"/>
  <c r="B131" i="10"/>
  <c r="C132" i="10" s="1"/>
  <c r="C130" i="10"/>
  <c r="B130" i="10"/>
  <c r="B129" i="10"/>
  <c r="B128" i="10"/>
  <c r="C129" i="10" s="1"/>
  <c r="B127" i="10"/>
  <c r="C128" i="10" s="1"/>
  <c r="C126" i="10"/>
  <c r="B126" i="10"/>
  <c r="B125" i="10"/>
  <c r="C124" i="10"/>
  <c r="B124" i="10"/>
  <c r="C125" i="10" s="1"/>
  <c r="B123" i="10"/>
  <c r="C123" i="10" s="1"/>
  <c r="C122" i="10"/>
  <c r="B122" i="10"/>
  <c r="B121" i="10"/>
  <c r="B120" i="10"/>
  <c r="C121" i="10" s="1"/>
  <c r="C119" i="10"/>
  <c r="B119" i="10"/>
  <c r="C120" i="10" s="1"/>
  <c r="C118" i="10"/>
  <c r="B118" i="10"/>
  <c r="B117" i="10"/>
  <c r="B116" i="10"/>
  <c r="C117" i="10" s="1"/>
  <c r="C115" i="10"/>
  <c r="B115" i="10"/>
  <c r="C116" i="10" s="1"/>
  <c r="C114" i="10"/>
  <c r="B114" i="10"/>
  <c r="B113" i="10"/>
  <c r="C112" i="10"/>
  <c r="B112" i="10"/>
  <c r="C113" i="10" s="1"/>
  <c r="B111" i="10"/>
  <c r="C111" i="10" s="1"/>
  <c r="C110" i="10"/>
  <c r="B110" i="10"/>
  <c r="B109" i="10"/>
  <c r="B108" i="10"/>
  <c r="C109" i="10" s="1"/>
  <c r="C107" i="10"/>
  <c r="B107" i="10"/>
  <c r="C106" i="10"/>
  <c r="B106" i="10"/>
  <c r="B105" i="10"/>
  <c r="B104" i="10"/>
  <c r="C105" i="10" s="1"/>
  <c r="C103" i="10"/>
  <c r="B103" i="10"/>
  <c r="C104" i="10" s="1"/>
  <c r="C102" i="10"/>
  <c r="B102" i="10"/>
  <c r="B101" i="10"/>
  <c r="B100" i="10"/>
  <c r="C101" i="10" s="1"/>
  <c r="B99" i="10"/>
  <c r="C100" i="10" s="1"/>
  <c r="C98" i="10"/>
  <c r="B98" i="10"/>
  <c r="B97" i="10"/>
  <c r="B96" i="10"/>
  <c r="C97" i="10" s="1"/>
  <c r="B95" i="10"/>
  <c r="C96" i="10" s="1"/>
  <c r="C94" i="10"/>
  <c r="B94" i="10"/>
  <c r="B93" i="10"/>
  <c r="C92" i="10"/>
  <c r="B92" i="10"/>
  <c r="C93" i="10" s="1"/>
  <c r="B91" i="10"/>
  <c r="C91" i="10" s="1"/>
  <c r="C90" i="10"/>
  <c r="B90" i="10"/>
  <c r="B89" i="10"/>
  <c r="B88" i="10"/>
  <c r="C89" i="10" s="1"/>
  <c r="C87" i="10"/>
  <c r="B87" i="10"/>
  <c r="C88" i="10" s="1"/>
  <c r="C86" i="10"/>
  <c r="B86" i="10"/>
  <c r="B85" i="10"/>
  <c r="B84" i="10"/>
  <c r="C85" i="10" s="1"/>
  <c r="C83" i="10"/>
  <c r="B83" i="10"/>
  <c r="C84" i="10" s="1"/>
  <c r="C82" i="10"/>
  <c r="B82" i="10"/>
  <c r="B81" i="10"/>
  <c r="C80" i="10"/>
  <c r="B80" i="10"/>
  <c r="C81" i="10" s="1"/>
  <c r="B79" i="10"/>
  <c r="C79" i="10" s="1"/>
  <c r="B78" i="10"/>
  <c r="B77" i="10"/>
  <c r="C78" i="10" s="1"/>
  <c r="B76" i="10"/>
  <c r="C77" i="10" s="1"/>
  <c r="C75" i="10"/>
  <c r="B75" i="10"/>
  <c r="C76" i="10" s="1"/>
  <c r="B74" i="10"/>
  <c r="B73" i="10"/>
  <c r="C74" i="10" s="1"/>
  <c r="B72" i="10"/>
  <c r="C73" i="10" s="1"/>
  <c r="B71" i="10"/>
  <c r="C72" i="10" s="1"/>
  <c r="B70" i="10"/>
  <c r="B69" i="10"/>
  <c r="C70" i="10" s="1"/>
  <c r="B68" i="10"/>
  <c r="C69" i="10" s="1"/>
  <c r="C67" i="10"/>
  <c r="B67" i="10"/>
  <c r="C68" i="10" s="1"/>
  <c r="B66" i="10"/>
  <c r="B65" i="10"/>
  <c r="C66" i="10" s="1"/>
  <c r="C64" i="10"/>
  <c r="B64" i="10"/>
  <c r="C65" i="10" s="1"/>
  <c r="B63" i="10"/>
  <c r="C63" i="10" s="1"/>
  <c r="B62" i="10"/>
  <c r="B61" i="10"/>
  <c r="C62" i="10" s="1"/>
  <c r="B60" i="10"/>
  <c r="C61" i="10" s="1"/>
  <c r="C59" i="10"/>
  <c r="B59" i="10"/>
  <c r="C60" i="10" s="1"/>
  <c r="B58" i="10"/>
  <c r="B57" i="10"/>
  <c r="C58" i="10" s="1"/>
  <c r="B56" i="10"/>
  <c r="C57" i="10" s="1"/>
  <c r="B55" i="10"/>
  <c r="C56" i="10" s="1"/>
  <c r="B54" i="10"/>
  <c r="B53" i="10"/>
  <c r="C54" i="10" s="1"/>
  <c r="B52" i="10"/>
  <c r="C53" i="10" s="1"/>
  <c r="C51" i="10"/>
  <c r="B51" i="10"/>
  <c r="C52" i="10" s="1"/>
  <c r="B50" i="10"/>
  <c r="B49" i="10"/>
  <c r="C50" i="10" s="1"/>
  <c r="C48" i="10"/>
  <c r="B48" i="10"/>
  <c r="C49" i="10" s="1"/>
  <c r="B47" i="10"/>
  <c r="C47" i="10" s="1"/>
  <c r="B46" i="10"/>
  <c r="B45" i="10"/>
  <c r="C46" i="10" s="1"/>
  <c r="B44" i="10"/>
  <c r="C45" i="10" s="1"/>
  <c r="C43" i="10"/>
  <c r="B43" i="10"/>
  <c r="C44" i="10" s="1"/>
  <c r="B42" i="10"/>
  <c r="B41" i="10"/>
  <c r="C42" i="10" s="1"/>
  <c r="B40" i="10"/>
  <c r="C41" i="10" s="1"/>
  <c r="B39" i="10"/>
  <c r="C40" i="10" s="1"/>
  <c r="B38" i="10"/>
  <c r="B37" i="10"/>
  <c r="C38" i="10" s="1"/>
  <c r="B36" i="10"/>
  <c r="C37" i="10" s="1"/>
  <c r="C35" i="10"/>
  <c r="B35" i="10"/>
  <c r="C36" i="10" s="1"/>
  <c r="B34" i="10"/>
  <c r="B33" i="10"/>
  <c r="C34" i="10" s="1"/>
  <c r="B32" i="10"/>
  <c r="C33" i="10" s="1"/>
  <c r="B31" i="10"/>
  <c r="C31" i="10" s="1"/>
  <c r="B30" i="10"/>
  <c r="B29" i="10"/>
  <c r="C30" i="10" s="1"/>
  <c r="B28" i="10"/>
  <c r="C29" i="10" s="1"/>
  <c r="C27" i="10"/>
  <c r="B27" i="10"/>
  <c r="C28" i="10" s="1"/>
  <c r="B26" i="10"/>
  <c r="B25" i="10"/>
  <c r="C26" i="10" s="1"/>
  <c r="B24" i="10"/>
  <c r="C25" i="10" s="1"/>
  <c r="B23" i="10"/>
  <c r="C24" i="10" s="1"/>
  <c r="B22" i="10"/>
  <c r="B21" i="10"/>
  <c r="C22" i="10" s="1"/>
  <c r="B20" i="10"/>
  <c r="C21" i="10" s="1"/>
  <c r="C19" i="10"/>
  <c r="B19" i="10"/>
  <c r="C20" i="10" s="1"/>
  <c r="B18" i="10"/>
  <c r="B17" i="10"/>
  <c r="C18" i="10" s="1"/>
  <c r="B16" i="10"/>
  <c r="C17" i="10" s="1"/>
  <c r="B15" i="10"/>
  <c r="C15" i="10" s="1"/>
  <c r="B14" i="10"/>
  <c r="B13" i="10"/>
  <c r="C14" i="10" s="1"/>
  <c r="B12" i="10"/>
  <c r="C13" i="10" s="1"/>
  <c r="C11" i="10"/>
  <c r="B11" i="10"/>
  <c r="C12" i="10" s="1"/>
  <c r="B10" i="10"/>
  <c r="B9" i="10"/>
  <c r="C10" i="10" s="1"/>
  <c r="B8" i="10"/>
  <c r="C9" i="10" s="1"/>
  <c r="B7" i="10"/>
  <c r="C8" i="10" s="1"/>
  <c r="B6" i="10"/>
  <c r="B180" i="9"/>
  <c r="B179" i="9"/>
  <c r="C180" i="9" s="1"/>
  <c r="C178" i="9"/>
  <c r="B178" i="9"/>
  <c r="C179" i="9" s="1"/>
  <c r="C177" i="9"/>
  <c r="B177" i="9"/>
  <c r="B176" i="9"/>
  <c r="B175" i="9"/>
  <c r="C176" i="9" s="1"/>
  <c r="C174" i="9"/>
  <c r="B174" i="9"/>
  <c r="C173" i="9"/>
  <c r="B173" i="9"/>
  <c r="B172" i="9"/>
  <c r="B171" i="9"/>
  <c r="B170" i="9"/>
  <c r="C171" i="9" s="1"/>
  <c r="B169" i="9"/>
  <c r="B168" i="9"/>
  <c r="C169" i="9" s="1"/>
  <c r="B167" i="9"/>
  <c r="C166" i="9"/>
  <c r="B166" i="9"/>
  <c r="C165" i="9"/>
  <c r="B165" i="9"/>
  <c r="B164" i="9"/>
  <c r="B163" i="9"/>
  <c r="C162" i="9"/>
  <c r="B162" i="9"/>
  <c r="C163" i="9" s="1"/>
  <c r="B161" i="9"/>
  <c r="B160" i="9"/>
  <c r="C161" i="9" s="1"/>
  <c r="B159" i="9"/>
  <c r="C160" i="9" s="1"/>
  <c r="C158" i="9"/>
  <c r="B158" i="9"/>
  <c r="C157" i="9"/>
  <c r="B157" i="9"/>
  <c r="B156" i="9"/>
  <c r="B155" i="9"/>
  <c r="B154" i="9"/>
  <c r="C155" i="9" s="1"/>
  <c r="B153" i="9"/>
  <c r="B152" i="9"/>
  <c r="C153" i="9" s="1"/>
  <c r="B151" i="9"/>
  <c r="C150" i="9"/>
  <c r="B150" i="9"/>
  <c r="C149" i="9"/>
  <c r="B149" i="9"/>
  <c r="B148" i="9"/>
  <c r="B147" i="9"/>
  <c r="C146" i="9"/>
  <c r="B146" i="9"/>
  <c r="C147" i="9" s="1"/>
  <c r="B145" i="9"/>
  <c r="B144" i="9"/>
  <c r="C145" i="9" s="1"/>
  <c r="B143" i="9"/>
  <c r="C144" i="9" s="1"/>
  <c r="C142" i="9"/>
  <c r="B142" i="9"/>
  <c r="C141" i="9"/>
  <c r="B141" i="9"/>
  <c r="B140" i="9"/>
  <c r="B139" i="9"/>
  <c r="B138" i="9"/>
  <c r="C139" i="9" s="1"/>
  <c r="B137" i="9"/>
  <c r="B136" i="9"/>
  <c r="C137" i="9" s="1"/>
  <c r="B135" i="9"/>
  <c r="C134" i="9"/>
  <c r="B134" i="9"/>
  <c r="C133" i="9"/>
  <c r="B133" i="9"/>
  <c r="B132" i="9"/>
  <c r="B131" i="9"/>
  <c r="C130" i="9"/>
  <c r="B130" i="9"/>
  <c r="C131" i="9" s="1"/>
  <c r="B129" i="9"/>
  <c r="B128" i="9"/>
  <c r="C129" i="9" s="1"/>
  <c r="B127" i="9"/>
  <c r="C126" i="9"/>
  <c r="B126" i="9"/>
  <c r="C125" i="9"/>
  <c r="B125" i="9"/>
  <c r="B124" i="9"/>
  <c r="B123" i="9"/>
  <c r="B122" i="9"/>
  <c r="C123" i="9" s="1"/>
  <c r="B121" i="9"/>
  <c r="B120" i="9"/>
  <c r="C121" i="9" s="1"/>
  <c r="B119" i="9"/>
  <c r="B118" i="9"/>
  <c r="B117" i="9"/>
  <c r="C118" i="9" s="1"/>
  <c r="B116" i="9"/>
  <c r="B115" i="9"/>
  <c r="B114" i="9"/>
  <c r="C115" i="9" s="1"/>
  <c r="B113" i="9"/>
  <c r="B112" i="9"/>
  <c r="C113" i="9" s="1"/>
  <c r="B111" i="9"/>
  <c r="B110" i="9"/>
  <c r="B109" i="9"/>
  <c r="C110" i="9" s="1"/>
  <c r="B108" i="9"/>
  <c r="B107" i="9"/>
  <c r="B106" i="9"/>
  <c r="C107" i="9" s="1"/>
  <c r="B105" i="9"/>
  <c r="B104" i="9"/>
  <c r="C105" i="9" s="1"/>
  <c r="B103" i="9"/>
  <c r="B102" i="9"/>
  <c r="B101" i="9"/>
  <c r="C102" i="9" s="1"/>
  <c r="B100" i="9"/>
  <c r="B99" i="9"/>
  <c r="B98" i="9"/>
  <c r="C99" i="9" s="1"/>
  <c r="B97" i="9"/>
  <c r="B96" i="9"/>
  <c r="C97" i="9" s="1"/>
  <c r="B95" i="9"/>
  <c r="B94" i="9"/>
  <c r="B93" i="9"/>
  <c r="C94" i="9" s="1"/>
  <c r="B92" i="9"/>
  <c r="B91" i="9"/>
  <c r="B90" i="9"/>
  <c r="C91" i="9" s="1"/>
  <c r="B89" i="9"/>
  <c r="B88" i="9"/>
  <c r="C89" i="9" s="1"/>
  <c r="B87" i="9"/>
  <c r="B86" i="9"/>
  <c r="B85" i="9"/>
  <c r="C86" i="9" s="1"/>
  <c r="B84" i="9"/>
  <c r="B83" i="9"/>
  <c r="B82" i="9"/>
  <c r="C83" i="9" s="1"/>
  <c r="B81" i="9"/>
  <c r="B80" i="9"/>
  <c r="C81" i="9" s="1"/>
  <c r="B79" i="9"/>
  <c r="B78" i="9"/>
  <c r="B77" i="9"/>
  <c r="C78" i="9" s="1"/>
  <c r="B76" i="9"/>
  <c r="B75" i="9"/>
  <c r="B74" i="9"/>
  <c r="C75" i="9" s="1"/>
  <c r="B73" i="9"/>
  <c r="B72" i="9"/>
  <c r="C73" i="9" s="1"/>
  <c r="B71" i="9"/>
  <c r="B70" i="9"/>
  <c r="B69" i="9"/>
  <c r="C70" i="9" s="1"/>
  <c r="B68" i="9"/>
  <c r="B67" i="9"/>
  <c r="B66" i="9"/>
  <c r="C67" i="9" s="1"/>
  <c r="B65" i="9"/>
  <c r="B64" i="9"/>
  <c r="C65" i="9" s="1"/>
  <c r="B63" i="9"/>
  <c r="B62" i="9"/>
  <c r="B61" i="9"/>
  <c r="C62" i="9" s="1"/>
  <c r="B60" i="9"/>
  <c r="B59" i="9"/>
  <c r="C60" i="9" s="1"/>
  <c r="B58" i="9"/>
  <c r="C59" i="9" s="1"/>
  <c r="B57" i="9"/>
  <c r="B56" i="9"/>
  <c r="C57" i="9" s="1"/>
  <c r="B55" i="9"/>
  <c r="B54" i="9"/>
  <c r="B53" i="9"/>
  <c r="C54" i="9" s="1"/>
  <c r="B52" i="9"/>
  <c r="B51" i="9"/>
  <c r="B50" i="9"/>
  <c r="C51" i="9" s="1"/>
  <c r="B49" i="9"/>
  <c r="B48" i="9"/>
  <c r="C49" i="9" s="1"/>
  <c r="B47" i="9"/>
  <c r="B46" i="9"/>
  <c r="B45" i="9"/>
  <c r="C46" i="9" s="1"/>
  <c r="B44" i="9"/>
  <c r="B43" i="9"/>
  <c r="C44" i="9" s="1"/>
  <c r="B42" i="9"/>
  <c r="C43" i="9" s="1"/>
  <c r="B41" i="9"/>
  <c r="B40" i="9"/>
  <c r="C41" i="9" s="1"/>
  <c r="B39" i="9"/>
  <c r="B38" i="9"/>
  <c r="B37" i="9"/>
  <c r="C38" i="9" s="1"/>
  <c r="B36" i="9"/>
  <c r="B35" i="9"/>
  <c r="C36" i="9" s="1"/>
  <c r="B34" i="9"/>
  <c r="C35" i="9" s="1"/>
  <c r="B33" i="9"/>
  <c r="B32" i="9"/>
  <c r="C33" i="9" s="1"/>
  <c r="B31" i="9"/>
  <c r="B30" i="9"/>
  <c r="B29" i="9"/>
  <c r="C30" i="9" s="1"/>
  <c r="B28" i="9"/>
  <c r="B27" i="9"/>
  <c r="C28" i="9" s="1"/>
  <c r="B26" i="9"/>
  <c r="C27" i="9" s="1"/>
  <c r="B25" i="9"/>
  <c r="B24" i="9"/>
  <c r="C25" i="9" s="1"/>
  <c r="B23" i="9"/>
  <c r="B22" i="9"/>
  <c r="B21" i="9"/>
  <c r="C22" i="9" s="1"/>
  <c r="B20" i="9"/>
  <c r="B19" i="9"/>
  <c r="C20" i="9" s="1"/>
  <c r="B18" i="9"/>
  <c r="C19" i="9" s="1"/>
  <c r="B17" i="9"/>
  <c r="B16" i="9"/>
  <c r="C17" i="9" s="1"/>
  <c r="B15" i="9"/>
  <c r="B14" i="9"/>
  <c r="B13" i="9"/>
  <c r="C14" i="9" s="1"/>
  <c r="B12" i="9"/>
  <c r="B11" i="9"/>
  <c r="C12" i="9" s="1"/>
  <c r="B10" i="9"/>
  <c r="C11" i="9" s="1"/>
  <c r="B9" i="9"/>
  <c r="B8" i="9"/>
  <c r="C9" i="9" s="1"/>
  <c r="B7" i="9"/>
  <c r="B6" i="9"/>
  <c r="B167" i="8"/>
  <c r="C167" i="8" s="1"/>
  <c r="C166" i="8"/>
  <c r="B166" i="8"/>
  <c r="B165" i="8"/>
  <c r="B164" i="8"/>
  <c r="B163" i="8"/>
  <c r="C163" i="8" s="1"/>
  <c r="B162" i="8"/>
  <c r="B161" i="8"/>
  <c r="C162" i="8" s="1"/>
  <c r="C160" i="8"/>
  <c r="B160" i="8"/>
  <c r="B159" i="8"/>
  <c r="C159" i="8" s="1"/>
  <c r="B158" i="8"/>
  <c r="B157" i="8"/>
  <c r="C158" i="8" s="1"/>
  <c r="B156" i="8"/>
  <c r="C157" i="8" s="1"/>
  <c r="B155" i="8"/>
  <c r="C155" i="8" s="1"/>
  <c r="C154" i="8"/>
  <c r="B154" i="8"/>
  <c r="B153" i="8"/>
  <c r="B152" i="8"/>
  <c r="C153" i="8" s="1"/>
  <c r="B151" i="8"/>
  <c r="C151" i="8" s="1"/>
  <c r="C150" i="8"/>
  <c r="B150" i="8"/>
  <c r="B149" i="8"/>
  <c r="B148" i="8"/>
  <c r="B147" i="8"/>
  <c r="C147" i="8" s="1"/>
  <c r="B146" i="8"/>
  <c r="B145" i="8"/>
  <c r="C146" i="8" s="1"/>
  <c r="C144" i="8"/>
  <c r="B144" i="8"/>
  <c r="B143" i="8"/>
  <c r="C143" i="8" s="1"/>
  <c r="B142" i="8"/>
  <c r="B141" i="8"/>
  <c r="C142" i="8" s="1"/>
  <c r="B140" i="8"/>
  <c r="C141" i="8" s="1"/>
  <c r="B139" i="8"/>
  <c r="C139" i="8" s="1"/>
  <c r="C138" i="8"/>
  <c r="B138" i="8"/>
  <c r="B137" i="8"/>
  <c r="B136" i="8"/>
  <c r="C137" i="8" s="1"/>
  <c r="B135" i="8"/>
  <c r="C135" i="8" s="1"/>
  <c r="C134" i="8"/>
  <c r="B134" i="8"/>
  <c r="B133" i="8"/>
  <c r="B132" i="8"/>
  <c r="B131" i="8"/>
  <c r="C132" i="8" s="1"/>
  <c r="B130" i="8"/>
  <c r="C131" i="8" s="1"/>
  <c r="B129" i="8"/>
  <c r="C130" i="8" s="1"/>
  <c r="C128" i="8"/>
  <c r="B128" i="8"/>
  <c r="B127" i="8"/>
  <c r="B126" i="8"/>
  <c r="C127" i="8" s="1"/>
  <c r="B125" i="8"/>
  <c r="C126" i="8" s="1"/>
  <c r="C124" i="8"/>
  <c r="B124" i="8"/>
  <c r="C125" i="8" s="1"/>
  <c r="B123" i="8"/>
  <c r="C122" i="8"/>
  <c r="B122" i="8"/>
  <c r="B121" i="8"/>
  <c r="B120" i="8"/>
  <c r="C121" i="8" s="1"/>
  <c r="B119" i="8"/>
  <c r="C120" i="8" s="1"/>
  <c r="C118" i="8"/>
  <c r="B118" i="8"/>
  <c r="B117" i="8"/>
  <c r="B116" i="8"/>
  <c r="B115" i="8"/>
  <c r="C116" i="8" s="1"/>
  <c r="B114" i="8"/>
  <c r="C115" i="8" s="1"/>
  <c r="B113" i="8"/>
  <c r="C114" i="8" s="1"/>
  <c r="C112" i="8"/>
  <c r="B112" i="8"/>
  <c r="B111" i="8"/>
  <c r="B110" i="8"/>
  <c r="C111" i="8" s="1"/>
  <c r="B109" i="8"/>
  <c r="C110" i="8" s="1"/>
  <c r="C108" i="8"/>
  <c r="B108" i="8"/>
  <c r="C109" i="8" s="1"/>
  <c r="B107" i="8"/>
  <c r="C106" i="8"/>
  <c r="B106" i="8"/>
  <c r="B105" i="8"/>
  <c r="B104" i="8"/>
  <c r="C105" i="8" s="1"/>
  <c r="B103" i="8"/>
  <c r="C104" i="8" s="1"/>
  <c r="C102" i="8"/>
  <c r="B102" i="8"/>
  <c r="B101" i="8"/>
  <c r="B100" i="8"/>
  <c r="B99" i="8"/>
  <c r="C100" i="8" s="1"/>
  <c r="B98" i="8"/>
  <c r="C99" i="8" s="1"/>
  <c r="B97" i="8"/>
  <c r="C98" i="8" s="1"/>
  <c r="C96" i="8"/>
  <c r="B96" i="8"/>
  <c r="B95" i="8"/>
  <c r="B94" i="8"/>
  <c r="C95" i="8" s="1"/>
  <c r="B93" i="8"/>
  <c r="C94" i="8" s="1"/>
  <c r="C92" i="8"/>
  <c r="B92" i="8"/>
  <c r="C93" i="8" s="1"/>
  <c r="B91" i="8"/>
  <c r="C90" i="8"/>
  <c r="B90" i="8"/>
  <c r="B89" i="8"/>
  <c r="B88" i="8"/>
  <c r="C89" i="8" s="1"/>
  <c r="B87" i="8"/>
  <c r="C88" i="8" s="1"/>
  <c r="C86" i="8"/>
  <c r="B86" i="8"/>
  <c r="B85" i="8"/>
  <c r="B84" i="8"/>
  <c r="B83" i="8"/>
  <c r="C84" i="8" s="1"/>
  <c r="B82" i="8"/>
  <c r="C83" i="8" s="1"/>
  <c r="B81" i="8"/>
  <c r="C82" i="8" s="1"/>
  <c r="C80" i="8"/>
  <c r="B80" i="8"/>
  <c r="B79" i="8"/>
  <c r="B78" i="8"/>
  <c r="C79" i="8" s="1"/>
  <c r="B77" i="8"/>
  <c r="C78" i="8" s="1"/>
  <c r="C76" i="8"/>
  <c r="B76" i="8"/>
  <c r="C77" i="8" s="1"/>
  <c r="B75" i="8"/>
  <c r="C74" i="8"/>
  <c r="B74" i="8"/>
  <c r="B73" i="8"/>
  <c r="B72" i="8"/>
  <c r="C73" i="8" s="1"/>
  <c r="B71" i="8"/>
  <c r="C72" i="8" s="1"/>
  <c r="C70" i="8"/>
  <c r="B70" i="8"/>
  <c r="B69" i="8"/>
  <c r="B68" i="8"/>
  <c r="B67" i="8"/>
  <c r="C68" i="8" s="1"/>
  <c r="B66" i="8"/>
  <c r="C67" i="8" s="1"/>
  <c r="B65" i="8"/>
  <c r="C66" i="8" s="1"/>
  <c r="C64" i="8"/>
  <c r="B64" i="8"/>
  <c r="B63" i="8"/>
  <c r="B62" i="8"/>
  <c r="C63" i="8" s="1"/>
  <c r="B61" i="8"/>
  <c r="C62" i="8" s="1"/>
  <c r="C60" i="8"/>
  <c r="B60" i="8"/>
  <c r="C61" i="8" s="1"/>
  <c r="B59" i="8"/>
  <c r="C58" i="8"/>
  <c r="B58" i="8"/>
  <c r="B57" i="8"/>
  <c r="B56" i="8"/>
  <c r="C57" i="8" s="1"/>
  <c r="B55" i="8"/>
  <c r="C56" i="8" s="1"/>
  <c r="C54" i="8"/>
  <c r="B54" i="8"/>
  <c r="B53" i="8"/>
  <c r="B52" i="8"/>
  <c r="B51" i="8"/>
  <c r="C52" i="8" s="1"/>
  <c r="B50" i="8"/>
  <c r="C51" i="8" s="1"/>
  <c r="B49" i="8"/>
  <c r="C50" i="8" s="1"/>
  <c r="C48" i="8"/>
  <c r="B48" i="8"/>
  <c r="B47" i="8"/>
  <c r="B46" i="8"/>
  <c r="C47" i="8" s="1"/>
  <c r="B45" i="8"/>
  <c r="C46" i="8" s="1"/>
  <c r="C44" i="8"/>
  <c r="B44" i="8"/>
  <c r="C45" i="8" s="1"/>
  <c r="B43" i="8"/>
  <c r="C42" i="8"/>
  <c r="B42" i="8"/>
  <c r="B41" i="8"/>
  <c r="B40" i="8"/>
  <c r="C41" i="8" s="1"/>
  <c r="B39" i="8"/>
  <c r="C40" i="8" s="1"/>
  <c r="C38" i="8"/>
  <c r="B38" i="8"/>
  <c r="B37" i="8"/>
  <c r="B36" i="8"/>
  <c r="B35" i="8"/>
  <c r="C36" i="8" s="1"/>
  <c r="B34" i="8"/>
  <c r="C35" i="8" s="1"/>
  <c r="B33" i="8"/>
  <c r="C34" i="8" s="1"/>
  <c r="C32" i="8"/>
  <c r="B32" i="8"/>
  <c r="B31" i="8"/>
  <c r="B30" i="8"/>
  <c r="C31" i="8" s="1"/>
  <c r="B29" i="8"/>
  <c r="C30" i="8" s="1"/>
  <c r="C28" i="8"/>
  <c r="B28" i="8"/>
  <c r="C29" i="8" s="1"/>
  <c r="B27" i="8"/>
  <c r="C26" i="8"/>
  <c r="B26" i="8"/>
  <c r="B25" i="8"/>
  <c r="B24" i="8"/>
  <c r="C25" i="8" s="1"/>
  <c r="B23" i="8"/>
  <c r="C24" i="8" s="1"/>
  <c r="C22" i="8"/>
  <c r="B22" i="8"/>
  <c r="B21" i="8"/>
  <c r="B20" i="8"/>
  <c r="B19" i="8"/>
  <c r="C20" i="8" s="1"/>
  <c r="B18" i="8"/>
  <c r="C19" i="8" s="1"/>
  <c r="B17" i="8"/>
  <c r="C18" i="8" s="1"/>
  <c r="C16" i="8"/>
  <c r="B16" i="8"/>
  <c r="B15" i="8"/>
  <c r="B14" i="8"/>
  <c r="C15" i="8" s="1"/>
  <c r="B13" i="8"/>
  <c r="C14" i="8" s="1"/>
  <c r="C12" i="8"/>
  <c r="B12" i="8"/>
  <c r="C13" i="8" s="1"/>
  <c r="B11" i="8"/>
  <c r="C10" i="8"/>
  <c r="B10" i="8"/>
  <c r="B9" i="8"/>
  <c r="B8" i="8"/>
  <c r="C9" i="8" s="1"/>
  <c r="B7" i="8"/>
  <c r="C8" i="8" s="1"/>
  <c r="B6" i="8"/>
  <c r="C7" i="8" s="1"/>
  <c r="B140" i="7"/>
  <c r="C139" i="7"/>
  <c r="B139" i="7"/>
  <c r="C140" i="7" s="1"/>
  <c r="B138" i="7"/>
  <c r="C137" i="7"/>
  <c r="B137" i="7"/>
  <c r="C138" i="7" s="1"/>
  <c r="B136" i="7"/>
  <c r="C135" i="7"/>
  <c r="B135" i="7"/>
  <c r="C136" i="7" s="1"/>
  <c r="B134" i="7"/>
  <c r="B133" i="7"/>
  <c r="C134" i="7" s="1"/>
  <c r="B132" i="7"/>
  <c r="C131" i="7"/>
  <c r="B131" i="7"/>
  <c r="C132" i="7" s="1"/>
  <c r="C130" i="7"/>
  <c r="B130" i="7"/>
  <c r="C129" i="7"/>
  <c r="B129" i="7"/>
  <c r="B128" i="7"/>
  <c r="B127" i="7"/>
  <c r="C128" i="7" s="1"/>
  <c r="C126" i="7"/>
  <c r="B126" i="7"/>
  <c r="B125" i="7"/>
  <c r="C125" i="7" s="1"/>
  <c r="B124" i="7"/>
  <c r="C123" i="7"/>
  <c r="B123" i="7"/>
  <c r="C124" i="7" s="1"/>
  <c r="C122" i="7"/>
  <c r="B122" i="7"/>
  <c r="C121" i="7"/>
  <c r="B121" i="7"/>
  <c r="B120" i="7"/>
  <c r="B119" i="7"/>
  <c r="C120" i="7" s="1"/>
  <c r="C118" i="7"/>
  <c r="B118" i="7"/>
  <c r="C117" i="7"/>
  <c r="B117" i="7"/>
  <c r="B116" i="7"/>
  <c r="C115" i="7"/>
  <c r="B115" i="7"/>
  <c r="C116" i="7" s="1"/>
  <c r="C114" i="7"/>
  <c r="B114" i="7"/>
  <c r="C113" i="7"/>
  <c r="B113" i="7"/>
  <c r="B112" i="7"/>
  <c r="B111" i="7"/>
  <c r="C112" i="7" s="1"/>
  <c r="B110" i="7"/>
  <c r="B109" i="7"/>
  <c r="C110" i="7" s="1"/>
  <c r="B108" i="7"/>
  <c r="C107" i="7"/>
  <c r="B107" i="7"/>
  <c r="C108" i="7" s="1"/>
  <c r="B106" i="7"/>
  <c r="C105" i="7"/>
  <c r="B105" i="7"/>
  <c r="C106" i="7" s="1"/>
  <c r="B104" i="7"/>
  <c r="C103" i="7"/>
  <c r="B103" i="7"/>
  <c r="C104" i="7" s="1"/>
  <c r="B102" i="7"/>
  <c r="B101" i="7"/>
  <c r="C102" i="7" s="1"/>
  <c r="B100" i="7"/>
  <c r="C99" i="7"/>
  <c r="B99" i="7"/>
  <c r="C100" i="7" s="1"/>
  <c r="C98" i="7"/>
  <c r="B98" i="7"/>
  <c r="C97" i="7"/>
  <c r="B97" i="7"/>
  <c r="B96" i="7"/>
  <c r="B95" i="7"/>
  <c r="C96" i="7" s="1"/>
  <c r="C94" i="7"/>
  <c r="B94" i="7"/>
  <c r="B93" i="7"/>
  <c r="C93" i="7" s="1"/>
  <c r="B92" i="7"/>
  <c r="C91" i="7"/>
  <c r="B91" i="7"/>
  <c r="C92" i="7" s="1"/>
  <c r="C90" i="7"/>
  <c r="B90" i="7"/>
  <c r="C89" i="7"/>
  <c r="B89" i="7"/>
  <c r="B88" i="7"/>
  <c r="B87" i="7"/>
  <c r="C88" i="7" s="1"/>
  <c r="C86" i="7"/>
  <c r="B86" i="7"/>
  <c r="C85" i="7"/>
  <c r="B85" i="7"/>
  <c r="B84" i="7"/>
  <c r="C83" i="7"/>
  <c r="B83" i="7"/>
  <c r="C84" i="7" s="1"/>
  <c r="C82" i="7"/>
  <c r="B82" i="7"/>
  <c r="C81" i="7"/>
  <c r="B81" i="7"/>
  <c r="B80" i="7"/>
  <c r="B79" i="7"/>
  <c r="C80" i="7" s="1"/>
  <c r="B78" i="7"/>
  <c r="B77" i="7"/>
  <c r="C78" i="7" s="1"/>
  <c r="B76" i="7"/>
  <c r="C75" i="7"/>
  <c r="B75" i="7"/>
  <c r="C76" i="7" s="1"/>
  <c r="B74" i="7"/>
  <c r="C73" i="7"/>
  <c r="B73" i="7"/>
  <c r="C74" i="7" s="1"/>
  <c r="B72" i="7"/>
  <c r="C71" i="7"/>
  <c r="B71" i="7"/>
  <c r="C72" i="7" s="1"/>
  <c r="B70" i="7"/>
  <c r="B69" i="7"/>
  <c r="C70" i="7" s="1"/>
  <c r="B68" i="7"/>
  <c r="C67" i="7"/>
  <c r="B67" i="7"/>
  <c r="C68" i="7" s="1"/>
  <c r="C66" i="7"/>
  <c r="B66" i="7"/>
  <c r="C65" i="7"/>
  <c r="B65" i="7"/>
  <c r="B64" i="7"/>
  <c r="B63" i="7"/>
  <c r="C64" i="7" s="1"/>
  <c r="C62" i="7"/>
  <c r="B62" i="7"/>
  <c r="B61" i="7"/>
  <c r="C61" i="7" s="1"/>
  <c r="B60" i="7"/>
  <c r="C59" i="7"/>
  <c r="B59" i="7"/>
  <c r="C60" i="7" s="1"/>
  <c r="C58" i="7"/>
  <c r="B58" i="7"/>
  <c r="C57" i="7"/>
  <c r="B57" i="7"/>
  <c r="B56" i="7"/>
  <c r="B55" i="7"/>
  <c r="C56" i="7" s="1"/>
  <c r="C54" i="7"/>
  <c r="B54" i="7"/>
  <c r="C53" i="7"/>
  <c r="B53" i="7"/>
  <c r="B52" i="7"/>
  <c r="C51" i="7"/>
  <c r="B51" i="7"/>
  <c r="C52" i="7" s="1"/>
  <c r="C50" i="7"/>
  <c r="B50" i="7"/>
  <c r="C49" i="7"/>
  <c r="B49" i="7"/>
  <c r="B48" i="7"/>
  <c r="B47" i="7"/>
  <c r="C48" i="7" s="1"/>
  <c r="B46" i="7"/>
  <c r="B45" i="7"/>
  <c r="C46" i="7" s="1"/>
  <c r="B44" i="7"/>
  <c r="C43" i="7"/>
  <c r="B43" i="7"/>
  <c r="C44" i="7" s="1"/>
  <c r="B42" i="7"/>
  <c r="C41" i="7"/>
  <c r="B41" i="7"/>
  <c r="C42" i="7" s="1"/>
  <c r="B40" i="7"/>
  <c r="C39" i="7"/>
  <c r="B39" i="7"/>
  <c r="C40" i="7" s="1"/>
  <c r="B38" i="7"/>
  <c r="B37" i="7"/>
  <c r="C38" i="7" s="1"/>
  <c r="B36" i="7"/>
  <c r="C35" i="7"/>
  <c r="B35" i="7"/>
  <c r="C36" i="7" s="1"/>
  <c r="C34" i="7"/>
  <c r="B34" i="7"/>
  <c r="C33" i="7"/>
  <c r="B33" i="7"/>
  <c r="B32" i="7"/>
  <c r="B31" i="7"/>
  <c r="C32" i="7" s="1"/>
  <c r="C30" i="7"/>
  <c r="B30" i="7"/>
  <c r="B29" i="7"/>
  <c r="C29" i="7" s="1"/>
  <c r="B28" i="7"/>
  <c r="C27" i="7"/>
  <c r="B27" i="7"/>
  <c r="C28" i="7" s="1"/>
  <c r="C26" i="7"/>
  <c r="B26" i="7"/>
  <c r="C25" i="7"/>
  <c r="B25" i="7"/>
  <c r="B24" i="7"/>
  <c r="B23" i="7"/>
  <c r="C24" i="7" s="1"/>
  <c r="C22" i="7"/>
  <c r="B22" i="7"/>
  <c r="C21" i="7"/>
  <c r="B21" i="7"/>
  <c r="B20" i="7"/>
  <c r="C19" i="7"/>
  <c r="B19" i="7"/>
  <c r="C20" i="7" s="1"/>
  <c r="C18" i="7"/>
  <c r="B18" i="7"/>
  <c r="C17" i="7"/>
  <c r="B17" i="7"/>
  <c r="B16" i="7"/>
  <c r="B15" i="7"/>
  <c r="C16" i="7" s="1"/>
  <c r="B14" i="7"/>
  <c r="B13" i="7"/>
  <c r="C14" i="7" s="1"/>
  <c r="B12" i="7"/>
  <c r="C11" i="7"/>
  <c r="B11" i="7"/>
  <c r="C12" i="7" s="1"/>
  <c r="B10" i="7"/>
  <c r="C9" i="7"/>
  <c r="B9" i="7"/>
  <c r="C10" i="7" s="1"/>
  <c r="B8" i="7"/>
  <c r="C7" i="7"/>
  <c r="B7" i="7"/>
  <c r="C8" i="7" s="1"/>
  <c r="B6" i="7"/>
  <c r="B180" i="6"/>
  <c r="C180" i="6" s="1"/>
  <c r="B179" i="6"/>
  <c r="B178" i="6"/>
  <c r="C179" i="6" s="1"/>
  <c r="C177" i="6"/>
  <c r="B177" i="6"/>
  <c r="B176" i="6"/>
  <c r="C176" i="6" s="1"/>
  <c r="B175" i="6"/>
  <c r="B174" i="6"/>
  <c r="C175" i="6" s="1"/>
  <c r="B173" i="6"/>
  <c r="C174" i="6" s="1"/>
  <c r="B172" i="6"/>
  <c r="C172" i="6" s="1"/>
  <c r="C171" i="6"/>
  <c r="B171" i="6"/>
  <c r="B170" i="6"/>
  <c r="B169" i="6"/>
  <c r="C170" i="6" s="1"/>
  <c r="B168" i="6"/>
  <c r="C168" i="6" s="1"/>
  <c r="C167" i="6"/>
  <c r="B167" i="6"/>
  <c r="B166" i="6"/>
  <c r="C165" i="6"/>
  <c r="B165" i="6"/>
  <c r="B164" i="6"/>
  <c r="B163" i="6"/>
  <c r="C164" i="6" s="1"/>
  <c r="B162" i="6"/>
  <c r="C163" i="6" s="1"/>
  <c r="C161" i="6"/>
  <c r="B161" i="6"/>
  <c r="B160" i="6"/>
  <c r="B159" i="6"/>
  <c r="B158" i="6"/>
  <c r="C159" i="6" s="1"/>
  <c r="B157" i="6"/>
  <c r="C158" i="6" s="1"/>
  <c r="B156" i="6"/>
  <c r="C157" i="6" s="1"/>
  <c r="C155" i="6"/>
  <c r="B155" i="6"/>
  <c r="B154" i="6"/>
  <c r="B153" i="6"/>
  <c r="C154" i="6" s="1"/>
  <c r="B152" i="6"/>
  <c r="C153" i="6" s="1"/>
  <c r="B151" i="6"/>
  <c r="C152" i="6" s="1"/>
  <c r="B150" i="6"/>
  <c r="C149" i="6"/>
  <c r="B149" i="6"/>
  <c r="B148" i="6"/>
  <c r="B147" i="6"/>
  <c r="C148" i="6" s="1"/>
  <c r="B146" i="6"/>
  <c r="C147" i="6" s="1"/>
  <c r="C145" i="6"/>
  <c r="B145" i="6"/>
  <c r="B144" i="6"/>
  <c r="B143" i="6"/>
  <c r="B142" i="6"/>
  <c r="C143" i="6" s="1"/>
  <c r="B141" i="6"/>
  <c r="C142" i="6" s="1"/>
  <c r="B140" i="6"/>
  <c r="C141" i="6" s="1"/>
  <c r="C139" i="6"/>
  <c r="B139" i="6"/>
  <c r="B138" i="6"/>
  <c r="B137" i="6"/>
  <c r="C138" i="6" s="1"/>
  <c r="B136" i="6"/>
  <c r="C137" i="6" s="1"/>
  <c r="B135" i="6"/>
  <c r="C136" i="6" s="1"/>
  <c r="B134" i="6"/>
  <c r="C133" i="6"/>
  <c r="B133" i="6"/>
  <c r="B132" i="6"/>
  <c r="B131" i="6"/>
  <c r="C132" i="6" s="1"/>
  <c r="B130" i="6"/>
  <c r="C131" i="6" s="1"/>
  <c r="C129" i="6"/>
  <c r="B129" i="6"/>
  <c r="B128" i="6"/>
  <c r="B127" i="6"/>
  <c r="C128" i="6" s="1"/>
  <c r="B126" i="6"/>
  <c r="C127" i="6" s="1"/>
  <c r="C125" i="6"/>
  <c r="B125" i="6"/>
  <c r="C124" i="6"/>
  <c r="B124" i="6"/>
  <c r="B123" i="6"/>
  <c r="B122" i="6"/>
  <c r="C123" i="6" s="1"/>
  <c r="B121" i="6"/>
  <c r="C122" i="6" s="1"/>
  <c r="C120" i="6"/>
  <c r="B120" i="6"/>
  <c r="B119" i="6"/>
  <c r="B118" i="6"/>
  <c r="C119" i="6" s="1"/>
  <c r="C117" i="6"/>
  <c r="B117" i="6"/>
  <c r="C118" i="6" s="1"/>
  <c r="C116" i="6"/>
  <c r="B116" i="6"/>
  <c r="C115" i="6"/>
  <c r="B115" i="6"/>
  <c r="B114" i="6"/>
  <c r="B113" i="6"/>
  <c r="C114" i="6" s="1"/>
  <c r="B112" i="6"/>
  <c r="C113" i="6" s="1"/>
  <c r="C111" i="6"/>
  <c r="B111" i="6"/>
  <c r="B110" i="6"/>
  <c r="B109" i="6"/>
  <c r="C110" i="6" s="1"/>
  <c r="C108" i="6"/>
  <c r="B108" i="6"/>
  <c r="C109" i="6" s="1"/>
  <c r="C107" i="6"/>
  <c r="B107" i="6"/>
  <c r="B106" i="6"/>
  <c r="B105" i="6"/>
  <c r="B104" i="6"/>
  <c r="C105" i="6" s="1"/>
  <c r="B103" i="6"/>
  <c r="C104" i="6" s="1"/>
  <c r="B102" i="6"/>
  <c r="C101" i="6"/>
  <c r="B101" i="6"/>
  <c r="B100" i="6"/>
  <c r="B99" i="6"/>
  <c r="C100" i="6" s="1"/>
  <c r="B98" i="6"/>
  <c r="C99" i="6" s="1"/>
  <c r="C97" i="6"/>
  <c r="B97" i="6"/>
  <c r="B96" i="6"/>
  <c r="B95" i="6"/>
  <c r="C96" i="6" s="1"/>
  <c r="B94" i="6"/>
  <c r="C95" i="6" s="1"/>
  <c r="C93" i="6"/>
  <c r="B93" i="6"/>
  <c r="C92" i="6"/>
  <c r="B92" i="6"/>
  <c r="B91" i="6"/>
  <c r="B90" i="6"/>
  <c r="C91" i="6" s="1"/>
  <c r="B89" i="6"/>
  <c r="C90" i="6" s="1"/>
  <c r="C88" i="6"/>
  <c r="B88" i="6"/>
  <c r="B87" i="6"/>
  <c r="B86" i="6"/>
  <c r="C87" i="6" s="1"/>
  <c r="C85" i="6"/>
  <c r="B85" i="6"/>
  <c r="C86" i="6" s="1"/>
  <c r="C84" i="6"/>
  <c r="B84" i="6"/>
  <c r="C83" i="6"/>
  <c r="B83" i="6"/>
  <c r="B82" i="6"/>
  <c r="B81" i="6"/>
  <c r="C82" i="6" s="1"/>
  <c r="B80" i="6"/>
  <c r="C81" i="6" s="1"/>
  <c r="C79" i="6"/>
  <c r="B79" i="6"/>
  <c r="B78" i="6"/>
  <c r="B77" i="6"/>
  <c r="C78" i="6" s="1"/>
  <c r="C76" i="6"/>
  <c r="B76" i="6"/>
  <c r="C77" i="6" s="1"/>
  <c r="C75" i="6"/>
  <c r="B75" i="6"/>
  <c r="B74" i="6"/>
  <c r="B73" i="6"/>
  <c r="B72" i="6"/>
  <c r="C73" i="6" s="1"/>
  <c r="B71" i="6"/>
  <c r="C72" i="6" s="1"/>
  <c r="B70" i="6"/>
  <c r="C69" i="6"/>
  <c r="B69" i="6"/>
  <c r="B68" i="6"/>
  <c r="B67" i="6"/>
  <c r="C68" i="6" s="1"/>
  <c r="B66" i="6"/>
  <c r="C67" i="6" s="1"/>
  <c r="C65" i="6"/>
  <c r="B65" i="6"/>
  <c r="B64" i="6"/>
  <c r="B63" i="6"/>
  <c r="C64" i="6" s="1"/>
  <c r="B62" i="6"/>
  <c r="C63" i="6" s="1"/>
  <c r="C61" i="6"/>
  <c r="B61" i="6"/>
  <c r="C60" i="6"/>
  <c r="B60" i="6"/>
  <c r="B59" i="6"/>
  <c r="B58" i="6"/>
  <c r="C59" i="6" s="1"/>
  <c r="B57" i="6"/>
  <c r="C58" i="6" s="1"/>
  <c r="C56" i="6"/>
  <c r="B56" i="6"/>
  <c r="B55" i="6"/>
  <c r="B54" i="6"/>
  <c r="C55" i="6" s="1"/>
  <c r="C53" i="6"/>
  <c r="B53" i="6"/>
  <c r="C54" i="6" s="1"/>
  <c r="C52" i="6"/>
  <c r="B52" i="6"/>
  <c r="C51" i="6"/>
  <c r="B51" i="6"/>
  <c r="B50" i="6"/>
  <c r="B49" i="6"/>
  <c r="C50" i="6" s="1"/>
  <c r="B48" i="6"/>
  <c r="C49" i="6" s="1"/>
  <c r="C47" i="6"/>
  <c r="B47" i="6"/>
  <c r="B46" i="6"/>
  <c r="B45" i="6"/>
  <c r="C46" i="6" s="1"/>
  <c r="C44" i="6"/>
  <c r="B44" i="6"/>
  <c r="C45" i="6" s="1"/>
  <c r="C43" i="6"/>
  <c r="B43" i="6"/>
  <c r="B42" i="6"/>
  <c r="B41" i="6"/>
  <c r="B40" i="6"/>
  <c r="C41" i="6" s="1"/>
  <c r="B39" i="6"/>
  <c r="C40" i="6" s="1"/>
  <c r="B38" i="6"/>
  <c r="C37" i="6"/>
  <c r="B37" i="6"/>
  <c r="B36" i="6"/>
  <c r="B35" i="6"/>
  <c r="C36" i="6" s="1"/>
  <c r="B34" i="6"/>
  <c r="C35" i="6" s="1"/>
  <c r="C33" i="6"/>
  <c r="B33" i="6"/>
  <c r="B32" i="6"/>
  <c r="B31" i="6"/>
  <c r="C32" i="6" s="1"/>
  <c r="B30" i="6"/>
  <c r="C31" i="6" s="1"/>
  <c r="C29" i="6"/>
  <c r="B29" i="6"/>
  <c r="C28" i="6"/>
  <c r="B28" i="6"/>
  <c r="B27" i="6"/>
  <c r="B26" i="6"/>
  <c r="C27" i="6" s="1"/>
  <c r="B25" i="6"/>
  <c r="C26" i="6" s="1"/>
  <c r="C24" i="6"/>
  <c r="B24" i="6"/>
  <c r="B23" i="6"/>
  <c r="B22" i="6"/>
  <c r="C23" i="6" s="1"/>
  <c r="C21" i="6"/>
  <c r="B21" i="6"/>
  <c r="C22" i="6" s="1"/>
  <c r="C20" i="6"/>
  <c r="B20" i="6"/>
  <c r="C19" i="6"/>
  <c r="B19" i="6"/>
  <c r="B18" i="6"/>
  <c r="C17" i="6"/>
  <c r="B17" i="6"/>
  <c r="C18" i="6" s="1"/>
  <c r="C16" i="6"/>
  <c r="B16" i="6"/>
  <c r="C15" i="6"/>
  <c r="B15" i="6"/>
  <c r="B14" i="6"/>
  <c r="B13" i="6"/>
  <c r="C14" i="6" s="1"/>
  <c r="C12" i="6"/>
  <c r="B12" i="6"/>
  <c r="C11" i="6"/>
  <c r="B11" i="6"/>
  <c r="B10" i="6"/>
  <c r="B9" i="6"/>
  <c r="C10" i="6" s="1"/>
  <c r="C8" i="6"/>
  <c r="B8" i="6"/>
  <c r="C7" i="6"/>
  <c r="B7" i="6"/>
  <c r="B6" i="6"/>
  <c r="B105" i="5"/>
  <c r="B104" i="5"/>
  <c r="C105" i="5" s="1"/>
  <c r="C103" i="5"/>
  <c r="B103" i="5"/>
  <c r="B102" i="5"/>
  <c r="B101" i="5"/>
  <c r="C102" i="5" s="1"/>
  <c r="B100" i="5"/>
  <c r="D89" i="3" s="1"/>
  <c r="C99" i="5"/>
  <c r="B99" i="5"/>
  <c r="B98" i="5"/>
  <c r="B97" i="5"/>
  <c r="C98" i="5" s="1"/>
  <c r="B96" i="5"/>
  <c r="C97" i="5" s="1"/>
  <c r="C95" i="5"/>
  <c r="B95" i="5"/>
  <c r="B94" i="5"/>
  <c r="B93" i="5"/>
  <c r="C94" i="5" s="1"/>
  <c r="B92" i="5"/>
  <c r="D81" i="3" s="1"/>
  <c r="C91" i="5"/>
  <c r="B91" i="5"/>
  <c r="B90" i="5"/>
  <c r="B89" i="5"/>
  <c r="C90" i="5" s="1"/>
  <c r="B88" i="5"/>
  <c r="C89" i="5" s="1"/>
  <c r="C87" i="5"/>
  <c r="B87" i="5"/>
  <c r="B86" i="5"/>
  <c r="B85" i="5"/>
  <c r="C86" i="5" s="1"/>
  <c r="B84" i="5"/>
  <c r="D73" i="3" s="1"/>
  <c r="C83" i="5"/>
  <c r="B83" i="5"/>
  <c r="B82" i="5"/>
  <c r="B81" i="5"/>
  <c r="C82" i="5" s="1"/>
  <c r="B80" i="5"/>
  <c r="C81" i="5" s="1"/>
  <c r="C79" i="5"/>
  <c r="B79" i="5"/>
  <c r="B78" i="5"/>
  <c r="B77" i="5"/>
  <c r="C78" i="5" s="1"/>
  <c r="B76" i="5"/>
  <c r="D65" i="3" s="1"/>
  <c r="C75" i="5"/>
  <c r="B75" i="5"/>
  <c r="B74" i="5"/>
  <c r="B73" i="5"/>
  <c r="C74" i="5" s="1"/>
  <c r="B72" i="5"/>
  <c r="C73" i="5" s="1"/>
  <c r="C71" i="5"/>
  <c r="B71" i="5"/>
  <c r="B70" i="5"/>
  <c r="B69" i="5"/>
  <c r="C70" i="5" s="1"/>
  <c r="B68" i="5"/>
  <c r="D57" i="3" s="1"/>
  <c r="C67" i="5"/>
  <c r="B67" i="5"/>
  <c r="B66" i="5"/>
  <c r="B65" i="5"/>
  <c r="C66" i="5" s="1"/>
  <c r="B64" i="5"/>
  <c r="C65" i="5" s="1"/>
  <c r="C63" i="5"/>
  <c r="B63" i="5"/>
  <c r="B62" i="5"/>
  <c r="B61" i="5"/>
  <c r="C62" i="5" s="1"/>
  <c r="B60" i="5"/>
  <c r="D49" i="3" s="1"/>
  <c r="C59" i="5"/>
  <c r="B59" i="5"/>
  <c r="B58" i="5"/>
  <c r="B57" i="5"/>
  <c r="C58" i="5" s="1"/>
  <c r="B56" i="5"/>
  <c r="C57" i="5" s="1"/>
  <c r="C55" i="5"/>
  <c r="B55" i="5"/>
  <c r="B54" i="5"/>
  <c r="B53" i="5"/>
  <c r="C54" i="5" s="1"/>
  <c r="B52" i="5"/>
  <c r="D41" i="3" s="1"/>
  <c r="C51" i="5"/>
  <c r="B51" i="5"/>
  <c r="B50" i="5"/>
  <c r="B49" i="5"/>
  <c r="C50" i="5" s="1"/>
  <c r="B48" i="5"/>
  <c r="C49" i="5" s="1"/>
  <c r="C47" i="5"/>
  <c r="B47" i="5"/>
  <c r="B46" i="5"/>
  <c r="B45" i="5"/>
  <c r="C46" i="5" s="1"/>
  <c r="B44" i="5"/>
  <c r="D33" i="3" s="1"/>
  <c r="C43" i="5"/>
  <c r="B43" i="5"/>
  <c r="B42" i="5"/>
  <c r="B41" i="5"/>
  <c r="C42" i="5" s="1"/>
  <c r="B40" i="5"/>
  <c r="C41" i="5" s="1"/>
  <c r="C39" i="5"/>
  <c r="B39" i="5"/>
  <c r="B38" i="5"/>
  <c r="B37" i="5"/>
  <c r="C38" i="5" s="1"/>
  <c r="B36" i="5"/>
  <c r="D25" i="3" s="1"/>
  <c r="C35" i="5"/>
  <c r="B35" i="5"/>
  <c r="B34" i="5"/>
  <c r="B33" i="5"/>
  <c r="C34" i="5" s="1"/>
  <c r="B32" i="5"/>
  <c r="C33" i="5" s="1"/>
  <c r="C31" i="5"/>
  <c r="B31" i="5"/>
  <c r="B30" i="5"/>
  <c r="B29" i="5"/>
  <c r="C30" i="5" s="1"/>
  <c r="B28" i="5"/>
  <c r="D17" i="3" s="1"/>
  <c r="C27" i="5"/>
  <c r="B27" i="5"/>
  <c r="B26" i="5"/>
  <c r="B25" i="5"/>
  <c r="C26" i="5" s="1"/>
  <c r="B24" i="5"/>
  <c r="C25" i="5" s="1"/>
  <c r="C23" i="5"/>
  <c r="B23" i="5"/>
  <c r="B22" i="5"/>
  <c r="B21" i="5"/>
  <c r="C22" i="5" s="1"/>
  <c r="B20" i="5"/>
  <c r="C21" i="5" s="1"/>
  <c r="C19" i="5"/>
  <c r="B19" i="5"/>
  <c r="B18" i="5"/>
  <c r="B17" i="5"/>
  <c r="C18" i="5" s="1"/>
  <c r="B16" i="5"/>
  <c r="C17" i="5" s="1"/>
  <c r="C15" i="5"/>
  <c r="B15" i="5"/>
  <c r="B14" i="5"/>
  <c r="B13" i="5"/>
  <c r="C14" i="5" s="1"/>
  <c r="B12" i="5"/>
  <c r="C13" i="5" s="1"/>
  <c r="C11" i="5"/>
  <c r="B11" i="5"/>
  <c r="B10" i="5"/>
  <c r="B9" i="5"/>
  <c r="C10" i="5" s="1"/>
  <c r="B8" i="5"/>
  <c r="C9" i="5" s="1"/>
  <c r="C7" i="5"/>
  <c r="B7" i="5"/>
  <c r="B6" i="5"/>
  <c r="B141" i="4"/>
  <c r="C140" i="4"/>
  <c r="B140" i="4"/>
  <c r="C141" i="4" s="1"/>
  <c r="C139" i="4"/>
  <c r="B139" i="4"/>
  <c r="C138" i="4"/>
  <c r="B138" i="4"/>
  <c r="B137" i="4"/>
  <c r="C136" i="4"/>
  <c r="B136" i="4"/>
  <c r="C137" i="4" s="1"/>
  <c r="C135" i="4"/>
  <c r="B135" i="4"/>
  <c r="C88" i="3" s="1"/>
  <c r="C134" i="4"/>
  <c r="B134" i="4"/>
  <c r="B133" i="4"/>
  <c r="C132" i="4"/>
  <c r="B132" i="4"/>
  <c r="C133" i="4" s="1"/>
  <c r="C131" i="4"/>
  <c r="B131" i="4"/>
  <c r="C130" i="4"/>
  <c r="B130" i="4"/>
  <c r="B129" i="4"/>
  <c r="C128" i="4"/>
  <c r="B128" i="4"/>
  <c r="C129" i="4" s="1"/>
  <c r="C127" i="4"/>
  <c r="B127" i="4"/>
  <c r="C80" i="3" s="1"/>
  <c r="C126" i="4"/>
  <c r="B126" i="4"/>
  <c r="B125" i="4"/>
  <c r="C124" i="4"/>
  <c r="B124" i="4"/>
  <c r="C125" i="4" s="1"/>
  <c r="C123" i="4"/>
  <c r="B123" i="4"/>
  <c r="C122" i="4"/>
  <c r="B122" i="4"/>
  <c r="B121" i="4"/>
  <c r="C120" i="4"/>
  <c r="B120" i="4"/>
  <c r="C121" i="4" s="1"/>
  <c r="C119" i="4"/>
  <c r="B119" i="4"/>
  <c r="C72" i="3" s="1"/>
  <c r="C118" i="4"/>
  <c r="B118" i="4"/>
  <c r="B117" i="4"/>
  <c r="C116" i="4"/>
  <c r="B116" i="4"/>
  <c r="C117" i="4" s="1"/>
  <c r="C115" i="4"/>
  <c r="B115" i="4"/>
  <c r="C114" i="4"/>
  <c r="B114" i="4"/>
  <c r="B113" i="4"/>
  <c r="B112" i="4"/>
  <c r="C113" i="4" s="1"/>
  <c r="C111" i="4"/>
  <c r="B111" i="4"/>
  <c r="C64" i="3" s="1"/>
  <c r="C110" i="4"/>
  <c r="B110" i="4"/>
  <c r="B109" i="4"/>
  <c r="B108" i="4"/>
  <c r="C109" i="4" s="1"/>
  <c r="C107" i="4"/>
  <c r="B107" i="4"/>
  <c r="C108" i="4" s="1"/>
  <c r="C106" i="4"/>
  <c r="B106" i="4"/>
  <c r="B105" i="4"/>
  <c r="B104" i="4"/>
  <c r="C105" i="4" s="1"/>
  <c r="C103" i="4"/>
  <c r="B103" i="4"/>
  <c r="C56" i="3" s="1"/>
  <c r="C102" i="4"/>
  <c r="B102" i="4"/>
  <c r="B101" i="4"/>
  <c r="B100" i="4"/>
  <c r="C101" i="4" s="1"/>
  <c r="C99" i="4"/>
  <c r="B99" i="4"/>
  <c r="C100" i="4" s="1"/>
  <c r="C98" i="4"/>
  <c r="B98" i="4"/>
  <c r="B97" i="4"/>
  <c r="B96" i="4"/>
  <c r="C97" i="4" s="1"/>
  <c r="C95" i="4"/>
  <c r="B95" i="4"/>
  <c r="C48" i="3" s="1"/>
  <c r="C94" i="4"/>
  <c r="B94" i="4"/>
  <c r="B93" i="4"/>
  <c r="B92" i="4"/>
  <c r="C93" i="4" s="1"/>
  <c r="C91" i="4"/>
  <c r="B91" i="4"/>
  <c r="C92" i="4" s="1"/>
  <c r="C90" i="4"/>
  <c r="B90" i="4"/>
  <c r="B89" i="4"/>
  <c r="B88" i="4"/>
  <c r="C89" i="4" s="1"/>
  <c r="C87" i="4"/>
  <c r="B87" i="4"/>
  <c r="C40" i="3" s="1"/>
  <c r="C86" i="4"/>
  <c r="B86" i="4"/>
  <c r="B85" i="4"/>
  <c r="B84" i="4"/>
  <c r="C85" i="4" s="1"/>
  <c r="C83" i="4"/>
  <c r="B83" i="4"/>
  <c r="C84" i="4" s="1"/>
  <c r="C82" i="4"/>
  <c r="B82" i="4"/>
  <c r="B81" i="4"/>
  <c r="B80" i="4"/>
  <c r="C81" i="4" s="1"/>
  <c r="C79" i="4"/>
  <c r="B79" i="4"/>
  <c r="C32" i="3" s="1"/>
  <c r="C78" i="4"/>
  <c r="B78" i="4"/>
  <c r="B77" i="4"/>
  <c r="B76" i="4"/>
  <c r="C77" i="4" s="1"/>
  <c r="C75" i="4"/>
  <c r="B75" i="4"/>
  <c r="C76" i="4" s="1"/>
  <c r="C74" i="4"/>
  <c r="B74" i="4"/>
  <c r="B73" i="4"/>
  <c r="B72" i="4"/>
  <c r="C73" i="4" s="1"/>
  <c r="C71" i="4"/>
  <c r="B71" i="4"/>
  <c r="C24" i="3" s="1"/>
  <c r="C70" i="4"/>
  <c r="B70" i="4"/>
  <c r="B69" i="4"/>
  <c r="B68" i="4"/>
  <c r="C69" i="4" s="1"/>
  <c r="C67" i="4"/>
  <c r="B67" i="4"/>
  <c r="C68" i="4" s="1"/>
  <c r="C66" i="4"/>
  <c r="B66" i="4"/>
  <c r="B65" i="4"/>
  <c r="B64" i="4"/>
  <c r="C65" i="4" s="1"/>
  <c r="C63" i="4"/>
  <c r="B63" i="4"/>
  <c r="C16" i="3" s="1"/>
  <c r="C62" i="4"/>
  <c r="B62" i="4"/>
  <c r="B61" i="4"/>
  <c r="B60" i="4"/>
  <c r="C61" i="4" s="1"/>
  <c r="C59" i="4"/>
  <c r="B59" i="4"/>
  <c r="C60" i="4" s="1"/>
  <c r="C58" i="4"/>
  <c r="B58" i="4"/>
  <c r="B57" i="4"/>
  <c r="B56" i="4"/>
  <c r="C57" i="4" s="1"/>
  <c r="C55" i="4"/>
  <c r="B55" i="4"/>
  <c r="C56" i="4" s="1"/>
  <c r="C54" i="4"/>
  <c r="B54" i="4"/>
  <c r="B53" i="4"/>
  <c r="B52" i="4"/>
  <c r="C53" i="4" s="1"/>
  <c r="C51" i="4"/>
  <c r="B51" i="4"/>
  <c r="C52" i="4" s="1"/>
  <c r="C50" i="4"/>
  <c r="B50" i="4"/>
  <c r="B49" i="4"/>
  <c r="B48" i="4"/>
  <c r="C49" i="4" s="1"/>
  <c r="C47" i="4"/>
  <c r="B47" i="4"/>
  <c r="C48" i="4" s="1"/>
  <c r="C46" i="4"/>
  <c r="B46" i="4"/>
  <c r="B45" i="4"/>
  <c r="B44" i="4"/>
  <c r="C45" i="4" s="1"/>
  <c r="C43" i="4"/>
  <c r="B43" i="4"/>
  <c r="C44" i="4" s="1"/>
  <c r="C42" i="4"/>
  <c r="B42" i="4"/>
  <c r="B41" i="4"/>
  <c r="B40" i="4"/>
  <c r="C41" i="4" s="1"/>
  <c r="C39" i="4"/>
  <c r="B39" i="4"/>
  <c r="C40" i="4" s="1"/>
  <c r="C38" i="4"/>
  <c r="B38" i="4"/>
  <c r="B37" i="4"/>
  <c r="B36" i="4"/>
  <c r="C37" i="4" s="1"/>
  <c r="B35" i="4"/>
  <c r="C36" i="4" s="1"/>
  <c r="C34" i="4"/>
  <c r="B34" i="4"/>
  <c r="B33" i="4"/>
  <c r="B32" i="4"/>
  <c r="C33" i="4" s="1"/>
  <c r="B31" i="4"/>
  <c r="C32" i="4" s="1"/>
  <c r="C30" i="4"/>
  <c r="B30" i="4"/>
  <c r="B29" i="4"/>
  <c r="B28" i="4"/>
  <c r="C29" i="4" s="1"/>
  <c r="B27" i="4"/>
  <c r="C28" i="4" s="1"/>
  <c r="C26" i="4"/>
  <c r="B26" i="4"/>
  <c r="B25" i="4"/>
  <c r="B24" i="4"/>
  <c r="C25" i="4" s="1"/>
  <c r="B23" i="4"/>
  <c r="C24" i="4" s="1"/>
  <c r="C22" i="4"/>
  <c r="B22" i="4"/>
  <c r="B21" i="4"/>
  <c r="B20" i="4"/>
  <c r="C21" i="4" s="1"/>
  <c r="B19" i="4"/>
  <c r="C20" i="4" s="1"/>
  <c r="C18" i="4"/>
  <c r="B18" i="4"/>
  <c r="B17" i="4"/>
  <c r="B16" i="4"/>
  <c r="C17" i="4" s="1"/>
  <c r="B15" i="4"/>
  <c r="C16" i="4" s="1"/>
  <c r="C14" i="4"/>
  <c r="B14" i="4"/>
  <c r="B13" i="4"/>
  <c r="B12" i="4"/>
  <c r="C13" i="4" s="1"/>
  <c r="B11" i="4"/>
  <c r="C12" i="4" s="1"/>
  <c r="C10" i="4"/>
  <c r="B10" i="4"/>
  <c r="B9" i="4"/>
  <c r="B8" i="4"/>
  <c r="C9" i="4" s="1"/>
  <c r="B7" i="4"/>
  <c r="C8" i="4" s="1"/>
  <c r="B6" i="4"/>
  <c r="Q94" i="3"/>
  <c r="P94" i="3"/>
  <c r="O94" i="3"/>
  <c r="N94" i="3"/>
  <c r="M94" i="3"/>
  <c r="L94" i="3"/>
  <c r="P24" i="1" s="1"/>
  <c r="K94" i="3"/>
  <c r="P23" i="1" s="1"/>
  <c r="J94" i="3"/>
  <c r="I94" i="3"/>
  <c r="H94" i="3"/>
  <c r="G94" i="3"/>
  <c r="F94" i="3"/>
  <c r="E94" i="3"/>
  <c r="D94" i="3"/>
  <c r="P16" i="1" s="1"/>
  <c r="C94" i="3"/>
  <c r="P15" i="1" s="1"/>
  <c r="Q93" i="3"/>
  <c r="P93" i="3"/>
  <c r="O93" i="3"/>
  <c r="N93" i="3"/>
  <c r="M93" i="3"/>
  <c r="L93" i="3"/>
  <c r="K93" i="3"/>
  <c r="J93" i="3"/>
  <c r="I93" i="3"/>
  <c r="H93" i="3"/>
  <c r="G93" i="3"/>
  <c r="F93" i="3"/>
  <c r="E93" i="3"/>
  <c r="D93" i="3"/>
  <c r="C93" i="3"/>
  <c r="Q92" i="3"/>
  <c r="P92" i="3"/>
  <c r="O92" i="3"/>
  <c r="N92" i="3"/>
  <c r="M92" i="3"/>
  <c r="L92" i="3"/>
  <c r="K92" i="3"/>
  <c r="J92" i="3"/>
  <c r="I92" i="3"/>
  <c r="H92" i="3"/>
  <c r="G92" i="3"/>
  <c r="F92" i="3"/>
  <c r="E92" i="3"/>
  <c r="D92" i="3"/>
  <c r="C92" i="3"/>
  <c r="Q91" i="3"/>
  <c r="P91" i="3"/>
  <c r="O91" i="3"/>
  <c r="N91" i="3"/>
  <c r="M91" i="3"/>
  <c r="L91" i="3"/>
  <c r="K91" i="3"/>
  <c r="J91" i="3"/>
  <c r="I91" i="3"/>
  <c r="H91" i="3"/>
  <c r="G91" i="3"/>
  <c r="F91" i="3"/>
  <c r="E91" i="3"/>
  <c r="D91" i="3"/>
  <c r="C91" i="3"/>
  <c r="Q90" i="3"/>
  <c r="P90" i="3"/>
  <c r="O90" i="3"/>
  <c r="N90" i="3"/>
  <c r="M90" i="3"/>
  <c r="L90" i="3"/>
  <c r="K90" i="3"/>
  <c r="J90" i="3"/>
  <c r="I90" i="3"/>
  <c r="H90" i="3"/>
  <c r="G90" i="3"/>
  <c r="F90" i="3"/>
  <c r="E90" i="3"/>
  <c r="C90" i="3"/>
  <c r="Q89" i="3"/>
  <c r="P89" i="3"/>
  <c r="O89" i="3"/>
  <c r="N89" i="3"/>
  <c r="M89" i="3"/>
  <c r="L89" i="3"/>
  <c r="K89" i="3"/>
  <c r="J89" i="3"/>
  <c r="I89" i="3"/>
  <c r="H89" i="3"/>
  <c r="G89" i="3"/>
  <c r="F89" i="3"/>
  <c r="E89" i="3"/>
  <c r="Q88" i="3"/>
  <c r="P88" i="3"/>
  <c r="O88" i="3"/>
  <c r="N88" i="3"/>
  <c r="M88" i="3"/>
  <c r="L88" i="3"/>
  <c r="K88" i="3"/>
  <c r="J88" i="3"/>
  <c r="I88" i="3"/>
  <c r="H88" i="3"/>
  <c r="G88" i="3"/>
  <c r="F88" i="3"/>
  <c r="E88" i="3"/>
  <c r="D88" i="3"/>
  <c r="Q87" i="3"/>
  <c r="P87" i="3"/>
  <c r="O87" i="3"/>
  <c r="N87" i="3"/>
  <c r="M87" i="3"/>
  <c r="L87" i="3"/>
  <c r="K87" i="3"/>
  <c r="J87" i="3"/>
  <c r="I87" i="3"/>
  <c r="H87" i="3"/>
  <c r="G87" i="3"/>
  <c r="F87" i="3"/>
  <c r="E87" i="3"/>
  <c r="D87" i="3"/>
  <c r="C87" i="3"/>
  <c r="Q86" i="3"/>
  <c r="P86" i="3"/>
  <c r="O86" i="3"/>
  <c r="N86" i="3"/>
  <c r="M86" i="3"/>
  <c r="L86" i="3"/>
  <c r="K86" i="3"/>
  <c r="J86" i="3"/>
  <c r="I86" i="3"/>
  <c r="H86" i="3"/>
  <c r="G86" i="3"/>
  <c r="F86" i="3"/>
  <c r="E86" i="3"/>
  <c r="D86" i="3"/>
  <c r="C86" i="3"/>
  <c r="Q85" i="3"/>
  <c r="P85" i="3"/>
  <c r="O85" i="3"/>
  <c r="N85" i="3"/>
  <c r="M85" i="3"/>
  <c r="L85" i="3"/>
  <c r="K85" i="3"/>
  <c r="J85" i="3"/>
  <c r="I85" i="3"/>
  <c r="H85" i="3"/>
  <c r="G85" i="3"/>
  <c r="F85" i="3"/>
  <c r="E85" i="3"/>
  <c r="D85" i="3"/>
  <c r="C85" i="3"/>
  <c r="Q84" i="3"/>
  <c r="P84" i="3"/>
  <c r="O84" i="3"/>
  <c r="N84" i="3"/>
  <c r="M84" i="3"/>
  <c r="L84" i="3"/>
  <c r="K84" i="3"/>
  <c r="J84" i="3"/>
  <c r="I84" i="3"/>
  <c r="H84" i="3"/>
  <c r="G84" i="3"/>
  <c r="F84" i="3"/>
  <c r="E84" i="3"/>
  <c r="D84" i="3"/>
  <c r="C84" i="3"/>
  <c r="Q83" i="3"/>
  <c r="P83" i="3"/>
  <c r="O83" i="3"/>
  <c r="N83" i="3"/>
  <c r="M83" i="3"/>
  <c r="L83" i="3"/>
  <c r="K83" i="3"/>
  <c r="J83" i="3"/>
  <c r="I83" i="3"/>
  <c r="H83" i="3"/>
  <c r="G83" i="3"/>
  <c r="F83" i="3"/>
  <c r="E83" i="3"/>
  <c r="D83" i="3"/>
  <c r="C83" i="3"/>
  <c r="Q82" i="3"/>
  <c r="P82" i="3"/>
  <c r="O82" i="3"/>
  <c r="N82" i="3"/>
  <c r="M82" i="3"/>
  <c r="L82" i="3"/>
  <c r="K82" i="3"/>
  <c r="J82" i="3"/>
  <c r="I82" i="3"/>
  <c r="H82" i="3"/>
  <c r="G82" i="3"/>
  <c r="F82" i="3"/>
  <c r="E82" i="3"/>
  <c r="C82" i="3"/>
  <c r="Q81" i="3"/>
  <c r="P81" i="3"/>
  <c r="O81" i="3"/>
  <c r="N81" i="3"/>
  <c r="M81" i="3"/>
  <c r="L81" i="3"/>
  <c r="K81" i="3"/>
  <c r="J81" i="3"/>
  <c r="I81" i="3"/>
  <c r="H81" i="3"/>
  <c r="G81" i="3"/>
  <c r="F81" i="3"/>
  <c r="E81" i="3"/>
  <c r="Q80" i="3"/>
  <c r="P80" i="3"/>
  <c r="O80" i="3"/>
  <c r="N80" i="3"/>
  <c r="M80" i="3"/>
  <c r="L80" i="3"/>
  <c r="K80" i="3"/>
  <c r="J80" i="3"/>
  <c r="I80" i="3"/>
  <c r="H80" i="3"/>
  <c r="G80" i="3"/>
  <c r="F80" i="3"/>
  <c r="E80" i="3"/>
  <c r="D80" i="3"/>
  <c r="Q79" i="3"/>
  <c r="P79" i="3"/>
  <c r="O79" i="3"/>
  <c r="N79" i="3"/>
  <c r="M79" i="3"/>
  <c r="L79" i="3"/>
  <c r="K79" i="3"/>
  <c r="J79" i="3"/>
  <c r="I79" i="3"/>
  <c r="H79" i="3"/>
  <c r="G79" i="3"/>
  <c r="F79" i="3"/>
  <c r="E79" i="3"/>
  <c r="D79" i="3"/>
  <c r="C79" i="3"/>
  <c r="Q78" i="3"/>
  <c r="P78" i="3"/>
  <c r="O78" i="3"/>
  <c r="N78" i="3"/>
  <c r="M78" i="3"/>
  <c r="L78" i="3"/>
  <c r="K78" i="3"/>
  <c r="J78" i="3"/>
  <c r="I78" i="3"/>
  <c r="H78" i="3"/>
  <c r="G78" i="3"/>
  <c r="F78" i="3"/>
  <c r="E78" i="3"/>
  <c r="D78" i="3"/>
  <c r="C78" i="3"/>
  <c r="Q77" i="3"/>
  <c r="P77" i="3"/>
  <c r="O77" i="3"/>
  <c r="N77" i="3"/>
  <c r="M77" i="3"/>
  <c r="L77" i="3"/>
  <c r="K77" i="3"/>
  <c r="J77" i="3"/>
  <c r="I77" i="3"/>
  <c r="H77" i="3"/>
  <c r="G77" i="3"/>
  <c r="F77" i="3"/>
  <c r="E77" i="3"/>
  <c r="D77" i="3"/>
  <c r="C77" i="3"/>
  <c r="Q76" i="3"/>
  <c r="P76" i="3"/>
  <c r="O76" i="3"/>
  <c r="N76" i="3"/>
  <c r="M76" i="3"/>
  <c r="L76" i="3"/>
  <c r="K76" i="3"/>
  <c r="J76" i="3"/>
  <c r="I76" i="3"/>
  <c r="H76" i="3"/>
  <c r="G76" i="3"/>
  <c r="F76" i="3"/>
  <c r="E76" i="3"/>
  <c r="D76" i="3"/>
  <c r="C76" i="3"/>
  <c r="Q75" i="3"/>
  <c r="P75" i="3"/>
  <c r="O75" i="3"/>
  <c r="N75" i="3"/>
  <c r="M75" i="3"/>
  <c r="L75" i="3"/>
  <c r="K75" i="3"/>
  <c r="J75" i="3"/>
  <c r="I75" i="3"/>
  <c r="H75" i="3"/>
  <c r="G75" i="3"/>
  <c r="F75" i="3"/>
  <c r="E75" i="3"/>
  <c r="D75" i="3"/>
  <c r="C75" i="3"/>
  <c r="Q74" i="3"/>
  <c r="P74" i="3"/>
  <c r="O74" i="3"/>
  <c r="N74" i="3"/>
  <c r="M74" i="3"/>
  <c r="L74" i="3"/>
  <c r="K74" i="3"/>
  <c r="J74" i="3"/>
  <c r="I74" i="3"/>
  <c r="H74" i="3"/>
  <c r="G74" i="3"/>
  <c r="F74" i="3"/>
  <c r="E74" i="3"/>
  <c r="C74" i="3"/>
  <c r="Q73" i="3"/>
  <c r="P73" i="3"/>
  <c r="O73" i="3"/>
  <c r="N73" i="3"/>
  <c r="M73" i="3"/>
  <c r="L73" i="3"/>
  <c r="K73" i="3"/>
  <c r="J73" i="3"/>
  <c r="I73" i="3"/>
  <c r="H73" i="3"/>
  <c r="G73" i="3"/>
  <c r="F73" i="3"/>
  <c r="E73" i="3"/>
  <c r="Q72" i="3"/>
  <c r="P72" i="3"/>
  <c r="O72" i="3"/>
  <c r="N72" i="3"/>
  <c r="M72" i="3"/>
  <c r="L72" i="3"/>
  <c r="K72" i="3"/>
  <c r="J72" i="3"/>
  <c r="I72" i="3"/>
  <c r="H72" i="3"/>
  <c r="G72" i="3"/>
  <c r="F72" i="3"/>
  <c r="E72" i="3"/>
  <c r="D72" i="3"/>
  <c r="Q71" i="3"/>
  <c r="P71" i="3"/>
  <c r="O71" i="3"/>
  <c r="N71" i="3"/>
  <c r="M71" i="3"/>
  <c r="L71" i="3"/>
  <c r="K71" i="3"/>
  <c r="J71" i="3"/>
  <c r="I71" i="3"/>
  <c r="H71" i="3"/>
  <c r="G71" i="3"/>
  <c r="F71" i="3"/>
  <c r="E71" i="3"/>
  <c r="D71" i="3"/>
  <c r="C71" i="3"/>
  <c r="Q70" i="3"/>
  <c r="P70" i="3"/>
  <c r="O70" i="3"/>
  <c r="N70" i="3"/>
  <c r="M70" i="3"/>
  <c r="L70" i="3"/>
  <c r="K70" i="3"/>
  <c r="J70" i="3"/>
  <c r="I70" i="3"/>
  <c r="H70" i="3"/>
  <c r="G70" i="3"/>
  <c r="F70" i="3"/>
  <c r="E70" i="3"/>
  <c r="D70" i="3"/>
  <c r="C70" i="3"/>
  <c r="Q69" i="3"/>
  <c r="P69" i="3"/>
  <c r="O69" i="3"/>
  <c r="N69" i="3"/>
  <c r="M69" i="3"/>
  <c r="L69" i="3"/>
  <c r="K69" i="3"/>
  <c r="J69" i="3"/>
  <c r="I69" i="3"/>
  <c r="H69" i="3"/>
  <c r="G69" i="3"/>
  <c r="F69" i="3"/>
  <c r="E69" i="3"/>
  <c r="D69" i="3"/>
  <c r="C69" i="3"/>
  <c r="Q68" i="3"/>
  <c r="P68" i="3"/>
  <c r="O68" i="3"/>
  <c r="N68" i="3"/>
  <c r="M68" i="3"/>
  <c r="L68" i="3"/>
  <c r="K68" i="3"/>
  <c r="J68" i="3"/>
  <c r="I68" i="3"/>
  <c r="H68" i="3"/>
  <c r="G68" i="3"/>
  <c r="F68" i="3"/>
  <c r="E68" i="3"/>
  <c r="D68" i="3"/>
  <c r="C68" i="3"/>
  <c r="Q67" i="3"/>
  <c r="P67" i="3"/>
  <c r="O67" i="3"/>
  <c r="N67" i="3"/>
  <c r="M67" i="3"/>
  <c r="L67" i="3"/>
  <c r="K67" i="3"/>
  <c r="J67" i="3"/>
  <c r="I67" i="3"/>
  <c r="H67" i="3"/>
  <c r="G67" i="3"/>
  <c r="F67" i="3"/>
  <c r="E67" i="3"/>
  <c r="D67" i="3"/>
  <c r="C67" i="3"/>
  <c r="Q66" i="3"/>
  <c r="P66" i="3"/>
  <c r="O66" i="3"/>
  <c r="N66" i="3"/>
  <c r="M66" i="3"/>
  <c r="L66" i="3"/>
  <c r="K66" i="3"/>
  <c r="J66" i="3"/>
  <c r="I66" i="3"/>
  <c r="H66" i="3"/>
  <c r="G66" i="3"/>
  <c r="F66" i="3"/>
  <c r="E66" i="3"/>
  <c r="C66" i="3"/>
  <c r="Q65" i="3"/>
  <c r="P65" i="3"/>
  <c r="O65" i="3"/>
  <c r="N65" i="3"/>
  <c r="M65" i="3"/>
  <c r="L65" i="3"/>
  <c r="K65" i="3"/>
  <c r="J65" i="3"/>
  <c r="I65" i="3"/>
  <c r="H65" i="3"/>
  <c r="G65" i="3"/>
  <c r="F65" i="3"/>
  <c r="E65" i="3"/>
  <c r="Q64" i="3"/>
  <c r="P64" i="3"/>
  <c r="O64" i="3"/>
  <c r="N64" i="3"/>
  <c r="M64" i="3"/>
  <c r="L64" i="3"/>
  <c r="K64" i="3"/>
  <c r="J64" i="3"/>
  <c r="I64" i="3"/>
  <c r="H64" i="3"/>
  <c r="G64" i="3"/>
  <c r="F64" i="3"/>
  <c r="E64" i="3"/>
  <c r="D64" i="3"/>
  <c r="Q63" i="3"/>
  <c r="P63" i="3"/>
  <c r="O63" i="3"/>
  <c r="N63" i="3"/>
  <c r="M63" i="3"/>
  <c r="L63" i="3"/>
  <c r="K63" i="3"/>
  <c r="J63" i="3"/>
  <c r="I63" i="3"/>
  <c r="H63" i="3"/>
  <c r="G63" i="3"/>
  <c r="F63" i="3"/>
  <c r="E63" i="3"/>
  <c r="D63" i="3"/>
  <c r="C63" i="3"/>
  <c r="Q62" i="3"/>
  <c r="P62" i="3"/>
  <c r="O62" i="3"/>
  <c r="N62" i="3"/>
  <c r="M62" i="3"/>
  <c r="L62" i="3"/>
  <c r="K62" i="3"/>
  <c r="J62" i="3"/>
  <c r="I62" i="3"/>
  <c r="H62" i="3"/>
  <c r="G62" i="3"/>
  <c r="F62" i="3"/>
  <c r="E62" i="3"/>
  <c r="D62" i="3"/>
  <c r="C62" i="3"/>
  <c r="Q61" i="3"/>
  <c r="P61" i="3"/>
  <c r="O61" i="3"/>
  <c r="N61" i="3"/>
  <c r="M61" i="3"/>
  <c r="L61" i="3"/>
  <c r="K61" i="3"/>
  <c r="J61" i="3"/>
  <c r="I61" i="3"/>
  <c r="H61" i="3"/>
  <c r="G61" i="3"/>
  <c r="F61" i="3"/>
  <c r="E61" i="3"/>
  <c r="D61" i="3"/>
  <c r="C61" i="3"/>
  <c r="Q60" i="3"/>
  <c r="P60" i="3"/>
  <c r="O60" i="3"/>
  <c r="N60" i="3"/>
  <c r="M60" i="3"/>
  <c r="L60" i="3"/>
  <c r="K60" i="3"/>
  <c r="J60" i="3"/>
  <c r="I60" i="3"/>
  <c r="H60" i="3"/>
  <c r="G60" i="3"/>
  <c r="F60" i="3"/>
  <c r="E60" i="3"/>
  <c r="D60" i="3"/>
  <c r="C60" i="3"/>
  <c r="Q59" i="3"/>
  <c r="P59" i="3"/>
  <c r="O59" i="3"/>
  <c r="N59" i="3"/>
  <c r="M59" i="3"/>
  <c r="L59" i="3"/>
  <c r="K59" i="3"/>
  <c r="J59" i="3"/>
  <c r="I59" i="3"/>
  <c r="H59" i="3"/>
  <c r="G59" i="3"/>
  <c r="F59" i="3"/>
  <c r="E59" i="3"/>
  <c r="D59" i="3"/>
  <c r="C59" i="3"/>
  <c r="Q58" i="3"/>
  <c r="P58" i="3"/>
  <c r="O58" i="3"/>
  <c r="N58" i="3"/>
  <c r="M58" i="3"/>
  <c r="L58" i="3"/>
  <c r="K58" i="3"/>
  <c r="J58" i="3"/>
  <c r="I58" i="3"/>
  <c r="H58" i="3"/>
  <c r="G58" i="3"/>
  <c r="F58" i="3"/>
  <c r="E58" i="3"/>
  <c r="C58" i="3"/>
  <c r="Q57" i="3"/>
  <c r="P57" i="3"/>
  <c r="O57" i="3"/>
  <c r="N57" i="3"/>
  <c r="M57" i="3"/>
  <c r="L57" i="3"/>
  <c r="K57" i="3"/>
  <c r="J57" i="3"/>
  <c r="I57" i="3"/>
  <c r="H57" i="3"/>
  <c r="G57" i="3"/>
  <c r="F57" i="3"/>
  <c r="E57" i="3"/>
  <c r="Q56" i="3"/>
  <c r="P56" i="3"/>
  <c r="O56" i="3"/>
  <c r="N56" i="3"/>
  <c r="M56" i="3"/>
  <c r="L56" i="3"/>
  <c r="K56" i="3"/>
  <c r="J56" i="3"/>
  <c r="I56" i="3"/>
  <c r="H56" i="3"/>
  <c r="G56" i="3"/>
  <c r="F56" i="3"/>
  <c r="E56" i="3"/>
  <c r="D56" i="3"/>
  <c r="Q55" i="3"/>
  <c r="P55" i="3"/>
  <c r="O55" i="3"/>
  <c r="N55" i="3"/>
  <c r="M55" i="3"/>
  <c r="L55" i="3"/>
  <c r="K55" i="3"/>
  <c r="J55" i="3"/>
  <c r="I55" i="3"/>
  <c r="H55" i="3"/>
  <c r="G55" i="3"/>
  <c r="F55" i="3"/>
  <c r="E55" i="3"/>
  <c r="D55" i="3"/>
  <c r="C55" i="3"/>
  <c r="Q54" i="3"/>
  <c r="P54" i="3"/>
  <c r="O54" i="3"/>
  <c r="N54" i="3"/>
  <c r="M54" i="3"/>
  <c r="L54" i="3"/>
  <c r="K54" i="3"/>
  <c r="J54" i="3"/>
  <c r="I54" i="3"/>
  <c r="H54" i="3"/>
  <c r="G54" i="3"/>
  <c r="F54" i="3"/>
  <c r="E54" i="3"/>
  <c r="D54" i="3"/>
  <c r="C54" i="3"/>
  <c r="Q53" i="3"/>
  <c r="P53" i="3"/>
  <c r="O53" i="3"/>
  <c r="N53" i="3"/>
  <c r="M53" i="3"/>
  <c r="L53" i="3"/>
  <c r="K53" i="3"/>
  <c r="J53" i="3"/>
  <c r="I53" i="3"/>
  <c r="H53" i="3"/>
  <c r="G53" i="3"/>
  <c r="F53" i="3"/>
  <c r="E53" i="3"/>
  <c r="D53" i="3"/>
  <c r="C53" i="3"/>
  <c r="Q52" i="3"/>
  <c r="P52" i="3"/>
  <c r="O52" i="3"/>
  <c r="N52" i="3"/>
  <c r="M52" i="3"/>
  <c r="L52" i="3"/>
  <c r="K52" i="3"/>
  <c r="J52" i="3"/>
  <c r="I52" i="3"/>
  <c r="H52" i="3"/>
  <c r="G52" i="3"/>
  <c r="F52" i="3"/>
  <c r="E52" i="3"/>
  <c r="D52" i="3"/>
  <c r="C52" i="3"/>
  <c r="Q51" i="3"/>
  <c r="P51" i="3"/>
  <c r="O51" i="3"/>
  <c r="N51" i="3"/>
  <c r="M51" i="3"/>
  <c r="L51" i="3"/>
  <c r="K51" i="3"/>
  <c r="J51" i="3"/>
  <c r="I51" i="3"/>
  <c r="H51" i="3"/>
  <c r="G51" i="3"/>
  <c r="F51" i="3"/>
  <c r="E51" i="3"/>
  <c r="D51" i="3"/>
  <c r="C51" i="3"/>
  <c r="Q50" i="3"/>
  <c r="P50" i="3"/>
  <c r="O50" i="3"/>
  <c r="N50" i="3"/>
  <c r="M50" i="3"/>
  <c r="L50" i="3"/>
  <c r="K50" i="3"/>
  <c r="J50" i="3"/>
  <c r="I50" i="3"/>
  <c r="H50" i="3"/>
  <c r="G50" i="3"/>
  <c r="F50" i="3"/>
  <c r="E50" i="3"/>
  <c r="C50" i="3"/>
  <c r="Q49" i="3"/>
  <c r="P49" i="3"/>
  <c r="O49" i="3"/>
  <c r="N49" i="3"/>
  <c r="M49" i="3"/>
  <c r="L49" i="3"/>
  <c r="K49" i="3"/>
  <c r="J49" i="3"/>
  <c r="I49" i="3"/>
  <c r="H49" i="3"/>
  <c r="G49" i="3"/>
  <c r="F49" i="3"/>
  <c r="E49" i="3"/>
  <c r="Q48" i="3"/>
  <c r="P48" i="3"/>
  <c r="O48" i="3"/>
  <c r="N48" i="3"/>
  <c r="M48" i="3"/>
  <c r="L48" i="3"/>
  <c r="K48" i="3"/>
  <c r="J48" i="3"/>
  <c r="I48" i="3"/>
  <c r="H48" i="3"/>
  <c r="G48" i="3"/>
  <c r="F48" i="3"/>
  <c r="E48" i="3"/>
  <c r="D48" i="3"/>
  <c r="Q47" i="3"/>
  <c r="P47" i="3"/>
  <c r="O47" i="3"/>
  <c r="N47" i="3"/>
  <c r="M47" i="3"/>
  <c r="L47" i="3"/>
  <c r="K47" i="3"/>
  <c r="J47" i="3"/>
  <c r="I47" i="3"/>
  <c r="H47" i="3"/>
  <c r="G47" i="3"/>
  <c r="F47" i="3"/>
  <c r="E47" i="3"/>
  <c r="D47" i="3"/>
  <c r="C47" i="3"/>
  <c r="Q46" i="3"/>
  <c r="P46" i="3"/>
  <c r="O46" i="3"/>
  <c r="N46" i="3"/>
  <c r="M46" i="3"/>
  <c r="L46" i="3"/>
  <c r="K46" i="3"/>
  <c r="J46" i="3"/>
  <c r="I46" i="3"/>
  <c r="H46" i="3"/>
  <c r="G46" i="3"/>
  <c r="F46" i="3"/>
  <c r="E46" i="3"/>
  <c r="D46" i="3"/>
  <c r="C46" i="3"/>
  <c r="Q45" i="3"/>
  <c r="P45" i="3"/>
  <c r="O45" i="3"/>
  <c r="N45" i="3"/>
  <c r="M45" i="3"/>
  <c r="L45" i="3"/>
  <c r="K45" i="3"/>
  <c r="J45" i="3"/>
  <c r="I45" i="3"/>
  <c r="H45" i="3"/>
  <c r="G45" i="3"/>
  <c r="F45" i="3"/>
  <c r="E45" i="3"/>
  <c r="D45" i="3"/>
  <c r="C45" i="3"/>
  <c r="Q44" i="3"/>
  <c r="P44" i="3"/>
  <c r="O44" i="3"/>
  <c r="N44" i="3"/>
  <c r="M44" i="3"/>
  <c r="L44" i="3"/>
  <c r="K44" i="3"/>
  <c r="J44" i="3"/>
  <c r="I44" i="3"/>
  <c r="H44" i="3"/>
  <c r="G44" i="3"/>
  <c r="F44" i="3"/>
  <c r="E44" i="3"/>
  <c r="D44" i="3"/>
  <c r="C44" i="3"/>
  <c r="Q43" i="3"/>
  <c r="P43" i="3"/>
  <c r="O43" i="3"/>
  <c r="N43" i="3"/>
  <c r="M43" i="3"/>
  <c r="L43" i="3"/>
  <c r="K43" i="3"/>
  <c r="J43" i="3"/>
  <c r="I43" i="3"/>
  <c r="H43" i="3"/>
  <c r="G43" i="3"/>
  <c r="F43" i="3"/>
  <c r="E43" i="3"/>
  <c r="D43" i="3"/>
  <c r="C43" i="3"/>
  <c r="Q42" i="3"/>
  <c r="P42" i="3"/>
  <c r="O42" i="3"/>
  <c r="N42" i="3"/>
  <c r="M42" i="3"/>
  <c r="L42" i="3"/>
  <c r="K42" i="3"/>
  <c r="J42" i="3"/>
  <c r="I42" i="3"/>
  <c r="H42" i="3"/>
  <c r="G42" i="3"/>
  <c r="F42" i="3"/>
  <c r="E42" i="3"/>
  <c r="C42" i="3"/>
  <c r="Q41" i="3"/>
  <c r="P41" i="3"/>
  <c r="O41" i="3"/>
  <c r="N41" i="3"/>
  <c r="M41" i="3"/>
  <c r="L41" i="3"/>
  <c r="K41" i="3"/>
  <c r="J41" i="3"/>
  <c r="I41" i="3"/>
  <c r="H41" i="3"/>
  <c r="G41" i="3"/>
  <c r="F41" i="3"/>
  <c r="E41" i="3"/>
  <c r="Q40" i="3"/>
  <c r="P40" i="3"/>
  <c r="O40" i="3"/>
  <c r="N40" i="3"/>
  <c r="M40" i="3"/>
  <c r="L40" i="3"/>
  <c r="K40" i="3"/>
  <c r="J40" i="3"/>
  <c r="I40" i="3"/>
  <c r="H40" i="3"/>
  <c r="G40" i="3"/>
  <c r="F40" i="3"/>
  <c r="E40" i="3"/>
  <c r="D40" i="3"/>
  <c r="Q39" i="3"/>
  <c r="P39" i="3"/>
  <c r="O39" i="3"/>
  <c r="N39" i="3"/>
  <c r="M39" i="3"/>
  <c r="L39" i="3"/>
  <c r="K39" i="3"/>
  <c r="J39" i="3"/>
  <c r="I39" i="3"/>
  <c r="H39" i="3"/>
  <c r="G39" i="3"/>
  <c r="F39" i="3"/>
  <c r="E39" i="3"/>
  <c r="D39" i="3"/>
  <c r="C39" i="3"/>
  <c r="Q38" i="3"/>
  <c r="P38" i="3"/>
  <c r="O38" i="3"/>
  <c r="N38" i="3"/>
  <c r="M38" i="3"/>
  <c r="L38" i="3"/>
  <c r="K38" i="3"/>
  <c r="J38" i="3"/>
  <c r="I38" i="3"/>
  <c r="H38" i="3"/>
  <c r="G38" i="3"/>
  <c r="F38" i="3"/>
  <c r="E38" i="3"/>
  <c r="D38" i="3"/>
  <c r="C38" i="3"/>
  <c r="Q37" i="3"/>
  <c r="P37" i="3"/>
  <c r="O37" i="3"/>
  <c r="N37" i="3"/>
  <c r="M37" i="3"/>
  <c r="L37" i="3"/>
  <c r="K37" i="3"/>
  <c r="J37" i="3"/>
  <c r="I37" i="3"/>
  <c r="H37" i="3"/>
  <c r="G37" i="3"/>
  <c r="F37" i="3"/>
  <c r="E37" i="3"/>
  <c r="D37" i="3"/>
  <c r="C37" i="3"/>
  <c r="Q36" i="3"/>
  <c r="P36" i="3"/>
  <c r="O36" i="3"/>
  <c r="N36" i="3"/>
  <c r="M36" i="3"/>
  <c r="L36" i="3"/>
  <c r="K36" i="3"/>
  <c r="J36" i="3"/>
  <c r="I36" i="3"/>
  <c r="H36" i="3"/>
  <c r="G36" i="3"/>
  <c r="F36" i="3"/>
  <c r="E36" i="3"/>
  <c r="D36" i="3"/>
  <c r="C36" i="3"/>
  <c r="Q35" i="3"/>
  <c r="P35" i="3"/>
  <c r="O35" i="3"/>
  <c r="N35" i="3"/>
  <c r="M35" i="3"/>
  <c r="L35" i="3"/>
  <c r="K35" i="3"/>
  <c r="J35" i="3"/>
  <c r="I35" i="3"/>
  <c r="H35" i="3"/>
  <c r="G35" i="3"/>
  <c r="F35" i="3"/>
  <c r="E35" i="3"/>
  <c r="D35" i="3"/>
  <c r="C35" i="3"/>
  <c r="Q34" i="3"/>
  <c r="P34" i="3"/>
  <c r="O34" i="3"/>
  <c r="N34" i="3"/>
  <c r="M34" i="3"/>
  <c r="L34" i="3"/>
  <c r="K34" i="3"/>
  <c r="J34" i="3"/>
  <c r="I34" i="3"/>
  <c r="H34" i="3"/>
  <c r="G34" i="3"/>
  <c r="F34" i="3"/>
  <c r="E34" i="3"/>
  <c r="C34" i="3"/>
  <c r="Q33" i="3"/>
  <c r="P33" i="3"/>
  <c r="O33" i="3"/>
  <c r="N33" i="3"/>
  <c r="M33" i="3"/>
  <c r="L33" i="3"/>
  <c r="K33" i="3"/>
  <c r="J33" i="3"/>
  <c r="I33" i="3"/>
  <c r="H33" i="3"/>
  <c r="G33" i="3"/>
  <c r="F33" i="3"/>
  <c r="E33" i="3"/>
  <c r="Q32" i="3"/>
  <c r="P32" i="3"/>
  <c r="O32" i="3"/>
  <c r="N32" i="3"/>
  <c r="M32" i="3"/>
  <c r="L32" i="3"/>
  <c r="K32" i="3"/>
  <c r="J32" i="3"/>
  <c r="I32" i="3"/>
  <c r="H32" i="3"/>
  <c r="G32" i="3"/>
  <c r="F32" i="3"/>
  <c r="E32" i="3"/>
  <c r="D32" i="3"/>
  <c r="Q31" i="3"/>
  <c r="P31" i="3"/>
  <c r="O31" i="3"/>
  <c r="N31" i="3"/>
  <c r="M31" i="3"/>
  <c r="L31" i="3"/>
  <c r="K31" i="3"/>
  <c r="J31" i="3"/>
  <c r="I31" i="3"/>
  <c r="H31" i="3"/>
  <c r="G31" i="3"/>
  <c r="F31" i="3"/>
  <c r="E31" i="3"/>
  <c r="D31" i="3"/>
  <c r="C31" i="3"/>
  <c r="Q30" i="3"/>
  <c r="P30" i="3"/>
  <c r="O30" i="3"/>
  <c r="N30" i="3"/>
  <c r="M30" i="3"/>
  <c r="L30" i="3"/>
  <c r="K30" i="3"/>
  <c r="J30" i="3"/>
  <c r="I30" i="3"/>
  <c r="H30" i="3"/>
  <c r="G30" i="3"/>
  <c r="F30" i="3"/>
  <c r="E30" i="3"/>
  <c r="D30" i="3"/>
  <c r="C30" i="3"/>
  <c r="Q29" i="3"/>
  <c r="P29" i="3"/>
  <c r="O29" i="3"/>
  <c r="N29" i="3"/>
  <c r="M29" i="3"/>
  <c r="L29" i="3"/>
  <c r="K29" i="3"/>
  <c r="J29" i="3"/>
  <c r="I29" i="3"/>
  <c r="H29" i="3"/>
  <c r="G29" i="3"/>
  <c r="F29" i="3"/>
  <c r="E29" i="3"/>
  <c r="D29" i="3"/>
  <c r="C29" i="3"/>
  <c r="Q28" i="3"/>
  <c r="P28" i="3"/>
  <c r="O28" i="3"/>
  <c r="N28" i="3"/>
  <c r="M28" i="3"/>
  <c r="L28" i="3"/>
  <c r="K28" i="3"/>
  <c r="J28" i="3"/>
  <c r="I28" i="3"/>
  <c r="H28" i="3"/>
  <c r="G28" i="3"/>
  <c r="F28" i="3"/>
  <c r="E28" i="3"/>
  <c r="D28" i="3"/>
  <c r="C28" i="3"/>
  <c r="Q27" i="3"/>
  <c r="P27" i="3"/>
  <c r="O27" i="3"/>
  <c r="N27" i="3"/>
  <c r="M27" i="3"/>
  <c r="L27" i="3"/>
  <c r="K27" i="3"/>
  <c r="J27" i="3"/>
  <c r="I27" i="3"/>
  <c r="H27" i="3"/>
  <c r="G27" i="3"/>
  <c r="F27" i="3"/>
  <c r="E27" i="3"/>
  <c r="D27" i="3"/>
  <c r="C27" i="3"/>
  <c r="Q26" i="3"/>
  <c r="P26" i="3"/>
  <c r="O26" i="3"/>
  <c r="N26" i="3"/>
  <c r="M26" i="3"/>
  <c r="L26" i="3"/>
  <c r="K26" i="3"/>
  <c r="J26" i="3"/>
  <c r="I26" i="3"/>
  <c r="H26" i="3"/>
  <c r="G26" i="3"/>
  <c r="F26" i="3"/>
  <c r="E26" i="3"/>
  <c r="C26" i="3"/>
  <c r="Q25" i="3"/>
  <c r="P25" i="3"/>
  <c r="O25" i="3"/>
  <c r="N25" i="3"/>
  <c r="M25" i="3"/>
  <c r="L25" i="3"/>
  <c r="K25" i="3"/>
  <c r="J25" i="3"/>
  <c r="I25" i="3"/>
  <c r="H25" i="3"/>
  <c r="G25" i="3"/>
  <c r="F25" i="3"/>
  <c r="E25" i="3"/>
  <c r="Q24" i="3"/>
  <c r="P24" i="3"/>
  <c r="O24" i="3"/>
  <c r="N24" i="3"/>
  <c r="M24" i="3"/>
  <c r="L24" i="3"/>
  <c r="K24" i="3"/>
  <c r="J24" i="3"/>
  <c r="I24" i="3"/>
  <c r="H24" i="3"/>
  <c r="G24" i="3"/>
  <c r="F24" i="3"/>
  <c r="E24" i="3"/>
  <c r="D24" i="3"/>
  <c r="Q23" i="3"/>
  <c r="P23" i="3"/>
  <c r="O23" i="3"/>
  <c r="N23" i="3"/>
  <c r="M23" i="3"/>
  <c r="L23" i="3"/>
  <c r="K23" i="3"/>
  <c r="J23" i="3"/>
  <c r="I23" i="3"/>
  <c r="H23" i="3"/>
  <c r="G23" i="3"/>
  <c r="F23" i="3"/>
  <c r="E23" i="3"/>
  <c r="D23" i="3"/>
  <c r="C23" i="3"/>
  <c r="Q22" i="3"/>
  <c r="P22" i="3"/>
  <c r="O22" i="3"/>
  <c r="N22" i="3"/>
  <c r="M22" i="3"/>
  <c r="L22" i="3"/>
  <c r="K22" i="3"/>
  <c r="J22" i="3"/>
  <c r="I22" i="3"/>
  <c r="H22" i="3"/>
  <c r="G22" i="3"/>
  <c r="F22" i="3"/>
  <c r="E22" i="3"/>
  <c r="D22" i="3"/>
  <c r="C22" i="3"/>
  <c r="Q21" i="3"/>
  <c r="P21" i="3"/>
  <c r="O21" i="3"/>
  <c r="N21" i="3"/>
  <c r="M21" i="3"/>
  <c r="L21" i="3"/>
  <c r="K21" i="3"/>
  <c r="J21" i="3"/>
  <c r="I21" i="3"/>
  <c r="H21" i="3"/>
  <c r="G21" i="3"/>
  <c r="F21" i="3"/>
  <c r="E21" i="3"/>
  <c r="D21" i="3"/>
  <c r="C21" i="3"/>
  <c r="Q20" i="3"/>
  <c r="P20" i="3"/>
  <c r="O20" i="3"/>
  <c r="N20" i="3"/>
  <c r="M20" i="3"/>
  <c r="L20" i="3"/>
  <c r="K20" i="3"/>
  <c r="J20" i="3"/>
  <c r="I20" i="3"/>
  <c r="H20" i="3"/>
  <c r="G20" i="3"/>
  <c r="F20" i="3"/>
  <c r="E20" i="3"/>
  <c r="D20" i="3"/>
  <c r="C20" i="3"/>
  <c r="Q19" i="3"/>
  <c r="P19" i="3"/>
  <c r="O19" i="3"/>
  <c r="N19" i="3"/>
  <c r="M19" i="3"/>
  <c r="L19" i="3"/>
  <c r="K19" i="3"/>
  <c r="J19" i="3"/>
  <c r="I19" i="3"/>
  <c r="H19" i="3"/>
  <c r="G19" i="3"/>
  <c r="F19" i="3"/>
  <c r="E19" i="3"/>
  <c r="D19" i="3"/>
  <c r="C19" i="3"/>
  <c r="Q18" i="3"/>
  <c r="P18" i="3"/>
  <c r="O18" i="3"/>
  <c r="N18" i="3"/>
  <c r="M18" i="3"/>
  <c r="L18" i="3"/>
  <c r="K18" i="3"/>
  <c r="J18" i="3"/>
  <c r="I18" i="3"/>
  <c r="H18" i="3"/>
  <c r="G18" i="3"/>
  <c r="F18" i="3"/>
  <c r="E18" i="3"/>
  <c r="C18" i="3"/>
  <c r="Q17" i="3"/>
  <c r="P17" i="3"/>
  <c r="O17" i="3"/>
  <c r="N17" i="3"/>
  <c r="M17" i="3"/>
  <c r="L17" i="3"/>
  <c r="K17" i="3"/>
  <c r="J17" i="3"/>
  <c r="I17" i="3"/>
  <c r="H17" i="3"/>
  <c r="G17" i="3"/>
  <c r="F17" i="3"/>
  <c r="E17" i="3"/>
  <c r="Q16" i="3"/>
  <c r="P16" i="3"/>
  <c r="O16" i="3"/>
  <c r="N16" i="3"/>
  <c r="M16" i="3"/>
  <c r="L16" i="3"/>
  <c r="K16" i="3"/>
  <c r="J16" i="3"/>
  <c r="I16" i="3"/>
  <c r="H16" i="3"/>
  <c r="G16" i="3"/>
  <c r="F16" i="3"/>
  <c r="E16" i="3"/>
  <c r="D16" i="3"/>
  <c r="Q15" i="3"/>
  <c r="P15" i="3"/>
  <c r="O15" i="3"/>
  <c r="N15" i="3"/>
  <c r="M15" i="3"/>
  <c r="L15" i="3"/>
  <c r="K15" i="3"/>
  <c r="J15" i="3"/>
  <c r="I15" i="3"/>
  <c r="H15" i="3"/>
  <c r="G15" i="3"/>
  <c r="F15" i="3"/>
  <c r="E15" i="3"/>
  <c r="D15" i="3"/>
  <c r="C15" i="3"/>
  <c r="Q14" i="3"/>
  <c r="P14" i="3"/>
  <c r="O14" i="3"/>
  <c r="N14" i="3"/>
  <c r="M14" i="3"/>
  <c r="L14" i="3"/>
  <c r="K14" i="3"/>
  <c r="J14" i="3"/>
  <c r="I14" i="3"/>
  <c r="H14" i="3"/>
  <c r="G14" i="3"/>
  <c r="F14" i="3"/>
  <c r="E14" i="3"/>
  <c r="D14" i="3"/>
  <c r="C14" i="3"/>
  <c r="Q13" i="3"/>
  <c r="P13" i="3"/>
  <c r="O13" i="3"/>
  <c r="N13" i="3"/>
  <c r="M13" i="3"/>
  <c r="L13" i="3"/>
  <c r="K13" i="3"/>
  <c r="J13" i="3"/>
  <c r="I13" i="3"/>
  <c r="H13" i="3"/>
  <c r="G13" i="3"/>
  <c r="F13" i="3"/>
  <c r="E13" i="3"/>
  <c r="D13" i="3"/>
  <c r="C13" i="3"/>
  <c r="Q12" i="3"/>
  <c r="P12" i="3"/>
  <c r="O12" i="3"/>
  <c r="N12" i="3"/>
  <c r="M12" i="3"/>
  <c r="L12" i="3"/>
  <c r="K12" i="3"/>
  <c r="J12" i="3"/>
  <c r="I12" i="3"/>
  <c r="H12" i="3"/>
  <c r="G12" i="3"/>
  <c r="F12" i="3"/>
  <c r="E12" i="3"/>
  <c r="D12" i="3"/>
  <c r="C12" i="3"/>
  <c r="Q29" i="1"/>
  <c r="P29" i="1"/>
  <c r="P28" i="1"/>
  <c r="P27" i="1"/>
  <c r="P26" i="1"/>
  <c r="Q25" i="1"/>
  <c r="P25" i="1"/>
  <c r="P22" i="1"/>
  <c r="Q21" i="1"/>
  <c r="P21" i="1"/>
  <c r="P20" i="1"/>
  <c r="P19" i="1"/>
  <c r="P18" i="1"/>
  <c r="Q17" i="1"/>
  <c r="P17" i="1"/>
  <c r="Q13" i="1"/>
  <c r="Q27" i="1" s="1"/>
  <c r="C11" i="4" l="1"/>
  <c r="C35" i="4"/>
  <c r="Q18" i="1"/>
  <c r="Q26" i="1"/>
  <c r="Q16" i="1"/>
  <c r="Q20" i="1"/>
  <c r="Q24" i="1"/>
  <c r="Q28" i="1"/>
  <c r="C34" i="6"/>
  <c r="C66" i="6"/>
  <c r="C98" i="6"/>
  <c r="C130" i="6"/>
  <c r="C140" i="6"/>
  <c r="C156" i="6"/>
  <c r="C17" i="8"/>
  <c r="C33" i="8"/>
  <c r="C49" i="8"/>
  <c r="C65" i="8"/>
  <c r="C81" i="8"/>
  <c r="C97" i="8"/>
  <c r="C113" i="8"/>
  <c r="C129" i="8"/>
  <c r="C145" i="8"/>
  <c r="C161" i="8"/>
  <c r="C30" i="6"/>
  <c r="C62" i="6"/>
  <c r="C94" i="6"/>
  <c r="C126" i="6"/>
  <c r="C146" i="6"/>
  <c r="C162" i="6"/>
  <c r="C178" i="6"/>
  <c r="C23" i="8"/>
  <c r="C39" i="8"/>
  <c r="C55" i="8"/>
  <c r="C71" i="8"/>
  <c r="C87" i="8"/>
  <c r="C103" i="8"/>
  <c r="C119" i="8"/>
  <c r="C10" i="9"/>
  <c r="C24" i="9"/>
  <c r="C29" i="9"/>
  <c r="C42" i="9"/>
  <c r="C56" i="9"/>
  <c r="C61" i="9"/>
  <c r="C74" i="9"/>
  <c r="C88" i="9"/>
  <c r="C93" i="9"/>
  <c r="C106" i="9"/>
  <c r="C120" i="9"/>
  <c r="C154" i="9"/>
  <c r="C15" i="4"/>
  <c r="C19" i="4"/>
  <c r="C23" i="4"/>
  <c r="C27" i="4"/>
  <c r="C31" i="4"/>
  <c r="C8" i="5"/>
  <c r="C12" i="5"/>
  <c r="C16" i="5"/>
  <c r="C20" i="5"/>
  <c r="C24" i="5"/>
  <c r="C28" i="5"/>
  <c r="C32" i="5"/>
  <c r="C36" i="5"/>
  <c r="C40" i="5"/>
  <c r="C44" i="5"/>
  <c r="C48" i="5"/>
  <c r="C52" i="5"/>
  <c r="C56" i="5"/>
  <c r="C60" i="5"/>
  <c r="C64" i="5"/>
  <c r="C68" i="5"/>
  <c r="C72" i="5"/>
  <c r="C76" i="5"/>
  <c r="C80" i="5"/>
  <c r="C84" i="5"/>
  <c r="C88" i="5"/>
  <c r="C92" i="5"/>
  <c r="C96" i="5"/>
  <c r="C100" i="5"/>
  <c r="C104" i="5"/>
  <c r="C25" i="6"/>
  <c r="C39" i="6"/>
  <c r="C48" i="6"/>
  <c r="C57" i="6"/>
  <c r="C71" i="6"/>
  <c r="C80" i="6"/>
  <c r="C89" i="6"/>
  <c r="C103" i="6"/>
  <c r="C112" i="6"/>
  <c r="C121" i="6"/>
  <c r="C135" i="6"/>
  <c r="C151" i="6"/>
  <c r="C13" i="7"/>
  <c r="C31" i="7"/>
  <c r="C45" i="7"/>
  <c r="C63" i="7"/>
  <c r="C77" i="7"/>
  <c r="C95" i="7"/>
  <c r="C109" i="7"/>
  <c r="C127" i="7"/>
  <c r="C140" i="8"/>
  <c r="C156" i="8"/>
  <c r="C18" i="9"/>
  <c r="C32" i="9"/>
  <c r="C37" i="9"/>
  <c r="C50" i="9"/>
  <c r="C64" i="9"/>
  <c r="C69" i="9"/>
  <c r="C82" i="9"/>
  <c r="C96" i="9"/>
  <c r="C101" i="9"/>
  <c r="C114" i="9"/>
  <c r="C138" i="9"/>
  <c r="Q22" i="1"/>
  <c r="C9" i="6"/>
  <c r="C13" i="6"/>
  <c r="C173" i="6"/>
  <c r="C128" i="9"/>
  <c r="C7" i="4"/>
  <c r="C80" i="4"/>
  <c r="C29" i="5"/>
  <c r="C37" i="5"/>
  <c r="C45" i="5"/>
  <c r="C53" i="5"/>
  <c r="C61" i="5"/>
  <c r="C69" i="5"/>
  <c r="C77" i="5"/>
  <c r="C85" i="5"/>
  <c r="C93" i="5"/>
  <c r="C101" i="5"/>
  <c r="C23" i="7"/>
  <c r="C37" i="7"/>
  <c r="C55" i="7"/>
  <c r="C69" i="7"/>
  <c r="C87" i="7"/>
  <c r="C101" i="7"/>
  <c r="C119" i="7"/>
  <c r="C133" i="7"/>
  <c r="C136" i="8"/>
  <c r="C152" i="8"/>
  <c r="C8" i="9"/>
  <c r="C13" i="9"/>
  <c r="C26" i="9"/>
  <c r="C40" i="9"/>
  <c r="C45" i="9"/>
  <c r="C58" i="9"/>
  <c r="C72" i="9"/>
  <c r="C77" i="9"/>
  <c r="C90" i="9"/>
  <c r="C104" i="9"/>
  <c r="C109" i="9"/>
  <c r="C122" i="9"/>
  <c r="C72" i="4"/>
  <c r="C88" i="4"/>
  <c r="C96" i="4"/>
  <c r="C112" i="4"/>
  <c r="C17" i="3"/>
  <c r="D18" i="3"/>
  <c r="C25" i="3"/>
  <c r="D26" i="3"/>
  <c r="C33" i="3"/>
  <c r="D34" i="3"/>
  <c r="C41" i="3"/>
  <c r="D42" i="3"/>
  <c r="C49" i="3"/>
  <c r="D50" i="3"/>
  <c r="C57" i="3"/>
  <c r="D58" i="3"/>
  <c r="C65" i="3"/>
  <c r="D66" i="3"/>
  <c r="C73" i="3"/>
  <c r="D74" i="3"/>
  <c r="C81" i="3"/>
  <c r="D82" i="3"/>
  <c r="C89" i="3"/>
  <c r="D90" i="3"/>
  <c r="C42" i="6"/>
  <c r="C74" i="6"/>
  <c r="C106" i="6"/>
  <c r="C144" i="6"/>
  <c r="C160" i="6"/>
  <c r="C169" i="6"/>
  <c r="C21" i="8"/>
  <c r="C37" i="8"/>
  <c r="C53" i="8"/>
  <c r="C69" i="8"/>
  <c r="C85" i="8"/>
  <c r="C101" i="8"/>
  <c r="C117" i="8"/>
  <c r="C133" i="8"/>
  <c r="C149" i="8"/>
  <c r="C165" i="8"/>
  <c r="C64" i="4"/>
  <c r="C104" i="4"/>
  <c r="Q15" i="1"/>
  <c r="Q19" i="1"/>
  <c r="Q23" i="1"/>
  <c r="C38" i="6"/>
  <c r="C70" i="6"/>
  <c r="C102" i="6"/>
  <c r="C134" i="6"/>
  <c r="C150" i="6"/>
  <c r="C166" i="6"/>
  <c r="C15" i="7"/>
  <c r="C47" i="7"/>
  <c r="C79" i="7"/>
  <c r="C111" i="7"/>
  <c r="C11" i="8"/>
  <c r="C27" i="8"/>
  <c r="C43" i="8"/>
  <c r="C59" i="8"/>
  <c r="C75" i="8"/>
  <c r="C91" i="8"/>
  <c r="C107" i="8"/>
  <c r="C123" i="8"/>
  <c r="C148" i="8"/>
  <c r="C164" i="8"/>
  <c r="C16" i="9"/>
  <c r="C21" i="9"/>
  <c r="C34" i="9"/>
  <c r="C48" i="9"/>
  <c r="C53" i="9"/>
  <c r="C66" i="9"/>
  <c r="C80" i="9"/>
  <c r="C85" i="9"/>
  <c r="C98" i="9"/>
  <c r="C112" i="9"/>
  <c r="C117" i="9"/>
  <c r="C16" i="10"/>
  <c r="C32" i="10"/>
  <c r="C99" i="11"/>
  <c r="C98" i="11"/>
  <c r="C170" i="9"/>
  <c r="C99" i="10"/>
  <c r="C108" i="10"/>
  <c r="C131" i="10"/>
  <c r="C140" i="10"/>
  <c r="C20" i="11"/>
  <c r="C37" i="11"/>
  <c r="C42" i="11"/>
  <c r="C139" i="11"/>
  <c r="C138" i="11"/>
  <c r="C24" i="12"/>
  <c r="C23" i="12"/>
  <c r="C31" i="12"/>
  <c r="C30" i="12"/>
  <c r="C67" i="12"/>
  <c r="C66" i="12"/>
  <c r="C88" i="12"/>
  <c r="C87" i="12"/>
  <c r="C95" i="12"/>
  <c r="C94" i="12"/>
  <c r="C23" i="9"/>
  <c r="C39" i="9"/>
  <c r="C55" i="9"/>
  <c r="C71" i="9"/>
  <c r="C76" i="9"/>
  <c r="C87" i="9"/>
  <c r="C92" i="9"/>
  <c r="C103" i="9"/>
  <c r="C108" i="9"/>
  <c r="C119" i="9"/>
  <c r="C124" i="9"/>
  <c r="C135" i="9"/>
  <c r="C140" i="9"/>
  <c r="C151" i="9"/>
  <c r="C156" i="9"/>
  <c r="C167" i="9"/>
  <c r="C172" i="9"/>
  <c r="C7" i="10"/>
  <c r="C23" i="10"/>
  <c r="C39" i="10"/>
  <c r="C55" i="10"/>
  <c r="C71" i="10"/>
  <c r="C95" i="10"/>
  <c r="C127" i="10"/>
  <c r="C17" i="11"/>
  <c r="C7" i="9"/>
  <c r="C34" i="11"/>
  <c r="C56" i="11"/>
  <c r="C84" i="11"/>
  <c r="C83" i="11"/>
  <c r="C107" i="11"/>
  <c r="C106" i="11"/>
  <c r="C19" i="12"/>
  <c r="C18" i="12"/>
  <c r="C40" i="12"/>
  <c r="C39" i="12"/>
  <c r="C47" i="12"/>
  <c r="C46" i="12"/>
  <c r="C83" i="12"/>
  <c r="C82" i="12"/>
  <c r="C104" i="12"/>
  <c r="C103" i="12"/>
  <c r="C111" i="12"/>
  <c r="C110" i="12"/>
  <c r="C136" i="9"/>
  <c r="C152" i="9"/>
  <c r="C168" i="9"/>
  <c r="C67" i="11"/>
  <c r="C66" i="11"/>
  <c r="C35" i="12"/>
  <c r="C34" i="12"/>
  <c r="C56" i="12"/>
  <c r="C55" i="12"/>
  <c r="C63" i="12"/>
  <c r="C62" i="12"/>
  <c r="C99" i="12"/>
  <c r="C98" i="12"/>
  <c r="C120" i="12"/>
  <c r="C119" i="12"/>
  <c r="C15" i="9"/>
  <c r="C31" i="9"/>
  <c r="C47" i="9"/>
  <c r="C52" i="9"/>
  <c r="C63" i="9"/>
  <c r="C68" i="9"/>
  <c r="C79" i="9"/>
  <c r="C84" i="9"/>
  <c r="C95" i="9"/>
  <c r="C100" i="9"/>
  <c r="C111" i="9"/>
  <c r="C116" i="9"/>
  <c r="C127" i="9"/>
  <c r="C132" i="9"/>
  <c r="C143" i="9"/>
  <c r="C148" i="9"/>
  <c r="C159" i="9"/>
  <c r="C164" i="9"/>
  <c r="C175" i="9"/>
  <c r="C9" i="11"/>
  <c r="C25" i="11"/>
  <c r="C51" i="11"/>
  <c r="C131" i="11"/>
  <c r="C130" i="11"/>
  <c r="C7" i="12"/>
  <c r="C75" i="11"/>
  <c r="C74" i="11"/>
  <c r="C116" i="11"/>
  <c r="C115" i="11"/>
  <c r="C8" i="12"/>
  <c r="C15" i="12"/>
  <c r="C14" i="12"/>
  <c r="C51" i="12"/>
  <c r="C50" i="12"/>
  <c r="C72" i="12"/>
  <c r="C71" i="12"/>
  <c r="C79" i="12"/>
  <c r="C78" i="12"/>
  <c r="C115" i="12"/>
  <c r="C114" i="12"/>
  <c r="C39" i="15"/>
  <c r="C38" i="15"/>
  <c r="C27" i="16"/>
  <c r="C26" i="16"/>
  <c r="C8" i="14"/>
  <c r="C13" i="14"/>
  <c r="C24" i="14"/>
  <c r="C29" i="14"/>
  <c r="C40" i="14"/>
  <c r="C45" i="14"/>
  <c r="C56" i="14"/>
  <c r="C61" i="14"/>
  <c r="C72" i="14"/>
  <c r="C77" i="14"/>
  <c r="C118" i="14"/>
  <c r="C78" i="15"/>
  <c r="C59" i="16"/>
  <c r="C58" i="16"/>
  <c r="C130" i="12"/>
  <c r="C135" i="12"/>
  <c r="C16" i="13"/>
  <c r="C32" i="13"/>
  <c r="C48" i="13"/>
  <c r="C64" i="13"/>
  <c r="C80" i="13"/>
  <c r="C113" i="14"/>
  <c r="C91" i="16"/>
  <c r="C90" i="16"/>
  <c r="C20" i="14"/>
  <c r="C36" i="14"/>
  <c r="C52" i="14"/>
  <c r="C68" i="14"/>
  <c r="C90" i="14"/>
  <c r="C14" i="15"/>
  <c r="C71" i="15"/>
  <c r="C70" i="15"/>
  <c r="C110" i="15"/>
  <c r="C126" i="12"/>
  <c r="C12" i="13"/>
  <c r="C28" i="13"/>
  <c r="C44" i="13"/>
  <c r="C60" i="13"/>
  <c r="C76" i="13"/>
  <c r="C92" i="13"/>
  <c r="C108" i="13"/>
  <c r="C124" i="13"/>
  <c r="C140" i="13"/>
  <c r="C128" i="14"/>
  <c r="C107" i="15"/>
  <c r="C106" i="15"/>
  <c r="C16" i="14"/>
  <c r="C32" i="14"/>
  <c r="C48" i="14"/>
  <c r="C64" i="14"/>
  <c r="C104" i="14"/>
  <c r="C10" i="15"/>
  <c r="C32" i="11"/>
  <c r="C64" i="11"/>
  <c r="C96" i="11"/>
  <c r="C8" i="13"/>
  <c r="C24" i="13"/>
  <c r="C40" i="13"/>
  <c r="C56" i="13"/>
  <c r="C72" i="13"/>
  <c r="C88" i="13"/>
  <c r="C104" i="13"/>
  <c r="C120" i="13"/>
  <c r="C136" i="13"/>
  <c r="C86" i="14"/>
  <c r="C122" i="14"/>
  <c r="C137" i="14"/>
  <c r="C46" i="15"/>
  <c r="C28" i="11"/>
  <c r="C60" i="11"/>
  <c r="C92" i="11"/>
  <c r="C12" i="12"/>
  <c r="C28" i="12"/>
  <c r="C44" i="12"/>
  <c r="C60" i="12"/>
  <c r="C76" i="12"/>
  <c r="C92" i="12"/>
  <c r="C21" i="13"/>
  <c r="C37" i="13"/>
  <c r="C53" i="13"/>
  <c r="C69" i="13"/>
  <c r="C85" i="13"/>
  <c r="C101" i="13"/>
  <c r="C117" i="13"/>
  <c r="C133" i="13"/>
  <c r="C101" i="14"/>
  <c r="C136" i="14"/>
  <c r="C42" i="15"/>
  <c r="C53" i="16"/>
  <c r="C85" i="16"/>
  <c r="C117" i="16"/>
  <c r="C122" i="16"/>
  <c r="C15" i="17"/>
  <c r="C47" i="17"/>
  <c r="C79" i="17"/>
  <c r="C8" i="18"/>
  <c r="C7" i="18"/>
  <c r="C138" i="15"/>
  <c r="C11" i="17"/>
  <c r="C43" i="17"/>
  <c r="C75" i="17"/>
  <c r="C102" i="15"/>
  <c r="C134" i="15"/>
  <c r="C93" i="16"/>
  <c r="C125" i="16"/>
  <c r="C39" i="17"/>
  <c r="C71" i="17"/>
  <c r="C10" i="18"/>
  <c r="C18" i="18"/>
  <c r="C26" i="18"/>
  <c r="C34" i="18"/>
  <c r="C42" i="18"/>
  <c r="C50" i="18"/>
  <c r="C58" i="18"/>
  <c r="C66" i="18"/>
  <c r="C74" i="18"/>
  <c r="C82" i="18"/>
  <c r="C90" i="18"/>
  <c r="C98" i="18"/>
  <c r="C106" i="18"/>
  <c r="C114" i="18"/>
  <c r="C122" i="18"/>
  <c r="C130" i="18"/>
  <c r="C138" i="18"/>
  <c r="C34" i="15"/>
  <c r="C66" i="15"/>
  <c r="C98" i="15"/>
  <c r="C130" i="15"/>
  <c r="C30" i="15"/>
  <c r="C62" i="15"/>
  <c r="C94" i="15"/>
  <c r="C126" i="15"/>
  <c r="C31" i="17"/>
  <c r="C63" i="17"/>
  <c r="C99" i="14"/>
  <c r="C131" i="14"/>
  <c r="C26" i="15"/>
  <c r="C58" i="15"/>
  <c r="C90" i="15"/>
  <c r="C122" i="15"/>
  <c r="C19" i="16"/>
  <c r="C51" i="16"/>
  <c r="C83" i="16"/>
  <c r="C115" i="16"/>
  <c r="C27" i="17"/>
  <c r="C59" i="17"/>
  <c r="C95" i="14"/>
  <c r="C127" i="14"/>
  <c r="C22" i="15"/>
  <c r="C54" i="15"/>
  <c r="C86" i="15"/>
  <c r="C118" i="15"/>
  <c r="C13" i="16"/>
  <c r="C39" i="16"/>
  <c r="C45" i="16"/>
  <c r="C71" i="16"/>
  <c r="C77" i="16"/>
  <c r="C103" i="16"/>
  <c r="C109" i="16"/>
  <c r="C135" i="16"/>
  <c r="C141" i="16"/>
  <c r="C23" i="17"/>
  <c r="C55" i="17"/>
  <c r="C14" i="18"/>
  <c r="C22" i="18"/>
  <c r="C30" i="18"/>
  <c r="C38" i="18"/>
  <c r="C46" i="18"/>
  <c r="C54" i="18"/>
  <c r="C62" i="18"/>
  <c r="C70" i="18"/>
  <c r="C78" i="18"/>
  <c r="C86" i="18"/>
  <c r="C94" i="18"/>
  <c r="C102" i="18"/>
  <c r="C110" i="18"/>
  <c r="C118" i="18"/>
  <c r="C126" i="18"/>
  <c r="C134" i="18"/>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<sst xmlns="http://schemas.openxmlformats.org/spreadsheetml/2006/main" count="174" uniqueCount="77">
  <si>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</si>
  <si>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</si>
  <si>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</si>
  <si>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</si>
  <si>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</si>
  <si>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</si>
  <si>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</si>
  <si>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</si>
  <si>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</si>
  <si>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</si>
  <si>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</si>
  <si>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</si>
  <si>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</si>
  <si>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</si>
  <si>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</si>
  <si>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</si>
  <si>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</si>
  <si>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</si>
  <si>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</si>
  <si>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</si>
  <si>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</si>
  <si>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</si>
  <si>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</si>
  <si>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</si>
  <si>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</si>
  <si>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</si>
  <si>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</si>
  <si>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</si>
  <si>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</si>
  <si>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</si>
  <si>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</si>
  <si>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</si>
  <si>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</si>
  <si>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</si>
  <si>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</si>
  <si>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</si>
  <si>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</si>
  <si>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</si>
  <si>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</si>
  <si>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</si>
  <si>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</si>
  <si>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</si>
  <si>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</si>
  <si>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</si>
  <si>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</si>
  <si>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</si>
  <si>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</si>
  <si>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</si>
  <si>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</si>
  <si>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</si>
  <si>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12 months</t>
  </si>
  <si>
    <t>min 12m</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</si>
  <si>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</si>
  <si>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</si>
  <si>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</si>
  <si>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</si>
  <si>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</si>
  <si>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</si>
  <si>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</si>
  <si>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</si>
  <si>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</si>
  <si>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</si>
  <si>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</si>
  <si>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</si>
  <si>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</si>
  <si>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</si>
  <si>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</si>
  <si>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</si>
  <si>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</si>
  <si>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</si>
  <si>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</si>
  <si>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</si>
  <si>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</si>
  <si>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</si>
  <si>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</si>
  <si>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</si>
  <si>
    <t>Previous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</si>
</sst>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2">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0" fillId="0" borderId="0" xfId="0"/>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0" fontId="3" fillId="2" borderId="0" xfId="0" applyFont="1" applyFill="1"/>
    <xf numFmtId="0" fontId="0" fillId="2" borderId="0" xfId="0" applyFill="1"/>
    <xf numFmtId="0" fontId="0" fillId="2" borderId="0" xfId="0" applyFill="1" applyAlignment="1">
      <alignment wrapText="1"/>
    </xf>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xf numFmtId="14" fontId="16" fillId="6" borderId="0" xfId="0" applyNumberFormat="1" applyFont="1" applyFill="1"/>
    <xf numFmtId="17" fontId="11" fillId="2" borderId="0" xfId="0" applyNumberFormat="1" applyFont="1" applyFill="1" applyBorder="1" applyAlignment="1">
      <alignment horizontal="left" vertical="top" wrapText="1"/>
    </xf>
  </cellXfs>
  <cellStyles count="4">
    <cellStyle name="Hyperlink" xfId="2" builtinId="8"/>
    <cellStyle name="Normal" xfId="0" builtinId="0"/>
    <cellStyle name="Normal 3" xfId="3" xr:uid="{00000000-0005-0000-0000-000003000000}"/>
    <cellStyle name="Per 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B974-D94F-B5B3-D41BAF096AC0}"/>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B974-D94F-B5B3-D41BAF096AC0}"/>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B974-D94F-B5B3-D41BAF096AC0}"/>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B974-D94F-B5B3-D41BAF096AC0}"/>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B974-D94F-B5B3-D41BAF096AC0}"/>
            </c:ext>
          </c:extLst>
        </c:ser>
        <c:dLbls>
          <c:showLegendKey val="0"/>
          <c:showVal val="0"/>
          <c:showCatName val="0"/>
          <c:showSerName val="0"/>
          <c:showPercent val="0"/>
          <c:showBubbleSize val="0"/>
        </c:dLbls>
        <c:smooth val="0"/>
        <c:axId val="147343951"/>
        <c:axId val="288629663"/>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numCache>
            </c:numRef>
          </c:val>
          <c:extLst>
            <c:ext xmlns:c16="http://schemas.microsoft.com/office/drawing/2014/chart" uri="{C3380CC4-5D6E-409C-BE32-E72D297353CC}">
              <c16:uniqueId val="{00000000-F332-6D4A-AAB9-B30F9174169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US!$A$6:$A$105</c:f>
              <c:numCache>
                <c:formatCode>m/d/yy</c:formatCode>
                <c:ptCount val="100"/>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numCache>
            </c:numRef>
          </c:cat>
          <c:val>
            <c:numRef>
              <c:f>US!$B$6:$B$105</c:f>
              <c:numCache>
                <c:formatCode>General</c:formatCode>
                <c:ptCount val="100"/>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numCache>
            </c:numRef>
          </c:val>
          <c:extLst>
            <c:ext xmlns:c16="http://schemas.microsoft.com/office/drawing/2014/chart" uri="{C3380CC4-5D6E-409C-BE32-E72D297353CC}">
              <c16:uniqueId val="{00000000-C9D4-684F-B296-7B0A08D133F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EuroArea!$B$5</c:f>
              <c:strCache>
                <c:ptCount val="1"/>
                <c:pt idx="0">
                  <c:v>PMI</c:v>
                </c:pt>
              </c:strCache>
            </c:strRef>
          </c:tx>
          <c:spPr>
            <a:solidFill>
              <a:schemeClr val="accent1"/>
            </a:solidFill>
            <a:ln>
              <a:noFill/>
              <a:prstDash val="solid"/>
            </a:ln>
          </c:spPr>
          <c:cat>
            <c:numRef>
              <c:f>EuroArea!$A$6:$A$180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EuroArea!$B$6:$B$180</c:f>
              <c:numCache>
                <c:formatCode>General</c:formatCode>
                <c:ptCount val="17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numCache>
            </c:numRef>
          </c:val>
          <c:extLst>
            <c:ext xmlns:c16="http://schemas.microsoft.com/office/drawing/2014/chart" uri="{C3380CC4-5D6E-409C-BE32-E72D297353CC}">
              <c16:uniqueId val="{00000000-2212-4A4F-B79A-C91F6C31D67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PMI</c:v>
                </c:pt>
              </c:strCache>
            </c:strRef>
          </c:tx>
          <c:spPr>
            <a:solidFill>
              <a:schemeClr val="accent1"/>
            </a:solidFill>
            <a:ln>
              <a:noFill/>
              <a:prstDash val="solid"/>
            </a:ln>
          </c:spPr>
          <c:cat>
            <c:numRef>
              <c:f>China!$A$6:$A$140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China!$B$6:$B$140</c:f>
              <c:numCache>
                <c:formatCode>General</c:formatCode>
                <c:ptCount val="13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6E6A-C249-9C0F-3A57996CFC1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numCache>
            </c:numRef>
          </c:val>
          <c:extLst>
            <c:ext xmlns:c16="http://schemas.microsoft.com/office/drawing/2014/chart" uri="{C3380CC4-5D6E-409C-BE32-E72D297353CC}">
              <c16:uniqueId val="{00000000-AB66-CB4D-805B-982A52E849E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Germany!$B$6:$B$180</c:f>
              <c:numCache>
                <c:formatCode>General</c:formatCode>
                <c:ptCount val="17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numCache>
            </c:numRef>
          </c:val>
          <c:extLst>
            <c:ext xmlns:c16="http://schemas.microsoft.com/office/drawing/2014/chart" uri="{C3380CC4-5D6E-409C-BE32-E72D297353CC}">
              <c16:uniqueId val="{00000000-C4A6-3044-AC4D-D44C5A2FFE5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UK!$B$6:$B$141</c:f>
              <c:numCache>
                <c:formatCode>General</c:formatCode>
                <c:ptCount val="136"/>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numCache>
            </c:numRef>
          </c:val>
          <c:extLst>
            <c:ext xmlns:c16="http://schemas.microsoft.com/office/drawing/2014/chart" uri="{C3380CC4-5D6E-409C-BE32-E72D297353CC}">
              <c16:uniqueId val="{00000000-3693-2E4E-8971-B4BC3828FCE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numCache>
            </c:numRef>
          </c:val>
          <c:extLst>
            <c:ext xmlns:c16="http://schemas.microsoft.com/office/drawing/2014/chart" uri="{C3380CC4-5D6E-409C-BE32-E72D297353CC}">
              <c16:uniqueId val="{00000000-818D-1841-A7E7-4A55DE4EB3D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Australia!$B$6:$B$140</c:f>
              <c:numCache>
                <c:formatCode>General</c:formatCode>
                <c:ptCount val="13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numCache>
            </c:numRef>
          </c:val>
          <c:extLst>
            <c:ext xmlns:c16="http://schemas.microsoft.com/office/drawing/2014/chart" uri="{C3380CC4-5D6E-409C-BE32-E72D297353CC}">
              <c16:uniqueId val="{00000000-CC7F-D246-B918-AE6D7C645BD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numCache>
            </c:numRef>
          </c:val>
          <c:extLst>
            <c:ext xmlns:c16="http://schemas.microsoft.com/office/drawing/2014/chart" uri="{C3380CC4-5D6E-409C-BE32-E72D297353CC}">
              <c16:uniqueId val="{00000000-E388-154F-8BFE-81EB179297C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Italy!$B$6:$B$141</c:f>
              <c:numCache>
                <c:formatCode>General</c:formatCode>
                <c:ptCount val="136"/>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numCache>
            </c:numRef>
          </c:val>
          <c:extLst>
            <c:ext xmlns:c16="http://schemas.microsoft.com/office/drawing/2014/chart" uri="{C3380CC4-5D6E-409C-BE32-E72D297353CC}">
              <c16:uniqueId val="{00000000-8A51-BF48-BDC3-F52F8613087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Japan!$B$6:$B$141</c:f>
              <c:numCache>
                <c:formatCode>General</c:formatCode>
                <c:ptCount val="136"/>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numCache>
            </c:numRef>
          </c:val>
          <c:extLst>
            <c:ext xmlns:c16="http://schemas.microsoft.com/office/drawing/2014/chart" uri="{C3380CC4-5D6E-409C-BE32-E72D297353CC}">
              <c16:uniqueId val="{00000000-C59E-5843-9880-A6FF4DAE076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numCache>
            </c:numRef>
          </c:val>
          <c:extLst>
            <c:ext xmlns:c16="http://schemas.microsoft.com/office/drawing/2014/chart" uri="{C3380CC4-5D6E-409C-BE32-E72D297353CC}">
              <c16:uniqueId val="{00000000-E579-EA4D-B9B3-2E1FE8C7FAE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numCache>
            </c:numRef>
          </c:val>
          <c:extLst>
            <c:ext xmlns:c16="http://schemas.microsoft.com/office/drawing/2014/chart" uri="{C3380CC4-5D6E-409C-BE32-E72D297353CC}">
              <c16:uniqueId val="{00000000-4A97-344C-AAC9-F84A4E5B05D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Spain!$B$6:$B$141</c:f>
              <c:numCache>
                <c:formatCode>General</c:formatCode>
                <c:ptCount val="136"/>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numCache>
            </c:numRef>
          </c:val>
          <c:extLst>
            <c:ext xmlns:c16="http://schemas.microsoft.com/office/drawing/2014/chart" uri="{C3380CC4-5D6E-409C-BE32-E72D297353CC}">
              <c16:uniqueId val="{00000000-89E3-344E-8E8E-637D299A749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1" totalsRowShown="0" headerRowDxfId="129" dataDxfId="127" headerRowBorderDxfId="128" tableBorderDxfId="126" totalsRowBorderDxfId="125">
  <autoFilter ref="A5:C141"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05" totalsRowShown="0" headerRowDxfId="121" dataDxfId="119" headerRowBorderDxfId="120" tableBorderDxfId="118" totalsRowBorderDxfId="117">
  <autoFilter ref="A5:C105"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0" totalsRowShown="0" headerRowDxfId="113" dataDxfId="111" headerRowBorderDxfId="112" tableBorderDxfId="110" totalsRowBorderDxfId="109">
  <autoFilter ref="A5:C180"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40" totalsRowShown="0" headerRowDxfId="105" dataDxfId="103" headerRowBorderDxfId="104" tableBorderDxfId="102" totalsRowBorderDxfId="101">
  <autoFilter ref="A5:C140"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67" totalsRowShown="0" headerRowDxfId="97" dataDxfId="95" headerRowBorderDxfId="96" tableBorderDxfId="94" totalsRowBorderDxfId="93">
  <autoFilter ref="A5:C167"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0" totalsRowShown="0" headerRowDxfId="89" dataDxfId="87" headerRowBorderDxfId="88" tableBorderDxfId="86" totalsRowBorderDxfId="85">
  <autoFilter ref="A5:C180"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41" totalsRowShown="0" headerRowDxfId="81" dataDxfId="79" headerRowBorderDxfId="80" tableBorderDxfId="78" totalsRowBorderDxfId="77">
  <autoFilter ref="A5:C141"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41" totalsRowShown="0" headerRowDxfId="73" dataDxfId="71" headerRowBorderDxfId="72" tableBorderDxfId="70" totalsRowBorderDxfId="69">
  <autoFilter ref="A5:C141"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40" totalsRowShown="0" headerRowDxfId="65" dataDxfId="63" headerRowBorderDxfId="64" tableBorderDxfId="62" totalsRowBorderDxfId="61">
  <autoFilter ref="A5:C140"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41" totalsRowShown="0" headerRowDxfId="57" dataDxfId="55" headerRowBorderDxfId="56" tableBorderDxfId="54" totalsRowBorderDxfId="53">
  <autoFilter ref="A5:C141"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41" totalsRowShown="0" headerRowDxfId="49" dataDxfId="47" headerRowBorderDxfId="48" tableBorderDxfId="46" totalsRowBorderDxfId="45">
  <autoFilter ref="A5:C141"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41" totalsRowShown="0" headerRowDxfId="41" dataDxfId="39" headerRowBorderDxfId="40" tableBorderDxfId="38" totalsRowBorderDxfId="37">
  <autoFilter ref="A5:C141"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41" totalsRowShown="0" headerRowDxfId="33" dataDxfId="31" headerRowBorderDxfId="32" tableBorderDxfId="30" totalsRowBorderDxfId="29">
  <autoFilter ref="A5:C141"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41" totalsRowShown="0" headerRowDxfId="25" dataDxfId="23" headerRowBorderDxfId="24" tableBorderDxfId="22" totalsRowBorderDxfId="21">
  <autoFilter ref="A5:C141"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41" totalsRowShown="0" headerRowDxfId="17" dataDxfId="15" headerRowBorderDxfId="16" tableBorderDxfId="14" totalsRowBorderDxfId="13">
  <autoFilter ref="A5:C141"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zoomScale="150" zoomScaleNormal="150" workbookViewId="0">
      <selection activeCell="F140" sqref="F140"/>
    </sheetView>
  </sheetViews>
  <sheetFormatPr baseColWidth="10" defaultColWidth="9.1640625" defaultRowHeight="15" x14ac:dyDescent="0.2"/>
  <cols>
    <col min="1" max="1" width="4" style="47" customWidth="1"/>
    <col min="2" max="5" width="12.83203125" style="47" customWidth="1"/>
    <col min="6" max="6" width="13.6640625" style="47" customWidth="1"/>
    <col min="7" max="10" width="12.83203125" style="47" customWidth="1"/>
    <col min="11" max="13" width="2" style="47" customWidth="1"/>
    <col min="14" max="14" width="9.1640625" style="47" customWidth="1"/>
    <col min="15" max="15" width="15.5" style="47" customWidth="1"/>
    <col min="16" max="18" width="12.6640625" style="47" customWidth="1"/>
    <col min="19" max="19" width="11.6640625" style="47" customWidth="1"/>
    <col min="20" max="22" width="9.1640625" style="47" customWidth="1"/>
    <col min="23" max="16384" width="9.1640625" style="47"/>
  </cols>
  <sheetData>
    <row r="1" spans="2:19" x14ac:dyDescent="0.2">
      <c r="B1" s="57"/>
      <c r="C1" s="58"/>
      <c r="D1" s="58"/>
      <c r="E1" s="58"/>
      <c r="F1" s="58"/>
      <c r="G1" s="58"/>
      <c r="H1" s="58"/>
      <c r="I1" s="58"/>
      <c r="J1" s="58"/>
    </row>
    <row r="2" spans="2:19" ht="16" customHeight="1" thickBot="1" x14ac:dyDescent="0.25">
      <c r="B2" s="59"/>
      <c r="C2" s="59"/>
      <c r="D2" s="59"/>
      <c r="E2" s="59"/>
      <c r="F2" s="59"/>
      <c r="G2" s="59"/>
      <c r="H2" s="59"/>
      <c r="I2" s="59"/>
      <c r="J2" s="59"/>
    </row>
    <row r="3" spans="2:19" ht="16" customHeight="1" thickBot="1" x14ac:dyDescent="0.25">
      <c r="B3" s="60" t="s">
        <v>0</v>
      </c>
      <c r="C3" s="51"/>
      <c r="D3" s="51"/>
      <c r="E3" s="51"/>
      <c r="F3" s="51"/>
      <c r="G3" s="51"/>
      <c r="H3" s="51"/>
      <c r="I3" s="51"/>
      <c r="J3" s="52"/>
    </row>
    <row r="5" spans="2:19" x14ac:dyDescent="0.2">
      <c r="B5" s="61" t="s">
        <v>1</v>
      </c>
      <c r="C5" s="62"/>
      <c r="D5" s="62"/>
      <c r="E5" s="62"/>
      <c r="F5" s="62"/>
      <c r="G5" s="62"/>
      <c r="H5" s="62"/>
      <c r="I5" s="62"/>
      <c r="J5" s="56"/>
    </row>
    <row r="7" spans="2:19" ht="225.75" customHeight="1" x14ac:dyDescent="0.2">
      <c r="B7" s="63" t="s">
        <v>2</v>
      </c>
      <c r="C7" s="58"/>
      <c r="D7" s="58"/>
      <c r="E7" s="58"/>
      <c r="F7" s="58"/>
      <c r="G7" s="58"/>
      <c r="H7" s="58"/>
      <c r="I7" s="58"/>
      <c r="J7" s="58"/>
    </row>
    <row r="8" spans="2:19" ht="24" customHeight="1" x14ac:dyDescent="0.2">
      <c r="B8" s="37"/>
      <c r="C8" s="48"/>
      <c r="D8" s="48"/>
      <c r="E8" s="48"/>
      <c r="F8" s="48"/>
      <c r="G8" s="48"/>
      <c r="H8" s="48"/>
      <c r="I8" s="48"/>
      <c r="J8" s="48"/>
    </row>
    <row r="9" spans="2:19" ht="16" customHeight="1" thickBot="1" x14ac:dyDescent="0.25">
      <c r="B9" s="1"/>
      <c r="C9" s="2"/>
      <c r="D9" s="2"/>
      <c r="E9" s="2"/>
    </row>
    <row r="10" spans="2:19" ht="16" customHeight="1" thickBot="1" x14ac:dyDescent="0.25">
      <c r="B10" s="61" t="s">
        <v>3</v>
      </c>
      <c r="C10" s="62"/>
      <c r="D10" s="62"/>
      <c r="E10" s="62"/>
      <c r="F10" s="62"/>
      <c r="G10" s="62"/>
      <c r="H10" s="62"/>
      <c r="I10" s="62"/>
      <c r="J10" s="56"/>
      <c r="N10" s="50" t="s">
        <v>4</v>
      </c>
      <c r="O10" s="51"/>
      <c r="P10" s="51"/>
      <c r="Q10" s="51"/>
      <c r="R10" s="51"/>
      <c r="S10" s="52"/>
    </row>
    <row r="11" spans="2:19" x14ac:dyDescent="0.2">
      <c r="N11" s="3" t="s">
        <v>5</v>
      </c>
    </row>
    <row r="12" spans="2:19" ht="16" customHeight="1" thickBot="1" x14ac:dyDescent="0.25">
      <c r="B12" s="61" t="s">
        <v>6</v>
      </c>
      <c r="C12" s="62"/>
      <c r="D12" s="62"/>
      <c r="E12" s="62"/>
      <c r="F12" s="56"/>
      <c r="G12" s="61" t="s">
        <v>7</v>
      </c>
      <c r="H12" s="62"/>
      <c r="I12" s="62"/>
      <c r="J12" s="56"/>
    </row>
    <row r="13" spans="2:19" x14ac:dyDescent="0.2">
      <c r="P13" s="4">
        <v>44562</v>
      </c>
      <c r="Q13" s="5">
        <f>DATE(YEAR(P13),MONTH(P13)-1,DAY(P13))</f>
        <v>44531</v>
      </c>
      <c r="R13" s="6"/>
      <c r="S13" s="15" t="s">
        <v>8</v>
      </c>
    </row>
    <row r="14" spans="2:19" ht="16" customHeight="1" thickBot="1" x14ac:dyDescent="0.25">
      <c r="B14" s="58" t="s">
        <v>9</v>
      </c>
      <c r="C14" s="58"/>
      <c r="D14" s="58"/>
      <c r="E14" s="58"/>
      <c r="F14" s="58"/>
      <c r="G14" s="58" t="s">
        <v>10</v>
      </c>
      <c r="H14" s="58"/>
      <c r="I14" s="58"/>
      <c r="J14" s="58"/>
      <c r="O14" s="47" t="s">
        <v>11</v>
      </c>
      <c r="P14" s="39" t="s">
        <v>12</v>
      </c>
      <c r="Q14" s="39" t="s">
        <v>12</v>
      </c>
      <c r="R14" s="7" t="s">
        <v>13</v>
      </c>
      <c r="S14" s="32" t="s">
        <v>14</v>
      </c>
    </row>
    <row r="15" spans="2:19" ht="30.75" customHeight="1" x14ac:dyDescent="0.2">
      <c r="G15" s="64" t="s">
        <v>15</v>
      </c>
      <c r="H15" s="58"/>
      <c r="I15" s="58"/>
      <c r="J15" s="58"/>
      <c r="N15" s="53" t="s">
        <v>9</v>
      </c>
      <c r="O15" s="54"/>
      <c r="P15" s="40">
        <f>VLOOKUP($P$13,Summary!$B:$AB,MATCH(Note!N15,Summary!$B$2:$AB$2,),)</f>
        <v>51.3</v>
      </c>
      <c r="Q15" s="11">
        <f>VLOOKUP($Q$13,Summary!$B:$AB,MATCH(Note!N15,Summary!$B$2:$AB$2,),)</f>
        <v>54.6</v>
      </c>
      <c r="R15" s="43">
        <v>-1</v>
      </c>
      <c r="S15" s="33"/>
    </row>
    <row r="16" spans="2:19" x14ac:dyDescent="0.2">
      <c r="B16" s="65" t="s">
        <v>16</v>
      </c>
      <c r="C16" s="58"/>
      <c r="D16" s="58"/>
      <c r="E16" s="58"/>
      <c r="F16" s="58"/>
      <c r="G16" s="58" t="s">
        <v>17</v>
      </c>
      <c r="H16" s="58"/>
      <c r="I16" s="58"/>
      <c r="J16" s="58"/>
      <c r="N16" s="55" t="s">
        <v>18</v>
      </c>
      <c r="O16" s="56"/>
      <c r="P16" s="41">
        <f>VLOOKUP($P$13,Summary!$B:$AB,MATCH(Note!N16,Summary!$B$2:$AB$2,),)</f>
        <v>51.2</v>
      </c>
      <c r="Q16" s="14">
        <f>VLOOKUP($Q$13,Summary!$B:$AB,MATCH(Note!N16,Summary!$B$2:$AB$2,),)</f>
        <v>57.6</v>
      </c>
      <c r="R16" s="44">
        <v>-0.39999999999999858</v>
      </c>
      <c r="S16" s="34">
        <v>0.24099999999999999</v>
      </c>
    </row>
    <row r="17" spans="2:19" x14ac:dyDescent="0.2">
      <c r="B17" s="58"/>
      <c r="C17" s="58"/>
      <c r="D17" s="58"/>
      <c r="E17" s="58"/>
      <c r="F17" s="58"/>
      <c r="G17" s="47" t="s">
        <v>19</v>
      </c>
      <c r="N17" s="55" t="s">
        <v>20</v>
      </c>
      <c r="O17" s="56"/>
      <c r="P17" s="41" t="e">
        <f>VLOOKUP($P$13,Summary!$B:$AB,MATCH(Note!N17,Summary!$B$2:$AB$2,),)</f>
        <v>#N/A</v>
      </c>
      <c r="Q17" s="14">
        <f>VLOOKUP($Q$13,Summary!$B:$AB,MATCH(Note!N17,Summary!$B$2:$AB$2,),)</f>
        <v>53.1</v>
      </c>
      <c r="R17" s="44">
        <v>1</v>
      </c>
      <c r="S17" s="34">
        <v>0.152</v>
      </c>
    </row>
    <row r="18" spans="2:19" x14ac:dyDescent="0.2">
      <c r="B18" s="58"/>
      <c r="C18" s="58"/>
      <c r="D18" s="58"/>
      <c r="E18" s="58"/>
      <c r="F18" s="58"/>
      <c r="N18" s="55" t="s">
        <v>21</v>
      </c>
      <c r="O18" s="56"/>
      <c r="P18" s="41">
        <f>VLOOKUP($P$13,Summary!$B:$AB,MATCH(Note!N18,Summary!$B$2:$AB$2,),)</f>
        <v>51.1</v>
      </c>
      <c r="Q18" s="14">
        <f>VLOOKUP($Q$13,Summary!$B:$AB,MATCH(Note!N18,Summary!$B$2:$AB$2,),)</f>
        <v>53.1</v>
      </c>
      <c r="R18" s="44">
        <v>-2.7999999999999972</v>
      </c>
      <c r="S18" s="34">
        <v>0.156</v>
      </c>
    </row>
    <row r="19" spans="2:19" x14ac:dyDescent="0.2">
      <c r="N19" s="55" t="s">
        <v>22</v>
      </c>
      <c r="O19" s="56"/>
      <c r="P19" s="41">
        <f>VLOOKUP($P$13,Summary!$B:$AB,MATCH(Note!N19,Summary!$B$2:$AB$2,),)</f>
        <v>47.6</v>
      </c>
      <c r="Q19" s="14">
        <f>VLOOKUP($Q$13,Summary!$B:$AB,MATCH(Note!N19,Summary!$B$2:$AB$2,),)</f>
        <v>52.1</v>
      </c>
      <c r="R19" s="44">
        <v>-0.89999999999999858</v>
      </c>
      <c r="S19" s="34">
        <v>0.06</v>
      </c>
    </row>
    <row r="20" spans="2:19" x14ac:dyDescent="0.2">
      <c r="B20" s="58"/>
      <c r="C20" s="58"/>
      <c r="D20" s="58"/>
      <c r="E20" s="58"/>
      <c r="F20" s="58"/>
      <c r="G20" s="58"/>
      <c r="H20" s="58"/>
      <c r="I20" s="58"/>
      <c r="J20" s="58"/>
      <c r="N20" s="55" t="s">
        <v>23</v>
      </c>
      <c r="O20" s="56"/>
      <c r="P20" s="41">
        <f>VLOOKUP($P$13,Summary!$B:$AB,MATCH(Note!N20,Summary!$B$2:$AB$2,),)</f>
        <v>52.2</v>
      </c>
      <c r="Q20" s="14">
        <f>VLOOKUP($Q$13,Summary!$B:$AB,MATCH(Note!N20,Summary!$B$2:$AB$2,),)</f>
        <v>48.7</v>
      </c>
      <c r="R20" s="44">
        <v>-4</v>
      </c>
      <c r="S20" s="34">
        <v>4.5642432442496987E-2</v>
      </c>
    </row>
    <row r="21" spans="2:19" x14ac:dyDescent="0.2">
      <c r="B21" s="58"/>
      <c r="C21" s="58"/>
      <c r="D21" s="58"/>
      <c r="E21" s="58"/>
      <c r="F21" s="58"/>
      <c r="G21" s="58"/>
      <c r="H21" s="58"/>
      <c r="I21" s="58"/>
      <c r="J21" s="58"/>
      <c r="N21" s="55" t="s">
        <v>24</v>
      </c>
      <c r="O21" s="56"/>
      <c r="P21" s="41">
        <f>VLOOKUP($P$13,Summary!$B:$AB,MATCH(Note!N21,Summary!$B$2:$AB$2,),)</f>
        <v>53.1</v>
      </c>
      <c r="Q21" s="14">
        <f>VLOOKUP($Q$13,Summary!$B:$AB,MATCH(Note!N21,Summary!$B$2:$AB$2,),)</f>
        <v>57</v>
      </c>
      <c r="R21" s="44">
        <v>-0.39999999999999858</v>
      </c>
      <c r="S21" s="34">
        <v>3.2062660592594432E-2</v>
      </c>
    </row>
    <row r="22" spans="2:19" x14ac:dyDescent="0.2">
      <c r="B22" s="58"/>
      <c r="C22" s="58"/>
      <c r="D22" s="58"/>
      <c r="E22" s="58"/>
      <c r="F22" s="58"/>
      <c r="G22" s="58"/>
      <c r="H22" s="58"/>
      <c r="I22" s="58"/>
      <c r="J22" s="58"/>
      <c r="N22" s="55" t="s">
        <v>25</v>
      </c>
      <c r="O22" s="56"/>
      <c r="P22" s="41">
        <f>VLOOKUP($P$13,Summary!$B:$AB,MATCH(Note!N22,Summary!$B$2:$AB$2,),)</f>
        <v>54.1</v>
      </c>
      <c r="Q22" s="14">
        <f>VLOOKUP($Q$13,Summary!$B:$AB,MATCH(Note!N22,Summary!$B$2:$AB$2,),)</f>
        <v>53.6</v>
      </c>
      <c r="R22" s="44">
        <v>-4.8999999999999986</v>
      </c>
      <c r="S22" s="34">
        <v>3.3000000000000002E-2</v>
      </c>
    </row>
    <row r="23" spans="2:19" x14ac:dyDescent="0.2">
      <c r="B23" s="58"/>
      <c r="C23" s="58"/>
      <c r="D23" s="58"/>
      <c r="E23" s="58"/>
      <c r="F23" s="58"/>
      <c r="N23" s="55" t="s">
        <v>26</v>
      </c>
      <c r="O23" s="56"/>
      <c r="P23" s="41">
        <f>VLOOKUP($P$13,Summary!$B:$AB,MATCH(Note!N23,Summary!$B$2:$AB$2,),)</f>
        <v>48.5</v>
      </c>
      <c r="Q23" s="14">
        <f>VLOOKUP($Q$13,Summary!$B:$AB,MATCH(Note!N23,Summary!$B$2:$AB$2,),)</f>
        <v>53</v>
      </c>
      <c r="R23" s="44">
        <v>-2.899999999999999</v>
      </c>
      <c r="S23" s="34">
        <v>2.4E-2</v>
      </c>
    </row>
    <row r="24" spans="2:19" x14ac:dyDescent="0.2">
      <c r="B24" s="58"/>
      <c r="C24" s="58"/>
      <c r="D24" s="58"/>
      <c r="E24" s="58"/>
      <c r="F24" s="58"/>
      <c r="N24" s="55" t="s">
        <v>27</v>
      </c>
      <c r="O24" s="56"/>
      <c r="P24" s="41">
        <f>VLOOKUP($P$13,Summary!$B:$AB,MATCH(Note!N24,Summary!$B$2:$AB$2,),)</f>
        <v>46.6</v>
      </c>
      <c r="Q24" s="14">
        <f>VLOOKUP($Q$13,Summary!$B:$AB,MATCH(Note!N24,Summary!$B$2:$AB$2,),)</f>
        <v>55.8</v>
      </c>
      <c r="R24" s="44">
        <v>-4</v>
      </c>
      <c r="S24" s="34">
        <v>1.6273382902396941E-2</v>
      </c>
    </row>
    <row r="25" spans="2:19" x14ac:dyDescent="0.2">
      <c r="N25" s="55" t="s">
        <v>28</v>
      </c>
      <c r="O25" s="56"/>
      <c r="P25" s="41">
        <f>VLOOKUP($P$13,Summary!$B:$AB,MATCH(Note!N25,Summary!$B$2:$AB$2,),)</f>
        <v>52.8</v>
      </c>
      <c r="Q25" s="14">
        <f>VLOOKUP($Q$13,Summary!$B:$AB,MATCH(Note!N25,Summary!$B$2:$AB$2,),)</f>
        <v>53.6</v>
      </c>
      <c r="R25" s="44">
        <v>0</v>
      </c>
      <c r="S25" s="34">
        <v>2.5521033750822361E-2</v>
      </c>
    </row>
    <row r="26" spans="2:19" x14ac:dyDescent="0.2">
      <c r="N26" s="55" t="s">
        <v>29</v>
      </c>
      <c r="O26" s="56"/>
      <c r="P26" s="41">
        <f>VLOOKUP($P$13,Summary!$B:$AB,MATCH(Note!N26,Summary!$B$2:$AB$2,),)</f>
        <v>49.8</v>
      </c>
      <c r="Q26" s="14">
        <f>VLOOKUP($Q$13,Summary!$B:$AB,MATCH(Note!N26,Summary!$B$2:$AB$2,),)</f>
        <v>49.5</v>
      </c>
      <c r="R26" s="44">
        <v>2.399999999999999</v>
      </c>
      <c r="S26" s="34">
        <v>1.9587641662839338E-2</v>
      </c>
    </row>
    <row r="27" spans="2:19" x14ac:dyDescent="0.2">
      <c r="N27" s="55" t="s">
        <v>30</v>
      </c>
      <c r="O27" s="56"/>
      <c r="P27" s="41">
        <f>VLOOKUP($P$13,Summary!$B:$AB,MATCH(Note!N27,Summary!$B$2:$AB$2,),)</f>
        <v>51.5</v>
      </c>
      <c r="Q27" s="14">
        <f>VLOOKUP($Q$13,Summary!$B:$AB,MATCH(Note!N27,Summary!$B$2:$AB$2,),)</f>
        <v>55.5</v>
      </c>
      <c r="R27" s="44">
        <v>-2.600000000000001</v>
      </c>
      <c r="S27" s="34">
        <v>3.2286093767455719E-2</v>
      </c>
    </row>
    <row r="28" spans="2:19" x14ac:dyDescent="0.2">
      <c r="N28" s="55" t="s">
        <v>31</v>
      </c>
      <c r="O28" s="56"/>
      <c r="P28" s="41" t="e">
        <f>VLOOKUP($P$13,Summary!$B:$AB,MATCH(Note!N28,Summary!$B$2:$AB$2,),)</f>
        <v>#N/A</v>
      </c>
      <c r="Q28" s="14">
        <f>VLOOKUP($Q$13,Summary!$B:$AB,MATCH(Note!N28,Summary!$B$2:$AB$2,),)</f>
        <v>49.6</v>
      </c>
      <c r="R28" s="44">
        <v>2</v>
      </c>
      <c r="S28" s="34">
        <v>1.6422338352304462E-2</v>
      </c>
    </row>
    <row r="29" spans="2:19" ht="16" customHeight="1" thickBot="1" x14ac:dyDescent="0.25">
      <c r="N29" s="68" t="s">
        <v>32</v>
      </c>
      <c r="O29" s="69"/>
      <c r="P29" s="42">
        <f>VLOOKUP($P$13,Summary!$B:$AB,MATCH(Note!N29,Summary!$B$2:$AB$2,),)</f>
        <v>56.2</v>
      </c>
      <c r="Q29" s="35">
        <f>VLOOKUP($Q$13,Summary!$B:$AB,MATCH(Note!N29,Summary!$B$2:$AB$2,),)</f>
        <v>55.4</v>
      </c>
      <c r="R29" s="45">
        <v>-3.899999999999999</v>
      </c>
      <c r="S29" s="36">
        <v>4.1459266890927372E-3</v>
      </c>
    </row>
    <row r="32" spans="2:19" x14ac:dyDescent="0.2">
      <c r="B32" s="66"/>
      <c r="C32" s="58"/>
      <c r="D32" s="58"/>
      <c r="E32" s="58"/>
      <c r="F32" s="58"/>
      <c r="G32" s="58"/>
      <c r="H32" s="58"/>
      <c r="I32" s="58"/>
      <c r="J32" s="58"/>
      <c r="K32" s="58"/>
      <c r="L32" s="58"/>
      <c r="M32" s="58"/>
      <c r="N32" s="58"/>
      <c r="O32" s="58"/>
      <c r="P32" s="58"/>
      <c r="Q32" s="58"/>
      <c r="R32" s="58"/>
      <c r="S32" s="58"/>
    </row>
    <row r="33" spans="2:19" x14ac:dyDescent="0.2">
      <c r="B33" s="64"/>
      <c r="C33" s="58"/>
      <c r="D33" s="58"/>
      <c r="E33" s="58"/>
      <c r="F33" s="58"/>
      <c r="G33" s="58"/>
      <c r="H33" s="58"/>
      <c r="I33" s="58"/>
      <c r="J33" s="58"/>
      <c r="K33" s="58"/>
      <c r="L33" s="58"/>
      <c r="M33" s="58"/>
      <c r="N33" s="58"/>
      <c r="O33" s="58"/>
      <c r="P33" s="58"/>
      <c r="Q33" s="58"/>
      <c r="R33" s="58"/>
      <c r="S33" s="58"/>
    </row>
    <row r="34" spans="2:19" x14ac:dyDescent="0.2">
      <c r="B34" s="67"/>
      <c r="C34" s="58"/>
      <c r="D34" s="58"/>
      <c r="E34" s="58"/>
      <c r="F34" s="58"/>
      <c r="G34" s="58"/>
      <c r="H34" s="58"/>
      <c r="I34" s="58"/>
      <c r="J34" s="58"/>
      <c r="K34" s="58"/>
      <c r="L34" s="58"/>
      <c r="M34" s="58"/>
      <c r="N34" s="58"/>
      <c r="O34" s="58"/>
      <c r="P34" s="58"/>
      <c r="Q34" s="58"/>
      <c r="R34" s="58"/>
      <c r="S34" s="58"/>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76"/>
  <sheetViews>
    <sheetView zoomScale="170" zoomScaleNormal="170" workbookViewId="0">
      <pane ySplit="1" topLeftCell="A136" activePane="bottomLeft" state="frozen"/>
      <selection pane="bottomLeft" activeCell="F140" sqref="F140"/>
    </sheetView>
  </sheetViews>
  <sheetFormatPr baseColWidth="10" defaultRowHeight="15" x14ac:dyDescent="0.2"/>
  <cols>
    <col min="1" max="3" width="10.83203125" style="38" customWidth="1"/>
    <col min="4" max="16384" width="10.83203125" style="38"/>
  </cols>
  <sheetData>
    <row r="1" spans="1:22" x14ac:dyDescent="0.2">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2">
      <c r="A2" s="49">
        <v>39264</v>
      </c>
      <c r="B2"/>
      <c r="C2"/>
      <c r="D2"/>
      <c r="E2">
        <v>58.3</v>
      </c>
      <c r="F2"/>
      <c r="G2">
        <v>58.9</v>
      </c>
      <c r="H2"/>
      <c r="I2"/>
      <c r="J2"/>
      <c r="K2"/>
      <c r="L2"/>
      <c r="M2"/>
      <c r="N2"/>
      <c r="O2"/>
      <c r="P2"/>
      <c r="Q2"/>
      <c r="R2"/>
      <c r="S2"/>
      <c r="T2"/>
      <c r="U2"/>
      <c r="V2"/>
    </row>
    <row r="3" spans="1:22" x14ac:dyDescent="0.2">
      <c r="A3" s="49">
        <v>39295</v>
      </c>
      <c r="B3"/>
      <c r="C3"/>
      <c r="D3"/>
      <c r="E3">
        <v>58</v>
      </c>
      <c r="F3"/>
      <c r="G3">
        <v>59.8</v>
      </c>
      <c r="H3"/>
      <c r="I3"/>
      <c r="J3"/>
      <c r="K3"/>
      <c r="L3"/>
      <c r="M3"/>
      <c r="N3"/>
      <c r="O3"/>
      <c r="P3"/>
      <c r="Q3"/>
      <c r="R3"/>
      <c r="S3"/>
      <c r="T3"/>
      <c r="U3"/>
      <c r="V3"/>
    </row>
    <row r="4" spans="1:22" x14ac:dyDescent="0.2">
      <c r="A4" s="49">
        <v>39326</v>
      </c>
      <c r="B4"/>
      <c r="C4"/>
      <c r="D4"/>
      <c r="E4">
        <v>54.2</v>
      </c>
      <c r="F4"/>
      <c r="G4">
        <v>53.1</v>
      </c>
      <c r="H4"/>
      <c r="I4"/>
      <c r="J4"/>
      <c r="K4"/>
      <c r="L4"/>
      <c r="M4"/>
      <c r="N4"/>
      <c r="O4"/>
      <c r="P4"/>
      <c r="Q4"/>
      <c r="R4"/>
      <c r="S4"/>
      <c r="T4"/>
      <c r="U4"/>
      <c r="V4"/>
    </row>
    <row r="5" spans="1:22" x14ac:dyDescent="0.2">
      <c r="A5" s="49">
        <v>39356</v>
      </c>
      <c r="B5"/>
      <c r="C5"/>
      <c r="D5"/>
      <c r="E5">
        <v>55.8</v>
      </c>
      <c r="F5"/>
      <c r="G5">
        <v>55.1</v>
      </c>
      <c r="H5"/>
      <c r="I5"/>
      <c r="J5"/>
      <c r="K5"/>
      <c r="L5"/>
      <c r="M5"/>
      <c r="N5"/>
      <c r="O5"/>
      <c r="P5"/>
      <c r="Q5"/>
      <c r="R5"/>
      <c r="S5"/>
      <c r="T5"/>
      <c r="U5"/>
      <c r="V5"/>
    </row>
    <row r="6" spans="1:22" x14ac:dyDescent="0.2">
      <c r="A6" s="49">
        <v>39387</v>
      </c>
      <c r="B6"/>
      <c r="C6"/>
      <c r="D6"/>
      <c r="E6">
        <v>54.1</v>
      </c>
      <c r="F6"/>
      <c r="G6">
        <v>53.1</v>
      </c>
      <c r="H6"/>
      <c r="I6"/>
      <c r="J6"/>
      <c r="K6"/>
      <c r="L6"/>
      <c r="M6"/>
      <c r="N6"/>
      <c r="O6"/>
      <c r="P6"/>
      <c r="Q6"/>
      <c r="R6"/>
      <c r="S6"/>
      <c r="T6"/>
      <c r="U6"/>
      <c r="V6"/>
    </row>
    <row r="7" spans="1:22" x14ac:dyDescent="0.2">
      <c r="A7" s="49">
        <v>39417</v>
      </c>
      <c r="B7"/>
      <c r="C7"/>
      <c r="D7"/>
      <c r="E7">
        <v>53.1</v>
      </c>
      <c r="F7"/>
      <c r="G7">
        <v>51.5</v>
      </c>
      <c r="H7"/>
      <c r="I7"/>
      <c r="J7"/>
      <c r="K7"/>
      <c r="L7"/>
      <c r="M7"/>
      <c r="N7"/>
      <c r="O7"/>
      <c r="P7"/>
      <c r="Q7"/>
      <c r="R7"/>
      <c r="S7"/>
      <c r="T7"/>
      <c r="U7"/>
      <c r="V7"/>
    </row>
    <row r="8" spans="1:22" x14ac:dyDescent="0.2">
      <c r="A8" s="49">
        <v>39448</v>
      </c>
      <c r="B8"/>
      <c r="C8"/>
      <c r="D8"/>
      <c r="E8">
        <v>50.6</v>
      </c>
      <c r="F8"/>
      <c r="G8">
        <v>49.2</v>
      </c>
      <c r="H8"/>
      <c r="I8"/>
      <c r="J8"/>
      <c r="K8"/>
      <c r="L8"/>
      <c r="M8"/>
      <c r="N8"/>
      <c r="O8"/>
      <c r="P8"/>
      <c r="Q8"/>
      <c r="R8"/>
      <c r="S8"/>
      <c r="T8"/>
      <c r="U8"/>
      <c r="V8"/>
    </row>
    <row r="9" spans="1:22" x14ac:dyDescent="0.2">
      <c r="A9" s="49">
        <v>39479</v>
      </c>
      <c r="B9"/>
      <c r="C9"/>
      <c r="D9"/>
      <c r="E9">
        <v>51.7</v>
      </c>
      <c r="F9"/>
      <c r="G9">
        <v>52.2</v>
      </c>
      <c r="H9"/>
      <c r="I9"/>
      <c r="J9"/>
      <c r="K9"/>
      <c r="L9"/>
      <c r="M9"/>
      <c r="N9"/>
      <c r="O9"/>
      <c r="P9"/>
      <c r="Q9"/>
      <c r="R9"/>
      <c r="S9"/>
      <c r="T9"/>
      <c r="U9"/>
      <c r="V9"/>
    </row>
    <row r="10" spans="1:22" x14ac:dyDescent="0.2">
      <c r="A10" s="49">
        <v>39508</v>
      </c>
      <c r="B10"/>
      <c r="C10"/>
      <c r="D10"/>
      <c r="E10">
        <v>51.6</v>
      </c>
      <c r="F10"/>
      <c r="G10">
        <v>51.8</v>
      </c>
      <c r="H10"/>
      <c r="I10"/>
      <c r="J10"/>
      <c r="K10"/>
      <c r="L10"/>
      <c r="M10"/>
      <c r="N10"/>
      <c r="O10"/>
      <c r="P10"/>
      <c r="Q10"/>
      <c r="R10"/>
      <c r="S10"/>
      <c r="T10"/>
      <c r="U10"/>
      <c r="V10"/>
    </row>
    <row r="11" spans="1:22" x14ac:dyDescent="0.2">
      <c r="A11" s="49">
        <v>39539</v>
      </c>
      <c r="B11"/>
      <c r="C11"/>
      <c r="D11"/>
      <c r="E11">
        <v>52</v>
      </c>
      <c r="F11"/>
      <c r="G11">
        <v>54.9</v>
      </c>
      <c r="H11"/>
      <c r="I11"/>
      <c r="J11"/>
      <c r="K11"/>
      <c r="L11"/>
      <c r="M11"/>
      <c r="N11"/>
      <c r="O11"/>
      <c r="P11"/>
      <c r="Q11"/>
      <c r="R11"/>
      <c r="S11"/>
      <c r="T11"/>
      <c r="U11"/>
      <c r="V11"/>
    </row>
    <row r="12" spans="1:22" x14ac:dyDescent="0.2">
      <c r="A12" s="49">
        <v>39569</v>
      </c>
      <c r="B12"/>
      <c r="C12"/>
      <c r="D12"/>
      <c r="E12">
        <v>50.6</v>
      </c>
      <c r="F12"/>
      <c r="G12">
        <v>53.8</v>
      </c>
      <c r="H12"/>
      <c r="I12"/>
      <c r="J12"/>
      <c r="K12"/>
      <c r="L12"/>
      <c r="M12"/>
      <c r="N12"/>
      <c r="O12"/>
      <c r="P12"/>
      <c r="Q12"/>
      <c r="R12"/>
      <c r="S12"/>
      <c r="T12"/>
      <c r="U12"/>
      <c r="V12"/>
    </row>
    <row r="13" spans="1:22" x14ac:dyDescent="0.2">
      <c r="A13" s="49">
        <v>39600</v>
      </c>
      <c r="B13"/>
      <c r="C13"/>
      <c r="D13"/>
      <c r="E13">
        <v>49.1</v>
      </c>
      <c r="F13"/>
      <c r="G13">
        <v>52.1</v>
      </c>
      <c r="H13"/>
      <c r="I13"/>
      <c r="J13"/>
      <c r="K13"/>
      <c r="L13"/>
      <c r="M13"/>
      <c r="N13"/>
      <c r="O13"/>
      <c r="P13"/>
      <c r="Q13"/>
      <c r="R13"/>
      <c r="S13"/>
      <c r="T13"/>
      <c r="U13"/>
      <c r="V13"/>
    </row>
    <row r="14" spans="1:22" x14ac:dyDescent="0.2">
      <c r="A14" s="49">
        <v>39630</v>
      </c>
      <c r="B14"/>
      <c r="C14"/>
      <c r="D14"/>
      <c r="E14">
        <v>48.3</v>
      </c>
      <c r="F14"/>
      <c r="G14">
        <v>53.1</v>
      </c>
      <c r="H14"/>
      <c r="I14"/>
      <c r="J14"/>
      <c r="K14"/>
      <c r="L14"/>
      <c r="M14"/>
      <c r="N14"/>
      <c r="O14"/>
      <c r="P14"/>
      <c r="Q14"/>
      <c r="R14"/>
      <c r="S14"/>
      <c r="T14"/>
      <c r="U14"/>
      <c r="V14"/>
    </row>
    <row r="15" spans="1:22" x14ac:dyDescent="0.2">
      <c r="A15" s="49">
        <v>39661</v>
      </c>
      <c r="B15"/>
      <c r="C15"/>
      <c r="D15"/>
      <c r="E15">
        <v>48.5</v>
      </c>
      <c r="F15">
        <v>48</v>
      </c>
      <c r="G15">
        <v>51.4</v>
      </c>
      <c r="H15"/>
      <c r="I15"/>
      <c r="J15"/>
      <c r="K15"/>
      <c r="L15"/>
      <c r="M15"/>
      <c r="N15"/>
      <c r="O15"/>
      <c r="P15"/>
      <c r="Q15"/>
      <c r="R15"/>
      <c r="S15"/>
      <c r="T15"/>
      <c r="U15"/>
      <c r="V15"/>
    </row>
    <row r="16" spans="1:22" x14ac:dyDescent="0.2">
      <c r="A16" s="49">
        <v>39692</v>
      </c>
      <c r="B16"/>
      <c r="C16"/>
      <c r="D16"/>
      <c r="E16">
        <v>48.4</v>
      </c>
      <c r="F16">
        <v>50.1</v>
      </c>
      <c r="G16">
        <v>50.2</v>
      </c>
      <c r="H16"/>
      <c r="I16"/>
      <c r="J16"/>
      <c r="K16"/>
      <c r="L16"/>
      <c r="M16"/>
      <c r="N16"/>
      <c r="O16"/>
      <c r="P16"/>
      <c r="Q16"/>
      <c r="R16"/>
      <c r="S16"/>
      <c r="T16"/>
      <c r="U16"/>
      <c r="V16"/>
    </row>
    <row r="17" spans="1:22" x14ac:dyDescent="0.2">
      <c r="A17" s="49">
        <v>39722</v>
      </c>
      <c r="B17"/>
      <c r="C17"/>
      <c r="D17"/>
      <c r="E17">
        <v>45.8</v>
      </c>
      <c r="F17">
        <v>47.5</v>
      </c>
      <c r="G17">
        <v>48.3</v>
      </c>
      <c r="H17"/>
      <c r="I17"/>
      <c r="J17"/>
      <c r="K17"/>
      <c r="L17"/>
      <c r="M17"/>
      <c r="N17"/>
      <c r="O17"/>
      <c r="P17"/>
      <c r="Q17"/>
      <c r="R17"/>
      <c r="S17"/>
      <c r="T17"/>
      <c r="U17"/>
      <c r="V17"/>
    </row>
    <row r="18" spans="1:22" x14ac:dyDescent="0.2">
      <c r="A18" s="49">
        <v>39753</v>
      </c>
      <c r="B18"/>
      <c r="C18"/>
      <c r="D18"/>
      <c r="E18">
        <v>42.5</v>
      </c>
      <c r="F18">
        <v>46.2</v>
      </c>
      <c r="G18">
        <v>45.1</v>
      </c>
      <c r="H18"/>
      <c r="I18"/>
      <c r="J18"/>
      <c r="K18"/>
      <c r="L18"/>
      <c r="M18"/>
      <c r="N18"/>
      <c r="O18"/>
      <c r="P18"/>
      <c r="Q18"/>
      <c r="R18"/>
      <c r="S18"/>
      <c r="T18"/>
      <c r="U18"/>
      <c r="V18"/>
    </row>
    <row r="19" spans="1:22" x14ac:dyDescent="0.2">
      <c r="A19" s="49">
        <v>39783</v>
      </c>
      <c r="B19"/>
      <c r="C19"/>
      <c r="D19"/>
      <c r="E19">
        <v>42.3</v>
      </c>
      <c r="F19">
        <v>44.2</v>
      </c>
      <c r="G19">
        <v>43.1</v>
      </c>
      <c r="H19"/>
      <c r="I19"/>
      <c r="J19"/>
      <c r="K19"/>
      <c r="L19"/>
      <c r="M19"/>
      <c r="N19"/>
      <c r="O19"/>
      <c r="P19"/>
      <c r="Q19"/>
      <c r="R19"/>
      <c r="S19"/>
      <c r="T19"/>
      <c r="U19"/>
      <c r="V19"/>
    </row>
    <row r="20" spans="1:22" x14ac:dyDescent="0.2">
      <c r="A20" s="49">
        <v>39814</v>
      </c>
      <c r="B20"/>
      <c r="C20"/>
      <c r="D20"/>
      <c r="E20">
        <v>42.2</v>
      </c>
      <c r="F20">
        <v>42.6</v>
      </c>
      <c r="G20">
        <v>45.2</v>
      </c>
      <c r="H20"/>
      <c r="I20"/>
      <c r="J20"/>
      <c r="K20"/>
      <c r="L20"/>
      <c r="M20"/>
      <c r="N20"/>
      <c r="O20"/>
      <c r="P20"/>
      <c r="Q20"/>
      <c r="R20"/>
      <c r="S20"/>
      <c r="T20"/>
      <c r="U20"/>
      <c r="V20"/>
    </row>
    <row r="21" spans="1:22" x14ac:dyDescent="0.2">
      <c r="A21" s="49">
        <v>39845</v>
      </c>
      <c r="B21"/>
      <c r="C21"/>
      <c r="D21"/>
      <c r="E21">
        <v>39.200000000000003</v>
      </c>
      <c r="F21">
        <v>40.200000000000003</v>
      </c>
      <c r="G21">
        <v>41.3</v>
      </c>
      <c r="H21"/>
      <c r="I21"/>
      <c r="J21"/>
      <c r="K21"/>
      <c r="L21"/>
      <c r="M21"/>
      <c r="N21"/>
      <c r="O21"/>
      <c r="P21"/>
      <c r="Q21"/>
      <c r="R21"/>
      <c r="S21"/>
      <c r="T21"/>
      <c r="U21"/>
      <c r="V21"/>
    </row>
    <row r="22" spans="1:22" x14ac:dyDescent="0.2">
      <c r="A22" s="49">
        <v>39873</v>
      </c>
      <c r="B22"/>
      <c r="C22"/>
      <c r="D22"/>
      <c r="E22">
        <v>40.9</v>
      </c>
      <c r="F22">
        <v>43.6</v>
      </c>
      <c r="G22">
        <v>42.3</v>
      </c>
      <c r="H22"/>
      <c r="I22"/>
      <c r="J22"/>
      <c r="K22"/>
      <c r="L22"/>
      <c r="M22"/>
      <c r="N22"/>
      <c r="O22"/>
      <c r="P22"/>
      <c r="Q22"/>
      <c r="R22"/>
      <c r="S22"/>
      <c r="T22"/>
      <c r="U22"/>
      <c r="V22"/>
    </row>
    <row r="23" spans="1:22" x14ac:dyDescent="0.2">
      <c r="A23" s="49">
        <v>39904</v>
      </c>
      <c r="B23"/>
      <c r="C23"/>
      <c r="D23"/>
      <c r="E23">
        <v>43.8</v>
      </c>
      <c r="F23">
        <v>46.5</v>
      </c>
      <c r="G23">
        <v>43.8</v>
      </c>
      <c r="H23"/>
      <c r="I23"/>
      <c r="J23"/>
      <c r="K23"/>
      <c r="L23"/>
      <c r="M23"/>
      <c r="N23"/>
      <c r="O23"/>
      <c r="P23"/>
      <c r="Q23"/>
      <c r="R23"/>
      <c r="S23"/>
      <c r="T23"/>
      <c r="U23"/>
      <c r="V23"/>
    </row>
    <row r="24" spans="1:22" x14ac:dyDescent="0.2">
      <c r="A24" s="49">
        <v>39934</v>
      </c>
      <c r="B24"/>
      <c r="C24"/>
      <c r="D24"/>
      <c r="E24">
        <v>44.8</v>
      </c>
      <c r="F24">
        <v>48.3</v>
      </c>
      <c r="G24">
        <v>45.2</v>
      </c>
      <c r="H24"/>
      <c r="I24"/>
      <c r="J24"/>
      <c r="K24"/>
      <c r="L24"/>
      <c r="M24"/>
      <c r="N24"/>
      <c r="O24"/>
      <c r="P24"/>
      <c r="Q24"/>
      <c r="R24"/>
      <c r="S24"/>
      <c r="T24"/>
      <c r="U24"/>
      <c r="V24"/>
    </row>
    <row r="25" spans="1:22" x14ac:dyDescent="0.2">
      <c r="A25" s="49">
        <v>39965</v>
      </c>
      <c r="B25"/>
      <c r="C25"/>
      <c r="D25"/>
      <c r="E25">
        <v>44.7</v>
      </c>
      <c r="F25">
        <v>47.2</v>
      </c>
      <c r="G25">
        <v>45.2</v>
      </c>
      <c r="H25"/>
      <c r="I25"/>
      <c r="J25"/>
      <c r="K25"/>
      <c r="L25"/>
      <c r="M25"/>
      <c r="N25"/>
      <c r="O25"/>
      <c r="P25"/>
      <c r="Q25"/>
      <c r="R25"/>
      <c r="S25"/>
      <c r="T25"/>
      <c r="U25"/>
      <c r="V25"/>
    </row>
    <row r="26" spans="1:22" x14ac:dyDescent="0.2">
      <c r="A26" s="49">
        <v>39995</v>
      </c>
      <c r="B26"/>
      <c r="C26"/>
      <c r="D26"/>
      <c r="E26">
        <v>45.7</v>
      </c>
      <c r="F26">
        <v>45.5</v>
      </c>
      <c r="G26">
        <v>48.1</v>
      </c>
      <c r="H26"/>
      <c r="I26"/>
      <c r="J26"/>
      <c r="K26"/>
      <c r="L26"/>
      <c r="M26"/>
      <c r="N26"/>
      <c r="O26"/>
      <c r="P26"/>
      <c r="Q26"/>
      <c r="R26"/>
      <c r="S26"/>
      <c r="T26"/>
      <c r="U26"/>
      <c r="V26"/>
    </row>
    <row r="27" spans="1:22" x14ac:dyDescent="0.2">
      <c r="A27" s="49">
        <v>40026</v>
      </c>
      <c r="B27"/>
      <c r="C27"/>
      <c r="D27"/>
      <c r="E27">
        <v>49.9</v>
      </c>
      <c r="F27">
        <v>49.3</v>
      </c>
      <c r="G27">
        <v>53.8</v>
      </c>
      <c r="H27"/>
      <c r="I27"/>
      <c r="J27"/>
      <c r="K27"/>
      <c r="L27"/>
      <c r="M27"/>
      <c r="N27"/>
      <c r="O27"/>
      <c r="P27"/>
      <c r="Q27"/>
      <c r="R27"/>
      <c r="S27"/>
      <c r="T27"/>
      <c r="U27"/>
      <c r="V27"/>
    </row>
    <row r="28" spans="1:22" x14ac:dyDescent="0.2">
      <c r="A28" s="49">
        <v>40057</v>
      </c>
      <c r="B28"/>
      <c r="C28"/>
      <c r="D28"/>
      <c r="E28">
        <v>50.9</v>
      </c>
      <c r="F28">
        <v>53.2</v>
      </c>
      <c r="G28">
        <v>52.2</v>
      </c>
      <c r="H28"/>
      <c r="I28"/>
      <c r="J28"/>
      <c r="K28"/>
      <c r="L28"/>
      <c r="M28"/>
      <c r="N28"/>
      <c r="O28"/>
      <c r="P28"/>
      <c r="Q28"/>
      <c r="R28"/>
      <c r="S28"/>
      <c r="T28"/>
      <c r="U28"/>
      <c r="V28"/>
    </row>
    <row r="29" spans="1:22" x14ac:dyDescent="0.2">
      <c r="A29" s="49">
        <v>40087</v>
      </c>
      <c r="B29"/>
      <c r="C29"/>
      <c r="D29"/>
      <c r="E29">
        <v>52.6</v>
      </c>
      <c r="F29">
        <v>57.7</v>
      </c>
      <c r="G29">
        <v>50.7</v>
      </c>
      <c r="H29"/>
      <c r="I29"/>
      <c r="J29"/>
      <c r="K29"/>
      <c r="L29"/>
      <c r="M29"/>
      <c r="N29"/>
      <c r="O29"/>
      <c r="P29"/>
      <c r="Q29"/>
      <c r="R29"/>
      <c r="S29"/>
      <c r="T29"/>
      <c r="U29"/>
      <c r="V29"/>
    </row>
    <row r="30" spans="1:22" x14ac:dyDescent="0.2">
      <c r="A30" s="49">
        <v>40118</v>
      </c>
      <c r="B30"/>
      <c r="C30"/>
      <c r="D30"/>
      <c r="E30">
        <v>53</v>
      </c>
      <c r="F30">
        <v>60.9</v>
      </c>
      <c r="G30">
        <v>51.4</v>
      </c>
      <c r="H30"/>
      <c r="I30"/>
      <c r="J30"/>
      <c r="K30"/>
      <c r="L30"/>
      <c r="M30"/>
      <c r="N30"/>
      <c r="O30"/>
      <c r="P30"/>
      <c r="Q30"/>
      <c r="R30"/>
      <c r="S30"/>
      <c r="T30"/>
      <c r="U30"/>
      <c r="V30"/>
    </row>
    <row r="31" spans="1:22" x14ac:dyDescent="0.2">
      <c r="A31" s="49">
        <v>40148</v>
      </c>
      <c r="B31"/>
      <c r="C31"/>
      <c r="D31"/>
      <c r="E31">
        <v>52.9</v>
      </c>
      <c r="F31">
        <v>58.2</v>
      </c>
      <c r="G31">
        <v>52.1</v>
      </c>
      <c r="H31"/>
      <c r="I31"/>
      <c r="J31"/>
      <c r="K31"/>
      <c r="L31"/>
      <c r="M31"/>
      <c r="N31"/>
      <c r="O31"/>
      <c r="P31"/>
      <c r="Q31"/>
      <c r="R31"/>
      <c r="S31"/>
      <c r="T31"/>
      <c r="U31"/>
      <c r="V31"/>
    </row>
    <row r="32" spans="1:22" x14ac:dyDescent="0.2">
      <c r="A32" s="49">
        <v>40179</v>
      </c>
      <c r="B32"/>
      <c r="C32"/>
      <c r="D32"/>
      <c r="E32">
        <v>52.5</v>
      </c>
      <c r="F32">
        <v>56.3</v>
      </c>
      <c r="G32">
        <v>52.2</v>
      </c>
      <c r="H32"/>
      <c r="I32"/>
      <c r="J32"/>
      <c r="K32"/>
      <c r="L32"/>
      <c r="M32"/>
      <c r="N32"/>
      <c r="O32"/>
      <c r="P32"/>
      <c r="Q32"/>
      <c r="R32"/>
      <c r="S32"/>
      <c r="T32"/>
      <c r="U32"/>
      <c r="V32"/>
    </row>
    <row r="33" spans="1:22" x14ac:dyDescent="0.2">
      <c r="A33" s="49">
        <v>40210</v>
      </c>
      <c r="B33"/>
      <c r="C33"/>
      <c r="D33"/>
      <c r="E33">
        <v>51.8</v>
      </c>
      <c r="F33">
        <v>54.6</v>
      </c>
      <c r="G33">
        <v>51.9</v>
      </c>
      <c r="H33"/>
      <c r="I33"/>
      <c r="J33"/>
      <c r="K33"/>
      <c r="L33"/>
      <c r="M33"/>
      <c r="N33"/>
      <c r="O33"/>
      <c r="P33"/>
      <c r="Q33"/>
      <c r="R33"/>
      <c r="S33"/>
      <c r="T33"/>
      <c r="U33"/>
      <c r="V33"/>
    </row>
    <row r="34" spans="1:22" x14ac:dyDescent="0.2">
      <c r="A34" s="49">
        <v>40238</v>
      </c>
      <c r="B34"/>
      <c r="C34"/>
      <c r="D34"/>
      <c r="E34">
        <v>54.1</v>
      </c>
      <c r="F34">
        <v>53.8</v>
      </c>
      <c r="G34">
        <v>54.9</v>
      </c>
      <c r="H34"/>
      <c r="I34"/>
      <c r="J34"/>
      <c r="K34"/>
      <c r="L34"/>
      <c r="M34"/>
      <c r="N34"/>
      <c r="O34"/>
      <c r="P34"/>
      <c r="Q34"/>
      <c r="R34"/>
      <c r="S34"/>
      <c r="T34"/>
      <c r="U34"/>
      <c r="V34"/>
    </row>
    <row r="35" spans="1:22" x14ac:dyDescent="0.2">
      <c r="A35" s="49">
        <v>40269</v>
      </c>
      <c r="B35"/>
      <c r="C35"/>
      <c r="D35"/>
      <c r="E35">
        <v>55.6</v>
      </c>
      <c r="F35">
        <v>59.2</v>
      </c>
      <c r="G35">
        <v>53.7</v>
      </c>
      <c r="H35"/>
      <c r="I35"/>
      <c r="J35"/>
      <c r="K35"/>
      <c r="L35"/>
      <c r="M35"/>
      <c r="N35"/>
      <c r="O35"/>
      <c r="P35"/>
      <c r="Q35"/>
      <c r="R35"/>
      <c r="S35"/>
      <c r="T35"/>
      <c r="U35"/>
      <c r="V35"/>
    </row>
    <row r="36" spans="1:22" x14ac:dyDescent="0.2">
      <c r="A36" s="49">
        <v>40299</v>
      </c>
      <c r="B36"/>
      <c r="C36"/>
      <c r="D36"/>
      <c r="E36">
        <v>56.2</v>
      </c>
      <c r="F36">
        <v>61.4</v>
      </c>
      <c r="G36">
        <v>54.8</v>
      </c>
      <c r="H36"/>
      <c r="I36"/>
      <c r="J36"/>
      <c r="K36"/>
      <c r="L36"/>
      <c r="M36"/>
      <c r="N36"/>
      <c r="O36"/>
      <c r="P36"/>
      <c r="Q36"/>
      <c r="R36"/>
      <c r="S36"/>
      <c r="T36"/>
      <c r="U36"/>
      <c r="V36"/>
    </row>
    <row r="37" spans="1:22" x14ac:dyDescent="0.2">
      <c r="A37" s="49">
        <v>40330</v>
      </c>
      <c r="B37"/>
      <c r="C37"/>
      <c r="D37"/>
      <c r="E37">
        <v>55.5</v>
      </c>
      <c r="F37">
        <v>60.8</v>
      </c>
      <c r="G37">
        <v>54.8</v>
      </c>
      <c r="H37"/>
      <c r="I37"/>
      <c r="J37"/>
      <c r="K37"/>
      <c r="L37"/>
      <c r="M37"/>
      <c r="N37"/>
      <c r="O37"/>
      <c r="P37"/>
      <c r="Q37"/>
      <c r="R37"/>
      <c r="S37"/>
      <c r="T37"/>
      <c r="U37"/>
      <c r="V37"/>
    </row>
    <row r="38" spans="1:22" x14ac:dyDescent="0.2">
      <c r="A38" s="49">
        <v>40360</v>
      </c>
      <c r="B38"/>
      <c r="C38"/>
      <c r="D38"/>
      <c r="E38">
        <v>55.8</v>
      </c>
      <c r="F38">
        <v>61.1</v>
      </c>
      <c r="G38">
        <v>56.5</v>
      </c>
      <c r="H38"/>
      <c r="I38"/>
      <c r="J38"/>
      <c r="K38"/>
      <c r="L38"/>
      <c r="M38"/>
      <c r="N38"/>
      <c r="O38"/>
      <c r="P38"/>
      <c r="Q38"/>
      <c r="R38"/>
      <c r="S38"/>
      <c r="T38"/>
      <c r="U38"/>
      <c r="V38"/>
    </row>
    <row r="39" spans="1:22" x14ac:dyDescent="0.2">
      <c r="A39" s="49">
        <v>40391</v>
      </c>
      <c r="B39"/>
      <c r="C39"/>
      <c r="D39"/>
      <c r="E39">
        <v>55.9</v>
      </c>
      <c r="F39">
        <v>60.4</v>
      </c>
      <c r="G39">
        <v>57.2</v>
      </c>
      <c r="H39"/>
      <c r="I39"/>
      <c r="J39"/>
      <c r="K39"/>
      <c r="L39"/>
      <c r="M39"/>
      <c r="N39"/>
      <c r="O39"/>
      <c r="P39"/>
      <c r="Q39"/>
      <c r="R39"/>
      <c r="S39"/>
      <c r="T39"/>
      <c r="U39"/>
      <c r="V39"/>
    </row>
    <row r="40" spans="1:22" x14ac:dyDescent="0.2">
      <c r="A40" s="49">
        <v>40422</v>
      </c>
      <c r="B40"/>
      <c r="C40"/>
      <c r="D40"/>
      <c r="E40">
        <v>54.1</v>
      </c>
      <c r="F40">
        <v>58.2</v>
      </c>
      <c r="G40">
        <v>54.9</v>
      </c>
      <c r="H40"/>
      <c r="I40"/>
      <c r="J40"/>
      <c r="K40"/>
      <c r="L40"/>
      <c r="M40"/>
      <c r="N40"/>
      <c r="O40"/>
      <c r="P40"/>
      <c r="Q40"/>
      <c r="R40"/>
      <c r="S40"/>
      <c r="T40"/>
      <c r="U40"/>
      <c r="V40"/>
    </row>
    <row r="41" spans="1:22" x14ac:dyDescent="0.2">
      <c r="A41" s="49">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2">
      <c r="A42" s="49">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2">
      <c r="A43" s="49">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2">
      <c r="A44" s="49">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2">
      <c r="A45" s="49">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2">
      <c r="A46" s="49">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2">
      <c r="A47" s="49">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2">
      <c r="A48" s="49">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2">
      <c r="A49" s="49">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2">
      <c r="A50" s="49">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2">
      <c r="A51" s="49">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2">
      <c r="A52" s="49">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2">
      <c r="A53" s="49">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2">
      <c r="A54" s="49">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2">
      <c r="A55" s="49">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2">
      <c r="A56" s="49">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2">
      <c r="A57" s="49">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2">
      <c r="A58" s="49">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2">
      <c r="A59" s="49">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2">
      <c r="A60" s="49">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2">
      <c r="A61" s="49">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2">
      <c r="A62" s="49">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2">
      <c r="A63" s="49">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2">
      <c r="A64" s="49">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2">
      <c r="A65" s="49">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2">
      <c r="A66" s="49">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2">
      <c r="A67" s="49">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2">
      <c r="A68" s="49">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2">
      <c r="A69" s="49">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2">
      <c r="A70" s="49">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2">
      <c r="A71" s="49">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2">
      <c r="A72" s="49">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2">
      <c r="A73" s="49">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2">
      <c r="A74" s="49">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2">
      <c r="A75" s="49">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2">
      <c r="A76" s="49">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2">
      <c r="A77" s="49">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2">
      <c r="A78" s="49">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2">
      <c r="A79" s="49">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2">
      <c r="A80" s="49">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2">
      <c r="A81" s="49">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2">
      <c r="A82" s="49">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2">
      <c r="A83" s="49">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2">
      <c r="A84" s="49">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2">
      <c r="A85" s="49">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2">
      <c r="A86" s="49">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2">
      <c r="A87" s="49">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2">
      <c r="A88" s="49">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2">
      <c r="A89" s="49">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2">
      <c r="A90" s="49">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2">
      <c r="A91" s="49">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2">
      <c r="A92" s="49">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2">
      <c r="A93" s="49">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2">
      <c r="A94" s="49">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2">
      <c r="A95" s="49">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2">
      <c r="A96" s="49">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2">
      <c r="A97" s="49">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2">
      <c r="A98" s="49">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2">
      <c r="A99" s="49">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2">
      <c r="A100" s="49">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2">
      <c r="A101" s="49">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2">
      <c r="A102" s="49">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2">
      <c r="A103" s="49">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2">
      <c r="A104" s="49">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2">
      <c r="A105" s="49">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2">
      <c r="A106" s="49">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2">
      <c r="A107" s="49">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2">
      <c r="A108" s="49">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2">
      <c r="A109" s="49">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2">
      <c r="A110" s="49">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2">
      <c r="A111" s="49">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2">
      <c r="A112" s="49">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2">
      <c r="A113" s="49">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2">
      <c r="A114" s="49">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2">
      <c r="A115" s="49">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2">
      <c r="A116" s="49">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2">
      <c r="A117" s="49">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2">
      <c r="A118" s="49">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2">
      <c r="A119" s="49">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2">
      <c r="A120" s="49">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2">
      <c r="A121" s="49">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2">
      <c r="A122" s="49">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2">
      <c r="A123" s="49">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2">
      <c r="A124" s="49">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2">
      <c r="A125" s="49">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2">
      <c r="A126" s="49">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2">
      <c r="A127" s="49">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2">
      <c r="A128" s="49">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2">
      <c r="A129" s="49">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2">
      <c r="A130" s="49">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2">
      <c r="A131" s="49">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2">
      <c r="A132" s="49">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2">
      <c r="A133" s="49">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2">
      <c r="A134" s="49">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2">
      <c r="A135" s="49">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2">
      <c r="A136" s="49">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2">
      <c r="A137" s="49">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2">
      <c r="A138" s="49">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2">
      <c r="A139" s="49">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2">
      <c r="A140" s="49">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2">
      <c r="A141" s="49">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2">
      <c r="A142" s="49">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2">
      <c r="A143" s="49">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2">
      <c r="A144" s="49">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2">
      <c r="A145" s="49">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2">
      <c r="A146" s="49">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2">
      <c r="A147" s="49">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2">
      <c r="A148" s="49">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2">
      <c r="A149" s="49">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2">
      <c r="A150" s="49">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2">
      <c r="A151" s="49">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2">
      <c r="A152" s="49">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2">
      <c r="A153" s="49">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2">
      <c r="A154" s="49">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2">
      <c r="A155" s="49">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2">
      <c r="A156" s="49">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2">
      <c r="A157" s="49">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2">
      <c r="A158" s="49">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2">
      <c r="A159" s="49">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2">
      <c r="A160" s="49">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2">
      <c r="A161" s="49">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2">
      <c r="A162" s="49">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2">
      <c r="A163" s="49">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2">
      <c r="A164" s="49">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2">
      <c r="A165" s="49">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2">
      <c r="A166" s="49">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2">
      <c r="A167" s="49">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2">
      <c r="A168" s="49">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2">
      <c r="A169" s="49">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2">
      <c r="A170" s="49">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2">
      <c r="A171" s="49">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2">
      <c r="A172" s="49">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2">
      <c r="A173" s="49">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2">
      <c r="A174" s="49">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2">
      <c r="A175" s="49">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2">
      <c r="A176" s="49">
        <v>44562</v>
      </c>
      <c r="B176">
        <v>56.2</v>
      </c>
      <c r="C176">
        <v>52.8</v>
      </c>
      <c r="D176">
        <v>51.4</v>
      </c>
      <c r="E176">
        <v>51.1</v>
      </c>
      <c r="F176">
        <v>53.1</v>
      </c>
      <c r="G176">
        <v>52.2</v>
      </c>
      <c r="H176">
        <v>51.3</v>
      </c>
      <c r="I176">
        <v>51.5</v>
      </c>
      <c r="J176">
        <v>56.2</v>
      </c>
      <c r="K176">
        <v>48.5</v>
      </c>
      <c r="L176">
        <v>47.6</v>
      </c>
      <c r="M176">
        <v>27.3</v>
      </c>
      <c r="N176">
        <v>45.9</v>
      </c>
      <c r="O176"/>
      <c r="P176">
        <v>49.8</v>
      </c>
      <c r="Q176">
        <v>46.6</v>
      </c>
      <c r="R176">
        <v>57.5</v>
      </c>
      <c r="S176">
        <v>68.599999999999994</v>
      </c>
      <c r="T176">
        <v>56.44</v>
      </c>
      <c r="U176">
        <v>54.1</v>
      </c>
      <c r="V176">
        <v>51.2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170" zoomScaleNormal="170" workbookViewId="0">
      <pane xSplit="2" ySplit="11" topLeftCell="C71" activePane="bottomRight" state="frozen"/>
      <selection pane="topRight" activeCell="C1" sqref="C1"/>
      <selection pane="bottomLeft" activeCell="A12" sqref="A12"/>
      <selection pane="bottomRight" activeCell="AC6" sqref="AC6"/>
    </sheetView>
  </sheetViews>
  <sheetFormatPr baseColWidth="10" defaultColWidth="9.1640625" defaultRowHeight="15" x14ac:dyDescent="0.2"/>
  <cols>
    <col min="1" max="1" width="9.1640625" style="47" customWidth="1"/>
    <col min="2" max="2" width="17.83203125" style="38" customWidth="1"/>
    <col min="3" max="17" width="6.1640625" style="38" customWidth="1"/>
    <col min="18" max="18" width="9.1640625" style="47" customWidth="1"/>
    <col min="19" max="19" width="12.33203125" style="47" customWidth="1"/>
    <col min="20" max="20" width="9.1640625" style="47" customWidth="1"/>
    <col min="21" max="21" width="10.5" style="47" customWidth="1"/>
    <col min="22" max="22" width="10.6640625" style="47" bestFit="1" customWidth="1"/>
    <col min="23" max="63" width="9.1640625" style="47" customWidth="1"/>
    <col min="64" max="66" width="9.1640625" style="38" customWidth="1"/>
    <col min="67" max="16384" width="9.1640625" style="38"/>
  </cols>
  <sheetData>
    <row r="1" spans="2:25" s="47" customFormat="1" ht="16" customHeight="1" thickBot="1" x14ac:dyDescent="0.25">
      <c r="S1" s="16" t="s">
        <v>46</v>
      </c>
      <c r="T1" s="47" t="s">
        <v>47</v>
      </c>
      <c r="V1" s="71">
        <v>44562</v>
      </c>
      <c r="Y1" s="3" t="s">
        <v>48</v>
      </c>
    </row>
    <row r="2" spans="2:25" ht="72.75" customHeight="1" thickBot="1" x14ac:dyDescent="0.25">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2">
      <c r="B3" s="20" t="s">
        <v>49</v>
      </c>
      <c r="C3" s="21">
        <f ca="1">MAX(OFFSET(C$12,COUNT(C$12:C$105),0,-13,1))</f>
        <v>59.5</v>
      </c>
      <c r="D3" s="21">
        <f t="shared" ref="D3:Q3" ca="1" si="0">MAX(OFFSET(D$12,COUNT(D$12:D$105),0,-13,1))</f>
        <v>70.400000000000006</v>
      </c>
      <c r="E3" s="21" t="e">
        <f t="shared" ca="1" si="0"/>
        <v>#N/A</v>
      </c>
      <c r="F3" s="21">
        <f t="shared" ca="1" si="0"/>
        <v>59.8</v>
      </c>
      <c r="G3" s="21">
        <f t="shared" ca="1" si="0"/>
        <v>53</v>
      </c>
      <c r="H3" s="21">
        <f t="shared" ca="1" si="0"/>
        <v>61.8</v>
      </c>
      <c r="I3" s="21">
        <f t="shared" ca="1" si="0"/>
        <v>57.8</v>
      </c>
      <c r="J3" s="21">
        <f t="shared" ca="1" si="0"/>
        <v>62.9</v>
      </c>
      <c r="K3" s="21">
        <f t="shared" ca="1" si="0"/>
        <v>58</v>
      </c>
      <c r="L3" s="21">
        <f t="shared" ca="1" si="0"/>
        <v>62.5</v>
      </c>
      <c r="M3" s="21">
        <f t="shared" ca="1" si="0"/>
        <v>55.1</v>
      </c>
      <c r="N3" s="21">
        <f t="shared" ca="1" si="0"/>
        <v>58.8</v>
      </c>
      <c r="O3" s="21">
        <f t="shared" ca="1" si="0"/>
        <v>58.4</v>
      </c>
      <c r="P3" s="21" t="e">
        <f t="shared" ca="1" si="0"/>
        <v>#N/A</v>
      </c>
      <c r="Q3" s="21">
        <f t="shared" ca="1" si="0"/>
        <v>66.599999999999994</v>
      </c>
      <c r="T3" s="47" t="s">
        <v>76</v>
      </c>
      <c r="V3" s="19">
        <f>DATE(YEAR(V1),MONTH(V1)-1,DAY(V1))</f>
        <v>44531</v>
      </c>
    </row>
    <row r="4" spans="2:25" hidden="1" x14ac:dyDescent="0.2">
      <c r="B4" s="20" t="s">
        <v>51</v>
      </c>
      <c r="C4" s="21">
        <f ca="1">MIN(OFFSET(C$12,COUNT(C$12:C$105),0,-13,1))</f>
        <v>51.3</v>
      </c>
      <c r="D4" s="21">
        <f t="shared" ref="D4:Q4" ca="1" si="1">MIN(OFFSET(D$12,COUNT(D$12:D$105),0,-13,1))</f>
        <v>51.2</v>
      </c>
      <c r="E4" s="21" t="e">
        <f t="shared" ca="1" si="1"/>
        <v>#N/A</v>
      </c>
      <c r="F4" s="21">
        <f t="shared" ca="1" si="1"/>
        <v>45.7</v>
      </c>
      <c r="G4" s="21">
        <f t="shared" ca="1" si="1"/>
        <v>42.9</v>
      </c>
      <c r="H4" s="21">
        <f t="shared" ca="1" si="1"/>
        <v>45.7</v>
      </c>
      <c r="I4" s="21">
        <f t="shared" ca="1" si="1"/>
        <v>45.6</v>
      </c>
      <c r="J4" s="21">
        <f t="shared" ca="1" si="1"/>
        <v>49.5</v>
      </c>
      <c r="K4" s="21">
        <f t="shared" ca="1" si="1"/>
        <v>47.3</v>
      </c>
      <c r="L4" s="21">
        <f t="shared" ca="1" si="1"/>
        <v>43.1</v>
      </c>
      <c r="M4" s="21">
        <f t="shared" ca="1" si="1"/>
        <v>42.9</v>
      </c>
      <c r="N4" s="21">
        <f t="shared" ca="1" si="1"/>
        <v>47.1</v>
      </c>
      <c r="O4" s="21">
        <f t="shared" ca="1" si="1"/>
        <v>41.2</v>
      </c>
      <c r="P4" s="21" t="e">
        <f t="shared" ca="1" si="1"/>
        <v>#N/A</v>
      </c>
      <c r="Q4" s="21">
        <f t="shared" ca="1" si="1"/>
        <v>41.2</v>
      </c>
      <c r="T4" s="47" t="s">
        <v>50</v>
      </c>
      <c r="V4" s="19">
        <f>DATE(YEAR(V1),MONTH(V1)-12,DAY(V1))</f>
        <v>44197</v>
      </c>
    </row>
    <row r="5" spans="2:25" ht="16" hidden="1" thickBot="1" x14ac:dyDescent="0.25">
      <c r="B5" s="20" t="s">
        <v>52</v>
      </c>
      <c r="C5" s="22">
        <f ca="1">AVERAGE(OFFSET(C$12,COUNT(C$12:C$105),0,-13,1))</f>
        <v>55.116666666666667</v>
      </c>
      <c r="D5" s="22">
        <f t="shared" ref="D5:Q5" ca="1" si="2">AVERAGE(OFFSET(D$12,COUNT(D$12:D$105),0,-13,1))</f>
        <v>59.608333333333341</v>
      </c>
      <c r="E5" s="22" t="e">
        <f t="shared" ca="1" si="2"/>
        <v>#N/A</v>
      </c>
      <c r="F5" s="22">
        <f t="shared" ca="1" si="2"/>
        <v>54.1</v>
      </c>
      <c r="G5" s="22">
        <f t="shared" ca="1" si="2"/>
        <v>48.341666666666669</v>
      </c>
      <c r="H5" s="22">
        <f t="shared" ca="1" si="2"/>
        <v>53.516666666666673</v>
      </c>
      <c r="I5" s="22">
        <f t="shared" ca="1" si="2"/>
        <v>54.32500000000001</v>
      </c>
      <c r="J5" s="22">
        <f t="shared" ca="1" si="2"/>
        <v>57.208333333333336</v>
      </c>
      <c r="K5" s="22">
        <f t="shared" ca="1" si="2"/>
        <v>52.991666666666667</v>
      </c>
      <c r="L5" s="22">
        <f t="shared" ca="1" si="2"/>
        <v>55.449999999999996</v>
      </c>
      <c r="M5" s="22">
        <f t="shared" ca="1" si="2"/>
        <v>51.274999999999999</v>
      </c>
      <c r="N5" s="22">
        <f t="shared" ca="1" si="2"/>
        <v>52.974999999999994</v>
      </c>
      <c r="O5" s="22">
        <f t="shared" ca="1" si="2"/>
        <v>52.691666666666663</v>
      </c>
      <c r="P5" s="22" t="e">
        <f t="shared" ca="1" si="2"/>
        <v>#N/A</v>
      </c>
      <c r="Q5" s="22">
        <f t="shared" ca="1" si="2"/>
        <v>58.916666666666657</v>
      </c>
      <c r="V5" s="70"/>
    </row>
    <row r="6" spans="2:25" x14ac:dyDescent="0.2">
      <c r="B6" s="23" t="s">
        <v>53</v>
      </c>
      <c r="C6" s="24" t="str">
        <f ca="1">IF((VLOOKUP($V$1,$B:$AA,MATCH(C2,$B$2:$AA$2,),))&gt;C5,"above","below")</f>
        <v>below</v>
      </c>
      <c r="D6" s="24" t="str">
        <f ca="1">IF((VLOOKUP($V$1,$B:$AA,MATCH(D2,$B$2:$AA$2,),))&gt;D5,"above","below")</f>
        <v>below</v>
      </c>
      <c r="E6" s="24" t="e">
        <f t="shared" ref="E6:Q6" ca="1" si="3">IF((VLOOKUP($V$1,$B:$AA,MATCH(E2,$B$2:$AA$2,),))&gt;E5,"above","below")</f>
        <v>#N/A</v>
      </c>
      <c r="F6" s="24" t="str">
        <f t="shared" ca="1" si="3"/>
        <v>below</v>
      </c>
      <c r="G6" s="24" t="str">
        <f t="shared" ca="1" si="3"/>
        <v>below</v>
      </c>
      <c r="H6" s="24" t="str">
        <f t="shared" ca="1" si="3"/>
        <v>below</v>
      </c>
      <c r="I6" s="24" t="str">
        <f t="shared" ca="1" si="3"/>
        <v>below</v>
      </c>
      <c r="J6" s="24" t="str">
        <f t="shared" ca="1" si="3"/>
        <v>below</v>
      </c>
      <c r="K6" s="24" t="str">
        <f t="shared" ca="1" si="3"/>
        <v>below</v>
      </c>
      <c r="L6" s="24" t="str">
        <f t="shared" ca="1" si="3"/>
        <v>below</v>
      </c>
      <c r="M6" s="24" t="str">
        <f t="shared" ca="1" si="3"/>
        <v>above</v>
      </c>
      <c r="N6" s="24" t="str">
        <f t="shared" ca="1" si="3"/>
        <v>below</v>
      </c>
      <c r="O6" s="24" t="str">
        <f t="shared" ca="1" si="3"/>
        <v>below</v>
      </c>
      <c r="P6" s="24" t="e">
        <f t="shared" ca="1" si="3"/>
        <v>#N/A</v>
      </c>
      <c r="Q6" s="24" t="str">
        <f t="shared" ca="1" si="3"/>
        <v>below</v>
      </c>
    </row>
    <row r="7" spans="2:25" x14ac:dyDescent="0.2">
      <c r="B7" s="23" t="s">
        <v>54</v>
      </c>
      <c r="C7" s="25">
        <f>VLOOKUP($V$1,$B:$AA,MATCH(C2,$B$2:$AA$2,),)-VLOOKUP($V$4,$B:$AA,MATCH(C2,$B$2:$AA$2,),)</f>
        <v>-0.30000000000000426</v>
      </c>
      <c r="D7" s="25">
        <f>VLOOKUP($V$1,$B:$AA,MATCH(D2,$B$2:$AA$2,),)-VLOOKUP($V$4,$B:$AA,MATCH(D2,$B$2:$AA$2,),)</f>
        <v>-7.0999999999999943</v>
      </c>
      <c r="E7" s="25" t="e">
        <f>VLOOKUP($V$1,$B:$AA,MATCH(E2,$B$2:$AA$2,),)-VLOOKUP($V$4,$B:$AA,MATCH(E2,$B$2:$AA$2,),)</f>
        <v>#N/A</v>
      </c>
      <c r="F7" s="25">
        <f>VLOOKUP($V$1,$B:$AA,MATCH(F2,$B$2:$AA$2,),)-VLOOKUP($V$4,$B:$AA,MATCH(F2,$B$2:$AA$2,),)</f>
        <v>5.7000000000000028</v>
      </c>
      <c r="G7" s="25">
        <f>VLOOKUP($V$1,$B:$AA,MATCH(G2,$B$2:$AA$2,),)-VLOOKUP($V$4,$B:$AA,MATCH(G2,$B$2:$AA$2,),)</f>
        <v>1.5</v>
      </c>
      <c r="H7" s="25">
        <f>VLOOKUP($V$1,$B:$AA,MATCH(H2,$B$2:$AA$2,),)-VLOOKUP($V$4,$B:$AA,MATCH(H2,$B$2:$AA$2,),)</f>
        <v>5.5</v>
      </c>
      <c r="I7" s="25">
        <f>VLOOKUP($V$1,$B:$AA,MATCH(I2,$B$2:$AA$2,),)-VLOOKUP($V$4,$B:$AA,MATCH(I2,$B$2:$AA$2,),)</f>
        <v>5.8000000000000043</v>
      </c>
      <c r="J7" s="25">
        <f>VLOOKUP($V$1,$B:$AA,MATCH(J2,$B$2:$AA$2,),)-VLOOKUP($V$4,$B:$AA,MATCH(J2,$B$2:$AA$2,),)</f>
        <v>14.600000000000001</v>
      </c>
      <c r="K7" s="25">
        <f>VLOOKUP($V$1,$B:$AA,MATCH(K2,$B$2:$AA$2,),)-VLOOKUP($V$4,$B:$AA,MATCH(K2,$B$2:$AA$2,),)</f>
        <v>3.7999999999999972</v>
      </c>
      <c r="L7" s="25">
        <f>VLOOKUP($V$1,$B:$AA,MATCH(L2,$B$2:$AA$2,),)-VLOOKUP($V$4,$B:$AA,MATCH(L2,$B$2:$AA$2,),)</f>
        <v>4.8999999999999986</v>
      </c>
      <c r="M7" s="25">
        <f>VLOOKUP($V$1,$B:$AA,MATCH(M2,$B$2:$AA$2,),)-VLOOKUP($V$4,$B:$AA,MATCH(M2,$B$2:$AA$2,),)</f>
        <v>5.7999999999999972</v>
      </c>
      <c r="N7" s="25">
        <f>VLOOKUP($V$1,$B:$AA,MATCH(N2,$B$2:$AA$2,),)-VLOOKUP($V$4,$B:$AA,MATCH(N2,$B$2:$AA$2,),)</f>
        <v>-2.9000000000000057</v>
      </c>
      <c r="O7" s="25">
        <f>VLOOKUP($V$1,$B:$AA,MATCH(O2,$B$2:$AA$2,),)-VLOOKUP($V$4,$B:$AA,MATCH(O2,$B$2:$AA$2,),)</f>
        <v>-1.2999999999999972</v>
      </c>
      <c r="P7" s="25" t="e">
        <f>VLOOKUP($V$1,$B:$AA,MATCH(P2,$B$2:$AA$2,),)-VLOOKUP($V$4,$B:$AA,MATCH(P2,$B$2:$AA$2,),)</f>
        <v>#N/A</v>
      </c>
      <c r="Q7" s="25">
        <f>VLOOKUP($V$1,$B:$AA,MATCH(Q2,$B$2:$AA$2,),)-VLOOKUP($V$4,$B:$AA,MATCH(Q2,$B$2:$AA$2,),)</f>
        <v>20</v>
      </c>
    </row>
    <row r="8" spans="2:25" x14ac:dyDescent="0.2">
      <c r="B8" s="23" t="s">
        <v>55</v>
      </c>
      <c r="C8" s="25">
        <f>VLOOKUP($V$1,$B:$AA,MATCH(C2,$B$2:$AA$2,),)-VLOOKUP($V$3,$B:$AA,MATCH(C2,$B$2:$AA$2,),)</f>
        <v>-3.3000000000000043</v>
      </c>
      <c r="D8" s="25">
        <f t="shared" ref="D8:Q8" si="4">VLOOKUP($V$1,$B:$AA,MATCH(D2,$B$2:$AA$2,),)-VLOOKUP($V$3,$B:$AA,MATCH(D2,$B$2:$AA$2,),)</f>
        <v>-6.3999999999999986</v>
      </c>
      <c r="E8" s="25" t="e">
        <f t="shared" si="4"/>
        <v>#N/A</v>
      </c>
      <c r="F8" s="25">
        <f t="shared" si="4"/>
        <v>-2</v>
      </c>
      <c r="G8" s="25">
        <f t="shared" si="4"/>
        <v>-4.5</v>
      </c>
      <c r="H8" s="25">
        <f t="shared" si="4"/>
        <v>3.5</v>
      </c>
      <c r="I8" s="25">
        <f t="shared" si="4"/>
        <v>-3.8999999999999986</v>
      </c>
      <c r="J8" s="25">
        <f t="shared" si="4"/>
        <v>0.5</v>
      </c>
      <c r="K8" s="25">
        <f t="shared" si="4"/>
        <v>-4.5</v>
      </c>
      <c r="L8" s="25">
        <f t="shared" si="4"/>
        <v>-9.1999999999999957</v>
      </c>
      <c r="M8" s="25">
        <f t="shared" si="4"/>
        <v>-0.80000000000000426</v>
      </c>
      <c r="N8" s="25">
        <f t="shared" si="4"/>
        <v>0.29999999999999716</v>
      </c>
      <c r="O8" s="25">
        <f t="shared" si="4"/>
        <v>-4</v>
      </c>
      <c r="P8" s="25" t="e">
        <f t="shared" si="4"/>
        <v>#N/A</v>
      </c>
      <c r="Q8" s="25">
        <f t="shared" si="4"/>
        <v>0.80000000000000426</v>
      </c>
    </row>
    <row r="9" spans="2:25" ht="66.75" customHeight="1" x14ac:dyDescent="0.2">
      <c r="B9" s="26" t="s">
        <v>56</v>
      </c>
      <c r="C9" s="27" t="str">
        <f>IF(VLOOKUP($V$1,$B:$AB,MATCH(C2,$B$2:$AB$2,),)&gt;50,"Growth","Contraction")</f>
        <v>Growth</v>
      </c>
      <c r="D9" s="27" t="str">
        <f t="shared" ref="D9:Q9" si="5">IF(VLOOKUP($V$1,$B:$AB,MATCH(D2,$B$2:$AB$2,),)&gt;50,"Growth","Contraction")</f>
        <v>Growth</v>
      </c>
      <c r="E9" s="27" t="e">
        <f t="shared" si="5"/>
        <v>#N/A</v>
      </c>
      <c r="F9" s="27" t="str">
        <f t="shared" si="5"/>
        <v>Growth</v>
      </c>
      <c r="G9" s="27" t="str">
        <f t="shared" si="5"/>
        <v>Contraction</v>
      </c>
      <c r="H9" s="27" t="str">
        <f t="shared" si="5"/>
        <v>Growth</v>
      </c>
      <c r="I9" s="27" t="str">
        <f t="shared" si="5"/>
        <v>Growth</v>
      </c>
      <c r="J9" s="27" t="str">
        <f t="shared" si="5"/>
        <v>Growth</v>
      </c>
      <c r="K9" s="27" t="str">
        <f t="shared" si="5"/>
        <v>Contraction</v>
      </c>
      <c r="L9" s="27" t="str">
        <f t="shared" si="5"/>
        <v>Contraction</v>
      </c>
      <c r="M9" s="27" t="str">
        <f t="shared" si="5"/>
        <v>Growth</v>
      </c>
      <c r="N9" s="27" t="str">
        <f t="shared" si="5"/>
        <v>Contraction</v>
      </c>
      <c r="O9" s="27" t="str">
        <f t="shared" si="5"/>
        <v>Growth</v>
      </c>
      <c r="P9" s="27" t="e">
        <f t="shared" si="5"/>
        <v>#N/A</v>
      </c>
      <c r="Q9" s="27" t="str">
        <f t="shared" si="5"/>
        <v>Growth</v>
      </c>
    </row>
    <row r="10" spans="2:25" ht="26.25" customHeight="1" thickBot="1" x14ac:dyDescent="0.25">
      <c r="B10" s="28" t="s">
        <v>57</v>
      </c>
      <c r="C10" s="29" t="str">
        <f>IF(C8&gt;0,"+","-")</f>
        <v>-</v>
      </c>
      <c r="D10" s="29" t="str">
        <f t="shared" ref="D10:Q10" si="6">IF(D8&gt;0,"+","-")</f>
        <v>-</v>
      </c>
      <c r="E10" s="29" t="e">
        <f t="shared" si="6"/>
        <v>#N/A</v>
      </c>
      <c r="F10" s="29" t="str">
        <f t="shared" si="6"/>
        <v>-</v>
      </c>
      <c r="G10" s="29" t="str">
        <f t="shared" si="6"/>
        <v>-</v>
      </c>
      <c r="H10" s="29" t="str">
        <f t="shared" si="6"/>
        <v>+</v>
      </c>
      <c r="I10" s="29" t="str">
        <f t="shared" si="6"/>
        <v>-</v>
      </c>
      <c r="J10" s="29" t="str">
        <f t="shared" si="6"/>
        <v>+</v>
      </c>
      <c r="K10" s="29" t="str">
        <f t="shared" si="6"/>
        <v>-</v>
      </c>
      <c r="L10" s="29" t="str">
        <f t="shared" si="6"/>
        <v>-</v>
      </c>
      <c r="M10" s="29" t="str">
        <f t="shared" si="6"/>
        <v>-</v>
      </c>
      <c r="N10" s="29" t="str">
        <f t="shared" si="6"/>
        <v>+</v>
      </c>
      <c r="O10" s="29" t="str">
        <f t="shared" si="6"/>
        <v>-</v>
      </c>
      <c r="P10" s="29" t="e">
        <f t="shared" si="6"/>
        <v>#N/A</v>
      </c>
      <c r="Q10" s="29" t="str">
        <f t="shared" si="6"/>
        <v>+</v>
      </c>
    </row>
    <row r="11" spans="2:25" ht="26.25" customHeight="1" x14ac:dyDescent="0.2">
      <c r="B11" s="47"/>
      <c r="C11" s="47"/>
      <c r="D11" s="47"/>
      <c r="E11" s="47"/>
      <c r="F11" s="47"/>
      <c r="G11" s="47"/>
      <c r="H11" s="47"/>
      <c r="I11" s="47"/>
      <c r="J11" s="47"/>
      <c r="K11" s="47"/>
      <c r="L11" s="47"/>
      <c r="M11" s="47"/>
      <c r="N11" s="47"/>
      <c r="O11" s="47"/>
      <c r="P11" s="47"/>
      <c r="Q11" s="47"/>
    </row>
    <row r="12" spans="2:25" x14ac:dyDescent="0.2">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2">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2">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2">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2">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2">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2">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2">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2">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2">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2">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2">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2">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2">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2">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2">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2">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2">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2">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2">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2">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2">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2">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2">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2">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2">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2">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2">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2">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2">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2">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2">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2">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2">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2">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2">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2">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2">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2">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2">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2">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2">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2">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2">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2">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2">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2">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2">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2">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2">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2">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2">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2">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2">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2">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2">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2">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2">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2">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2">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2">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2">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2">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2">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2">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2">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2">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2">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2">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2">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2">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2">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2">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2">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2">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2">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2">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2">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2">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2">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2">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2">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2">
      <c r="B94" s="30">
        <v>44562</v>
      </c>
      <c r="C94" s="31">
        <f>VLOOKUP(B94,Global!$A:$B,2,)</f>
        <v>51.3</v>
      </c>
      <c r="D94" s="31">
        <f>VLOOKUP(B94,US!$A:$B,2,)</f>
        <v>51.2</v>
      </c>
      <c r="E94" s="31" t="e">
        <f>VLOOKUP(B94,China!$A:$B,2,)</f>
        <v>#N/A</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t="e">
        <f>VLOOKUP(B94,Australia!$A:$B,2,)</f>
        <v>#N/A</v>
      </c>
      <c r="Q94" s="31">
        <f>VLOOKUP(B94,Ireland!$A:$B,2,)</f>
        <v>56.2</v>
      </c>
    </row>
    <row r="95" spans="2:17" s="47" customFormat="1" x14ac:dyDescent="0.2"/>
    <row r="96" spans="2:17" s="47" customFormat="1" x14ac:dyDescent="0.2"/>
    <row r="97" s="47" customFormat="1" x14ac:dyDescent="0.2"/>
    <row r="98" s="47" customFormat="1" x14ac:dyDescent="0.2"/>
    <row r="99" s="47" customFormat="1" x14ac:dyDescent="0.2"/>
    <row r="100" s="47" customFormat="1" x14ac:dyDescent="0.2"/>
    <row r="101" s="47" customFormat="1" x14ac:dyDescent="0.2"/>
    <row r="102" s="47" customFormat="1" x14ac:dyDescent="0.2"/>
    <row r="103" s="47" customFormat="1" x14ac:dyDescent="0.2"/>
    <row r="104" s="47" customFormat="1" x14ac:dyDescent="0.2"/>
    <row r="105" s="47" customFormat="1" x14ac:dyDescent="0.2"/>
    <row r="106" s="47" customFormat="1" x14ac:dyDescent="0.2"/>
    <row r="107" s="47" customFormat="1" x14ac:dyDescent="0.2"/>
    <row r="108" s="47" customFormat="1" x14ac:dyDescent="0.2"/>
    <row r="109" s="47" customFormat="1" x14ac:dyDescent="0.2"/>
    <row r="110" s="47" customFormat="1" x14ac:dyDescent="0.2"/>
    <row r="111" s="47" customFormat="1" x14ac:dyDescent="0.2"/>
    <row r="112" s="47" customFormat="1" x14ac:dyDescent="0.2"/>
    <row r="113" s="47" customFormat="1" x14ac:dyDescent="0.2"/>
    <row r="114" s="47" customFormat="1" x14ac:dyDescent="0.2"/>
    <row r="115" s="47" customFormat="1" x14ac:dyDescent="0.2"/>
    <row r="116" s="47" customFormat="1" x14ac:dyDescent="0.2"/>
    <row r="117" s="47" customFormat="1" x14ac:dyDescent="0.2"/>
    <row r="118" s="47" customFormat="1" x14ac:dyDescent="0.2"/>
    <row r="119" s="47" customFormat="1" x14ac:dyDescent="0.2"/>
    <row r="120" s="47" customFormat="1" x14ac:dyDescent="0.2"/>
    <row r="121" s="47" customFormat="1" x14ac:dyDescent="0.2"/>
    <row r="122" s="47" customFormat="1" x14ac:dyDescent="0.2"/>
    <row r="123" s="47" customFormat="1" x14ac:dyDescent="0.2"/>
    <row r="124" s="47" customFormat="1" x14ac:dyDescent="0.2"/>
    <row r="125" s="47" customFormat="1" x14ac:dyDescent="0.2"/>
    <row r="126" s="47" customFormat="1" x14ac:dyDescent="0.2"/>
    <row r="127" s="47" customFormat="1" x14ac:dyDescent="0.2"/>
    <row r="128" s="47" customFormat="1" x14ac:dyDescent="0.2"/>
    <row r="129" s="47" customFormat="1" x14ac:dyDescent="0.2"/>
    <row r="130" s="47" customFormat="1" x14ac:dyDescent="0.2"/>
    <row r="131" s="47" customFormat="1" x14ac:dyDescent="0.2"/>
    <row r="132" s="47" customFormat="1" x14ac:dyDescent="0.2"/>
    <row r="133" s="47" customFormat="1" x14ac:dyDescent="0.2"/>
    <row r="134" s="47" customFormat="1" x14ac:dyDescent="0.2"/>
    <row r="135" s="47" customFormat="1" x14ac:dyDescent="0.2"/>
    <row r="136" s="47" customFormat="1" x14ac:dyDescent="0.2"/>
    <row r="137" s="47" customFormat="1" x14ac:dyDescent="0.2"/>
    <row r="138" s="47" customFormat="1" x14ac:dyDescent="0.2"/>
    <row r="139" s="47" customFormat="1" x14ac:dyDescent="0.2"/>
    <row r="140" s="47" customFormat="1" x14ac:dyDescent="0.2"/>
    <row r="141" s="47" customFormat="1" x14ac:dyDescent="0.2"/>
    <row r="142" s="47" customFormat="1" x14ac:dyDescent="0.2"/>
    <row r="143" s="47" customFormat="1" x14ac:dyDescent="0.2"/>
    <row r="144" s="47" customFormat="1" x14ac:dyDescent="0.2"/>
    <row r="145" s="47" customFormat="1" x14ac:dyDescent="0.2"/>
    <row r="146" s="47" customFormat="1" x14ac:dyDescent="0.2"/>
    <row r="147" s="47" customFormat="1" x14ac:dyDescent="0.2"/>
    <row r="148" s="47" customFormat="1" x14ac:dyDescent="0.2"/>
    <row r="149" s="47" customFormat="1" x14ac:dyDescent="0.2"/>
    <row r="150" s="47" customFormat="1" x14ac:dyDescent="0.2"/>
    <row r="151" s="47" customFormat="1" x14ac:dyDescent="0.2"/>
    <row r="152" s="47" customFormat="1" x14ac:dyDescent="0.2"/>
    <row r="153" s="47" customFormat="1" x14ac:dyDescent="0.2"/>
    <row r="154" s="47" customFormat="1" x14ac:dyDescent="0.2"/>
    <row r="155" s="47" customFormat="1" x14ac:dyDescent="0.2"/>
    <row r="156" s="47" customFormat="1" x14ac:dyDescent="0.2"/>
    <row r="157" s="47" customFormat="1" x14ac:dyDescent="0.2"/>
    <row r="158" s="47" customFormat="1" x14ac:dyDescent="0.2"/>
    <row r="159" s="47" customFormat="1" x14ac:dyDescent="0.2"/>
    <row r="160" s="47" customFormat="1" x14ac:dyDescent="0.2"/>
    <row r="161" s="47" customFormat="1" x14ac:dyDescent="0.2"/>
    <row r="162" s="47" customFormat="1" x14ac:dyDescent="0.2"/>
    <row r="163" s="47" customFormat="1" x14ac:dyDescent="0.2"/>
    <row r="164" s="47" customFormat="1" x14ac:dyDescent="0.2"/>
    <row r="165" s="47" customFormat="1" x14ac:dyDescent="0.2"/>
    <row r="166" s="47" customFormat="1" x14ac:dyDescent="0.2"/>
    <row r="167" s="47" customFormat="1" x14ac:dyDescent="0.2"/>
    <row r="168" s="47" customFormat="1" x14ac:dyDescent="0.2"/>
    <row r="169" s="47" customFormat="1" x14ac:dyDescent="0.2"/>
    <row r="170" s="47" customFormat="1" x14ac:dyDescent="0.2"/>
    <row r="171" s="47" customFormat="1" x14ac:dyDescent="0.2"/>
    <row r="172" s="47" customFormat="1" x14ac:dyDescent="0.2"/>
    <row r="173" s="47" customFormat="1" x14ac:dyDescent="0.2"/>
    <row r="174" s="47" customFormat="1" x14ac:dyDescent="0.2"/>
    <row r="175" s="47" customFormat="1" x14ac:dyDescent="0.2"/>
    <row r="176" s="47" customFormat="1" x14ac:dyDescent="0.2"/>
    <row r="177" s="47" customFormat="1" x14ac:dyDescent="0.2"/>
    <row r="178" s="47" customFormat="1" x14ac:dyDescent="0.2"/>
    <row r="179" s="47" customFormat="1" x14ac:dyDescent="0.2"/>
    <row r="180" s="47" customFormat="1" x14ac:dyDescent="0.2"/>
    <row r="181" s="47" customFormat="1" x14ac:dyDescent="0.2"/>
    <row r="182" s="47" customFormat="1" x14ac:dyDescent="0.2"/>
    <row r="183" s="47" customFormat="1" x14ac:dyDescent="0.2"/>
    <row r="184" s="47" customFormat="1" x14ac:dyDescent="0.2"/>
    <row r="185" s="47" customFormat="1" x14ac:dyDescent="0.2"/>
    <row r="186" s="47" customFormat="1" x14ac:dyDescent="0.2"/>
    <row r="187" s="47" customFormat="1" x14ac:dyDescent="0.2"/>
    <row r="188" s="47" customFormat="1" x14ac:dyDescent="0.2"/>
    <row r="189" s="47" customFormat="1" x14ac:dyDescent="0.2"/>
    <row r="190" s="47" customFormat="1" x14ac:dyDescent="0.2"/>
    <row r="191" s="47" customFormat="1" x14ac:dyDescent="0.2"/>
    <row r="192" s="47" customFormat="1" x14ac:dyDescent="0.2"/>
    <row r="193" s="47" customFormat="1" x14ac:dyDescent="0.2"/>
    <row r="194" s="47" customFormat="1" x14ac:dyDescent="0.2"/>
    <row r="195" s="47" customFormat="1" x14ac:dyDescent="0.2"/>
    <row r="196" s="47" customFormat="1" x14ac:dyDescent="0.2"/>
    <row r="197" s="47" customFormat="1" x14ac:dyDescent="0.2"/>
    <row r="198" s="47" customFormat="1" x14ac:dyDescent="0.2"/>
    <row r="199" s="47" customFormat="1" x14ac:dyDescent="0.2"/>
    <row r="200" s="47" customFormat="1" x14ac:dyDescent="0.2"/>
    <row r="201" s="47" customFormat="1" x14ac:dyDescent="0.2"/>
    <row r="202" s="47" customFormat="1" x14ac:dyDescent="0.2"/>
    <row r="203" s="47" customFormat="1" x14ac:dyDescent="0.2"/>
    <row r="204" s="47" customFormat="1" x14ac:dyDescent="0.2"/>
    <row r="205" s="47" customFormat="1" x14ac:dyDescent="0.2"/>
    <row r="206" s="47" customFormat="1" x14ac:dyDescent="0.2"/>
    <row r="207" s="47" customFormat="1" x14ac:dyDescent="0.2"/>
    <row r="208" s="47" customFormat="1" x14ac:dyDescent="0.2"/>
    <row r="209" s="47" customFormat="1" x14ac:dyDescent="0.2"/>
    <row r="210" s="47" customFormat="1" x14ac:dyDescent="0.2"/>
    <row r="211" s="47" customFormat="1" x14ac:dyDescent="0.2"/>
    <row r="212" s="47" customFormat="1" x14ac:dyDescent="0.2"/>
    <row r="213" s="47" customFormat="1" x14ac:dyDescent="0.2"/>
    <row r="214" s="47" customFormat="1" x14ac:dyDescent="0.2"/>
    <row r="215" s="47" customFormat="1" x14ac:dyDescent="0.2"/>
    <row r="216" s="47" customFormat="1" x14ac:dyDescent="0.2"/>
    <row r="217" s="47" customFormat="1" x14ac:dyDescent="0.2"/>
    <row r="218" s="47" customFormat="1" x14ac:dyDescent="0.2"/>
    <row r="219" s="47" customFormat="1" x14ac:dyDescent="0.2"/>
    <row r="220" s="47" customFormat="1" x14ac:dyDescent="0.2"/>
    <row r="221" s="47" customFormat="1" x14ac:dyDescent="0.2"/>
    <row r="222" s="47" customFormat="1" x14ac:dyDescent="0.2"/>
    <row r="223" s="47" customFormat="1" x14ac:dyDescent="0.2"/>
    <row r="224" s="47" customFormat="1" x14ac:dyDescent="0.2"/>
    <row r="225" s="47" customFormat="1" x14ac:dyDescent="0.2"/>
    <row r="226" s="47" customFormat="1" x14ac:dyDescent="0.2"/>
    <row r="227" s="47" customFormat="1" x14ac:dyDescent="0.2"/>
    <row r="228" s="47" customFormat="1" x14ac:dyDescent="0.2"/>
    <row r="229" s="47" customFormat="1" x14ac:dyDescent="0.2"/>
    <row r="230" s="47" customFormat="1" x14ac:dyDescent="0.2"/>
    <row r="231" s="47" customFormat="1" x14ac:dyDescent="0.2"/>
    <row r="232" s="47" customFormat="1" x14ac:dyDescent="0.2"/>
    <row r="233" s="47" customFormat="1" x14ac:dyDescent="0.2"/>
    <row r="234" s="47" customFormat="1" x14ac:dyDescent="0.2"/>
    <row r="235" s="47" customFormat="1" x14ac:dyDescent="0.2"/>
    <row r="236" s="47" customFormat="1" x14ac:dyDescent="0.2"/>
    <row r="237" s="47" customFormat="1" x14ac:dyDescent="0.2"/>
    <row r="238" s="47" customFormat="1" x14ac:dyDescent="0.2"/>
    <row r="239" s="47" customFormat="1" x14ac:dyDescent="0.2"/>
    <row r="240" s="47" customFormat="1" x14ac:dyDescent="0.2"/>
    <row r="241" s="47" customFormat="1" x14ac:dyDescent="0.2"/>
    <row r="242" s="47" customFormat="1" x14ac:dyDescent="0.2"/>
    <row r="243" s="47" customFormat="1" x14ac:dyDescent="0.2"/>
    <row r="244" s="47" customFormat="1" x14ac:dyDescent="0.2"/>
    <row r="245" s="47" customFormat="1" x14ac:dyDescent="0.2"/>
    <row r="246" s="47" customFormat="1" x14ac:dyDescent="0.2"/>
    <row r="247" s="47" customFormat="1" x14ac:dyDescent="0.2"/>
    <row r="248" s="47" customFormat="1" x14ac:dyDescent="0.2"/>
    <row r="249" s="47" customFormat="1" x14ac:dyDescent="0.2"/>
    <row r="250" s="47" customFormat="1" x14ac:dyDescent="0.2"/>
    <row r="251" s="47" customFormat="1" x14ac:dyDescent="0.2"/>
    <row r="252" s="47" customFormat="1" x14ac:dyDescent="0.2"/>
    <row r="253" s="47" customFormat="1" x14ac:dyDescent="0.2"/>
    <row r="254" s="47" customFormat="1" x14ac:dyDescent="0.2"/>
    <row r="255" s="47" customFormat="1" x14ac:dyDescent="0.2"/>
    <row r="256" s="47" customFormat="1" x14ac:dyDescent="0.2"/>
    <row r="257" s="47" customFormat="1" x14ac:dyDescent="0.2"/>
    <row r="258" s="47" customFormat="1" x14ac:dyDescent="0.2"/>
    <row r="259" s="47" customFormat="1" x14ac:dyDescent="0.2"/>
    <row r="260" s="47" customFormat="1" x14ac:dyDescent="0.2"/>
    <row r="261" s="47" customFormat="1" x14ac:dyDescent="0.2"/>
    <row r="262" s="47" customFormat="1" x14ac:dyDescent="0.2"/>
    <row r="263" s="47" customFormat="1" x14ac:dyDescent="0.2"/>
    <row r="264" s="47" customFormat="1" x14ac:dyDescent="0.2"/>
    <row r="265" s="47" customFormat="1" x14ac:dyDescent="0.2"/>
    <row r="266" s="47" customFormat="1" x14ac:dyDescent="0.2"/>
    <row r="267" s="47" customFormat="1" x14ac:dyDescent="0.2"/>
    <row r="268" s="47" customFormat="1" x14ac:dyDescent="0.2"/>
    <row r="269" s="47" customFormat="1" x14ac:dyDescent="0.2"/>
    <row r="270" s="47" customFormat="1" x14ac:dyDescent="0.2"/>
    <row r="271" s="47" customFormat="1" x14ac:dyDescent="0.2"/>
    <row r="272" s="47" customFormat="1" x14ac:dyDescent="0.2"/>
    <row r="273" s="47" customFormat="1" x14ac:dyDescent="0.2"/>
    <row r="274" s="47" customFormat="1" x14ac:dyDescent="0.2"/>
    <row r="275" s="47" customFormat="1" x14ac:dyDescent="0.2"/>
    <row r="276" s="47" customFormat="1" x14ac:dyDescent="0.2"/>
    <row r="277" s="47" customFormat="1" x14ac:dyDescent="0.2"/>
    <row r="278" s="47" customFormat="1" x14ac:dyDescent="0.2"/>
    <row r="279" s="47" customFormat="1" x14ac:dyDescent="0.2"/>
    <row r="280" s="47" customFormat="1" x14ac:dyDescent="0.2"/>
    <row r="281" s="47" customFormat="1" x14ac:dyDescent="0.2"/>
    <row r="282" s="47" customFormat="1" x14ac:dyDescent="0.2"/>
    <row r="283" s="47" customFormat="1" x14ac:dyDescent="0.2"/>
    <row r="284" s="47" customFormat="1" x14ac:dyDescent="0.2"/>
    <row r="285" s="47" customFormat="1" x14ac:dyDescent="0.2"/>
    <row r="286" s="47" customFormat="1" x14ac:dyDescent="0.2"/>
    <row r="287" s="47" customFormat="1" x14ac:dyDescent="0.2"/>
    <row r="288" s="47" customFormat="1" x14ac:dyDescent="0.2"/>
    <row r="289" s="47" customFormat="1" x14ac:dyDescent="0.2"/>
    <row r="290" s="47" customFormat="1" x14ac:dyDescent="0.2"/>
    <row r="291" s="47" customFormat="1" x14ac:dyDescent="0.2"/>
    <row r="292" s="47" customFormat="1" x14ac:dyDescent="0.2"/>
    <row r="293" s="47" customFormat="1" x14ac:dyDescent="0.2"/>
    <row r="294" s="47" customFormat="1" x14ac:dyDescent="0.2"/>
    <row r="295" s="47" customFormat="1" x14ac:dyDescent="0.2"/>
    <row r="296" s="47" customFormat="1" x14ac:dyDescent="0.2"/>
    <row r="297" s="47" customFormat="1" x14ac:dyDescent="0.2"/>
    <row r="298" s="47" customFormat="1" x14ac:dyDescent="0.2"/>
    <row r="299" s="47" customFormat="1" x14ac:dyDescent="0.2"/>
    <row r="300" s="47" customFormat="1" x14ac:dyDescent="0.2"/>
    <row r="301" s="47" customFormat="1" x14ac:dyDescent="0.2"/>
    <row r="302" s="47" customFormat="1" x14ac:dyDescent="0.2"/>
    <row r="303" s="47" customFormat="1" x14ac:dyDescent="0.2"/>
    <row r="304" s="47" customFormat="1" x14ac:dyDescent="0.2"/>
    <row r="305" s="47" customFormat="1" x14ac:dyDescent="0.2"/>
    <row r="306" s="47" customFormat="1" x14ac:dyDescent="0.2"/>
    <row r="307" s="47" customFormat="1" x14ac:dyDescent="0.2"/>
    <row r="308" s="47" customFormat="1" x14ac:dyDescent="0.2"/>
    <row r="309" s="47" customFormat="1" x14ac:dyDescent="0.2"/>
    <row r="310" s="47" customFormat="1" x14ac:dyDescent="0.2"/>
    <row r="311" s="47" customFormat="1" x14ac:dyDescent="0.2"/>
    <row r="312" s="47" customFormat="1" x14ac:dyDescent="0.2"/>
    <row r="313" s="47" customFormat="1" x14ac:dyDescent="0.2"/>
    <row r="314" s="47" customFormat="1" x14ac:dyDescent="0.2"/>
    <row r="315" s="47" customFormat="1" x14ac:dyDescent="0.2"/>
    <row r="316" s="47" customFormat="1" x14ac:dyDescent="0.2"/>
    <row r="317" s="47" customFormat="1" x14ac:dyDescent="0.2"/>
    <row r="318" s="47" customFormat="1" x14ac:dyDescent="0.2"/>
    <row r="319" s="47" customFormat="1" x14ac:dyDescent="0.2"/>
    <row r="320" s="47" customFormat="1" x14ac:dyDescent="0.2"/>
    <row r="321" s="47" customFormat="1" x14ac:dyDescent="0.2"/>
    <row r="322" s="47" customFormat="1" x14ac:dyDescent="0.2"/>
    <row r="323" s="47" customFormat="1" x14ac:dyDescent="0.2"/>
    <row r="324" s="47" customFormat="1" x14ac:dyDescent="0.2"/>
    <row r="325" s="47" customFormat="1" x14ac:dyDescent="0.2"/>
    <row r="326" s="47" customFormat="1" x14ac:dyDescent="0.2"/>
    <row r="327" s="47" customFormat="1" x14ac:dyDescent="0.2"/>
    <row r="328" s="47" customFormat="1" x14ac:dyDescent="0.2"/>
    <row r="329" s="47" customFormat="1" x14ac:dyDescent="0.2"/>
    <row r="330" s="47" customFormat="1" x14ac:dyDescent="0.2"/>
    <row r="331" s="47" customFormat="1" x14ac:dyDescent="0.2"/>
    <row r="332" s="47" customFormat="1" x14ac:dyDescent="0.2"/>
    <row r="333" s="47" customFormat="1" x14ac:dyDescent="0.2"/>
    <row r="334" s="47" customFormat="1" x14ac:dyDescent="0.2"/>
    <row r="335" s="47" customFormat="1" x14ac:dyDescent="0.2"/>
    <row r="336" s="47" customFormat="1" x14ac:dyDescent="0.2"/>
    <row r="337" s="47" customFormat="1" x14ac:dyDescent="0.2"/>
    <row r="338" s="47" customFormat="1" x14ac:dyDescent="0.2"/>
    <row r="339" s="47" customFormat="1" x14ac:dyDescent="0.2"/>
    <row r="340" s="47" customFormat="1" x14ac:dyDescent="0.2"/>
    <row r="341" s="47" customFormat="1" x14ac:dyDescent="0.2"/>
    <row r="342" s="47" customFormat="1" x14ac:dyDescent="0.2"/>
    <row r="343" s="47" customFormat="1" x14ac:dyDescent="0.2"/>
    <row r="344" s="47" customFormat="1" x14ac:dyDescent="0.2"/>
    <row r="345" s="47" customFormat="1" x14ac:dyDescent="0.2"/>
    <row r="346" s="47" customFormat="1" x14ac:dyDescent="0.2"/>
    <row r="347" s="47" customFormat="1" x14ac:dyDescent="0.2"/>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8" x14ac:dyDescent="0.2">
      <c r="A1" s="47" t="s">
        <v>9</v>
      </c>
    </row>
    <row r="2" spans="1:8" x14ac:dyDescent="0.2">
      <c r="H2" s="47" t="s">
        <v>58</v>
      </c>
    </row>
    <row r="4" spans="1:8" ht="16" customHeight="1" thickBot="1" x14ac:dyDescent="0.25"/>
    <row r="5" spans="1:8" ht="16" customHeight="1" thickBot="1" x14ac:dyDescent="0.25">
      <c r="A5" s="12" t="s">
        <v>33</v>
      </c>
      <c r="B5" s="13" t="s">
        <v>59</v>
      </c>
      <c r="C5" s="13" t="s">
        <v>60</v>
      </c>
    </row>
    <row r="6" spans="1:8" x14ac:dyDescent="0.2">
      <c r="A6" s="10">
        <v>40452</v>
      </c>
      <c r="B6" s="11">
        <f>IF(VLOOKUP(A6,'DB Country PMI'!$A:$V,MATCH($A$1,'DB Country PMI'!$A$1:$V$1,),)=0,#N/A,VLOOKUP(A6,'DB Country PMI'!$A:$V,MATCH($A$1,'DB Country PMI'!$A$1:$V$1,),))</f>
        <v>54.6</v>
      </c>
      <c r="C6" s="11"/>
    </row>
    <row r="7" spans="1:8" x14ac:dyDescent="0.2">
      <c r="A7" s="8">
        <v>40483</v>
      </c>
      <c r="B7" s="11">
        <f>IF(VLOOKUP(A7,'DB Country PMI'!$A:$V,MATCH($A$1,'DB Country PMI'!$A$1:$V$1,),)=0,#N/A,VLOOKUP(A7,'DB Country PMI'!$A:$V,MATCH($A$1,'DB Country PMI'!$A$1:$V$1,),))</f>
        <v>54.8</v>
      </c>
      <c r="C7" s="14">
        <f>Table1[[#This Row],[PMI]]-B6</f>
        <v>0.19999999999999574</v>
      </c>
    </row>
    <row r="8" spans="1:8" x14ac:dyDescent="0.2">
      <c r="A8" s="8">
        <v>40513</v>
      </c>
      <c r="B8" s="11">
        <f>IF(VLOOKUP(A8,'DB Country PMI'!$A:$V,MATCH($A$1,'DB Country PMI'!$A$1:$V$1,),)=0,#N/A,VLOOKUP(A8,'DB Country PMI'!$A:$V,MATCH($A$1,'DB Country PMI'!$A$1:$V$1,),))</f>
        <v>56.3</v>
      </c>
      <c r="C8" s="14">
        <f>Table1[[#This Row],[PMI]]-B7</f>
        <v>1.5</v>
      </c>
    </row>
    <row r="9" spans="1:8" x14ac:dyDescent="0.2">
      <c r="A9" s="8">
        <v>40544</v>
      </c>
      <c r="B9" s="11">
        <f>IF(VLOOKUP(A9,'DB Country PMI'!$A:$V,MATCH($A$1,'DB Country PMI'!$A$1:$V$1,),)=0,#N/A,VLOOKUP(A9,'DB Country PMI'!$A:$V,MATCH($A$1,'DB Country PMI'!$A$1:$V$1,),))</f>
        <v>57.1</v>
      </c>
      <c r="C9" s="14">
        <f>Table1[[#This Row],[PMI]]-B8</f>
        <v>0.80000000000000426</v>
      </c>
    </row>
    <row r="10" spans="1:8" x14ac:dyDescent="0.2">
      <c r="A10" s="8">
        <v>40575</v>
      </c>
      <c r="B10" s="11">
        <f>IF(VLOOKUP(A10,'DB Country PMI'!$A:$V,MATCH($A$1,'DB Country PMI'!$A$1:$V$1,),)=0,#N/A,VLOOKUP(A10,'DB Country PMI'!$A:$V,MATCH($A$1,'DB Country PMI'!$A$1:$V$1,),))</f>
        <v>59.3</v>
      </c>
      <c r="C10" s="14">
        <f>Table1[[#This Row],[PMI]]-B9</f>
        <v>2.1999999999999957</v>
      </c>
    </row>
    <row r="11" spans="1:8" x14ac:dyDescent="0.2">
      <c r="A11" s="8">
        <v>40603</v>
      </c>
      <c r="B11" s="11">
        <f>IF(VLOOKUP(A11,'DB Country PMI'!$A:$V,MATCH($A$1,'DB Country PMI'!$A$1:$V$1,),)=0,#N/A,VLOOKUP(A11,'DB Country PMI'!$A:$V,MATCH($A$1,'DB Country PMI'!$A$1:$V$1,),))</f>
        <v>54</v>
      </c>
      <c r="C11" s="14">
        <f>Table1[[#This Row],[PMI]]-B10</f>
        <v>-5.2999999999999972</v>
      </c>
    </row>
    <row r="12" spans="1:8" x14ac:dyDescent="0.2">
      <c r="A12" s="8">
        <v>40634</v>
      </c>
      <c r="B12" s="11">
        <f>IF(VLOOKUP(A12,'DB Country PMI'!$A:$V,MATCH($A$1,'DB Country PMI'!$A$1:$V$1,),)=0,#N/A,VLOOKUP(A12,'DB Country PMI'!$A:$V,MATCH($A$1,'DB Country PMI'!$A$1:$V$1,),))</f>
        <v>51</v>
      </c>
      <c r="C12" s="14">
        <f>Table1[[#This Row],[PMI]]-B11</f>
        <v>-3</v>
      </c>
    </row>
    <row r="13" spans="1:8" x14ac:dyDescent="0.2">
      <c r="A13" s="8">
        <v>40664</v>
      </c>
      <c r="B13" s="11">
        <f>IF(VLOOKUP(A13,'DB Country PMI'!$A:$V,MATCH($A$1,'DB Country PMI'!$A$1:$V$1,),)=0,#N/A,VLOOKUP(A13,'DB Country PMI'!$A:$V,MATCH($A$1,'DB Country PMI'!$A$1:$V$1,),))</f>
        <v>52.5</v>
      </c>
      <c r="C13" s="14">
        <f>Table1[[#This Row],[PMI]]-B12</f>
        <v>1.5</v>
      </c>
    </row>
    <row r="14" spans="1:8" x14ac:dyDescent="0.2">
      <c r="A14" s="8">
        <v>40695</v>
      </c>
      <c r="B14" s="11">
        <f>IF(VLOOKUP(A14,'DB Country PMI'!$A:$V,MATCH($A$1,'DB Country PMI'!$A$1:$V$1,),)=0,#N/A,VLOOKUP(A14,'DB Country PMI'!$A:$V,MATCH($A$1,'DB Country PMI'!$A$1:$V$1,),))</f>
        <v>52.1</v>
      </c>
      <c r="C14" s="14">
        <f>Table1[[#This Row],[PMI]]-B13</f>
        <v>-0.39999999999999858</v>
      </c>
    </row>
    <row r="15" spans="1:8" x14ac:dyDescent="0.2">
      <c r="A15" s="8">
        <v>40725</v>
      </c>
      <c r="B15" s="11">
        <f>IF(VLOOKUP(A15,'DB Country PMI'!$A:$V,MATCH($A$1,'DB Country PMI'!$A$1:$V$1,),)=0,#N/A,VLOOKUP(A15,'DB Country PMI'!$A:$V,MATCH($A$1,'DB Country PMI'!$A$1:$V$1,),))</f>
        <v>53.1</v>
      </c>
      <c r="C15" s="14">
        <f>Table1[[#This Row],[PMI]]-B14</f>
        <v>1</v>
      </c>
    </row>
    <row r="16" spans="1:8" x14ac:dyDescent="0.2">
      <c r="A16" s="8">
        <v>40756</v>
      </c>
      <c r="B16" s="11">
        <f>IF(VLOOKUP(A16,'DB Country PMI'!$A:$V,MATCH($A$1,'DB Country PMI'!$A$1:$V$1,),)=0,#N/A,VLOOKUP(A16,'DB Country PMI'!$A:$V,MATCH($A$1,'DB Country PMI'!$A$1:$V$1,),))</f>
        <v>52.4</v>
      </c>
      <c r="C16" s="14">
        <f>Table1[[#This Row],[PMI]]-B15</f>
        <v>-0.70000000000000284</v>
      </c>
    </row>
    <row r="17" spans="1:3" x14ac:dyDescent="0.2">
      <c r="A17" s="8">
        <v>40787</v>
      </c>
      <c r="B17" s="11">
        <f>IF(VLOOKUP(A17,'DB Country PMI'!$A:$V,MATCH($A$1,'DB Country PMI'!$A$1:$V$1,),)=0,#N/A,VLOOKUP(A17,'DB Country PMI'!$A:$V,MATCH($A$1,'DB Country PMI'!$A$1:$V$1,),))</f>
        <v>52.6</v>
      </c>
      <c r="C17" s="14">
        <f>Table1[[#This Row],[PMI]]-B16</f>
        <v>0.20000000000000284</v>
      </c>
    </row>
    <row r="18" spans="1:3" x14ac:dyDescent="0.2">
      <c r="A18" s="8">
        <v>40817</v>
      </c>
      <c r="B18" s="11">
        <f>IF(VLOOKUP(A18,'DB Country PMI'!$A:$V,MATCH($A$1,'DB Country PMI'!$A$1:$V$1,),)=0,#N/A,VLOOKUP(A18,'DB Country PMI'!$A:$V,MATCH($A$1,'DB Country PMI'!$A$1:$V$1,),))</f>
        <v>51.8</v>
      </c>
      <c r="C18" s="14">
        <f>Table1[[#This Row],[PMI]]-B17</f>
        <v>-0.80000000000000426</v>
      </c>
    </row>
    <row r="19" spans="1:3" x14ac:dyDescent="0.2">
      <c r="A19" s="8">
        <v>40848</v>
      </c>
      <c r="B19" s="11">
        <f>IF(VLOOKUP(A19,'DB Country PMI'!$A:$V,MATCH($A$1,'DB Country PMI'!$A$1:$V$1,),)=0,#N/A,VLOOKUP(A19,'DB Country PMI'!$A:$V,MATCH($A$1,'DB Country PMI'!$A$1:$V$1,),))</f>
        <v>52.6</v>
      </c>
      <c r="C19" s="14">
        <f>Table1[[#This Row],[PMI]]-B18</f>
        <v>0.80000000000000426</v>
      </c>
    </row>
    <row r="20" spans="1:3" x14ac:dyDescent="0.2">
      <c r="A20" s="8">
        <v>40878</v>
      </c>
      <c r="B20" s="11">
        <f>IF(VLOOKUP(A20,'DB Country PMI'!$A:$V,MATCH($A$1,'DB Country PMI'!$A$1:$V$1,),)=0,#N/A,VLOOKUP(A20,'DB Country PMI'!$A:$V,MATCH($A$1,'DB Country PMI'!$A$1:$V$1,),))</f>
        <v>53.2</v>
      </c>
      <c r="C20" s="14">
        <f>Table1[[#This Row],[PMI]]-B19</f>
        <v>0.60000000000000142</v>
      </c>
    </row>
    <row r="21" spans="1:3" x14ac:dyDescent="0.2">
      <c r="A21" s="8">
        <v>40909</v>
      </c>
      <c r="B21" s="11">
        <f>IF(VLOOKUP(A21,'DB Country PMI'!$A:$V,MATCH($A$1,'DB Country PMI'!$A$1:$V$1,),)=0,#N/A,VLOOKUP(A21,'DB Country PMI'!$A:$V,MATCH($A$1,'DB Country PMI'!$A$1:$V$1,),))</f>
        <v>55.4</v>
      </c>
      <c r="C21" s="14">
        <f>Table1[[#This Row],[PMI]]-B20</f>
        <v>2.1999999999999957</v>
      </c>
    </row>
    <row r="22" spans="1:3" x14ac:dyDescent="0.2">
      <c r="A22" s="8">
        <v>40940</v>
      </c>
      <c r="B22" s="11">
        <f>IF(VLOOKUP(A22,'DB Country PMI'!$A:$V,MATCH($A$1,'DB Country PMI'!$A$1:$V$1,),)=0,#N/A,VLOOKUP(A22,'DB Country PMI'!$A:$V,MATCH($A$1,'DB Country PMI'!$A$1:$V$1,),))</f>
        <v>56.5</v>
      </c>
      <c r="C22" s="14">
        <f>Table1[[#This Row],[PMI]]-B21</f>
        <v>1.1000000000000014</v>
      </c>
    </row>
    <row r="23" spans="1:3" x14ac:dyDescent="0.2">
      <c r="A23" s="8">
        <v>40969</v>
      </c>
      <c r="B23" s="11">
        <f>IF(VLOOKUP(A23,'DB Country PMI'!$A:$V,MATCH($A$1,'DB Country PMI'!$A$1:$V$1,),)=0,#N/A,VLOOKUP(A23,'DB Country PMI'!$A:$V,MATCH($A$1,'DB Country PMI'!$A$1:$V$1,),))</f>
        <v>54.3</v>
      </c>
      <c r="C23" s="14">
        <f>Table1[[#This Row],[PMI]]-B22</f>
        <v>-2.2000000000000028</v>
      </c>
    </row>
    <row r="24" spans="1:3" x14ac:dyDescent="0.2">
      <c r="A24" s="8">
        <v>41000</v>
      </c>
      <c r="B24" s="11">
        <f>IF(VLOOKUP(A24,'DB Country PMI'!$A:$V,MATCH($A$1,'DB Country PMI'!$A$1:$V$1,),)=0,#N/A,VLOOKUP(A24,'DB Country PMI'!$A:$V,MATCH($A$1,'DB Country PMI'!$A$1:$V$1,),))</f>
        <v>53.2</v>
      </c>
      <c r="C24" s="14">
        <f>Table1[[#This Row],[PMI]]-B23</f>
        <v>-1.0999999999999943</v>
      </c>
    </row>
    <row r="25" spans="1:3" x14ac:dyDescent="0.2">
      <c r="A25" s="8">
        <v>41030</v>
      </c>
      <c r="B25" s="11">
        <f>IF(VLOOKUP(A25,'DB Country PMI'!$A:$V,MATCH($A$1,'DB Country PMI'!$A$1:$V$1,),)=0,#N/A,VLOOKUP(A25,'DB Country PMI'!$A:$V,MATCH($A$1,'DB Country PMI'!$A$1:$V$1,),))</f>
        <v>53.3</v>
      </c>
      <c r="C25" s="14">
        <f>Table1[[#This Row],[PMI]]-B24</f>
        <v>9.9999999999994316E-2</v>
      </c>
    </row>
    <row r="26" spans="1:3" x14ac:dyDescent="0.2">
      <c r="A26" s="8">
        <v>41061</v>
      </c>
      <c r="B26" s="11">
        <f>IF(VLOOKUP(A26,'DB Country PMI'!$A:$V,MATCH($A$1,'DB Country PMI'!$A$1:$V$1,),)=0,#N/A,VLOOKUP(A26,'DB Country PMI'!$A:$V,MATCH($A$1,'DB Country PMI'!$A$1:$V$1,),))</f>
        <v>50.1</v>
      </c>
      <c r="C26" s="14">
        <f>Table1[[#This Row],[PMI]]-B25</f>
        <v>-3.1999999999999957</v>
      </c>
    </row>
    <row r="27" spans="1:3" x14ac:dyDescent="0.2">
      <c r="A27" s="8">
        <v>41091</v>
      </c>
      <c r="B27" s="11">
        <f>IF(VLOOKUP(A27,'DB Country PMI'!$A:$V,MATCH($A$1,'DB Country PMI'!$A$1:$V$1,),)=0,#N/A,VLOOKUP(A27,'DB Country PMI'!$A:$V,MATCH($A$1,'DB Country PMI'!$A$1:$V$1,),))</f>
        <v>49.2</v>
      </c>
      <c r="C27" s="14">
        <f>Table1[[#This Row],[PMI]]-B26</f>
        <v>-0.89999999999999858</v>
      </c>
    </row>
    <row r="28" spans="1:3" x14ac:dyDescent="0.2">
      <c r="A28" s="8">
        <v>41122</v>
      </c>
      <c r="B28" s="11">
        <f>IF(VLOOKUP(A28,'DB Country PMI'!$A:$V,MATCH($A$1,'DB Country PMI'!$A$1:$V$1,),)=0,#N/A,VLOOKUP(A28,'DB Country PMI'!$A:$V,MATCH($A$1,'DB Country PMI'!$A$1:$V$1,),))</f>
        <v>52.4</v>
      </c>
      <c r="C28" s="14">
        <f>Table1[[#This Row],[PMI]]-B27</f>
        <v>3.1999999999999957</v>
      </c>
    </row>
    <row r="29" spans="1:3" x14ac:dyDescent="0.2">
      <c r="A29" s="8">
        <v>41153</v>
      </c>
      <c r="B29" s="11">
        <f>IF(VLOOKUP(A29,'DB Country PMI'!$A:$V,MATCH($A$1,'DB Country PMI'!$A$1:$V$1,),)=0,#N/A,VLOOKUP(A29,'DB Country PMI'!$A:$V,MATCH($A$1,'DB Country PMI'!$A$1:$V$1,),))</f>
        <v>53.1</v>
      </c>
      <c r="C29" s="14">
        <f>Table1[[#This Row],[PMI]]-B28</f>
        <v>0.70000000000000284</v>
      </c>
    </row>
    <row r="30" spans="1:3" x14ac:dyDescent="0.2">
      <c r="A30" s="8">
        <v>41183</v>
      </c>
      <c r="B30" s="11">
        <f>IF(VLOOKUP(A30,'DB Country PMI'!$A:$V,MATCH($A$1,'DB Country PMI'!$A$1:$V$1,),)=0,#N/A,VLOOKUP(A30,'DB Country PMI'!$A:$V,MATCH($A$1,'DB Country PMI'!$A$1:$V$1,),))</f>
        <v>53.6</v>
      </c>
      <c r="C30" s="14">
        <f>Table1[[#This Row],[PMI]]-B29</f>
        <v>0.5</v>
      </c>
    </row>
    <row r="31" spans="1:3" x14ac:dyDescent="0.2">
      <c r="A31" s="8">
        <v>41214</v>
      </c>
      <c r="B31" s="11">
        <f>IF(VLOOKUP(A31,'DB Country PMI'!$A:$V,MATCH($A$1,'DB Country PMI'!$A$1:$V$1,),)=0,#N/A,VLOOKUP(A31,'DB Country PMI'!$A:$V,MATCH($A$1,'DB Country PMI'!$A$1:$V$1,),))</f>
        <v>54.8</v>
      </c>
      <c r="C31" s="14">
        <f>Table1[[#This Row],[PMI]]-B30</f>
        <v>1.1999999999999957</v>
      </c>
    </row>
    <row r="32" spans="1:3" x14ac:dyDescent="0.2">
      <c r="A32" s="8">
        <v>41244</v>
      </c>
      <c r="B32" s="11">
        <f>IF(VLOOKUP(A32,'DB Country PMI'!$A:$V,MATCH($A$1,'DB Country PMI'!$A$1:$V$1,),)=0,#N/A,VLOOKUP(A32,'DB Country PMI'!$A:$V,MATCH($A$1,'DB Country PMI'!$A$1:$V$1,),))</f>
        <v>54.8</v>
      </c>
      <c r="C32" s="14">
        <f>Table1[[#This Row],[PMI]]-B31</f>
        <v>0</v>
      </c>
    </row>
    <row r="33" spans="1:3" x14ac:dyDescent="0.2">
      <c r="A33" s="8">
        <v>41275</v>
      </c>
      <c r="B33" s="11">
        <f>IF(VLOOKUP(A33,'DB Country PMI'!$A:$V,MATCH($A$1,'DB Country PMI'!$A$1:$V$1,),)=0,#N/A,VLOOKUP(A33,'DB Country PMI'!$A:$V,MATCH($A$1,'DB Country PMI'!$A$1:$V$1,),))</f>
        <v>53.6</v>
      </c>
      <c r="C33" s="14">
        <f>Table1[[#This Row],[PMI]]-B32</f>
        <v>-1.1999999999999957</v>
      </c>
    </row>
    <row r="34" spans="1:3" x14ac:dyDescent="0.2">
      <c r="A34" s="8">
        <v>41306</v>
      </c>
      <c r="B34" s="11">
        <f>IF(VLOOKUP(A34,'DB Country PMI'!$A:$V,MATCH($A$1,'DB Country PMI'!$A$1:$V$1,),)=0,#N/A,VLOOKUP(A34,'DB Country PMI'!$A:$V,MATCH($A$1,'DB Country PMI'!$A$1:$V$1,),))</f>
        <v>53.2</v>
      </c>
      <c r="C34" s="14">
        <f>Table1[[#This Row],[PMI]]-B33</f>
        <v>-0.39999999999999858</v>
      </c>
    </row>
    <row r="35" spans="1:3" x14ac:dyDescent="0.2">
      <c r="A35" s="8">
        <v>41334</v>
      </c>
      <c r="B35" s="11">
        <f>IF(VLOOKUP(A35,'DB Country PMI'!$A:$V,MATCH($A$1,'DB Country PMI'!$A$1:$V$1,),)=0,#N/A,VLOOKUP(A35,'DB Country PMI'!$A:$V,MATCH($A$1,'DB Country PMI'!$A$1:$V$1,),))</f>
        <v>53.4</v>
      </c>
      <c r="C35" s="14">
        <f>Table1[[#This Row],[PMI]]-B34</f>
        <v>0.19999999999999574</v>
      </c>
    </row>
    <row r="36" spans="1:3" x14ac:dyDescent="0.2">
      <c r="A36" s="8">
        <v>41365</v>
      </c>
      <c r="B36" s="11">
        <f>IF(VLOOKUP(A36,'DB Country PMI'!$A:$V,MATCH($A$1,'DB Country PMI'!$A$1:$V$1,),)=0,#N/A,VLOOKUP(A36,'DB Country PMI'!$A:$V,MATCH($A$1,'DB Country PMI'!$A$1:$V$1,),))</f>
        <v>52.1</v>
      </c>
      <c r="C36" s="14">
        <f>Table1[[#This Row],[PMI]]-B35</f>
        <v>-1.2999999999999972</v>
      </c>
    </row>
    <row r="37" spans="1:3" x14ac:dyDescent="0.2">
      <c r="A37" s="8">
        <v>41395</v>
      </c>
      <c r="B37" s="11">
        <f>IF(VLOOKUP(A37,'DB Country PMI'!$A:$V,MATCH($A$1,'DB Country PMI'!$A$1:$V$1,),)=0,#N/A,VLOOKUP(A37,'DB Country PMI'!$A:$V,MATCH($A$1,'DB Country PMI'!$A$1:$V$1,),))</f>
        <v>53.7</v>
      </c>
      <c r="C37" s="14">
        <f>Table1[[#This Row],[PMI]]-B36</f>
        <v>1.6000000000000014</v>
      </c>
    </row>
    <row r="38" spans="1:3" x14ac:dyDescent="0.2">
      <c r="A38" s="8">
        <v>41426</v>
      </c>
      <c r="B38" s="11">
        <f>IF(VLOOKUP(A38,'DB Country PMI'!$A:$V,MATCH($A$1,'DB Country PMI'!$A$1:$V$1,),)=0,#N/A,VLOOKUP(A38,'DB Country PMI'!$A:$V,MATCH($A$1,'DB Country PMI'!$A$1:$V$1,),))</f>
        <v>51.3</v>
      </c>
      <c r="C38" s="14">
        <f>Table1[[#This Row],[PMI]]-B37</f>
        <v>-2.4000000000000057</v>
      </c>
    </row>
    <row r="39" spans="1:3" x14ac:dyDescent="0.2">
      <c r="A39" s="8">
        <v>41456</v>
      </c>
      <c r="B39" s="11">
        <f>IF(VLOOKUP(A39,'DB Country PMI'!$A:$V,MATCH($A$1,'DB Country PMI'!$A$1:$V$1,),)=0,#N/A,VLOOKUP(A39,'DB Country PMI'!$A:$V,MATCH($A$1,'DB Country PMI'!$A$1:$V$1,),))</f>
        <v>54.9</v>
      </c>
      <c r="C39" s="14">
        <f>Table1[[#This Row],[PMI]]-B38</f>
        <v>3.6000000000000014</v>
      </c>
    </row>
    <row r="40" spans="1:3" x14ac:dyDescent="0.2">
      <c r="A40" s="8">
        <v>41487</v>
      </c>
      <c r="B40" s="11">
        <f>IF(VLOOKUP(A40,'DB Country PMI'!$A:$V,MATCH($A$1,'DB Country PMI'!$A$1:$V$1,),)=0,#N/A,VLOOKUP(A40,'DB Country PMI'!$A:$V,MATCH($A$1,'DB Country PMI'!$A$1:$V$1,),))</f>
        <v>56</v>
      </c>
      <c r="C40" s="14">
        <f>Table1[[#This Row],[PMI]]-B39</f>
        <v>1.1000000000000014</v>
      </c>
    </row>
    <row r="41" spans="1:3" x14ac:dyDescent="0.2">
      <c r="A41" s="8">
        <v>41518</v>
      </c>
      <c r="B41" s="11">
        <f>IF(VLOOKUP(A41,'DB Country PMI'!$A:$V,MATCH($A$1,'DB Country PMI'!$A$1:$V$1,),)=0,#N/A,VLOOKUP(A41,'DB Country PMI'!$A:$V,MATCH($A$1,'DB Country PMI'!$A$1:$V$1,),))</f>
        <v>53.6</v>
      </c>
      <c r="C41" s="14">
        <f>Table1[[#This Row],[PMI]]-B40</f>
        <v>-2.3999999999999986</v>
      </c>
    </row>
    <row r="42" spans="1:3" x14ac:dyDescent="0.2">
      <c r="A42" s="8">
        <v>41548</v>
      </c>
      <c r="B42" s="11">
        <f>IF(VLOOKUP(A42,'DB Country PMI'!$A:$V,MATCH($A$1,'DB Country PMI'!$A$1:$V$1,),)=0,#N/A,VLOOKUP(A42,'DB Country PMI'!$A:$V,MATCH($A$1,'DB Country PMI'!$A$1:$V$1,),))</f>
        <v>51.8</v>
      </c>
      <c r="C42" s="14">
        <f>Table1[[#This Row],[PMI]]-B41</f>
        <v>-1.8000000000000043</v>
      </c>
    </row>
    <row r="43" spans="1:3" x14ac:dyDescent="0.2">
      <c r="A43" s="8">
        <v>41579</v>
      </c>
      <c r="B43" s="11">
        <f>IF(VLOOKUP(A43,'DB Country PMI'!$A:$V,MATCH($A$1,'DB Country PMI'!$A$1:$V$1,),)=0,#N/A,VLOOKUP(A43,'DB Country PMI'!$A:$V,MATCH($A$1,'DB Country PMI'!$A$1:$V$1,),))</f>
        <v>53.9</v>
      </c>
      <c r="C43" s="14">
        <f>Table1[[#This Row],[PMI]]-B42</f>
        <v>2.1000000000000014</v>
      </c>
    </row>
    <row r="44" spans="1:3" x14ac:dyDescent="0.2">
      <c r="A44" s="8">
        <v>41609</v>
      </c>
      <c r="B44" s="11">
        <f>IF(VLOOKUP(A44,'DB Country PMI'!$A:$V,MATCH($A$1,'DB Country PMI'!$A$1:$V$1,),)=0,#N/A,VLOOKUP(A44,'DB Country PMI'!$A:$V,MATCH($A$1,'DB Country PMI'!$A$1:$V$1,),))</f>
        <v>53.5</v>
      </c>
      <c r="C44" s="14">
        <f>Table1[[#This Row],[PMI]]-B43</f>
        <v>-0.39999999999999858</v>
      </c>
    </row>
    <row r="45" spans="1:3" x14ac:dyDescent="0.2">
      <c r="A45" s="8">
        <v>41640</v>
      </c>
      <c r="B45" s="11">
        <f>IF(VLOOKUP(A45,'DB Country PMI'!$A:$V,MATCH($A$1,'DB Country PMI'!$A$1:$V$1,),)=0,#N/A,VLOOKUP(A45,'DB Country PMI'!$A:$V,MATCH($A$1,'DB Country PMI'!$A$1:$V$1,),))</f>
        <v>53.8</v>
      </c>
      <c r="C45" s="14">
        <f>Table1[[#This Row],[PMI]]-B44</f>
        <v>0.29999999999999716</v>
      </c>
    </row>
    <row r="46" spans="1:3" x14ac:dyDescent="0.2">
      <c r="A46" s="8">
        <v>41671</v>
      </c>
      <c r="B46" s="11">
        <f>IF(VLOOKUP(A46,'DB Country PMI'!$A:$V,MATCH($A$1,'DB Country PMI'!$A$1:$V$1,),)=0,#N/A,VLOOKUP(A46,'DB Country PMI'!$A:$V,MATCH($A$1,'DB Country PMI'!$A$1:$V$1,),))</f>
        <v>52.7</v>
      </c>
      <c r="C46" s="14">
        <f>Table1[[#This Row],[PMI]]-B45</f>
        <v>-1.0999999999999943</v>
      </c>
    </row>
    <row r="47" spans="1:3" x14ac:dyDescent="0.2">
      <c r="A47" s="8">
        <v>41699</v>
      </c>
      <c r="B47" s="11">
        <f>IF(VLOOKUP(A47,'DB Country PMI'!$A:$V,MATCH($A$1,'DB Country PMI'!$A$1:$V$1,),)=0,#N/A,VLOOKUP(A47,'DB Country PMI'!$A:$V,MATCH($A$1,'DB Country PMI'!$A$1:$V$1,),))</f>
        <v>53.5</v>
      </c>
      <c r="C47" s="14">
        <f>Table1[[#This Row],[PMI]]-B46</f>
        <v>0.79999999999999716</v>
      </c>
    </row>
    <row r="48" spans="1:3" x14ac:dyDescent="0.2">
      <c r="A48" s="8">
        <v>41730</v>
      </c>
      <c r="B48" s="11">
        <f>IF(VLOOKUP(A48,'DB Country PMI'!$A:$V,MATCH($A$1,'DB Country PMI'!$A$1:$V$1,),)=0,#N/A,VLOOKUP(A48,'DB Country PMI'!$A:$V,MATCH($A$1,'DB Country PMI'!$A$1:$V$1,),))</f>
        <v>52.7</v>
      </c>
      <c r="C48" s="14">
        <f>Table1[[#This Row],[PMI]]-B47</f>
        <v>-0.79999999999999716</v>
      </c>
    </row>
    <row r="49" spans="1:3" x14ac:dyDescent="0.2">
      <c r="A49" s="8">
        <v>41760</v>
      </c>
      <c r="B49" s="11">
        <f>IF(VLOOKUP(A49,'DB Country PMI'!$A:$V,MATCH($A$1,'DB Country PMI'!$A$1:$V$1,),)=0,#N/A,VLOOKUP(A49,'DB Country PMI'!$A:$V,MATCH($A$1,'DB Country PMI'!$A$1:$V$1,),))</f>
        <v>54.6</v>
      </c>
      <c r="C49" s="14">
        <f>Table1[[#This Row],[PMI]]-B48</f>
        <v>1.8999999999999986</v>
      </c>
    </row>
    <row r="50" spans="1:3" x14ac:dyDescent="0.2">
      <c r="A50" s="8">
        <v>41791</v>
      </c>
      <c r="B50" s="11">
        <f>IF(VLOOKUP(A50,'DB Country PMI'!$A:$V,MATCH($A$1,'DB Country PMI'!$A$1:$V$1,),)=0,#N/A,VLOOKUP(A50,'DB Country PMI'!$A:$V,MATCH($A$1,'DB Country PMI'!$A$1:$V$1,),))</f>
        <v>55.8</v>
      </c>
      <c r="C50" s="14">
        <f>Table1[[#This Row],[PMI]]-B49</f>
        <v>1.1999999999999957</v>
      </c>
    </row>
    <row r="51" spans="1:3" x14ac:dyDescent="0.2">
      <c r="A51" s="8">
        <v>41821</v>
      </c>
      <c r="B51" s="11">
        <f>IF(VLOOKUP(A51,'DB Country PMI'!$A:$V,MATCH($A$1,'DB Country PMI'!$A$1:$V$1,),)=0,#N/A,VLOOKUP(A51,'DB Country PMI'!$A:$V,MATCH($A$1,'DB Country PMI'!$A$1:$V$1,),))</f>
        <v>56</v>
      </c>
      <c r="C51" s="14">
        <f>Table1[[#This Row],[PMI]]-B50</f>
        <v>0.20000000000000284</v>
      </c>
    </row>
    <row r="52" spans="1:3" x14ac:dyDescent="0.2">
      <c r="A52" s="8">
        <v>41852</v>
      </c>
      <c r="B52" s="11">
        <f>IF(VLOOKUP(A52,'DB Country PMI'!$A:$V,MATCH($A$1,'DB Country PMI'!$A$1:$V$1,),)=0,#N/A,VLOOKUP(A52,'DB Country PMI'!$A:$V,MATCH($A$1,'DB Country PMI'!$A$1:$V$1,),))</f>
        <v>55.5</v>
      </c>
      <c r="C52" s="14">
        <f>Table1[[#This Row],[PMI]]-B51</f>
        <v>-0.5</v>
      </c>
    </row>
    <row r="53" spans="1:3" x14ac:dyDescent="0.2">
      <c r="A53" s="8">
        <v>41883</v>
      </c>
      <c r="B53" s="11">
        <f>IF(VLOOKUP(A53,'DB Country PMI'!$A:$V,MATCH($A$1,'DB Country PMI'!$A$1:$V$1,),)=0,#N/A,VLOOKUP(A53,'DB Country PMI'!$A:$V,MATCH($A$1,'DB Country PMI'!$A$1:$V$1,),))</f>
        <v>55.3</v>
      </c>
      <c r="C53" s="14">
        <f>Table1[[#This Row],[PMI]]-B52</f>
        <v>-0.20000000000000284</v>
      </c>
    </row>
    <row r="54" spans="1:3" x14ac:dyDescent="0.2">
      <c r="A54" s="8">
        <v>41913</v>
      </c>
      <c r="B54" s="11">
        <f>IF(VLOOKUP(A54,'DB Country PMI'!$A:$V,MATCH($A$1,'DB Country PMI'!$A$1:$V$1,),)=0,#N/A,VLOOKUP(A54,'DB Country PMI'!$A:$V,MATCH($A$1,'DB Country PMI'!$A$1:$V$1,),))</f>
        <v>53.7</v>
      </c>
      <c r="C54" s="14">
        <f>Table1[[#This Row],[PMI]]-B53</f>
        <v>-1.5999999999999943</v>
      </c>
    </row>
    <row r="55" spans="1:3" x14ac:dyDescent="0.2">
      <c r="A55" s="8">
        <v>41944</v>
      </c>
      <c r="B55" s="11">
        <f>IF(VLOOKUP(A55,'DB Country PMI'!$A:$V,MATCH($A$1,'DB Country PMI'!$A$1:$V$1,),)=0,#N/A,VLOOKUP(A55,'DB Country PMI'!$A:$V,MATCH($A$1,'DB Country PMI'!$A$1:$V$1,),))</f>
        <v>53.5</v>
      </c>
      <c r="C55" s="14">
        <f>Table1[[#This Row],[PMI]]-B54</f>
        <v>-0.20000000000000284</v>
      </c>
    </row>
    <row r="56" spans="1:3" x14ac:dyDescent="0.2">
      <c r="A56" s="8">
        <v>41974</v>
      </c>
      <c r="B56" s="11">
        <f>IF(VLOOKUP(A56,'DB Country PMI'!$A:$V,MATCH($A$1,'DB Country PMI'!$A$1:$V$1,),)=0,#N/A,VLOOKUP(A56,'DB Country PMI'!$A:$V,MATCH($A$1,'DB Country PMI'!$A$1:$V$1,),))</f>
        <v>52.3</v>
      </c>
      <c r="C56" s="14">
        <f>Table1[[#This Row],[PMI]]-B55</f>
        <v>-1.2000000000000028</v>
      </c>
    </row>
    <row r="57" spans="1:3" x14ac:dyDescent="0.2">
      <c r="A57" s="8">
        <v>42005</v>
      </c>
      <c r="B57" s="11">
        <f>IF(VLOOKUP(A57,'DB Country PMI'!$A:$V,MATCH($A$1,'DB Country PMI'!$A$1:$V$1,),)=0,#N/A,VLOOKUP(A57,'DB Country PMI'!$A:$V,MATCH($A$1,'DB Country PMI'!$A$1:$V$1,),))</f>
        <v>52.9</v>
      </c>
      <c r="C57" s="14">
        <f>Table1[[#This Row],[PMI]]-B56</f>
        <v>0.60000000000000142</v>
      </c>
    </row>
    <row r="58" spans="1:3" x14ac:dyDescent="0.2">
      <c r="A58" s="8">
        <v>42036</v>
      </c>
      <c r="B58" s="11">
        <f>IF(VLOOKUP(A58,'DB Country PMI'!$A:$V,MATCH($A$1,'DB Country PMI'!$A$1:$V$1,),)=0,#N/A,VLOOKUP(A58,'DB Country PMI'!$A:$V,MATCH($A$1,'DB Country PMI'!$A$1:$V$1,),))</f>
        <v>54.1</v>
      </c>
      <c r="C58" s="14">
        <f>Table1[[#This Row],[PMI]]-B57</f>
        <v>1.2000000000000028</v>
      </c>
    </row>
    <row r="59" spans="1:3" x14ac:dyDescent="0.2">
      <c r="A59" s="8">
        <v>42064</v>
      </c>
      <c r="B59" s="11">
        <f>IF(VLOOKUP(A59,'DB Country PMI'!$A:$V,MATCH($A$1,'DB Country PMI'!$A$1:$V$1,),)=0,#N/A,VLOOKUP(A59,'DB Country PMI'!$A:$V,MATCH($A$1,'DB Country PMI'!$A$1:$V$1,),))</f>
        <v>55.1</v>
      </c>
      <c r="C59" s="14">
        <f>Table1[[#This Row],[PMI]]-B58</f>
        <v>1</v>
      </c>
    </row>
    <row r="60" spans="1:3" x14ac:dyDescent="0.2">
      <c r="A60" s="8">
        <v>42095</v>
      </c>
      <c r="B60" s="11">
        <f>IF(VLOOKUP(A60,'DB Country PMI'!$A:$V,MATCH($A$1,'DB Country PMI'!$A$1:$V$1,),)=0,#N/A,VLOOKUP(A60,'DB Country PMI'!$A:$V,MATCH($A$1,'DB Country PMI'!$A$1:$V$1,),))</f>
        <v>54.8</v>
      </c>
      <c r="C60" s="14">
        <f>Table1[[#This Row],[PMI]]-B59</f>
        <v>-0.30000000000000426</v>
      </c>
    </row>
    <row r="61" spans="1:3" x14ac:dyDescent="0.2">
      <c r="A61" s="8">
        <v>42125</v>
      </c>
      <c r="B61" s="11">
        <f>IF(VLOOKUP(A61,'DB Country PMI'!$A:$V,MATCH($A$1,'DB Country PMI'!$A$1:$V$1,),)=0,#N/A,VLOOKUP(A61,'DB Country PMI'!$A:$V,MATCH($A$1,'DB Country PMI'!$A$1:$V$1,),))</f>
        <v>54.1</v>
      </c>
      <c r="C61" s="14">
        <f>Table1[[#This Row],[PMI]]-B60</f>
        <v>-0.69999999999999574</v>
      </c>
    </row>
    <row r="62" spans="1:3" x14ac:dyDescent="0.2">
      <c r="A62" s="8">
        <v>42156</v>
      </c>
      <c r="B62" s="11">
        <f>IF(VLOOKUP(A62,'DB Country PMI'!$A:$V,MATCH($A$1,'DB Country PMI'!$A$1:$V$1,),)=0,#N/A,VLOOKUP(A62,'DB Country PMI'!$A:$V,MATCH($A$1,'DB Country PMI'!$A$1:$V$1,),))</f>
        <v>53.5</v>
      </c>
      <c r="C62" s="14">
        <f>Table1[[#This Row],[PMI]]-B61</f>
        <v>-0.60000000000000142</v>
      </c>
    </row>
    <row r="63" spans="1:3" x14ac:dyDescent="0.2">
      <c r="A63" s="8">
        <v>42186</v>
      </c>
      <c r="B63" s="11">
        <f>IF(VLOOKUP(A63,'DB Country PMI'!$A:$V,MATCH($A$1,'DB Country PMI'!$A$1:$V$1,),)=0,#N/A,VLOOKUP(A63,'DB Country PMI'!$A:$V,MATCH($A$1,'DB Country PMI'!$A$1:$V$1,),))</f>
        <v>53.9</v>
      </c>
      <c r="C63" s="14">
        <f>Table1[[#This Row],[PMI]]-B62</f>
        <v>0.39999999999999858</v>
      </c>
    </row>
    <row r="64" spans="1:3" x14ac:dyDescent="0.2">
      <c r="A64" s="8">
        <v>42217</v>
      </c>
      <c r="B64" s="11">
        <f>IF(VLOOKUP(A64,'DB Country PMI'!$A:$V,MATCH($A$1,'DB Country PMI'!$A$1:$V$1,),)=0,#N/A,VLOOKUP(A64,'DB Country PMI'!$A:$V,MATCH($A$1,'DB Country PMI'!$A$1:$V$1,),))</f>
        <v>54.4</v>
      </c>
      <c r="C64" s="14">
        <f>Table1[[#This Row],[PMI]]-B63</f>
        <v>0.5</v>
      </c>
    </row>
    <row r="65" spans="1:3" x14ac:dyDescent="0.2">
      <c r="A65" s="8">
        <v>42248</v>
      </c>
      <c r="B65" s="11">
        <f>IF(VLOOKUP(A65,'DB Country PMI'!$A:$V,MATCH($A$1,'DB Country PMI'!$A$1:$V$1,),)=0,#N/A,VLOOKUP(A65,'DB Country PMI'!$A:$V,MATCH($A$1,'DB Country PMI'!$A$1:$V$1,),))</f>
        <v>53.3</v>
      </c>
      <c r="C65" s="14">
        <f>Table1[[#This Row],[PMI]]-B64</f>
        <v>-1.1000000000000014</v>
      </c>
    </row>
    <row r="66" spans="1:3" x14ac:dyDescent="0.2">
      <c r="A66" s="8">
        <v>42278</v>
      </c>
      <c r="B66" s="11">
        <f>IF(VLOOKUP(A66,'DB Country PMI'!$A:$V,MATCH($A$1,'DB Country PMI'!$A$1:$V$1,),)=0,#N/A,VLOOKUP(A66,'DB Country PMI'!$A:$V,MATCH($A$1,'DB Country PMI'!$A$1:$V$1,),))</f>
        <v>53.7</v>
      </c>
      <c r="C66" s="14">
        <f>Table1[[#This Row],[PMI]]-B65</f>
        <v>0.40000000000000568</v>
      </c>
    </row>
    <row r="67" spans="1:3" x14ac:dyDescent="0.2">
      <c r="A67" s="8">
        <v>42309</v>
      </c>
      <c r="B67" s="11">
        <f>IF(VLOOKUP(A67,'DB Country PMI'!$A:$V,MATCH($A$1,'DB Country PMI'!$A$1:$V$1,),)=0,#N/A,VLOOKUP(A67,'DB Country PMI'!$A:$V,MATCH($A$1,'DB Country PMI'!$A$1:$V$1,),))</f>
        <v>54.1</v>
      </c>
      <c r="C67" s="14">
        <f>Table1[[#This Row],[PMI]]-B66</f>
        <v>0.39999999999999858</v>
      </c>
    </row>
    <row r="68" spans="1:3" x14ac:dyDescent="0.2">
      <c r="A68" s="8">
        <v>42339</v>
      </c>
      <c r="B68" s="11">
        <f>IF(VLOOKUP(A68,'DB Country PMI'!$A:$V,MATCH($A$1,'DB Country PMI'!$A$1:$V$1,),)=0,#N/A,VLOOKUP(A68,'DB Country PMI'!$A:$V,MATCH($A$1,'DB Country PMI'!$A$1:$V$1,),))</f>
        <v>53.1</v>
      </c>
      <c r="C68" s="14">
        <f>Table1[[#This Row],[PMI]]-B67</f>
        <v>-1</v>
      </c>
    </row>
    <row r="69" spans="1:3" x14ac:dyDescent="0.2">
      <c r="A69" s="8">
        <v>42370</v>
      </c>
      <c r="B69" s="11">
        <f>IF(VLOOKUP(A69,'DB Country PMI'!$A:$V,MATCH($A$1,'DB Country PMI'!$A$1:$V$1,),)=0,#N/A,VLOOKUP(A69,'DB Country PMI'!$A:$V,MATCH($A$1,'DB Country PMI'!$A$1:$V$1,),))</f>
        <v>52.8</v>
      </c>
      <c r="C69" s="14">
        <f>Table1[[#This Row],[PMI]]-B68</f>
        <v>-0.30000000000000426</v>
      </c>
    </row>
    <row r="70" spans="1:3" x14ac:dyDescent="0.2">
      <c r="A70" s="8">
        <v>42401</v>
      </c>
      <c r="B70" s="11">
        <f>IF(VLOOKUP(A70,'DB Country PMI'!$A:$V,MATCH($A$1,'DB Country PMI'!$A$1:$V$1,),)=0,#N/A,VLOOKUP(A70,'DB Country PMI'!$A:$V,MATCH($A$1,'DB Country PMI'!$A$1:$V$1,),))</f>
        <v>50.7</v>
      </c>
      <c r="C70" s="14">
        <f>Table1[[#This Row],[PMI]]-B69</f>
        <v>-2.0999999999999943</v>
      </c>
    </row>
    <row r="71" spans="1:3" x14ac:dyDescent="0.2">
      <c r="A71" s="8">
        <v>42430</v>
      </c>
      <c r="B71" s="11">
        <f>IF(VLOOKUP(A71,'DB Country PMI'!$A:$V,MATCH($A$1,'DB Country PMI'!$A$1:$V$1,),)=0,#N/A,VLOOKUP(A71,'DB Country PMI'!$A:$V,MATCH($A$1,'DB Country PMI'!$A$1:$V$1,),))</f>
        <v>51.4</v>
      </c>
      <c r="C71" s="14">
        <f>Table1[[#This Row],[PMI]]-B70</f>
        <v>0.69999999999999574</v>
      </c>
    </row>
    <row r="72" spans="1:3" x14ac:dyDescent="0.2">
      <c r="A72" s="8">
        <v>42461</v>
      </c>
      <c r="B72" s="11">
        <f>IF(VLOOKUP(A72,'DB Country PMI'!$A:$V,MATCH($A$1,'DB Country PMI'!$A$1:$V$1,),)=0,#N/A,VLOOKUP(A72,'DB Country PMI'!$A:$V,MATCH($A$1,'DB Country PMI'!$A$1:$V$1,),))</f>
        <v>51.9</v>
      </c>
      <c r="C72" s="14">
        <f>Table1[[#This Row],[PMI]]-B71</f>
        <v>0.5</v>
      </c>
    </row>
    <row r="73" spans="1:3" x14ac:dyDescent="0.2">
      <c r="A73" s="8">
        <v>42491</v>
      </c>
      <c r="B73" s="11">
        <f>IF(VLOOKUP(A73,'DB Country PMI'!$A:$V,MATCH($A$1,'DB Country PMI'!$A$1:$V$1,),)=0,#N/A,VLOOKUP(A73,'DB Country PMI'!$A:$V,MATCH($A$1,'DB Country PMI'!$A$1:$V$1,),))</f>
        <v>52.8</v>
      </c>
      <c r="C73" s="14">
        <f>Table1[[#This Row],[PMI]]-B72</f>
        <v>0.89999999999999858</v>
      </c>
    </row>
    <row r="74" spans="1:3" x14ac:dyDescent="0.2">
      <c r="A74" s="8">
        <v>42522</v>
      </c>
      <c r="B74" s="11">
        <f>IF(VLOOKUP(A74,'DB Country PMI'!$A:$V,MATCH($A$1,'DB Country PMI'!$A$1:$V$1,),)=0,#N/A,VLOOKUP(A74,'DB Country PMI'!$A:$V,MATCH($A$1,'DB Country PMI'!$A$1:$V$1,),))</f>
        <v>51.3</v>
      </c>
      <c r="C74" s="14">
        <f>Table1[[#This Row],[PMI]]-B73</f>
        <v>-1.5</v>
      </c>
    </row>
    <row r="75" spans="1:3" x14ac:dyDescent="0.2">
      <c r="A75" s="8">
        <v>42552</v>
      </c>
      <c r="B75" s="11">
        <f>IF(VLOOKUP(A75,'DB Country PMI'!$A:$V,MATCH($A$1,'DB Country PMI'!$A$1:$V$1,),)=0,#N/A,VLOOKUP(A75,'DB Country PMI'!$A:$V,MATCH($A$1,'DB Country PMI'!$A$1:$V$1,),))</f>
        <v>51.3</v>
      </c>
      <c r="C75" s="14">
        <f>Table1[[#This Row],[PMI]]-B74</f>
        <v>0</v>
      </c>
    </row>
    <row r="76" spans="1:3" x14ac:dyDescent="0.2">
      <c r="A76" s="8">
        <v>42583</v>
      </c>
      <c r="B76" s="11">
        <f>IF(VLOOKUP(A76,'DB Country PMI'!$A:$V,MATCH($A$1,'DB Country PMI'!$A$1:$V$1,),)=0,#N/A,VLOOKUP(A76,'DB Country PMI'!$A:$V,MATCH($A$1,'DB Country PMI'!$A$1:$V$1,),))</f>
        <v>51.5</v>
      </c>
      <c r="C76" s="14">
        <f>Table1[[#This Row],[PMI]]-B75</f>
        <v>0.20000000000000284</v>
      </c>
    </row>
    <row r="77" spans="1:3" x14ac:dyDescent="0.2">
      <c r="A77" s="8">
        <v>42614</v>
      </c>
      <c r="B77" s="11">
        <f>IF(VLOOKUP(A77,'DB Country PMI'!$A:$V,MATCH($A$1,'DB Country PMI'!$A$1:$V$1,),)=0,#N/A,VLOOKUP(A77,'DB Country PMI'!$A:$V,MATCH($A$1,'DB Country PMI'!$A$1:$V$1,),))</f>
        <v>51.6</v>
      </c>
      <c r="C77" s="14">
        <f>Table1[[#This Row],[PMI]]-B76</f>
        <v>0.10000000000000142</v>
      </c>
    </row>
    <row r="78" spans="1:3" x14ac:dyDescent="0.2">
      <c r="A78" s="8">
        <v>42644</v>
      </c>
      <c r="B78" s="11">
        <f>IF(VLOOKUP(A78,'DB Country PMI'!$A:$V,MATCH($A$1,'DB Country PMI'!$A$1:$V$1,),)=0,#N/A,VLOOKUP(A78,'DB Country PMI'!$A:$V,MATCH($A$1,'DB Country PMI'!$A$1:$V$1,),))</f>
        <v>53.2</v>
      </c>
      <c r="C78" s="14">
        <f>Table1[[#This Row],[PMI]]-B77</f>
        <v>1.6000000000000014</v>
      </c>
    </row>
    <row r="79" spans="1:3" x14ac:dyDescent="0.2">
      <c r="A79" s="8">
        <v>42675</v>
      </c>
      <c r="B79" s="11">
        <f>IF(VLOOKUP(A79,'DB Country PMI'!$A:$V,MATCH($A$1,'DB Country PMI'!$A$1:$V$1,),)=0,#N/A,VLOOKUP(A79,'DB Country PMI'!$A:$V,MATCH($A$1,'DB Country PMI'!$A$1:$V$1,),))</f>
        <v>53.3</v>
      </c>
      <c r="C79" s="14">
        <f>Table1[[#This Row],[PMI]]-B78</f>
        <v>9.9999999999994316E-2</v>
      </c>
    </row>
    <row r="80" spans="1:3" x14ac:dyDescent="0.2">
      <c r="A80" s="8">
        <v>42705</v>
      </c>
      <c r="B80" s="11">
        <f>IF(VLOOKUP(A80,'DB Country PMI'!$A:$V,MATCH($A$1,'DB Country PMI'!$A$1:$V$1,),)=0,#N/A,VLOOKUP(A80,'DB Country PMI'!$A:$V,MATCH($A$1,'DB Country PMI'!$A$1:$V$1,),))</f>
        <v>53.3</v>
      </c>
      <c r="C80" s="14">
        <f>Table1[[#This Row],[PMI]]-B79</f>
        <v>0</v>
      </c>
    </row>
    <row r="81" spans="1:3" x14ac:dyDescent="0.2">
      <c r="A81" s="8">
        <v>42736</v>
      </c>
      <c r="B81" s="11">
        <f>IF(VLOOKUP(A81,'DB Country PMI'!$A:$V,MATCH($A$1,'DB Country PMI'!$A$1:$V$1,),)=0,#N/A,VLOOKUP(A81,'DB Country PMI'!$A:$V,MATCH($A$1,'DB Country PMI'!$A$1:$V$1,),))</f>
        <v>53.9</v>
      </c>
      <c r="C81" s="14">
        <f>Table1[[#This Row],[PMI]]-B80</f>
        <v>0.60000000000000142</v>
      </c>
    </row>
    <row r="82" spans="1:3" x14ac:dyDescent="0.2">
      <c r="A82" s="8">
        <v>42767</v>
      </c>
      <c r="B82" s="11">
        <f>IF(VLOOKUP(A82,'DB Country PMI'!$A:$V,MATCH($A$1,'DB Country PMI'!$A$1:$V$1,),)=0,#N/A,VLOOKUP(A82,'DB Country PMI'!$A:$V,MATCH($A$1,'DB Country PMI'!$A$1:$V$1,),))</f>
        <v>53.3</v>
      </c>
      <c r="C82" s="14">
        <f>Table1[[#This Row],[PMI]]-B81</f>
        <v>-0.60000000000000142</v>
      </c>
    </row>
    <row r="83" spans="1:3" x14ac:dyDescent="0.2">
      <c r="A83" s="8">
        <v>42795</v>
      </c>
      <c r="B83" s="11">
        <f>IF(VLOOKUP(A83,'DB Country PMI'!$A:$V,MATCH($A$1,'DB Country PMI'!$A$1:$V$1,),)=0,#N/A,VLOOKUP(A83,'DB Country PMI'!$A:$V,MATCH($A$1,'DB Country PMI'!$A$1:$V$1,),))</f>
        <v>53.6</v>
      </c>
      <c r="C83" s="14">
        <f>Table1[[#This Row],[PMI]]-B82</f>
        <v>0.30000000000000426</v>
      </c>
    </row>
    <row r="84" spans="1:3" x14ac:dyDescent="0.2">
      <c r="A84" s="8">
        <v>42826</v>
      </c>
      <c r="B84" s="11">
        <f>IF(VLOOKUP(A84,'DB Country PMI'!$A:$V,MATCH($A$1,'DB Country PMI'!$A$1:$V$1,),)=0,#N/A,VLOOKUP(A84,'DB Country PMI'!$A:$V,MATCH($A$1,'DB Country PMI'!$A$1:$V$1,),))</f>
        <v>53.6</v>
      </c>
      <c r="C84" s="14">
        <f>Table1[[#This Row],[PMI]]-B83</f>
        <v>0</v>
      </c>
    </row>
    <row r="85" spans="1:3" x14ac:dyDescent="0.2">
      <c r="A85" s="8">
        <v>42856</v>
      </c>
      <c r="B85" s="11">
        <f>IF(VLOOKUP(A85,'DB Country PMI'!$A:$V,MATCH($A$1,'DB Country PMI'!$A$1:$V$1,),)=0,#N/A,VLOOKUP(A85,'DB Country PMI'!$A:$V,MATCH($A$1,'DB Country PMI'!$A$1:$V$1,),))</f>
        <v>53.8</v>
      </c>
      <c r="C85" s="14">
        <f>Table1[[#This Row],[PMI]]-B84</f>
        <v>0.19999999999999574</v>
      </c>
    </row>
    <row r="86" spans="1:3" x14ac:dyDescent="0.2">
      <c r="A86" s="8">
        <v>42887</v>
      </c>
      <c r="B86" s="11">
        <f>IF(VLOOKUP(A86,'DB Country PMI'!$A:$V,MATCH($A$1,'DB Country PMI'!$A$1:$V$1,),)=0,#N/A,VLOOKUP(A86,'DB Country PMI'!$A:$V,MATCH($A$1,'DB Country PMI'!$A$1:$V$1,),))</f>
        <v>53.8</v>
      </c>
      <c r="C86" s="14">
        <f>Table1[[#This Row],[PMI]]-B85</f>
        <v>0</v>
      </c>
    </row>
    <row r="87" spans="1:3" x14ac:dyDescent="0.2">
      <c r="A87" s="8">
        <v>42917</v>
      </c>
      <c r="B87" s="11">
        <f>IF(VLOOKUP(A87,'DB Country PMI'!$A:$V,MATCH($A$1,'DB Country PMI'!$A$1:$V$1,),)=0,#N/A,VLOOKUP(A87,'DB Country PMI'!$A:$V,MATCH($A$1,'DB Country PMI'!$A$1:$V$1,),))</f>
        <v>53.7</v>
      </c>
      <c r="C87" s="14">
        <f>Table1[[#This Row],[PMI]]-B86</f>
        <v>-9.9999999999994316E-2</v>
      </c>
    </row>
    <row r="88" spans="1:3" x14ac:dyDescent="0.2">
      <c r="A88" s="8">
        <v>42948</v>
      </c>
      <c r="B88" s="11">
        <f>IF(VLOOKUP(A88,'DB Country PMI'!$A:$V,MATCH($A$1,'DB Country PMI'!$A$1:$V$1,),)=0,#N/A,VLOOKUP(A88,'DB Country PMI'!$A:$V,MATCH($A$1,'DB Country PMI'!$A$1:$V$1,),))</f>
        <v>54.1</v>
      </c>
      <c r="C88" s="14">
        <f>Table1[[#This Row],[PMI]]-B87</f>
        <v>0.39999999999999858</v>
      </c>
    </row>
    <row r="89" spans="1:3" x14ac:dyDescent="0.2">
      <c r="A89" s="8">
        <v>42979</v>
      </c>
      <c r="B89" s="11">
        <f>IF(VLOOKUP(A89,'DB Country PMI'!$A:$V,MATCH($A$1,'DB Country PMI'!$A$1:$V$1,),)=0,#N/A,VLOOKUP(A89,'DB Country PMI'!$A:$V,MATCH($A$1,'DB Country PMI'!$A$1:$V$1,),))</f>
        <v>54</v>
      </c>
      <c r="C89" s="14">
        <f>Table1[[#This Row],[PMI]]-B88</f>
        <v>-0.10000000000000142</v>
      </c>
    </row>
    <row r="90" spans="1:3" x14ac:dyDescent="0.2">
      <c r="A90" s="8">
        <v>43009</v>
      </c>
      <c r="B90" s="11">
        <f>IF(VLOOKUP(A90,'DB Country PMI'!$A:$V,MATCH($A$1,'DB Country PMI'!$A$1:$V$1,),)=0,#N/A,VLOOKUP(A90,'DB Country PMI'!$A:$V,MATCH($A$1,'DB Country PMI'!$A$1:$V$1,),))</f>
        <v>54.1</v>
      </c>
      <c r="C90" s="14">
        <f>Table1[[#This Row],[PMI]]-B89</f>
        <v>0.10000000000000142</v>
      </c>
    </row>
    <row r="91" spans="1:3" x14ac:dyDescent="0.2">
      <c r="A91" s="8">
        <v>43040</v>
      </c>
      <c r="B91" s="11">
        <f>IF(VLOOKUP(A91,'DB Country PMI'!$A:$V,MATCH($A$1,'DB Country PMI'!$A$1:$V$1,),)=0,#N/A,VLOOKUP(A91,'DB Country PMI'!$A:$V,MATCH($A$1,'DB Country PMI'!$A$1:$V$1,),))</f>
        <v>53.7</v>
      </c>
      <c r="C91" s="14">
        <f>Table1[[#This Row],[PMI]]-B90</f>
        <v>-0.39999999999999858</v>
      </c>
    </row>
    <row r="92" spans="1:3" x14ac:dyDescent="0.2">
      <c r="A92" s="8">
        <v>43070</v>
      </c>
      <c r="B92" s="11">
        <f>IF(VLOOKUP(A92,'DB Country PMI'!$A:$V,MATCH($A$1,'DB Country PMI'!$A$1:$V$1,),)=0,#N/A,VLOOKUP(A92,'DB Country PMI'!$A:$V,MATCH($A$1,'DB Country PMI'!$A$1:$V$1,),))</f>
        <v>53.8</v>
      </c>
      <c r="C92" s="14">
        <f>Table1[[#This Row],[PMI]]-B91</f>
        <v>9.9999999999994316E-2</v>
      </c>
    </row>
    <row r="93" spans="1:3" x14ac:dyDescent="0.2">
      <c r="A93" s="8">
        <v>43101</v>
      </c>
      <c r="B93" s="11">
        <f>IF(VLOOKUP(A93,'DB Country PMI'!$A:$V,MATCH($A$1,'DB Country PMI'!$A$1:$V$1,),)=0,#N/A,VLOOKUP(A93,'DB Country PMI'!$A:$V,MATCH($A$1,'DB Country PMI'!$A$1:$V$1,),))</f>
        <v>54.1</v>
      </c>
      <c r="C93" s="14">
        <f>Table1[[#This Row],[PMI]]-B92</f>
        <v>0.30000000000000426</v>
      </c>
    </row>
    <row r="94" spans="1:3" x14ac:dyDescent="0.2">
      <c r="A94" s="8">
        <v>43132</v>
      </c>
      <c r="B94" s="11">
        <f>IF(VLOOKUP(A94,'DB Country PMI'!$A:$V,MATCH($A$1,'DB Country PMI'!$A$1:$V$1,),)=0,#N/A,VLOOKUP(A94,'DB Country PMI'!$A:$V,MATCH($A$1,'DB Country PMI'!$A$1:$V$1,),))</f>
        <v>54.8</v>
      </c>
      <c r="C94" s="14">
        <f>Table1[[#This Row],[PMI]]-B93</f>
        <v>0.69999999999999574</v>
      </c>
    </row>
    <row r="95" spans="1:3" x14ac:dyDescent="0.2">
      <c r="A95" s="8">
        <v>43160</v>
      </c>
      <c r="B95" s="11">
        <f>IF(VLOOKUP(A95,'DB Country PMI'!$A:$V,MATCH($A$1,'DB Country PMI'!$A$1:$V$1,),)=0,#N/A,VLOOKUP(A95,'DB Country PMI'!$A:$V,MATCH($A$1,'DB Country PMI'!$A$1:$V$1,),))</f>
        <v>53.2</v>
      </c>
      <c r="C95" s="14">
        <f>Table1[[#This Row],[PMI]]-B94</f>
        <v>-1.5999999999999943</v>
      </c>
    </row>
    <row r="96" spans="1:3" x14ac:dyDescent="0.2">
      <c r="A96" s="8">
        <v>43191</v>
      </c>
      <c r="B96" s="11">
        <f>IF(VLOOKUP(A96,'DB Country PMI'!$A:$V,MATCH($A$1,'DB Country PMI'!$A$1:$V$1,),)=0,#N/A,VLOOKUP(A96,'DB Country PMI'!$A:$V,MATCH($A$1,'DB Country PMI'!$A$1:$V$1,),))</f>
        <v>53.8</v>
      </c>
      <c r="C96" s="14">
        <f>Table1[[#This Row],[PMI]]-B95</f>
        <v>0.59999999999999432</v>
      </c>
    </row>
    <row r="97" spans="1:3" x14ac:dyDescent="0.2">
      <c r="A97" s="8">
        <v>43221</v>
      </c>
      <c r="B97" s="11">
        <f>IF(VLOOKUP(A97,'DB Country PMI'!$A:$V,MATCH($A$1,'DB Country PMI'!$A$1:$V$1,),)=0,#N/A,VLOOKUP(A97,'DB Country PMI'!$A:$V,MATCH($A$1,'DB Country PMI'!$A$1:$V$1,),))</f>
        <v>54.3</v>
      </c>
      <c r="C97" s="14">
        <f>Table1[[#This Row],[PMI]]-B96</f>
        <v>0.5</v>
      </c>
    </row>
    <row r="98" spans="1:3" x14ac:dyDescent="0.2">
      <c r="A98" s="8">
        <v>43252</v>
      </c>
      <c r="B98" s="11">
        <f>IF(VLOOKUP(A98,'DB Country PMI'!$A:$V,MATCH($A$1,'DB Country PMI'!$A$1:$V$1,),)=0,#N/A,VLOOKUP(A98,'DB Country PMI'!$A:$V,MATCH($A$1,'DB Country PMI'!$A$1:$V$1,),))</f>
        <v>54.6</v>
      </c>
      <c r="C98" s="14">
        <f>Table1[[#This Row],[PMI]]-B97</f>
        <v>0.30000000000000426</v>
      </c>
    </row>
    <row r="99" spans="1:3" x14ac:dyDescent="0.2">
      <c r="A99" s="8">
        <v>43282</v>
      </c>
      <c r="B99" s="11">
        <f>IF(VLOOKUP(A99,'DB Country PMI'!$A:$V,MATCH($A$1,'DB Country PMI'!$A$1:$V$1,),)=0,#N/A,VLOOKUP(A99,'DB Country PMI'!$A:$V,MATCH($A$1,'DB Country PMI'!$A$1:$V$1,),))</f>
        <v>54</v>
      </c>
      <c r="C99" s="14">
        <f>Table1[[#This Row],[PMI]]-B98</f>
        <v>-0.60000000000000142</v>
      </c>
    </row>
    <row r="100" spans="1:3" x14ac:dyDescent="0.2">
      <c r="A100" s="8">
        <v>43313</v>
      </c>
      <c r="B100" s="11">
        <f>IF(VLOOKUP(A100,'DB Country PMI'!$A:$V,MATCH($A$1,'DB Country PMI'!$A$1:$V$1,),)=0,#N/A,VLOOKUP(A100,'DB Country PMI'!$A:$V,MATCH($A$1,'DB Country PMI'!$A$1:$V$1,),))</f>
        <v>53.5</v>
      </c>
      <c r="C100" s="14">
        <f>Table1[[#This Row],[PMI]]-B99</f>
        <v>-0.5</v>
      </c>
    </row>
    <row r="101" spans="1:3" x14ac:dyDescent="0.2">
      <c r="A101" s="8">
        <v>43344</v>
      </c>
      <c r="B101" s="11">
        <f>IF(VLOOKUP(A101,'DB Country PMI'!$A:$V,MATCH($A$1,'DB Country PMI'!$A$1:$V$1,),)=0,#N/A,VLOOKUP(A101,'DB Country PMI'!$A:$V,MATCH($A$1,'DB Country PMI'!$A$1:$V$1,),))</f>
        <v>52.9</v>
      </c>
      <c r="C101" s="14">
        <f>Table1[[#This Row],[PMI]]-B100</f>
        <v>-0.60000000000000142</v>
      </c>
    </row>
    <row r="102" spans="1:3" x14ac:dyDescent="0.2">
      <c r="A102" s="8">
        <v>43374</v>
      </c>
      <c r="B102" s="11">
        <f>IF(VLOOKUP(A102,'DB Country PMI'!$A:$V,MATCH($A$1,'DB Country PMI'!$A$1:$V$1,),)=0,#N/A,VLOOKUP(A102,'DB Country PMI'!$A:$V,MATCH($A$1,'DB Country PMI'!$A$1:$V$1,),))</f>
        <v>53.4</v>
      </c>
      <c r="C102" s="14">
        <f>Table1[[#This Row],[PMI]]-B101</f>
        <v>0.5</v>
      </c>
    </row>
    <row r="103" spans="1:3" x14ac:dyDescent="0.2">
      <c r="A103" s="8">
        <v>43405</v>
      </c>
      <c r="B103" s="11">
        <f>IF(VLOOKUP(A103,'DB Country PMI'!$A:$V,MATCH($A$1,'DB Country PMI'!$A$1:$V$1,),)=0,#N/A,VLOOKUP(A103,'DB Country PMI'!$A:$V,MATCH($A$1,'DB Country PMI'!$A$1:$V$1,),))</f>
        <v>53.7</v>
      </c>
      <c r="C103" s="14">
        <f>Table1[[#This Row],[PMI]]-B102</f>
        <v>0.30000000000000426</v>
      </c>
    </row>
    <row r="104" spans="1:3" x14ac:dyDescent="0.2">
      <c r="A104" s="8">
        <v>43435</v>
      </c>
      <c r="B104" s="11">
        <f>IF(VLOOKUP(A104,'DB Country PMI'!$A:$V,MATCH($A$1,'DB Country PMI'!$A$1:$V$1,),)=0,#N/A,VLOOKUP(A104,'DB Country PMI'!$A:$V,MATCH($A$1,'DB Country PMI'!$A$1:$V$1,),))</f>
        <v>53</v>
      </c>
      <c r="C104" s="14">
        <f>Table1[[#This Row],[PMI]]-B103</f>
        <v>-0.70000000000000284</v>
      </c>
    </row>
    <row r="105" spans="1:3" x14ac:dyDescent="0.2">
      <c r="A105" s="8">
        <v>43466</v>
      </c>
      <c r="B105" s="11">
        <f>IF(VLOOKUP(A105,'DB Country PMI'!$A:$V,MATCH($A$1,'DB Country PMI'!$A$1:$V$1,),)=0,#N/A,VLOOKUP(A105,'DB Country PMI'!$A:$V,MATCH($A$1,'DB Country PMI'!$A$1:$V$1,),))</f>
        <v>52.6</v>
      </c>
      <c r="C105" s="14">
        <f>Table1[[#This Row],[PMI]]-B104</f>
        <v>-0.39999999999999858</v>
      </c>
    </row>
    <row r="106" spans="1:3" x14ac:dyDescent="0.2">
      <c r="A106" s="8">
        <v>43497</v>
      </c>
      <c r="B106" s="11">
        <f>IF(VLOOKUP(A106,'DB Country PMI'!$A:$V,MATCH($A$1,'DB Country PMI'!$A$1:$V$1,),)=0,#N/A,VLOOKUP(A106,'DB Country PMI'!$A:$V,MATCH($A$1,'DB Country PMI'!$A$1:$V$1,),))</f>
        <v>53.3</v>
      </c>
      <c r="C106" s="14">
        <f>Table1[[#This Row],[PMI]]-B105</f>
        <v>0.69999999999999574</v>
      </c>
    </row>
    <row r="107" spans="1:3" x14ac:dyDescent="0.2">
      <c r="A107" s="8">
        <v>43525</v>
      </c>
      <c r="B107" s="11">
        <f>IF(VLOOKUP(A107,'DB Country PMI'!$A:$V,MATCH($A$1,'DB Country PMI'!$A$1:$V$1,),)=0,#N/A,VLOOKUP(A107,'DB Country PMI'!$A:$V,MATCH($A$1,'DB Country PMI'!$A$1:$V$1,),))</f>
        <v>53.7</v>
      </c>
      <c r="C107" s="14">
        <f>Table1[[#This Row],[PMI]]-B106</f>
        <v>0.40000000000000568</v>
      </c>
    </row>
    <row r="108" spans="1:3" x14ac:dyDescent="0.2">
      <c r="A108" s="8">
        <v>43556</v>
      </c>
      <c r="B108" s="11">
        <f>IF(VLOOKUP(A108,'DB Country PMI'!$A:$V,MATCH($A$1,'DB Country PMI'!$A$1:$V$1,),)=0,#N/A,VLOOKUP(A108,'DB Country PMI'!$A:$V,MATCH($A$1,'DB Country PMI'!$A$1:$V$1,),))</f>
        <v>52.7</v>
      </c>
      <c r="C108" s="14">
        <f>Table1[[#This Row],[PMI]]-B107</f>
        <v>-1</v>
      </c>
    </row>
    <row r="109" spans="1:3" x14ac:dyDescent="0.2">
      <c r="A109" s="8">
        <v>43586</v>
      </c>
      <c r="B109" s="11">
        <f>IF(VLOOKUP(A109,'DB Country PMI'!$A:$V,MATCH($A$1,'DB Country PMI'!$A$1:$V$1,),)=0,#N/A,VLOOKUP(A109,'DB Country PMI'!$A:$V,MATCH($A$1,'DB Country PMI'!$A$1:$V$1,),))</f>
        <v>51.6</v>
      </c>
      <c r="C109" s="14">
        <f>Table1[[#This Row],[PMI]]-B108</f>
        <v>-1.1000000000000014</v>
      </c>
    </row>
    <row r="110" spans="1:3" x14ac:dyDescent="0.2">
      <c r="A110" s="8">
        <v>43617</v>
      </c>
      <c r="B110" s="11">
        <f>IF(VLOOKUP(A110,'DB Country PMI'!$A:$V,MATCH($A$1,'DB Country PMI'!$A$1:$V$1,),)=0,#N/A,VLOOKUP(A110,'DB Country PMI'!$A:$V,MATCH($A$1,'DB Country PMI'!$A$1:$V$1,),))</f>
        <v>51.9</v>
      </c>
      <c r="C110" s="14">
        <f>Table1[[#This Row],[PMI]]-B109</f>
        <v>0.29999999999999716</v>
      </c>
    </row>
    <row r="111" spans="1:3" x14ac:dyDescent="0.2">
      <c r="A111" s="8">
        <v>43647</v>
      </c>
      <c r="B111" s="11">
        <f>IF(VLOOKUP(A111,'DB Country PMI'!$A:$V,MATCH($A$1,'DB Country PMI'!$A$1:$V$1,),)=0,#N/A,VLOOKUP(A111,'DB Country PMI'!$A:$V,MATCH($A$1,'DB Country PMI'!$A$1:$V$1,),))</f>
        <v>52.5</v>
      </c>
      <c r="C111" s="14">
        <f>Table1[[#This Row],[PMI]]-B110</f>
        <v>0.60000000000000142</v>
      </c>
    </row>
    <row r="112" spans="1:3" x14ac:dyDescent="0.2">
      <c r="A112" s="9">
        <v>43678</v>
      </c>
      <c r="B112" s="11">
        <f>IF(VLOOKUP(A112,'DB Country PMI'!$A:$V,MATCH($A$1,'DB Country PMI'!$A$1:$V$1,),)=0,#N/A,VLOOKUP(A112,'DB Country PMI'!$A:$V,MATCH($A$1,'DB Country PMI'!$A$1:$V$1,),))</f>
        <v>51.8</v>
      </c>
      <c r="C112" s="14">
        <f>Table1[[#This Row],[PMI]]-B111</f>
        <v>-0.70000000000000284</v>
      </c>
    </row>
    <row r="113" spans="1:3" x14ac:dyDescent="0.2">
      <c r="A113" s="8">
        <v>43709</v>
      </c>
      <c r="B113" s="11">
        <f>IF(VLOOKUP(A113,'DB Country PMI'!$A:$V,MATCH($A$1,'DB Country PMI'!$A$1:$V$1,),)=0,#N/A,VLOOKUP(A113,'DB Country PMI'!$A:$V,MATCH($A$1,'DB Country PMI'!$A$1:$V$1,),))</f>
        <v>51.6</v>
      </c>
      <c r="C113" s="14">
        <f>Table1[[#This Row],[PMI]]-B112</f>
        <v>-0.19999999999999574</v>
      </c>
    </row>
    <row r="114" spans="1:3" x14ac:dyDescent="0.2">
      <c r="A114" s="9">
        <v>43739</v>
      </c>
      <c r="B114" s="11">
        <f>IF(VLOOKUP(A114,'DB Country PMI'!$A:$V,MATCH($A$1,'DB Country PMI'!$A$1:$V$1,),)=0,#N/A,VLOOKUP(A114,'DB Country PMI'!$A:$V,MATCH($A$1,'DB Country PMI'!$A$1:$V$1,),))</f>
        <v>51</v>
      </c>
      <c r="C114" s="14">
        <f>Table1[[#This Row],[PMI]]-B113</f>
        <v>-0.60000000000000142</v>
      </c>
    </row>
    <row r="115" spans="1:3" x14ac:dyDescent="0.2">
      <c r="A115" s="8">
        <v>43770</v>
      </c>
      <c r="B115" s="11">
        <f>IF(VLOOKUP(A115,'DB Country PMI'!$A:$V,MATCH($A$1,'DB Country PMI'!$A$1:$V$1,),)=0,#N/A,VLOOKUP(A115,'DB Country PMI'!$A:$V,MATCH($A$1,'DB Country PMI'!$A$1:$V$1,),))</f>
        <v>51.6</v>
      </c>
      <c r="C115" s="14">
        <f>Table1[[#This Row],[PMI]]-B114</f>
        <v>0.60000000000000142</v>
      </c>
    </row>
    <row r="116" spans="1:3" x14ac:dyDescent="0.2">
      <c r="A116" s="9">
        <v>43800</v>
      </c>
      <c r="B116" s="11">
        <f>IF(VLOOKUP(A116,'DB Country PMI'!$A:$V,MATCH($A$1,'DB Country PMI'!$A$1:$V$1,),)=0,#N/A,VLOOKUP(A116,'DB Country PMI'!$A:$V,MATCH($A$1,'DB Country PMI'!$A$1:$V$1,),))</f>
        <v>52</v>
      </c>
      <c r="C116" s="14">
        <f>Table1[[#This Row],[PMI]]-B115</f>
        <v>0.39999999999999858</v>
      </c>
    </row>
    <row r="117" spans="1:3" x14ac:dyDescent="0.2">
      <c r="A117" s="8">
        <v>43831</v>
      </c>
      <c r="B117" s="11">
        <f>IF(VLOOKUP(A117,'DB Country PMI'!$A:$V,MATCH($A$1,'DB Country PMI'!$A$1:$V$1,),)=0,#N/A,VLOOKUP(A117,'DB Country PMI'!$A:$V,MATCH($A$1,'DB Country PMI'!$A$1:$V$1,),))</f>
        <v>52.7</v>
      </c>
      <c r="C117" s="14">
        <f>Table1[[#This Row],[PMI]]-B116</f>
        <v>0.70000000000000284</v>
      </c>
    </row>
    <row r="118" spans="1:3" x14ac:dyDescent="0.2">
      <c r="A118" s="9">
        <v>43862</v>
      </c>
      <c r="B118" s="11">
        <f>IF(VLOOKUP(A118,'DB Country PMI'!$A:$V,MATCH($A$1,'DB Country PMI'!$A$1:$V$1,),)=0,#N/A,VLOOKUP(A118,'DB Country PMI'!$A:$V,MATCH($A$1,'DB Country PMI'!$A$1:$V$1,),))</f>
        <v>47.1</v>
      </c>
      <c r="C118" s="14">
        <f>Table1[[#This Row],[PMI]]-B117</f>
        <v>-5.6000000000000014</v>
      </c>
    </row>
    <row r="119" spans="1:3" x14ac:dyDescent="0.2">
      <c r="A119" s="8">
        <v>43891</v>
      </c>
      <c r="B119" s="11">
        <f>IF(VLOOKUP(A119,'DB Country PMI'!$A:$V,MATCH($A$1,'DB Country PMI'!$A$1:$V$1,),)=0,#N/A,VLOOKUP(A119,'DB Country PMI'!$A:$V,MATCH($A$1,'DB Country PMI'!$A$1:$V$1,),))</f>
        <v>36.799999999999997</v>
      </c>
      <c r="C119" s="14">
        <f>Table1[[#This Row],[PMI]]-B118</f>
        <v>-10.300000000000004</v>
      </c>
    </row>
    <row r="120" spans="1:3" x14ac:dyDescent="0.2">
      <c r="A120" s="9">
        <v>43922</v>
      </c>
      <c r="B120" s="11">
        <f>IF(VLOOKUP(A120,'DB Country PMI'!$A:$V,MATCH($A$1,'DB Country PMI'!$A$1:$V$1,),)=0,#N/A,VLOOKUP(A120,'DB Country PMI'!$A:$V,MATCH($A$1,'DB Country PMI'!$A$1:$V$1,),))</f>
        <v>24</v>
      </c>
      <c r="C120" s="14">
        <f>Table1[[#This Row],[PMI]]-B119</f>
        <v>-12.799999999999997</v>
      </c>
    </row>
    <row r="121" spans="1:3" x14ac:dyDescent="0.2">
      <c r="A121" s="8">
        <v>43952</v>
      </c>
      <c r="B121" s="11">
        <f>IF(VLOOKUP(A121,'DB Country PMI'!$A:$V,MATCH($A$1,'DB Country PMI'!$A$1:$V$1,),)=0,#N/A,VLOOKUP(A121,'DB Country PMI'!$A:$V,MATCH($A$1,'DB Country PMI'!$A$1:$V$1,),))</f>
        <v>35.1</v>
      </c>
      <c r="C121" s="14">
        <f>Table1[[#This Row],[PMI]]-B120</f>
        <v>11.100000000000001</v>
      </c>
    </row>
    <row r="122" spans="1:3" x14ac:dyDescent="0.2">
      <c r="A122" s="9">
        <v>43983</v>
      </c>
      <c r="B122" s="11">
        <f>IF(VLOOKUP(A122,'DB Country PMI'!$A:$V,MATCH($A$1,'DB Country PMI'!$A$1:$V$1,),)=0,#N/A,VLOOKUP(A122,'DB Country PMI'!$A:$V,MATCH($A$1,'DB Country PMI'!$A$1:$V$1,),))</f>
        <v>48</v>
      </c>
      <c r="C122" s="14">
        <f>Table1[[#This Row],[PMI]]-B121</f>
        <v>12.899999999999999</v>
      </c>
    </row>
    <row r="123" spans="1:3" x14ac:dyDescent="0.2">
      <c r="A123" s="8">
        <v>44013</v>
      </c>
      <c r="B123" s="11">
        <f>IF(VLOOKUP(A123,'DB Country PMI'!$A:$V,MATCH($A$1,'DB Country PMI'!$A$1:$V$1,),)=0,#N/A,VLOOKUP(A123,'DB Country PMI'!$A:$V,MATCH($A$1,'DB Country PMI'!$A$1:$V$1,),))</f>
        <v>50.6</v>
      </c>
      <c r="C123" s="14">
        <f>Table1[[#This Row],[PMI]]-B122</f>
        <v>2.6000000000000014</v>
      </c>
    </row>
    <row r="124" spans="1:3" x14ac:dyDescent="0.2">
      <c r="A124" s="9">
        <v>44044</v>
      </c>
      <c r="B124" s="11">
        <f>IF(VLOOKUP(A124,'DB Country PMI'!$A:$V,MATCH($A$1,'DB Country PMI'!$A$1:$V$1,),)=0,#N/A,VLOOKUP(A124,'DB Country PMI'!$A:$V,MATCH($A$1,'DB Country PMI'!$A$1:$V$1,),))</f>
        <v>52</v>
      </c>
      <c r="C124" s="14">
        <f>Table1[[#This Row],[PMI]]-B123</f>
        <v>1.3999999999999986</v>
      </c>
    </row>
    <row r="125" spans="1:3" x14ac:dyDescent="0.2">
      <c r="A125" s="8">
        <v>44075</v>
      </c>
      <c r="B125" s="11">
        <f>IF(VLOOKUP(A125,'DB Country PMI'!$A:$V,MATCH($A$1,'DB Country PMI'!$A$1:$V$1,),)=0,#N/A,VLOOKUP(A125,'DB Country PMI'!$A:$V,MATCH($A$1,'DB Country PMI'!$A$1:$V$1,),))</f>
        <v>52</v>
      </c>
      <c r="C125" s="14">
        <f>Table1[[#This Row],[PMI]]-B124</f>
        <v>0</v>
      </c>
    </row>
    <row r="126" spans="1:3" x14ac:dyDescent="0.2">
      <c r="A126" s="9">
        <v>44105</v>
      </c>
      <c r="B126" s="11">
        <f>IF(VLOOKUP(A126,'DB Country PMI'!$A:$V,MATCH($A$1,'DB Country PMI'!$A$1:$V$1,),)=0,#N/A,VLOOKUP(A126,'DB Country PMI'!$A:$V,MATCH($A$1,'DB Country PMI'!$A$1:$V$1,),))</f>
        <v>52.9</v>
      </c>
      <c r="C126" s="14">
        <f>Table1[[#This Row],[PMI]]-B125</f>
        <v>0.89999999999999858</v>
      </c>
    </row>
    <row r="127" spans="1:3" x14ac:dyDescent="0.2">
      <c r="A127" s="8">
        <v>44136</v>
      </c>
      <c r="B127" s="11">
        <f>IF(VLOOKUP(A127,'DB Country PMI'!$A:$V,MATCH($A$1,'DB Country PMI'!$A$1:$V$1,),)=0,#N/A,VLOOKUP(A127,'DB Country PMI'!$A:$V,MATCH($A$1,'DB Country PMI'!$A$1:$V$1,),))</f>
        <v>52.2</v>
      </c>
      <c r="C127" s="14">
        <f>Table1[[#This Row],[PMI]]-B126</f>
        <v>-0.69999999999999574</v>
      </c>
    </row>
    <row r="128" spans="1:3" x14ac:dyDescent="0.2">
      <c r="A128" s="9">
        <v>44166</v>
      </c>
      <c r="B128" s="11">
        <f>IF(VLOOKUP(A128,'DB Country PMI'!$A:$V,MATCH($A$1,'DB Country PMI'!$A$1:$V$1,),)=0,#N/A,VLOOKUP(A128,'DB Country PMI'!$A:$V,MATCH($A$1,'DB Country PMI'!$A$1:$V$1,),))</f>
        <v>51.8</v>
      </c>
      <c r="C128" s="14">
        <f>Table1[[#This Row],[PMI]]-B127</f>
        <v>-0.40000000000000568</v>
      </c>
    </row>
    <row r="129" spans="1:3" x14ac:dyDescent="0.2">
      <c r="A129" s="8">
        <v>44197</v>
      </c>
      <c r="B129" s="11">
        <f>IF(VLOOKUP(A129,'DB Country PMI'!$A:$V,MATCH($A$1,'DB Country PMI'!$A$1:$V$1,),)=0,#N/A,VLOOKUP(A129,'DB Country PMI'!$A:$V,MATCH($A$1,'DB Country PMI'!$A$1:$V$1,),))</f>
        <v>51.6</v>
      </c>
      <c r="C129" s="14">
        <f>Table1[[#This Row],[PMI]]-B128</f>
        <v>-0.19999999999999574</v>
      </c>
    </row>
    <row r="130" spans="1:3" x14ac:dyDescent="0.2">
      <c r="A130" s="9">
        <v>44228</v>
      </c>
      <c r="B130" s="11">
        <f>IF(VLOOKUP(A130,'DB Country PMI'!$A:$V,MATCH($A$1,'DB Country PMI'!$A$1:$V$1,),)=0,#N/A,VLOOKUP(A130,'DB Country PMI'!$A:$V,MATCH($A$1,'DB Country PMI'!$A$1:$V$1,),))</f>
        <v>52.8</v>
      </c>
      <c r="C130" s="14">
        <f>Table1[[#This Row],[PMI]]-B129</f>
        <v>1.1999999999999957</v>
      </c>
    </row>
    <row r="131" spans="1:3" x14ac:dyDescent="0.2">
      <c r="A131" s="8">
        <v>44256</v>
      </c>
      <c r="B131" s="11">
        <f>IF(VLOOKUP(A131,'DB Country PMI'!$A:$V,MATCH($A$1,'DB Country PMI'!$A$1:$V$1,),)=0,#N/A,VLOOKUP(A131,'DB Country PMI'!$A:$V,MATCH($A$1,'DB Country PMI'!$A$1:$V$1,),))</f>
        <v>54.7</v>
      </c>
      <c r="C131" s="14">
        <f>Table1[[#This Row],[PMI]]-B130</f>
        <v>1.9000000000000057</v>
      </c>
    </row>
    <row r="132" spans="1:3" x14ac:dyDescent="0.2">
      <c r="A132" s="9">
        <v>44287</v>
      </c>
      <c r="B132" s="11">
        <f>IF(VLOOKUP(A132,'DB Country PMI'!$A:$V,MATCH($A$1,'DB Country PMI'!$A$1:$V$1,),)=0,#N/A,VLOOKUP(A132,'DB Country PMI'!$A:$V,MATCH($A$1,'DB Country PMI'!$A$1:$V$1,),))</f>
        <v>57</v>
      </c>
      <c r="C132" s="14">
        <f>Table1[[#This Row],[PMI]]-B131</f>
        <v>2.2999999999999972</v>
      </c>
    </row>
    <row r="133" spans="1:3" x14ac:dyDescent="0.2">
      <c r="A133" s="8">
        <v>44317</v>
      </c>
      <c r="B133" s="11">
        <f>IF(VLOOKUP(A133,'DB Country PMI'!$A:$V,MATCH($A$1,'DB Country PMI'!$A$1:$V$1,),)=0,#N/A,VLOOKUP(A133,'DB Country PMI'!$A:$V,MATCH($A$1,'DB Country PMI'!$A$1:$V$1,),))</f>
        <v>59.5</v>
      </c>
      <c r="C133" s="14">
        <f>Table1[[#This Row],[PMI]]-B132</f>
        <v>2.5</v>
      </c>
    </row>
    <row r="134" spans="1:3" x14ac:dyDescent="0.2">
      <c r="A134" s="9">
        <v>44348</v>
      </c>
      <c r="B134" s="11">
        <f>IF(VLOOKUP(A134,'DB Country PMI'!$A:$V,MATCH($A$1,'DB Country PMI'!$A$1:$V$1,),)=0,#N/A,VLOOKUP(A134,'DB Country PMI'!$A:$V,MATCH($A$1,'DB Country PMI'!$A$1:$V$1,),))</f>
        <v>57.4</v>
      </c>
      <c r="C134" s="14">
        <f>Table1[[#This Row],[PMI]]-B133</f>
        <v>-2.1000000000000014</v>
      </c>
    </row>
    <row r="135" spans="1:3" x14ac:dyDescent="0.2">
      <c r="A135" s="8">
        <v>44378</v>
      </c>
      <c r="B135" s="11">
        <f>IF(VLOOKUP(A135,'DB Country PMI'!$A:$V,MATCH($A$1,'DB Country PMI'!$A$1:$V$1,),)=0,#N/A,VLOOKUP(A135,'DB Country PMI'!$A:$V,MATCH($A$1,'DB Country PMI'!$A$1:$V$1,),))</f>
        <v>56.3</v>
      </c>
      <c r="C135" s="14">
        <f>Table1[[#This Row],[PMI]]-B134</f>
        <v>-1.1000000000000014</v>
      </c>
    </row>
    <row r="136" spans="1:3" x14ac:dyDescent="0.2">
      <c r="A136" s="9">
        <v>44409</v>
      </c>
      <c r="B136" s="11">
        <f>IF(VLOOKUP(A136,'DB Country PMI'!$A:$V,MATCH($A$1,'DB Country PMI'!$A$1:$V$1,),)=0,#N/A,VLOOKUP(A136,'DB Country PMI'!$A:$V,MATCH($A$1,'DB Country PMI'!$A$1:$V$1,),))</f>
        <v>52.8</v>
      </c>
      <c r="C136" s="14">
        <f>Table1[[#This Row],[PMI]]-B135</f>
        <v>-3.5</v>
      </c>
    </row>
    <row r="137" spans="1:3" x14ac:dyDescent="0.2">
      <c r="A137" s="8">
        <v>44440</v>
      </c>
      <c r="B137" s="11">
        <f>IF(VLOOKUP(A137,'DB Country PMI'!$A:$V,MATCH($A$1,'DB Country PMI'!$A$1:$V$1,),)=0,#N/A,VLOOKUP(A137,'DB Country PMI'!$A:$V,MATCH($A$1,'DB Country PMI'!$A$1:$V$1,),))</f>
        <v>53.8</v>
      </c>
      <c r="C137" s="14">
        <f>Table1[[#This Row],[PMI]]-B136</f>
        <v>1</v>
      </c>
    </row>
    <row r="138" spans="1:3" x14ac:dyDescent="0.2">
      <c r="A138" s="9">
        <v>44470</v>
      </c>
      <c r="B138" s="11">
        <f>IF(VLOOKUP(A138,'DB Country PMI'!$A:$V,MATCH($A$1,'DB Country PMI'!$A$1:$V$1,),)=0,#N/A,VLOOKUP(A138,'DB Country PMI'!$A:$V,MATCH($A$1,'DB Country PMI'!$A$1:$V$1,),))</f>
        <v>55.6</v>
      </c>
      <c r="C138" s="14">
        <f>Table1[[#This Row],[PMI]]-B137</f>
        <v>1.8000000000000043</v>
      </c>
    </row>
    <row r="139" spans="1:3" x14ac:dyDescent="0.2">
      <c r="A139" s="8">
        <v>44501</v>
      </c>
      <c r="B139" s="11">
        <f>IF(VLOOKUP(A139,'DB Country PMI'!$A:$V,MATCH($A$1,'DB Country PMI'!$A$1:$V$1,),)=0,#N/A,VLOOKUP(A139,'DB Country PMI'!$A:$V,MATCH($A$1,'DB Country PMI'!$A$1:$V$1,),))</f>
        <v>55.6</v>
      </c>
      <c r="C139" s="14">
        <f>Table1[[#This Row],[PMI]]-B138</f>
        <v>0</v>
      </c>
    </row>
    <row r="140" spans="1:3" x14ac:dyDescent="0.2">
      <c r="A140" s="9">
        <v>44531</v>
      </c>
      <c r="B140" s="11">
        <f>IF(VLOOKUP(A140,'DB Country PMI'!$A:$V,MATCH($A$1,'DB Country PMI'!$A$1:$V$1,),)=0,#N/A,VLOOKUP(A140,'DB Country PMI'!$A:$V,MATCH($A$1,'DB Country PMI'!$A$1:$V$1,),))</f>
        <v>54.6</v>
      </c>
      <c r="C140" s="14">
        <f>Table1[[#This Row],[PMI]]-B139</f>
        <v>-1</v>
      </c>
    </row>
    <row r="141" spans="1:3" x14ac:dyDescent="0.2">
      <c r="A141" s="9">
        <v>44562</v>
      </c>
      <c r="B141" s="11">
        <f>IF(VLOOKUP(A141,'DB Country PMI'!$A:$V,MATCH($A$1,'DB Country PMI'!$A$1:$V$1,),)=0,#N/A,VLOOKUP(A141,'DB Country PMI'!$A:$V,MATCH($A$1,'DB Country PMI'!$A$1:$V$1,),))</f>
        <v>51.3</v>
      </c>
      <c r="C141" s="14">
        <f>Table1[[#This Row],[PMI]]-B140</f>
        <v>-3.3000000000000043</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45</v>
      </c>
      <c r="J1" s="47" t="s">
        <v>61</v>
      </c>
    </row>
    <row r="2" spans="1:10" x14ac:dyDescent="0.2">
      <c r="J2" s="47" t="s">
        <v>62</v>
      </c>
    </row>
    <row r="4" spans="1:10" ht="16" customHeight="1" thickBot="1" x14ac:dyDescent="0.25"/>
    <row r="5" spans="1:10" ht="16" customHeight="1" thickBot="1" x14ac:dyDescent="0.25">
      <c r="A5" s="12" t="s">
        <v>33</v>
      </c>
      <c r="B5" s="13" t="s">
        <v>59</v>
      </c>
      <c r="C5" s="13" t="s">
        <v>60</v>
      </c>
    </row>
    <row r="6" spans="1:10" x14ac:dyDescent="0.2">
      <c r="A6" s="10">
        <v>41548</v>
      </c>
      <c r="B6" s="11">
        <f>IF(VLOOKUP(A6,'DB Country PMI'!$A:$V,MATCH($A$1,'DB Country PMI'!$A$1:$V$1,),)=0,#N/A,VLOOKUP(A6,'DB Country PMI'!$A:$V,MATCH($A$1,'DB Country PMI'!$A$1:$V$1,),))</f>
        <v>49.3</v>
      </c>
      <c r="C6" s="11"/>
    </row>
    <row r="7" spans="1:10" x14ac:dyDescent="0.2">
      <c r="A7" s="8">
        <v>41579</v>
      </c>
      <c r="B7" s="11">
        <f>IF(VLOOKUP(A7,'DB Country PMI'!$A:$V,MATCH($A$1,'DB Country PMI'!$A$1:$V$1,),)=0,#N/A,VLOOKUP(A7,'DB Country PMI'!$A:$V,MATCH($A$1,'DB Country PMI'!$A$1:$V$1,),))</f>
        <v>55.9</v>
      </c>
      <c r="C7" s="14">
        <f>Table1346811[[#This Row],[PMI]]-B6</f>
        <v>6.6000000000000014</v>
      </c>
    </row>
    <row r="8" spans="1:10" x14ac:dyDescent="0.2">
      <c r="A8" s="8">
        <v>41609</v>
      </c>
      <c r="B8" s="11">
        <f>IF(VLOOKUP(A8,'DB Country PMI'!$A:$V,MATCH($A$1,'DB Country PMI'!$A$1:$V$1,),)=0,#N/A,VLOOKUP(A8,'DB Country PMI'!$A:$V,MATCH($A$1,'DB Country PMI'!$A$1:$V$1,),))</f>
        <v>55.7</v>
      </c>
      <c r="C8" s="14">
        <f>Table1346811[[#This Row],[PMI]]-B7</f>
        <v>-0.19999999999999574</v>
      </c>
    </row>
    <row r="9" spans="1:10" x14ac:dyDescent="0.2">
      <c r="A9" s="8">
        <v>41640</v>
      </c>
      <c r="B9" s="11">
        <f>IF(VLOOKUP(A9,'DB Country PMI'!$A:$V,MATCH($A$1,'DB Country PMI'!$A$1:$V$1,),)=0,#N/A,VLOOKUP(A9,'DB Country PMI'!$A:$V,MATCH($A$1,'DB Country PMI'!$A$1:$V$1,),))</f>
        <v>56.7</v>
      </c>
      <c r="C9" s="14">
        <f>Table1346811[[#This Row],[PMI]]-B8</f>
        <v>1</v>
      </c>
    </row>
    <row r="10" spans="1:10" x14ac:dyDescent="0.2">
      <c r="A10" s="8">
        <v>41671</v>
      </c>
      <c r="B10" s="11">
        <f>IF(VLOOKUP(A10,'DB Country PMI'!$A:$V,MATCH($A$1,'DB Country PMI'!$A$1:$V$1,),)=0,#N/A,VLOOKUP(A10,'DB Country PMI'!$A:$V,MATCH($A$1,'DB Country PMI'!$A$1:$V$1,),))</f>
        <v>53.3</v>
      </c>
      <c r="C10" s="14">
        <f>Table1346811[[#This Row],[PMI]]-B9</f>
        <v>-3.4000000000000057</v>
      </c>
    </row>
    <row r="11" spans="1:10" x14ac:dyDescent="0.2">
      <c r="A11" s="8">
        <v>41699</v>
      </c>
      <c r="B11" s="11">
        <f>IF(VLOOKUP(A11,'DB Country PMI'!$A:$V,MATCH($A$1,'DB Country PMI'!$A$1:$V$1,),)=0,#N/A,VLOOKUP(A11,'DB Country PMI'!$A:$V,MATCH($A$1,'DB Country PMI'!$A$1:$V$1,),))</f>
        <v>55.3</v>
      </c>
      <c r="C11" s="14">
        <f>Table1346811[[#This Row],[PMI]]-B10</f>
        <v>2</v>
      </c>
    </row>
    <row r="12" spans="1:10" x14ac:dyDescent="0.2">
      <c r="A12" s="8">
        <v>41730</v>
      </c>
      <c r="B12" s="11">
        <f>IF(VLOOKUP(A12,'DB Country PMI'!$A:$V,MATCH($A$1,'DB Country PMI'!$A$1:$V$1,),)=0,#N/A,VLOOKUP(A12,'DB Country PMI'!$A:$V,MATCH($A$1,'DB Country PMI'!$A$1:$V$1,),))</f>
        <v>55</v>
      </c>
      <c r="C12" s="14">
        <f>Table1346811[[#This Row],[PMI]]-B11</f>
        <v>-0.29999999999999716</v>
      </c>
    </row>
    <row r="13" spans="1:10" x14ac:dyDescent="0.2">
      <c r="A13" s="8">
        <v>41760</v>
      </c>
      <c r="B13" s="11">
        <f>IF(VLOOKUP(A13,'DB Country PMI'!$A:$V,MATCH($A$1,'DB Country PMI'!$A$1:$V$1,),)=0,#N/A,VLOOKUP(A13,'DB Country PMI'!$A:$V,MATCH($A$1,'DB Country PMI'!$A$1:$V$1,),))</f>
        <v>58</v>
      </c>
      <c r="C13" s="14">
        <f>Table1346811[[#This Row],[PMI]]-B12</f>
        <v>3</v>
      </c>
    </row>
    <row r="14" spans="1:10" x14ac:dyDescent="0.2">
      <c r="A14" s="8">
        <v>41791</v>
      </c>
      <c r="B14" s="11">
        <f>IF(VLOOKUP(A14,'DB Country PMI'!$A:$V,MATCH($A$1,'DB Country PMI'!$A$1:$V$1,),)=0,#N/A,VLOOKUP(A14,'DB Country PMI'!$A:$V,MATCH($A$1,'DB Country PMI'!$A$1:$V$1,),))</f>
        <v>61</v>
      </c>
      <c r="C14" s="14">
        <f>Table1346811[[#This Row],[PMI]]-B13</f>
        <v>3</v>
      </c>
    </row>
    <row r="15" spans="1:10" x14ac:dyDescent="0.2">
      <c r="A15" s="8">
        <v>41821</v>
      </c>
      <c r="B15" s="11">
        <f>IF(VLOOKUP(A15,'DB Country PMI'!$A:$V,MATCH($A$1,'DB Country PMI'!$A$1:$V$1,),)=0,#N/A,VLOOKUP(A15,'DB Country PMI'!$A:$V,MATCH($A$1,'DB Country PMI'!$A$1:$V$1,),))</f>
        <v>60.8</v>
      </c>
      <c r="C15" s="14">
        <f>Table1346811[[#This Row],[PMI]]-B14</f>
        <v>-0.20000000000000284</v>
      </c>
    </row>
    <row r="16" spans="1:10" x14ac:dyDescent="0.2">
      <c r="A16" s="8">
        <v>41852</v>
      </c>
      <c r="B16" s="11">
        <f>IF(VLOOKUP(A16,'DB Country PMI'!$A:$V,MATCH($A$1,'DB Country PMI'!$A$1:$V$1,),)=0,#N/A,VLOOKUP(A16,'DB Country PMI'!$A:$V,MATCH($A$1,'DB Country PMI'!$A$1:$V$1,),))</f>
        <v>59.5</v>
      </c>
      <c r="C16" s="14">
        <f>Table1346811[[#This Row],[PMI]]-B15</f>
        <v>-1.2999999999999972</v>
      </c>
    </row>
    <row r="17" spans="1:3" x14ac:dyDescent="0.2">
      <c r="A17" s="8">
        <v>41883</v>
      </c>
      <c r="B17" s="11">
        <f>IF(VLOOKUP(A17,'DB Country PMI'!$A:$V,MATCH($A$1,'DB Country PMI'!$A$1:$V$1,),)=0,#N/A,VLOOKUP(A17,'DB Country PMI'!$A:$V,MATCH($A$1,'DB Country PMI'!$A$1:$V$1,),))</f>
        <v>58.9</v>
      </c>
      <c r="C17" s="14">
        <f>Table1346811[[#This Row],[PMI]]-B16</f>
        <v>-0.60000000000000142</v>
      </c>
    </row>
    <row r="18" spans="1:3" x14ac:dyDescent="0.2">
      <c r="A18" s="8">
        <v>41913</v>
      </c>
      <c r="B18" s="11">
        <f>IF(VLOOKUP(A18,'DB Country PMI'!$A:$V,MATCH($A$1,'DB Country PMI'!$A$1:$V$1,),)=0,#N/A,VLOOKUP(A18,'DB Country PMI'!$A:$V,MATCH($A$1,'DB Country PMI'!$A$1:$V$1,),))</f>
        <v>57.1</v>
      </c>
      <c r="C18" s="14">
        <f>Table1346811[[#This Row],[PMI]]-B17</f>
        <v>-1.7999999999999972</v>
      </c>
    </row>
    <row r="19" spans="1:3" x14ac:dyDescent="0.2">
      <c r="A19" s="8">
        <v>41944</v>
      </c>
      <c r="B19" s="11">
        <f>IF(VLOOKUP(A19,'DB Country PMI'!$A:$V,MATCH($A$1,'DB Country PMI'!$A$1:$V$1,),)=0,#N/A,VLOOKUP(A19,'DB Country PMI'!$A:$V,MATCH($A$1,'DB Country PMI'!$A$1:$V$1,),))</f>
        <v>56.2</v>
      </c>
      <c r="C19" s="14">
        <f>Table1346811[[#This Row],[PMI]]-B18</f>
        <v>-0.89999999999999858</v>
      </c>
    </row>
    <row r="20" spans="1:3" x14ac:dyDescent="0.2">
      <c r="A20" s="8">
        <v>41974</v>
      </c>
      <c r="B20" s="11">
        <f>IF(VLOOKUP(A20,'DB Country PMI'!$A:$V,MATCH($A$1,'DB Country PMI'!$A$1:$V$1,),)=0,#N/A,VLOOKUP(A20,'DB Country PMI'!$A:$V,MATCH($A$1,'DB Country PMI'!$A$1:$V$1,),))</f>
        <v>53.3</v>
      </c>
      <c r="C20" s="14">
        <f>Table1346811[[#This Row],[PMI]]-B19</f>
        <v>-2.9000000000000057</v>
      </c>
    </row>
    <row r="21" spans="1:3" x14ac:dyDescent="0.2">
      <c r="A21" s="8">
        <v>42005</v>
      </c>
      <c r="B21" s="11">
        <f>IF(VLOOKUP(A21,'DB Country PMI'!$A:$V,MATCH($A$1,'DB Country PMI'!$A$1:$V$1,),)=0,#N/A,VLOOKUP(A21,'DB Country PMI'!$A:$V,MATCH($A$1,'DB Country PMI'!$A$1:$V$1,),))</f>
        <v>54.2</v>
      </c>
      <c r="C21" s="14">
        <f>Table1346811[[#This Row],[PMI]]-B20</f>
        <v>0.90000000000000568</v>
      </c>
    </row>
    <row r="22" spans="1:3" x14ac:dyDescent="0.2">
      <c r="A22" s="8">
        <v>42036</v>
      </c>
      <c r="B22" s="11">
        <f>IF(VLOOKUP(A22,'DB Country PMI'!$A:$V,MATCH($A$1,'DB Country PMI'!$A$1:$V$1,),)=0,#N/A,VLOOKUP(A22,'DB Country PMI'!$A:$V,MATCH($A$1,'DB Country PMI'!$A$1:$V$1,),))</f>
        <v>57.1</v>
      </c>
      <c r="C22" s="14">
        <f>Table1346811[[#This Row],[PMI]]-B21</f>
        <v>2.8999999999999986</v>
      </c>
    </row>
    <row r="23" spans="1:3" x14ac:dyDescent="0.2">
      <c r="A23" s="8">
        <v>42064</v>
      </c>
      <c r="B23" s="11">
        <f>IF(VLOOKUP(A23,'DB Country PMI'!$A:$V,MATCH($A$1,'DB Country PMI'!$A$1:$V$1,),)=0,#N/A,VLOOKUP(A23,'DB Country PMI'!$A:$V,MATCH($A$1,'DB Country PMI'!$A$1:$V$1,),))</f>
        <v>59.2</v>
      </c>
      <c r="C23" s="14">
        <f>Table1346811[[#This Row],[PMI]]-B22</f>
        <v>2.1000000000000014</v>
      </c>
    </row>
    <row r="24" spans="1:3" x14ac:dyDescent="0.2">
      <c r="A24" s="8">
        <v>42095</v>
      </c>
      <c r="B24" s="11">
        <f>IF(VLOOKUP(A24,'DB Country PMI'!$A:$V,MATCH($A$1,'DB Country PMI'!$A$1:$V$1,),)=0,#N/A,VLOOKUP(A24,'DB Country PMI'!$A:$V,MATCH($A$1,'DB Country PMI'!$A$1:$V$1,),))</f>
        <v>57.4</v>
      </c>
      <c r="C24" s="14">
        <f>Table1346811[[#This Row],[PMI]]-B23</f>
        <v>-1.8000000000000043</v>
      </c>
    </row>
    <row r="25" spans="1:3" x14ac:dyDescent="0.2">
      <c r="A25" s="8">
        <v>42125</v>
      </c>
      <c r="B25" s="11">
        <f>IF(VLOOKUP(A25,'DB Country PMI'!$A:$V,MATCH($A$1,'DB Country PMI'!$A$1:$V$1,),)=0,#N/A,VLOOKUP(A25,'DB Country PMI'!$A:$V,MATCH($A$1,'DB Country PMI'!$A$1:$V$1,),))</f>
        <v>56.2</v>
      </c>
      <c r="C25" s="14">
        <f>Table1346811[[#This Row],[PMI]]-B24</f>
        <v>-1.1999999999999957</v>
      </c>
    </row>
    <row r="26" spans="1:3" x14ac:dyDescent="0.2">
      <c r="A26" s="8">
        <v>42156</v>
      </c>
      <c r="B26" s="11">
        <f>IF(VLOOKUP(A26,'DB Country PMI'!$A:$V,MATCH($A$1,'DB Country PMI'!$A$1:$V$1,),)=0,#N/A,VLOOKUP(A26,'DB Country PMI'!$A:$V,MATCH($A$1,'DB Country PMI'!$A$1:$V$1,),))</f>
        <v>54.8</v>
      </c>
      <c r="C26" s="14">
        <f>Table1346811[[#This Row],[PMI]]-B25</f>
        <v>-1.4000000000000057</v>
      </c>
    </row>
    <row r="27" spans="1:3" x14ac:dyDescent="0.2">
      <c r="A27" s="8">
        <v>42186</v>
      </c>
      <c r="B27" s="11">
        <f>IF(VLOOKUP(A27,'DB Country PMI'!$A:$V,MATCH($A$1,'DB Country PMI'!$A$1:$V$1,),)=0,#N/A,VLOOKUP(A27,'DB Country PMI'!$A:$V,MATCH($A$1,'DB Country PMI'!$A$1:$V$1,),))</f>
        <v>55.7</v>
      </c>
      <c r="C27" s="14">
        <f>Table1346811[[#This Row],[PMI]]-B26</f>
        <v>0.90000000000000568</v>
      </c>
    </row>
    <row r="28" spans="1:3" x14ac:dyDescent="0.2">
      <c r="A28" s="8">
        <v>42217</v>
      </c>
      <c r="B28" s="11">
        <f>IF(VLOOKUP(A28,'DB Country PMI'!$A:$V,MATCH($A$1,'DB Country PMI'!$A$1:$V$1,),)=0,#N/A,VLOOKUP(A28,'DB Country PMI'!$A:$V,MATCH($A$1,'DB Country PMI'!$A$1:$V$1,),))</f>
        <v>56.1</v>
      </c>
      <c r="C28" s="14">
        <f>Table1346811[[#This Row],[PMI]]-B27</f>
        <v>0.39999999999999858</v>
      </c>
    </row>
    <row r="29" spans="1:3" x14ac:dyDescent="0.2">
      <c r="A29" s="8">
        <v>42248</v>
      </c>
      <c r="B29" s="11">
        <f>IF(VLOOKUP(A29,'DB Country PMI'!$A:$V,MATCH($A$1,'DB Country PMI'!$A$1:$V$1,),)=0,#N/A,VLOOKUP(A29,'DB Country PMI'!$A:$V,MATCH($A$1,'DB Country PMI'!$A$1:$V$1,),))</f>
        <v>55.1</v>
      </c>
      <c r="C29" s="14">
        <f>Table1346811[[#This Row],[PMI]]-B28</f>
        <v>-1</v>
      </c>
    </row>
    <row r="30" spans="1:3" x14ac:dyDescent="0.2">
      <c r="A30" s="8">
        <v>42278</v>
      </c>
      <c r="B30" s="11">
        <f>IF(VLOOKUP(A30,'DB Country PMI'!$A:$V,MATCH($A$1,'DB Country PMI'!$A$1:$V$1,),)=0,#N/A,VLOOKUP(A30,'DB Country PMI'!$A:$V,MATCH($A$1,'DB Country PMI'!$A$1:$V$1,),))</f>
        <v>54.8</v>
      </c>
      <c r="C30" s="14">
        <f>Table1346811[[#This Row],[PMI]]-B29</f>
        <v>-0.30000000000000426</v>
      </c>
    </row>
    <row r="31" spans="1:3" x14ac:dyDescent="0.2">
      <c r="A31" s="8">
        <v>42309</v>
      </c>
      <c r="B31" s="11">
        <f>IF(VLOOKUP(A31,'DB Country PMI'!$A:$V,MATCH($A$1,'DB Country PMI'!$A$1:$V$1,),)=0,#N/A,VLOOKUP(A31,'DB Country PMI'!$A:$V,MATCH($A$1,'DB Country PMI'!$A$1:$V$1,),))</f>
        <v>56.1</v>
      </c>
      <c r="C31" s="14">
        <f>Table1346811[[#This Row],[PMI]]-B30</f>
        <v>1.3000000000000043</v>
      </c>
    </row>
    <row r="32" spans="1:3" x14ac:dyDescent="0.2">
      <c r="A32" s="8">
        <v>42339</v>
      </c>
      <c r="B32" s="11">
        <f>IF(VLOOKUP(A32,'DB Country PMI'!$A:$V,MATCH($A$1,'DB Country PMI'!$A$1:$V$1,),)=0,#N/A,VLOOKUP(A32,'DB Country PMI'!$A:$V,MATCH($A$1,'DB Country PMI'!$A$1:$V$1,),))</f>
        <v>54.3</v>
      </c>
      <c r="C32" s="14">
        <f>Table1346811[[#This Row],[PMI]]-B31</f>
        <v>-1.8000000000000043</v>
      </c>
    </row>
    <row r="33" spans="1:3" x14ac:dyDescent="0.2">
      <c r="A33" s="8">
        <v>42370</v>
      </c>
      <c r="B33" s="11">
        <f>IF(VLOOKUP(A33,'DB Country PMI'!$A:$V,MATCH($A$1,'DB Country PMI'!$A$1:$V$1,),)=0,#N/A,VLOOKUP(A33,'DB Country PMI'!$A:$V,MATCH($A$1,'DB Country PMI'!$A$1:$V$1,),))</f>
        <v>53.2</v>
      </c>
      <c r="C33" s="14">
        <f>Table1346811[[#This Row],[PMI]]-B32</f>
        <v>-1.0999999999999943</v>
      </c>
    </row>
    <row r="34" spans="1:3" x14ac:dyDescent="0.2">
      <c r="A34" s="8">
        <v>42401</v>
      </c>
      <c r="B34" s="11">
        <f>IF(VLOOKUP(A34,'DB Country PMI'!$A:$V,MATCH($A$1,'DB Country PMI'!$A$1:$V$1,),)=0,#N/A,VLOOKUP(A34,'DB Country PMI'!$A:$V,MATCH($A$1,'DB Country PMI'!$A$1:$V$1,),))</f>
        <v>49.7</v>
      </c>
      <c r="C34" s="14">
        <f>Table1346811[[#This Row],[PMI]]-B33</f>
        <v>-3.5</v>
      </c>
    </row>
    <row r="35" spans="1:3" x14ac:dyDescent="0.2">
      <c r="A35" s="8">
        <v>42430</v>
      </c>
      <c r="B35" s="11">
        <f>IF(VLOOKUP(A35,'DB Country PMI'!$A:$V,MATCH($A$1,'DB Country PMI'!$A$1:$V$1,),)=0,#N/A,VLOOKUP(A35,'DB Country PMI'!$A:$V,MATCH($A$1,'DB Country PMI'!$A$1:$V$1,),))</f>
        <v>51.3</v>
      </c>
      <c r="C35" s="14">
        <f>Table1346811[[#This Row],[PMI]]-B34</f>
        <v>1.5999999999999943</v>
      </c>
    </row>
    <row r="36" spans="1:3" x14ac:dyDescent="0.2">
      <c r="A36" s="8">
        <v>42461</v>
      </c>
      <c r="B36" s="11">
        <f>IF(VLOOKUP(A36,'DB Country PMI'!$A:$V,MATCH($A$1,'DB Country PMI'!$A$1:$V$1,),)=0,#N/A,VLOOKUP(A36,'DB Country PMI'!$A:$V,MATCH($A$1,'DB Country PMI'!$A$1:$V$1,),))</f>
        <v>52.8</v>
      </c>
      <c r="C36" s="14">
        <f>Table1346811[[#This Row],[PMI]]-B35</f>
        <v>1.5</v>
      </c>
    </row>
    <row r="37" spans="1:3" x14ac:dyDescent="0.2">
      <c r="A37" s="8">
        <v>42491</v>
      </c>
      <c r="B37" s="11">
        <f>IF(VLOOKUP(A37,'DB Country PMI'!$A:$V,MATCH($A$1,'DB Country PMI'!$A$1:$V$1,),)=0,#N/A,VLOOKUP(A37,'DB Country PMI'!$A:$V,MATCH($A$1,'DB Country PMI'!$A$1:$V$1,),))</f>
        <v>51.3</v>
      </c>
      <c r="C37" s="14">
        <f>Table1346811[[#This Row],[PMI]]-B36</f>
        <v>-1.5</v>
      </c>
    </row>
    <row r="38" spans="1:3" x14ac:dyDescent="0.2">
      <c r="A38" s="8">
        <v>42522</v>
      </c>
      <c r="B38" s="11">
        <f>IF(VLOOKUP(A38,'DB Country PMI'!$A:$V,MATCH($A$1,'DB Country PMI'!$A$1:$V$1,),)=0,#N/A,VLOOKUP(A38,'DB Country PMI'!$A:$V,MATCH($A$1,'DB Country PMI'!$A$1:$V$1,),))</f>
        <v>51.4</v>
      </c>
      <c r="C38" s="14">
        <f>Table1346811[[#This Row],[PMI]]-B37</f>
        <v>0.10000000000000142</v>
      </c>
    </row>
    <row r="39" spans="1:3" x14ac:dyDescent="0.2">
      <c r="A39" s="8">
        <v>42552</v>
      </c>
      <c r="B39" s="11">
        <f>IF(VLOOKUP(A39,'DB Country PMI'!$A:$V,MATCH($A$1,'DB Country PMI'!$A$1:$V$1,),)=0,#N/A,VLOOKUP(A39,'DB Country PMI'!$A:$V,MATCH($A$1,'DB Country PMI'!$A$1:$V$1,),))</f>
        <v>51.4</v>
      </c>
      <c r="C39" s="14">
        <f>Table1346811[[#This Row],[PMI]]-B38</f>
        <v>0</v>
      </c>
    </row>
    <row r="40" spans="1:3" x14ac:dyDescent="0.2">
      <c r="A40" s="8">
        <v>42583</v>
      </c>
      <c r="B40" s="11">
        <f>IF(VLOOKUP(A40,'DB Country PMI'!$A:$V,MATCH($A$1,'DB Country PMI'!$A$1:$V$1,),)=0,#N/A,VLOOKUP(A40,'DB Country PMI'!$A:$V,MATCH($A$1,'DB Country PMI'!$A$1:$V$1,),))</f>
        <v>51</v>
      </c>
      <c r="C40" s="14">
        <f>Table1346811[[#This Row],[PMI]]-B39</f>
        <v>-0.39999999999999858</v>
      </c>
    </row>
    <row r="41" spans="1:3" x14ac:dyDescent="0.2">
      <c r="A41" s="8">
        <v>42614</v>
      </c>
      <c r="B41" s="11">
        <f>IF(VLOOKUP(A41,'DB Country PMI'!$A:$V,MATCH($A$1,'DB Country PMI'!$A$1:$V$1,),)=0,#N/A,VLOOKUP(A41,'DB Country PMI'!$A:$V,MATCH($A$1,'DB Country PMI'!$A$1:$V$1,),))</f>
        <v>52.3</v>
      </c>
      <c r="C41" s="14">
        <f>Table1346811[[#This Row],[PMI]]-B40</f>
        <v>1.2999999999999972</v>
      </c>
    </row>
    <row r="42" spans="1:3" x14ac:dyDescent="0.2">
      <c r="A42" s="8">
        <v>42644</v>
      </c>
      <c r="B42" s="11">
        <f>IF(VLOOKUP(A42,'DB Country PMI'!$A:$V,MATCH($A$1,'DB Country PMI'!$A$1:$V$1,),)=0,#N/A,VLOOKUP(A42,'DB Country PMI'!$A:$V,MATCH($A$1,'DB Country PMI'!$A$1:$V$1,),))</f>
        <v>54.8</v>
      </c>
      <c r="C42" s="14">
        <f>Table1346811[[#This Row],[PMI]]-B41</f>
        <v>2.5</v>
      </c>
    </row>
    <row r="43" spans="1:3" x14ac:dyDescent="0.2">
      <c r="A43" s="8">
        <v>42675</v>
      </c>
      <c r="B43" s="11">
        <f>IF(VLOOKUP(A43,'DB Country PMI'!$A:$V,MATCH($A$1,'DB Country PMI'!$A$1:$V$1,),)=0,#N/A,VLOOKUP(A43,'DB Country PMI'!$A:$V,MATCH($A$1,'DB Country PMI'!$A$1:$V$1,),))</f>
        <v>54.6</v>
      </c>
      <c r="C43" s="14">
        <f>Table1346811[[#This Row],[PMI]]-B42</f>
        <v>-0.19999999999999574</v>
      </c>
    </row>
    <row r="44" spans="1:3" x14ac:dyDescent="0.2">
      <c r="A44" s="8">
        <v>42705</v>
      </c>
      <c r="B44" s="11">
        <f>IF(VLOOKUP(A44,'DB Country PMI'!$A:$V,MATCH($A$1,'DB Country PMI'!$A$1:$V$1,),)=0,#N/A,VLOOKUP(A44,'DB Country PMI'!$A:$V,MATCH($A$1,'DB Country PMI'!$A$1:$V$1,),))</f>
        <v>53.9</v>
      </c>
      <c r="C44" s="14">
        <f>Table1346811[[#This Row],[PMI]]-B43</f>
        <v>-0.70000000000000284</v>
      </c>
    </row>
    <row r="45" spans="1:3" x14ac:dyDescent="0.2">
      <c r="A45" s="8">
        <v>42736</v>
      </c>
      <c r="B45" s="11">
        <f>IF(VLOOKUP(A45,'DB Country PMI'!$A:$V,MATCH($A$1,'DB Country PMI'!$A$1:$V$1,),)=0,#N/A,VLOOKUP(A45,'DB Country PMI'!$A:$V,MATCH($A$1,'DB Country PMI'!$A$1:$V$1,),))</f>
        <v>55.6</v>
      </c>
      <c r="C45" s="14">
        <f>Table1346811[[#This Row],[PMI]]-B44</f>
        <v>1.7000000000000028</v>
      </c>
    </row>
    <row r="46" spans="1:3" x14ac:dyDescent="0.2">
      <c r="A46" s="8">
        <v>42767</v>
      </c>
      <c r="B46" s="11">
        <f>IF(VLOOKUP(A46,'DB Country PMI'!$A:$V,MATCH($A$1,'DB Country PMI'!$A$1:$V$1,),)=0,#N/A,VLOOKUP(A46,'DB Country PMI'!$A:$V,MATCH($A$1,'DB Country PMI'!$A$1:$V$1,),))</f>
        <v>53.8</v>
      </c>
      <c r="C46" s="14">
        <f>Table1346811[[#This Row],[PMI]]-B45</f>
        <v>-1.8000000000000043</v>
      </c>
    </row>
    <row r="47" spans="1:3" x14ac:dyDescent="0.2">
      <c r="A47" s="8">
        <v>42795</v>
      </c>
      <c r="B47" s="11">
        <f>IF(VLOOKUP(A47,'DB Country PMI'!$A:$V,MATCH($A$1,'DB Country PMI'!$A$1:$V$1,),)=0,#N/A,VLOOKUP(A47,'DB Country PMI'!$A:$V,MATCH($A$1,'DB Country PMI'!$A$1:$V$1,),))</f>
        <v>52.8</v>
      </c>
      <c r="C47" s="14">
        <f>Table1346811[[#This Row],[PMI]]-B46</f>
        <v>-1</v>
      </c>
    </row>
    <row r="48" spans="1:3" x14ac:dyDescent="0.2">
      <c r="A48" s="8">
        <v>42826</v>
      </c>
      <c r="B48" s="11">
        <f>IF(VLOOKUP(A48,'DB Country PMI'!$A:$V,MATCH($A$1,'DB Country PMI'!$A$1:$V$1,),)=0,#N/A,VLOOKUP(A48,'DB Country PMI'!$A:$V,MATCH($A$1,'DB Country PMI'!$A$1:$V$1,),))</f>
        <v>53.1</v>
      </c>
      <c r="C48" s="14">
        <f>Table1346811[[#This Row],[PMI]]-B47</f>
        <v>0.30000000000000426</v>
      </c>
    </row>
    <row r="49" spans="1:3" x14ac:dyDescent="0.2">
      <c r="A49" s="8">
        <v>42856</v>
      </c>
      <c r="B49" s="11">
        <f>IF(VLOOKUP(A49,'DB Country PMI'!$A:$V,MATCH($A$1,'DB Country PMI'!$A$1:$V$1,),)=0,#N/A,VLOOKUP(A49,'DB Country PMI'!$A:$V,MATCH($A$1,'DB Country PMI'!$A$1:$V$1,),))</f>
        <v>53.6</v>
      </c>
      <c r="C49" s="14">
        <f>Table1346811[[#This Row],[PMI]]-B48</f>
        <v>0.5</v>
      </c>
    </row>
    <row r="50" spans="1:3" x14ac:dyDescent="0.2">
      <c r="A50" s="8">
        <v>42887</v>
      </c>
      <c r="B50" s="11">
        <f>IF(VLOOKUP(A50,'DB Country PMI'!$A:$V,MATCH($A$1,'DB Country PMI'!$A$1:$V$1,),)=0,#N/A,VLOOKUP(A50,'DB Country PMI'!$A:$V,MATCH($A$1,'DB Country PMI'!$A$1:$V$1,),))</f>
        <v>54.2</v>
      </c>
      <c r="C50" s="14">
        <f>Table1346811[[#This Row],[PMI]]-B49</f>
        <v>0.60000000000000142</v>
      </c>
    </row>
    <row r="51" spans="1:3" x14ac:dyDescent="0.2">
      <c r="A51" s="8">
        <v>42917</v>
      </c>
      <c r="B51" s="11">
        <f>IF(VLOOKUP(A51,'DB Country PMI'!$A:$V,MATCH($A$1,'DB Country PMI'!$A$1:$V$1,),)=0,#N/A,VLOOKUP(A51,'DB Country PMI'!$A:$V,MATCH($A$1,'DB Country PMI'!$A$1:$V$1,),))</f>
        <v>54.7</v>
      </c>
      <c r="C51" s="14">
        <f>Table1346811[[#This Row],[PMI]]-B50</f>
        <v>0.5</v>
      </c>
    </row>
    <row r="52" spans="1:3" x14ac:dyDescent="0.2">
      <c r="A52" s="8">
        <v>42948</v>
      </c>
      <c r="B52" s="11">
        <f>IF(VLOOKUP(A52,'DB Country PMI'!$A:$V,MATCH($A$1,'DB Country PMI'!$A$1:$V$1,),)=0,#N/A,VLOOKUP(A52,'DB Country PMI'!$A:$V,MATCH($A$1,'DB Country PMI'!$A$1:$V$1,),))</f>
        <v>56</v>
      </c>
      <c r="C52" s="14">
        <f>Table1346811[[#This Row],[PMI]]-B51</f>
        <v>1.2999999999999972</v>
      </c>
    </row>
    <row r="53" spans="1:3" x14ac:dyDescent="0.2">
      <c r="A53" s="8">
        <v>42979</v>
      </c>
      <c r="B53" s="11">
        <f>IF(VLOOKUP(A53,'DB Country PMI'!$A:$V,MATCH($A$1,'DB Country PMI'!$A$1:$V$1,),)=0,#N/A,VLOOKUP(A53,'DB Country PMI'!$A:$V,MATCH($A$1,'DB Country PMI'!$A$1:$V$1,),))</f>
        <v>55.3</v>
      </c>
      <c r="C53" s="14">
        <f>Table1346811[[#This Row],[PMI]]-B52</f>
        <v>-0.70000000000000284</v>
      </c>
    </row>
    <row r="54" spans="1:3" x14ac:dyDescent="0.2">
      <c r="A54" s="8">
        <v>43009</v>
      </c>
      <c r="B54" s="11">
        <f>IF(VLOOKUP(A54,'DB Country PMI'!$A:$V,MATCH($A$1,'DB Country PMI'!$A$1:$V$1,),)=0,#N/A,VLOOKUP(A54,'DB Country PMI'!$A:$V,MATCH($A$1,'DB Country PMI'!$A$1:$V$1,),))</f>
        <v>55.3</v>
      </c>
      <c r="C54" s="14">
        <f>Table1346811[[#This Row],[PMI]]-B53</f>
        <v>0</v>
      </c>
    </row>
    <row r="55" spans="1:3" x14ac:dyDescent="0.2">
      <c r="A55" s="8">
        <v>43040</v>
      </c>
      <c r="B55" s="11">
        <f>IF(VLOOKUP(A55,'DB Country PMI'!$A:$V,MATCH($A$1,'DB Country PMI'!$A$1:$V$1,),)=0,#N/A,VLOOKUP(A55,'DB Country PMI'!$A:$V,MATCH($A$1,'DB Country PMI'!$A$1:$V$1,),))</f>
        <v>54.5</v>
      </c>
      <c r="C55" s="14">
        <f>Table1346811[[#This Row],[PMI]]-B54</f>
        <v>-0.79999999999999716</v>
      </c>
    </row>
    <row r="56" spans="1:3" x14ac:dyDescent="0.2">
      <c r="A56" s="8">
        <v>43070</v>
      </c>
      <c r="B56" s="11">
        <f>IF(VLOOKUP(A56,'DB Country PMI'!$A:$V,MATCH($A$1,'DB Country PMI'!$A$1:$V$1,),)=0,#N/A,VLOOKUP(A56,'DB Country PMI'!$A:$V,MATCH($A$1,'DB Country PMI'!$A$1:$V$1,),))</f>
        <v>53.7</v>
      </c>
      <c r="C56" s="14">
        <f>Table1346811[[#This Row],[PMI]]-B55</f>
        <v>-0.79999999999999716</v>
      </c>
    </row>
    <row r="57" spans="1:3" x14ac:dyDescent="0.2">
      <c r="A57" s="8">
        <v>43101</v>
      </c>
      <c r="B57" s="11">
        <f>IF(VLOOKUP(A57,'DB Country PMI'!$A:$V,MATCH($A$1,'DB Country PMI'!$A$1:$V$1,),)=0,#N/A,VLOOKUP(A57,'DB Country PMI'!$A:$V,MATCH($A$1,'DB Country PMI'!$A$1:$V$1,),))</f>
        <v>53.3</v>
      </c>
      <c r="C57" s="14">
        <f>Table1346811[[#This Row],[PMI]]-B56</f>
        <v>-0.40000000000000568</v>
      </c>
    </row>
    <row r="58" spans="1:3" x14ac:dyDescent="0.2">
      <c r="A58" s="8">
        <v>43132</v>
      </c>
      <c r="B58" s="11">
        <f>IF(VLOOKUP(A58,'DB Country PMI'!$A:$V,MATCH($A$1,'DB Country PMI'!$A$1:$V$1,),)=0,#N/A,VLOOKUP(A58,'DB Country PMI'!$A:$V,MATCH($A$1,'DB Country PMI'!$A$1:$V$1,),))</f>
        <v>55.9</v>
      </c>
      <c r="C58" s="14">
        <f>Table1346811[[#This Row],[PMI]]-B57</f>
        <v>2.6000000000000014</v>
      </c>
    </row>
    <row r="59" spans="1:3" x14ac:dyDescent="0.2">
      <c r="A59" s="8">
        <v>43160</v>
      </c>
      <c r="B59" s="11">
        <f>IF(VLOOKUP(A59,'DB Country PMI'!$A:$V,MATCH($A$1,'DB Country PMI'!$A$1:$V$1,),)=0,#N/A,VLOOKUP(A59,'DB Country PMI'!$A:$V,MATCH($A$1,'DB Country PMI'!$A$1:$V$1,),))</f>
        <v>54</v>
      </c>
      <c r="C59" s="14">
        <f>Table1346811[[#This Row],[PMI]]-B58</f>
        <v>-1.8999999999999986</v>
      </c>
    </row>
    <row r="60" spans="1:3" x14ac:dyDescent="0.2">
      <c r="A60" s="8">
        <v>43191</v>
      </c>
      <c r="B60" s="11">
        <f>IF(VLOOKUP(A60,'DB Country PMI'!$A:$V,MATCH($A$1,'DB Country PMI'!$A$1:$V$1,),)=0,#N/A,VLOOKUP(A60,'DB Country PMI'!$A:$V,MATCH($A$1,'DB Country PMI'!$A$1:$V$1,),))</f>
        <v>54.6</v>
      </c>
      <c r="C60" s="14">
        <f>Table1346811[[#This Row],[PMI]]-B59</f>
        <v>0.60000000000000142</v>
      </c>
    </row>
    <row r="61" spans="1:3" x14ac:dyDescent="0.2">
      <c r="A61" s="8">
        <v>43221</v>
      </c>
      <c r="B61" s="11">
        <f>IF(VLOOKUP(A61,'DB Country PMI'!$A:$V,MATCH($A$1,'DB Country PMI'!$A$1:$V$1,),)=0,#N/A,VLOOKUP(A61,'DB Country PMI'!$A:$V,MATCH($A$1,'DB Country PMI'!$A$1:$V$1,),))</f>
        <v>56.8</v>
      </c>
      <c r="C61" s="14">
        <f>Table1346811[[#This Row],[PMI]]-B60</f>
        <v>2.1999999999999957</v>
      </c>
    </row>
    <row r="62" spans="1:3" x14ac:dyDescent="0.2">
      <c r="A62" s="8">
        <v>43252</v>
      </c>
      <c r="B62" s="11">
        <f>IF(VLOOKUP(A62,'DB Country PMI'!$A:$V,MATCH($A$1,'DB Country PMI'!$A$1:$V$1,),)=0,#N/A,VLOOKUP(A62,'DB Country PMI'!$A:$V,MATCH($A$1,'DB Country PMI'!$A$1:$V$1,),))</f>
        <v>56.5</v>
      </c>
      <c r="C62" s="14">
        <f>Table1346811[[#This Row],[PMI]]-B61</f>
        <v>-0.29999999999999716</v>
      </c>
    </row>
    <row r="63" spans="1:3" x14ac:dyDescent="0.2">
      <c r="A63" s="8">
        <v>43282</v>
      </c>
      <c r="B63" s="11">
        <f>IF(VLOOKUP(A63,'DB Country PMI'!$A:$V,MATCH($A$1,'DB Country PMI'!$A$1:$V$1,),)=0,#N/A,VLOOKUP(A63,'DB Country PMI'!$A:$V,MATCH($A$1,'DB Country PMI'!$A$1:$V$1,),))</f>
        <v>56</v>
      </c>
      <c r="C63" s="14">
        <f>Table1346811[[#This Row],[PMI]]-B62</f>
        <v>-0.5</v>
      </c>
    </row>
    <row r="64" spans="1:3" x14ac:dyDescent="0.2">
      <c r="A64" s="8">
        <v>43313</v>
      </c>
      <c r="B64" s="11">
        <f>IF(VLOOKUP(A64,'DB Country PMI'!$A:$V,MATCH($A$1,'DB Country PMI'!$A$1:$V$1,),)=0,#N/A,VLOOKUP(A64,'DB Country PMI'!$A:$V,MATCH($A$1,'DB Country PMI'!$A$1:$V$1,),))</f>
        <v>55.2</v>
      </c>
      <c r="C64" s="14">
        <f>Table1346811[[#This Row],[PMI]]-B63</f>
        <v>-0.79999999999999716</v>
      </c>
    </row>
    <row r="65" spans="1:3" x14ac:dyDescent="0.2">
      <c r="A65" s="8">
        <v>43344</v>
      </c>
      <c r="B65" s="11">
        <f>IF(VLOOKUP(A65,'DB Country PMI'!$A:$V,MATCH($A$1,'DB Country PMI'!$A$1:$V$1,),)=0,#N/A,VLOOKUP(A65,'DB Country PMI'!$A:$V,MATCH($A$1,'DB Country PMI'!$A$1:$V$1,),))</f>
        <v>52.9</v>
      </c>
      <c r="C65" s="14">
        <f>Table1346811[[#This Row],[PMI]]-B64</f>
        <v>-2.3000000000000043</v>
      </c>
    </row>
    <row r="66" spans="1:3" x14ac:dyDescent="0.2">
      <c r="A66" s="8">
        <v>43374</v>
      </c>
      <c r="B66" s="11">
        <f>IF(VLOOKUP(A66,'DB Country PMI'!$A:$V,MATCH($A$1,'DB Country PMI'!$A$1:$V$1,),)=0,#N/A,VLOOKUP(A66,'DB Country PMI'!$A:$V,MATCH($A$1,'DB Country PMI'!$A$1:$V$1,),))</f>
        <v>54.8</v>
      </c>
      <c r="C66" s="14">
        <f>Table1346811[[#This Row],[PMI]]-B65</f>
        <v>1.8999999999999986</v>
      </c>
    </row>
    <row r="67" spans="1:3" x14ac:dyDescent="0.2">
      <c r="A67" s="8">
        <v>43405</v>
      </c>
      <c r="B67" s="11">
        <f>IF(VLOOKUP(A67,'DB Country PMI'!$A:$V,MATCH($A$1,'DB Country PMI'!$A$1:$V$1,),)=0,#N/A,VLOOKUP(A67,'DB Country PMI'!$A:$V,MATCH($A$1,'DB Country PMI'!$A$1:$V$1,),))</f>
        <v>54.4</v>
      </c>
      <c r="C67" s="14">
        <f>Table1346811[[#This Row],[PMI]]-B66</f>
        <v>-0.39999999999999858</v>
      </c>
    </row>
    <row r="68" spans="1:3" x14ac:dyDescent="0.2">
      <c r="A68" s="8">
        <v>43435</v>
      </c>
      <c r="B68" s="11">
        <f>IF(VLOOKUP(A68,'DB Country PMI'!$A:$V,MATCH($A$1,'DB Country PMI'!$A$1:$V$1,),)=0,#N/A,VLOOKUP(A68,'DB Country PMI'!$A:$V,MATCH($A$1,'DB Country PMI'!$A$1:$V$1,),))</f>
        <v>54.4</v>
      </c>
      <c r="C68" s="14">
        <f>Table1346811[[#This Row],[PMI]]-B67</f>
        <v>0</v>
      </c>
    </row>
    <row r="69" spans="1:3" x14ac:dyDescent="0.2">
      <c r="A69" s="8">
        <v>43466</v>
      </c>
      <c r="B69" s="11">
        <f>IF(VLOOKUP(A69,'DB Country PMI'!$A:$V,MATCH($A$1,'DB Country PMI'!$A$1:$V$1,),)=0,#N/A,VLOOKUP(A69,'DB Country PMI'!$A:$V,MATCH($A$1,'DB Country PMI'!$A$1:$V$1,),))</f>
        <v>54.2</v>
      </c>
      <c r="C69" s="14">
        <f>Table1346811[[#This Row],[PMI]]-B68</f>
        <v>-0.19999999999999574</v>
      </c>
    </row>
    <row r="70" spans="1:3" x14ac:dyDescent="0.2">
      <c r="A70" s="8">
        <v>43497</v>
      </c>
      <c r="B70" s="11">
        <f>IF(VLOOKUP(A70,'DB Country PMI'!$A:$V,MATCH($A$1,'DB Country PMI'!$A$1:$V$1,),)=0,#N/A,VLOOKUP(A70,'DB Country PMI'!$A:$V,MATCH($A$1,'DB Country PMI'!$A$1:$V$1,),))</f>
        <v>56.2</v>
      </c>
      <c r="C70" s="14">
        <f>Table1346811[[#This Row],[PMI]]-B69</f>
        <v>2</v>
      </c>
    </row>
    <row r="71" spans="1:3" x14ac:dyDescent="0.2">
      <c r="A71" s="8">
        <v>43525</v>
      </c>
      <c r="B71" s="11">
        <f>IF(VLOOKUP(A71,'DB Country PMI'!$A:$V,MATCH($A$1,'DB Country PMI'!$A$1:$V$1,),)=0,#N/A,VLOOKUP(A71,'DB Country PMI'!$A:$V,MATCH($A$1,'DB Country PMI'!$A$1:$V$1,),))</f>
        <v>54.8</v>
      </c>
      <c r="C71" s="14">
        <f>Table1346811[[#This Row],[PMI]]-B70</f>
        <v>-1.4000000000000057</v>
      </c>
    </row>
    <row r="72" spans="1:3" x14ac:dyDescent="0.2">
      <c r="A72" s="8">
        <v>43556</v>
      </c>
      <c r="B72" s="11">
        <f>IF(VLOOKUP(A72,'DB Country PMI'!$A:$V,MATCH($A$1,'DB Country PMI'!$A$1:$V$1,),)=0,#N/A,VLOOKUP(A72,'DB Country PMI'!$A:$V,MATCH($A$1,'DB Country PMI'!$A$1:$V$1,),))</f>
        <v>53</v>
      </c>
      <c r="C72" s="14">
        <f>Table1346811[[#This Row],[PMI]]-B71</f>
        <v>-1.7999999999999972</v>
      </c>
    </row>
    <row r="73" spans="1:3" x14ac:dyDescent="0.2">
      <c r="A73" s="8">
        <v>43586</v>
      </c>
      <c r="B73" s="11">
        <f>IF(VLOOKUP(A73,'DB Country PMI'!$A:$V,MATCH($A$1,'DB Country PMI'!$A$1:$V$1,),)=0,#N/A,VLOOKUP(A73,'DB Country PMI'!$A:$V,MATCH($A$1,'DB Country PMI'!$A$1:$V$1,),))</f>
        <v>50.9</v>
      </c>
      <c r="C73" s="14">
        <f>Table1346811[[#This Row],[PMI]]-B72</f>
        <v>-2.1000000000000014</v>
      </c>
    </row>
    <row r="74" spans="1:3" x14ac:dyDescent="0.2">
      <c r="A74" s="8">
        <v>43617</v>
      </c>
      <c r="B74" s="11">
        <f>IF(VLOOKUP(A74,'DB Country PMI'!$A:$V,MATCH($A$1,'DB Country PMI'!$A$1:$V$1,),)=0,#N/A,VLOOKUP(A74,'DB Country PMI'!$A:$V,MATCH($A$1,'DB Country PMI'!$A$1:$V$1,),))</f>
        <v>51.5</v>
      </c>
      <c r="C74" s="14">
        <f>Table1346811[[#This Row],[PMI]]-B73</f>
        <v>0.60000000000000142</v>
      </c>
    </row>
    <row r="75" spans="1:3" x14ac:dyDescent="0.2">
      <c r="A75" s="8">
        <v>43647</v>
      </c>
      <c r="B75" s="11">
        <f>IF(VLOOKUP(A75,'DB Country PMI'!$A:$V,MATCH($A$1,'DB Country PMI'!$A$1:$V$1,),)=0,#N/A,VLOOKUP(A75,'DB Country PMI'!$A:$V,MATCH($A$1,'DB Country PMI'!$A$1:$V$1,),))</f>
        <v>53</v>
      </c>
      <c r="C75" s="14">
        <f>Table1346811[[#This Row],[PMI]]-B74</f>
        <v>1.5</v>
      </c>
    </row>
    <row r="76" spans="1:3" x14ac:dyDescent="0.2">
      <c r="A76" s="8">
        <v>43678</v>
      </c>
      <c r="B76" s="11">
        <f>IF(VLOOKUP(A76,'DB Country PMI'!$A:$V,MATCH($A$1,'DB Country PMI'!$A$1:$V$1,),)=0,#N/A,VLOOKUP(A76,'DB Country PMI'!$A:$V,MATCH($A$1,'DB Country PMI'!$A$1:$V$1,),))</f>
        <v>50.7</v>
      </c>
      <c r="C76" s="14">
        <f>Table1346811[[#This Row],[PMI]]-B75</f>
        <v>-2.2999999999999972</v>
      </c>
    </row>
    <row r="77" spans="1:3" x14ac:dyDescent="0.2">
      <c r="A77" s="8">
        <v>43709</v>
      </c>
      <c r="B77" s="11">
        <f>IF(VLOOKUP(A77,'DB Country PMI'!$A:$V,MATCH($A$1,'DB Country PMI'!$A$1:$V$1,),)=0,#N/A,VLOOKUP(A77,'DB Country PMI'!$A:$V,MATCH($A$1,'DB Country PMI'!$A$1:$V$1,),))</f>
        <v>50.9</v>
      </c>
      <c r="C77" s="14">
        <f>Table1346811[[#This Row],[PMI]]-B76</f>
        <v>0.19999999999999574</v>
      </c>
    </row>
    <row r="78" spans="1:3" x14ac:dyDescent="0.2">
      <c r="A78" s="8">
        <v>43739</v>
      </c>
      <c r="B78" s="11">
        <f>IF(VLOOKUP(A78,'DB Country PMI'!$A:$V,MATCH($A$1,'DB Country PMI'!$A$1:$V$1,),)=0,#N/A,VLOOKUP(A78,'DB Country PMI'!$A:$V,MATCH($A$1,'DB Country PMI'!$A$1:$V$1,),))</f>
        <v>50.6</v>
      </c>
      <c r="C78" s="14">
        <f>Table1346811[[#This Row],[PMI]]-B77</f>
        <v>-0.29999999999999716</v>
      </c>
    </row>
    <row r="79" spans="1:3" x14ac:dyDescent="0.2">
      <c r="A79" s="8">
        <v>43770</v>
      </c>
      <c r="B79" s="11">
        <f>IF(VLOOKUP(A79,'DB Country PMI'!$A:$V,MATCH($A$1,'DB Country PMI'!$A$1:$V$1,),)=0,#N/A,VLOOKUP(A79,'DB Country PMI'!$A:$V,MATCH($A$1,'DB Country PMI'!$A$1:$V$1,),))</f>
        <v>51.6</v>
      </c>
      <c r="C79" s="14">
        <f>Table1346811[[#This Row],[PMI]]-B78</f>
        <v>1</v>
      </c>
    </row>
    <row r="80" spans="1:3" x14ac:dyDescent="0.2">
      <c r="A80" s="8">
        <v>43800</v>
      </c>
      <c r="B80" s="11">
        <f>IF(VLOOKUP(A80,'DB Country PMI'!$A:$V,MATCH($A$1,'DB Country PMI'!$A$1:$V$1,),)=0,#N/A,VLOOKUP(A80,'DB Country PMI'!$A:$V,MATCH($A$1,'DB Country PMI'!$A$1:$V$1,),))</f>
        <v>52.8</v>
      </c>
      <c r="C80" s="14">
        <f>Table1346811[[#This Row],[PMI]]-B79</f>
        <v>1.1999999999999957</v>
      </c>
    </row>
    <row r="81" spans="1:3" x14ac:dyDescent="0.2">
      <c r="A81" s="8">
        <v>43831</v>
      </c>
      <c r="B81" s="11">
        <f>IF(VLOOKUP(A81,'DB Country PMI'!$A:$V,MATCH($A$1,'DB Country PMI'!$A$1:$V$1,),)=0,#N/A,VLOOKUP(A81,'DB Country PMI'!$A:$V,MATCH($A$1,'DB Country PMI'!$A$1:$V$1,),))</f>
        <v>53.4</v>
      </c>
      <c r="C81" s="14">
        <f>Table1346811[[#This Row],[PMI]]-B80</f>
        <v>0.60000000000000142</v>
      </c>
    </row>
    <row r="82" spans="1:3" x14ac:dyDescent="0.2">
      <c r="A82" s="8">
        <v>43862</v>
      </c>
      <c r="B82" s="11">
        <f>IF(VLOOKUP(A82,'DB Country PMI'!$A:$V,MATCH($A$1,'DB Country PMI'!$A$1:$V$1,),)=0,#N/A,VLOOKUP(A82,'DB Country PMI'!$A:$V,MATCH($A$1,'DB Country PMI'!$A$1:$V$1,),))</f>
        <v>49.4</v>
      </c>
      <c r="C82" s="14">
        <f>Table1346811[[#This Row],[PMI]]-B81</f>
        <v>-4</v>
      </c>
    </row>
    <row r="83" spans="1:3" x14ac:dyDescent="0.2">
      <c r="A83" s="8">
        <v>43891</v>
      </c>
      <c r="B83" s="11">
        <f>IF(VLOOKUP(A83,'DB Country PMI'!$A:$V,MATCH($A$1,'DB Country PMI'!$A$1:$V$1,),)=0,#N/A,VLOOKUP(A83,'DB Country PMI'!$A:$V,MATCH($A$1,'DB Country PMI'!$A$1:$V$1,),))</f>
        <v>39.799999999999997</v>
      </c>
      <c r="C83" s="14">
        <f>Table1346811[[#This Row],[PMI]]-B82</f>
        <v>-9.6000000000000014</v>
      </c>
    </row>
    <row r="84" spans="1:3" x14ac:dyDescent="0.2">
      <c r="A84" s="8">
        <v>43922</v>
      </c>
      <c r="B84" s="11">
        <f>IF(VLOOKUP(A84,'DB Country PMI'!$A:$V,MATCH($A$1,'DB Country PMI'!$A$1:$V$1,),)=0,#N/A,VLOOKUP(A84,'DB Country PMI'!$A:$V,MATCH($A$1,'DB Country PMI'!$A$1:$V$1,),))</f>
        <v>26.7</v>
      </c>
      <c r="C84" s="14">
        <f>Table1346811[[#This Row],[PMI]]-B83</f>
        <v>-13.099999999999998</v>
      </c>
    </row>
    <row r="85" spans="1:3" x14ac:dyDescent="0.2">
      <c r="A85" s="8">
        <v>43952</v>
      </c>
      <c r="B85" s="11">
        <f>IF(VLOOKUP(A85,'DB Country PMI'!$A:$V,MATCH($A$1,'DB Country PMI'!$A$1:$V$1,),)=0,#N/A,VLOOKUP(A85,'DB Country PMI'!$A:$V,MATCH($A$1,'DB Country PMI'!$A$1:$V$1,),))</f>
        <v>37.5</v>
      </c>
      <c r="C85" s="14">
        <f>Table1346811[[#This Row],[PMI]]-B84</f>
        <v>10.8</v>
      </c>
    </row>
    <row r="86" spans="1:3" x14ac:dyDescent="0.2">
      <c r="A86" s="8">
        <v>43983</v>
      </c>
      <c r="B86" s="11">
        <f>IF(VLOOKUP(A86,'DB Country PMI'!$A:$V,MATCH($A$1,'DB Country PMI'!$A$1:$V$1,),)=0,#N/A,VLOOKUP(A86,'DB Country PMI'!$A:$V,MATCH($A$1,'DB Country PMI'!$A$1:$V$1,),))</f>
        <v>47.9</v>
      </c>
      <c r="C86" s="14">
        <f>Table1346811[[#This Row],[PMI]]-B85</f>
        <v>10.399999999999999</v>
      </c>
    </row>
    <row r="87" spans="1:3" x14ac:dyDescent="0.2">
      <c r="A87" s="8">
        <v>44013</v>
      </c>
      <c r="B87" s="11">
        <f>IF(VLOOKUP(A87,'DB Country PMI'!$A:$V,MATCH($A$1,'DB Country PMI'!$A$1:$V$1,),)=0,#N/A,VLOOKUP(A87,'DB Country PMI'!$A:$V,MATCH($A$1,'DB Country PMI'!$A$1:$V$1,),))</f>
        <v>50</v>
      </c>
      <c r="C87" s="14">
        <f>Table1346811[[#This Row],[PMI]]-B86</f>
        <v>2.1000000000000014</v>
      </c>
    </row>
    <row r="88" spans="1:3" x14ac:dyDescent="0.2">
      <c r="A88" s="8">
        <v>44044</v>
      </c>
      <c r="B88" s="11">
        <f>IF(VLOOKUP(A88,'DB Country PMI'!$A:$V,MATCH($A$1,'DB Country PMI'!$A$1:$V$1,),)=0,#N/A,VLOOKUP(A88,'DB Country PMI'!$A:$V,MATCH($A$1,'DB Country PMI'!$A$1:$V$1,),))</f>
        <v>55</v>
      </c>
      <c r="C88" s="14">
        <f>Table1346811[[#This Row],[PMI]]-B87</f>
        <v>5</v>
      </c>
    </row>
    <row r="89" spans="1:3" x14ac:dyDescent="0.2">
      <c r="A89" s="8">
        <v>44075</v>
      </c>
      <c r="B89" s="11">
        <f>IF(VLOOKUP(A89,'DB Country PMI'!$A:$V,MATCH($A$1,'DB Country PMI'!$A$1:$V$1,),)=0,#N/A,VLOOKUP(A89,'DB Country PMI'!$A:$V,MATCH($A$1,'DB Country PMI'!$A$1:$V$1,),))</f>
        <v>54.6</v>
      </c>
      <c r="C89" s="14">
        <f>Table1346811[[#This Row],[PMI]]-B88</f>
        <v>-0.39999999999999858</v>
      </c>
    </row>
    <row r="90" spans="1:3" x14ac:dyDescent="0.2">
      <c r="A90" s="8">
        <v>44105</v>
      </c>
      <c r="B90" s="11">
        <f>IF(VLOOKUP(A90,'DB Country PMI'!$A:$V,MATCH($A$1,'DB Country PMI'!$A$1:$V$1,),)=0,#N/A,VLOOKUP(A90,'DB Country PMI'!$A:$V,MATCH($A$1,'DB Country PMI'!$A$1:$V$1,),))</f>
        <v>56.9</v>
      </c>
      <c r="C90" s="14">
        <f>Table1346811[[#This Row],[PMI]]-B89</f>
        <v>2.2999999999999972</v>
      </c>
    </row>
    <row r="91" spans="1:3" x14ac:dyDescent="0.2">
      <c r="A91" s="8">
        <v>44136</v>
      </c>
      <c r="B91" s="11">
        <f>IF(VLOOKUP(A91,'DB Country PMI'!$A:$V,MATCH($A$1,'DB Country PMI'!$A$1:$V$1,),)=0,#N/A,VLOOKUP(A91,'DB Country PMI'!$A:$V,MATCH($A$1,'DB Country PMI'!$A$1:$V$1,),))</f>
        <v>58.4</v>
      </c>
      <c r="C91" s="14">
        <f>Table1346811[[#This Row],[PMI]]-B90</f>
        <v>1.5</v>
      </c>
    </row>
    <row r="92" spans="1:3" x14ac:dyDescent="0.2">
      <c r="A92" s="8">
        <v>44166</v>
      </c>
      <c r="B92" s="11">
        <f>IF(VLOOKUP(A92,'DB Country PMI'!$A:$V,MATCH($A$1,'DB Country PMI'!$A$1:$V$1,),)=0,#N/A,VLOOKUP(A92,'DB Country PMI'!$A:$V,MATCH($A$1,'DB Country PMI'!$A$1:$V$1,),))</f>
        <v>54.8</v>
      </c>
      <c r="C92" s="14">
        <f>Table1346811[[#This Row],[PMI]]-B91</f>
        <v>-3.6000000000000014</v>
      </c>
    </row>
    <row r="93" spans="1:3" x14ac:dyDescent="0.2">
      <c r="A93" s="8">
        <v>44197</v>
      </c>
      <c r="B93" s="11">
        <f>IF(VLOOKUP(A93,'DB Country PMI'!$A:$V,MATCH($A$1,'DB Country PMI'!$A$1:$V$1,),)=0,#N/A,VLOOKUP(A93,'DB Country PMI'!$A:$V,MATCH($A$1,'DB Country PMI'!$A$1:$V$1,),))</f>
        <v>58.3</v>
      </c>
      <c r="C93" s="14">
        <f>Table1346811[[#This Row],[PMI]]-B92</f>
        <v>3.5</v>
      </c>
    </row>
    <row r="94" spans="1:3" x14ac:dyDescent="0.2">
      <c r="A94" s="8">
        <v>44228</v>
      </c>
      <c r="B94" s="11">
        <f>IF(VLOOKUP(A94,'DB Country PMI'!$A:$V,MATCH($A$1,'DB Country PMI'!$A$1:$V$1,),)=0,#N/A,VLOOKUP(A94,'DB Country PMI'!$A:$V,MATCH($A$1,'DB Country PMI'!$A$1:$V$1,),))</f>
        <v>59.8</v>
      </c>
      <c r="C94" s="14">
        <f>Table1346811[[#This Row],[PMI]]-B93</f>
        <v>1.5</v>
      </c>
    </row>
    <row r="95" spans="1:3" x14ac:dyDescent="0.2">
      <c r="A95" s="8">
        <v>44256</v>
      </c>
      <c r="B95" s="11">
        <f>IF(VLOOKUP(A95,'DB Country PMI'!$A:$V,MATCH($A$1,'DB Country PMI'!$A$1:$V$1,),)=0,#N/A,VLOOKUP(A95,'DB Country PMI'!$A:$V,MATCH($A$1,'DB Country PMI'!$A$1:$V$1,),))</f>
        <v>60.4</v>
      </c>
      <c r="C95" s="14">
        <f>Table1346811[[#This Row],[PMI]]-B94</f>
        <v>0.60000000000000142</v>
      </c>
    </row>
    <row r="96" spans="1:3" x14ac:dyDescent="0.2">
      <c r="A96" s="8">
        <v>44287</v>
      </c>
      <c r="B96" s="11">
        <f>IF(VLOOKUP(A96,'DB Country PMI'!$A:$V,MATCH($A$1,'DB Country PMI'!$A$1:$V$1,),)=0,#N/A,VLOOKUP(A96,'DB Country PMI'!$A:$V,MATCH($A$1,'DB Country PMI'!$A$1:$V$1,),))</f>
        <v>64.7</v>
      </c>
      <c r="C96" s="14">
        <f>Table1346811[[#This Row],[PMI]]-B95</f>
        <v>4.3000000000000043</v>
      </c>
    </row>
    <row r="97" spans="1:3" x14ac:dyDescent="0.2">
      <c r="A97" s="8">
        <v>44317</v>
      </c>
      <c r="B97" s="11">
        <f>IF(VLOOKUP(A97,'DB Country PMI'!$A:$V,MATCH($A$1,'DB Country PMI'!$A$1:$V$1,),)=0,#N/A,VLOOKUP(A97,'DB Country PMI'!$A:$V,MATCH($A$1,'DB Country PMI'!$A$1:$V$1,),))</f>
        <v>70.400000000000006</v>
      </c>
      <c r="C97" s="14">
        <f>Table1346811[[#This Row],[PMI]]-B96</f>
        <v>5.7000000000000028</v>
      </c>
    </row>
    <row r="98" spans="1:3" x14ac:dyDescent="0.2">
      <c r="A98" s="8">
        <v>44348</v>
      </c>
      <c r="B98" s="11">
        <f>IF(VLOOKUP(A98,'DB Country PMI'!$A:$V,MATCH($A$1,'DB Country PMI'!$A$1:$V$1,),)=0,#N/A,VLOOKUP(A98,'DB Country PMI'!$A:$V,MATCH($A$1,'DB Country PMI'!$A$1:$V$1,),))</f>
        <v>64.599999999999994</v>
      </c>
      <c r="C98" s="14">
        <f>Table1346811[[#This Row],[PMI]]-B97</f>
        <v>-5.8000000000000114</v>
      </c>
    </row>
    <row r="99" spans="1:3" x14ac:dyDescent="0.2">
      <c r="A99" s="8">
        <v>44378</v>
      </c>
      <c r="B99" s="11">
        <f>IF(VLOOKUP(A99,'DB Country PMI'!$A:$V,MATCH($A$1,'DB Country PMI'!$A$1:$V$1,),)=0,#N/A,VLOOKUP(A99,'DB Country PMI'!$A:$V,MATCH($A$1,'DB Country PMI'!$A$1:$V$1,),))</f>
        <v>59.9</v>
      </c>
      <c r="C99" s="14">
        <f>Table1346811[[#This Row],[PMI]]-B98</f>
        <v>-4.6999999999999957</v>
      </c>
    </row>
    <row r="100" spans="1:3" x14ac:dyDescent="0.2">
      <c r="A100" s="8">
        <v>44409</v>
      </c>
      <c r="B100" s="11">
        <f>IF(VLOOKUP(A100,'DB Country PMI'!$A:$V,MATCH($A$1,'DB Country PMI'!$A$1:$V$1,),)=0,#N/A,VLOOKUP(A100,'DB Country PMI'!$A:$V,MATCH($A$1,'DB Country PMI'!$A$1:$V$1,),))</f>
        <v>55.1</v>
      </c>
      <c r="C100" s="14">
        <f>Table1346811[[#This Row],[PMI]]-B99</f>
        <v>-4.7999999999999972</v>
      </c>
    </row>
    <row r="101" spans="1:3" x14ac:dyDescent="0.2">
      <c r="A101" s="8">
        <v>44440</v>
      </c>
      <c r="B101" s="11">
        <f>IF(VLOOKUP(A101,'DB Country PMI'!$A:$V,MATCH($A$1,'DB Country PMI'!$A$1:$V$1,),)=0,#N/A,VLOOKUP(A101,'DB Country PMI'!$A:$V,MATCH($A$1,'DB Country PMI'!$A$1:$V$1,),))</f>
        <v>54.9</v>
      </c>
      <c r="C101" s="14">
        <f>Table1346811[[#This Row],[PMI]]-B100</f>
        <v>-0.20000000000000284</v>
      </c>
    </row>
    <row r="102" spans="1:3" x14ac:dyDescent="0.2">
      <c r="A102" s="8">
        <v>44470</v>
      </c>
      <c r="B102" s="11">
        <f>IF(VLOOKUP(A102,'DB Country PMI'!$A:$V,MATCH($A$1,'DB Country PMI'!$A$1:$V$1,),)=0,#N/A,VLOOKUP(A102,'DB Country PMI'!$A:$V,MATCH($A$1,'DB Country PMI'!$A$1:$V$1,),))</f>
        <v>58.7</v>
      </c>
      <c r="C102" s="14">
        <f>Table1346811[[#This Row],[PMI]]-B101</f>
        <v>3.8000000000000043</v>
      </c>
    </row>
    <row r="103" spans="1:3" x14ac:dyDescent="0.2">
      <c r="A103" s="8">
        <v>44501</v>
      </c>
      <c r="B103" s="11">
        <f>IF(VLOOKUP(A103,'DB Country PMI'!$A:$V,MATCH($A$1,'DB Country PMI'!$A$1:$V$1,),)=0,#N/A,VLOOKUP(A103,'DB Country PMI'!$A:$V,MATCH($A$1,'DB Country PMI'!$A$1:$V$1,),))</f>
        <v>58</v>
      </c>
      <c r="C103" s="14">
        <f>Table1346811[[#This Row],[PMI]]-B102</f>
        <v>-0.70000000000000284</v>
      </c>
    </row>
    <row r="104" spans="1:3" x14ac:dyDescent="0.2">
      <c r="A104" s="8">
        <v>44531</v>
      </c>
      <c r="B104" s="11">
        <f>IF(VLOOKUP(A104,'DB Country PMI'!$A:$V,MATCH($A$1,'DB Country PMI'!$A$1:$V$1,),)=0,#N/A,VLOOKUP(A104,'DB Country PMI'!$A:$V,MATCH($A$1,'DB Country PMI'!$A$1:$V$1,),))</f>
        <v>57.6</v>
      </c>
      <c r="C104" s="14">
        <f>Table1346811[[#This Row],[PMI]]-B103</f>
        <v>-0.39999999999999858</v>
      </c>
    </row>
    <row r="105" spans="1:3" x14ac:dyDescent="0.2">
      <c r="A105" s="8">
        <v>44562</v>
      </c>
      <c r="B105" s="11">
        <f>IF(VLOOKUP(A105,'DB Country PMI'!$A:$V,MATCH($A$1,'DB Country PMI'!$A$1:$V$1,),)=0,#N/A,VLOOKUP(A105,'DB Country PMI'!$A:$V,MATCH($A$1,'DB Country PMI'!$A$1:$V$1,),))</f>
        <v>51.2</v>
      </c>
      <c r="C105" s="14">
        <f>Table1346811[[#This Row],[PMI]]-B104</f>
        <v>-6.3999999999999986</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35</v>
      </c>
      <c r="J1" s="47" t="s">
        <v>61</v>
      </c>
    </row>
    <row r="2" spans="1:10" x14ac:dyDescent="0.2">
      <c r="J2" s="47" t="s">
        <v>63</v>
      </c>
    </row>
    <row r="4" spans="1:10" ht="16" customHeight="1" thickBot="1" x14ac:dyDescent="0.25"/>
    <row r="5" spans="1:10" ht="16" customHeight="1" thickBot="1" x14ac:dyDescent="0.25">
      <c r="A5" s="12" t="s">
        <v>33</v>
      </c>
      <c r="B5" s="13" t="s">
        <v>59</v>
      </c>
      <c r="C5" s="13" t="s">
        <v>60</v>
      </c>
    </row>
    <row r="6" spans="1:10" x14ac:dyDescent="0.2">
      <c r="A6" s="10">
        <v>39264</v>
      </c>
      <c r="B6" s="11">
        <f>IF(VLOOKUP(A6,'DB Country PMI'!$A:$V,MATCH($A$1,'DB Country PMI'!$A$1:$V$1,),)=0,#N/A,VLOOKUP(A6,'DB Country PMI'!$A:$V,MATCH($A$1,'DB Country PMI'!$A$1:$V$1,),))</f>
        <v>58.3</v>
      </c>
      <c r="C6" s="11"/>
    </row>
    <row r="7" spans="1:10" x14ac:dyDescent="0.2">
      <c r="A7" s="8">
        <v>39295</v>
      </c>
      <c r="B7" s="11">
        <f>IF(VLOOKUP(A7,'DB Country PMI'!$A:$V,MATCH($A$1,'DB Country PMI'!$A$1:$V$1,),)=0,#N/A,VLOOKUP(A7,'DB Country PMI'!$A:$V,MATCH($A$1,'DB Country PMI'!$A$1:$V$1,),))</f>
        <v>58</v>
      </c>
      <c r="C7" s="14">
        <f>Table13468113[[#This Row],[PMI]]-B6</f>
        <v>-0.29999999999999716</v>
      </c>
    </row>
    <row r="8" spans="1:10" x14ac:dyDescent="0.2">
      <c r="A8" s="8">
        <v>39326</v>
      </c>
      <c r="B8" s="11">
        <f>IF(VLOOKUP(A8,'DB Country PMI'!$A:$V,MATCH($A$1,'DB Country PMI'!$A$1:$V$1,),)=0,#N/A,VLOOKUP(A8,'DB Country PMI'!$A:$V,MATCH($A$1,'DB Country PMI'!$A$1:$V$1,),))</f>
        <v>54.2</v>
      </c>
      <c r="C8" s="14">
        <f>Table13468113[[#This Row],[PMI]]-B7</f>
        <v>-3.7999999999999972</v>
      </c>
    </row>
    <row r="9" spans="1:10" x14ac:dyDescent="0.2">
      <c r="A9" s="8">
        <v>39356</v>
      </c>
      <c r="B9" s="11">
        <f>IF(VLOOKUP(A9,'DB Country PMI'!$A:$V,MATCH($A$1,'DB Country PMI'!$A$1:$V$1,),)=0,#N/A,VLOOKUP(A9,'DB Country PMI'!$A:$V,MATCH($A$1,'DB Country PMI'!$A$1:$V$1,),))</f>
        <v>55.8</v>
      </c>
      <c r="C9" s="14">
        <f>Table13468113[[#This Row],[PMI]]-B8</f>
        <v>1.5999999999999943</v>
      </c>
    </row>
    <row r="10" spans="1:10" x14ac:dyDescent="0.2">
      <c r="A10" s="8">
        <v>39387</v>
      </c>
      <c r="B10" s="11">
        <f>IF(VLOOKUP(A10,'DB Country PMI'!$A:$V,MATCH($A$1,'DB Country PMI'!$A$1:$V$1,),)=0,#N/A,VLOOKUP(A10,'DB Country PMI'!$A:$V,MATCH($A$1,'DB Country PMI'!$A$1:$V$1,),))</f>
        <v>54.1</v>
      </c>
      <c r="C10" s="14">
        <f>Table13468113[[#This Row],[PMI]]-B9</f>
        <v>-1.6999999999999957</v>
      </c>
    </row>
    <row r="11" spans="1:10" x14ac:dyDescent="0.2">
      <c r="A11" s="8">
        <v>39417</v>
      </c>
      <c r="B11" s="11">
        <f>IF(VLOOKUP(A11,'DB Country PMI'!$A:$V,MATCH($A$1,'DB Country PMI'!$A$1:$V$1,),)=0,#N/A,VLOOKUP(A11,'DB Country PMI'!$A:$V,MATCH($A$1,'DB Country PMI'!$A$1:$V$1,),))</f>
        <v>53.1</v>
      </c>
      <c r="C11" s="14">
        <f>Table13468113[[#This Row],[PMI]]-B10</f>
        <v>-1</v>
      </c>
    </row>
    <row r="12" spans="1:10" x14ac:dyDescent="0.2">
      <c r="A12" s="8">
        <v>39448</v>
      </c>
      <c r="B12" s="11">
        <f>IF(VLOOKUP(A12,'DB Country PMI'!$A:$V,MATCH($A$1,'DB Country PMI'!$A$1:$V$1,),)=0,#N/A,VLOOKUP(A12,'DB Country PMI'!$A:$V,MATCH($A$1,'DB Country PMI'!$A$1:$V$1,),))</f>
        <v>50.6</v>
      </c>
      <c r="C12" s="14">
        <f>Table13468113[[#This Row],[PMI]]-B11</f>
        <v>-2.5</v>
      </c>
    </row>
    <row r="13" spans="1:10" x14ac:dyDescent="0.2">
      <c r="A13" s="8">
        <v>39479</v>
      </c>
      <c r="B13" s="11">
        <f>IF(VLOOKUP(A13,'DB Country PMI'!$A:$V,MATCH($A$1,'DB Country PMI'!$A$1:$V$1,),)=0,#N/A,VLOOKUP(A13,'DB Country PMI'!$A:$V,MATCH($A$1,'DB Country PMI'!$A$1:$V$1,),))</f>
        <v>51.7</v>
      </c>
      <c r="C13" s="14">
        <f>Table13468113[[#This Row],[PMI]]-B12</f>
        <v>1.1000000000000014</v>
      </c>
    </row>
    <row r="14" spans="1:10" x14ac:dyDescent="0.2">
      <c r="A14" s="8">
        <v>39508</v>
      </c>
      <c r="B14" s="11">
        <f>IF(VLOOKUP(A14,'DB Country PMI'!$A:$V,MATCH($A$1,'DB Country PMI'!$A$1:$V$1,),)=0,#N/A,VLOOKUP(A14,'DB Country PMI'!$A:$V,MATCH($A$1,'DB Country PMI'!$A$1:$V$1,),))</f>
        <v>51.6</v>
      </c>
      <c r="C14" s="14">
        <f>Table13468113[[#This Row],[PMI]]-B13</f>
        <v>-0.10000000000000142</v>
      </c>
    </row>
    <row r="15" spans="1:10" x14ac:dyDescent="0.2">
      <c r="A15" s="8">
        <v>39539</v>
      </c>
      <c r="B15" s="11">
        <f>IF(VLOOKUP(A15,'DB Country PMI'!$A:$V,MATCH($A$1,'DB Country PMI'!$A$1:$V$1,),)=0,#N/A,VLOOKUP(A15,'DB Country PMI'!$A:$V,MATCH($A$1,'DB Country PMI'!$A$1:$V$1,),))</f>
        <v>52</v>
      </c>
      <c r="C15" s="14">
        <f>Table13468113[[#This Row],[PMI]]-B14</f>
        <v>0.39999999999999858</v>
      </c>
    </row>
    <row r="16" spans="1:10" x14ac:dyDescent="0.2">
      <c r="A16" s="8">
        <v>39569</v>
      </c>
      <c r="B16" s="11">
        <f>IF(VLOOKUP(A16,'DB Country PMI'!$A:$V,MATCH($A$1,'DB Country PMI'!$A$1:$V$1,),)=0,#N/A,VLOOKUP(A16,'DB Country PMI'!$A:$V,MATCH($A$1,'DB Country PMI'!$A$1:$V$1,),))</f>
        <v>50.6</v>
      </c>
      <c r="C16" s="14">
        <f>Table13468113[[#This Row],[PMI]]-B15</f>
        <v>-1.3999999999999986</v>
      </c>
    </row>
    <row r="17" spans="1:3" x14ac:dyDescent="0.2">
      <c r="A17" s="8">
        <v>39600</v>
      </c>
      <c r="B17" s="11">
        <f>IF(VLOOKUP(A17,'DB Country PMI'!$A:$V,MATCH($A$1,'DB Country PMI'!$A$1:$V$1,),)=0,#N/A,VLOOKUP(A17,'DB Country PMI'!$A:$V,MATCH($A$1,'DB Country PMI'!$A$1:$V$1,),))</f>
        <v>49.1</v>
      </c>
      <c r="C17" s="14">
        <f>Table13468113[[#This Row],[PMI]]-B16</f>
        <v>-1.5</v>
      </c>
    </row>
    <row r="18" spans="1:3" x14ac:dyDescent="0.2">
      <c r="A18" s="8">
        <v>39630</v>
      </c>
      <c r="B18" s="11">
        <f>IF(VLOOKUP(A18,'DB Country PMI'!$A:$V,MATCH($A$1,'DB Country PMI'!$A$1:$V$1,),)=0,#N/A,VLOOKUP(A18,'DB Country PMI'!$A:$V,MATCH($A$1,'DB Country PMI'!$A$1:$V$1,),))</f>
        <v>48.3</v>
      </c>
      <c r="C18" s="14">
        <f>Table13468113[[#This Row],[PMI]]-B17</f>
        <v>-0.80000000000000426</v>
      </c>
    </row>
    <row r="19" spans="1:3" x14ac:dyDescent="0.2">
      <c r="A19" s="8">
        <v>39661</v>
      </c>
      <c r="B19" s="11">
        <f>IF(VLOOKUP(A19,'DB Country PMI'!$A:$V,MATCH($A$1,'DB Country PMI'!$A$1:$V$1,),)=0,#N/A,VLOOKUP(A19,'DB Country PMI'!$A:$V,MATCH($A$1,'DB Country PMI'!$A$1:$V$1,),))</f>
        <v>48.5</v>
      </c>
      <c r="C19" s="14">
        <f>Table13468113[[#This Row],[PMI]]-B18</f>
        <v>0.20000000000000284</v>
      </c>
    </row>
    <row r="20" spans="1:3" x14ac:dyDescent="0.2">
      <c r="A20" s="8">
        <v>39692</v>
      </c>
      <c r="B20" s="11">
        <f>IF(VLOOKUP(A20,'DB Country PMI'!$A:$V,MATCH($A$1,'DB Country PMI'!$A$1:$V$1,),)=0,#N/A,VLOOKUP(A20,'DB Country PMI'!$A:$V,MATCH($A$1,'DB Country PMI'!$A$1:$V$1,),))</f>
        <v>48.4</v>
      </c>
      <c r="C20" s="14">
        <f>Table13468113[[#This Row],[PMI]]-B19</f>
        <v>-0.10000000000000142</v>
      </c>
    </row>
    <row r="21" spans="1:3" x14ac:dyDescent="0.2">
      <c r="A21" s="8">
        <v>39722</v>
      </c>
      <c r="B21" s="11">
        <f>IF(VLOOKUP(A21,'DB Country PMI'!$A:$V,MATCH($A$1,'DB Country PMI'!$A$1:$V$1,),)=0,#N/A,VLOOKUP(A21,'DB Country PMI'!$A:$V,MATCH($A$1,'DB Country PMI'!$A$1:$V$1,),))</f>
        <v>45.8</v>
      </c>
      <c r="C21" s="14">
        <f>Table13468113[[#This Row],[PMI]]-B20</f>
        <v>-2.6000000000000014</v>
      </c>
    </row>
    <row r="22" spans="1:3" x14ac:dyDescent="0.2">
      <c r="A22" s="8">
        <v>39753</v>
      </c>
      <c r="B22" s="11">
        <f>IF(VLOOKUP(A22,'DB Country PMI'!$A:$V,MATCH($A$1,'DB Country PMI'!$A$1:$V$1,),)=0,#N/A,VLOOKUP(A22,'DB Country PMI'!$A:$V,MATCH($A$1,'DB Country PMI'!$A$1:$V$1,),))</f>
        <v>42.5</v>
      </c>
      <c r="C22" s="14">
        <f>Table13468113[[#This Row],[PMI]]-B21</f>
        <v>-3.2999999999999972</v>
      </c>
    </row>
    <row r="23" spans="1:3" x14ac:dyDescent="0.2">
      <c r="A23" s="8">
        <v>39783</v>
      </c>
      <c r="B23" s="11">
        <f>IF(VLOOKUP(A23,'DB Country PMI'!$A:$V,MATCH($A$1,'DB Country PMI'!$A$1:$V$1,),)=0,#N/A,VLOOKUP(A23,'DB Country PMI'!$A:$V,MATCH($A$1,'DB Country PMI'!$A$1:$V$1,),))</f>
        <v>42.3</v>
      </c>
      <c r="C23" s="14">
        <f>Table13468113[[#This Row],[PMI]]-B22</f>
        <v>-0.20000000000000284</v>
      </c>
    </row>
    <row r="24" spans="1:3" x14ac:dyDescent="0.2">
      <c r="A24" s="8">
        <v>39814</v>
      </c>
      <c r="B24" s="11">
        <f>IF(VLOOKUP(A24,'DB Country PMI'!$A:$V,MATCH($A$1,'DB Country PMI'!$A$1:$V$1,),)=0,#N/A,VLOOKUP(A24,'DB Country PMI'!$A:$V,MATCH($A$1,'DB Country PMI'!$A$1:$V$1,),))</f>
        <v>42.2</v>
      </c>
      <c r="C24" s="14">
        <f>Table13468113[[#This Row],[PMI]]-B23</f>
        <v>-9.9999999999994316E-2</v>
      </c>
    </row>
    <row r="25" spans="1:3" x14ac:dyDescent="0.2">
      <c r="A25" s="8">
        <v>39845</v>
      </c>
      <c r="B25" s="11">
        <f>IF(VLOOKUP(A25,'DB Country PMI'!$A:$V,MATCH($A$1,'DB Country PMI'!$A$1:$V$1,),)=0,#N/A,VLOOKUP(A25,'DB Country PMI'!$A:$V,MATCH($A$1,'DB Country PMI'!$A$1:$V$1,),))</f>
        <v>39.200000000000003</v>
      </c>
      <c r="C25" s="14">
        <f>Table13468113[[#This Row],[PMI]]-B24</f>
        <v>-3</v>
      </c>
    </row>
    <row r="26" spans="1:3" x14ac:dyDescent="0.2">
      <c r="A26" s="8">
        <v>39873</v>
      </c>
      <c r="B26" s="11">
        <f>IF(VLOOKUP(A26,'DB Country PMI'!$A:$V,MATCH($A$1,'DB Country PMI'!$A$1:$V$1,),)=0,#N/A,VLOOKUP(A26,'DB Country PMI'!$A:$V,MATCH($A$1,'DB Country PMI'!$A$1:$V$1,),))</f>
        <v>40.9</v>
      </c>
      <c r="C26" s="14">
        <f>Table13468113[[#This Row],[PMI]]-B25</f>
        <v>1.6999999999999957</v>
      </c>
    </row>
    <row r="27" spans="1:3" x14ac:dyDescent="0.2">
      <c r="A27" s="8">
        <v>39904</v>
      </c>
      <c r="B27" s="11">
        <f>IF(VLOOKUP(A27,'DB Country PMI'!$A:$V,MATCH($A$1,'DB Country PMI'!$A$1:$V$1,),)=0,#N/A,VLOOKUP(A27,'DB Country PMI'!$A:$V,MATCH($A$1,'DB Country PMI'!$A$1:$V$1,),))</f>
        <v>43.8</v>
      </c>
      <c r="C27" s="14">
        <f>Table13468113[[#This Row],[PMI]]-B26</f>
        <v>2.8999999999999986</v>
      </c>
    </row>
    <row r="28" spans="1:3" x14ac:dyDescent="0.2">
      <c r="A28" s="8">
        <v>39934</v>
      </c>
      <c r="B28" s="11">
        <f>IF(VLOOKUP(A28,'DB Country PMI'!$A:$V,MATCH($A$1,'DB Country PMI'!$A$1:$V$1,),)=0,#N/A,VLOOKUP(A28,'DB Country PMI'!$A:$V,MATCH($A$1,'DB Country PMI'!$A$1:$V$1,),))</f>
        <v>44.8</v>
      </c>
      <c r="C28" s="14">
        <f>Table13468113[[#This Row],[PMI]]-B27</f>
        <v>1</v>
      </c>
    </row>
    <row r="29" spans="1:3" x14ac:dyDescent="0.2">
      <c r="A29" s="8">
        <v>39965</v>
      </c>
      <c r="B29" s="11">
        <f>IF(VLOOKUP(A29,'DB Country PMI'!$A:$V,MATCH($A$1,'DB Country PMI'!$A$1:$V$1,),)=0,#N/A,VLOOKUP(A29,'DB Country PMI'!$A:$V,MATCH($A$1,'DB Country PMI'!$A$1:$V$1,),))</f>
        <v>44.7</v>
      </c>
      <c r="C29" s="14">
        <f>Table13468113[[#This Row],[PMI]]-B28</f>
        <v>-9.9999999999994316E-2</v>
      </c>
    </row>
    <row r="30" spans="1:3" x14ac:dyDescent="0.2">
      <c r="A30" s="8">
        <v>39995</v>
      </c>
      <c r="B30" s="11">
        <f>IF(VLOOKUP(A30,'DB Country PMI'!$A:$V,MATCH($A$1,'DB Country PMI'!$A$1:$V$1,),)=0,#N/A,VLOOKUP(A30,'DB Country PMI'!$A:$V,MATCH($A$1,'DB Country PMI'!$A$1:$V$1,),))</f>
        <v>45.7</v>
      </c>
      <c r="C30" s="14">
        <f>Table13468113[[#This Row],[PMI]]-B29</f>
        <v>1</v>
      </c>
    </row>
    <row r="31" spans="1:3" x14ac:dyDescent="0.2">
      <c r="A31" s="8">
        <v>40026</v>
      </c>
      <c r="B31" s="11">
        <f>IF(VLOOKUP(A31,'DB Country PMI'!$A:$V,MATCH($A$1,'DB Country PMI'!$A$1:$V$1,),)=0,#N/A,VLOOKUP(A31,'DB Country PMI'!$A:$V,MATCH($A$1,'DB Country PMI'!$A$1:$V$1,),))</f>
        <v>49.9</v>
      </c>
      <c r="C31" s="14">
        <f>Table13468113[[#This Row],[PMI]]-B30</f>
        <v>4.1999999999999957</v>
      </c>
    </row>
    <row r="32" spans="1:3" x14ac:dyDescent="0.2">
      <c r="A32" s="8">
        <v>40057</v>
      </c>
      <c r="B32" s="11">
        <f>IF(VLOOKUP(A32,'DB Country PMI'!$A:$V,MATCH($A$1,'DB Country PMI'!$A$1:$V$1,),)=0,#N/A,VLOOKUP(A32,'DB Country PMI'!$A:$V,MATCH($A$1,'DB Country PMI'!$A$1:$V$1,),))</f>
        <v>50.9</v>
      </c>
      <c r="C32" s="14">
        <f>Table13468113[[#This Row],[PMI]]-B31</f>
        <v>1</v>
      </c>
    </row>
    <row r="33" spans="1:3" x14ac:dyDescent="0.2">
      <c r="A33" s="8">
        <v>40087</v>
      </c>
      <c r="B33" s="11">
        <f>IF(VLOOKUP(A33,'DB Country PMI'!$A:$V,MATCH($A$1,'DB Country PMI'!$A$1:$V$1,),)=0,#N/A,VLOOKUP(A33,'DB Country PMI'!$A:$V,MATCH($A$1,'DB Country PMI'!$A$1:$V$1,),))</f>
        <v>52.6</v>
      </c>
      <c r="C33" s="14">
        <f>Table13468113[[#This Row],[PMI]]-B32</f>
        <v>1.7000000000000028</v>
      </c>
    </row>
    <row r="34" spans="1:3" x14ac:dyDescent="0.2">
      <c r="A34" s="8">
        <v>40118</v>
      </c>
      <c r="B34" s="11">
        <f>IF(VLOOKUP(A34,'DB Country PMI'!$A:$V,MATCH($A$1,'DB Country PMI'!$A$1:$V$1,),)=0,#N/A,VLOOKUP(A34,'DB Country PMI'!$A:$V,MATCH($A$1,'DB Country PMI'!$A$1:$V$1,),))</f>
        <v>53</v>
      </c>
      <c r="C34" s="14">
        <f>Table13468113[[#This Row],[PMI]]-B33</f>
        <v>0.39999999999999858</v>
      </c>
    </row>
    <row r="35" spans="1:3" x14ac:dyDescent="0.2">
      <c r="A35" s="8">
        <v>40148</v>
      </c>
      <c r="B35" s="11">
        <f>IF(VLOOKUP(A35,'DB Country PMI'!$A:$V,MATCH($A$1,'DB Country PMI'!$A$1:$V$1,),)=0,#N/A,VLOOKUP(A35,'DB Country PMI'!$A:$V,MATCH($A$1,'DB Country PMI'!$A$1:$V$1,),))</f>
        <v>52.9</v>
      </c>
      <c r="C35" s="14">
        <f>Table13468113[[#This Row],[PMI]]-B34</f>
        <v>-0.10000000000000142</v>
      </c>
    </row>
    <row r="36" spans="1:3" x14ac:dyDescent="0.2">
      <c r="A36" s="8">
        <v>40179</v>
      </c>
      <c r="B36" s="11">
        <f>IF(VLOOKUP(A36,'DB Country PMI'!$A:$V,MATCH($A$1,'DB Country PMI'!$A$1:$V$1,),)=0,#N/A,VLOOKUP(A36,'DB Country PMI'!$A:$V,MATCH($A$1,'DB Country PMI'!$A$1:$V$1,),))</f>
        <v>52.5</v>
      </c>
      <c r="C36" s="14">
        <f>Table13468113[[#This Row],[PMI]]-B35</f>
        <v>-0.39999999999999858</v>
      </c>
    </row>
    <row r="37" spans="1:3" x14ac:dyDescent="0.2">
      <c r="A37" s="8">
        <v>40210</v>
      </c>
      <c r="B37" s="11">
        <f>IF(VLOOKUP(A37,'DB Country PMI'!$A:$V,MATCH($A$1,'DB Country PMI'!$A$1:$V$1,),)=0,#N/A,VLOOKUP(A37,'DB Country PMI'!$A:$V,MATCH($A$1,'DB Country PMI'!$A$1:$V$1,),))</f>
        <v>51.8</v>
      </c>
      <c r="C37" s="14">
        <f>Table13468113[[#This Row],[PMI]]-B36</f>
        <v>-0.70000000000000284</v>
      </c>
    </row>
    <row r="38" spans="1:3" x14ac:dyDescent="0.2">
      <c r="A38" s="8">
        <v>40238</v>
      </c>
      <c r="B38" s="11">
        <f>IF(VLOOKUP(A38,'DB Country PMI'!$A:$V,MATCH($A$1,'DB Country PMI'!$A$1:$V$1,),)=0,#N/A,VLOOKUP(A38,'DB Country PMI'!$A:$V,MATCH($A$1,'DB Country PMI'!$A$1:$V$1,),))</f>
        <v>54.1</v>
      </c>
      <c r="C38" s="14">
        <f>Table13468113[[#This Row],[PMI]]-B37</f>
        <v>2.3000000000000043</v>
      </c>
    </row>
    <row r="39" spans="1:3" x14ac:dyDescent="0.2">
      <c r="A39" s="8">
        <v>40269</v>
      </c>
      <c r="B39" s="11">
        <f>IF(VLOOKUP(A39,'DB Country PMI'!$A:$V,MATCH($A$1,'DB Country PMI'!$A$1:$V$1,),)=0,#N/A,VLOOKUP(A39,'DB Country PMI'!$A:$V,MATCH($A$1,'DB Country PMI'!$A$1:$V$1,),))</f>
        <v>55.6</v>
      </c>
      <c r="C39" s="14">
        <f>Table13468113[[#This Row],[PMI]]-B38</f>
        <v>1.5</v>
      </c>
    </row>
    <row r="40" spans="1:3" x14ac:dyDescent="0.2">
      <c r="A40" s="8">
        <v>40299</v>
      </c>
      <c r="B40" s="11">
        <f>IF(VLOOKUP(A40,'DB Country PMI'!$A:$V,MATCH($A$1,'DB Country PMI'!$A$1:$V$1,),)=0,#N/A,VLOOKUP(A40,'DB Country PMI'!$A:$V,MATCH($A$1,'DB Country PMI'!$A$1:$V$1,),))</f>
        <v>56.2</v>
      </c>
      <c r="C40" s="14">
        <f>Table13468113[[#This Row],[PMI]]-B39</f>
        <v>0.60000000000000142</v>
      </c>
    </row>
    <row r="41" spans="1:3" x14ac:dyDescent="0.2">
      <c r="A41" s="8">
        <v>40330</v>
      </c>
      <c r="B41" s="11">
        <f>IF(VLOOKUP(A41,'DB Country PMI'!$A:$V,MATCH($A$1,'DB Country PMI'!$A$1:$V$1,),)=0,#N/A,VLOOKUP(A41,'DB Country PMI'!$A:$V,MATCH($A$1,'DB Country PMI'!$A$1:$V$1,),))</f>
        <v>55.5</v>
      </c>
      <c r="C41" s="14">
        <f>Table13468113[[#This Row],[PMI]]-B40</f>
        <v>-0.70000000000000284</v>
      </c>
    </row>
    <row r="42" spans="1:3" x14ac:dyDescent="0.2">
      <c r="A42" s="8">
        <v>40360</v>
      </c>
      <c r="B42" s="11">
        <f>IF(VLOOKUP(A42,'DB Country PMI'!$A:$V,MATCH($A$1,'DB Country PMI'!$A$1:$V$1,),)=0,#N/A,VLOOKUP(A42,'DB Country PMI'!$A:$V,MATCH($A$1,'DB Country PMI'!$A$1:$V$1,),))</f>
        <v>55.8</v>
      </c>
      <c r="C42" s="14">
        <f>Table13468113[[#This Row],[PMI]]-B41</f>
        <v>0.29999999999999716</v>
      </c>
    </row>
    <row r="43" spans="1:3" x14ac:dyDescent="0.2">
      <c r="A43" s="8">
        <v>40391</v>
      </c>
      <c r="B43" s="11">
        <f>IF(VLOOKUP(A43,'DB Country PMI'!$A:$V,MATCH($A$1,'DB Country PMI'!$A$1:$V$1,),)=0,#N/A,VLOOKUP(A43,'DB Country PMI'!$A:$V,MATCH($A$1,'DB Country PMI'!$A$1:$V$1,),))</f>
        <v>55.9</v>
      </c>
      <c r="C43" s="14">
        <f>Table13468113[[#This Row],[PMI]]-B42</f>
        <v>0.10000000000000142</v>
      </c>
    </row>
    <row r="44" spans="1:3" x14ac:dyDescent="0.2">
      <c r="A44" s="8">
        <v>40422</v>
      </c>
      <c r="B44" s="11">
        <f>IF(VLOOKUP(A44,'DB Country PMI'!$A:$V,MATCH($A$1,'DB Country PMI'!$A$1:$V$1,),)=0,#N/A,VLOOKUP(A44,'DB Country PMI'!$A:$V,MATCH($A$1,'DB Country PMI'!$A$1:$V$1,),))</f>
        <v>54.1</v>
      </c>
      <c r="C44" s="14">
        <f>Table13468113[[#This Row],[PMI]]-B43</f>
        <v>-1.7999999999999972</v>
      </c>
    </row>
    <row r="45" spans="1:3" x14ac:dyDescent="0.2">
      <c r="A45" s="8">
        <v>40452</v>
      </c>
      <c r="B45" s="11">
        <f>IF(VLOOKUP(A45,'DB Country PMI'!$A:$V,MATCH($A$1,'DB Country PMI'!$A$1:$V$1,),)=0,#N/A,VLOOKUP(A45,'DB Country PMI'!$A:$V,MATCH($A$1,'DB Country PMI'!$A$1:$V$1,),))</f>
        <v>53.3</v>
      </c>
      <c r="C45" s="14">
        <f>Table13468113[[#This Row],[PMI]]-B44</f>
        <v>-0.80000000000000426</v>
      </c>
    </row>
    <row r="46" spans="1:3" x14ac:dyDescent="0.2">
      <c r="A46" s="8">
        <v>40483</v>
      </c>
      <c r="B46" s="11">
        <f>IF(VLOOKUP(A46,'DB Country PMI'!$A:$V,MATCH($A$1,'DB Country PMI'!$A$1:$V$1,),)=0,#N/A,VLOOKUP(A46,'DB Country PMI'!$A:$V,MATCH($A$1,'DB Country PMI'!$A$1:$V$1,),))</f>
        <v>55.4</v>
      </c>
      <c r="C46" s="14">
        <f>Table13468113[[#This Row],[PMI]]-B45</f>
        <v>2.1000000000000014</v>
      </c>
    </row>
    <row r="47" spans="1:3" x14ac:dyDescent="0.2">
      <c r="A47" s="8">
        <v>40513</v>
      </c>
      <c r="B47" s="11">
        <f>IF(VLOOKUP(A47,'DB Country PMI'!$A:$V,MATCH($A$1,'DB Country PMI'!$A$1:$V$1,),)=0,#N/A,VLOOKUP(A47,'DB Country PMI'!$A:$V,MATCH($A$1,'DB Country PMI'!$A$1:$V$1,),))</f>
        <v>56.5</v>
      </c>
      <c r="C47" s="14">
        <f>Table13468113[[#This Row],[PMI]]-B46</f>
        <v>1.1000000000000014</v>
      </c>
    </row>
    <row r="48" spans="1:3" x14ac:dyDescent="0.2">
      <c r="A48" s="8">
        <v>40544</v>
      </c>
      <c r="B48" s="11">
        <f>IF(VLOOKUP(A48,'DB Country PMI'!$A:$V,MATCH($A$1,'DB Country PMI'!$A$1:$V$1,),)=0,#N/A,VLOOKUP(A48,'DB Country PMI'!$A:$V,MATCH($A$1,'DB Country PMI'!$A$1:$V$1,),))</f>
        <v>55.9</v>
      </c>
      <c r="C48" s="14">
        <f>Table13468113[[#This Row],[PMI]]-B47</f>
        <v>-0.60000000000000142</v>
      </c>
    </row>
    <row r="49" spans="1:3" x14ac:dyDescent="0.2">
      <c r="A49" s="8">
        <v>40575</v>
      </c>
      <c r="B49" s="11">
        <f>IF(VLOOKUP(A49,'DB Country PMI'!$A:$V,MATCH($A$1,'DB Country PMI'!$A$1:$V$1,),)=0,#N/A,VLOOKUP(A49,'DB Country PMI'!$A:$V,MATCH($A$1,'DB Country PMI'!$A$1:$V$1,),))</f>
        <v>56.8</v>
      </c>
      <c r="C49" s="14">
        <f>Table13468113[[#This Row],[PMI]]-B48</f>
        <v>0.89999999999999858</v>
      </c>
    </row>
    <row r="50" spans="1:3" x14ac:dyDescent="0.2">
      <c r="A50" s="8">
        <v>40603</v>
      </c>
      <c r="B50" s="11">
        <f>IF(VLOOKUP(A50,'DB Country PMI'!$A:$V,MATCH($A$1,'DB Country PMI'!$A$1:$V$1,),)=0,#N/A,VLOOKUP(A50,'DB Country PMI'!$A:$V,MATCH($A$1,'DB Country PMI'!$A$1:$V$1,),))</f>
        <v>57.2</v>
      </c>
      <c r="C50" s="14">
        <f>Table13468113[[#This Row],[PMI]]-B49</f>
        <v>0.40000000000000568</v>
      </c>
    </row>
    <row r="51" spans="1:3" x14ac:dyDescent="0.2">
      <c r="A51" s="8">
        <v>40634</v>
      </c>
      <c r="B51" s="11">
        <f>IF(VLOOKUP(A51,'DB Country PMI'!$A:$V,MATCH($A$1,'DB Country PMI'!$A$1:$V$1,),)=0,#N/A,VLOOKUP(A51,'DB Country PMI'!$A:$V,MATCH($A$1,'DB Country PMI'!$A$1:$V$1,),))</f>
        <v>56.7</v>
      </c>
      <c r="C51" s="14">
        <f>Table13468113[[#This Row],[PMI]]-B50</f>
        <v>-0.5</v>
      </c>
    </row>
    <row r="52" spans="1:3" x14ac:dyDescent="0.2">
      <c r="A52" s="8">
        <v>40664</v>
      </c>
      <c r="B52" s="11">
        <f>IF(VLOOKUP(A52,'DB Country PMI'!$A:$V,MATCH($A$1,'DB Country PMI'!$A$1:$V$1,),)=0,#N/A,VLOOKUP(A52,'DB Country PMI'!$A:$V,MATCH($A$1,'DB Country PMI'!$A$1:$V$1,),))</f>
        <v>55.4</v>
      </c>
      <c r="C52" s="14">
        <f>Table13468113[[#This Row],[PMI]]-B51</f>
        <v>-1.3000000000000043</v>
      </c>
    </row>
    <row r="53" spans="1:3" x14ac:dyDescent="0.2">
      <c r="A53" s="8">
        <v>40695</v>
      </c>
      <c r="B53" s="11">
        <f>IF(VLOOKUP(A53,'DB Country PMI'!$A:$V,MATCH($A$1,'DB Country PMI'!$A$1:$V$1,),)=0,#N/A,VLOOKUP(A53,'DB Country PMI'!$A:$V,MATCH($A$1,'DB Country PMI'!$A$1:$V$1,),))</f>
        <v>53.7</v>
      </c>
      <c r="C53" s="14">
        <f>Table13468113[[#This Row],[PMI]]-B52</f>
        <v>-1.6999999999999957</v>
      </c>
    </row>
    <row r="54" spans="1:3" x14ac:dyDescent="0.2">
      <c r="A54" s="8">
        <v>40725</v>
      </c>
      <c r="B54" s="11">
        <f>IF(VLOOKUP(A54,'DB Country PMI'!$A:$V,MATCH($A$1,'DB Country PMI'!$A$1:$V$1,),)=0,#N/A,VLOOKUP(A54,'DB Country PMI'!$A:$V,MATCH($A$1,'DB Country PMI'!$A$1:$V$1,),))</f>
        <v>51.6</v>
      </c>
      <c r="C54" s="14">
        <f>Table13468113[[#This Row],[PMI]]-B53</f>
        <v>-2.1000000000000014</v>
      </c>
    </row>
    <row r="55" spans="1:3" x14ac:dyDescent="0.2">
      <c r="A55" s="8">
        <v>40756</v>
      </c>
      <c r="B55" s="11">
        <f>IF(VLOOKUP(A55,'DB Country PMI'!$A:$V,MATCH($A$1,'DB Country PMI'!$A$1:$V$1,),)=0,#N/A,VLOOKUP(A55,'DB Country PMI'!$A:$V,MATCH($A$1,'DB Country PMI'!$A$1:$V$1,),))</f>
        <v>51.5</v>
      </c>
      <c r="C55" s="14">
        <f>Table13468113[[#This Row],[PMI]]-B54</f>
        <v>-0.10000000000000142</v>
      </c>
    </row>
    <row r="56" spans="1:3" x14ac:dyDescent="0.2">
      <c r="A56" s="8">
        <v>40787</v>
      </c>
      <c r="B56" s="11">
        <f>IF(VLOOKUP(A56,'DB Country PMI'!$A:$V,MATCH($A$1,'DB Country PMI'!$A$1:$V$1,),)=0,#N/A,VLOOKUP(A56,'DB Country PMI'!$A:$V,MATCH($A$1,'DB Country PMI'!$A$1:$V$1,),))</f>
        <v>48.8</v>
      </c>
      <c r="C56" s="14">
        <f>Table13468113[[#This Row],[PMI]]-B55</f>
        <v>-2.7000000000000028</v>
      </c>
    </row>
    <row r="57" spans="1:3" x14ac:dyDescent="0.2">
      <c r="A57" s="8">
        <v>40817</v>
      </c>
      <c r="B57" s="11">
        <f>IF(VLOOKUP(A57,'DB Country PMI'!$A:$V,MATCH($A$1,'DB Country PMI'!$A$1:$V$1,),)=0,#N/A,VLOOKUP(A57,'DB Country PMI'!$A:$V,MATCH($A$1,'DB Country PMI'!$A$1:$V$1,),))</f>
        <v>46.4</v>
      </c>
      <c r="C57" s="14">
        <f>Table13468113[[#This Row],[PMI]]-B56</f>
        <v>-2.3999999999999986</v>
      </c>
    </row>
    <row r="58" spans="1:3" x14ac:dyDescent="0.2">
      <c r="A58" s="8">
        <v>40848</v>
      </c>
      <c r="B58" s="11">
        <f>IF(VLOOKUP(A58,'DB Country PMI'!$A:$V,MATCH($A$1,'DB Country PMI'!$A$1:$V$1,),)=0,#N/A,VLOOKUP(A58,'DB Country PMI'!$A:$V,MATCH($A$1,'DB Country PMI'!$A$1:$V$1,),))</f>
        <v>47.5</v>
      </c>
      <c r="C58" s="14">
        <f>Table13468113[[#This Row],[PMI]]-B57</f>
        <v>1.1000000000000014</v>
      </c>
    </row>
    <row r="59" spans="1:3" x14ac:dyDescent="0.2">
      <c r="A59" s="8">
        <v>40878</v>
      </c>
      <c r="B59" s="11">
        <f>IF(VLOOKUP(A59,'DB Country PMI'!$A:$V,MATCH($A$1,'DB Country PMI'!$A$1:$V$1,),)=0,#N/A,VLOOKUP(A59,'DB Country PMI'!$A:$V,MATCH($A$1,'DB Country PMI'!$A$1:$V$1,),))</f>
        <v>48.8</v>
      </c>
      <c r="C59" s="14">
        <f>Table13468113[[#This Row],[PMI]]-B58</f>
        <v>1.2999999999999972</v>
      </c>
    </row>
    <row r="60" spans="1:3" x14ac:dyDescent="0.2">
      <c r="A60" s="8">
        <v>40909</v>
      </c>
      <c r="B60" s="11">
        <f>IF(VLOOKUP(A60,'DB Country PMI'!$A:$V,MATCH($A$1,'DB Country PMI'!$A$1:$V$1,),)=0,#N/A,VLOOKUP(A60,'DB Country PMI'!$A:$V,MATCH($A$1,'DB Country PMI'!$A$1:$V$1,),))</f>
        <v>50.4</v>
      </c>
      <c r="C60" s="14">
        <f>Table13468113[[#This Row],[PMI]]-B59</f>
        <v>1.6000000000000014</v>
      </c>
    </row>
    <row r="61" spans="1:3" x14ac:dyDescent="0.2">
      <c r="A61" s="8">
        <v>40940</v>
      </c>
      <c r="B61" s="11">
        <f>IF(VLOOKUP(A61,'DB Country PMI'!$A:$V,MATCH($A$1,'DB Country PMI'!$A$1:$V$1,),)=0,#N/A,VLOOKUP(A61,'DB Country PMI'!$A:$V,MATCH($A$1,'DB Country PMI'!$A$1:$V$1,),))</f>
        <v>48.8</v>
      </c>
      <c r="C61" s="14">
        <f>Table13468113[[#This Row],[PMI]]-B60</f>
        <v>-1.6000000000000014</v>
      </c>
    </row>
    <row r="62" spans="1:3" x14ac:dyDescent="0.2">
      <c r="A62" s="8">
        <v>40969</v>
      </c>
      <c r="B62" s="11">
        <f>IF(VLOOKUP(A62,'DB Country PMI'!$A:$V,MATCH($A$1,'DB Country PMI'!$A$1:$V$1,),)=0,#N/A,VLOOKUP(A62,'DB Country PMI'!$A:$V,MATCH($A$1,'DB Country PMI'!$A$1:$V$1,),))</f>
        <v>47.9</v>
      </c>
      <c r="C62" s="14">
        <f>Table13468113[[#This Row],[PMI]]-B61</f>
        <v>-0.89999999999999858</v>
      </c>
    </row>
    <row r="63" spans="1:3" x14ac:dyDescent="0.2">
      <c r="A63" s="8">
        <v>41000</v>
      </c>
      <c r="B63" s="11">
        <f>IF(VLOOKUP(A63,'DB Country PMI'!$A:$V,MATCH($A$1,'DB Country PMI'!$A$1:$V$1,),)=0,#N/A,VLOOKUP(A63,'DB Country PMI'!$A:$V,MATCH($A$1,'DB Country PMI'!$A$1:$V$1,),))</f>
        <v>46.9</v>
      </c>
      <c r="C63" s="14">
        <f>Table13468113[[#This Row],[PMI]]-B62</f>
        <v>-1</v>
      </c>
    </row>
    <row r="64" spans="1:3" x14ac:dyDescent="0.2">
      <c r="A64" s="8">
        <v>41030</v>
      </c>
      <c r="B64" s="11">
        <f>IF(VLOOKUP(A64,'DB Country PMI'!$A:$V,MATCH($A$1,'DB Country PMI'!$A$1:$V$1,),)=0,#N/A,VLOOKUP(A64,'DB Country PMI'!$A:$V,MATCH($A$1,'DB Country PMI'!$A$1:$V$1,),))</f>
        <v>46.7</v>
      </c>
      <c r="C64" s="14">
        <f>Table13468113[[#This Row],[PMI]]-B63</f>
        <v>-0.19999999999999574</v>
      </c>
    </row>
    <row r="65" spans="1:3" x14ac:dyDescent="0.2">
      <c r="A65" s="8">
        <v>41061</v>
      </c>
      <c r="B65" s="11">
        <f>IF(VLOOKUP(A65,'DB Country PMI'!$A:$V,MATCH($A$1,'DB Country PMI'!$A$1:$V$1,),)=0,#N/A,VLOOKUP(A65,'DB Country PMI'!$A:$V,MATCH($A$1,'DB Country PMI'!$A$1:$V$1,),))</f>
        <v>47.1</v>
      </c>
      <c r="C65" s="14">
        <f>Table13468113[[#This Row],[PMI]]-B64</f>
        <v>0.39999999999999858</v>
      </c>
    </row>
    <row r="66" spans="1:3" x14ac:dyDescent="0.2">
      <c r="A66" s="8">
        <v>41091</v>
      </c>
      <c r="B66" s="11">
        <f>IF(VLOOKUP(A66,'DB Country PMI'!$A:$V,MATCH($A$1,'DB Country PMI'!$A$1:$V$1,),)=0,#N/A,VLOOKUP(A66,'DB Country PMI'!$A:$V,MATCH($A$1,'DB Country PMI'!$A$1:$V$1,),))</f>
        <v>47.9</v>
      </c>
      <c r="C66" s="14">
        <f>Table13468113[[#This Row],[PMI]]-B65</f>
        <v>0.79999999999999716</v>
      </c>
    </row>
    <row r="67" spans="1:3" x14ac:dyDescent="0.2">
      <c r="A67" s="8">
        <v>41122</v>
      </c>
      <c r="B67" s="11">
        <f>IF(VLOOKUP(A67,'DB Country PMI'!$A:$V,MATCH($A$1,'DB Country PMI'!$A$1:$V$1,),)=0,#N/A,VLOOKUP(A67,'DB Country PMI'!$A:$V,MATCH($A$1,'DB Country PMI'!$A$1:$V$1,),))</f>
        <v>47.2</v>
      </c>
      <c r="C67" s="14">
        <f>Table13468113[[#This Row],[PMI]]-B66</f>
        <v>-0.69999999999999574</v>
      </c>
    </row>
    <row r="68" spans="1:3" x14ac:dyDescent="0.2">
      <c r="A68" s="8">
        <v>41153</v>
      </c>
      <c r="B68" s="11">
        <f>IF(VLOOKUP(A68,'DB Country PMI'!$A:$V,MATCH($A$1,'DB Country PMI'!$A$1:$V$1,),)=0,#N/A,VLOOKUP(A68,'DB Country PMI'!$A:$V,MATCH($A$1,'DB Country PMI'!$A$1:$V$1,),))</f>
        <v>46.1</v>
      </c>
      <c r="C68" s="14">
        <f>Table13468113[[#This Row],[PMI]]-B67</f>
        <v>-1.1000000000000014</v>
      </c>
    </row>
    <row r="69" spans="1:3" x14ac:dyDescent="0.2">
      <c r="A69" s="8">
        <v>41183</v>
      </c>
      <c r="B69" s="11">
        <f>IF(VLOOKUP(A69,'DB Country PMI'!$A:$V,MATCH($A$1,'DB Country PMI'!$A$1:$V$1,),)=0,#N/A,VLOOKUP(A69,'DB Country PMI'!$A:$V,MATCH($A$1,'DB Country PMI'!$A$1:$V$1,),))</f>
        <v>46</v>
      </c>
      <c r="C69" s="14">
        <f>Table13468113[[#This Row],[PMI]]-B68</f>
        <v>-0.10000000000000142</v>
      </c>
    </row>
    <row r="70" spans="1:3" x14ac:dyDescent="0.2">
      <c r="A70" s="8">
        <v>41214</v>
      </c>
      <c r="B70" s="11">
        <f>IF(VLOOKUP(A70,'DB Country PMI'!$A:$V,MATCH($A$1,'DB Country PMI'!$A$1:$V$1,),)=0,#N/A,VLOOKUP(A70,'DB Country PMI'!$A:$V,MATCH($A$1,'DB Country PMI'!$A$1:$V$1,),))</f>
        <v>46.7</v>
      </c>
      <c r="C70" s="14">
        <f>Table13468113[[#This Row],[PMI]]-B69</f>
        <v>0.70000000000000284</v>
      </c>
    </row>
    <row r="71" spans="1:3" x14ac:dyDescent="0.2">
      <c r="A71" s="8">
        <v>41244</v>
      </c>
      <c r="B71" s="11">
        <f>IF(VLOOKUP(A71,'DB Country PMI'!$A:$V,MATCH($A$1,'DB Country PMI'!$A$1:$V$1,),)=0,#N/A,VLOOKUP(A71,'DB Country PMI'!$A:$V,MATCH($A$1,'DB Country PMI'!$A$1:$V$1,),))</f>
        <v>47.2</v>
      </c>
      <c r="C71" s="14">
        <f>Table13468113[[#This Row],[PMI]]-B70</f>
        <v>0.5</v>
      </c>
    </row>
    <row r="72" spans="1:3" x14ac:dyDescent="0.2">
      <c r="A72" s="8">
        <v>41275</v>
      </c>
      <c r="B72" s="11">
        <f>IF(VLOOKUP(A72,'DB Country PMI'!$A:$V,MATCH($A$1,'DB Country PMI'!$A$1:$V$1,),)=0,#N/A,VLOOKUP(A72,'DB Country PMI'!$A:$V,MATCH($A$1,'DB Country PMI'!$A$1:$V$1,),))</f>
        <v>48.6</v>
      </c>
      <c r="C72" s="14">
        <f>Table13468113[[#This Row],[PMI]]-B71</f>
        <v>1.3999999999999986</v>
      </c>
    </row>
    <row r="73" spans="1:3" x14ac:dyDescent="0.2">
      <c r="A73" s="8">
        <v>41306</v>
      </c>
      <c r="B73" s="11">
        <f>IF(VLOOKUP(A73,'DB Country PMI'!$A:$V,MATCH($A$1,'DB Country PMI'!$A$1:$V$1,),)=0,#N/A,VLOOKUP(A73,'DB Country PMI'!$A:$V,MATCH($A$1,'DB Country PMI'!$A$1:$V$1,),))</f>
        <v>47.9</v>
      </c>
      <c r="C73" s="14">
        <f>Table13468113[[#This Row],[PMI]]-B72</f>
        <v>-0.70000000000000284</v>
      </c>
    </row>
    <row r="74" spans="1:3" x14ac:dyDescent="0.2">
      <c r="A74" s="8">
        <v>41334</v>
      </c>
      <c r="B74" s="11">
        <f>IF(VLOOKUP(A74,'DB Country PMI'!$A:$V,MATCH($A$1,'DB Country PMI'!$A$1:$V$1,),)=0,#N/A,VLOOKUP(A74,'DB Country PMI'!$A:$V,MATCH($A$1,'DB Country PMI'!$A$1:$V$1,),))</f>
        <v>46.4</v>
      </c>
      <c r="C74" s="14">
        <f>Table13468113[[#This Row],[PMI]]-B73</f>
        <v>-1.5</v>
      </c>
    </row>
    <row r="75" spans="1:3" x14ac:dyDescent="0.2">
      <c r="A75" s="8">
        <v>41365</v>
      </c>
      <c r="B75" s="11">
        <f>IF(VLOOKUP(A75,'DB Country PMI'!$A:$V,MATCH($A$1,'DB Country PMI'!$A$1:$V$1,),)=0,#N/A,VLOOKUP(A75,'DB Country PMI'!$A:$V,MATCH($A$1,'DB Country PMI'!$A$1:$V$1,),))</f>
        <v>47</v>
      </c>
      <c r="C75" s="14">
        <f>Table13468113[[#This Row],[PMI]]-B74</f>
        <v>0.60000000000000142</v>
      </c>
    </row>
    <row r="76" spans="1:3" x14ac:dyDescent="0.2">
      <c r="A76" s="8">
        <v>41395</v>
      </c>
      <c r="B76" s="11">
        <f>IF(VLOOKUP(A76,'DB Country PMI'!$A:$V,MATCH($A$1,'DB Country PMI'!$A$1:$V$1,),)=0,#N/A,VLOOKUP(A76,'DB Country PMI'!$A:$V,MATCH($A$1,'DB Country PMI'!$A$1:$V$1,),))</f>
        <v>47.2</v>
      </c>
      <c r="C76" s="14">
        <f>Table13468113[[#This Row],[PMI]]-B75</f>
        <v>0.20000000000000284</v>
      </c>
    </row>
    <row r="77" spans="1:3" x14ac:dyDescent="0.2">
      <c r="A77" s="8">
        <v>41426</v>
      </c>
      <c r="B77" s="11">
        <f>IF(VLOOKUP(A77,'DB Country PMI'!$A:$V,MATCH($A$1,'DB Country PMI'!$A$1:$V$1,),)=0,#N/A,VLOOKUP(A77,'DB Country PMI'!$A:$V,MATCH($A$1,'DB Country PMI'!$A$1:$V$1,),))</f>
        <v>48.3</v>
      </c>
      <c r="C77" s="14">
        <f>Table13468113[[#This Row],[PMI]]-B76</f>
        <v>1.0999999999999943</v>
      </c>
    </row>
    <row r="78" spans="1:3" x14ac:dyDescent="0.2">
      <c r="A78" s="8">
        <v>41456</v>
      </c>
      <c r="B78" s="11">
        <f>IF(VLOOKUP(A78,'DB Country PMI'!$A:$V,MATCH($A$1,'DB Country PMI'!$A$1:$V$1,),)=0,#N/A,VLOOKUP(A78,'DB Country PMI'!$A:$V,MATCH($A$1,'DB Country PMI'!$A$1:$V$1,),))</f>
        <v>49.8</v>
      </c>
      <c r="C78" s="14">
        <f>Table13468113[[#This Row],[PMI]]-B77</f>
        <v>1.5</v>
      </c>
    </row>
    <row r="79" spans="1:3" x14ac:dyDescent="0.2">
      <c r="A79" s="8">
        <v>41487</v>
      </c>
      <c r="B79" s="11">
        <f>IF(VLOOKUP(A79,'DB Country PMI'!$A:$V,MATCH($A$1,'DB Country PMI'!$A$1:$V$1,),)=0,#N/A,VLOOKUP(A79,'DB Country PMI'!$A:$V,MATCH($A$1,'DB Country PMI'!$A$1:$V$1,),))</f>
        <v>50.7</v>
      </c>
      <c r="C79" s="14">
        <f>Table13468113[[#This Row],[PMI]]-B78</f>
        <v>0.90000000000000568</v>
      </c>
    </row>
    <row r="80" spans="1:3" x14ac:dyDescent="0.2">
      <c r="A80" s="8">
        <v>41518</v>
      </c>
      <c r="B80" s="11">
        <f>IF(VLOOKUP(A80,'DB Country PMI'!$A:$V,MATCH($A$1,'DB Country PMI'!$A$1:$V$1,),)=0,#N/A,VLOOKUP(A80,'DB Country PMI'!$A:$V,MATCH($A$1,'DB Country PMI'!$A$1:$V$1,),))</f>
        <v>52.2</v>
      </c>
      <c r="C80" s="14">
        <f>Table13468113[[#This Row],[PMI]]-B79</f>
        <v>1.5</v>
      </c>
    </row>
    <row r="81" spans="1:3" x14ac:dyDescent="0.2">
      <c r="A81" s="8">
        <v>41548</v>
      </c>
      <c r="B81" s="11">
        <f>IF(VLOOKUP(A81,'DB Country PMI'!$A:$V,MATCH($A$1,'DB Country PMI'!$A$1:$V$1,),)=0,#N/A,VLOOKUP(A81,'DB Country PMI'!$A:$V,MATCH($A$1,'DB Country PMI'!$A$1:$V$1,),))</f>
        <v>51.6</v>
      </c>
      <c r="C81" s="14">
        <f>Table13468113[[#This Row],[PMI]]-B80</f>
        <v>-0.60000000000000142</v>
      </c>
    </row>
    <row r="82" spans="1:3" x14ac:dyDescent="0.2">
      <c r="A82" s="8">
        <v>41579</v>
      </c>
      <c r="B82" s="11">
        <f>IF(VLOOKUP(A82,'DB Country PMI'!$A:$V,MATCH($A$1,'DB Country PMI'!$A$1:$V$1,),)=0,#N/A,VLOOKUP(A82,'DB Country PMI'!$A:$V,MATCH($A$1,'DB Country PMI'!$A$1:$V$1,),))</f>
        <v>51.2</v>
      </c>
      <c r="C82" s="14">
        <f>Table13468113[[#This Row],[PMI]]-B81</f>
        <v>-0.39999999999999858</v>
      </c>
    </row>
    <row r="83" spans="1:3" x14ac:dyDescent="0.2">
      <c r="A83" s="8">
        <v>41609</v>
      </c>
      <c r="B83" s="11">
        <f>IF(VLOOKUP(A83,'DB Country PMI'!$A:$V,MATCH($A$1,'DB Country PMI'!$A$1:$V$1,),)=0,#N/A,VLOOKUP(A83,'DB Country PMI'!$A:$V,MATCH($A$1,'DB Country PMI'!$A$1:$V$1,),))</f>
        <v>51</v>
      </c>
      <c r="C83" s="14">
        <f>Table13468113[[#This Row],[PMI]]-B82</f>
        <v>-0.20000000000000284</v>
      </c>
    </row>
    <row r="84" spans="1:3" x14ac:dyDescent="0.2">
      <c r="A84" s="8">
        <v>41640</v>
      </c>
      <c r="B84" s="11">
        <f>IF(VLOOKUP(A84,'DB Country PMI'!$A:$V,MATCH($A$1,'DB Country PMI'!$A$1:$V$1,),)=0,#N/A,VLOOKUP(A84,'DB Country PMI'!$A:$V,MATCH($A$1,'DB Country PMI'!$A$1:$V$1,),))</f>
        <v>51.6</v>
      </c>
      <c r="C84" s="14">
        <f>Table13468113[[#This Row],[PMI]]-B83</f>
        <v>0.60000000000000142</v>
      </c>
    </row>
    <row r="85" spans="1:3" x14ac:dyDescent="0.2">
      <c r="A85" s="8">
        <v>41671</v>
      </c>
      <c r="B85" s="11">
        <f>IF(VLOOKUP(A85,'DB Country PMI'!$A:$V,MATCH($A$1,'DB Country PMI'!$A$1:$V$1,),)=0,#N/A,VLOOKUP(A85,'DB Country PMI'!$A:$V,MATCH($A$1,'DB Country PMI'!$A$1:$V$1,),))</f>
        <v>52.6</v>
      </c>
      <c r="C85" s="14">
        <f>Table13468113[[#This Row],[PMI]]-B84</f>
        <v>1</v>
      </c>
    </row>
    <row r="86" spans="1:3" x14ac:dyDescent="0.2">
      <c r="A86" s="8">
        <v>41699</v>
      </c>
      <c r="B86" s="11">
        <f>IF(VLOOKUP(A86,'DB Country PMI'!$A:$V,MATCH($A$1,'DB Country PMI'!$A$1:$V$1,),)=0,#N/A,VLOOKUP(A86,'DB Country PMI'!$A:$V,MATCH($A$1,'DB Country PMI'!$A$1:$V$1,),))</f>
        <v>52.2</v>
      </c>
      <c r="C86" s="14">
        <f>Table13468113[[#This Row],[PMI]]-B85</f>
        <v>-0.39999999999999858</v>
      </c>
    </row>
    <row r="87" spans="1:3" x14ac:dyDescent="0.2">
      <c r="A87" s="8">
        <v>41730</v>
      </c>
      <c r="B87" s="11">
        <f>IF(VLOOKUP(A87,'DB Country PMI'!$A:$V,MATCH($A$1,'DB Country PMI'!$A$1:$V$1,),)=0,#N/A,VLOOKUP(A87,'DB Country PMI'!$A:$V,MATCH($A$1,'DB Country PMI'!$A$1:$V$1,),))</f>
        <v>53.1</v>
      </c>
      <c r="C87" s="14">
        <f>Table13468113[[#This Row],[PMI]]-B86</f>
        <v>0.89999999999999858</v>
      </c>
    </row>
    <row r="88" spans="1:3" x14ac:dyDescent="0.2">
      <c r="A88" s="8">
        <v>41760</v>
      </c>
      <c r="B88" s="11">
        <f>IF(VLOOKUP(A88,'DB Country PMI'!$A:$V,MATCH($A$1,'DB Country PMI'!$A$1:$V$1,),)=0,#N/A,VLOOKUP(A88,'DB Country PMI'!$A:$V,MATCH($A$1,'DB Country PMI'!$A$1:$V$1,),))</f>
        <v>53.2</v>
      </c>
      <c r="C88" s="14">
        <f>Table13468113[[#This Row],[PMI]]-B87</f>
        <v>0.10000000000000142</v>
      </c>
    </row>
    <row r="89" spans="1:3" x14ac:dyDescent="0.2">
      <c r="A89" s="8">
        <v>41791</v>
      </c>
      <c r="B89" s="11">
        <f>IF(VLOOKUP(A89,'DB Country PMI'!$A:$V,MATCH($A$1,'DB Country PMI'!$A$1:$V$1,),)=0,#N/A,VLOOKUP(A89,'DB Country PMI'!$A:$V,MATCH($A$1,'DB Country PMI'!$A$1:$V$1,),))</f>
        <v>52.8</v>
      </c>
      <c r="C89" s="14">
        <f>Table13468113[[#This Row],[PMI]]-B88</f>
        <v>-0.40000000000000568</v>
      </c>
    </row>
    <row r="90" spans="1:3" x14ac:dyDescent="0.2">
      <c r="A90" s="8">
        <v>41821</v>
      </c>
      <c r="B90" s="11">
        <f>IF(VLOOKUP(A90,'DB Country PMI'!$A:$V,MATCH($A$1,'DB Country PMI'!$A$1:$V$1,),)=0,#N/A,VLOOKUP(A90,'DB Country PMI'!$A:$V,MATCH($A$1,'DB Country PMI'!$A$1:$V$1,),))</f>
        <v>54.2</v>
      </c>
      <c r="C90" s="14">
        <f>Table13468113[[#This Row],[PMI]]-B89</f>
        <v>1.4000000000000057</v>
      </c>
    </row>
    <row r="91" spans="1:3" x14ac:dyDescent="0.2">
      <c r="A91" s="8">
        <v>41852</v>
      </c>
      <c r="B91" s="11">
        <f>IF(VLOOKUP(A91,'DB Country PMI'!$A:$V,MATCH($A$1,'DB Country PMI'!$A$1:$V$1,),)=0,#N/A,VLOOKUP(A91,'DB Country PMI'!$A:$V,MATCH($A$1,'DB Country PMI'!$A$1:$V$1,),))</f>
        <v>53.1</v>
      </c>
      <c r="C91" s="14">
        <f>Table13468113[[#This Row],[PMI]]-B90</f>
        <v>-1.1000000000000014</v>
      </c>
    </row>
    <row r="92" spans="1:3" x14ac:dyDescent="0.2">
      <c r="A92" s="8">
        <v>41883</v>
      </c>
      <c r="B92" s="11">
        <f>IF(VLOOKUP(A92,'DB Country PMI'!$A:$V,MATCH($A$1,'DB Country PMI'!$A$1:$V$1,),)=0,#N/A,VLOOKUP(A92,'DB Country PMI'!$A:$V,MATCH($A$1,'DB Country PMI'!$A$1:$V$1,),))</f>
        <v>52.4</v>
      </c>
      <c r="C92" s="14">
        <f>Table13468113[[#This Row],[PMI]]-B91</f>
        <v>-0.70000000000000284</v>
      </c>
    </row>
    <row r="93" spans="1:3" x14ac:dyDescent="0.2">
      <c r="A93" s="8">
        <v>41913</v>
      </c>
      <c r="B93" s="11">
        <f>IF(VLOOKUP(A93,'DB Country PMI'!$A:$V,MATCH($A$1,'DB Country PMI'!$A$1:$V$1,),)=0,#N/A,VLOOKUP(A93,'DB Country PMI'!$A:$V,MATCH($A$1,'DB Country PMI'!$A$1:$V$1,),))</f>
        <v>52.3</v>
      </c>
      <c r="C93" s="14">
        <f>Table13468113[[#This Row],[PMI]]-B92</f>
        <v>-0.10000000000000142</v>
      </c>
    </row>
    <row r="94" spans="1:3" x14ac:dyDescent="0.2">
      <c r="A94" s="8">
        <v>41944</v>
      </c>
      <c r="B94" s="11">
        <f>IF(VLOOKUP(A94,'DB Country PMI'!$A:$V,MATCH($A$1,'DB Country PMI'!$A$1:$V$1,),)=0,#N/A,VLOOKUP(A94,'DB Country PMI'!$A:$V,MATCH($A$1,'DB Country PMI'!$A$1:$V$1,),))</f>
        <v>51.1</v>
      </c>
      <c r="C94" s="14">
        <f>Table13468113[[#This Row],[PMI]]-B93</f>
        <v>-1.1999999999999957</v>
      </c>
    </row>
    <row r="95" spans="1:3" x14ac:dyDescent="0.2">
      <c r="A95" s="8">
        <v>41974</v>
      </c>
      <c r="B95" s="11">
        <f>IF(VLOOKUP(A95,'DB Country PMI'!$A:$V,MATCH($A$1,'DB Country PMI'!$A$1:$V$1,),)=0,#N/A,VLOOKUP(A95,'DB Country PMI'!$A:$V,MATCH($A$1,'DB Country PMI'!$A$1:$V$1,),))</f>
        <v>51.6</v>
      </c>
      <c r="C95" s="14">
        <f>Table13468113[[#This Row],[PMI]]-B94</f>
        <v>0.5</v>
      </c>
    </row>
    <row r="96" spans="1:3" x14ac:dyDescent="0.2">
      <c r="A96" s="8">
        <v>42005</v>
      </c>
      <c r="B96" s="11">
        <f>IF(VLOOKUP(A96,'DB Country PMI'!$A:$V,MATCH($A$1,'DB Country PMI'!$A$1:$V$1,),)=0,#N/A,VLOOKUP(A96,'DB Country PMI'!$A:$V,MATCH($A$1,'DB Country PMI'!$A$1:$V$1,),))</f>
        <v>52.7</v>
      </c>
      <c r="C96" s="14">
        <f>Table13468113[[#This Row],[PMI]]-B95</f>
        <v>1.1000000000000014</v>
      </c>
    </row>
    <row r="97" spans="1:3" x14ac:dyDescent="0.2">
      <c r="A97" s="8">
        <v>42036</v>
      </c>
      <c r="B97" s="11">
        <f>IF(VLOOKUP(A97,'DB Country PMI'!$A:$V,MATCH($A$1,'DB Country PMI'!$A$1:$V$1,),)=0,#N/A,VLOOKUP(A97,'DB Country PMI'!$A:$V,MATCH($A$1,'DB Country PMI'!$A$1:$V$1,),))</f>
        <v>53.7</v>
      </c>
      <c r="C97" s="14">
        <f>Table13468113[[#This Row],[PMI]]-B96</f>
        <v>1</v>
      </c>
    </row>
    <row r="98" spans="1:3" x14ac:dyDescent="0.2">
      <c r="A98" s="8">
        <v>42064</v>
      </c>
      <c r="B98" s="11">
        <f>IF(VLOOKUP(A98,'DB Country PMI'!$A:$V,MATCH($A$1,'DB Country PMI'!$A$1:$V$1,),)=0,#N/A,VLOOKUP(A98,'DB Country PMI'!$A:$V,MATCH($A$1,'DB Country PMI'!$A$1:$V$1,),))</f>
        <v>54.2</v>
      </c>
      <c r="C98" s="14">
        <f>Table13468113[[#This Row],[PMI]]-B97</f>
        <v>0.5</v>
      </c>
    </row>
    <row r="99" spans="1:3" x14ac:dyDescent="0.2">
      <c r="A99" s="8">
        <v>42095</v>
      </c>
      <c r="B99" s="11">
        <f>IF(VLOOKUP(A99,'DB Country PMI'!$A:$V,MATCH($A$1,'DB Country PMI'!$A$1:$V$1,),)=0,#N/A,VLOOKUP(A99,'DB Country PMI'!$A:$V,MATCH($A$1,'DB Country PMI'!$A$1:$V$1,),))</f>
        <v>54.1</v>
      </c>
      <c r="C99" s="14">
        <f>Table13468113[[#This Row],[PMI]]-B98</f>
        <v>-0.10000000000000142</v>
      </c>
    </row>
    <row r="100" spans="1:3" x14ac:dyDescent="0.2">
      <c r="A100" s="8">
        <v>42125</v>
      </c>
      <c r="B100" s="11">
        <f>IF(VLOOKUP(A100,'DB Country PMI'!$A:$V,MATCH($A$1,'DB Country PMI'!$A$1:$V$1,),)=0,#N/A,VLOOKUP(A100,'DB Country PMI'!$A:$V,MATCH($A$1,'DB Country PMI'!$A$1:$V$1,),))</f>
        <v>53.8</v>
      </c>
      <c r="C100" s="14">
        <f>Table13468113[[#This Row],[PMI]]-B99</f>
        <v>-0.30000000000000426</v>
      </c>
    </row>
    <row r="101" spans="1:3" x14ac:dyDescent="0.2">
      <c r="A101" s="8">
        <v>42156</v>
      </c>
      <c r="B101" s="11">
        <f>IF(VLOOKUP(A101,'DB Country PMI'!$A:$V,MATCH($A$1,'DB Country PMI'!$A$1:$V$1,),)=0,#N/A,VLOOKUP(A101,'DB Country PMI'!$A:$V,MATCH($A$1,'DB Country PMI'!$A$1:$V$1,),))</f>
        <v>54.4</v>
      </c>
      <c r="C101" s="14">
        <f>Table13468113[[#This Row],[PMI]]-B100</f>
        <v>0.60000000000000142</v>
      </c>
    </row>
    <row r="102" spans="1:3" x14ac:dyDescent="0.2">
      <c r="A102" s="8">
        <v>42186</v>
      </c>
      <c r="B102" s="11">
        <f>IF(VLOOKUP(A102,'DB Country PMI'!$A:$V,MATCH($A$1,'DB Country PMI'!$A$1:$V$1,),)=0,#N/A,VLOOKUP(A102,'DB Country PMI'!$A:$V,MATCH($A$1,'DB Country PMI'!$A$1:$V$1,),))</f>
        <v>54</v>
      </c>
      <c r="C102" s="14">
        <f>Table13468113[[#This Row],[PMI]]-B101</f>
        <v>-0.39999999999999858</v>
      </c>
    </row>
    <row r="103" spans="1:3" x14ac:dyDescent="0.2">
      <c r="A103" s="8">
        <v>42217</v>
      </c>
      <c r="B103" s="11">
        <f>IF(VLOOKUP(A103,'DB Country PMI'!$A:$V,MATCH($A$1,'DB Country PMI'!$A$1:$V$1,),)=0,#N/A,VLOOKUP(A103,'DB Country PMI'!$A:$V,MATCH($A$1,'DB Country PMI'!$A$1:$V$1,),))</f>
        <v>54.4</v>
      </c>
      <c r="C103" s="14">
        <f>Table13468113[[#This Row],[PMI]]-B102</f>
        <v>0.39999999999999858</v>
      </c>
    </row>
    <row r="104" spans="1:3" x14ac:dyDescent="0.2">
      <c r="A104" s="8">
        <v>42248</v>
      </c>
      <c r="B104" s="11">
        <f>IF(VLOOKUP(A104,'DB Country PMI'!$A:$V,MATCH($A$1,'DB Country PMI'!$A$1:$V$1,),)=0,#N/A,VLOOKUP(A104,'DB Country PMI'!$A:$V,MATCH($A$1,'DB Country PMI'!$A$1:$V$1,),))</f>
        <v>53.7</v>
      </c>
      <c r="C104" s="14">
        <f>Table13468113[[#This Row],[PMI]]-B103</f>
        <v>-0.69999999999999574</v>
      </c>
    </row>
    <row r="105" spans="1:3" x14ac:dyDescent="0.2">
      <c r="A105" s="8">
        <v>42278</v>
      </c>
      <c r="B105" s="11">
        <f>IF(VLOOKUP(A105,'DB Country PMI'!$A:$V,MATCH($A$1,'DB Country PMI'!$A$1:$V$1,),)=0,#N/A,VLOOKUP(A105,'DB Country PMI'!$A:$V,MATCH($A$1,'DB Country PMI'!$A$1:$V$1,),))</f>
        <v>54.1</v>
      </c>
      <c r="C105" s="14">
        <f>Table13468113[[#This Row],[PMI]]-B104</f>
        <v>0.39999999999999858</v>
      </c>
    </row>
    <row r="106" spans="1:3" x14ac:dyDescent="0.2">
      <c r="A106" s="8">
        <v>42309</v>
      </c>
      <c r="B106" s="11">
        <f>IF(VLOOKUP(A106,'DB Country PMI'!$A:$V,MATCH($A$1,'DB Country PMI'!$A$1:$V$1,),)=0,#N/A,VLOOKUP(A106,'DB Country PMI'!$A:$V,MATCH($A$1,'DB Country PMI'!$A$1:$V$1,),))</f>
        <v>54.2</v>
      </c>
      <c r="C106" s="14">
        <f>Table13468113[[#This Row],[PMI]]-B105</f>
        <v>0.10000000000000142</v>
      </c>
    </row>
    <row r="107" spans="1:3" x14ac:dyDescent="0.2">
      <c r="A107" s="8">
        <v>42339</v>
      </c>
      <c r="B107" s="11">
        <f>IF(VLOOKUP(A107,'DB Country PMI'!$A:$V,MATCH($A$1,'DB Country PMI'!$A$1:$V$1,),)=0,#N/A,VLOOKUP(A107,'DB Country PMI'!$A:$V,MATCH($A$1,'DB Country PMI'!$A$1:$V$1,),))</f>
        <v>54.2</v>
      </c>
      <c r="C107" s="14">
        <f>Table13468113[[#This Row],[PMI]]-B106</f>
        <v>0</v>
      </c>
    </row>
    <row r="108" spans="1:3" x14ac:dyDescent="0.2">
      <c r="A108" s="8">
        <v>42370</v>
      </c>
      <c r="B108" s="11">
        <f>IF(VLOOKUP(A108,'DB Country PMI'!$A:$V,MATCH($A$1,'DB Country PMI'!$A$1:$V$1,),)=0,#N/A,VLOOKUP(A108,'DB Country PMI'!$A:$V,MATCH($A$1,'DB Country PMI'!$A$1:$V$1,),))</f>
        <v>53.6</v>
      </c>
      <c r="C108" s="14">
        <f>Table13468113[[#This Row],[PMI]]-B107</f>
        <v>-0.60000000000000142</v>
      </c>
    </row>
    <row r="109" spans="1:3" x14ac:dyDescent="0.2">
      <c r="A109" s="8">
        <v>42401</v>
      </c>
      <c r="B109" s="11">
        <f>IF(VLOOKUP(A109,'DB Country PMI'!$A:$V,MATCH($A$1,'DB Country PMI'!$A$1:$V$1,),)=0,#N/A,VLOOKUP(A109,'DB Country PMI'!$A:$V,MATCH($A$1,'DB Country PMI'!$A$1:$V$1,),))</f>
        <v>53.3</v>
      </c>
      <c r="C109" s="14">
        <f>Table13468113[[#This Row],[PMI]]-B108</f>
        <v>-0.30000000000000426</v>
      </c>
    </row>
    <row r="110" spans="1:3" x14ac:dyDescent="0.2">
      <c r="A110" s="8">
        <v>42430</v>
      </c>
      <c r="B110" s="11">
        <f>IF(VLOOKUP(A110,'DB Country PMI'!$A:$V,MATCH($A$1,'DB Country PMI'!$A$1:$V$1,),)=0,#N/A,VLOOKUP(A110,'DB Country PMI'!$A:$V,MATCH($A$1,'DB Country PMI'!$A$1:$V$1,),))</f>
        <v>53.1</v>
      </c>
      <c r="C110" s="14">
        <f>Table13468113[[#This Row],[PMI]]-B109</f>
        <v>-0.19999999999999574</v>
      </c>
    </row>
    <row r="111" spans="1:3" x14ac:dyDescent="0.2">
      <c r="A111" s="8">
        <v>42461</v>
      </c>
      <c r="B111" s="11">
        <f>IF(VLOOKUP(A111,'DB Country PMI'!$A:$V,MATCH($A$1,'DB Country PMI'!$A$1:$V$1,),)=0,#N/A,VLOOKUP(A111,'DB Country PMI'!$A:$V,MATCH($A$1,'DB Country PMI'!$A$1:$V$1,),))</f>
        <v>53.1</v>
      </c>
      <c r="C111" s="14">
        <f>Table13468113[[#This Row],[PMI]]-B110</f>
        <v>0</v>
      </c>
    </row>
    <row r="112" spans="1:3" x14ac:dyDescent="0.2">
      <c r="A112" s="8">
        <v>42491</v>
      </c>
      <c r="B112" s="11">
        <f>IF(VLOOKUP(A112,'DB Country PMI'!$A:$V,MATCH($A$1,'DB Country PMI'!$A$1:$V$1,),)=0,#N/A,VLOOKUP(A112,'DB Country PMI'!$A:$V,MATCH($A$1,'DB Country PMI'!$A$1:$V$1,),))</f>
        <v>53.3</v>
      </c>
      <c r="C112" s="14">
        <f>Table13468113[[#This Row],[PMI]]-B111</f>
        <v>0.19999999999999574</v>
      </c>
    </row>
    <row r="113" spans="1:3" x14ac:dyDescent="0.2">
      <c r="A113" s="8">
        <v>42522</v>
      </c>
      <c r="B113" s="11">
        <f>IF(VLOOKUP(A113,'DB Country PMI'!$A:$V,MATCH($A$1,'DB Country PMI'!$A$1:$V$1,),)=0,#N/A,VLOOKUP(A113,'DB Country PMI'!$A:$V,MATCH($A$1,'DB Country PMI'!$A$1:$V$1,),))</f>
        <v>52.8</v>
      </c>
      <c r="C113" s="14">
        <f>Table13468113[[#This Row],[PMI]]-B112</f>
        <v>-0.5</v>
      </c>
    </row>
    <row r="114" spans="1:3" x14ac:dyDescent="0.2">
      <c r="A114" s="8">
        <v>42552</v>
      </c>
      <c r="B114" s="11">
        <f>IF(VLOOKUP(A114,'DB Country PMI'!$A:$V,MATCH($A$1,'DB Country PMI'!$A$1:$V$1,),)=0,#N/A,VLOOKUP(A114,'DB Country PMI'!$A:$V,MATCH($A$1,'DB Country PMI'!$A$1:$V$1,),))</f>
        <v>52.9</v>
      </c>
      <c r="C114" s="14">
        <f>Table13468113[[#This Row],[PMI]]-B113</f>
        <v>0.10000000000000142</v>
      </c>
    </row>
    <row r="115" spans="1:3" x14ac:dyDescent="0.2">
      <c r="A115" s="8">
        <v>42583</v>
      </c>
      <c r="B115" s="11">
        <f>IF(VLOOKUP(A115,'DB Country PMI'!$A:$V,MATCH($A$1,'DB Country PMI'!$A$1:$V$1,),)=0,#N/A,VLOOKUP(A115,'DB Country PMI'!$A:$V,MATCH($A$1,'DB Country PMI'!$A$1:$V$1,),))</f>
        <v>52.8</v>
      </c>
      <c r="C115" s="14">
        <f>Table13468113[[#This Row],[PMI]]-B114</f>
        <v>-0.10000000000000142</v>
      </c>
    </row>
    <row r="116" spans="1:3" x14ac:dyDescent="0.2">
      <c r="A116" s="8">
        <v>42614</v>
      </c>
      <c r="B116" s="11">
        <f>IF(VLOOKUP(A116,'DB Country PMI'!$A:$V,MATCH($A$1,'DB Country PMI'!$A$1:$V$1,),)=0,#N/A,VLOOKUP(A116,'DB Country PMI'!$A:$V,MATCH($A$1,'DB Country PMI'!$A$1:$V$1,),))</f>
        <v>52.2</v>
      </c>
      <c r="C116" s="14">
        <f>Table13468113[[#This Row],[PMI]]-B115</f>
        <v>-0.59999999999999432</v>
      </c>
    </row>
    <row r="117" spans="1:3" x14ac:dyDescent="0.2">
      <c r="A117" s="8">
        <v>42644</v>
      </c>
      <c r="B117" s="11">
        <f>IF(VLOOKUP(A117,'DB Country PMI'!$A:$V,MATCH($A$1,'DB Country PMI'!$A$1:$V$1,),)=0,#N/A,VLOOKUP(A117,'DB Country PMI'!$A:$V,MATCH($A$1,'DB Country PMI'!$A$1:$V$1,),))</f>
        <v>52.8</v>
      </c>
      <c r="C117" s="14">
        <f>Table13468113[[#This Row],[PMI]]-B116</f>
        <v>0.59999999999999432</v>
      </c>
    </row>
    <row r="118" spans="1:3" x14ac:dyDescent="0.2">
      <c r="A118" s="8">
        <v>42675</v>
      </c>
      <c r="B118" s="11">
        <f>IF(VLOOKUP(A118,'DB Country PMI'!$A:$V,MATCH($A$1,'DB Country PMI'!$A$1:$V$1,),)=0,#N/A,VLOOKUP(A118,'DB Country PMI'!$A:$V,MATCH($A$1,'DB Country PMI'!$A$1:$V$1,),))</f>
        <v>53.8</v>
      </c>
      <c r="C118" s="14">
        <f>Table13468113[[#This Row],[PMI]]-B117</f>
        <v>1</v>
      </c>
    </row>
    <row r="119" spans="1:3" x14ac:dyDescent="0.2">
      <c r="A119" s="8">
        <v>42705</v>
      </c>
      <c r="B119" s="11">
        <f>IF(VLOOKUP(A119,'DB Country PMI'!$A:$V,MATCH($A$1,'DB Country PMI'!$A$1:$V$1,),)=0,#N/A,VLOOKUP(A119,'DB Country PMI'!$A:$V,MATCH($A$1,'DB Country PMI'!$A$1:$V$1,),))</f>
        <v>53.7</v>
      </c>
      <c r="C119" s="14">
        <f>Table13468113[[#This Row],[PMI]]-B118</f>
        <v>-9.9999999999994316E-2</v>
      </c>
    </row>
    <row r="120" spans="1:3" x14ac:dyDescent="0.2">
      <c r="A120" s="8">
        <v>42736</v>
      </c>
      <c r="B120" s="11">
        <f>IF(VLOOKUP(A120,'DB Country PMI'!$A:$V,MATCH($A$1,'DB Country PMI'!$A$1:$V$1,),)=0,#N/A,VLOOKUP(A120,'DB Country PMI'!$A:$V,MATCH($A$1,'DB Country PMI'!$A$1:$V$1,),))</f>
        <v>53.7</v>
      </c>
      <c r="C120" s="14">
        <f>Table13468113[[#This Row],[PMI]]-B119</f>
        <v>0</v>
      </c>
    </row>
    <row r="121" spans="1:3" x14ac:dyDescent="0.2">
      <c r="A121" s="8">
        <v>42767</v>
      </c>
      <c r="B121" s="11">
        <f>IF(VLOOKUP(A121,'DB Country PMI'!$A:$V,MATCH($A$1,'DB Country PMI'!$A$1:$V$1,),)=0,#N/A,VLOOKUP(A121,'DB Country PMI'!$A:$V,MATCH($A$1,'DB Country PMI'!$A$1:$V$1,),))</f>
        <v>55.5</v>
      </c>
      <c r="C121" s="14">
        <f>Table13468113[[#This Row],[PMI]]-B120</f>
        <v>1.7999999999999972</v>
      </c>
    </row>
    <row r="122" spans="1:3" x14ac:dyDescent="0.2">
      <c r="A122" s="8">
        <v>42795</v>
      </c>
      <c r="B122" s="11">
        <f>IF(VLOOKUP(A122,'DB Country PMI'!$A:$V,MATCH($A$1,'DB Country PMI'!$A$1:$V$1,),)=0,#N/A,VLOOKUP(A122,'DB Country PMI'!$A:$V,MATCH($A$1,'DB Country PMI'!$A$1:$V$1,),))</f>
        <v>56</v>
      </c>
      <c r="C122" s="14">
        <f>Table13468113[[#This Row],[PMI]]-B121</f>
        <v>0.5</v>
      </c>
    </row>
    <row r="123" spans="1:3" x14ac:dyDescent="0.2">
      <c r="A123" s="8">
        <v>42826</v>
      </c>
      <c r="B123" s="11">
        <f>IF(VLOOKUP(A123,'DB Country PMI'!$A:$V,MATCH($A$1,'DB Country PMI'!$A$1:$V$1,),)=0,#N/A,VLOOKUP(A123,'DB Country PMI'!$A:$V,MATCH($A$1,'DB Country PMI'!$A$1:$V$1,),))</f>
        <v>56.4</v>
      </c>
      <c r="C123" s="14">
        <f>Table13468113[[#This Row],[PMI]]-B122</f>
        <v>0.39999999999999858</v>
      </c>
    </row>
    <row r="124" spans="1:3" x14ac:dyDescent="0.2">
      <c r="A124" s="8">
        <v>42856</v>
      </c>
      <c r="B124" s="11">
        <f>IF(VLOOKUP(A124,'DB Country PMI'!$A:$V,MATCH($A$1,'DB Country PMI'!$A$1:$V$1,),)=0,#N/A,VLOOKUP(A124,'DB Country PMI'!$A:$V,MATCH($A$1,'DB Country PMI'!$A$1:$V$1,),))</f>
        <v>56.3</v>
      </c>
      <c r="C124" s="14">
        <f>Table13468113[[#This Row],[PMI]]-B123</f>
        <v>-0.10000000000000142</v>
      </c>
    </row>
    <row r="125" spans="1:3" x14ac:dyDescent="0.2">
      <c r="A125" s="8">
        <v>42887</v>
      </c>
      <c r="B125" s="11">
        <f>IF(VLOOKUP(A125,'DB Country PMI'!$A:$V,MATCH($A$1,'DB Country PMI'!$A$1:$V$1,),)=0,#N/A,VLOOKUP(A125,'DB Country PMI'!$A:$V,MATCH($A$1,'DB Country PMI'!$A$1:$V$1,),))</f>
        <v>55.4</v>
      </c>
      <c r="C125" s="14">
        <f>Table13468113[[#This Row],[PMI]]-B124</f>
        <v>-0.89999999999999858</v>
      </c>
    </row>
    <row r="126" spans="1:3" x14ac:dyDescent="0.2">
      <c r="A126" s="8">
        <v>42917</v>
      </c>
      <c r="B126" s="11">
        <f>IF(VLOOKUP(A126,'DB Country PMI'!$A:$V,MATCH($A$1,'DB Country PMI'!$A$1:$V$1,),)=0,#N/A,VLOOKUP(A126,'DB Country PMI'!$A:$V,MATCH($A$1,'DB Country PMI'!$A$1:$V$1,),))</f>
        <v>55.4</v>
      </c>
      <c r="C126" s="14">
        <f>Table13468113[[#This Row],[PMI]]-B125</f>
        <v>0</v>
      </c>
    </row>
    <row r="127" spans="1:3" x14ac:dyDescent="0.2">
      <c r="A127" s="8">
        <v>42948</v>
      </c>
      <c r="B127" s="11">
        <f>IF(VLOOKUP(A127,'DB Country PMI'!$A:$V,MATCH($A$1,'DB Country PMI'!$A$1:$V$1,),)=0,#N/A,VLOOKUP(A127,'DB Country PMI'!$A:$V,MATCH($A$1,'DB Country PMI'!$A$1:$V$1,),))</f>
        <v>54.7</v>
      </c>
      <c r="C127" s="14">
        <f>Table13468113[[#This Row],[PMI]]-B126</f>
        <v>-0.69999999999999574</v>
      </c>
    </row>
    <row r="128" spans="1:3" x14ac:dyDescent="0.2">
      <c r="A128" s="8">
        <v>42979</v>
      </c>
      <c r="B128" s="11">
        <f>IF(VLOOKUP(A128,'DB Country PMI'!$A:$V,MATCH($A$1,'DB Country PMI'!$A$1:$V$1,),)=0,#N/A,VLOOKUP(A128,'DB Country PMI'!$A:$V,MATCH($A$1,'DB Country PMI'!$A$1:$V$1,),))</f>
        <v>55.8</v>
      </c>
      <c r="C128" s="14">
        <f>Table13468113[[#This Row],[PMI]]-B127</f>
        <v>1.0999999999999943</v>
      </c>
    </row>
    <row r="129" spans="1:3" x14ac:dyDescent="0.2">
      <c r="A129" s="8">
        <v>43009</v>
      </c>
      <c r="B129" s="11">
        <f>IF(VLOOKUP(A129,'DB Country PMI'!$A:$V,MATCH($A$1,'DB Country PMI'!$A$1:$V$1,),)=0,#N/A,VLOOKUP(A129,'DB Country PMI'!$A:$V,MATCH($A$1,'DB Country PMI'!$A$1:$V$1,),))</f>
        <v>55</v>
      </c>
      <c r="C129" s="14">
        <f>Table13468113[[#This Row],[PMI]]-B128</f>
        <v>-0.79999999999999716</v>
      </c>
    </row>
    <row r="130" spans="1:3" x14ac:dyDescent="0.2">
      <c r="A130" s="8">
        <v>43040</v>
      </c>
      <c r="B130" s="11">
        <f>IF(VLOOKUP(A130,'DB Country PMI'!$A:$V,MATCH($A$1,'DB Country PMI'!$A$1:$V$1,),)=0,#N/A,VLOOKUP(A130,'DB Country PMI'!$A:$V,MATCH($A$1,'DB Country PMI'!$A$1:$V$1,),))</f>
        <v>56.2</v>
      </c>
      <c r="C130" s="14">
        <f>Table13468113[[#This Row],[PMI]]-B129</f>
        <v>1.2000000000000028</v>
      </c>
    </row>
    <row r="131" spans="1:3" x14ac:dyDescent="0.2">
      <c r="A131" s="8">
        <v>43070</v>
      </c>
      <c r="B131" s="11">
        <f>IF(VLOOKUP(A131,'DB Country PMI'!$A:$V,MATCH($A$1,'DB Country PMI'!$A$1:$V$1,),)=0,#N/A,VLOOKUP(A131,'DB Country PMI'!$A:$V,MATCH($A$1,'DB Country PMI'!$A$1:$V$1,),))</f>
        <v>56.6</v>
      </c>
      <c r="C131" s="14">
        <f>Table13468113[[#This Row],[PMI]]-B130</f>
        <v>0.39999999999999858</v>
      </c>
    </row>
    <row r="132" spans="1:3" x14ac:dyDescent="0.2">
      <c r="A132" s="8">
        <v>43101</v>
      </c>
      <c r="B132" s="11">
        <f>IF(VLOOKUP(A132,'DB Country PMI'!$A:$V,MATCH($A$1,'DB Country PMI'!$A$1:$V$1,),)=0,#N/A,VLOOKUP(A132,'DB Country PMI'!$A:$V,MATCH($A$1,'DB Country PMI'!$A$1:$V$1,),))</f>
        <v>58</v>
      </c>
      <c r="C132" s="14">
        <f>Table13468113[[#This Row],[PMI]]-B131</f>
        <v>1.3999999999999986</v>
      </c>
    </row>
    <row r="133" spans="1:3" x14ac:dyDescent="0.2">
      <c r="A133" s="8">
        <v>43132</v>
      </c>
      <c r="B133" s="11">
        <f>IF(VLOOKUP(A133,'DB Country PMI'!$A:$V,MATCH($A$1,'DB Country PMI'!$A$1:$V$1,),)=0,#N/A,VLOOKUP(A133,'DB Country PMI'!$A:$V,MATCH($A$1,'DB Country PMI'!$A$1:$V$1,),))</f>
        <v>56.2</v>
      </c>
      <c r="C133" s="14">
        <f>Table13468113[[#This Row],[PMI]]-B132</f>
        <v>-1.7999999999999972</v>
      </c>
    </row>
    <row r="134" spans="1:3" x14ac:dyDescent="0.2">
      <c r="A134" s="8">
        <v>43160</v>
      </c>
      <c r="B134" s="11">
        <f>IF(VLOOKUP(A134,'DB Country PMI'!$A:$V,MATCH($A$1,'DB Country PMI'!$A$1:$V$1,),)=0,#N/A,VLOOKUP(A134,'DB Country PMI'!$A:$V,MATCH($A$1,'DB Country PMI'!$A$1:$V$1,),))</f>
        <v>54.9</v>
      </c>
      <c r="C134" s="14">
        <f>Table13468113[[#This Row],[PMI]]-B133</f>
        <v>-1.3000000000000043</v>
      </c>
    </row>
    <row r="135" spans="1:3" x14ac:dyDescent="0.2">
      <c r="A135" s="8">
        <v>43191</v>
      </c>
      <c r="B135" s="11">
        <f>IF(VLOOKUP(A135,'DB Country PMI'!$A:$V,MATCH($A$1,'DB Country PMI'!$A$1:$V$1,),)=0,#N/A,VLOOKUP(A135,'DB Country PMI'!$A:$V,MATCH($A$1,'DB Country PMI'!$A$1:$V$1,),))</f>
        <v>54.7</v>
      </c>
      <c r="C135" s="14">
        <f>Table13468113[[#This Row],[PMI]]-B134</f>
        <v>-0.19999999999999574</v>
      </c>
    </row>
    <row r="136" spans="1:3" x14ac:dyDescent="0.2">
      <c r="A136" s="8">
        <v>43221</v>
      </c>
      <c r="B136" s="11">
        <f>IF(VLOOKUP(A136,'DB Country PMI'!$A:$V,MATCH($A$1,'DB Country PMI'!$A$1:$V$1,),)=0,#N/A,VLOOKUP(A136,'DB Country PMI'!$A:$V,MATCH($A$1,'DB Country PMI'!$A$1:$V$1,),))</f>
        <v>53.8</v>
      </c>
      <c r="C136" s="14">
        <f>Table13468113[[#This Row],[PMI]]-B135</f>
        <v>-0.90000000000000568</v>
      </c>
    </row>
    <row r="137" spans="1:3" x14ac:dyDescent="0.2">
      <c r="A137" s="8">
        <v>43252</v>
      </c>
      <c r="B137" s="11">
        <f>IF(VLOOKUP(A137,'DB Country PMI'!$A:$V,MATCH($A$1,'DB Country PMI'!$A$1:$V$1,),)=0,#N/A,VLOOKUP(A137,'DB Country PMI'!$A:$V,MATCH($A$1,'DB Country PMI'!$A$1:$V$1,),))</f>
        <v>55.2</v>
      </c>
      <c r="C137" s="14">
        <f>Table13468113[[#This Row],[PMI]]-B136</f>
        <v>1.4000000000000057</v>
      </c>
    </row>
    <row r="138" spans="1:3" x14ac:dyDescent="0.2">
      <c r="A138" s="8">
        <v>43282</v>
      </c>
      <c r="B138" s="11">
        <f>IF(VLOOKUP(A138,'DB Country PMI'!$A:$V,MATCH($A$1,'DB Country PMI'!$A$1:$V$1,),)=0,#N/A,VLOOKUP(A138,'DB Country PMI'!$A:$V,MATCH($A$1,'DB Country PMI'!$A$1:$V$1,),))</f>
        <v>54.2</v>
      </c>
      <c r="C138" s="14">
        <f>Table13468113[[#This Row],[PMI]]-B137</f>
        <v>-1</v>
      </c>
    </row>
    <row r="139" spans="1:3" x14ac:dyDescent="0.2">
      <c r="A139" s="8">
        <v>43313</v>
      </c>
      <c r="B139" s="11">
        <f>IF(VLOOKUP(A139,'DB Country PMI'!$A:$V,MATCH($A$1,'DB Country PMI'!$A$1:$V$1,),)=0,#N/A,VLOOKUP(A139,'DB Country PMI'!$A:$V,MATCH($A$1,'DB Country PMI'!$A$1:$V$1,),))</f>
        <v>54.4</v>
      </c>
      <c r="C139" s="14">
        <f>Table13468113[[#This Row],[PMI]]-B138</f>
        <v>0.19999999999999574</v>
      </c>
    </row>
    <row r="140" spans="1:3" x14ac:dyDescent="0.2">
      <c r="A140" s="8">
        <v>43344</v>
      </c>
      <c r="B140" s="11">
        <f>IF(VLOOKUP(A140,'DB Country PMI'!$A:$V,MATCH($A$1,'DB Country PMI'!$A$1:$V$1,),)=0,#N/A,VLOOKUP(A140,'DB Country PMI'!$A:$V,MATCH($A$1,'DB Country PMI'!$A$1:$V$1,),))</f>
        <v>54.7</v>
      </c>
      <c r="C140" s="14">
        <f>Table13468113[[#This Row],[PMI]]-B139</f>
        <v>0.30000000000000426</v>
      </c>
    </row>
    <row r="141" spans="1:3" x14ac:dyDescent="0.2">
      <c r="A141" s="8">
        <v>43374</v>
      </c>
      <c r="B141" s="11">
        <f>IF(VLOOKUP(A141,'DB Country PMI'!$A:$V,MATCH($A$1,'DB Country PMI'!$A$1:$V$1,),)=0,#N/A,VLOOKUP(A141,'DB Country PMI'!$A:$V,MATCH($A$1,'DB Country PMI'!$A$1:$V$1,),))</f>
        <v>53.7</v>
      </c>
      <c r="C141" s="14">
        <f>Table13468113[[#This Row],[PMI]]-B140</f>
        <v>-1</v>
      </c>
    </row>
    <row r="142" spans="1:3" x14ac:dyDescent="0.2">
      <c r="A142" s="8">
        <v>43405</v>
      </c>
      <c r="B142" s="11">
        <f>IF(VLOOKUP(A142,'DB Country PMI'!$A:$V,MATCH($A$1,'DB Country PMI'!$A$1:$V$1,),)=0,#N/A,VLOOKUP(A142,'DB Country PMI'!$A:$V,MATCH($A$1,'DB Country PMI'!$A$1:$V$1,),))</f>
        <v>53.4</v>
      </c>
      <c r="C142" s="14">
        <f>Table13468113[[#This Row],[PMI]]-B141</f>
        <v>-0.30000000000000426</v>
      </c>
    </row>
    <row r="143" spans="1:3" x14ac:dyDescent="0.2">
      <c r="A143" s="8">
        <v>43435</v>
      </c>
      <c r="B143" s="11">
        <f>IF(VLOOKUP(A143,'DB Country PMI'!$A:$V,MATCH($A$1,'DB Country PMI'!$A$1:$V$1,),)=0,#N/A,VLOOKUP(A143,'DB Country PMI'!$A:$V,MATCH($A$1,'DB Country PMI'!$A$1:$V$1,),))</f>
        <v>51.2</v>
      </c>
      <c r="C143" s="14">
        <f>Table13468113[[#This Row],[PMI]]-B142</f>
        <v>-2.1999999999999957</v>
      </c>
    </row>
    <row r="144" spans="1:3" x14ac:dyDescent="0.2">
      <c r="A144" s="8">
        <v>43466</v>
      </c>
      <c r="B144" s="11">
        <f>IF(VLOOKUP(A144,'DB Country PMI'!$A:$V,MATCH($A$1,'DB Country PMI'!$A$1:$V$1,),)=0,#N/A,VLOOKUP(A144,'DB Country PMI'!$A:$V,MATCH($A$1,'DB Country PMI'!$A$1:$V$1,),))</f>
        <v>51.2</v>
      </c>
      <c r="C144" s="14">
        <f>Table13468113[[#This Row],[PMI]]-B143</f>
        <v>0</v>
      </c>
    </row>
    <row r="145" spans="1:3" x14ac:dyDescent="0.2">
      <c r="A145" s="8">
        <v>43497</v>
      </c>
      <c r="B145" s="11">
        <f>IF(VLOOKUP(A145,'DB Country PMI'!$A:$V,MATCH($A$1,'DB Country PMI'!$A$1:$V$1,),)=0,#N/A,VLOOKUP(A145,'DB Country PMI'!$A:$V,MATCH($A$1,'DB Country PMI'!$A$1:$V$1,),))</f>
        <v>52.8</v>
      </c>
      <c r="C145" s="14">
        <f>Table13468113[[#This Row],[PMI]]-B144</f>
        <v>1.5999999999999943</v>
      </c>
    </row>
    <row r="146" spans="1:3" x14ac:dyDescent="0.2">
      <c r="A146" s="8">
        <v>43525</v>
      </c>
      <c r="B146" s="11">
        <f>IF(VLOOKUP(A146,'DB Country PMI'!$A:$V,MATCH($A$1,'DB Country PMI'!$A$1:$V$1,),)=0,#N/A,VLOOKUP(A146,'DB Country PMI'!$A:$V,MATCH($A$1,'DB Country PMI'!$A$1:$V$1,),))</f>
        <v>53.3</v>
      </c>
      <c r="C146" s="14">
        <f>Table13468113[[#This Row],[PMI]]-B145</f>
        <v>0.5</v>
      </c>
    </row>
    <row r="147" spans="1:3" x14ac:dyDescent="0.2">
      <c r="A147" s="8">
        <v>43556</v>
      </c>
      <c r="B147" s="11">
        <f>IF(VLOOKUP(A147,'DB Country PMI'!$A:$V,MATCH($A$1,'DB Country PMI'!$A$1:$V$1,),)=0,#N/A,VLOOKUP(A147,'DB Country PMI'!$A:$V,MATCH($A$1,'DB Country PMI'!$A$1:$V$1,),))</f>
        <v>52.8</v>
      </c>
      <c r="C147" s="14">
        <f>Table13468113[[#This Row],[PMI]]-B146</f>
        <v>-0.5</v>
      </c>
    </row>
    <row r="148" spans="1:3" x14ac:dyDescent="0.2">
      <c r="A148" s="8">
        <v>43586</v>
      </c>
      <c r="B148" s="11">
        <f>IF(VLOOKUP(A148,'DB Country PMI'!$A:$V,MATCH($A$1,'DB Country PMI'!$A$1:$V$1,),)=0,#N/A,VLOOKUP(A148,'DB Country PMI'!$A:$V,MATCH($A$1,'DB Country PMI'!$A$1:$V$1,),))</f>
        <v>52.9</v>
      </c>
      <c r="C148" s="14">
        <f>Table13468113[[#This Row],[PMI]]-B147</f>
        <v>0.10000000000000142</v>
      </c>
    </row>
    <row r="149" spans="1:3" x14ac:dyDescent="0.2">
      <c r="A149" s="8">
        <v>43617</v>
      </c>
      <c r="B149" s="11">
        <f>IF(VLOOKUP(A149,'DB Country PMI'!$A:$V,MATCH($A$1,'DB Country PMI'!$A$1:$V$1,),)=0,#N/A,VLOOKUP(A149,'DB Country PMI'!$A:$V,MATCH($A$1,'DB Country PMI'!$A$1:$V$1,),))</f>
        <v>53.6</v>
      </c>
      <c r="C149" s="14">
        <f>Table13468113[[#This Row],[PMI]]-B148</f>
        <v>0.70000000000000284</v>
      </c>
    </row>
    <row r="150" spans="1:3" x14ac:dyDescent="0.2">
      <c r="A150" s="8">
        <v>43647</v>
      </c>
      <c r="B150" s="11">
        <f>IF(VLOOKUP(A150,'DB Country PMI'!$A:$V,MATCH($A$1,'DB Country PMI'!$A$1:$V$1,),)=0,#N/A,VLOOKUP(A150,'DB Country PMI'!$A:$V,MATCH($A$1,'DB Country PMI'!$A$1:$V$1,),))</f>
        <v>53.2</v>
      </c>
      <c r="C150" s="14">
        <f>Table13468113[[#This Row],[PMI]]-B149</f>
        <v>-0.39999999999999858</v>
      </c>
    </row>
    <row r="151" spans="1:3" x14ac:dyDescent="0.2">
      <c r="A151" s="8">
        <v>43678</v>
      </c>
      <c r="B151" s="11">
        <f>IF(VLOOKUP(A151,'DB Country PMI'!$A:$V,MATCH($A$1,'DB Country PMI'!$A$1:$V$1,),)=0,#N/A,VLOOKUP(A151,'DB Country PMI'!$A:$V,MATCH($A$1,'DB Country PMI'!$A$1:$V$1,),))</f>
        <v>53.5</v>
      </c>
      <c r="C151" s="14">
        <f>Table13468113[[#This Row],[PMI]]-B150</f>
        <v>0.29999999999999716</v>
      </c>
    </row>
    <row r="152" spans="1:3" x14ac:dyDescent="0.2">
      <c r="A152" s="8">
        <v>43709</v>
      </c>
      <c r="B152" s="11">
        <f>IF(VLOOKUP(A152,'DB Country PMI'!$A:$V,MATCH($A$1,'DB Country PMI'!$A$1:$V$1,),)=0,#N/A,VLOOKUP(A152,'DB Country PMI'!$A:$V,MATCH($A$1,'DB Country PMI'!$A$1:$V$1,),))</f>
        <v>51.6</v>
      </c>
      <c r="C152" s="14">
        <f>Table13468113[[#This Row],[PMI]]-B151</f>
        <v>-1.8999999999999986</v>
      </c>
    </row>
    <row r="153" spans="1:3" x14ac:dyDescent="0.2">
      <c r="A153" s="8">
        <v>43739</v>
      </c>
      <c r="B153" s="11">
        <f>IF(VLOOKUP(A153,'DB Country PMI'!$A:$V,MATCH($A$1,'DB Country PMI'!$A$1:$V$1,),)=0,#N/A,VLOOKUP(A153,'DB Country PMI'!$A:$V,MATCH($A$1,'DB Country PMI'!$A$1:$V$1,),))</f>
        <v>52.2</v>
      </c>
      <c r="C153" s="14">
        <f>Table13468113[[#This Row],[PMI]]-B152</f>
        <v>0.60000000000000142</v>
      </c>
    </row>
    <row r="154" spans="1:3" x14ac:dyDescent="0.2">
      <c r="A154" s="8">
        <v>43770</v>
      </c>
      <c r="B154" s="11">
        <f>IF(VLOOKUP(A154,'DB Country PMI'!$A:$V,MATCH($A$1,'DB Country PMI'!$A$1:$V$1,),)=0,#N/A,VLOOKUP(A154,'DB Country PMI'!$A:$V,MATCH($A$1,'DB Country PMI'!$A$1:$V$1,),))</f>
        <v>51.9</v>
      </c>
      <c r="C154" s="14">
        <f>Table13468113[[#This Row],[PMI]]-B153</f>
        <v>-0.30000000000000426</v>
      </c>
    </row>
    <row r="155" spans="1:3" x14ac:dyDescent="0.2">
      <c r="A155" s="8">
        <v>43800</v>
      </c>
      <c r="B155" s="11">
        <f>IF(VLOOKUP(A155,'DB Country PMI'!$A:$V,MATCH($A$1,'DB Country PMI'!$A$1:$V$1,),)=0,#N/A,VLOOKUP(A155,'DB Country PMI'!$A:$V,MATCH($A$1,'DB Country PMI'!$A$1:$V$1,),))</f>
        <v>52.8</v>
      </c>
      <c r="C155" s="14">
        <f>Table13468113[[#This Row],[PMI]]-B154</f>
        <v>0.89999999999999858</v>
      </c>
    </row>
    <row r="156" spans="1:3" x14ac:dyDescent="0.2">
      <c r="A156" s="8">
        <v>43831</v>
      </c>
      <c r="B156" s="11">
        <f>IF(VLOOKUP(A156,'DB Country PMI'!$A:$V,MATCH($A$1,'DB Country PMI'!$A$1:$V$1,),)=0,#N/A,VLOOKUP(A156,'DB Country PMI'!$A:$V,MATCH($A$1,'DB Country PMI'!$A$1:$V$1,),))</f>
        <v>52.5</v>
      </c>
      <c r="C156" s="14">
        <f>Table13468113[[#This Row],[PMI]]-B155</f>
        <v>-0.29999999999999716</v>
      </c>
    </row>
    <row r="157" spans="1:3" x14ac:dyDescent="0.2">
      <c r="A157" s="8">
        <v>43862</v>
      </c>
      <c r="B157" s="11">
        <f>IF(VLOOKUP(A157,'DB Country PMI'!$A:$V,MATCH($A$1,'DB Country PMI'!$A$1:$V$1,),)=0,#N/A,VLOOKUP(A157,'DB Country PMI'!$A:$V,MATCH($A$1,'DB Country PMI'!$A$1:$V$1,),))</f>
        <v>52.6</v>
      </c>
      <c r="C157" s="14">
        <f>Table13468113[[#This Row],[PMI]]-B156</f>
        <v>0.10000000000000142</v>
      </c>
    </row>
    <row r="158" spans="1:3" x14ac:dyDescent="0.2">
      <c r="A158" s="8">
        <v>43891</v>
      </c>
      <c r="B158" s="11">
        <f>IF(VLOOKUP(A158,'DB Country PMI'!$A:$V,MATCH($A$1,'DB Country PMI'!$A$1:$V$1,),)=0,#N/A,VLOOKUP(A158,'DB Country PMI'!$A:$V,MATCH($A$1,'DB Country PMI'!$A$1:$V$1,),))</f>
        <v>26.4</v>
      </c>
      <c r="C158" s="14">
        <f>Table13468113[[#This Row],[PMI]]-B157</f>
        <v>-26.200000000000003</v>
      </c>
    </row>
    <row r="159" spans="1:3" x14ac:dyDescent="0.2">
      <c r="A159" s="8">
        <v>43922</v>
      </c>
      <c r="B159" s="11">
        <f>IF(VLOOKUP(A159,'DB Country PMI'!$A:$V,MATCH($A$1,'DB Country PMI'!$A$1:$V$1,),)=0,#N/A,VLOOKUP(A159,'DB Country PMI'!$A:$V,MATCH($A$1,'DB Country PMI'!$A$1:$V$1,),))</f>
        <v>12</v>
      </c>
      <c r="C159" s="14">
        <f>Table13468113[[#This Row],[PMI]]-B158</f>
        <v>-14.399999999999999</v>
      </c>
    </row>
    <row r="160" spans="1:3" x14ac:dyDescent="0.2">
      <c r="A160" s="8">
        <v>43952</v>
      </c>
      <c r="B160" s="11">
        <f>IF(VLOOKUP(A160,'DB Country PMI'!$A:$V,MATCH($A$1,'DB Country PMI'!$A$1:$V$1,),)=0,#N/A,VLOOKUP(A160,'DB Country PMI'!$A:$V,MATCH($A$1,'DB Country PMI'!$A$1:$V$1,),))</f>
        <v>30.5</v>
      </c>
      <c r="C160" s="14">
        <f>Table13468113[[#This Row],[PMI]]-B159</f>
        <v>18.5</v>
      </c>
    </row>
    <row r="161" spans="1:3" x14ac:dyDescent="0.2">
      <c r="A161" s="8">
        <v>43983</v>
      </c>
      <c r="B161" s="11">
        <f>IF(VLOOKUP(A161,'DB Country PMI'!$A:$V,MATCH($A$1,'DB Country PMI'!$A$1:$V$1,),)=0,#N/A,VLOOKUP(A161,'DB Country PMI'!$A:$V,MATCH($A$1,'DB Country PMI'!$A$1:$V$1,),))</f>
        <v>48.3</v>
      </c>
      <c r="C161" s="14">
        <f>Table13468113[[#This Row],[PMI]]-B160</f>
        <v>17.799999999999997</v>
      </c>
    </row>
    <row r="162" spans="1:3" x14ac:dyDescent="0.2">
      <c r="A162" s="8">
        <v>44013</v>
      </c>
      <c r="B162" s="11">
        <f>IF(VLOOKUP(A162,'DB Country PMI'!$A:$V,MATCH($A$1,'DB Country PMI'!$A$1:$V$1,),)=0,#N/A,VLOOKUP(A162,'DB Country PMI'!$A:$V,MATCH($A$1,'DB Country PMI'!$A$1:$V$1,),))</f>
        <v>54.7</v>
      </c>
      <c r="C162" s="14">
        <f>Table13468113[[#This Row],[PMI]]-B161</f>
        <v>6.4000000000000057</v>
      </c>
    </row>
    <row r="163" spans="1:3" x14ac:dyDescent="0.2">
      <c r="A163" s="8">
        <v>44044</v>
      </c>
      <c r="B163" s="11">
        <f>IF(VLOOKUP(A163,'DB Country PMI'!$A:$V,MATCH($A$1,'DB Country PMI'!$A$1:$V$1,),)=0,#N/A,VLOOKUP(A163,'DB Country PMI'!$A:$V,MATCH($A$1,'DB Country PMI'!$A$1:$V$1,),))</f>
        <v>50.5</v>
      </c>
      <c r="C163" s="14">
        <f>Table13468113[[#This Row],[PMI]]-B162</f>
        <v>-4.2000000000000028</v>
      </c>
    </row>
    <row r="164" spans="1:3" x14ac:dyDescent="0.2">
      <c r="A164" s="8">
        <v>44075</v>
      </c>
      <c r="B164" s="11">
        <f>IF(VLOOKUP(A164,'DB Country PMI'!$A:$V,MATCH($A$1,'DB Country PMI'!$A$1:$V$1,),)=0,#N/A,VLOOKUP(A164,'DB Country PMI'!$A:$V,MATCH($A$1,'DB Country PMI'!$A$1:$V$1,),))</f>
        <v>48</v>
      </c>
      <c r="C164" s="14">
        <f>Table13468113[[#This Row],[PMI]]-B163</f>
        <v>-2.5</v>
      </c>
    </row>
    <row r="165" spans="1:3" x14ac:dyDescent="0.2">
      <c r="A165" s="8">
        <v>44105</v>
      </c>
      <c r="B165" s="11">
        <f>IF(VLOOKUP(A165,'DB Country PMI'!$A:$V,MATCH($A$1,'DB Country PMI'!$A$1:$V$1,),)=0,#N/A,VLOOKUP(A165,'DB Country PMI'!$A:$V,MATCH($A$1,'DB Country PMI'!$A$1:$V$1,),))</f>
        <v>46.9</v>
      </c>
      <c r="C165" s="14">
        <f>Table13468113[[#This Row],[PMI]]-B164</f>
        <v>-1.1000000000000014</v>
      </c>
    </row>
    <row r="166" spans="1:3" x14ac:dyDescent="0.2">
      <c r="A166" s="8">
        <v>44136</v>
      </c>
      <c r="B166" s="11">
        <f>IF(VLOOKUP(A166,'DB Country PMI'!$A:$V,MATCH($A$1,'DB Country PMI'!$A$1:$V$1,),)=0,#N/A,VLOOKUP(A166,'DB Country PMI'!$A:$V,MATCH($A$1,'DB Country PMI'!$A$1:$V$1,),))</f>
        <v>41.7</v>
      </c>
      <c r="C166" s="14">
        <f>Table13468113[[#This Row],[PMI]]-B165</f>
        <v>-5.1999999999999957</v>
      </c>
    </row>
    <row r="167" spans="1:3" x14ac:dyDescent="0.2">
      <c r="A167" s="8">
        <v>44166</v>
      </c>
      <c r="B167" s="11">
        <f>IF(VLOOKUP(A167,'DB Country PMI'!$A:$V,MATCH($A$1,'DB Country PMI'!$A$1:$V$1,),)=0,#N/A,VLOOKUP(A167,'DB Country PMI'!$A:$V,MATCH($A$1,'DB Country PMI'!$A$1:$V$1,),))</f>
        <v>46.4</v>
      </c>
      <c r="C167" s="14">
        <f>Table13468113[[#This Row],[PMI]]-B166</f>
        <v>4.6999999999999957</v>
      </c>
    </row>
    <row r="168" spans="1:3" x14ac:dyDescent="0.2">
      <c r="A168" s="8">
        <v>44197</v>
      </c>
      <c r="B168" s="11">
        <f>IF(VLOOKUP(A168,'DB Country PMI'!$A:$V,MATCH($A$1,'DB Country PMI'!$A$1:$V$1,),)=0,#N/A,VLOOKUP(A168,'DB Country PMI'!$A:$V,MATCH($A$1,'DB Country PMI'!$A$1:$V$1,),))</f>
        <v>45.4</v>
      </c>
      <c r="C168" s="14">
        <f>Table13468113[[#This Row],[PMI]]-B167</f>
        <v>-1</v>
      </c>
    </row>
    <row r="169" spans="1:3" x14ac:dyDescent="0.2">
      <c r="A169" s="8">
        <v>44228</v>
      </c>
      <c r="B169" s="11">
        <f>IF(VLOOKUP(A169,'DB Country PMI'!$A:$V,MATCH($A$1,'DB Country PMI'!$A$1:$V$1,),)=0,#N/A,VLOOKUP(A169,'DB Country PMI'!$A:$V,MATCH($A$1,'DB Country PMI'!$A$1:$V$1,),))</f>
        <v>45.7</v>
      </c>
      <c r="C169" s="14">
        <f>Table13468113[[#This Row],[PMI]]-B168</f>
        <v>0.30000000000000426</v>
      </c>
    </row>
    <row r="170" spans="1:3" x14ac:dyDescent="0.2">
      <c r="A170" s="8">
        <v>44256</v>
      </c>
      <c r="B170" s="11">
        <f>IF(VLOOKUP(A170,'DB Country PMI'!$A:$V,MATCH($A$1,'DB Country PMI'!$A$1:$V$1,),)=0,#N/A,VLOOKUP(A170,'DB Country PMI'!$A:$V,MATCH($A$1,'DB Country PMI'!$A$1:$V$1,),))</f>
        <v>49.6</v>
      </c>
      <c r="C170" s="14">
        <f>Table13468113[[#This Row],[PMI]]-B169</f>
        <v>3.8999999999999986</v>
      </c>
    </row>
    <row r="171" spans="1:3" x14ac:dyDescent="0.2">
      <c r="A171" s="8">
        <v>44287</v>
      </c>
      <c r="B171" s="11">
        <f>IF(VLOOKUP(A171,'DB Country PMI'!$A:$V,MATCH($A$1,'DB Country PMI'!$A$1:$V$1,),)=0,#N/A,VLOOKUP(A171,'DB Country PMI'!$A:$V,MATCH($A$1,'DB Country PMI'!$A$1:$V$1,),))</f>
        <v>50.5</v>
      </c>
      <c r="C171" s="14">
        <f>Table13468113[[#This Row],[PMI]]-B170</f>
        <v>0.89999999999999858</v>
      </c>
    </row>
    <row r="172" spans="1:3" x14ac:dyDescent="0.2">
      <c r="A172" s="8">
        <v>44317</v>
      </c>
      <c r="B172" s="11">
        <f>IF(VLOOKUP(A172,'DB Country PMI'!$A:$V,MATCH($A$1,'DB Country PMI'!$A$1:$V$1,),)=0,#N/A,VLOOKUP(A172,'DB Country PMI'!$A:$V,MATCH($A$1,'DB Country PMI'!$A$1:$V$1,),))</f>
        <v>55.2</v>
      </c>
      <c r="C172" s="14">
        <f>Table13468113[[#This Row],[PMI]]-B171</f>
        <v>4.7000000000000028</v>
      </c>
    </row>
    <row r="173" spans="1:3" x14ac:dyDescent="0.2">
      <c r="A173" s="8">
        <v>44348</v>
      </c>
      <c r="B173" s="11">
        <f>IF(VLOOKUP(A173,'DB Country PMI'!$A:$V,MATCH($A$1,'DB Country PMI'!$A$1:$V$1,),)=0,#N/A,VLOOKUP(A173,'DB Country PMI'!$A:$V,MATCH($A$1,'DB Country PMI'!$A$1:$V$1,),))</f>
        <v>58.3</v>
      </c>
      <c r="C173" s="14">
        <f>Table13468113[[#This Row],[PMI]]-B172</f>
        <v>3.0999999999999943</v>
      </c>
    </row>
    <row r="174" spans="1:3" x14ac:dyDescent="0.2">
      <c r="A174" s="8">
        <v>44378</v>
      </c>
      <c r="B174" s="11">
        <f>IF(VLOOKUP(A174,'DB Country PMI'!$A:$V,MATCH($A$1,'DB Country PMI'!$A$1:$V$1,),)=0,#N/A,VLOOKUP(A174,'DB Country PMI'!$A:$V,MATCH($A$1,'DB Country PMI'!$A$1:$V$1,),))</f>
        <v>59.8</v>
      </c>
      <c r="C174" s="14">
        <f>Table13468113[[#This Row],[PMI]]-B173</f>
        <v>1.5</v>
      </c>
    </row>
    <row r="175" spans="1:3" x14ac:dyDescent="0.2">
      <c r="A175" s="8">
        <v>44409</v>
      </c>
      <c r="B175" s="11">
        <f>IF(VLOOKUP(A175,'DB Country PMI'!$A:$V,MATCH($A$1,'DB Country PMI'!$A$1:$V$1,),)=0,#N/A,VLOOKUP(A175,'DB Country PMI'!$A:$V,MATCH($A$1,'DB Country PMI'!$A$1:$V$1,),))</f>
        <v>59</v>
      </c>
      <c r="C175" s="14">
        <f>Table13468113[[#This Row],[PMI]]-B174</f>
        <v>-0.79999999999999716</v>
      </c>
    </row>
    <row r="176" spans="1:3" x14ac:dyDescent="0.2">
      <c r="A176" s="8">
        <v>44440</v>
      </c>
      <c r="B176" s="11">
        <f>IF(VLOOKUP(A176,'DB Country PMI'!$A:$V,MATCH($A$1,'DB Country PMI'!$A$1:$V$1,),)=0,#N/A,VLOOKUP(A176,'DB Country PMI'!$A:$V,MATCH($A$1,'DB Country PMI'!$A$1:$V$1,),))</f>
        <v>56.4</v>
      </c>
      <c r="C176" s="14">
        <f>Table13468113[[#This Row],[PMI]]-B175</f>
        <v>-2.6000000000000014</v>
      </c>
    </row>
    <row r="177" spans="1:3" x14ac:dyDescent="0.2">
      <c r="A177" s="8">
        <v>44470</v>
      </c>
      <c r="B177" s="11">
        <f>IF(VLOOKUP(A177,'DB Country PMI'!$A:$V,MATCH($A$1,'DB Country PMI'!$A$1:$V$1,),)=0,#N/A,VLOOKUP(A177,'DB Country PMI'!$A:$V,MATCH($A$1,'DB Country PMI'!$A$1:$V$1,),))</f>
        <v>54.6</v>
      </c>
      <c r="C177" s="14">
        <f>Table13468113[[#This Row],[PMI]]-B176</f>
        <v>-1.7999999999999972</v>
      </c>
    </row>
    <row r="178" spans="1:3" x14ac:dyDescent="0.2">
      <c r="A178" s="8">
        <v>44501</v>
      </c>
      <c r="B178" s="11">
        <f>IF(VLOOKUP(A178,'DB Country PMI'!$A:$V,MATCH($A$1,'DB Country PMI'!$A$1:$V$1,),)=0,#N/A,VLOOKUP(A178,'DB Country PMI'!$A:$V,MATCH($A$1,'DB Country PMI'!$A$1:$V$1,),))</f>
        <v>55.9</v>
      </c>
      <c r="C178" s="14">
        <f>Table13468113[[#This Row],[PMI]]-B177</f>
        <v>1.2999999999999972</v>
      </c>
    </row>
    <row r="179" spans="1:3" x14ac:dyDescent="0.2">
      <c r="A179" s="8">
        <v>44531</v>
      </c>
      <c r="B179" s="11">
        <f>IF(VLOOKUP(A179,'DB Country PMI'!$A:$V,MATCH($A$1,'DB Country PMI'!$A$1:$V$1,),)=0,#N/A,VLOOKUP(A179,'DB Country PMI'!$A:$V,MATCH($A$1,'DB Country PMI'!$A$1:$V$1,),))</f>
        <v>53.1</v>
      </c>
      <c r="C179" s="14">
        <f>Table13468113[[#This Row],[PMI]]-B178</f>
        <v>-2.7999999999999972</v>
      </c>
    </row>
    <row r="180" spans="1:3" x14ac:dyDescent="0.2">
      <c r="A180" s="8">
        <v>44562</v>
      </c>
      <c r="B180" s="11">
        <f>IF(VLOOKUP(A180,'DB Country PMI'!$A:$V,MATCH($A$1,'DB Country PMI'!$A$1:$V$1,),)=0,#N/A,VLOOKUP(A180,'DB Country PMI'!$A:$V,MATCH($A$1,'DB Country PMI'!$A$1:$V$1,),))</f>
        <v>51.1</v>
      </c>
      <c r="C180" s="14">
        <f>Table13468113[[#This Row],[PMI]]-B179</f>
        <v>-2</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34</v>
      </c>
      <c r="J1" s="47" t="s">
        <v>61</v>
      </c>
    </row>
    <row r="2" spans="1:10" x14ac:dyDescent="0.2">
      <c r="J2" s="47" t="s">
        <v>64</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60.5</v>
      </c>
      <c r="C6" s="11"/>
    </row>
    <row r="7" spans="1:10" x14ac:dyDescent="0.2">
      <c r="A7" s="8">
        <v>40483</v>
      </c>
      <c r="B7" s="11">
        <f>IF(VLOOKUP(A7,'DB Country PMI'!$A:$W,MATCH($A$1,'DB Country PMI'!$A$1:$W$1,),)=0,#N/A,VLOOKUP(A7,'DB Country PMI'!$A:$W,MATCH($A$1,'DB Country PMI'!$A$1:$W$1,),))</f>
        <v>53.2</v>
      </c>
      <c r="C7" s="14">
        <f>Table134681134[[#This Row],[PMI]]-B6</f>
        <v>-7.2999999999999972</v>
      </c>
    </row>
    <row r="8" spans="1:10" x14ac:dyDescent="0.2">
      <c r="A8" s="8">
        <v>40513</v>
      </c>
      <c r="B8" s="11">
        <f>IF(VLOOKUP(A8,'DB Country PMI'!$A:$W,MATCH($A$1,'DB Country PMI'!$A$1:$W$1,),)=0,#N/A,VLOOKUP(A8,'DB Country PMI'!$A:$W,MATCH($A$1,'DB Country PMI'!$A$1:$W$1,),))</f>
        <v>48.1</v>
      </c>
      <c r="C8" s="14">
        <f>Table134681134[[#This Row],[PMI]]-B7</f>
        <v>-5.1000000000000014</v>
      </c>
    </row>
    <row r="9" spans="1:10" x14ac:dyDescent="0.2">
      <c r="A9" s="8">
        <v>40544</v>
      </c>
      <c r="B9" s="11">
        <f>IF(VLOOKUP(A9,'DB Country PMI'!$A:$W,MATCH($A$1,'DB Country PMI'!$A$1:$W$1,),)=0,#N/A,VLOOKUP(A9,'DB Country PMI'!$A:$W,MATCH($A$1,'DB Country PMI'!$A$1:$W$1,),))</f>
        <v>46.5</v>
      </c>
      <c r="C9" s="14">
        <f>Table134681134[[#This Row],[PMI]]-B8</f>
        <v>-1.6000000000000014</v>
      </c>
    </row>
    <row r="10" spans="1:10" x14ac:dyDescent="0.2">
      <c r="A10" s="8">
        <v>40575</v>
      </c>
      <c r="B10" s="11">
        <f>IF(VLOOKUP(A10,'DB Country PMI'!$A:$W,MATCH($A$1,'DB Country PMI'!$A$1:$W$1,),)=0,#N/A,VLOOKUP(A10,'DB Country PMI'!$A:$W,MATCH($A$1,'DB Country PMI'!$A$1:$W$1,),))</f>
        <v>44.1</v>
      </c>
      <c r="C10" s="14">
        <f>Table134681134[[#This Row],[PMI]]-B9</f>
        <v>-2.3999999999999986</v>
      </c>
    </row>
    <row r="11" spans="1:10" x14ac:dyDescent="0.2">
      <c r="A11" s="8">
        <v>40603</v>
      </c>
      <c r="B11" s="11">
        <f>IF(VLOOKUP(A11,'DB Country PMI'!$A:$W,MATCH($A$1,'DB Country PMI'!$A$1:$W$1,),)=0,#N/A,VLOOKUP(A11,'DB Country PMI'!$A:$W,MATCH($A$1,'DB Country PMI'!$A$1:$W$1,),))</f>
        <v>60.2</v>
      </c>
      <c r="C11" s="14">
        <f>Table134681134[[#This Row],[PMI]]-B10</f>
        <v>16.100000000000001</v>
      </c>
    </row>
    <row r="12" spans="1:10" x14ac:dyDescent="0.2">
      <c r="A12" s="8">
        <v>40634</v>
      </c>
      <c r="B12" s="11">
        <f>IF(VLOOKUP(A12,'DB Country PMI'!$A:$W,MATCH($A$1,'DB Country PMI'!$A$1:$W$1,),)=0,#N/A,VLOOKUP(A12,'DB Country PMI'!$A:$W,MATCH($A$1,'DB Country PMI'!$A$1:$W$1,),))</f>
        <v>62.5</v>
      </c>
      <c r="C12" s="14">
        <f>Table134681134[[#This Row],[PMI]]-B11</f>
        <v>2.2999999999999972</v>
      </c>
    </row>
    <row r="13" spans="1:10" x14ac:dyDescent="0.2">
      <c r="A13" s="8">
        <v>40664</v>
      </c>
      <c r="B13" s="11">
        <f>IF(VLOOKUP(A13,'DB Country PMI'!$A:$W,MATCH($A$1,'DB Country PMI'!$A$1:$W$1,),)=0,#N/A,VLOOKUP(A13,'DB Country PMI'!$A:$W,MATCH($A$1,'DB Country PMI'!$A$1:$W$1,),))</f>
        <v>61.9</v>
      </c>
      <c r="C13" s="14">
        <f>Table134681134[[#This Row],[PMI]]-B12</f>
        <v>-0.60000000000000142</v>
      </c>
    </row>
    <row r="14" spans="1:10" x14ac:dyDescent="0.2">
      <c r="A14" s="8">
        <v>40695</v>
      </c>
      <c r="B14" s="11">
        <f>IF(VLOOKUP(A14,'DB Country PMI'!$A:$W,MATCH($A$1,'DB Country PMI'!$A$1:$W$1,),)=0,#N/A,VLOOKUP(A14,'DB Country PMI'!$A:$W,MATCH($A$1,'DB Country PMI'!$A$1:$W$1,),))</f>
        <v>57</v>
      </c>
      <c r="C14" s="14">
        <f>Table134681134[[#This Row],[PMI]]-B13</f>
        <v>-4.8999999999999986</v>
      </c>
    </row>
    <row r="15" spans="1:10" x14ac:dyDescent="0.2">
      <c r="A15" s="8">
        <v>40725</v>
      </c>
      <c r="B15" s="11">
        <f>IF(VLOOKUP(A15,'DB Country PMI'!$A:$W,MATCH($A$1,'DB Country PMI'!$A$1:$W$1,),)=0,#N/A,VLOOKUP(A15,'DB Country PMI'!$A:$W,MATCH($A$1,'DB Country PMI'!$A$1:$W$1,),))</f>
        <v>59.6</v>
      </c>
      <c r="C15" s="14">
        <f>Table134681134[[#This Row],[PMI]]-B14</f>
        <v>2.6000000000000014</v>
      </c>
    </row>
    <row r="16" spans="1:10" x14ac:dyDescent="0.2">
      <c r="A16" s="8">
        <v>40756</v>
      </c>
      <c r="B16" s="11">
        <f>IF(VLOOKUP(A16,'DB Country PMI'!$A:$W,MATCH($A$1,'DB Country PMI'!$A$1:$W$1,),)=0,#N/A,VLOOKUP(A16,'DB Country PMI'!$A:$W,MATCH($A$1,'DB Country PMI'!$A$1:$W$1,),))</f>
        <v>58.1</v>
      </c>
      <c r="C16" s="14">
        <f>Table134681134[[#This Row],[PMI]]-B15</f>
        <v>-1.5</v>
      </c>
    </row>
    <row r="17" spans="1:3" x14ac:dyDescent="0.2">
      <c r="A17" s="8">
        <v>40787</v>
      </c>
      <c r="B17" s="11">
        <f>IF(VLOOKUP(A17,'DB Country PMI'!$A:$W,MATCH($A$1,'DB Country PMI'!$A$1:$W$1,),)=0,#N/A,VLOOKUP(A17,'DB Country PMI'!$A:$W,MATCH($A$1,'DB Country PMI'!$A$1:$W$1,),))</f>
        <v>57</v>
      </c>
      <c r="C17" s="14">
        <f>Table134681134[[#This Row],[PMI]]-B16</f>
        <v>-1.1000000000000014</v>
      </c>
    </row>
    <row r="18" spans="1:3" x14ac:dyDescent="0.2">
      <c r="A18" s="8">
        <v>40817</v>
      </c>
      <c r="B18" s="11">
        <f>IF(VLOOKUP(A18,'DB Country PMI'!$A:$W,MATCH($A$1,'DB Country PMI'!$A$1:$W$1,),)=0,#N/A,VLOOKUP(A18,'DB Country PMI'!$A:$W,MATCH($A$1,'DB Country PMI'!$A$1:$W$1,),))</f>
        <v>54.6</v>
      </c>
      <c r="C18" s="14">
        <f>Table134681134[[#This Row],[PMI]]-B17</f>
        <v>-2.3999999999999986</v>
      </c>
    </row>
    <row r="19" spans="1:3" x14ac:dyDescent="0.2">
      <c r="A19" s="8">
        <v>40848</v>
      </c>
      <c r="B19" s="11">
        <f>IF(VLOOKUP(A19,'DB Country PMI'!$A:$W,MATCH($A$1,'DB Country PMI'!$A$1:$W$1,),)=0,#N/A,VLOOKUP(A19,'DB Country PMI'!$A:$W,MATCH($A$1,'DB Country PMI'!$A$1:$W$1,),))</f>
        <v>49.7</v>
      </c>
      <c r="C19" s="14">
        <f>Table134681134[[#This Row],[PMI]]-B18</f>
        <v>-4.8999999999999986</v>
      </c>
    </row>
    <row r="20" spans="1:3" x14ac:dyDescent="0.2">
      <c r="A20" s="8">
        <v>40878</v>
      </c>
      <c r="B20" s="11">
        <f>IF(VLOOKUP(A20,'DB Country PMI'!$A:$W,MATCH($A$1,'DB Country PMI'!$A$1:$W$1,),)=0,#N/A,VLOOKUP(A20,'DB Country PMI'!$A:$W,MATCH($A$1,'DB Country PMI'!$A$1:$W$1,),))</f>
        <v>56</v>
      </c>
      <c r="C20" s="14">
        <f>Table134681134[[#This Row],[PMI]]-B19</f>
        <v>6.2999999999999972</v>
      </c>
    </row>
    <row r="21" spans="1:3" x14ac:dyDescent="0.2">
      <c r="A21" s="8">
        <v>40909</v>
      </c>
      <c r="B21" s="11">
        <f>IF(VLOOKUP(A21,'DB Country PMI'!$A:$W,MATCH($A$1,'DB Country PMI'!$A$1:$W$1,),)=0,#N/A,VLOOKUP(A21,'DB Country PMI'!$A:$W,MATCH($A$1,'DB Country PMI'!$A$1:$W$1,),))</f>
        <v>52.5</v>
      </c>
      <c r="C21" s="14">
        <f>Table134681134[[#This Row],[PMI]]-B20</f>
        <v>-3.5</v>
      </c>
    </row>
    <row r="22" spans="1:3" x14ac:dyDescent="0.2">
      <c r="A22" s="8">
        <v>40940</v>
      </c>
      <c r="B22" s="11">
        <f>IF(VLOOKUP(A22,'DB Country PMI'!$A:$W,MATCH($A$1,'DB Country PMI'!$A$1:$W$1,),)=0,#N/A,VLOOKUP(A22,'DB Country PMI'!$A:$W,MATCH($A$1,'DB Country PMI'!$A$1:$W$1,),))</f>
        <v>53.9</v>
      </c>
      <c r="C22" s="14">
        <f>Table134681134[[#This Row],[PMI]]-B21</f>
        <v>1.3999999999999986</v>
      </c>
    </row>
    <row r="23" spans="1:3" x14ac:dyDescent="0.2">
      <c r="A23" s="8">
        <v>40969</v>
      </c>
      <c r="B23" s="11">
        <f>IF(VLOOKUP(A23,'DB Country PMI'!$A:$W,MATCH($A$1,'DB Country PMI'!$A$1:$W$1,),)=0,#N/A,VLOOKUP(A23,'DB Country PMI'!$A:$W,MATCH($A$1,'DB Country PMI'!$A$1:$W$1,),))</f>
        <v>53.3</v>
      </c>
      <c r="C23" s="14">
        <f>Table134681134[[#This Row],[PMI]]-B22</f>
        <v>-0.60000000000000142</v>
      </c>
    </row>
    <row r="24" spans="1:3" x14ac:dyDescent="0.2">
      <c r="A24" s="8">
        <v>41000</v>
      </c>
      <c r="B24" s="11">
        <f>IF(VLOOKUP(A24,'DB Country PMI'!$A:$W,MATCH($A$1,'DB Country PMI'!$A$1:$W$1,),)=0,#N/A,VLOOKUP(A24,'DB Country PMI'!$A:$W,MATCH($A$1,'DB Country PMI'!$A$1:$W$1,),))</f>
        <v>54.1</v>
      </c>
      <c r="C24" s="14">
        <f>Table134681134[[#This Row],[PMI]]-B23</f>
        <v>0.80000000000000426</v>
      </c>
    </row>
    <row r="25" spans="1:3" x14ac:dyDescent="0.2">
      <c r="A25" s="8">
        <v>41030</v>
      </c>
      <c r="B25" s="11">
        <f>IF(VLOOKUP(A25,'DB Country PMI'!$A:$W,MATCH($A$1,'DB Country PMI'!$A$1:$W$1,),)=0,#N/A,VLOOKUP(A25,'DB Country PMI'!$A:$W,MATCH($A$1,'DB Country PMI'!$A$1:$W$1,),))</f>
        <v>54.7</v>
      </c>
      <c r="C25" s="14">
        <f>Table134681134[[#This Row],[PMI]]-B24</f>
        <v>0.60000000000000142</v>
      </c>
    </row>
    <row r="26" spans="1:3" x14ac:dyDescent="0.2">
      <c r="A26" s="8">
        <v>41061</v>
      </c>
      <c r="B26" s="11">
        <f>IF(VLOOKUP(A26,'DB Country PMI'!$A:$W,MATCH($A$1,'DB Country PMI'!$A$1:$W$1,),)=0,#N/A,VLOOKUP(A26,'DB Country PMI'!$A:$W,MATCH($A$1,'DB Country PMI'!$A$1:$W$1,),))</f>
        <v>52.3</v>
      </c>
      <c r="C26" s="14">
        <f>Table134681134[[#This Row],[PMI]]-B25</f>
        <v>-2.4000000000000057</v>
      </c>
    </row>
    <row r="27" spans="1:3" x14ac:dyDescent="0.2">
      <c r="A27" s="8">
        <v>41091</v>
      </c>
      <c r="B27" s="11">
        <f>IF(VLOOKUP(A27,'DB Country PMI'!$A:$W,MATCH($A$1,'DB Country PMI'!$A$1:$W$1,),)=0,#N/A,VLOOKUP(A27,'DB Country PMI'!$A:$W,MATCH($A$1,'DB Country PMI'!$A$1:$W$1,),))</f>
        <v>53.1</v>
      </c>
      <c r="C27" s="14">
        <f>Table134681134[[#This Row],[PMI]]-B26</f>
        <v>0.80000000000000426</v>
      </c>
    </row>
    <row r="28" spans="1:3" x14ac:dyDescent="0.2">
      <c r="A28" s="8">
        <v>41122</v>
      </c>
      <c r="B28" s="11">
        <f>IF(VLOOKUP(A28,'DB Country PMI'!$A:$W,MATCH($A$1,'DB Country PMI'!$A$1:$W$1,),)=0,#N/A,VLOOKUP(A28,'DB Country PMI'!$A:$W,MATCH($A$1,'DB Country PMI'!$A$1:$W$1,),))</f>
        <v>52</v>
      </c>
      <c r="C28" s="14">
        <f>Table134681134[[#This Row],[PMI]]-B27</f>
        <v>-1.1000000000000014</v>
      </c>
    </row>
    <row r="29" spans="1:3" x14ac:dyDescent="0.2">
      <c r="A29" s="8">
        <v>41153</v>
      </c>
      <c r="B29" s="11">
        <f>IF(VLOOKUP(A29,'DB Country PMI'!$A:$W,MATCH($A$1,'DB Country PMI'!$A$1:$W$1,),)=0,#N/A,VLOOKUP(A29,'DB Country PMI'!$A:$W,MATCH($A$1,'DB Country PMI'!$A$1:$W$1,),))</f>
        <v>54.3</v>
      </c>
      <c r="C29" s="14">
        <f>Table134681134[[#This Row],[PMI]]-B28</f>
        <v>2.2999999999999972</v>
      </c>
    </row>
    <row r="30" spans="1:3" x14ac:dyDescent="0.2">
      <c r="A30" s="8">
        <v>41183</v>
      </c>
      <c r="B30" s="11">
        <f>IF(VLOOKUP(A30,'DB Country PMI'!$A:$W,MATCH($A$1,'DB Country PMI'!$A$1:$W$1,),)=0,#N/A,VLOOKUP(A30,'DB Country PMI'!$A:$W,MATCH($A$1,'DB Country PMI'!$A$1:$W$1,),))</f>
        <v>53.5</v>
      </c>
      <c r="C30" s="14">
        <f>Table134681134[[#This Row],[PMI]]-B29</f>
        <v>-0.79999999999999716</v>
      </c>
    </row>
    <row r="31" spans="1:3" x14ac:dyDescent="0.2">
      <c r="A31" s="8">
        <v>41214</v>
      </c>
      <c r="B31" s="11">
        <f>IF(VLOOKUP(A31,'DB Country PMI'!$A:$W,MATCH($A$1,'DB Country PMI'!$A$1:$W$1,),)=0,#N/A,VLOOKUP(A31,'DB Country PMI'!$A:$W,MATCH($A$1,'DB Country PMI'!$A$1:$W$1,),))</f>
        <v>52.1</v>
      </c>
      <c r="C31" s="14">
        <f>Table134681134[[#This Row],[PMI]]-B30</f>
        <v>-1.3999999999999986</v>
      </c>
    </row>
    <row r="32" spans="1:3" x14ac:dyDescent="0.2">
      <c r="A32" s="8">
        <v>41244</v>
      </c>
      <c r="B32" s="11">
        <f>IF(VLOOKUP(A32,'DB Country PMI'!$A:$W,MATCH($A$1,'DB Country PMI'!$A$1:$W$1,),)=0,#N/A,VLOOKUP(A32,'DB Country PMI'!$A:$W,MATCH($A$1,'DB Country PMI'!$A$1:$W$1,),))</f>
        <v>53.5</v>
      </c>
      <c r="C32" s="14">
        <f>Table134681134[[#This Row],[PMI]]-B31</f>
        <v>1.3999999999999986</v>
      </c>
    </row>
    <row r="33" spans="1:3" x14ac:dyDescent="0.2">
      <c r="A33" s="8">
        <v>41275</v>
      </c>
      <c r="B33" s="11">
        <f>IF(VLOOKUP(A33,'DB Country PMI'!$A:$W,MATCH($A$1,'DB Country PMI'!$A$1:$W$1,),)=0,#N/A,VLOOKUP(A33,'DB Country PMI'!$A:$W,MATCH($A$1,'DB Country PMI'!$A$1:$W$1,),))</f>
        <v>54</v>
      </c>
      <c r="C33" s="14">
        <f>Table134681134[[#This Row],[PMI]]-B32</f>
        <v>0.5</v>
      </c>
    </row>
    <row r="34" spans="1:3" x14ac:dyDescent="0.2">
      <c r="A34" s="8">
        <v>41306</v>
      </c>
      <c r="B34" s="11">
        <f>IF(VLOOKUP(A34,'DB Country PMI'!$A:$W,MATCH($A$1,'DB Country PMI'!$A$1:$W$1,),)=0,#N/A,VLOOKUP(A34,'DB Country PMI'!$A:$W,MATCH($A$1,'DB Country PMI'!$A$1:$W$1,),))</f>
        <v>52.1</v>
      </c>
      <c r="C34" s="14">
        <f>Table134681134[[#This Row],[PMI]]-B33</f>
        <v>-1.8999999999999986</v>
      </c>
    </row>
    <row r="35" spans="1:3" x14ac:dyDescent="0.2">
      <c r="A35" s="8">
        <v>41334</v>
      </c>
      <c r="B35" s="11">
        <f>IF(VLOOKUP(A35,'DB Country PMI'!$A:$W,MATCH($A$1,'DB Country PMI'!$A$1:$W$1,),)=0,#N/A,VLOOKUP(A35,'DB Country PMI'!$A:$W,MATCH($A$1,'DB Country PMI'!$A$1:$W$1,),))</f>
        <v>54.3</v>
      </c>
      <c r="C35" s="14">
        <f>Table134681134[[#This Row],[PMI]]-B34</f>
        <v>2.1999999999999957</v>
      </c>
    </row>
    <row r="36" spans="1:3" x14ac:dyDescent="0.2">
      <c r="A36" s="8">
        <v>41365</v>
      </c>
      <c r="B36" s="11">
        <f>IF(VLOOKUP(A36,'DB Country PMI'!$A:$W,MATCH($A$1,'DB Country PMI'!$A$1:$W$1,),)=0,#N/A,VLOOKUP(A36,'DB Country PMI'!$A:$W,MATCH($A$1,'DB Country PMI'!$A$1:$W$1,),))</f>
        <v>51.1</v>
      </c>
      <c r="C36" s="14">
        <f>Table134681134[[#This Row],[PMI]]-B35</f>
        <v>-3.1999999999999957</v>
      </c>
    </row>
    <row r="37" spans="1:3" x14ac:dyDescent="0.2">
      <c r="A37" s="8">
        <v>41395</v>
      </c>
      <c r="B37" s="11">
        <f>IF(VLOOKUP(A37,'DB Country PMI'!$A:$W,MATCH($A$1,'DB Country PMI'!$A$1:$W$1,),)=0,#N/A,VLOOKUP(A37,'DB Country PMI'!$A:$W,MATCH($A$1,'DB Country PMI'!$A$1:$W$1,),))</f>
        <v>51.2</v>
      </c>
      <c r="C37" s="14">
        <f>Table134681134[[#This Row],[PMI]]-B36</f>
        <v>0.10000000000000142</v>
      </c>
    </row>
    <row r="38" spans="1:3" x14ac:dyDescent="0.2">
      <c r="A38" s="8">
        <v>41426</v>
      </c>
      <c r="B38" s="11">
        <f>IF(VLOOKUP(A38,'DB Country PMI'!$A:$W,MATCH($A$1,'DB Country PMI'!$A$1:$W$1,),)=0,#N/A,VLOOKUP(A38,'DB Country PMI'!$A:$W,MATCH($A$1,'DB Country PMI'!$A$1:$W$1,),))</f>
        <v>51.3</v>
      </c>
      <c r="C38" s="14">
        <f>Table134681134[[#This Row],[PMI]]-B37</f>
        <v>9.9999999999994316E-2</v>
      </c>
    </row>
    <row r="39" spans="1:3" x14ac:dyDescent="0.2">
      <c r="A39" s="8">
        <v>41456</v>
      </c>
      <c r="B39" s="11">
        <f>IF(VLOOKUP(A39,'DB Country PMI'!$A:$W,MATCH($A$1,'DB Country PMI'!$A$1:$W$1,),)=0,#N/A,VLOOKUP(A39,'DB Country PMI'!$A:$W,MATCH($A$1,'DB Country PMI'!$A$1:$W$1,),))</f>
        <v>51.3</v>
      </c>
      <c r="C39" s="14">
        <f>Table134681134[[#This Row],[PMI]]-B38</f>
        <v>0</v>
      </c>
    </row>
    <row r="40" spans="1:3" x14ac:dyDescent="0.2">
      <c r="A40" s="8">
        <v>41487</v>
      </c>
      <c r="B40" s="11">
        <f>IF(VLOOKUP(A40,'DB Country PMI'!$A:$W,MATCH($A$1,'DB Country PMI'!$A$1:$W$1,),)=0,#N/A,VLOOKUP(A40,'DB Country PMI'!$A:$W,MATCH($A$1,'DB Country PMI'!$A$1:$W$1,),))</f>
        <v>52.8</v>
      </c>
      <c r="C40" s="14">
        <f>Table134681134[[#This Row],[PMI]]-B39</f>
        <v>1.5</v>
      </c>
    </row>
    <row r="41" spans="1:3" x14ac:dyDescent="0.2">
      <c r="A41" s="8">
        <v>41518</v>
      </c>
      <c r="B41" s="11">
        <f>IF(VLOOKUP(A41,'DB Country PMI'!$A:$W,MATCH($A$1,'DB Country PMI'!$A$1:$W$1,),)=0,#N/A,VLOOKUP(A41,'DB Country PMI'!$A:$W,MATCH($A$1,'DB Country PMI'!$A$1:$W$1,),))</f>
        <v>52.4</v>
      </c>
      <c r="C41" s="14">
        <f>Table134681134[[#This Row],[PMI]]-B40</f>
        <v>-0.39999999999999858</v>
      </c>
    </row>
    <row r="42" spans="1:3" x14ac:dyDescent="0.2">
      <c r="A42" s="8">
        <v>41548</v>
      </c>
      <c r="B42" s="11">
        <f>IF(VLOOKUP(A42,'DB Country PMI'!$A:$W,MATCH($A$1,'DB Country PMI'!$A$1:$W$1,),)=0,#N/A,VLOOKUP(A42,'DB Country PMI'!$A:$W,MATCH($A$1,'DB Country PMI'!$A$1:$W$1,),))</f>
        <v>52.6</v>
      </c>
      <c r="C42" s="14">
        <f>Table134681134[[#This Row],[PMI]]-B41</f>
        <v>0.20000000000000284</v>
      </c>
    </row>
    <row r="43" spans="1:3" x14ac:dyDescent="0.2">
      <c r="A43" s="8">
        <v>41579</v>
      </c>
      <c r="B43" s="11">
        <f>IF(VLOOKUP(A43,'DB Country PMI'!$A:$W,MATCH($A$1,'DB Country PMI'!$A$1:$W$1,),)=0,#N/A,VLOOKUP(A43,'DB Country PMI'!$A:$W,MATCH($A$1,'DB Country PMI'!$A$1:$W$1,),))</f>
        <v>52.5</v>
      </c>
      <c r="C43" s="14">
        <f>Table134681134[[#This Row],[PMI]]-B42</f>
        <v>-0.10000000000000142</v>
      </c>
    </row>
    <row r="44" spans="1:3" x14ac:dyDescent="0.2">
      <c r="A44" s="8">
        <v>41609</v>
      </c>
      <c r="B44" s="11">
        <f>IF(VLOOKUP(A44,'DB Country PMI'!$A:$W,MATCH($A$1,'DB Country PMI'!$A$1:$W$1,),)=0,#N/A,VLOOKUP(A44,'DB Country PMI'!$A:$W,MATCH($A$1,'DB Country PMI'!$A$1:$W$1,),))</f>
        <v>51.4</v>
      </c>
      <c r="C44" s="14">
        <f>Table134681134[[#This Row],[PMI]]-B43</f>
        <v>-1.1000000000000014</v>
      </c>
    </row>
    <row r="45" spans="1:3" x14ac:dyDescent="0.2">
      <c r="A45" s="8">
        <v>41640</v>
      </c>
      <c r="B45" s="11">
        <f>IF(VLOOKUP(A45,'DB Country PMI'!$A:$W,MATCH($A$1,'DB Country PMI'!$A$1:$W$1,),)=0,#N/A,VLOOKUP(A45,'DB Country PMI'!$A:$W,MATCH($A$1,'DB Country PMI'!$A$1:$W$1,),))</f>
        <v>50.7</v>
      </c>
      <c r="C45" s="14">
        <f>Table134681134[[#This Row],[PMI]]-B44</f>
        <v>-0.69999999999999574</v>
      </c>
    </row>
    <row r="46" spans="1:3" x14ac:dyDescent="0.2">
      <c r="A46" s="8">
        <v>41671</v>
      </c>
      <c r="B46" s="11">
        <f>IF(VLOOKUP(A46,'DB Country PMI'!$A:$W,MATCH($A$1,'DB Country PMI'!$A$1:$W$1,),)=0,#N/A,VLOOKUP(A46,'DB Country PMI'!$A:$W,MATCH($A$1,'DB Country PMI'!$A$1:$W$1,),))</f>
        <v>51</v>
      </c>
      <c r="C46" s="14">
        <f>Table134681134[[#This Row],[PMI]]-B45</f>
        <v>0.29999999999999716</v>
      </c>
    </row>
    <row r="47" spans="1:3" x14ac:dyDescent="0.2">
      <c r="A47" s="8">
        <v>41699</v>
      </c>
      <c r="B47" s="11">
        <f>IF(VLOOKUP(A47,'DB Country PMI'!$A:$W,MATCH($A$1,'DB Country PMI'!$A$1:$W$1,),)=0,#N/A,VLOOKUP(A47,'DB Country PMI'!$A:$W,MATCH($A$1,'DB Country PMI'!$A$1:$W$1,),))</f>
        <v>51.9</v>
      </c>
      <c r="C47" s="14">
        <f>Table134681134[[#This Row],[PMI]]-B46</f>
        <v>0.89999999999999858</v>
      </c>
    </row>
    <row r="48" spans="1:3" x14ac:dyDescent="0.2">
      <c r="A48" s="8">
        <v>41730</v>
      </c>
      <c r="B48" s="11">
        <f>IF(VLOOKUP(A48,'DB Country PMI'!$A:$W,MATCH($A$1,'DB Country PMI'!$A$1:$W$1,),)=0,#N/A,VLOOKUP(A48,'DB Country PMI'!$A:$W,MATCH($A$1,'DB Country PMI'!$A$1:$W$1,),))</f>
        <v>51.4</v>
      </c>
      <c r="C48" s="14">
        <f>Table134681134[[#This Row],[PMI]]-B47</f>
        <v>-0.5</v>
      </c>
    </row>
    <row r="49" spans="1:3" x14ac:dyDescent="0.2">
      <c r="A49" s="8">
        <v>41760</v>
      </c>
      <c r="B49" s="11">
        <f>IF(VLOOKUP(A49,'DB Country PMI'!$A:$W,MATCH($A$1,'DB Country PMI'!$A$1:$W$1,),)=0,#N/A,VLOOKUP(A49,'DB Country PMI'!$A:$W,MATCH($A$1,'DB Country PMI'!$A$1:$W$1,),))</f>
        <v>50.7</v>
      </c>
      <c r="C49" s="14">
        <f>Table134681134[[#This Row],[PMI]]-B48</f>
        <v>-0.69999999999999574</v>
      </c>
    </row>
    <row r="50" spans="1:3" x14ac:dyDescent="0.2">
      <c r="A50" s="8">
        <v>41791</v>
      </c>
      <c r="B50" s="11">
        <f>IF(VLOOKUP(A50,'DB Country PMI'!$A:$W,MATCH($A$1,'DB Country PMI'!$A$1:$W$1,),)=0,#N/A,VLOOKUP(A50,'DB Country PMI'!$A:$W,MATCH($A$1,'DB Country PMI'!$A$1:$W$1,),))</f>
        <v>53.1</v>
      </c>
      <c r="C50" s="14">
        <f>Table134681134[[#This Row],[PMI]]-B49</f>
        <v>2.3999999999999986</v>
      </c>
    </row>
    <row r="51" spans="1:3" x14ac:dyDescent="0.2">
      <c r="A51" s="8">
        <v>41821</v>
      </c>
      <c r="B51" s="11">
        <f>IF(VLOOKUP(A51,'DB Country PMI'!$A:$W,MATCH($A$1,'DB Country PMI'!$A$1:$W$1,),)=0,#N/A,VLOOKUP(A51,'DB Country PMI'!$A:$W,MATCH($A$1,'DB Country PMI'!$A$1:$W$1,),))</f>
        <v>50</v>
      </c>
      <c r="C51" s="14">
        <f>Table134681134[[#This Row],[PMI]]-B50</f>
        <v>-3.1000000000000014</v>
      </c>
    </row>
    <row r="52" spans="1:3" x14ac:dyDescent="0.2">
      <c r="A52" s="8">
        <v>41852</v>
      </c>
      <c r="B52" s="11">
        <f>IF(VLOOKUP(A52,'DB Country PMI'!$A:$W,MATCH($A$1,'DB Country PMI'!$A$1:$W$1,),)=0,#N/A,VLOOKUP(A52,'DB Country PMI'!$A:$W,MATCH($A$1,'DB Country PMI'!$A$1:$W$1,),))</f>
        <v>54.1</v>
      </c>
      <c r="C52" s="14">
        <f>Table134681134[[#This Row],[PMI]]-B51</f>
        <v>4.1000000000000014</v>
      </c>
    </row>
    <row r="53" spans="1:3" x14ac:dyDescent="0.2">
      <c r="A53" s="8">
        <v>41883</v>
      </c>
      <c r="B53" s="11">
        <f>IF(VLOOKUP(A53,'DB Country PMI'!$A:$W,MATCH($A$1,'DB Country PMI'!$A$1:$W$1,),)=0,#N/A,VLOOKUP(A53,'DB Country PMI'!$A:$W,MATCH($A$1,'DB Country PMI'!$A$1:$W$1,),))</f>
        <v>53.5</v>
      </c>
      <c r="C53" s="14">
        <f>Table134681134[[#This Row],[PMI]]-B52</f>
        <v>-0.60000000000000142</v>
      </c>
    </row>
    <row r="54" spans="1:3" x14ac:dyDescent="0.2">
      <c r="A54" s="8">
        <v>41913</v>
      </c>
      <c r="B54" s="11">
        <f>IF(VLOOKUP(A54,'DB Country PMI'!$A:$W,MATCH($A$1,'DB Country PMI'!$A$1:$W$1,),)=0,#N/A,VLOOKUP(A54,'DB Country PMI'!$A:$W,MATCH($A$1,'DB Country PMI'!$A$1:$W$1,),))</f>
        <v>52.9</v>
      </c>
      <c r="C54" s="14">
        <f>Table134681134[[#This Row],[PMI]]-B53</f>
        <v>-0.60000000000000142</v>
      </c>
    </row>
    <row r="55" spans="1:3" x14ac:dyDescent="0.2">
      <c r="A55" s="8">
        <v>41944</v>
      </c>
      <c r="B55" s="11">
        <f>IF(VLOOKUP(A55,'DB Country PMI'!$A:$W,MATCH($A$1,'DB Country PMI'!$A$1:$W$1,),)=0,#N/A,VLOOKUP(A55,'DB Country PMI'!$A:$W,MATCH($A$1,'DB Country PMI'!$A$1:$W$1,),))</f>
        <v>53</v>
      </c>
      <c r="C55" s="14">
        <f>Table134681134[[#This Row],[PMI]]-B54</f>
        <v>0.10000000000000142</v>
      </c>
    </row>
    <row r="56" spans="1:3" x14ac:dyDescent="0.2">
      <c r="A56" s="8">
        <v>41974</v>
      </c>
      <c r="B56" s="11">
        <f>IF(VLOOKUP(A56,'DB Country PMI'!$A:$W,MATCH($A$1,'DB Country PMI'!$A$1:$W$1,),)=0,#N/A,VLOOKUP(A56,'DB Country PMI'!$A:$W,MATCH($A$1,'DB Country PMI'!$A$1:$W$1,),))</f>
        <v>53.4</v>
      </c>
      <c r="C56" s="14">
        <f>Table134681134[[#This Row],[PMI]]-B55</f>
        <v>0.39999999999999858</v>
      </c>
    </row>
    <row r="57" spans="1:3" x14ac:dyDescent="0.2">
      <c r="A57" s="8">
        <v>42005</v>
      </c>
      <c r="B57" s="11">
        <f>IF(VLOOKUP(A57,'DB Country PMI'!$A:$W,MATCH($A$1,'DB Country PMI'!$A$1:$W$1,),)=0,#N/A,VLOOKUP(A57,'DB Country PMI'!$A:$W,MATCH($A$1,'DB Country PMI'!$A$1:$W$1,),))</f>
        <v>51.8</v>
      </c>
      <c r="C57" s="14">
        <f>Table134681134[[#This Row],[PMI]]-B56</f>
        <v>-1.6000000000000014</v>
      </c>
    </row>
    <row r="58" spans="1:3" x14ac:dyDescent="0.2">
      <c r="A58" s="8">
        <v>42036</v>
      </c>
      <c r="B58" s="11">
        <f>IF(VLOOKUP(A58,'DB Country PMI'!$A:$W,MATCH($A$1,'DB Country PMI'!$A$1:$W$1,),)=0,#N/A,VLOOKUP(A58,'DB Country PMI'!$A:$W,MATCH($A$1,'DB Country PMI'!$A$1:$W$1,),))</f>
        <v>52</v>
      </c>
      <c r="C58" s="14">
        <f>Table134681134[[#This Row],[PMI]]-B57</f>
        <v>0.20000000000000284</v>
      </c>
    </row>
    <row r="59" spans="1:3" x14ac:dyDescent="0.2">
      <c r="A59" s="8">
        <v>42064</v>
      </c>
      <c r="B59" s="11">
        <f>IF(VLOOKUP(A59,'DB Country PMI'!$A:$W,MATCH($A$1,'DB Country PMI'!$A$1:$W$1,),)=0,#N/A,VLOOKUP(A59,'DB Country PMI'!$A:$W,MATCH($A$1,'DB Country PMI'!$A$1:$W$1,),))</f>
        <v>52.3</v>
      </c>
      <c r="C59" s="14">
        <f>Table134681134[[#This Row],[PMI]]-B58</f>
        <v>0.29999999999999716</v>
      </c>
    </row>
    <row r="60" spans="1:3" x14ac:dyDescent="0.2">
      <c r="A60" s="8">
        <v>42095</v>
      </c>
      <c r="B60" s="11">
        <f>IF(VLOOKUP(A60,'DB Country PMI'!$A:$W,MATCH($A$1,'DB Country PMI'!$A$1:$W$1,),)=0,#N/A,VLOOKUP(A60,'DB Country PMI'!$A:$W,MATCH($A$1,'DB Country PMI'!$A$1:$W$1,),))</f>
        <v>52.9</v>
      </c>
      <c r="C60" s="14">
        <f>Table134681134[[#This Row],[PMI]]-B59</f>
        <v>0.60000000000000142</v>
      </c>
    </row>
    <row r="61" spans="1:3" x14ac:dyDescent="0.2">
      <c r="A61" s="8">
        <v>42125</v>
      </c>
      <c r="B61" s="11">
        <f>IF(VLOOKUP(A61,'DB Country PMI'!$A:$W,MATCH($A$1,'DB Country PMI'!$A$1:$W$1,),)=0,#N/A,VLOOKUP(A61,'DB Country PMI'!$A:$W,MATCH($A$1,'DB Country PMI'!$A$1:$W$1,),))</f>
        <v>53.5</v>
      </c>
      <c r="C61" s="14">
        <f>Table134681134[[#This Row],[PMI]]-B60</f>
        <v>0.60000000000000142</v>
      </c>
    </row>
    <row r="62" spans="1:3" x14ac:dyDescent="0.2">
      <c r="A62" s="8">
        <v>42156</v>
      </c>
      <c r="B62" s="11">
        <f>IF(VLOOKUP(A62,'DB Country PMI'!$A:$W,MATCH($A$1,'DB Country PMI'!$A$1:$W$1,),)=0,#N/A,VLOOKUP(A62,'DB Country PMI'!$A:$W,MATCH($A$1,'DB Country PMI'!$A$1:$W$1,),))</f>
        <v>51.8</v>
      </c>
      <c r="C62" s="14">
        <f>Table134681134[[#This Row],[PMI]]-B61</f>
        <v>-1.7000000000000028</v>
      </c>
    </row>
    <row r="63" spans="1:3" x14ac:dyDescent="0.2">
      <c r="A63" s="8">
        <v>42186</v>
      </c>
      <c r="B63" s="11">
        <f>IF(VLOOKUP(A63,'DB Country PMI'!$A:$W,MATCH($A$1,'DB Country PMI'!$A$1:$W$1,),)=0,#N/A,VLOOKUP(A63,'DB Country PMI'!$A:$W,MATCH($A$1,'DB Country PMI'!$A$1:$W$1,),))</f>
        <v>53.8</v>
      </c>
      <c r="C63" s="14">
        <f>Table134681134[[#This Row],[PMI]]-B62</f>
        <v>2</v>
      </c>
    </row>
    <row r="64" spans="1:3" x14ac:dyDescent="0.2">
      <c r="A64" s="8">
        <v>42217</v>
      </c>
      <c r="B64" s="11">
        <f>IF(VLOOKUP(A64,'DB Country PMI'!$A:$W,MATCH($A$1,'DB Country PMI'!$A$1:$W$1,),)=0,#N/A,VLOOKUP(A64,'DB Country PMI'!$A:$W,MATCH($A$1,'DB Country PMI'!$A$1:$W$1,),))</f>
        <v>51.5</v>
      </c>
      <c r="C64" s="14">
        <f>Table134681134[[#This Row],[PMI]]-B63</f>
        <v>-2.2999999999999972</v>
      </c>
    </row>
    <row r="65" spans="1:3" x14ac:dyDescent="0.2">
      <c r="A65" s="8">
        <v>42248</v>
      </c>
      <c r="B65" s="11">
        <f>IF(VLOOKUP(A65,'DB Country PMI'!$A:$W,MATCH($A$1,'DB Country PMI'!$A$1:$W$1,),)=0,#N/A,VLOOKUP(A65,'DB Country PMI'!$A:$W,MATCH($A$1,'DB Country PMI'!$A$1:$W$1,),))</f>
        <v>50.5</v>
      </c>
      <c r="C65" s="14">
        <f>Table134681134[[#This Row],[PMI]]-B64</f>
        <v>-1</v>
      </c>
    </row>
    <row r="66" spans="1:3" x14ac:dyDescent="0.2">
      <c r="A66" s="8">
        <v>42278</v>
      </c>
      <c r="B66" s="11">
        <f>IF(VLOOKUP(A66,'DB Country PMI'!$A:$W,MATCH($A$1,'DB Country PMI'!$A$1:$W$1,),)=0,#N/A,VLOOKUP(A66,'DB Country PMI'!$A:$W,MATCH($A$1,'DB Country PMI'!$A$1:$W$1,),))</f>
        <v>52</v>
      </c>
      <c r="C66" s="14">
        <f>Table134681134[[#This Row],[PMI]]-B65</f>
        <v>1.5</v>
      </c>
    </row>
    <row r="67" spans="1:3" x14ac:dyDescent="0.2">
      <c r="A67" s="8">
        <v>42309</v>
      </c>
      <c r="B67" s="11">
        <f>IF(VLOOKUP(A67,'DB Country PMI'!$A:$W,MATCH($A$1,'DB Country PMI'!$A$1:$W$1,),)=0,#N/A,VLOOKUP(A67,'DB Country PMI'!$A:$W,MATCH($A$1,'DB Country PMI'!$A$1:$W$1,),))</f>
        <v>51.2</v>
      </c>
      <c r="C67" s="14">
        <f>Table134681134[[#This Row],[PMI]]-B66</f>
        <v>-0.79999999999999716</v>
      </c>
    </row>
    <row r="68" spans="1:3" x14ac:dyDescent="0.2">
      <c r="A68" s="8">
        <v>42339</v>
      </c>
      <c r="B68" s="11">
        <f>IF(VLOOKUP(A68,'DB Country PMI'!$A:$W,MATCH($A$1,'DB Country PMI'!$A$1:$W$1,),)=0,#N/A,VLOOKUP(A68,'DB Country PMI'!$A:$W,MATCH($A$1,'DB Country PMI'!$A$1:$W$1,),))</f>
        <v>50.2</v>
      </c>
      <c r="C68" s="14">
        <f>Table134681134[[#This Row],[PMI]]-B67</f>
        <v>-1</v>
      </c>
    </row>
    <row r="69" spans="1:3" x14ac:dyDescent="0.2">
      <c r="A69" s="8">
        <v>42370</v>
      </c>
      <c r="B69" s="11">
        <f>IF(VLOOKUP(A69,'DB Country PMI'!$A:$W,MATCH($A$1,'DB Country PMI'!$A$1:$W$1,),)=0,#N/A,VLOOKUP(A69,'DB Country PMI'!$A:$W,MATCH($A$1,'DB Country PMI'!$A$1:$W$1,),))</f>
        <v>52.4</v>
      </c>
      <c r="C69" s="14">
        <f>Table134681134[[#This Row],[PMI]]-B68</f>
        <v>2.1999999999999957</v>
      </c>
    </row>
    <row r="70" spans="1:3" x14ac:dyDescent="0.2">
      <c r="A70" s="8">
        <v>42401</v>
      </c>
      <c r="B70" s="11">
        <f>IF(VLOOKUP(A70,'DB Country PMI'!$A:$W,MATCH($A$1,'DB Country PMI'!$A$1:$W$1,),)=0,#N/A,VLOOKUP(A70,'DB Country PMI'!$A:$W,MATCH($A$1,'DB Country PMI'!$A$1:$W$1,),))</f>
        <v>51.2</v>
      </c>
      <c r="C70" s="14">
        <f>Table134681134[[#This Row],[PMI]]-B69</f>
        <v>-1.1999999999999957</v>
      </c>
    </row>
    <row r="71" spans="1:3" x14ac:dyDescent="0.2">
      <c r="A71" s="8">
        <v>42430</v>
      </c>
      <c r="B71" s="11">
        <f>IF(VLOOKUP(A71,'DB Country PMI'!$A:$W,MATCH($A$1,'DB Country PMI'!$A$1:$W$1,),)=0,#N/A,VLOOKUP(A71,'DB Country PMI'!$A:$W,MATCH($A$1,'DB Country PMI'!$A$1:$W$1,),))</f>
        <v>52.2</v>
      </c>
      <c r="C71" s="14">
        <f>Table134681134[[#This Row],[PMI]]-B70</f>
        <v>1</v>
      </c>
    </row>
    <row r="72" spans="1:3" x14ac:dyDescent="0.2">
      <c r="A72" s="8">
        <v>42461</v>
      </c>
      <c r="B72" s="11">
        <f>IF(VLOOKUP(A72,'DB Country PMI'!$A:$W,MATCH($A$1,'DB Country PMI'!$A$1:$W$1,),)=0,#N/A,VLOOKUP(A72,'DB Country PMI'!$A:$W,MATCH($A$1,'DB Country PMI'!$A$1:$W$1,),))</f>
        <v>51.8</v>
      </c>
      <c r="C72" s="14">
        <f>Table134681134[[#This Row],[PMI]]-B71</f>
        <v>-0.40000000000000568</v>
      </c>
    </row>
    <row r="73" spans="1:3" x14ac:dyDescent="0.2">
      <c r="A73" s="8">
        <v>42491</v>
      </c>
      <c r="B73" s="11">
        <f>IF(VLOOKUP(A73,'DB Country PMI'!$A:$W,MATCH($A$1,'DB Country PMI'!$A$1:$W$1,),)=0,#N/A,VLOOKUP(A73,'DB Country PMI'!$A:$W,MATCH($A$1,'DB Country PMI'!$A$1:$W$1,),))</f>
        <v>51.2</v>
      </c>
      <c r="C73" s="14">
        <f>Table134681134[[#This Row],[PMI]]-B72</f>
        <v>-0.59999999999999432</v>
      </c>
    </row>
    <row r="74" spans="1:3" x14ac:dyDescent="0.2">
      <c r="A74" s="8">
        <v>42522</v>
      </c>
      <c r="B74" s="11">
        <f>IF(VLOOKUP(A74,'DB Country PMI'!$A:$W,MATCH($A$1,'DB Country PMI'!$A$1:$W$1,),)=0,#N/A,VLOOKUP(A74,'DB Country PMI'!$A:$W,MATCH($A$1,'DB Country PMI'!$A$1:$W$1,),))</f>
        <v>52.7</v>
      </c>
      <c r="C74" s="14">
        <f>Table134681134[[#This Row],[PMI]]-B73</f>
        <v>1.5</v>
      </c>
    </row>
    <row r="75" spans="1:3" x14ac:dyDescent="0.2">
      <c r="A75" s="8">
        <v>42552</v>
      </c>
      <c r="B75" s="11">
        <f>IF(VLOOKUP(A75,'DB Country PMI'!$A:$W,MATCH($A$1,'DB Country PMI'!$A$1:$W$1,),)=0,#N/A,VLOOKUP(A75,'DB Country PMI'!$A:$W,MATCH($A$1,'DB Country PMI'!$A$1:$W$1,),))</f>
        <v>51.7</v>
      </c>
      <c r="C75" s="14">
        <f>Table134681134[[#This Row],[PMI]]-B74</f>
        <v>-1</v>
      </c>
    </row>
    <row r="76" spans="1:3" x14ac:dyDescent="0.2">
      <c r="A76" s="8">
        <v>42583</v>
      </c>
      <c r="B76" s="11">
        <f>IF(VLOOKUP(A76,'DB Country PMI'!$A:$W,MATCH($A$1,'DB Country PMI'!$A$1:$W$1,),)=0,#N/A,VLOOKUP(A76,'DB Country PMI'!$A:$W,MATCH($A$1,'DB Country PMI'!$A$1:$W$1,),))</f>
        <v>52.1</v>
      </c>
      <c r="C76" s="14">
        <f>Table134681134[[#This Row],[PMI]]-B75</f>
        <v>0.39999999999999858</v>
      </c>
    </row>
    <row r="77" spans="1:3" x14ac:dyDescent="0.2">
      <c r="A77" s="8">
        <v>42614</v>
      </c>
      <c r="B77" s="11">
        <f>IF(VLOOKUP(A77,'DB Country PMI'!$A:$W,MATCH($A$1,'DB Country PMI'!$A$1:$W$1,),)=0,#N/A,VLOOKUP(A77,'DB Country PMI'!$A:$W,MATCH($A$1,'DB Country PMI'!$A$1:$W$1,),))</f>
        <v>51</v>
      </c>
      <c r="C77" s="14">
        <f>Table134681134[[#This Row],[PMI]]-B76</f>
        <v>-1.1000000000000014</v>
      </c>
    </row>
    <row r="78" spans="1:3" x14ac:dyDescent="0.2">
      <c r="A78" s="8">
        <v>42644</v>
      </c>
      <c r="B78" s="11">
        <f>IF(VLOOKUP(A78,'DB Country PMI'!$A:$W,MATCH($A$1,'DB Country PMI'!$A$1:$W$1,),)=0,#N/A,VLOOKUP(A78,'DB Country PMI'!$A:$W,MATCH($A$1,'DB Country PMI'!$A$1:$W$1,),))</f>
        <v>52.4</v>
      </c>
      <c r="C78" s="14">
        <f>Table134681134[[#This Row],[PMI]]-B77</f>
        <v>1.3999999999999986</v>
      </c>
    </row>
    <row r="79" spans="1:3" x14ac:dyDescent="0.2">
      <c r="A79" s="8">
        <v>42675</v>
      </c>
      <c r="B79" s="11">
        <f>IF(VLOOKUP(A79,'DB Country PMI'!$A:$W,MATCH($A$1,'DB Country PMI'!$A$1:$W$1,),)=0,#N/A,VLOOKUP(A79,'DB Country PMI'!$A:$W,MATCH($A$1,'DB Country PMI'!$A$1:$W$1,),))</f>
        <v>53.1</v>
      </c>
      <c r="C79" s="14">
        <f>Table134681134[[#This Row],[PMI]]-B78</f>
        <v>0.70000000000000284</v>
      </c>
    </row>
    <row r="80" spans="1:3" x14ac:dyDescent="0.2">
      <c r="A80" s="8">
        <v>42705</v>
      </c>
      <c r="B80" s="11">
        <f>IF(VLOOKUP(A80,'DB Country PMI'!$A:$W,MATCH($A$1,'DB Country PMI'!$A$1:$W$1,),)=0,#N/A,VLOOKUP(A80,'DB Country PMI'!$A:$W,MATCH($A$1,'DB Country PMI'!$A$1:$W$1,),))</f>
        <v>53.4</v>
      </c>
      <c r="C80" s="14">
        <f>Table134681134[[#This Row],[PMI]]-B79</f>
        <v>0.29999999999999716</v>
      </c>
    </row>
    <row r="81" spans="1:3" x14ac:dyDescent="0.2">
      <c r="A81" s="8">
        <v>42736</v>
      </c>
      <c r="B81" s="11">
        <f>IF(VLOOKUP(A81,'DB Country PMI'!$A:$W,MATCH($A$1,'DB Country PMI'!$A$1:$W$1,),)=0,#N/A,VLOOKUP(A81,'DB Country PMI'!$A:$W,MATCH($A$1,'DB Country PMI'!$A$1:$W$1,),))</f>
        <v>53.1</v>
      </c>
      <c r="C81" s="14">
        <f>Table134681134[[#This Row],[PMI]]-B80</f>
        <v>-0.29999999999999716</v>
      </c>
    </row>
    <row r="82" spans="1:3" x14ac:dyDescent="0.2">
      <c r="A82" s="8">
        <v>42767</v>
      </c>
      <c r="B82" s="11">
        <f>IF(VLOOKUP(A82,'DB Country PMI'!$A:$W,MATCH($A$1,'DB Country PMI'!$A$1:$W$1,),)=0,#N/A,VLOOKUP(A82,'DB Country PMI'!$A:$W,MATCH($A$1,'DB Country PMI'!$A$1:$W$1,),))</f>
        <v>52.6</v>
      </c>
      <c r="C82" s="14">
        <f>Table134681134[[#This Row],[PMI]]-B81</f>
        <v>-0.5</v>
      </c>
    </row>
    <row r="83" spans="1:3" x14ac:dyDescent="0.2">
      <c r="A83" s="8">
        <v>42795</v>
      </c>
      <c r="B83" s="11">
        <f>IF(VLOOKUP(A83,'DB Country PMI'!$A:$W,MATCH($A$1,'DB Country PMI'!$A$1:$W$1,),)=0,#N/A,VLOOKUP(A83,'DB Country PMI'!$A:$W,MATCH($A$1,'DB Country PMI'!$A$1:$W$1,),))</f>
        <v>52.2</v>
      </c>
      <c r="C83" s="14">
        <f>Table134681134[[#This Row],[PMI]]-B82</f>
        <v>-0.39999999999999858</v>
      </c>
    </row>
    <row r="84" spans="1:3" x14ac:dyDescent="0.2">
      <c r="A84" s="8">
        <v>42826</v>
      </c>
      <c r="B84" s="11">
        <f>IF(VLOOKUP(A84,'DB Country PMI'!$A:$W,MATCH($A$1,'DB Country PMI'!$A$1:$W$1,),)=0,#N/A,VLOOKUP(A84,'DB Country PMI'!$A:$W,MATCH($A$1,'DB Country PMI'!$A$1:$W$1,),))</f>
        <v>51.5</v>
      </c>
      <c r="C84" s="14">
        <f>Table134681134[[#This Row],[PMI]]-B83</f>
        <v>-0.70000000000000284</v>
      </c>
    </row>
    <row r="85" spans="1:3" x14ac:dyDescent="0.2">
      <c r="A85" s="8">
        <v>42856</v>
      </c>
      <c r="B85" s="11">
        <f>IF(VLOOKUP(A85,'DB Country PMI'!$A:$W,MATCH($A$1,'DB Country PMI'!$A$1:$W$1,),)=0,#N/A,VLOOKUP(A85,'DB Country PMI'!$A:$W,MATCH($A$1,'DB Country PMI'!$A$1:$W$1,),))</f>
        <v>52.8</v>
      </c>
      <c r="C85" s="14">
        <f>Table134681134[[#This Row],[PMI]]-B84</f>
        <v>1.2999999999999972</v>
      </c>
    </row>
    <row r="86" spans="1:3" x14ac:dyDescent="0.2">
      <c r="A86" s="8">
        <v>42887</v>
      </c>
      <c r="B86" s="11">
        <f>IF(VLOOKUP(A86,'DB Country PMI'!$A:$W,MATCH($A$1,'DB Country PMI'!$A$1:$W$1,),)=0,#N/A,VLOOKUP(A86,'DB Country PMI'!$A:$W,MATCH($A$1,'DB Country PMI'!$A$1:$W$1,),))</f>
        <v>51.6</v>
      </c>
      <c r="C86" s="14">
        <f>Table134681134[[#This Row],[PMI]]-B85</f>
        <v>-1.1999999999999957</v>
      </c>
    </row>
    <row r="87" spans="1:3" x14ac:dyDescent="0.2">
      <c r="A87" s="8">
        <v>42917</v>
      </c>
      <c r="B87" s="11">
        <f>IF(VLOOKUP(A87,'DB Country PMI'!$A:$W,MATCH($A$1,'DB Country PMI'!$A$1:$W$1,),)=0,#N/A,VLOOKUP(A87,'DB Country PMI'!$A:$W,MATCH($A$1,'DB Country PMI'!$A$1:$W$1,),))</f>
        <v>51.5</v>
      </c>
      <c r="C87" s="14">
        <f>Table134681134[[#This Row],[PMI]]-B86</f>
        <v>-0.10000000000000142</v>
      </c>
    </row>
    <row r="88" spans="1:3" x14ac:dyDescent="0.2">
      <c r="A88" s="8">
        <v>42948</v>
      </c>
      <c r="B88" s="11">
        <f>IF(VLOOKUP(A88,'DB Country PMI'!$A:$W,MATCH($A$1,'DB Country PMI'!$A$1:$W$1,),)=0,#N/A,VLOOKUP(A88,'DB Country PMI'!$A:$W,MATCH($A$1,'DB Country PMI'!$A$1:$W$1,),))</f>
        <v>52.7</v>
      </c>
      <c r="C88" s="14">
        <f>Table134681134[[#This Row],[PMI]]-B87</f>
        <v>1.2000000000000028</v>
      </c>
    </row>
    <row r="89" spans="1:3" x14ac:dyDescent="0.2">
      <c r="A89" s="8">
        <v>42979</v>
      </c>
      <c r="B89" s="11">
        <f>IF(VLOOKUP(A89,'DB Country PMI'!$A:$W,MATCH($A$1,'DB Country PMI'!$A$1:$W$1,),)=0,#N/A,VLOOKUP(A89,'DB Country PMI'!$A:$W,MATCH($A$1,'DB Country PMI'!$A$1:$W$1,),))</f>
        <v>50.6</v>
      </c>
      <c r="C89" s="14">
        <f>Table134681134[[#This Row],[PMI]]-B88</f>
        <v>-2.1000000000000014</v>
      </c>
    </row>
    <row r="90" spans="1:3" x14ac:dyDescent="0.2">
      <c r="A90" s="8">
        <v>43009</v>
      </c>
      <c r="B90" s="11">
        <f>IF(VLOOKUP(A90,'DB Country PMI'!$A:$W,MATCH($A$1,'DB Country PMI'!$A$1:$W$1,),)=0,#N/A,VLOOKUP(A90,'DB Country PMI'!$A:$W,MATCH($A$1,'DB Country PMI'!$A$1:$W$1,),))</f>
        <v>51.2</v>
      </c>
      <c r="C90" s="14">
        <f>Table134681134[[#This Row],[PMI]]-B89</f>
        <v>0.60000000000000142</v>
      </c>
    </row>
    <row r="91" spans="1:3" x14ac:dyDescent="0.2">
      <c r="A91" s="8">
        <v>43040</v>
      </c>
      <c r="B91" s="11">
        <f>IF(VLOOKUP(A91,'DB Country PMI'!$A:$W,MATCH($A$1,'DB Country PMI'!$A$1:$W$1,),)=0,#N/A,VLOOKUP(A91,'DB Country PMI'!$A:$W,MATCH($A$1,'DB Country PMI'!$A$1:$W$1,),))</f>
        <v>51.9</v>
      </c>
      <c r="C91" s="14">
        <f>Table134681134[[#This Row],[PMI]]-B90</f>
        <v>0.69999999999999574</v>
      </c>
    </row>
    <row r="92" spans="1:3" x14ac:dyDescent="0.2">
      <c r="A92" s="8">
        <v>43070</v>
      </c>
      <c r="B92" s="11">
        <f>IF(VLOOKUP(A92,'DB Country PMI'!$A:$W,MATCH($A$1,'DB Country PMI'!$A$1:$W$1,),)=0,#N/A,VLOOKUP(A92,'DB Country PMI'!$A:$W,MATCH($A$1,'DB Country PMI'!$A$1:$W$1,),))</f>
        <v>53.9</v>
      </c>
      <c r="C92" s="14">
        <f>Table134681134[[#This Row],[PMI]]-B91</f>
        <v>2</v>
      </c>
    </row>
    <row r="93" spans="1:3" x14ac:dyDescent="0.2">
      <c r="A93" s="8">
        <v>43101</v>
      </c>
      <c r="B93" s="11">
        <f>IF(VLOOKUP(A93,'DB Country PMI'!$A:$W,MATCH($A$1,'DB Country PMI'!$A$1:$W$1,),)=0,#N/A,VLOOKUP(A93,'DB Country PMI'!$A:$W,MATCH($A$1,'DB Country PMI'!$A$1:$W$1,),))</f>
        <v>54.7</v>
      </c>
      <c r="C93" s="14">
        <f>Table134681134[[#This Row],[PMI]]-B92</f>
        <v>0.80000000000000426</v>
      </c>
    </row>
    <row r="94" spans="1:3" x14ac:dyDescent="0.2">
      <c r="A94" s="8">
        <v>43132</v>
      </c>
      <c r="B94" s="11">
        <f>IF(VLOOKUP(A94,'DB Country PMI'!$A:$W,MATCH($A$1,'DB Country PMI'!$A$1:$W$1,),)=0,#N/A,VLOOKUP(A94,'DB Country PMI'!$A:$W,MATCH($A$1,'DB Country PMI'!$A$1:$W$1,),))</f>
        <v>54.2</v>
      </c>
      <c r="C94" s="14">
        <f>Table134681134[[#This Row],[PMI]]-B93</f>
        <v>-0.5</v>
      </c>
    </row>
    <row r="95" spans="1:3" x14ac:dyDescent="0.2">
      <c r="A95" s="8">
        <v>43160</v>
      </c>
      <c r="B95" s="11">
        <f>IF(VLOOKUP(A95,'DB Country PMI'!$A:$W,MATCH($A$1,'DB Country PMI'!$A$1:$W$1,),)=0,#N/A,VLOOKUP(A95,'DB Country PMI'!$A:$W,MATCH($A$1,'DB Country PMI'!$A$1:$W$1,),))</f>
        <v>52.3</v>
      </c>
      <c r="C95" s="14">
        <f>Table134681134[[#This Row],[PMI]]-B94</f>
        <v>-1.9000000000000057</v>
      </c>
    </row>
    <row r="96" spans="1:3" x14ac:dyDescent="0.2">
      <c r="A96" s="8">
        <v>43191</v>
      </c>
      <c r="B96" s="11">
        <f>IF(VLOOKUP(A96,'DB Country PMI'!$A:$W,MATCH($A$1,'DB Country PMI'!$A$1:$W$1,),)=0,#N/A,VLOOKUP(A96,'DB Country PMI'!$A:$W,MATCH($A$1,'DB Country PMI'!$A$1:$W$1,),))</f>
        <v>52.9</v>
      </c>
      <c r="C96" s="14">
        <f>Table134681134[[#This Row],[PMI]]-B95</f>
        <v>0.60000000000000142</v>
      </c>
    </row>
    <row r="97" spans="1:3" x14ac:dyDescent="0.2">
      <c r="A97" s="8">
        <v>43221</v>
      </c>
      <c r="B97" s="11">
        <f>IF(VLOOKUP(A97,'DB Country PMI'!$A:$W,MATCH($A$1,'DB Country PMI'!$A$1:$W$1,),)=0,#N/A,VLOOKUP(A97,'DB Country PMI'!$A:$W,MATCH($A$1,'DB Country PMI'!$A$1:$W$1,),))</f>
        <v>52.9</v>
      </c>
      <c r="C97" s="14">
        <f>Table134681134[[#This Row],[PMI]]-B96</f>
        <v>0</v>
      </c>
    </row>
    <row r="98" spans="1:3" x14ac:dyDescent="0.2">
      <c r="A98" s="8">
        <v>43252</v>
      </c>
      <c r="B98" s="11">
        <f>IF(VLOOKUP(A98,'DB Country PMI'!$A:$W,MATCH($A$1,'DB Country PMI'!$A$1:$W$1,),)=0,#N/A,VLOOKUP(A98,'DB Country PMI'!$A:$W,MATCH($A$1,'DB Country PMI'!$A$1:$W$1,),))</f>
        <v>53.9</v>
      </c>
      <c r="C98" s="14">
        <f>Table134681134[[#This Row],[PMI]]-B97</f>
        <v>1</v>
      </c>
    </row>
    <row r="99" spans="1:3" x14ac:dyDescent="0.2">
      <c r="A99" s="8">
        <v>43282</v>
      </c>
      <c r="B99" s="11">
        <f>IF(VLOOKUP(A99,'DB Country PMI'!$A:$W,MATCH($A$1,'DB Country PMI'!$A$1:$W$1,),)=0,#N/A,VLOOKUP(A99,'DB Country PMI'!$A:$W,MATCH($A$1,'DB Country PMI'!$A$1:$W$1,),))</f>
        <v>52.8</v>
      </c>
      <c r="C99" s="14">
        <f>Table134681134[[#This Row],[PMI]]-B98</f>
        <v>-1.1000000000000014</v>
      </c>
    </row>
    <row r="100" spans="1:3" x14ac:dyDescent="0.2">
      <c r="A100" s="8">
        <v>43313</v>
      </c>
      <c r="B100" s="11">
        <f>IF(VLOOKUP(A100,'DB Country PMI'!$A:$W,MATCH($A$1,'DB Country PMI'!$A$1:$W$1,),)=0,#N/A,VLOOKUP(A100,'DB Country PMI'!$A:$W,MATCH($A$1,'DB Country PMI'!$A$1:$W$1,),))</f>
        <v>51.5</v>
      </c>
      <c r="C100" s="14">
        <f>Table134681134[[#This Row],[PMI]]-B99</f>
        <v>-1.2999999999999972</v>
      </c>
    </row>
    <row r="101" spans="1:3" x14ac:dyDescent="0.2">
      <c r="A101" s="8">
        <v>43344</v>
      </c>
      <c r="B101" s="11">
        <f>IF(VLOOKUP(A101,'DB Country PMI'!$A:$W,MATCH($A$1,'DB Country PMI'!$A$1:$W$1,),)=0,#N/A,VLOOKUP(A101,'DB Country PMI'!$A:$W,MATCH($A$1,'DB Country PMI'!$A$1:$W$1,),))</f>
        <v>53.1</v>
      </c>
      <c r="C101" s="14">
        <f>Table134681134[[#This Row],[PMI]]-B100</f>
        <v>1.6000000000000014</v>
      </c>
    </row>
    <row r="102" spans="1:3" x14ac:dyDescent="0.2">
      <c r="A102" s="8">
        <v>43374</v>
      </c>
      <c r="B102" s="11">
        <f>IF(VLOOKUP(A102,'DB Country PMI'!$A:$W,MATCH($A$1,'DB Country PMI'!$A$1:$W$1,),)=0,#N/A,VLOOKUP(A102,'DB Country PMI'!$A:$W,MATCH($A$1,'DB Country PMI'!$A$1:$W$1,),))</f>
        <v>50.8</v>
      </c>
      <c r="C102" s="14">
        <f>Table134681134[[#This Row],[PMI]]-B101</f>
        <v>-2.3000000000000043</v>
      </c>
    </row>
    <row r="103" spans="1:3" x14ac:dyDescent="0.2">
      <c r="A103" s="8">
        <v>43405</v>
      </c>
      <c r="B103" s="11">
        <f>IF(VLOOKUP(A103,'DB Country PMI'!$A:$W,MATCH($A$1,'DB Country PMI'!$A$1:$W$1,),)=0,#N/A,VLOOKUP(A103,'DB Country PMI'!$A:$W,MATCH($A$1,'DB Country PMI'!$A$1:$W$1,),))</f>
        <v>53.8</v>
      </c>
      <c r="C103" s="14">
        <f>Table134681134[[#This Row],[PMI]]-B102</f>
        <v>3</v>
      </c>
    </row>
    <row r="104" spans="1:3" x14ac:dyDescent="0.2">
      <c r="A104" s="8">
        <v>43435</v>
      </c>
      <c r="B104" s="11">
        <f>IF(VLOOKUP(A104,'DB Country PMI'!$A:$W,MATCH($A$1,'DB Country PMI'!$A$1:$W$1,),)=0,#N/A,VLOOKUP(A104,'DB Country PMI'!$A:$W,MATCH($A$1,'DB Country PMI'!$A$1:$W$1,),))</f>
        <v>53.9</v>
      </c>
      <c r="C104" s="14">
        <f>Table134681134[[#This Row],[PMI]]-B103</f>
        <v>0.10000000000000142</v>
      </c>
    </row>
    <row r="105" spans="1:3" x14ac:dyDescent="0.2">
      <c r="A105" s="8">
        <v>43466</v>
      </c>
      <c r="B105" s="11">
        <f>IF(VLOOKUP(A105,'DB Country PMI'!$A:$W,MATCH($A$1,'DB Country PMI'!$A$1:$W$1,),)=0,#N/A,VLOOKUP(A105,'DB Country PMI'!$A:$W,MATCH($A$1,'DB Country PMI'!$A$1:$W$1,),))</f>
        <v>53.6</v>
      </c>
      <c r="C105" s="14">
        <f>Table134681134[[#This Row],[PMI]]-B104</f>
        <v>-0.29999999999999716</v>
      </c>
    </row>
    <row r="106" spans="1:3" x14ac:dyDescent="0.2">
      <c r="A106" s="8">
        <v>43497</v>
      </c>
      <c r="B106" s="11">
        <f>IF(VLOOKUP(A106,'DB Country PMI'!$A:$W,MATCH($A$1,'DB Country PMI'!$A$1:$W$1,),)=0,#N/A,VLOOKUP(A106,'DB Country PMI'!$A:$W,MATCH($A$1,'DB Country PMI'!$A$1:$W$1,),))</f>
        <v>51.1</v>
      </c>
      <c r="C106" s="14">
        <f>Table134681134[[#This Row],[PMI]]-B105</f>
        <v>-2.5</v>
      </c>
    </row>
    <row r="107" spans="1:3" x14ac:dyDescent="0.2">
      <c r="A107" s="8">
        <v>43525</v>
      </c>
      <c r="B107" s="11">
        <f>IF(VLOOKUP(A107,'DB Country PMI'!$A:$W,MATCH($A$1,'DB Country PMI'!$A$1:$W$1,),)=0,#N/A,VLOOKUP(A107,'DB Country PMI'!$A:$W,MATCH($A$1,'DB Country PMI'!$A$1:$W$1,),))</f>
        <v>54.4</v>
      </c>
      <c r="C107" s="14">
        <f>Table134681134[[#This Row],[PMI]]-B106</f>
        <v>3.2999999999999972</v>
      </c>
    </row>
    <row r="108" spans="1:3" x14ac:dyDescent="0.2">
      <c r="A108" s="8">
        <v>43556</v>
      </c>
      <c r="B108" s="11">
        <f>IF(VLOOKUP(A108,'DB Country PMI'!$A:$W,MATCH($A$1,'DB Country PMI'!$A$1:$W$1,),)=0,#N/A,VLOOKUP(A108,'DB Country PMI'!$A:$W,MATCH($A$1,'DB Country PMI'!$A$1:$W$1,),))</f>
        <v>54.5</v>
      </c>
      <c r="C108" s="14">
        <f>Table134681134[[#This Row],[PMI]]-B107</f>
        <v>0.10000000000000142</v>
      </c>
    </row>
    <row r="109" spans="1:3" x14ac:dyDescent="0.2">
      <c r="A109" s="8">
        <v>43586</v>
      </c>
      <c r="B109" s="11">
        <f>IF(VLOOKUP(A109,'DB Country PMI'!$A:$W,MATCH($A$1,'DB Country PMI'!$A$1:$W$1,),)=0,#N/A,VLOOKUP(A109,'DB Country PMI'!$A:$W,MATCH($A$1,'DB Country PMI'!$A$1:$W$1,),))</f>
        <v>52.7</v>
      </c>
      <c r="C109" s="14">
        <f>Table134681134[[#This Row],[PMI]]-B108</f>
        <v>-1.7999999999999972</v>
      </c>
    </row>
    <row r="110" spans="1:3" x14ac:dyDescent="0.2">
      <c r="A110" s="8">
        <v>43617</v>
      </c>
      <c r="B110" s="11">
        <f>IF(VLOOKUP(A110,'DB Country PMI'!$A:$W,MATCH($A$1,'DB Country PMI'!$A$1:$W$1,),)=0,#N/A,VLOOKUP(A110,'DB Country PMI'!$A:$W,MATCH($A$1,'DB Country PMI'!$A$1:$W$1,),))</f>
        <v>52</v>
      </c>
      <c r="C110" s="14">
        <f>Table134681134[[#This Row],[PMI]]-B109</f>
        <v>-0.70000000000000284</v>
      </c>
    </row>
    <row r="111" spans="1:3" x14ac:dyDescent="0.2">
      <c r="A111" s="8">
        <v>43647</v>
      </c>
      <c r="B111" s="11">
        <f>IF(VLOOKUP(A111,'DB Country PMI'!$A:$W,MATCH($A$1,'DB Country PMI'!$A$1:$W$1,),)=0,#N/A,VLOOKUP(A111,'DB Country PMI'!$A:$W,MATCH($A$1,'DB Country PMI'!$A$1:$W$1,),))</f>
        <v>51.6</v>
      </c>
      <c r="C111" s="14">
        <f>Table134681134[[#This Row],[PMI]]-B110</f>
        <v>-0.39999999999999858</v>
      </c>
    </row>
    <row r="112" spans="1:3" x14ac:dyDescent="0.2">
      <c r="A112" s="8">
        <v>43678</v>
      </c>
      <c r="B112" s="11">
        <f>IF(VLOOKUP(A112,'DB Country PMI'!$A:$W,MATCH($A$1,'DB Country PMI'!$A$1:$W$1,),)=0,#N/A,VLOOKUP(A112,'DB Country PMI'!$A:$W,MATCH($A$1,'DB Country PMI'!$A$1:$W$1,),))</f>
        <v>52.1</v>
      </c>
      <c r="C112" s="14">
        <f>Table134681134[[#This Row],[PMI]]-B111</f>
        <v>0.5</v>
      </c>
    </row>
    <row r="113" spans="1:6" x14ac:dyDescent="0.2">
      <c r="A113" s="8">
        <v>43709</v>
      </c>
      <c r="B113" s="11">
        <f>IF(VLOOKUP(A113,'DB Country PMI'!$A:$W,MATCH($A$1,'DB Country PMI'!$A$1:$W$1,),)=0,#N/A,VLOOKUP(A113,'DB Country PMI'!$A:$W,MATCH($A$1,'DB Country PMI'!$A$1:$W$1,),))</f>
        <v>51.3</v>
      </c>
      <c r="C113" s="14">
        <f>Table134681134[[#This Row],[PMI]]-B112</f>
        <v>-0.80000000000000426</v>
      </c>
    </row>
    <row r="114" spans="1:6" x14ac:dyDescent="0.2">
      <c r="A114" s="8">
        <v>43739</v>
      </c>
      <c r="B114" s="11">
        <f>IF(VLOOKUP(A114,'DB Country PMI'!$A:$W,MATCH($A$1,'DB Country PMI'!$A$1:$W$1,),)=0,#N/A,VLOOKUP(A114,'DB Country PMI'!$A:$W,MATCH($A$1,'DB Country PMI'!$A$1:$W$1,),))</f>
        <v>51.1</v>
      </c>
      <c r="C114" s="14">
        <f>Table134681134[[#This Row],[PMI]]-B113</f>
        <v>-0.19999999999999574</v>
      </c>
      <c r="F114" s="46"/>
    </row>
    <row r="115" spans="1:6" x14ac:dyDescent="0.2">
      <c r="A115" s="8">
        <v>43770</v>
      </c>
      <c r="B115" s="11">
        <f>IF(VLOOKUP(A115,'DB Country PMI'!$A:$W,MATCH($A$1,'DB Country PMI'!$A$1:$W$1,),)=0,#N/A,VLOOKUP(A115,'DB Country PMI'!$A:$W,MATCH($A$1,'DB Country PMI'!$A$1:$W$1,),))</f>
        <v>53.5</v>
      </c>
      <c r="C115" s="14">
        <f>Table134681134[[#This Row],[PMI]]-B114</f>
        <v>2.3999999999999986</v>
      </c>
    </row>
    <row r="116" spans="1:6" x14ac:dyDescent="0.2">
      <c r="A116" s="8">
        <v>43800</v>
      </c>
      <c r="B116" s="11">
        <f>IF(VLOOKUP(A116,'DB Country PMI'!$A:$W,MATCH($A$1,'DB Country PMI'!$A$1:$W$1,),)=0,#N/A,VLOOKUP(A116,'DB Country PMI'!$A:$W,MATCH($A$1,'DB Country PMI'!$A$1:$W$1,),))</f>
        <v>52.5</v>
      </c>
      <c r="C116" s="14">
        <f>Table134681134[[#This Row],[PMI]]-B115</f>
        <v>-1</v>
      </c>
    </row>
    <row r="117" spans="1:6" x14ac:dyDescent="0.2">
      <c r="A117" s="8">
        <v>43831</v>
      </c>
      <c r="B117" s="11">
        <f>IF(VLOOKUP(A117,'DB Country PMI'!$A:$W,MATCH($A$1,'DB Country PMI'!$A$1:$W$1,),)=0,#N/A,VLOOKUP(A117,'DB Country PMI'!$A:$W,MATCH($A$1,'DB Country PMI'!$A$1:$W$1,),))</f>
        <v>51.8</v>
      </c>
      <c r="C117" s="14">
        <f>Table134681134[[#This Row],[PMI]]-B116</f>
        <v>-0.70000000000000284</v>
      </c>
    </row>
    <row r="118" spans="1:6" x14ac:dyDescent="0.2">
      <c r="A118" s="8">
        <v>43862</v>
      </c>
      <c r="B118" s="11">
        <f>IF(VLOOKUP(A118,'DB Country PMI'!$A:$W,MATCH($A$1,'DB Country PMI'!$A$1:$W$1,),)=0,#N/A,VLOOKUP(A118,'DB Country PMI'!$A:$W,MATCH($A$1,'DB Country PMI'!$A$1:$W$1,),))</f>
        <v>26.5</v>
      </c>
      <c r="C118" s="14">
        <f>Table134681134[[#This Row],[PMI]]-B117</f>
        <v>-25.299999999999997</v>
      </c>
    </row>
    <row r="119" spans="1:6" x14ac:dyDescent="0.2">
      <c r="A119" s="8">
        <v>43891</v>
      </c>
      <c r="B119" s="11">
        <f>IF(VLOOKUP(A119,'DB Country PMI'!$A:$W,MATCH($A$1,'DB Country PMI'!$A$1:$W$1,),)=0,#N/A,VLOOKUP(A119,'DB Country PMI'!$A:$W,MATCH($A$1,'DB Country PMI'!$A$1:$W$1,),))</f>
        <v>43</v>
      </c>
      <c r="C119" s="14">
        <f>Table134681134[[#This Row],[PMI]]-B118</f>
        <v>16.5</v>
      </c>
    </row>
    <row r="120" spans="1:6" x14ac:dyDescent="0.2">
      <c r="A120" s="8">
        <v>43922</v>
      </c>
      <c r="B120" s="11">
        <f>IF(VLOOKUP(A120,'DB Country PMI'!$A:$W,MATCH($A$1,'DB Country PMI'!$A$1:$W$1,),)=0,#N/A,VLOOKUP(A120,'DB Country PMI'!$A:$W,MATCH($A$1,'DB Country PMI'!$A$1:$W$1,),))</f>
        <v>44.4</v>
      </c>
      <c r="C120" s="14">
        <f>Table134681134[[#This Row],[PMI]]-B119</f>
        <v>1.3999999999999986</v>
      </c>
    </row>
    <row r="121" spans="1:6" x14ac:dyDescent="0.2">
      <c r="A121" s="8">
        <v>43952</v>
      </c>
      <c r="B121" s="11">
        <f>IF(VLOOKUP(A121,'DB Country PMI'!$A:$W,MATCH($A$1,'DB Country PMI'!$A$1:$W$1,),)=0,#N/A,VLOOKUP(A121,'DB Country PMI'!$A:$W,MATCH($A$1,'DB Country PMI'!$A$1:$W$1,),))</f>
        <v>55</v>
      </c>
      <c r="C121" s="14">
        <f>Table134681134[[#This Row],[PMI]]-B120</f>
        <v>10.600000000000001</v>
      </c>
    </row>
    <row r="122" spans="1:6" x14ac:dyDescent="0.2">
      <c r="A122" s="8">
        <v>43983</v>
      </c>
      <c r="B122" s="11">
        <f>IF(VLOOKUP(A122,'DB Country PMI'!$A:$W,MATCH($A$1,'DB Country PMI'!$A$1:$W$1,),)=0,#N/A,VLOOKUP(A122,'DB Country PMI'!$A:$W,MATCH($A$1,'DB Country PMI'!$A$1:$W$1,),))</f>
        <v>58.4</v>
      </c>
      <c r="C122" s="14">
        <f>Table134681134[[#This Row],[PMI]]-B121</f>
        <v>3.3999999999999986</v>
      </c>
    </row>
    <row r="123" spans="1:6" x14ac:dyDescent="0.2">
      <c r="A123" s="8">
        <v>44013</v>
      </c>
      <c r="B123" s="11">
        <f>IF(VLOOKUP(A123,'DB Country PMI'!$A:$W,MATCH($A$1,'DB Country PMI'!$A$1:$W$1,),)=0,#N/A,VLOOKUP(A123,'DB Country PMI'!$A:$W,MATCH($A$1,'DB Country PMI'!$A$1:$W$1,),))</f>
        <v>54.1</v>
      </c>
      <c r="C123" s="14">
        <f>Table134681134[[#This Row],[PMI]]-B122</f>
        <v>-4.2999999999999972</v>
      </c>
    </row>
    <row r="124" spans="1:6" x14ac:dyDescent="0.2">
      <c r="A124" s="8">
        <v>44044</v>
      </c>
      <c r="B124" s="11">
        <f>IF(VLOOKUP(A124,'DB Country PMI'!$A:$W,MATCH($A$1,'DB Country PMI'!$A$1:$W$1,),)=0,#N/A,VLOOKUP(A124,'DB Country PMI'!$A:$W,MATCH($A$1,'DB Country PMI'!$A$1:$W$1,),))</f>
        <v>54</v>
      </c>
      <c r="C124" s="14">
        <f>Table134681134[[#This Row],[PMI]]-B123</f>
        <v>-0.10000000000000142</v>
      </c>
    </row>
    <row r="125" spans="1:6" x14ac:dyDescent="0.2">
      <c r="A125" s="8">
        <v>44075</v>
      </c>
      <c r="B125" s="11">
        <f>IF(VLOOKUP(A125,'DB Country PMI'!$A:$W,MATCH($A$1,'DB Country PMI'!$A$1:$W$1,),)=0,#N/A,VLOOKUP(A125,'DB Country PMI'!$A:$W,MATCH($A$1,'DB Country PMI'!$A$1:$W$1,),))</f>
        <v>54.8</v>
      </c>
      <c r="C125" s="14">
        <f>Table134681134[[#This Row],[PMI]]-B124</f>
        <v>0.79999999999999716</v>
      </c>
    </row>
    <row r="126" spans="1:6" x14ac:dyDescent="0.2">
      <c r="A126" s="8">
        <v>44105</v>
      </c>
      <c r="B126" s="11">
        <f>IF(VLOOKUP(A126,'DB Country PMI'!$A:$W,MATCH($A$1,'DB Country PMI'!$A$1:$W$1,),)=0,#N/A,VLOOKUP(A126,'DB Country PMI'!$A:$W,MATCH($A$1,'DB Country PMI'!$A$1:$W$1,),))</f>
        <v>56.8</v>
      </c>
      <c r="C126" s="14">
        <f>Table134681134[[#This Row],[PMI]]-B125</f>
        <v>2</v>
      </c>
    </row>
    <row r="127" spans="1:6" x14ac:dyDescent="0.2">
      <c r="A127" s="8">
        <v>44136</v>
      </c>
      <c r="B127" s="11">
        <f>IF(VLOOKUP(A127,'DB Country PMI'!$A:$W,MATCH($A$1,'DB Country PMI'!$A$1:$W$1,),)=0,#N/A,VLOOKUP(A127,'DB Country PMI'!$A:$W,MATCH($A$1,'DB Country PMI'!$A$1:$W$1,),))</f>
        <v>57.8</v>
      </c>
      <c r="C127" s="14">
        <f>Table134681134[[#This Row],[PMI]]-B126</f>
        <v>1</v>
      </c>
    </row>
    <row r="128" spans="1:6" x14ac:dyDescent="0.2">
      <c r="A128" s="8">
        <v>44166</v>
      </c>
      <c r="B128" s="11">
        <f>IF(VLOOKUP(A128,'DB Country PMI'!$A:$W,MATCH($A$1,'DB Country PMI'!$A$1:$W$1,),)=0,#N/A,VLOOKUP(A128,'DB Country PMI'!$A:$W,MATCH($A$1,'DB Country PMI'!$A$1:$W$1,),))</f>
        <v>56.3</v>
      </c>
      <c r="C128" s="14">
        <f>Table134681134[[#This Row],[PMI]]-B127</f>
        <v>-1.5</v>
      </c>
    </row>
    <row r="129" spans="1:3" x14ac:dyDescent="0.2">
      <c r="A129" s="8">
        <v>44197</v>
      </c>
      <c r="B129" s="11">
        <f>IF(VLOOKUP(A129,'DB Country PMI'!$A:$W,MATCH($A$1,'DB Country PMI'!$A$1:$W$1,),)=0,#N/A,VLOOKUP(A129,'DB Country PMI'!$A:$W,MATCH($A$1,'DB Country PMI'!$A$1:$W$1,),))</f>
        <v>52</v>
      </c>
      <c r="C129" s="14">
        <f>Table134681134[[#This Row],[PMI]]-B128</f>
        <v>-4.2999999999999972</v>
      </c>
    </row>
    <row r="130" spans="1:3" x14ac:dyDescent="0.2">
      <c r="A130" s="8">
        <v>44228</v>
      </c>
      <c r="B130" s="11">
        <f>IF(VLOOKUP(A130,'DB Country PMI'!$A:$W,MATCH($A$1,'DB Country PMI'!$A$1:$W$1,),)=0,#N/A,VLOOKUP(A130,'DB Country PMI'!$A:$W,MATCH($A$1,'DB Country PMI'!$A$1:$W$1,),))</f>
        <v>51.5</v>
      </c>
      <c r="C130" s="14">
        <f>Table134681134[[#This Row],[PMI]]-B129</f>
        <v>-0.5</v>
      </c>
    </row>
    <row r="131" spans="1:3" x14ac:dyDescent="0.2">
      <c r="A131" s="8">
        <v>44256</v>
      </c>
      <c r="B131" s="11">
        <f>IF(VLOOKUP(A131,'DB Country PMI'!$A:$W,MATCH($A$1,'DB Country PMI'!$A$1:$W$1,),)=0,#N/A,VLOOKUP(A131,'DB Country PMI'!$A:$W,MATCH($A$1,'DB Country PMI'!$A$1:$W$1,),))</f>
        <v>54.3</v>
      </c>
      <c r="C131" s="14">
        <f>Table134681134[[#This Row],[PMI]]-B130</f>
        <v>2.7999999999999972</v>
      </c>
    </row>
    <row r="132" spans="1:3" x14ac:dyDescent="0.2">
      <c r="A132" s="8">
        <v>44287</v>
      </c>
      <c r="B132" s="11">
        <f>IF(VLOOKUP(A132,'DB Country PMI'!$A:$W,MATCH($A$1,'DB Country PMI'!$A$1:$W$1,),)=0,#N/A,VLOOKUP(A132,'DB Country PMI'!$A:$W,MATCH($A$1,'DB Country PMI'!$A$1:$W$1,),))</f>
        <v>56.3</v>
      </c>
      <c r="C132" s="14">
        <f>Table134681134[[#This Row],[PMI]]-B131</f>
        <v>2</v>
      </c>
    </row>
    <row r="133" spans="1:3" x14ac:dyDescent="0.2">
      <c r="A133" s="8">
        <v>44317</v>
      </c>
      <c r="B133" s="11">
        <f>IF(VLOOKUP(A133,'DB Country PMI'!$A:$W,MATCH($A$1,'DB Country PMI'!$A$1:$W$1,),)=0,#N/A,VLOOKUP(A133,'DB Country PMI'!$A:$W,MATCH($A$1,'DB Country PMI'!$A$1:$W$1,),))</f>
        <v>55.1</v>
      </c>
      <c r="C133" s="14">
        <f>Table134681134[[#This Row],[PMI]]-B132</f>
        <v>-1.1999999999999957</v>
      </c>
    </row>
    <row r="134" spans="1:3" x14ac:dyDescent="0.2">
      <c r="A134" s="8">
        <v>44348</v>
      </c>
      <c r="B134" s="11">
        <f>IF(VLOOKUP(A134,'DB Country PMI'!$A:$W,MATCH($A$1,'DB Country PMI'!$A$1:$W$1,),)=0,#N/A,VLOOKUP(A134,'DB Country PMI'!$A:$W,MATCH($A$1,'DB Country PMI'!$A$1:$W$1,),))</f>
        <v>50.3</v>
      </c>
      <c r="C134" s="14">
        <f>Table134681134[[#This Row],[PMI]]-B133</f>
        <v>-4.8000000000000043</v>
      </c>
    </row>
    <row r="135" spans="1:3" x14ac:dyDescent="0.2">
      <c r="A135" s="8">
        <v>44378</v>
      </c>
      <c r="B135" s="11">
        <f>IF(VLOOKUP(A135,'DB Country PMI'!$A:$W,MATCH($A$1,'DB Country PMI'!$A$1:$W$1,),)=0,#N/A,VLOOKUP(A135,'DB Country PMI'!$A:$W,MATCH($A$1,'DB Country PMI'!$A$1:$W$1,),))</f>
        <v>54.9</v>
      </c>
      <c r="C135" s="14">
        <f>Table134681134[[#This Row],[PMI]]-B134</f>
        <v>4.6000000000000014</v>
      </c>
    </row>
    <row r="136" spans="1:3" x14ac:dyDescent="0.2">
      <c r="A136" s="8">
        <v>44409</v>
      </c>
      <c r="B136" s="11">
        <f>IF(VLOOKUP(A136,'DB Country PMI'!$A:$W,MATCH($A$1,'DB Country PMI'!$A$1:$W$1,),)=0,#N/A,VLOOKUP(A136,'DB Country PMI'!$A:$W,MATCH($A$1,'DB Country PMI'!$A$1:$W$1,),))</f>
        <v>46.7</v>
      </c>
      <c r="C136" s="14">
        <f>Table134681134[[#This Row],[PMI]]-B135</f>
        <v>-8.1999999999999957</v>
      </c>
    </row>
    <row r="137" spans="1:3" x14ac:dyDescent="0.2">
      <c r="A137" s="8">
        <v>44440</v>
      </c>
      <c r="B137" s="11">
        <f>IF(VLOOKUP(A137,'DB Country PMI'!$A:$W,MATCH($A$1,'DB Country PMI'!$A$1:$W$1,),)=0,#N/A,VLOOKUP(A137,'DB Country PMI'!$A:$W,MATCH($A$1,'DB Country PMI'!$A$1:$W$1,),))</f>
        <v>53.4</v>
      </c>
      <c r="C137" s="14">
        <f>Table134681134[[#This Row],[PMI]]-B136</f>
        <v>6.6999999999999957</v>
      </c>
    </row>
    <row r="138" spans="1:3" x14ac:dyDescent="0.2">
      <c r="A138" s="8">
        <v>44470</v>
      </c>
      <c r="B138" s="11">
        <f>IF(VLOOKUP(A138,'DB Country PMI'!$A:$W,MATCH($A$1,'DB Country PMI'!$A$1:$W$1,),)=0,#N/A,VLOOKUP(A138,'DB Country PMI'!$A:$W,MATCH($A$1,'DB Country PMI'!$A$1:$W$1,),))</f>
        <v>53.8</v>
      </c>
      <c r="C138" s="14">
        <f>Table134681134[[#This Row],[PMI]]-B137</f>
        <v>0.39999999999999858</v>
      </c>
    </row>
    <row r="139" spans="1:3" x14ac:dyDescent="0.2">
      <c r="A139" s="8">
        <v>44501</v>
      </c>
      <c r="B139" s="11">
        <f>IF(VLOOKUP(A139,'DB Country PMI'!$A:$W,MATCH($A$1,'DB Country PMI'!$A$1:$W$1,),)=0,#N/A,VLOOKUP(A139,'DB Country PMI'!$A:$W,MATCH($A$1,'DB Country PMI'!$A$1:$W$1,),))</f>
        <v>52.1</v>
      </c>
      <c r="C139" s="14">
        <f>Table134681134[[#This Row],[PMI]]-B138</f>
        <v>-1.6999999999999957</v>
      </c>
    </row>
    <row r="140" spans="1:3" x14ac:dyDescent="0.2">
      <c r="A140" s="8">
        <v>44531</v>
      </c>
      <c r="B140" s="11">
        <f>IF(VLOOKUP(A140,'DB Country PMI'!$A:$W,MATCH($A$1,'DB Country PMI'!$A$1:$W$1,),)=0,#N/A,VLOOKUP(A140,'DB Country PMI'!$A:$W,MATCH($A$1,'DB Country PMI'!$A$1:$W$1,),))</f>
        <v>53.1</v>
      </c>
      <c r="C140" s="14">
        <f>Table134681134[[#This Row],[PMI]]-B139</f>
        <v>1</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24</v>
      </c>
      <c r="J1" s="47" t="s">
        <v>61</v>
      </c>
    </row>
    <row r="2" spans="1:10" x14ac:dyDescent="0.2">
      <c r="J2" s="47" t="s">
        <v>65</v>
      </c>
    </row>
    <row r="4" spans="1:10" ht="16" customHeight="1" thickBot="1" x14ac:dyDescent="0.25"/>
    <row r="5" spans="1:10" ht="16" customHeight="1" thickBot="1" x14ac:dyDescent="0.25">
      <c r="A5" s="12" t="s">
        <v>33</v>
      </c>
      <c r="B5" s="13" t="s">
        <v>59</v>
      </c>
      <c r="C5" s="13" t="s">
        <v>60</v>
      </c>
    </row>
    <row r="6" spans="1:10" x14ac:dyDescent="0.2">
      <c r="A6" s="10">
        <v>39661</v>
      </c>
      <c r="B6" s="11">
        <f>IF(VLOOKUP(A6,'DB Country PMI'!$A:$W,MATCH($A$1,'DB Country PMI'!$A$1:$W$1,),)=0,#N/A,VLOOKUP(A6,'DB Country PMI'!$A:$W,MATCH($A$1,'DB Country PMI'!$A$1:$W$1,),))</f>
        <v>48</v>
      </c>
      <c r="C6" s="11"/>
    </row>
    <row r="7" spans="1:10" x14ac:dyDescent="0.2">
      <c r="A7" s="8">
        <v>39692</v>
      </c>
      <c r="B7" s="11">
        <f>IF(VLOOKUP(A7,'DB Country PMI'!$A:$W,MATCH($A$1,'DB Country PMI'!$A$1:$W$1,),)=0,#N/A,VLOOKUP(A7,'DB Country PMI'!$A:$W,MATCH($A$1,'DB Country PMI'!$A$1:$W$1,),))</f>
        <v>50.1</v>
      </c>
      <c r="C7" s="14">
        <f>Table1346811345[[#This Row],[PMI]]-B6</f>
        <v>2.1000000000000014</v>
      </c>
    </row>
    <row r="8" spans="1:10" x14ac:dyDescent="0.2">
      <c r="A8" s="8">
        <v>39722</v>
      </c>
      <c r="B8" s="11">
        <f>IF(VLOOKUP(A8,'DB Country PMI'!$A:$W,MATCH($A$1,'DB Country PMI'!$A$1:$W$1,),)=0,#N/A,VLOOKUP(A8,'DB Country PMI'!$A:$W,MATCH($A$1,'DB Country PMI'!$A$1:$W$1,),))</f>
        <v>47.5</v>
      </c>
      <c r="C8" s="14">
        <f>Table1346811345[[#This Row],[PMI]]-B7</f>
        <v>-2.6000000000000014</v>
      </c>
    </row>
    <row r="9" spans="1:10" x14ac:dyDescent="0.2">
      <c r="A9" s="8">
        <v>39753</v>
      </c>
      <c r="B9" s="11">
        <f>IF(VLOOKUP(A9,'DB Country PMI'!$A:$W,MATCH($A$1,'DB Country PMI'!$A$1:$W$1,),)=0,#N/A,VLOOKUP(A9,'DB Country PMI'!$A:$W,MATCH($A$1,'DB Country PMI'!$A$1:$W$1,),))</f>
        <v>46.2</v>
      </c>
      <c r="C9" s="14">
        <f>Table1346811345[[#This Row],[PMI]]-B8</f>
        <v>-1.2999999999999972</v>
      </c>
    </row>
    <row r="10" spans="1:10" x14ac:dyDescent="0.2">
      <c r="A10" s="8">
        <v>39783</v>
      </c>
      <c r="B10" s="11">
        <f>IF(VLOOKUP(A10,'DB Country PMI'!$A:$W,MATCH($A$1,'DB Country PMI'!$A$1:$W$1,),)=0,#N/A,VLOOKUP(A10,'DB Country PMI'!$A:$W,MATCH($A$1,'DB Country PMI'!$A$1:$W$1,),))</f>
        <v>44.2</v>
      </c>
      <c r="C10" s="14">
        <f>Table1346811345[[#This Row],[PMI]]-B9</f>
        <v>-2</v>
      </c>
    </row>
    <row r="11" spans="1:10" x14ac:dyDescent="0.2">
      <c r="A11" s="8">
        <v>39814</v>
      </c>
      <c r="B11" s="11">
        <f>IF(VLOOKUP(A11,'DB Country PMI'!$A:$W,MATCH($A$1,'DB Country PMI'!$A$1:$W$1,),)=0,#N/A,VLOOKUP(A11,'DB Country PMI'!$A:$W,MATCH($A$1,'DB Country PMI'!$A$1:$W$1,),))</f>
        <v>42.6</v>
      </c>
      <c r="C11" s="14">
        <f>Table1346811345[[#This Row],[PMI]]-B10</f>
        <v>-1.6000000000000014</v>
      </c>
    </row>
    <row r="12" spans="1:10" x14ac:dyDescent="0.2">
      <c r="A12" s="8">
        <v>39845</v>
      </c>
      <c r="B12" s="11">
        <f>IF(VLOOKUP(A12,'DB Country PMI'!$A:$W,MATCH($A$1,'DB Country PMI'!$A$1:$W$1,),)=0,#N/A,VLOOKUP(A12,'DB Country PMI'!$A:$W,MATCH($A$1,'DB Country PMI'!$A$1:$W$1,),))</f>
        <v>40.200000000000003</v>
      </c>
      <c r="C12" s="14">
        <f>Table1346811345[[#This Row],[PMI]]-B11</f>
        <v>-2.3999999999999986</v>
      </c>
    </row>
    <row r="13" spans="1:10" x14ac:dyDescent="0.2">
      <c r="A13" s="8">
        <v>39873</v>
      </c>
      <c r="B13" s="11">
        <f>IF(VLOOKUP(A13,'DB Country PMI'!$A:$W,MATCH($A$1,'DB Country PMI'!$A$1:$W$1,),)=0,#N/A,VLOOKUP(A13,'DB Country PMI'!$A:$W,MATCH($A$1,'DB Country PMI'!$A$1:$W$1,),))</f>
        <v>43.6</v>
      </c>
      <c r="C13" s="14">
        <f>Table1346811345[[#This Row],[PMI]]-B12</f>
        <v>3.3999999999999986</v>
      </c>
    </row>
    <row r="14" spans="1:10" x14ac:dyDescent="0.2">
      <c r="A14" s="8">
        <v>39904</v>
      </c>
      <c r="B14" s="11">
        <f>IF(VLOOKUP(A14,'DB Country PMI'!$A:$W,MATCH($A$1,'DB Country PMI'!$A$1:$W$1,),)=0,#N/A,VLOOKUP(A14,'DB Country PMI'!$A:$W,MATCH($A$1,'DB Country PMI'!$A$1:$W$1,),))</f>
        <v>46.5</v>
      </c>
      <c r="C14" s="14">
        <f>Table1346811345[[#This Row],[PMI]]-B13</f>
        <v>2.8999999999999986</v>
      </c>
    </row>
    <row r="15" spans="1:10" x14ac:dyDescent="0.2">
      <c r="A15" s="8">
        <v>39934</v>
      </c>
      <c r="B15" s="11">
        <f>IF(VLOOKUP(A15,'DB Country PMI'!$A:$W,MATCH($A$1,'DB Country PMI'!$A$1:$W$1,),)=0,#N/A,VLOOKUP(A15,'DB Country PMI'!$A:$W,MATCH($A$1,'DB Country PMI'!$A$1:$W$1,),))</f>
        <v>48.3</v>
      </c>
      <c r="C15" s="14">
        <f>Table1346811345[[#This Row],[PMI]]-B14</f>
        <v>1.7999999999999972</v>
      </c>
    </row>
    <row r="16" spans="1:10" x14ac:dyDescent="0.2">
      <c r="A16" s="8">
        <v>39965</v>
      </c>
      <c r="B16" s="11">
        <f>IF(VLOOKUP(A16,'DB Country PMI'!$A:$W,MATCH($A$1,'DB Country PMI'!$A$1:$W$1,),)=0,#N/A,VLOOKUP(A16,'DB Country PMI'!$A:$W,MATCH($A$1,'DB Country PMI'!$A$1:$W$1,),))</f>
        <v>47.2</v>
      </c>
      <c r="C16" s="14">
        <f>Table1346811345[[#This Row],[PMI]]-B15</f>
        <v>-1.0999999999999943</v>
      </c>
    </row>
    <row r="17" spans="1:3" x14ac:dyDescent="0.2">
      <c r="A17" s="8">
        <v>39995</v>
      </c>
      <c r="B17" s="11">
        <f>IF(VLOOKUP(A17,'DB Country PMI'!$A:$W,MATCH($A$1,'DB Country PMI'!$A$1:$W$1,),)=0,#N/A,VLOOKUP(A17,'DB Country PMI'!$A:$W,MATCH($A$1,'DB Country PMI'!$A$1:$W$1,),))</f>
        <v>45.5</v>
      </c>
      <c r="C17" s="14">
        <f>Table1346811345[[#This Row],[PMI]]-B16</f>
        <v>-1.7000000000000028</v>
      </c>
    </row>
    <row r="18" spans="1:3" x14ac:dyDescent="0.2">
      <c r="A18" s="8">
        <v>40026</v>
      </c>
      <c r="B18" s="11">
        <f>IF(VLOOKUP(A18,'DB Country PMI'!$A:$W,MATCH($A$1,'DB Country PMI'!$A$1:$W$1,),)=0,#N/A,VLOOKUP(A18,'DB Country PMI'!$A:$W,MATCH($A$1,'DB Country PMI'!$A$1:$W$1,),))</f>
        <v>49.3</v>
      </c>
      <c r="C18" s="14">
        <f>Table1346811345[[#This Row],[PMI]]-B17</f>
        <v>3.7999999999999972</v>
      </c>
    </row>
    <row r="19" spans="1:3" x14ac:dyDescent="0.2">
      <c r="A19" s="8">
        <v>40057</v>
      </c>
      <c r="B19" s="11">
        <f>IF(VLOOKUP(A19,'DB Country PMI'!$A:$W,MATCH($A$1,'DB Country PMI'!$A$1:$W$1,),)=0,#N/A,VLOOKUP(A19,'DB Country PMI'!$A:$W,MATCH($A$1,'DB Country PMI'!$A$1:$W$1,),))</f>
        <v>53.2</v>
      </c>
      <c r="C19" s="14">
        <f>Table1346811345[[#This Row],[PMI]]-B18</f>
        <v>3.9000000000000057</v>
      </c>
    </row>
    <row r="20" spans="1:3" x14ac:dyDescent="0.2">
      <c r="A20" s="8">
        <v>40087</v>
      </c>
      <c r="B20" s="11">
        <f>IF(VLOOKUP(A20,'DB Country PMI'!$A:$W,MATCH($A$1,'DB Country PMI'!$A$1:$W$1,),)=0,#N/A,VLOOKUP(A20,'DB Country PMI'!$A:$W,MATCH($A$1,'DB Country PMI'!$A$1:$W$1,),))</f>
        <v>57.7</v>
      </c>
      <c r="C20" s="14">
        <f>Table1346811345[[#This Row],[PMI]]-B19</f>
        <v>4.5</v>
      </c>
    </row>
    <row r="21" spans="1:3" x14ac:dyDescent="0.2">
      <c r="A21" s="8">
        <v>40118</v>
      </c>
      <c r="B21" s="11">
        <f>IF(VLOOKUP(A21,'DB Country PMI'!$A:$W,MATCH($A$1,'DB Country PMI'!$A$1:$W$1,),)=0,#N/A,VLOOKUP(A21,'DB Country PMI'!$A:$W,MATCH($A$1,'DB Country PMI'!$A$1:$W$1,),))</f>
        <v>60.9</v>
      </c>
      <c r="C21" s="14">
        <f>Table1346811345[[#This Row],[PMI]]-B20</f>
        <v>3.1999999999999957</v>
      </c>
    </row>
    <row r="22" spans="1:3" x14ac:dyDescent="0.2">
      <c r="A22" s="8">
        <v>40148</v>
      </c>
      <c r="B22" s="11">
        <f>IF(VLOOKUP(A22,'DB Country PMI'!$A:$W,MATCH($A$1,'DB Country PMI'!$A$1:$W$1,),)=0,#N/A,VLOOKUP(A22,'DB Country PMI'!$A:$W,MATCH($A$1,'DB Country PMI'!$A$1:$W$1,),))</f>
        <v>58.2</v>
      </c>
      <c r="C22" s="14">
        <f>Table1346811345[[#This Row],[PMI]]-B21</f>
        <v>-2.6999999999999957</v>
      </c>
    </row>
    <row r="23" spans="1:3" x14ac:dyDescent="0.2">
      <c r="A23" s="8">
        <v>40179</v>
      </c>
      <c r="B23" s="11">
        <f>IF(VLOOKUP(A23,'DB Country PMI'!$A:$W,MATCH($A$1,'DB Country PMI'!$A$1:$W$1,),)=0,#N/A,VLOOKUP(A23,'DB Country PMI'!$A:$W,MATCH($A$1,'DB Country PMI'!$A$1:$W$1,),))</f>
        <v>56.3</v>
      </c>
      <c r="C23" s="14">
        <f>Table1346811345[[#This Row],[PMI]]-B22</f>
        <v>-1.9000000000000057</v>
      </c>
    </row>
    <row r="24" spans="1:3" x14ac:dyDescent="0.2">
      <c r="A24" s="8">
        <v>40210</v>
      </c>
      <c r="B24" s="11">
        <f>IF(VLOOKUP(A24,'DB Country PMI'!$A:$W,MATCH($A$1,'DB Country PMI'!$A$1:$W$1,),)=0,#N/A,VLOOKUP(A24,'DB Country PMI'!$A:$W,MATCH($A$1,'DB Country PMI'!$A$1:$W$1,),))</f>
        <v>54.6</v>
      </c>
      <c r="C24" s="14">
        <f>Table1346811345[[#This Row],[PMI]]-B23</f>
        <v>-1.6999999999999957</v>
      </c>
    </row>
    <row r="25" spans="1:3" x14ac:dyDescent="0.2">
      <c r="A25" s="8">
        <v>40238</v>
      </c>
      <c r="B25" s="11">
        <f>IF(VLOOKUP(A25,'DB Country PMI'!$A:$W,MATCH($A$1,'DB Country PMI'!$A$1:$W$1,),)=0,#N/A,VLOOKUP(A25,'DB Country PMI'!$A:$W,MATCH($A$1,'DB Country PMI'!$A$1:$W$1,),))</f>
        <v>53.8</v>
      </c>
      <c r="C25" s="14">
        <f>Table1346811345[[#This Row],[PMI]]-B24</f>
        <v>-0.80000000000000426</v>
      </c>
    </row>
    <row r="26" spans="1:3" x14ac:dyDescent="0.2">
      <c r="A26" s="8">
        <v>40269</v>
      </c>
      <c r="B26" s="11">
        <f>IF(VLOOKUP(A26,'DB Country PMI'!$A:$W,MATCH($A$1,'DB Country PMI'!$A$1:$W$1,),)=0,#N/A,VLOOKUP(A26,'DB Country PMI'!$A:$W,MATCH($A$1,'DB Country PMI'!$A$1:$W$1,),))</f>
        <v>59.2</v>
      </c>
      <c r="C26" s="14">
        <f>Table1346811345[[#This Row],[PMI]]-B25</f>
        <v>5.4000000000000057</v>
      </c>
    </row>
    <row r="27" spans="1:3" x14ac:dyDescent="0.2">
      <c r="A27" s="8">
        <v>40299</v>
      </c>
      <c r="B27" s="11">
        <f>IF(VLOOKUP(A27,'DB Country PMI'!$A:$W,MATCH($A$1,'DB Country PMI'!$A$1:$W$1,),)=0,#N/A,VLOOKUP(A27,'DB Country PMI'!$A:$W,MATCH($A$1,'DB Country PMI'!$A$1:$W$1,),))</f>
        <v>61.4</v>
      </c>
      <c r="C27" s="14">
        <f>Table1346811345[[#This Row],[PMI]]-B26</f>
        <v>2.1999999999999957</v>
      </c>
    </row>
    <row r="28" spans="1:3" x14ac:dyDescent="0.2">
      <c r="A28" s="8">
        <v>40330</v>
      </c>
      <c r="B28" s="11">
        <f>IF(VLOOKUP(A28,'DB Country PMI'!$A:$W,MATCH($A$1,'DB Country PMI'!$A$1:$W$1,),)=0,#N/A,VLOOKUP(A28,'DB Country PMI'!$A:$W,MATCH($A$1,'DB Country PMI'!$A$1:$W$1,),))</f>
        <v>60.8</v>
      </c>
      <c r="C28" s="14">
        <f>Table1346811345[[#This Row],[PMI]]-B27</f>
        <v>-0.60000000000000142</v>
      </c>
    </row>
    <row r="29" spans="1:3" x14ac:dyDescent="0.2">
      <c r="A29" s="8">
        <v>40360</v>
      </c>
      <c r="B29" s="11">
        <f>IF(VLOOKUP(A29,'DB Country PMI'!$A:$W,MATCH($A$1,'DB Country PMI'!$A$1:$W$1,),)=0,#N/A,VLOOKUP(A29,'DB Country PMI'!$A:$W,MATCH($A$1,'DB Country PMI'!$A$1:$W$1,),))</f>
        <v>61.1</v>
      </c>
      <c r="C29" s="14">
        <f>Table1346811345[[#This Row],[PMI]]-B28</f>
        <v>0.30000000000000426</v>
      </c>
    </row>
    <row r="30" spans="1:3" x14ac:dyDescent="0.2">
      <c r="A30" s="8">
        <v>40391</v>
      </c>
      <c r="B30" s="11">
        <f>IF(VLOOKUP(A30,'DB Country PMI'!$A:$W,MATCH($A$1,'DB Country PMI'!$A$1:$W$1,),)=0,#N/A,VLOOKUP(A30,'DB Country PMI'!$A:$W,MATCH($A$1,'DB Country PMI'!$A$1:$W$1,),))</f>
        <v>60.4</v>
      </c>
      <c r="C30" s="14">
        <f>Table1346811345[[#This Row],[PMI]]-B29</f>
        <v>-0.70000000000000284</v>
      </c>
    </row>
    <row r="31" spans="1:3" x14ac:dyDescent="0.2">
      <c r="A31" s="8">
        <v>40422</v>
      </c>
      <c r="B31" s="11">
        <f>IF(VLOOKUP(A31,'DB Country PMI'!$A:$W,MATCH($A$1,'DB Country PMI'!$A$1:$W$1,),)=0,#N/A,VLOOKUP(A31,'DB Country PMI'!$A:$W,MATCH($A$1,'DB Country PMI'!$A$1:$W$1,),))</f>
        <v>58.2</v>
      </c>
      <c r="C31" s="14">
        <f>Table1346811345[[#This Row],[PMI]]-B30</f>
        <v>-2.1999999999999957</v>
      </c>
    </row>
    <row r="32" spans="1:3" x14ac:dyDescent="0.2">
      <c r="A32" s="8">
        <v>40452</v>
      </c>
      <c r="B32" s="11">
        <f>IF(VLOOKUP(A32,'DB Country PMI'!$A:$W,MATCH($A$1,'DB Country PMI'!$A$1:$W$1,),)=0,#N/A,VLOOKUP(A32,'DB Country PMI'!$A:$W,MATCH($A$1,'DB Country PMI'!$A$1:$W$1,),))</f>
        <v>54.8</v>
      </c>
      <c r="C32" s="14">
        <f>Table1346811345[[#This Row],[PMI]]-B31</f>
        <v>-3.4000000000000057</v>
      </c>
    </row>
    <row r="33" spans="1:3" x14ac:dyDescent="0.2">
      <c r="A33" s="8">
        <v>40483</v>
      </c>
      <c r="B33" s="11">
        <f>IF(VLOOKUP(A33,'DB Country PMI'!$A:$W,MATCH($A$1,'DB Country PMI'!$A$1:$W$1,),)=0,#N/A,VLOOKUP(A33,'DB Country PMI'!$A:$W,MATCH($A$1,'DB Country PMI'!$A$1:$W$1,),))</f>
        <v>55</v>
      </c>
      <c r="C33" s="14">
        <f>Table1346811345[[#This Row],[PMI]]-B32</f>
        <v>0.20000000000000284</v>
      </c>
    </row>
    <row r="34" spans="1:3" x14ac:dyDescent="0.2">
      <c r="A34" s="8">
        <v>40513</v>
      </c>
      <c r="B34" s="11">
        <f>IF(VLOOKUP(A34,'DB Country PMI'!$A:$W,MATCH($A$1,'DB Country PMI'!$A$1:$W$1,),)=0,#N/A,VLOOKUP(A34,'DB Country PMI'!$A:$W,MATCH($A$1,'DB Country PMI'!$A$1:$W$1,),))</f>
        <v>57.1</v>
      </c>
      <c r="C34" s="14">
        <f>Table1346811345[[#This Row],[PMI]]-B33</f>
        <v>2.1000000000000014</v>
      </c>
    </row>
    <row r="35" spans="1:3" x14ac:dyDescent="0.2">
      <c r="A35" s="8">
        <v>40544</v>
      </c>
      <c r="B35" s="11">
        <f>IF(VLOOKUP(A35,'DB Country PMI'!$A:$W,MATCH($A$1,'DB Country PMI'!$A$1:$W$1,),)=0,#N/A,VLOOKUP(A35,'DB Country PMI'!$A:$W,MATCH($A$1,'DB Country PMI'!$A$1:$W$1,),))</f>
        <v>58.3</v>
      </c>
      <c r="C35" s="14">
        <f>Table1346811345[[#This Row],[PMI]]-B34</f>
        <v>1.1999999999999957</v>
      </c>
    </row>
    <row r="36" spans="1:3" x14ac:dyDescent="0.2">
      <c r="A36" s="8">
        <v>40575</v>
      </c>
      <c r="B36" s="11">
        <f>IF(VLOOKUP(A36,'DB Country PMI'!$A:$W,MATCH($A$1,'DB Country PMI'!$A$1:$W$1,),)=0,#N/A,VLOOKUP(A36,'DB Country PMI'!$A:$W,MATCH($A$1,'DB Country PMI'!$A$1:$W$1,),))</f>
        <v>59.7</v>
      </c>
      <c r="C36" s="14">
        <f>Table1346811345[[#This Row],[PMI]]-B35</f>
        <v>1.4000000000000057</v>
      </c>
    </row>
    <row r="37" spans="1:3" x14ac:dyDescent="0.2">
      <c r="A37" s="8">
        <v>40603</v>
      </c>
      <c r="B37" s="11">
        <f>IF(VLOOKUP(A37,'DB Country PMI'!$A:$W,MATCH($A$1,'DB Country PMI'!$A$1:$W$1,),)=0,#N/A,VLOOKUP(A37,'DB Country PMI'!$A:$W,MATCH($A$1,'DB Country PMI'!$A$1:$W$1,),))</f>
        <v>60.4</v>
      </c>
      <c r="C37" s="14">
        <f>Table1346811345[[#This Row],[PMI]]-B36</f>
        <v>0.69999999999999574</v>
      </c>
    </row>
    <row r="38" spans="1:3" x14ac:dyDescent="0.2">
      <c r="A38" s="8">
        <v>40634</v>
      </c>
      <c r="B38" s="11">
        <f>IF(VLOOKUP(A38,'DB Country PMI'!$A:$W,MATCH($A$1,'DB Country PMI'!$A$1:$W$1,),)=0,#N/A,VLOOKUP(A38,'DB Country PMI'!$A:$W,MATCH($A$1,'DB Country PMI'!$A$1:$W$1,),))</f>
        <v>62.9</v>
      </c>
      <c r="C38" s="14">
        <f>Table1346811345[[#This Row],[PMI]]-B37</f>
        <v>2.5</v>
      </c>
    </row>
    <row r="39" spans="1:3" x14ac:dyDescent="0.2">
      <c r="A39" s="8">
        <v>40664</v>
      </c>
      <c r="B39" s="11">
        <f>IF(VLOOKUP(A39,'DB Country PMI'!$A:$W,MATCH($A$1,'DB Country PMI'!$A$1:$W$1,),)=0,#N/A,VLOOKUP(A39,'DB Country PMI'!$A:$W,MATCH($A$1,'DB Country PMI'!$A$1:$W$1,),))</f>
        <v>62.5</v>
      </c>
      <c r="C39" s="14">
        <f>Table1346811345[[#This Row],[PMI]]-B38</f>
        <v>-0.39999999999999858</v>
      </c>
    </row>
    <row r="40" spans="1:3" x14ac:dyDescent="0.2">
      <c r="A40" s="8">
        <v>40695</v>
      </c>
      <c r="B40" s="11">
        <f>IF(VLOOKUP(A40,'DB Country PMI'!$A:$W,MATCH($A$1,'DB Country PMI'!$A$1:$W$1,),)=0,#N/A,VLOOKUP(A40,'DB Country PMI'!$A:$W,MATCH($A$1,'DB Country PMI'!$A$1:$W$1,),))</f>
        <v>56.1</v>
      </c>
      <c r="C40" s="14">
        <f>Table1346811345[[#This Row],[PMI]]-B39</f>
        <v>-6.3999999999999986</v>
      </c>
    </row>
    <row r="41" spans="1:3" x14ac:dyDescent="0.2">
      <c r="A41" s="8">
        <v>40725</v>
      </c>
      <c r="B41" s="11">
        <f>IF(VLOOKUP(A41,'DB Country PMI'!$A:$W,MATCH($A$1,'DB Country PMI'!$A$1:$W$1,),)=0,#N/A,VLOOKUP(A41,'DB Country PMI'!$A:$W,MATCH($A$1,'DB Country PMI'!$A$1:$W$1,),))</f>
        <v>54.2</v>
      </c>
      <c r="C41" s="14">
        <f>Table1346811345[[#This Row],[PMI]]-B40</f>
        <v>-1.8999999999999986</v>
      </c>
    </row>
    <row r="42" spans="1:3" x14ac:dyDescent="0.2">
      <c r="A42" s="8">
        <v>40756</v>
      </c>
      <c r="B42" s="11">
        <f>IF(VLOOKUP(A42,'DB Country PMI'!$A:$W,MATCH($A$1,'DB Country PMI'!$A$1:$W$1,),)=0,#N/A,VLOOKUP(A42,'DB Country PMI'!$A:$W,MATCH($A$1,'DB Country PMI'!$A$1:$W$1,),))</f>
        <v>52.3</v>
      </c>
      <c r="C42" s="14">
        <f>Table1346811345[[#This Row],[PMI]]-B41</f>
        <v>-1.9000000000000057</v>
      </c>
    </row>
    <row r="43" spans="1:3" x14ac:dyDescent="0.2">
      <c r="A43" s="8">
        <v>40787</v>
      </c>
      <c r="B43" s="11">
        <f>IF(VLOOKUP(A43,'DB Country PMI'!$A:$W,MATCH($A$1,'DB Country PMI'!$A$1:$W$1,),)=0,#N/A,VLOOKUP(A43,'DB Country PMI'!$A:$W,MATCH($A$1,'DB Country PMI'!$A$1:$W$1,),))</f>
        <v>51.5</v>
      </c>
      <c r="C43" s="14">
        <f>Table1346811345[[#This Row],[PMI]]-B42</f>
        <v>-0.79999999999999716</v>
      </c>
    </row>
    <row r="44" spans="1:3" x14ac:dyDescent="0.2">
      <c r="A44" s="8">
        <v>40817</v>
      </c>
      <c r="B44" s="11">
        <f>IF(VLOOKUP(A44,'DB Country PMI'!$A:$W,MATCH($A$1,'DB Country PMI'!$A$1:$W$1,),)=0,#N/A,VLOOKUP(A44,'DB Country PMI'!$A:$W,MATCH($A$1,'DB Country PMI'!$A$1:$W$1,),))</f>
        <v>44.6</v>
      </c>
      <c r="C44" s="14">
        <f>Table1346811345[[#This Row],[PMI]]-B43</f>
        <v>-6.8999999999999986</v>
      </c>
    </row>
    <row r="45" spans="1:3" x14ac:dyDescent="0.2">
      <c r="A45" s="8">
        <v>40848</v>
      </c>
      <c r="B45" s="11">
        <f>IF(VLOOKUP(A45,'DB Country PMI'!$A:$W,MATCH($A$1,'DB Country PMI'!$A$1:$W$1,),)=0,#N/A,VLOOKUP(A45,'DB Country PMI'!$A:$W,MATCH($A$1,'DB Country PMI'!$A$1:$W$1,),))</f>
        <v>49.6</v>
      </c>
      <c r="C45" s="14">
        <f>Table1346811345[[#This Row],[PMI]]-B44</f>
        <v>5</v>
      </c>
    </row>
    <row r="46" spans="1:3" x14ac:dyDescent="0.2">
      <c r="A46" s="8">
        <v>40878</v>
      </c>
      <c r="B46" s="11">
        <f>IF(VLOOKUP(A46,'DB Country PMI'!$A:$W,MATCH($A$1,'DB Country PMI'!$A$1:$W$1,),)=0,#N/A,VLOOKUP(A46,'DB Country PMI'!$A:$W,MATCH($A$1,'DB Country PMI'!$A$1:$W$1,),))</f>
        <v>50.3</v>
      </c>
      <c r="C46" s="14">
        <f>Table1346811345[[#This Row],[PMI]]-B45</f>
        <v>0.69999999999999574</v>
      </c>
    </row>
    <row r="47" spans="1:3" x14ac:dyDescent="0.2">
      <c r="A47" s="8">
        <v>40909</v>
      </c>
      <c r="B47" s="11">
        <f>IF(VLOOKUP(A47,'DB Country PMI'!$A:$W,MATCH($A$1,'DB Country PMI'!$A$1:$W$1,),)=0,#N/A,VLOOKUP(A47,'DB Country PMI'!$A:$W,MATCH($A$1,'DB Country PMI'!$A$1:$W$1,),))</f>
        <v>52.3</v>
      </c>
      <c r="C47" s="14">
        <f>Table1346811345[[#This Row],[PMI]]-B46</f>
        <v>2</v>
      </c>
    </row>
    <row r="48" spans="1:3" x14ac:dyDescent="0.2">
      <c r="A48" s="8">
        <v>40940</v>
      </c>
      <c r="B48" s="11">
        <f>IF(VLOOKUP(A48,'DB Country PMI'!$A:$W,MATCH($A$1,'DB Country PMI'!$A$1:$W$1,),)=0,#N/A,VLOOKUP(A48,'DB Country PMI'!$A:$W,MATCH($A$1,'DB Country PMI'!$A$1:$W$1,),))</f>
        <v>50</v>
      </c>
      <c r="C48" s="14">
        <f>Table1346811345[[#This Row],[PMI]]-B47</f>
        <v>-2.2999999999999972</v>
      </c>
    </row>
    <row r="49" spans="1:3" x14ac:dyDescent="0.2">
      <c r="A49" s="8">
        <v>40969</v>
      </c>
      <c r="B49" s="11">
        <f>IF(VLOOKUP(A49,'DB Country PMI'!$A:$W,MATCH($A$1,'DB Country PMI'!$A$1:$W$1,),)=0,#N/A,VLOOKUP(A49,'DB Country PMI'!$A:$W,MATCH($A$1,'DB Country PMI'!$A$1:$W$1,),))</f>
        <v>50.1</v>
      </c>
      <c r="C49" s="14">
        <f>Table1346811345[[#This Row],[PMI]]-B48</f>
        <v>0.10000000000000142</v>
      </c>
    </row>
    <row r="50" spans="1:3" x14ac:dyDescent="0.2">
      <c r="A50" s="8">
        <v>41000</v>
      </c>
      <c r="B50" s="11">
        <f>IF(VLOOKUP(A50,'DB Country PMI'!$A:$W,MATCH($A$1,'DB Country PMI'!$A$1:$W$1,),)=0,#N/A,VLOOKUP(A50,'DB Country PMI'!$A:$W,MATCH($A$1,'DB Country PMI'!$A$1:$W$1,),))</f>
        <v>45.2</v>
      </c>
      <c r="C50" s="14">
        <f>Table1346811345[[#This Row],[PMI]]-B49</f>
        <v>-4.8999999999999986</v>
      </c>
    </row>
    <row r="51" spans="1:3" x14ac:dyDescent="0.2">
      <c r="A51" s="8">
        <v>41030</v>
      </c>
      <c r="B51" s="11">
        <f>IF(VLOOKUP(A51,'DB Country PMI'!$A:$W,MATCH($A$1,'DB Country PMI'!$A$1:$W$1,),)=0,#N/A,VLOOKUP(A51,'DB Country PMI'!$A:$W,MATCH($A$1,'DB Country PMI'!$A$1:$W$1,),))</f>
        <v>45.1</v>
      </c>
      <c r="C51" s="14">
        <f>Table1346811345[[#This Row],[PMI]]-B50</f>
        <v>-0.10000000000000142</v>
      </c>
    </row>
    <row r="52" spans="1:3" x14ac:dyDescent="0.2">
      <c r="A52" s="8">
        <v>41061</v>
      </c>
      <c r="B52" s="11">
        <f>IF(VLOOKUP(A52,'DB Country PMI'!$A:$W,MATCH($A$1,'DB Country PMI'!$A$1:$W$1,),)=0,#N/A,VLOOKUP(A52,'DB Country PMI'!$A:$W,MATCH($A$1,'DB Country PMI'!$A$1:$W$1,),))</f>
        <v>47.9</v>
      </c>
      <c r="C52" s="14">
        <f>Table1346811345[[#This Row],[PMI]]-B51</f>
        <v>2.7999999999999972</v>
      </c>
    </row>
    <row r="53" spans="1:3" x14ac:dyDescent="0.2">
      <c r="A53" s="8">
        <v>41091</v>
      </c>
      <c r="B53" s="11">
        <f>IF(VLOOKUP(A53,'DB Country PMI'!$A:$W,MATCH($A$1,'DB Country PMI'!$A$1:$W$1,),)=0,#N/A,VLOOKUP(A53,'DB Country PMI'!$A:$W,MATCH($A$1,'DB Country PMI'!$A$1:$W$1,),))</f>
        <v>50</v>
      </c>
      <c r="C53" s="14">
        <f>Table1346811345[[#This Row],[PMI]]-B52</f>
        <v>2.1000000000000014</v>
      </c>
    </row>
    <row r="54" spans="1:3" x14ac:dyDescent="0.2">
      <c r="A54" s="8">
        <v>41122</v>
      </c>
      <c r="B54" s="11">
        <f>IF(VLOOKUP(A54,'DB Country PMI'!$A:$W,MATCH($A$1,'DB Country PMI'!$A$1:$W$1,),)=0,#N/A,VLOOKUP(A54,'DB Country PMI'!$A:$W,MATCH($A$1,'DB Country PMI'!$A$1:$W$1,),))</f>
        <v>49.2</v>
      </c>
      <c r="C54" s="14">
        <f>Table1346811345[[#This Row],[PMI]]-B53</f>
        <v>-0.79999999999999716</v>
      </c>
    </row>
    <row r="55" spans="1:3" x14ac:dyDescent="0.2">
      <c r="A55" s="8">
        <v>41153</v>
      </c>
      <c r="B55" s="11">
        <f>IF(VLOOKUP(A55,'DB Country PMI'!$A:$W,MATCH($A$1,'DB Country PMI'!$A$1:$W$1,),)=0,#N/A,VLOOKUP(A55,'DB Country PMI'!$A:$W,MATCH($A$1,'DB Country PMI'!$A$1:$W$1,),))</f>
        <v>45</v>
      </c>
      <c r="C55" s="14">
        <f>Table1346811345[[#This Row],[PMI]]-B54</f>
        <v>-4.2000000000000028</v>
      </c>
    </row>
    <row r="56" spans="1:3" x14ac:dyDescent="0.2">
      <c r="A56" s="8">
        <v>41183</v>
      </c>
      <c r="B56" s="11">
        <f>IF(VLOOKUP(A56,'DB Country PMI'!$A:$W,MATCH($A$1,'DB Country PMI'!$A$1:$W$1,),)=0,#N/A,VLOOKUP(A56,'DB Country PMI'!$A:$W,MATCH($A$1,'DB Country PMI'!$A$1:$W$1,),))</f>
        <v>44.6</v>
      </c>
      <c r="C56" s="14">
        <f>Table1346811345[[#This Row],[PMI]]-B55</f>
        <v>-0.39999999999999858</v>
      </c>
    </row>
    <row r="57" spans="1:3" x14ac:dyDescent="0.2">
      <c r="A57" s="8">
        <v>41214</v>
      </c>
      <c r="B57" s="11">
        <f>IF(VLOOKUP(A57,'DB Country PMI'!$A:$W,MATCH($A$1,'DB Country PMI'!$A$1:$W$1,),)=0,#N/A,VLOOKUP(A57,'DB Country PMI'!$A:$W,MATCH($A$1,'DB Country PMI'!$A$1:$W$1,),))</f>
        <v>45.8</v>
      </c>
      <c r="C57" s="14">
        <f>Table1346811345[[#This Row],[PMI]]-B56</f>
        <v>1.1999999999999957</v>
      </c>
    </row>
    <row r="58" spans="1:3" x14ac:dyDescent="0.2">
      <c r="A58" s="8">
        <v>41244</v>
      </c>
      <c r="B58" s="11">
        <f>IF(VLOOKUP(A58,'DB Country PMI'!$A:$W,MATCH($A$1,'DB Country PMI'!$A$1:$W$1,),)=0,#N/A,VLOOKUP(A58,'DB Country PMI'!$A:$W,MATCH($A$1,'DB Country PMI'!$A$1:$W$1,),))</f>
        <v>44.1</v>
      </c>
      <c r="C58" s="14">
        <f>Table1346811345[[#This Row],[PMI]]-B57</f>
        <v>-1.6999999999999957</v>
      </c>
    </row>
    <row r="59" spans="1:3" x14ac:dyDescent="0.2">
      <c r="A59" s="8">
        <v>41275</v>
      </c>
      <c r="B59" s="11">
        <f>IF(VLOOKUP(A59,'DB Country PMI'!$A:$W,MATCH($A$1,'DB Country PMI'!$A$1:$W$1,),)=0,#N/A,VLOOKUP(A59,'DB Country PMI'!$A:$W,MATCH($A$1,'DB Country PMI'!$A$1:$W$1,),))</f>
        <v>43.6</v>
      </c>
      <c r="C59" s="14">
        <f>Table1346811345[[#This Row],[PMI]]-B58</f>
        <v>-0.5</v>
      </c>
    </row>
    <row r="60" spans="1:3" x14ac:dyDescent="0.2">
      <c r="A60" s="8">
        <v>41306</v>
      </c>
      <c r="B60" s="11">
        <f>IF(VLOOKUP(A60,'DB Country PMI'!$A:$W,MATCH($A$1,'DB Country PMI'!$A$1:$W$1,),)=0,#N/A,VLOOKUP(A60,'DB Country PMI'!$A:$W,MATCH($A$1,'DB Country PMI'!$A$1:$W$1,),))</f>
        <v>43.7</v>
      </c>
      <c r="C60" s="14">
        <f>Table1346811345[[#This Row],[PMI]]-B59</f>
        <v>0.10000000000000142</v>
      </c>
    </row>
    <row r="61" spans="1:3" x14ac:dyDescent="0.2">
      <c r="A61" s="8">
        <v>41334</v>
      </c>
      <c r="B61" s="11">
        <f>IF(VLOOKUP(A61,'DB Country PMI'!$A:$W,MATCH($A$1,'DB Country PMI'!$A$1:$W$1,),)=0,#N/A,VLOOKUP(A61,'DB Country PMI'!$A:$W,MATCH($A$1,'DB Country PMI'!$A$1:$W$1,),))</f>
        <v>41.3</v>
      </c>
      <c r="C61" s="14">
        <f>Table1346811345[[#This Row],[PMI]]-B60</f>
        <v>-2.4000000000000057</v>
      </c>
    </row>
    <row r="62" spans="1:3" x14ac:dyDescent="0.2">
      <c r="A62" s="8">
        <v>41365</v>
      </c>
      <c r="B62" s="11">
        <f>IF(VLOOKUP(A62,'DB Country PMI'!$A:$W,MATCH($A$1,'DB Country PMI'!$A$1:$W$1,),)=0,#N/A,VLOOKUP(A62,'DB Country PMI'!$A:$W,MATCH($A$1,'DB Country PMI'!$A$1:$W$1,),))</f>
        <v>44.3</v>
      </c>
      <c r="C62" s="14">
        <f>Table1346811345[[#This Row],[PMI]]-B61</f>
        <v>3</v>
      </c>
    </row>
    <row r="63" spans="1:3" x14ac:dyDescent="0.2">
      <c r="A63" s="8">
        <v>41395</v>
      </c>
      <c r="B63" s="11">
        <f>IF(VLOOKUP(A63,'DB Country PMI'!$A:$W,MATCH($A$1,'DB Country PMI'!$A$1:$W$1,),)=0,#N/A,VLOOKUP(A63,'DB Country PMI'!$A:$W,MATCH($A$1,'DB Country PMI'!$A$1:$W$1,),))</f>
        <v>44.3</v>
      </c>
      <c r="C63" s="14">
        <f>Table1346811345[[#This Row],[PMI]]-B62</f>
        <v>0</v>
      </c>
    </row>
    <row r="64" spans="1:3" x14ac:dyDescent="0.2">
      <c r="A64" s="8">
        <v>41426</v>
      </c>
      <c r="B64" s="11">
        <f>IF(VLOOKUP(A64,'DB Country PMI'!$A:$W,MATCH($A$1,'DB Country PMI'!$A$1:$W$1,),)=0,#N/A,VLOOKUP(A64,'DB Country PMI'!$A:$W,MATCH($A$1,'DB Country PMI'!$A$1:$W$1,),))</f>
        <v>47.2</v>
      </c>
      <c r="C64" s="14">
        <f>Table1346811345[[#This Row],[PMI]]-B63</f>
        <v>2.9000000000000057</v>
      </c>
    </row>
    <row r="65" spans="1:3" x14ac:dyDescent="0.2">
      <c r="A65" s="8">
        <v>41456</v>
      </c>
      <c r="B65" s="11">
        <f>IF(VLOOKUP(A65,'DB Country PMI'!$A:$W,MATCH($A$1,'DB Country PMI'!$A$1:$W$1,),)=0,#N/A,VLOOKUP(A65,'DB Country PMI'!$A:$W,MATCH($A$1,'DB Country PMI'!$A$1:$W$1,),))</f>
        <v>48.6</v>
      </c>
      <c r="C65" s="14">
        <f>Table1346811345[[#This Row],[PMI]]-B64</f>
        <v>1.3999999999999986</v>
      </c>
    </row>
    <row r="66" spans="1:3" x14ac:dyDescent="0.2">
      <c r="A66" s="8">
        <v>41487</v>
      </c>
      <c r="B66" s="11">
        <f>IF(VLOOKUP(A66,'DB Country PMI'!$A:$W,MATCH($A$1,'DB Country PMI'!$A$1:$W$1,),)=0,#N/A,VLOOKUP(A66,'DB Country PMI'!$A:$W,MATCH($A$1,'DB Country PMI'!$A$1:$W$1,),))</f>
        <v>48.9</v>
      </c>
      <c r="C66" s="14">
        <f>Table1346811345[[#This Row],[PMI]]-B65</f>
        <v>0.29999999999999716</v>
      </c>
    </row>
    <row r="67" spans="1:3" x14ac:dyDescent="0.2">
      <c r="A67" s="8">
        <v>41518</v>
      </c>
      <c r="B67" s="11">
        <f>IF(VLOOKUP(A67,'DB Country PMI'!$A:$W,MATCH($A$1,'DB Country PMI'!$A$1:$W$1,),)=0,#N/A,VLOOKUP(A67,'DB Country PMI'!$A:$W,MATCH($A$1,'DB Country PMI'!$A$1:$W$1,),))</f>
        <v>51</v>
      </c>
      <c r="C67" s="14">
        <f>Table1346811345[[#This Row],[PMI]]-B66</f>
        <v>2.1000000000000014</v>
      </c>
    </row>
    <row r="68" spans="1:3" x14ac:dyDescent="0.2">
      <c r="A68" s="8">
        <v>41548</v>
      </c>
      <c r="B68" s="11">
        <f>IF(VLOOKUP(A68,'DB Country PMI'!$A:$W,MATCH($A$1,'DB Country PMI'!$A$1:$W$1,),)=0,#N/A,VLOOKUP(A68,'DB Country PMI'!$A:$W,MATCH($A$1,'DB Country PMI'!$A$1:$W$1,),))</f>
        <v>50.9</v>
      </c>
      <c r="C68" s="14">
        <f>Table1346811345[[#This Row],[PMI]]-B67</f>
        <v>-0.10000000000000142</v>
      </c>
    </row>
    <row r="69" spans="1:3" x14ac:dyDescent="0.2">
      <c r="A69" s="8">
        <v>41579</v>
      </c>
      <c r="B69" s="11">
        <f>IF(VLOOKUP(A69,'DB Country PMI'!$A:$W,MATCH($A$1,'DB Country PMI'!$A$1:$W$1,),)=0,#N/A,VLOOKUP(A69,'DB Country PMI'!$A:$W,MATCH($A$1,'DB Country PMI'!$A$1:$W$1,),))</f>
        <v>48</v>
      </c>
      <c r="C69" s="14">
        <f>Table1346811345[[#This Row],[PMI]]-B68</f>
        <v>-2.8999999999999986</v>
      </c>
    </row>
    <row r="70" spans="1:3" x14ac:dyDescent="0.2">
      <c r="A70" s="8">
        <v>41609</v>
      </c>
      <c r="B70" s="11">
        <f>IF(VLOOKUP(A70,'DB Country PMI'!$A:$W,MATCH($A$1,'DB Country PMI'!$A$1:$W$1,),)=0,#N/A,VLOOKUP(A70,'DB Country PMI'!$A:$W,MATCH($A$1,'DB Country PMI'!$A$1:$W$1,),))</f>
        <v>48.1</v>
      </c>
      <c r="C70" s="14">
        <f>Table1346811345[[#This Row],[PMI]]-B69</f>
        <v>0.10000000000000142</v>
      </c>
    </row>
    <row r="71" spans="1:3" x14ac:dyDescent="0.2">
      <c r="A71" s="8">
        <v>41640</v>
      </c>
      <c r="B71" s="11">
        <f>IF(VLOOKUP(A71,'DB Country PMI'!$A:$W,MATCH($A$1,'DB Country PMI'!$A$1:$W$1,),)=0,#N/A,VLOOKUP(A71,'DB Country PMI'!$A:$W,MATCH($A$1,'DB Country PMI'!$A$1:$W$1,),))</f>
        <v>48.9</v>
      </c>
      <c r="C71" s="14">
        <f>Table1346811345[[#This Row],[PMI]]-B70</f>
        <v>0.79999999999999716</v>
      </c>
    </row>
    <row r="72" spans="1:3" x14ac:dyDescent="0.2">
      <c r="A72" s="8">
        <v>41671</v>
      </c>
      <c r="B72" s="11">
        <f>IF(VLOOKUP(A72,'DB Country PMI'!$A:$W,MATCH($A$1,'DB Country PMI'!$A$1:$W$1,),)=0,#N/A,VLOOKUP(A72,'DB Country PMI'!$A:$W,MATCH($A$1,'DB Country PMI'!$A$1:$W$1,),))</f>
        <v>47.2</v>
      </c>
      <c r="C72" s="14">
        <f>Table1346811345[[#This Row],[PMI]]-B71</f>
        <v>-1.6999999999999957</v>
      </c>
    </row>
    <row r="73" spans="1:3" x14ac:dyDescent="0.2">
      <c r="A73" s="8">
        <v>41699</v>
      </c>
      <c r="B73" s="11">
        <f>IF(VLOOKUP(A73,'DB Country PMI'!$A:$W,MATCH($A$1,'DB Country PMI'!$A$1:$W$1,),)=0,#N/A,VLOOKUP(A73,'DB Country PMI'!$A:$W,MATCH($A$1,'DB Country PMI'!$A$1:$W$1,),))</f>
        <v>51.5</v>
      </c>
      <c r="C73" s="14">
        <f>Table1346811345[[#This Row],[PMI]]-B72</f>
        <v>4.2999999999999972</v>
      </c>
    </row>
    <row r="74" spans="1:3" x14ac:dyDescent="0.2">
      <c r="A74" s="8">
        <v>41730</v>
      </c>
      <c r="B74" s="11">
        <f>IF(VLOOKUP(A74,'DB Country PMI'!$A:$W,MATCH($A$1,'DB Country PMI'!$A$1:$W$1,),)=0,#N/A,VLOOKUP(A74,'DB Country PMI'!$A:$W,MATCH($A$1,'DB Country PMI'!$A$1:$W$1,),))</f>
        <v>50.4</v>
      </c>
      <c r="C74" s="14">
        <f>Table1346811345[[#This Row],[PMI]]-B73</f>
        <v>-1.1000000000000014</v>
      </c>
    </row>
    <row r="75" spans="1:3" x14ac:dyDescent="0.2">
      <c r="A75" s="8">
        <v>41760</v>
      </c>
      <c r="B75" s="11">
        <f>IF(VLOOKUP(A75,'DB Country PMI'!$A:$W,MATCH($A$1,'DB Country PMI'!$A$1:$W$1,),)=0,#N/A,VLOOKUP(A75,'DB Country PMI'!$A:$W,MATCH($A$1,'DB Country PMI'!$A$1:$W$1,),))</f>
        <v>49.1</v>
      </c>
      <c r="C75" s="14">
        <f>Table1346811345[[#This Row],[PMI]]-B74</f>
        <v>-1.2999999999999972</v>
      </c>
    </row>
    <row r="76" spans="1:3" x14ac:dyDescent="0.2">
      <c r="A76" s="8">
        <v>41791</v>
      </c>
      <c r="B76" s="11">
        <f>IF(VLOOKUP(A76,'DB Country PMI'!$A:$W,MATCH($A$1,'DB Country PMI'!$A$1:$W$1,),)=0,#N/A,VLOOKUP(A76,'DB Country PMI'!$A:$W,MATCH($A$1,'DB Country PMI'!$A$1:$W$1,),))</f>
        <v>48.2</v>
      </c>
      <c r="C76" s="14">
        <f>Table1346811345[[#This Row],[PMI]]-B75</f>
        <v>-0.89999999999999858</v>
      </c>
    </row>
    <row r="77" spans="1:3" x14ac:dyDescent="0.2">
      <c r="A77" s="8">
        <v>41821</v>
      </c>
      <c r="B77" s="11">
        <f>IF(VLOOKUP(A77,'DB Country PMI'!$A:$W,MATCH($A$1,'DB Country PMI'!$A$1:$W$1,),)=0,#N/A,VLOOKUP(A77,'DB Country PMI'!$A:$W,MATCH($A$1,'DB Country PMI'!$A$1:$W$1,),))</f>
        <v>50.4</v>
      </c>
      <c r="C77" s="14">
        <f>Table1346811345[[#This Row],[PMI]]-B76</f>
        <v>2.1999999999999957</v>
      </c>
    </row>
    <row r="78" spans="1:3" x14ac:dyDescent="0.2">
      <c r="A78" s="8">
        <v>41852</v>
      </c>
      <c r="B78" s="11">
        <f>IF(VLOOKUP(A78,'DB Country PMI'!$A:$W,MATCH($A$1,'DB Country PMI'!$A$1:$W$1,),)=0,#N/A,VLOOKUP(A78,'DB Country PMI'!$A:$W,MATCH($A$1,'DB Country PMI'!$A$1:$W$1,),))</f>
        <v>50.3</v>
      </c>
      <c r="C78" s="14">
        <f>Table1346811345[[#This Row],[PMI]]-B77</f>
        <v>-0.10000000000000142</v>
      </c>
    </row>
    <row r="79" spans="1:3" x14ac:dyDescent="0.2">
      <c r="A79" s="8">
        <v>41883</v>
      </c>
      <c r="B79" s="11">
        <f>IF(VLOOKUP(A79,'DB Country PMI'!$A:$W,MATCH($A$1,'DB Country PMI'!$A$1:$W$1,),)=0,#N/A,VLOOKUP(A79,'DB Country PMI'!$A:$W,MATCH($A$1,'DB Country PMI'!$A$1:$W$1,),))</f>
        <v>48.4</v>
      </c>
      <c r="C79" s="14">
        <f>Table1346811345[[#This Row],[PMI]]-B78</f>
        <v>-1.8999999999999986</v>
      </c>
    </row>
    <row r="80" spans="1:3" x14ac:dyDescent="0.2">
      <c r="A80" s="8">
        <v>41913</v>
      </c>
      <c r="B80" s="11">
        <f>IF(VLOOKUP(A80,'DB Country PMI'!$A:$W,MATCH($A$1,'DB Country PMI'!$A$1:$W$1,),)=0,#N/A,VLOOKUP(A80,'DB Country PMI'!$A:$W,MATCH($A$1,'DB Country PMI'!$A$1:$W$1,),))</f>
        <v>48.3</v>
      </c>
      <c r="C80" s="14">
        <f>Table1346811345[[#This Row],[PMI]]-B79</f>
        <v>-0.10000000000000142</v>
      </c>
    </row>
    <row r="81" spans="1:3" x14ac:dyDescent="0.2">
      <c r="A81" s="8">
        <v>41944</v>
      </c>
      <c r="B81" s="11">
        <f>IF(VLOOKUP(A81,'DB Country PMI'!$A:$W,MATCH($A$1,'DB Country PMI'!$A$1:$W$1,),)=0,#N/A,VLOOKUP(A81,'DB Country PMI'!$A:$W,MATCH($A$1,'DB Country PMI'!$A$1:$W$1,),))</f>
        <v>47.9</v>
      </c>
      <c r="C81" s="14">
        <f>Table1346811345[[#This Row],[PMI]]-B80</f>
        <v>-0.39999999999999858</v>
      </c>
    </row>
    <row r="82" spans="1:3" x14ac:dyDescent="0.2">
      <c r="A82" s="8">
        <v>41974</v>
      </c>
      <c r="B82" s="11">
        <f>IF(VLOOKUP(A82,'DB Country PMI'!$A:$W,MATCH($A$1,'DB Country PMI'!$A$1:$W$1,),)=0,#N/A,VLOOKUP(A82,'DB Country PMI'!$A:$W,MATCH($A$1,'DB Country PMI'!$A$1:$W$1,),))</f>
        <v>50.6</v>
      </c>
      <c r="C82" s="14">
        <f>Table1346811345[[#This Row],[PMI]]-B81</f>
        <v>2.7000000000000028</v>
      </c>
    </row>
    <row r="83" spans="1:3" x14ac:dyDescent="0.2">
      <c r="A83" s="8">
        <v>42005</v>
      </c>
      <c r="B83" s="11">
        <f>IF(VLOOKUP(A83,'DB Country PMI'!$A:$W,MATCH($A$1,'DB Country PMI'!$A$1:$W$1,),)=0,#N/A,VLOOKUP(A83,'DB Country PMI'!$A:$W,MATCH($A$1,'DB Country PMI'!$A$1:$W$1,),))</f>
        <v>49.4</v>
      </c>
      <c r="C83" s="14">
        <f>Table1346811345[[#This Row],[PMI]]-B82</f>
        <v>-1.2000000000000028</v>
      </c>
    </row>
    <row r="84" spans="1:3" x14ac:dyDescent="0.2">
      <c r="A84" s="8">
        <v>42036</v>
      </c>
      <c r="B84" s="11">
        <f>IF(VLOOKUP(A84,'DB Country PMI'!$A:$W,MATCH($A$1,'DB Country PMI'!$A$1:$W$1,),)=0,#N/A,VLOOKUP(A84,'DB Country PMI'!$A:$W,MATCH($A$1,'DB Country PMI'!$A$1:$W$1,),))</f>
        <v>53.4</v>
      </c>
      <c r="C84" s="14">
        <f>Table1346811345[[#This Row],[PMI]]-B83</f>
        <v>4</v>
      </c>
    </row>
    <row r="85" spans="1:3" x14ac:dyDescent="0.2">
      <c r="A85" s="8">
        <v>42064</v>
      </c>
      <c r="B85" s="11">
        <f>IF(VLOOKUP(A85,'DB Country PMI'!$A:$W,MATCH($A$1,'DB Country PMI'!$A$1:$W$1,),)=0,#N/A,VLOOKUP(A85,'DB Country PMI'!$A:$W,MATCH($A$1,'DB Country PMI'!$A$1:$W$1,),))</f>
        <v>52.4</v>
      </c>
      <c r="C85" s="14">
        <f>Table1346811345[[#This Row],[PMI]]-B84</f>
        <v>-1</v>
      </c>
    </row>
    <row r="86" spans="1:3" x14ac:dyDescent="0.2">
      <c r="A86" s="8">
        <v>42095</v>
      </c>
      <c r="B86" s="11">
        <f>IF(VLOOKUP(A86,'DB Country PMI'!$A:$W,MATCH($A$1,'DB Country PMI'!$A$1:$W$1,),)=0,#N/A,VLOOKUP(A86,'DB Country PMI'!$A:$W,MATCH($A$1,'DB Country PMI'!$A$1:$W$1,),))</f>
        <v>51.4</v>
      </c>
      <c r="C86" s="14">
        <f>Table1346811345[[#This Row],[PMI]]-B85</f>
        <v>-1</v>
      </c>
    </row>
    <row r="87" spans="1:3" x14ac:dyDescent="0.2">
      <c r="A87" s="8">
        <v>42125</v>
      </c>
      <c r="B87" s="11">
        <f>IF(VLOOKUP(A87,'DB Country PMI'!$A:$W,MATCH($A$1,'DB Country PMI'!$A$1:$W$1,),)=0,#N/A,VLOOKUP(A87,'DB Country PMI'!$A:$W,MATCH($A$1,'DB Country PMI'!$A$1:$W$1,),))</f>
        <v>52.8</v>
      </c>
      <c r="C87" s="14">
        <f>Table1346811345[[#This Row],[PMI]]-B86</f>
        <v>1.3999999999999986</v>
      </c>
    </row>
    <row r="88" spans="1:3" x14ac:dyDescent="0.2">
      <c r="A88" s="8">
        <v>42156</v>
      </c>
      <c r="B88" s="11">
        <f>IF(VLOOKUP(A88,'DB Country PMI'!$A:$W,MATCH($A$1,'DB Country PMI'!$A$1:$W$1,),)=0,#N/A,VLOOKUP(A88,'DB Country PMI'!$A:$W,MATCH($A$1,'DB Country PMI'!$A$1:$W$1,),))</f>
        <v>54.1</v>
      </c>
      <c r="C88" s="14">
        <f>Table1346811345[[#This Row],[PMI]]-B87</f>
        <v>1.3000000000000043</v>
      </c>
    </row>
    <row r="89" spans="1:3" x14ac:dyDescent="0.2">
      <c r="A89" s="8">
        <v>42186</v>
      </c>
      <c r="B89" s="11">
        <f>IF(VLOOKUP(A89,'DB Country PMI'!$A:$W,MATCH($A$1,'DB Country PMI'!$A$1:$W$1,),)=0,#N/A,VLOOKUP(A89,'DB Country PMI'!$A:$W,MATCH($A$1,'DB Country PMI'!$A$1:$W$1,),))</f>
        <v>52</v>
      </c>
      <c r="C89" s="14">
        <f>Table1346811345[[#This Row],[PMI]]-B88</f>
        <v>-2.1000000000000014</v>
      </c>
    </row>
    <row r="90" spans="1:3" x14ac:dyDescent="0.2">
      <c r="A90" s="8">
        <v>42217</v>
      </c>
      <c r="B90" s="11">
        <f>IF(VLOOKUP(A90,'DB Country PMI'!$A:$W,MATCH($A$1,'DB Country PMI'!$A$1:$W$1,),)=0,#N/A,VLOOKUP(A90,'DB Country PMI'!$A:$W,MATCH($A$1,'DB Country PMI'!$A$1:$W$1,),))</f>
        <v>50.6</v>
      </c>
      <c r="C90" s="14">
        <f>Table1346811345[[#This Row],[PMI]]-B89</f>
        <v>-1.3999999999999986</v>
      </c>
    </row>
    <row r="91" spans="1:3" x14ac:dyDescent="0.2">
      <c r="A91" s="8">
        <v>42248</v>
      </c>
      <c r="B91" s="11">
        <f>IF(VLOOKUP(A91,'DB Country PMI'!$A:$W,MATCH($A$1,'DB Country PMI'!$A$1:$W$1,),)=0,#N/A,VLOOKUP(A91,'DB Country PMI'!$A:$W,MATCH($A$1,'DB Country PMI'!$A$1:$W$1,),))</f>
        <v>51.9</v>
      </c>
      <c r="C91" s="14">
        <f>Table1346811345[[#This Row],[PMI]]-B90</f>
        <v>1.2999999999999972</v>
      </c>
    </row>
    <row r="92" spans="1:3" x14ac:dyDescent="0.2">
      <c r="A92" s="8">
        <v>42278</v>
      </c>
      <c r="B92" s="11">
        <f>IF(VLOOKUP(A92,'DB Country PMI'!$A:$W,MATCH($A$1,'DB Country PMI'!$A$1:$W$1,),)=0,#N/A,VLOOKUP(A92,'DB Country PMI'!$A:$W,MATCH($A$1,'DB Country PMI'!$A$1:$W$1,),))</f>
        <v>52.7</v>
      </c>
      <c r="C92" s="14">
        <f>Table1346811345[[#This Row],[PMI]]-B91</f>
        <v>0.80000000000000426</v>
      </c>
    </row>
    <row r="93" spans="1:3" x14ac:dyDescent="0.2">
      <c r="A93" s="8">
        <v>42309</v>
      </c>
      <c r="B93" s="11">
        <f>IF(VLOOKUP(A93,'DB Country PMI'!$A:$W,MATCH($A$1,'DB Country PMI'!$A$1:$W$1,),)=0,#N/A,VLOOKUP(A93,'DB Country PMI'!$A:$W,MATCH($A$1,'DB Country PMI'!$A$1:$W$1,),))</f>
        <v>51</v>
      </c>
      <c r="C93" s="14">
        <f>Table1346811345[[#This Row],[PMI]]-B92</f>
        <v>-1.7000000000000028</v>
      </c>
    </row>
    <row r="94" spans="1:3" x14ac:dyDescent="0.2">
      <c r="A94" s="8">
        <v>42339</v>
      </c>
      <c r="B94" s="11">
        <f>IF(VLOOKUP(A94,'DB Country PMI'!$A:$W,MATCH($A$1,'DB Country PMI'!$A$1:$W$1,),)=0,#N/A,VLOOKUP(A94,'DB Country PMI'!$A:$W,MATCH($A$1,'DB Country PMI'!$A$1:$W$1,),))</f>
        <v>49.8</v>
      </c>
      <c r="C94" s="14">
        <f>Table1346811345[[#This Row],[PMI]]-B93</f>
        <v>-1.2000000000000028</v>
      </c>
    </row>
    <row r="95" spans="1:3" x14ac:dyDescent="0.2">
      <c r="A95" s="8">
        <v>42370</v>
      </c>
      <c r="B95" s="11">
        <f>IF(VLOOKUP(A95,'DB Country PMI'!$A:$W,MATCH($A$1,'DB Country PMI'!$A$1:$W$1,),)=0,#N/A,VLOOKUP(A95,'DB Country PMI'!$A:$W,MATCH($A$1,'DB Country PMI'!$A$1:$W$1,),))</f>
        <v>50.3</v>
      </c>
      <c r="C95" s="14">
        <f>Table1346811345[[#This Row],[PMI]]-B94</f>
        <v>0.5</v>
      </c>
    </row>
    <row r="96" spans="1:3" x14ac:dyDescent="0.2">
      <c r="A96" s="8">
        <v>42401</v>
      </c>
      <c r="B96" s="11">
        <f>IF(VLOOKUP(A96,'DB Country PMI'!$A:$W,MATCH($A$1,'DB Country PMI'!$A$1:$W$1,),)=0,#N/A,VLOOKUP(A96,'DB Country PMI'!$A:$W,MATCH($A$1,'DB Country PMI'!$A$1:$W$1,),))</f>
        <v>49.2</v>
      </c>
      <c r="C96" s="14">
        <f>Table1346811345[[#This Row],[PMI]]-B95</f>
        <v>-1.0999999999999943</v>
      </c>
    </row>
    <row r="97" spans="1:3" x14ac:dyDescent="0.2">
      <c r="A97" s="8">
        <v>42430</v>
      </c>
      <c r="B97" s="11">
        <f>IF(VLOOKUP(A97,'DB Country PMI'!$A:$W,MATCH($A$1,'DB Country PMI'!$A$1:$W$1,),)=0,#N/A,VLOOKUP(A97,'DB Country PMI'!$A:$W,MATCH($A$1,'DB Country PMI'!$A$1:$W$1,),))</f>
        <v>49.9</v>
      </c>
      <c r="C97" s="14">
        <f>Table1346811345[[#This Row],[PMI]]-B96</f>
        <v>0.69999999999999574</v>
      </c>
    </row>
    <row r="98" spans="1:3" x14ac:dyDescent="0.2">
      <c r="A98" s="8">
        <v>42461</v>
      </c>
      <c r="B98" s="11">
        <f>IF(VLOOKUP(A98,'DB Country PMI'!$A:$W,MATCH($A$1,'DB Country PMI'!$A$1:$W$1,),)=0,#N/A,VLOOKUP(A98,'DB Country PMI'!$A:$W,MATCH($A$1,'DB Country PMI'!$A$1:$W$1,),))</f>
        <v>50.6</v>
      </c>
      <c r="C98" s="14">
        <f>Table1346811345[[#This Row],[PMI]]-B97</f>
        <v>0.70000000000000284</v>
      </c>
    </row>
    <row r="99" spans="1:3" x14ac:dyDescent="0.2">
      <c r="A99" s="8">
        <v>42491</v>
      </c>
      <c r="B99" s="11">
        <f>IF(VLOOKUP(A99,'DB Country PMI'!$A:$W,MATCH($A$1,'DB Country PMI'!$A$1:$W$1,),)=0,#N/A,VLOOKUP(A99,'DB Country PMI'!$A:$W,MATCH($A$1,'DB Country PMI'!$A$1:$W$1,),))</f>
        <v>51.6</v>
      </c>
      <c r="C99" s="14">
        <f>Table1346811345[[#This Row],[PMI]]-B98</f>
        <v>1</v>
      </c>
    </row>
    <row r="100" spans="1:3" x14ac:dyDescent="0.2">
      <c r="A100" s="8">
        <v>42522</v>
      </c>
      <c r="B100" s="11">
        <f>IF(VLOOKUP(A100,'DB Country PMI'!$A:$W,MATCH($A$1,'DB Country PMI'!$A$1:$W$1,),)=0,#N/A,VLOOKUP(A100,'DB Country PMI'!$A:$W,MATCH($A$1,'DB Country PMI'!$A$1:$W$1,),))</f>
        <v>49.9</v>
      </c>
      <c r="C100" s="14">
        <f>Table1346811345[[#This Row],[PMI]]-B99</f>
        <v>-1.7000000000000028</v>
      </c>
    </row>
    <row r="101" spans="1:3" x14ac:dyDescent="0.2">
      <c r="A101" s="8">
        <v>42552</v>
      </c>
      <c r="B101" s="11">
        <f>IF(VLOOKUP(A101,'DB Country PMI'!$A:$W,MATCH($A$1,'DB Country PMI'!$A$1:$W$1,),)=0,#N/A,VLOOKUP(A101,'DB Country PMI'!$A:$W,MATCH($A$1,'DB Country PMI'!$A$1:$W$1,),))</f>
        <v>50.5</v>
      </c>
      <c r="C101" s="14">
        <f>Table1346811345[[#This Row],[PMI]]-B100</f>
        <v>0.60000000000000142</v>
      </c>
    </row>
    <row r="102" spans="1:3" x14ac:dyDescent="0.2">
      <c r="A102" s="8">
        <v>42583</v>
      </c>
      <c r="B102" s="11">
        <f>IF(VLOOKUP(A102,'DB Country PMI'!$A:$W,MATCH($A$1,'DB Country PMI'!$A$1:$W$1,),)=0,#N/A,VLOOKUP(A102,'DB Country PMI'!$A:$W,MATCH($A$1,'DB Country PMI'!$A$1:$W$1,),))</f>
        <v>52.3</v>
      </c>
      <c r="C102" s="14">
        <f>Table1346811345[[#This Row],[PMI]]-B101</f>
        <v>1.7999999999999972</v>
      </c>
    </row>
    <row r="103" spans="1:3" x14ac:dyDescent="0.2">
      <c r="A103" s="8">
        <v>42614</v>
      </c>
      <c r="B103" s="11">
        <f>IF(VLOOKUP(A103,'DB Country PMI'!$A:$W,MATCH($A$1,'DB Country PMI'!$A$1:$W$1,),)=0,#N/A,VLOOKUP(A103,'DB Country PMI'!$A:$W,MATCH($A$1,'DB Country PMI'!$A$1:$W$1,),))</f>
        <v>53.3</v>
      </c>
      <c r="C103" s="14">
        <f>Table1346811345[[#This Row],[PMI]]-B102</f>
        <v>1</v>
      </c>
    </row>
    <row r="104" spans="1:3" x14ac:dyDescent="0.2">
      <c r="A104" s="8">
        <v>42644</v>
      </c>
      <c r="B104" s="11">
        <f>IF(VLOOKUP(A104,'DB Country PMI'!$A:$W,MATCH($A$1,'DB Country PMI'!$A$1:$W$1,),)=0,#N/A,VLOOKUP(A104,'DB Country PMI'!$A:$W,MATCH($A$1,'DB Country PMI'!$A$1:$W$1,),))</f>
        <v>51.4</v>
      </c>
      <c r="C104" s="14">
        <f>Table1346811345[[#This Row],[PMI]]-B103</f>
        <v>-1.8999999999999986</v>
      </c>
    </row>
    <row r="105" spans="1:3" x14ac:dyDescent="0.2">
      <c r="A105" s="8">
        <v>42675</v>
      </c>
      <c r="B105" s="11">
        <f>IF(VLOOKUP(A105,'DB Country PMI'!$A:$W,MATCH($A$1,'DB Country PMI'!$A$1:$W$1,),)=0,#N/A,VLOOKUP(A105,'DB Country PMI'!$A:$W,MATCH($A$1,'DB Country PMI'!$A$1:$W$1,),))</f>
        <v>51.6</v>
      </c>
      <c r="C105" s="14">
        <f>Table1346811345[[#This Row],[PMI]]-B104</f>
        <v>0.20000000000000284</v>
      </c>
    </row>
    <row r="106" spans="1:3" x14ac:dyDescent="0.2">
      <c r="A106" s="8">
        <v>42705</v>
      </c>
      <c r="B106" s="11">
        <f>IF(VLOOKUP(A106,'DB Country PMI'!$A:$W,MATCH($A$1,'DB Country PMI'!$A$1:$W$1,),)=0,#N/A,VLOOKUP(A106,'DB Country PMI'!$A:$W,MATCH($A$1,'DB Country PMI'!$A$1:$W$1,),))</f>
        <v>52.9</v>
      </c>
      <c r="C106" s="14">
        <f>Table1346811345[[#This Row],[PMI]]-B105</f>
        <v>1.2999999999999972</v>
      </c>
    </row>
    <row r="107" spans="1:3" x14ac:dyDescent="0.2">
      <c r="A107" s="8">
        <v>42736</v>
      </c>
      <c r="B107" s="11">
        <f>IF(VLOOKUP(A107,'DB Country PMI'!$A:$W,MATCH($A$1,'DB Country PMI'!$A$1:$W$1,),)=0,#N/A,VLOOKUP(A107,'DB Country PMI'!$A:$W,MATCH($A$1,'DB Country PMI'!$A$1:$W$1,),))</f>
        <v>54.1</v>
      </c>
      <c r="C107" s="14">
        <f>Table1346811345[[#This Row],[PMI]]-B106</f>
        <v>1.2000000000000028</v>
      </c>
    </row>
    <row r="108" spans="1:3" x14ac:dyDescent="0.2">
      <c r="A108" s="8">
        <v>42767</v>
      </c>
      <c r="B108" s="11">
        <f>IF(VLOOKUP(A108,'DB Country PMI'!$A:$W,MATCH($A$1,'DB Country PMI'!$A$1:$W$1,),)=0,#N/A,VLOOKUP(A108,'DB Country PMI'!$A:$W,MATCH($A$1,'DB Country PMI'!$A$1:$W$1,),))</f>
        <v>56.4</v>
      </c>
      <c r="C108" s="14">
        <f>Table1346811345[[#This Row],[PMI]]-B107</f>
        <v>2.2999999999999972</v>
      </c>
    </row>
    <row r="109" spans="1:3" x14ac:dyDescent="0.2">
      <c r="A109" s="8">
        <v>42795</v>
      </c>
      <c r="B109" s="11">
        <f>IF(VLOOKUP(A109,'DB Country PMI'!$A:$W,MATCH($A$1,'DB Country PMI'!$A$1:$W$1,),)=0,#N/A,VLOOKUP(A109,'DB Country PMI'!$A:$W,MATCH($A$1,'DB Country PMI'!$A$1:$W$1,),))</f>
        <v>57.5</v>
      </c>
      <c r="C109" s="14">
        <f>Table1346811345[[#This Row],[PMI]]-B108</f>
        <v>1.1000000000000014</v>
      </c>
    </row>
    <row r="110" spans="1:3" x14ac:dyDescent="0.2">
      <c r="A110" s="8">
        <v>42826</v>
      </c>
      <c r="B110" s="11">
        <f>IF(VLOOKUP(A110,'DB Country PMI'!$A:$W,MATCH($A$1,'DB Country PMI'!$A$1:$W$1,),)=0,#N/A,VLOOKUP(A110,'DB Country PMI'!$A:$W,MATCH($A$1,'DB Country PMI'!$A$1:$W$1,),))</f>
        <v>56.7</v>
      </c>
      <c r="C110" s="14">
        <f>Table1346811345[[#This Row],[PMI]]-B109</f>
        <v>-0.79999999999999716</v>
      </c>
    </row>
    <row r="111" spans="1:3" x14ac:dyDescent="0.2">
      <c r="A111" s="8">
        <v>42856</v>
      </c>
      <c r="B111" s="11">
        <f>IF(VLOOKUP(A111,'DB Country PMI'!$A:$W,MATCH($A$1,'DB Country PMI'!$A$1:$W$1,),)=0,#N/A,VLOOKUP(A111,'DB Country PMI'!$A:$W,MATCH($A$1,'DB Country PMI'!$A$1:$W$1,),))</f>
        <v>57.2</v>
      </c>
      <c r="C111" s="14">
        <f>Table1346811345[[#This Row],[PMI]]-B110</f>
        <v>0.5</v>
      </c>
    </row>
    <row r="112" spans="1:3" x14ac:dyDescent="0.2">
      <c r="A112" s="8">
        <v>42887</v>
      </c>
      <c r="B112" s="11">
        <f>IF(VLOOKUP(A112,'DB Country PMI'!$A:$W,MATCH($A$1,'DB Country PMI'!$A$1:$W$1,),)=0,#N/A,VLOOKUP(A112,'DB Country PMI'!$A:$W,MATCH($A$1,'DB Country PMI'!$A$1:$W$1,),))</f>
        <v>56.9</v>
      </c>
      <c r="C112" s="14">
        <f>Table1346811345[[#This Row],[PMI]]-B111</f>
        <v>-0.30000000000000426</v>
      </c>
    </row>
    <row r="113" spans="1:3" x14ac:dyDescent="0.2">
      <c r="A113" s="8">
        <v>42917</v>
      </c>
      <c r="B113" s="11">
        <f>IF(VLOOKUP(A113,'DB Country PMI'!$A:$W,MATCH($A$1,'DB Country PMI'!$A$1:$W$1,),)=0,#N/A,VLOOKUP(A113,'DB Country PMI'!$A:$W,MATCH($A$1,'DB Country PMI'!$A$1:$W$1,),))</f>
        <v>56</v>
      </c>
      <c r="C113" s="14">
        <f>Table1346811345[[#This Row],[PMI]]-B112</f>
        <v>-0.89999999999999858</v>
      </c>
    </row>
    <row r="114" spans="1:3" x14ac:dyDescent="0.2">
      <c r="A114" s="8">
        <v>42948</v>
      </c>
      <c r="B114" s="11">
        <f>IF(VLOOKUP(A114,'DB Country PMI'!$A:$W,MATCH($A$1,'DB Country PMI'!$A$1:$W$1,),)=0,#N/A,VLOOKUP(A114,'DB Country PMI'!$A:$W,MATCH($A$1,'DB Country PMI'!$A$1:$W$1,),))</f>
        <v>54.9</v>
      </c>
      <c r="C114" s="14">
        <f>Table1346811345[[#This Row],[PMI]]-B113</f>
        <v>-1.1000000000000014</v>
      </c>
    </row>
    <row r="115" spans="1:3" x14ac:dyDescent="0.2">
      <c r="A115" s="8">
        <v>42979</v>
      </c>
      <c r="B115" s="11">
        <f>IF(VLOOKUP(A115,'DB Country PMI'!$A:$W,MATCH($A$1,'DB Country PMI'!$A$1:$W$1,),)=0,#N/A,VLOOKUP(A115,'DB Country PMI'!$A:$W,MATCH($A$1,'DB Country PMI'!$A$1:$W$1,),))</f>
        <v>57</v>
      </c>
      <c r="C115" s="14">
        <f>Table1346811345[[#This Row],[PMI]]-B114</f>
        <v>2.1000000000000014</v>
      </c>
    </row>
    <row r="116" spans="1:3" x14ac:dyDescent="0.2">
      <c r="A116" s="8">
        <v>43009</v>
      </c>
      <c r="B116" s="11">
        <f>IF(VLOOKUP(A116,'DB Country PMI'!$A:$W,MATCH($A$1,'DB Country PMI'!$A$1:$W$1,),)=0,#N/A,VLOOKUP(A116,'DB Country PMI'!$A:$W,MATCH($A$1,'DB Country PMI'!$A$1:$W$1,),))</f>
        <v>57.3</v>
      </c>
      <c r="C116" s="14">
        <f>Table1346811345[[#This Row],[PMI]]-B115</f>
        <v>0.29999999999999716</v>
      </c>
    </row>
    <row r="117" spans="1:3" x14ac:dyDescent="0.2">
      <c r="A117" s="8">
        <v>43040</v>
      </c>
      <c r="B117" s="11">
        <f>IF(VLOOKUP(A117,'DB Country PMI'!$A:$W,MATCH($A$1,'DB Country PMI'!$A$1:$W$1,),)=0,#N/A,VLOOKUP(A117,'DB Country PMI'!$A:$W,MATCH($A$1,'DB Country PMI'!$A$1:$W$1,),))</f>
        <v>60.4</v>
      </c>
      <c r="C117" s="14">
        <f>Table1346811345[[#This Row],[PMI]]-B116</f>
        <v>3.1000000000000014</v>
      </c>
    </row>
    <row r="118" spans="1:3" x14ac:dyDescent="0.2">
      <c r="A118" s="8">
        <v>43070</v>
      </c>
      <c r="B118" s="11">
        <f>IF(VLOOKUP(A118,'DB Country PMI'!$A:$W,MATCH($A$1,'DB Country PMI'!$A$1:$W$1,),)=0,#N/A,VLOOKUP(A118,'DB Country PMI'!$A:$W,MATCH($A$1,'DB Country PMI'!$A$1:$W$1,),))</f>
        <v>59.1</v>
      </c>
      <c r="C118" s="14">
        <f>Table1346811345[[#This Row],[PMI]]-B117</f>
        <v>-1.2999999999999972</v>
      </c>
    </row>
    <row r="119" spans="1:3" x14ac:dyDescent="0.2">
      <c r="A119" s="8">
        <v>43101</v>
      </c>
      <c r="B119" s="11">
        <f>IF(VLOOKUP(A119,'DB Country PMI'!$A:$W,MATCH($A$1,'DB Country PMI'!$A$1:$W$1,),)=0,#N/A,VLOOKUP(A119,'DB Country PMI'!$A:$W,MATCH($A$1,'DB Country PMI'!$A$1:$W$1,),))</f>
        <v>59.2</v>
      </c>
      <c r="C119" s="14">
        <f>Table1346811345[[#This Row],[PMI]]-B118</f>
        <v>0.10000000000000142</v>
      </c>
    </row>
    <row r="120" spans="1:3" x14ac:dyDescent="0.2">
      <c r="A120" s="8">
        <v>43132</v>
      </c>
      <c r="B120" s="11">
        <f>IF(VLOOKUP(A120,'DB Country PMI'!$A:$W,MATCH($A$1,'DB Country PMI'!$A$1:$W$1,),)=0,#N/A,VLOOKUP(A120,'DB Country PMI'!$A:$W,MATCH($A$1,'DB Country PMI'!$A$1:$W$1,),))</f>
        <v>57.4</v>
      </c>
      <c r="C120" s="14">
        <f>Table1346811345[[#This Row],[PMI]]-B119</f>
        <v>-1.8000000000000043</v>
      </c>
    </row>
    <row r="121" spans="1:3" x14ac:dyDescent="0.2">
      <c r="A121" s="8">
        <v>43160</v>
      </c>
      <c r="B121" s="11">
        <f>IF(VLOOKUP(A121,'DB Country PMI'!$A:$W,MATCH($A$1,'DB Country PMI'!$A$1:$W$1,),)=0,#N/A,VLOOKUP(A121,'DB Country PMI'!$A:$W,MATCH($A$1,'DB Country PMI'!$A$1:$W$1,),))</f>
        <v>56.8</v>
      </c>
      <c r="C121" s="14">
        <f>Table1346811345[[#This Row],[PMI]]-B120</f>
        <v>-0.60000000000000142</v>
      </c>
    </row>
    <row r="122" spans="1:3" x14ac:dyDescent="0.2">
      <c r="A122" s="8">
        <v>43191</v>
      </c>
      <c r="B122" s="11">
        <f>IF(VLOOKUP(A122,'DB Country PMI'!$A:$W,MATCH($A$1,'DB Country PMI'!$A$1:$W$1,),)=0,#N/A,VLOOKUP(A122,'DB Country PMI'!$A:$W,MATCH($A$1,'DB Country PMI'!$A$1:$W$1,),))</f>
        <v>57.4</v>
      </c>
      <c r="C122" s="14">
        <f>Table1346811345[[#This Row],[PMI]]-B121</f>
        <v>0.60000000000000142</v>
      </c>
    </row>
    <row r="123" spans="1:3" x14ac:dyDescent="0.2">
      <c r="A123" s="8">
        <v>43221</v>
      </c>
      <c r="B123" s="11">
        <f>IF(VLOOKUP(A123,'DB Country PMI'!$A:$W,MATCH($A$1,'DB Country PMI'!$A$1:$W$1,),)=0,#N/A,VLOOKUP(A123,'DB Country PMI'!$A:$W,MATCH($A$1,'DB Country PMI'!$A$1:$W$1,),))</f>
        <v>54.3</v>
      </c>
      <c r="C123" s="14">
        <f>Table1346811345[[#This Row],[PMI]]-B122</f>
        <v>-3.1000000000000014</v>
      </c>
    </row>
    <row r="124" spans="1:3" x14ac:dyDescent="0.2">
      <c r="A124" s="8">
        <v>43252</v>
      </c>
      <c r="B124" s="11">
        <f>IF(VLOOKUP(A124,'DB Country PMI'!$A:$W,MATCH($A$1,'DB Country PMI'!$A$1:$W$1,),)=0,#N/A,VLOOKUP(A124,'DB Country PMI'!$A:$W,MATCH($A$1,'DB Country PMI'!$A$1:$W$1,),))</f>
        <v>55.9</v>
      </c>
      <c r="C124" s="14">
        <f>Table1346811345[[#This Row],[PMI]]-B123</f>
        <v>1.6000000000000014</v>
      </c>
    </row>
    <row r="125" spans="1:3" x14ac:dyDescent="0.2">
      <c r="A125" s="8">
        <v>43282</v>
      </c>
      <c r="B125" s="11">
        <f>IF(VLOOKUP(A125,'DB Country PMI'!$A:$W,MATCH($A$1,'DB Country PMI'!$A$1:$W$1,),)=0,#N/A,VLOOKUP(A125,'DB Country PMI'!$A:$W,MATCH($A$1,'DB Country PMI'!$A$1:$W$1,),))</f>
        <v>54.9</v>
      </c>
      <c r="C125" s="14">
        <f>Table1346811345[[#This Row],[PMI]]-B124</f>
        <v>-1</v>
      </c>
    </row>
    <row r="126" spans="1:3" x14ac:dyDescent="0.2">
      <c r="A126" s="8">
        <v>43313</v>
      </c>
      <c r="B126" s="11">
        <f>IF(VLOOKUP(A126,'DB Country PMI'!$A:$W,MATCH($A$1,'DB Country PMI'!$A$1:$W$1,),)=0,#N/A,VLOOKUP(A126,'DB Country PMI'!$A:$W,MATCH($A$1,'DB Country PMI'!$A$1:$W$1,),))</f>
        <v>55.4</v>
      </c>
      <c r="C126" s="14">
        <f>Table1346811345[[#This Row],[PMI]]-B125</f>
        <v>0.5</v>
      </c>
    </row>
    <row r="127" spans="1:3" x14ac:dyDescent="0.2">
      <c r="A127" s="8">
        <v>43344</v>
      </c>
      <c r="B127" s="11">
        <f>IF(VLOOKUP(A127,'DB Country PMI'!$A:$W,MATCH($A$1,'DB Country PMI'!$A$1:$W$1,),)=0,#N/A,VLOOKUP(A127,'DB Country PMI'!$A:$W,MATCH($A$1,'DB Country PMI'!$A$1:$W$1,),))</f>
        <v>54.8</v>
      </c>
      <c r="C127" s="14">
        <f>Table1346811345[[#This Row],[PMI]]-B126</f>
        <v>-0.60000000000000142</v>
      </c>
    </row>
    <row r="128" spans="1:3" x14ac:dyDescent="0.2">
      <c r="A128" s="8">
        <v>43374</v>
      </c>
      <c r="B128" s="11">
        <f>IF(VLOOKUP(A128,'DB Country PMI'!$A:$W,MATCH($A$1,'DB Country PMI'!$A$1:$W$1,),)=0,#N/A,VLOOKUP(A128,'DB Country PMI'!$A:$W,MATCH($A$1,'DB Country PMI'!$A$1:$W$1,),))</f>
        <v>55.3</v>
      </c>
      <c r="C128" s="14">
        <f>Table1346811345[[#This Row],[PMI]]-B127</f>
        <v>0.5</v>
      </c>
    </row>
    <row r="129" spans="1:3" x14ac:dyDescent="0.2">
      <c r="A129" s="8">
        <v>43405</v>
      </c>
      <c r="B129" s="11">
        <f>IF(VLOOKUP(A129,'DB Country PMI'!$A:$W,MATCH($A$1,'DB Country PMI'!$A$1:$W$1,),)=0,#N/A,VLOOKUP(A129,'DB Country PMI'!$A:$W,MATCH($A$1,'DB Country PMI'!$A$1:$W$1,),))</f>
        <v>55.1</v>
      </c>
      <c r="C129" s="14">
        <f>Table1346811345[[#This Row],[PMI]]-B128</f>
        <v>-0.19999999999999574</v>
      </c>
    </row>
    <row r="130" spans="1:3" x14ac:dyDescent="0.2">
      <c r="A130" s="8">
        <v>43435</v>
      </c>
      <c r="B130" s="11">
        <f>IF(VLOOKUP(A130,'DB Country PMI'!$A:$W,MATCH($A$1,'DB Country PMI'!$A$1:$W$1,),)=0,#N/A,VLOOKUP(A130,'DB Country PMI'!$A:$W,MATCH($A$1,'DB Country PMI'!$A$1:$W$1,),))</f>
        <v>49</v>
      </c>
      <c r="C130" s="14">
        <f>Table1346811345[[#This Row],[PMI]]-B129</f>
        <v>-6.1000000000000014</v>
      </c>
    </row>
    <row r="131" spans="1:3" x14ac:dyDescent="0.2">
      <c r="A131" s="8">
        <v>43466</v>
      </c>
      <c r="B131" s="11">
        <f>IF(VLOOKUP(A131,'DB Country PMI'!$A:$W,MATCH($A$1,'DB Country PMI'!$A$1:$W$1,),)=0,#N/A,VLOOKUP(A131,'DB Country PMI'!$A:$W,MATCH($A$1,'DB Country PMI'!$A$1:$W$1,),))</f>
        <v>47.8</v>
      </c>
      <c r="C131" s="14">
        <f>Table1346811345[[#This Row],[PMI]]-B130</f>
        <v>-1.2000000000000028</v>
      </c>
    </row>
    <row r="132" spans="1:3" x14ac:dyDescent="0.2">
      <c r="A132" s="8">
        <v>43497</v>
      </c>
      <c r="B132" s="11">
        <f>IF(VLOOKUP(A132,'DB Country PMI'!$A:$W,MATCH($A$1,'DB Country PMI'!$A$1:$W$1,),)=0,#N/A,VLOOKUP(A132,'DB Country PMI'!$A:$W,MATCH($A$1,'DB Country PMI'!$A$1:$W$1,),))</f>
        <v>50.2</v>
      </c>
      <c r="C132" s="14">
        <f>Table1346811345[[#This Row],[PMI]]-B131</f>
        <v>2.4000000000000057</v>
      </c>
    </row>
    <row r="133" spans="1:3" x14ac:dyDescent="0.2">
      <c r="A133" s="8">
        <v>43525</v>
      </c>
      <c r="B133" s="11">
        <f>IF(VLOOKUP(A133,'DB Country PMI'!$A:$W,MATCH($A$1,'DB Country PMI'!$A$1:$W$1,),)=0,#N/A,VLOOKUP(A133,'DB Country PMI'!$A:$W,MATCH($A$1,'DB Country PMI'!$A$1:$W$1,),))</f>
        <v>49.1</v>
      </c>
      <c r="C133" s="14">
        <f>Table1346811345[[#This Row],[PMI]]-B132</f>
        <v>-1.1000000000000014</v>
      </c>
    </row>
    <row r="134" spans="1:3" x14ac:dyDescent="0.2">
      <c r="A134" s="8">
        <v>43556</v>
      </c>
      <c r="B134" s="11">
        <f>IF(VLOOKUP(A134,'DB Country PMI'!$A:$W,MATCH($A$1,'DB Country PMI'!$A$1:$W$1,),)=0,#N/A,VLOOKUP(A134,'DB Country PMI'!$A:$W,MATCH($A$1,'DB Country PMI'!$A$1:$W$1,),))</f>
        <v>50.5</v>
      </c>
      <c r="C134" s="14">
        <f>Table1346811345[[#This Row],[PMI]]-B133</f>
        <v>1.3999999999999986</v>
      </c>
    </row>
    <row r="135" spans="1:3" x14ac:dyDescent="0.2">
      <c r="A135" s="8">
        <v>43586</v>
      </c>
      <c r="B135" s="11">
        <f>IF(VLOOKUP(A135,'DB Country PMI'!$A:$W,MATCH($A$1,'DB Country PMI'!$A$1:$W$1,),)=0,#N/A,VLOOKUP(A135,'DB Country PMI'!$A:$W,MATCH($A$1,'DB Country PMI'!$A$1:$W$1,),))</f>
        <v>51.5</v>
      </c>
      <c r="C135" s="14">
        <f>Table1346811345[[#This Row],[PMI]]-B134</f>
        <v>1</v>
      </c>
    </row>
    <row r="136" spans="1:3" x14ac:dyDescent="0.2">
      <c r="A136" s="8">
        <v>43617</v>
      </c>
      <c r="B136" s="11">
        <f>IF(VLOOKUP(A136,'DB Country PMI'!$A:$W,MATCH($A$1,'DB Country PMI'!$A$1:$W$1,),)=0,#N/A,VLOOKUP(A136,'DB Country PMI'!$A:$W,MATCH($A$1,'DB Country PMI'!$A$1:$W$1,),))</f>
        <v>52.9</v>
      </c>
      <c r="C136" s="14">
        <f>Table1346811345[[#This Row],[PMI]]-B135</f>
        <v>1.3999999999999986</v>
      </c>
    </row>
    <row r="137" spans="1:3" x14ac:dyDescent="0.2">
      <c r="A137" s="8">
        <v>43647</v>
      </c>
      <c r="B137" s="11">
        <f>IF(VLOOKUP(A137,'DB Country PMI'!$A:$W,MATCH($A$1,'DB Country PMI'!$A$1:$W$1,),)=0,#N/A,VLOOKUP(A137,'DB Country PMI'!$A:$W,MATCH($A$1,'DB Country PMI'!$A$1:$W$1,),))</f>
        <v>52.6</v>
      </c>
      <c r="C137" s="14">
        <f>Table1346811345[[#This Row],[PMI]]-B136</f>
        <v>-0.29999999999999716</v>
      </c>
    </row>
    <row r="138" spans="1:3" x14ac:dyDescent="0.2">
      <c r="A138" s="8">
        <v>43678</v>
      </c>
      <c r="B138" s="11">
        <f>IF(VLOOKUP(A138,'DB Country PMI'!$A:$W,MATCH($A$1,'DB Country PMI'!$A$1:$W$1,),)=0,#N/A,VLOOKUP(A138,'DB Country PMI'!$A:$W,MATCH($A$1,'DB Country PMI'!$A$1:$W$1,),))</f>
        <v>53.4</v>
      </c>
      <c r="C138" s="14">
        <f>Table1346811345[[#This Row],[PMI]]-B137</f>
        <v>0.79999999999999716</v>
      </c>
    </row>
    <row r="139" spans="1:3" x14ac:dyDescent="0.2">
      <c r="A139" s="8">
        <v>43709</v>
      </c>
      <c r="B139" s="11">
        <f>IF(VLOOKUP(A139,'DB Country PMI'!$A:$W,MATCH($A$1,'DB Country PMI'!$A$1:$W$1,),)=0,#N/A,VLOOKUP(A139,'DB Country PMI'!$A:$W,MATCH($A$1,'DB Country PMI'!$A$1:$W$1,),))</f>
        <v>51.1</v>
      </c>
      <c r="C139" s="14">
        <f>Table1346811345[[#This Row],[PMI]]-B138</f>
        <v>-2.2999999999999972</v>
      </c>
    </row>
    <row r="140" spans="1:3" x14ac:dyDescent="0.2">
      <c r="A140" s="8">
        <v>43739</v>
      </c>
      <c r="B140" s="11">
        <f>IF(VLOOKUP(A140,'DB Country PMI'!$A:$W,MATCH($A$1,'DB Country PMI'!$A$1:$W$1,),)=0,#N/A,VLOOKUP(A140,'DB Country PMI'!$A:$W,MATCH($A$1,'DB Country PMI'!$A$1:$W$1,),))</f>
        <v>52.9</v>
      </c>
      <c r="C140" s="14">
        <f>Table1346811345[[#This Row],[PMI]]-B139</f>
        <v>1.7999999999999972</v>
      </c>
    </row>
    <row r="141" spans="1:3" x14ac:dyDescent="0.2">
      <c r="A141" s="8">
        <v>43770</v>
      </c>
      <c r="B141" s="11">
        <f>IF(VLOOKUP(A141,'DB Country PMI'!$A:$W,MATCH($A$1,'DB Country PMI'!$A$1:$W$1,),)=0,#N/A,VLOOKUP(A141,'DB Country PMI'!$A:$W,MATCH($A$1,'DB Country PMI'!$A$1:$W$1,),))</f>
        <v>52.2</v>
      </c>
      <c r="C141" s="14">
        <f>Table1346811345[[#This Row],[PMI]]-B140</f>
        <v>-0.69999999999999574</v>
      </c>
    </row>
    <row r="142" spans="1:3" x14ac:dyDescent="0.2">
      <c r="A142" s="8">
        <v>43800</v>
      </c>
      <c r="B142" s="11">
        <f>IF(VLOOKUP(A142,'DB Country PMI'!$A:$W,MATCH($A$1,'DB Country PMI'!$A$1:$W$1,),)=0,#N/A,VLOOKUP(A142,'DB Country PMI'!$A:$W,MATCH($A$1,'DB Country PMI'!$A$1:$W$1,),))</f>
        <v>52.4</v>
      </c>
      <c r="C142" s="14">
        <f>Table1346811345[[#This Row],[PMI]]-B141</f>
        <v>0.19999999999999574</v>
      </c>
    </row>
    <row r="143" spans="1:3" x14ac:dyDescent="0.2">
      <c r="A143" s="8">
        <v>43831</v>
      </c>
      <c r="B143" s="11">
        <f>IF(VLOOKUP(A143,'DB Country PMI'!$A:$W,MATCH($A$1,'DB Country PMI'!$A$1:$W$1,),)=0,#N/A,VLOOKUP(A143,'DB Country PMI'!$A:$W,MATCH($A$1,'DB Country PMI'!$A$1:$W$1,),))</f>
        <v>51</v>
      </c>
      <c r="C143" s="14">
        <f>Table1346811345[[#This Row],[PMI]]-B142</f>
        <v>-1.3999999999999986</v>
      </c>
    </row>
    <row r="144" spans="1:3" x14ac:dyDescent="0.2">
      <c r="A144" s="8">
        <v>43862</v>
      </c>
      <c r="B144" s="11">
        <f>IF(VLOOKUP(A144,'DB Country PMI'!$A:$W,MATCH($A$1,'DB Country PMI'!$A$1:$W$1,),)=0,#N/A,VLOOKUP(A144,'DB Country PMI'!$A:$W,MATCH($A$1,'DB Country PMI'!$A$1:$W$1,),))</f>
        <v>52.5</v>
      </c>
      <c r="C144" s="14">
        <f>Table1346811345[[#This Row],[PMI]]-B143</f>
        <v>1.5</v>
      </c>
    </row>
    <row r="145" spans="1:3" x14ac:dyDescent="0.2">
      <c r="A145" s="8">
        <v>43891</v>
      </c>
      <c r="B145" s="11">
        <f>IF(VLOOKUP(A145,'DB Country PMI'!$A:$W,MATCH($A$1,'DB Country PMI'!$A$1:$W$1,),)=0,#N/A,VLOOKUP(A145,'DB Country PMI'!$A:$W,MATCH($A$1,'DB Country PMI'!$A$1:$W$1,),))</f>
        <v>27.4</v>
      </c>
      <c r="C145" s="14">
        <f>Table1346811345[[#This Row],[PMI]]-B144</f>
        <v>-25.1</v>
      </c>
    </row>
    <row r="146" spans="1:3" x14ac:dyDescent="0.2">
      <c r="A146" s="8">
        <v>43922</v>
      </c>
      <c r="B146" s="11">
        <f>IF(VLOOKUP(A146,'DB Country PMI'!$A:$W,MATCH($A$1,'DB Country PMI'!$A$1:$W$1,),)=0,#N/A,VLOOKUP(A146,'DB Country PMI'!$A:$W,MATCH($A$1,'DB Country PMI'!$A$1:$W$1,),))</f>
        <v>10.199999999999999</v>
      </c>
      <c r="C146" s="14">
        <f>Table1346811345[[#This Row],[PMI]]-B145</f>
        <v>-17.2</v>
      </c>
    </row>
    <row r="147" spans="1:3" x14ac:dyDescent="0.2">
      <c r="A147" s="8">
        <v>43952</v>
      </c>
      <c r="B147" s="11">
        <f>IF(VLOOKUP(A147,'DB Country PMI'!$A:$W,MATCH($A$1,'DB Country PMI'!$A$1:$W$1,),)=0,#N/A,VLOOKUP(A147,'DB Country PMI'!$A:$W,MATCH($A$1,'DB Country PMI'!$A$1:$W$1,),))</f>
        <v>31.1</v>
      </c>
      <c r="C147" s="14">
        <f>Table1346811345[[#This Row],[PMI]]-B146</f>
        <v>20.900000000000002</v>
      </c>
    </row>
    <row r="148" spans="1:3" x14ac:dyDescent="0.2">
      <c r="A148" s="8">
        <v>43983</v>
      </c>
      <c r="B148" s="11">
        <f>IF(VLOOKUP(A148,'DB Country PMI'!$A:$W,MATCH($A$1,'DB Country PMI'!$A$1:$W$1,),)=0,#N/A,VLOOKUP(A148,'DB Country PMI'!$A:$W,MATCH($A$1,'DB Country PMI'!$A$1:$W$1,),))</f>
        <v>50.7</v>
      </c>
      <c r="C148" s="14">
        <f>Table1346811345[[#This Row],[PMI]]-B147</f>
        <v>19.600000000000001</v>
      </c>
    </row>
    <row r="149" spans="1:3" x14ac:dyDescent="0.2">
      <c r="A149" s="8">
        <v>44013</v>
      </c>
      <c r="B149" s="11">
        <f>IF(VLOOKUP(A149,'DB Country PMI'!$A:$W,MATCH($A$1,'DB Country PMI'!$A$1:$W$1,),)=0,#N/A,VLOOKUP(A149,'DB Country PMI'!$A:$W,MATCH($A$1,'DB Country PMI'!$A$1:$W$1,),))</f>
        <v>57.3</v>
      </c>
      <c r="C149" s="14">
        <f>Table1346811345[[#This Row],[PMI]]-B148</f>
        <v>6.5999999999999943</v>
      </c>
    </row>
    <row r="150" spans="1:3" x14ac:dyDescent="0.2">
      <c r="A150" s="8">
        <v>44044</v>
      </c>
      <c r="B150" s="11">
        <f>IF(VLOOKUP(A150,'DB Country PMI'!$A:$W,MATCH($A$1,'DB Country PMI'!$A$1:$W$1,),)=0,#N/A,VLOOKUP(A150,'DB Country PMI'!$A:$W,MATCH($A$1,'DB Country PMI'!$A$1:$W$1,),))</f>
        <v>51.5</v>
      </c>
      <c r="C150" s="14">
        <f>Table1346811345[[#This Row],[PMI]]-B149</f>
        <v>-5.7999999999999972</v>
      </c>
    </row>
    <row r="151" spans="1:3" x14ac:dyDescent="0.2">
      <c r="A151" s="8">
        <v>44075</v>
      </c>
      <c r="B151" s="11">
        <f>IF(VLOOKUP(A151,'DB Country PMI'!$A:$W,MATCH($A$1,'DB Country PMI'!$A$1:$W$1,),)=0,#N/A,VLOOKUP(A151,'DB Country PMI'!$A:$W,MATCH($A$1,'DB Country PMI'!$A$1:$W$1,),))</f>
        <v>47.5</v>
      </c>
      <c r="C151" s="14">
        <f>Table1346811345[[#This Row],[PMI]]-B150</f>
        <v>-4</v>
      </c>
    </row>
    <row r="152" spans="1:3" x14ac:dyDescent="0.2">
      <c r="A152" s="8">
        <v>44105</v>
      </c>
      <c r="B152" s="11">
        <f>IF(VLOOKUP(A152,'DB Country PMI'!$A:$W,MATCH($A$1,'DB Country PMI'!$A$1:$W$1,),)=0,#N/A,VLOOKUP(A152,'DB Country PMI'!$A:$W,MATCH($A$1,'DB Country PMI'!$A$1:$W$1,),))</f>
        <v>46.5</v>
      </c>
      <c r="C152" s="14">
        <f>Table1346811345[[#This Row],[PMI]]-B151</f>
        <v>-1</v>
      </c>
    </row>
    <row r="153" spans="1:3" x14ac:dyDescent="0.2">
      <c r="A153" s="8">
        <v>44136</v>
      </c>
      <c r="B153" s="11">
        <f>IF(VLOOKUP(A153,'DB Country PMI'!$A:$W,MATCH($A$1,'DB Country PMI'!$A$1:$W$1,),)=0,#N/A,VLOOKUP(A153,'DB Country PMI'!$A:$W,MATCH($A$1,'DB Country PMI'!$A$1:$W$1,),))</f>
        <v>38.799999999999997</v>
      </c>
      <c r="C153" s="14">
        <f>Table1346811345[[#This Row],[PMI]]-B152</f>
        <v>-7.7000000000000028</v>
      </c>
    </row>
    <row r="154" spans="1:3" x14ac:dyDescent="0.2">
      <c r="A154" s="8">
        <v>44166</v>
      </c>
      <c r="B154" s="11">
        <f>IF(VLOOKUP(A154,'DB Country PMI'!$A:$W,MATCH($A$1,'DB Country PMI'!$A$1:$W$1,),)=0,#N/A,VLOOKUP(A154,'DB Country PMI'!$A:$W,MATCH($A$1,'DB Country PMI'!$A$1:$W$1,),))</f>
        <v>49.1</v>
      </c>
      <c r="C154" s="14">
        <f>Table1346811345[[#This Row],[PMI]]-B153</f>
        <v>10.300000000000004</v>
      </c>
    </row>
    <row r="155" spans="1:3" x14ac:dyDescent="0.2">
      <c r="A155" s="8">
        <v>44197</v>
      </c>
      <c r="B155" s="11">
        <f>IF(VLOOKUP(A155,'DB Country PMI'!$A:$W,MATCH($A$1,'DB Country PMI'!$A$1:$W$1,),)=0,#N/A,VLOOKUP(A155,'DB Country PMI'!$A:$W,MATCH($A$1,'DB Country PMI'!$A$1:$W$1,),))</f>
        <v>47.3</v>
      </c>
      <c r="C155" s="14">
        <f>Table1346811345[[#This Row],[PMI]]-B154</f>
        <v>-1.8000000000000043</v>
      </c>
    </row>
    <row r="156" spans="1:3" x14ac:dyDescent="0.2">
      <c r="A156" s="8">
        <v>44228</v>
      </c>
      <c r="B156" s="11">
        <f>IF(VLOOKUP(A156,'DB Country PMI'!$A:$W,MATCH($A$1,'DB Country PMI'!$A$1:$W$1,),)=0,#N/A,VLOOKUP(A156,'DB Country PMI'!$A:$W,MATCH($A$1,'DB Country PMI'!$A$1:$W$1,),))</f>
        <v>45.6</v>
      </c>
      <c r="C156" s="14">
        <f>Table1346811345[[#This Row],[PMI]]-B155</f>
        <v>-1.6999999999999957</v>
      </c>
    </row>
    <row r="157" spans="1:3" x14ac:dyDescent="0.2">
      <c r="A157" s="8">
        <v>44256</v>
      </c>
      <c r="B157" s="11">
        <f>IF(VLOOKUP(A157,'DB Country PMI'!$A:$W,MATCH($A$1,'DB Country PMI'!$A$1:$W$1,),)=0,#N/A,VLOOKUP(A157,'DB Country PMI'!$A:$W,MATCH($A$1,'DB Country PMI'!$A$1:$W$1,),))</f>
        <v>48.2</v>
      </c>
      <c r="C157" s="14">
        <f>Table1346811345[[#This Row],[PMI]]-B156</f>
        <v>2.6000000000000014</v>
      </c>
    </row>
    <row r="158" spans="1:3" x14ac:dyDescent="0.2">
      <c r="A158" s="8">
        <v>44287</v>
      </c>
      <c r="B158" s="11">
        <f>IF(VLOOKUP(A158,'DB Country PMI'!$A:$W,MATCH($A$1,'DB Country PMI'!$A$1:$W$1,),)=0,#N/A,VLOOKUP(A158,'DB Country PMI'!$A:$W,MATCH($A$1,'DB Country PMI'!$A$1:$W$1,),))</f>
        <v>50.3</v>
      </c>
      <c r="C158" s="14">
        <f>Table1346811345[[#This Row],[PMI]]-B157</f>
        <v>2.0999999999999943</v>
      </c>
    </row>
    <row r="159" spans="1:3" x14ac:dyDescent="0.2">
      <c r="A159" s="8">
        <v>44317</v>
      </c>
      <c r="B159" s="11">
        <f>IF(VLOOKUP(A159,'DB Country PMI'!$A:$W,MATCH($A$1,'DB Country PMI'!$A$1:$W$1,),)=0,#N/A,VLOOKUP(A159,'DB Country PMI'!$A:$W,MATCH($A$1,'DB Country PMI'!$A$1:$W$1,),))</f>
        <v>56.6</v>
      </c>
      <c r="C159" s="14">
        <f>Table1346811345[[#This Row],[PMI]]-B158</f>
        <v>6.3000000000000043</v>
      </c>
    </row>
    <row r="160" spans="1:3" x14ac:dyDescent="0.2">
      <c r="A160" s="8">
        <v>44348</v>
      </c>
      <c r="B160" s="11">
        <f>IF(VLOOKUP(A160,'DB Country PMI'!$A:$W,MATCH($A$1,'DB Country PMI'!$A$1:$W$1,),)=0,#N/A,VLOOKUP(A160,'DB Country PMI'!$A:$W,MATCH($A$1,'DB Country PMI'!$A$1:$W$1,),))</f>
        <v>57.8</v>
      </c>
      <c r="C160" s="14">
        <f>Table1346811345[[#This Row],[PMI]]-B159</f>
        <v>1.1999999999999957</v>
      </c>
    </row>
    <row r="161" spans="1:3" x14ac:dyDescent="0.2">
      <c r="A161" s="8">
        <v>44378</v>
      </c>
      <c r="B161" s="11">
        <f>IF(VLOOKUP(A161,'DB Country PMI'!$A:$W,MATCH($A$1,'DB Country PMI'!$A$1:$W$1,),)=0,#N/A,VLOOKUP(A161,'DB Country PMI'!$A:$W,MATCH($A$1,'DB Country PMI'!$A$1:$W$1,),))</f>
        <v>56.8</v>
      </c>
      <c r="C161" s="14">
        <f>Table1346811345[[#This Row],[PMI]]-B160</f>
        <v>-1</v>
      </c>
    </row>
    <row r="162" spans="1:3" x14ac:dyDescent="0.2">
      <c r="A162" s="8">
        <v>44409</v>
      </c>
      <c r="B162" s="11">
        <f>IF(VLOOKUP(A162,'DB Country PMI'!$A:$W,MATCH($A$1,'DB Country PMI'!$A$1:$W$1,),)=0,#N/A,VLOOKUP(A162,'DB Country PMI'!$A:$W,MATCH($A$1,'DB Country PMI'!$A$1:$W$1,),))</f>
        <v>56.3</v>
      </c>
      <c r="C162" s="14">
        <f>Table1346811345[[#This Row],[PMI]]-B161</f>
        <v>-0.5</v>
      </c>
    </row>
    <row r="163" spans="1:3" x14ac:dyDescent="0.2">
      <c r="A163" s="8">
        <v>44440</v>
      </c>
      <c r="B163" s="11">
        <f>IF(VLOOKUP(A163,'DB Country PMI'!$A:$W,MATCH($A$1,'DB Country PMI'!$A$1:$W$1,),)=0,#N/A,VLOOKUP(A163,'DB Country PMI'!$A:$W,MATCH($A$1,'DB Country PMI'!$A$1:$W$1,),))</f>
        <v>56.2</v>
      </c>
      <c r="C163" s="14">
        <f>Table1346811345[[#This Row],[PMI]]-B162</f>
        <v>-9.9999999999994316E-2</v>
      </c>
    </row>
    <row r="164" spans="1:3" x14ac:dyDescent="0.2">
      <c r="A164" s="8">
        <v>44470</v>
      </c>
      <c r="B164" s="11">
        <f>IF(VLOOKUP(A164,'DB Country PMI'!$A:$W,MATCH($A$1,'DB Country PMI'!$A$1:$W$1,),)=0,#N/A,VLOOKUP(A164,'DB Country PMI'!$A:$W,MATCH($A$1,'DB Country PMI'!$A$1:$W$1,),))</f>
        <v>56.6</v>
      </c>
      <c r="C164" s="14">
        <f>Table1346811345[[#This Row],[PMI]]-B163</f>
        <v>0.39999999999999858</v>
      </c>
    </row>
    <row r="165" spans="1:3" x14ac:dyDescent="0.2">
      <c r="A165" s="8">
        <v>44501</v>
      </c>
      <c r="B165" s="11">
        <f>IF(VLOOKUP(A165,'DB Country PMI'!$A:$W,MATCH($A$1,'DB Country PMI'!$A$1:$W$1,),)=0,#N/A,VLOOKUP(A165,'DB Country PMI'!$A:$W,MATCH($A$1,'DB Country PMI'!$A$1:$W$1,),))</f>
        <v>57.4</v>
      </c>
      <c r="C165" s="14">
        <f>Table1346811345[[#This Row],[PMI]]-B164</f>
        <v>0.79999999999999716</v>
      </c>
    </row>
    <row r="166" spans="1:3" x14ac:dyDescent="0.2">
      <c r="A166" s="8">
        <v>44531</v>
      </c>
      <c r="B166" s="11">
        <f>IF(VLOOKUP(A166,'DB Country PMI'!$A:$W,MATCH($A$1,'DB Country PMI'!$A$1:$W$1,),)=0,#N/A,VLOOKUP(A166,'DB Country PMI'!$A:$W,MATCH($A$1,'DB Country PMI'!$A$1:$W$1,),))</f>
        <v>57</v>
      </c>
      <c r="C166" s="14">
        <f>Table1346811345[[#This Row],[PMI]]-B165</f>
        <v>-0.39999999999999858</v>
      </c>
    </row>
    <row r="167" spans="1:3" x14ac:dyDescent="0.2">
      <c r="A167" s="8">
        <v>44562</v>
      </c>
      <c r="B167" s="11">
        <f>IF(VLOOKUP(A167,'DB Country PMI'!$A:$W,MATCH($A$1,'DB Country PMI'!$A$1:$W$1,),)=0,#N/A,VLOOKUP(A167,'DB Country PMI'!$A:$W,MATCH($A$1,'DB Country PMI'!$A$1:$W$1,),))</f>
        <v>53.1</v>
      </c>
      <c r="C167" s="14">
        <f>Table1346811345[[#This Row],[PMI]]-B166</f>
        <v>-3.8999999999999986</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23</v>
      </c>
      <c r="J1" s="47" t="s">
        <v>61</v>
      </c>
    </row>
    <row r="2" spans="1:10" x14ac:dyDescent="0.2">
      <c r="J2" s="47" t="s">
        <v>66</v>
      </c>
    </row>
    <row r="4" spans="1:10" ht="16" customHeight="1" thickBot="1" x14ac:dyDescent="0.25"/>
    <row r="5" spans="1:10" ht="16" customHeight="1" thickBot="1" x14ac:dyDescent="0.25">
      <c r="A5" s="12" t="s">
        <v>33</v>
      </c>
      <c r="B5" s="13" t="s">
        <v>59</v>
      </c>
      <c r="C5" s="13" t="s">
        <v>60</v>
      </c>
    </row>
    <row r="6" spans="1:10" x14ac:dyDescent="0.2">
      <c r="A6" s="10">
        <v>39264</v>
      </c>
      <c r="B6" s="11">
        <f>IF(VLOOKUP(A6,'DB Country PMI'!$A:$W,MATCH($A$1,'DB Country PMI'!$A$1:$W$1,),)=0,#N/A,VLOOKUP(A6,'DB Country PMI'!$A:$W,MATCH($A$1,'DB Country PMI'!$A$1:$W$1,),))</f>
        <v>58.9</v>
      </c>
      <c r="C6" s="11"/>
    </row>
    <row r="7" spans="1:10" x14ac:dyDescent="0.2">
      <c r="A7" s="8">
        <v>39295</v>
      </c>
      <c r="B7" s="11">
        <f>IF(VLOOKUP(A7,'DB Country PMI'!$A:$W,MATCH($A$1,'DB Country PMI'!$A$1:$W$1,),)=0,#N/A,VLOOKUP(A7,'DB Country PMI'!$A:$W,MATCH($A$1,'DB Country PMI'!$A$1:$W$1,),))</f>
        <v>59.8</v>
      </c>
      <c r="C7" s="14">
        <f>Table13468113456[[#This Row],[PMI]]-B6</f>
        <v>0.89999999999999858</v>
      </c>
    </row>
    <row r="8" spans="1:10" x14ac:dyDescent="0.2">
      <c r="A8" s="8">
        <v>39326</v>
      </c>
      <c r="B8" s="11">
        <f>IF(VLOOKUP(A8,'DB Country PMI'!$A:$W,MATCH($A$1,'DB Country PMI'!$A$1:$W$1,),)=0,#N/A,VLOOKUP(A8,'DB Country PMI'!$A:$W,MATCH($A$1,'DB Country PMI'!$A$1:$W$1,),))</f>
        <v>53.1</v>
      </c>
      <c r="C8" s="14">
        <f>Table13468113456[[#This Row],[PMI]]-B7</f>
        <v>-6.6999999999999957</v>
      </c>
    </row>
    <row r="9" spans="1:10" x14ac:dyDescent="0.2">
      <c r="A9" s="8">
        <v>39356</v>
      </c>
      <c r="B9" s="11">
        <f>IF(VLOOKUP(A9,'DB Country PMI'!$A:$W,MATCH($A$1,'DB Country PMI'!$A$1:$W$1,),)=0,#N/A,VLOOKUP(A9,'DB Country PMI'!$A:$W,MATCH($A$1,'DB Country PMI'!$A$1:$W$1,),))</f>
        <v>55.1</v>
      </c>
      <c r="C9" s="14">
        <f>Table13468113456[[#This Row],[PMI]]-B8</f>
        <v>2</v>
      </c>
    </row>
    <row r="10" spans="1:10" x14ac:dyDescent="0.2">
      <c r="A10" s="8">
        <v>39387</v>
      </c>
      <c r="B10" s="11">
        <f>IF(VLOOKUP(A10,'DB Country PMI'!$A:$W,MATCH($A$1,'DB Country PMI'!$A$1:$W$1,),)=0,#N/A,VLOOKUP(A10,'DB Country PMI'!$A:$W,MATCH($A$1,'DB Country PMI'!$A$1:$W$1,),))</f>
        <v>53.1</v>
      </c>
      <c r="C10" s="14">
        <f>Table13468113456[[#This Row],[PMI]]-B9</f>
        <v>-2</v>
      </c>
    </row>
    <row r="11" spans="1:10" x14ac:dyDescent="0.2">
      <c r="A11" s="8">
        <v>39417</v>
      </c>
      <c r="B11" s="11">
        <f>IF(VLOOKUP(A11,'DB Country PMI'!$A:$W,MATCH($A$1,'DB Country PMI'!$A$1:$W$1,),)=0,#N/A,VLOOKUP(A11,'DB Country PMI'!$A:$W,MATCH($A$1,'DB Country PMI'!$A$1:$W$1,),))</f>
        <v>51.5</v>
      </c>
      <c r="C11" s="14">
        <f>Table13468113456[[#This Row],[PMI]]-B10</f>
        <v>-1.6000000000000014</v>
      </c>
    </row>
    <row r="12" spans="1:10" x14ac:dyDescent="0.2">
      <c r="A12" s="8">
        <v>39448</v>
      </c>
      <c r="B12" s="11">
        <f>IF(VLOOKUP(A12,'DB Country PMI'!$A:$W,MATCH($A$1,'DB Country PMI'!$A$1:$W$1,),)=0,#N/A,VLOOKUP(A12,'DB Country PMI'!$A:$W,MATCH($A$1,'DB Country PMI'!$A$1:$W$1,),))</f>
        <v>49.2</v>
      </c>
      <c r="C12" s="14">
        <f>Table13468113456[[#This Row],[PMI]]-B11</f>
        <v>-2.2999999999999972</v>
      </c>
    </row>
    <row r="13" spans="1:10" x14ac:dyDescent="0.2">
      <c r="A13" s="8">
        <v>39479</v>
      </c>
      <c r="B13" s="11">
        <f>IF(VLOOKUP(A13,'DB Country PMI'!$A:$W,MATCH($A$1,'DB Country PMI'!$A$1:$W$1,),)=0,#N/A,VLOOKUP(A13,'DB Country PMI'!$A:$W,MATCH($A$1,'DB Country PMI'!$A$1:$W$1,),))</f>
        <v>52.2</v>
      </c>
      <c r="C13" s="14">
        <f>Table13468113456[[#This Row],[PMI]]-B12</f>
        <v>3</v>
      </c>
    </row>
    <row r="14" spans="1:10" x14ac:dyDescent="0.2">
      <c r="A14" s="8">
        <v>39508</v>
      </c>
      <c r="B14" s="11">
        <f>IF(VLOOKUP(A14,'DB Country PMI'!$A:$W,MATCH($A$1,'DB Country PMI'!$A$1:$W$1,),)=0,#N/A,VLOOKUP(A14,'DB Country PMI'!$A:$W,MATCH($A$1,'DB Country PMI'!$A$1:$W$1,),))</f>
        <v>51.8</v>
      </c>
      <c r="C14" s="14">
        <f>Table13468113456[[#This Row],[PMI]]-B13</f>
        <v>-0.40000000000000568</v>
      </c>
    </row>
    <row r="15" spans="1:10" x14ac:dyDescent="0.2">
      <c r="A15" s="8">
        <v>39539</v>
      </c>
      <c r="B15" s="11">
        <f>IF(VLOOKUP(A15,'DB Country PMI'!$A:$W,MATCH($A$1,'DB Country PMI'!$A$1:$W$1,),)=0,#N/A,VLOOKUP(A15,'DB Country PMI'!$A:$W,MATCH($A$1,'DB Country PMI'!$A$1:$W$1,),))</f>
        <v>54.9</v>
      </c>
      <c r="C15" s="14">
        <f>Table13468113456[[#This Row],[PMI]]-B14</f>
        <v>3.1000000000000014</v>
      </c>
    </row>
    <row r="16" spans="1:10" x14ac:dyDescent="0.2">
      <c r="A16" s="8">
        <v>39569</v>
      </c>
      <c r="B16" s="11">
        <f>IF(VLOOKUP(A16,'DB Country PMI'!$A:$W,MATCH($A$1,'DB Country PMI'!$A$1:$W$1,),)=0,#N/A,VLOOKUP(A16,'DB Country PMI'!$A:$W,MATCH($A$1,'DB Country PMI'!$A$1:$W$1,),))</f>
        <v>53.8</v>
      </c>
      <c r="C16" s="14">
        <f>Table13468113456[[#This Row],[PMI]]-B15</f>
        <v>-1.1000000000000014</v>
      </c>
    </row>
    <row r="17" spans="1:3" x14ac:dyDescent="0.2">
      <c r="A17" s="8">
        <v>39600</v>
      </c>
      <c r="B17" s="11">
        <f>IF(VLOOKUP(A17,'DB Country PMI'!$A:$W,MATCH($A$1,'DB Country PMI'!$A$1:$W$1,),)=0,#N/A,VLOOKUP(A17,'DB Country PMI'!$A:$W,MATCH($A$1,'DB Country PMI'!$A$1:$W$1,),))</f>
        <v>52.1</v>
      </c>
      <c r="C17" s="14">
        <f>Table13468113456[[#This Row],[PMI]]-B16</f>
        <v>-1.6999999999999957</v>
      </c>
    </row>
    <row r="18" spans="1:3" x14ac:dyDescent="0.2">
      <c r="A18" s="8">
        <v>39630</v>
      </c>
      <c r="B18" s="11">
        <f>IF(VLOOKUP(A18,'DB Country PMI'!$A:$W,MATCH($A$1,'DB Country PMI'!$A$1:$W$1,),)=0,#N/A,VLOOKUP(A18,'DB Country PMI'!$A:$W,MATCH($A$1,'DB Country PMI'!$A$1:$W$1,),))</f>
        <v>53.1</v>
      </c>
      <c r="C18" s="14">
        <f>Table13468113456[[#This Row],[PMI]]-B17</f>
        <v>1</v>
      </c>
    </row>
    <row r="19" spans="1:3" x14ac:dyDescent="0.2">
      <c r="A19" s="8">
        <v>39661</v>
      </c>
      <c r="B19" s="11">
        <f>IF(VLOOKUP(A19,'DB Country PMI'!$A:$W,MATCH($A$1,'DB Country PMI'!$A$1:$W$1,),)=0,#N/A,VLOOKUP(A19,'DB Country PMI'!$A:$W,MATCH($A$1,'DB Country PMI'!$A$1:$W$1,),))</f>
        <v>51.4</v>
      </c>
      <c r="C19" s="14">
        <f>Table13468113456[[#This Row],[PMI]]-B18</f>
        <v>-1.7000000000000028</v>
      </c>
    </row>
    <row r="20" spans="1:3" x14ac:dyDescent="0.2">
      <c r="A20" s="8">
        <v>39692</v>
      </c>
      <c r="B20" s="11">
        <f>IF(VLOOKUP(A20,'DB Country PMI'!$A:$W,MATCH($A$1,'DB Country PMI'!$A$1:$W$1,),)=0,#N/A,VLOOKUP(A20,'DB Country PMI'!$A:$W,MATCH($A$1,'DB Country PMI'!$A$1:$W$1,),))</f>
        <v>50.2</v>
      </c>
      <c r="C20" s="14">
        <f>Table13468113456[[#This Row],[PMI]]-B19</f>
        <v>-1.1999999999999957</v>
      </c>
    </row>
    <row r="21" spans="1:3" x14ac:dyDescent="0.2">
      <c r="A21" s="8">
        <v>39722</v>
      </c>
      <c r="B21" s="11">
        <f>IF(VLOOKUP(A21,'DB Country PMI'!$A:$W,MATCH($A$1,'DB Country PMI'!$A$1:$W$1,),)=0,#N/A,VLOOKUP(A21,'DB Country PMI'!$A:$W,MATCH($A$1,'DB Country PMI'!$A$1:$W$1,),))</f>
        <v>48.3</v>
      </c>
      <c r="C21" s="14">
        <f>Table13468113456[[#This Row],[PMI]]-B20</f>
        <v>-1.9000000000000057</v>
      </c>
    </row>
    <row r="22" spans="1:3" x14ac:dyDescent="0.2">
      <c r="A22" s="8">
        <v>39753</v>
      </c>
      <c r="B22" s="11">
        <f>IF(VLOOKUP(A22,'DB Country PMI'!$A:$W,MATCH($A$1,'DB Country PMI'!$A$1:$W$1,),)=0,#N/A,VLOOKUP(A22,'DB Country PMI'!$A:$W,MATCH($A$1,'DB Country PMI'!$A$1:$W$1,),))</f>
        <v>45.1</v>
      </c>
      <c r="C22" s="14">
        <f>Table13468113456[[#This Row],[PMI]]-B21</f>
        <v>-3.1999999999999957</v>
      </c>
    </row>
    <row r="23" spans="1:3" x14ac:dyDescent="0.2">
      <c r="A23" s="8">
        <v>39783</v>
      </c>
      <c r="B23" s="11">
        <f>IF(VLOOKUP(A23,'DB Country PMI'!$A:$W,MATCH($A$1,'DB Country PMI'!$A$1:$W$1,),)=0,#N/A,VLOOKUP(A23,'DB Country PMI'!$A:$W,MATCH($A$1,'DB Country PMI'!$A$1:$W$1,),))</f>
        <v>43.1</v>
      </c>
      <c r="C23" s="14">
        <f>Table13468113456[[#This Row],[PMI]]-B22</f>
        <v>-2</v>
      </c>
    </row>
    <row r="24" spans="1:3" x14ac:dyDescent="0.2">
      <c r="A24" s="8">
        <v>39814</v>
      </c>
      <c r="B24" s="11">
        <f>IF(VLOOKUP(A24,'DB Country PMI'!$A:$W,MATCH($A$1,'DB Country PMI'!$A$1:$W$1,),)=0,#N/A,VLOOKUP(A24,'DB Country PMI'!$A:$W,MATCH($A$1,'DB Country PMI'!$A$1:$W$1,),))</f>
        <v>45.2</v>
      </c>
      <c r="C24" s="14">
        <f>Table13468113456[[#This Row],[PMI]]-B23</f>
        <v>2.1000000000000014</v>
      </c>
    </row>
    <row r="25" spans="1:3" x14ac:dyDescent="0.2">
      <c r="A25" s="8">
        <v>39845</v>
      </c>
      <c r="B25" s="11">
        <f>IF(VLOOKUP(A25,'DB Country PMI'!$A:$W,MATCH($A$1,'DB Country PMI'!$A$1:$W$1,),)=0,#N/A,VLOOKUP(A25,'DB Country PMI'!$A:$W,MATCH($A$1,'DB Country PMI'!$A$1:$W$1,),))</f>
        <v>41.3</v>
      </c>
      <c r="C25" s="14">
        <f>Table13468113456[[#This Row],[PMI]]-B24</f>
        <v>-3.9000000000000057</v>
      </c>
    </row>
    <row r="26" spans="1:3" x14ac:dyDescent="0.2">
      <c r="A26" s="8">
        <v>39873</v>
      </c>
      <c r="B26" s="11">
        <f>IF(VLOOKUP(A26,'DB Country PMI'!$A:$W,MATCH($A$1,'DB Country PMI'!$A$1:$W$1,),)=0,#N/A,VLOOKUP(A26,'DB Country PMI'!$A:$W,MATCH($A$1,'DB Country PMI'!$A$1:$W$1,),))</f>
        <v>42.3</v>
      </c>
      <c r="C26" s="14">
        <f>Table13468113456[[#This Row],[PMI]]-B25</f>
        <v>1</v>
      </c>
    </row>
    <row r="27" spans="1:3" x14ac:dyDescent="0.2">
      <c r="A27" s="8">
        <v>39904</v>
      </c>
      <c r="B27" s="11">
        <f>IF(VLOOKUP(A27,'DB Country PMI'!$A:$W,MATCH($A$1,'DB Country PMI'!$A$1:$W$1,),)=0,#N/A,VLOOKUP(A27,'DB Country PMI'!$A:$W,MATCH($A$1,'DB Country PMI'!$A$1:$W$1,),))</f>
        <v>43.8</v>
      </c>
      <c r="C27" s="14">
        <f>Table13468113456[[#This Row],[PMI]]-B26</f>
        <v>1.5</v>
      </c>
    </row>
    <row r="28" spans="1:3" x14ac:dyDescent="0.2">
      <c r="A28" s="8">
        <v>39934</v>
      </c>
      <c r="B28" s="11">
        <f>IF(VLOOKUP(A28,'DB Country PMI'!$A:$W,MATCH($A$1,'DB Country PMI'!$A$1:$W$1,),)=0,#N/A,VLOOKUP(A28,'DB Country PMI'!$A:$W,MATCH($A$1,'DB Country PMI'!$A$1:$W$1,),))</f>
        <v>45.2</v>
      </c>
      <c r="C28" s="14">
        <f>Table13468113456[[#This Row],[PMI]]-B27</f>
        <v>1.4000000000000057</v>
      </c>
    </row>
    <row r="29" spans="1:3" x14ac:dyDescent="0.2">
      <c r="A29" s="8">
        <v>39965</v>
      </c>
      <c r="B29" s="11">
        <f>IF(VLOOKUP(A29,'DB Country PMI'!$A:$W,MATCH($A$1,'DB Country PMI'!$A$1:$W$1,),)=0,#N/A,VLOOKUP(A29,'DB Country PMI'!$A:$W,MATCH($A$1,'DB Country PMI'!$A$1:$W$1,),))</f>
        <v>45.2</v>
      </c>
      <c r="C29" s="14">
        <f>Table13468113456[[#This Row],[PMI]]-B28</f>
        <v>0</v>
      </c>
    </row>
    <row r="30" spans="1:3" x14ac:dyDescent="0.2">
      <c r="A30" s="8">
        <v>39995</v>
      </c>
      <c r="B30" s="11">
        <f>IF(VLOOKUP(A30,'DB Country PMI'!$A:$W,MATCH($A$1,'DB Country PMI'!$A$1:$W$1,),)=0,#N/A,VLOOKUP(A30,'DB Country PMI'!$A:$W,MATCH($A$1,'DB Country PMI'!$A$1:$W$1,),))</f>
        <v>48.1</v>
      </c>
      <c r="C30" s="14">
        <f>Table13468113456[[#This Row],[PMI]]-B29</f>
        <v>2.8999999999999986</v>
      </c>
    </row>
    <row r="31" spans="1:3" x14ac:dyDescent="0.2">
      <c r="A31" s="8">
        <v>40026</v>
      </c>
      <c r="B31" s="11">
        <f>IF(VLOOKUP(A31,'DB Country PMI'!$A:$W,MATCH($A$1,'DB Country PMI'!$A$1:$W$1,),)=0,#N/A,VLOOKUP(A31,'DB Country PMI'!$A:$W,MATCH($A$1,'DB Country PMI'!$A$1:$W$1,),))</f>
        <v>53.8</v>
      </c>
      <c r="C31" s="14">
        <f>Table13468113456[[#This Row],[PMI]]-B30</f>
        <v>5.6999999999999957</v>
      </c>
    </row>
    <row r="32" spans="1:3" x14ac:dyDescent="0.2">
      <c r="A32" s="8">
        <v>40057</v>
      </c>
      <c r="B32" s="11">
        <f>IF(VLOOKUP(A32,'DB Country PMI'!$A:$W,MATCH($A$1,'DB Country PMI'!$A$1:$W$1,),)=0,#N/A,VLOOKUP(A32,'DB Country PMI'!$A:$W,MATCH($A$1,'DB Country PMI'!$A$1:$W$1,),))</f>
        <v>52.2</v>
      </c>
      <c r="C32" s="14">
        <f>Table13468113456[[#This Row],[PMI]]-B31</f>
        <v>-1.5999999999999943</v>
      </c>
    </row>
    <row r="33" spans="1:3" x14ac:dyDescent="0.2">
      <c r="A33" s="8">
        <v>40087</v>
      </c>
      <c r="B33" s="11">
        <f>IF(VLOOKUP(A33,'DB Country PMI'!$A:$W,MATCH($A$1,'DB Country PMI'!$A$1:$W$1,),)=0,#N/A,VLOOKUP(A33,'DB Country PMI'!$A:$W,MATCH($A$1,'DB Country PMI'!$A$1:$W$1,),))</f>
        <v>50.7</v>
      </c>
      <c r="C33" s="14">
        <f>Table13468113456[[#This Row],[PMI]]-B32</f>
        <v>-1.5</v>
      </c>
    </row>
    <row r="34" spans="1:3" x14ac:dyDescent="0.2">
      <c r="A34" s="8">
        <v>40118</v>
      </c>
      <c r="B34" s="11">
        <f>IF(VLOOKUP(A34,'DB Country PMI'!$A:$W,MATCH($A$1,'DB Country PMI'!$A$1:$W$1,),)=0,#N/A,VLOOKUP(A34,'DB Country PMI'!$A:$W,MATCH($A$1,'DB Country PMI'!$A$1:$W$1,),))</f>
        <v>51.4</v>
      </c>
      <c r="C34" s="14">
        <f>Table13468113456[[#This Row],[PMI]]-B33</f>
        <v>0.69999999999999574</v>
      </c>
    </row>
    <row r="35" spans="1:3" x14ac:dyDescent="0.2">
      <c r="A35" s="8">
        <v>40148</v>
      </c>
      <c r="B35" s="11">
        <f>IF(VLOOKUP(A35,'DB Country PMI'!$A:$W,MATCH($A$1,'DB Country PMI'!$A$1:$W$1,),)=0,#N/A,VLOOKUP(A35,'DB Country PMI'!$A:$W,MATCH($A$1,'DB Country PMI'!$A$1:$W$1,),))</f>
        <v>52.1</v>
      </c>
      <c r="C35" s="14">
        <f>Table13468113456[[#This Row],[PMI]]-B34</f>
        <v>0.70000000000000284</v>
      </c>
    </row>
    <row r="36" spans="1:3" x14ac:dyDescent="0.2">
      <c r="A36" s="8">
        <v>40179</v>
      </c>
      <c r="B36" s="11">
        <f>IF(VLOOKUP(A36,'DB Country PMI'!$A:$W,MATCH($A$1,'DB Country PMI'!$A$1:$W$1,),)=0,#N/A,VLOOKUP(A36,'DB Country PMI'!$A:$W,MATCH($A$1,'DB Country PMI'!$A$1:$W$1,),))</f>
        <v>52.2</v>
      </c>
      <c r="C36" s="14">
        <f>Table13468113456[[#This Row],[PMI]]-B35</f>
        <v>0.10000000000000142</v>
      </c>
    </row>
    <row r="37" spans="1:3" x14ac:dyDescent="0.2">
      <c r="A37" s="8">
        <v>40210</v>
      </c>
      <c r="B37" s="11">
        <f>IF(VLOOKUP(A37,'DB Country PMI'!$A:$W,MATCH($A$1,'DB Country PMI'!$A$1:$W$1,),)=0,#N/A,VLOOKUP(A37,'DB Country PMI'!$A:$W,MATCH($A$1,'DB Country PMI'!$A$1:$W$1,),))</f>
        <v>51.9</v>
      </c>
      <c r="C37" s="14">
        <f>Table13468113456[[#This Row],[PMI]]-B36</f>
        <v>-0.30000000000000426</v>
      </c>
    </row>
    <row r="38" spans="1:3" x14ac:dyDescent="0.2">
      <c r="A38" s="8">
        <v>40238</v>
      </c>
      <c r="B38" s="11">
        <f>IF(VLOOKUP(A38,'DB Country PMI'!$A:$W,MATCH($A$1,'DB Country PMI'!$A$1:$W$1,),)=0,#N/A,VLOOKUP(A38,'DB Country PMI'!$A:$W,MATCH($A$1,'DB Country PMI'!$A$1:$W$1,),))</f>
        <v>54.9</v>
      </c>
      <c r="C38" s="14">
        <f>Table13468113456[[#This Row],[PMI]]-B37</f>
        <v>3</v>
      </c>
    </row>
    <row r="39" spans="1:3" x14ac:dyDescent="0.2">
      <c r="A39" s="8">
        <v>40269</v>
      </c>
      <c r="B39" s="11">
        <f>IF(VLOOKUP(A39,'DB Country PMI'!$A:$W,MATCH($A$1,'DB Country PMI'!$A$1:$W$1,),)=0,#N/A,VLOOKUP(A39,'DB Country PMI'!$A:$W,MATCH($A$1,'DB Country PMI'!$A$1:$W$1,),))</f>
        <v>53.7</v>
      </c>
      <c r="C39" s="14">
        <f>Table13468113456[[#This Row],[PMI]]-B38</f>
        <v>-1.1999999999999957</v>
      </c>
    </row>
    <row r="40" spans="1:3" x14ac:dyDescent="0.2">
      <c r="A40" s="8">
        <v>40299</v>
      </c>
      <c r="B40" s="11">
        <f>IF(VLOOKUP(A40,'DB Country PMI'!$A:$W,MATCH($A$1,'DB Country PMI'!$A$1:$W$1,),)=0,#N/A,VLOOKUP(A40,'DB Country PMI'!$A:$W,MATCH($A$1,'DB Country PMI'!$A$1:$W$1,),))</f>
        <v>54.8</v>
      </c>
      <c r="C40" s="14">
        <f>Table13468113456[[#This Row],[PMI]]-B39</f>
        <v>1.0999999999999943</v>
      </c>
    </row>
    <row r="41" spans="1:3" x14ac:dyDescent="0.2">
      <c r="A41" s="8">
        <v>40330</v>
      </c>
      <c r="B41" s="11">
        <f>IF(VLOOKUP(A41,'DB Country PMI'!$A:$W,MATCH($A$1,'DB Country PMI'!$A$1:$W$1,),)=0,#N/A,VLOOKUP(A41,'DB Country PMI'!$A:$W,MATCH($A$1,'DB Country PMI'!$A$1:$W$1,),))</f>
        <v>54.8</v>
      </c>
      <c r="C41" s="14">
        <f>Table13468113456[[#This Row],[PMI]]-B40</f>
        <v>0</v>
      </c>
    </row>
    <row r="42" spans="1:3" x14ac:dyDescent="0.2">
      <c r="A42" s="8">
        <v>40360</v>
      </c>
      <c r="B42" s="11">
        <f>IF(VLOOKUP(A42,'DB Country PMI'!$A:$W,MATCH($A$1,'DB Country PMI'!$A$1:$W$1,),)=0,#N/A,VLOOKUP(A42,'DB Country PMI'!$A:$W,MATCH($A$1,'DB Country PMI'!$A$1:$W$1,),))</f>
        <v>56.5</v>
      </c>
      <c r="C42" s="14">
        <f>Table13468113456[[#This Row],[PMI]]-B41</f>
        <v>1.7000000000000028</v>
      </c>
    </row>
    <row r="43" spans="1:3" x14ac:dyDescent="0.2">
      <c r="A43" s="8">
        <v>40391</v>
      </c>
      <c r="B43" s="11">
        <f>IF(VLOOKUP(A43,'DB Country PMI'!$A:$W,MATCH($A$1,'DB Country PMI'!$A$1:$W$1,),)=0,#N/A,VLOOKUP(A43,'DB Country PMI'!$A:$W,MATCH($A$1,'DB Country PMI'!$A$1:$W$1,),))</f>
        <v>57.2</v>
      </c>
      <c r="C43" s="14">
        <f>Table13468113456[[#This Row],[PMI]]-B42</f>
        <v>0.70000000000000284</v>
      </c>
    </row>
    <row r="44" spans="1:3" x14ac:dyDescent="0.2">
      <c r="A44" s="8">
        <v>40422</v>
      </c>
      <c r="B44" s="11">
        <f>IF(VLOOKUP(A44,'DB Country PMI'!$A:$W,MATCH($A$1,'DB Country PMI'!$A$1:$W$1,),)=0,#N/A,VLOOKUP(A44,'DB Country PMI'!$A:$W,MATCH($A$1,'DB Country PMI'!$A$1:$W$1,),))</f>
        <v>54.9</v>
      </c>
      <c r="C44" s="14">
        <f>Table13468113456[[#This Row],[PMI]]-B43</f>
        <v>-2.3000000000000043</v>
      </c>
    </row>
    <row r="45" spans="1:3" x14ac:dyDescent="0.2">
      <c r="A45" s="8">
        <v>40452</v>
      </c>
      <c r="B45" s="11">
        <f>IF(VLOOKUP(A45,'DB Country PMI'!$A:$W,MATCH($A$1,'DB Country PMI'!$A$1:$W$1,),)=0,#N/A,VLOOKUP(A45,'DB Country PMI'!$A:$W,MATCH($A$1,'DB Country PMI'!$A$1:$W$1,),))</f>
        <v>56</v>
      </c>
      <c r="C45" s="14">
        <f>Table13468113456[[#This Row],[PMI]]-B44</f>
        <v>1.1000000000000014</v>
      </c>
    </row>
    <row r="46" spans="1:3" x14ac:dyDescent="0.2">
      <c r="A46" s="8">
        <v>40483</v>
      </c>
      <c r="B46" s="11">
        <f>IF(VLOOKUP(A46,'DB Country PMI'!$A:$W,MATCH($A$1,'DB Country PMI'!$A$1:$W$1,),)=0,#N/A,VLOOKUP(A46,'DB Country PMI'!$A:$W,MATCH($A$1,'DB Country PMI'!$A$1:$W$1,),))</f>
        <v>59.2</v>
      </c>
      <c r="C46" s="14">
        <f>Table13468113456[[#This Row],[PMI]]-B45</f>
        <v>3.2000000000000028</v>
      </c>
    </row>
    <row r="47" spans="1:3" x14ac:dyDescent="0.2">
      <c r="A47" s="8">
        <v>40513</v>
      </c>
      <c r="B47" s="11">
        <f>IF(VLOOKUP(A47,'DB Country PMI'!$A:$W,MATCH($A$1,'DB Country PMI'!$A$1:$W$1,),)=0,#N/A,VLOOKUP(A47,'DB Country PMI'!$A:$W,MATCH($A$1,'DB Country PMI'!$A$1:$W$1,),))</f>
        <v>59.5</v>
      </c>
      <c r="C47" s="14">
        <f>Table13468113456[[#This Row],[PMI]]-B46</f>
        <v>0.29999999999999716</v>
      </c>
    </row>
    <row r="48" spans="1:3" x14ac:dyDescent="0.2">
      <c r="A48" s="8">
        <v>40544</v>
      </c>
      <c r="B48" s="11">
        <f>IF(VLOOKUP(A48,'DB Country PMI'!$A:$W,MATCH($A$1,'DB Country PMI'!$A$1:$W$1,),)=0,#N/A,VLOOKUP(A48,'DB Country PMI'!$A:$W,MATCH($A$1,'DB Country PMI'!$A$1:$W$1,),))</f>
        <v>60.3</v>
      </c>
      <c r="C48" s="14">
        <f>Table13468113456[[#This Row],[PMI]]-B47</f>
        <v>0.79999999999999716</v>
      </c>
    </row>
    <row r="49" spans="1:3" x14ac:dyDescent="0.2">
      <c r="A49" s="8">
        <v>40575</v>
      </c>
      <c r="B49" s="11">
        <f>IF(VLOOKUP(A49,'DB Country PMI'!$A:$W,MATCH($A$1,'DB Country PMI'!$A$1:$W$1,),)=0,#N/A,VLOOKUP(A49,'DB Country PMI'!$A:$W,MATCH($A$1,'DB Country PMI'!$A$1:$W$1,),))</f>
        <v>58.6</v>
      </c>
      <c r="C49" s="14">
        <f>Table13468113456[[#This Row],[PMI]]-B48</f>
        <v>-1.6999999999999957</v>
      </c>
    </row>
    <row r="50" spans="1:3" x14ac:dyDescent="0.2">
      <c r="A50" s="8">
        <v>40603</v>
      </c>
      <c r="B50" s="11">
        <f>IF(VLOOKUP(A50,'DB Country PMI'!$A:$W,MATCH($A$1,'DB Country PMI'!$A$1:$W$1,),)=0,#N/A,VLOOKUP(A50,'DB Country PMI'!$A:$W,MATCH($A$1,'DB Country PMI'!$A$1:$W$1,),))</f>
        <v>60.1</v>
      </c>
      <c r="C50" s="14">
        <f>Table13468113456[[#This Row],[PMI]]-B49</f>
        <v>1.5</v>
      </c>
    </row>
    <row r="51" spans="1:3" x14ac:dyDescent="0.2">
      <c r="A51" s="8">
        <v>40634</v>
      </c>
      <c r="B51" s="11">
        <f>IF(VLOOKUP(A51,'DB Country PMI'!$A:$W,MATCH($A$1,'DB Country PMI'!$A$1:$W$1,),)=0,#N/A,VLOOKUP(A51,'DB Country PMI'!$A:$W,MATCH($A$1,'DB Country PMI'!$A$1:$W$1,),))</f>
        <v>56.8</v>
      </c>
      <c r="C51" s="14">
        <f>Table13468113456[[#This Row],[PMI]]-B50</f>
        <v>-3.3000000000000043</v>
      </c>
    </row>
    <row r="52" spans="1:3" x14ac:dyDescent="0.2">
      <c r="A52" s="8">
        <v>40664</v>
      </c>
      <c r="B52" s="11">
        <f>IF(VLOOKUP(A52,'DB Country PMI'!$A:$W,MATCH($A$1,'DB Country PMI'!$A$1:$W$1,),)=0,#N/A,VLOOKUP(A52,'DB Country PMI'!$A:$W,MATCH($A$1,'DB Country PMI'!$A$1:$W$1,),))</f>
        <v>56.1</v>
      </c>
      <c r="C52" s="14">
        <f>Table13468113456[[#This Row],[PMI]]-B51</f>
        <v>-0.69999999999999574</v>
      </c>
    </row>
    <row r="53" spans="1:3" x14ac:dyDescent="0.2">
      <c r="A53" s="8">
        <v>40695</v>
      </c>
      <c r="B53" s="11">
        <f>IF(VLOOKUP(A53,'DB Country PMI'!$A:$W,MATCH($A$1,'DB Country PMI'!$A$1:$W$1,),)=0,#N/A,VLOOKUP(A53,'DB Country PMI'!$A:$W,MATCH($A$1,'DB Country PMI'!$A$1:$W$1,),))</f>
        <v>56.7</v>
      </c>
      <c r="C53" s="14">
        <f>Table13468113456[[#This Row],[PMI]]-B52</f>
        <v>0.60000000000000142</v>
      </c>
    </row>
    <row r="54" spans="1:3" x14ac:dyDescent="0.2">
      <c r="A54" s="8">
        <v>40725</v>
      </c>
      <c r="B54" s="11">
        <f>IF(VLOOKUP(A54,'DB Country PMI'!$A:$W,MATCH($A$1,'DB Country PMI'!$A$1:$W$1,),)=0,#N/A,VLOOKUP(A54,'DB Country PMI'!$A:$W,MATCH($A$1,'DB Country PMI'!$A$1:$W$1,),))</f>
        <v>52.9</v>
      </c>
      <c r="C54" s="14">
        <f>Table13468113456[[#This Row],[PMI]]-B53</f>
        <v>-3.8000000000000043</v>
      </c>
    </row>
    <row r="55" spans="1:3" x14ac:dyDescent="0.2">
      <c r="A55" s="8">
        <v>40756</v>
      </c>
      <c r="B55" s="11">
        <f>IF(VLOOKUP(A55,'DB Country PMI'!$A:$W,MATCH($A$1,'DB Country PMI'!$A$1:$W$1,),)=0,#N/A,VLOOKUP(A55,'DB Country PMI'!$A:$W,MATCH($A$1,'DB Country PMI'!$A$1:$W$1,),))</f>
        <v>51.1</v>
      </c>
      <c r="C55" s="14">
        <f>Table13468113456[[#This Row],[PMI]]-B54</f>
        <v>-1.7999999999999972</v>
      </c>
    </row>
    <row r="56" spans="1:3" x14ac:dyDescent="0.2">
      <c r="A56" s="8">
        <v>40787</v>
      </c>
      <c r="B56" s="11">
        <f>IF(VLOOKUP(A56,'DB Country PMI'!$A:$W,MATCH($A$1,'DB Country PMI'!$A$1:$W$1,),)=0,#N/A,VLOOKUP(A56,'DB Country PMI'!$A:$W,MATCH($A$1,'DB Country PMI'!$A$1:$W$1,),))</f>
        <v>49.7</v>
      </c>
      <c r="C56" s="14">
        <f>Table13468113456[[#This Row],[PMI]]-B55</f>
        <v>-1.3999999999999986</v>
      </c>
    </row>
    <row r="57" spans="1:3" x14ac:dyDescent="0.2">
      <c r="A57" s="8">
        <v>40817</v>
      </c>
      <c r="B57" s="11">
        <f>IF(VLOOKUP(A57,'DB Country PMI'!$A:$W,MATCH($A$1,'DB Country PMI'!$A$1:$W$1,),)=0,#N/A,VLOOKUP(A57,'DB Country PMI'!$A:$W,MATCH($A$1,'DB Country PMI'!$A$1:$W$1,),))</f>
        <v>50.6</v>
      </c>
      <c r="C57" s="14">
        <f>Table13468113456[[#This Row],[PMI]]-B56</f>
        <v>0.89999999999999858</v>
      </c>
    </row>
    <row r="58" spans="1:3" x14ac:dyDescent="0.2">
      <c r="A58" s="8">
        <v>40848</v>
      </c>
      <c r="B58" s="11">
        <f>IF(VLOOKUP(A58,'DB Country PMI'!$A:$W,MATCH($A$1,'DB Country PMI'!$A$1:$W$1,),)=0,#N/A,VLOOKUP(A58,'DB Country PMI'!$A:$W,MATCH($A$1,'DB Country PMI'!$A$1:$W$1,),))</f>
        <v>50.3</v>
      </c>
      <c r="C58" s="14">
        <f>Table13468113456[[#This Row],[PMI]]-B57</f>
        <v>-0.30000000000000426</v>
      </c>
    </row>
    <row r="59" spans="1:3" x14ac:dyDescent="0.2">
      <c r="A59" s="8">
        <v>40878</v>
      </c>
      <c r="B59" s="11">
        <f>IF(VLOOKUP(A59,'DB Country PMI'!$A:$W,MATCH($A$1,'DB Country PMI'!$A$1:$W$1,),)=0,#N/A,VLOOKUP(A59,'DB Country PMI'!$A:$W,MATCH($A$1,'DB Country PMI'!$A$1:$W$1,),))</f>
        <v>52.4</v>
      </c>
      <c r="C59" s="14">
        <f>Table13468113456[[#This Row],[PMI]]-B58</f>
        <v>2.1000000000000014</v>
      </c>
    </row>
    <row r="60" spans="1:3" x14ac:dyDescent="0.2">
      <c r="A60" s="8">
        <v>40909</v>
      </c>
      <c r="B60" s="11">
        <f>IF(VLOOKUP(A60,'DB Country PMI'!$A:$W,MATCH($A$1,'DB Country PMI'!$A$1:$W$1,),)=0,#N/A,VLOOKUP(A60,'DB Country PMI'!$A:$W,MATCH($A$1,'DB Country PMI'!$A$1:$W$1,),))</f>
        <v>53.7</v>
      </c>
      <c r="C60" s="14">
        <f>Table13468113456[[#This Row],[PMI]]-B59</f>
        <v>1.3000000000000043</v>
      </c>
    </row>
    <row r="61" spans="1:3" x14ac:dyDescent="0.2">
      <c r="A61" s="8">
        <v>40940</v>
      </c>
      <c r="B61" s="11">
        <f>IF(VLOOKUP(A61,'DB Country PMI'!$A:$W,MATCH($A$1,'DB Country PMI'!$A$1:$W$1,),)=0,#N/A,VLOOKUP(A61,'DB Country PMI'!$A:$W,MATCH($A$1,'DB Country PMI'!$A$1:$W$1,),))</f>
        <v>52.8</v>
      </c>
      <c r="C61" s="14">
        <f>Table13468113456[[#This Row],[PMI]]-B60</f>
        <v>-0.90000000000000568</v>
      </c>
    </row>
    <row r="62" spans="1:3" x14ac:dyDescent="0.2">
      <c r="A62" s="8">
        <v>40969</v>
      </c>
      <c r="B62" s="11">
        <f>IF(VLOOKUP(A62,'DB Country PMI'!$A:$W,MATCH($A$1,'DB Country PMI'!$A$1:$W$1,),)=0,#N/A,VLOOKUP(A62,'DB Country PMI'!$A:$W,MATCH($A$1,'DB Country PMI'!$A$1:$W$1,),))</f>
        <v>52.1</v>
      </c>
      <c r="C62" s="14">
        <f>Table13468113456[[#This Row],[PMI]]-B61</f>
        <v>-0.69999999999999574</v>
      </c>
    </row>
    <row r="63" spans="1:3" x14ac:dyDescent="0.2">
      <c r="A63" s="8">
        <v>41000</v>
      </c>
      <c r="B63" s="11">
        <f>IF(VLOOKUP(A63,'DB Country PMI'!$A:$W,MATCH($A$1,'DB Country PMI'!$A$1:$W$1,),)=0,#N/A,VLOOKUP(A63,'DB Country PMI'!$A:$W,MATCH($A$1,'DB Country PMI'!$A$1:$W$1,),))</f>
        <v>52.2</v>
      </c>
      <c r="C63" s="14">
        <f>Table13468113456[[#This Row],[PMI]]-B62</f>
        <v>0.10000000000000142</v>
      </c>
    </row>
    <row r="64" spans="1:3" x14ac:dyDescent="0.2">
      <c r="A64" s="8">
        <v>41030</v>
      </c>
      <c r="B64" s="11">
        <f>IF(VLOOKUP(A64,'DB Country PMI'!$A:$W,MATCH($A$1,'DB Country PMI'!$A$1:$W$1,),)=0,#N/A,VLOOKUP(A64,'DB Country PMI'!$A:$W,MATCH($A$1,'DB Country PMI'!$A$1:$W$1,),))</f>
        <v>51.8</v>
      </c>
      <c r="C64" s="14">
        <f>Table13468113456[[#This Row],[PMI]]-B63</f>
        <v>-0.40000000000000568</v>
      </c>
    </row>
    <row r="65" spans="1:3" x14ac:dyDescent="0.2">
      <c r="A65" s="8">
        <v>41061</v>
      </c>
      <c r="B65" s="11">
        <f>IF(VLOOKUP(A65,'DB Country PMI'!$A:$W,MATCH($A$1,'DB Country PMI'!$A$1:$W$1,),)=0,#N/A,VLOOKUP(A65,'DB Country PMI'!$A:$W,MATCH($A$1,'DB Country PMI'!$A$1:$W$1,),))</f>
        <v>49.9</v>
      </c>
      <c r="C65" s="14">
        <f>Table13468113456[[#This Row],[PMI]]-B64</f>
        <v>-1.8999999999999986</v>
      </c>
    </row>
    <row r="66" spans="1:3" x14ac:dyDescent="0.2">
      <c r="A66" s="8">
        <v>41091</v>
      </c>
      <c r="B66" s="11">
        <f>IF(VLOOKUP(A66,'DB Country PMI'!$A:$W,MATCH($A$1,'DB Country PMI'!$A$1:$W$1,),)=0,#N/A,VLOOKUP(A66,'DB Country PMI'!$A:$W,MATCH($A$1,'DB Country PMI'!$A$1:$W$1,),))</f>
        <v>50.3</v>
      </c>
      <c r="C66" s="14">
        <f>Table13468113456[[#This Row],[PMI]]-B65</f>
        <v>0.39999999999999858</v>
      </c>
    </row>
    <row r="67" spans="1:3" x14ac:dyDescent="0.2">
      <c r="A67" s="8">
        <v>41122</v>
      </c>
      <c r="B67" s="11">
        <f>IF(VLOOKUP(A67,'DB Country PMI'!$A:$W,MATCH($A$1,'DB Country PMI'!$A$1:$W$1,),)=0,#N/A,VLOOKUP(A67,'DB Country PMI'!$A:$W,MATCH($A$1,'DB Country PMI'!$A$1:$W$1,),))</f>
        <v>48.3</v>
      </c>
      <c r="C67" s="14">
        <f>Table13468113456[[#This Row],[PMI]]-B66</f>
        <v>-2</v>
      </c>
    </row>
    <row r="68" spans="1:3" x14ac:dyDescent="0.2">
      <c r="A68" s="8">
        <v>41153</v>
      </c>
      <c r="B68" s="11">
        <f>IF(VLOOKUP(A68,'DB Country PMI'!$A:$W,MATCH($A$1,'DB Country PMI'!$A$1:$W$1,),)=0,#N/A,VLOOKUP(A68,'DB Country PMI'!$A:$W,MATCH($A$1,'DB Country PMI'!$A$1:$W$1,),))</f>
        <v>49.7</v>
      </c>
      <c r="C68" s="14">
        <f>Table13468113456[[#This Row],[PMI]]-B67</f>
        <v>1.4000000000000057</v>
      </c>
    </row>
    <row r="69" spans="1:3" x14ac:dyDescent="0.2">
      <c r="A69" s="8">
        <v>41183</v>
      </c>
      <c r="B69" s="11">
        <f>IF(VLOOKUP(A69,'DB Country PMI'!$A:$W,MATCH($A$1,'DB Country PMI'!$A$1:$W$1,),)=0,#N/A,VLOOKUP(A69,'DB Country PMI'!$A:$W,MATCH($A$1,'DB Country PMI'!$A$1:$W$1,),))</f>
        <v>48.4</v>
      </c>
      <c r="C69" s="14">
        <f>Table13468113456[[#This Row],[PMI]]-B68</f>
        <v>-1.3000000000000043</v>
      </c>
    </row>
    <row r="70" spans="1:3" x14ac:dyDescent="0.2">
      <c r="A70" s="8">
        <v>41214</v>
      </c>
      <c r="B70" s="11">
        <f>IF(VLOOKUP(A70,'DB Country PMI'!$A:$W,MATCH($A$1,'DB Country PMI'!$A$1:$W$1,),)=0,#N/A,VLOOKUP(A70,'DB Country PMI'!$A:$W,MATCH($A$1,'DB Country PMI'!$A$1:$W$1,),))</f>
        <v>49.7</v>
      </c>
      <c r="C70" s="14">
        <f>Table13468113456[[#This Row],[PMI]]-B69</f>
        <v>1.3000000000000043</v>
      </c>
    </row>
    <row r="71" spans="1:3" x14ac:dyDescent="0.2">
      <c r="A71" s="8">
        <v>41244</v>
      </c>
      <c r="B71" s="11">
        <f>IF(VLOOKUP(A71,'DB Country PMI'!$A:$W,MATCH($A$1,'DB Country PMI'!$A$1:$W$1,),)=0,#N/A,VLOOKUP(A71,'DB Country PMI'!$A:$W,MATCH($A$1,'DB Country PMI'!$A$1:$W$1,),))</f>
        <v>55.7</v>
      </c>
      <c r="C71" s="14">
        <f>Table13468113456[[#This Row],[PMI]]-B70</f>
        <v>6</v>
      </c>
    </row>
    <row r="72" spans="1:3" x14ac:dyDescent="0.2">
      <c r="A72" s="8">
        <v>41275</v>
      </c>
      <c r="B72" s="11">
        <f>IF(VLOOKUP(A72,'DB Country PMI'!$A:$W,MATCH($A$1,'DB Country PMI'!$A$1:$W$1,),)=0,#N/A,VLOOKUP(A72,'DB Country PMI'!$A:$W,MATCH($A$1,'DB Country PMI'!$A$1:$W$1,),))</f>
        <v>54.7</v>
      </c>
      <c r="C72" s="14">
        <f>Table13468113456[[#This Row],[PMI]]-B71</f>
        <v>-1</v>
      </c>
    </row>
    <row r="73" spans="1:3" x14ac:dyDescent="0.2">
      <c r="A73" s="8">
        <v>41306</v>
      </c>
      <c r="B73" s="11">
        <f>IF(VLOOKUP(A73,'DB Country PMI'!$A:$W,MATCH($A$1,'DB Country PMI'!$A$1:$W$1,),)=0,#N/A,VLOOKUP(A73,'DB Country PMI'!$A:$W,MATCH($A$1,'DB Country PMI'!$A$1:$W$1,),))</f>
        <v>50.9</v>
      </c>
      <c r="C73" s="14">
        <f>Table13468113456[[#This Row],[PMI]]-B72</f>
        <v>-3.8000000000000043</v>
      </c>
    </row>
    <row r="74" spans="1:3" x14ac:dyDescent="0.2">
      <c r="A74" s="8">
        <v>41334</v>
      </c>
      <c r="B74" s="11">
        <f>IF(VLOOKUP(A74,'DB Country PMI'!$A:$W,MATCH($A$1,'DB Country PMI'!$A$1:$W$1,),)=0,#N/A,VLOOKUP(A74,'DB Country PMI'!$A:$W,MATCH($A$1,'DB Country PMI'!$A$1:$W$1,),))</f>
        <v>49.6</v>
      </c>
      <c r="C74" s="14">
        <f>Table13468113456[[#This Row],[PMI]]-B73</f>
        <v>-1.2999999999999972</v>
      </c>
    </row>
    <row r="75" spans="1:3" x14ac:dyDescent="0.2">
      <c r="A75" s="8">
        <v>41365</v>
      </c>
      <c r="B75" s="11">
        <f>IF(VLOOKUP(A75,'DB Country PMI'!$A:$W,MATCH($A$1,'DB Country PMI'!$A$1:$W$1,),)=0,#N/A,VLOOKUP(A75,'DB Country PMI'!$A:$W,MATCH($A$1,'DB Country PMI'!$A$1:$W$1,),))</f>
        <v>49.7</v>
      </c>
      <c r="C75" s="14">
        <f>Table13468113456[[#This Row],[PMI]]-B74</f>
        <v>0.10000000000000142</v>
      </c>
    </row>
    <row r="76" spans="1:3" x14ac:dyDescent="0.2">
      <c r="A76" s="8">
        <v>41395</v>
      </c>
      <c r="B76" s="11">
        <f>IF(VLOOKUP(A76,'DB Country PMI'!$A:$W,MATCH($A$1,'DB Country PMI'!$A$1:$W$1,),)=0,#N/A,VLOOKUP(A76,'DB Country PMI'!$A:$W,MATCH($A$1,'DB Country PMI'!$A$1:$W$1,),))</f>
        <v>50.4</v>
      </c>
      <c r="C76" s="14">
        <f>Table13468113456[[#This Row],[PMI]]-B75</f>
        <v>0.69999999999999574</v>
      </c>
    </row>
    <row r="77" spans="1:3" x14ac:dyDescent="0.2">
      <c r="A77" s="8">
        <v>41426</v>
      </c>
      <c r="B77" s="11">
        <f>IF(VLOOKUP(A77,'DB Country PMI'!$A:$W,MATCH($A$1,'DB Country PMI'!$A$1:$W$1,),)=0,#N/A,VLOOKUP(A77,'DB Country PMI'!$A:$W,MATCH($A$1,'DB Country PMI'!$A$1:$W$1,),))</f>
        <v>51.3</v>
      </c>
      <c r="C77" s="14">
        <f>Table13468113456[[#This Row],[PMI]]-B76</f>
        <v>0.89999999999999858</v>
      </c>
    </row>
    <row r="78" spans="1:3" x14ac:dyDescent="0.2">
      <c r="A78" s="8">
        <v>41456</v>
      </c>
      <c r="B78" s="11">
        <f>IF(VLOOKUP(A78,'DB Country PMI'!$A:$W,MATCH($A$1,'DB Country PMI'!$A$1:$W$1,),)=0,#N/A,VLOOKUP(A78,'DB Country PMI'!$A:$W,MATCH($A$1,'DB Country PMI'!$A$1:$W$1,),))</f>
        <v>52.8</v>
      </c>
      <c r="C78" s="14">
        <f>Table13468113456[[#This Row],[PMI]]-B77</f>
        <v>1.5</v>
      </c>
    </row>
    <row r="79" spans="1:3" x14ac:dyDescent="0.2">
      <c r="A79" s="8">
        <v>41487</v>
      </c>
      <c r="B79" s="11">
        <f>IF(VLOOKUP(A79,'DB Country PMI'!$A:$W,MATCH($A$1,'DB Country PMI'!$A$1:$W$1,),)=0,#N/A,VLOOKUP(A79,'DB Country PMI'!$A:$W,MATCH($A$1,'DB Country PMI'!$A$1:$W$1,),))</f>
        <v>53.7</v>
      </c>
      <c r="C79" s="14">
        <f>Table13468113456[[#This Row],[PMI]]-B78</f>
        <v>0.90000000000000568</v>
      </c>
    </row>
    <row r="80" spans="1:3" x14ac:dyDescent="0.2">
      <c r="A80" s="8">
        <v>41518</v>
      </c>
      <c r="B80" s="11">
        <f>IF(VLOOKUP(A80,'DB Country PMI'!$A:$W,MATCH($A$1,'DB Country PMI'!$A$1:$W$1,),)=0,#N/A,VLOOKUP(A80,'DB Country PMI'!$A:$W,MATCH($A$1,'DB Country PMI'!$A$1:$W$1,),))</f>
        <v>52.9</v>
      </c>
      <c r="C80" s="14">
        <f>Table13468113456[[#This Row],[PMI]]-B79</f>
        <v>-0.80000000000000426</v>
      </c>
    </row>
    <row r="81" spans="1:3" x14ac:dyDescent="0.2">
      <c r="A81" s="8">
        <v>41548</v>
      </c>
      <c r="B81" s="11">
        <f>IF(VLOOKUP(A81,'DB Country PMI'!$A:$W,MATCH($A$1,'DB Country PMI'!$A$1:$W$1,),)=0,#N/A,VLOOKUP(A81,'DB Country PMI'!$A:$W,MATCH($A$1,'DB Country PMI'!$A$1:$W$1,),))</f>
        <v>55.7</v>
      </c>
      <c r="C81" s="14">
        <f>Table13468113456[[#This Row],[PMI]]-B80</f>
        <v>2.8000000000000043</v>
      </c>
    </row>
    <row r="82" spans="1:3" x14ac:dyDescent="0.2">
      <c r="A82" s="8">
        <v>41579</v>
      </c>
      <c r="B82" s="11">
        <f>IF(VLOOKUP(A82,'DB Country PMI'!$A:$W,MATCH($A$1,'DB Country PMI'!$A$1:$W$1,),)=0,#N/A,VLOOKUP(A82,'DB Country PMI'!$A:$W,MATCH($A$1,'DB Country PMI'!$A$1:$W$1,),))</f>
        <v>53.5</v>
      </c>
      <c r="C82" s="14">
        <f>Table13468113456[[#This Row],[PMI]]-B81</f>
        <v>-2.2000000000000028</v>
      </c>
    </row>
    <row r="83" spans="1:3" x14ac:dyDescent="0.2">
      <c r="A83" s="8">
        <v>41609</v>
      </c>
      <c r="B83" s="11">
        <f>IF(VLOOKUP(A83,'DB Country PMI'!$A:$W,MATCH($A$1,'DB Country PMI'!$A$1:$W$1,),)=0,#N/A,VLOOKUP(A83,'DB Country PMI'!$A:$W,MATCH($A$1,'DB Country PMI'!$A$1:$W$1,),))</f>
        <v>53.1</v>
      </c>
      <c r="C83" s="14">
        <f>Table13468113456[[#This Row],[PMI]]-B82</f>
        <v>-0.39999999999999858</v>
      </c>
    </row>
    <row r="84" spans="1:3" x14ac:dyDescent="0.2">
      <c r="A84" s="8">
        <v>41640</v>
      </c>
      <c r="B84" s="11">
        <f>IF(VLOOKUP(A84,'DB Country PMI'!$A:$W,MATCH($A$1,'DB Country PMI'!$A$1:$W$1,),)=0,#N/A,VLOOKUP(A84,'DB Country PMI'!$A:$W,MATCH($A$1,'DB Country PMI'!$A$1:$W$1,),))</f>
        <v>55.9</v>
      </c>
      <c r="C84" s="14">
        <f>Table13468113456[[#This Row],[PMI]]-B83</f>
        <v>2.7999999999999972</v>
      </c>
    </row>
    <row r="85" spans="1:3" x14ac:dyDescent="0.2">
      <c r="A85" s="8">
        <v>41671</v>
      </c>
      <c r="B85" s="11">
        <f>IF(VLOOKUP(A85,'DB Country PMI'!$A:$W,MATCH($A$1,'DB Country PMI'!$A$1:$W$1,),)=0,#N/A,VLOOKUP(A85,'DB Country PMI'!$A:$W,MATCH($A$1,'DB Country PMI'!$A$1:$W$1,),))</f>
        <v>53</v>
      </c>
      <c r="C85" s="14">
        <f>Table13468113456[[#This Row],[PMI]]-B84</f>
        <v>-2.8999999999999986</v>
      </c>
    </row>
    <row r="86" spans="1:3" x14ac:dyDescent="0.2">
      <c r="A86" s="8">
        <v>41699</v>
      </c>
      <c r="B86" s="11">
        <f>IF(VLOOKUP(A86,'DB Country PMI'!$A:$W,MATCH($A$1,'DB Country PMI'!$A$1:$W$1,),)=0,#N/A,VLOOKUP(A86,'DB Country PMI'!$A:$W,MATCH($A$1,'DB Country PMI'!$A$1:$W$1,),))</f>
        <v>54.7</v>
      </c>
      <c r="C86" s="14">
        <f>Table13468113456[[#This Row],[PMI]]-B85</f>
        <v>1.7000000000000028</v>
      </c>
    </row>
    <row r="87" spans="1:3" x14ac:dyDescent="0.2">
      <c r="A87" s="8">
        <v>41730</v>
      </c>
      <c r="B87" s="11">
        <f>IF(VLOOKUP(A87,'DB Country PMI'!$A:$W,MATCH($A$1,'DB Country PMI'!$A$1:$W$1,),)=0,#N/A,VLOOKUP(A87,'DB Country PMI'!$A:$W,MATCH($A$1,'DB Country PMI'!$A$1:$W$1,),))</f>
        <v>56.4</v>
      </c>
      <c r="C87" s="14">
        <f>Table13468113456[[#This Row],[PMI]]-B86</f>
        <v>1.6999999999999957</v>
      </c>
    </row>
    <row r="88" spans="1:3" x14ac:dyDescent="0.2">
      <c r="A88" s="8">
        <v>41760</v>
      </c>
      <c r="B88" s="11">
        <f>IF(VLOOKUP(A88,'DB Country PMI'!$A:$W,MATCH($A$1,'DB Country PMI'!$A$1:$W$1,),)=0,#N/A,VLOOKUP(A88,'DB Country PMI'!$A:$W,MATCH($A$1,'DB Country PMI'!$A$1:$W$1,),))</f>
        <v>56</v>
      </c>
      <c r="C88" s="14">
        <f>Table13468113456[[#This Row],[PMI]]-B87</f>
        <v>-0.39999999999999858</v>
      </c>
    </row>
    <row r="89" spans="1:3" x14ac:dyDescent="0.2">
      <c r="A89" s="8">
        <v>41791</v>
      </c>
      <c r="B89" s="11">
        <f>IF(VLOOKUP(A89,'DB Country PMI'!$A:$W,MATCH($A$1,'DB Country PMI'!$A$1:$W$1,),)=0,#N/A,VLOOKUP(A89,'DB Country PMI'!$A:$W,MATCH($A$1,'DB Country PMI'!$A$1:$W$1,),))</f>
        <v>54.6</v>
      </c>
      <c r="C89" s="14">
        <f>Table13468113456[[#This Row],[PMI]]-B88</f>
        <v>-1.3999999999999986</v>
      </c>
    </row>
    <row r="90" spans="1:3" x14ac:dyDescent="0.2">
      <c r="A90" s="8">
        <v>41821</v>
      </c>
      <c r="B90" s="11">
        <f>IF(VLOOKUP(A90,'DB Country PMI'!$A:$W,MATCH($A$1,'DB Country PMI'!$A$1:$W$1,),)=0,#N/A,VLOOKUP(A90,'DB Country PMI'!$A:$W,MATCH($A$1,'DB Country PMI'!$A$1:$W$1,),))</f>
        <v>56.7</v>
      </c>
      <c r="C90" s="14">
        <f>Table13468113456[[#This Row],[PMI]]-B89</f>
        <v>2.1000000000000014</v>
      </c>
    </row>
    <row r="91" spans="1:3" x14ac:dyDescent="0.2">
      <c r="A91" s="8">
        <v>41852</v>
      </c>
      <c r="B91" s="11">
        <f>IF(VLOOKUP(A91,'DB Country PMI'!$A:$W,MATCH($A$1,'DB Country PMI'!$A$1:$W$1,),)=0,#N/A,VLOOKUP(A91,'DB Country PMI'!$A:$W,MATCH($A$1,'DB Country PMI'!$A$1:$W$1,),))</f>
        <v>54.9</v>
      </c>
      <c r="C91" s="14">
        <f>Table13468113456[[#This Row],[PMI]]-B90</f>
        <v>-1.8000000000000043</v>
      </c>
    </row>
    <row r="92" spans="1:3" x14ac:dyDescent="0.2">
      <c r="A92" s="8">
        <v>41883</v>
      </c>
      <c r="B92" s="11">
        <f>IF(VLOOKUP(A92,'DB Country PMI'!$A:$W,MATCH($A$1,'DB Country PMI'!$A$1:$W$1,),)=0,#N/A,VLOOKUP(A92,'DB Country PMI'!$A:$W,MATCH($A$1,'DB Country PMI'!$A$1:$W$1,),))</f>
        <v>55.7</v>
      </c>
      <c r="C92" s="14">
        <f>Table13468113456[[#This Row],[PMI]]-B91</f>
        <v>0.80000000000000426</v>
      </c>
    </row>
    <row r="93" spans="1:3" x14ac:dyDescent="0.2">
      <c r="A93" s="8">
        <v>41913</v>
      </c>
      <c r="B93" s="11">
        <f>IF(VLOOKUP(A93,'DB Country PMI'!$A:$W,MATCH($A$1,'DB Country PMI'!$A$1:$W$1,),)=0,#N/A,VLOOKUP(A93,'DB Country PMI'!$A:$W,MATCH($A$1,'DB Country PMI'!$A$1:$W$1,),))</f>
        <v>54.4</v>
      </c>
      <c r="C93" s="14">
        <f>Table13468113456[[#This Row],[PMI]]-B92</f>
        <v>-1.3000000000000043</v>
      </c>
    </row>
    <row r="94" spans="1:3" x14ac:dyDescent="0.2">
      <c r="A94" s="8">
        <v>41944</v>
      </c>
      <c r="B94" s="11">
        <f>IF(VLOOKUP(A94,'DB Country PMI'!$A:$W,MATCH($A$1,'DB Country PMI'!$A$1:$W$1,),)=0,#N/A,VLOOKUP(A94,'DB Country PMI'!$A:$W,MATCH($A$1,'DB Country PMI'!$A$1:$W$1,),))</f>
        <v>52.1</v>
      </c>
      <c r="C94" s="14">
        <f>Table13468113456[[#This Row],[PMI]]-B93</f>
        <v>-2.2999999999999972</v>
      </c>
    </row>
    <row r="95" spans="1:3" x14ac:dyDescent="0.2">
      <c r="A95" s="8">
        <v>41974</v>
      </c>
      <c r="B95" s="11">
        <f>IF(VLOOKUP(A95,'DB Country PMI'!$A:$W,MATCH($A$1,'DB Country PMI'!$A$1:$W$1,),)=0,#N/A,VLOOKUP(A95,'DB Country PMI'!$A:$W,MATCH($A$1,'DB Country PMI'!$A$1:$W$1,),))</f>
        <v>52.1</v>
      </c>
      <c r="C95" s="14">
        <f>Table13468113456[[#This Row],[PMI]]-B94</f>
        <v>0</v>
      </c>
    </row>
    <row r="96" spans="1:3" x14ac:dyDescent="0.2">
      <c r="A96" s="8">
        <v>42005</v>
      </c>
      <c r="B96" s="11">
        <f>IF(VLOOKUP(A96,'DB Country PMI'!$A:$W,MATCH($A$1,'DB Country PMI'!$A$1:$W$1,),)=0,#N/A,VLOOKUP(A96,'DB Country PMI'!$A:$W,MATCH($A$1,'DB Country PMI'!$A$1:$W$1,),))</f>
        <v>54</v>
      </c>
      <c r="C96" s="14">
        <f>Table13468113456[[#This Row],[PMI]]-B95</f>
        <v>1.8999999999999986</v>
      </c>
    </row>
    <row r="97" spans="1:3" x14ac:dyDescent="0.2">
      <c r="A97" s="8">
        <v>42036</v>
      </c>
      <c r="B97" s="11">
        <f>IF(VLOOKUP(A97,'DB Country PMI'!$A:$W,MATCH($A$1,'DB Country PMI'!$A$1:$W$1,),)=0,#N/A,VLOOKUP(A97,'DB Country PMI'!$A:$W,MATCH($A$1,'DB Country PMI'!$A$1:$W$1,),))</f>
        <v>54.7</v>
      </c>
      <c r="C97" s="14">
        <f>Table13468113456[[#This Row],[PMI]]-B96</f>
        <v>0.70000000000000284</v>
      </c>
    </row>
    <row r="98" spans="1:3" x14ac:dyDescent="0.2">
      <c r="A98" s="8">
        <v>42064</v>
      </c>
      <c r="B98" s="11">
        <f>IF(VLOOKUP(A98,'DB Country PMI'!$A:$W,MATCH($A$1,'DB Country PMI'!$A$1:$W$1,),)=0,#N/A,VLOOKUP(A98,'DB Country PMI'!$A:$W,MATCH($A$1,'DB Country PMI'!$A$1:$W$1,),))</f>
        <v>55.4</v>
      </c>
      <c r="C98" s="14">
        <f>Table13468113456[[#This Row],[PMI]]-B97</f>
        <v>0.69999999999999574</v>
      </c>
    </row>
    <row r="99" spans="1:3" x14ac:dyDescent="0.2">
      <c r="A99" s="8">
        <v>42095</v>
      </c>
      <c r="B99" s="11">
        <f>IF(VLOOKUP(A99,'DB Country PMI'!$A:$W,MATCH($A$1,'DB Country PMI'!$A$1:$W$1,),)=0,#N/A,VLOOKUP(A99,'DB Country PMI'!$A:$W,MATCH($A$1,'DB Country PMI'!$A$1:$W$1,),))</f>
        <v>54</v>
      </c>
      <c r="C99" s="14">
        <f>Table13468113456[[#This Row],[PMI]]-B98</f>
        <v>-1.3999999999999986</v>
      </c>
    </row>
    <row r="100" spans="1:3" x14ac:dyDescent="0.2">
      <c r="A100" s="8">
        <v>42125</v>
      </c>
      <c r="B100" s="11">
        <f>IF(VLOOKUP(A100,'DB Country PMI'!$A:$W,MATCH($A$1,'DB Country PMI'!$A$1:$W$1,),)=0,#N/A,VLOOKUP(A100,'DB Country PMI'!$A:$W,MATCH($A$1,'DB Country PMI'!$A$1:$W$1,),))</f>
        <v>53</v>
      </c>
      <c r="C100" s="14">
        <f>Table13468113456[[#This Row],[PMI]]-B99</f>
        <v>-1</v>
      </c>
    </row>
    <row r="101" spans="1:3" x14ac:dyDescent="0.2">
      <c r="A101" s="8">
        <v>42156</v>
      </c>
      <c r="B101" s="11">
        <f>IF(VLOOKUP(A101,'DB Country PMI'!$A:$W,MATCH($A$1,'DB Country PMI'!$A$1:$W$1,),)=0,#N/A,VLOOKUP(A101,'DB Country PMI'!$A:$W,MATCH($A$1,'DB Country PMI'!$A$1:$W$1,),))</f>
        <v>53.8</v>
      </c>
      <c r="C101" s="14">
        <f>Table13468113456[[#This Row],[PMI]]-B100</f>
        <v>0.79999999999999716</v>
      </c>
    </row>
    <row r="102" spans="1:3" x14ac:dyDescent="0.2">
      <c r="A102" s="8">
        <v>42186</v>
      </c>
      <c r="B102" s="11">
        <f>IF(VLOOKUP(A102,'DB Country PMI'!$A:$W,MATCH($A$1,'DB Country PMI'!$A$1:$W$1,),)=0,#N/A,VLOOKUP(A102,'DB Country PMI'!$A:$W,MATCH($A$1,'DB Country PMI'!$A$1:$W$1,),))</f>
        <v>53.8</v>
      </c>
      <c r="C102" s="14">
        <f>Table13468113456[[#This Row],[PMI]]-B101</f>
        <v>0</v>
      </c>
    </row>
    <row r="103" spans="1:3" x14ac:dyDescent="0.2">
      <c r="A103" s="8">
        <v>42217</v>
      </c>
      <c r="B103" s="11">
        <f>IF(VLOOKUP(A103,'DB Country PMI'!$A:$W,MATCH($A$1,'DB Country PMI'!$A$1:$W$1,),)=0,#N/A,VLOOKUP(A103,'DB Country PMI'!$A:$W,MATCH($A$1,'DB Country PMI'!$A$1:$W$1,),))</f>
        <v>54.9</v>
      </c>
      <c r="C103" s="14">
        <f>Table13468113456[[#This Row],[PMI]]-B102</f>
        <v>1.1000000000000014</v>
      </c>
    </row>
    <row r="104" spans="1:3" x14ac:dyDescent="0.2">
      <c r="A104" s="8">
        <v>42248</v>
      </c>
      <c r="B104" s="11">
        <f>IF(VLOOKUP(A104,'DB Country PMI'!$A:$W,MATCH($A$1,'DB Country PMI'!$A$1:$W$1,),)=0,#N/A,VLOOKUP(A104,'DB Country PMI'!$A:$W,MATCH($A$1,'DB Country PMI'!$A$1:$W$1,),))</f>
        <v>54.1</v>
      </c>
      <c r="C104" s="14">
        <f>Table13468113456[[#This Row],[PMI]]-B103</f>
        <v>-0.79999999999999716</v>
      </c>
    </row>
    <row r="105" spans="1:3" x14ac:dyDescent="0.2">
      <c r="A105" s="8">
        <v>42278</v>
      </c>
      <c r="B105" s="11">
        <f>IF(VLOOKUP(A105,'DB Country PMI'!$A:$W,MATCH($A$1,'DB Country PMI'!$A$1:$W$1,),)=0,#N/A,VLOOKUP(A105,'DB Country PMI'!$A:$W,MATCH($A$1,'DB Country PMI'!$A$1:$W$1,),))</f>
        <v>54.5</v>
      </c>
      <c r="C105" s="14">
        <f>Table13468113456[[#This Row],[PMI]]-B104</f>
        <v>0.39999999999999858</v>
      </c>
    </row>
    <row r="106" spans="1:3" x14ac:dyDescent="0.2">
      <c r="A106" s="8">
        <v>42309</v>
      </c>
      <c r="B106" s="11">
        <f>IF(VLOOKUP(A106,'DB Country PMI'!$A:$W,MATCH($A$1,'DB Country PMI'!$A$1:$W$1,),)=0,#N/A,VLOOKUP(A106,'DB Country PMI'!$A:$W,MATCH($A$1,'DB Country PMI'!$A$1:$W$1,),))</f>
        <v>55.6</v>
      </c>
      <c r="C106" s="14">
        <f>Table13468113456[[#This Row],[PMI]]-B105</f>
        <v>1.1000000000000014</v>
      </c>
    </row>
    <row r="107" spans="1:3" x14ac:dyDescent="0.2">
      <c r="A107" s="8">
        <v>42339</v>
      </c>
      <c r="B107" s="11">
        <f>IF(VLOOKUP(A107,'DB Country PMI'!$A:$W,MATCH($A$1,'DB Country PMI'!$A$1:$W$1,),)=0,#N/A,VLOOKUP(A107,'DB Country PMI'!$A:$W,MATCH($A$1,'DB Country PMI'!$A$1:$W$1,),))</f>
        <v>56</v>
      </c>
      <c r="C107" s="14">
        <f>Table13468113456[[#This Row],[PMI]]-B106</f>
        <v>0.39999999999999858</v>
      </c>
    </row>
    <row r="108" spans="1:3" x14ac:dyDescent="0.2">
      <c r="A108" s="8">
        <v>42370</v>
      </c>
      <c r="B108" s="11">
        <f>IF(VLOOKUP(A108,'DB Country PMI'!$A:$W,MATCH($A$1,'DB Country PMI'!$A$1:$W$1,),)=0,#N/A,VLOOKUP(A108,'DB Country PMI'!$A:$W,MATCH($A$1,'DB Country PMI'!$A$1:$W$1,),))</f>
        <v>55</v>
      </c>
      <c r="C108" s="14">
        <f>Table13468113456[[#This Row],[PMI]]-B107</f>
        <v>-1</v>
      </c>
    </row>
    <row r="109" spans="1:3" x14ac:dyDescent="0.2">
      <c r="A109" s="8">
        <v>42401</v>
      </c>
      <c r="B109" s="11">
        <f>IF(VLOOKUP(A109,'DB Country PMI'!$A:$W,MATCH($A$1,'DB Country PMI'!$A$1:$W$1,),)=0,#N/A,VLOOKUP(A109,'DB Country PMI'!$A:$W,MATCH($A$1,'DB Country PMI'!$A$1:$W$1,),))</f>
        <v>55.3</v>
      </c>
      <c r="C109" s="14">
        <f>Table13468113456[[#This Row],[PMI]]-B108</f>
        <v>0.29999999999999716</v>
      </c>
    </row>
    <row r="110" spans="1:3" x14ac:dyDescent="0.2">
      <c r="A110" s="8">
        <v>42430</v>
      </c>
      <c r="B110" s="11">
        <f>IF(VLOOKUP(A110,'DB Country PMI'!$A:$W,MATCH($A$1,'DB Country PMI'!$A$1:$W$1,),)=0,#N/A,VLOOKUP(A110,'DB Country PMI'!$A:$W,MATCH($A$1,'DB Country PMI'!$A$1:$W$1,),))</f>
        <v>55.1</v>
      </c>
      <c r="C110" s="14">
        <f>Table13468113456[[#This Row],[PMI]]-B109</f>
        <v>-0.19999999999999574</v>
      </c>
    </row>
    <row r="111" spans="1:3" x14ac:dyDescent="0.2">
      <c r="A111" s="8">
        <v>42461</v>
      </c>
      <c r="B111" s="11">
        <f>IF(VLOOKUP(A111,'DB Country PMI'!$A:$W,MATCH($A$1,'DB Country PMI'!$A$1:$W$1,),)=0,#N/A,VLOOKUP(A111,'DB Country PMI'!$A:$W,MATCH($A$1,'DB Country PMI'!$A$1:$W$1,),))</f>
        <v>54.5</v>
      </c>
      <c r="C111" s="14">
        <f>Table13468113456[[#This Row],[PMI]]-B110</f>
        <v>-0.60000000000000142</v>
      </c>
    </row>
    <row r="112" spans="1:3" x14ac:dyDescent="0.2">
      <c r="A112" s="8">
        <v>42491</v>
      </c>
      <c r="B112" s="11">
        <f>IF(VLOOKUP(A112,'DB Country PMI'!$A:$W,MATCH($A$1,'DB Country PMI'!$A$1:$W$1,),)=0,#N/A,VLOOKUP(A112,'DB Country PMI'!$A:$W,MATCH($A$1,'DB Country PMI'!$A$1:$W$1,),))</f>
        <v>55.2</v>
      </c>
      <c r="C112" s="14">
        <f>Table13468113456[[#This Row],[PMI]]-B111</f>
        <v>0.70000000000000284</v>
      </c>
    </row>
    <row r="113" spans="1:3" x14ac:dyDescent="0.2">
      <c r="A113" s="8">
        <v>42522</v>
      </c>
      <c r="B113" s="11">
        <f>IF(VLOOKUP(A113,'DB Country PMI'!$A:$W,MATCH($A$1,'DB Country PMI'!$A$1:$W$1,),)=0,#N/A,VLOOKUP(A113,'DB Country PMI'!$A:$W,MATCH($A$1,'DB Country PMI'!$A$1:$W$1,),))</f>
        <v>53.7</v>
      </c>
      <c r="C113" s="14">
        <f>Table13468113456[[#This Row],[PMI]]-B112</f>
        <v>-1.5</v>
      </c>
    </row>
    <row r="114" spans="1:3" x14ac:dyDescent="0.2">
      <c r="A114" s="8">
        <v>42552</v>
      </c>
      <c r="B114" s="11">
        <f>IF(VLOOKUP(A114,'DB Country PMI'!$A:$W,MATCH($A$1,'DB Country PMI'!$A$1:$W$1,),)=0,#N/A,VLOOKUP(A114,'DB Country PMI'!$A:$W,MATCH($A$1,'DB Country PMI'!$A$1:$W$1,),))</f>
        <v>54.4</v>
      </c>
      <c r="C114" s="14">
        <f>Table13468113456[[#This Row],[PMI]]-B113</f>
        <v>0.69999999999999574</v>
      </c>
    </row>
    <row r="115" spans="1:3" x14ac:dyDescent="0.2">
      <c r="A115" s="8">
        <v>42583</v>
      </c>
      <c r="B115" s="11">
        <f>IF(VLOOKUP(A115,'DB Country PMI'!$A:$W,MATCH($A$1,'DB Country PMI'!$A$1:$W$1,),)=0,#N/A,VLOOKUP(A115,'DB Country PMI'!$A:$W,MATCH($A$1,'DB Country PMI'!$A$1:$W$1,),))</f>
        <v>51.7</v>
      </c>
      <c r="C115" s="14">
        <f>Table13468113456[[#This Row],[PMI]]-B114</f>
        <v>-2.6999999999999957</v>
      </c>
    </row>
    <row r="116" spans="1:3" x14ac:dyDescent="0.2">
      <c r="A116" s="8">
        <v>42614</v>
      </c>
      <c r="B116" s="11">
        <f>IF(VLOOKUP(A116,'DB Country PMI'!$A:$W,MATCH($A$1,'DB Country PMI'!$A$1:$W$1,),)=0,#N/A,VLOOKUP(A116,'DB Country PMI'!$A:$W,MATCH($A$1,'DB Country PMI'!$A$1:$W$1,),))</f>
        <v>50.9</v>
      </c>
      <c r="C116" s="14">
        <f>Table13468113456[[#This Row],[PMI]]-B115</f>
        <v>-0.80000000000000426</v>
      </c>
    </row>
    <row r="117" spans="1:3" x14ac:dyDescent="0.2">
      <c r="A117" s="8">
        <v>42644</v>
      </c>
      <c r="B117" s="11">
        <f>IF(VLOOKUP(A117,'DB Country PMI'!$A:$W,MATCH($A$1,'DB Country PMI'!$A$1:$W$1,),)=0,#N/A,VLOOKUP(A117,'DB Country PMI'!$A:$W,MATCH($A$1,'DB Country PMI'!$A$1:$W$1,),))</f>
        <v>54.2</v>
      </c>
      <c r="C117" s="14">
        <f>Table13468113456[[#This Row],[PMI]]-B116</f>
        <v>3.3000000000000043</v>
      </c>
    </row>
    <row r="118" spans="1:3" x14ac:dyDescent="0.2">
      <c r="A118" s="8">
        <v>42675</v>
      </c>
      <c r="B118" s="11">
        <f>IF(VLOOKUP(A118,'DB Country PMI'!$A:$W,MATCH($A$1,'DB Country PMI'!$A$1:$W$1,),)=0,#N/A,VLOOKUP(A118,'DB Country PMI'!$A:$W,MATCH($A$1,'DB Country PMI'!$A$1:$W$1,),))</f>
        <v>55.1</v>
      </c>
      <c r="C118" s="14">
        <f>Table13468113456[[#This Row],[PMI]]-B117</f>
        <v>0.89999999999999858</v>
      </c>
    </row>
    <row r="119" spans="1:3" x14ac:dyDescent="0.2">
      <c r="A119" s="8">
        <v>42705</v>
      </c>
      <c r="B119" s="11">
        <f>IF(VLOOKUP(A119,'DB Country PMI'!$A:$W,MATCH($A$1,'DB Country PMI'!$A$1:$W$1,),)=0,#N/A,VLOOKUP(A119,'DB Country PMI'!$A:$W,MATCH($A$1,'DB Country PMI'!$A$1:$W$1,),))</f>
        <v>54.3</v>
      </c>
      <c r="C119" s="14">
        <f>Table13468113456[[#This Row],[PMI]]-B118</f>
        <v>-0.80000000000000426</v>
      </c>
    </row>
    <row r="120" spans="1:3" x14ac:dyDescent="0.2">
      <c r="A120" s="8">
        <v>42736</v>
      </c>
      <c r="B120" s="11">
        <f>IF(VLOOKUP(A120,'DB Country PMI'!$A:$W,MATCH($A$1,'DB Country PMI'!$A$1:$W$1,),)=0,#N/A,VLOOKUP(A120,'DB Country PMI'!$A:$W,MATCH($A$1,'DB Country PMI'!$A$1:$W$1,),))</f>
        <v>53.4</v>
      </c>
      <c r="C120" s="14">
        <f>Table13468113456[[#This Row],[PMI]]-B119</f>
        <v>-0.89999999999999858</v>
      </c>
    </row>
    <row r="121" spans="1:3" x14ac:dyDescent="0.2">
      <c r="A121" s="8">
        <v>42767</v>
      </c>
      <c r="B121" s="11">
        <f>IF(VLOOKUP(A121,'DB Country PMI'!$A:$W,MATCH($A$1,'DB Country PMI'!$A$1:$W$1,),)=0,#N/A,VLOOKUP(A121,'DB Country PMI'!$A:$W,MATCH($A$1,'DB Country PMI'!$A$1:$W$1,),))</f>
        <v>54.4</v>
      </c>
      <c r="C121" s="14">
        <f>Table13468113456[[#This Row],[PMI]]-B120</f>
        <v>1</v>
      </c>
    </row>
    <row r="122" spans="1:3" x14ac:dyDescent="0.2">
      <c r="A122" s="8">
        <v>42795</v>
      </c>
      <c r="B122" s="11">
        <f>IF(VLOOKUP(A122,'DB Country PMI'!$A:$W,MATCH($A$1,'DB Country PMI'!$A$1:$W$1,),)=0,#N/A,VLOOKUP(A122,'DB Country PMI'!$A:$W,MATCH($A$1,'DB Country PMI'!$A$1:$W$1,),))</f>
        <v>55.6</v>
      </c>
      <c r="C122" s="14">
        <f>Table13468113456[[#This Row],[PMI]]-B121</f>
        <v>1.2000000000000028</v>
      </c>
    </row>
    <row r="123" spans="1:3" x14ac:dyDescent="0.2">
      <c r="A123" s="8">
        <v>42826</v>
      </c>
      <c r="B123" s="11">
        <f>IF(VLOOKUP(A123,'DB Country PMI'!$A:$W,MATCH($A$1,'DB Country PMI'!$A$1:$W$1,),)=0,#N/A,VLOOKUP(A123,'DB Country PMI'!$A:$W,MATCH($A$1,'DB Country PMI'!$A$1:$W$1,),))</f>
        <v>55.4</v>
      </c>
      <c r="C123" s="14">
        <f>Table13468113456[[#This Row],[PMI]]-B122</f>
        <v>-0.20000000000000284</v>
      </c>
    </row>
    <row r="124" spans="1:3" x14ac:dyDescent="0.2">
      <c r="A124" s="8">
        <v>42856</v>
      </c>
      <c r="B124" s="11">
        <f>IF(VLOOKUP(A124,'DB Country PMI'!$A:$W,MATCH($A$1,'DB Country PMI'!$A$1:$W$1,),)=0,#N/A,VLOOKUP(A124,'DB Country PMI'!$A:$W,MATCH($A$1,'DB Country PMI'!$A$1:$W$1,),))</f>
        <v>55.4</v>
      </c>
      <c r="C124" s="14">
        <f>Table13468113456[[#This Row],[PMI]]-B123</f>
        <v>0</v>
      </c>
    </row>
    <row r="125" spans="1:3" x14ac:dyDescent="0.2">
      <c r="A125" s="8">
        <v>42887</v>
      </c>
      <c r="B125" s="11">
        <f>IF(VLOOKUP(A125,'DB Country PMI'!$A:$W,MATCH($A$1,'DB Country PMI'!$A$1:$W$1,),)=0,#N/A,VLOOKUP(A125,'DB Country PMI'!$A:$W,MATCH($A$1,'DB Country PMI'!$A$1:$W$1,),))</f>
        <v>54</v>
      </c>
      <c r="C125" s="14">
        <f>Table13468113456[[#This Row],[PMI]]-B124</f>
        <v>-1.3999999999999986</v>
      </c>
    </row>
    <row r="126" spans="1:3" x14ac:dyDescent="0.2">
      <c r="A126" s="8">
        <v>42917</v>
      </c>
      <c r="B126" s="11">
        <f>IF(VLOOKUP(A126,'DB Country PMI'!$A:$W,MATCH($A$1,'DB Country PMI'!$A$1:$W$1,),)=0,#N/A,VLOOKUP(A126,'DB Country PMI'!$A:$W,MATCH($A$1,'DB Country PMI'!$A$1:$W$1,),))</f>
        <v>53.1</v>
      </c>
      <c r="C126" s="14">
        <f>Table13468113456[[#This Row],[PMI]]-B125</f>
        <v>-0.89999999999999858</v>
      </c>
    </row>
    <row r="127" spans="1:3" x14ac:dyDescent="0.2">
      <c r="A127" s="8">
        <v>42948</v>
      </c>
      <c r="B127" s="11">
        <f>IF(VLOOKUP(A127,'DB Country PMI'!$A:$W,MATCH($A$1,'DB Country PMI'!$A$1:$W$1,),)=0,#N/A,VLOOKUP(A127,'DB Country PMI'!$A:$W,MATCH($A$1,'DB Country PMI'!$A$1:$W$1,),))</f>
        <v>53.5</v>
      </c>
      <c r="C127" s="14">
        <f>Table13468113456[[#This Row],[PMI]]-B126</f>
        <v>0.39999999999999858</v>
      </c>
    </row>
    <row r="128" spans="1:3" x14ac:dyDescent="0.2">
      <c r="A128" s="8">
        <v>42979</v>
      </c>
      <c r="B128" s="11">
        <f>IF(VLOOKUP(A128,'DB Country PMI'!$A:$W,MATCH($A$1,'DB Country PMI'!$A$1:$W$1,),)=0,#N/A,VLOOKUP(A128,'DB Country PMI'!$A:$W,MATCH($A$1,'DB Country PMI'!$A$1:$W$1,),))</f>
        <v>55.6</v>
      </c>
      <c r="C128" s="14">
        <f>Table13468113456[[#This Row],[PMI]]-B127</f>
        <v>2.1000000000000014</v>
      </c>
    </row>
    <row r="129" spans="1:3" x14ac:dyDescent="0.2">
      <c r="A129" s="8">
        <v>43009</v>
      </c>
      <c r="B129" s="11">
        <f>IF(VLOOKUP(A129,'DB Country PMI'!$A:$W,MATCH($A$1,'DB Country PMI'!$A$1:$W$1,),)=0,#N/A,VLOOKUP(A129,'DB Country PMI'!$A:$W,MATCH($A$1,'DB Country PMI'!$A$1:$W$1,),))</f>
        <v>54.7</v>
      </c>
      <c r="C129" s="14">
        <f>Table13468113456[[#This Row],[PMI]]-B128</f>
        <v>-0.89999999999999858</v>
      </c>
    </row>
    <row r="130" spans="1:3" x14ac:dyDescent="0.2">
      <c r="A130" s="8">
        <v>43040</v>
      </c>
      <c r="B130" s="11">
        <f>IF(VLOOKUP(A130,'DB Country PMI'!$A:$W,MATCH($A$1,'DB Country PMI'!$A$1:$W$1,),)=0,#N/A,VLOOKUP(A130,'DB Country PMI'!$A:$W,MATCH($A$1,'DB Country PMI'!$A$1:$W$1,),))</f>
        <v>54.3</v>
      </c>
      <c r="C130" s="14">
        <f>Table13468113456[[#This Row],[PMI]]-B129</f>
        <v>-0.40000000000000568</v>
      </c>
    </row>
    <row r="131" spans="1:3" x14ac:dyDescent="0.2">
      <c r="A131" s="8">
        <v>43070</v>
      </c>
      <c r="B131" s="11">
        <f>IF(VLOOKUP(A131,'DB Country PMI'!$A:$W,MATCH($A$1,'DB Country PMI'!$A$1:$W$1,),)=0,#N/A,VLOOKUP(A131,'DB Country PMI'!$A:$W,MATCH($A$1,'DB Country PMI'!$A$1:$W$1,),))</f>
        <v>55.8</v>
      </c>
      <c r="C131" s="14">
        <f>Table13468113456[[#This Row],[PMI]]-B130</f>
        <v>1.5</v>
      </c>
    </row>
    <row r="132" spans="1:3" x14ac:dyDescent="0.2">
      <c r="A132" s="8">
        <v>43101</v>
      </c>
      <c r="B132" s="11">
        <f>IF(VLOOKUP(A132,'DB Country PMI'!$A:$W,MATCH($A$1,'DB Country PMI'!$A$1:$W$1,),)=0,#N/A,VLOOKUP(A132,'DB Country PMI'!$A:$W,MATCH($A$1,'DB Country PMI'!$A$1:$W$1,),))</f>
        <v>57.3</v>
      </c>
      <c r="C132" s="14">
        <f>Table13468113456[[#This Row],[PMI]]-B131</f>
        <v>1.5</v>
      </c>
    </row>
    <row r="133" spans="1:3" x14ac:dyDescent="0.2">
      <c r="A133" s="8">
        <v>43132</v>
      </c>
      <c r="B133" s="11">
        <f>IF(VLOOKUP(A133,'DB Country PMI'!$A:$W,MATCH($A$1,'DB Country PMI'!$A$1:$W$1,),)=0,#N/A,VLOOKUP(A133,'DB Country PMI'!$A:$W,MATCH($A$1,'DB Country PMI'!$A$1:$W$1,),))</f>
        <v>55.3</v>
      </c>
      <c r="C133" s="14">
        <f>Table13468113456[[#This Row],[PMI]]-B132</f>
        <v>-2</v>
      </c>
    </row>
    <row r="134" spans="1:3" x14ac:dyDescent="0.2">
      <c r="A134" s="8">
        <v>43160</v>
      </c>
      <c r="B134" s="11">
        <f>IF(VLOOKUP(A134,'DB Country PMI'!$A:$W,MATCH($A$1,'DB Country PMI'!$A$1:$W$1,),)=0,#N/A,VLOOKUP(A134,'DB Country PMI'!$A:$W,MATCH($A$1,'DB Country PMI'!$A$1:$W$1,),))</f>
        <v>53.9</v>
      </c>
      <c r="C134" s="14">
        <f>Table13468113456[[#This Row],[PMI]]-B133</f>
        <v>-1.3999999999999986</v>
      </c>
    </row>
    <row r="135" spans="1:3" x14ac:dyDescent="0.2">
      <c r="A135" s="8">
        <v>43191</v>
      </c>
      <c r="B135" s="11">
        <f>IF(VLOOKUP(A135,'DB Country PMI'!$A:$W,MATCH($A$1,'DB Country PMI'!$A$1:$W$1,),)=0,#N/A,VLOOKUP(A135,'DB Country PMI'!$A:$W,MATCH($A$1,'DB Country PMI'!$A$1:$W$1,),))</f>
        <v>53</v>
      </c>
      <c r="C135" s="14">
        <f>Table13468113456[[#This Row],[PMI]]-B134</f>
        <v>-0.89999999999999858</v>
      </c>
    </row>
    <row r="136" spans="1:3" x14ac:dyDescent="0.2">
      <c r="A136" s="8">
        <v>43221</v>
      </c>
      <c r="B136" s="11">
        <f>IF(VLOOKUP(A136,'DB Country PMI'!$A:$W,MATCH($A$1,'DB Country PMI'!$A$1:$W$1,),)=0,#N/A,VLOOKUP(A136,'DB Country PMI'!$A:$W,MATCH($A$1,'DB Country PMI'!$A$1:$W$1,),))</f>
        <v>52.1</v>
      </c>
      <c r="C136" s="14">
        <f>Table13468113456[[#This Row],[PMI]]-B135</f>
        <v>-0.89999999999999858</v>
      </c>
    </row>
    <row r="137" spans="1:3" x14ac:dyDescent="0.2">
      <c r="A137" s="8">
        <v>43252</v>
      </c>
      <c r="B137" s="11">
        <f>IF(VLOOKUP(A137,'DB Country PMI'!$A:$W,MATCH($A$1,'DB Country PMI'!$A$1:$W$1,),)=0,#N/A,VLOOKUP(A137,'DB Country PMI'!$A:$W,MATCH($A$1,'DB Country PMI'!$A$1:$W$1,),))</f>
        <v>54.5</v>
      </c>
      <c r="C137" s="14">
        <f>Table13468113456[[#This Row],[PMI]]-B136</f>
        <v>2.3999999999999986</v>
      </c>
    </row>
    <row r="138" spans="1:3" x14ac:dyDescent="0.2">
      <c r="A138" s="8">
        <v>43282</v>
      </c>
      <c r="B138" s="11">
        <f>IF(VLOOKUP(A138,'DB Country PMI'!$A:$W,MATCH($A$1,'DB Country PMI'!$A$1:$W$1,),)=0,#N/A,VLOOKUP(A138,'DB Country PMI'!$A:$W,MATCH($A$1,'DB Country PMI'!$A$1:$W$1,),))</f>
        <v>54.1</v>
      </c>
      <c r="C138" s="14">
        <f>Table13468113456[[#This Row],[PMI]]-B137</f>
        <v>-0.39999999999999858</v>
      </c>
    </row>
    <row r="139" spans="1:3" x14ac:dyDescent="0.2">
      <c r="A139" s="8">
        <v>43313</v>
      </c>
      <c r="B139" s="11">
        <f>IF(VLOOKUP(A139,'DB Country PMI'!$A:$W,MATCH($A$1,'DB Country PMI'!$A$1:$W$1,),)=0,#N/A,VLOOKUP(A139,'DB Country PMI'!$A:$W,MATCH($A$1,'DB Country PMI'!$A$1:$W$1,),))</f>
        <v>55</v>
      </c>
      <c r="C139" s="14">
        <f>Table13468113456[[#This Row],[PMI]]-B138</f>
        <v>0.89999999999999858</v>
      </c>
    </row>
    <row r="140" spans="1:3" x14ac:dyDescent="0.2">
      <c r="A140" s="8">
        <v>43344</v>
      </c>
      <c r="B140" s="11">
        <f>IF(VLOOKUP(A140,'DB Country PMI'!$A:$W,MATCH($A$1,'DB Country PMI'!$A$1:$W$1,),)=0,#N/A,VLOOKUP(A140,'DB Country PMI'!$A:$W,MATCH($A$1,'DB Country PMI'!$A$1:$W$1,),))</f>
        <v>55.9</v>
      </c>
      <c r="C140" s="14">
        <f>Table13468113456[[#This Row],[PMI]]-B139</f>
        <v>0.89999999999999858</v>
      </c>
    </row>
    <row r="141" spans="1:3" x14ac:dyDescent="0.2">
      <c r="A141" s="8">
        <v>43374</v>
      </c>
      <c r="B141" s="11">
        <f>IF(VLOOKUP(A141,'DB Country PMI'!$A:$W,MATCH($A$1,'DB Country PMI'!$A$1:$W$1,),)=0,#N/A,VLOOKUP(A141,'DB Country PMI'!$A:$W,MATCH($A$1,'DB Country PMI'!$A$1:$W$1,),))</f>
        <v>54.7</v>
      </c>
      <c r="C141" s="14">
        <f>Table13468113456[[#This Row],[PMI]]-B140</f>
        <v>-1.1999999999999957</v>
      </c>
    </row>
    <row r="142" spans="1:3" x14ac:dyDescent="0.2">
      <c r="A142" s="8">
        <v>43405</v>
      </c>
      <c r="B142" s="11">
        <f>IF(VLOOKUP(A142,'DB Country PMI'!$A:$W,MATCH($A$1,'DB Country PMI'!$A$1:$W$1,),)=0,#N/A,VLOOKUP(A142,'DB Country PMI'!$A:$W,MATCH($A$1,'DB Country PMI'!$A$1:$W$1,),))</f>
        <v>53.3</v>
      </c>
      <c r="C142" s="14">
        <f>Table13468113456[[#This Row],[PMI]]-B141</f>
        <v>-1.4000000000000057</v>
      </c>
    </row>
    <row r="143" spans="1:3" x14ac:dyDescent="0.2">
      <c r="A143" s="8">
        <v>43435</v>
      </c>
      <c r="B143" s="11">
        <f>IF(VLOOKUP(A143,'DB Country PMI'!$A:$W,MATCH($A$1,'DB Country PMI'!$A$1:$W$1,),)=0,#N/A,VLOOKUP(A143,'DB Country PMI'!$A:$W,MATCH($A$1,'DB Country PMI'!$A$1:$W$1,),))</f>
        <v>51.8</v>
      </c>
      <c r="C143" s="14">
        <f>Table13468113456[[#This Row],[PMI]]-B142</f>
        <v>-1.5</v>
      </c>
    </row>
    <row r="144" spans="1:3" x14ac:dyDescent="0.2">
      <c r="A144" s="8">
        <v>43466</v>
      </c>
      <c r="B144" s="11">
        <f>IF(VLOOKUP(A144,'DB Country PMI'!$A:$W,MATCH($A$1,'DB Country PMI'!$A$1:$W$1,),)=0,#N/A,VLOOKUP(A144,'DB Country PMI'!$A:$W,MATCH($A$1,'DB Country PMI'!$A$1:$W$1,),))</f>
        <v>53</v>
      </c>
      <c r="C144" s="14">
        <f>Table13468113456[[#This Row],[PMI]]-B143</f>
        <v>1.2000000000000028</v>
      </c>
    </row>
    <row r="145" spans="1:3" x14ac:dyDescent="0.2">
      <c r="A145" s="8">
        <v>43497</v>
      </c>
      <c r="B145" s="11">
        <f>IF(VLOOKUP(A145,'DB Country PMI'!$A:$W,MATCH($A$1,'DB Country PMI'!$A$1:$W$1,),)=0,#N/A,VLOOKUP(A145,'DB Country PMI'!$A:$W,MATCH($A$1,'DB Country PMI'!$A$1:$W$1,),))</f>
        <v>55.3</v>
      </c>
      <c r="C145" s="14">
        <f>Table13468113456[[#This Row],[PMI]]-B144</f>
        <v>2.2999999999999972</v>
      </c>
    </row>
    <row r="146" spans="1:3" x14ac:dyDescent="0.2">
      <c r="A146" s="8">
        <v>43525</v>
      </c>
      <c r="B146" s="11">
        <f>IF(VLOOKUP(A146,'DB Country PMI'!$A:$W,MATCH($A$1,'DB Country PMI'!$A$1:$W$1,),)=0,#N/A,VLOOKUP(A146,'DB Country PMI'!$A:$W,MATCH($A$1,'DB Country PMI'!$A$1:$W$1,),))</f>
        <v>55.4</v>
      </c>
      <c r="C146" s="14">
        <f>Table13468113456[[#This Row],[PMI]]-B145</f>
        <v>0.10000000000000142</v>
      </c>
    </row>
    <row r="147" spans="1:3" x14ac:dyDescent="0.2">
      <c r="A147" s="8">
        <v>43556</v>
      </c>
      <c r="B147" s="11">
        <f>IF(VLOOKUP(A147,'DB Country PMI'!$A:$W,MATCH($A$1,'DB Country PMI'!$A$1:$W$1,),)=0,#N/A,VLOOKUP(A147,'DB Country PMI'!$A:$W,MATCH($A$1,'DB Country PMI'!$A$1:$W$1,),))</f>
        <v>55.7</v>
      </c>
      <c r="C147" s="14">
        <f>Table13468113456[[#This Row],[PMI]]-B146</f>
        <v>0.30000000000000426</v>
      </c>
    </row>
    <row r="148" spans="1:3" x14ac:dyDescent="0.2">
      <c r="A148" s="8">
        <v>43586</v>
      </c>
      <c r="B148" s="11">
        <f>IF(VLOOKUP(A148,'DB Country PMI'!$A:$W,MATCH($A$1,'DB Country PMI'!$A$1:$W$1,),)=0,#N/A,VLOOKUP(A148,'DB Country PMI'!$A:$W,MATCH($A$1,'DB Country PMI'!$A$1:$W$1,),))</f>
        <v>55.4</v>
      </c>
      <c r="C148" s="14">
        <f>Table13468113456[[#This Row],[PMI]]-B147</f>
        <v>-0.30000000000000426</v>
      </c>
    </row>
    <row r="149" spans="1:3" x14ac:dyDescent="0.2">
      <c r="A149" s="8">
        <v>43617</v>
      </c>
      <c r="B149" s="11">
        <f>IF(VLOOKUP(A149,'DB Country PMI'!$A:$W,MATCH($A$1,'DB Country PMI'!$A$1:$W$1,),)=0,#N/A,VLOOKUP(A149,'DB Country PMI'!$A:$W,MATCH($A$1,'DB Country PMI'!$A$1:$W$1,),))</f>
        <v>55.8</v>
      </c>
      <c r="C149" s="14">
        <f>Table13468113456[[#This Row],[PMI]]-B148</f>
        <v>0.39999999999999858</v>
      </c>
    </row>
    <row r="150" spans="1:3" x14ac:dyDescent="0.2">
      <c r="A150" s="8">
        <v>43647</v>
      </c>
      <c r="B150" s="11">
        <f>IF(VLOOKUP(A150,'DB Country PMI'!$A:$W,MATCH($A$1,'DB Country PMI'!$A$1:$W$1,),)=0,#N/A,VLOOKUP(A150,'DB Country PMI'!$A:$W,MATCH($A$1,'DB Country PMI'!$A$1:$W$1,),))</f>
        <v>54.5</v>
      </c>
      <c r="C150" s="14">
        <f>Table13468113456[[#This Row],[PMI]]-B149</f>
        <v>-1.2999999999999972</v>
      </c>
    </row>
    <row r="151" spans="1:3" x14ac:dyDescent="0.2">
      <c r="A151" s="8">
        <v>43678</v>
      </c>
      <c r="B151" s="11">
        <f>IF(VLOOKUP(A151,'DB Country PMI'!$A:$W,MATCH($A$1,'DB Country PMI'!$A$1:$W$1,),)=0,#N/A,VLOOKUP(A151,'DB Country PMI'!$A:$W,MATCH($A$1,'DB Country PMI'!$A$1:$W$1,),))</f>
        <v>54.8</v>
      </c>
      <c r="C151" s="14">
        <f>Table13468113456[[#This Row],[PMI]]-B150</f>
        <v>0.29999999999999716</v>
      </c>
    </row>
    <row r="152" spans="1:3" x14ac:dyDescent="0.2">
      <c r="A152" s="8">
        <v>43709</v>
      </c>
      <c r="B152" s="11">
        <f>IF(VLOOKUP(A152,'DB Country PMI'!$A:$W,MATCH($A$1,'DB Country PMI'!$A$1:$W$1,),)=0,#N/A,VLOOKUP(A152,'DB Country PMI'!$A:$W,MATCH($A$1,'DB Country PMI'!$A$1:$W$1,),))</f>
        <v>51.4</v>
      </c>
      <c r="C152" s="14">
        <f>Table13468113456[[#This Row],[PMI]]-B151</f>
        <v>-3.3999999999999986</v>
      </c>
    </row>
    <row r="153" spans="1:3" x14ac:dyDescent="0.2">
      <c r="A153" s="8">
        <v>43739</v>
      </c>
      <c r="B153" s="11">
        <f>IF(VLOOKUP(A153,'DB Country PMI'!$A:$W,MATCH($A$1,'DB Country PMI'!$A$1:$W$1,),)=0,#N/A,VLOOKUP(A153,'DB Country PMI'!$A:$W,MATCH($A$1,'DB Country PMI'!$A$1:$W$1,),))</f>
        <v>51.6</v>
      </c>
      <c r="C153" s="14">
        <f>Table13468113456[[#This Row],[PMI]]-B152</f>
        <v>0.20000000000000284</v>
      </c>
    </row>
    <row r="154" spans="1:3" x14ac:dyDescent="0.2">
      <c r="A154" s="8">
        <v>43770</v>
      </c>
      <c r="B154" s="11">
        <f>IF(VLOOKUP(A154,'DB Country PMI'!$A:$W,MATCH($A$1,'DB Country PMI'!$A$1:$W$1,),)=0,#N/A,VLOOKUP(A154,'DB Country PMI'!$A:$W,MATCH($A$1,'DB Country PMI'!$A$1:$W$1,),))</f>
        <v>51.7</v>
      </c>
      <c r="C154" s="14">
        <f>Table13468113456[[#This Row],[PMI]]-B153</f>
        <v>0.10000000000000142</v>
      </c>
    </row>
    <row r="155" spans="1:3" x14ac:dyDescent="0.2">
      <c r="A155" s="8">
        <v>43800</v>
      </c>
      <c r="B155" s="11">
        <f>IF(VLOOKUP(A155,'DB Country PMI'!$A:$W,MATCH($A$1,'DB Country PMI'!$A$1:$W$1,),)=0,#N/A,VLOOKUP(A155,'DB Country PMI'!$A:$W,MATCH($A$1,'DB Country PMI'!$A$1:$W$1,),))</f>
        <v>52.9</v>
      </c>
      <c r="C155" s="14">
        <f>Table13468113456[[#This Row],[PMI]]-B154</f>
        <v>1.1999999999999957</v>
      </c>
    </row>
    <row r="156" spans="1:3" x14ac:dyDescent="0.2">
      <c r="A156" s="8">
        <v>43831</v>
      </c>
      <c r="B156" s="11">
        <f>IF(VLOOKUP(A156,'DB Country PMI'!$A:$W,MATCH($A$1,'DB Country PMI'!$A$1:$W$1,),)=0,#N/A,VLOOKUP(A156,'DB Country PMI'!$A:$W,MATCH($A$1,'DB Country PMI'!$A$1:$W$1,),))</f>
        <v>54.2</v>
      </c>
      <c r="C156" s="14">
        <f>Table13468113456[[#This Row],[PMI]]-B155</f>
        <v>1.3000000000000043</v>
      </c>
    </row>
    <row r="157" spans="1:3" x14ac:dyDescent="0.2">
      <c r="A157" s="8">
        <v>43862</v>
      </c>
      <c r="B157" s="11">
        <f>IF(VLOOKUP(A157,'DB Country PMI'!$A:$W,MATCH($A$1,'DB Country PMI'!$A$1:$W$1,),)=0,#N/A,VLOOKUP(A157,'DB Country PMI'!$A:$W,MATCH($A$1,'DB Country PMI'!$A$1:$W$1,),))</f>
        <v>52.5</v>
      </c>
      <c r="C157" s="14">
        <f>Table13468113456[[#This Row],[PMI]]-B156</f>
        <v>-1.7000000000000028</v>
      </c>
    </row>
    <row r="158" spans="1:3" x14ac:dyDescent="0.2">
      <c r="A158" s="8">
        <v>43891</v>
      </c>
      <c r="B158" s="11">
        <f>IF(VLOOKUP(A158,'DB Country PMI'!$A:$W,MATCH($A$1,'DB Country PMI'!$A$1:$W$1,),)=0,#N/A,VLOOKUP(A158,'DB Country PMI'!$A:$W,MATCH($A$1,'DB Country PMI'!$A$1:$W$1,),))</f>
        <v>31.7</v>
      </c>
      <c r="C158" s="14">
        <f>Table13468113456[[#This Row],[PMI]]-B157</f>
        <v>-20.8</v>
      </c>
    </row>
    <row r="159" spans="1:3" x14ac:dyDescent="0.2">
      <c r="A159" s="8">
        <v>43922</v>
      </c>
      <c r="B159" s="11">
        <f>IF(VLOOKUP(A159,'DB Country PMI'!$A:$W,MATCH($A$1,'DB Country PMI'!$A$1:$W$1,),)=0,#N/A,VLOOKUP(A159,'DB Country PMI'!$A:$W,MATCH($A$1,'DB Country PMI'!$A$1:$W$1,),))</f>
        <v>16.2</v>
      </c>
      <c r="C159" s="14">
        <f>Table13468113456[[#This Row],[PMI]]-B158</f>
        <v>-15.5</v>
      </c>
    </row>
    <row r="160" spans="1:3" x14ac:dyDescent="0.2">
      <c r="A160" s="8">
        <v>43952</v>
      </c>
      <c r="B160" s="11">
        <f>IF(VLOOKUP(A160,'DB Country PMI'!$A:$W,MATCH($A$1,'DB Country PMI'!$A$1:$W$1,),)=0,#N/A,VLOOKUP(A160,'DB Country PMI'!$A:$W,MATCH($A$1,'DB Country PMI'!$A$1:$W$1,),))</f>
        <v>32.6</v>
      </c>
      <c r="C160" s="14">
        <f>Table13468113456[[#This Row],[PMI]]-B159</f>
        <v>16.400000000000002</v>
      </c>
    </row>
    <row r="161" spans="1:3" x14ac:dyDescent="0.2">
      <c r="A161" s="8">
        <v>43983</v>
      </c>
      <c r="B161" s="11">
        <f>IF(VLOOKUP(A161,'DB Country PMI'!$A:$W,MATCH($A$1,'DB Country PMI'!$A$1:$W$1,),)=0,#N/A,VLOOKUP(A161,'DB Country PMI'!$A:$W,MATCH($A$1,'DB Country PMI'!$A$1:$W$1,),))</f>
        <v>47.3</v>
      </c>
      <c r="C161" s="14">
        <f>Table13468113456[[#This Row],[PMI]]-B160</f>
        <v>14.699999999999996</v>
      </c>
    </row>
    <row r="162" spans="1:3" x14ac:dyDescent="0.2">
      <c r="A162" s="8">
        <v>44013</v>
      </c>
      <c r="B162" s="11">
        <f>IF(VLOOKUP(A162,'DB Country PMI'!$A:$W,MATCH($A$1,'DB Country PMI'!$A$1:$W$1,),)=0,#N/A,VLOOKUP(A162,'DB Country PMI'!$A:$W,MATCH($A$1,'DB Country PMI'!$A$1:$W$1,),))</f>
        <v>55.6</v>
      </c>
      <c r="C162" s="14">
        <f>Table13468113456[[#This Row],[PMI]]-B161</f>
        <v>8.3000000000000043</v>
      </c>
    </row>
    <row r="163" spans="1:3" x14ac:dyDescent="0.2">
      <c r="A163" s="8">
        <v>44044</v>
      </c>
      <c r="B163" s="11">
        <f>IF(VLOOKUP(A163,'DB Country PMI'!$A:$W,MATCH($A$1,'DB Country PMI'!$A$1:$W$1,),)=0,#N/A,VLOOKUP(A163,'DB Country PMI'!$A:$W,MATCH($A$1,'DB Country PMI'!$A$1:$W$1,),))</f>
        <v>52.5</v>
      </c>
      <c r="C163" s="14">
        <f>Table13468113456[[#This Row],[PMI]]-B162</f>
        <v>-3.1000000000000014</v>
      </c>
    </row>
    <row r="164" spans="1:3" x14ac:dyDescent="0.2">
      <c r="A164" s="8">
        <v>44075</v>
      </c>
      <c r="B164" s="11">
        <f>IF(VLOOKUP(A164,'DB Country PMI'!$A:$W,MATCH($A$1,'DB Country PMI'!$A$1:$W$1,),)=0,#N/A,VLOOKUP(A164,'DB Country PMI'!$A:$W,MATCH($A$1,'DB Country PMI'!$A$1:$W$1,),))</f>
        <v>50.6</v>
      </c>
      <c r="C164" s="14">
        <f>Table13468113456[[#This Row],[PMI]]-B163</f>
        <v>-1.8999999999999986</v>
      </c>
    </row>
    <row r="165" spans="1:3" x14ac:dyDescent="0.2">
      <c r="A165" s="8">
        <v>44105</v>
      </c>
      <c r="B165" s="11">
        <f>IF(VLOOKUP(A165,'DB Country PMI'!$A:$W,MATCH($A$1,'DB Country PMI'!$A$1:$W$1,),)=0,#N/A,VLOOKUP(A165,'DB Country PMI'!$A:$W,MATCH($A$1,'DB Country PMI'!$A$1:$W$1,),))</f>
        <v>49.5</v>
      </c>
      <c r="C165" s="14">
        <f>Table13468113456[[#This Row],[PMI]]-B164</f>
        <v>-1.1000000000000014</v>
      </c>
    </row>
    <row r="166" spans="1:3" x14ac:dyDescent="0.2">
      <c r="A166" s="8">
        <v>44136</v>
      </c>
      <c r="B166" s="11">
        <f>IF(VLOOKUP(A166,'DB Country PMI'!$A:$W,MATCH($A$1,'DB Country PMI'!$A$1:$W$1,),)=0,#N/A,VLOOKUP(A166,'DB Country PMI'!$A:$W,MATCH($A$1,'DB Country PMI'!$A$1:$W$1,),))</f>
        <v>46</v>
      </c>
      <c r="C166" s="14">
        <f>Table13468113456[[#This Row],[PMI]]-B165</f>
        <v>-3.5</v>
      </c>
    </row>
    <row r="167" spans="1:3" x14ac:dyDescent="0.2">
      <c r="A167" s="8">
        <v>44166</v>
      </c>
      <c r="B167" s="11">
        <f>IF(VLOOKUP(A167,'DB Country PMI'!$A:$W,MATCH($A$1,'DB Country PMI'!$A$1:$W$1,),)=0,#N/A,VLOOKUP(A167,'DB Country PMI'!$A:$W,MATCH($A$1,'DB Country PMI'!$A$1:$W$1,),))</f>
        <v>47</v>
      </c>
      <c r="C167" s="14">
        <f>Table13468113456[[#This Row],[PMI]]-B166</f>
        <v>1</v>
      </c>
    </row>
    <row r="168" spans="1:3" x14ac:dyDescent="0.2">
      <c r="A168" s="8">
        <v>44197</v>
      </c>
      <c r="B168" s="11">
        <f>IF(VLOOKUP(A168,'DB Country PMI'!$A:$W,MATCH($A$1,'DB Country PMI'!$A$1:$W$1,),)=0,#N/A,VLOOKUP(A168,'DB Country PMI'!$A:$W,MATCH($A$1,'DB Country PMI'!$A$1:$W$1,),))</f>
        <v>46.7</v>
      </c>
      <c r="C168" s="14">
        <f>Table13468113456[[#This Row],[PMI]]-B167</f>
        <v>-0.29999999999999716</v>
      </c>
    </row>
    <row r="169" spans="1:3" x14ac:dyDescent="0.2">
      <c r="A169" s="8">
        <v>44228</v>
      </c>
      <c r="B169" s="11">
        <f>IF(VLOOKUP(A169,'DB Country PMI'!$A:$W,MATCH($A$1,'DB Country PMI'!$A$1:$W$1,),)=0,#N/A,VLOOKUP(A169,'DB Country PMI'!$A:$W,MATCH($A$1,'DB Country PMI'!$A$1:$W$1,),))</f>
        <v>45.7</v>
      </c>
      <c r="C169" s="14">
        <f>Table13468113456[[#This Row],[PMI]]-B168</f>
        <v>-1</v>
      </c>
    </row>
    <row r="170" spans="1:3" x14ac:dyDescent="0.2">
      <c r="A170" s="8">
        <v>44256</v>
      </c>
      <c r="B170" s="11">
        <f>IF(VLOOKUP(A170,'DB Country PMI'!$A:$W,MATCH($A$1,'DB Country PMI'!$A$1:$W$1,),)=0,#N/A,VLOOKUP(A170,'DB Country PMI'!$A:$W,MATCH($A$1,'DB Country PMI'!$A$1:$W$1,),))</f>
        <v>51.5</v>
      </c>
      <c r="C170" s="14">
        <f>Table13468113456[[#This Row],[PMI]]-B169</f>
        <v>5.7999999999999972</v>
      </c>
    </row>
    <row r="171" spans="1:3" x14ac:dyDescent="0.2">
      <c r="A171" s="8">
        <v>44287</v>
      </c>
      <c r="B171" s="11">
        <f>IF(VLOOKUP(A171,'DB Country PMI'!$A:$W,MATCH($A$1,'DB Country PMI'!$A$1:$W$1,),)=0,#N/A,VLOOKUP(A171,'DB Country PMI'!$A:$W,MATCH($A$1,'DB Country PMI'!$A$1:$W$1,),))</f>
        <v>49.9</v>
      </c>
      <c r="C171" s="14">
        <f>Table13468113456[[#This Row],[PMI]]-B170</f>
        <v>-1.6000000000000014</v>
      </c>
    </row>
    <row r="172" spans="1:3" x14ac:dyDescent="0.2">
      <c r="A172" s="8">
        <v>44317</v>
      </c>
      <c r="B172" s="11">
        <f>IF(VLOOKUP(A172,'DB Country PMI'!$A:$W,MATCH($A$1,'DB Country PMI'!$A$1:$W$1,),)=0,#N/A,VLOOKUP(A172,'DB Country PMI'!$A:$W,MATCH($A$1,'DB Country PMI'!$A$1:$W$1,),))</f>
        <v>52.8</v>
      </c>
      <c r="C172" s="14">
        <f>Table13468113456[[#This Row],[PMI]]-B171</f>
        <v>2.8999999999999986</v>
      </c>
    </row>
    <row r="173" spans="1:3" x14ac:dyDescent="0.2">
      <c r="A173" s="8">
        <v>44348</v>
      </c>
      <c r="B173" s="11">
        <f>IF(VLOOKUP(A173,'DB Country PMI'!$A:$W,MATCH($A$1,'DB Country PMI'!$A$1:$W$1,),)=0,#N/A,VLOOKUP(A173,'DB Country PMI'!$A:$W,MATCH($A$1,'DB Country PMI'!$A$1:$W$1,),))</f>
        <v>57.5</v>
      </c>
      <c r="C173" s="14">
        <f>Table13468113456[[#This Row],[PMI]]-B172</f>
        <v>4.7000000000000028</v>
      </c>
    </row>
    <row r="174" spans="1:3" x14ac:dyDescent="0.2">
      <c r="A174" s="8">
        <v>44378</v>
      </c>
      <c r="B174" s="11">
        <f>IF(VLOOKUP(A174,'DB Country PMI'!$A:$W,MATCH($A$1,'DB Country PMI'!$A$1:$W$1,),)=0,#N/A,VLOOKUP(A174,'DB Country PMI'!$A:$W,MATCH($A$1,'DB Country PMI'!$A$1:$W$1,),))</f>
        <v>61.8</v>
      </c>
      <c r="C174" s="14">
        <f>Table13468113456[[#This Row],[PMI]]-B173</f>
        <v>4.2999999999999972</v>
      </c>
    </row>
    <row r="175" spans="1:3" x14ac:dyDescent="0.2">
      <c r="A175" s="8">
        <v>44409</v>
      </c>
      <c r="B175" s="11">
        <f>IF(VLOOKUP(A175,'DB Country PMI'!$A:$W,MATCH($A$1,'DB Country PMI'!$A$1:$W$1,),)=0,#N/A,VLOOKUP(A175,'DB Country PMI'!$A:$W,MATCH($A$1,'DB Country PMI'!$A$1:$W$1,),))</f>
        <v>60.8</v>
      </c>
      <c r="C175" s="14">
        <f>Table13468113456[[#This Row],[PMI]]-B174</f>
        <v>-1</v>
      </c>
    </row>
    <row r="176" spans="1:3" x14ac:dyDescent="0.2">
      <c r="A176" s="8">
        <v>44440</v>
      </c>
      <c r="B176" s="11">
        <f>IF(VLOOKUP(A176,'DB Country PMI'!$A:$W,MATCH($A$1,'DB Country PMI'!$A$1:$W$1,),)=0,#N/A,VLOOKUP(A176,'DB Country PMI'!$A:$W,MATCH($A$1,'DB Country PMI'!$A$1:$W$1,),))</f>
        <v>56.2</v>
      </c>
      <c r="C176" s="14">
        <f>Table13468113456[[#This Row],[PMI]]-B175</f>
        <v>-4.5999999999999943</v>
      </c>
    </row>
    <row r="177" spans="1:3" x14ac:dyDescent="0.2">
      <c r="A177" s="8">
        <v>44470</v>
      </c>
      <c r="B177" s="11">
        <f>IF(VLOOKUP(A177,'DB Country PMI'!$A:$W,MATCH($A$1,'DB Country PMI'!$A$1:$W$1,),)=0,#N/A,VLOOKUP(A177,'DB Country PMI'!$A:$W,MATCH($A$1,'DB Country PMI'!$A$1:$W$1,),))</f>
        <v>52.4</v>
      </c>
      <c r="C177" s="14">
        <f>Table13468113456[[#This Row],[PMI]]-B176</f>
        <v>-3.8000000000000043</v>
      </c>
    </row>
    <row r="178" spans="1:3" x14ac:dyDescent="0.2">
      <c r="A178" s="8">
        <v>44501</v>
      </c>
      <c r="B178" s="11">
        <f>IF(VLOOKUP(A178,'DB Country PMI'!$A:$W,MATCH($A$1,'DB Country PMI'!$A$1:$W$1,),)=0,#N/A,VLOOKUP(A178,'DB Country PMI'!$A:$W,MATCH($A$1,'DB Country PMI'!$A$1:$W$1,),))</f>
        <v>52.7</v>
      </c>
      <c r="C178" s="14">
        <f>Table13468113456[[#This Row],[PMI]]-B177</f>
        <v>0.30000000000000426</v>
      </c>
    </row>
    <row r="179" spans="1:3" x14ac:dyDescent="0.2">
      <c r="A179" s="8">
        <v>44531</v>
      </c>
      <c r="B179" s="11">
        <f>IF(VLOOKUP(A179,'DB Country PMI'!$A:$W,MATCH($A$1,'DB Country PMI'!$A$1:$W$1,),)=0,#N/A,VLOOKUP(A179,'DB Country PMI'!$A:$W,MATCH($A$1,'DB Country PMI'!$A$1:$W$1,),))</f>
        <v>48.7</v>
      </c>
      <c r="C179" s="14">
        <f>Table13468113456[[#This Row],[PMI]]-B178</f>
        <v>-4</v>
      </c>
    </row>
    <row r="180" spans="1:3" x14ac:dyDescent="0.2">
      <c r="A180" s="8">
        <v>44562</v>
      </c>
      <c r="B180" s="11">
        <f>IF(VLOOKUP(A180,'DB Country PMI'!$A:$W,MATCH($A$1,'DB Country PMI'!$A$1:$W$1,),)=0,#N/A,VLOOKUP(A180,'DB Country PMI'!$A:$W,MATCH($A$1,'DB Country PMI'!$A$1:$W$1,),))</f>
        <v>52.2</v>
      </c>
      <c r="C180" s="14">
        <f>Table13468113456[[#This Row],[PMI]]-B179</f>
        <v>3.5</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44</v>
      </c>
      <c r="J1" s="47" t="s">
        <v>61</v>
      </c>
    </row>
    <row r="2" spans="1:10" x14ac:dyDescent="0.2">
      <c r="J2" s="47" t="s">
        <v>67</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53.2</v>
      </c>
      <c r="C6" s="11"/>
    </row>
    <row r="7" spans="1:10" x14ac:dyDescent="0.2">
      <c r="A7" s="8">
        <v>40483</v>
      </c>
      <c r="B7" s="11">
        <f>IF(VLOOKUP(A7,'DB Country PMI'!$A:$W,MATCH($A$1,'DB Country PMI'!$A$1:$W$1,),)=0,#N/A,VLOOKUP(A7,'DB Country PMI'!$A:$W,MATCH($A$1,'DB Country PMI'!$A$1:$W$1,),))</f>
        <v>53</v>
      </c>
      <c r="C7" s="14">
        <f>Table1346811345671012131415[[#This Row],[PMI]]-B6</f>
        <v>-0.20000000000000284</v>
      </c>
    </row>
    <row r="8" spans="1:10" x14ac:dyDescent="0.2">
      <c r="A8" s="8">
        <v>40513</v>
      </c>
      <c r="B8" s="11">
        <f>IF(VLOOKUP(A8,'DB Country PMI'!$A:$W,MATCH($A$1,'DB Country PMI'!$A$1:$W$1,),)=0,#N/A,VLOOKUP(A8,'DB Country PMI'!$A:$W,MATCH($A$1,'DB Country PMI'!$A$1:$W$1,),))</f>
        <v>53.9</v>
      </c>
      <c r="C8" s="14">
        <f>Table1346811345671012131415[[#This Row],[PMI]]-B7</f>
        <v>0.89999999999999858</v>
      </c>
    </row>
    <row r="9" spans="1:10" x14ac:dyDescent="0.2">
      <c r="A9" s="8">
        <v>40544</v>
      </c>
      <c r="B9" s="11">
        <f>IF(VLOOKUP(A9,'DB Country PMI'!$A:$W,MATCH($A$1,'DB Country PMI'!$A$1:$W$1,),)=0,#N/A,VLOOKUP(A9,'DB Country PMI'!$A:$W,MATCH($A$1,'DB Country PMI'!$A$1:$W$1,),))</f>
        <v>54.5</v>
      </c>
      <c r="C9" s="14">
        <f>Table1346811345671012131415[[#This Row],[PMI]]-B8</f>
        <v>0.60000000000000142</v>
      </c>
    </row>
    <row r="10" spans="1:10" x14ac:dyDescent="0.2">
      <c r="A10" s="8">
        <v>40575</v>
      </c>
      <c r="B10" s="11">
        <f>IF(VLOOKUP(A10,'DB Country PMI'!$A:$W,MATCH($A$1,'DB Country PMI'!$A$1:$W$1,),)=0,#N/A,VLOOKUP(A10,'DB Country PMI'!$A:$W,MATCH($A$1,'DB Country PMI'!$A$1:$W$1,),))</f>
        <v>52.6</v>
      </c>
      <c r="C10" s="14">
        <f>Table1346811345671012131415[[#This Row],[PMI]]-B9</f>
        <v>-1.8999999999999986</v>
      </c>
    </row>
    <row r="11" spans="1:10" x14ac:dyDescent="0.2">
      <c r="A11" s="8">
        <v>40603</v>
      </c>
      <c r="B11" s="11">
        <f>IF(VLOOKUP(A11,'DB Country PMI'!$A:$W,MATCH($A$1,'DB Country PMI'!$A$1:$W$1,),)=0,#N/A,VLOOKUP(A11,'DB Country PMI'!$A:$W,MATCH($A$1,'DB Country PMI'!$A$1:$W$1,),))</f>
        <v>57.1</v>
      </c>
      <c r="C11" s="14">
        <f>Table1346811345671012131415[[#This Row],[PMI]]-B10</f>
        <v>4.5</v>
      </c>
    </row>
    <row r="12" spans="1:10" x14ac:dyDescent="0.2">
      <c r="A12" s="8">
        <v>40634</v>
      </c>
      <c r="B12" s="11">
        <f>IF(VLOOKUP(A12,'DB Country PMI'!$A:$W,MATCH($A$1,'DB Country PMI'!$A$1:$W$1,),)=0,#N/A,VLOOKUP(A12,'DB Country PMI'!$A:$W,MATCH($A$1,'DB Country PMI'!$A$1:$W$1,),))</f>
        <v>54.3</v>
      </c>
      <c r="C12" s="14">
        <f>Table1346811345671012131415[[#This Row],[PMI]]-B11</f>
        <v>-2.8000000000000043</v>
      </c>
    </row>
    <row r="13" spans="1:10" x14ac:dyDescent="0.2">
      <c r="A13" s="8">
        <v>40664</v>
      </c>
      <c r="B13" s="11">
        <f>IF(VLOOKUP(A13,'DB Country PMI'!$A:$W,MATCH($A$1,'DB Country PMI'!$A$1:$W$1,),)=0,#N/A,VLOOKUP(A13,'DB Country PMI'!$A:$W,MATCH($A$1,'DB Country PMI'!$A$1:$W$1,),))</f>
        <v>53.8</v>
      </c>
      <c r="C13" s="14">
        <f>Table1346811345671012131415[[#This Row],[PMI]]-B12</f>
        <v>-0.5</v>
      </c>
    </row>
    <row r="14" spans="1:10" x14ac:dyDescent="0.2">
      <c r="A14" s="8">
        <v>40695</v>
      </c>
      <c r="B14" s="11">
        <f>IF(VLOOKUP(A14,'DB Country PMI'!$A:$W,MATCH($A$1,'DB Country PMI'!$A$1:$W$1,),)=0,#N/A,VLOOKUP(A14,'DB Country PMI'!$A:$W,MATCH($A$1,'DB Country PMI'!$A$1:$W$1,),))</f>
        <v>53.9</v>
      </c>
      <c r="C14" s="14">
        <f>Table1346811345671012131415[[#This Row],[PMI]]-B13</f>
        <v>0.10000000000000142</v>
      </c>
    </row>
    <row r="15" spans="1:10" x14ac:dyDescent="0.2">
      <c r="A15" s="8">
        <v>40725</v>
      </c>
      <c r="B15" s="11">
        <f>IF(VLOOKUP(A15,'DB Country PMI'!$A:$W,MATCH($A$1,'DB Country PMI'!$A$1:$W$1,),)=0,#N/A,VLOOKUP(A15,'DB Country PMI'!$A:$W,MATCH($A$1,'DB Country PMI'!$A$1:$W$1,),))</f>
        <v>55.4</v>
      </c>
      <c r="C15" s="14">
        <f>Table1346811345671012131415[[#This Row],[PMI]]-B14</f>
        <v>1.5</v>
      </c>
    </row>
    <row r="16" spans="1:10" x14ac:dyDescent="0.2">
      <c r="A16" s="8">
        <v>40756</v>
      </c>
      <c r="B16" s="11">
        <f>IF(VLOOKUP(A16,'DB Country PMI'!$A:$W,MATCH($A$1,'DB Country PMI'!$A$1:$W$1,),)=0,#N/A,VLOOKUP(A16,'DB Country PMI'!$A:$W,MATCH($A$1,'DB Country PMI'!$A$1:$W$1,),))</f>
        <v>51.1</v>
      </c>
      <c r="C16" s="14">
        <f>Table1346811345671012131415[[#This Row],[PMI]]-B15</f>
        <v>-4.2999999999999972</v>
      </c>
    </row>
    <row r="17" spans="1:3" x14ac:dyDescent="0.2">
      <c r="A17" s="8">
        <v>40787</v>
      </c>
      <c r="B17" s="11">
        <f>IF(VLOOKUP(A17,'DB Country PMI'!$A:$W,MATCH($A$1,'DB Country PMI'!$A$1:$W$1,),)=0,#N/A,VLOOKUP(A17,'DB Country PMI'!$A:$W,MATCH($A$1,'DB Country PMI'!$A$1:$W$1,),))</f>
        <v>52.9</v>
      </c>
      <c r="C17" s="14">
        <f>Table1346811345671012131415[[#This Row],[PMI]]-B16</f>
        <v>1.7999999999999972</v>
      </c>
    </row>
    <row r="18" spans="1:3" x14ac:dyDescent="0.2">
      <c r="A18" s="8">
        <v>40817</v>
      </c>
      <c r="B18" s="11">
        <f>IF(VLOOKUP(A18,'DB Country PMI'!$A:$W,MATCH($A$1,'DB Country PMI'!$A$1:$W$1,),)=0,#N/A,VLOOKUP(A18,'DB Country PMI'!$A:$W,MATCH($A$1,'DB Country PMI'!$A$1:$W$1,),))</f>
        <v>51.3</v>
      </c>
      <c r="C18" s="14">
        <f>Table1346811345671012131415[[#This Row],[PMI]]-B17</f>
        <v>-1.6000000000000014</v>
      </c>
    </row>
    <row r="19" spans="1:3" x14ac:dyDescent="0.2">
      <c r="A19" s="8">
        <v>40848</v>
      </c>
      <c r="B19" s="11">
        <f>IF(VLOOKUP(A19,'DB Country PMI'!$A:$W,MATCH($A$1,'DB Country PMI'!$A$1:$W$1,),)=0,#N/A,VLOOKUP(A19,'DB Country PMI'!$A:$W,MATCH($A$1,'DB Country PMI'!$A$1:$W$1,),))</f>
        <v>52.1</v>
      </c>
      <c r="C19" s="14">
        <f>Table1346811345671012131415[[#This Row],[PMI]]-B18</f>
        <v>0.80000000000000426</v>
      </c>
    </row>
    <row r="20" spans="1:3" x14ac:dyDescent="0.2">
      <c r="A20" s="8">
        <v>40878</v>
      </c>
      <c r="B20" s="11">
        <f>IF(VLOOKUP(A20,'DB Country PMI'!$A:$W,MATCH($A$1,'DB Country PMI'!$A$1:$W$1,),)=0,#N/A,VLOOKUP(A20,'DB Country PMI'!$A:$W,MATCH($A$1,'DB Country PMI'!$A$1:$W$1,),))</f>
        <v>54</v>
      </c>
      <c r="C20" s="14">
        <f>Table1346811345671012131415[[#This Row],[PMI]]-B19</f>
        <v>1.8999999999999986</v>
      </c>
    </row>
    <row r="21" spans="1:3" x14ac:dyDescent="0.2">
      <c r="A21" s="8">
        <v>40909</v>
      </c>
      <c r="B21" s="11">
        <f>IF(VLOOKUP(A21,'DB Country PMI'!$A:$W,MATCH($A$1,'DB Country PMI'!$A$1:$W$1,),)=0,#N/A,VLOOKUP(A21,'DB Country PMI'!$A:$W,MATCH($A$1,'DB Country PMI'!$A$1:$W$1,),))</f>
        <v>56</v>
      </c>
      <c r="C21" s="14">
        <f>Table1346811345671012131415[[#This Row],[PMI]]-B20</f>
        <v>2</v>
      </c>
    </row>
    <row r="22" spans="1:3" x14ac:dyDescent="0.2">
      <c r="A22" s="8">
        <v>40940</v>
      </c>
      <c r="B22" s="11">
        <f>IF(VLOOKUP(A22,'DB Country PMI'!$A:$W,MATCH($A$1,'DB Country PMI'!$A$1:$W$1,),)=0,#N/A,VLOOKUP(A22,'DB Country PMI'!$A:$W,MATCH($A$1,'DB Country PMI'!$A$1:$W$1,),))</f>
        <v>53.8</v>
      </c>
      <c r="C22" s="14">
        <f>Table1346811345671012131415[[#This Row],[PMI]]-B21</f>
        <v>-2.2000000000000028</v>
      </c>
    </row>
    <row r="23" spans="1:3" x14ac:dyDescent="0.2">
      <c r="A23" s="8">
        <v>40969</v>
      </c>
      <c r="B23" s="11">
        <f>IF(VLOOKUP(A23,'DB Country PMI'!$A:$W,MATCH($A$1,'DB Country PMI'!$A$1:$W$1,),)=0,#N/A,VLOOKUP(A23,'DB Country PMI'!$A:$W,MATCH($A$1,'DB Country PMI'!$A$1:$W$1,),))</f>
        <v>55.3</v>
      </c>
      <c r="C23" s="14">
        <f>Table1346811345671012131415[[#This Row],[PMI]]-B22</f>
        <v>1.5</v>
      </c>
    </row>
    <row r="24" spans="1:3" x14ac:dyDescent="0.2">
      <c r="A24" s="8">
        <v>41000</v>
      </c>
      <c r="B24" s="11">
        <f>IF(VLOOKUP(A24,'DB Country PMI'!$A:$W,MATCH($A$1,'DB Country PMI'!$A$1:$W$1,),)=0,#N/A,VLOOKUP(A24,'DB Country PMI'!$A:$W,MATCH($A$1,'DB Country PMI'!$A$1:$W$1,),))</f>
        <v>53.3</v>
      </c>
      <c r="C24" s="14">
        <f>Table1346811345671012131415[[#This Row],[PMI]]-B23</f>
        <v>-2</v>
      </c>
    </row>
    <row r="25" spans="1:3" x14ac:dyDescent="0.2">
      <c r="A25" s="8">
        <v>41030</v>
      </c>
      <c r="B25" s="11">
        <f>IF(VLOOKUP(A25,'DB Country PMI'!$A:$W,MATCH($A$1,'DB Country PMI'!$A$1:$W$1,),)=0,#N/A,VLOOKUP(A25,'DB Country PMI'!$A:$W,MATCH($A$1,'DB Country PMI'!$A$1:$W$1,),))</f>
        <v>53.3</v>
      </c>
      <c r="C25" s="14">
        <f>Table1346811345671012131415[[#This Row],[PMI]]-B24</f>
        <v>0</v>
      </c>
    </row>
    <row r="26" spans="1:3" x14ac:dyDescent="0.2">
      <c r="A26" s="8">
        <v>41061</v>
      </c>
      <c r="B26" s="11">
        <f>IF(VLOOKUP(A26,'DB Country PMI'!$A:$W,MATCH($A$1,'DB Country PMI'!$A$1:$W$1,),)=0,#N/A,VLOOKUP(A26,'DB Country PMI'!$A:$W,MATCH($A$1,'DB Country PMI'!$A$1:$W$1,),))</f>
        <v>51.3</v>
      </c>
      <c r="C26" s="14">
        <f>Table1346811345671012131415[[#This Row],[PMI]]-B25</f>
        <v>-2</v>
      </c>
    </row>
    <row r="27" spans="1:3" x14ac:dyDescent="0.2">
      <c r="A27" s="8">
        <v>41091</v>
      </c>
      <c r="B27" s="11">
        <f>IF(VLOOKUP(A27,'DB Country PMI'!$A:$W,MATCH($A$1,'DB Country PMI'!$A$1:$W$1,),)=0,#N/A,VLOOKUP(A27,'DB Country PMI'!$A:$W,MATCH($A$1,'DB Country PMI'!$A$1:$W$1,),))</f>
        <v>51.3</v>
      </c>
      <c r="C27" s="14">
        <f>Table1346811345671012131415[[#This Row],[PMI]]-B26</f>
        <v>0</v>
      </c>
    </row>
    <row r="28" spans="1:3" x14ac:dyDescent="0.2">
      <c r="A28" s="8">
        <v>41122</v>
      </c>
      <c r="B28" s="11">
        <f>IF(VLOOKUP(A28,'DB Country PMI'!$A:$W,MATCH($A$1,'DB Country PMI'!$A$1:$W$1,),)=0,#N/A,VLOOKUP(A28,'DB Country PMI'!$A:$W,MATCH($A$1,'DB Country PMI'!$A$1:$W$1,),))</f>
        <v>51</v>
      </c>
      <c r="C28" s="14">
        <f>Table1346811345671012131415[[#This Row],[PMI]]-B27</f>
        <v>-0.29999999999999716</v>
      </c>
    </row>
    <row r="29" spans="1:3" x14ac:dyDescent="0.2">
      <c r="A29" s="8">
        <v>41153</v>
      </c>
      <c r="B29" s="11">
        <f>IF(VLOOKUP(A29,'DB Country PMI'!$A:$W,MATCH($A$1,'DB Country PMI'!$A$1:$W$1,),)=0,#N/A,VLOOKUP(A29,'DB Country PMI'!$A:$W,MATCH($A$1,'DB Country PMI'!$A$1:$W$1,),))</f>
        <v>53.7</v>
      </c>
      <c r="C29" s="14">
        <f>Table1346811345671012131415[[#This Row],[PMI]]-B28</f>
        <v>2.7000000000000028</v>
      </c>
    </row>
    <row r="30" spans="1:3" x14ac:dyDescent="0.2">
      <c r="A30" s="8">
        <v>41183</v>
      </c>
      <c r="B30" s="11">
        <f>IF(VLOOKUP(A30,'DB Country PMI'!$A:$W,MATCH($A$1,'DB Country PMI'!$A$1:$W$1,),)=0,#N/A,VLOOKUP(A30,'DB Country PMI'!$A:$W,MATCH($A$1,'DB Country PMI'!$A$1:$W$1,),))</f>
        <v>52.2</v>
      </c>
      <c r="C30" s="14">
        <f>Table1346811345671012131415[[#This Row],[PMI]]-B29</f>
        <v>-1.5</v>
      </c>
    </row>
    <row r="31" spans="1:3" x14ac:dyDescent="0.2">
      <c r="A31" s="8">
        <v>41214</v>
      </c>
      <c r="B31" s="11">
        <f>IF(VLOOKUP(A31,'DB Country PMI'!$A:$W,MATCH($A$1,'DB Country PMI'!$A$1:$W$1,),)=0,#N/A,VLOOKUP(A31,'DB Country PMI'!$A:$W,MATCH($A$1,'DB Country PMI'!$A$1:$W$1,),))</f>
        <v>50.6</v>
      </c>
      <c r="C31" s="14">
        <f>Table1346811345671012131415[[#This Row],[PMI]]-B30</f>
        <v>-1.6000000000000014</v>
      </c>
    </row>
    <row r="32" spans="1:3" x14ac:dyDescent="0.2">
      <c r="A32" s="8">
        <v>41244</v>
      </c>
      <c r="B32" s="11">
        <f>IF(VLOOKUP(A32,'DB Country PMI'!$A:$W,MATCH($A$1,'DB Country PMI'!$A$1:$W$1,),)=0,#N/A,VLOOKUP(A32,'DB Country PMI'!$A:$W,MATCH($A$1,'DB Country PMI'!$A$1:$W$1,),))</f>
        <v>50.2</v>
      </c>
      <c r="C32" s="14">
        <f>Table1346811345671012131415[[#This Row],[PMI]]-B31</f>
        <v>-0.39999999999999858</v>
      </c>
    </row>
    <row r="33" spans="1:3" x14ac:dyDescent="0.2">
      <c r="A33" s="8">
        <v>41275</v>
      </c>
      <c r="B33" s="11">
        <f>IF(VLOOKUP(A33,'DB Country PMI'!$A:$W,MATCH($A$1,'DB Country PMI'!$A$1:$W$1,),)=0,#N/A,VLOOKUP(A33,'DB Country PMI'!$A:$W,MATCH($A$1,'DB Country PMI'!$A$1:$W$1,),))</f>
        <v>51.5</v>
      </c>
      <c r="C33" s="14">
        <f>Table1346811345671012131415[[#This Row],[PMI]]-B32</f>
        <v>1.2999999999999972</v>
      </c>
    </row>
    <row r="34" spans="1:3" x14ac:dyDescent="0.2">
      <c r="A34" s="8">
        <v>41306</v>
      </c>
      <c r="B34" s="11">
        <f>IF(VLOOKUP(A34,'DB Country PMI'!$A:$W,MATCH($A$1,'DB Country PMI'!$A$1:$W$1,),)=0,#N/A,VLOOKUP(A34,'DB Country PMI'!$A:$W,MATCH($A$1,'DB Country PMI'!$A$1:$W$1,),))</f>
        <v>51.8</v>
      </c>
      <c r="C34" s="14">
        <f>Table1346811345671012131415[[#This Row],[PMI]]-B33</f>
        <v>0.29999999999999716</v>
      </c>
    </row>
    <row r="35" spans="1:3" x14ac:dyDescent="0.2">
      <c r="A35" s="8">
        <v>41334</v>
      </c>
      <c r="B35" s="11">
        <f>IF(VLOOKUP(A35,'DB Country PMI'!$A:$W,MATCH($A$1,'DB Country PMI'!$A$1:$W$1,),)=0,#N/A,VLOOKUP(A35,'DB Country PMI'!$A:$W,MATCH($A$1,'DB Country PMI'!$A$1:$W$1,),))</f>
        <v>52.4</v>
      </c>
      <c r="C35" s="14">
        <f>Table1346811345671012131415[[#This Row],[PMI]]-B34</f>
        <v>0.60000000000000142</v>
      </c>
    </row>
    <row r="36" spans="1:3" x14ac:dyDescent="0.2">
      <c r="A36" s="8">
        <v>41365</v>
      </c>
      <c r="B36" s="11">
        <f>IF(VLOOKUP(A36,'DB Country PMI'!$A:$W,MATCH($A$1,'DB Country PMI'!$A$1:$W$1,),)=0,#N/A,VLOOKUP(A36,'DB Country PMI'!$A:$W,MATCH($A$1,'DB Country PMI'!$A$1:$W$1,),))</f>
        <v>52.9</v>
      </c>
      <c r="C36" s="14">
        <f>Table1346811345671012131415[[#This Row],[PMI]]-B35</f>
        <v>0.5</v>
      </c>
    </row>
    <row r="37" spans="1:3" x14ac:dyDescent="0.2">
      <c r="A37" s="8">
        <v>41395</v>
      </c>
      <c r="B37" s="11">
        <f>IF(VLOOKUP(A37,'DB Country PMI'!$A:$W,MATCH($A$1,'DB Country PMI'!$A$1:$W$1,),)=0,#N/A,VLOOKUP(A37,'DB Country PMI'!$A:$W,MATCH($A$1,'DB Country PMI'!$A$1:$W$1,),))</f>
        <v>54.9</v>
      </c>
      <c r="C37" s="14">
        <f>Table1346811345671012131415[[#This Row],[PMI]]-B36</f>
        <v>2</v>
      </c>
    </row>
    <row r="38" spans="1:3" x14ac:dyDescent="0.2">
      <c r="A38" s="8">
        <v>41426</v>
      </c>
      <c r="B38" s="11">
        <f>IF(VLOOKUP(A38,'DB Country PMI'!$A:$W,MATCH($A$1,'DB Country PMI'!$A$1:$W$1,),)=0,#N/A,VLOOKUP(A38,'DB Country PMI'!$A:$W,MATCH($A$1,'DB Country PMI'!$A$1:$W$1,),))</f>
        <v>56.9</v>
      </c>
      <c r="C38" s="14">
        <f>Table1346811345671012131415[[#This Row],[PMI]]-B37</f>
        <v>2</v>
      </c>
    </row>
    <row r="39" spans="1:3" x14ac:dyDescent="0.2">
      <c r="A39" s="8">
        <v>41456</v>
      </c>
      <c r="B39" s="11">
        <f>IF(VLOOKUP(A39,'DB Country PMI'!$A:$W,MATCH($A$1,'DB Country PMI'!$A$1:$W$1,),)=0,#N/A,VLOOKUP(A39,'DB Country PMI'!$A:$W,MATCH($A$1,'DB Country PMI'!$A$1:$W$1,),))</f>
        <v>60.2</v>
      </c>
      <c r="C39" s="14">
        <f>Table1346811345671012131415[[#This Row],[PMI]]-B38</f>
        <v>3.3000000000000043</v>
      </c>
    </row>
    <row r="40" spans="1:3" x14ac:dyDescent="0.2">
      <c r="A40" s="8">
        <v>41487</v>
      </c>
      <c r="B40" s="11">
        <f>IF(VLOOKUP(A40,'DB Country PMI'!$A:$W,MATCH($A$1,'DB Country PMI'!$A$1:$W$1,),)=0,#N/A,VLOOKUP(A40,'DB Country PMI'!$A:$W,MATCH($A$1,'DB Country PMI'!$A$1:$W$1,),))</f>
        <v>60.5</v>
      </c>
      <c r="C40" s="14">
        <f>Table1346811345671012131415[[#This Row],[PMI]]-B39</f>
        <v>0.29999999999999716</v>
      </c>
    </row>
    <row r="41" spans="1:3" x14ac:dyDescent="0.2">
      <c r="A41" s="8">
        <v>41518</v>
      </c>
      <c r="B41" s="11">
        <f>IF(VLOOKUP(A41,'DB Country PMI'!$A:$W,MATCH($A$1,'DB Country PMI'!$A$1:$W$1,),)=0,#N/A,VLOOKUP(A41,'DB Country PMI'!$A:$W,MATCH($A$1,'DB Country PMI'!$A$1:$W$1,),))</f>
        <v>60.3</v>
      </c>
      <c r="C41" s="14">
        <f>Table1346811345671012131415[[#This Row],[PMI]]-B40</f>
        <v>-0.20000000000000284</v>
      </c>
    </row>
    <row r="42" spans="1:3" x14ac:dyDescent="0.2">
      <c r="A42" s="8">
        <v>41548</v>
      </c>
      <c r="B42" s="11">
        <f>IF(VLOOKUP(A42,'DB Country PMI'!$A:$W,MATCH($A$1,'DB Country PMI'!$A$1:$W$1,),)=0,#N/A,VLOOKUP(A42,'DB Country PMI'!$A:$W,MATCH($A$1,'DB Country PMI'!$A$1:$W$1,),))</f>
        <v>62.5</v>
      </c>
      <c r="C42" s="14">
        <f>Table1346811345671012131415[[#This Row],[PMI]]-B41</f>
        <v>2.2000000000000028</v>
      </c>
    </row>
    <row r="43" spans="1:3" x14ac:dyDescent="0.2">
      <c r="A43" s="8">
        <v>41579</v>
      </c>
      <c r="B43" s="11">
        <f>IF(VLOOKUP(A43,'DB Country PMI'!$A:$W,MATCH($A$1,'DB Country PMI'!$A$1:$W$1,),)=0,#N/A,VLOOKUP(A43,'DB Country PMI'!$A:$W,MATCH($A$1,'DB Country PMI'!$A$1:$W$1,),))</f>
        <v>60</v>
      </c>
      <c r="C43" s="14">
        <f>Table1346811345671012131415[[#This Row],[PMI]]-B42</f>
        <v>-2.5</v>
      </c>
    </row>
    <row r="44" spans="1:3" x14ac:dyDescent="0.2">
      <c r="A44" s="8">
        <v>41609</v>
      </c>
      <c r="B44" s="11">
        <f>IF(VLOOKUP(A44,'DB Country PMI'!$A:$W,MATCH($A$1,'DB Country PMI'!$A$1:$W$1,),)=0,#N/A,VLOOKUP(A44,'DB Country PMI'!$A:$W,MATCH($A$1,'DB Country PMI'!$A$1:$W$1,),))</f>
        <v>58.8</v>
      </c>
      <c r="C44" s="14">
        <f>Table1346811345671012131415[[#This Row],[PMI]]-B43</f>
        <v>-1.2000000000000028</v>
      </c>
    </row>
    <row r="45" spans="1:3" x14ac:dyDescent="0.2">
      <c r="A45" s="8">
        <v>41640</v>
      </c>
      <c r="B45" s="11">
        <f>IF(VLOOKUP(A45,'DB Country PMI'!$A:$W,MATCH($A$1,'DB Country PMI'!$A$1:$W$1,),)=0,#N/A,VLOOKUP(A45,'DB Country PMI'!$A:$W,MATCH($A$1,'DB Country PMI'!$A$1:$W$1,),))</f>
        <v>58.3</v>
      </c>
      <c r="C45" s="14">
        <f>Table1346811345671012131415[[#This Row],[PMI]]-B44</f>
        <v>-0.5</v>
      </c>
    </row>
    <row r="46" spans="1:3" x14ac:dyDescent="0.2">
      <c r="A46" s="8">
        <v>41671</v>
      </c>
      <c r="B46" s="11">
        <f>IF(VLOOKUP(A46,'DB Country PMI'!$A:$W,MATCH($A$1,'DB Country PMI'!$A$1:$W$1,),)=0,#N/A,VLOOKUP(A46,'DB Country PMI'!$A:$W,MATCH($A$1,'DB Country PMI'!$A$1:$W$1,),))</f>
        <v>58.2</v>
      </c>
      <c r="C46" s="14">
        <f>Table1346811345671012131415[[#This Row],[PMI]]-B45</f>
        <v>-9.9999999999994316E-2</v>
      </c>
    </row>
    <row r="47" spans="1:3" x14ac:dyDescent="0.2">
      <c r="A47" s="8">
        <v>41699</v>
      </c>
      <c r="B47" s="11">
        <f>IF(VLOOKUP(A47,'DB Country PMI'!$A:$W,MATCH($A$1,'DB Country PMI'!$A$1:$W$1,),)=0,#N/A,VLOOKUP(A47,'DB Country PMI'!$A:$W,MATCH($A$1,'DB Country PMI'!$A$1:$W$1,),))</f>
        <v>57.6</v>
      </c>
      <c r="C47" s="14">
        <f>Table1346811345671012131415[[#This Row],[PMI]]-B46</f>
        <v>-0.60000000000000142</v>
      </c>
    </row>
    <row r="48" spans="1:3" x14ac:dyDescent="0.2">
      <c r="A48" s="8">
        <v>41730</v>
      </c>
      <c r="B48" s="11">
        <f>IF(VLOOKUP(A48,'DB Country PMI'!$A:$W,MATCH($A$1,'DB Country PMI'!$A$1:$W$1,),)=0,#N/A,VLOOKUP(A48,'DB Country PMI'!$A:$W,MATCH($A$1,'DB Country PMI'!$A$1:$W$1,),))</f>
        <v>58.7</v>
      </c>
      <c r="C48" s="14">
        <f>Table1346811345671012131415[[#This Row],[PMI]]-B47</f>
        <v>1.1000000000000014</v>
      </c>
    </row>
    <row r="49" spans="1:3" x14ac:dyDescent="0.2">
      <c r="A49" s="8">
        <v>41760</v>
      </c>
      <c r="B49" s="11">
        <f>IF(VLOOKUP(A49,'DB Country PMI'!$A:$W,MATCH($A$1,'DB Country PMI'!$A$1:$W$1,),)=0,#N/A,VLOOKUP(A49,'DB Country PMI'!$A:$W,MATCH($A$1,'DB Country PMI'!$A$1:$W$1,),))</f>
        <v>58.6</v>
      </c>
      <c r="C49" s="14">
        <f>Table1346811345671012131415[[#This Row],[PMI]]-B48</f>
        <v>-0.10000000000000142</v>
      </c>
    </row>
    <row r="50" spans="1:3" x14ac:dyDescent="0.2">
      <c r="A50" s="8">
        <v>41791</v>
      </c>
      <c r="B50" s="11">
        <f>IF(VLOOKUP(A50,'DB Country PMI'!$A:$W,MATCH($A$1,'DB Country PMI'!$A$1:$W$1,),)=0,#N/A,VLOOKUP(A50,'DB Country PMI'!$A:$W,MATCH($A$1,'DB Country PMI'!$A$1:$W$1,),))</f>
        <v>57.7</v>
      </c>
      <c r="C50" s="14">
        <f>Table1346811345671012131415[[#This Row],[PMI]]-B49</f>
        <v>-0.89999999999999858</v>
      </c>
    </row>
    <row r="51" spans="1:3" x14ac:dyDescent="0.2">
      <c r="A51" s="8">
        <v>41821</v>
      </c>
      <c r="B51" s="11">
        <f>IF(VLOOKUP(A51,'DB Country PMI'!$A:$W,MATCH($A$1,'DB Country PMI'!$A$1:$W$1,),)=0,#N/A,VLOOKUP(A51,'DB Country PMI'!$A:$W,MATCH($A$1,'DB Country PMI'!$A$1:$W$1,),))</f>
        <v>59.1</v>
      </c>
      <c r="C51" s="14">
        <f>Table1346811345671012131415[[#This Row],[PMI]]-B50</f>
        <v>1.3999999999999986</v>
      </c>
    </row>
    <row r="52" spans="1:3" x14ac:dyDescent="0.2">
      <c r="A52" s="8">
        <v>41852</v>
      </c>
      <c r="B52" s="11">
        <f>IF(VLOOKUP(A52,'DB Country PMI'!$A:$W,MATCH($A$1,'DB Country PMI'!$A$1:$W$1,),)=0,#N/A,VLOOKUP(A52,'DB Country PMI'!$A:$W,MATCH($A$1,'DB Country PMI'!$A$1:$W$1,),))</f>
        <v>60.5</v>
      </c>
      <c r="C52" s="14">
        <f>Table1346811345671012131415[[#This Row],[PMI]]-B51</f>
        <v>1.3999999999999986</v>
      </c>
    </row>
    <row r="53" spans="1:3" x14ac:dyDescent="0.2">
      <c r="A53" s="8">
        <v>41883</v>
      </c>
      <c r="B53" s="11">
        <f>IF(VLOOKUP(A53,'DB Country PMI'!$A:$W,MATCH($A$1,'DB Country PMI'!$A$1:$W$1,),)=0,#N/A,VLOOKUP(A53,'DB Country PMI'!$A:$W,MATCH($A$1,'DB Country PMI'!$A$1:$W$1,),))</f>
        <v>58.7</v>
      </c>
      <c r="C53" s="14">
        <f>Table1346811345671012131415[[#This Row],[PMI]]-B52</f>
        <v>-1.7999999999999972</v>
      </c>
    </row>
    <row r="54" spans="1:3" x14ac:dyDescent="0.2">
      <c r="A54" s="8">
        <v>41913</v>
      </c>
      <c r="B54" s="11">
        <f>IF(VLOOKUP(A54,'DB Country PMI'!$A:$W,MATCH($A$1,'DB Country PMI'!$A$1:$W$1,),)=0,#N/A,VLOOKUP(A54,'DB Country PMI'!$A:$W,MATCH($A$1,'DB Country PMI'!$A$1:$W$1,),))</f>
        <v>56.2</v>
      </c>
      <c r="C54" s="14">
        <f>Table1346811345671012131415[[#This Row],[PMI]]-B53</f>
        <v>-2.5</v>
      </c>
    </row>
    <row r="55" spans="1:3" x14ac:dyDescent="0.2">
      <c r="A55" s="8">
        <v>41944</v>
      </c>
      <c r="B55" s="11">
        <f>IF(VLOOKUP(A55,'DB Country PMI'!$A:$W,MATCH($A$1,'DB Country PMI'!$A$1:$W$1,),)=0,#N/A,VLOOKUP(A55,'DB Country PMI'!$A:$W,MATCH($A$1,'DB Country PMI'!$A$1:$W$1,),))</f>
        <v>58.6</v>
      </c>
      <c r="C55" s="14">
        <f>Table1346811345671012131415[[#This Row],[PMI]]-B54</f>
        <v>2.3999999999999986</v>
      </c>
    </row>
    <row r="56" spans="1:3" x14ac:dyDescent="0.2">
      <c r="A56" s="8">
        <v>41974</v>
      </c>
      <c r="B56" s="11">
        <f>IF(VLOOKUP(A56,'DB Country PMI'!$A:$W,MATCH($A$1,'DB Country PMI'!$A$1:$W$1,),)=0,#N/A,VLOOKUP(A56,'DB Country PMI'!$A:$W,MATCH($A$1,'DB Country PMI'!$A$1:$W$1,),))</f>
        <v>55.8</v>
      </c>
      <c r="C56" s="14">
        <f>Table1346811345671012131415[[#This Row],[PMI]]-B55</f>
        <v>-2.8000000000000043</v>
      </c>
    </row>
    <row r="57" spans="1:3" x14ac:dyDescent="0.2">
      <c r="A57" s="8">
        <v>42005</v>
      </c>
      <c r="B57" s="11">
        <f>IF(VLOOKUP(A57,'DB Country PMI'!$A:$W,MATCH($A$1,'DB Country PMI'!$A$1:$W$1,),)=0,#N/A,VLOOKUP(A57,'DB Country PMI'!$A:$W,MATCH($A$1,'DB Country PMI'!$A$1:$W$1,),))</f>
        <v>57.2</v>
      </c>
      <c r="C57" s="14">
        <f>Table1346811345671012131415[[#This Row],[PMI]]-B56</f>
        <v>1.4000000000000057</v>
      </c>
    </row>
    <row r="58" spans="1:3" x14ac:dyDescent="0.2">
      <c r="A58" s="8">
        <v>42036</v>
      </c>
      <c r="B58" s="11">
        <f>IF(VLOOKUP(A58,'DB Country PMI'!$A:$W,MATCH($A$1,'DB Country PMI'!$A$1:$W$1,),)=0,#N/A,VLOOKUP(A58,'DB Country PMI'!$A:$W,MATCH($A$1,'DB Country PMI'!$A$1:$W$1,),))</f>
        <v>56.7</v>
      </c>
      <c r="C58" s="14">
        <f>Table1346811345671012131415[[#This Row],[PMI]]-B57</f>
        <v>-0.5</v>
      </c>
    </row>
    <row r="59" spans="1:3" x14ac:dyDescent="0.2">
      <c r="A59" s="8">
        <v>42064</v>
      </c>
      <c r="B59" s="11">
        <f>IF(VLOOKUP(A59,'DB Country PMI'!$A:$W,MATCH($A$1,'DB Country PMI'!$A$1:$W$1,),)=0,#N/A,VLOOKUP(A59,'DB Country PMI'!$A:$W,MATCH($A$1,'DB Country PMI'!$A$1:$W$1,),))</f>
        <v>58.9</v>
      </c>
      <c r="C59" s="14">
        <f>Table1346811345671012131415[[#This Row],[PMI]]-B58</f>
        <v>2.1999999999999957</v>
      </c>
    </row>
    <row r="60" spans="1:3" x14ac:dyDescent="0.2">
      <c r="A60" s="8">
        <v>42095</v>
      </c>
      <c r="B60" s="11">
        <f>IF(VLOOKUP(A60,'DB Country PMI'!$A:$W,MATCH($A$1,'DB Country PMI'!$A$1:$W$1,),)=0,#N/A,VLOOKUP(A60,'DB Country PMI'!$A:$W,MATCH($A$1,'DB Country PMI'!$A$1:$W$1,),))</f>
        <v>59.5</v>
      </c>
      <c r="C60" s="14">
        <f>Table1346811345671012131415[[#This Row],[PMI]]-B59</f>
        <v>0.60000000000000142</v>
      </c>
    </row>
    <row r="61" spans="1:3" x14ac:dyDescent="0.2">
      <c r="A61" s="8">
        <v>42125</v>
      </c>
      <c r="B61" s="11">
        <f>IF(VLOOKUP(A61,'DB Country PMI'!$A:$W,MATCH($A$1,'DB Country PMI'!$A$1:$W$1,),)=0,#N/A,VLOOKUP(A61,'DB Country PMI'!$A:$W,MATCH($A$1,'DB Country PMI'!$A$1:$W$1,),))</f>
        <v>56.5</v>
      </c>
      <c r="C61" s="14">
        <f>Table1346811345671012131415[[#This Row],[PMI]]-B60</f>
        <v>-3</v>
      </c>
    </row>
    <row r="62" spans="1:3" x14ac:dyDescent="0.2">
      <c r="A62" s="8">
        <v>42156</v>
      </c>
      <c r="B62" s="11">
        <f>IF(VLOOKUP(A62,'DB Country PMI'!$A:$W,MATCH($A$1,'DB Country PMI'!$A$1:$W$1,),)=0,#N/A,VLOOKUP(A62,'DB Country PMI'!$A:$W,MATCH($A$1,'DB Country PMI'!$A$1:$W$1,),))</f>
        <v>58.5</v>
      </c>
      <c r="C62" s="14">
        <f>Table1346811345671012131415[[#This Row],[PMI]]-B61</f>
        <v>2</v>
      </c>
    </row>
    <row r="63" spans="1:3" x14ac:dyDescent="0.2">
      <c r="A63" s="8">
        <v>42186</v>
      </c>
      <c r="B63" s="11">
        <f>IF(VLOOKUP(A63,'DB Country PMI'!$A:$W,MATCH($A$1,'DB Country PMI'!$A$1:$W$1,),)=0,#N/A,VLOOKUP(A63,'DB Country PMI'!$A:$W,MATCH($A$1,'DB Country PMI'!$A$1:$W$1,),))</f>
        <v>57.4</v>
      </c>
      <c r="C63" s="14">
        <f>Table1346811345671012131415[[#This Row],[PMI]]-B62</f>
        <v>-1.1000000000000014</v>
      </c>
    </row>
    <row r="64" spans="1:3" x14ac:dyDescent="0.2">
      <c r="A64" s="8">
        <v>42217</v>
      </c>
      <c r="B64" s="11">
        <f>IF(VLOOKUP(A64,'DB Country PMI'!$A:$W,MATCH($A$1,'DB Country PMI'!$A$1:$W$1,),)=0,#N/A,VLOOKUP(A64,'DB Country PMI'!$A:$W,MATCH($A$1,'DB Country PMI'!$A$1:$W$1,),))</f>
        <v>55.6</v>
      </c>
      <c r="C64" s="14">
        <f>Table1346811345671012131415[[#This Row],[PMI]]-B63</f>
        <v>-1.7999999999999972</v>
      </c>
    </row>
    <row r="65" spans="1:3" x14ac:dyDescent="0.2">
      <c r="A65" s="8">
        <v>42248</v>
      </c>
      <c r="B65" s="11">
        <f>IF(VLOOKUP(A65,'DB Country PMI'!$A:$W,MATCH($A$1,'DB Country PMI'!$A$1:$W$1,),)=0,#N/A,VLOOKUP(A65,'DB Country PMI'!$A:$W,MATCH($A$1,'DB Country PMI'!$A$1:$W$1,),))</f>
        <v>53.3</v>
      </c>
      <c r="C65" s="14">
        <f>Table1346811345671012131415[[#This Row],[PMI]]-B64</f>
        <v>-2.3000000000000043</v>
      </c>
    </row>
    <row r="66" spans="1:3" x14ac:dyDescent="0.2">
      <c r="A66" s="8">
        <v>42278</v>
      </c>
      <c r="B66" s="11">
        <f>IF(VLOOKUP(A66,'DB Country PMI'!$A:$W,MATCH($A$1,'DB Country PMI'!$A$1:$W$1,),)=0,#N/A,VLOOKUP(A66,'DB Country PMI'!$A:$W,MATCH($A$1,'DB Country PMI'!$A$1:$W$1,),))</f>
        <v>54.9</v>
      </c>
      <c r="C66" s="14">
        <f>Table1346811345671012131415[[#This Row],[PMI]]-B65</f>
        <v>1.6000000000000014</v>
      </c>
    </row>
    <row r="67" spans="1:3" x14ac:dyDescent="0.2">
      <c r="A67" s="8">
        <v>42309</v>
      </c>
      <c r="B67" s="11">
        <f>IF(VLOOKUP(A67,'DB Country PMI'!$A:$W,MATCH($A$1,'DB Country PMI'!$A$1:$W$1,),)=0,#N/A,VLOOKUP(A67,'DB Country PMI'!$A:$W,MATCH($A$1,'DB Country PMI'!$A$1:$W$1,),))</f>
        <v>55.9</v>
      </c>
      <c r="C67" s="14">
        <f>Table1346811345671012131415[[#This Row],[PMI]]-B66</f>
        <v>1</v>
      </c>
    </row>
    <row r="68" spans="1:3" x14ac:dyDescent="0.2">
      <c r="A68" s="8">
        <v>42339</v>
      </c>
      <c r="B68" s="11">
        <f>IF(VLOOKUP(A68,'DB Country PMI'!$A:$W,MATCH($A$1,'DB Country PMI'!$A$1:$W$1,),)=0,#N/A,VLOOKUP(A68,'DB Country PMI'!$A:$W,MATCH($A$1,'DB Country PMI'!$A$1:$W$1,),))</f>
        <v>55.5</v>
      </c>
      <c r="C68" s="14">
        <f>Table1346811345671012131415[[#This Row],[PMI]]-B67</f>
        <v>-0.39999999999999858</v>
      </c>
    </row>
    <row r="69" spans="1:3" x14ac:dyDescent="0.2">
      <c r="A69" s="8">
        <v>42370</v>
      </c>
      <c r="B69" s="11">
        <f>IF(VLOOKUP(A69,'DB Country PMI'!$A:$W,MATCH($A$1,'DB Country PMI'!$A$1:$W$1,),)=0,#N/A,VLOOKUP(A69,'DB Country PMI'!$A:$W,MATCH($A$1,'DB Country PMI'!$A$1:$W$1,),))</f>
        <v>55.6</v>
      </c>
      <c r="C69" s="14">
        <f>Table1346811345671012131415[[#This Row],[PMI]]-B68</f>
        <v>0.10000000000000142</v>
      </c>
    </row>
    <row r="70" spans="1:3" x14ac:dyDescent="0.2">
      <c r="A70" s="8">
        <v>42401</v>
      </c>
      <c r="B70" s="11">
        <f>IF(VLOOKUP(A70,'DB Country PMI'!$A:$W,MATCH($A$1,'DB Country PMI'!$A$1:$W$1,),)=0,#N/A,VLOOKUP(A70,'DB Country PMI'!$A:$W,MATCH($A$1,'DB Country PMI'!$A$1:$W$1,),))</f>
        <v>52.7</v>
      </c>
      <c r="C70" s="14">
        <f>Table1346811345671012131415[[#This Row],[PMI]]-B69</f>
        <v>-2.8999999999999986</v>
      </c>
    </row>
    <row r="71" spans="1:3" x14ac:dyDescent="0.2">
      <c r="A71" s="8">
        <v>42430</v>
      </c>
      <c r="B71" s="11">
        <f>IF(VLOOKUP(A71,'DB Country PMI'!$A:$W,MATCH($A$1,'DB Country PMI'!$A$1:$W$1,),)=0,#N/A,VLOOKUP(A71,'DB Country PMI'!$A:$W,MATCH($A$1,'DB Country PMI'!$A$1:$W$1,),))</f>
        <v>53.7</v>
      </c>
      <c r="C71" s="14">
        <f>Table1346811345671012131415[[#This Row],[PMI]]-B70</f>
        <v>1</v>
      </c>
    </row>
    <row r="72" spans="1:3" x14ac:dyDescent="0.2">
      <c r="A72" s="8">
        <v>42461</v>
      </c>
      <c r="B72" s="11">
        <f>IF(VLOOKUP(A72,'DB Country PMI'!$A:$W,MATCH($A$1,'DB Country PMI'!$A$1:$W$1,),)=0,#N/A,VLOOKUP(A72,'DB Country PMI'!$A:$W,MATCH($A$1,'DB Country PMI'!$A$1:$W$1,),))</f>
        <v>52.3</v>
      </c>
      <c r="C72" s="14">
        <f>Table1346811345671012131415[[#This Row],[PMI]]-B71</f>
        <v>-1.4000000000000057</v>
      </c>
    </row>
    <row r="73" spans="1:3" x14ac:dyDescent="0.2">
      <c r="A73" s="8">
        <v>42491</v>
      </c>
      <c r="B73" s="11">
        <f>IF(VLOOKUP(A73,'DB Country PMI'!$A:$W,MATCH($A$1,'DB Country PMI'!$A$1:$W$1,),)=0,#N/A,VLOOKUP(A73,'DB Country PMI'!$A:$W,MATCH($A$1,'DB Country PMI'!$A$1:$W$1,),))</f>
        <v>53.5</v>
      </c>
      <c r="C73" s="14">
        <f>Table1346811345671012131415[[#This Row],[PMI]]-B72</f>
        <v>1.2000000000000028</v>
      </c>
    </row>
    <row r="74" spans="1:3" x14ac:dyDescent="0.2">
      <c r="A74" s="8">
        <v>42522</v>
      </c>
      <c r="B74" s="11">
        <f>IF(VLOOKUP(A74,'DB Country PMI'!$A:$W,MATCH($A$1,'DB Country PMI'!$A$1:$W$1,),)=0,#N/A,VLOOKUP(A74,'DB Country PMI'!$A:$W,MATCH($A$1,'DB Country PMI'!$A$1:$W$1,),))</f>
        <v>52.3</v>
      </c>
      <c r="C74" s="14">
        <f>Table1346811345671012131415[[#This Row],[PMI]]-B73</f>
        <v>-1.2000000000000028</v>
      </c>
    </row>
    <row r="75" spans="1:3" x14ac:dyDescent="0.2">
      <c r="A75" s="8">
        <v>42552</v>
      </c>
      <c r="B75" s="11">
        <f>IF(VLOOKUP(A75,'DB Country PMI'!$A:$W,MATCH($A$1,'DB Country PMI'!$A$1:$W$1,),)=0,#N/A,VLOOKUP(A75,'DB Country PMI'!$A:$W,MATCH($A$1,'DB Country PMI'!$A$1:$W$1,),))</f>
        <v>47.4</v>
      </c>
      <c r="C75" s="14">
        <f>Table1346811345671012131415[[#This Row],[PMI]]-B74</f>
        <v>-4.8999999999999986</v>
      </c>
    </row>
    <row r="76" spans="1:3" x14ac:dyDescent="0.2">
      <c r="A76" s="8">
        <v>42583</v>
      </c>
      <c r="B76" s="11">
        <f>IF(VLOOKUP(A76,'DB Country PMI'!$A:$W,MATCH($A$1,'DB Country PMI'!$A$1:$W$1,),)=0,#N/A,VLOOKUP(A76,'DB Country PMI'!$A:$W,MATCH($A$1,'DB Country PMI'!$A$1:$W$1,),))</f>
        <v>52.9</v>
      </c>
      <c r="C76" s="14">
        <f>Table1346811345671012131415[[#This Row],[PMI]]-B75</f>
        <v>5.5</v>
      </c>
    </row>
    <row r="77" spans="1:3" x14ac:dyDescent="0.2">
      <c r="A77" s="8">
        <v>42614</v>
      </c>
      <c r="B77" s="11">
        <f>IF(VLOOKUP(A77,'DB Country PMI'!$A:$W,MATCH($A$1,'DB Country PMI'!$A$1:$W$1,),)=0,#N/A,VLOOKUP(A77,'DB Country PMI'!$A:$W,MATCH($A$1,'DB Country PMI'!$A$1:$W$1,),))</f>
        <v>52.6</v>
      </c>
      <c r="C77" s="14">
        <f>Table1346811345671012131415[[#This Row],[PMI]]-B76</f>
        <v>-0.29999999999999716</v>
      </c>
    </row>
    <row r="78" spans="1:3" x14ac:dyDescent="0.2">
      <c r="A78" s="8">
        <v>42644</v>
      </c>
      <c r="B78" s="11">
        <f>IF(VLOOKUP(A78,'DB Country PMI'!$A:$W,MATCH($A$1,'DB Country PMI'!$A$1:$W$1,),)=0,#N/A,VLOOKUP(A78,'DB Country PMI'!$A:$W,MATCH($A$1,'DB Country PMI'!$A$1:$W$1,),))</f>
        <v>54.5</v>
      </c>
      <c r="C78" s="14">
        <f>Table1346811345671012131415[[#This Row],[PMI]]-B77</f>
        <v>1.8999999999999986</v>
      </c>
    </row>
    <row r="79" spans="1:3" x14ac:dyDescent="0.2">
      <c r="A79" s="8">
        <v>42675</v>
      </c>
      <c r="B79" s="11">
        <f>IF(VLOOKUP(A79,'DB Country PMI'!$A:$W,MATCH($A$1,'DB Country PMI'!$A$1:$W$1,),)=0,#N/A,VLOOKUP(A79,'DB Country PMI'!$A:$W,MATCH($A$1,'DB Country PMI'!$A$1:$W$1,),))</f>
        <v>55.2</v>
      </c>
      <c r="C79" s="14">
        <f>Table1346811345671012131415[[#This Row],[PMI]]-B78</f>
        <v>0.70000000000000284</v>
      </c>
    </row>
    <row r="80" spans="1:3" x14ac:dyDescent="0.2">
      <c r="A80" s="8">
        <v>42705</v>
      </c>
      <c r="B80" s="11">
        <f>IF(VLOOKUP(A80,'DB Country PMI'!$A:$W,MATCH($A$1,'DB Country PMI'!$A$1:$W$1,),)=0,#N/A,VLOOKUP(A80,'DB Country PMI'!$A:$W,MATCH($A$1,'DB Country PMI'!$A$1:$W$1,),))</f>
        <v>56.2</v>
      </c>
      <c r="C80" s="14">
        <f>Table1346811345671012131415[[#This Row],[PMI]]-B79</f>
        <v>1</v>
      </c>
    </row>
    <row r="81" spans="1:3" x14ac:dyDescent="0.2">
      <c r="A81" s="8">
        <v>42736</v>
      </c>
      <c r="B81" s="11">
        <f>IF(VLOOKUP(A81,'DB Country PMI'!$A:$W,MATCH($A$1,'DB Country PMI'!$A$1:$W$1,),)=0,#N/A,VLOOKUP(A81,'DB Country PMI'!$A:$W,MATCH($A$1,'DB Country PMI'!$A$1:$W$1,),))</f>
        <v>54.5</v>
      </c>
      <c r="C81" s="14">
        <f>Table1346811345671012131415[[#This Row],[PMI]]-B80</f>
        <v>-1.7000000000000028</v>
      </c>
    </row>
    <row r="82" spans="1:3" x14ac:dyDescent="0.2">
      <c r="A82" s="8">
        <v>42767</v>
      </c>
      <c r="B82" s="11">
        <f>IF(VLOOKUP(A82,'DB Country PMI'!$A:$W,MATCH($A$1,'DB Country PMI'!$A$1:$W$1,),)=0,#N/A,VLOOKUP(A82,'DB Country PMI'!$A:$W,MATCH($A$1,'DB Country PMI'!$A$1:$W$1,),))</f>
        <v>53.3</v>
      </c>
      <c r="C82" s="14">
        <f>Table1346811345671012131415[[#This Row],[PMI]]-B81</f>
        <v>-1.2000000000000028</v>
      </c>
    </row>
    <row r="83" spans="1:3" x14ac:dyDescent="0.2">
      <c r="A83" s="8">
        <v>42795</v>
      </c>
      <c r="B83" s="11">
        <f>IF(VLOOKUP(A83,'DB Country PMI'!$A:$W,MATCH($A$1,'DB Country PMI'!$A$1:$W$1,),)=0,#N/A,VLOOKUP(A83,'DB Country PMI'!$A:$W,MATCH($A$1,'DB Country PMI'!$A$1:$W$1,),))</f>
        <v>55</v>
      </c>
      <c r="C83" s="14">
        <f>Table1346811345671012131415[[#This Row],[PMI]]-B82</f>
        <v>1.7000000000000028</v>
      </c>
    </row>
    <row r="84" spans="1:3" x14ac:dyDescent="0.2">
      <c r="A84" s="8">
        <v>42826</v>
      </c>
      <c r="B84" s="11">
        <f>IF(VLOOKUP(A84,'DB Country PMI'!$A:$W,MATCH($A$1,'DB Country PMI'!$A$1:$W$1,),)=0,#N/A,VLOOKUP(A84,'DB Country PMI'!$A:$W,MATCH($A$1,'DB Country PMI'!$A$1:$W$1,),))</f>
        <v>55.8</v>
      </c>
      <c r="C84" s="14">
        <f>Table1346811345671012131415[[#This Row],[PMI]]-B83</f>
        <v>0.79999999999999716</v>
      </c>
    </row>
    <row r="85" spans="1:3" x14ac:dyDescent="0.2">
      <c r="A85" s="8">
        <v>42856</v>
      </c>
      <c r="B85" s="11">
        <f>IF(VLOOKUP(A85,'DB Country PMI'!$A:$W,MATCH($A$1,'DB Country PMI'!$A$1:$W$1,),)=0,#N/A,VLOOKUP(A85,'DB Country PMI'!$A:$W,MATCH($A$1,'DB Country PMI'!$A$1:$W$1,),))</f>
        <v>53.8</v>
      </c>
      <c r="C85" s="14">
        <f>Table1346811345671012131415[[#This Row],[PMI]]-B84</f>
        <v>-2</v>
      </c>
    </row>
    <row r="86" spans="1:3" x14ac:dyDescent="0.2">
      <c r="A86" s="8">
        <v>42887</v>
      </c>
      <c r="B86" s="11">
        <f>IF(VLOOKUP(A86,'DB Country PMI'!$A:$W,MATCH($A$1,'DB Country PMI'!$A$1:$W$1,),)=0,#N/A,VLOOKUP(A86,'DB Country PMI'!$A:$W,MATCH($A$1,'DB Country PMI'!$A$1:$W$1,),))</f>
        <v>53.4</v>
      </c>
      <c r="C86" s="14">
        <f>Table1346811345671012131415[[#This Row],[PMI]]-B85</f>
        <v>-0.39999999999999858</v>
      </c>
    </row>
    <row r="87" spans="1:3" x14ac:dyDescent="0.2">
      <c r="A87" s="8">
        <v>42917</v>
      </c>
      <c r="B87" s="11">
        <f>IF(VLOOKUP(A87,'DB Country PMI'!$A:$W,MATCH($A$1,'DB Country PMI'!$A$1:$W$1,),)=0,#N/A,VLOOKUP(A87,'DB Country PMI'!$A:$W,MATCH($A$1,'DB Country PMI'!$A$1:$W$1,),))</f>
        <v>53.8</v>
      </c>
      <c r="C87" s="14">
        <f>Table1346811345671012131415[[#This Row],[PMI]]-B86</f>
        <v>0.39999999999999858</v>
      </c>
    </row>
    <row r="88" spans="1:3" x14ac:dyDescent="0.2">
      <c r="A88" s="8">
        <v>42948</v>
      </c>
      <c r="B88" s="11">
        <f>IF(VLOOKUP(A88,'DB Country PMI'!$A:$W,MATCH($A$1,'DB Country PMI'!$A$1:$W$1,),)=0,#N/A,VLOOKUP(A88,'DB Country PMI'!$A:$W,MATCH($A$1,'DB Country PMI'!$A$1:$W$1,),))</f>
        <v>53.2</v>
      </c>
      <c r="C88" s="14">
        <f>Table1346811345671012131415[[#This Row],[PMI]]-B87</f>
        <v>-0.59999999999999432</v>
      </c>
    </row>
    <row r="89" spans="1:3" x14ac:dyDescent="0.2">
      <c r="A89" s="8">
        <v>42979</v>
      </c>
      <c r="B89" s="11">
        <f>IF(VLOOKUP(A89,'DB Country PMI'!$A:$W,MATCH($A$1,'DB Country PMI'!$A$1:$W$1,),)=0,#N/A,VLOOKUP(A89,'DB Country PMI'!$A:$W,MATCH($A$1,'DB Country PMI'!$A$1:$W$1,),))</f>
        <v>53.6</v>
      </c>
      <c r="C89" s="14">
        <f>Table1346811345671012131415[[#This Row],[PMI]]-B88</f>
        <v>0.39999999999999858</v>
      </c>
    </row>
    <row r="90" spans="1:3" x14ac:dyDescent="0.2">
      <c r="A90" s="8">
        <v>43009</v>
      </c>
      <c r="B90" s="11">
        <f>IF(VLOOKUP(A90,'DB Country PMI'!$A:$W,MATCH($A$1,'DB Country PMI'!$A$1:$W$1,),)=0,#N/A,VLOOKUP(A90,'DB Country PMI'!$A:$W,MATCH($A$1,'DB Country PMI'!$A$1:$W$1,),))</f>
        <v>55.6</v>
      </c>
      <c r="C90" s="14">
        <f>Table1346811345671012131415[[#This Row],[PMI]]-B89</f>
        <v>2</v>
      </c>
    </row>
    <row r="91" spans="1:3" x14ac:dyDescent="0.2">
      <c r="A91" s="8">
        <v>43040</v>
      </c>
      <c r="B91" s="11">
        <f>IF(VLOOKUP(A91,'DB Country PMI'!$A:$W,MATCH($A$1,'DB Country PMI'!$A$1:$W$1,),)=0,#N/A,VLOOKUP(A91,'DB Country PMI'!$A:$W,MATCH($A$1,'DB Country PMI'!$A$1:$W$1,),))</f>
        <v>53.8</v>
      </c>
      <c r="C91" s="14">
        <f>Table1346811345671012131415[[#This Row],[PMI]]-B90</f>
        <v>-1.8000000000000043</v>
      </c>
    </row>
    <row r="92" spans="1:3" x14ac:dyDescent="0.2">
      <c r="A92" s="8">
        <v>43070</v>
      </c>
      <c r="B92" s="11">
        <f>IF(VLOOKUP(A92,'DB Country PMI'!$A:$W,MATCH($A$1,'DB Country PMI'!$A$1:$W$1,),)=0,#N/A,VLOOKUP(A92,'DB Country PMI'!$A:$W,MATCH($A$1,'DB Country PMI'!$A$1:$W$1,),))</f>
        <v>54.2</v>
      </c>
      <c r="C92" s="14">
        <f>Table1346811345671012131415[[#This Row],[PMI]]-B91</f>
        <v>0.40000000000000568</v>
      </c>
    </row>
    <row r="93" spans="1:3" x14ac:dyDescent="0.2">
      <c r="A93" s="8">
        <v>43101</v>
      </c>
      <c r="B93" s="11">
        <f>IF(VLOOKUP(A93,'DB Country PMI'!$A:$W,MATCH($A$1,'DB Country PMI'!$A$1:$W$1,),)=0,#N/A,VLOOKUP(A93,'DB Country PMI'!$A:$W,MATCH($A$1,'DB Country PMI'!$A$1:$W$1,),))</f>
        <v>53</v>
      </c>
      <c r="C93" s="14">
        <f>Table1346811345671012131415[[#This Row],[PMI]]-B92</f>
        <v>-1.2000000000000028</v>
      </c>
    </row>
    <row r="94" spans="1:3" x14ac:dyDescent="0.2">
      <c r="A94" s="8">
        <v>43132</v>
      </c>
      <c r="B94" s="11">
        <f>IF(VLOOKUP(A94,'DB Country PMI'!$A:$W,MATCH($A$1,'DB Country PMI'!$A$1:$W$1,),)=0,#N/A,VLOOKUP(A94,'DB Country PMI'!$A:$W,MATCH($A$1,'DB Country PMI'!$A$1:$W$1,),))</f>
        <v>54.5</v>
      </c>
      <c r="C94" s="14">
        <f>Table1346811345671012131415[[#This Row],[PMI]]-B93</f>
        <v>1.5</v>
      </c>
    </row>
    <row r="95" spans="1:3" x14ac:dyDescent="0.2">
      <c r="A95" s="8">
        <v>43160</v>
      </c>
      <c r="B95" s="11">
        <f>IF(VLOOKUP(A95,'DB Country PMI'!$A:$W,MATCH($A$1,'DB Country PMI'!$A$1:$W$1,),)=0,#N/A,VLOOKUP(A95,'DB Country PMI'!$A:$W,MATCH($A$1,'DB Country PMI'!$A$1:$W$1,),))</f>
        <v>51.7</v>
      </c>
      <c r="C95" s="14">
        <f>Table1346811345671012131415[[#This Row],[PMI]]-B94</f>
        <v>-2.7999999999999972</v>
      </c>
    </row>
    <row r="96" spans="1:3" x14ac:dyDescent="0.2">
      <c r="A96" s="8">
        <v>43191</v>
      </c>
      <c r="B96" s="11">
        <f>IF(VLOOKUP(A96,'DB Country PMI'!$A:$W,MATCH($A$1,'DB Country PMI'!$A$1:$W$1,),)=0,#N/A,VLOOKUP(A96,'DB Country PMI'!$A:$W,MATCH($A$1,'DB Country PMI'!$A$1:$W$1,),))</f>
        <v>52.8</v>
      </c>
      <c r="C96" s="14">
        <f>Table1346811345671012131415[[#This Row],[PMI]]-B95</f>
        <v>1.0999999999999943</v>
      </c>
    </row>
    <row r="97" spans="1:3" x14ac:dyDescent="0.2">
      <c r="A97" s="8">
        <v>43221</v>
      </c>
      <c r="B97" s="11">
        <f>IF(VLOOKUP(A97,'DB Country PMI'!$A:$W,MATCH($A$1,'DB Country PMI'!$A$1:$W$1,),)=0,#N/A,VLOOKUP(A97,'DB Country PMI'!$A:$W,MATCH($A$1,'DB Country PMI'!$A$1:$W$1,),))</f>
        <v>54</v>
      </c>
      <c r="C97" s="14">
        <f>Table1346811345671012131415[[#This Row],[PMI]]-B96</f>
        <v>1.2000000000000028</v>
      </c>
    </row>
    <row r="98" spans="1:3" x14ac:dyDescent="0.2">
      <c r="A98" s="8">
        <v>43252</v>
      </c>
      <c r="B98" s="11">
        <f>IF(VLOOKUP(A98,'DB Country PMI'!$A:$W,MATCH($A$1,'DB Country PMI'!$A$1:$W$1,),)=0,#N/A,VLOOKUP(A98,'DB Country PMI'!$A:$W,MATCH($A$1,'DB Country PMI'!$A$1:$W$1,),))</f>
        <v>55.1</v>
      </c>
      <c r="C98" s="14">
        <f>Table1346811345671012131415[[#This Row],[PMI]]-B97</f>
        <v>1.1000000000000014</v>
      </c>
    </row>
    <row r="99" spans="1:3" x14ac:dyDescent="0.2">
      <c r="A99" s="8">
        <v>43282</v>
      </c>
      <c r="B99" s="11">
        <f>IF(VLOOKUP(A99,'DB Country PMI'!$A:$W,MATCH($A$1,'DB Country PMI'!$A$1:$W$1,),)=0,#N/A,VLOOKUP(A99,'DB Country PMI'!$A:$W,MATCH($A$1,'DB Country PMI'!$A$1:$W$1,),))</f>
        <v>53.5</v>
      </c>
      <c r="C99" s="14">
        <f>Table1346811345671012131415[[#This Row],[PMI]]-B98</f>
        <v>-1.6000000000000014</v>
      </c>
    </row>
    <row r="100" spans="1:3" x14ac:dyDescent="0.2">
      <c r="A100" s="8">
        <v>43313</v>
      </c>
      <c r="B100" s="11">
        <f>IF(VLOOKUP(A100,'DB Country PMI'!$A:$W,MATCH($A$1,'DB Country PMI'!$A$1:$W$1,),)=0,#N/A,VLOOKUP(A100,'DB Country PMI'!$A:$W,MATCH($A$1,'DB Country PMI'!$A$1:$W$1,),))</f>
        <v>54.3</v>
      </c>
      <c r="C100" s="14">
        <f>Table1346811345671012131415[[#This Row],[PMI]]-B99</f>
        <v>0.79999999999999716</v>
      </c>
    </row>
    <row r="101" spans="1:3" x14ac:dyDescent="0.2">
      <c r="A101" s="8">
        <v>43344</v>
      </c>
      <c r="B101" s="11">
        <f>IF(VLOOKUP(A101,'DB Country PMI'!$A:$W,MATCH($A$1,'DB Country PMI'!$A$1:$W$1,),)=0,#N/A,VLOOKUP(A101,'DB Country PMI'!$A:$W,MATCH($A$1,'DB Country PMI'!$A$1:$W$1,),))</f>
        <v>53.9</v>
      </c>
      <c r="C101" s="14">
        <f>Table1346811345671012131415[[#This Row],[PMI]]-B100</f>
        <v>-0.39999999999999858</v>
      </c>
    </row>
    <row r="102" spans="1:3" x14ac:dyDescent="0.2">
      <c r="A102" s="8">
        <v>43374</v>
      </c>
      <c r="B102" s="11">
        <f>IF(VLOOKUP(A102,'DB Country PMI'!$A:$W,MATCH($A$1,'DB Country PMI'!$A$1:$W$1,),)=0,#N/A,VLOOKUP(A102,'DB Country PMI'!$A:$W,MATCH($A$1,'DB Country PMI'!$A$1:$W$1,),))</f>
        <v>52.2</v>
      </c>
      <c r="C102" s="14">
        <f>Table1346811345671012131415[[#This Row],[PMI]]-B101</f>
        <v>-1.6999999999999957</v>
      </c>
    </row>
    <row r="103" spans="1:3" x14ac:dyDescent="0.2">
      <c r="A103" s="8">
        <v>43405</v>
      </c>
      <c r="B103" s="11">
        <f>IF(VLOOKUP(A103,'DB Country PMI'!$A:$W,MATCH($A$1,'DB Country PMI'!$A$1:$W$1,),)=0,#N/A,VLOOKUP(A103,'DB Country PMI'!$A:$W,MATCH($A$1,'DB Country PMI'!$A$1:$W$1,),))</f>
        <v>50.4</v>
      </c>
      <c r="C103" s="14">
        <f>Table1346811345671012131415[[#This Row],[PMI]]-B102</f>
        <v>-1.8000000000000043</v>
      </c>
    </row>
    <row r="104" spans="1:3" x14ac:dyDescent="0.2">
      <c r="A104" s="8">
        <v>43435</v>
      </c>
      <c r="B104" s="11">
        <f>IF(VLOOKUP(A104,'DB Country PMI'!$A:$W,MATCH($A$1,'DB Country PMI'!$A$1:$W$1,),)=0,#N/A,VLOOKUP(A104,'DB Country PMI'!$A:$W,MATCH($A$1,'DB Country PMI'!$A$1:$W$1,),))</f>
        <v>51.2</v>
      </c>
      <c r="C104" s="14">
        <f>Table1346811345671012131415[[#This Row],[PMI]]-B103</f>
        <v>0.80000000000000426</v>
      </c>
    </row>
    <row r="105" spans="1:3" x14ac:dyDescent="0.2">
      <c r="A105" s="8">
        <v>43466</v>
      </c>
      <c r="B105" s="11">
        <f>IF(VLOOKUP(A105,'DB Country PMI'!$A:$W,MATCH($A$1,'DB Country PMI'!$A$1:$W$1,),)=0,#N/A,VLOOKUP(A105,'DB Country PMI'!$A:$W,MATCH($A$1,'DB Country PMI'!$A$1:$W$1,),))</f>
        <v>50.1</v>
      </c>
      <c r="C105" s="14">
        <f>Table1346811345671012131415[[#This Row],[PMI]]-B104</f>
        <v>-1.1000000000000014</v>
      </c>
    </row>
    <row r="106" spans="1:3" x14ac:dyDescent="0.2">
      <c r="A106" s="8">
        <v>43497</v>
      </c>
      <c r="B106" s="11">
        <f>IF(VLOOKUP(A106,'DB Country PMI'!$A:$W,MATCH($A$1,'DB Country PMI'!$A$1:$W$1,),)=0,#N/A,VLOOKUP(A106,'DB Country PMI'!$A:$W,MATCH($A$1,'DB Country PMI'!$A$1:$W$1,),))</f>
        <v>51.3</v>
      </c>
      <c r="C106" s="14">
        <f>Table1346811345671012131415[[#This Row],[PMI]]-B105</f>
        <v>1.1999999999999957</v>
      </c>
    </row>
    <row r="107" spans="1:3" x14ac:dyDescent="0.2">
      <c r="A107" s="8">
        <v>43525</v>
      </c>
      <c r="B107" s="11">
        <f>IF(VLOOKUP(A107,'DB Country PMI'!$A:$W,MATCH($A$1,'DB Country PMI'!$A$1:$W$1,),)=0,#N/A,VLOOKUP(A107,'DB Country PMI'!$A:$W,MATCH($A$1,'DB Country PMI'!$A$1:$W$1,),))</f>
        <v>48.9</v>
      </c>
      <c r="C107" s="14">
        <f>Table1346811345671012131415[[#This Row],[PMI]]-B106</f>
        <v>-2.3999999999999986</v>
      </c>
    </row>
    <row r="108" spans="1:3" x14ac:dyDescent="0.2">
      <c r="A108" s="8">
        <v>43556</v>
      </c>
      <c r="B108" s="11">
        <f>IF(VLOOKUP(A108,'DB Country PMI'!$A:$W,MATCH($A$1,'DB Country PMI'!$A$1:$W$1,),)=0,#N/A,VLOOKUP(A108,'DB Country PMI'!$A:$W,MATCH($A$1,'DB Country PMI'!$A$1:$W$1,),))</f>
        <v>50.4</v>
      </c>
      <c r="C108" s="14">
        <f>Table1346811345671012131415[[#This Row],[PMI]]-B107</f>
        <v>1.5</v>
      </c>
    </row>
    <row r="109" spans="1:3" x14ac:dyDescent="0.2">
      <c r="A109" s="8">
        <v>43586</v>
      </c>
      <c r="B109" s="11">
        <f>IF(VLOOKUP(A109,'DB Country PMI'!$A:$W,MATCH($A$1,'DB Country PMI'!$A$1:$W$1,),)=0,#N/A,VLOOKUP(A109,'DB Country PMI'!$A:$W,MATCH($A$1,'DB Country PMI'!$A$1:$W$1,),))</f>
        <v>51</v>
      </c>
      <c r="C109" s="14">
        <f>Table1346811345671012131415[[#This Row],[PMI]]-B108</f>
        <v>0.60000000000000142</v>
      </c>
    </row>
    <row r="110" spans="1:3" x14ac:dyDescent="0.2">
      <c r="A110" s="8">
        <v>43617</v>
      </c>
      <c r="B110" s="11">
        <f>IF(VLOOKUP(A110,'DB Country PMI'!$A:$W,MATCH($A$1,'DB Country PMI'!$A$1:$W$1,),)=0,#N/A,VLOOKUP(A110,'DB Country PMI'!$A:$W,MATCH($A$1,'DB Country PMI'!$A$1:$W$1,),))</f>
        <v>50.2</v>
      </c>
      <c r="C110" s="14">
        <f>Table1346811345671012131415[[#This Row],[PMI]]-B109</f>
        <v>-0.79999999999999716</v>
      </c>
    </row>
    <row r="111" spans="1:3" x14ac:dyDescent="0.2">
      <c r="A111" s="8">
        <v>43647</v>
      </c>
      <c r="B111" s="11">
        <f>IF(VLOOKUP(A111,'DB Country PMI'!$A:$W,MATCH($A$1,'DB Country PMI'!$A$1:$W$1,),)=0,#N/A,VLOOKUP(A111,'DB Country PMI'!$A:$W,MATCH($A$1,'DB Country PMI'!$A$1:$W$1,),))</f>
        <v>51.4</v>
      </c>
      <c r="C111" s="14">
        <f>Table1346811345671012131415[[#This Row],[PMI]]-B110</f>
        <v>1.1999999999999957</v>
      </c>
    </row>
    <row r="112" spans="1:3" x14ac:dyDescent="0.2">
      <c r="A112" s="8">
        <v>43678</v>
      </c>
      <c r="B112" s="11">
        <f>IF(VLOOKUP(A112,'DB Country PMI'!$A:$W,MATCH($A$1,'DB Country PMI'!$A$1:$W$1,),)=0,#N/A,VLOOKUP(A112,'DB Country PMI'!$A:$W,MATCH($A$1,'DB Country PMI'!$A$1:$W$1,),))</f>
        <v>50.6</v>
      </c>
      <c r="C112" s="14">
        <f>Table1346811345671012131415[[#This Row],[PMI]]-B111</f>
        <v>-0.79999999999999716</v>
      </c>
    </row>
    <row r="113" spans="1:3" x14ac:dyDescent="0.2">
      <c r="A113" s="8">
        <v>43709</v>
      </c>
      <c r="B113" s="11">
        <f>IF(VLOOKUP(A113,'DB Country PMI'!$A:$W,MATCH($A$1,'DB Country PMI'!$A$1:$W$1,),)=0,#N/A,VLOOKUP(A113,'DB Country PMI'!$A:$W,MATCH($A$1,'DB Country PMI'!$A$1:$W$1,),))</f>
        <v>49.5</v>
      </c>
      <c r="C113" s="14">
        <f>Table1346811345671012131415[[#This Row],[PMI]]-B112</f>
        <v>-1.1000000000000014</v>
      </c>
    </row>
    <row r="114" spans="1:3" x14ac:dyDescent="0.2">
      <c r="A114" s="8">
        <v>43739</v>
      </c>
      <c r="B114" s="11">
        <f>IF(VLOOKUP(A114,'DB Country PMI'!$A:$W,MATCH($A$1,'DB Country PMI'!$A$1:$W$1,),)=0,#N/A,VLOOKUP(A114,'DB Country PMI'!$A:$W,MATCH($A$1,'DB Country PMI'!$A$1:$W$1,),))</f>
        <v>50</v>
      </c>
      <c r="C114" s="14">
        <f>Table1346811345671012131415[[#This Row],[PMI]]-B113</f>
        <v>0.5</v>
      </c>
    </row>
    <row r="115" spans="1:3" x14ac:dyDescent="0.2">
      <c r="A115" s="8">
        <v>43770</v>
      </c>
      <c r="B115" s="11">
        <f>IF(VLOOKUP(A115,'DB Country PMI'!$A:$W,MATCH($A$1,'DB Country PMI'!$A$1:$W$1,),)=0,#N/A,VLOOKUP(A115,'DB Country PMI'!$A:$W,MATCH($A$1,'DB Country PMI'!$A$1:$W$1,),))</f>
        <v>49.3</v>
      </c>
      <c r="C115" s="14">
        <f>Table1346811345671012131415[[#This Row],[PMI]]-B114</f>
        <v>-0.70000000000000284</v>
      </c>
    </row>
    <row r="116" spans="1:3" x14ac:dyDescent="0.2">
      <c r="A116" s="8">
        <v>43800</v>
      </c>
      <c r="B116" s="11">
        <f>IF(VLOOKUP(A116,'DB Country PMI'!$A:$W,MATCH($A$1,'DB Country PMI'!$A$1:$W$1,),)=0,#N/A,VLOOKUP(A116,'DB Country PMI'!$A:$W,MATCH($A$1,'DB Country PMI'!$A$1:$W$1,),))</f>
        <v>50</v>
      </c>
      <c r="C116" s="14">
        <f>Table1346811345671012131415[[#This Row],[PMI]]-B115</f>
        <v>0.70000000000000284</v>
      </c>
    </row>
    <row r="117" spans="1:3" x14ac:dyDescent="0.2">
      <c r="A117" s="8">
        <v>43831</v>
      </c>
      <c r="B117" s="11">
        <f>IF(VLOOKUP(A117,'DB Country PMI'!$A:$W,MATCH($A$1,'DB Country PMI'!$A$1:$W$1,),)=0,#N/A,VLOOKUP(A117,'DB Country PMI'!$A:$W,MATCH($A$1,'DB Country PMI'!$A$1:$W$1,),))</f>
        <v>53.9</v>
      </c>
      <c r="C117" s="14">
        <f>Table1346811345671012131415[[#This Row],[PMI]]-B116</f>
        <v>3.8999999999999986</v>
      </c>
    </row>
    <row r="118" spans="1:3" x14ac:dyDescent="0.2">
      <c r="A118" s="8">
        <v>43862</v>
      </c>
      <c r="B118" s="11">
        <f>IF(VLOOKUP(A118,'DB Country PMI'!$A:$W,MATCH($A$1,'DB Country PMI'!$A$1:$W$1,),)=0,#N/A,VLOOKUP(A118,'DB Country PMI'!$A:$W,MATCH($A$1,'DB Country PMI'!$A$1:$W$1,),))</f>
        <v>53.2</v>
      </c>
      <c r="C118" s="14">
        <f>Table1346811345671012131415[[#This Row],[PMI]]-B117</f>
        <v>-0.69999999999999574</v>
      </c>
    </row>
    <row r="119" spans="1:3" x14ac:dyDescent="0.2">
      <c r="A119" s="8">
        <v>43891</v>
      </c>
      <c r="B119" s="11">
        <f>IF(VLOOKUP(A119,'DB Country PMI'!$A:$W,MATCH($A$1,'DB Country PMI'!$A$1:$W$1,),)=0,#N/A,VLOOKUP(A119,'DB Country PMI'!$A:$W,MATCH($A$1,'DB Country PMI'!$A$1:$W$1,),))</f>
        <v>34.5</v>
      </c>
      <c r="C119" s="14">
        <f>Table1346811345671012131415[[#This Row],[PMI]]-B118</f>
        <v>-18.700000000000003</v>
      </c>
    </row>
    <row r="120" spans="1:3" x14ac:dyDescent="0.2">
      <c r="A120" s="8">
        <v>43922</v>
      </c>
      <c r="B120" s="11">
        <f>IF(VLOOKUP(A120,'DB Country PMI'!$A:$W,MATCH($A$1,'DB Country PMI'!$A$1:$W$1,),)=0,#N/A,VLOOKUP(A120,'DB Country PMI'!$A:$W,MATCH($A$1,'DB Country PMI'!$A$1:$W$1,),))</f>
        <v>13.4</v>
      </c>
      <c r="C120" s="14">
        <f>Table1346811345671012131415[[#This Row],[PMI]]-B119</f>
        <v>-21.1</v>
      </c>
    </row>
    <row r="121" spans="1:3" x14ac:dyDescent="0.2">
      <c r="A121" s="8">
        <v>43952</v>
      </c>
      <c r="B121" s="11">
        <f>IF(VLOOKUP(A121,'DB Country PMI'!$A:$W,MATCH($A$1,'DB Country PMI'!$A$1:$W$1,),)=0,#N/A,VLOOKUP(A121,'DB Country PMI'!$A:$W,MATCH($A$1,'DB Country PMI'!$A$1:$W$1,),))</f>
        <v>29</v>
      </c>
      <c r="C121" s="14">
        <f>Table1346811345671012131415[[#This Row],[PMI]]-B120</f>
        <v>15.6</v>
      </c>
    </row>
    <row r="122" spans="1:3" x14ac:dyDescent="0.2">
      <c r="A122" s="8">
        <v>43983</v>
      </c>
      <c r="B122" s="11">
        <f>IF(VLOOKUP(A122,'DB Country PMI'!$A:$W,MATCH($A$1,'DB Country PMI'!$A$1:$W$1,),)=0,#N/A,VLOOKUP(A122,'DB Country PMI'!$A:$W,MATCH($A$1,'DB Country PMI'!$A$1:$W$1,),))</f>
        <v>47.1</v>
      </c>
      <c r="C122" s="14">
        <f>Table1346811345671012131415[[#This Row],[PMI]]-B121</f>
        <v>18.100000000000001</v>
      </c>
    </row>
    <row r="123" spans="1:3" x14ac:dyDescent="0.2">
      <c r="A123" s="8">
        <v>44013</v>
      </c>
      <c r="B123" s="11">
        <f>IF(VLOOKUP(A123,'DB Country PMI'!$A:$W,MATCH($A$1,'DB Country PMI'!$A$1:$W$1,),)=0,#N/A,VLOOKUP(A123,'DB Country PMI'!$A:$W,MATCH($A$1,'DB Country PMI'!$A$1:$W$1,),))</f>
        <v>56.5</v>
      </c>
      <c r="C123" s="14">
        <f>Table1346811345671012131415[[#This Row],[PMI]]-B122</f>
        <v>9.3999999999999986</v>
      </c>
    </row>
    <row r="124" spans="1:3" x14ac:dyDescent="0.2">
      <c r="A124" s="8">
        <v>44044</v>
      </c>
      <c r="B124" s="11">
        <f>IF(VLOOKUP(A124,'DB Country PMI'!$A:$W,MATCH($A$1,'DB Country PMI'!$A$1:$W$1,),)=0,#N/A,VLOOKUP(A124,'DB Country PMI'!$A:$W,MATCH($A$1,'DB Country PMI'!$A$1:$W$1,),))</f>
        <v>58.8</v>
      </c>
      <c r="C124" s="14">
        <f>Table1346811345671012131415[[#This Row],[PMI]]-B123</f>
        <v>2.2999999999999972</v>
      </c>
    </row>
    <row r="125" spans="1:3" x14ac:dyDescent="0.2">
      <c r="A125" s="8">
        <v>44075</v>
      </c>
      <c r="B125" s="11">
        <f>IF(VLOOKUP(A125,'DB Country PMI'!$A:$W,MATCH($A$1,'DB Country PMI'!$A$1:$W$1,),)=0,#N/A,VLOOKUP(A125,'DB Country PMI'!$A:$W,MATCH($A$1,'DB Country PMI'!$A$1:$W$1,),))</f>
        <v>56.1</v>
      </c>
      <c r="C125" s="14">
        <f>Table1346811345671012131415[[#This Row],[PMI]]-B124</f>
        <v>-2.6999999999999957</v>
      </c>
    </row>
    <row r="126" spans="1:3" x14ac:dyDescent="0.2">
      <c r="A126" s="8">
        <v>44105</v>
      </c>
      <c r="B126" s="11">
        <f>IF(VLOOKUP(A126,'DB Country PMI'!$A:$W,MATCH($A$1,'DB Country PMI'!$A$1:$W$1,),)=0,#N/A,VLOOKUP(A126,'DB Country PMI'!$A:$W,MATCH($A$1,'DB Country PMI'!$A$1:$W$1,),))</f>
        <v>51.4</v>
      </c>
      <c r="C126" s="14">
        <f>Table1346811345671012131415[[#This Row],[PMI]]-B125</f>
        <v>-4.7000000000000028</v>
      </c>
    </row>
    <row r="127" spans="1:3" x14ac:dyDescent="0.2">
      <c r="A127" s="8">
        <v>44136</v>
      </c>
      <c r="B127" s="11">
        <f>IF(VLOOKUP(A127,'DB Country PMI'!$A:$W,MATCH($A$1,'DB Country PMI'!$A$1:$W$1,),)=0,#N/A,VLOOKUP(A127,'DB Country PMI'!$A:$W,MATCH($A$1,'DB Country PMI'!$A$1:$W$1,),))</f>
        <v>47.6</v>
      </c>
      <c r="C127" s="14">
        <f>Table1346811345671012131415[[#This Row],[PMI]]-B126</f>
        <v>-3.7999999999999972</v>
      </c>
    </row>
    <row r="128" spans="1:3" x14ac:dyDescent="0.2">
      <c r="A128" s="8">
        <v>44166</v>
      </c>
      <c r="B128" s="11">
        <f>IF(VLOOKUP(A128,'DB Country PMI'!$A:$W,MATCH($A$1,'DB Country PMI'!$A$1:$W$1,),)=0,#N/A,VLOOKUP(A128,'DB Country PMI'!$A:$W,MATCH($A$1,'DB Country PMI'!$A$1:$W$1,),))</f>
        <v>49.4</v>
      </c>
      <c r="C128" s="14">
        <f>Table1346811345671012131415[[#This Row],[PMI]]-B127</f>
        <v>1.7999999999999972</v>
      </c>
    </row>
    <row r="129" spans="1:3" x14ac:dyDescent="0.2">
      <c r="A129" s="8">
        <v>44197</v>
      </c>
      <c r="B129" s="11">
        <f>IF(VLOOKUP(A129,'DB Country PMI'!$A:$W,MATCH($A$1,'DB Country PMI'!$A$1:$W$1,),)=0,#N/A,VLOOKUP(A129,'DB Country PMI'!$A:$W,MATCH($A$1,'DB Country PMI'!$A$1:$W$1,),))</f>
        <v>39.5</v>
      </c>
      <c r="C129" s="14">
        <f>Table1346811345671012131415[[#This Row],[PMI]]-B128</f>
        <v>-9.8999999999999986</v>
      </c>
    </row>
    <row r="130" spans="1:3" x14ac:dyDescent="0.2">
      <c r="A130" s="8">
        <v>44228</v>
      </c>
      <c r="B130" s="11">
        <f>IF(VLOOKUP(A130,'DB Country PMI'!$A:$W,MATCH($A$1,'DB Country PMI'!$A$1:$W$1,),)=0,#N/A,VLOOKUP(A130,'DB Country PMI'!$A:$W,MATCH($A$1,'DB Country PMI'!$A$1:$W$1,),))</f>
        <v>49.5</v>
      </c>
      <c r="C130" s="14">
        <f>Table1346811345671012131415[[#This Row],[PMI]]-B129</f>
        <v>10</v>
      </c>
    </row>
    <row r="131" spans="1:3" x14ac:dyDescent="0.2">
      <c r="A131" s="8">
        <v>44256</v>
      </c>
      <c r="B131" s="11">
        <f>IF(VLOOKUP(A131,'DB Country PMI'!$A:$W,MATCH($A$1,'DB Country PMI'!$A$1:$W$1,),)=0,#N/A,VLOOKUP(A131,'DB Country PMI'!$A:$W,MATCH($A$1,'DB Country PMI'!$A$1:$W$1,),))</f>
        <v>56.3</v>
      </c>
      <c r="C131" s="14">
        <f>Table1346811345671012131415[[#This Row],[PMI]]-B130</f>
        <v>6.7999999999999972</v>
      </c>
    </row>
    <row r="132" spans="1:3" x14ac:dyDescent="0.2">
      <c r="A132" s="8">
        <v>44287</v>
      </c>
      <c r="B132" s="11">
        <f>IF(VLOOKUP(A132,'DB Country PMI'!$A:$W,MATCH($A$1,'DB Country PMI'!$A$1:$W$1,),)=0,#N/A,VLOOKUP(A132,'DB Country PMI'!$A:$W,MATCH($A$1,'DB Country PMI'!$A$1:$W$1,),))</f>
        <v>60.1</v>
      </c>
      <c r="C132" s="14">
        <f>Table1346811345671012131415[[#This Row],[PMI]]-B131</f>
        <v>3.8000000000000043</v>
      </c>
    </row>
    <row r="133" spans="1:3" x14ac:dyDescent="0.2">
      <c r="A133" s="8">
        <v>44317</v>
      </c>
      <c r="B133" s="11">
        <f>IF(VLOOKUP(A133,'DB Country PMI'!$A:$W,MATCH($A$1,'DB Country PMI'!$A$1:$W$1,),)=0,#N/A,VLOOKUP(A133,'DB Country PMI'!$A:$W,MATCH($A$1,'DB Country PMI'!$A$1:$W$1,),))</f>
        <v>62.9</v>
      </c>
      <c r="C133" s="14">
        <f>Table1346811345671012131415[[#This Row],[PMI]]-B132</f>
        <v>2.7999999999999972</v>
      </c>
    </row>
    <row r="134" spans="1:3" x14ac:dyDescent="0.2">
      <c r="A134" s="8">
        <v>44348</v>
      </c>
      <c r="B134" s="11">
        <f>IF(VLOOKUP(A134,'DB Country PMI'!$A:$W,MATCH($A$1,'DB Country PMI'!$A$1:$W$1,),)=0,#N/A,VLOOKUP(A134,'DB Country PMI'!$A:$W,MATCH($A$1,'DB Country PMI'!$A$1:$W$1,),))</f>
        <v>62.4</v>
      </c>
      <c r="C134" s="14">
        <f>Table1346811345671012131415[[#This Row],[PMI]]-B133</f>
        <v>-0.5</v>
      </c>
    </row>
    <row r="135" spans="1:3" x14ac:dyDescent="0.2">
      <c r="A135" s="8">
        <v>44378</v>
      </c>
      <c r="B135" s="11">
        <f>IF(VLOOKUP(A135,'DB Country PMI'!$A:$W,MATCH($A$1,'DB Country PMI'!$A$1:$W$1,),)=0,#N/A,VLOOKUP(A135,'DB Country PMI'!$A:$W,MATCH($A$1,'DB Country PMI'!$A$1:$W$1,),))</f>
        <v>59.6</v>
      </c>
      <c r="C135" s="14">
        <f>Table1346811345671012131415[[#This Row],[PMI]]-B134</f>
        <v>-2.7999999999999972</v>
      </c>
    </row>
    <row r="136" spans="1:3" x14ac:dyDescent="0.2">
      <c r="A136" s="8">
        <v>44409</v>
      </c>
      <c r="B136" s="11">
        <f>IF(VLOOKUP(A136,'DB Country PMI'!$A:$W,MATCH($A$1,'DB Country PMI'!$A$1:$W$1,),)=0,#N/A,VLOOKUP(A136,'DB Country PMI'!$A:$W,MATCH($A$1,'DB Country PMI'!$A$1:$W$1,),))</f>
        <v>55</v>
      </c>
      <c r="C136" s="14">
        <f>Table1346811345671012131415[[#This Row],[PMI]]-B135</f>
        <v>-4.6000000000000014</v>
      </c>
    </row>
    <row r="137" spans="1:3" x14ac:dyDescent="0.2">
      <c r="A137" s="8">
        <v>44440</v>
      </c>
      <c r="B137" s="11">
        <f>IF(VLOOKUP(A137,'DB Country PMI'!$A:$W,MATCH($A$1,'DB Country PMI'!$A$1:$W$1,),)=0,#N/A,VLOOKUP(A137,'DB Country PMI'!$A:$W,MATCH($A$1,'DB Country PMI'!$A$1:$W$1,),))</f>
        <v>55.4</v>
      </c>
      <c r="C137" s="14">
        <f>Table1346811345671012131415[[#This Row],[PMI]]-B136</f>
        <v>0.39999999999999858</v>
      </c>
    </row>
    <row r="138" spans="1:3" x14ac:dyDescent="0.2">
      <c r="A138" s="8">
        <v>44470</v>
      </c>
      <c r="B138" s="11">
        <f>IF(VLOOKUP(A138,'DB Country PMI'!$A:$W,MATCH($A$1,'DB Country PMI'!$A$1:$W$1,),)=0,#N/A,VLOOKUP(A138,'DB Country PMI'!$A:$W,MATCH($A$1,'DB Country PMI'!$A$1:$W$1,),))</f>
        <v>59.1</v>
      </c>
      <c r="C138" s="14">
        <f>Table1346811345671012131415[[#This Row],[PMI]]-B137</f>
        <v>3.7000000000000028</v>
      </c>
    </row>
    <row r="139" spans="1:3" x14ac:dyDescent="0.2">
      <c r="A139" s="8">
        <v>44501</v>
      </c>
      <c r="B139" s="11">
        <f>IF(VLOOKUP(A139,'DB Country PMI'!$A:$W,MATCH($A$1,'DB Country PMI'!$A$1:$W$1,),)=0,#N/A,VLOOKUP(A139,'DB Country PMI'!$A:$W,MATCH($A$1,'DB Country PMI'!$A$1:$W$1,),))</f>
        <v>58.5</v>
      </c>
      <c r="C139" s="14">
        <f>Table1346811345671012131415[[#This Row],[PMI]]-B138</f>
        <v>-0.60000000000000142</v>
      </c>
    </row>
    <row r="140" spans="1:3" x14ac:dyDescent="0.2">
      <c r="A140" s="8">
        <v>44531</v>
      </c>
      <c r="B140" s="11">
        <f>IF(VLOOKUP(A140,'DB Country PMI'!$A:$W,MATCH($A$1,'DB Country PMI'!$A$1:$W$1,),)=0,#N/A,VLOOKUP(A140,'DB Country PMI'!$A:$W,MATCH($A$1,'DB Country PMI'!$A$1:$W$1,),))</f>
        <v>53.6</v>
      </c>
      <c r="C140" s="14">
        <f>Table1346811345671012131415[[#This Row],[PMI]]-B139</f>
        <v>-4.8999999999999986</v>
      </c>
    </row>
    <row r="141" spans="1:3" x14ac:dyDescent="0.2">
      <c r="A141" s="8">
        <v>44562</v>
      </c>
      <c r="B141" s="11">
        <f>IF(VLOOKUP(A141,'DB Country PMI'!$A:$W,MATCH($A$1,'DB Country PMI'!$A$1:$W$1,),)=0,#N/A,VLOOKUP(A141,'DB Country PMI'!$A:$W,MATCH($A$1,'DB Country PMI'!$A$1:$W$1,),))</f>
        <v>54.1</v>
      </c>
      <c r="C141" s="14">
        <f>Table1346811345671012131415[[#This Row],[PMI]]-B140</f>
        <v>0.5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30</v>
      </c>
      <c r="J1" s="47" t="s">
        <v>61</v>
      </c>
    </row>
    <row r="2" spans="1:10" x14ac:dyDescent="0.2">
      <c r="J2" s="47" t="s">
        <v>68</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58.4</v>
      </c>
      <c r="C6" s="11"/>
    </row>
    <row r="7" spans="1:10" x14ac:dyDescent="0.2">
      <c r="A7" s="8">
        <v>40483</v>
      </c>
      <c r="B7" s="11">
        <f>IF(VLOOKUP(A7,'DB Country PMI'!$A:$W,MATCH($A$1,'DB Country PMI'!$A$1:$W$1,),)=0,#N/A,VLOOKUP(A7,'DB Country PMI'!$A:$W,MATCH($A$1,'DB Country PMI'!$A$1:$W$1,),))</f>
        <v>61.3</v>
      </c>
      <c r="C7" s="14">
        <f>Table134681134567[[#This Row],[PMI]]-B6</f>
        <v>2.8999999999999986</v>
      </c>
    </row>
    <row r="8" spans="1:10" x14ac:dyDescent="0.2">
      <c r="A8" s="8">
        <v>40513</v>
      </c>
      <c r="B8" s="11">
        <f>IF(VLOOKUP(A8,'DB Country PMI'!$A:$W,MATCH($A$1,'DB Country PMI'!$A$1:$W$1,),)=0,#N/A,VLOOKUP(A8,'DB Country PMI'!$A:$W,MATCH($A$1,'DB Country PMI'!$A$1:$W$1,),))</f>
        <v>62.1</v>
      </c>
      <c r="C8" s="14">
        <f>Table134681134567[[#This Row],[PMI]]-B7</f>
        <v>0.80000000000000426</v>
      </c>
    </row>
    <row r="9" spans="1:10" x14ac:dyDescent="0.2">
      <c r="A9" s="8">
        <v>40544</v>
      </c>
      <c r="B9" s="11">
        <f>IF(VLOOKUP(A9,'DB Country PMI'!$A:$W,MATCH($A$1,'DB Country PMI'!$A$1:$W$1,),)=0,#N/A,VLOOKUP(A9,'DB Country PMI'!$A:$W,MATCH($A$1,'DB Country PMI'!$A$1:$W$1,),))</f>
        <v>59.4</v>
      </c>
      <c r="C9" s="14">
        <f>Table134681134567[[#This Row],[PMI]]-B8</f>
        <v>-2.7000000000000028</v>
      </c>
    </row>
    <row r="10" spans="1:10" x14ac:dyDescent="0.2">
      <c r="A10" s="8">
        <v>40575</v>
      </c>
      <c r="B10" s="11">
        <f>IF(VLOOKUP(A10,'DB Country PMI'!$A:$W,MATCH($A$1,'DB Country PMI'!$A$1:$W$1,),)=0,#N/A,VLOOKUP(A10,'DB Country PMI'!$A:$W,MATCH($A$1,'DB Country PMI'!$A$1:$W$1,),))</f>
        <v>61</v>
      </c>
      <c r="C10" s="14">
        <f>Table134681134567[[#This Row],[PMI]]-B9</f>
        <v>1.6000000000000014</v>
      </c>
    </row>
    <row r="11" spans="1:10" x14ac:dyDescent="0.2">
      <c r="A11" s="8">
        <v>40603</v>
      </c>
      <c r="B11" s="11">
        <f>IF(VLOOKUP(A11,'DB Country PMI'!$A:$W,MATCH($A$1,'DB Country PMI'!$A$1:$W$1,),)=0,#N/A,VLOOKUP(A11,'DB Country PMI'!$A:$W,MATCH($A$1,'DB Country PMI'!$A$1:$W$1,),))</f>
        <v>60</v>
      </c>
      <c r="C11" s="14">
        <f>Table134681134567[[#This Row],[PMI]]-B10</f>
        <v>-1</v>
      </c>
    </row>
    <row r="12" spans="1:10" x14ac:dyDescent="0.2">
      <c r="A12" s="8">
        <v>40634</v>
      </c>
      <c r="B12" s="11">
        <f>IF(VLOOKUP(A12,'DB Country PMI'!$A:$W,MATCH($A$1,'DB Country PMI'!$A$1:$W$1,),)=0,#N/A,VLOOKUP(A12,'DB Country PMI'!$A:$W,MATCH($A$1,'DB Country PMI'!$A$1:$W$1,),))</f>
        <v>59.2</v>
      </c>
      <c r="C12" s="14">
        <f>Table134681134567[[#This Row],[PMI]]-B11</f>
        <v>-0.79999999999999716</v>
      </c>
    </row>
    <row r="13" spans="1:10" x14ac:dyDescent="0.2">
      <c r="A13" s="8">
        <v>40664</v>
      </c>
      <c r="B13" s="11">
        <f>IF(VLOOKUP(A13,'DB Country PMI'!$A:$W,MATCH($A$1,'DB Country PMI'!$A$1:$W$1,),)=0,#N/A,VLOOKUP(A13,'DB Country PMI'!$A:$W,MATCH($A$1,'DB Country PMI'!$A$1:$W$1,),))</f>
        <v>57.7</v>
      </c>
      <c r="C13" s="14">
        <f>Table134681134567[[#This Row],[PMI]]-B12</f>
        <v>-1.5</v>
      </c>
    </row>
    <row r="14" spans="1:10" x14ac:dyDescent="0.2">
      <c r="A14" s="8">
        <v>40695</v>
      </c>
      <c r="B14" s="11">
        <f>IF(VLOOKUP(A14,'DB Country PMI'!$A:$W,MATCH($A$1,'DB Country PMI'!$A$1:$W$1,),)=0,#N/A,VLOOKUP(A14,'DB Country PMI'!$A:$W,MATCH($A$1,'DB Country PMI'!$A$1:$W$1,),))</f>
        <v>56.1</v>
      </c>
      <c r="C14" s="14">
        <f>Table134681134567[[#This Row],[PMI]]-B13</f>
        <v>-1.6000000000000014</v>
      </c>
    </row>
    <row r="15" spans="1:10" x14ac:dyDescent="0.2">
      <c r="A15" s="8">
        <v>40725</v>
      </c>
      <c r="B15" s="11">
        <f>IF(VLOOKUP(A15,'DB Country PMI'!$A:$W,MATCH($A$1,'DB Country PMI'!$A$1:$W$1,),)=0,#N/A,VLOOKUP(A15,'DB Country PMI'!$A:$W,MATCH($A$1,'DB Country PMI'!$A$1:$W$1,),))</f>
        <v>58.2</v>
      </c>
      <c r="C15" s="14">
        <f>Table134681134567[[#This Row],[PMI]]-B14</f>
        <v>2.1000000000000014</v>
      </c>
    </row>
    <row r="16" spans="1:10" x14ac:dyDescent="0.2">
      <c r="A16" s="8">
        <v>40756</v>
      </c>
      <c r="B16" s="11">
        <f>IF(VLOOKUP(A16,'DB Country PMI'!$A:$W,MATCH($A$1,'DB Country PMI'!$A$1:$W$1,),)=0,#N/A,VLOOKUP(A16,'DB Country PMI'!$A:$W,MATCH($A$1,'DB Country PMI'!$A$1:$W$1,),))</f>
        <v>56.7</v>
      </c>
      <c r="C16" s="14">
        <f>Table134681134567[[#This Row],[PMI]]-B15</f>
        <v>-1.5</v>
      </c>
    </row>
    <row r="17" spans="1:3" x14ac:dyDescent="0.2">
      <c r="A17" s="8">
        <v>40787</v>
      </c>
      <c r="B17" s="11">
        <f>IF(VLOOKUP(A17,'DB Country PMI'!$A:$W,MATCH($A$1,'DB Country PMI'!$A$1:$W$1,),)=0,#N/A,VLOOKUP(A17,'DB Country PMI'!$A:$W,MATCH($A$1,'DB Country PMI'!$A$1:$W$1,),))</f>
        <v>49.8</v>
      </c>
      <c r="C17" s="14">
        <f>Table134681134567[[#This Row],[PMI]]-B16</f>
        <v>-6.9000000000000057</v>
      </c>
    </row>
    <row r="18" spans="1:3" x14ac:dyDescent="0.2">
      <c r="A18" s="8">
        <v>40817</v>
      </c>
      <c r="B18" s="11">
        <f>IF(VLOOKUP(A18,'DB Country PMI'!$A:$W,MATCH($A$1,'DB Country PMI'!$A$1:$W$1,),)=0,#N/A,VLOOKUP(A18,'DB Country PMI'!$A:$W,MATCH($A$1,'DB Country PMI'!$A$1:$W$1,),))</f>
        <v>49.1</v>
      </c>
      <c r="C18" s="14">
        <f>Table134681134567[[#This Row],[PMI]]-B17</f>
        <v>-0.69999999999999574</v>
      </c>
    </row>
    <row r="19" spans="1:3" x14ac:dyDescent="0.2">
      <c r="A19" s="8">
        <v>40848</v>
      </c>
      <c r="B19" s="11">
        <f>IF(VLOOKUP(A19,'DB Country PMI'!$A:$W,MATCH($A$1,'DB Country PMI'!$A$1:$W$1,),)=0,#N/A,VLOOKUP(A19,'DB Country PMI'!$A:$W,MATCH($A$1,'DB Country PMI'!$A$1:$W$1,),))</f>
        <v>53.2</v>
      </c>
      <c r="C19" s="14">
        <f>Table134681134567[[#This Row],[PMI]]-B18</f>
        <v>4.1000000000000014</v>
      </c>
    </row>
    <row r="20" spans="1:3" x14ac:dyDescent="0.2">
      <c r="A20" s="8">
        <v>40878</v>
      </c>
      <c r="B20" s="11">
        <f>IF(VLOOKUP(A20,'DB Country PMI'!$A:$W,MATCH($A$1,'DB Country PMI'!$A$1:$W$1,),)=0,#N/A,VLOOKUP(A20,'DB Country PMI'!$A:$W,MATCH($A$1,'DB Country PMI'!$A$1:$W$1,),))</f>
        <v>54.2</v>
      </c>
      <c r="C20" s="14">
        <f>Table134681134567[[#This Row],[PMI]]-B19</f>
        <v>1</v>
      </c>
    </row>
    <row r="21" spans="1:3" x14ac:dyDescent="0.2">
      <c r="A21" s="8">
        <v>40909</v>
      </c>
      <c r="B21" s="11">
        <f>IF(VLOOKUP(A21,'DB Country PMI'!$A:$W,MATCH($A$1,'DB Country PMI'!$A$1:$W$1,),)=0,#N/A,VLOOKUP(A21,'DB Country PMI'!$A:$W,MATCH($A$1,'DB Country PMI'!$A$1:$W$1,),))</f>
        <v>55.1</v>
      </c>
      <c r="C21" s="14">
        <f>Table134681134567[[#This Row],[PMI]]-B20</f>
        <v>0.89999999999999858</v>
      </c>
    </row>
    <row r="22" spans="1:3" x14ac:dyDescent="0.2">
      <c r="A22" s="8">
        <v>40940</v>
      </c>
      <c r="B22" s="11">
        <f>IF(VLOOKUP(A22,'DB Country PMI'!$A:$W,MATCH($A$1,'DB Country PMI'!$A$1:$W$1,),)=0,#N/A,VLOOKUP(A22,'DB Country PMI'!$A:$W,MATCH($A$1,'DB Country PMI'!$A$1:$W$1,),))</f>
        <v>53.4</v>
      </c>
      <c r="C22" s="14">
        <f>Table134681134567[[#This Row],[PMI]]-B21</f>
        <v>-1.7000000000000028</v>
      </c>
    </row>
    <row r="23" spans="1:3" x14ac:dyDescent="0.2">
      <c r="A23" s="8">
        <v>40969</v>
      </c>
      <c r="B23" s="11">
        <f>IF(VLOOKUP(A23,'DB Country PMI'!$A:$W,MATCH($A$1,'DB Country PMI'!$A$1:$W$1,),)=0,#N/A,VLOOKUP(A23,'DB Country PMI'!$A:$W,MATCH($A$1,'DB Country PMI'!$A$1:$W$1,),))</f>
        <v>54.1</v>
      </c>
      <c r="C23" s="14">
        <f>Table134681134567[[#This Row],[PMI]]-B22</f>
        <v>0.70000000000000284</v>
      </c>
    </row>
    <row r="24" spans="1:3" x14ac:dyDescent="0.2">
      <c r="A24" s="8">
        <v>41000</v>
      </c>
      <c r="B24" s="11">
        <f>IF(VLOOKUP(A24,'DB Country PMI'!$A:$W,MATCH($A$1,'DB Country PMI'!$A$1:$W$1,),)=0,#N/A,VLOOKUP(A24,'DB Country PMI'!$A:$W,MATCH($A$1,'DB Country PMI'!$A$1:$W$1,),))</f>
        <v>52.3</v>
      </c>
      <c r="C24" s="14">
        <f>Table134681134567[[#This Row],[PMI]]-B23</f>
        <v>-1.8000000000000043</v>
      </c>
    </row>
    <row r="25" spans="1:3" x14ac:dyDescent="0.2">
      <c r="A25" s="8">
        <v>41030</v>
      </c>
      <c r="B25" s="11">
        <f>IF(VLOOKUP(A25,'DB Country PMI'!$A:$W,MATCH($A$1,'DB Country PMI'!$A$1:$W$1,),)=0,#N/A,VLOOKUP(A25,'DB Country PMI'!$A:$W,MATCH($A$1,'DB Country PMI'!$A$1:$W$1,),))</f>
        <v>52.8</v>
      </c>
      <c r="C25" s="14">
        <f>Table134681134567[[#This Row],[PMI]]-B24</f>
        <v>0.5</v>
      </c>
    </row>
    <row r="26" spans="1:3" x14ac:dyDescent="0.2">
      <c r="A26" s="8">
        <v>41061</v>
      </c>
      <c r="B26" s="11">
        <f>IF(VLOOKUP(A26,'DB Country PMI'!$A:$W,MATCH($A$1,'DB Country PMI'!$A$1:$W$1,),)=0,#N/A,VLOOKUP(A26,'DB Country PMI'!$A:$W,MATCH($A$1,'DB Country PMI'!$A$1:$W$1,),))</f>
        <v>54.7</v>
      </c>
      <c r="C26" s="14">
        <f>Table134681134567[[#This Row],[PMI]]-B25</f>
        <v>1.9000000000000057</v>
      </c>
    </row>
    <row r="27" spans="1:3" x14ac:dyDescent="0.2">
      <c r="A27" s="8">
        <v>41091</v>
      </c>
      <c r="B27" s="11">
        <f>IF(VLOOKUP(A27,'DB Country PMI'!$A:$W,MATCH($A$1,'DB Country PMI'!$A$1:$W$1,),)=0,#N/A,VLOOKUP(A27,'DB Country PMI'!$A:$W,MATCH($A$1,'DB Country PMI'!$A$1:$W$1,),))</f>
        <v>54.3</v>
      </c>
      <c r="C27" s="14">
        <f>Table134681134567[[#This Row],[PMI]]-B26</f>
        <v>-0.40000000000000568</v>
      </c>
    </row>
    <row r="28" spans="1:3" x14ac:dyDescent="0.2">
      <c r="A28" s="8">
        <v>41122</v>
      </c>
      <c r="B28" s="11">
        <f>IF(VLOOKUP(A28,'DB Country PMI'!$A:$W,MATCH($A$1,'DB Country PMI'!$A$1:$W$1,),)=0,#N/A,VLOOKUP(A28,'DB Country PMI'!$A:$W,MATCH($A$1,'DB Country PMI'!$A$1:$W$1,),))</f>
        <v>54.2</v>
      </c>
      <c r="C28" s="14">
        <f>Table134681134567[[#This Row],[PMI]]-B27</f>
        <v>-9.9999999999994316E-2</v>
      </c>
    </row>
    <row r="29" spans="1:3" x14ac:dyDescent="0.2">
      <c r="A29" s="8">
        <v>41153</v>
      </c>
      <c r="B29" s="11">
        <f>IF(VLOOKUP(A29,'DB Country PMI'!$A:$W,MATCH($A$1,'DB Country PMI'!$A$1:$W$1,),)=0,#N/A,VLOOKUP(A29,'DB Country PMI'!$A:$W,MATCH($A$1,'DB Country PMI'!$A$1:$W$1,),))</f>
        <v>55</v>
      </c>
      <c r="C29" s="14">
        <f>Table134681134567[[#This Row],[PMI]]-B28</f>
        <v>0.79999999999999716</v>
      </c>
    </row>
    <row r="30" spans="1:3" x14ac:dyDescent="0.2">
      <c r="A30" s="8">
        <v>41183</v>
      </c>
      <c r="B30" s="11">
        <f>IF(VLOOKUP(A30,'DB Country PMI'!$A:$W,MATCH($A$1,'DB Country PMI'!$A$1:$W$1,),)=0,#N/A,VLOOKUP(A30,'DB Country PMI'!$A:$W,MATCH($A$1,'DB Country PMI'!$A$1:$W$1,),))</f>
        <v>55.8</v>
      </c>
      <c r="C30" s="14">
        <f>Table134681134567[[#This Row],[PMI]]-B29</f>
        <v>0.79999999999999716</v>
      </c>
    </row>
    <row r="31" spans="1:3" x14ac:dyDescent="0.2">
      <c r="A31" s="8">
        <v>41214</v>
      </c>
      <c r="B31" s="11">
        <f>IF(VLOOKUP(A31,'DB Country PMI'!$A:$W,MATCH($A$1,'DB Country PMI'!$A$1:$W$1,),)=0,#N/A,VLOOKUP(A31,'DB Country PMI'!$A:$W,MATCH($A$1,'DB Country PMI'!$A$1:$W$1,),))</f>
        <v>53.8</v>
      </c>
      <c r="C31" s="14">
        <f>Table134681134567[[#This Row],[PMI]]-B30</f>
        <v>-2</v>
      </c>
    </row>
    <row r="32" spans="1:3" x14ac:dyDescent="0.2">
      <c r="A32" s="8">
        <v>41244</v>
      </c>
      <c r="B32" s="11">
        <f>IF(VLOOKUP(A32,'DB Country PMI'!$A:$W,MATCH($A$1,'DB Country PMI'!$A$1:$W$1,),)=0,#N/A,VLOOKUP(A32,'DB Country PMI'!$A:$W,MATCH($A$1,'DB Country PMI'!$A$1:$W$1,),))</f>
        <v>52.1</v>
      </c>
      <c r="C32" s="14">
        <f>Table134681134567[[#This Row],[PMI]]-B31</f>
        <v>-1.6999999999999957</v>
      </c>
    </row>
    <row r="33" spans="1:3" x14ac:dyDescent="0.2">
      <c r="A33" s="8">
        <v>41275</v>
      </c>
      <c r="B33" s="11">
        <f>IF(VLOOKUP(A33,'DB Country PMI'!$A:$W,MATCH($A$1,'DB Country PMI'!$A$1:$W$1,),)=0,#N/A,VLOOKUP(A33,'DB Country PMI'!$A:$W,MATCH($A$1,'DB Country PMI'!$A$1:$W$1,),))</f>
        <v>57.5</v>
      </c>
      <c r="C33" s="14">
        <f>Table134681134567[[#This Row],[PMI]]-B32</f>
        <v>5.3999999999999986</v>
      </c>
    </row>
    <row r="34" spans="1:3" x14ac:dyDescent="0.2">
      <c r="A34" s="8">
        <v>41306</v>
      </c>
      <c r="B34" s="11">
        <f>IF(VLOOKUP(A34,'DB Country PMI'!$A:$W,MATCH($A$1,'DB Country PMI'!$A$1:$W$1,),)=0,#N/A,VLOOKUP(A34,'DB Country PMI'!$A:$W,MATCH($A$1,'DB Country PMI'!$A$1:$W$1,),))</f>
        <v>54.2</v>
      </c>
      <c r="C34" s="14">
        <f>Table134681134567[[#This Row],[PMI]]-B33</f>
        <v>-3.2999999999999972</v>
      </c>
    </row>
    <row r="35" spans="1:3" x14ac:dyDescent="0.2">
      <c r="A35" s="8">
        <v>41334</v>
      </c>
      <c r="B35" s="11">
        <f>IF(VLOOKUP(A35,'DB Country PMI'!$A:$W,MATCH($A$1,'DB Country PMI'!$A$1:$W$1,),)=0,#N/A,VLOOKUP(A35,'DB Country PMI'!$A:$W,MATCH($A$1,'DB Country PMI'!$A$1:$W$1,),))</f>
        <v>51.4</v>
      </c>
      <c r="C35" s="14">
        <f>Table134681134567[[#This Row],[PMI]]-B34</f>
        <v>-2.8000000000000043</v>
      </c>
    </row>
    <row r="36" spans="1:3" x14ac:dyDescent="0.2">
      <c r="A36" s="8">
        <v>41365</v>
      </c>
      <c r="B36" s="11">
        <f>IF(VLOOKUP(A36,'DB Country PMI'!$A:$W,MATCH($A$1,'DB Country PMI'!$A$1:$W$1,),)=0,#N/A,VLOOKUP(A36,'DB Country PMI'!$A:$W,MATCH($A$1,'DB Country PMI'!$A$1:$W$1,),))</f>
        <v>50.7</v>
      </c>
      <c r="C36" s="14">
        <f>Table134681134567[[#This Row],[PMI]]-B35</f>
        <v>-0.69999999999999574</v>
      </c>
    </row>
    <row r="37" spans="1:3" x14ac:dyDescent="0.2">
      <c r="A37" s="8">
        <v>41395</v>
      </c>
      <c r="B37" s="11">
        <f>IF(VLOOKUP(A37,'DB Country PMI'!$A:$W,MATCH($A$1,'DB Country PMI'!$A$1:$W$1,),)=0,#N/A,VLOOKUP(A37,'DB Country PMI'!$A:$W,MATCH($A$1,'DB Country PMI'!$A$1:$W$1,),))</f>
        <v>53.6</v>
      </c>
      <c r="C37" s="14">
        <f>Table134681134567[[#This Row],[PMI]]-B36</f>
        <v>2.8999999999999986</v>
      </c>
    </row>
    <row r="38" spans="1:3" x14ac:dyDescent="0.2">
      <c r="A38" s="8">
        <v>41426</v>
      </c>
      <c r="B38" s="11">
        <f>IF(VLOOKUP(A38,'DB Country PMI'!$A:$W,MATCH($A$1,'DB Country PMI'!$A$1:$W$1,),)=0,#N/A,VLOOKUP(A38,'DB Country PMI'!$A:$W,MATCH($A$1,'DB Country PMI'!$A$1:$W$1,),))</f>
        <v>51.7</v>
      </c>
      <c r="C38" s="14">
        <f>Table134681134567[[#This Row],[PMI]]-B37</f>
        <v>-1.8999999999999986</v>
      </c>
    </row>
    <row r="39" spans="1:3" x14ac:dyDescent="0.2">
      <c r="A39" s="8">
        <v>41456</v>
      </c>
      <c r="B39" s="11">
        <f>IF(VLOOKUP(A39,'DB Country PMI'!$A:$W,MATCH($A$1,'DB Country PMI'!$A$1:$W$1,),)=0,#N/A,VLOOKUP(A39,'DB Country PMI'!$A:$W,MATCH($A$1,'DB Country PMI'!$A$1:$W$1,),))</f>
        <v>47.9</v>
      </c>
      <c r="C39" s="14">
        <f>Table134681134567[[#This Row],[PMI]]-B38</f>
        <v>-3.8000000000000043</v>
      </c>
    </row>
    <row r="40" spans="1:3" x14ac:dyDescent="0.2">
      <c r="A40" s="8">
        <v>41487</v>
      </c>
      <c r="B40" s="11">
        <f>IF(VLOOKUP(A40,'DB Country PMI'!$A:$W,MATCH($A$1,'DB Country PMI'!$A$1:$W$1,),)=0,#N/A,VLOOKUP(A40,'DB Country PMI'!$A:$W,MATCH($A$1,'DB Country PMI'!$A$1:$W$1,),))</f>
        <v>47.6</v>
      </c>
      <c r="C40" s="14">
        <f>Table134681134567[[#This Row],[PMI]]-B39</f>
        <v>-0.29999999999999716</v>
      </c>
    </row>
    <row r="41" spans="1:3" x14ac:dyDescent="0.2">
      <c r="A41" s="8">
        <v>41518</v>
      </c>
      <c r="B41" s="11">
        <f>IF(VLOOKUP(A41,'DB Country PMI'!$A:$W,MATCH($A$1,'DB Country PMI'!$A$1:$W$1,),)=0,#N/A,VLOOKUP(A41,'DB Country PMI'!$A:$W,MATCH($A$1,'DB Country PMI'!$A$1:$W$1,),))</f>
        <v>44.6</v>
      </c>
      <c r="C41" s="14">
        <f>Table134681134567[[#This Row],[PMI]]-B40</f>
        <v>-3</v>
      </c>
    </row>
    <row r="42" spans="1:3" x14ac:dyDescent="0.2">
      <c r="A42" s="8">
        <v>41548</v>
      </c>
      <c r="B42" s="11">
        <f>IF(VLOOKUP(A42,'DB Country PMI'!$A:$W,MATCH($A$1,'DB Country PMI'!$A$1:$W$1,),)=0,#N/A,VLOOKUP(A42,'DB Country PMI'!$A:$W,MATCH($A$1,'DB Country PMI'!$A$1:$W$1,),))</f>
        <v>47.1</v>
      </c>
      <c r="C42" s="14">
        <f>Table134681134567[[#This Row],[PMI]]-B41</f>
        <v>2.5</v>
      </c>
    </row>
    <row r="43" spans="1:3" x14ac:dyDescent="0.2">
      <c r="A43" s="8">
        <v>41579</v>
      </c>
      <c r="B43" s="11">
        <f>IF(VLOOKUP(A43,'DB Country PMI'!$A:$W,MATCH($A$1,'DB Country PMI'!$A$1:$W$1,),)=0,#N/A,VLOOKUP(A43,'DB Country PMI'!$A:$W,MATCH($A$1,'DB Country PMI'!$A$1:$W$1,),))</f>
        <v>47.2</v>
      </c>
      <c r="C43" s="14">
        <f>Table134681134567[[#This Row],[PMI]]-B42</f>
        <v>0.10000000000000142</v>
      </c>
    </row>
    <row r="44" spans="1:3" x14ac:dyDescent="0.2">
      <c r="A44" s="8">
        <v>41609</v>
      </c>
      <c r="B44" s="11">
        <f>IF(VLOOKUP(A44,'DB Country PMI'!$A:$W,MATCH($A$1,'DB Country PMI'!$A$1:$W$1,),)=0,#N/A,VLOOKUP(A44,'DB Country PMI'!$A:$W,MATCH($A$1,'DB Country PMI'!$A$1:$W$1,),))</f>
        <v>47.9</v>
      </c>
      <c r="C44" s="14">
        <f>Table134681134567[[#This Row],[PMI]]-B43</f>
        <v>0.69999999999999574</v>
      </c>
    </row>
    <row r="45" spans="1:3" x14ac:dyDescent="0.2">
      <c r="A45" s="8">
        <v>41640</v>
      </c>
      <c r="B45" s="11">
        <f>IF(VLOOKUP(A45,'DB Country PMI'!$A:$W,MATCH($A$1,'DB Country PMI'!$A$1:$W$1,),)=0,#N/A,VLOOKUP(A45,'DB Country PMI'!$A:$W,MATCH($A$1,'DB Country PMI'!$A$1:$W$1,),))</f>
        <v>48.3</v>
      </c>
      <c r="C45" s="14">
        <f>Table134681134567[[#This Row],[PMI]]-B44</f>
        <v>0.39999999999999858</v>
      </c>
    </row>
    <row r="46" spans="1:3" x14ac:dyDescent="0.2">
      <c r="A46" s="8">
        <v>41671</v>
      </c>
      <c r="B46" s="11">
        <f>IF(VLOOKUP(A46,'DB Country PMI'!$A:$W,MATCH($A$1,'DB Country PMI'!$A$1:$W$1,),)=0,#N/A,VLOOKUP(A46,'DB Country PMI'!$A:$W,MATCH($A$1,'DB Country PMI'!$A$1:$W$1,),))</f>
        <v>48.8</v>
      </c>
      <c r="C46" s="14">
        <f>Table134681134567[[#This Row],[PMI]]-B45</f>
        <v>0.5</v>
      </c>
    </row>
    <row r="47" spans="1:3" x14ac:dyDescent="0.2">
      <c r="A47" s="8">
        <v>41699</v>
      </c>
      <c r="B47" s="11">
        <f>IF(VLOOKUP(A47,'DB Country PMI'!$A:$W,MATCH($A$1,'DB Country PMI'!$A$1:$W$1,),)=0,#N/A,VLOOKUP(A47,'DB Country PMI'!$A:$W,MATCH($A$1,'DB Country PMI'!$A$1:$W$1,),))</f>
        <v>47.5</v>
      </c>
      <c r="C47" s="14">
        <f>Table134681134567[[#This Row],[PMI]]-B46</f>
        <v>-1.2999999999999972</v>
      </c>
    </row>
    <row r="48" spans="1:3" x14ac:dyDescent="0.2">
      <c r="A48" s="8">
        <v>41730</v>
      </c>
      <c r="B48" s="11">
        <f>IF(VLOOKUP(A48,'DB Country PMI'!$A:$W,MATCH($A$1,'DB Country PMI'!$A$1:$W$1,),)=0,#N/A,VLOOKUP(A48,'DB Country PMI'!$A:$W,MATCH($A$1,'DB Country PMI'!$A$1:$W$1,),))</f>
        <v>48.5</v>
      </c>
      <c r="C48" s="14">
        <f>Table134681134567[[#This Row],[PMI]]-B47</f>
        <v>1</v>
      </c>
    </row>
    <row r="49" spans="1:3" x14ac:dyDescent="0.2">
      <c r="A49" s="8">
        <v>41760</v>
      </c>
      <c r="B49" s="11">
        <f>IF(VLOOKUP(A49,'DB Country PMI'!$A:$W,MATCH($A$1,'DB Country PMI'!$A$1:$W$1,),)=0,#N/A,VLOOKUP(A49,'DB Country PMI'!$A:$W,MATCH($A$1,'DB Country PMI'!$A$1:$W$1,),))</f>
        <v>50.7</v>
      </c>
      <c r="C49" s="14">
        <f>Table134681134567[[#This Row],[PMI]]-B48</f>
        <v>2.2000000000000028</v>
      </c>
    </row>
    <row r="50" spans="1:3" x14ac:dyDescent="0.2">
      <c r="A50" s="8">
        <v>41791</v>
      </c>
      <c r="B50" s="11">
        <f>IF(VLOOKUP(A50,'DB Country PMI'!$A:$W,MATCH($A$1,'DB Country PMI'!$A$1:$W$1,),)=0,#N/A,VLOOKUP(A50,'DB Country PMI'!$A:$W,MATCH($A$1,'DB Country PMI'!$A$1:$W$1,),))</f>
        <v>54.4</v>
      </c>
      <c r="C50" s="14">
        <f>Table134681134567[[#This Row],[PMI]]-B49</f>
        <v>3.6999999999999957</v>
      </c>
    </row>
    <row r="51" spans="1:3" x14ac:dyDescent="0.2">
      <c r="A51" s="8">
        <v>41821</v>
      </c>
      <c r="B51" s="11">
        <f>IF(VLOOKUP(A51,'DB Country PMI'!$A:$W,MATCH($A$1,'DB Country PMI'!$A$1:$W$1,),)=0,#N/A,VLOOKUP(A51,'DB Country PMI'!$A:$W,MATCH($A$1,'DB Country PMI'!$A$1:$W$1,),))</f>
        <v>52.2</v>
      </c>
      <c r="C51" s="14">
        <f>Table134681134567[[#This Row],[PMI]]-B50</f>
        <v>-2.1999999999999957</v>
      </c>
    </row>
    <row r="52" spans="1:3" x14ac:dyDescent="0.2">
      <c r="A52" s="8">
        <v>41852</v>
      </c>
      <c r="B52" s="11">
        <f>IF(VLOOKUP(A52,'DB Country PMI'!$A:$W,MATCH($A$1,'DB Country PMI'!$A$1:$W$1,),)=0,#N/A,VLOOKUP(A52,'DB Country PMI'!$A:$W,MATCH($A$1,'DB Country PMI'!$A$1:$W$1,),))</f>
        <v>50.6</v>
      </c>
      <c r="C52" s="14">
        <f>Table134681134567[[#This Row],[PMI]]-B51</f>
        <v>-1.6000000000000014</v>
      </c>
    </row>
    <row r="53" spans="1:3" x14ac:dyDescent="0.2">
      <c r="A53" s="8">
        <v>41883</v>
      </c>
      <c r="B53" s="11">
        <f>IF(VLOOKUP(A53,'DB Country PMI'!$A:$W,MATCH($A$1,'DB Country PMI'!$A$1:$W$1,),)=0,#N/A,VLOOKUP(A53,'DB Country PMI'!$A:$W,MATCH($A$1,'DB Country PMI'!$A$1:$W$1,),))</f>
        <v>51.6</v>
      </c>
      <c r="C53" s="14">
        <f>Table134681134567[[#This Row],[PMI]]-B52</f>
        <v>1</v>
      </c>
    </row>
    <row r="54" spans="1:3" x14ac:dyDescent="0.2">
      <c r="A54" s="8">
        <v>41913</v>
      </c>
      <c r="B54" s="11">
        <f>IF(VLOOKUP(A54,'DB Country PMI'!$A:$W,MATCH($A$1,'DB Country PMI'!$A$1:$W$1,),)=0,#N/A,VLOOKUP(A54,'DB Country PMI'!$A:$W,MATCH($A$1,'DB Country PMI'!$A$1:$W$1,),))</f>
        <v>50</v>
      </c>
      <c r="C54" s="14">
        <f>Table134681134567[[#This Row],[PMI]]-B53</f>
        <v>-1.6000000000000014</v>
      </c>
    </row>
    <row r="55" spans="1:3" x14ac:dyDescent="0.2">
      <c r="A55" s="8">
        <v>41944</v>
      </c>
      <c r="B55" s="11">
        <f>IF(VLOOKUP(A55,'DB Country PMI'!$A:$W,MATCH($A$1,'DB Country PMI'!$A$1:$W$1,),)=0,#N/A,VLOOKUP(A55,'DB Country PMI'!$A:$W,MATCH($A$1,'DB Country PMI'!$A$1:$W$1,),))</f>
        <v>52.6</v>
      </c>
      <c r="C55" s="14">
        <f>Table134681134567[[#This Row],[PMI]]-B54</f>
        <v>2.6000000000000014</v>
      </c>
    </row>
    <row r="56" spans="1:3" x14ac:dyDescent="0.2">
      <c r="A56" s="8">
        <v>41974</v>
      </c>
      <c r="B56" s="11">
        <f>IF(VLOOKUP(A56,'DB Country PMI'!$A:$W,MATCH($A$1,'DB Country PMI'!$A$1:$W$1,),)=0,#N/A,VLOOKUP(A56,'DB Country PMI'!$A:$W,MATCH($A$1,'DB Country PMI'!$A$1:$W$1,),))</f>
        <v>51.1</v>
      </c>
      <c r="C56" s="14">
        <f>Table134681134567[[#This Row],[PMI]]-B55</f>
        <v>-1.5</v>
      </c>
    </row>
    <row r="57" spans="1:3" x14ac:dyDescent="0.2">
      <c r="A57" s="8">
        <v>42005</v>
      </c>
      <c r="B57" s="11">
        <f>IF(VLOOKUP(A57,'DB Country PMI'!$A:$W,MATCH($A$1,'DB Country PMI'!$A$1:$W$1,),)=0,#N/A,VLOOKUP(A57,'DB Country PMI'!$A:$W,MATCH($A$1,'DB Country PMI'!$A$1:$W$1,),))</f>
        <v>52.4</v>
      </c>
      <c r="C57" s="14">
        <f>Table134681134567[[#This Row],[PMI]]-B56</f>
        <v>1.2999999999999972</v>
      </c>
    </row>
    <row r="58" spans="1:3" x14ac:dyDescent="0.2">
      <c r="A58" s="8">
        <v>42036</v>
      </c>
      <c r="B58" s="11">
        <f>IF(VLOOKUP(A58,'DB Country PMI'!$A:$W,MATCH($A$1,'DB Country PMI'!$A$1:$W$1,),)=0,#N/A,VLOOKUP(A58,'DB Country PMI'!$A:$W,MATCH($A$1,'DB Country PMI'!$A$1:$W$1,),))</f>
        <v>53.9</v>
      </c>
      <c r="C58" s="14">
        <f>Table134681134567[[#This Row],[PMI]]-B57</f>
        <v>1.5</v>
      </c>
    </row>
    <row r="59" spans="1:3" x14ac:dyDescent="0.2">
      <c r="A59" s="8">
        <v>42064</v>
      </c>
      <c r="B59" s="11">
        <f>IF(VLOOKUP(A59,'DB Country PMI'!$A:$W,MATCH($A$1,'DB Country PMI'!$A$1:$W$1,),)=0,#N/A,VLOOKUP(A59,'DB Country PMI'!$A:$W,MATCH($A$1,'DB Country PMI'!$A$1:$W$1,),))</f>
        <v>53</v>
      </c>
      <c r="C59" s="14">
        <f>Table134681134567[[#This Row],[PMI]]-B58</f>
        <v>-0.89999999999999858</v>
      </c>
    </row>
    <row r="60" spans="1:3" x14ac:dyDescent="0.2">
      <c r="A60" s="8">
        <v>42095</v>
      </c>
      <c r="B60" s="11">
        <f>IF(VLOOKUP(A60,'DB Country PMI'!$A:$W,MATCH($A$1,'DB Country PMI'!$A$1:$W$1,),)=0,#N/A,VLOOKUP(A60,'DB Country PMI'!$A:$W,MATCH($A$1,'DB Country PMI'!$A$1:$W$1,),))</f>
        <v>52.4</v>
      </c>
      <c r="C60" s="14">
        <f>Table134681134567[[#This Row],[PMI]]-B59</f>
        <v>-0.60000000000000142</v>
      </c>
    </row>
    <row r="61" spans="1:3" x14ac:dyDescent="0.2">
      <c r="A61" s="8">
        <v>42125</v>
      </c>
      <c r="B61" s="11">
        <f>IF(VLOOKUP(A61,'DB Country PMI'!$A:$W,MATCH($A$1,'DB Country PMI'!$A$1:$W$1,),)=0,#N/A,VLOOKUP(A61,'DB Country PMI'!$A:$W,MATCH($A$1,'DB Country PMI'!$A$1:$W$1,),))</f>
        <v>49.6</v>
      </c>
      <c r="C61" s="14">
        <f>Table134681134567[[#This Row],[PMI]]-B60</f>
        <v>-2.7999999999999972</v>
      </c>
    </row>
    <row r="62" spans="1:3" x14ac:dyDescent="0.2">
      <c r="A62" s="8">
        <v>42156</v>
      </c>
      <c r="B62" s="11">
        <f>IF(VLOOKUP(A62,'DB Country PMI'!$A:$W,MATCH($A$1,'DB Country PMI'!$A$1:$W$1,),)=0,#N/A,VLOOKUP(A62,'DB Country PMI'!$A:$W,MATCH($A$1,'DB Country PMI'!$A$1:$W$1,),))</f>
        <v>47.7</v>
      </c>
      <c r="C62" s="14">
        <f>Table134681134567[[#This Row],[PMI]]-B61</f>
        <v>-1.8999999999999986</v>
      </c>
    </row>
    <row r="63" spans="1:3" x14ac:dyDescent="0.2">
      <c r="A63" s="8">
        <v>42186</v>
      </c>
      <c r="B63" s="11">
        <f>IF(VLOOKUP(A63,'DB Country PMI'!$A:$W,MATCH($A$1,'DB Country PMI'!$A$1:$W$1,),)=0,#N/A,VLOOKUP(A63,'DB Country PMI'!$A:$W,MATCH($A$1,'DB Country PMI'!$A$1:$W$1,),))</f>
        <v>50.8</v>
      </c>
      <c r="C63" s="14">
        <f>Table134681134567[[#This Row],[PMI]]-B62</f>
        <v>3.0999999999999943</v>
      </c>
    </row>
    <row r="64" spans="1:3" x14ac:dyDescent="0.2">
      <c r="A64" s="8">
        <v>42217</v>
      </c>
      <c r="B64" s="11">
        <f>IF(VLOOKUP(A64,'DB Country PMI'!$A:$W,MATCH($A$1,'DB Country PMI'!$A$1:$W$1,),)=0,#N/A,VLOOKUP(A64,'DB Country PMI'!$A:$W,MATCH($A$1,'DB Country PMI'!$A$1:$W$1,),))</f>
        <v>51.8</v>
      </c>
      <c r="C64" s="14">
        <f>Table134681134567[[#This Row],[PMI]]-B63</f>
        <v>1</v>
      </c>
    </row>
    <row r="65" spans="1:3" x14ac:dyDescent="0.2">
      <c r="A65" s="8">
        <v>42248</v>
      </c>
      <c r="B65" s="11">
        <f>IF(VLOOKUP(A65,'DB Country PMI'!$A:$W,MATCH($A$1,'DB Country PMI'!$A$1:$W$1,),)=0,#N/A,VLOOKUP(A65,'DB Country PMI'!$A:$W,MATCH($A$1,'DB Country PMI'!$A$1:$W$1,),))</f>
        <v>51.3</v>
      </c>
      <c r="C65" s="14">
        <f>Table134681134567[[#This Row],[PMI]]-B64</f>
        <v>-0.5</v>
      </c>
    </row>
    <row r="66" spans="1:3" x14ac:dyDescent="0.2">
      <c r="A66" s="8">
        <v>42278</v>
      </c>
      <c r="B66" s="11">
        <f>IF(VLOOKUP(A66,'DB Country PMI'!$A:$W,MATCH($A$1,'DB Country PMI'!$A$1:$W$1,),)=0,#N/A,VLOOKUP(A66,'DB Country PMI'!$A:$W,MATCH($A$1,'DB Country PMI'!$A$1:$W$1,),))</f>
        <v>53.2</v>
      </c>
      <c r="C66" s="14">
        <f>Table134681134567[[#This Row],[PMI]]-B65</f>
        <v>1.9000000000000057</v>
      </c>
    </row>
    <row r="67" spans="1:3" x14ac:dyDescent="0.2">
      <c r="A67" s="8">
        <v>42309</v>
      </c>
      <c r="B67" s="11">
        <f>IF(VLOOKUP(A67,'DB Country PMI'!$A:$W,MATCH($A$1,'DB Country PMI'!$A$1:$W$1,),)=0,#N/A,VLOOKUP(A67,'DB Country PMI'!$A:$W,MATCH($A$1,'DB Country PMI'!$A$1:$W$1,),))</f>
        <v>50.1</v>
      </c>
      <c r="C67" s="14">
        <f>Table134681134567[[#This Row],[PMI]]-B66</f>
        <v>-3.1000000000000014</v>
      </c>
    </row>
    <row r="68" spans="1:3" x14ac:dyDescent="0.2">
      <c r="A68" s="8">
        <v>42339</v>
      </c>
      <c r="B68" s="11">
        <f>IF(VLOOKUP(A68,'DB Country PMI'!$A:$W,MATCH($A$1,'DB Country PMI'!$A$1:$W$1,),)=0,#N/A,VLOOKUP(A68,'DB Country PMI'!$A:$W,MATCH($A$1,'DB Country PMI'!$A$1:$W$1,),))</f>
        <v>53.6</v>
      </c>
      <c r="C68" s="14">
        <f>Table134681134567[[#This Row],[PMI]]-B67</f>
        <v>3.5</v>
      </c>
    </row>
    <row r="69" spans="1:3" x14ac:dyDescent="0.2">
      <c r="A69" s="8">
        <v>42370</v>
      </c>
      <c r="B69" s="11">
        <f>IF(VLOOKUP(A69,'DB Country PMI'!$A:$W,MATCH($A$1,'DB Country PMI'!$A$1:$W$1,),)=0,#N/A,VLOOKUP(A69,'DB Country PMI'!$A:$W,MATCH($A$1,'DB Country PMI'!$A$1:$W$1,),))</f>
        <v>54.3</v>
      </c>
      <c r="C69" s="14">
        <f>Table134681134567[[#This Row],[PMI]]-B68</f>
        <v>0.69999999999999574</v>
      </c>
    </row>
    <row r="70" spans="1:3" x14ac:dyDescent="0.2">
      <c r="A70" s="8">
        <v>42401</v>
      </c>
      <c r="B70" s="11">
        <f>IF(VLOOKUP(A70,'DB Country PMI'!$A:$W,MATCH($A$1,'DB Country PMI'!$A$1:$W$1,),)=0,#N/A,VLOOKUP(A70,'DB Country PMI'!$A:$W,MATCH($A$1,'DB Country PMI'!$A$1:$W$1,),))</f>
        <v>51.4</v>
      </c>
      <c r="C70" s="14">
        <f>Table134681134567[[#This Row],[PMI]]-B69</f>
        <v>-2.8999999999999986</v>
      </c>
    </row>
    <row r="71" spans="1:3" x14ac:dyDescent="0.2">
      <c r="A71" s="8">
        <v>42430</v>
      </c>
      <c r="B71" s="11">
        <f>IF(VLOOKUP(A71,'DB Country PMI'!$A:$W,MATCH($A$1,'DB Country PMI'!$A$1:$W$1,),)=0,#N/A,VLOOKUP(A71,'DB Country PMI'!$A:$W,MATCH($A$1,'DB Country PMI'!$A$1:$W$1,),))</f>
        <v>54.3</v>
      </c>
      <c r="C71" s="14">
        <f>Table134681134567[[#This Row],[PMI]]-B70</f>
        <v>2.8999999999999986</v>
      </c>
    </row>
    <row r="72" spans="1:3" x14ac:dyDescent="0.2">
      <c r="A72" s="8">
        <v>42461</v>
      </c>
      <c r="B72" s="11">
        <f>IF(VLOOKUP(A72,'DB Country PMI'!$A:$W,MATCH($A$1,'DB Country PMI'!$A$1:$W$1,),)=0,#N/A,VLOOKUP(A72,'DB Country PMI'!$A:$W,MATCH($A$1,'DB Country PMI'!$A$1:$W$1,),))</f>
        <v>53.7</v>
      </c>
      <c r="C72" s="14">
        <f>Table134681134567[[#This Row],[PMI]]-B71</f>
        <v>-0.59999999999999432</v>
      </c>
    </row>
    <row r="73" spans="1:3" x14ac:dyDescent="0.2">
      <c r="A73" s="8">
        <v>42491</v>
      </c>
      <c r="B73" s="11">
        <f>IF(VLOOKUP(A73,'DB Country PMI'!$A:$W,MATCH($A$1,'DB Country PMI'!$A$1:$W$1,),)=0,#N/A,VLOOKUP(A73,'DB Country PMI'!$A:$W,MATCH($A$1,'DB Country PMI'!$A$1:$W$1,),))</f>
        <v>51</v>
      </c>
      <c r="C73" s="14">
        <f>Table134681134567[[#This Row],[PMI]]-B72</f>
        <v>-2.7000000000000028</v>
      </c>
    </row>
    <row r="74" spans="1:3" x14ac:dyDescent="0.2">
      <c r="A74" s="8">
        <v>42522</v>
      </c>
      <c r="B74" s="11">
        <f>IF(VLOOKUP(A74,'DB Country PMI'!$A:$W,MATCH($A$1,'DB Country PMI'!$A$1:$W$1,),)=0,#N/A,VLOOKUP(A74,'DB Country PMI'!$A:$W,MATCH($A$1,'DB Country PMI'!$A$1:$W$1,),))</f>
        <v>50.3</v>
      </c>
      <c r="C74" s="14">
        <f>Table134681134567[[#This Row],[PMI]]-B73</f>
        <v>-0.70000000000000284</v>
      </c>
    </row>
    <row r="75" spans="1:3" x14ac:dyDescent="0.2">
      <c r="A75" s="8">
        <v>42552</v>
      </c>
      <c r="B75" s="11">
        <f>IF(VLOOKUP(A75,'DB Country PMI'!$A:$W,MATCH($A$1,'DB Country PMI'!$A$1:$W$1,),)=0,#N/A,VLOOKUP(A75,'DB Country PMI'!$A:$W,MATCH($A$1,'DB Country PMI'!$A$1:$W$1,),))</f>
        <v>51.9</v>
      </c>
      <c r="C75" s="14">
        <f>Table134681134567[[#This Row],[PMI]]-B74</f>
        <v>1.6000000000000014</v>
      </c>
    </row>
    <row r="76" spans="1:3" x14ac:dyDescent="0.2">
      <c r="A76" s="8">
        <v>42583</v>
      </c>
      <c r="B76" s="11">
        <f>IF(VLOOKUP(A76,'DB Country PMI'!$A:$W,MATCH($A$1,'DB Country PMI'!$A$1:$W$1,),)=0,#N/A,VLOOKUP(A76,'DB Country PMI'!$A:$W,MATCH($A$1,'DB Country PMI'!$A$1:$W$1,),))</f>
        <v>54.7</v>
      </c>
      <c r="C76" s="14">
        <f>Table134681134567[[#This Row],[PMI]]-B75</f>
        <v>2.8000000000000043</v>
      </c>
    </row>
    <row r="77" spans="1:3" x14ac:dyDescent="0.2">
      <c r="A77" s="8">
        <v>42614</v>
      </c>
      <c r="B77" s="11">
        <f>IF(VLOOKUP(A77,'DB Country PMI'!$A:$W,MATCH($A$1,'DB Country PMI'!$A$1:$W$1,),)=0,#N/A,VLOOKUP(A77,'DB Country PMI'!$A:$W,MATCH($A$1,'DB Country PMI'!$A$1:$W$1,),))</f>
        <v>52</v>
      </c>
      <c r="C77" s="14">
        <f>Table134681134567[[#This Row],[PMI]]-B76</f>
        <v>-2.7000000000000028</v>
      </c>
    </row>
    <row r="78" spans="1:3" x14ac:dyDescent="0.2">
      <c r="A78" s="8">
        <v>42644</v>
      </c>
      <c r="B78" s="11">
        <f>IF(VLOOKUP(A78,'DB Country PMI'!$A:$W,MATCH($A$1,'DB Country PMI'!$A$1:$W$1,),)=0,#N/A,VLOOKUP(A78,'DB Country PMI'!$A:$W,MATCH($A$1,'DB Country PMI'!$A$1:$W$1,),))</f>
        <v>54.5</v>
      </c>
      <c r="C78" s="14">
        <f>Table134681134567[[#This Row],[PMI]]-B77</f>
        <v>2.5</v>
      </c>
    </row>
    <row r="79" spans="1:3" x14ac:dyDescent="0.2">
      <c r="A79" s="8">
        <v>42675</v>
      </c>
      <c r="B79" s="11">
        <f>IF(VLOOKUP(A79,'DB Country PMI'!$A:$W,MATCH($A$1,'DB Country PMI'!$A$1:$W$1,),)=0,#N/A,VLOOKUP(A79,'DB Country PMI'!$A:$W,MATCH($A$1,'DB Country PMI'!$A$1:$W$1,),))</f>
        <v>46.7</v>
      </c>
      <c r="C79" s="14">
        <f>Table134681134567[[#This Row],[PMI]]-B78</f>
        <v>-7.7999999999999972</v>
      </c>
    </row>
    <row r="80" spans="1:3" x14ac:dyDescent="0.2">
      <c r="A80" s="8">
        <v>42705</v>
      </c>
      <c r="B80" s="11">
        <f>IF(VLOOKUP(A80,'DB Country PMI'!$A:$W,MATCH($A$1,'DB Country PMI'!$A$1:$W$1,),)=0,#N/A,VLOOKUP(A80,'DB Country PMI'!$A:$W,MATCH($A$1,'DB Country PMI'!$A$1:$W$1,),))</f>
        <v>46.8</v>
      </c>
      <c r="C80" s="14">
        <f>Table134681134567[[#This Row],[PMI]]-B79</f>
        <v>9.9999999999994316E-2</v>
      </c>
    </row>
    <row r="81" spans="1:3" x14ac:dyDescent="0.2">
      <c r="A81" s="8">
        <v>42736</v>
      </c>
      <c r="B81" s="11">
        <f>IF(VLOOKUP(A81,'DB Country PMI'!$A:$W,MATCH($A$1,'DB Country PMI'!$A$1:$W$1,),)=0,#N/A,VLOOKUP(A81,'DB Country PMI'!$A:$W,MATCH($A$1,'DB Country PMI'!$A$1:$W$1,),))</f>
        <v>48.7</v>
      </c>
      <c r="C81" s="14">
        <f>Table134681134567[[#This Row],[PMI]]-B80</f>
        <v>1.9000000000000057</v>
      </c>
    </row>
    <row r="82" spans="1:3" x14ac:dyDescent="0.2">
      <c r="A82" s="8">
        <v>42767</v>
      </c>
      <c r="B82" s="11">
        <f>IF(VLOOKUP(A82,'DB Country PMI'!$A:$W,MATCH($A$1,'DB Country PMI'!$A$1:$W$1,),)=0,#N/A,VLOOKUP(A82,'DB Country PMI'!$A:$W,MATCH($A$1,'DB Country PMI'!$A$1:$W$1,),))</f>
        <v>50.3</v>
      </c>
      <c r="C82" s="14">
        <f>Table134681134567[[#This Row],[PMI]]-B81</f>
        <v>1.5999999999999943</v>
      </c>
    </row>
    <row r="83" spans="1:3" x14ac:dyDescent="0.2">
      <c r="A83" s="8">
        <v>42795</v>
      </c>
      <c r="B83" s="11">
        <f>IF(VLOOKUP(A83,'DB Country PMI'!$A:$W,MATCH($A$1,'DB Country PMI'!$A$1:$W$1,),)=0,#N/A,VLOOKUP(A83,'DB Country PMI'!$A:$W,MATCH($A$1,'DB Country PMI'!$A$1:$W$1,),))</f>
        <v>51.5</v>
      </c>
      <c r="C83" s="14">
        <f>Table134681134567[[#This Row],[PMI]]-B82</f>
        <v>1.2000000000000028</v>
      </c>
    </row>
    <row r="84" spans="1:3" x14ac:dyDescent="0.2">
      <c r="A84" s="8">
        <v>42826</v>
      </c>
      <c r="B84" s="11">
        <f>IF(VLOOKUP(A84,'DB Country PMI'!$A:$W,MATCH($A$1,'DB Country PMI'!$A$1:$W$1,),)=0,#N/A,VLOOKUP(A84,'DB Country PMI'!$A:$W,MATCH($A$1,'DB Country PMI'!$A$1:$W$1,),))</f>
        <v>50.2</v>
      </c>
      <c r="C84" s="14">
        <f>Table134681134567[[#This Row],[PMI]]-B83</f>
        <v>-1.2999999999999972</v>
      </c>
    </row>
    <row r="85" spans="1:3" x14ac:dyDescent="0.2">
      <c r="A85" s="8">
        <v>42856</v>
      </c>
      <c r="B85" s="11">
        <f>IF(VLOOKUP(A85,'DB Country PMI'!$A:$W,MATCH($A$1,'DB Country PMI'!$A$1:$W$1,),)=0,#N/A,VLOOKUP(A85,'DB Country PMI'!$A:$W,MATCH($A$1,'DB Country PMI'!$A$1:$W$1,),))</f>
        <v>52.2</v>
      </c>
      <c r="C85" s="14">
        <f>Table134681134567[[#This Row],[PMI]]-B84</f>
        <v>2</v>
      </c>
    </row>
    <row r="86" spans="1:3" x14ac:dyDescent="0.2">
      <c r="A86" s="8">
        <v>42887</v>
      </c>
      <c r="B86" s="11">
        <f>IF(VLOOKUP(A86,'DB Country PMI'!$A:$W,MATCH($A$1,'DB Country PMI'!$A$1:$W$1,),)=0,#N/A,VLOOKUP(A86,'DB Country PMI'!$A:$W,MATCH($A$1,'DB Country PMI'!$A$1:$W$1,),))</f>
        <v>53.1</v>
      </c>
      <c r="C86" s="14">
        <f>Table134681134567[[#This Row],[PMI]]-B85</f>
        <v>0.89999999999999858</v>
      </c>
    </row>
    <row r="87" spans="1:3" x14ac:dyDescent="0.2">
      <c r="A87" s="8">
        <v>42917</v>
      </c>
      <c r="B87" s="11">
        <f>IF(VLOOKUP(A87,'DB Country PMI'!$A:$W,MATCH($A$1,'DB Country PMI'!$A$1:$W$1,),)=0,#N/A,VLOOKUP(A87,'DB Country PMI'!$A:$W,MATCH($A$1,'DB Country PMI'!$A$1:$W$1,),))</f>
        <v>45.9</v>
      </c>
      <c r="C87" s="14">
        <f>Table134681134567[[#This Row],[PMI]]-B86</f>
        <v>-7.2000000000000028</v>
      </c>
    </row>
    <row r="88" spans="1:3" x14ac:dyDescent="0.2">
      <c r="A88" s="8">
        <v>42948</v>
      </c>
      <c r="B88" s="11">
        <f>IF(VLOOKUP(A88,'DB Country PMI'!$A:$W,MATCH($A$1,'DB Country PMI'!$A$1:$W$1,),)=0,#N/A,VLOOKUP(A88,'DB Country PMI'!$A:$W,MATCH($A$1,'DB Country PMI'!$A$1:$W$1,),))</f>
        <v>47.5</v>
      </c>
      <c r="C88" s="14">
        <f>Table134681134567[[#This Row],[PMI]]-B87</f>
        <v>1.6000000000000014</v>
      </c>
    </row>
    <row r="89" spans="1:3" x14ac:dyDescent="0.2">
      <c r="A89" s="8">
        <v>42979</v>
      </c>
      <c r="B89" s="11">
        <f>IF(VLOOKUP(A89,'DB Country PMI'!$A:$W,MATCH($A$1,'DB Country PMI'!$A$1:$W$1,),)=0,#N/A,VLOOKUP(A89,'DB Country PMI'!$A:$W,MATCH($A$1,'DB Country PMI'!$A$1:$W$1,),))</f>
        <v>50.7</v>
      </c>
      <c r="C89" s="14">
        <f>Table134681134567[[#This Row],[PMI]]-B88</f>
        <v>3.2000000000000028</v>
      </c>
    </row>
    <row r="90" spans="1:3" x14ac:dyDescent="0.2">
      <c r="A90" s="8">
        <v>43009</v>
      </c>
      <c r="B90" s="11">
        <f>IF(VLOOKUP(A90,'DB Country PMI'!$A:$W,MATCH($A$1,'DB Country PMI'!$A$1:$W$1,),)=0,#N/A,VLOOKUP(A90,'DB Country PMI'!$A:$W,MATCH($A$1,'DB Country PMI'!$A$1:$W$1,),))</f>
        <v>51.7</v>
      </c>
      <c r="C90" s="14">
        <f>Table134681134567[[#This Row],[PMI]]-B89</f>
        <v>1</v>
      </c>
    </row>
    <row r="91" spans="1:3" x14ac:dyDescent="0.2">
      <c r="A91" s="8">
        <v>43040</v>
      </c>
      <c r="B91" s="11">
        <f>IF(VLOOKUP(A91,'DB Country PMI'!$A:$W,MATCH($A$1,'DB Country PMI'!$A$1:$W$1,),)=0,#N/A,VLOOKUP(A91,'DB Country PMI'!$A:$W,MATCH($A$1,'DB Country PMI'!$A$1:$W$1,),))</f>
        <v>48.5</v>
      </c>
      <c r="C91" s="14">
        <f>Table134681134567[[#This Row],[PMI]]-B90</f>
        <v>-3.2000000000000028</v>
      </c>
    </row>
    <row r="92" spans="1:3" x14ac:dyDescent="0.2">
      <c r="A92" s="8">
        <v>43070</v>
      </c>
      <c r="B92" s="11">
        <f>IF(VLOOKUP(A92,'DB Country PMI'!$A:$W,MATCH($A$1,'DB Country PMI'!$A$1:$W$1,),)=0,#N/A,VLOOKUP(A92,'DB Country PMI'!$A:$W,MATCH($A$1,'DB Country PMI'!$A$1:$W$1,),))</f>
        <v>50.9</v>
      </c>
      <c r="C92" s="14">
        <f>Table134681134567[[#This Row],[PMI]]-B91</f>
        <v>2.3999999999999986</v>
      </c>
    </row>
    <row r="93" spans="1:3" x14ac:dyDescent="0.2">
      <c r="A93" s="8">
        <v>43101</v>
      </c>
      <c r="B93" s="11">
        <f>IF(VLOOKUP(A93,'DB Country PMI'!$A:$W,MATCH($A$1,'DB Country PMI'!$A$1:$W$1,),)=0,#N/A,VLOOKUP(A93,'DB Country PMI'!$A:$W,MATCH($A$1,'DB Country PMI'!$A$1:$W$1,),))</f>
        <v>51.7</v>
      </c>
      <c r="C93" s="14">
        <f>Table134681134567[[#This Row],[PMI]]-B92</f>
        <v>0.80000000000000426</v>
      </c>
    </row>
    <row r="94" spans="1:3" x14ac:dyDescent="0.2">
      <c r="A94" s="8">
        <v>43132</v>
      </c>
      <c r="B94" s="11">
        <f>IF(VLOOKUP(A94,'DB Country PMI'!$A:$W,MATCH($A$1,'DB Country PMI'!$A$1:$W$1,),)=0,#N/A,VLOOKUP(A94,'DB Country PMI'!$A:$W,MATCH($A$1,'DB Country PMI'!$A$1:$W$1,),))</f>
        <v>47.8</v>
      </c>
      <c r="C94" s="14">
        <f>Table134681134567[[#This Row],[PMI]]-B93</f>
        <v>-3.9000000000000057</v>
      </c>
    </row>
    <row r="95" spans="1:3" x14ac:dyDescent="0.2">
      <c r="A95" s="8">
        <v>43160</v>
      </c>
      <c r="B95" s="11">
        <f>IF(VLOOKUP(A95,'DB Country PMI'!$A:$W,MATCH($A$1,'DB Country PMI'!$A$1:$W$1,),)=0,#N/A,VLOOKUP(A95,'DB Country PMI'!$A:$W,MATCH($A$1,'DB Country PMI'!$A$1:$W$1,),))</f>
        <v>50.3</v>
      </c>
      <c r="C95" s="14">
        <f>Table134681134567[[#This Row],[PMI]]-B94</f>
        <v>2.5</v>
      </c>
    </row>
    <row r="96" spans="1:3" x14ac:dyDescent="0.2">
      <c r="A96" s="8">
        <v>43191</v>
      </c>
      <c r="B96" s="11">
        <f>IF(VLOOKUP(A96,'DB Country PMI'!$A:$W,MATCH($A$1,'DB Country PMI'!$A$1:$W$1,),)=0,#N/A,VLOOKUP(A96,'DB Country PMI'!$A:$W,MATCH($A$1,'DB Country PMI'!$A$1:$W$1,),))</f>
        <v>51.4</v>
      </c>
      <c r="C96" s="14">
        <f>Table134681134567[[#This Row],[PMI]]-B95</f>
        <v>1.1000000000000014</v>
      </c>
    </row>
    <row r="97" spans="1:3" x14ac:dyDescent="0.2">
      <c r="A97" s="8">
        <v>43221</v>
      </c>
      <c r="B97" s="11">
        <f>IF(VLOOKUP(A97,'DB Country PMI'!$A:$W,MATCH($A$1,'DB Country PMI'!$A$1:$W$1,),)=0,#N/A,VLOOKUP(A97,'DB Country PMI'!$A:$W,MATCH($A$1,'DB Country PMI'!$A$1:$W$1,),))</f>
        <v>49.6</v>
      </c>
      <c r="C97" s="14">
        <f>Table134681134567[[#This Row],[PMI]]-B96</f>
        <v>-1.7999999999999972</v>
      </c>
    </row>
    <row r="98" spans="1:3" x14ac:dyDescent="0.2">
      <c r="A98" s="8">
        <v>43252</v>
      </c>
      <c r="B98" s="11">
        <f>IF(VLOOKUP(A98,'DB Country PMI'!$A:$W,MATCH($A$1,'DB Country PMI'!$A$1:$W$1,),)=0,#N/A,VLOOKUP(A98,'DB Country PMI'!$A:$W,MATCH($A$1,'DB Country PMI'!$A$1:$W$1,),))</f>
        <v>52.6</v>
      </c>
      <c r="C98" s="14">
        <f>Table134681134567[[#This Row],[PMI]]-B97</f>
        <v>3</v>
      </c>
    </row>
    <row r="99" spans="1:3" x14ac:dyDescent="0.2">
      <c r="A99" s="8">
        <v>43282</v>
      </c>
      <c r="B99" s="11">
        <f>IF(VLOOKUP(A99,'DB Country PMI'!$A:$W,MATCH($A$1,'DB Country PMI'!$A$1:$W$1,),)=0,#N/A,VLOOKUP(A99,'DB Country PMI'!$A:$W,MATCH($A$1,'DB Country PMI'!$A$1:$W$1,),))</f>
        <v>54.2</v>
      </c>
      <c r="C99" s="14">
        <f>Table134681134567[[#This Row],[PMI]]-B98</f>
        <v>1.6000000000000014</v>
      </c>
    </row>
    <row r="100" spans="1:3" x14ac:dyDescent="0.2">
      <c r="A100" s="8">
        <v>43313</v>
      </c>
      <c r="B100" s="11">
        <f>IF(VLOOKUP(A100,'DB Country PMI'!$A:$W,MATCH($A$1,'DB Country PMI'!$A$1:$W$1,),)=0,#N/A,VLOOKUP(A100,'DB Country PMI'!$A:$W,MATCH($A$1,'DB Country PMI'!$A$1:$W$1,),))</f>
        <v>51.5</v>
      </c>
      <c r="C100" s="14">
        <f>Table134681134567[[#This Row],[PMI]]-B99</f>
        <v>-2.7000000000000028</v>
      </c>
    </row>
    <row r="101" spans="1:3" x14ac:dyDescent="0.2">
      <c r="A101" s="8">
        <v>43344</v>
      </c>
      <c r="B101" s="11">
        <f>IF(VLOOKUP(A101,'DB Country PMI'!$A:$W,MATCH($A$1,'DB Country PMI'!$A$1:$W$1,),)=0,#N/A,VLOOKUP(A101,'DB Country PMI'!$A:$W,MATCH($A$1,'DB Country PMI'!$A$1:$W$1,),))</f>
        <v>50.9</v>
      </c>
      <c r="C101" s="14">
        <f>Table134681134567[[#This Row],[PMI]]-B100</f>
        <v>-0.60000000000000142</v>
      </c>
    </row>
    <row r="102" spans="1:3" x14ac:dyDescent="0.2">
      <c r="A102" s="8">
        <v>43374</v>
      </c>
      <c r="B102" s="11">
        <f>IF(VLOOKUP(A102,'DB Country PMI'!$A:$W,MATCH($A$1,'DB Country PMI'!$A$1:$W$1,),)=0,#N/A,VLOOKUP(A102,'DB Country PMI'!$A:$W,MATCH($A$1,'DB Country PMI'!$A$1:$W$1,),))</f>
        <v>52.2</v>
      </c>
      <c r="C102" s="14">
        <f>Table134681134567[[#This Row],[PMI]]-B101</f>
        <v>1.3000000000000043</v>
      </c>
    </row>
    <row r="103" spans="1:3" x14ac:dyDescent="0.2">
      <c r="A103" s="8">
        <v>43405</v>
      </c>
      <c r="B103" s="11">
        <f>IF(VLOOKUP(A103,'DB Country PMI'!$A:$W,MATCH($A$1,'DB Country PMI'!$A$1:$W$1,),)=0,#N/A,VLOOKUP(A103,'DB Country PMI'!$A:$W,MATCH($A$1,'DB Country PMI'!$A$1:$W$1,),))</f>
        <v>53.7</v>
      </c>
      <c r="C103" s="14">
        <f>Table134681134567[[#This Row],[PMI]]-B102</f>
        <v>1.5</v>
      </c>
    </row>
    <row r="104" spans="1:3" x14ac:dyDescent="0.2">
      <c r="A104" s="8">
        <v>43435</v>
      </c>
      <c r="B104" s="11">
        <f>IF(VLOOKUP(A104,'DB Country PMI'!$A:$W,MATCH($A$1,'DB Country PMI'!$A$1:$W$1,),)=0,#N/A,VLOOKUP(A104,'DB Country PMI'!$A:$W,MATCH($A$1,'DB Country PMI'!$A$1:$W$1,),))</f>
        <v>53.2</v>
      </c>
      <c r="C104" s="14">
        <f>Table134681134567[[#This Row],[PMI]]-B103</f>
        <v>-0.5</v>
      </c>
    </row>
    <row r="105" spans="1:3" x14ac:dyDescent="0.2">
      <c r="A105" s="8">
        <v>43466</v>
      </c>
      <c r="B105" s="11">
        <f>IF(VLOOKUP(A105,'DB Country PMI'!$A:$W,MATCH($A$1,'DB Country PMI'!$A$1:$W$1,),)=0,#N/A,VLOOKUP(A105,'DB Country PMI'!$A:$W,MATCH($A$1,'DB Country PMI'!$A$1:$W$1,),))</f>
        <v>52.2</v>
      </c>
      <c r="C105" s="14">
        <f>Table134681134567[[#This Row],[PMI]]-B104</f>
        <v>-1</v>
      </c>
    </row>
    <row r="106" spans="1:3" x14ac:dyDescent="0.2">
      <c r="A106" s="8">
        <v>43497</v>
      </c>
      <c r="B106" s="11">
        <f>IF(VLOOKUP(A106,'DB Country PMI'!$A:$W,MATCH($A$1,'DB Country PMI'!$A$1:$W$1,),)=0,#N/A,VLOOKUP(A106,'DB Country PMI'!$A:$W,MATCH($A$1,'DB Country PMI'!$A$1:$W$1,),))</f>
        <v>52.5</v>
      </c>
      <c r="C106" s="14">
        <f>Table134681134567[[#This Row],[PMI]]-B105</f>
        <v>0.29999999999999716</v>
      </c>
    </row>
    <row r="107" spans="1:3" x14ac:dyDescent="0.2">
      <c r="A107" s="8">
        <v>43525</v>
      </c>
      <c r="B107" s="11">
        <f>IF(VLOOKUP(A107,'DB Country PMI'!$A:$W,MATCH($A$1,'DB Country PMI'!$A$1:$W$1,),)=0,#N/A,VLOOKUP(A107,'DB Country PMI'!$A:$W,MATCH($A$1,'DB Country PMI'!$A$1:$W$1,),))</f>
        <v>52</v>
      </c>
      <c r="C107" s="14">
        <f>Table134681134567[[#This Row],[PMI]]-B106</f>
        <v>-0.5</v>
      </c>
    </row>
    <row r="108" spans="1:3" x14ac:dyDescent="0.2">
      <c r="A108" s="8">
        <v>43556</v>
      </c>
      <c r="B108" s="11">
        <f>IF(VLOOKUP(A108,'DB Country PMI'!$A:$W,MATCH($A$1,'DB Country PMI'!$A$1:$W$1,),)=0,#N/A,VLOOKUP(A108,'DB Country PMI'!$A:$W,MATCH($A$1,'DB Country PMI'!$A$1:$W$1,),))</f>
        <v>51</v>
      </c>
      <c r="C108" s="14">
        <f>Table134681134567[[#This Row],[PMI]]-B107</f>
        <v>-1</v>
      </c>
    </row>
    <row r="109" spans="1:3" x14ac:dyDescent="0.2">
      <c r="A109" s="8">
        <v>43586</v>
      </c>
      <c r="B109" s="11">
        <f>IF(VLOOKUP(A109,'DB Country PMI'!$A:$W,MATCH($A$1,'DB Country PMI'!$A$1:$W$1,),)=0,#N/A,VLOOKUP(A109,'DB Country PMI'!$A:$W,MATCH($A$1,'DB Country PMI'!$A$1:$W$1,),))</f>
        <v>50.2</v>
      </c>
      <c r="C109" s="14">
        <f>Table134681134567[[#This Row],[PMI]]-B108</f>
        <v>-0.79999999999999716</v>
      </c>
    </row>
    <row r="110" spans="1:3" x14ac:dyDescent="0.2">
      <c r="A110" s="8">
        <v>43617</v>
      </c>
      <c r="B110" s="11">
        <f>IF(VLOOKUP(A110,'DB Country PMI'!$A:$W,MATCH($A$1,'DB Country PMI'!$A$1:$W$1,),)=0,#N/A,VLOOKUP(A110,'DB Country PMI'!$A:$W,MATCH($A$1,'DB Country PMI'!$A$1:$W$1,),))</f>
        <v>49.6</v>
      </c>
      <c r="C110" s="14">
        <f>Table134681134567[[#This Row],[PMI]]-B109</f>
        <v>-0.60000000000000142</v>
      </c>
    </row>
    <row r="111" spans="1:3" x14ac:dyDescent="0.2">
      <c r="A111" s="8">
        <v>43647</v>
      </c>
      <c r="B111" s="11">
        <f>IF(VLOOKUP(A111,'DB Country PMI'!$A:$W,MATCH($A$1,'DB Country PMI'!$A$1:$W$1,),)=0,#N/A,VLOOKUP(A111,'DB Country PMI'!$A:$W,MATCH($A$1,'DB Country PMI'!$A$1:$W$1,),))</f>
        <v>53.8</v>
      </c>
      <c r="C111" s="14">
        <f>Table134681134567[[#This Row],[PMI]]-B110</f>
        <v>4.1999999999999957</v>
      </c>
    </row>
    <row r="112" spans="1:3" x14ac:dyDescent="0.2">
      <c r="A112" s="8">
        <v>43678</v>
      </c>
      <c r="B112" s="11">
        <f>IF(VLOOKUP(A112,'DB Country PMI'!$A:$W,MATCH($A$1,'DB Country PMI'!$A$1:$W$1,),)=0,#N/A,VLOOKUP(A112,'DB Country PMI'!$A:$W,MATCH($A$1,'DB Country PMI'!$A$1:$W$1,),))</f>
        <v>52.4</v>
      </c>
      <c r="C112" s="14">
        <f>Table134681134567[[#This Row],[PMI]]-B111</f>
        <v>-1.3999999999999986</v>
      </c>
    </row>
    <row r="113" spans="1:3" x14ac:dyDescent="0.2">
      <c r="A113" s="8">
        <v>43709</v>
      </c>
      <c r="B113" s="11">
        <f>IF(VLOOKUP(A113,'DB Country PMI'!$A:$W,MATCH($A$1,'DB Country PMI'!$A$1:$W$1,),)=0,#N/A,VLOOKUP(A113,'DB Country PMI'!$A:$W,MATCH($A$1,'DB Country PMI'!$A$1:$W$1,),))</f>
        <v>48.7</v>
      </c>
      <c r="C113" s="14">
        <f>Table134681134567[[#This Row],[PMI]]-B112</f>
        <v>-3.6999999999999957</v>
      </c>
    </row>
    <row r="114" spans="1:3" x14ac:dyDescent="0.2">
      <c r="A114" s="8">
        <v>43739</v>
      </c>
      <c r="B114" s="11">
        <f>IF(VLOOKUP(A114,'DB Country PMI'!$A:$W,MATCH($A$1,'DB Country PMI'!$A$1:$W$1,),)=0,#N/A,VLOOKUP(A114,'DB Country PMI'!$A:$W,MATCH($A$1,'DB Country PMI'!$A$1:$W$1,),))</f>
        <v>49.2</v>
      </c>
      <c r="C114" s="14">
        <f>Table134681134567[[#This Row],[PMI]]-B113</f>
        <v>0.5</v>
      </c>
    </row>
    <row r="115" spans="1:3" x14ac:dyDescent="0.2">
      <c r="A115" s="8">
        <v>43770</v>
      </c>
      <c r="B115" s="11">
        <f>IF(VLOOKUP(A115,'DB Country PMI'!$A:$W,MATCH($A$1,'DB Country PMI'!$A$1:$W$1,),)=0,#N/A,VLOOKUP(A115,'DB Country PMI'!$A:$W,MATCH($A$1,'DB Country PMI'!$A$1:$W$1,),))</f>
        <v>52.7</v>
      </c>
      <c r="C115" s="14">
        <f>Table134681134567[[#This Row],[PMI]]-B114</f>
        <v>3.5</v>
      </c>
    </row>
    <row r="116" spans="1:3" x14ac:dyDescent="0.2">
      <c r="A116" s="8">
        <v>43800</v>
      </c>
      <c r="B116" s="11">
        <f>IF(VLOOKUP(A116,'DB Country PMI'!$A:$W,MATCH($A$1,'DB Country PMI'!$A$1:$W$1,),)=0,#N/A,VLOOKUP(A116,'DB Country PMI'!$A:$W,MATCH($A$1,'DB Country PMI'!$A$1:$W$1,),))</f>
        <v>53.3</v>
      </c>
      <c r="C116" s="14">
        <f>Table134681134567[[#This Row],[PMI]]-B115</f>
        <v>0.59999999999999432</v>
      </c>
    </row>
    <row r="117" spans="1:3" x14ac:dyDescent="0.2">
      <c r="A117" s="8">
        <v>43831</v>
      </c>
      <c r="B117" s="11">
        <f>IF(VLOOKUP(A117,'DB Country PMI'!$A:$W,MATCH($A$1,'DB Country PMI'!$A$1:$W$1,),)=0,#N/A,VLOOKUP(A117,'DB Country PMI'!$A:$W,MATCH($A$1,'DB Country PMI'!$A$1:$W$1,),))</f>
        <v>55.5</v>
      </c>
      <c r="C117" s="14">
        <f>Table134681134567[[#This Row],[PMI]]-B116</f>
        <v>2.2000000000000028</v>
      </c>
    </row>
    <row r="118" spans="1:3" x14ac:dyDescent="0.2">
      <c r="A118" s="8">
        <v>43862</v>
      </c>
      <c r="B118" s="11">
        <f>IF(VLOOKUP(A118,'DB Country PMI'!$A:$W,MATCH($A$1,'DB Country PMI'!$A$1:$W$1,),)=0,#N/A,VLOOKUP(A118,'DB Country PMI'!$A:$W,MATCH($A$1,'DB Country PMI'!$A$1:$W$1,),))</f>
        <v>57.5</v>
      </c>
      <c r="C118" s="14">
        <f>Table134681134567[[#This Row],[PMI]]-B117</f>
        <v>2</v>
      </c>
    </row>
    <row r="119" spans="1:3" x14ac:dyDescent="0.2">
      <c r="A119" s="8">
        <v>43891</v>
      </c>
      <c r="B119" s="11">
        <f>IF(VLOOKUP(A119,'DB Country PMI'!$A:$W,MATCH($A$1,'DB Country PMI'!$A$1:$W$1,),)=0,#N/A,VLOOKUP(A119,'DB Country PMI'!$A:$W,MATCH($A$1,'DB Country PMI'!$A$1:$W$1,),))</f>
        <v>49.3</v>
      </c>
      <c r="C119" s="14">
        <f>Table134681134567[[#This Row],[PMI]]-B118</f>
        <v>-8.2000000000000028</v>
      </c>
    </row>
    <row r="120" spans="1:3" x14ac:dyDescent="0.2">
      <c r="A120" s="8">
        <v>43922</v>
      </c>
      <c r="B120" s="11">
        <f>IF(VLOOKUP(A120,'DB Country PMI'!$A:$W,MATCH($A$1,'DB Country PMI'!$A$1:$W$1,),)=0,#N/A,VLOOKUP(A120,'DB Country PMI'!$A:$W,MATCH($A$1,'DB Country PMI'!$A$1:$W$1,),))</f>
        <v>49.3</v>
      </c>
      <c r="C120" s="14">
        <f>Table134681134567[[#This Row],[PMI]]-B119</f>
        <v>0</v>
      </c>
    </row>
    <row r="121" spans="1:3" x14ac:dyDescent="0.2">
      <c r="A121" s="8">
        <v>43952</v>
      </c>
      <c r="B121" s="11">
        <f>IF(VLOOKUP(A121,'DB Country PMI'!$A:$W,MATCH($A$1,'DB Country PMI'!$A$1:$W$1,),)=0,#N/A,VLOOKUP(A121,'DB Country PMI'!$A:$W,MATCH($A$1,'DB Country PMI'!$A$1:$W$1,),))</f>
        <v>12.6</v>
      </c>
      <c r="C121" s="14">
        <f>Table134681134567[[#This Row],[PMI]]-B120</f>
        <v>-36.699999999999996</v>
      </c>
    </row>
    <row r="122" spans="1:3" x14ac:dyDescent="0.2">
      <c r="A122" s="8">
        <v>43983</v>
      </c>
      <c r="B122" s="11">
        <f>IF(VLOOKUP(A122,'DB Country PMI'!$A:$W,MATCH($A$1,'DB Country PMI'!$A$1:$W$1,),)=0,#N/A,VLOOKUP(A122,'DB Country PMI'!$A:$W,MATCH($A$1,'DB Country PMI'!$A$1:$W$1,),))</f>
        <v>33.700000000000003</v>
      </c>
      <c r="C122" s="14">
        <f>Table134681134567[[#This Row],[PMI]]-B121</f>
        <v>21.1</v>
      </c>
    </row>
    <row r="123" spans="1:3" x14ac:dyDescent="0.2">
      <c r="A123" s="8">
        <v>44013</v>
      </c>
      <c r="B123" s="11">
        <f>IF(VLOOKUP(A123,'DB Country PMI'!$A:$W,MATCH($A$1,'DB Country PMI'!$A$1:$W$1,),)=0,#N/A,VLOOKUP(A123,'DB Country PMI'!$A:$W,MATCH($A$1,'DB Country PMI'!$A$1:$W$1,),))</f>
        <v>34.200000000000003</v>
      </c>
      <c r="C123" s="14">
        <f>Table134681134567[[#This Row],[PMI]]-B122</f>
        <v>0.5</v>
      </c>
    </row>
    <row r="124" spans="1:3" x14ac:dyDescent="0.2">
      <c r="A124" s="8">
        <v>44044</v>
      </c>
      <c r="B124" s="11">
        <f>IF(VLOOKUP(A124,'DB Country PMI'!$A:$W,MATCH($A$1,'DB Country PMI'!$A$1:$W$1,),)=0,#N/A,VLOOKUP(A124,'DB Country PMI'!$A:$W,MATCH($A$1,'DB Country PMI'!$A$1:$W$1,),))</f>
        <v>41.8</v>
      </c>
      <c r="C124" s="14">
        <f>Table134681134567[[#This Row],[PMI]]-B123</f>
        <v>7.5999999999999943</v>
      </c>
    </row>
    <row r="125" spans="1:3" x14ac:dyDescent="0.2">
      <c r="A125" s="8">
        <v>44075</v>
      </c>
      <c r="B125" s="11">
        <f>IF(VLOOKUP(A125,'DB Country PMI'!$A:$W,MATCH($A$1,'DB Country PMI'!$A$1:$W$1,),)=0,#N/A,VLOOKUP(A125,'DB Country PMI'!$A:$W,MATCH($A$1,'DB Country PMI'!$A$1:$W$1,),))</f>
        <v>49.8</v>
      </c>
      <c r="C125" s="14">
        <f>Table134681134567[[#This Row],[PMI]]-B124</f>
        <v>8</v>
      </c>
    </row>
    <row r="126" spans="1:3" x14ac:dyDescent="0.2">
      <c r="A126" s="8">
        <v>44105</v>
      </c>
      <c r="B126" s="11">
        <f>IF(VLOOKUP(A126,'DB Country PMI'!$A:$W,MATCH($A$1,'DB Country PMI'!$A$1:$W$1,),)=0,#N/A,VLOOKUP(A126,'DB Country PMI'!$A:$W,MATCH($A$1,'DB Country PMI'!$A$1:$W$1,),))</f>
        <v>54.1</v>
      </c>
      <c r="C126" s="14">
        <f>Table134681134567[[#This Row],[PMI]]-B125</f>
        <v>4.3000000000000043</v>
      </c>
    </row>
    <row r="127" spans="1:3" x14ac:dyDescent="0.2">
      <c r="A127" s="8">
        <v>44136</v>
      </c>
      <c r="B127" s="11">
        <f>IF(VLOOKUP(A127,'DB Country PMI'!$A:$W,MATCH($A$1,'DB Country PMI'!$A$1:$W$1,),)=0,#N/A,VLOOKUP(A127,'DB Country PMI'!$A:$W,MATCH($A$1,'DB Country PMI'!$A$1:$W$1,),))</f>
        <v>53.7</v>
      </c>
      <c r="C127" s="14">
        <f>Table134681134567[[#This Row],[PMI]]-B126</f>
        <v>-0.39999999999999858</v>
      </c>
    </row>
    <row r="128" spans="1:3" x14ac:dyDescent="0.2">
      <c r="A128" s="8">
        <v>44166</v>
      </c>
      <c r="B128" s="11">
        <f>IF(VLOOKUP(A128,'DB Country PMI'!$A:$W,MATCH($A$1,'DB Country PMI'!$A$1:$W$1,),)=0,#N/A,VLOOKUP(A128,'DB Country PMI'!$A:$W,MATCH($A$1,'DB Country PMI'!$A$1:$W$1,),))</f>
        <v>52.3</v>
      </c>
      <c r="C128" s="14">
        <f>Table134681134567[[#This Row],[PMI]]-B127</f>
        <v>-1.4000000000000057</v>
      </c>
    </row>
    <row r="129" spans="1:3" x14ac:dyDescent="0.2">
      <c r="A129" s="8">
        <v>44197</v>
      </c>
      <c r="B129" s="11">
        <f>IF(VLOOKUP(A129,'DB Country PMI'!$A:$W,MATCH($A$1,'DB Country PMI'!$A$1:$W$1,),)=0,#N/A,VLOOKUP(A129,'DB Country PMI'!$A:$W,MATCH($A$1,'DB Country PMI'!$A$1:$W$1,),))</f>
        <v>52.8</v>
      </c>
      <c r="C129" s="14">
        <f>Table134681134567[[#This Row],[PMI]]-B128</f>
        <v>0.5</v>
      </c>
    </row>
    <row r="130" spans="1:3" x14ac:dyDescent="0.2">
      <c r="A130" s="8">
        <v>44228</v>
      </c>
      <c r="B130" s="11">
        <f>IF(VLOOKUP(A130,'DB Country PMI'!$A:$W,MATCH($A$1,'DB Country PMI'!$A$1:$W$1,),)=0,#N/A,VLOOKUP(A130,'DB Country PMI'!$A:$W,MATCH($A$1,'DB Country PMI'!$A$1:$W$1,),))</f>
        <v>55.3</v>
      </c>
      <c r="C130" s="14">
        <f>Table134681134567[[#This Row],[PMI]]-B129</f>
        <v>2.5</v>
      </c>
    </row>
    <row r="131" spans="1:3" x14ac:dyDescent="0.2">
      <c r="A131" s="8">
        <v>44256</v>
      </c>
      <c r="B131" s="11">
        <f>IF(VLOOKUP(A131,'DB Country PMI'!$A:$W,MATCH($A$1,'DB Country PMI'!$A$1:$W$1,),)=0,#N/A,VLOOKUP(A131,'DB Country PMI'!$A:$W,MATCH($A$1,'DB Country PMI'!$A$1:$W$1,),))</f>
        <v>54.6</v>
      </c>
      <c r="C131" s="14">
        <f>Table134681134567[[#This Row],[PMI]]-B130</f>
        <v>-0.69999999999999574</v>
      </c>
    </row>
    <row r="132" spans="1:3" x14ac:dyDescent="0.2">
      <c r="A132" s="8">
        <v>44287</v>
      </c>
      <c r="B132" s="11">
        <f>IF(VLOOKUP(A132,'DB Country PMI'!$A:$W,MATCH($A$1,'DB Country PMI'!$A$1:$W$1,),)=0,#N/A,VLOOKUP(A132,'DB Country PMI'!$A:$W,MATCH($A$1,'DB Country PMI'!$A$1:$W$1,),))</f>
        <v>54</v>
      </c>
      <c r="C132" s="14">
        <f>Table134681134567[[#This Row],[PMI]]-B131</f>
        <v>-0.60000000000000142</v>
      </c>
    </row>
    <row r="133" spans="1:3" x14ac:dyDescent="0.2">
      <c r="A133" s="8">
        <v>44317</v>
      </c>
      <c r="B133" s="11">
        <f>IF(VLOOKUP(A133,'DB Country PMI'!$A:$W,MATCH($A$1,'DB Country PMI'!$A$1:$W$1,),)=0,#N/A,VLOOKUP(A133,'DB Country PMI'!$A:$W,MATCH($A$1,'DB Country PMI'!$A$1:$W$1,),))</f>
        <v>46.4</v>
      </c>
      <c r="C133" s="14">
        <f>Table134681134567[[#This Row],[PMI]]-B132</f>
        <v>-7.6000000000000014</v>
      </c>
    </row>
    <row r="134" spans="1:3" x14ac:dyDescent="0.2">
      <c r="A134" s="8">
        <v>44348</v>
      </c>
      <c r="B134" s="11">
        <f>IF(VLOOKUP(A134,'DB Country PMI'!$A:$W,MATCH($A$1,'DB Country PMI'!$A$1:$W$1,),)=0,#N/A,VLOOKUP(A134,'DB Country PMI'!$A:$W,MATCH($A$1,'DB Country PMI'!$A$1:$W$1,),))</f>
        <v>41.2</v>
      </c>
      <c r="C134" s="14">
        <f>Table134681134567[[#This Row],[PMI]]-B133</f>
        <v>-5.1999999999999957</v>
      </c>
    </row>
    <row r="135" spans="1:3" x14ac:dyDescent="0.2">
      <c r="A135" s="8">
        <v>44378</v>
      </c>
      <c r="B135" s="11">
        <f>IF(VLOOKUP(A135,'DB Country PMI'!$A:$W,MATCH($A$1,'DB Country PMI'!$A$1:$W$1,),)=0,#N/A,VLOOKUP(A135,'DB Country PMI'!$A:$W,MATCH($A$1,'DB Country PMI'!$A$1:$W$1,),))</f>
        <v>45.4</v>
      </c>
      <c r="C135" s="14">
        <f>Table134681134567[[#This Row],[PMI]]-B134</f>
        <v>4.1999999999999957</v>
      </c>
    </row>
    <row r="136" spans="1:3" x14ac:dyDescent="0.2">
      <c r="A136" s="8">
        <v>44409</v>
      </c>
      <c r="B136" s="11">
        <f>IF(VLOOKUP(A136,'DB Country PMI'!$A:$W,MATCH($A$1,'DB Country PMI'!$A$1:$W$1,),)=0,#N/A,VLOOKUP(A136,'DB Country PMI'!$A:$W,MATCH($A$1,'DB Country PMI'!$A$1:$W$1,),))</f>
        <v>56.7</v>
      </c>
      <c r="C136" s="14">
        <f>Table134681134567[[#This Row],[PMI]]-B135</f>
        <v>11.300000000000004</v>
      </c>
    </row>
    <row r="137" spans="1:3" x14ac:dyDescent="0.2">
      <c r="A137" s="8">
        <v>44440</v>
      </c>
      <c r="B137" s="11">
        <f>IF(VLOOKUP(A137,'DB Country PMI'!$A:$W,MATCH($A$1,'DB Country PMI'!$A$1:$W$1,),)=0,#N/A,VLOOKUP(A137,'DB Country PMI'!$A:$W,MATCH($A$1,'DB Country PMI'!$A$1:$W$1,),))</f>
        <v>55.2</v>
      </c>
      <c r="C137" s="14">
        <f>Table134681134567[[#This Row],[PMI]]-B136</f>
        <v>-1.5</v>
      </c>
    </row>
    <row r="138" spans="1:3" x14ac:dyDescent="0.2">
      <c r="A138" s="8">
        <v>44470</v>
      </c>
      <c r="B138" s="11">
        <f>IF(VLOOKUP(A138,'DB Country PMI'!$A:$W,MATCH($A$1,'DB Country PMI'!$A$1:$W$1,),)=0,#N/A,VLOOKUP(A138,'DB Country PMI'!$A:$W,MATCH($A$1,'DB Country PMI'!$A$1:$W$1,),))</f>
        <v>58.4</v>
      </c>
      <c r="C138" s="14">
        <f>Table134681134567[[#This Row],[PMI]]-B137</f>
        <v>3.1999999999999957</v>
      </c>
    </row>
    <row r="139" spans="1:3" x14ac:dyDescent="0.2">
      <c r="A139" s="8">
        <v>44501</v>
      </c>
      <c r="B139" s="11">
        <f>IF(VLOOKUP(A139,'DB Country PMI'!$A:$W,MATCH($A$1,'DB Country PMI'!$A$1:$W$1,),)=0,#N/A,VLOOKUP(A139,'DB Country PMI'!$A:$W,MATCH($A$1,'DB Country PMI'!$A$1:$W$1,),))</f>
        <v>58.1</v>
      </c>
      <c r="C139" s="14">
        <f>Table134681134567[[#This Row],[PMI]]-B138</f>
        <v>-0.29999999999999716</v>
      </c>
    </row>
    <row r="140" spans="1:3" x14ac:dyDescent="0.2">
      <c r="A140" s="8">
        <v>44531</v>
      </c>
      <c r="B140" s="11">
        <f>IF(VLOOKUP(A140,'DB Country PMI'!$A:$W,MATCH($A$1,'DB Country PMI'!$A$1:$W$1,),)=0,#N/A,VLOOKUP(A140,'DB Country PMI'!$A:$W,MATCH($A$1,'DB Country PMI'!$A$1:$W$1,),))</f>
        <v>55.5</v>
      </c>
      <c r="C140" s="14">
        <f>Table134681134567[[#This Row],[PMI]]-B139</f>
        <v>-2.6000000000000014</v>
      </c>
    </row>
    <row r="141" spans="1:3" x14ac:dyDescent="0.2">
      <c r="A141" s="8">
        <v>44562</v>
      </c>
      <c r="B141" s="11">
        <f>IF(VLOOKUP(A141,'DB Country PMI'!$A:$W,MATCH($A$1,'DB Country PMI'!$A$1:$W$1,),)=0,#N/A,VLOOKUP(A141,'DB Country PMI'!$A:$W,MATCH($A$1,'DB Country PMI'!$A$1:$W$1,),))</f>
        <v>51.5</v>
      </c>
      <c r="C141" s="14">
        <f>Table134681134567[[#This Row],[PMI]]-B140</f>
        <v>-4</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31</v>
      </c>
      <c r="J1" s="47" t="s">
        <v>61</v>
      </c>
    </row>
    <row r="2" spans="1:10" x14ac:dyDescent="0.2">
      <c r="J2" s="47" t="s">
        <v>69</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50.7</v>
      </c>
      <c r="C6" s="11"/>
    </row>
    <row r="7" spans="1:10" x14ac:dyDescent="0.2">
      <c r="A7" s="8">
        <v>40483</v>
      </c>
      <c r="B7" s="11">
        <f>IF(VLOOKUP(A7,'DB Country PMI'!$A:$W,MATCH($A$1,'DB Country PMI'!$A$1:$W$1,),)=0,#N/A,VLOOKUP(A7,'DB Country PMI'!$A:$W,MATCH($A$1,'DB Country PMI'!$A$1:$W$1,),))</f>
        <v>46.2</v>
      </c>
      <c r="C7" s="14">
        <f>Table13468113456716[[#This Row],[PMI]]-B6</f>
        <v>-4.5</v>
      </c>
    </row>
    <row r="8" spans="1:10" x14ac:dyDescent="0.2">
      <c r="A8" s="8">
        <v>40513</v>
      </c>
      <c r="B8" s="11">
        <f>IF(VLOOKUP(A8,'DB Country PMI'!$A:$W,MATCH($A$1,'DB Country PMI'!$A$1:$W$1,),)=0,#N/A,VLOOKUP(A8,'DB Country PMI'!$A:$W,MATCH($A$1,'DB Country PMI'!$A$1:$W$1,),))</f>
        <v>47.1</v>
      </c>
      <c r="C8" s="14">
        <f>Table13468113456716[[#This Row],[PMI]]-B7</f>
        <v>0.89999999999999858</v>
      </c>
    </row>
    <row r="9" spans="1:10" x14ac:dyDescent="0.2">
      <c r="A9" s="8">
        <v>40544</v>
      </c>
      <c r="B9" s="11">
        <f>IF(VLOOKUP(A9,'DB Country PMI'!$A:$W,MATCH($A$1,'DB Country PMI'!$A$1:$W$1,),)=0,#N/A,VLOOKUP(A9,'DB Country PMI'!$A:$W,MATCH($A$1,'DB Country PMI'!$A$1:$W$1,),))</f>
        <v>45.5</v>
      </c>
      <c r="C9" s="14">
        <f>Table13468113456716[[#This Row],[PMI]]-B8</f>
        <v>-1.6000000000000014</v>
      </c>
    </row>
    <row r="10" spans="1:10" x14ac:dyDescent="0.2">
      <c r="A10" s="8">
        <v>40575</v>
      </c>
      <c r="B10" s="11">
        <f>IF(VLOOKUP(A10,'DB Country PMI'!$A:$W,MATCH($A$1,'DB Country PMI'!$A$1:$W$1,),)=0,#N/A,VLOOKUP(A10,'DB Country PMI'!$A:$W,MATCH($A$1,'DB Country PMI'!$A$1:$W$1,),))</f>
        <v>48.7</v>
      </c>
      <c r="C10" s="14">
        <f>Table13468113456716[[#This Row],[PMI]]-B9</f>
        <v>3.2000000000000028</v>
      </c>
    </row>
    <row r="11" spans="1:10" x14ac:dyDescent="0.2">
      <c r="A11" s="8">
        <v>40603</v>
      </c>
      <c r="B11" s="11">
        <f>IF(VLOOKUP(A11,'DB Country PMI'!$A:$W,MATCH($A$1,'DB Country PMI'!$A$1:$W$1,),)=0,#N/A,VLOOKUP(A11,'DB Country PMI'!$A:$W,MATCH($A$1,'DB Country PMI'!$A$1:$W$1,),))</f>
        <v>46.5</v>
      </c>
      <c r="C11" s="14">
        <f>Table13468113456716[[#This Row],[PMI]]-B10</f>
        <v>-2.2000000000000028</v>
      </c>
    </row>
    <row r="12" spans="1:10" x14ac:dyDescent="0.2">
      <c r="A12" s="8">
        <v>40634</v>
      </c>
      <c r="B12" s="11">
        <f>IF(VLOOKUP(A12,'DB Country PMI'!$A:$W,MATCH($A$1,'DB Country PMI'!$A$1:$W$1,),)=0,#N/A,VLOOKUP(A12,'DB Country PMI'!$A:$W,MATCH($A$1,'DB Country PMI'!$A$1:$W$1,),))</f>
        <v>51.5</v>
      </c>
      <c r="C12" s="14">
        <f>Table13468113456716[[#This Row],[PMI]]-B11</f>
        <v>5</v>
      </c>
    </row>
    <row r="13" spans="1:10" x14ac:dyDescent="0.2">
      <c r="A13" s="8">
        <v>40664</v>
      </c>
      <c r="B13" s="11">
        <f>IF(VLOOKUP(A13,'DB Country PMI'!$A:$W,MATCH($A$1,'DB Country PMI'!$A$1:$W$1,),)=0,#N/A,VLOOKUP(A13,'DB Country PMI'!$A:$W,MATCH($A$1,'DB Country PMI'!$A$1:$W$1,),))</f>
        <v>49.9</v>
      </c>
      <c r="C13" s="14">
        <f>Table13468113456716[[#This Row],[PMI]]-B12</f>
        <v>-1.6000000000000014</v>
      </c>
    </row>
    <row r="14" spans="1:10" x14ac:dyDescent="0.2">
      <c r="A14" s="8">
        <v>40695</v>
      </c>
      <c r="B14" s="11">
        <f>IF(VLOOKUP(A14,'DB Country PMI'!$A:$W,MATCH($A$1,'DB Country PMI'!$A$1:$W$1,),)=0,#N/A,VLOOKUP(A14,'DB Country PMI'!$A:$W,MATCH($A$1,'DB Country PMI'!$A$1:$W$1,),))</f>
        <v>48.5</v>
      </c>
      <c r="C14" s="14">
        <f>Table13468113456716[[#This Row],[PMI]]-B13</f>
        <v>-1.3999999999999986</v>
      </c>
    </row>
    <row r="15" spans="1:10" x14ac:dyDescent="0.2">
      <c r="A15" s="8">
        <v>40725</v>
      </c>
      <c r="B15" s="11">
        <f>IF(VLOOKUP(A15,'DB Country PMI'!$A:$W,MATCH($A$1,'DB Country PMI'!$A$1:$W$1,),)=0,#N/A,VLOOKUP(A15,'DB Country PMI'!$A:$W,MATCH($A$1,'DB Country PMI'!$A$1:$W$1,),))</f>
        <v>48.8</v>
      </c>
      <c r="C15" s="14">
        <f>Table13468113456716[[#This Row],[PMI]]-B14</f>
        <v>0.29999999999999716</v>
      </c>
    </row>
    <row r="16" spans="1:10" x14ac:dyDescent="0.2">
      <c r="A16" s="8">
        <v>40756</v>
      </c>
      <c r="B16" s="11">
        <f>IF(VLOOKUP(A16,'DB Country PMI'!$A:$W,MATCH($A$1,'DB Country PMI'!$A$1:$W$1,),)=0,#N/A,VLOOKUP(A16,'DB Country PMI'!$A:$W,MATCH($A$1,'DB Country PMI'!$A$1:$W$1,),))</f>
        <v>52.1</v>
      </c>
      <c r="C16" s="14">
        <f>Table13468113456716[[#This Row],[PMI]]-B15</f>
        <v>3.3000000000000043</v>
      </c>
    </row>
    <row r="17" spans="1:3" x14ac:dyDescent="0.2">
      <c r="A17" s="8">
        <v>40787</v>
      </c>
      <c r="B17" s="11">
        <f>IF(VLOOKUP(A17,'DB Country PMI'!$A:$W,MATCH($A$1,'DB Country PMI'!$A$1:$W$1,),)=0,#N/A,VLOOKUP(A17,'DB Country PMI'!$A:$W,MATCH($A$1,'DB Country PMI'!$A$1:$W$1,),))</f>
        <v>50.3</v>
      </c>
      <c r="C17" s="14">
        <f>Table13468113456716[[#This Row],[PMI]]-B16</f>
        <v>-1.8000000000000043</v>
      </c>
    </row>
    <row r="18" spans="1:3" x14ac:dyDescent="0.2">
      <c r="A18" s="8">
        <v>40817</v>
      </c>
      <c r="B18" s="11">
        <f>IF(VLOOKUP(A18,'DB Country PMI'!$A:$W,MATCH($A$1,'DB Country PMI'!$A$1:$W$1,),)=0,#N/A,VLOOKUP(A18,'DB Country PMI'!$A:$W,MATCH($A$1,'DB Country PMI'!$A$1:$W$1,),))</f>
        <v>48.8</v>
      </c>
      <c r="C18" s="14">
        <f>Table13468113456716[[#This Row],[PMI]]-B17</f>
        <v>-1.5</v>
      </c>
    </row>
    <row r="19" spans="1:3" x14ac:dyDescent="0.2">
      <c r="A19" s="8">
        <v>40848</v>
      </c>
      <c r="B19" s="11">
        <f>IF(VLOOKUP(A19,'DB Country PMI'!$A:$W,MATCH($A$1,'DB Country PMI'!$A$1:$W$1,),)=0,#N/A,VLOOKUP(A19,'DB Country PMI'!$A:$W,MATCH($A$1,'DB Country PMI'!$A$1:$W$1,),))</f>
        <v>47.7</v>
      </c>
      <c r="C19" s="14">
        <f>Table13468113456716[[#This Row],[PMI]]-B18</f>
        <v>-1.0999999999999943</v>
      </c>
    </row>
    <row r="20" spans="1:3" x14ac:dyDescent="0.2">
      <c r="A20" s="8">
        <v>40878</v>
      </c>
      <c r="B20" s="11">
        <f>IF(VLOOKUP(A20,'DB Country PMI'!$A:$W,MATCH($A$1,'DB Country PMI'!$A$1:$W$1,),)=0,#N/A,VLOOKUP(A20,'DB Country PMI'!$A:$W,MATCH($A$1,'DB Country PMI'!$A$1:$W$1,),))</f>
        <v>49</v>
      </c>
      <c r="C20" s="14">
        <f>Table13468113456716[[#This Row],[PMI]]-B19</f>
        <v>1.2999999999999972</v>
      </c>
    </row>
    <row r="21" spans="1:3" x14ac:dyDescent="0.2">
      <c r="A21" s="8">
        <v>40909</v>
      </c>
      <c r="B21" s="11">
        <f>IF(VLOOKUP(A21,'DB Country PMI'!$A:$W,MATCH($A$1,'DB Country PMI'!$A$1:$W$1,),)=0,#N/A,VLOOKUP(A21,'DB Country PMI'!$A:$W,MATCH($A$1,'DB Country PMI'!$A$1:$W$1,),))</f>
        <v>51.9</v>
      </c>
      <c r="C21" s="14">
        <f>Table13468113456716[[#This Row],[PMI]]-B20</f>
        <v>2.8999999999999986</v>
      </c>
    </row>
    <row r="22" spans="1:3" x14ac:dyDescent="0.2">
      <c r="A22" s="8">
        <v>40940</v>
      </c>
      <c r="B22" s="11">
        <f>IF(VLOOKUP(A22,'DB Country PMI'!$A:$W,MATCH($A$1,'DB Country PMI'!$A$1:$W$1,),)=0,#N/A,VLOOKUP(A22,'DB Country PMI'!$A:$W,MATCH($A$1,'DB Country PMI'!$A$1:$W$1,),))</f>
        <v>46.7</v>
      </c>
      <c r="C22" s="14">
        <f>Table13468113456716[[#This Row],[PMI]]-B21</f>
        <v>-5.1999999999999957</v>
      </c>
    </row>
    <row r="23" spans="1:3" x14ac:dyDescent="0.2">
      <c r="A23" s="8">
        <v>40969</v>
      </c>
      <c r="B23" s="11">
        <f>IF(VLOOKUP(A23,'DB Country PMI'!$A:$W,MATCH($A$1,'DB Country PMI'!$A$1:$W$1,),)=0,#N/A,VLOOKUP(A23,'DB Country PMI'!$A:$W,MATCH($A$1,'DB Country PMI'!$A$1:$W$1,),))</f>
        <v>47</v>
      </c>
      <c r="C23" s="14">
        <f>Table13468113456716[[#This Row],[PMI]]-B22</f>
        <v>0.29999999999999716</v>
      </c>
    </row>
    <row r="24" spans="1:3" x14ac:dyDescent="0.2">
      <c r="A24" s="8">
        <v>41000</v>
      </c>
      <c r="B24" s="11">
        <f>IF(VLOOKUP(A24,'DB Country PMI'!$A:$W,MATCH($A$1,'DB Country PMI'!$A$1:$W$1,),)=0,#N/A,VLOOKUP(A24,'DB Country PMI'!$A:$W,MATCH($A$1,'DB Country PMI'!$A$1:$W$1,),))</f>
        <v>39.6</v>
      </c>
      <c r="C24" s="14">
        <f>Table13468113456716[[#This Row],[PMI]]-B23</f>
        <v>-7.3999999999999986</v>
      </c>
    </row>
    <row r="25" spans="1:3" x14ac:dyDescent="0.2">
      <c r="A25" s="8">
        <v>41030</v>
      </c>
      <c r="B25" s="11">
        <f>IF(VLOOKUP(A25,'DB Country PMI'!$A:$W,MATCH($A$1,'DB Country PMI'!$A$1:$W$1,),)=0,#N/A,VLOOKUP(A25,'DB Country PMI'!$A:$W,MATCH($A$1,'DB Country PMI'!$A$1:$W$1,),))</f>
        <v>43.5</v>
      </c>
      <c r="C25" s="14">
        <f>Table13468113456716[[#This Row],[PMI]]-B24</f>
        <v>3.8999999999999986</v>
      </c>
    </row>
    <row r="26" spans="1:3" x14ac:dyDescent="0.2">
      <c r="A26" s="8">
        <v>41061</v>
      </c>
      <c r="B26" s="11">
        <f>IF(VLOOKUP(A26,'DB Country PMI'!$A:$W,MATCH($A$1,'DB Country PMI'!$A$1:$W$1,),)=0,#N/A,VLOOKUP(A26,'DB Country PMI'!$A:$W,MATCH($A$1,'DB Country PMI'!$A$1:$W$1,),))</f>
        <v>48.8</v>
      </c>
      <c r="C26" s="14">
        <f>Table13468113456716[[#This Row],[PMI]]-B25</f>
        <v>5.2999999999999972</v>
      </c>
    </row>
    <row r="27" spans="1:3" x14ac:dyDescent="0.2">
      <c r="A27" s="8">
        <v>41091</v>
      </c>
      <c r="B27" s="11">
        <f>IF(VLOOKUP(A27,'DB Country PMI'!$A:$W,MATCH($A$1,'DB Country PMI'!$A$1:$W$1,),)=0,#N/A,VLOOKUP(A27,'DB Country PMI'!$A:$W,MATCH($A$1,'DB Country PMI'!$A$1:$W$1,),))</f>
        <v>46.5</v>
      </c>
      <c r="C27" s="14">
        <f>Table13468113456716[[#This Row],[PMI]]-B26</f>
        <v>-2.2999999999999972</v>
      </c>
    </row>
    <row r="28" spans="1:3" x14ac:dyDescent="0.2">
      <c r="A28" s="8">
        <v>41122</v>
      </c>
      <c r="B28" s="11">
        <f>IF(VLOOKUP(A28,'DB Country PMI'!$A:$W,MATCH($A$1,'DB Country PMI'!$A$1:$W$1,),)=0,#N/A,VLOOKUP(A28,'DB Country PMI'!$A:$W,MATCH($A$1,'DB Country PMI'!$A$1:$W$1,),))</f>
        <v>42.4</v>
      </c>
      <c r="C28" s="14">
        <f>Table13468113456716[[#This Row],[PMI]]-B27</f>
        <v>-4.1000000000000014</v>
      </c>
    </row>
    <row r="29" spans="1:3" x14ac:dyDescent="0.2">
      <c r="A29" s="8">
        <v>41153</v>
      </c>
      <c r="B29" s="11">
        <f>IF(VLOOKUP(A29,'DB Country PMI'!$A:$W,MATCH($A$1,'DB Country PMI'!$A$1:$W$1,),)=0,#N/A,VLOOKUP(A29,'DB Country PMI'!$A:$W,MATCH($A$1,'DB Country PMI'!$A$1:$W$1,),))</f>
        <v>41.9</v>
      </c>
      <c r="C29" s="14">
        <f>Table13468113456716[[#This Row],[PMI]]-B28</f>
        <v>-0.5</v>
      </c>
    </row>
    <row r="30" spans="1:3" x14ac:dyDescent="0.2">
      <c r="A30" s="8">
        <v>41183</v>
      </c>
      <c r="B30" s="11">
        <f>IF(VLOOKUP(A30,'DB Country PMI'!$A:$W,MATCH($A$1,'DB Country PMI'!$A$1:$W$1,),)=0,#N/A,VLOOKUP(A30,'DB Country PMI'!$A:$W,MATCH($A$1,'DB Country PMI'!$A$1:$W$1,),))</f>
        <v>42.8</v>
      </c>
      <c r="C30" s="14">
        <f>Table13468113456716[[#This Row],[PMI]]-B29</f>
        <v>0.89999999999999858</v>
      </c>
    </row>
    <row r="31" spans="1:3" x14ac:dyDescent="0.2">
      <c r="A31" s="8">
        <v>41214</v>
      </c>
      <c r="B31" s="11">
        <f>IF(VLOOKUP(A31,'DB Country PMI'!$A:$W,MATCH($A$1,'DB Country PMI'!$A$1:$W$1,),)=0,#N/A,VLOOKUP(A31,'DB Country PMI'!$A:$W,MATCH($A$1,'DB Country PMI'!$A$1:$W$1,),))</f>
        <v>47.1</v>
      </c>
      <c r="C31" s="14">
        <f>Table13468113456716[[#This Row],[PMI]]-B30</f>
        <v>4.3000000000000043</v>
      </c>
    </row>
    <row r="32" spans="1:3" x14ac:dyDescent="0.2">
      <c r="A32" s="8">
        <v>41244</v>
      </c>
      <c r="B32" s="11">
        <f>IF(VLOOKUP(A32,'DB Country PMI'!$A:$W,MATCH($A$1,'DB Country PMI'!$A$1:$W$1,),)=0,#N/A,VLOOKUP(A32,'DB Country PMI'!$A:$W,MATCH($A$1,'DB Country PMI'!$A$1:$W$1,),))</f>
        <v>46.3</v>
      </c>
      <c r="C32" s="14">
        <f>Table13468113456716[[#This Row],[PMI]]-B31</f>
        <v>-0.80000000000000426</v>
      </c>
    </row>
    <row r="33" spans="1:3" x14ac:dyDescent="0.2">
      <c r="A33" s="8">
        <v>41275</v>
      </c>
      <c r="B33" s="11">
        <f>IF(VLOOKUP(A33,'DB Country PMI'!$A:$W,MATCH($A$1,'DB Country PMI'!$A$1:$W$1,),)=0,#N/A,VLOOKUP(A33,'DB Country PMI'!$A:$W,MATCH($A$1,'DB Country PMI'!$A$1:$W$1,),))</f>
        <v>45.4</v>
      </c>
      <c r="C33" s="14">
        <f>Table13468113456716[[#This Row],[PMI]]-B32</f>
        <v>-0.89999999999999858</v>
      </c>
    </row>
    <row r="34" spans="1:3" x14ac:dyDescent="0.2">
      <c r="A34" s="8">
        <v>41306</v>
      </c>
      <c r="B34" s="11">
        <f>IF(VLOOKUP(A34,'DB Country PMI'!$A:$W,MATCH($A$1,'DB Country PMI'!$A$1:$W$1,),)=0,#N/A,VLOOKUP(A34,'DB Country PMI'!$A:$W,MATCH($A$1,'DB Country PMI'!$A$1:$W$1,),))</f>
        <v>48.5</v>
      </c>
      <c r="C34" s="14">
        <f>Table13468113456716[[#This Row],[PMI]]-B33</f>
        <v>3.1000000000000014</v>
      </c>
    </row>
    <row r="35" spans="1:3" x14ac:dyDescent="0.2">
      <c r="A35" s="8">
        <v>41334</v>
      </c>
      <c r="B35" s="11">
        <f>IF(VLOOKUP(A35,'DB Country PMI'!$A:$W,MATCH($A$1,'DB Country PMI'!$A$1:$W$1,),)=0,#N/A,VLOOKUP(A35,'DB Country PMI'!$A:$W,MATCH($A$1,'DB Country PMI'!$A$1:$W$1,),))</f>
        <v>49.6</v>
      </c>
      <c r="C35" s="14">
        <f>Table13468113456716[[#This Row],[PMI]]-B34</f>
        <v>1.1000000000000014</v>
      </c>
    </row>
    <row r="36" spans="1:3" x14ac:dyDescent="0.2">
      <c r="A36" s="8">
        <v>41365</v>
      </c>
      <c r="B36" s="11">
        <f>IF(VLOOKUP(A36,'DB Country PMI'!$A:$W,MATCH($A$1,'DB Country PMI'!$A$1:$W$1,),)=0,#N/A,VLOOKUP(A36,'DB Country PMI'!$A:$W,MATCH($A$1,'DB Country PMI'!$A$1:$W$1,),))</f>
        <v>44.1</v>
      </c>
      <c r="C36" s="14">
        <f>Table13468113456716[[#This Row],[PMI]]-B35</f>
        <v>-5.5</v>
      </c>
    </row>
    <row r="37" spans="1:3" x14ac:dyDescent="0.2">
      <c r="A37" s="8">
        <v>41395</v>
      </c>
      <c r="B37" s="11">
        <f>IF(VLOOKUP(A37,'DB Country PMI'!$A:$W,MATCH($A$1,'DB Country PMI'!$A$1:$W$1,),)=0,#N/A,VLOOKUP(A37,'DB Country PMI'!$A:$W,MATCH($A$1,'DB Country PMI'!$A$1:$W$1,),))</f>
        <v>40.6</v>
      </c>
      <c r="C37" s="14">
        <f>Table13468113456716[[#This Row],[PMI]]-B36</f>
        <v>-3.5</v>
      </c>
    </row>
    <row r="38" spans="1:3" x14ac:dyDescent="0.2">
      <c r="A38" s="8">
        <v>41426</v>
      </c>
      <c r="B38" s="11">
        <f>IF(VLOOKUP(A38,'DB Country PMI'!$A:$W,MATCH($A$1,'DB Country PMI'!$A$1:$W$1,),)=0,#N/A,VLOOKUP(A38,'DB Country PMI'!$A:$W,MATCH($A$1,'DB Country PMI'!$A$1:$W$1,),))</f>
        <v>41.5</v>
      </c>
      <c r="C38" s="14">
        <f>Table13468113456716[[#This Row],[PMI]]-B37</f>
        <v>0.89999999999999858</v>
      </c>
    </row>
    <row r="39" spans="1:3" x14ac:dyDescent="0.2">
      <c r="A39" s="8">
        <v>41456</v>
      </c>
      <c r="B39" s="11">
        <f>IF(VLOOKUP(A39,'DB Country PMI'!$A:$W,MATCH($A$1,'DB Country PMI'!$A$1:$W$1,),)=0,#N/A,VLOOKUP(A39,'DB Country PMI'!$A:$W,MATCH($A$1,'DB Country PMI'!$A$1:$W$1,),))</f>
        <v>39.4</v>
      </c>
      <c r="C39" s="14">
        <f>Table13468113456716[[#This Row],[PMI]]-B38</f>
        <v>-2.1000000000000014</v>
      </c>
    </row>
    <row r="40" spans="1:3" x14ac:dyDescent="0.2">
      <c r="A40" s="8">
        <v>41487</v>
      </c>
      <c r="B40" s="11">
        <f>IF(VLOOKUP(A40,'DB Country PMI'!$A:$W,MATCH($A$1,'DB Country PMI'!$A$1:$W$1,),)=0,#N/A,VLOOKUP(A40,'DB Country PMI'!$A:$W,MATCH($A$1,'DB Country PMI'!$A$1:$W$1,),))</f>
        <v>39</v>
      </c>
      <c r="C40" s="14">
        <f>Table13468113456716[[#This Row],[PMI]]-B39</f>
        <v>-0.39999999999999858</v>
      </c>
    </row>
    <row r="41" spans="1:3" x14ac:dyDescent="0.2">
      <c r="A41" s="8">
        <v>41518</v>
      </c>
      <c r="B41" s="11">
        <f>IF(VLOOKUP(A41,'DB Country PMI'!$A:$W,MATCH($A$1,'DB Country PMI'!$A$1:$W$1,),)=0,#N/A,VLOOKUP(A41,'DB Country PMI'!$A:$W,MATCH($A$1,'DB Country PMI'!$A$1:$W$1,),))</f>
        <v>47.1</v>
      </c>
      <c r="C41" s="14">
        <f>Table13468113456716[[#This Row],[PMI]]-B40</f>
        <v>8.1000000000000014</v>
      </c>
    </row>
    <row r="42" spans="1:3" x14ac:dyDescent="0.2">
      <c r="A42" s="8">
        <v>41548</v>
      </c>
      <c r="B42" s="11">
        <f>IF(VLOOKUP(A42,'DB Country PMI'!$A:$W,MATCH($A$1,'DB Country PMI'!$A$1:$W$1,),)=0,#N/A,VLOOKUP(A42,'DB Country PMI'!$A:$W,MATCH($A$1,'DB Country PMI'!$A$1:$W$1,),))</f>
        <v>47.9</v>
      </c>
      <c r="C42" s="14">
        <f>Table13468113456716[[#This Row],[PMI]]-B41</f>
        <v>0.79999999999999716</v>
      </c>
    </row>
    <row r="43" spans="1:3" x14ac:dyDescent="0.2">
      <c r="A43" s="8">
        <v>41579</v>
      </c>
      <c r="B43" s="11">
        <f>IF(VLOOKUP(A43,'DB Country PMI'!$A:$W,MATCH($A$1,'DB Country PMI'!$A$1:$W$1,),)=0,#N/A,VLOOKUP(A43,'DB Country PMI'!$A:$W,MATCH($A$1,'DB Country PMI'!$A$1:$W$1,),))</f>
        <v>48.9</v>
      </c>
      <c r="C43" s="14">
        <f>Table13468113456716[[#This Row],[PMI]]-B42</f>
        <v>1</v>
      </c>
    </row>
    <row r="44" spans="1:3" x14ac:dyDescent="0.2">
      <c r="A44" s="8">
        <v>41609</v>
      </c>
      <c r="B44" s="11">
        <f>IF(VLOOKUP(A44,'DB Country PMI'!$A:$W,MATCH($A$1,'DB Country PMI'!$A$1:$W$1,),)=0,#N/A,VLOOKUP(A44,'DB Country PMI'!$A:$W,MATCH($A$1,'DB Country PMI'!$A$1:$W$1,),))</f>
        <v>46.1</v>
      </c>
      <c r="C44" s="14">
        <f>Table13468113456716[[#This Row],[PMI]]-B43</f>
        <v>-2.7999999999999972</v>
      </c>
    </row>
    <row r="45" spans="1:3" x14ac:dyDescent="0.2">
      <c r="A45" s="8">
        <v>41640</v>
      </c>
      <c r="B45" s="11">
        <f>IF(VLOOKUP(A45,'DB Country PMI'!$A:$W,MATCH($A$1,'DB Country PMI'!$A$1:$W$1,),)=0,#N/A,VLOOKUP(A45,'DB Country PMI'!$A:$W,MATCH($A$1,'DB Country PMI'!$A$1:$W$1,),))</f>
        <v>49.3</v>
      </c>
      <c r="C45" s="14">
        <f>Table13468113456716[[#This Row],[PMI]]-B44</f>
        <v>3.1999999999999957</v>
      </c>
    </row>
    <row r="46" spans="1:3" x14ac:dyDescent="0.2">
      <c r="A46" s="8">
        <v>41671</v>
      </c>
      <c r="B46" s="11">
        <f>IF(VLOOKUP(A46,'DB Country PMI'!$A:$W,MATCH($A$1,'DB Country PMI'!$A$1:$W$1,),)=0,#N/A,VLOOKUP(A46,'DB Country PMI'!$A:$W,MATCH($A$1,'DB Country PMI'!$A$1:$W$1,),))</f>
        <v>55.2</v>
      </c>
      <c r="C46" s="14">
        <f>Table13468113456716[[#This Row],[PMI]]-B45</f>
        <v>5.9000000000000057</v>
      </c>
    </row>
    <row r="47" spans="1:3" x14ac:dyDescent="0.2">
      <c r="A47" s="8">
        <v>41699</v>
      </c>
      <c r="B47" s="11">
        <f>IF(VLOOKUP(A47,'DB Country PMI'!$A:$W,MATCH($A$1,'DB Country PMI'!$A$1:$W$1,),)=0,#N/A,VLOOKUP(A47,'DB Country PMI'!$A:$W,MATCH($A$1,'DB Country PMI'!$A$1:$W$1,),))</f>
        <v>48.9</v>
      </c>
      <c r="C47" s="14">
        <f>Table13468113456716[[#This Row],[PMI]]-B46</f>
        <v>-6.3000000000000043</v>
      </c>
    </row>
    <row r="48" spans="1:3" x14ac:dyDescent="0.2">
      <c r="A48" s="8">
        <v>41730</v>
      </c>
      <c r="B48" s="11">
        <f>IF(VLOOKUP(A48,'DB Country PMI'!$A:$W,MATCH($A$1,'DB Country PMI'!$A$1:$W$1,),)=0,#N/A,VLOOKUP(A48,'DB Country PMI'!$A:$W,MATCH($A$1,'DB Country PMI'!$A$1:$W$1,),))</f>
        <v>48.6</v>
      </c>
      <c r="C48" s="14">
        <f>Table13468113456716[[#This Row],[PMI]]-B47</f>
        <v>-0.29999999999999716</v>
      </c>
    </row>
    <row r="49" spans="1:3" x14ac:dyDescent="0.2">
      <c r="A49" s="8">
        <v>41760</v>
      </c>
      <c r="B49" s="11">
        <f>IF(VLOOKUP(A49,'DB Country PMI'!$A:$W,MATCH($A$1,'DB Country PMI'!$A$1:$W$1,),)=0,#N/A,VLOOKUP(A49,'DB Country PMI'!$A:$W,MATCH($A$1,'DB Country PMI'!$A$1:$W$1,),))</f>
        <v>49.9</v>
      </c>
      <c r="C49" s="14">
        <f>Table13468113456716[[#This Row],[PMI]]-B48</f>
        <v>1.2999999999999972</v>
      </c>
    </row>
    <row r="50" spans="1:3" x14ac:dyDescent="0.2">
      <c r="A50" s="8">
        <v>41791</v>
      </c>
      <c r="B50" s="11">
        <f>IF(VLOOKUP(A50,'DB Country PMI'!$A:$W,MATCH($A$1,'DB Country PMI'!$A$1:$W$1,),)=0,#N/A,VLOOKUP(A50,'DB Country PMI'!$A:$W,MATCH($A$1,'DB Country PMI'!$A$1:$W$1,),))</f>
        <v>47.6</v>
      </c>
      <c r="C50" s="14">
        <f>Table13468113456716[[#This Row],[PMI]]-B49</f>
        <v>-2.2999999999999972</v>
      </c>
    </row>
    <row r="51" spans="1:3" x14ac:dyDescent="0.2">
      <c r="A51" s="8">
        <v>41821</v>
      </c>
      <c r="B51" s="11">
        <f>IF(VLOOKUP(A51,'DB Country PMI'!$A:$W,MATCH($A$1,'DB Country PMI'!$A$1:$W$1,),)=0,#N/A,VLOOKUP(A51,'DB Country PMI'!$A:$W,MATCH($A$1,'DB Country PMI'!$A$1:$W$1,),))</f>
        <v>49.3</v>
      </c>
      <c r="C51" s="14">
        <f>Table13468113456716[[#This Row],[PMI]]-B50</f>
        <v>1.6999999999999957</v>
      </c>
    </row>
    <row r="52" spans="1:3" x14ac:dyDescent="0.2">
      <c r="A52" s="8">
        <v>41852</v>
      </c>
      <c r="B52" s="11">
        <f>IF(VLOOKUP(A52,'DB Country PMI'!$A:$W,MATCH($A$1,'DB Country PMI'!$A$1:$W$1,),)=0,#N/A,VLOOKUP(A52,'DB Country PMI'!$A:$W,MATCH($A$1,'DB Country PMI'!$A$1:$W$1,),))</f>
        <v>49.4</v>
      </c>
      <c r="C52" s="14">
        <f>Table13468113456716[[#This Row],[PMI]]-B51</f>
        <v>0.10000000000000142</v>
      </c>
    </row>
    <row r="53" spans="1:3" x14ac:dyDescent="0.2">
      <c r="A53" s="8">
        <v>41883</v>
      </c>
      <c r="B53" s="11">
        <f>IF(VLOOKUP(A53,'DB Country PMI'!$A:$W,MATCH($A$1,'DB Country PMI'!$A$1:$W$1,),)=0,#N/A,VLOOKUP(A53,'DB Country PMI'!$A:$W,MATCH($A$1,'DB Country PMI'!$A$1:$W$1,),))</f>
        <v>45.5</v>
      </c>
      <c r="C53" s="14">
        <f>Table13468113456716[[#This Row],[PMI]]-B52</f>
        <v>-3.8999999999999986</v>
      </c>
    </row>
    <row r="54" spans="1:3" x14ac:dyDescent="0.2">
      <c r="A54" s="8">
        <v>41913</v>
      </c>
      <c r="B54" s="11">
        <f>IF(VLOOKUP(A54,'DB Country PMI'!$A:$W,MATCH($A$1,'DB Country PMI'!$A$1:$W$1,),)=0,#N/A,VLOOKUP(A54,'DB Country PMI'!$A:$W,MATCH($A$1,'DB Country PMI'!$A$1:$W$1,),))</f>
        <v>43.6</v>
      </c>
      <c r="C54" s="14">
        <f>Table13468113456716[[#This Row],[PMI]]-B53</f>
        <v>-1.8999999999999986</v>
      </c>
    </row>
    <row r="55" spans="1:3" x14ac:dyDescent="0.2">
      <c r="A55" s="8">
        <v>41944</v>
      </c>
      <c r="B55" s="11">
        <f>IF(VLOOKUP(A55,'DB Country PMI'!$A:$W,MATCH($A$1,'DB Country PMI'!$A$1:$W$1,),)=0,#N/A,VLOOKUP(A55,'DB Country PMI'!$A:$W,MATCH($A$1,'DB Country PMI'!$A$1:$W$1,),))</f>
        <v>43.8</v>
      </c>
      <c r="C55" s="14">
        <f>Table13468113456716[[#This Row],[PMI]]-B54</f>
        <v>0.19999999999999574</v>
      </c>
    </row>
    <row r="56" spans="1:3" x14ac:dyDescent="0.2">
      <c r="A56" s="8">
        <v>41974</v>
      </c>
      <c r="B56" s="11">
        <f>IF(VLOOKUP(A56,'DB Country PMI'!$A:$W,MATCH($A$1,'DB Country PMI'!$A$1:$W$1,),)=0,#N/A,VLOOKUP(A56,'DB Country PMI'!$A:$W,MATCH($A$1,'DB Country PMI'!$A$1:$W$1,),))</f>
        <v>47.5</v>
      </c>
      <c r="C56" s="14">
        <f>Table13468113456716[[#This Row],[PMI]]-B55</f>
        <v>3.7000000000000028</v>
      </c>
    </row>
    <row r="57" spans="1:3" x14ac:dyDescent="0.2">
      <c r="A57" s="8">
        <v>42005</v>
      </c>
      <c r="B57" s="11">
        <f>IF(VLOOKUP(A57,'DB Country PMI'!$A:$W,MATCH($A$1,'DB Country PMI'!$A$1:$W$1,),)=0,#N/A,VLOOKUP(A57,'DB Country PMI'!$A:$W,MATCH($A$1,'DB Country PMI'!$A$1:$W$1,),))</f>
        <v>49.5</v>
      </c>
      <c r="C57" s="14">
        <f>Table13468113456716[[#This Row],[PMI]]-B56</f>
        <v>2</v>
      </c>
    </row>
    <row r="58" spans="1:3" x14ac:dyDescent="0.2">
      <c r="A58" s="8">
        <v>42036</v>
      </c>
      <c r="B58" s="11">
        <f>IF(VLOOKUP(A58,'DB Country PMI'!$A:$W,MATCH($A$1,'DB Country PMI'!$A$1:$W$1,),)=0,#N/A,VLOOKUP(A58,'DB Country PMI'!$A:$W,MATCH($A$1,'DB Country PMI'!$A$1:$W$1,),))</f>
        <v>51.7</v>
      </c>
      <c r="C58" s="14">
        <f>Table13468113456716[[#This Row],[PMI]]-B57</f>
        <v>2.2000000000000028</v>
      </c>
    </row>
    <row r="59" spans="1:3" x14ac:dyDescent="0.2">
      <c r="A59" s="8">
        <v>42064</v>
      </c>
      <c r="B59" s="11">
        <f>IF(VLOOKUP(A59,'DB Country PMI'!$A:$W,MATCH($A$1,'DB Country PMI'!$A$1:$W$1,),)=0,#N/A,VLOOKUP(A59,'DB Country PMI'!$A:$W,MATCH($A$1,'DB Country PMI'!$A$1:$W$1,),))</f>
        <v>50.2</v>
      </c>
      <c r="C59" s="14">
        <f>Table13468113456716[[#This Row],[PMI]]-B58</f>
        <v>-1.5</v>
      </c>
    </row>
    <row r="60" spans="1:3" x14ac:dyDescent="0.2">
      <c r="A60" s="8">
        <v>42095</v>
      </c>
      <c r="B60" s="11">
        <f>IF(VLOOKUP(A60,'DB Country PMI'!$A:$W,MATCH($A$1,'DB Country PMI'!$A$1:$W$1,),)=0,#N/A,VLOOKUP(A60,'DB Country PMI'!$A:$W,MATCH($A$1,'DB Country PMI'!$A$1:$W$1,),))</f>
        <v>49.7</v>
      </c>
      <c r="C60" s="14">
        <f>Table13468113456716[[#This Row],[PMI]]-B59</f>
        <v>-0.5</v>
      </c>
    </row>
    <row r="61" spans="1:3" x14ac:dyDescent="0.2">
      <c r="A61" s="8">
        <v>42125</v>
      </c>
      <c r="B61" s="11">
        <f>IF(VLOOKUP(A61,'DB Country PMI'!$A:$W,MATCH($A$1,'DB Country PMI'!$A$1:$W$1,),)=0,#N/A,VLOOKUP(A61,'DB Country PMI'!$A:$W,MATCH($A$1,'DB Country PMI'!$A$1:$W$1,),))</f>
        <v>49.6</v>
      </c>
      <c r="C61" s="14">
        <f>Table13468113456716[[#This Row],[PMI]]-B60</f>
        <v>-0.10000000000000142</v>
      </c>
    </row>
    <row r="62" spans="1:3" x14ac:dyDescent="0.2">
      <c r="A62" s="8">
        <v>42156</v>
      </c>
      <c r="B62" s="11">
        <f>IF(VLOOKUP(A62,'DB Country PMI'!$A:$W,MATCH($A$1,'DB Country PMI'!$A$1:$W$1,),)=0,#N/A,VLOOKUP(A62,'DB Country PMI'!$A:$W,MATCH($A$1,'DB Country PMI'!$A$1:$W$1,),))</f>
        <v>51.2</v>
      </c>
      <c r="C62" s="14">
        <f>Table13468113456716[[#This Row],[PMI]]-B61</f>
        <v>1.6000000000000014</v>
      </c>
    </row>
    <row r="63" spans="1:3" x14ac:dyDescent="0.2">
      <c r="A63" s="8">
        <v>42186</v>
      </c>
      <c r="B63" s="11">
        <f>IF(VLOOKUP(A63,'DB Country PMI'!$A:$W,MATCH($A$1,'DB Country PMI'!$A$1:$W$1,),)=0,#N/A,VLOOKUP(A63,'DB Country PMI'!$A:$W,MATCH($A$1,'DB Country PMI'!$A$1:$W$1,),))</f>
        <v>54.1</v>
      </c>
      <c r="C63" s="14">
        <f>Table13468113456716[[#This Row],[PMI]]-B62</f>
        <v>2.8999999999999986</v>
      </c>
    </row>
    <row r="64" spans="1:3" x14ac:dyDescent="0.2">
      <c r="A64" s="8">
        <v>42217</v>
      </c>
      <c r="B64" s="11">
        <f>IF(VLOOKUP(A64,'DB Country PMI'!$A:$W,MATCH($A$1,'DB Country PMI'!$A$1:$W$1,),)=0,#N/A,VLOOKUP(A64,'DB Country PMI'!$A:$W,MATCH($A$1,'DB Country PMI'!$A$1:$W$1,),))</f>
        <v>55.6</v>
      </c>
      <c r="C64" s="14">
        <f>Table13468113456716[[#This Row],[PMI]]-B63</f>
        <v>1.5</v>
      </c>
    </row>
    <row r="65" spans="1:3" x14ac:dyDescent="0.2">
      <c r="A65" s="8">
        <v>42248</v>
      </c>
      <c r="B65" s="11">
        <f>IF(VLOOKUP(A65,'DB Country PMI'!$A:$W,MATCH($A$1,'DB Country PMI'!$A$1:$W$1,),)=0,#N/A,VLOOKUP(A65,'DB Country PMI'!$A:$W,MATCH($A$1,'DB Country PMI'!$A$1:$W$1,),))</f>
        <v>52.3</v>
      </c>
      <c r="C65" s="14">
        <f>Table13468113456716[[#This Row],[PMI]]-B64</f>
        <v>-3.3000000000000043</v>
      </c>
    </row>
    <row r="66" spans="1:3" x14ac:dyDescent="0.2">
      <c r="A66" s="8">
        <v>42278</v>
      </c>
      <c r="B66" s="11">
        <f>IF(VLOOKUP(A66,'DB Country PMI'!$A:$W,MATCH($A$1,'DB Country PMI'!$A$1:$W$1,),)=0,#N/A,VLOOKUP(A66,'DB Country PMI'!$A:$W,MATCH($A$1,'DB Country PMI'!$A$1:$W$1,),))</f>
        <v>48.9</v>
      </c>
      <c r="C66" s="14">
        <f>Table13468113456716[[#This Row],[PMI]]-B65</f>
        <v>-3.3999999999999986</v>
      </c>
    </row>
    <row r="67" spans="1:3" x14ac:dyDescent="0.2">
      <c r="A67" s="8">
        <v>42309</v>
      </c>
      <c r="B67" s="11">
        <f>IF(VLOOKUP(A67,'DB Country PMI'!$A:$W,MATCH($A$1,'DB Country PMI'!$A$1:$W$1,),)=0,#N/A,VLOOKUP(A67,'DB Country PMI'!$A:$W,MATCH($A$1,'DB Country PMI'!$A$1:$W$1,),))</f>
        <v>48.2</v>
      </c>
      <c r="C67" s="14">
        <f>Table13468113456716[[#This Row],[PMI]]-B66</f>
        <v>-0.69999999999999574</v>
      </c>
    </row>
    <row r="68" spans="1:3" x14ac:dyDescent="0.2">
      <c r="A68" s="8">
        <v>42339</v>
      </c>
      <c r="B68" s="11">
        <f>IF(VLOOKUP(A68,'DB Country PMI'!$A:$W,MATCH($A$1,'DB Country PMI'!$A$1:$W$1,),)=0,#N/A,VLOOKUP(A68,'DB Country PMI'!$A:$W,MATCH($A$1,'DB Country PMI'!$A$1:$W$1,),))</f>
        <v>46.3</v>
      </c>
      <c r="C68" s="14">
        <f>Table13468113456716[[#This Row],[PMI]]-B67</f>
        <v>-1.9000000000000057</v>
      </c>
    </row>
    <row r="69" spans="1:3" x14ac:dyDescent="0.2">
      <c r="A69" s="8">
        <v>42370</v>
      </c>
      <c r="B69" s="11">
        <f>IF(VLOOKUP(A69,'DB Country PMI'!$A:$W,MATCH($A$1,'DB Country PMI'!$A$1:$W$1,),)=0,#N/A,VLOOKUP(A69,'DB Country PMI'!$A:$W,MATCH($A$1,'DB Country PMI'!$A$1:$W$1,),))</f>
        <v>48.4</v>
      </c>
      <c r="C69" s="14">
        <f>Table13468113456716[[#This Row],[PMI]]-B68</f>
        <v>2.1000000000000014</v>
      </c>
    </row>
    <row r="70" spans="1:3" x14ac:dyDescent="0.2">
      <c r="A70" s="8">
        <v>42401</v>
      </c>
      <c r="B70" s="11">
        <f>IF(VLOOKUP(A70,'DB Country PMI'!$A:$W,MATCH($A$1,'DB Country PMI'!$A$1:$W$1,),)=0,#N/A,VLOOKUP(A70,'DB Country PMI'!$A:$W,MATCH($A$1,'DB Country PMI'!$A$1:$W$1,),))</f>
        <v>51.8</v>
      </c>
      <c r="C70" s="14">
        <f>Table13468113456716[[#This Row],[PMI]]-B69</f>
        <v>3.3999999999999986</v>
      </c>
    </row>
    <row r="71" spans="1:3" x14ac:dyDescent="0.2">
      <c r="A71" s="8">
        <v>42430</v>
      </c>
      <c r="B71" s="11">
        <f>IF(VLOOKUP(A71,'DB Country PMI'!$A:$W,MATCH($A$1,'DB Country PMI'!$A$1:$W$1,),)=0,#N/A,VLOOKUP(A71,'DB Country PMI'!$A:$W,MATCH($A$1,'DB Country PMI'!$A$1:$W$1,),))</f>
        <v>49.5</v>
      </c>
      <c r="C71" s="14">
        <f>Table13468113456716[[#This Row],[PMI]]-B70</f>
        <v>-2.2999999999999972</v>
      </c>
    </row>
    <row r="72" spans="1:3" x14ac:dyDescent="0.2">
      <c r="A72" s="8">
        <v>42461</v>
      </c>
      <c r="B72" s="11">
        <f>IF(VLOOKUP(A72,'DB Country PMI'!$A:$W,MATCH($A$1,'DB Country PMI'!$A$1:$W$1,),)=0,#N/A,VLOOKUP(A72,'DB Country PMI'!$A:$W,MATCH($A$1,'DB Country PMI'!$A$1:$W$1,),))</f>
        <v>49.7</v>
      </c>
      <c r="C72" s="14">
        <f>Table13468113456716[[#This Row],[PMI]]-B71</f>
        <v>0.20000000000000284</v>
      </c>
    </row>
    <row r="73" spans="1:3" x14ac:dyDescent="0.2">
      <c r="A73" s="8">
        <v>42491</v>
      </c>
      <c r="B73" s="11">
        <f>IF(VLOOKUP(A73,'DB Country PMI'!$A:$W,MATCH($A$1,'DB Country PMI'!$A$1:$W$1,),)=0,#N/A,VLOOKUP(A73,'DB Country PMI'!$A:$W,MATCH($A$1,'DB Country PMI'!$A$1:$W$1,),))</f>
        <v>51.5</v>
      </c>
      <c r="C73" s="14">
        <f>Table13468113456716[[#This Row],[PMI]]-B72</f>
        <v>1.7999999999999972</v>
      </c>
    </row>
    <row r="74" spans="1:3" x14ac:dyDescent="0.2">
      <c r="A74" s="8">
        <v>42522</v>
      </c>
      <c r="B74" s="11">
        <f>IF(VLOOKUP(A74,'DB Country PMI'!$A:$W,MATCH($A$1,'DB Country PMI'!$A$1:$W$1,),)=0,#N/A,VLOOKUP(A74,'DB Country PMI'!$A:$W,MATCH($A$1,'DB Country PMI'!$A$1:$W$1,),))</f>
        <v>51.3</v>
      </c>
      <c r="C74" s="14">
        <f>Table13468113456716[[#This Row],[PMI]]-B73</f>
        <v>-0.20000000000000284</v>
      </c>
    </row>
    <row r="75" spans="1:3" x14ac:dyDescent="0.2">
      <c r="A75" s="8">
        <v>42552</v>
      </c>
      <c r="B75" s="11">
        <f>IF(VLOOKUP(A75,'DB Country PMI'!$A:$W,MATCH($A$1,'DB Country PMI'!$A$1:$W$1,),)=0,#N/A,VLOOKUP(A75,'DB Country PMI'!$A:$W,MATCH($A$1,'DB Country PMI'!$A$1:$W$1,),))</f>
        <v>53.9</v>
      </c>
      <c r="C75" s="14">
        <f>Table13468113456716[[#This Row],[PMI]]-B74</f>
        <v>2.6000000000000014</v>
      </c>
    </row>
    <row r="76" spans="1:3" x14ac:dyDescent="0.2">
      <c r="A76" s="8">
        <v>42583</v>
      </c>
      <c r="B76" s="11">
        <f>IF(VLOOKUP(A76,'DB Country PMI'!$A:$W,MATCH($A$1,'DB Country PMI'!$A$1:$W$1,),)=0,#N/A,VLOOKUP(A76,'DB Country PMI'!$A:$W,MATCH($A$1,'DB Country PMI'!$A$1:$W$1,),))</f>
        <v>45</v>
      </c>
      <c r="C76" s="14">
        <f>Table13468113456716[[#This Row],[PMI]]-B75</f>
        <v>-8.8999999999999986</v>
      </c>
    </row>
    <row r="77" spans="1:3" x14ac:dyDescent="0.2">
      <c r="A77" s="8">
        <v>42614</v>
      </c>
      <c r="B77" s="11">
        <f>IF(VLOOKUP(A77,'DB Country PMI'!$A:$W,MATCH($A$1,'DB Country PMI'!$A$1:$W$1,),)=0,#N/A,VLOOKUP(A77,'DB Country PMI'!$A:$W,MATCH($A$1,'DB Country PMI'!$A$1:$W$1,),))</f>
        <v>48.9</v>
      </c>
      <c r="C77" s="14">
        <f>Table13468113456716[[#This Row],[PMI]]-B76</f>
        <v>3.8999999999999986</v>
      </c>
    </row>
    <row r="78" spans="1:3" x14ac:dyDescent="0.2">
      <c r="A78" s="8">
        <v>42644</v>
      </c>
      <c r="B78" s="11">
        <f>IF(VLOOKUP(A78,'DB Country PMI'!$A:$W,MATCH($A$1,'DB Country PMI'!$A$1:$W$1,),)=0,#N/A,VLOOKUP(A78,'DB Country PMI'!$A:$W,MATCH($A$1,'DB Country PMI'!$A$1:$W$1,),))</f>
        <v>50.5</v>
      </c>
      <c r="C78" s="14">
        <f>Table13468113456716[[#This Row],[PMI]]-B77</f>
        <v>1.6000000000000014</v>
      </c>
    </row>
    <row r="79" spans="1:3" x14ac:dyDescent="0.2">
      <c r="A79" s="8">
        <v>42675</v>
      </c>
      <c r="B79" s="11">
        <f>IF(VLOOKUP(A79,'DB Country PMI'!$A:$W,MATCH($A$1,'DB Country PMI'!$A$1:$W$1,),)=0,#N/A,VLOOKUP(A79,'DB Country PMI'!$A:$W,MATCH($A$1,'DB Country PMI'!$A$1:$W$1,),))</f>
        <v>51.1</v>
      </c>
      <c r="C79" s="14">
        <f>Table13468113456716[[#This Row],[PMI]]-B78</f>
        <v>0.60000000000000142</v>
      </c>
    </row>
    <row r="80" spans="1:3" x14ac:dyDescent="0.2">
      <c r="A80" s="8">
        <v>42705</v>
      </c>
      <c r="B80" s="11">
        <f>IF(VLOOKUP(A80,'DB Country PMI'!$A:$W,MATCH($A$1,'DB Country PMI'!$A$1:$W$1,),)=0,#N/A,VLOOKUP(A80,'DB Country PMI'!$A:$W,MATCH($A$1,'DB Country PMI'!$A$1:$W$1,),))</f>
        <v>57.7</v>
      </c>
      <c r="C80" s="14">
        <f>Table13468113456716[[#This Row],[PMI]]-B79</f>
        <v>6.6000000000000014</v>
      </c>
    </row>
    <row r="81" spans="1:3" x14ac:dyDescent="0.2">
      <c r="A81" s="8">
        <v>42736</v>
      </c>
      <c r="B81" s="11">
        <f>IF(VLOOKUP(A81,'DB Country PMI'!$A:$W,MATCH($A$1,'DB Country PMI'!$A$1:$W$1,),)=0,#N/A,VLOOKUP(A81,'DB Country PMI'!$A:$W,MATCH($A$1,'DB Country PMI'!$A$1:$W$1,),))</f>
        <v>54.5</v>
      </c>
      <c r="C81" s="14">
        <f>Table13468113456716[[#This Row],[PMI]]-B80</f>
        <v>-3.2000000000000028</v>
      </c>
    </row>
    <row r="82" spans="1:3" x14ac:dyDescent="0.2">
      <c r="A82" s="8">
        <v>42767</v>
      </c>
      <c r="B82" s="11">
        <f>IF(VLOOKUP(A82,'DB Country PMI'!$A:$W,MATCH($A$1,'DB Country PMI'!$A$1:$W$1,),)=0,#N/A,VLOOKUP(A82,'DB Country PMI'!$A:$W,MATCH($A$1,'DB Country PMI'!$A$1:$W$1,),))</f>
        <v>49</v>
      </c>
      <c r="C82" s="14">
        <f>Table13468113456716[[#This Row],[PMI]]-B81</f>
        <v>-5.5</v>
      </c>
    </row>
    <row r="83" spans="1:3" x14ac:dyDescent="0.2">
      <c r="A83" s="8">
        <v>42795</v>
      </c>
      <c r="B83" s="11">
        <f>IF(VLOOKUP(A83,'DB Country PMI'!$A:$W,MATCH($A$1,'DB Country PMI'!$A$1:$W$1,),)=0,#N/A,VLOOKUP(A83,'DB Country PMI'!$A:$W,MATCH($A$1,'DB Country PMI'!$A$1:$W$1,),))</f>
        <v>51.7</v>
      </c>
      <c r="C83" s="14">
        <f>Table13468113456716[[#This Row],[PMI]]-B82</f>
        <v>2.7000000000000028</v>
      </c>
    </row>
    <row r="84" spans="1:3" x14ac:dyDescent="0.2">
      <c r="A84" s="8">
        <v>42826</v>
      </c>
      <c r="B84" s="11">
        <f>IF(VLOOKUP(A84,'DB Country PMI'!$A:$W,MATCH($A$1,'DB Country PMI'!$A$1:$W$1,),)=0,#N/A,VLOOKUP(A84,'DB Country PMI'!$A:$W,MATCH($A$1,'DB Country PMI'!$A$1:$W$1,),))</f>
        <v>53</v>
      </c>
      <c r="C84" s="14">
        <f>Table13468113456716[[#This Row],[PMI]]-B83</f>
        <v>1.2999999999999972</v>
      </c>
    </row>
    <row r="85" spans="1:3" x14ac:dyDescent="0.2">
      <c r="A85" s="8">
        <v>42856</v>
      </c>
      <c r="B85" s="11">
        <f>IF(VLOOKUP(A85,'DB Country PMI'!$A:$W,MATCH($A$1,'DB Country PMI'!$A$1:$W$1,),)=0,#N/A,VLOOKUP(A85,'DB Country PMI'!$A:$W,MATCH($A$1,'DB Country PMI'!$A$1:$W$1,),))</f>
        <v>51.5</v>
      </c>
      <c r="C85" s="14">
        <f>Table13468113456716[[#This Row],[PMI]]-B84</f>
        <v>-1.5</v>
      </c>
    </row>
    <row r="86" spans="1:3" x14ac:dyDescent="0.2">
      <c r="A86" s="8">
        <v>42887</v>
      </c>
      <c r="B86" s="11">
        <f>IF(VLOOKUP(A86,'DB Country PMI'!$A:$W,MATCH($A$1,'DB Country PMI'!$A$1:$W$1,),)=0,#N/A,VLOOKUP(A86,'DB Country PMI'!$A:$W,MATCH($A$1,'DB Country PMI'!$A$1:$W$1,),))</f>
        <v>54.8</v>
      </c>
      <c r="C86" s="14">
        <f>Table13468113456716[[#This Row],[PMI]]-B85</f>
        <v>3.2999999999999972</v>
      </c>
    </row>
    <row r="87" spans="1:3" x14ac:dyDescent="0.2">
      <c r="A87" s="8">
        <v>42917</v>
      </c>
      <c r="B87" s="11">
        <f>IF(VLOOKUP(A87,'DB Country PMI'!$A:$W,MATCH($A$1,'DB Country PMI'!$A$1:$W$1,),)=0,#N/A,VLOOKUP(A87,'DB Country PMI'!$A:$W,MATCH($A$1,'DB Country PMI'!$A$1:$W$1,),))</f>
        <v>56.4</v>
      </c>
      <c r="C87" s="14">
        <f>Table13468113456716[[#This Row],[PMI]]-B86</f>
        <v>1.6000000000000014</v>
      </c>
    </row>
    <row r="88" spans="1:3" x14ac:dyDescent="0.2">
      <c r="A88" s="8">
        <v>42948</v>
      </c>
      <c r="B88" s="11">
        <f>IF(VLOOKUP(A88,'DB Country PMI'!$A:$W,MATCH($A$1,'DB Country PMI'!$A$1:$W$1,),)=0,#N/A,VLOOKUP(A88,'DB Country PMI'!$A:$W,MATCH($A$1,'DB Country PMI'!$A$1:$W$1,),))</f>
        <v>53</v>
      </c>
      <c r="C88" s="14">
        <f>Table13468113456716[[#This Row],[PMI]]-B87</f>
        <v>-3.3999999999999986</v>
      </c>
    </row>
    <row r="89" spans="1:3" x14ac:dyDescent="0.2">
      <c r="A89" s="8">
        <v>42979</v>
      </c>
      <c r="B89" s="11">
        <f>IF(VLOOKUP(A89,'DB Country PMI'!$A:$W,MATCH($A$1,'DB Country PMI'!$A$1:$W$1,),)=0,#N/A,VLOOKUP(A89,'DB Country PMI'!$A:$W,MATCH($A$1,'DB Country PMI'!$A$1:$W$1,),))</f>
        <v>52.1</v>
      </c>
      <c r="C89" s="14">
        <f>Table13468113456716[[#This Row],[PMI]]-B88</f>
        <v>-0.89999999999999858</v>
      </c>
    </row>
    <row r="90" spans="1:3" x14ac:dyDescent="0.2">
      <c r="A90" s="8">
        <v>43009</v>
      </c>
      <c r="B90" s="11">
        <f>IF(VLOOKUP(A90,'DB Country PMI'!$A:$W,MATCH($A$1,'DB Country PMI'!$A$1:$W$1,),)=0,#N/A,VLOOKUP(A90,'DB Country PMI'!$A:$W,MATCH($A$1,'DB Country PMI'!$A$1:$W$1,),))</f>
        <v>51.4</v>
      </c>
      <c r="C90" s="14">
        <f>Table13468113456716[[#This Row],[PMI]]-B89</f>
        <v>-0.70000000000000284</v>
      </c>
    </row>
    <row r="91" spans="1:3" x14ac:dyDescent="0.2">
      <c r="A91" s="8">
        <v>43040</v>
      </c>
      <c r="B91" s="11">
        <f>IF(VLOOKUP(A91,'DB Country PMI'!$A:$W,MATCH($A$1,'DB Country PMI'!$A$1:$W$1,),)=0,#N/A,VLOOKUP(A91,'DB Country PMI'!$A:$W,MATCH($A$1,'DB Country PMI'!$A$1:$W$1,),))</f>
        <v>51.7</v>
      </c>
      <c r="C91" s="14">
        <f>Table13468113456716[[#This Row],[PMI]]-B90</f>
        <v>0.30000000000000426</v>
      </c>
    </row>
    <row r="92" spans="1:3" x14ac:dyDescent="0.2">
      <c r="A92" s="8">
        <v>43070</v>
      </c>
      <c r="B92" s="11">
        <f>IF(VLOOKUP(A92,'DB Country PMI'!$A:$W,MATCH($A$1,'DB Country PMI'!$A$1:$W$1,),)=0,#N/A,VLOOKUP(A92,'DB Country PMI'!$A:$W,MATCH($A$1,'DB Country PMI'!$A$1:$W$1,),))</f>
        <v>52</v>
      </c>
      <c r="C92" s="14">
        <f>Table13468113456716[[#This Row],[PMI]]-B91</f>
        <v>0.29999999999999716</v>
      </c>
    </row>
    <row r="93" spans="1:3" x14ac:dyDescent="0.2">
      <c r="A93" s="8">
        <v>43101</v>
      </c>
      <c r="B93" s="11">
        <f>IF(VLOOKUP(A93,'DB Country PMI'!$A:$W,MATCH($A$1,'DB Country PMI'!$A$1:$W$1,),)=0,#N/A,VLOOKUP(A93,'DB Country PMI'!$A:$W,MATCH($A$1,'DB Country PMI'!$A$1:$W$1,),))</f>
        <v>54.9</v>
      </c>
      <c r="C93" s="14">
        <f>Table13468113456716[[#This Row],[PMI]]-B92</f>
        <v>2.8999999999999986</v>
      </c>
    </row>
    <row r="94" spans="1:3" x14ac:dyDescent="0.2">
      <c r="A94" s="8">
        <v>43132</v>
      </c>
      <c r="B94" s="11">
        <f>IF(VLOOKUP(A94,'DB Country PMI'!$A:$W,MATCH($A$1,'DB Country PMI'!$A$1:$W$1,),)=0,#N/A,VLOOKUP(A94,'DB Country PMI'!$A:$W,MATCH($A$1,'DB Country PMI'!$A$1:$W$1,),))</f>
        <v>54</v>
      </c>
      <c r="C94" s="14">
        <f>Table13468113456716[[#This Row],[PMI]]-B93</f>
        <v>-0.89999999999999858</v>
      </c>
    </row>
    <row r="95" spans="1:3" x14ac:dyDescent="0.2">
      <c r="A95" s="8">
        <v>43160</v>
      </c>
      <c r="B95" s="11">
        <f>IF(VLOOKUP(A95,'DB Country PMI'!$A:$W,MATCH($A$1,'DB Country PMI'!$A$1:$W$1,),)=0,#N/A,VLOOKUP(A95,'DB Country PMI'!$A:$W,MATCH($A$1,'DB Country PMI'!$A$1:$W$1,),))</f>
        <v>56.9</v>
      </c>
      <c r="C95" s="14">
        <f>Table13468113456716[[#This Row],[PMI]]-B94</f>
        <v>2.8999999999999986</v>
      </c>
    </row>
    <row r="96" spans="1:3" x14ac:dyDescent="0.2">
      <c r="A96" s="8">
        <v>43191</v>
      </c>
      <c r="B96" s="11">
        <f>IF(VLOOKUP(A96,'DB Country PMI'!$A:$W,MATCH($A$1,'DB Country PMI'!$A$1:$W$1,),)=0,#N/A,VLOOKUP(A96,'DB Country PMI'!$A:$W,MATCH($A$1,'DB Country PMI'!$A$1:$W$1,),))</f>
        <v>55.2</v>
      </c>
      <c r="C96" s="14">
        <f>Table13468113456716[[#This Row],[PMI]]-B95</f>
        <v>-1.6999999999999957</v>
      </c>
    </row>
    <row r="97" spans="1:3" x14ac:dyDescent="0.2">
      <c r="A97" s="8">
        <v>43221</v>
      </c>
      <c r="B97" s="11">
        <f>IF(VLOOKUP(A97,'DB Country PMI'!$A:$W,MATCH($A$1,'DB Country PMI'!$A$1:$W$1,),)=0,#N/A,VLOOKUP(A97,'DB Country PMI'!$A:$W,MATCH($A$1,'DB Country PMI'!$A$1:$W$1,),))</f>
        <v>59</v>
      </c>
      <c r="C97" s="14">
        <f>Table13468113456716[[#This Row],[PMI]]-B96</f>
        <v>3.7999999999999972</v>
      </c>
    </row>
    <row r="98" spans="1:3" x14ac:dyDescent="0.2">
      <c r="A98" s="8">
        <v>43252</v>
      </c>
      <c r="B98" s="11">
        <f>IF(VLOOKUP(A98,'DB Country PMI'!$A:$W,MATCH($A$1,'DB Country PMI'!$A$1:$W$1,),)=0,#N/A,VLOOKUP(A98,'DB Country PMI'!$A:$W,MATCH($A$1,'DB Country PMI'!$A$1:$W$1,),))</f>
        <v>63</v>
      </c>
      <c r="C98" s="14">
        <f>Table13468113456716[[#This Row],[PMI]]-B97</f>
        <v>4</v>
      </c>
    </row>
    <row r="99" spans="1:3" x14ac:dyDescent="0.2">
      <c r="A99" s="8">
        <v>43282</v>
      </c>
      <c r="B99" s="11">
        <f>IF(VLOOKUP(A99,'DB Country PMI'!$A:$W,MATCH($A$1,'DB Country PMI'!$A$1:$W$1,),)=0,#N/A,VLOOKUP(A99,'DB Country PMI'!$A:$W,MATCH($A$1,'DB Country PMI'!$A$1:$W$1,),))</f>
        <v>53.6</v>
      </c>
      <c r="C99" s="14">
        <f>Table13468113456716[[#This Row],[PMI]]-B98</f>
        <v>-9.3999999999999986</v>
      </c>
    </row>
    <row r="100" spans="1:3" x14ac:dyDescent="0.2">
      <c r="A100" s="8">
        <v>43313</v>
      </c>
      <c r="B100" s="11">
        <f>IF(VLOOKUP(A100,'DB Country PMI'!$A:$W,MATCH($A$1,'DB Country PMI'!$A$1:$W$1,),)=0,#N/A,VLOOKUP(A100,'DB Country PMI'!$A:$W,MATCH($A$1,'DB Country PMI'!$A$1:$W$1,),))</f>
        <v>52.2</v>
      </c>
      <c r="C100" s="14">
        <f>Table13468113456716[[#This Row],[PMI]]-B99</f>
        <v>-1.3999999999999986</v>
      </c>
    </row>
    <row r="101" spans="1:3" x14ac:dyDescent="0.2">
      <c r="A101" s="8">
        <v>43344</v>
      </c>
      <c r="B101" s="11">
        <f>IF(VLOOKUP(A101,'DB Country PMI'!$A:$W,MATCH($A$1,'DB Country PMI'!$A$1:$W$1,),)=0,#N/A,VLOOKUP(A101,'DB Country PMI'!$A:$W,MATCH($A$1,'DB Country PMI'!$A$1:$W$1,),))</f>
        <v>52.5</v>
      </c>
      <c r="C101" s="14">
        <f>Table13468113456716[[#This Row],[PMI]]-B100</f>
        <v>0.29999999999999716</v>
      </c>
    </row>
    <row r="102" spans="1:3" x14ac:dyDescent="0.2">
      <c r="A102" s="8">
        <v>43374</v>
      </c>
      <c r="B102" s="11">
        <f>IF(VLOOKUP(A102,'DB Country PMI'!$A:$W,MATCH($A$1,'DB Country PMI'!$A$1:$W$1,),)=0,#N/A,VLOOKUP(A102,'DB Country PMI'!$A:$W,MATCH($A$1,'DB Country PMI'!$A$1:$W$1,),))</f>
        <v>51.1</v>
      </c>
      <c r="C102" s="14">
        <f>Table13468113456716[[#This Row],[PMI]]-B101</f>
        <v>-1.3999999999999986</v>
      </c>
    </row>
    <row r="103" spans="1:3" x14ac:dyDescent="0.2">
      <c r="A103" s="8">
        <v>43405</v>
      </c>
      <c r="B103" s="11">
        <f>IF(VLOOKUP(A103,'DB Country PMI'!$A:$W,MATCH($A$1,'DB Country PMI'!$A$1:$W$1,),)=0,#N/A,VLOOKUP(A103,'DB Country PMI'!$A:$W,MATCH($A$1,'DB Country PMI'!$A$1:$W$1,),))</f>
        <v>55.1</v>
      </c>
      <c r="C103" s="14">
        <f>Table13468113456716[[#This Row],[PMI]]-B102</f>
        <v>4</v>
      </c>
    </row>
    <row r="104" spans="1:3" x14ac:dyDescent="0.2">
      <c r="A104" s="8">
        <v>43435</v>
      </c>
      <c r="B104" s="11">
        <f>IF(VLOOKUP(A104,'DB Country PMI'!$A:$W,MATCH($A$1,'DB Country PMI'!$A$1:$W$1,),)=0,#N/A,VLOOKUP(A104,'DB Country PMI'!$A:$W,MATCH($A$1,'DB Country PMI'!$A$1:$W$1,),))</f>
        <v>52.1</v>
      </c>
      <c r="C104" s="14">
        <f>Table13468113456716[[#This Row],[PMI]]-B103</f>
        <v>-3</v>
      </c>
    </row>
    <row r="105" spans="1:3" x14ac:dyDescent="0.2">
      <c r="A105" s="8">
        <v>43466</v>
      </c>
      <c r="B105" s="11">
        <f>IF(VLOOKUP(A105,'DB Country PMI'!$A:$W,MATCH($A$1,'DB Country PMI'!$A$1:$W$1,),)=0,#N/A,VLOOKUP(A105,'DB Country PMI'!$A:$W,MATCH($A$1,'DB Country PMI'!$A$1:$W$1,),))</f>
        <v>44.3</v>
      </c>
      <c r="C105" s="14">
        <f>Table13468113456716[[#This Row],[PMI]]-B104</f>
        <v>-7.8000000000000043</v>
      </c>
    </row>
    <row r="106" spans="1:3" x14ac:dyDescent="0.2">
      <c r="A106" s="8">
        <v>43497</v>
      </c>
      <c r="B106" s="11">
        <f>IF(VLOOKUP(A106,'DB Country PMI'!$A:$W,MATCH($A$1,'DB Country PMI'!$A$1:$W$1,),)=0,#N/A,VLOOKUP(A106,'DB Country PMI'!$A:$W,MATCH($A$1,'DB Country PMI'!$A$1:$W$1,),))</f>
        <v>44.5</v>
      </c>
      <c r="C106" s="14">
        <f>Table13468113456716[[#This Row],[PMI]]-B105</f>
        <v>0.20000000000000284</v>
      </c>
    </row>
    <row r="107" spans="1:3" x14ac:dyDescent="0.2">
      <c r="A107" s="8">
        <v>43525</v>
      </c>
      <c r="B107" s="11">
        <f>IF(VLOOKUP(A107,'DB Country PMI'!$A:$W,MATCH($A$1,'DB Country PMI'!$A$1:$W$1,),)=0,#N/A,VLOOKUP(A107,'DB Country PMI'!$A:$W,MATCH($A$1,'DB Country PMI'!$A$1:$W$1,),))</f>
        <v>44.8</v>
      </c>
      <c r="C107" s="14">
        <f>Table13468113456716[[#This Row],[PMI]]-B106</f>
        <v>0.29999999999999716</v>
      </c>
    </row>
    <row r="108" spans="1:3" x14ac:dyDescent="0.2">
      <c r="A108" s="8">
        <v>43556</v>
      </c>
      <c r="B108" s="11">
        <f>IF(VLOOKUP(A108,'DB Country PMI'!$A:$W,MATCH($A$1,'DB Country PMI'!$A$1:$W$1,),)=0,#N/A,VLOOKUP(A108,'DB Country PMI'!$A:$W,MATCH($A$1,'DB Country PMI'!$A$1:$W$1,),))</f>
        <v>46.5</v>
      </c>
      <c r="C108" s="14">
        <f>Table13468113456716[[#This Row],[PMI]]-B107</f>
        <v>1.7000000000000028</v>
      </c>
    </row>
    <row r="109" spans="1:3" x14ac:dyDescent="0.2">
      <c r="A109" s="8">
        <v>43586</v>
      </c>
      <c r="B109" s="11">
        <f>IF(VLOOKUP(A109,'DB Country PMI'!$A:$W,MATCH($A$1,'DB Country PMI'!$A$1:$W$1,),)=0,#N/A,VLOOKUP(A109,'DB Country PMI'!$A:$W,MATCH($A$1,'DB Country PMI'!$A$1:$W$1,),))</f>
        <v>52.5</v>
      </c>
      <c r="C109" s="14">
        <f>Table13468113456716[[#This Row],[PMI]]-B108</f>
        <v>6</v>
      </c>
    </row>
    <row r="110" spans="1:3" x14ac:dyDescent="0.2">
      <c r="A110" s="8">
        <v>43617</v>
      </c>
      <c r="B110" s="11">
        <f>IF(VLOOKUP(A110,'DB Country PMI'!$A:$W,MATCH($A$1,'DB Country PMI'!$A$1:$W$1,),)=0,#N/A,VLOOKUP(A110,'DB Country PMI'!$A:$W,MATCH($A$1,'DB Country PMI'!$A$1:$W$1,),))</f>
        <v>52.2</v>
      </c>
      <c r="C110" s="14">
        <f>Table13468113456716[[#This Row],[PMI]]-B109</f>
        <v>-0.29999999999999716</v>
      </c>
    </row>
    <row r="111" spans="1:3" x14ac:dyDescent="0.2">
      <c r="A111" s="8">
        <v>43647</v>
      </c>
      <c r="B111" s="11">
        <f>IF(VLOOKUP(A111,'DB Country PMI'!$A:$W,MATCH($A$1,'DB Country PMI'!$A$1:$W$1,),)=0,#N/A,VLOOKUP(A111,'DB Country PMI'!$A:$W,MATCH($A$1,'DB Country PMI'!$A$1:$W$1,),))</f>
        <v>43.9</v>
      </c>
      <c r="C111" s="14">
        <f>Table13468113456716[[#This Row],[PMI]]-B110</f>
        <v>-8.3000000000000043</v>
      </c>
    </row>
    <row r="112" spans="1:3" x14ac:dyDescent="0.2">
      <c r="A112" s="8">
        <v>43678</v>
      </c>
      <c r="B112" s="11">
        <f>IF(VLOOKUP(A112,'DB Country PMI'!$A:$W,MATCH($A$1,'DB Country PMI'!$A$1:$W$1,),)=0,#N/A,VLOOKUP(A112,'DB Country PMI'!$A:$W,MATCH($A$1,'DB Country PMI'!$A$1:$W$1,),))</f>
        <v>51.4</v>
      </c>
      <c r="C112" s="14">
        <f>Table13468113456716[[#This Row],[PMI]]-B111</f>
        <v>7.5</v>
      </c>
    </row>
    <row r="113" spans="1:3" x14ac:dyDescent="0.2">
      <c r="A113" s="8">
        <v>43709</v>
      </c>
      <c r="B113" s="11">
        <f>IF(VLOOKUP(A113,'DB Country PMI'!$A:$W,MATCH($A$1,'DB Country PMI'!$A$1:$W$1,),)=0,#N/A,VLOOKUP(A113,'DB Country PMI'!$A:$W,MATCH($A$1,'DB Country PMI'!$A$1:$W$1,),))</f>
        <v>51.5</v>
      </c>
      <c r="C113" s="14">
        <f>Table13468113456716[[#This Row],[PMI]]-B112</f>
        <v>0.10000000000000142</v>
      </c>
    </row>
    <row r="114" spans="1:3" x14ac:dyDescent="0.2">
      <c r="A114" s="8">
        <v>43739</v>
      </c>
      <c r="B114" s="11">
        <f>IF(VLOOKUP(A114,'DB Country PMI'!$A:$W,MATCH($A$1,'DB Country PMI'!$A$1:$W$1,),)=0,#N/A,VLOOKUP(A114,'DB Country PMI'!$A:$W,MATCH($A$1,'DB Country PMI'!$A$1:$W$1,),))</f>
        <v>54.2</v>
      </c>
      <c r="C114" s="14">
        <f>Table13468113456716[[#This Row],[PMI]]-B113</f>
        <v>2.7000000000000028</v>
      </c>
    </row>
    <row r="115" spans="1:3" x14ac:dyDescent="0.2">
      <c r="A115" s="8">
        <v>43770</v>
      </c>
      <c r="B115" s="11">
        <f>IF(VLOOKUP(A115,'DB Country PMI'!$A:$W,MATCH($A$1,'DB Country PMI'!$A$1:$W$1,),)=0,#N/A,VLOOKUP(A115,'DB Country PMI'!$A:$W,MATCH($A$1,'DB Country PMI'!$A$1:$W$1,),))</f>
        <v>53.7</v>
      </c>
      <c r="C115" s="14">
        <f>Table13468113456716[[#This Row],[PMI]]-B114</f>
        <v>-0.5</v>
      </c>
    </row>
    <row r="116" spans="1:3" x14ac:dyDescent="0.2">
      <c r="A116" s="8">
        <v>43800</v>
      </c>
      <c r="B116" s="11">
        <f>IF(VLOOKUP(A116,'DB Country PMI'!$A:$W,MATCH($A$1,'DB Country PMI'!$A$1:$W$1,),)=0,#N/A,VLOOKUP(A116,'DB Country PMI'!$A:$W,MATCH($A$1,'DB Country PMI'!$A$1:$W$1,),))</f>
        <v>48.7</v>
      </c>
      <c r="C116" s="14">
        <f>Table13468113456716[[#This Row],[PMI]]-B115</f>
        <v>-5</v>
      </c>
    </row>
    <row r="117" spans="1:3" x14ac:dyDescent="0.2">
      <c r="A117" s="8">
        <v>43831</v>
      </c>
      <c r="B117" s="11">
        <f>IF(VLOOKUP(A117,'DB Country PMI'!$A:$W,MATCH($A$1,'DB Country PMI'!$A$1:$W$1,),)=0,#N/A,VLOOKUP(A117,'DB Country PMI'!$A:$W,MATCH($A$1,'DB Country PMI'!$A$1:$W$1,),))</f>
        <v>46.6</v>
      </c>
      <c r="C117" s="14">
        <f>Table13468113456716[[#This Row],[PMI]]-B116</f>
        <v>-2.1000000000000014</v>
      </c>
    </row>
    <row r="118" spans="1:3" x14ac:dyDescent="0.2">
      <c r="A118" s="8">
        <v>43862</v>
      </c>
      <c r="B118" s="11">
        <f>IF(VLOOKUP(A118,'DB Country PMI'!$A:$W,MATCH($A$1,'DB Country PMI'!$A$1:$W$1,),)=0,#N/A,VLOOKUP(A118,'DB Country PMI'!$A:$W,MATCH($A$1,'DB Country PMI'!$A$1:$W$1,),))</f>
        <v>47</v>
      </c>
      <c r="C118" s="14">
        <f>Table13468113456716[[#This Row],[PMI]]-B117</f>
        <v>0.39999999999999858</v>
      </c>
    </row>
    <row r="119" spans="1:3" x14ac:dyDescent="0.2">
      <c r="A119" s="8">
        <v>43891</v>
      </c>
      <c r="B119" s="11">
        <f>IF(VLOOKUP(A119,'DB Country PMI'!$A:$W,MATCH($A$1,'DB Country PMI'!$A$1:$W$1,),)=0,#N/A,VLOOKUP(A119,'DB Country PMI'!$A:$W,MATCH($A$1,'DB Country PMI'!$A$1:$W$1,),))</f>
        <v>38.700000000000003</v>
      </c>
      <c r="C119" s="14">
        <f>Table13468113456716[[#This Row],[PMI]]-B118</f>
        <v>-8.2999999999999972</v>
      </c>
    </row>
    <row r="120" spans="1:3" x14ac:dyDescent="0.2">
      <c r="A120" s="8">
        <v>43922</v>
      </c>
      <c r="B120" s="11">
        <f>IF(VLOOKUP(A120,'DB Country PMI'!$A:$W,MATCH($A$1,'DB Country PMI'!$A$1:$W$1,),)=0,#N/A,VLOOKUP(A120,'DB Country PMI'!$A:$W,MATCH($A$1,'DB Country PMI'!$A$1:$W$1,),))</f>
        <v>27.1</v>
      </c>
      <c r="C120" s="14">
        <f>Table13468113456716[[#This Row],[PMI]]-B119</f>
        <v>-11.600000000000001</v>
      </c>
    </row>
    <row r="121" spans="1:3" x14ac:dyDescent="0.2">
      <c r="A121" s="8">
        <v>43952</v>
      </c>
      <c r="B121" s="11">
        <f>IF(VLOOKUP(A121,'DB Country PMI'!$A:$W,MATCH($A$1,'DB Country PMI'!$A$1:$W$1,),)=0,#N/A,VLOOKUP(A121,'DB Country PMI'!$A:$W,MATCH($A$1,'DB Country PMI'!$A$1:$W$1,),))</f>
        <v>31.6</v>
      </c>
      <c r="C121" s="14">
        <f>Table13468113456716[[#This Row],[PMI]]-B120</f>
        <v>4.5</v>
      </c>
    </row>
    <row r="122" spans="1:3" x14ac:dyDescent="0.2">
      <c r="A122" s="8">
        <v>43983</v>
      </c>
      <c r="B122" s="11">
        <f>IF(VLOOKUP(A122,'DB Country PMI'!$A:$W,MATCH($A$1,'DB Country PMI'!$A$1:$W$1,),)=0,#N/A,VLOOKUP(A122,'DB Country PMI'!$A:$W,MATCH($A$1,'DB Country PMI'!$A$1:$W$1,),))</f>
        <v>31.5</v>
      </c>
      <c r="C122" s="14">
        <f>Table13468113456716[[#This Row],[PMI]]-B121</f>
        <v>-0.10000000000000142</v>
      </c>
    </row>
    <row r="123" spans="1:3" x14ac:dyDescent="0.2">
      <c r="A123" s="8">
        <v>44013</v>
      </c>
      <c r="B123" s="11">
        <f>IF(VLOOKUP(A123,'DB Country PMI'!$A:$W,MATCH($A$1,'DB Country PMI'!$A$1:$W$1,),)=0,#N/A,VLOOKUP(A123,'DB Country PMI'!$A:$W,MATCH($A$1,'DB Country PMI'!$A$1:$W$1,),))</f>
        <v>44</v>
      </c>
      <c r="C123" s="14">
        <f>Table13468113456716[[#This Row],[PMI]]-B122</f>
        <v>12.5</v>
      </c>
    </row>
    <row r="124" spans="1:3" x14ac:dyDescent="0.2">
      <c r="A124" s="8">
        <v>44044</v>
      </c>
      <c r="B124" s="11">
        <f>IF(VLOOKUP(A124,'DB Country PMI'!$A:$W,MATCH($A$1,'DB Country PMI'!$A$1:$W$1,),)=0,#N/A,VLOOKUP(A124,'DB Country PMI'!$A:$W,MATCH($A$1,'DB Country PMI'!$A$1:$W$1,),))</f>
        <v>43.5</v>
      </c>
      <c r="C124" s="14">
        <f>Table13468113456716[[#This Row],[PMI]]-B123</f>
        <v>-0.5</v>
      </c>
    </row>
    <row r="125" spans="1:3" x14ac:dyDescent="0.2">
      <c r="A125" s="8">
        <v>44075</v>
      </c>
      <c r="B125" s="11">
        <f>IF(VLOOKUP(A125,'DB Country PMI'!$A:$W,MATCH($A$1,'DB Country PMI'!$A$1:$W$1,),)=0,#N/A,VLOOKUP(A125,'DB Country PMI'!$A:$W,MATCH($A$1,'DB Country PMI'!$A$1:$W$1,),))</f>
        <v>36.200000000000003</v>
      </c>
      <c r="C125" s="14">
        <f>Table13468113456716[[#This Row],[PMI]]-B124</f>
        <v>-7.2999999999999972</v>
      </c>
    </row>
    <row r="126" spans="1:3" x14ac:dyDescent="0.2">
      <c r="A126" s="8">
        <v>44105</v>
      </c>
      <c r="B126" s="11">
        <f>IF(VLOOKUP(A126,'DB Country PMI'!$A:$W,MATCH($A$1,'DB Country PMI'!$A$1:$W$1,),)=0,#N/A,VLOOKUP(A126,'DB Country PMI'!$A:$W,MATCH($A$1,'DB Country PMI'!$A$1:$W$1,),))</f>
        <v>51.4</v>
      </c>
      <c r="C126" s="14">
        <f>Table13468113456716[[#This Row],[PMI]]-B125</f>
        <v>15.199999999999996</v>
      </c>
    </row>
    <row r="127" spans="1:3" x14ac:dyDescent="0.2">
      <c r="A127" s="8">
        <v>44136</v>
      </c>
      <c r="B127" s="11">
        <f>IF(VLOOKUP(A127,'DB Country PMI'!$A:$W,MATCH($A$1,'DB Country PMI'!$A$1:$W$1,),)=0,#N/A,VLOOKUP(A127,'DB Country PMI'!$A:$W,MATCH($A$1,'DB Country PMI'!$A$1:$W$1,),))</f>
        <v>52.9</v>
      </c>
      <c r="C127" s="14">
        <f>Table13468113456716[[#This Row],[PMI]]-B126</f>
        <v>1.5</v>
      </c>
    </row>
    <row r="128" spans="1:3" x14ac:dyDescent="0.2">
      <c r="A128" s="8">
        <v>44166</v>
      </c>
      <c r="B128" s="11">
        <f>IF(VLOOKUP(A128,'DB Country PMI'!$A:$W,MATCH($A$1,'DB Country PMI'!$A$1:$W$1,),)=0,#N/A,VLOOKUP(A128,'DB Country PMI'!$A:$W,MATCH($A$1,'DB Country PMI'!$A$1:$W$1,),))</f>
        <v>54.3</v>
      </c>
      <c r="C128" s="14">
        <f>Table13468113456716[[#This Row],[PMI]]-B127</f>
        <v>1.3999999999999986</v>
      </c>
    </row>
    <row r="129" spans="1:3" x14ac:dyDescent="0.2">
      <c r="A129" s="8">
        <v>44197</v>
      </c>
      <c r="B129" s="11">
        <f>IF(VLOOKUP(A129,'DB Country PMI'!$A:$W,MATCH($A$1,'DB Country PMI'!$A$1:$W$1,),)=0,#N/A,VLOOKUP(A129,'DB Country PMI'!$A:$W,MATCH($A$1,'DB Country PMI'!$A$1:$W$1,),))</f>
        <v>54.3</v>
      </c>
      <c r="C129" s="14">
        <f>Table13468113456716[[#This Row],[PMI]]-B128</f>
        <v>0</v>
      </c>
    </row>
    <row r="130" spans="1:3" x14ac:dyDescent="0.2">
      <c r="A130" s="8">
        <v>44228</v>
      </c>
      <c r="B130" s="11">
        <f>IF(VLOOKUP(A130,'DB Country PMI'!$A:$W,MATCH($A$1,'DB Country PMI'!$A$1:$W$1,),)=0,#N/A,VLOOKUP(A130,'DB Country PMI'!$A:$W,MATCH($A$1,'DB Country PMI'!$A$1:$W$1,),))</f>
        <v>55.8</v>
      </c>
      <c r="C130" s="14">
        <f>Table13468113456716[[#This Row],[PMI]]-B129</f>
        <v>1.5</v>
      </c>
    </row>
    <row r="131" spans="1:3" x14ac:dyDescent="0.2">
      <c r="A131" s="8">
        <v>44256</v>
      </c>
      <c r="B131" s="11">
        <f>IF(VLOOKUP(A131,'DB Country PMI'!$A:$W,MATCH($A$1,'DB Country PMI'!$A$1:$W$1,),)=0,#N/A,VLOOKUP(A131,'DB Country PMI'!$A:$W,MATCH($A$1,'DB Country PMI'!$A$1:$W$1,),))</f>
        <v>58.7</v>
      </c>
      <c r="C131" s="14">
        <f>Table13468113456716[[#This Row],[PMI]]-B130</f>
        <v>2.9000000000000057</v>
      </c>
    </row>
    <row r="132" spans="1:3" x14ac:dyDescent="0.2">
      <c r="A132" s="8">
        <v>44287</v>
      </c>
      <c r="B132" s="11">
        <f>IF(VLOOKUP(A132,'DB Country PMI'!$A:$W,MATCH($A$1,'DB Country PMI'!$A$1:$W$1,),)=0,#N/A,VLOOKUP(A132,'DB Country PMI'!$A:$W,MATCH($A$1,'DB Country PMI'!$A$1:$W$1,),))</f>
        <v>61</v>
      </c>
      <c r="C132" s="14">
        <f>Table13468113456716[[#This Row],[PMI]]-B131</f>
        <v>2.2999999999999972</v>
      </c>
    </row>
    <row r="133" spans="1:3" x14ac:dyDescent="0.2">
      <c r="A133" s="8">
        <v>44317</v>
      </c>
      <c r="B133" s="11">
        <f>IF(VLOOKUP(A133,'DB Country PMI'!$A:$W,MATCH($A$1,'DB Country PMI'!$A$1:$W$1,),)=0,#N/A,VLOOKUP(A133,'DB Country PMI'!$A:$W,MATCH($A$1,'DB Country PMI'!$A$1:$W$1,),))</f>
        <v>61.2</v>
      </c>
      <c r="C133" s="14">
        <f>Table13468113456716[[#This Row],[PMI]]-B132</f>
        <v>0.20000000000000284</v>
      </c>
    </row>
    <row r="134" spans="1:3" x14ac:dyDescent="0.2">
      <c r="A134" s="8">
        <v>44348</v>
      </c>
      <c r="B134" s="11">
        <f>IF(VLOOKUP(A134,'DB Country PMI'!$A:$W,MATCH($A$1,'DB Country PMI'!$A$1:$W$1,),)=0,#N/A,VLOOKUP(A134,'DB Country PMI'!$A:$W,MATCH($A$1,'DB Country PMI'!$A$1:$W$1,),))</f>
        <v>57.8</v>
      </c>
      <c r="C134" s="14">
        <f>Table13468113456716[[#This Row],[PMI]]-B133</f>
        <v>-3.4000000000000057</v>
      </c>
    </row>
    <row r="135" spans="1:3" x14ac:dyDescent="0.2">
      <c r="A135" s="8">
        <v>44378</v>
      </c>
      <c r="B135" s="11">
        <f>IF(VLOOKUP(A135,'DB Country PMI'!$A:$W,MATCH($A$1,'DB Country PMI'!$A$1:$W$1,),)=0,#N/A,VLOOKUP(A135,'DB Country PMI'!$A:$W,MATCH($A$1,'DB Country PMI'!$A$1:$W$1,),))</f>
        <v>51.7</v>
      </c>
      <c r="C135" s="14">
        <f>Table13468113456716[[#This Row],[PMI]]-B134</f>
        <v>-6.0999999999999943</v>
      </c>
    </row>
    <row r="136" spans="1:3" x14ac:dyDescent="0.2">
      <c r="A136" s="8">
        <v>44409</v>
      </c>
      <c r="B136" s="11">
        <f>IF(VLOOKUP(A136,'DB Country PMI'!$A:$W,MATCH($A$1,'DB Country PMI'!$A$1:$W$1,),)=0,#N/A,VLOOKUP(A136,'DB Country PMI'!$A:$W,MATCH($A$1,'DB Country PMI'!$A$1:$W$1,),))</f>
        <v>45.6</v>
      </c>
      <c r="C136" s="14">
        <f>Table13468113456716[[#This Row],[PMI]]-B135</f>
        <v>-6.1000000000000014</v>
      </c>
    </row>
    <row r="137" spans="1:3" x14ac:dyDescent="0.2">
      <c r="A137" s="8">
        <v>44440</v>
      </c>
      <c r="B137" s="11">
        <f>IF(VLOOKUP(A137,'DB Country PMI'!$A:$W,MATCH($A$1,'DB Country PMI'!$A$1:$W$1,),)=0,#N/A,VLOOKUP(A137,'DB Country PMI'!$A:$W,MATCH($A$1,'DB Country PMI'!$A$1:$W$1,),))</f>
        <v>45.7</v>
      </c>
      <c r="C137" s="14">
        <f>Table13468113456716[[#This Row],[PMI]]-B136</f>
        <v>0.10000000000000142</v>
      </c>
    </row>
    <row r="138" spans="1:3" x14ac:dyDescent="0.2">
      <c r="A138" s="8">
        <v>44470</v>
      </c>
      <c r="B138" s="11">
        <f>IF(VLOOKUP(A138,'DB Country PMI'!$A:$W,MATCH($A$1,'DB Country PMI'!$A$1:$W$1,),)=0,#N/A,VLOOKUP(A138,'DB Country PMI'!$A:$W,MATCH($A$1,'DB Country PMI'!$A$1:$W$1,),))</f>
        <v>47.6</v>
      </c>
      <c r="C138" s="14">
        <f>Table13468113456716[[#This Row],[PMI]]-B137</f>
        <v>1.8999999999999986</v>
      </c>
    </row>
    <row r="139" spans="1:3" x14ac:dyDescent="0.2">
      <c r="A139" s="8">
        <v>44501</v>
      </c>
      <c r="B139" s="11">
        <f>IF(VLOOKUP(A139,'DB Country PMI'!$A:$W,MATCH($A$1,'DB Country PMI'!$A$1:$W$1,),)=0,#N/A,VLOOKUP(A139,'DB Country PMI'!$A:$W,MATCH($A$1,'DB Country PMI'!$A$1:$W$1,),))</f>
        <v>47.6</v>
      </c>
      <c r="C139" s="14">
        <f>Table13468113456716[[#This Row],[PMI]]-B138</f>
        <v>0</v>
      </c>
    </row>
    <row r="140" spans="1:3" x14ac:dyDescent="0.2">
      <c r="A140" s="8">
        <v>44531</v>
      </c>
      <c r="B140" s="11">
        <f>IF(VLOOKUP(A140,'DB Country PMI'!$A:$W,MATCH($A$1,'DB Country PMI'!$A$1:$W$1,),)=0,#N/A,VLOOKUP(A140,'DB Country PMI'!$A:$W,MATCH($A$1,'DB Country PMI'!$A$1:$W$1,),))</f>
        <v>49.6</v>
      </c>
      <c r="C140" s="14">
        <f>Table13468113456716[[#This Row],[PMI]]-B139</f>
        <v>2</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32</v>
      </c>
      <c r="J1" s="47" t="s">
        <v>61</v>
      </c>
    </row>
    <row r="2" spans="1:10" x14ac:dyDescent="0.2">
      <c r="J2" s="47" t="s">
        <v>70</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50.9</v>
      </c>
      <c r="C6" s="11"/>
    </row>
    <row r="7" spans="1:10" x14ac:dyDescent="0.2">
      <c r="A7" s="8">
        <v>40483</v>
      </c>
      <c r="B7" s="11">
        <f>IF(VLOOKUP(A7,'DB Country PMI'!$A:$W,MATCH($A$1,'DB Country PMI'!$A$1:$W$1,),)=0,#N/A,VLOOKUP(A7,'DB Country PMI'!$A:$W,MATCH($A$1,'DB Country PMI'!$A$1:$W$1,),))</f>
        <v>50.8</v>
      </c>
      <c r="C7" s="14">
        <f>Table1346811345678[[#This Row],[PMI]]-B6</f>
        <v>-0.10000000000000142</v>
      </c>
    </row>
    <row r="8" spans="1:10" x14ac:dyDescent="0.2">
      <c r="A8" s="8">
        <v>40513</v>
      </c>
      <c r="B8" s="11">
        <f>IF(VLOOKUP(A8,'DB Country PMI'!$A:$W,MATCH($A$1,'DB Country PMI'!$A$1:$W$1,),)=0,#N/A,VLOOKUP(A8,'DB Country PMI'!$A:$W,MATCH($A$1,'DB Country PMI'!$A$1:$W$1,),))</f>
        <v>52.1</v>
      </c>
      <c r="C8" s="14">
        <f>Table1346811345678[[#This Row],[PMI]]-B7</f>
        <v>1.3000000000000043</v>
      </c>
    </row>
    <row r="9" spans="1:10" x14ac:dyDescent="0.2">
      <c r="A9" s="8">
        <v>40544</v>
      </c>
      <c r="B9" s="11">
        <f>IF(VLOOKUP(A9,'DB Country PMI'!$A:$W,MATCH($A$1,'DB Country PMI'!$A$1:$W$1,),)=0,#N/A,VLOOKUP(A9,'DB Country PMI'!$A:$W,MATCH($A$1,'DB Country PMI'!$A$1:$W$1,),))</f>
        <v>53.6</v>
      </c>
      <c r="C9" s="14">
        <f>Table1346811345678[[#This Row],[PMI]]-B8</f>
        <v>1.5</v>
      </c>
    </row>
    <row r="10" spans="1:10" x14ac:dyDescent="0.2">
      <c r="A10" s="8">
        <v>40575</v>
      </c>
      <c r="B10" s="11">
        <f>IF(VLOOKUP(A10,'DB Country PMI'!$A:$W,MATCH($A$1,'DB Country PMI'!$A$1:$W$1,),)=0,#N/A,VLOOKUP(A10,'DB Country PMI'!$A:$W,MATCH($A$1,'DB Country PMI'!$A$1:$W$1,),))</f>
        <v>55.1</v>
      </c>
      <c r="C10" s="14">
        <f>Table1346811345678[[#This Row],[PMI]]-B9</f>
        <v>1.5</v>
      </c>
    </row>
    <row r="11" spans="1:10" x14ac:dyDescent="0.2">
      <c r="A11" s="8">
        <v>40603</v>
      </c>
      <c r="B11" s="11">
        <f>IF(VLOOKUP(A11,'DB Country PMI'!$A:$W,MATCH($A$1,'DB Country PMI'!$A$1:$W$1,),)=0,#N/A,VLOOKUP(A11,'DB Country PMI'!$A:$W,MATCH($A$1,'DB Country PMI'!$A$1:$W$1,),))</f>
        <v>51.1</v>
      </c>
      <c r="C11" s="14">
        <f>Table1346811345678[[#This Row],[PMI]]-B10</f>
        <v>-4</v>
      </c>
    </row>
    <row r="12" spans="1:10" x14ac:dyDescent="0.2">
      <c r="A12" s="8">
        <v>40634</v>
      </c>
      <c r="B12" s="11">
        <f>IF(VLOOKUP(A12,'DB Country PMI'!$A:$W,MATCH($A$1,'DB Country PMI'!$A$1:$W$1,),)=0,#N/A,VLOOKUP(A12,'DB Country PMI'!$A:$W,MATCH($A$1,'DB Country PMI'!$A$1:$W$1,),))</f>
        <v>50.2</v>
      </c>
      <c r="C12" s="14">
        <f>Table1346811345678[[#This Row],[PMI]]-B11</f>
        <v>-0.89999999999999858</v>
      </c>
    </row>
    <row r="13" spans="1:10" x14ac:dyDescent="0.2">
      <c r="A13" s="8">
        <v>40664</v>
      </c>
      <c r="B13" s="11">
        <f>IF(VLOOKUP(A13,'DB Country PMI'!$A:$W,MATCH($A$1,'DB Country PMI'!$A$1:$W$1,),)=0,#N/A,VLOOKUP(A13,'DB Country PMI'!$A:$W,MATCH($A$1,'DB Country PMI'!$A$1:$W$1,),))</f>
        <v>50.5</v>
      </c>
      <c r="C13" s="14">
        <f>Table1346811345678[[#This Row],[PMI]]-B12</f>
        <v>0.29999999999999716</v>
      </c>
    </row>
    <row r="14" spans="1:10" x14ac:dyDescent="0.2">
      <c r="A14" s="8">
        <v>40695</v>
      </c>
      <c r="B14" s="11">
        <f>IF(VLOOKUP(A14,'DB Country PMI'!$A:$W,MATCH($A$1,'DB Country PMI'!$A$1:$W$1,),)=0,#N/A,VLOOKUP(A14,'DB Country PMI'!$A:$W,MATCH($A$1,'DB Country PMI'!$A$1:$W$1,),))</f>
        <v>52.4</v>
      </c>
      <c r="C14" s="14">
        <f>Table1346811345678[[#This Row],[PMI]]-B13</f>
        <v>1.8999999999999986</v>
      </c>
    </row>
    <row r="15" spans="1:10" x14ac:dyDescent="0.2">
      <c r="A15" s="8">
        <v>40725</v>
      </c>
      <c r="B15" s="11">
        <f>IF(VLOOKUP(A15,'DB Country PMI'!$A:$W,MATCH($A$1,'DB Country PMI'!$A$1:$W$1,),)=0,#N/A,VLOOKUP(A15,'DB Country PMI'!$A:$W,MATCH($A$1,'DB Country PMI'!$A$1:$W$1,),))</f>
        <v>51.7</v>
      </c>
      <c r="C15" s="14">
        <f>Table1346811345678[[#This Row],[PMI]]-B14</f>
        <v>-0.69999999999999574</v>
      </c>
    </row>
    <row r="16" spans="1:10" x14ac:dyDescent="0.2">
      <c r="A16" s="8">
        <v>40756</v>
      </c>
      <c r="B16" s="11">
        <f>IF(VLOOKUP(A16,'DB Country PMI'!$A:$W,MATCH($A$1,'DB Country PMI'!$A$1:$W$1,),)=0,#N/A,VLOOKUP(A16,'DB Country PMI'!$A:$W,MATCH($A$1,'DB Country PMI'!$A$1:$W$1,),))</f>
        <v>51.1</v>
      </c>
      <c r="C16" s="14">
        <f>Table1346811345678[[#This Row],[PMI]]-B15</f>
        <v>-0.60000000000000142</v>
      </c>
    </row>
    <row r="17" spans="1:3" x14ac:dyDescent="0.2">
      <c r="A17" s="8">
        <v>40787</v>
      </c>
      <c r="B17" s="11">
        <f>IF(VLOOKUP(A17,'DB Country PMI'!$A:$W,MATCH($A$1,'DB Country PMI'!$A$1:$W$1,),)=0,#N/A,VLOOKUP(A17,'DB Country PMI'!$A:$W,MATCH($A$1,'DB Country PMI'!$A$1:$W$1,),))</f>
        <v>51.3</v>
      </c>
      <c r="C17" s="14">
        <f>Table1346811345678[[#This Row],[PMI]]-B16</f>
        <v>0.19999999999999574</v>
      </c>
    </row>
    <row r="18" spans="1:3" x14ac:dyDescent="0.2">
      <c r="A18" s="8">
        <v>40817</v>
      </c>
      <c r="B18" s="11">
        <f>IF(VLOOKUP(A18,'DB Country PMI'!$A:$W,MATCH($A$1,'DB Country PMI'!$A$1:$W$1,),)=0,#N/A,VLOOKUP(A18,'DB Country PMI'!$A:$W,MATCH($A$1,'DB Country PMI'!$A$1:$W$1,),))</f>
        <v>51.5</v>
      </c>
      <c r="C18" s="14">
        <f>Table1346811345678[[#This Row],[PMI]]-B17</f>
        <v>0.20000000000000284</v>
      </c>
    </row>
    <row r="19" spans="1:3" x14ac:dyDescent="0.2">
      <c r="A19" s="8">
        <v>40848</v>
      </c>
      <c r="B19" s="11">
        <f>IF(VLOOKUP(A19,'DB Country PMI'!$A:$W,MATCH($A$1,'DB Country PMI'!$A$1:$W$1,),)=0,#N/A,VLOOKUP(A19,'DB Country PMI'!$A:$W,MATCH($A$1,'DB Country PMI'!$A$1:$W$1,),))</f>
        <v>52.7</v>
      </c>
      <c r="C19" s="14">
        <f>Table1346811345678[[#This Row],[PMI]]-B18</f>
        <v>1.2000000000000028</v>
      </c>
    </row>
    <row r="20" spans="1:3" x14ac:dyDescent="0.2">
      <c r="A20" s="8">
        <v>40878</v>
      </c>
      <c r="B20" s="11">
        <f>IF(VLOOKUP(A20,'DB Country PMI'!$A:$W,MATCH($A$1,'DB Country PMI'!$A$1:$W$1,),)=0,#N/A,VLOOKUP(A20,'DB Country PMI'!$A:$W,MATCH($A$1,'DB Country PMI'!$A$1:$W$1,),))</f>
        <v>48.4</v>
      </c>
      <c r="C20" s="14">
        <f>Table1346811345678[[#This Row],[PMI]]-B19</f>
        <v>-4.3000000000000043</v>
      </c>
    </row>
    <row r="21" spans="1:3" x14ac:dyDescent="0.2">
      <c r="A21" s="8">
        <v>40909</v>
      </c>
      <c r="B21" s="11">
        <f>IF(VLOOKUP(A21,'DB Country PMI'!$A:$W,MATCH($A$1,'DB Country PMI'!$A$1:$W$1,),)=0,#N/A,VLOOKUP(A21,'DB Country PMI'!$A:$W,MATCH($A$1,'DB Country PMI'!$A$1:$W$1,),))</f>
        <v>48.3</v>
      </c>
      <c r="C21" s="14">
        <f>Table1346811345678[[#This Row],[PMI]]-B20</f>
        <v>-0.10000000000000142</v>
      </c>
    </row>
    <row r="22" spans="1:3" x14ac:dyDescent="0.2">
      <c r="A22" s="8">
        <v>40940</v>
      </c>
      <c r="B22" s="11">
        <f>IF(VLOOKUP(A22,'DB Country PMI'!$A:$W,MATCH($A$1,'DB Country PMI'!$A$1:$W$1,),)=0,#N/A,VLOOKUP(A22,'DB Country PMI'!$A:$W,MATCH($A$1,'DB Country PMI'!$A$1:$W$1,),))</f>
        <v>53.3</v>
      </c>
      <c r="C22" s="14">
        <f>Table1346811345678[[#This Row],[PMI]]-B21</f>
        <v>5</v>
      </c>
    </row>
    <row r="23" spans="1:3" x14ac:dyDescent="0.2">
      <c r="A23" s="8">
        <v>40969</v>
      </c>
      <c r="B23" s="11">
        <f>IF(VLOOKUP(A23,'DB Country PMI'!$A:$W,MATCH($A$1,'DB Country PMI'!$A$1:$W$1,),)=0,#N/A,VLOOKUP(A23,'DB Country PMI'!$A:$W,MATCH($A$1,'DB Country PMI'!$A$1:$W$1,),))</f>
        <v>52.1</v>
      </c>
      <c r="C23" s="14">
        <f>Table1346811345678[[#This Row],[PMI]]-B22</f>
        <v>-1.1999999999999957</v>
      </c>
    </row>
    <row r="24" spans="1:3" x14ac:dyDescent="0.2">
      <c r="A24" s="8">
        <v>41000</v>
      </c>
      <c r="B24" s="11">
        <f>IF(VLOOKUP(A24,'DB Country PMI'!$A:$W,MATCH($A$1,'DB Country PMI'!$A$1:$W$1,),)=0,#N/A,VLOOKUP(A24,'DB Country PMI'!$A:$W,MATCH($A$1,'DB Country PMI'!$A$1:$W$1,),))</f>
        <v>52.2</v>
      </c>
      <c r="C24" s="14">
        <f>Table1346811345678[[#This Row],[PMI]]-B23</f>
        <v>0.10000000000000142</v>
      </c>
    </row>
    <row r="25" spans="1:3" x14ac:dyDescent="0.2">
      <c r="A25" s="8">
        <v>41030</v>
      </c>
      <c r="B25" s="11">
        <f>IF(VLOOKUP(A25,'DB Country PMI'!$A:$W,MATCH($A$1,'DB Country PMI'!$A$1:$W$1,),)=0,#N/A,VLOOKUP(A25,'DB Country PMI'!$A:$W,MATCH($A$1,'DB Country PMI'!$A$1:$W$1,),))</f>
        <v>48.9</v>
      </c>
      <c r="C25" s="14">
        <f>Table1346811345678[[#This Row],[PMI]]-B24</f>
        <v>-3.3000000000000043</v>
      </c>
    </row>
    <row r="26" spans="1:3" x14ac:dyDescent="0.2">
      <c r="A26" s="8">
        <v>41061</v>
      </c>
      <c r="B26" s="11">
        <f>IF(VLOOKUP(A26,'DB Country PMI'!$A:$W,MATCH($A$1,'DB Country PMI'!$A$1:$W$1,),)=0,#N/A,VLOOKUP(A26,'DB Country PMI'!$A:$W,MATCH($A$1,'DB Country PMI'!$A$1:$W$1,),))</f>
        <v>49.7</v>
      </c>
      <c r="C26" s="14">
        <f>Table1346811345678[[#This Row],[PMI]]-B25</f>
        <v>0.80000000000000426</v>
      </c>
    </row>
    <row r="27" spans="1:3" x14ac:dyDescent="0.2">
      <c r="A27" s="8">
        <v>41091</v>
      </c>
      <c r="B27" s="11">
        <f>IF(VLOOKUP(A27,'DB Country PMI'!$A:$W,MATCH($A$1,'DB Country PMI'!$A$1:$W$1,),)=0,#N/A,VLOOKUP(A27,'DB Country PMI'!$A:$W,MATCH($A$1,'DB Country PMI'!$A$1:$W$1,),))</f>
        <v>49.1</v>
      </c>
      <c r="C27" s="14">
        <f>Table1346811345678[[#This Row],[PMI]]-B26</f>
        <v>-0.60000000000000142</v>
      </c>
    </row>
    <row r="28" spans="1:3" x14ac:dyDescent="0.2">
      <c r="A28" s="8">
        <v>41122</v>
      </c>
      <c r="B28" s="11">
        <f>IF(VLOOKUP(A28,'DB Country PMI'!$A:$W,MATCH($A$1,'DB Country PMI'!$A$1:$W$1,),)=0,#N/A,VLOOKUP(A28,'DB Country PMI'!$A:$W,MATCH($A$1,'DB Country PMI'!$A$1:$W$1,),))</f>
        <v>51.7</v>
      </c>
      <c r="C28" s="14">
        <f>Table1346811345678[[#This Row],[PMI]]-B27</f>
        <v>2.6000000000000014</v>
      </c>
    </row>
    <row r="29" spans="1:3" x14ac:dyDescent="0.2">
      <c r="A29" s="8">
        <v>41153</v>
      </c>
      <c r="B29" s="11">
        <f>IF(VLOOKUP(A29,'DB Country PMI'!$A:$W,MATCH($A$1,'DB Country PMI'!$A$1:$W$1,),)=0,#N/A,VLOOKUP(A29,'DB Country PMI'!$A:$W,MATCH($A$1,'DB Country PMI'!$A$1:$W$1,),))</f>
        <v>53.9</v>
      </c>
      <c r="C29" s="14">
        <f>Table1346811345678[[#This Row],[PMI]]-B28</f>
        <v>2.1999999999999957</v>
      </c>
    </row>
    <row r="30" spans="1:3" x14ac:dyDescent="0.2">
      <c r="A30" s="8">
        <v>41183</v>
      </c>
      <c r="B30" s="11">
        <f>IF(VLOOKUP(A30,'DB Country PMI'!$A:$W,MATCH($A$1,'DB Country PMI'!$A$1:$W$1,),)=0,#N/A,VLOOKUP(A30,'DB Country PMI'!$A:$W,MATCH($A$1,'DB Country PMI'!$A$1:$W$1,),))</f>
        <v>56.1</v>
      </c>
      <c r="C30" s="14">
        <f>Table1346811345678[[#This Row],[PMI]]-B29</f>
        <v>2.2000000000000028</v>
      </c>
    </row>
    <row r="31" spans="1:3" x14ac:dyDescent="0.2">
      <c r="A31" s="8">
        <v>41214</v>
      </c>
      <c r="B31" s="11">
        <f>IF(VLOOKUP(A31,'DB Country PMI'!$A:$W,MATCH($A$1,'DB Country PMI'!$A$1:$W$1,),)=0,#N/A,VLOOKUP(A31,'DB Country PMI'!$A:$W,MATCH($A$1,'DB Country PMI'!$A$1:$W$1,),))</f>
        <v>56.1</v>
      </c>
      <c r="C31" s="14">
        <f>Table1346811345678[[#This Row],[PMI]]-B30</f>
        <v>0</v>
      </c>
    </row>
    <row r="32" spans="1:3" x14ac:dyDescent="0.2">
      <c r="A32" s="8">
        <v>41244</v>
      </c>
      <c r="B32" s="11">
        <f>IF(VLOOKUP(A32,'DB Country PMI'!$A:$W,MATCH($A$1,'DB Country PMI'!$A$1:$W$1,),)=0,#N/A,VLOOKUP(A32,'DB Country PMI'!$A:$W,MATCH($A$1,'DB Country PMI'!$A$1:$W$1,),))</f>
        <v>56.5</v>
      </c>
      <c r="C32" s="14">
        <f>Table1346811345678[[#This Row],[PMI]]-B31</f>
        <v>0.39999999999999858</v>
      </c>
    </row>
    <row r="33" spans="1:3" x14ac:dyDescent="0.2">
      <c r="A33" s="8">
        <v>41275</v>
      </c>
      <c r="B33" s="11">
        <f>IF(VLOOKUP(A33,'DB Country PMI'!$A:$W,MATCH($A$1,'DB Country PMI'!$A$1:$W$1,),)=0,#N/A,VLOOKUP(A33,'DB Country PMI'!$A:$W,MATCH($A$1,'DB Country PMI'!$A$1:$W$1,),))</f>
        <v>56.8</v>
      </c>
      <c r="C33" s="14">
        <f>Table1346811345678[[#This Row],[PMI]]-B32</f>
        <v>0.29999999999999716</v>
      </c>
    </row>
    <row r="34" spans="1:3" x14ac:dyDescent="0.2">
      <c r="A34" s="8">
        <v>41306</v>
      </c>
      <c r="B34" s="11">
        <f>IF(VLOOKUP(A34,'DB Country PMI'!$A:$W,MATCH($A$1,'DB Country PMI'!$A$1:$W$1,),)=0,#N/A,VLOOKUP(A34,'DB Country PMI'!$A:$W,MATCH($A$1,'DB Country PMI'!$A$1:$W$1,),))</f>
        <v>53.6</v>
      </c>
      <c r="C34" s="14">
        <f>Table1346811345678[[#This Row],[PMI]]-B33</f>
        <v>-3.1999999999999957</v>
      </c>
    </row>
    <row r="35" spans="1:3" x14ac:dyDescent="0.2">
      <c r="A35" s="8">
        <v>41334</v>
      </c>
      <c r="B35" s="11">
        <f>IF(VLOOKUP(A35,'DB Country PMI'!$A:$W,MATCH($A$1,'DB Country PMI'!$A$1:$W$1,),)=0,#N/A,VLOOKUP(A35,'DB Country PMI'!$A:$W,MATCH($A$1,'DB Country PMI'!$A$1:$W$1,),))</f>
        <v>52.3</v>
      </c>
      <c r="C35" s="14">
        <f>Table1346811345678[[#This Row],[PMI]]-B34</f>
        <v>-1.3000000000000043</v>
      </c>
    </row>
    <row r="36" spans="1:3" x14ac:dyDescent="0.2">
      <c r="A36" s="8">
        <v>41365</v>
      </c>
      <c r="B36" s="11">
        <f>IF(VLOOKUP(A36,'DB Country PMI'!$A:$W,MATCH($A$1,'DB Country PMI'!$A$1:$W$1,),)=0,#N/A,VLOOKUP(A36,'DB Country PMI'!$A:$W,MATCH($A$1,'DB Country PMI'!$A$1:$W$1,),))</f>
        <v>55.2</v>
      </c>
      <c r="C36" s="14">
        <f>Table1346811345678[[#This Row],[PMI]]-B35</f>
        <v>2.9000000000000057</v>
      </c>
    </row>
    <row r="37" spans="1:3" x14ac:dyDescent="0.2">
      <c r="A37" s="8">
        <v>41395</v>
      </c>
      <c r="B37" s="11">
        <f>IF(VLOOKUP(A37,'DB Country PMI'!$A:$W,MATCH($A$1,'DB Country PMI'!$A$1:$W$1,),)=0,#N/A,VLOOKUP(A37,'DB Country PMI'!$A:$W,MATCH($A$1,'DB Country PMI'!$A$1:$W$1,),))</f>
        <v>52.7</v>
      </c>
      <c r="C37" s="14">
        <f>Table1346811345678[[#This Row],[PMI]]-B36</f>
        <v>-2.5</v>
      </c>
    </row>
    <row r="38" spans="1:3" x14ac:dyDescent="0.2">
      <c r="A38" s="8">
        <v>41426</v>
      </c>
      <c r="B38" s="11">
        <f>IF(VLOOKUP(A38,'DB Country PMI'!$A:$W,MATCH($A$1,'DB Country PMI'!$A$1:$W$1,),)=0,#N/A,VLOOKUP(A38,'DB Country PMI'!$A:$W,MATCH($A$1,'DB Country PMI'!$A$1:$W$1,),))</f>
        <v>61.6</v>
      </c>
      <c r="C38" s="14">
        <f>Table1346811345678[[#This Row],[PMI]]-B37</f>
        <v>8.8999999999999986</v>
      </c>
    </row>
    <row r="39" spans="1:3" x14ac:dyDescent="0.2">
      <c r="A39" s="8">
        <v>41456</v>
      </c>
      <c r="B39" s="11">
        <f>IF(VLOOKUP(A39,'DB Country PMI'!$A:$W,MATCH($A$1,'DB Country PMI'!$A$1:$W$1,),)=0,#N/A,VLOOKUP(A39,'DB Country PMI'!$A:$W,MATCH($A$1,'DB Country PMI'!$A$1:$W$1,),))</f>
        <v>59.6</v>
      </c>
      <c r="C39" s="14">
        <f>Table1346811345678[[#This Row],[PMI]]-B38</f>
        <v>-2</v>
      </c>
    </row>
    <row r="40" spans="1:3" x14ac:dyDescent="0.2">
      <c r="A40" s="8">
        <v>41487</v>
      </c>
      <c r="B40" s="11">
        <f>IF(VLOOKUP(A40,'DB Country PMI'!$A:$W,MATCH($A$1,'DB Country PMI'!$A$1:$W$1,),)=0,#N/A,VLOOKUP(A40,'DB Country PMI'!$A:$W,MATCH($A$1,'DB Country PMI'!$A$1:$W$1,),))</f>
        <v>57.2</v>
      </c>
      <c r="C40" s="14">
        <f>Table1346811345678[[#This Row],[PMI]]-B39</f>
        <v>-2.3999999999999986</v>
      </c>
    </row>
    <row r="41" spans="1:3" x14ac:dyDescent="0.2">
      <c r="A41" s="8">
        <v>41518</v>
      </c>
      <c r="B41" s="11">
        <f>IF(VLOOKUP(A41,'DB Country PMI'!$A:$W,MATCH($A$1,'DB Country PMI'!$A$1:$W$1,),)=0,#N/A,VLOOKUP(A41,'DB Country PMI'!$A:$W,MATCH($A$1,'DB Country PMI'!$A$1:$W$1,),))</f>
        <v>56.8</v>
      </c>
      <c r="C41" s="14">
        <f>Table1346811345678[[#This Row],[PMI]]-B40</f>
        <v>-0.40000000000000568</v>
      </c>
    </row>
    <row r="42" spans="1:3" x14ac:dyDescent="0.2">
      <c r="A42" s="8">
        <v>41548</v>
      </c>
      <c r="B42" s="11">
        <f>IF(VLOOKUP(A42,'DB Country PMI'!$A:$W,MATCH($A$1,'DB Country PMI'!$A$1:$W$1,),)=0,#N/A,VLOOKUP(A42,'DB Country PMI'!$A:$W,MATCH($A$1,'DB Country PMI'!$A$1:$W$1,),))</f>
        <v>60.1</v>
      </c>
      <c r="C42" s="14">
        <f>Table1346811345678[[#This Row],[PMI]]-B41</f>
        <v>3.3000000000000043</v>
      </c>
    </row>
    <row r="43" spans="1:3" x14ac:dyDescent="0.2">
      <c r="A43" s="8">
        <v>41579</v>
      </c>
      <c r="B43" s="11">
        <f>IF(VLOOKUP(A43,'DB Country PMI'!$A:$W,MATCH($A$1,'DB Country PMI'!$A$1:$W$1,),)=0,#N/A,VLOOKUP(A43,'DB Country PMI'!$A:$W,MATCH($A$1,'DB Country PMI'!$A$1:$W$1,),))</f>
        <v>57.1</v>
      </c>
      <c r="C43" s="14">
        <f>Table1346811345678[[#This Row],[PMI]]-B42</f>
        <v>-3</v>
      </c>
    </row>
    <row r="44" spans="1:3" x14ac:dyDescent="0.2">
      <c r="A44" s="8">
        <v>41609</v>
      </c>
      <c r="B44" s="11">
        <f>IF(VLOOKUP(A44,'DB Country PMI'!$A:$W,MATCH($A$1,'DB Country PMI'!$A$1:$W$1,),)=0,#N/A,VLOOKUP(A44,'DB Country PMI'!$A:$W,MATCH($A$1,'DB Country PMI'!$A$1:$W$1,),))</f>
        <v>59.3</v>
      </c>
      <c r="C44" s="14">
        <f>Table1346811345678[[#This Row],[PMI]]-B43</f>
        <v>2.1999999999999957</v>
      </c>
    </row>
    <row r="45" spans="1:3" x14ac:dyDescent="0.2">
      <c r="A45" s="8">
        <v>41640</v>
      </c>
      <c r="B45" s="11">
        <f>IF(VLOOKUP(A45,'DB Country PMI'!$A:$W,MATCH($A$1,'DB Country PMI'!$A$1:$W$1,),)=0,#N/A,VLOOKUP(A45,'DB Country PMI'!$A:$W,MATCH($A$1,'DB Country PMI'!$A$1:$W$1,),))</f>
        <v>61.5</v>
      </c>
      <c r="C45" s="14">
        <f>Table1346811345678[[#This Row],[PMI]]-B44</f>
        <v>2.2000000000000028</v>
      </c>
    </row>
    <row r="46" spans="1:3" x14ac:dyDescent="0.2">
      <c r="A46" s="8">
        <v>41671</v>
      </c>
      <c r="B46" s="11">
        <f>IF(VLOOKUP(A46,'DB Country PMI'!$A:$W,MATCH($A$1,'DB Country PMI'!$A$1:$W$1,),)=0,#N/A,VLOOKUP(A46,'DB Country PMI'!$A:$W,MATCH($A$1,'DB Country PMI'!$A$1:$W$1,),))</f>
        <v>57.5</v>
      </c>
      <c r="C46" s="14">
        <f>Table1346811345678[[#This Row],[PMI]]-B45</f>
        <v>-4</v>
      </c>
    </row>
    <row r="47" spans="1:3" x14ac:dyDescent="0.2">
      <c r="A47" s="8">
        <v>41699</v>
      </c>
      <c r="B47" s="11">
        <f>IF(VLOOKUP(A47,'DB Country PMI'!$A:$W,MATCH($A$1,'DB Country PMI'!$A$1:$W$1,),)=0,#N/A,VLOOKUP(A47,'DB Country PMI'!$A:$W,MATCH($A$1,'DB Country PMI'!$A$1:$W$1,),))</f>
        <v>60.7</v>
      </c>
      <c r="C47" s="14">
        <f>Table1346811345678[[#This Row],[PMI]]-B46</f>
        <v>3.2000000000000028</v>
      </c>
    </row>
    <row r="48" spans="1:3" x14ac:dyDescent="0.2">
      <c r="A48" s="8">
        <v>41730</v>
      </c>
      <c r="B48" s="11">
        <f>IF(VLOOKUP(A48,'DB Country PMI'!$A:$W,MATCH($A$1,'DB Country PMI'!$A$1:$W$1,),)=0,#N/A,VLOOKUP(A48,'DB Country PMI'!$A:$W,MATCH($A$1,'DB Country PMI'!$A$1:$W$1,),))</f>
        <v>61.9</v>
      </c>
      <c r="C48" s="14">
        <f>Table1346811345678[[#This Row],[PMI]]-B47</f>
        <v>1.1999999999999957</v>
      </c>
    </row>
    <row r="49" spans="1:3" x14ac:dyDescent="0.2">
      <c r="A49" s="8">
        <v>41760</v>
      </c>
      <c r="B49" s="11">
        <f>IF(VLOOKUP(A49,'DB Country PMI'!$A:$W,MATCH($A$1,'DB Country PMI'!$A$1:$W$1,),)=0,#N/A,VLOOKUP(A49,'DB Country PMI'!$A:$W,MATCH($A$1,'DB Country PMI'!$A$1:$W$1,),))</f>
        <v>61.7</v>
      </c>
      <c r="C49" s="14">
        <f>Table1346811345678[[#This Row],[PMI]]-B48</f>
        <v>-0.19999999999999574</v>
      </c>
    </row>
    <row r="50" spans="1:3" x14ac:dyDescent="0.2">
      <c r="A50" s="8">
        <v>41791</v>
      </c>
      <c r="B50" s="11">
        <f>IF(VLOOKUP(A50,'DB Country PMI'!$A:$W,MATCH($A$1,'DB Country PMI'!$A$1:$W$1,),)=0,#N/A,VLOOKUP(A50,'DB Country PMI'!$A:$W,MATCH($A$1,'DB Country PMI'!$A$1:$W$1,),))</f>
        <v>62.6</v>
      </c>
      <c r="C50" s="14">
        <f>Table1346811345678[[#This Row],[PMI]]-B49</f>
        <v>0.89999999999999858</v>
      </c>
    </row>
    <row r="51" spans="1:3" x14ac:dyDescent="0.2">
      <c r="A51" s="8">
        <v>41821</v>
      </c>
      <c r="B51" s="11">
        <f>IF(VLOOKUP(A51,'DB Country PMI'!$A:$W,MATCH($A$1,'DB Country PMI'!$A$1:$W$1,),)=0,#N/A,VLOOKUP(A51,'DB Country PMI'!$A:$W,MATCH($A$1,'DB Country PMI'!$A$1:$W$1,),))</f>
        <v>61.3</v>
      </c>
      <c r="C51" s="14">
        <f>Table1346811345678[[#This Row],[PMI]]-B50</f>
        <v>-1.3000000000000043</v>
      </c>
    </row>
    <row r="52" spans="1:3" x14ac:dyDescent="0.2">
      <c r="A52" s="8">
        <v>41852</v>
      </c>
      <c r="B52" s="11">
        <f>IF(VLOOKUP(A52,'DB Country PMI'!$A:$W,MATCH($A$1,'DB Country PMI'!$A$1:$W$1,),)=0,#N/A,VLOOKUP(A52,'DB Country PMI'!$A:$W,MATCH($A$1,'DB Country PMI'!$A$1:$W$1,),))</f>
        <v>62.4</v>
      </c>
      <c r="C52" s="14">
        <f>Table1346811345678[[#This Row],[PMI]]-B51</f>
        <v>1.1000000000000014</v>
      </c>
    </row>
    <row r="53" spans="1:3" x14ac:dyDescent="0.2">
      <c r="A53" s="8">
        <v>41883</v>
      </c>
      <c r="B53" s="11">
        <f>IF(VLOOKUP(A53,'DB Country PMI'!$A:$W,MATCH($A$1,'DB Country PMI'!$A$1:$W$1,),)=0,#N/A,VLOOKUP(A53,'DB Country PMI'!$A:$W,MATCH($A$1,'DB Country PMI'!$A$1:$W$1,),))</f>
        <v>62.5</v>
      </c>
      <c r="C53" s="14">
        <f>Table1346811345678[[#This Row],[PMI]]-B52</f>
        <v>0.10000000000000142</v>
      </c>
    </row>
    <row r="54" spans="1:3" x14ac:dyDescent="0.2">
      <c r="A54" s="8">
        <v>41913</v>
      </c>
      <c r="B54" s="11">
        <f>IF(VLOOKUP(A54,'DB Country PMI'!$A:$W,MATCH($A$1,'DB Country PMI'!$A$1:$W$1,),)=0,#N/A,VLOOKUP(A54,'DB Country PMI'!$A:$W,MATCH($A$1,'DB Country PMI'!$A$1:$W$1,),))</f>
        <v>61.5</v>
      </c>
      <c r="C54" s="14">
        <f>Table1346811345678[[#This Row],[PMI]]-B53</f>
        <v>-1</v>
      </c>
    </row>
    <row r="55" spans="1:3" x14ac:dyDescent="0.2">
      <c r="A55" s="8">
        <v>41944</v>
      </c>
      <c r="B55" s="11">
        <f>IF(VLOOKUP(A55,'DB Country PMI'!$A:$W,MATCH($A$1,'DB Country PMI'!$A$1:$W$1,),)=0,#N/A,VLOOKUP(A55,'DB Country PMI'!$A:$W,MATCH($A$1,'DB Country PMI'!$A$1:$W$1,),))</f>
        <v>61.6</v>
      </c>
      <c r="C55" s="14">
        <f>Table1346811345678[[#This Row],[PMI]]-B54</f>
        <v>0.10000000000000142</v>
      </c>
    </row>
    <row r="56" spans="1:3" x14ac:dyDescent="0.2">
      <c r="A56" s="8">
        <v>41974</v>
      </c>
      <c r="B56" s="11">
        <f>IF(VLOOKUP(A56,'DB Country PMI'!$A:$W,MATCH($A$1,'DB Country PMI'!$A$1:$W$1,),)=0,#N/A,VLOOKUP(A56,'DB Country PMI'!$A:$W,MATCH($A$1,'DB Country PMI'!$A$1:$W$1,),))</f>
        <v>62.6</v>
      </c>
      <c r="C56" s="14">
        <f>Table1346811345678[[#This Row],[PMI]]-B55</f>
        <v>1</v>
      </c>
    </row>
    <row r="57" spans="1:3" x14ac:dyDescent="0.2">
      <c r="A57" s="8">
        <v>42005</v>
      </c>
      <c r="B57" s="11">
        <f>IF(VLOOKUP(A57,'DB Country PMI'!$A:$W,MATCH($A$1,'DB Country PMI'!$A$1:$W$1,),)=0,#N/A,VLOOKUP(A57,'DB Country PMI'!$A:$W,MATCH($A$1,'DB Country PMI'!$A$1:$W$1,),))</f>
        <v>62.5</v>
      </c>
      <c r="C57" s="14">
        <f>Table1346811345678[[#This Row],[PMI]]-B56</f>
        <v>-0.10000000000000142</v>
      </c>
    </row>
    <row r="58" spans="1:3" x14ac:dyDescent="0.2">
      <c r="A58" s="8">
        <v>42036</v>
      </c>
      <c r="B58" s="11">
        <f>IF(VLOOKUP(A58,'DB Country PMI'!$A:$W,MATCH($A$1,'DB Country PMI'!$A$1:$W$1,),)=0,#N/A,VLOOKUP(A58,'DB Country PMI'!$A:$W,MATCH($A$1,'DB Country PMI'!$A$1:$W$1,),))</f>
        <v>61.4</v>
      </c>
      <c r="C58" s="14">
        <f>Table1346811345678[[#This Row],[PMI]]-B57</f>
        <v>-1.1000000000000014</v>
      </c>
    </row>
    <row r="59" spans="1:3" x14ac:dyDescent="0.2">
      <c r="A59" s="8">
        <v>42064</v>
      </c>
      <c r="B59" s="11">
        <f>IF(VLOOKUP(A59,'DB Country PMI'!$A:$W,MATCH($A$1,'DB Country PMI'!$A$1:$W$1,),)=0,#N/A,VLOOKUP(A59,'DB Country PMI'!$A:$W,MATCH($A$1,'DB Country PMI'!$A$1:$W$1,),))</f>
        <v>60.9</v>
      </c>
      <c r="C59" s="14">
        <f>Table1346811345678[[#This Row],[PMI]]-B58</f>
        <v>-0.5</v>
      </c>
    </row>
    <row r="60" spans="1:3" x14ac:dyDescent="0.2">
      <c r="A60" s="8">
        <v>42095</v>
      </c>
      <c r="B60" s="11">
        <f>IF(VLOOKUP(A60,'DB Country PMI'!$A:$W,MATCH($A$1,'DB Country PMI'!$A$1:$W$1,),)=0,#N/A,VLOOKUP(A60,'DB Country PMI'!$A:$W,MATCH($A$1,'DB Country PMI'!$A$1:$W$1,),))</f>
        <v>60.6</v>
      </c>
      <c r="C60" s="14">
        <f>Table1346811345678[[#This Row],[PMI]]-B59</f>
        <v>-0.29999999999999716</v>
      </c>
    </row>
    <row r="61" spans="1:3" x14ac:dyDescent="0.2">
      <c r="A61" s="8">
        <v>42125</v>
      </c>
      <c r="B61" s="11">
        <f>IF(VLOOKUP(A61,'DB Country PMI'!$A:$W,MATCH($A$1,'DB Country PMI'!$A$1:$W$1,),)=0,#N/A,VLOOKUP(A61,'DB Country PMI'!$A:$W,MATCH($A$1,'DB Country PMI'!$A$1:$W$1,),))</f>
        <v>61.4</v>
      </c>
      <c r="C61" s="14">
        <f>Table1346811345678[[#This Row],[PMI]]-B60</f>
        <v>0.79999999999999716</v>
      </c>
    </row>
    <row r="62" spans="1:3" x14ac:dyDescent="0.2">
      <c r="A62" s="8">
        <v>42156</v>
      </c>
      <c r="B62" s="11">
        <f>IF(VLOOKUP(A62,'DB Country PMI'!$A:$W,MATCH($A$1,'DB Country PMI'!$A$1:$W$1,),)=0,#N/A,VLOOKUP(A62,'DB Country PMI'!$A:$W,MATCH($A$1,'DB Country PMI'!$A$1:$W$1,),))</f>
        <v>63.3</v>
      </c>
      <c r="C62" s="14">
        <f>Table1346811345678[[#This Row],[PMI]]-B61</f>
        <v>1.8999999999999986</v>
      </c>
    </row>
    <row r="63" spans="1:3" x14ac:dyDescent="0.2">
      <c r="A63" s="8">
        <v>42186</v>
      </c>
      <c r="B63" s="11">
        <f>IF(VLOOKUP(A63,'DB Country PMI'!$A:$W,MATCH($A$1,'DB Country PMI'!$A$1:$W$1,),)=0,#N/A,VLOOKUP(A63,'DB Country PMI'!$A:$W,MATCH($A$1,'DB Country PMI'!$A$1:$W$1,),))</f>
        <v>63.4</v>
      </c>
      <c r="C63" s="14">
        <f>Table1346811345678[[#This Row],[PMI]]-B62</f>
        <v>0.10000000000000142</v>
      </c>
    </row>
    <row r="64" spans="1:3" x14ac:dyDescent="0.2">
      <c r="A64" s="8">
        <v>42217</v>
      </c>
      <c r="B64" s="11">
        <f>IF(VLOOKUP(A64,'DB Country PMI'!$A:$W,MATCH($A$1,'DB Country PMI'!$A$1:$W$1,),)=0,#N/A,VLOOKUP(A64,'DB Country PMI'!$A:$W,MATCH($A$1,'DB Country PMI'!$A$1:$W$1,),))</f>
        <v>62.1</v>
      </c>
      <c r="C64" s="14">
        <f>Table1346811345678[[#This Row],[PMI]]-B63</f>
        <v>-1.2999999999999972</v>
      </c>
    </row>
    <row r="65" spans="1:3" x14ac:dyDescent="0.2">
      <c r="A65" s="8">
        <v>42248</v>
      </c>
      <c r="B65" s="11">
        <f>IF(VLOOKUP(A65,'DB Country PMI'!$A:$W,MATCH($A$1,'DB Country PMI'!$A$1:$W$1,),)=0,#N/A,VLOOKUP(A65,'DB Country PMI'!$A:$W,MATCH($A$1,'DB Country PMI'!$A$1:$W$1,),))</f>
        <v>62.4</v>
      </c>
      <c r="C65" s="14">
        <f>Table1346811345678[[#This Row],[PMI]]-B64</f>
        <v>0.29999999999999716</v>
      </c>
    </row>
    <row r="66" spans="1:3" x14ac:dyDescent="0.2">
      <c r="A66" s="8">
        <v>42278</v>
      </c>
      <c r="B66" s="11">
        <f>IF(VLOOKUP(A66,'DB Country PMI'!$A:$W,MATCH($A$1,'DB Country PMI'!$A$1:$W$1,),)=0,#N/A,VLOOKUP(A66,'DB Country PMI'!$A:$W,MATCH($A$1,'DB Country PMI'!$A$1:$W$1,),))</f>
        <v>60.1</v>
      </c>
      <c r="C66" s="14">
        <f>Table1346811345678[[#This Row],[PMI]]-B65</f>
        <v>-2.2999999999999972</v>
      </c>
    </row>
    <row r="67" spans="1:3" x14ac:dyDescent="0.2">
      <c r="A67" s="8">
        <v>42309</v>
      </c>
      <c r="B67" s="11">
        <f>IF(VLOOKUP(A67,'DB Country PMI'!$A:$W,MATCH($A$1,'DB Country PMI'!$A$1:$W$1,),)=0,#N/A,VLOOKUP(A67,'DB Country PMI'!$A:$W,MATCH($A$1,'DB Country PMI'!$A$1:$W$1,),))</f>
        <v>63.6</v>
      </c>
      <c r="C67" s="14">
        <f>Table1346811345678[[#This Row],[PMI]]-B66</f>
        <v>3.5</v>
      </c>
    </row>
    <row r="68" spans="1:3" x14ac:dyDescent="0.2">
      <c r="A68" s="8">
        <v>42339</v>
      </c>
      <c r="B68" s="11">
        <f>IF(VLOOKUP(A68,'DB Country PMI'!$A:$W,MATCH($A$1,'DB Country PMI'!$A$1:$W$1,),)=0,#N/A,VLOOKUP(A68,'DB Country PMI'!$A:$W,MATCH($A$1,'DB Country PMI'!$A$1:$W$1,),))</f>
        <v>61.8</v>
      </c>
      <c r="C68" s="14">
        <f>Table1346811345678[[#This Row],[PMI]]-B67</f>
        <v>-1.8000000000000043</v>
      </c>
    </row>
    <row r="69" spans="1:3" x14ac:dyDescent="0.2">
      <c r="A69" s="8">
        <v>42370</v>
      </c>
      <c r="B69" s="11">
        <f>IF(VLOOKUP(A69,'DB Country PMI'!$A:$W,MATCH($A$1,'DB Country PMI'!$A$1:$W$1,),)=0,#N/A,VLOOKUP(A69,'DB Country PMI'!$A:$W,MATCH($A$1,'DB Country PMI'!$A$1:$W$1,),))</f>
        <v>64</v>
      </c>
      <c r="C69" s="14">
        <f>Table1346811345678[[#This Row],[PMI]]-B68</f>
        <v>2.2000000000000028</v>
      </c>
    </row>
    <row r="70" spans="1:3" x14ac:dyDescent="0.2">
      <c r="A70" s="8">
        <v>42401</v>
      </c>
      <c r="B70" s="11">
        <f>IF(VLOOKUP(A70,'DB Country PMI'!$A:$W,MATCH($A$1,'DB Country PMI'!$A$1:$W$1,),)=0,#N/A,VLOOKUP(A70,'DB Country PMI'!$A:$W,MATCH($A$1,'DB Country PMI'!$A$1:$W$1,),))</f>
        <v>62.1</v>
      </c>
      <c r="C70" s="14">
        <f>Table1346811345678[[#This Row],[PMI]]-B69</f>
        <v>-1.8999999999999986</v>
      </c>
    </row>
    <row r="71" spans="1:3" x14ac:dyDescent="0.2">
      <c r="A71" s="8">
        <v>42430</v>
      </c>
      <c r="B71" s="11">
        <f>IF(VLOOKUP(A71,'DB Country PMI'!$A:$W,MATCH($A$1,'DB Country PMI'!$A$1:$W$1,),)=0,#N/A,VLOOKUP(A71,'DB Country PMI'!$A:$W,MATCH($A$1,'DB Country PMI'!$A$1:$W$1,),))</f>
        <v>62.8</v>
      </c>
      <c r="C71" s="14">
        <f>Table1346811345678[[#This Row],[PMI]]-B70</f>
        <v>0.69999999999999574</v>
      </c>
    </row>
    <row r="72" spans="1:3" x14ac:dyDescent="0.2">
      <c r="A72" s="8">
        <v>42461</v>
      </c>
      <c r="B72" s="11">
        <f>IF(VLOOKUP(A72,'DB Country PMI'!$A:$W,MATCH($A$1,'DB Country PMI'!$A$1:$W$1,),)=0,#N/A,VLOOKUP(A72,'DB Country PMI'!$A:$W,MATCH($A$1,'DB Country PMI'!$A$1:$W$1,),))</f>
        <v>59.8</v>
      </c>
      <c r="C72" s="14">
        <f>Table1346811345678[[#This Row],[PMI]]-B71</f>
        <v>-3</v>
      </c>
    </row>
    <row r="73" spans="1:3" x14ac:dyDescent="0.2">
      <c r="A73" s="8">
        <v>42491</v>
      </c>
      <c r="B73" s="11">
        <f>IF(VLOOKUP(A73,'DB Country PMI'!$A:$W,MATCH($A$1,'DB Country PMI'!$A$1:$W$1,),)=0,#N/A,VLOOKUP(A73,'DB Country PMI'!$A:$W,MATCH($A$1,'DB Country PMI'!$A$1:$W$1,),))</f>
        <v>61.7</v>
      </c>
      <c r="C73" s="14">
        <f>Table1346811345678[[#This Row],[PMI]]-B72</f>
        <v>1.9000000000000057</v>
      </c>
    </row>
    <row r="74" spans="1:3" x14ac:dyDescent="0.2">
      <c r="A74" s="8">
        <v>42522</v>
      </c>
      <c r="B74" s="11">
        <f>IF(VLOOKUP(A74,'DB Country PMI'!$A:$W,MATCH($A$1,'DB Country PMI'!$A$1:$W$1,),)=0,#N/A,VLOOKUP(A74,'DB Country PMI'!$A:$W,MATCH($A$1,'DB Country PMI'!$A$1:$W$1,),))</f>
        <v>61.2</v>
      </c>
      <c r="C74" s="14">
        <f>Table1346811345678[[#This Row],[PMI]]-B73</f>
        <v>-0.5</v>
      </c>
    </row>
    <row r="75" spans="1:3" x14ac:dyDescent="0.2">
      <c r="A75" s="8">
        <v>42552</v>
      </c>
      <c r="B75" s="11">
        <f>IF(VLOOKUP(A75,'DB Country PMI'!$A:$W,MATCH($A$1,'DB Country PMI'!$A$1:$W$1,),)=0,#N/A,VLOOKUP(A75,'DB Country PMI'!$A:$W,MATCH($A$1,'DB Country PMI'!$A$1:$W$1,),))</f>
        <v>59.5</v>
      </c>
      <c r="C75" s="14">
        <f>Table1346811345678[[#This Row],[PMI]]-B74</f>
        <v>-1.7000000000000028</v>
      </c>
    </row>
    <row r="76" spans="1:3" x14ac:dyDescent="0.2">
      <c r="A76" s="8">
        <v>42583</v>
      </c>
      <c r="B76" s="11">
        <f>IF(VLOOKUP(A76,'DB Country PMI'!$A:$W,MATCH($A$1,'DB Country PMI'!$A$1:$W$1,),)=0,#N/A,VLOOKUP(A76,'DB Country PMI'!$A:$W,MATCH($A$1,'DB Country PMI'!$A$1:$W$1,),))</f>
        <v>59.7</v>
      </c>
      <c r="C76" s="14">
        <f>Table1346811345678[[#This Row],[PMI]]-B75</f>
        <v>0.20000000000000284</v>
      </c>
    </row>
    <row r="77" spans="1:3" x14ac:dyDescent="0.2">
      <c r="A77" s="8">
        <v>42614</v>
      </c>
      <c r="B77" s="11">
        <f>IF(VLOOKUP(A77,'DB Country PMI'!$A:$W,MATCH($A$1,'DB Country PMI'!$A$1:$W$1,),)=0,#N/A,VLOOKUP(A77,'DB Country PMI'!$A:$W,MATCH($A$1,'DB Country PMI'!$A$1:$W$1,),))</f>
        <v>56.2</v>
      </c>
      <c r="C77" s="14">
        <f>Table1346811345678[[#This Row],[PMI]]-B76</f>
        <v>-3.5</v>
      </c>
    </row>
    <row r="78" spans="1:3" x14ac:dyDescent="0.2">
      <c r="A78" s="8">
        <v>42644</v>
      </c>
      <c r="B78" s="11">
        <f>IF(VLOOKUP(A78,'DB Country PMI'!$A:$W,MATCH($A$1,'DB Country PMI'!$A$1:$W$1,),)=0,#N/A,VLOOKUP(A78,'DB Country PMI'!$A:$W,MATCH($A$1,'DB Country PMI'!$A$1:$W$1,),))</f>
        <v>54.6</v>
      </c>
      <c r="C78" s="14">
        <f>Table1346811345678[[#This Row],[PMI]]-B77</f>
        <v>-1.6000000000000014</v>
      </c>
    </row>
    <row r="79" spans="1:3" x14ac:dyDescent="0.2">
      <c r="A79" s="8">
        <v>42675</v>
      </c>
      <c r="B79" s="11">
        <f>IF(VLOOKUP(A79,'DB Country PMI'!$A:$W,MATCH($A$1,'DB Country PMI'!$A$1:$W$1,),)=0,#N/A,VLOOKUP(A79,'DB Country PMI'!$A:$W,MATCH($A$1,'DB Country PMI'!$A$1:$W$1,),))</f>
        <v>56</v>
      </c>
      <c r="C79" s="14">
        <f>Table1346811345678[[#This Row],[PMI]]-B78</f>
        <v>1.3999999999999986</v>
      </c>
    </row>
    <row r="80" spans="1:3" x14ac:dyDescent="0.2">
      <c r="A80" s="8">
        <v>42705</v>
      </c>
      <c r="B80" s="11">
        <f>IF(VLOOKUP(A80,'DB Country PMI'!$A:$W,MATCH($A$1,'DB Country PMI'!$A$1:$W$1,),)=0,#N/A,VLOOKUP(A80,'DB Country PMI'!$A:$W,MATCH($A$1,'DB Country PMI'!$A$1:$W$1,),))</f>
        <v>59.1</v>
      </c>
      <c r="C80" s="14">
        <f>Table1346811345678[[#This Row],[PMI]]-B79</f>
        <v>3.1000000000000014</v>
      </c>
    </row>
    <row r="81" spans="1:3" x14ac:dyDescent="0.2">
      <c r="A81" s="8">
        <v>42736</v>
      </c>
      <c r="B81" s="11">
        <f>IF(VLOOKUP(A81,'DB Country PMI'!$A:$W,MATCH($A$1,'DB Country PMI'!$A$1:$W$1,),)=0,#N/A,VLOOKUP(A81,'DB Country PMI'!$A:$W,MATCH($A$1,'DB Country PMI'!$A$1:$W$1,),))</f>
        <v>61</v>
      </c>
      <c r="C81" s="14">
        <f>Table1346811345678[[#This Row],[PMI]]-B80</f>
        <v>1.8999999999999986</v>
      </c>
    </row>
    <row r="82" spans="1:3" x14ac:dyDescent="0.2">
      <c r="A82" s="8">
        <v>42767</v>
      </c>
      <c r="B82" s="11">
        <f>IF(VLOOKUP(A82,'DB Country PMI'!$A:$W,MATCH($A$1,'DB Country PMI'!$A$1:$W$1,),)=0,#N/A,VLOOKUP(A82,'DB Country PMI'!$A:$W,MATCH($A$1,'DB Country PMI'!$A$1:$W$1,),))</f>
        <v>60.6</v>
      </c>
      <c r="C82" s="14">
        <f>Table1346811345678[[#This Row],[PMI]]-B81</f>
        <v>-0.39999999999999858</v>
      </c>
    </row>
    <row r="83" spans="1:3" x14ac:dyDescent="0.2">
      <c r="A83" s="8">
        <v>42795</v>
      </c>
      <c r="B83" s="11">
        <f>IF(VLOOKUP(A83,'DB Country PMI'!$A:$W,MATCH($A$1,'DB Country PMI'!$A$1:$W$1,),)=0,#N/A,VLOOKUP(A83,'DB Country PMI'!$A:$W,MATCH($A$1,'DB Country PMI'!$A$1:$W$1,),))</f>
        <v>59.1</v>
      </c>
      <c r="C83" s="14">
        <f>Table1346811345678[[#This Row],[PMI]]-B82</f>
        <v>-1.5</v>
      </c>
    </row>
    <row r="84" spans="1:3" x14ac:dyDescent="0.2">
      <c r="A84" s="8">
        <v>42826</v>
      </c>
      <c r="B84" s="11">
        <f>IF(VLOOKUP(A84,'DB Country PMI'!$A:$W,MATCH($A$1,'DB Country PMI'!$A$1:$W$1,),)=0,#N/A,VLOOKUP(A84,'DB Country PMI'!$A:$W,MATCH($A$1,'DB Country PMI'!$A$1:$W$1,),))</f>
        <v>61.1</v>
      </c>
      <c r="C84" s="14">
        <f>Table1346811345678[[#This Row],[PMI]]-B83</f>
        <v>2</v>
      </c>
    </row>
    <row r="85" spans="1:3" x14ac:dyDescent="0.2">
      <c r="A85" s="8">
        <v>42856</v>
      </c>
      <c r="B85" s="11">
        <f>IF(VLOOKUP(A85,'DB Country PMI'!$A:$W,MATCH($A$1,'DB Country PMI'!$A$1:$W$1,),)=0,#N/A,VLOOKUP(A85,'DB Country PMI'!$A:$W,MATCH($A$1,'DB Country PMI'!$A$1:$W$1,),))</f>
        <v>59.5</v>
      </c>
      <c r="C85" s="14">
        <f>Table1346811345678[[#This Row],[PMI]]-B84</f>
        <v>-1.6000000000000014</v>
      </c>
    </row>
    <row r="86" spans="1:3" x14ac:dyDescent="0.2">
      <c r="A86" s="8">
        <v>42887</v>
      </c>
      <c r="B86" s="11">
        <f>IF(VLOOKUP(A86,'DB Country PMI'!$A:$W,MATCH($A$1,'DB Country PMI'!$A$1:$W$1,),)=0,#N/A,VLOOKUP(A86,'DB Country PMI'!$A:$W,MATCH($A$1,'DB Country PMI'!$A$1:$W$1,),))</f>
        <v>57.6</v>
      </c>
      <c r="C86" s="14">
        <f>Table1346811345678[[#This Row],[PMI]]-B85</f>
        <v>-1.8999999999999986</v>
      </c>
    </row>
    <row r="87" spans="1:3" x14ac:dyDescent="0.2">
      <c r="A87" s="8">
        <v>42917</v>
      </c>
      <c r="B87" s="11">
        <f>IF(VLOOKUP(A87,'DB Country PMI'!$A:$W,MATCH($A$1,'DB Country PMI'!$A$1:$W$1,),)=0,#N/A,VLOOKUP(A87,'DB Country PMI'!$A:$W,MATCH($A$1,'DB Country PMI'!$A$1:$W$1,),))</f>
        <v>58.3</v>
      </c>
      <c r="C87" s="14">
        <f>Table1346811345678[[#This Row],[PMI]]-B86</f>
        <v>0.69999999999999574</v>
      </c>
    </row>
    <row r="88" spans="1:3" x14ac:dyDescent="0.2">
      <c r="A88" s="8">
        <v>42948</v>
      </c>
      <c r="B88" s="11">
        <f>IF(VLOOKUP(A88,'DB Country PMI'!$A:$W,MATCH($A$1,'DB Country PMI'!$A$1:$W$1,),)=0,#N/A,VLOOKUP(A88,'DB Country PMI'!$A:$W,MATCH($A$1,'DB Country PMI'!$A$1:$W$1,),))</f>
        <v>58.4</v>
      </c>
      <c r="C88" s="14">
        <f>Table1346811345678[[#This Row],[PMI]]-B87</f>
        <v>0.10000000000000142</v>
      </c>
    </row>
    <row r="89" spans="1:3" x14ac:dyDescent="0.2">
      <c r="A89" s="8">
        <v>42979</v>
      </c>
      <c r="B89" s="11">
        <f>IF(VLOOKUP(A89,'DB Country PMI'!$A:$W,MATCH($A$1,'DB Country PMI'!$A$1:$W$1,),)=0,#N/A,VLOOKUP(A89,'DB Country PMI'!$A:$W,MATCH($A$1,'DB Country PMI'!$A$1:$W$1,),))</f>
        <v>58.7</v>
      </c>
      <c r="C89" s="14">
        <f>Table1346811345678[[#This Row],[PMI]]-B88</f>
        <v>0.30000000000000426</v>
      </c>
    </row>
    <row r="90" spans="1:3" x14ac:dyDescent="0.2">
      <c r="A90" s="8">
        <v>43009</v>
      </c>
      <c r="B90" s="11">
        <f>IF(VLOOKUP(A90,'DB Country PMI'!$A:$W,MATCH($A$1,'DB Country PMI'!$A$1:$W$1,),)=0,#N/A,VLOOKUP(A90,'DB Country PMI'!$A:$W,MATCH($A$1,'DB Country PMI'!$A$1:$W$1,),))</f>
        <v>57.5</v>
      </c>
      <c r="C90" s="14">
        <f>Table1346811345678[[#This Row],[PMI]]-B89</f>
        <v>-1.2000000000000028</v>
      </c>
    </row>
    <row r="91" spans="1:3" x14ac:dyDescent="0.2">
      <c r="A91" s="8">
        <v>43040</v>
      </c>
      <c r="B91" s="11">
        <f>IF(VLOOKUP(A91,'DB Country PMI'!$A:$W,MATCH($A$1,'DB Country PMI'!$A$1:$W$1,),)=0,#N/A,VLOOKUP(A91,'DB Country PMI'!$A:$W,MATCH($A$1,'DB Country PMI'!$A$1:$W$1,),))</f>
        <v>56</v>
      </c>
      <c r="C91" s="14">
        <f>Table1346811345678[[#This Row],[PMI]]-B90</f>
        <v>-1.5</v>
      </c>
    </row>
    <row r="92" spans="1:3" x14ac:dyDescent="0.2">
      <c r="A92" s="8">
        <v>43070</v>
      </c>
      <c r="B92" s="11">
        <f>IF(VLOOKUP(A92,'DB Country PMI'!$A:$W,MATCH($A$1,'DB Country PMI'!$A$1:$W$1,),)=0,#N/A,VLOOKUP(A92,'DB Country PMI'!$A:$W,MATCH($A$1,'DB Country PMI'!$A$1:$W$1,),))</f>
        <v>60.4</v>
      </c>
      <c r="C92" s="14">
        <f>Table1346811345678[[#This Row],[PMI]]-B91</f>
        <v>4.3999999999999986</v>
      </c>
    </row>
    <row r="93" spans="1:3" x14ac:dyDescent="0.2">
      <c r="A93" s="8">
        <v>43101</v>
      </c>
      <c r="B93" s="11">
        <f>IF(VLOOKUP(A93,'DB Country PMI'!$A:$W,MATCH($A$1,'DB Country PMI'!$A$1:$W$1,),)=0,#N/A,VLOOKUP(A93,'DB Country PMI'!$A:$W,MATCH($A$1,'DB Country PMI'!$A$1:$W$1,),))</f>
        <v>59.8</v>
      </c>
      <c r="C93" s="14">
        <f>Table1346811345678[[#This Row],[PMI]]-B92</f>
        <v>-0.60000000000000142</v>
      </c>
    </row>
    <row r="94" spans="1:3" x14ac:dyDescent="0.2">
      <c r="A94" s="8">
        <v>43132</v>
      </c>
      <c r="B94" s="11">
        <f>IF(VLOOKUP(A94,'DB Country PMI'!$A:$W,MATCH($A$1,'DB Country PMI'!$A$1:$W$1,),)=0,#N/A,VLOOKUP(A94,'DB Country PMI'!$A:$W,MATCH($A$1,'DB Country PMI'!$A$1:$W$1,),))</f>
        <v>57.2</v>
      </c>
      <c r="C94" s="14">
        <f>Table1346811345678[[#This Row],[PMI]]-B93</f>
        <v>-2.5999999999999943</v>
      </c>
    </row>
    <row r="95" spans="1:3" x14ac:dyDescent="0.2">
      <c r="A95" s="8">
        <v>43160</v>
      </c>
      <c r="B95" s="11">
        <f>IF(VLOOKUP(A95,'DB Country PMI'!$A:$W,MATCH($A$1,'DB Country PMI'!$A$1:$W$1,),)=0,#N/A,VLOOKUP(A95,'DB Country PMI'!$A:$W,MATCH($A$1,'DB Country PMI'!$A$1:$W$1,),))</f>
        <v>56.5</v>
      </c>
      <c r="C95" s="14">
        <f>Table1346811345678[[#This Row],[PMI]]-B94</f>
        <v>-0.70000000000000284</v>
      </c>
    </row>
    <row r="96" spans="1:3" x14ac:dyDescent="0.2">
      <c r="A96" s="8">
        <v>43191</v>
      </c>
      <c r="B96" s="11">
        <f>IF(VLOOKUP(A96,'DB Country PMI'!$A:$W,MATCH($A$1,'DB Country PMI'!$A$1:$W$1,),)=0,#N/A,VLOOKUP(A96,'DB Country PMI'!$A:$W,MATCH($A$1,'DB Country PMI'!$A$1:$W$1,),))</f>
        <v>58.3</v>
      </c>
      <c r="C96" s="14">
        <f>Table1346811345678[[#This Row],[PMI]]-B95</f>
        <v>1.7999999999999972</v>
      </c>
    </row>
    <row r="97" spans="1:3" x14ac:dyDescent="0.2">
      <c r="A97" s="8">
        <v>43221</v>
      </c>
      <c r="B97" s="11">
        <f>IF(VLOOKUP(A97,'DB Country PMI'!$A:$W,MATCH($A$1,'DB Country PMI'!$A$1:$W$1,),)=0,#N/A,VLOOKUP(A97,'DB Country PMI'!$A:$W,MATCH($A$1,'DB Country PMI'!$A$1:$W$1,),))</f>
        <v>59.3</v>
      </c>
      <c r="C97" s="14">
        <f>Table1346811345678[[#This Row],[PMI]]-B96</f>
        <v>1</v>
      </c>
    </row>
    <row r="98" spans="1:3" x14ac:dyDescent="0.2">
      <c r="A98" s="8">
        <v>43252</v>
      </c>
      <c r="B98" s="11">
        <f>IF(VLOOKUP(A98,'DB Country PMI'!$A:$W,MATCH($A$1,'DB Country PMI'!$A$1:$W$1,),)=0,#N/A,VLOOKUP(A98,'DB Country PMI'!$A:$W,MATCH($A$1,'DB Country PMI'!$A$1:$W$1,),))</f>
        <v>59.5</v>
      </c>
      <c r="C98" s="14">
        <f>Table1346811345678[[#This Row],[PMI]]-B97</f>
        <v>0.20000000000000284</v>
      </c>
    </row>
    <row r="99" spans="1:3" x14ac:dyDescent="0.2">
      <c r="A99" s="8">
        <v>43282</v>
      </c>
      <c r="B99" s="11">
        <f>IF(VLOOKUP(A99,'DB Country PMI'!$A:$W,MATCH($A$1,'DB Country PMI'!$A$1:$W$1,),)=0,#N/A,VLOOKUP(A99,'DB Country PMI'!$A:$W,MATCH($A$1,'DB Country PMI'!$A$1:$W$1,),))</f>
        <v>57.4</v>
      </c>
      <c r="C99" s="14">
        <f>Table1346811345678[[#This Row],[PMI]]-B98</f>
        <v>-2.1000000000000014</v>
      </c>
    </row>
    <row r="100" spans="1:3" x14ac:dyDescent="0.2">
      <c r="A100" s="8">
        <v>43313</v>
      </c>
      <c r="B100" s="11">
        <f>IF(VLOOKUP(A100,'DB Country PMI'!$A:$W,MATCH($A$1,'DB Country PMI'!$A$1:$W$1,),)=0,#N/A,VLOOKUP(A100,'DB Country PMI'!$A:$W,MATCH($A$1,'DB Country PMI'!$A$1:$W$1,),))</f>
        <v>58</v>
      </c>
      <c r="C100" s="14">
        <f>Table1346811345678[[#This Row],[PMI]]-B99</f>
        <v>0.60000000000000142</v>
      </c>
    </row>
    <row r="101" spans="1:3" x14ac:dyDescent="0.2">
      <c r="A101" s="8">
        <v>43344</v>
      </c>
      <c r="B101" s="11">
        <f>IF(VLOOKUP(A101,'DB Country PMI'!$A:$W,MATCH($A$1,'DB Country PMI'!$A$1:$W$1,),)=0,#N/A,VLOOKUP(A101,'DB Country PMI'!$A:$W,MATCH($A$1,'DB Country PMI'!$A$1:$W$1,),))</f>
        <v>58.7</v>
      </c>
      <c r="C101" s="14">
        <f>Table1346811345678[[#This Row],[PMI]]-B100</f>
        <v>0.70000000000000284</v>
      </c>
    </row>
    <row r="102" spans="1:3" x14ac:dyDescent="0.2">
      <c r="A102" s="8">
        <v>43374</v>
      </c>
      <c r="B102" s="11">
        <f>IF(VLOOKUP(A102,'DB Country PMI'!$A:$W,MATCH($A$1,'DB Country PMI'!$A$1:$W$1,),)=0,#N/A,VLOOKUP(A102,'DB Country PMI'!$A:$W,MATCH($A$1,'DB Country PMI'!$A$1:$W$1,),))</f>
        <v>57.2</v>
      </c>
      <c r="C102" s="14">
        <f>Table1346811345678[[#This Row],[PMI]]-B101</f>
        <v>-1.5</v>
      </c>
    </row>
    <row r="103" spans="1:3" x14ac:dyDescent="0.2">
      <c r="A103" s="8">
        <v>43405</v>
      </c>
      <c r="B103" s="11">
        <f>IF(VLOOKUP(A103,'DB Country PMI'!$A:$W,MATCH($A$1,'DB Country PMI'!$A$1:$W$1,),)=0,#N/A,VLOOKUP(A103,'DB Country PMI'!$A:$W,MATCH($A$1,'DB Country PMI'!$A$1:$W$1,),))</f>
        <v>57.1</v>
      </c>
      <c r="C103" s="14">
        <f>Table1346811345678[[#This Row],[PMI]]-B102</f>
        <v>-0.10000000000000142</v>
      </c>
    </row>
    <row r="104" spans="1:3" x14ac:dyDescent="0.2">
      <c r="A104" s="8">
        <v>43435</v>
      </c>
      <c r="B104" s="11">
        <f>IF(VLOOKUP(A104,'DB Country PMI'!$A:$W,MATCH($A$1,'DB Country PMI'!$A$1:$W$1,),)=0,#N/A,VLOOKUP(A104,'DB Country PMI'!$A:$W,MATCH($A$1,'DB Country PMI'!$A$1:$W$1,),))</f>
        <v>56.3</v>
      </c>
      <c r="C104" s="14">
        <f>Table1346811345678[[#This Row],[PMI]]-B103</f>
        <v>-0.80000000000000426</v>
      </c>
    </row>
    <row r="105" spans="1:3" x14ac:dyDescent="0.2">
      <c r="A105" s="8">
        <v>43466</v>
      </c>
      <c r="B105" s="11">
        <f>IF(VLOOKUP(A105,'DB Country PMI'!$A:$W,MATCH($A$1,'DB Country PMI'!$A$1:$W$1,),)=0,#N/A,VLOOKUP(A105,'DB Country PMI'!$A:$W,MATCH($A$1,'DB Country PMI'!$A$1:$W$1,),))</f>
        <v>54.2</v>
      </c>
      <c r="C105" s="14">
        <f>Table1346811345678[[#This Row],[PMI]]-B104</f>
        <v>-2.0999999999999943</v>
      </c>
    </row>
    <row r="106" spans="1:3" x14ac:dyDescent="0.2">
      <c r="A106" s="8">
        <v>43497</v>
      </c>
      <c r="B106" s="11">
        <f>IF(VLOOKUP(A106,'DB Country PMI'!$A:$W,MATCH($A$1,'DB Country PMI'!$A$1:$W$1,),)=0,#N/A,VLOOKUP(A106,'DB Country PMI'!$A:$W,MATCH($A$1,'DB Country PMI'!$A$1:$W$1,),))</f>
        <v>55.9</v>
      </c>
      <c r="C106" s="14">
        <f>Table1346811345678[[#This Row],[PMI]]-B105</f>
        <v>1.6999999999999957</v>
      </c>
    </row>
    <row r="107" spans="1:3" x14ac:dyDescent="0.2">
      <c r="A107" s="8">
        <v>43525</v>
      </c>
      <c r="B107" s="11">
        <f>IF(VLOOKUP(A107,'DB Country PMI'!$A:$W,MATCH($A$1,'DB Country PMI'!$A$1:$W$1,),)=0,#N/A,VLOOKUP(A107,'DB Country PMI'!$A:$W,MATCH($A$1,'DB Country PMI'!$A$1:$W$1,),))</f>
        <v>55.3</v>
      </c>
      <c r="C107" s="14">
        <f>Table1346811345678[[#This Row],[PMI]]-B106</f>
        <v>-0.60000000000000142</v>
      </c>
    </row>
    <row r="108" spans="1:3" x14ac:dyDescent="0.2">
      <c r="A108" s="8">
        <v>43556</v>
      </c>
      <c r="B108" s="11">
        <f>IF(VLOOKUP(A108,'DB Country PMI'!$A:$W,MATCH($A$1,'DB Country PMI'!$A$1:$W$1,),)=0,#N/A,VLOOKUP(A108,'DB Country PMI'!$A:$W,MATCH($A$1,'DB Country PMI'!$A$1:$W$1,),))</f>
        <v>54.7</v>
      </c>
      <c r="C108" s="14">
        <f>Table1346811345678[[#This Row],[PMI]]-B107</f>
        <v>-0.59999999999999432</v>
      </c>
    </row>
    <row r="109" spans="1:3" x14ac:dyDescent="0.2">
      <c r="A109" s="8">
        <v>43586</v>
      </c>
      <c r="B109" s="11">
        <f>IF(VLOOKUP(A109,'DB Country PMI'!$A:$W,MATCH($A$1,'DB Country PMI'!$A$1:$W$1,),)=0,#N/A,VLOOKUP(A109,'DB Country PMI'!$A:$W,MATCH($A$1,'DB Country PMI'!$A$1:$W$1,),))</f>
        <v>57</v>
      </c>
      <c r="C109" s="14">
        <f>Table1346811345678[[#This Row],[PMI]]-B108</f>
        <v>2.2999999999999972</v>
      </c>
    </row>
    <row r="110" spans="1:3" x14ac:dyDescent="0.2">
      <c r="A110" s="8">
        <v>43617</v>
      </c>
      <c r="B110" s="11">
        <f>IF(VLOOKUP(A110,'DB Country PMI'!$A:$W,MATCH($A$1,'DB Country PMI'!$A$1:$W$1,),)=0,#N/A,VLOOKUP(A110,'DB Country PMI'!$A:$W,MATCH($A$1,'DB Country PMI'!$A$1:$W$1,),))</f>
        <v>56.9</v>
      </c>
      <c r="C110" s="14">
        <f>Table1346811345678[[#This Row],[PMI]]-B109</f>
        <v>-0.10000000000000142</v>
      </c>
    </row>
    <row r="111" spans="1:3" x14ac:dyDescent="0.2">
      <c r="A111" s="8">
        <v>43647</v>
      </c>
      <c r="B111" s="11">
        <f>IF(VLOOKUP(A111,'DB Country PMI'!$A:$W,MATCH($A$1,'DB Country PMI'!$A$1:$W$1,),)=0,#N/A,VLOOKUP(A111,'DB Country PMI'!$A:$W,MATCH($A$1,'DB Country PMI'!$A$1:$W$1,),))</f>
        <v>55</v>
      </c>
      <c r="C111" s="14">
        <f>Table1346811345678[[#This Row],[PMI]]-B110</f>
        <v>-1.8999999999999986</v>
      </c>
    </row>
    <row r="112" spans="1:3" x14ac:dyDescent="0.2">
      <c r="A112" s="8">
        <v>43678</v>
      </c>
      <c r="B112" s="11">
        <f>IF(VLOOKUP(A112,'DB Country PMI'!$A:$W,MATCH($A$1,'DB Country PMI'!$A$1:$W$1,),)=0,#N/A,VLOOKUP(A112,'DB Country PMI'!$A:$W,MATCH($A$1,'DB Country PMI'!$A$1:$W$1,),))</f>
        <v>54.6</v>
      </c>
      <c r="C112" s="14">
        <f>Table1346811345678[[#This Row],[PMI]]-B111</f>
        <v>-0.39999999999999858</v>
      </c>
    </row>
    <row r="113" spans="1:3" x14ac:dyDescent="0.2">
      <c r="A113" s="8">
        <v>43709</v>
      </c>
      <c r="B113" s="11">
        <f>IF(VLOOKUP(A113,'DB Country PMI'!$A:$W,MATCH($A$1,'DB Country PMI'!$A$1:$W$1,),)=0,#N/A,VLOOKUP(A113,'DB Country PMI'!$A:$W,MATCH($A$1,'DB Country PMI'!$A$1:$W$1,),))</f>
        <v>53.1</v>
      </c>
      <c r="C113" s="14">
        <f>Table1346811345678[[#This Row],[PMI]]-B112</f>
        <v>-1.5</v>
      </c>
    </row>
    <row r="114" spans="1:3" x14ac:dyDescent="0.2">
      <c r="A114" s="8">
        <v>43739</v>
      </c>
      <c r="B114" s="11">
        <f>IF(VLOOKUP(A114,'DB Country PMI'!$A:$W,MATCH($A$1,'DB Country PMI'!$A$1:$W$1,),)=0,#N/A,VLOOKUP(A114,'DB Country PMI'!$A:$W,MATCH($A$1,'DB Country PMI'!$A$1:$W$1,),))</f>
        <v>50.6</v>
      </c>
      <c r="C114" s="14">
        <f>Table1346811345678[[#This Row],[PMI]]-B113</f>
        <v>-2.5</v>
      </c>
    </row>
    <row r="115" spans="1:3" x14ac:dyDescent="0.2">
      <c r="A115" s="8">
        <v>43770</v>
      </c>
      <c r="B115" s="11">
        <f>IF(VLOOKUP(A115,'DB Country PMI'!$A:$W,MATCH($A$1,'DB Country PMI'!$A$1:$W$1,),)=0,#N/A,VLOOKUP(A115,'DB Country PMI'!$A:$W,MATCH($A$1,'DB Country PMI'!$A$1:$W$1,),))</f>
        <v>52</v>
      </c>
      <c r="C115" s="14">
        <f>Table1346811345678[[#This Row],[PMI]]-B114</f>
        <v>1.3999999999999986</v>
      </c>
    </row>
    <row r="116" spans="1:3" x14ac:dyDescent="0.2">
      <c r="A116" s="8">
        <v>43800</v>
      </c>
      <c r="B116" s="11">
        <f>IF(VLOOKUP(A116,'DB Country PMI'!$A:$W,MATCH($A$1,'DB Country PMI'!$A$1:$W$1,),)=0,#N/A,VLOOKUP(A116,'DB Country PMI'!$A:$W,MATCH($A$1,'DB Country PMI'!$A$1:$W$1,),))</f>
        <v>55.9</v>
      </c>
      <c r="C116" s="14">
        <f>Table1346811345678[[#This Row],[PMI]]-B115</f>
        <v>3.8999999999999986</v>
      </c>
    </row>
    <row r="117" spans="1:3" x14ac:dyDescent="0.2">
      <c r="A117" s="8">
        <v>43831</v>
      </c>
      <c r="B117" s="11">
        <f>IF(VLOOKUP(A117,'DB Country PMI'!$A:$W,MATCH($A$1,'DB Country PMI'!$A$1:$W$1,),)=0,#N/A,VLOOKUP(A117,'DB Country PMI'!$A:$W,MATCH($A$1,'DB Country PMI'!$A$1:$W$1,),))</f>
        <v>56.9</v>
      </c>
      <c r="C117" s="14">
        <f>Table1346811345678[[#This Row],[PMI]]-B116</f>
        <v>1</v>
      </c>
    </row>
    <row r="118" spans="1:3" x14ac:dyDescent="0.2">
      <c r="A118" s="8">
        <v>43862</v>
      </c>
      <c r="B118" s="11">
        <f>IF(VLOOKUP(A118,'DB Country PMI'!$A:$W,MATCH($A$1,'DB Country PMI'!$A$1:$W$1,),)=0,#N/A,VLOOKUP(A118,'DB Country PMI'!$A:$W,MATCH($A$1,'DB Country PMI'!$A$1:$W$1,),))</f>
        <v>59.9</v>
      </c>
      <c r="C118" s="14">
        <f>Table1346811345678[[#This Row],[PMI]]-B117</f>
        <v>3</v>
      </c>
    </row>
    <row r="119" spans="1:3" x14ac:dyDescent="0.2">
      <c r="A119" s="8">
        <v>43891</v>
      </c>
      <c r="B119" s="11">
        <f>IF(VLOOKUP(A119,'DB Country PMI'!$A:$W,MATCH($A$1,'DB Country PMI'!$A$1:$W$1,),)=0,#N/A,VLOOKUP(A119,'DB Country PMI'!$A:$W,MATCH($A$1,'DB Country PMI'!$A$1:$W$1,),))</f>
        <v>32.5</v>
      </c>
      <c r="C119" s="14">
        <f>Table1346811345678[[#This Row],[PMI]]-B118</f>
        <v>-27.4</v>
      </c>
    </row>
    <row r="120" spans="1:3" x14ac:dyDescent="0.2">
      <c r="A120" s="8">
        <v>43922</v>
      </c>
      <c r="B120" s="11">
        <f>IF(VLOOKUP(A120,'DB Country PMI'!$A:$W,MATCH($A$1,'DB Country PMI'!$A$1:$W$1,),)=0,#N/A,VLOOKUP(A120,'DB Country PMI'!$A:$W,MATCH($A$1,'DB Country PMI'!$A$1:$W$1,),))</f>
        <v>13.9</v>
      </c>
      <c r="C120" s="14">
        <f>Table1346811345678[[#This Row],[PMI]]-B119</f>
        <v>-18.600000000000001</v>
      </c>
    </row>
    <row r="121" spans="1:3" x14ac:dyDescent="0.2">
      <c r="A121" s="8">
        <v>43952</v>
      </c>
      <c r="B121" s="11">
        <f>IF(VLOOKUP(A121,'DB Country PMI'!$A:$W,MATCH($A$1,'DB Country PMI'!$A$1:$W$1,),)=0,#N/A,VLOOKUP(A121,'DB Country PMI'!$A:$W,MATCH($A$1,'DB Country PMI'!$A$1:$W$1,),))</f>
        <v>23.4</v>
      </c>
      <c r="C121" s="14">
        <f>Table1346811345678[[#This Row],[PMI]]-B120</f>
        <v>9.4999999999999982</v>
      </c>
    </row>
    <row r="122" spans="1:3" x14ac:dyDescent="0.2">
      <c r="A122" s="8">
        <v>43983</v>
      </c>
      <c r="B122" s="11">
        <f>IF(VLOOKUP(A122,'DB Country PMI'!$A:$W,MATCH($A$1,'DB Country PMI'!$A$1:$W$1,),)=0,#N/A,VLOOKUP(A122,'DB Country PMI'!$A:$W,MATCH($A$1,'DB Country PMI'!$A$1:$W$1,),))</f>
        <v>39.700000000000003</v>
      </c>
      <c r="C122" s="14">
        <f>Table1346811345678[[#This Row],[PMI]]-B121</f>
        <v>16.300000000000004</v>
      </c>
    </row>
    <row r="123" spans="1:3" x14ac:dyDescent="0.2">
      <c r="A123" s="8">
        <v>44013</v>
      </c>
      <c r="B123" s="11">
        <f>IF(VLOOKUP(A123,'DB Country PMI'!$A:$W,MATCH($A$1,'DB Country PMI'!$A$1:$W$1,),)=0,#N/A,VLOOKUP(A123,'DB Country PMI'!$A:$W,MATCH($A$1,'DB Country PMI'!$A$1:$W$1,),))</f>
        <v>51.9</v>
      </c>
      <c r="C123" s="14">
        <f>Table1346811345678[[#This Row],[PMI]]-B122</f>
        <v>12.199999999999996</v>
      </c>
    </row>
    <row r="124" spans="1:3" x14ac:dyDescent="0.2">
      <c r="A124" s="8">
        <v>44044</v>
      </c>
      <c r="B124" s="11">
        <f>IF(VLOOKUP(A124,'DB Country PMI'!$A:$W,MATCH($A$1,'DB Country PMI'!$A$1:$W$1,),)=0,#N/A,VLOOKUP(A124,'DB Country PMI'!$A:$W,MATCH($A$1,'DB Country PMI'!$A$1:$W$1,),))</f>
        <v>52.4</v>
      </c>
      <c r="C124" s="14">
        <f>Table1346811345678[[#This Row],[PMI]]-B123</f>
        <v>0.5</v>
      </c>
    </row>
    <row r="125" spans="1:3" x14ac:dyDescent="0.2">
      <c r="A125" s="8">
        <v>44075</v>
      </c>
      <c r="B125" s="11">
        <f>IF(VLOOKUP(A125,'DB Country PMI'!$A:$W,MATCH($A$1,'DB Country PMI'!$A$1:$W$1,),)=0,#N/A,VLOOKUP(A125,'DB Country PMI'!$A:$W,MATCH($A$1,'DB Country PMI'!$A$1:$W$1,),))</f>
        <v>45.8</v>
      </c>
      <c r="C125" s="14">
        <f>Table1346811345678[[#This Row],[PMI]]-B124</f>
        <v>-6.6000000000000014</v>
      </c>
    </row>
    <row r="126" spans="1:3" x14ac:dyDescent="0.2">
      <c r="A126" s="8">
        <v>44105</v>
      </c>
      <c r="B126" s="11">
        <f>IF(VLOOKUP(A126,'DB Country PMI'!$A:$W,MATCH($A$1,'DB Country PMI'!$A$1:$W$1,),)=0,#N/A,VLOOKUP(A126,'DB Country PMI'!$A:$W,MATCH($A$1,'DB Country PMI'!$A$1:$W$1,),))</f>
        <v>48.3</v>
      </c>
      <c r="C126" s="14">
        <f>Table1346811345678[[#This Row],[PMI]]-B125</f>
        <v>2.5</v>
      </c>
    </row>
    <row r="127" spans="1:3" x14ac:dyDescent="0.2">
      <c r="A127" s="8">
        <v>44136</v>
      </c>
      <c r="B127" s="11">
        <f>IF(VLOOKUP(A127,'DB Country PMI'!$A:$W,MATCH($A$1,'DB Country PMI'!$A$1:$W$1,),)=0,#N/A,VLOOKUP(A127,'DB Country PMI'!$A:$W,MATCH($A$1,'DB Country PMI'!$A$1:$W$1,),))</f>
        <v>45.4</v>
      </c>
      <c r="C127" s="14">
        <f>Table1346811345678[[#This Row],[PMI]]-B126</f>
        <v>-2.8999999999999986</v>
      </c>
    </row>
    <row r="128" spans="1:3" x14ac:dyDescent="0.2">
      <c r="A128" s="8">
        <v>44166</v>
      </c>
      <c r="B128" s="11">
        <f>IF(VLOOKUP(A128,'DB Country PMI'!$A:$W,MATCH($A$1,'DB Country PMI'!$A$1:$W$1,),)=0,#N/A,VLOOKUP(A128,'DB Country PMI'!$A:$W,MATCH($A$1,'DB Country PMI'!$A$1:$W$1,),))</f>
        <v>50.1</v>
      </c>
      <c r="C128" s="14">
        <f>Table1346811345678[[#This Row],[PMI]]-B127</f>
        <v>4.7000000000000028</v>
      </c>
    </row>
    <row r="129" spans="1:3" x14ac:dyDescent="0.2">
      <c r="A129" s="8">
        <v>44197</v>
      </c>
      <c r="B129" s="11">
        <f>IF(VLOOKUP(A129,'DB Country PMI'!$A:$W,MATCH($A$1,'DB Country PMI'!$A$1:$W$1,),)=0,#N/A,VLOOKUP(A129,'DB Country PMI'!$A:$W,MATCH($A$1,'DB Country PMI'!$A$1:$W$1,),))</f>
        <v>36.200000000000003</v>
      </c>
      <c r="C129" s="14">
        <f>Table1346811345678[[#This Row],[PMI]]-B128</f>
        <v>-13.899999999999999</v>
      </c>
    </row>
    <row r="130" spans="1:3" x14ac:dyDescent="0.2">
      <c r="A130" s="8">
        <v>44228</v>
      </c>
      <c r="B130" s="11">
        <f>IF(VLOOKUP(A130,'DB Country PMI'!$A:$W,MATCH($A$1,'DB Country PMI'!$A$1:$W$1,),)=0,#N/A,VLOOKUP(A130,'DB Country PMI'!$A:$W,MATCH($A$1,'DB Country PMI'!$A$1:$W$1,),))</f>
        <v>41.2</v>
      </c>
      <c r="C130" s="14">
        <f>Table1346811345678[[#This Row],[PMI]]-B129</f>
        <v>5</v>
      </c>
    </row>
    <row r="131" spans="1:3" x14ac:dyDescent="0.2">
      <c r="A131" s="8">
        <v>44256</v>
      </c>
      <c r="B131" s="11">
        <f>IF(VLOOKUP(A131,'DB Country PMI'!$A:$W,MATCH($A$1,'DB Country PMI'!$A$1:$W$1,),)=0,#N/A,VLOOKUP(A131,'DB Country PMI'!$A:$W,MATCH($A$1,'DB Country PMI'!$A$1:$W$1,),))</f>
        <v>54.6</v>
      </c>
      <c r="C131" s="14">
        <f>Table1346811345678[[#This Row],[PMI]]-B130</f>
        <v>13.399999999999999</v>
      </c>
    </row>
    <row r="132" spans="1:3" x14ac:dyDescent="0.2">
      <c r="A132" s="8">
        <v>44287</v>
      </c>
      <c r="B132" s="11">
        <f>IF(VLOOKUP(A132,'DB Country PMI'!$A:$W,MATCH($A$1,'DB Country PMI'!$A$1:$W$1,),)=0,#N/A,VLOOKUP(A132,'DB Country PMI'!$A:$W,MATCH($A$1,'DB Country PMI'!$A$1:$W$1,),))</f>
        <v>57.7</v>
      </c>
      <c r="C132" s="14">
        <f>Table1346811345678[[#This Row],[PMI]]-B131</f>
        <v>3.1000000000000014</v>
      </c>
    </row>
    <row r="133" spans="1:3" x14ac:dyDescent="0.2">
      <c r="A133" s="8">
        <v>44317</v>
      </c>
      <c r="B133" s="11">
        <f>IF(VLOOKUP(A133,'DB Country PMI'!$A:$W,MATCH($A$1,'DB Country PMI'!$A$1:$W$1,),)=0,#N/A,VLOOKUP(A133,'DB Country PMI'!$A:$W,MATCH($A$1,'DB Country PMI'!$A$1:$W$1,),))</f>
        <v>62.1</v>
      </c>
      <c r="C133" s="14">
        <f>Table1346811345678[[#This Row],[PMI]]-B132</f>
        <v>4.3999999999999986</v>
      </c>
    </row>
    <row r="134" spans="1:3" x14ac:dyDescent="0.2">
      <c r="A134" s="8">
        <v>44348</v>
      </c>
      <c r="B134" s="11">
        <f>IF(VLOOKUP(A134,'DB Country PMI'!$A:$W,MATCH($A$1,'DB Country PMI'!$A$1:$W$1,),)=0,#N/A,VLOOKUP(A134,'DB Country PMI'!$A:$W,MATCH($A$1,'DB Country PMI'!$A$1:$W$1,),))</f>
        <v>63.1</v>
      </c>
      <c r="C134" s="14">
        <f>Table1346811345678[[#This Row],[PMI]]-B133</f>
        <v>1</v>
      </c>
    </row>
    <row r="135" spans="1:3" x14ac:dyDescent="0.2">
      <c r="A135" s="8">
        <v>44378</v>
      </c>
      <c r="B135" s="11">
        <f>IF(VLOOKUP(A135,'DB Country PMI'!$A:$W,MATCH($A$1,'DB Country PMI'!$A$1:$W$1,),)=0,#N/A,VLOOKUP(A135,'DB Country PMI'!$A:$W,MATCH($A$1,'DB Country PMI'!$A$1:$W$1,),))</f>
        <v>66.599999999999994</v>
      </c>
      <c r="C135" s="14">
        <f>Table1346811345678[[#This Row],[PMI]]-B134</f>
        <v>3.4999999999999929</v>
      </c>
    </row>
    <row r="136" spans="1:3" x14ac:dyDescent="0.2">
      <c r="A136" s="8">
        <v>44409</v>
      </c>
      <c r="B136" s="11">
        <f>IF(VLOOKUP(A136,'DB Country PMI'!$A:$W,MATCH($A$1,'DB Country PMI'!$A$1:$W$1,),)=0,#N/A,VLOOKUP(A136,'DB Country PMI'!$A:$W,MATCH($A$1,'DB Country PMI'!$A$1:$W$1,),))</f>
        <v>63.7</v>
      </c>
      <c r="C136" s="14">
        <f>Table1346811345678[[#This Row],[PMI]]-B135</f>
        <v>-2.8999999999999915</v>
      </c>
    </row>
    <row r="137" spans="1:3" x14ac:dyDescent="0.2">
      <c r="A137" s="8">
        <v>44440</v>
      </c>
      <c r="B137" s="11">
        <f>IF(VLOOKUP(A137,'DB Country PMI'!$A:$W,MATCH($A$1,'DB Country PMI'!$A$1:$W$1,),)=0,#N/A,VLOOKUP(A137,'DB Country PMI'!$A:$W,MATCH($A$1,'DB Country PMI'!$A$1:$W$1,),))</f>
        <v>63.7</v>
      </c>
      <c r="C137" s="14">
        <f>Table1346811345678[[#This Row],[PMI]]-B136</f>
        <v>0</v>
      </c>
    </row>
    <row r="138" spans="1:3" x14ac:dyDescent="0.2">
      <c r="A138" s="8">
        <v>44470</v>
      </c>
      <c r="B138" s="11">
        <f>IF(VLOOKUP(A138,'DB Country PMI'!$A:$W,MATCH($A$1,'DB Country PMI'!$A$1:$W$1,),)=0,#N/A,VLOOKUP(A138,'DB Country PMI'!$A:$W,MATCH($A$1,'DB Country PMI'!$A$1:$W$1,),))</f>
        <v>63.4</v>
      </c>
      <c r="C138" s="14">
        <f>Table1346811345678[[#This Row],[PMI]]-B137</f>
        <v>-0.30000000000000426</v>
      </c>
    </row>
    <row r="139" spans="1:3" x14ac:dyDescent="0.2">
      <c r="A139" s="8">
        <v>44501</v>
      </c>
      <c r="B139" s="11">
        <f>IF(VLOOKUP(A139,'DB Country PMI'!$A:$W,MATCH($A$1,'DB Country PMI'!$A$1:$W$1,),)=0,#N/A,VLOOKUP(A139,'DB Country PMI'!$A:$W,MATCH($A$1,'DB Country PMI'!$A$1:$W$1,),))</f>
        <v>59.3</v>
      </c>
      <c r="C139" s="14">
        <f>Table1346811345678[[#This Row],[PMI]]-B138</f>
        <v>-4.1000000000000014</v>
      </c>
    </row>
    <row r="140" spans="1:3" x14ac:dyDescent="0.2">
      <c r="A140" s="8">
        <v>44531</v>
      </c>
      <c r="B140" s="11">
        <f>IF(VLOOKUP(A140,'DB Country PMI'!$A:$W,MATCH($A$1,'DB Country PMI'!$A$1:$W$1,),)=0,#N/A,VLOOKUP(A140,'DB Country PMI'!$A:$W,MATCH($A$1,'DB Country PMI'!$A$1:$W$1,),))</f>
        <v>55.4</v>
      </c>
      <c r="C140" s="14">
        <f>Table1346811345678[[#This Row],[PMI]]-B139</f>
        <v>-3.8999999999999986</v>
      </c>
    </row>
    <row r="141" spans="1:3" x14ac:dyDescent="0.2">
      <c r="A141" s="8">
        <v>44562</v>
      </c>
      <c r="B141" s="11">
        <f>IF(VLOOKUP(A141,'DB Country PMI'!$A:$W,MATCH($A$1,'DB Country PMI'!$A$1:$W$1,),)=0,#N/A,VLOOKUP(A141,'DB Country PMI'!$A:$W,MATCH($A$1,'DB Country PMI'!$A$1:$W$1,),))</f>
        <v>56.2</v>
      </c>
      <c r="C141" s="14">
        <f>Table1346811345678[[#This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36</v>
      </c>
      <c r="J1" s="47" t="s">
        <v>61</v>
      </c>
    </row>
    <row r="2" spans="1:10" x14ac:dyDescent="0.2">
      <c r="J2" s="47" t="s">
        <v>71</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51</v>
      </c>
      <c r="C6" s="11"/>
    </row>
    <row r="7" spans="1:10" x14ac:dyDescent="0.2">
      <c r="A7" s="8">
        <v>40483</v>
      </c>
      <c r="B7" s="11">
        <f>IF(VLOOKUP(A7,'DB Country PMI'!$A:$W,MATCH($A$1,'DB Country PMI'!$A$1:$W$1,),)=0,#N/A,VLOOKUP(A7,'DB Country PMI'!$A:$W,MATCH($A$1,'DB Country PMI'!$A$1:$W$1,),))</f>
        <v>54.4</v>
      </c>
      <c r="C7" s="14">
        <f>Table13468113456789[[#This Row],[PMI]]-B6</f>
        <v>3.3999999999999986</v>
      </c>
    </row>
    <row r="8" spans="1:10" x14ac:dyDescent="0.2">
      <c r="A8" s="8">
        <v>40513</v>
      </c>
      <c r="B8" s="11">
        <f>IF(VLOOKUP(A8,'DB Country PMI'!$A:$W,MATCH($A$1,'DB Country PMI'!$A$1:$W$1,),)=0,#N/A,VLOOKUP(A8,'DB Country PMI'!$A:$W,MATCH($A$1,'DB Country PMI'!$A$1:$W$1,),))</f>
        <v>52.1</v>
      </c>
      <c r="C8" s="14">
        <f>Table13468113456789[[#This Row],[PMI]]-B7</f>
        <v>-2.2999999999999972</v>
      </c>
    </row>
    <row r="9" spans="1:10" x14ac:dyDescent="0.2">
      <c r="A9" s="8">
        <v>40544</v>
      </c>
      <c r="B9" s="11">
        <f>IF(VLOOKUP(A9,'DB Country PMI'!$A:$W,MATCH($A$1,'DB Country PMI'!$A$1:$W$1,),)=0,#N/A,VLOOKUP(A9,'DB Country PMI'!$A:$W,MATCH($A$1,'DB Country PMI'!$A$1:$W$1,),))</f>
        <v>53.5</v>
      </c>
      <c r="C9" s="14">
        <f>Table13468113456789[[#This Row],[PMI]]-B8</f>
        <v>1.3999999999999986</v>
      </c>
    </row>
    <row r="10" spans="1:10" x14ac:dyDescent="0.2">
      <c r="A10" s="8">
        <v>40575</v>
      </c>
      <c r="B10" s="11">
        <f>IF(VLOOKUP(A10,'DB Country PMI'!$A:$W,MATCH($A$1,'DB Country PMI'!$A$1:$W$1,),)=0,#N/A,VLOOKUP(A10,'DB Country PMI'!$A:$W,MATCH($A$1,'DB Country PMI'!$A$1:$W$1,),))</f>
        <v>53.1</v>
      </c>
      <c r="C10" s="14">
        <f>Table13468113456789[[#This Row],[PMI]]-B9</f>
        <v>-0.39999999999999858</v>
      </c>
    </row>
    <row r="11" spans="1:10" x14ac:dyDescent="0.2">
      <c r="A11" s="8">
        <v>40603</v>
      </c>
      <c r="B11" s="11">
        <f>IF(VLOOKUP(A11,'DB Country PMI'!$A:$W,MATCH($A$1,'DB Country PMI'!$A$1:$W$1,),)=0,#N/A,VLOOKUP(A11,'DB Country PMI'!$A:$W,MATCH($A$1,'DB Country PMI'!$A$1:$W$1,),))</f>
        <v>53.3</v>
      </c>
      <c r="C11" s="14">
        <f>Table13468113456789[[#This Row],[PMI]]-B10</f>
        <v>0.19999999999999574</v>
      </c>
    </row>
    <row r="12" spans="1:10" x14ac:dyDescent="0.2">
      <c r="A12" s="8">
        <v>40634</v>
      </c>
      <c r="B12" s="11">
        <f>IF(VLOOKUP(A12,'DB Country PMI'!$A:$W,MATCH($A$1,'DB Country PMI'!$A$1:$W$1,),)=0,#N/A,VLOOKUP(A12,'DB Country PMI'!$A:$W,MATCH($A$1,'DB Country PMI'!$A$1:$W$1,),))</f>
        <v>52.2</v>
      </c>
      <c r="C12" s="14">
        <f>Table13468113456789[[#This Row],[PMI]]-B11</f>
        <v>-1.0999999999999943</v>
      </c>
    </row>
    <row r="13" spans="1:10" x14ac:dyDescent="0.2">
      <c r="A13" s="8">
        <v>40664</v>
      </c>
      <c r="B13" s="11">
        <f>IF(VLOOKUP(A13,'DB Country PMI'!$A:$W,MATCH($A$1,'DB Country PMI'!$A$1:$W$1,),)=0,#N/A,VLOOKUP(A13,'DB Country PMI'!$A:$W,MATCH($A$1,'DB Country PMI'!$A$1:$W$1,),))</f>
        <v>50.1</v>
      </c>
      <c r="C13" s="14">
        <f>Table13468113456789[[#This Row],[PMI]]-B12</f>
        <v>-2.1000000000000014</v>
      </c>
    </row>
    <row r="14" spans="1:10" x14ac:dyDescent="0.2">
      <c r="A14" s="8">
        <v>40695</v>
      </c>
      <c r="B14" s="11">
        <f>IF(VLOOKUP(A14,'DB Country PMI'!$A:$W,MATCH($A$1,'DB Country PMI'!$A$1:$W$1,),)=0,#N/A,VLOOKUP(A14,'DB Country PMI'!$A:$W,MATCH($A$1,'DB Country PMI'!$A$1:$W$1,),))</f>
        <v>47.4</v>
      </c>
      <c r="C14" s="14">
        <f>Table13468113456789[[#This Row],[PMI]]-B13</f>
        <v>-2.7000000000000028</v>
      </c>
    </row>
    <row r="15" spans="1:10" x14ac:dyDescent="0.2">
      <c r="A15" s="8">
        <v>40725</v>
      </c>
      <c r="B15" s="11">
        <f>IF(VLOOKUP(A15,'DB Country PMI'!$A:$W,MATCH($A$1,'DB Country PMI'!$A$1:$W$1,),)=0,#N/A,VLOOKUP(A15,'DB Country PMI'!$A:$W,MATCH($A$1,'DB Country PMI'!$A$1:$W$1,),))</f>
        <v>48.6</v>
      </c>
      <c r="C15" s="14">
        <f>Table13468113456789[[#This Row],[PMI]]-B14</f>
        <v>1.2000000000000028</v>
      </c>
    </row>
    <row r="16" spans="1:10" x14ac:dyDescent="0.2">
      <c r="A16" s="8">
        <v>40756</v>
      </c>
      <c r="B16" s="11">
        <f>IF(VLOOKUP(A16,'DB Country PMI'!$A:$W,MATCH($A$1,'DB Country PMI'!$A$1:$W$1,),)=0,#N/A,VLOOKUP(A16,'DB Country PMI'!$A:$W,MATCH($A$1,'DB Country PMI'!$A$1:$W$1,),))</f>
        <v>48.4</v>
      </c>
      <c r="C16" s="14">
        <f>Table13468113456789[[#This Row],[PMI]]-B15</f>
        <v>-0.20000000000000284</v>
      </c>
    </row>
    <row r="17" spans="1:3" x14ac:dyDescent="0.2">
      <c r="A17" s="8">
        <v>40787</v>
      </c>
      <c r="B17" s="11">
        <f>IF(VLOOKUP(A17,'DB Country PMI'!$A:$W,MATCH($A$1,'DB Country PMI'!$A$1:$W$1,),)=0,#N/A,VLOOKUP(A17,'DB Country PMI'!$A:$W,MATCH($A$1,'DB Country PMI'!$A$1:$W$1,),))</f>
        <v>45.8</v>
      </c>
      <c r="C17" s="14">
        <f>Table13468113456789[[#This Row],[PMI]]-B16</f>
        <v>-2.6000000000000014</v>
      </c>
    </row>
    <row r="18" spans="1:3" x14ac:dyDescent="0.2">
      <c r="A18" s="8">
        <v>40817</v>
      </c>
      <c r="B18" s="11">
        <f>IF(VLOOKUP(A18,'DB Country PMI'!$A:$W,MATCH($A$1,'DB Country PMI'!$A$1:$W$1,),)=0,#N/A,VLOOKUP(A18,'DB Country PMI'!$A:$W,MATCH($A$1,'DB Country PMI'!$A$1:$W$1,),))</f>
        <v>43.9</v>
      </c>
      <c r="C18" s="14">
        <f>Table13468113456789[[#This Row],[PMI]]-B17</f>
        <v>-1.8999999999999986</v>
      </c>
    </row>
    <row r="19" spans="1:3" x14ac:dyDescent="0.2">
      <c r="A19" s="8">
        <v>40848</v>
      </c>
      <c r="B19" s="11">
        <f>IF(VLOOKUP(A19,'DB Country PMI'!$A:$W,MATCH($A$1,'DB Country PMI'!$A$1:$W$1,),)=0,#N/A,VLOOKUP(A19,'DB Country PMI'!$A:$W,MATCH($A$1,'DB Country PMI'!$A$1:$W$1,),))</f>
        <v>45.8</v>
      </c>
      <c r="C19" s="14">
        <f>Table13468113456789[[#This Row],[PMI]]-B18</f>
        <v>1.8999999999999986</v>
      </c>
    </row>
    <row r="20" spans="1:3" x14ac:dyDescent="0.2">
      <c r="A20" s="8">
        <v>40878</v>
      </c>
      <c r="B20" s="11">
        <f>IF(VLOOKUP(A20,'DB Country PMI'!$A:$W,MATCH($A$1,'DB Country PMI'!$A$1:$W$1,),)=0,#N/A,VLOOKUP(A20,'DB Country PMI'!$A:$W,MATCH($A$1,'DB Country PMI'!$A$1:$W$1,),))</f>
        <v>44.5</v>
      </c>
      <c r="C20" s="14">
        <f>Table13468113456789[[#This Row],[PMI]]-B19</f>
        <v>-1.2999999999999972</v>
      </c>
    </row>
    <row r="21" spans="1:3" x14ac:dyDescent="0.2">
      <c r="A21" s="8">
        <v>40909</v>
      </c>
      <c r="B21" s="11">
        <f>IF(VLOOKUP(A21,'DB Country PMI'!$A:$W,MATCH($A$1,'DB Country PMI'!$A$1:$W$1,),)=0,#N/A,VLOOKUP(A21,'DB Country PMI'!$A:$W,MATCH($A$1,'DB Country PMI'!$A$1:$W$1,),))</f>
        <v>44.8</v>
      </c>
      <c r="C21" s="14">
        <f>Table13468113456789[[#This Row],[PMI]]-B20</f>
        <v>0.29999999999999716</v>
      </c>
    </row>
    <row r="22" spans="1:3" x14ac:dyDescent="0.2">
      <c r="A22" s="8">
        <v>40940</v>
      </c>
      <c r="B22" s="11">
        <f>IF(VLOOKUP(A22,'DB Country PMI'!$A:$W,MATCH($A$1,'DB Country PMI'!$A$1:$W$1,),)=0,#N/A,VLOOKUP(A22,'DB Country PMI'!$A:$W,MATCH($A$1,'DB Country PMI'!$A$1:$W$1,),))</f>
        <v>44.1</v>
      </c>
      <c r="C22" s="14">
        <f>Table13468113456789[[#This Row],[PMI]]-B21</f>
        <v>-0.69999999999999574</v>
      </c>
    </row>
    <row r="23" spans="1:3" x14ac:dyDescent="0.2">
      <c r="A23" s="8">
        <v>40969</v>
      </c>
      <c r="B23" s="11">
        <f>IF(VLOOKUP(A23,'DB Country PMI'!$A:$W,MATCH($A$1,'DB Country PMI'!$A$1:$W$1,),)=0,#N/A,VLOOKUP(A23,'DB Country PMI'!$A:$W,MATCH($A$1,'DB Country PMI'!$A$1:$W$1,),))</f>
        <v>44.3</v>
      </c>
      <c r="C23" s="14">
        <f>Table13468113456789[[#This Row],[PMI]]-B22</f>
        <v>0.19999999999999574</v>
      </c>
    </row>
    <row r="24" spans="1:3" x14ac:dyDescent="0.2">
      <c r="A24" s="8">
        <v>41000</v>
      </c>
      <c r="B24" s="11">
        <f>IF(VLOOKUP(A24,'DB Country PMI'!$A:$W,MATCH($A$1,'DB Country PMI'!$A$1:$W$1,),)=0,#N/A,VLOOKUP(A24,'DB Country PMI'!$A:$W,MATCH($A$1,'DB Country PMI'!$A$1:$W$1,),))</f>
        <v>42.3</v>
      </c>
      <c r="C24" s="14">
        <f>Table13468113456789[[#This Row],[PMI]]-B23</f>
        <v>-2</v>
      </c>
    </row>
    <row r="25" spans="1:3" x14ac:dyDescent="0.2">
      <c r="A25" s="8">
        <v>41030</v>
      </c>
      <c r="B25" s="11">
        <f>IF(VLOOKUP(A25,'DB Country PMI'!$A:$W,MATCH($A$1,'DB Country PMI'!$A$1:$W$1,),)=0,#N/A,VLOOKUP(A25,'DB Country PMI'!$A:$W,MATCH($A$1,'DB Country PMI'!$A$1:$W$1,),))</f>
        <v>42.8</v>
      </c>
      <c r="C25" s="14">
        <f>Table13468113456789[[#This Row],[PMI]]-B24</f>
        <v>0.5</v>
      </c>
    </row>
    <row r="26" spans="1:3" x14ac:dyDescent="0.2">
      <c r="A26" s="8">
        <v>41061</v>
      </c>
      <c r="B26" s="11">
        <f>IF(VLOOKUP(A26,'DB Country PMI'!$A:$W,MATCH($A$1,'DB Country PMI'!$A$1:$W$1,),)=0,#N/A,VLOOKUP(A26,'DB Country PMI'!$A:$W,MATCH($A$1,'DB Country PMI'!$A$1:$W$1,),))</f>
        <v>43.1</v>
      </c>
      <c r="C26" s="14">
        <f>Table13468113456789[[#This Row],[PMI]]-B25</f>
        <v>0.30000000000000426</v>
      </c>
    </row>
    <row r="27" spans="1:3" x14ac:dyDescent="0.2">
      <c r="A27" s="8">
        <v>41091</v>
      </c>
      <c r="B27" s="11">
        <f>IF(VLOOKUP(A27,'DB Country PMI'!$A:$W,MATCH($A$1,'DB Country PMI'!$A$1:$W$1,),)=0,#N/A,VLOOKUP(A27,'DB Country PMI'!$A:$W,MATCH($A$1,'DB Country PMI'!$A$1:$W$1,),))</f>
        <v>43</v>
      </c>
      <c r="C27" s="14">
        <f>Table13468113456789[[#This Row],[PMI]]-B26</f>
        <v>-0.10000000000000142</v>
      </c>
    </row>
    <row r="28" spans="1:3" x14ac:dyDescent="0.2">
      <c r="A28" s="8">
        <v>41122</v>
      </c>
      <c r="B28" s="11">
        <f>IF(VLOOKUP(A28,'DB Country PMI'!$A:$W,MATCH($A$1,'DB Country PMI'!$A$1:$W$1,),)=0,#N/A,VLOOKUP(A28,'DB Country PMI'!$A:$W,MATCH($A$1,'DB Country PMI'!$A$1:$W$1,),))</f>
        <v>44</v>
      </c>
      <c r="C28" s="14">
        <f>Table13468113456789[[#This Row],[PMI]]-B27</f>
        <v>1</v>
      </c>
    </row>
    <row r="29" spans="1:3" x14ac:dyDescent="0.2">
      <c r="A29" s="8">
        <v>41153</v>
      </c>
      <c r="B29" s="11">
        <f>IF(VLOOKUP(A29,'DB Country PMI'!$A:$W,MATCH($A$1,'DB Country PMI'!$A$1:$W$1,),)=0,#N/A,VLOOKUP(A29,'DB Country PMI'!$A:$W,MATCH($A$1,'DB Country PMI'!$A$1:$W$1,),))</f>
        <v>44.5</v>
      </c>
      <c r="C29" s="14">
        <f>Table13468113456789[[#This Row],[PMI]]-B28</f>
        <v>0.5</v>
      </c>
    </row>
    <row r="30" spans="1:3" x14ac:dyDescent="0.2">
      <c r="A30" s="8">
        <v>41183</v>
      </c>
      <c r="B30" s="11">
        <f>IF(VLOOKUP(A30,'DB Country PMI'!$A:$W,MATCH($A$1,'DB Country PMI'!$A$1:$W$1,),)=0,#N/A,VLOOKUP(A30,'DB Country PMI'!$A:$W,MATCH($A$1,'DB Country PMI'!$A$1:$W$1,),))</f>
        <v>46</v>
      </c>
      <c r="C30" s="14">
        <f>Table13468113456789[[#This Row],[PMI]]-B29</f>
        <v>1.5</v>
      </c>
    </row>
    <row r="31" spans="1:3" x14ac:dyDescent="0.2">
      <c r="A31" s="8">
        <v>41214</v>
      </c>
      <c r="B31" s="11">
        <f>IF(VLOOKUP(A31,'DB Country PMI'!$A:$W,MATCH($A$1,'DB Country PMI'!$A$1:$W$1,),)=0,#N/A,VLOOKUP(A31,'DB Country PMI'!$A:$W,MATCH($A$1,'DB Country PMI'!$A$1:$W$1,),))</f>
        <v>44.6</v>
      </c>
      <c r="C31" s="14">
        <f>Table13468113456789[[#This Row],[PMI]]-B30</f>
        <v>-1.3999999999999986</v>
      </c>
    </row>
    <row r="32" spans="1:3" x14ac:dyDescent="0.2">
      <c r="A32" s="8">
        <v>41244</v>
      </c>
      <c r="B32" s="11">
        <f>IF(VLOOKUP(A32,'DB Country PMI'!$A:$W,MATCH($A$1,'DB Country PMI'!$A$1:$W$1,),)=0,#N/A,VLOOKUP(A32,'DB Country PMI'!$A:$W,MATCH($A$1,'DB Country PMI'!$A$1:$W$1,),))</f>
        <v>43.1</v>
      </c>
      <c r="C32" s="14">
        <f>Table13468113456789[[#This Row],[PMI]]-B31</f>
        <v>-1.5</v>
      </c>
    </row>
    <row r="33" spans="1:3" x14ac:dyDescent="0.2">
      <c r="A33" s="8">
        <v>41275</v>
      </c>
      <c r="B33" s="11">
        <f>IF(VLOOKUP(A33,'DB Country PMI'!$A:$W,MATCH($A$1,'DB Country PMI'!$A$1:$W$1,),)=0,#N/A,VLOOKUP(A33,'DB Country PMI'!$A:$W,MATCH($A$1,'DB Country PMI'!$A$1:$W$1,),))</f>
        <v>43.9</v>
      </c>
      <c r="C33" s="14">
        <f>Table13468113456789[[#This Row],[PMI]]-B32</f>
        <v>0.79999999999999716</v>
      </c>
    </row>
    <row r="34" spans="1:3" x14ac:dyDescent="0.2">
      <c r="A34" s="8">
        <v>41306</v>
      </c>
      <c r="B34" s="11">
        <f>IF(VLOOKUP(A34,'DB Country PMI'!$A:$W,MATCH($A$1,'DB Country PMI'!$A$1:$W$1,),)=0,#N/A,VLOOKUP(A34,'DB Country PMI'!$A:$W,MATCH($A$1,'DB Country PMI'!$A$1:$W$1,),))</f>
        <v>43.6</v>
      </c>
      <c r="C34" s="14">
        <f>Table13468113456789[[#This Row],[PMI]]-B33</f>
        <v>-0.29999999999999716</v>
      </c>
    </row>
    <row r="35" spans="1:3" x14ac:dyDescent="0.2">
      <c r="A35" s="8">
        <v>41334</v>
      </c>
      <c r="B35" s="11">
        <f>IF(VLOOKUP(A35,'DB Country PMI'!$A:$W,MATCH($A$1,'DB Country PMI'!$A$1:$W$1,),)=0,#N/A,VLOOKUP(A35,'DB Country PMI'!$A:$W,MATCH($A$1,'DB Country PMI'!$A$1:$W$1,),))</f>
        <v>45.5</v>
      </c>
      <c r="C35" s="14">
        <f>Table13468113456789[[#This Row],[PMI]]-B34</f>
        <v>1.8999999999999986</v>
      </c>
    </row>
    <row r="36" spans="1:3" x14ac:dyDescent="0.2">
      <c r="A36" s="8">
        <v>41365</v>
      </c>
      <c r="B36" s="11">
        <f>IF(VLOOKUP(A36,'DB Country PMI'!$A:$W,MATCH($A$1,'DB Country PMI'!$A$1:$W$1,),)=0,#N/A,VLOOKUP(A36,'DB Country PMI'!$A:$W,MATCH($A$1,'DB Country PMI'!$A$1:$W$1,),))</f>
        <v>47</v>
      </c>
      <c r="C36" s="14">
        <f>Table13468113456789[[#This Row],[PMI]]-B35</f>
        <v>1.5</v>
      </c>
    </row>
    <row r="37" spans="1:3" x14ac:dyDescent="0.2">
      <c r="A37" s="8">
        <v>41395</v>
      </c>
      <c r="B37" s="11">
        <f>IF(VLOOKUP(A37,'DB Country PMI'!$A:$W,MATCH($A$1,'DB Country PMI'!$A$1:$W$1,),)=0,#N/A,VLOOKUP(A37,'DB Country PMI'!$A:$W,MATCH($A$1,'DB Country PMI'!$A$1:$W$1,),))</f>
        <v>46.5</v>
      </c>
      <c r="C37" s="14">
        <f>Table13468113456789[[#This Row],[PMI]]-B36</f>
        <v>-0.5</v>
      </c>
    </row>
    <row r="38" spans="1:3" x14ac:dyDescent="0.2">
      <c r="A38" s="8">
        <v>41426</v>
      </c>
      <c r="B38" s="11">
        <f>IF(VLOOKUP(A38,'DB Country PMI'!$A:$W,MATCH($A$1,'DB Country PMI'!$A$1:$W$1,),)=0,#N/A,VLOOKUP(A38,'DB Country PMI'!$A:$W,MATCH($A$1,'DB Country PMI'!$A$1:$W$1,),))</f>
        <v>45.8</v>
      </c>
      <c r="C38" s="14">
        <f>Table13468113456789[[#This Row],[PMI]]-B37</f>
        <v>-0.70000000000000284</v>
      </c>
    </row>
    <row r="39" spans="1:3" x14ac:dyDescent="0.2">
      <c r="A39" s="8">
        <v>41456</v>
      </c>
      <c r="B39" s="11">
        <f>IF(VLOOKUP(A39,'DB Country PMI'!$A:$W,MATCH($A$1,'DB Country PMI'!$A$1:$W$1,),)=0,#N/A,VLOOKUP(A39,'DB Country PMI'!$A:$W,MATCH($A$1,'DB Country PMI'!$A$1:$W$1,),))</f>
        <v>48.7</v>
      </c>
      <c r="C39" s="14">
        <f>Table13468113456789[[#This Row],[PMI]]-B38</f>
        <v>2.9000000000000057</v>
      </c>
    </row>
    <row r="40" spans="1:3" x14ac:dyDescent="0.2">
      <c r="A40" s="8">
        <v>41487</v>
      </c>
      <c r="B40" s="11">
        <f>IF(VLOOKUP(A40,'DB Country PMI'!$A:$W,MATCH($A$1,'DB Country PMI'!$A$1:$W$1,),)=0,#N/A,VLOOKUP(A40,'DB Country PMI'!$A:$W,MATCH($A$1,'DB Country PMI'!$A$1:$W$1,),))</f>
        <v>48.8</v>
      </c>
      <c r="C40" s="14">
        <f>Table13468113456789[[#This Row],[PMI]]-B39</f>
        <v>9.9999999999994316E-2</v>
      </c>
    </row>
    <row r="41" spans="1:3" x14ac:dyDescent="0.2">
      <c r="A41" s="8">
        <v>41518</v>
      </c>
      <c r="B41" s="11">
        <f>IF(VLOOKUP(A41,'DB Country PMI'!$A:$W,MATCH($A$1,'DB Country PMI'!$A$1:$W$1,),)=0,#N/A,VLOOKUP(A41,'DB Country PMI'!$A:$W,MATCH($A$1,'DB Country PMI'!$A$1:$W$1,),))</f>
        <v>52.7</v>
      </c>
      <c r="C41" s="14">
        <f>Table13468113456789[[#This Row],[PMI]]-B40</f>
        <v>3.9000000000000057</v>
      </c>
    </row>
    <row r="42" spans="1:3" x14ac:dyDescent="0.2">
      <c r="A42" s="8">
        <v>41548</v>
      </c>
      <c r="B42" s="11">
        <f>IF(VLOOKUP(A42,'DB Country PMI'!$A:$W,MATCH($A$1,'DB Country PMI'!$A$1:$W$1,),)=0,#N/A,VLOOKUP(A42,'DB Country PMI'!$A:$W,MATCH($A$1,'DB Country PMI'!$A$1:$W$1,),))</f>
        <v>50.5</v>
      </c>
      <c r="C42" s="14">
        <f>Table13468113456789[[#This Row],[PMI]]-B41</f>
        <v>-2.2000000000000028</v>
      </c>
    </row>
    <row r="43" spans="1:3" x14ac:dyDescent="0.2">
      <c r="A43" s="8">
        <v>41579</v>
      </c>
      <c r="B43" s="11">
        <f>IF(VLOOKUP(A43,'DB Country PMI'!$A:$W,MATCH($A$1,'DB Country PMI'!$A$1:$W$1,),)=0,#N/A,VLOOKUP(A43,'DB Country PMI'!$A:$W,MATCH($A$1,'DB Country PMI'!$A$1:$W$1,),))</f>
        <v>47.2</v>
      </c>
      <c r="C43" s="14">
        <f>Table13468113456789[[#This Row],[PMI]]-B42</f>
        <v>-3.2999999999999972</v>
      </c>
    </row>
    <row r="44" spans="1:3" x14ac:dyDescent="0.2">
      <c r="A44" s="8">
        <v>41609</v>
      </c>
      <c r="B44" s="11">
        <f>IF(VLOOKUP(A44,'DB Country PMI'!$A:$W,MATCH($A$1,'DB Country PMI'!$A$1:$W$1,),)=0,#N/A,VLOOKUP(A44,'DB Country PMI'!$A:$W,MATCH($A$1,'DB Country PMI'!$A$1:$W$1,),))</f>
        <v>48.6</v>
      </c>
      <c r="C44" s="14">
        <f>Table13468113456789[[#This Row],[PMI]]-B43</f>
        <v>1.3999999999999986</v>
      </c>
    </row>
    <row r="45" spans="1:3" x14ac:dyDescent="0.2">
      <c r="A45" s="8">
        <v>41640</v>
      </c>
      <c r="B45" s="11">
        <f>IF(VLOOKUP(A45,'DB Country PMI'!$A:$W,MATCH($A$1,'DB Country PMI'!$A$1:$W$1,),)=0,#N/A,VLOOKUP(A45,'DB Country PMI'!$A:$W,MATCH($A$1,'DB Country PMI'!$A$1:$W$1,),))</f>
        <v>49.4</v>
      </c>
      <c r="C45" s="14">
        <f>Table13468113456789[[#This Row],[PMI]]-B44</f>
        <v>0.79999999999999716</v>
      </c>
    </row>
    <row r="46" spans="1:3" x14ac:dyDescent="0.2">
      <c r="A46" s="8">
        <v>41671</v>
      </c>
      <c r="B46" s="11">
        <f>IF(VLOOKUP(A46,'DB Country PMI'!$A:$W,MATCH($A$1,'DB Country PMI'!$A$1:$W$1,),)=0,#N/A,VLOOKUP(A46,'DB Country PMI'!$A:$W,MATCH($A$1,'DB Country PMI'!$A$1:$W$1,),))</f>
        <v>52.9</v>
      </c>
      <c r="C46" s="14">
        <f>Table13468113456789[[#This Row],[PMI]]-B45</f>
        <v>3.5</v>
      </c>
    </row>
    <row r="47" spans="1:3" x14ac:dyDescent="0.2">
      <c r="A47" s="8">
        <v>41699</v>
      </c>
      <c r="B47" s="11">
        <f>IF(VLOOKUP(A47,'DB Country PMI'!$A:$W,MATCH($A$1,'DB Country PMI'!$A$1:$W$1,),)=0,#N/A,VLOOKUP(A47,'DB Country PMI'!$A:$W,MATCH($A$1,'DB Country PMI'!$A$1:$W$1,),))</f>
        <v>49.5</v>
      </c>
      <c r="C47" s="14">
        <f>Table13468113456789[[#This Row],[PMI]]-B46</f>
        <v>-3.3999999999999986</v>
      </c>
    </row>
    <row r="48" spans="1:3" x14ac:dyDescent="0.2">
      <c r="A48" s="8">
        <v>41730</v>
      </c>
      <c r="B48" s="11">
        <f>IF(VLOOKUP(A48,'DB Country PMI'!$A:$W,MATCH($A$1,'DB Country PMI'!$A$1:$W$1,),)=0,#N/A,VLOOKUP(A48,'DB Country PMI'!$A:$W,MATCH($A$1,'DB Country PMI'!$A$1:$W$1,),))</f>
        <v>51.1</v>
      </c>
      <c r="C48" s="14">
        <f>Table13468113456789[[#This Row],[PMI]]-B47</f>
        <v>1.6000000000000014</v>
      </c>
    </row>
    <row r="49" spans="1:3" x14ac:dyDescent="0.2">
      <c r="A49" s="8">
        <v>41760</v>
      </c>
      <c r="B49" s="11">
        <f>IF(VLOOKUP(A49,'DB Country PMI'!$A:$W,MATCH($A$1,'DB Country PMI'!$A$1:$W$1,),)=0,#N/A,VLOOKUP(A49,'DB Country PMI'!$A:$W,MATCH($A$1,'DB Country PMI'!$A$1:$W$1,),))</f>
        <v>51.6</v>
      </c>
      <c r="C49" s="14">
        <f>Table13468113456789[[#This Row],[PMI]]-B48</f>
        <v>0.5</v>
      </c>
    </row>
    <row r="50" spans="1:3" x14ac:dyDescent="0.2">
      <c r="A50" s="8">
        <v>41791</v>
      </c>
      <c r="B50" s="11">
        <f>IF(VLOOKUP(A50,'DB Country PMI'!$A:$W,MATCH($A$1,'DB Country PMI'!$A$1:$W$1,),)=0,#N/A,VLOOKUP(A50,'DB Country PMI'!$A:$W,MATCH($A$1,'DB Country PMI'!$A$1:$W$1,),))</f>
        <v>53.6</v>
      </c>
      <c r="C50" s="14">
        <f>Table13468113456789[[#This Row],[PMI]]-B49</f>
        <v>2</v>
      </c>
    </row>
    <row r="51" spans="1:3" x14ac:dyDescent="0.2">
      <c r="A51" s="8">
        <v>41821</v>
      </c>
      <c r="B51" s="11">
        <f>IF(VLOOKUP(A51,'DB Country PMI'!$A:$W,MATCH($A$1,'DB Country PMI'!$A$1:$W$1,),)=0,#N/A,VLOOKUP(A51,'DB Country PMI'!$A:$W,MATCH($A$1,'DB Country PMI'!$A$1:$W$1,),))</f>
        <v>52.8</v>
      </c>
      <c r="C51" s="14">
        <f>Table13468113456789[[#This Row],[PMI]]-B50</f>
        <v>-0.80000000000000426</v>
      </c>
    </row>
    <row r="52" spans="1:3" x14ac:dyDescent="0.2">
      <c r="A52" s="8">
        <v>41852</v>
      </c>
      <c r="B52" s="11">
        <f>IF(VLOOKUP(A52,'DB Country PMI'!$A:$W,MATCH($A$1,'DB Country PMI'!$A$1:$W$1,),)=0,#N/A,VLOOKUP(A52,'DB Country PMI'!$A:$W,MATCH($A$1,'DB Country PMI'!$A$1:$W$1,),))</f>
        <v>49.8</v>
      </c>
      <c r="C52" s="14">
        <f>Table13468113456789[[#This Row],[PMI]]-B51</f>
        <v>-3</v>
      </c>
    </row>
    <row r="53" spans="1:3" x14ac:dyDescent="0.2">
      <c r="A53" s="8">
        <v>41883</v>
      </c>
      <c r="B53" s="11">
        <f>IF(VLOOKUP(A53,'DB Country PMI'!$A:$W,MATCH($A$1,'DB Country PMI'!$A$1:$W$1,),)=0,#N/A,VLOOKUP(A53,'DB Country PMI'!$A:$W,MATCH($A$1,'DB Country PMI'!$A$1:$W$1,),))</f>
        <v>48.8</v>
      </c>
      <c r="C53" s="14">
        <f>Table13468113456789[[#This Row],[PMI]]-B52</f>
        <v>-1</v>
      </c>
    </row>
    <row r="54" spans="1:3" x14ac:dyDescent="0.2">
      <c r="A54" s="8">
        <v>41913</v>
      </c>
      <c r="B54" s="11">
        <f>IF(VLOOKUP(A54,'DB Country PMI'!$A:$W,MATCH($A$1,'DB Country PMI'!$A$1:$W$1,),)=0,#N/A,VLOOKUP(A54,'DB Country PMI'!$A:$W,MATCH($A$1,'DB Country PMI'!$A$1:$W$1,),))</f>
        <v>50.8</v>
      </c>
      <c r="C54" s="14">
        <f>Table13468113456789[[#This Row],[PMI]]-B53</f>
        <v>2</v>
      </c>
    </row>
    <row r="55" spans="1:3" x14ac:dyDescent="0.2">
      <c r="A55" s="8">
        <v>41944</v>
      </c>
      <c r="B55" s="11">
        <f>IF(VLOOKUP(A55,'DB Country PMI'!$A:$W,MATCH($A$1,'DB Country PMI'!$A$1:$W$1,),)=0,#N/A,VLOOKUP(A55,'DB Country PMI'!$A:$W,MATCH($A$1,'DB Country PMI'!$A$1:$W$1,),))</f>
        <v>51.8</v>
      </c>
      <c r="C55" s="14">
        <f>Table13468113456789[[#This Row],[PMI]]-B54</f>
        <v>1</v>
      </c>
    </row>
    <row r="56" spans="1:3" x14ac:dyDescent="0.2">
      <c r="A56" s="8">
        <v>41974</v>
      </c>
      <c r="B56" s="11">
        <f>IF(VLOOKUP(A56,'DB Country PMI'!$A:$W,MATCH($A$1,'DB Country PMI'!$A$1:$W$1,),)=0,#N/A,VLOOKUP(A56,'DB Country PMI'!$A:$W,MATCH($A$1,'DB Country PMI'!$A$1:$W$1,),))</f>
        <v>49.4</v>
      </c>
      <c r="C56" s="14">
        <f>Table13468113456789[[#This Row],[PMI]]-B55</f>
        <v>-2.3999999999999986</v>
      </c>
    </row>
    <row r="57" spans="1:3" x14ac:dyDescent="0.2">
      <c r="A57" s="8">
        <v>42005</v>
      </c>
      <c r="B57" s="11">
        <f>IF(VLOOKUP(A57,'DB Country PMI'!$A:$W,MATCH($A$1,'DB Country PMI'!$A$1:$W$1,),)=0,#N/A,VLOOKUP(A57,'DB Country PMI'!$A:$W,MATCH($A$1,'DB Country PMI'!$A$1:$W$1,),))</f>
        <v>51.2</v>
      </c>
      <c r="C57" s="14">
        <f>Table13468113456789[[#This Row],[PMI]]-B56</f>
        <v>1.8000000000000043</v>
      </c>
    </row>
    <row r="58" spans="1:3" x14ac:dyDescent="0.2">
      <c r="A58" s="8">
        <v>42036</v>
      </c>
      <c r="B58" s="11">
        <f>IF(VLOOKUP(A58,'DB Country PMI'!$A:$W,MATCH($A$1,'DB Country PMI'!$A$1:$W$1,),)=0,#N/A,VLOOKUP(A58,'DB Country PMI'!$A:$W,MATCH($A$1,'DB Country PMI'!$A$1:$W$1,),))</f>
        <v>50</v>
      </c>
      <c r="C58" s="14">
        <f>Table13468113456789[[#This Row],[PMI]]-B57</f>
        <v>-1.2000000000000028</v>
      </c>
    </row>
    <row r="59" spans="1:3" x14ac:dyDescent="0.2">
      <c r="A59" s="8">
        <v>42064</v>
      </c>
      <c r="B59" s="11">
        <f>IF(VLOOKUP(A59,'DB Country PMI'!$A:$W,MATCH($A$1,'DB Country PMI'!$A$1:$W$1,),)=0,#N/A,VLOOKUP(A59,'DB Country PMI'!$A:$W,MATCH($A$1,'DB Country PMI'!$A$1:$W$1,),))</f>
        <v>51.6</v>
      </c>
      <c r="C59" s="14">
        <f>Table13468113456789[[#This Row],[PMI]]-B58</f>
        <v>1.6000000000000014</v>
      </c>
    </row>
    <row r="60" spans="1:3" x14ac:dyDescent="0.2">
      <c r="A60" s="8">
        <v>42095</v>
      </c>
      <c r="B60" s="11">
        <f>IF(VLOOKUP(A60,'DB Country PMI'!$A:$W,MATCH($A$1,'DB Country PMI'!$A$1:$W$1,),)=0,#N/A,VLOOKUP(A60,'DB Country PMI'!$A:$W,MATCH($A$1,'DB Country PMI'!$A$1:$W$1,),))</f>
        <v>53.1</v>
      </c>
      <c r="C60" s="14">
        <f>Table13468113456789[[#This Row],[PMI]]-B59</f>
        <v>1.5</v>
      </c>
    </row>
    <row r="61" spans="1:3" x14ac:dyDescent="0.2">
      <c r="A61" s="8">
        <v>42125</v>
      </c>
      <c r="B61" s="11">
        <f>IF(VLOOKUP(A61,'DB Country PMI'!$A:$W,MATCH($A$1,'DB Country PMI'!$A$1:$W$1,),)=0,#N/A,VLOOKUP(A61,'DB Country PMI'!$A:$W,MATCH($A$1,'DB Country PMI'!$A$1:$W$1,),))</f>
        <v>52.5</v>
      </c>
      <c r="C61" s="14">
        <f>Table13468113456789[[#This Row],[PMI]]-B60</f>
        <v>-0.60000000000000142</v>
      </c>
    </row>
    <row r="62" spans="1:3" x14ac:dyDescent="0.2">
      <c r="A62" s="8">
        <v>42156</v>
      </c>
      <c r="B62" s="11">
        <f>IF(VLOOKUP(A62,'DB Country PMI'!$A:$W,MATCH($A$1,'DB Country PMI'!$A$1:$W$1,),)=0,#N/A,VLOOKUP(A62,'DB Country PMI'!$A:$W,MATCH($A$1,'DB Country PMI'!$A$1:$W$1,),))</f>
        <v>53.4</v>
      </c>
      <c r="C62" s="14">
        <f>Table13468113456789[[#This Row],[PMI]]-B61</f>
        <v>0.89999999999999858</v>
      </c>
    </row>
    <row r="63" spans="1:3" x14ac:dyDescent="0.2">
      <c r="A63" s="8">
        <v>42186</v>
      </c>
      <c r="B63" s="11">
        <f>IF(VLOOKUP(A63,'DB Country PMI'!$A:$W,MATCH($A$1,'DB Country PMI'!$A$1:$W$1,),)=0,#N/A,VLOOKUP(A63,'DB Country PMI'!$A:$W,MATCH($A$1,'DB Country PMI'!$A$1:$W$1,),))</f>
        <v>52</v>
      </c>
      <c r="C63" s="14">
        <f>Table13468113456789[[#This Row],[PMI]]-B62</f>
        <v>-1.3999999999999986</v>
      </c>
    </row>
    <row r="64" spans="1:3" x14ac:dyDescent="0.2">
      <c r="A64" s="8">
        <v>42217</v>
      </c>
      <c r="B64" s="11">
        <f>IF(VLOOKUP(A64,'DB Country PMI'!$A:$W,MATCH($A$1,'DB Country PMI'!$A$1:$W$1,),)=0,#N/A,VLOOKUP(A64,'DB Country PMI'!$A:$W,MATCH($A$1,'DB Country PMI'!$A$1:$W$1,),))</f>
        <v>54.6</v>
      </c>
      <c r="C64" s="14">
        <f>Table13468113456789[[#This Row],[PMI]]-B63</f>
        <v>2.6000000000000014</v>
      </c>
    </row>
    <row r="65" spans="1:3" x14ac:dyDescent="0.2">
      <c r="A65" s="8">
        <v>42248</v>
      </c>
      <c r="B65" s="11">
        <f>IF(VLOOKUP(A65,'DB Country PMI'!$A:$W,MATCH($A$1,'DB Country PMI'!$A$1:$W$1,),)=0,#N/A,VLOOKUP(A65,'DB Country PMI'!$A:$W,MATCH($A$1,'DB Country PMI'!$A$1:$W$1,),))</f>
        <v>53.3</v>
      </c>
      <c r="C65" s="14">
        <f>Table13468113456789[[#This Row],[PMI]]-B64</f>
        <v>-1.3000000000000043</v>
      </c>
    </row>
    <row r="66" spans="1:3" x14ac:dyDescent="0.2">
      <c r="A66" s="8">
        <v>42278</v>
      </c>
      <c r="B66" s="11">
        <f>IF(VLOOKUP(A66,'DB Country PMI'!$A:$W,MATCH($A$1,'DB Country PMI'!$A$1:$W$1,),)=0,#N/A,VLOOKUP(A66,'DB Country PMI'!$A:$W,MATCH($A$1,'DB Country PMI'!$A$1:$W$1,),))</f>
        <v>53.4</v>
      </c>
      <c r="C66" s="14">
        <f>Table13468113456789[[#This Row],[PMI]]-B65</f>
        <v>0.10000000000000142</v>
      </c>
    </row>
    <row r="67" spans="1:3" x14ac:dyDescent="0.2">
      <c r="A67" s="8">
        <v>42309</v>
      </c>
      <c r="B67" s="11">
        <f>IF(VLOOKUP(A67,'DB Country PMI'!$A:$W,MATCH($A$1,'DB Country PMI'!$A$1:$W$1,),)=0,#N/A,VLOOKUP(A67,'DB Country PMI'!$A:$W,MATCH($A$1,'DB Country PMI'!$A$1:$W$1,),))</f>
        <v>53.4</v>
      </c>
      <c r="C67" s="14">
        <f>Table13468113456789[[#This Row],[PMI]]-B66</f>
        <v>0</v>
      </c>
    </row>
    <row r="68" spans="1:3" x14ac:dyDescent="0.2">
      <c r="A68" s="8">
        <v>42339</v>
      </c>
      <c r="B68" s="11">
        <f>IF(VLOOKUP(A68,'DB Country PMI'!$A:$W,MATCH($A$1,'DB Country PMI'!$A$1:$W$1,),)=0,#N/A,VLOOKUP(A68,'DB Country PMI'!$A:$W,MATCH($A$1,'DB Country PMI'!$A$1:$W$1,),))</f>
        <v>55.3</v>
      </c>
      <c r="C68" s="14">
        <f>Table13468113456789[[#This Row],[PMI]]-B67</f>
        <v>1.8999999999999986</v>
      </c>
    </row>
    <row r="69" spans="1:3" x14ac:dyDescent="0.2">
      <c r="A69" s="8">
        <v>42370</v>
      </c>
      <c r="B69" s="11">
        <f>IF(VLOOKUP(A69,'DB Country PMI'!$A:$W,MATCH($A$1,'DB Country PMI'!$A$1:$W$1,),)=0,#N/A,VLOOKUP(A69,'DB Country PMI'!$A:$W,MATCH($A$1,'DB Country PMI'!$A$1:$W$1,),))</f>
        <v>53.6</v>
      </c>
      <c r="C69" s="14">
        <f>Table13468113456789[[#This Row],[PMI]]-B68</f>
        <v>-1.6999999999999957</v>
      </c>
    </row>
    <row r="70" spans="1:3" x14ac:dyDescent="0.2">
      <c r="A70" s="8">
        <v>42401</v>
      </c>
      <c r="B70" s="11">
        <f>IF(VLOOKUP(A70,'DB Country PMI'!$A:$W,MATCH($A$1,'DB Country PMI'!$A$1:$W$1,),)=0,#N/A,VLOOKUP(A70,'DB Country PMI'!$A:$W,MATCH($A$1,'DB Country PMI'!$A$1:$W$1,),))</f>
        <v>53.8</v>
      </c>
      <c r="C70" s="14">
        <f>Table13468113456789[[#This Row],[PMI]]-B69</f>
        <v>0.19999999999999574</v>
      </c>
    </row>
    <row r="71" spans="1:3" x14ac:dyDescent="0.2">
      <c r="A71" s="8">
        <v>42430</v>
      </c>
      <c r="B71" s="11">
        <f>IF(VLOOKUP(A71,'DB Country PMI'!$A:$W,MATCH($A$1,'DB Country PMI'!$A$1:$W$1,),)=0,#N/A,VLOOKUP(A71,'DB Country PMI'!$A:$W,MATCH($A$1,'DB Country PMI'!$A$1:$W$1,),))</f>
        <v>51.2</v>
      </c>
      <c r="C71" s="14">
        <f>Table13468113456789[[#This Row],[PMI]]-B70</f>
        <v>-2.5999999999999943</v>
      </c>
    </row>
    <row r="72" spans="1:3" x14ac:dyDescent="0.2">
      <c r="A72" s="8">
        <v>42461</v>
      </c>
      <c r="B72" s="11">
        <f>IF(VLOOKUP(A72,'DB Country PMI'!$A:$W,MATCH($A$1,'DB Country PMI'!$A$1:$W$1,),)=0,#N/A,VLOOKUP(A72,'DB Country PMI'!$A:$W,MATCH($A$1,'DB Country PMI'!$A$1:$W$1,),))</f>
        <v>52.1</v>
      </c>
      <c r="C72" s="14">
        <f>Table13468113456789[[#This Row],[PMI]]-B71</f>
        <v>0.89999999999999858</v>
      </c>
    </row>
    <row r="73" spans="1:3" x14ac:dyDescent="0.2">
      <c r="A73" s="8">
        <v>42491</v>
      </c>
      <c r="B73" s="11">
        <f>IF(VLOOKUP(A73,'DB Country PMI'!$A:$W,MATCH($A$1,'DB Country PMI'!$A$1:$W$1,),)=0,#N/A,VLOOKUP(A73,'DB Country PMI'!$A:$W,MATCH($A$1,'DB Country PMI'!$A$1:$W$1,),))</f>
        <v>49.8</v>
      </c>
      <c r="C73" s="14">
        <f>Table13468113456789[[#This Row],[PMI]]-B72</f>
        <v>-2.3000000000000043</v>
      </c>
    </row>
    <row r="74" spans="1:3" x14ac:dyDescent="0.2">
      <c r="A74" s="8">
        <v>42522</v>
      </c>
      <c r="B74" s="11">
        <f>IF(VLOOKUP(A74,'DB Country PMI'!$A:$W,MATCH($A$1,'DB Country PMI'!$A$1:$W$1,),)=0,#N/A,VLOOKUP(A74,'DB Country PMI'!$A:$W,MATCH($A$1,'DB Country PMI'!$A$1:$W$1,),))</f>
        <v>51.9</v>
      </c>
      <c r="C74" s="14">
        <f>Table13468113456789[[#This Row],[PMI]]-B73</f>
        <v>2.1000000000000014</v>
      </c>
    </row>
    <row r="75" spans="1:3" x14ac:dyDescent="0.2">
      <c r="A75" s="8">
        <v>42552</v>
      </c>
      <c r="B75" s="11">
        <f>IF(VLOOKUP(A75,'DB Country PMI'!$A:$W,MATCH($A$1,'DB Country PMI'!$A$1:$W$1,),)=0,#N/A,VLOOKUP(A75,'DB Country PMI'!$A:$W,MATCH($A$1,'DB Country PMI'!$A$1:$W$1,),))</f>
        <v>52</v>
      </c>
      <c r="C75" s="14">
        <f>Table13468113456789[[#This Row],[PMI]]-B74</f>
        <v>0.10000000000000142</v>
      </c>
    </row>
    <row r="76" spans="1:3" x14ac:dyDescent="0.2">
      <c r="A76" s="8">
        <v>42583</v>
      </c>
      <c r="B76" s="11">
        <f>IF(VLOOKUP(A76,'DB Country PMI'!$A:$W,MATCH($A$1,'DB Country PMI'!$A$1:$W$1,),)=0,#N/A,VLOOKUP(A76,'DB Country PMI'!$A:$W,MATCH($A$1,'DB Country PMI'!$A$1:$W$1,),))</f>
        <v>52.3</v>
      </c>
      <c r="C76" s="14">
        <f>Table13468113456789[[#This Row],[PMI]]-B75</f>
        <v>0.29999999999999716</v>
      </c>
    </row>
    <row r="77" spans="1:3" x14ac:dyDescent="0.2">
      <c r="A77" s="8">
        <v>42614</v>
      </c>
      <c r="B77" s="11">
        <f>IF(VLOOKUP(A77,'DB Country PMI'!$A:$W,MATCH($A$1,'DB Country PMI'!$A$1:$W$1,),)=0,#N/A,VLOOKUP(A77,'DB Country PMI'!$A:$W,MATCH($A$1,'DB Country PMI'!$A$1:$W$1,),))</f>
        <v>50.7</v>
      </c>
      <c r="C77" s="14">
        <f>Table13468113456789[[#This Row],[PMI]]-B76</f>
        <v>-1.5999999999999943</v>
      </c>
    </row>
    <row r="78" spans="1:3" x14ac:dyDescent="0.2">
      <c r="A78" s="8">
        <v>42644</v>
      </c>
      <c r="B78" s="11">
        <f>IF(VLOOKUP(A78,'DB Country PMI'!$A:$W,MATCH($A$1,'DB Country PMI'!$A$1:$W$1,),)=0,#N/A,VLOOKUP(A78,'DB Country PMI'!$A:$W,MATCH($A$1,'DB Country PMI'!$A$1:$W$1,),))</f>
        <v>51</v>
      </c>
      <c r="C78" s="14">
        <f>Table13468113456789[[#This Row],[PMI]]-B77</f>
        <v>0.29999999999999716</v>
      </c>
    </row>
    <row r="79" spans="1:3" x14ac:dyDescent="0.2">
      <c r="A79" s="8">
        <v>42675</v>
      </c>
      <c r="B79" s="11">
        <f>IF(VLOOKUP(A79,'DB Country PMI'!$A:$W,MATCH($A$1,'DB Country PMI'!$A$1:$W$1,),)=0,#N/A,VLOOKUP(A79,'DB Country PMI'!$A:$W,MATCH($A$1,'DB Country PMI'!$A$1:$W$1,),))</f>
        <v>53.3</v>
      </c>
      <c r="C79" s="14">
        <f>Table13468113456789[[#This Row],[PMI]]-B78</f>
        <v>2.2999999999999972</v>
      </c>
    </row>
    <row r="80" spans="1:3" x14ac:dyDescent="0.2">
      <c r="A80" s="8">
        <v>42705</v>
      </c>
      <c r="B80" s="11">
        <f>IF(VLOOKUP(A80,'DB Country PMI'!$A:$W,MATCH($A$1,'DB Country PMI'!$A$1:$W$1,),)=0,#N/A,VLOOKUP(A80,'DB Country PMI'!$A:$W,MATCH($A$1,'DB Country PMI'!$A$1:$W$1,),))</f>
        <v>52.3</v>
      </c>
      <c r="C80" s="14">
        <f>Table13468113456789[[#This Row],[PMI]]-B79</f>
        <v>-1</v>
      </c>
    </row>
    <row r="81" spans="1:3" x14ac:dyDescent="0.2">
      <c r="A81" s="8">
        <v>42736</v>
      </c>
      <c r="B81" s="11">
        <f>IF(VLOOKUP(A81,'DB Country PMI'!$A:$W,MATCH($A$1,'DB Country PMI'!$A$1:$W$1,),)=0,#N/A,VLOOKUP(A81,'DB Country PMI'!$A:$W,MATCH($A$1,'DB Country PMI'!$A$1:$W$1,),))</f>
        <v>52.4</v>
      </c>
      <c r="C81" s="14">
        <f>Table13468113456789[[#This Row],[PMI]]-B80</f>
        <v>0.10000000000000142</v>
      </c>
    </row>
    <row r="82" spans="1:3" x14ac:dyDescent="0.2">
      <c r="A82" s="8">
        <v>42767</v>
      </c>
      <c r="B82" s="11">
        <f>IF(VLOOKUP(A82,'DB Country PMI'!$A:$W,MATCH($A$1,'DB Country PMI'!$A$1:$W$1,),)=0,#N/A,VLOOKUP(A82,'DB Country PMI'!$A:$W,MATCH($A$1,'DB Country PMI'!$A$1:$W$1,),))</f>
        <v>54.1</v>
      </c>
      <c r="C82" s="14">
        <f>Table13468113456789[[#This Row],[PMI]]-B81</f>
        <v>1.7000000000000028</v>
      </c>
    </row>
    <row r="83" spans="1:3" x14ac:dyDescent="0.2">
      <c r="A83" s="8">
        <v>42795</v>
      </c>
      <c r="B83" s="11">
        <f>IF(VLOOKUP(A83,'DB Country PMI'!$A:$W,MATCH($A$1,'DB Country PMI'!$A$1:$W$1,),)=0,#N/A,VLOOKUP(A83,'DB Country PMI'!$A:$W,MATCH($A$1,'DB Country PMI'!$A$1:$W$1,),))</f>
        <v>52.9</v>
      </c>
      <c r="C83" s="14">
        <f>Table13468113456789[[#This Row],[PMI]]-B82</f>
        <v>-1.2000000000000028</v>
      </c>
    </row>
    <row r="84" spans="1:3" x14ac:dyDescent="0.2">
      <c r="A84" s="8">
        <v>42826</v>
      </c>
      <c r="B84" s="11">
        <f>IF(VLOOKUP(A84,'DB Country PMI'!$A:$W,MATCH($A$1,'DB Country PMI'!$A$1:$W$1,),)=0,#N/A,VLOOKUP(A84,'DB Country PMI'!$A:$W,MATCH($A$1,'DB Country PMI'!$A$1:$W$1,),))</f>
        <v>56.2</v>
      </c>
      <c r="C84" s="14">
        <f>Table13468113456789[[#This Row],[PMI]]-B83</f>
        <v>3.3000000000000043</v>
      </c>
    </row>
    <row r="85" spans="1:3" x14ac:dyDescent="0.2">
      <c r="A85" s="8">
        <v>42856</v>
      </c>
      <c r="B85" s="11">
        <f>IF(VLOOKUP(A85,'DB Country PMI'!$A:$W,MATCH($A$1,'DB Country PMI'!$A$1:$W$1,),)=0,#N/A,VLOOKUP(A85,'DB Country PMI'!$A:$W,MATCH($A$1,'DB Country PMI'!$A$1:$W$1,),))</f>
        <v>55.1</v>
      </c>
      <c r="C85" s="14">
        <f>Table13468113456789[[#This Row],[PMI]]-B84</f>
        <v>-1.1000000000000014</v>
      </c>
    </row>
    <row r="86" spans="1:3" x14ac:dyDescent="0.2">
      <c r="A86" s="8">
        <v>42887</v>
      </c>
      <c r="B86" s="11">
        <f>IF(VLOOKUP(A86,'DB Country PMI'!$A:$W,MATCH($A$1,'DB Country PMI'!$A$1:$W$1,),)=0,#N/A,VLOOKUP(A86,'DB Country PMI'!$A:$W,MATCH($A$1,'DB Country PMI'!$A$1:$W$1,),))</f>
        <v>53.6</v>
      </c>
      <c r="C86" s="14">
        <f>Table13468113456789[[#This Row],[PMI]]-B85</f>
        <v>-1.5</v>
      </c>
    </row>
    <row r="87" spans="1:3" x14ac:dyDescent="0.2">
      <c r="A87" s="8">
        <v>42917</v>
      </c>
      <c r="B87" s="11">
        <f>IF(VLOOKUP(A87,'DB Country PMI'!$A:$W,MATCH($A$1,'DB Country PMI'!$A$1:$W$1,),)=0,#N/A,VLOOKUP(A87,'DB Country PMI'!$A:$W,MATCH($A$1,'DB Country PMI'!$A$1:$W$1,),))</f>
        <v>56.3</v>
      </c>
      <c r="C87" s="14">
        <f>Table13468113456789[[#This Row],[PMI]]-B86</f>
        <v>2.6999999999999957</v>
      </c>
    </row>
    <row r="88" spans="1:3" x14ac:dyDescent="0.2">
      <c r="A88" s="8">
        <v>42948</v>
      </c>
      <c r="B88" s="11">
        <f>IF(VLOOKUP(A88,'DB Country PMI'!$A:$W,MATCH($A$1,'DB Country PMI'!$A$1:$W$1,),)=0,#N/A,VLOOKUP(A88,'DB Country PMI'!$A:$W,MATCH($A$1,'DB Country PMI'!$A$1:$W$1,),))</f>
        <v>55.1</v>
      </c>
      <c r="C88" s="14">
        <f>Table13468113456789[[#This Row],[PMI]]-B87</f>
        <v>-1.1999999999999957</v>
      </c>
    </row>
    <row r="89" spans="1:3" x14ac:dyDescent="0.2">
      <c r="A89" s="8">
        <v>42979</v>
      </c>
      <c r="B89" s="11">
        <f>IF(VLOOKUP(A89,'DB Country PMI'!$A:$W,MATCH($A$1,'DB Country PMI'!$A$1:$W$1,),)=0,#N/A,VLOOKUP(A89,'DB Country PMI'!$A:$W,MATCH($A$1,'DB Country PMI'!$A$1:$W$1,),))</f>
        <v>53.2</v>
      </c>
      <c r="C89" s="14">
        <f>Table13468113456789[[#This Row],[PMI]]-B88</f>
        <v>-1.8999999999999986</v>
      </c>
    </row>
    <row r="90" spans="1:3" x14ac:dyDescent="0.2">
      <c r="A90" s="8">
        <v>43009</v>
      </c>
      <c r="B90" s="11">
        <f>IF(VLOOKUP(A90,'DB Country PMI'!$A:$W,MATCH($A$1,'DB Country PMI'!$A$1:$W$1,),)=0,#N/A,VLOOKUP(A90,'DB Country PMI'!$A:$W,MATCH($A$1,'DB Country PMI'!$A$1:$W$1,),))</f>
        <v>52.1</v>
      </c>
      <c r="C90" s="14">
        <f>Table13468113456789[[#This Row],[PMI]]-B89</f>
        <v>-1.1000000000000014</v>
      </c>
    </row>
    <row r="91" spans="1:3" x14ac:dyDescent="0.2">
      <c r="A91" s="8">
        <v>43040</v>
      </c>
      <c r="B91" s="11">
        <f>IF(VLOOKUP(A91,'DB Country PMI'!$A:$W,MATCH($A$1,'DB Country PMI'!$A$1:$W$1,),)=0,#N/A,VLOOKUP(A91,'DB Country PMI'!$A:$W,MATCH($A$1,'DB Country PMI'!$A$1:$W$1,),))</f>
        <v>54.7</v>
      </c>
      <c r="C91" s="14">
        <f>Table13468113456789[[#This Row],[PMI]]-B90</f>
        <v>2.6000000000000014</v>
      </c>
    </row>
    <row r="92" spans="1:3" x14ac:dyDescent="0.2">
      <c r="A92" s="8">
        <v>43070</v>
      </c>
      <c r="B92" s="11">
        <f>IF(VLOOKUP(A92,'DB Country PMI'!$A:$W,MATCH($A$1,'DB Country PMI'!$A$1:$W$1,),)=0,#N/A,VLOOKUP(A92,'DB Country PMI'!$A:$W,MATCH($A$1,'DB Country PMI'!$A$1:$W$1,),))</f>
        <v>55.4</v>
      </c>
      <c r="C92" s="14">
        <f>Table13468113456789[[#This Row],[PMI]]-B91</f>
        <v>0.69999999999999574</v>
      </c>
    </row>
    <row r="93" spans="1:3" x14ac:dyDescent="0.2">
      <c r="A93" s="8">
        <v>43101</v>
      </c>
      <c r="B93" s="11">
        <f>IF(VLOOKUP(A93,'DB Country PMI'!$A:$W,MATCH($A$1,'DB Country PMI'!$A$1:$W$1,),)=0,#N/A,VLOOKUP(A93,'DB Country PMI'!$A:$W,MATCH($A$1,'DB Country PMI'!$A$1:$W$1,),))</f>
        <v>57.7</v>
      </c>
      <c r="C93" s="14">
        <f>Table13468113456789[[#This Row],[PMI]]-B92</f>
        <v>2.3000000000000043</v>
      </c>
    </row>
    <row r="94" spans="1:3" x14ac:dyDescent="0.2">
      <c r="A94" s="8">
        <v>43132</v>
      </c>
      <c r="B94" s="11">
        <f>IF(VLOOKUP(A94,'DB Country PMI'!$A:$W,MATCH($A$1,'DB Country PMI'!$A$1:$W$1,),)=0,#N/A,VLOOKUP(A94,'DB Country PMI'!$A:$W,MATCH($A$1,'DB Country PMI'!$A$1:$W$1,),))</f>
        <v>55</v>
      </c>
      <c r="C94" s="14">
        <f>Table13468113456789[[#This Row],[PMI]]-B93</f>
        <v>-2.7000000000000028</v>
      </c>
    </row>
    <row r="95" spans="1:3" x14ac:dyDescent="0.2">
      <c r="A95" s="8">
        <v>43160</v>
      </c>
      <c r="B95" s="11">
        <f>IF(VLOOKUP(A95,'DB Country PMI'!$A:$W,MATCH($A$1,'DB Country PMI'!$A$1:$W$1,),)=0,#N/A,VLOOKUP(A95,'DB Country PMI'!$A:$W,MATCH($A$1,'DB Country PMI'!$A$1:$W$1,),))</f>
        <v>52.6</v>
      </c>
      <c r="C95" s="14">
        <f>Table13468113456789[[#This Row],[PMI]]-B94</f>
        <v>-2.3999999999999986</v>
      </c>
    </row>
    <row r="96" spans="1:3" x14ac:dyDescent="0.2">
      <c r="A96" s="8">
        <v>43191</v>
      </c>
      <c r="B96" s="11">
        <f>IF(VLOOKUP(A96,'DB Country PMI'!$A:$W,MATCH($A$1,'DB Country PMI'!$A$1:$W$1,),)=0,#N/A,VLOOKUP(A96,'DB Country PMI'!$A:$W,MATCH($A$1,'DB Country PMI'!$A$1:$W$1,),))</f>
        <v>52.6</v>
      </c>
      <c r="C96" s="14">
        <f>Table13468113456789[[#This Row],[PMI]]-B95</f>
        <v>0</v>
      </c>
    </row>
    <row r="97" spans="1:3" x14ac:dyDescent="0.2">
      <c r="A97" s="8">
        <v>43221</v>
      </c>
      <c r="B97" s="11">
        <f>IF(VLOOKUP(A97,'DB Country PMI'!$A:$W,MATCH($A$1,'DB Country PMI'!$A$1:$W$1,),)=0,#N/A,VLOOKUP(A97,'DB Country PMI'!$A:$W,MATCH($A$1,'DB Country PMI'!$A$1:$W$1,),))</f>
        <v>53.1</v>
      </c>
      <c r="C97" s="14">
        <f>Table13468113456789[[#This Row],[PMI]]-B96</f>
        <v>0.5</v>
      </c>
    </row>
    <row r="98" spans="1:3" x14ac:dyDescent="0.2">
      <c r="A98" s="8">
        <v>43252</v>
      </c>
      <c r="B98" s="11">
        <f>IF(VLOOKUP(A98,'DB Country PMI'!$A:$W,MATCH($A$1,'DB Country PMI'!$A$1:$W$1,),)=0,#N/A,VLOOKUP(A98,'DB Country PMI'!$A:$W,MATCH($A$1,'DB Country PMI'!$A$1:$W$1,),))</f>
        <v>54.3</v>
      </c>
      <c r="C98" s="14">
        <f>Table13468113456789[[#This Row],[PMI]]-B97</f>
        <v>1.1999999999999957</v>
      </c>
    </row>
    <row r="99" spans="1:3" x14ac:dyDescent="0.2">
      <c r="A99" s="8">
        <v>43282</v>
      </c>
      <c r="B99" s="11">
        <f>IF(VLOOKUP(A99,'DB Country PMI'!$A:$W,MATCH($A$1,'DB Country PMI'!$A$1:$W$1,),)=0,#N/A,VLOOKUP(A99,'DB Country PMI'!$A:$W,MATCH($A$1,'DB Country PMI'!$A$1:$W$1,),))</f>
        <v>54</v>
      </c>
      <c r="C99" s="14">
        <f>Table13468113456789[[#This Row],[PMI]]-B98</f>
        <v>-0.29999999999999716</v>
      </c>
    </row>
    <row r="100" spans="1:3" x14ac:dyDescent="0.2">
      <c r="A100" s="8">
        <v>43313</v>
      </c>
      <c r="B100" s="11">
        <f>IF(VLOOKUP(A100,'DB Country PMI'!$A:$W,MATCH($A$1,'DB Country PMI'!$A$1:$W$1,),)=0,#N/A,VLOOKUP(A100,'DB Country PMI'!$A:$W,MATCH($A$1,'DB Country PMI'!$A$1:$W$1,),))</f>
        <v>52.6</v>
      </c>
      <c r="C100" s="14">
        <f>Table13468113456789[[#This Row],[PMI]]-B99</f>
        <v>-1.3999999999999986</v>
      </c>
    </row>
    <row r="101" spans="1:3" x14ac:dyDescent="0.2">
      <c r="A101" s="8">
        <v>43344</v>
      </c>
      <c r="B101" s="11">
        <f>IF(VLOOKUP(A101,'DB Country PMI'!$A:$W,MATCH($A$1,'DB Country PMI'!$A$1:$W$1,),)=0,#N/A,VLOOKUP(A101,'DB Country PMI'!$A:$W,MATCH($A$1,'DB Country PMI'!$A$1:$W$1,),))</f>
        <v>53.3</v>
      </c>
      <c r="C101" s="14">
        <f>Table13468113456789[[#This Row],[PMI]]-B100</f>
        <v>0.69999999999999574</v>
      </c>
    </row>
    <row r="102" spans="1:3" x14ac:dyDescent="0.2">
      <c r="A102" s="8">
        <v>43374</v>
      </c>
      <c r="B102" s="11">
        <f>IF(VLOOKUP(A102,'DB Country PMI'!$A:$W,MATCH($A$1,'DB Country PMI'!$A$1:$W$1,),)=0,#N/A,VLOOKUP(A102,'DB Country PMI'!$A:$W,MATCH($A$1,'DB Country PMI'!$A$1:$W$1,),))</f>
        <v>49.2</v>
      </c>
      <c r="C102" s="14">
        <f>Table13468113456789[[#This Row],[PMI]]-B101</f>
        <v>-4.0999999999999943</v>
      </c>
    </row>
    <row r="103" spans="1:3" x14ac:dyDescent="0.2">
      <c r="A103" s="8">
        <v>43405</v>
      </c>
      <c r="B103" s="11">
        <f>IF(VLOOKUP(A103,'DB Country PMI'!$A:$W,MATCH($A$1,'DB Country PMI'!$A$1:$W$1,),)=0,#N/A,VLOOKUP(A103,'DB Country PMI'!$A:$W,MATCH($A$1,'DB Country PMI'!$A$1:$W$1,),))</f>
        <v>50.3</v>
      </c>
      <c r="C103" s="14">
        <f>Table13468113456789[[#This Row],[PMI]]-B102</f>
        <v>1.0999999999999943</v>
      </c>
    </row>
    <row r="104" spans="1:3" x14ac:dyDescent="0.2">
      <c r="A104" s="8">
        <v>43435</v>
      </c>
      <c r="B104" s="11">
        <f>IF(VLOOKUP(A104,'DB Country PMI'!$A:$W,MATCH($A$1,'DB Country PMI'!$A$1:$W$1,),)=0,#N/A,VLOOKUP(A104,'DB Country PMI'!$A:$W,MATCH($A$1,'DB Country PMI'!$A$1:$W$1,),))</f>
        <v>50.5</v>
      </c>
      <c r="C104" s="14">
        <f>Table13468113456789[[#This Row],[PMI]]-B103</f>
        <v>0.20000000000000284</v>
      </c>
    </row>
    <row r="105" spans="1:3" x14ac:dyDescent="0.2">
      <c r="A105" s="8">
        <v>43466</v>
      </c>
      <c r="B105" s="11">
        <f>IF(VLOOKUP(A105,'DB Country PMI'!$A:$W,MATCH($A$1,'DB Country PMI'!$A$1:$W$1,),)=0,#N/A,VLOOKUP(A105,'DB Country PMI'!$A:$W,MATCH($A$1,'DB Country PMI'!$A$1:$W$1,),))</f>
        <v>49.7</v>
      </c>
      <c r="C105" s="14">
        <f>Table13468113456789[[#This Row],[PMI]]-B104</f>
        <v>-0.79999999999999716</v>
      </c>
    </row>
    <row r="106" spans="1:3" x14ac:dyDescent="0.2">
      <c r="A106" s="8">
        <v>43497</v>
      </c>
      <c r="B106" s="11">
        <f>IF(VLOOKUP(A106,'DB Country PMI'!$A:$W,MATCH($A$1,'DB Country PMI'!$A$1:$W$1,),)=0,#N/A,VLOOKUP(A106,'DB Country PMI'!$A:$W,MATCH($A$1,'DB Country PMI'!$A$1:$W$1,),))</f>
        <v>50.4</v>
      </c>
      <c r="C106" s="14">
        <f>Table13468113456789[[#This Row],[PMI]]-B105</f>
        <v>0.69999999999999574</v>
      </c>
    </row>
    <row r="107" spans="1:3" x14ac:dyDescent="0.2">
      <c r="A107" s="8">
        <v>43525</v>
      </c>
      <c r="B107" s="11">
        <f>IF(VLOOKUP(A107,'DB Country PMI'!$A:$W,MATCH($A$1,'DB Country PMI'!$A$1:$W$1,),)=0,#N/A,VLOOKUP(A107,'DB Country PMI'!$A:$W,MATCH($A$1,'DB Country PMI'!$A$1:$W$1,),))</f>
        <v>53.1</v>
      </c>
      <c r="C107" s="14">
        <f>Table13468113456789[[#This Row],[PMI]]-B106</f>
        <v>2.7000000000000028</v>
      </c>
    </row>
    <row r="108" spans="1:3" x14ac:dyDescent="0.2">
      <c r="A108" s="8">
        <v>43556</v>
      </c>
      <c r="B108" s="11">
        <f>IF(VLOOKUP(A108,'DB Country PMI'!$A:$W,MATCH($A$1,'DB Country PMI'!$A$1:$W$1,),)=0,#N/A,VLOOKUP(A108,'DB Country PMI'!$A:$W,MATCH($A$1,'DB Country PMI'!$A$1:$W$1,),))</f>
        <v>50.4</v>
      </c>
      <c r="C108" s="14">
        <f>Table13468113456789[[#This Row],[PMI]]-B107</f>
        <v>-2.7000000000000028</v>
      </c>
    </row>
    <row r="109" spans="1:3" x14ac:dyDescent="0.2">
      <c r="A109" s="8">
        <v>43586</v>
      </c>
      <c r="B109" s="11">
        <f>IF(VLOOKUP(A109,'DB Country PMI'!$A:$W,MATCH($A$1,'DB Country PMI'!$A$1:$W$1,),)=0,#N/A,VLOOKUP(A109,'DB Country PMI'!$A:$W,MATCH($A$1,'DB Country PMI'!$A$1:$W$1,),))</f>
        <v>50</v>
      </c>
      <c r="C109" s="14">
        <f>Table13468113456789[[#This Row],[PMI]]-B108</f>
        <v>-0.39999999999999858</v>
      </c>
    </row>
    <row r="110" spans="1:3" x14ac:dyDescent="0.2">
      <c r="A110" s="8">
        <v>43617</v>
      </c>
      <c r="B110" s="11">
        <f>IF(VLOOKUP(A110,'DB Country PMI'!$A:$W,MATCH($A$1,'DB Country PMI'!$A$1:$W$1,),)=0,#N/A,VLOOKUP(A110,'DB Country PMI'!$A:$W,MATCH($A$1,'DB Country PMI'!$A$1:$W$1,),))</f>
        <v>50.5</v>
      </c>
      <c r="C110" s="14">
        <f>Table13468113456789[[#This Row],[PMI]]-B109</f>
        <v>0.5</v>
      </c>
    </row>
    <row r="111" spans="1:3" x14ac:dyDescent="0.2">
      <c r="A111" s="8">
        <v>43647</v>
      </c>
      <c r="B111" s="11">
        <f>IF(VLOOKUP(A111,'DB Country PMI'!$A:$W,MATCH($A$1,'DB Country PMI'!$A$1:$W$1,),)=0,#N/A,VLOOKUP(A111,'DB Country PMI'!$A:$W,MATCH($A$1,'DB Country PMI'!$A$1:$W$1,),))</f>
        <v>51.7</v>
      </c>
      <c r="C111" s="14">
        <f>Table13468113456789[[#This Row],[PMI]]-B110</f>
        <v>1.2000000000000028</v>
      </c>
    </row>
    <row r="112" spans="1:3" x14ac:dyDescent="0.2">
      <c r="A112" s="8">
        <v>43678</v>
      </c>
      <c r="B112" s="11">
        <f>IF(VLOOKUP(A112,'DB Country PMI'!$A:$W,MATCH($A$1,'DB Country PMI'!$A$1:$W$1,),)=0,#N/A,VLOOKUP(A112,'DB Country PMI'!$A:$W,MATCH($A$1,'DB Country PMI'!$A$1:$W$1,),))</f>
        <v>50.6</v>
      </c>
      <c r="C112" s="14">
        <f>Table13468113456789[[#This Row],[PMI]]-B111</f>
        <v>-1.1000000000000014</v>
      </c>
    </row>
    <row r="113" spans="1:3" x14ac:dyDescent="0.2">
      <c r="A113" s="8">
        <v>43709</v>
      </c>
      <c r="B113" s="11">
        <f>IF(VLOOKUP(A113,'DB Country PMI'!$A:$W,MATCH($A$1,'DB Country PMI'!$A$1:$W$1,),)=0,#N/A,VLOOKUP(A113,'DB Country PMI'!$A:$W,MATCH($A$1,'DB Country PMI'!$A$1:$W$1,),))</f>
        <v>51.4</v>
      </c>
      <c r="C113" s="14">
        <f>Table13468113456789[[#This Row],[PMI]]-B112</f>
        <v>0.79999999999999716</v>
      </c>
    </row>
    <row r="114" spans="1:3" x14ac:dyDescent="0.2">
      <c r="A114" s="8">
        <v>43739</v>
      </c>
      <c r="B114" s="11">
        <f>IF(VLOOKUP(A114,'DB Country PMI'!$A:$W,MATCH($A$1,'DB Country PMI'!$A$1:$W$1,),)=0,#N/A,VLOOKUP(A114,'DB Country PMI'!$A:$W,MATCH($A$1,'DB Country PMI'!$A$1:$W$1,),))</f>
        <v>52.2</v>
      </c>
      <c r="C114" s="14">
        <f>Table13468113456789[[#This Row],[PMI]]-B113</f>
        <v>0.80000000000000426</v>
      </c>
    </row>
    <row r="115" spans="1:3" x14ac:dyDescent="0.2">
      <c r="A115" s="8">
        <v>43770</v>
      </c>
      <c r="B115" s="11">
        <f>IF(VLOOKUP(A115,'DB Country PMI'!$A:$W,MATCH($A$1,'DB Country PMI'!$A$1:$W$1,),)=0,#N/A,VLOOKUP(A115,'DB Country PMI'!$A:$W,MATCH($A$1,'DB Country PMI'!$A$1:$W$1,),))</f>
        <v>50.4</v>
      </c>
      <c r="C115" s="14">
        <f>Table13468113456789[[#This Row],[PMI]]-B114</f>
        <v>-1.8000000000000043</v>
      </c>
    </row>
    <row r="116" spans="1:3" x14ac:dyDescent="0.2">
      <c r="A116" s="8">
        <v>43800</v>
      </c>
      <c r="B116" s="11">
        <f>IF(VLOOKUP(A116,'DB Country PMI'!$A:$W,MATCH($A$1,'DB Country PMI'!$A$1:$W$1,),)=0,#N/A,VLOOKUP(A116,'DB Country PMI'!$A:$W,MATCH($A$1,'DB Country PMI'!$A$1:$W$1,),))</f>
        <v>51.1</v>
      </c>
      <c r="C116" s="14">
        <f>Table13468113456789[[#This Row],[PMI]]-B115</f>
        <v>0.70000000000000284</v>
      </c>
    </row>
    <row r="117" spans="1:3" x14ac:dyDescent="0.2">
      <c r="A117" s="8">
        <v>43831</v>
      </c>
      <c r="B117" s="11">
        <f>IF(VLOOKUP(A117,'DB Country PMI'!$A:$W,MATCH($A$1,'DB Country PMI'!$A$1:$W$1,),)=0,#N/A,VLOOKUP(A117,'DB Country PMI'!$A:$W,MATCH($A$1,'DB Country PMI'!$A$1:$W$1,),))</f>
        <v>51.4</v>
      </c>
      <c r="C117" s="14">
        <f>Table13468113456789[[#This Row],[PMI]]-B116</f>
        <v>0.29999999999999716</v>
      </c>
    </row>
    <row r="118" spans="1:3" x14ac:dyDescent="0.2">
      <c r="A118" s="8">
        <v>43862</v>
      </c>
      <c r="B118" s="11">
        <f>IF(VLOOKUP(A118,'DB Country PMI'!$A:$W,MATCH($A$1,'DB Country PMI'!$A$1:$W$1,),)=0,#N/A,VLOOKUP(A118,'DB Country PMI'!$A:$W,MATCH($A$1,'DB Country PMI'!$A$1:$W$1,),))</f>
        <v>52.1</v>
      </c>
      <c r="C118" s="14">
        <f>Table13468113456789[[#This Row],[PMI]]-B117</f>
        <v>0.70000000000000284</v>
      </c>
    </row>
    <row r="119" spans="1:3" x14ac:dyDescent="0.2">
      <c r="A119" s="8">
        <v>43891</v>
      </c>
      <c r="B119" s="11">
        <f>IF(VLOOKUP(A119,'DB Country PMI'!$A:$W,MATCH($A$1,'DB Country PMI'!$A$1:$W$1,),)=0,#N/A,VLOOKUP(A119,'DB Country PMI'!$A:$W,MATCH($A$1,'DB Country PMI'!$A$1:$W$1,),))</f>
        <v>17.399999999999999</v>
      </c>
      <c r="C119" s="14">
        <f>Table13468113456789[[#This Row],[PMI]]-B118</f>
        <v>-34.700000000000003</v>
      </c>
    </row>
    <row r="120" spans="1:3" x14ac:dyDescent="0.2">
      <c r="A120" s="8">
        <v>43922</v>
      </c>
      <c r="B120" s="11">
        <f>IF(VLOOKUP(A120,'DB Country PMI'!$A:$W,MATCH($A$1,'DB Country PMI'!$A$1:$W$1,),)=0,#N/A,VLOOKUP(A120,'DB Country PMI'!$A:$W,MATCH($A$1,'DB Country PMI'!$A$1:$W$1,),))</f>
        <v>10.8</v>
      </c>
      <c r="C120" s="14">
        <f>Table13468113456789[[#This Row],[PMI]]-B119</f>
        <v>-6.5999999999999979</v>
      </c>
    </row>
    <row r="121" spans="1:3" x14ac:dyDescent="0.2">
      <c r="A121" s="8">
        <v>43952</v>
      </c>
      <c r="B121" s="11">
        <f>IF(VLOOKUP(A121,'DB Country PMI'!$A:$W,MATCH($A$1,'DB Country PMI'!$A$1:$W$1,),)=0,#N/A,VLOOKUP(A121,'DB Country PMI'!$A:$W,MATCH($A$1,'DB Country PMI'!$A$1:$W$1,),))</f>
        <v>28.9</v>
      </c>
      <c r="C121" s="14">
        <f>Table13468113456789[[#This Row],[PMI]]-B120</f>
        <v>18.099999999999998</v>
      </c>
    </row>
    <row r="122" spans="1:3" x14ac:dyDescent="0.2">
      <c r="A122" s="8">
        <v>43983</v>
      </c>
      <c r="B122" s="11">
        <f>IF(VLOOKUP(A122,'DB Country PMI'!$A:$W,MATCH($A$1,'DB Country PMI'!$A$1:$W$1,),)=0,#N/A,VLOOKUP(A122,'DB Country PMI'!$A:$W,MATCH($A$1,'DB Country PMI'!$A$1:$W$1,),))</f>
        <v>46.4</v>
      </c>
      <c r="C122" s="14">
        <f>Table13468113456789[[#This Row],[PMI]]-B121</f>
        <v>17.5</v>
      </c>
    </row>
    <row r="123" spans="1:3" x14ac:dyDescent="0.2">
      <c r="A123" s="8">
        <v>44013</v>
      </c>
      <c r="B123" s="11">
        <f>IF(VLOOKUP(A123,'DB Country PMI'!$A:$W,MATCH($A$1,'DB Country PMI'!$A$1:$W$1,),)=0,#N/A,VLOOKUP(A123,'DB Country PMI'!$A:$W,MATCH($A$1,'DB Country PMI'!$A$1:$W$1,),))</f>
        <v>51.6</v>
      </c>
      <c r="C123" s="14">
        <f>Table13468113456789[[#This Row],[PMI]]-B122</f>
        <v>5.2000000000000028</v>
      </c>
    </row>
    <row r="124" spans="1:3" x14ac:dyDescent="0.2">
      <c r="A124" s="8">
        <v>44044</v>
      </c>
      <c r="B124" s="11">
        <f>IF(VLOOKUP(A124,'DB Country PMI'!$A:$W,MATCH($A$1,'DB Country PMI'!$A$1:$W$1,),)=0,#N/A,VLOOKUP(A124,'DB Country PMI'!$A:$W,MATCH($A$1,'DB Country PMI'!$A$1:$W$1,),))</f>
        <v>47.1</v>
      </c>
      <c r="C124" s="14">
        <f>Table13468113456789[[#This Row],[PMI]]-B123</f>
        <v>-4.5</v>
      </c>
    </row>
    <row r="125" spans="1:3" x14ac:dyDescent="0.2">
      <c r="A125" s="8">
        <v>44075</v>
      </c>
      <c r="B125" s="11">
        <f>IF(VLOOKUP(A125,'DB Country PMI'!$A:$W,MATCH($A$1,'DB Country PMI'!$A$1:$W$1,),)=0,#N/A,VLOOKUP(A125,'DB Country PMI'!$A:$W,MATCH($A$1,'DB Country PMI'!$A$1:$W$1,),))</f>
        <v>48.8</v>
      </c>
      <c r="C125" s="14">
        <f>Table13468113456789[[#This Row],[PMI]]-B124</f>
        <v>1.6999999999999957</v>
      </c>
    </row>
    <row r="126" spans="1:3" x14ac:dyDescent="0.2">
      <c r="A126" s="8">
        <v>44105</v>
      </c>
      <c r="B126" s="11">
        <f>IF(VLOOKUP(A126,'DB Country PMI'!$A:$W,MATCH($A$1,'DB Country PMI'!$A$1:$W$1,),)=0,#N/A,VLOOKUP(A126,'DB Country PMI'!$A:$W,MATCH($A$1,'DB Country PMI'!$A$1:$W$1,),))</f>
        <v>46.7</v>
      </c>
      <c r="C126" s="14">
        <f>Table13468113456789[[#This Row],[PMI]]-B125</f>
        <v>-2.0999999999999943</v>
      </c>
    </row>
    <row r="127" spans="1:3" x14ac:dyDescent="0.2">
      <c r="A127" s="8">
        <v>44136</v>
      </c>
      <c r="B127" s="11">
        <f>IF(VLOOKUP(A127,'DB Country PMI'!$A:$W,MATCH($A$1,'DB Country PMI'!$A$1:$W$1,),)=0,#N/A,VLOOKUP(A127,'DB Country PMI'!$A:$W,MATCH($A$1,'DB Country PMI'!$A$1:$W$1,),))</f>
        <v>39.4</v>
      </c>
      <c r="C127" s="14">
        <f>Table13468113456789[[#This Row],[PMI]]-B126</f>
        <v>-7.3000000000000043</v>
      </c>
    </row>
    <row r="128" spans="1:3" x14ac:dyDescent="0.2">
      <c r="A128" s="8">
        <v>44166</v>
      </c>
      <c r="B128" s="11">
        <f>IF(VLOOKUP(A128,'DB Country PMI'!$A:$W,MATCH($A$1,'DB Country PMI'!$A$1:$W$1,),)=0,#N/A,VLOOKUP(A128,'DB Country PMI'!$A:$W,MATCH($A$1,'DB Country PMI'!$A$1:$W$1,),))</f>
        <v>39.700000000000003</v>
      </c>
      <c r="C128" s="14">
        <f>Table13468113456789[[#This Row],[PMI]]-B127</f>
        <v>0.30000000000000426</v>
      </c>
    </row>
    <row r="129" spans="1:3" x14ac:dyDescent="0.2">
      <c r="A129" s="8">
        <v>44197</v>
      </c>
      <c r="B129" s="11">
        <f>IF(VLOOKUP(A129,'DB Country PMI'!$A:$W,MATCH($A$1,'DB Country PMI'!$A$1:$W$1,),)=0,#N/A,VLOOKUP(A129,'DB Country PMI'!$A:$W,MATCH($A$1,'DB Country PMI'!$A$1:$W$1,),))</f>
        <v>44.7</v>
      </c>
      <c r="C129" s="14">
        <f>Table13468113456789[[#This Row],[PMI]]-B128</f>
        <v>5</v>
      </c>
    </row>
    <row r="130" spans="1:3" x14ac:dyDescent="0.2">
      <c r="A130" s="8">
        <v>44228</v>
      </c>
      <c r="B130" s="11">
        <f>IF(VLOOKUP(A130,'DB Country PMI'!$A:$W,MATCH($A$1,'DB Country PMI'!$A$1:$W$1,),)=0,#N/A,VLOOKUP(A130,'DB Country PMI'!$A:$W,MATCH($A$1,'DB Country PMI'!$A$1:$W$1,),))</f>
        <v>48.8</v>
      </c>
      <c r="C130" s="14">
        <f>Table13468113456789[[#This Row],[PMI]]-B129</f>
        <v>4.0999999999999943</v>
      </c>
    </row>
    <row r="131" spans="1:3" x14ac:dyDescent="0.2">
      <c r="A131" s="8">
        <v>44256</v>
      </c>
      <c r="B131" s="11">
        <f>IF(VLOOKUP(A131,'DB Country PMI'!$A:$W,MATCH($A$1,'DB Country PMI'!$A$1:$W$1,),)=0,#N/A,VLOOKUP(A131,'DB Country PMI'!$A:$W,MATCH($A$1,'DB Country PMI'!$A$1:$W$1,),))</f>
        <v>48.6</v>
      </c>
      <c r="C131" s="14">
        <f>Table13468113456789[[#This Row],[PMI]]-B130</f>
        <v>-0.19999999999999574</v>
      </c>
    </row>
    <row r="132" spans="1:3" x14ac:dyDescent="0.2">
      <c r="A132" s="8">
        <v>44287</v>
      </c>
      <c r="B132" s="11">
        <f>IF(VLOOKUP(A132,'DB Country PMI'!$A:$W,MATCH($A$1,'DB Country PMI'!$A$1:$W$1,),)=0,#N/A,VLOOKUP(A132,'DB Country PMI'!$A:$W,MATCH($A$1,'DB Country PMI'!$A$1:$W$1,),))</f>
        <v>47.3</v>
      </c>
      <c r="C132" s="14">
        <f>Table13468113456789[[#This Row],[PMI]]-B131</f>
        <v>-1.3000000000000043</v>
      </c>
    </row>
    <row r="133" spans="1:3" x14ac:dyDescent="0.2">
      <c r="A133" s="8">
        <v>44317</v>
      </c>
      <c r="B133" s="11">
        <f>IF(VLOOKUP(A133,'DB Country PMI'!$A:$W,MATCH($A$1,'DB Country PMI'!$A$1:$W$1,),)=0,#N/A,VLOOKUP(A133,'DB Country PMI'!$A:$W,MATCH($A$1,'DB Country PMI'!$A$1:$W$1,),))</f>
        <v>53.1</v>
      </c>
      <c r="C133" s="14">
        <f>Table13468113456789[[#This Row],[PMI]]-B132</f>
        <v>5.8000000000000043</v>
      </c>
    </row>
    <row r="134" spans="1:3" x14ac:dyDescent="0.2">
      <c r="A134" s="8">
        <v>44348</v>
      </c>
      <c r="B134" s="11">
        <f>IF(VLOOKUP(A134,'DB Country PMI'!$A:$W,MATCH($A$1,'DB Country PMI'!$A$1:$W$1,),)=0,#N/A,VLOOKUP(A134,'DB Country PMI'!$A:$W,MATCH($A$1,'DB Country PMI'!$A$1:$W$1,),))</f>
        <v>56.8</v>
      </c>
      <c r="C134" s="14">
        <f>Table13468113456789[[#This Row],[PMI]]-B133</f>
        <v>3.6999999999999957</v>
      </c>
    </row>
    <row r="135" spans="1:3" x14ac:dyDescent="0.2">
      <c r="A135" s="8">
        <v>44378</v>
      </c>
      <c r="B135" s="11">
        <f>IF(VLOOKUP(A135,'DB Country PMI'!$A:$W,MATCH($A$1,'DB Country PMI'!$A$1:$W$1,),)=0,#N/A,VLOOKUP(A135,'DB Country PMI'!$A:$W,MATCH($A$1,'DB Country PMI'!$A$1:$W$1,),))</f>
        <v>58</v>
      </c>
      <c r="C135" s="14">
        <f>Table13468113456789[[#This Row],[PMI]]-B134</f>
        <v>1.2000000000000028</v>
      </c>
    </row>
    <row r="136" spans="1:3" x14ac:dyDescent="0.2">
      <c r="A136" s="8">
        <v>44409</v>
      </c>
      <c r="B136" s="11">
        <f>IF(VLOOKUP(A136,'DB Country PMI'!$A:$W,MATCH($A$1,'DB Country PMI'!$A$1:$W$1,),)=0,#N/A,VLOOKUP(A136,'DB Country PMI'!$A:$W,MATCH($A$1,'DB Country PMI'!$A$1:$W$1,),))</f>
        <v>58</v>
      </c>
      <c r="C136" s="14">
        <f>Table13468113456789[[#This Row],[PMI]]-B135</f>
        <v>0</v>
      </c>
    </row>
    <row r="137" spans="1:3" x14ac:dyDescent="0.2">
      <c r="A137" s="8">
        <v>44440</v>
      </c>
      <c r="B137" s="11">
        <f>IF(VLOOKUP(A137,'DB Country PMI'!$A:$W,MATCH($A$1,'DB Country PMI'!$A$1:$W$1,),)=0,#N/A,VLOOKUP(A137,'DB Country PMI'!$A:$W,MATCH($A$1,'DB Country PMI'!$A$1:$W$1,),))</f>
        <v>55.5</v>
      </c>
      <c r="C137" s="14">
        <f>Table13468113456789[[#This Row],[PMI]]-B136</f>
        <v>-2.5</v>
      </c>
    </row>
    <row r="138" spans="1:3" x14ac:dyDescent="0.2">
      <c r="A138" s="8">
        <v>44470</v>
      </c>
      <c r="B138" s="11">
        <f>IF(VLOOKUP(A138,'DB Country PMI'!$A:$W,MATCH($A$1,'DB Country PMI'!$A$1:$W$1,),)=0,#N/A,VLOOKUP(A138,'DB Country PMI'!$A:$W,MATCH($A$1,'DB Country PMI'!$A$1:$W$1,),))</f>
        <v>52.4</v>
      </c>
      <c r="C138" s="14">
        <f>Table13468113456789[[#This Row],[PMI]]-B137</f>
        <v>-3.1000000000000014</v>
      </c>
    </row>
    <row r="139" spans="1:3" x14ac:dyDescent="0.2">
      <c r="A139" s="8">
        <v>44501</v>
      </c>
      <c r="B139" s="11">
        <f>IF(VLOOKUP(A139,'DB Country PMI'!$A:$W,MATCH($A$1,'DB Country PMI'!$A$1:$W$1,),)=0,#N/A,VLOOKUP(A139,'DB Country PMI'!$A:$W,MATCH($A$1,'DB Country PMI'!$A$1:$W$1,),))</f>
        <v>55.9</v>
      </c>
      <c r="C139" s="14">
        <f>Table13468113456789[[#This Row],[PMI]]-B138</f>
        <v>3.5</v>
      </c>
    </row>
    <row r="140" spans="1:3" x14ac:dyDescent="0.2">
      <c r="A140" s="8">
        <v>44531</v>
      </c>
      <c r="B140" s="11">
        <f>IF(VLOOKUP(A140,'DB Country PMI'!$A:$W,MATCH($A$1,'DB Country PMI'!$A$1:$W$1,),)=0,#N/A,VLOOKUP(A140,'DB Country PMI'!$A:$W,MATCH($A$1,'DB Country PMI'!$A$1:$W$1,),))</f>
        <v>53</v>
      </c>
      <c r="C140" s="14">
        <f>Table13468113456789[[#This Row],[PMI]]-B139</f>
        <v>-2.8999999999999986</v>
      </c>
    </row>
    <row r="141" spans="1:3" x14ac:dyDescent="0.2">
      <c r="A141" s="8">
        <v>44562</v>
      </c>
      <c r="B141" s="11">
        <f>IF(VLOOKUP(A141,'DB Country PMI'!$A:$W,MATCH($A$1,'DB Country PMI'!$A$1:$W$1,),)=0,#N/A,VLOOKUP(A141,'DB Country PMI'!$A:$W,MATCH($A$1,'DB Country PMI'!$A$1:$W$1,),))</f>
        <v>48.5</v>
      </c>
      <c r="C141" s="14">
        <f>Table13468113456789[[#This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37</v>
      </c>
      <c r="J1" s="47" t="s">
        <v>61</v>
      </c>
    </row>
    <row r="2" spans="1:10" x14ac:dyDescent="0.2">
      <c r="J2" s="47" t="s">
        <v>72</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47.2</v>
      </c>
      <c r="C6" s="11"/>
    </row>
    <row r="7" spans="1:10" x14ac:dyDescent="0.2">
      <c r="A7" s="8">
        <v>40483</v>
      </c>
      <c r="B7" s="11">
        <f>IF(VLOOKUP(A7,'DB Country PMI'!$A:$W,MATCH($A$1,'DB Country PMI'!$A$1:$W$1,),)=0,#N/A,VLOOKUP(A7,'DB Country PMI'!$A:$W,MATCH($A$1,'DB Country PMI'!$A$1:$W$1,),))</f>
        <v>49.5</v>
      </c>
      <c r="C7" s="14">
        <f>Table13468113456710[[#This Row],[PMI]]-B6</f>
        <v>2.2999999999999972</v>
      </c>
    </row>
    <row r="8" spans="1:10" x14ac:dyDescent="0.2">
      <c r="A8" s="8">
        <v>40513</v>
      </c>
      <c r="B8" s="11">
        <f>IF(VLOOKUP(A8,'DB Country PMI'!$A:$W,MATCH($A$1,'DB Country PMI'!$A$1:$W$1,),)=0,#N/A,VLOOKUP(A8,'DB Country PMI'!$A:$W,MATCH($A$1,'DB Country PMI'!$A$1:$W$1,),))</f>
        <v>50.1</v>
      </c>
      <c r="C8" s="14">
        <f>Table13468113456710[[#This Row],[PMI]]-B7</f>
        <v>0.60000000000000142</v>
      </c>
    </row>
    <row r="9" spans="1:10" x14ac:dyDescent="0.2">
      <c r="A9" s="8">
        <v>40544</v>
      </c>
      <c r="B9" s="11">
        <f>IF(VLOOKUP(A9,'DB Country PMI'!$A:$W,MATCH($A$1,'DB Country PMI'!$A$1:$W$1,),)=0,#N/A,VLOOKUP(A9,'DB Country PMI'!$A:$W,MATCH($A$1,'DB Country PMI'!$A$1:$W$1,),))</f>
        <v>48.1</v>
      </c>
      <c r="C9" s="14">
        <f>Table13468113456710[[#This Row],[PMI]]-B8</f>
        <v>-2</v>
      </c>
    </row>
    <row r="10" spans="1:10" x14ac:dyDescent="0.2">
      <c r="A10" s="8">
        <v>40575</v>
      </c>
      <c r="B10" s="11">
        <f>IF(VLOOKUP(A10,'DB Country PMI'!$A:$W,MATCH($A$1,'DB Country PMI'!$A$1:$W$1,),)=0,#N/A,VLOOKUP(A10,'DB Country PMI'!$A:$W,MATCH($A$1,'DB Country PMI'!$A$1:$W$1,),))</f>
        <v>49.8</v>
      </c>
      <c r="C10" s="14">
        <f>Table13468113456710[[#This Row],[PMI]]-B9</f>
        <v>1.6999999999999957</v>
      </c>
    </row>
    <row r="11" spans="1:10" x14ac:dyDescent="0.2">
      <c r="A11" s="8">
        <v>40603</v>
      </c>
      <c r="B11" s="11">
        <f>IF(VLOOKUP(A11,'DB Country PMI'!$A:$W,MATCH($A$1,'DB Country PMI'!$A$1:$W$1,),)=0,#N/A,VLOOKUP(A11,'DB Country PMI'!$A:$W,MATCH($A$1,'DB Country PMI'!$A$1:$W$1,),))</f>
        <v>35.299999999999997</v>
      </c>
      <c r="C11" s="14">
        <f>Table13468113456710[[#This Row],[PMI]]-B10</f>
        <v>-14.5</v>
      </c>
    </row>
    <row r="12" spans="1:10" x14ac:dyDescent="0.2">
      <c r="A12" s="8">
        <v>40634</v>
      </c>
      <c r="B12" s="11">
        <f>IF(VLOOKUP(A12,'DB Country PMI'!$A:$W,MATCH($A$1,'DB Country PMI'!$A$1:$W$1,),)=0,#N/A,VLOOKUP(A12,'DB Country PMI'!$A:$W,MATCH($A$1,'DB Country PMI'!$A$1:$W$1,),))</f>
        <v>35</v>
      </c>
      <c r="C12" s="14">
        <f>Table13468113456710[[#This Row],[PMI]]-B11</f>
        <v>-0.29999999999999716</v>
      </c>
    </row>
    <row r="13" spans="1:10" x14ac:dyDescent="0.2">
      <c r="A13" s="8">
        <v>40664</v>
      </c>
      <c r="B13" s="11">
        <f>IF(VLOOKUP(A13,'DB Country PMI'!$A:$W,MATCH($A$1,'DB Country PMI'!$A$1:$W$1,),)=0,#N/A,VLOOKUP(A13,'DB Country PMI'!$A:$W,MATCH($A$1,'DB Country PMI'!$A$1:$W$1,),))</f>
        <v>43.8</v>
      </c>
      <c r="C13" s="14">
        <f>Table13468113456710[[#This Row],[PMI]]-B12</f>
        <v>8.7999999999999972</v>
      </c>
    </row>
    <row r="14" spans="1:10" x14ac:dyDescent="0.2">
      <c r="A14" s="8">
        <v>40695</v>
      </c>
      <c r="B14" s="11">
        <f>IF(VLOOKUP(A14,'DB Country PMI'!$A:$W,MATCH($A$1,'DB Country PMI'!$A$1:$W$1,),)=0,#N/A,VLOOKUP(A14,'DB Country PMI'!$A:$W,MATCH($A$1,'DB Country PMI'!$A$1:$W$1,),))</f>
        <v>45.4</v>
      </c>
      <c r="C14" s="14">
        <f>Table13468113456710[[#This Row],[PMI]]-B13</f>
        <v>1.6000000000000014</v>
      </c>
    </row>
    <row r="15" spans="1:10" x14ac:dyDescent="0.2">
      <c r="A15" s="8">
        <v>40725</v>
      </c>
      <c r="B15" s="11">
        <f>IF(VLOOKUP(A15,'DB Country PMI'!$A:$W,MATCH($A$1,'DB Country PMI'!$A$1:$W$1,),)=0,#N/A,VLOOKUP(A15,'DB Country PMI'!$A:$W,MATCH($A$1,'DB Country PMI'!$A$1:$W$1,),))</f>
        <v>45.3</v>
      </c>
      <c r="C15" s="14">
        <f>Table13468113456710[[#This Row],[PMI]]-B14</f>
        <v>-0.10000000000000142</v>
      </c>
    </row>
    <row r="16" spans="1:10" x14ac:dyDescent="0.2">
      <c r="A16" s="8">
        <v>40756</v>
      </c>
      <c r="B16" s="11">
        <f>IF(VLOOKUP(A16,'DB Country PMI'!$A:$W,MATCH($A$1,'DB Country PMI'!$A$1:$W$1,),)=0,#N/A,VLOOKUP(A16,'DB Country PMI'!$A:$W,MATCH($A$1,'DB Country PMI'!$A$1:$W$1,),))</f>
        <v>44.1</v>
      </c>
      <c r="C16" s="14">
        <f>Table13468113456710[[#This Row],[PMI]]-B15</f>
        <v>-1.1999999999999957</v>
      </c>
    </row>
    <row r="17" spans="1:3" x14ac:dyDescent="0.2">
      <c r="A17" s="8">
        <v>40787</v>
      </c>
      <c r="B17" s="11">
        <f>IF(VLOOKUP(A17,'DB Country PMI'!$A:$W,MATCH($A$1,'DB Country PMI'!$A$1:$W$1,),)=0,#N/A,VLOOKUP(A17,'DB Country PMI'!$A:$W,MATCH($A$1,'DB Country PMI'!$A$1:$W$1,),))</f>
        <v>46.4</v>
      </c>
      <c r="C17" s="14">
        <f>Table13468113456710[[#This Row],[PMI]]-B16</f>
        <v>2.2999999999999972</v>
      </c>
    </row>
    <row r="18" spans="1:3" x14ac:dyDescent="0.2">
      <c r="A18" s="8">
        <v>40817</v>
      </c>
      <c r="B18" s="11">
        <f>IF(VLOOKUP(A18,'DB Country PMI'!$A:$W,MATCH($A$1,'DB Country PMI'!$A$1:$W$1,),)=0,#N/A,VLOOKUP(A18,'DB Country PMI'!$A:$W,MATCH($A$1,'DB Country PMI'!$A$1:$W$1,),))</f>
        <v>52.3</v>
      </c>
      <c r="C18" s="14">
        <f>Table13468113456710[[#This Row],[PMI]]-B17</f>
        <v>5.8999999999999986</v>
      </c>
    </row>
    <row r="19" spans="1:3" x14ac:dyDescent="0.2">
      <c r="A19" s="8">
        <v>40848</v>
      </c>
      <c r="B19" s="11">
        <f>IF(VLOOKUP(A19,'DB Country PMI'!$A:$W,MATCH($A$1,'DB Country PMI'!$A$1:$W$1,),)=0,#N/A,VLOOKUP(A19,'DB Country PMI'!$A:$W,MATCH($A$1,'DB Country PMI'!$A$1:$W$1,),))</f>
        <v>49.5</v>
      </c>
      <c r="C19" s="14">
        <f>Table13468113456710[[#This Row],[PMI]]-B18</f>
        <v>-2.7999999999999972</v>
      </c>
    </row>
    <row r="20" spans="1:3" x14ac:dyDescent="0.2">
      <c r="A20" s="8">
        <v>40878</v>
      </c>
      <c r="B20" s="11">
        <f>IF(VLOOKUP(A20,'DB Country PMI'!$A:$W,MATCH($A$1,'DB Country PMI'!$A$1:$W$1,),)=0,#N/A,VLOOKUP(A20,'DB Country PMI'!$A:$W,MATCH($A$1,'DB Country PMI'!$A$1:$W$1,),))</f>
        <v>50.4</v>
      </c>
      <c r="C20" s="14">
        <f>Table13468113456710[[#This Row],[PMI]]-B19</f>
        <v>0.89999999999999858</v>
      </c>
    </row>
    <row r="21" spans="1:3" x14ac:dyDescent="0.2">
      <c r="A21" s="8">
        <v>40909</v>
      </c>
      <c r="B21" s="11">
        <f>IF(VLOOKUP(A21,'DB Country PMI'!$A:$W,MATCH($A$1,'DB Country PMI'!$A$1:$W$1,),)=0,#N/A,VLOOKUP(A21,'DB Country PMI'!$A:$W,MATCH($A$1,'DB Country PMI'!$A$1:$W$1,),))</f>
        <v>51</v>
      </c>
      <c r="C21" s="14">
        <f>Table13468113456710[[#This Row],[PMI]]-B20</f>
        <v>0.60000000000000142</v>
      </c>
    </row>
    <row r="22" spans="1:3" x14ac:dyDescent="0.2">
      <c r="A22" s="8">
        <v>40940</v>
      </c>
      <c r="B22" s="11">
        <f>IF(VLOOKUP(A22,'DB Country PMI'!$A:$W,MATCH($A$1,'DB Country PMI'!$A$1:$W$1,),)=0,#N/A,VLOOKUP(A22,'DB Country PMI'!$A:$W,MATCH($A$1,'DB Country PMI'!$A$1:$W$1,),))</f>
        <v>51.2</v>
      </c>
      <c r="C22" s="14">
        <f>Table13468113456710[[#This Row],[PMI]]-B21</f>
        <v>0.20000000000000284</v>
      </c>
    </row>
    <row r="23" spans="1:3" x14ac:dyDescent="0.2">
      <c r="A23" s="8">
        <v>40969</v>
      </c>
      <c r="B23" s="11">
        <f>IF(VLOOKUP(A23,'DB Country PMI'!$A:$W,MATCH($A$1,'DB Country PMI'!$A$1:$W$1,),)=0,#N/A,VLOOKUP(A23,'DB Country PMI'!$A:$W,MATCH($A$1,'DB Country PMI'!$A$1:$W$1,),))</f>
        <v>53.7</v>
      </c>
      <c r="C23" s="14">
        <f>Table13468113456710[[#This Row],[PMI]]-B22</f>
        <v>2.5</v>
      </c>
    </row>
    <row r="24" spans="1:3" x14ac:dyDescent="0.2">
      <c r="A24" s="8">
        <v>41000</v>
      </c>
      <c r="B24" s="11">
        <f>IF(VLOOKUP(A24,'DB Country PMI'!$A:$W,MATCH($A$1,'DB Country PMI'!$A$1:$W$1,),)=0,#N/A,VLOOKUP(A24,'DB Country PMI'!$A:$W,MATCH($A$1,'DB Country PMI'!$A$1:$W$1,),))</f>
        <v>51</v>
      </c>
      <c r="C24" s="14">
        <f>Table13468113456710[[#This Row],[PMI]]-B23</f>
        <v>-2.7000000000000028</v>
      </c>
    </row>
    <row r="25" spans="1:3" x14ac:dyDescent="0.2">
      <c r="A25" s="8">
        <v>41030</v>
      </c>
      <c r="B25" s="11">
        <f>IF(VLOOKUP(A25,'DB Country PMI'!$A:$W,MATCH($A$1,'DB Country PMI'!$A$1:$W$1,),)=0,#N/A,VLOOKUP(A25,'DB Country PMI'!$A:$W,MATCH($A$1,'DB Country PMI'!$A$1:$W$1,),))</f>
        <v>50.5</v>
      </c>
      <c r="C25" s="14">
        <f>Table13468113456710[[#This Row],[PMI]]-B24</f>
        <v>-0.5</v>
      </c>
    </row>
    <row r="26" spans="1:3" x14ac:dyDescent="0.2">
      <c r="A26" s="8">
        <v>41061</v>
      </c>
      <c r="B26" s="11">
        <f>IF(VLOOKUP(A26,'DB Country PMI'!$A:$W,MATCH($A$1,'DB Country PMI'!$A$1:$W$1,),)=0,#N/A,VLOOKUP(A26,'DB Country PMI'!$A:$W,MATCH($A$1,'DB Country PMI'!$A$1:$W$1,),))</f>
        <v>49.5</v>
      </c>
      <c r="C26" s="14">
        <f>Table13468113456710[[#This Row],[PMI]]-B25</f>
        <v>-1</v>
      </c>
    </row>
    <row r="27" spans="1:3" x14ac:dyDescent="0.2">
      <c r="A27" s="8">
        <v>41091</v>
      </c>
      <c r="B27" s="11">
        <f>IF(VLOOKUP(A27,'DB Country PMI'!$A:$W,MATCH($A$1,'DB Country PMI'!$A$1:$W$1,),)=0,#N/A,VLOOKUP(A27,'DB Country PMI'!$A:$W,MATCH($A$1,'DB Country PMI'!$A$1:$W$1,),))</f>
        <v>48.7</v>
      </c>
      <c r="C27" s="14">
        <f>Table13468113456710[[#This Row],[PMI]]-B26</f>
        <v>-0.79999999999999716</v>
      </c>
    </row>
    <row r="28" spans="1:3" x14ac:dyDescent="0.2">
      <c r="A28" s="8">
        <v>41122</v>
      </c>
      <c r="B28" s="11">
        <f>IF(VLOOKUP(A28,'DB Country PMI'!$A:$W,MATCH($A$1,'DB Country PMI'!$A$1:$W$1,),)=0,#N/A,VLOOKUP(A28,'DB Country PMI'!$A:$W,MATCH($A$1,'DB Country PMI'!$A$1:$W$1,),))</f>
        <v>47.5</v>
      </c>
      <c r="C28" s="14">
        <f>Table13468113456710[[#This Row],[PMI]]-B27</f>
        <v>-1.2000000000000028</v>
      </c>
    </row>
    <row r="29" spans="1:3" x14ac:dyDescent="0.2">
      <c r="A29" s="8">
        <v>41153</v>
      </c>
      <c r="B29" s="11">
        <f>IF(VLOOKUP(A29,'DB Country PMI'!$A:$W,MATCH($A$1,'DB Country PMI'!$A$1:$W$1,),)=0,#N/A,VLOOKUP(A29,'DB Country PMI'!$A:$W,MATCH($A$1,'DB Country PMI'!$A$1:$W$1,),))</f>
        <v>48.8</v>
      </c>
      <c r="C29" s="14">
        <f>Table13468113456710[[#This Row],[PMI]]-B28</f>
        <v>1.2999999999999972</v>
      </c>
    </row>
    <row r="30" spans="1:3" x14ac:dyDescent="0.2">
      <c r="A30" s="8">
        <v>41183</v>
      </c>
      <c r="B30" s="11">
        <f>IF(VLOOKUP(A30,'DB Country PMI'!$A:$W,MATCH($A$1,'DB Country PMI'!$A$1:$W$1,),)=0,#N/A,VLOOKUP(A30,'DB Country PMI'!$A:$W,MATCH($A$1,'DB Country PMI'!$A$1:$W$1,),))</f>
        <v>49.7</v>
      </c>
      <c r="C30" s="14">
        <f>Table13468113456710[[#This Row],[PMI]]-B29</f>
        <v>0.90000000000000568</v>
      </c>
    </row>
    <row r="31" spans="1:3" x14ac:dyDescent="0.2">
      <c r="A31" s="8">
        <v>41214</v>
      </c>
      <c r="B31" s="11">
        <f>IF(VLOOKUP(A31,'DB Country PMI'!$A:$W,MATCH($A$1,'DB Country PMI'!$A$1:$W$1,),)=0,#N/A,VLOOKUP(A31,'DB Country PMI'!$A:$W,MATCH($A$1,'DB Country PMI'!$A$1:$W$1,),))</f>
        <v>49.1</v>
      </c>
      <c r="C31" s="14">
        <f>Table13468113456710[[#This Row],[PMI]]-B30</f>
        <v>-0.60000000000000142</v>
      </c>
    </row>
    <row r="32" spans="1:3" x14ac:dyDescent="0.2">
      <c r="A32" s="8">
        <v>41244</v>
      </c>
      <c r="B32" s="11">
        <f>IF(VLOOKUP(A32,'DB Country PMI'!$A:$W,MATCH($A$1,'DB Country PMI'!$A$1:$W$1,),)=0,#N/A,VLOOKUP(A32,'DB Country PMI'!$A:$W,MATCH($A$1,'DB Country PMI'!$A$1:$W$1,),))</f>
        <v>50.1</v>
      </c>
      <c r="C32" s="14">
        <f>Table13468113456710[[#This Row],[PMI]]-B31</f>
        <v>1</v>
      </c>
    </row>
    <row r="33" spans="1:3" x14ac:dyDescent="0.2">
      <c r="A33" s="8">
        <v>41275</v>
      </c>
      <c r="B33" s="11">
        <f>IF(VLOOKUP(A33,'DB Country PMI'!$A:$W,MATCH($A$1,'DB Country PMI'!$A$1:$W$1,),)=0,#N/A,VLOOKUP(A33,'DB Country PMI'!$A:$W,MATCH($A$1,'DB Country PMI'!$A$1:$W$1,),))</f>
        <v>50.4</v>
      </c>
      <c r="C33" s="14">
        <f>Table13468113456710[[#This Row],[PMI]]-B32</f>
        <v>0.29999999999999716</v>
      </c>
    </row>
    <row r="34" spans="1:3" x14ac:dyDescent="0.2">
      <c r="A34" s="8">
        <v>41306</v>
      </c>
      <c r="B34" s="11">
        <f>IF(VLOOKUP(A34,'DB Country PMI'!$A:$W,MATCH($A$1,'DB Country PMI'!$A$1:$W$1,),)=0,#N/A,VLOOKUP(A34,'DB Country PMI'!$A:$W,MATCH($A$1,'DB Country PMI'!$A$1:$W$1,),))</f>
        <v>51.3</v>
      </c>
      <c r="C34" s="14">
        <f>Table13468113456710[[#This Row],[PMI]]-B33</f>
        <v>0.89999999999999858</v>
      </c>
    </row>
    <row r="35" spans="1:3" x14ac:dyDescent="0.2">
      <c r="A35" s="8">
        <v>41334</v>
      </c>
      <c r="B35" s="11">
        <f>IF(VLOOKUP(A35,'DB Country PMI'!$A:$W,MATCH($A$1,'DB Country PMI'!$A$1:$W$1,),)=0,#N/A,VLOOKUP(A35,'DB Country PMI'!$A:$W,MATCH($A$1,'DB Country PMI'!$A$1:$W$1,),))</f>
        <v>53.4</v>
      </c>
      <c r="C35" s="14">
        <f>Table13468113456710[[#This Row],[PMI]]-B34</f>
        <v>2.1000000000000014</v>
      </c>
    </row>
    <row r="36" spans="1:3" x14ac:dyDescent="0.2">
      <c r="A36" s="8">
        <v>41365</v>
      </c>
      <c r="B36" s="11">
        <f>IF(VLOOKUP(A36,'DB Country PMI'!$A:$W,MATCH($A$1,'DB Country PMI'!$A$1:$W$1,),)=0,#N/A,VLOOKUP(A36,'DB Country PMI'!$A:$W,MATCH($A$1,'DB Country PMI'!$A$1:$W$1,),))</f>
        <v>52.5</v>
      </c>
      <c r="C36" s="14">
        <f>Table13468113456710[[#This Row],[PMI]]-B35</f>
        <v>-0.89999999999999858</v>
      </c>
    </row>
    <row r="37" spans="1:3" x14ac:dyDescent="0.2">
      <c r="A37" s="8">
        <v>41395</v>
      </c>
      <c r="B37" s="11">
        <f>IF(VLOOKUP(A37,'DB Country PMI'!$A:$W,MATCH($A$1,'DB Country PMI'!$A$1:$W$1,),)=0,#N/A,VLOOKUP(A37,'DB Country PMI'!$A:$W,MATCH($A$1,'DB Country PMI'!$A$1:$W$1,),))</f>
        <v>54.8</v>
      </c>
      <c r="C37" s="14">
        <f>Table13468113456710[[#This Row],[PMI]]-B36</f>
        <v>2.2999999999999972</v>
      </c>
    </row>
    <row r="38" spans="1:3" x14ac:dyDescent="0.2">
      <c r="A38" s="8">
        <v>41426</v>
      </c>
      <c r="B38" s="11">
        <f>IF(VLOOKUP(A38,'DB Country PMI'!$A:$W,MATCH($A$1,'DB Country PMI'!$A$1:$W$1,),)=0,#N/A,VLOOKUP(A38,'DB Country PMI'!$A:$W,MATCH($A$1,'DB Country PMI'!$A$1:$W$1,),))</f>
        <v>52.1</v>
      </c>
      <c r="C38" s="14">
        <f>Table13468113456710[[#This Row],[PMI]]-B37</f>
        <v>-2.6999999999999957</v>
      </c>
    </row>
    <row r="39" spans="1:3" x14ac:dyDescent="0.2">
      <c r="A39" s="8">
        <v>41456</v>
      </c>
      <c r="B39" s="11">
        <f>IF(VLOOKUP(A39,'DB Country PMI'!$A:$W,MATCH($A$1,'DB Country PMI'!$A$1:$W$1,),)=0,#N/A,VLOOKUP(A39,'DB Country PMI'!$A:$W,MATCH($A$1,'DB Country PMI'!$A$1:$W$1,),))</f>
        <v>50.6</v>
      </c>
      <c r="C39" s="14">
        <f>Table13468113456710[[#This Row],[PMI]]-B38</f>
        <v>-1.5</v>
      </c>
    </row>
    <row r="40" spans="1:3" x14ac:dyDescent="0.2">
      <c r="A40" s="8">
        <v>41487</v>
      </c>
      <c r="B40" s="11">
        <f>IF(VLOOKUP(A40,'DB Country PMI'!$A:$W,MATCH($A$1,'DB Country PMI'!$A$1:$W$1,),)=0,#N/A,VLOOKUP(A40,'DB Country PMI'!$A:$W,MATCH($A$1,'DB Country PMI'!$A$1:$W$1,),))</f>
        <v>51.2</v>
      </c>
      <c r="C40" s="14">
        <f>Table13468113456710[[#This Row],[PMI]]-B39</f>
        <v>0.60000000000000142</v>
      </c>
    </row>
    <row r="41" spans="1:3" x14ac:dyDescent="0.2">
      <c r="A41" s="8">
        <v>41518</v>
      </c>
      <c r="B41" s="11">
        <f>IF(VLOOKUP(A41,'DB Country PMI'!$A:$W,MATCH($A$1,'DB Country PMI'!$A$1:$W$1,),)=0,#N/A,VLOOKUP(A41,'DB Country PMI'!$A:$W,MATCH($A$1,'DB Country PMI'!$A$1:$W$1,),))</f>
        <v>53</v>
      </c>
      <c r="C41" s="14">
        <f>Table13468113456710[[#This Row],[PMI]]-B40</f>
        <v>1.7999999999999972</v>
      </c>
    </row>
    <row r="42" spans="1:3" x14ac:dyDescent="0.2">
      <c r="A42" s="8">
        <v>41548</v>
      </c>
      <c r="B42" s="11">
        <f>IF(VLOOKUP(A42,'DB Country PMI'!$A:$W,MATCH($A$1,'DB Country PMI'!$A$1:$W$1,),)=0,#N/A,VLOOKUP(A42,'DB Country PMI'!$A:$W,MATCH($A$1,'DB Country PMI'!$A$1:$W$1,),))</f>
        <v>55.3</v>
      </c>
      <c r="C42" s="14">
        <f>Table13468113456710[[#This Row],[PMI]]-B41</f>
        <v>2.2999999999999972</v>
      </c>
    </row>
    <row r="43" spans="1:3" x14ac:dyDescent="0.2">
      <c r="A43" s="8">
        <v>41579</v>
      </c>
      <c r="B43" s="11">
        <f>IF(VLOOKUP(A43,'DB Country PMI'!$A:$W,MATCH($A$1,'DB Country PMI'!$A$1:$W$1,),)=0,#N/A,VLOOKUP(A43,'DB Country PMI'!$A:$W,MATCH($A$1,'DB Country PMI'!$A$1:$W$1,),))</f>
        <v>51.8</v>
      </c>
      <c r="C43" s="14">
        <f>Table13468113456710[[#This Row],[PMI]]-B42</f>
        <v>-3.5</v>
      </c>
    </row>
    <row r="44" spans="1:3" x14ac:dyDescent="0.2">
      <c r="A44" s="8">
        <v>41609</v>
      </c>
      <c r="B44" s="11">
        <f>IF(VLOOKUP(A44,'DB Country PMI'!$A:$W,MATCH($A$1,'DB Country PMI'!$A$1:$W$1,),)=0,#N/A,VLOOKUP(A44,'DB Country PMI'!$A:$W,MATCH($A$1,'DB Country PMI'!$A$1:$W$1,),))</f>
        <v>52.1</v>
      </c>
      <c r="C44" s="14">
        <f>Table13468113456710[[#This Row],[PMI]]-B43</f>
        <v>0.30000000000000426</v>
      </c>
    </row>
    <row r="45" spans="1:3" x14ac:dyDescent="0.2">
      <c r="A45" s="8">
        <v>41640</v>
      </c>
      <c r="B45" s="11">
        <f>IF(VLOOKUP(A45,'DB Country PMI'!$A:$W,MATCH($A$1,'DB Country PMI'!$A$1:$W$1,),)=0,#N/A,VLOOKUP(A45,'DB Country PMI'!$A:$W,MATCH($A$1,'DB Country PMI'!$A$1:$W$1,),))</f>
        <v>51.2</v>
      </c>
      <c r="C45" s="14">
        <f>Table13468113456710[[#This Row],[PMI]]-B44</f>
        <v>-0.89999999999999858</v>
      </c>
    </row>
    <row r="46" spans="1:3" x14ac:dyDescent="0.2">
      <c r="A46" s="8">
        <v>41671</v>
      </c>
      <c r="B46" s="11">
        <f>IF(VLOOKUP(A46,'DB Country PMI'!$A:$W,MATCH($A$1,'DB Country PMI'!$A$1:$W$1,),)=0,#N/A,VLOOKUP(A46,'DB Country PMI'!$A:$W,MATCH($A$1,'DB Country PMI'!$A$1:$W$1,),))</f>
        <v>49.3</v>
      </c>
      <c r="C46" s="14">
        <f>Table13468113456710[[#This Row],[PMI]]-B45</f>
        <v>-1.9000000000000057</v>
      </c>
    </row>
    <row r="47" spans="1:3" x14ac:dyDescent="0.2">
      <c r="A47" s="8">
        <v>41699</v>
      </c>
      <c r="B47" s="11">
        <f>IF(VLOOKUP(A47,'DB Country PMI'!$A:$W,MATCH($A$1,'DB Country PMI'!$A$1:$W$1,),)=0,#N/A,VLOOKUP(A47,'DB Country PMI'!$A:$W,MATCH($A$1,'DB Country PMI'!$A$1:$W$1,),))</f>
        <v>52.2</v>
      </c>
      <c r="C47" s="14">
        <f>Table13468113456710[[#This Row],[PMI]]-B46</f>
        <v>2.9000000000000057</v>
      </c>
    </row>
    <row r="48" spans="1:3" x14ac:dyDescent="0.2">
      <c r="A48" s="8">
        <v>41730</v>
      </c>
      <c r="B48" s="11">
        <f>IF(VLOOKUP(A48,'DB Country PMI'!$A:$W,MATCH($A$1,'DB Country PMI'!$A$1:$W$1,),)=0,#N/A,VLOOKUP(A48,'DB Country PMI'!$A:$W,MATCH($A$1,'DB Country PMI'!$A$1:$W$1,),))</f>
        <v>46.4</v>
      </c>
      <c r="C48" s="14">
        <f>Table13468113456710[[#This Row],[PMI]]-B47</f>
        <v>-5.8000000000000043</v>
      </c>
    </row>
    <row r="49" spans="1:3" x14ac:dyDescent="0.2">
      <c r="A49" s="8">
        <v>41760</v>
      </c>
      <c r="B49" s="11">
        <f>IF(VLOOKUP(A49,'DB Country PMI'!$A:$W,MATCH($A$1,'DB Country PMI'!$A$1:$W$1,),)=0,#N/A,VLOOKUP(A49,'DB Country PMI'!$A:$W,MATCH($A$1,'DB Country PMI'!$A$1:$W$1,),))</f>
        <v>49.3</v>
      </c>
      <c r="C49" s="14">
        <f>Table13468113456710[[#This Row],[PMI]]-B48</f>
        <v>2.8999999999999986</v>
      </c>
    </row>
    <row r="50" spans="1:3" x14ac:dyDescent="0.2">
      <c r="A50" s="8">
        <v>41791</v>
      </c>
      <c r="B50" s="11">
        <f>IF(VLOOKUP(A50,'DB Country PMI'!$A:$W,MATCH($A$1,'DB Country PMI'!$A$1:$W$1,),)=0,#N/A,VLOOKUP(A50,'DB Country PMI'!$A:$W,MATCH($A$1,'DB Country PMI'!$A$1:$W$1,),))</f>
        <v>49</v>
      </c>
      <c r="C50" s="14">
        <f>Table13468113456710[[#This Row],[PMI]]-B49</f>
        <v>-0.29999999999999716</v>
      </c>
    </row>
    <row r="51" spans="1:3" x14ac:dyDescent="0.2">
      <c r="A51" s="8">
        <v>41821</v>
      </c>
      <c r="B51" s="11">
        <f>IF(VLOOKUP(A51,'DB Country PMI'!$A:$W,MATCH($A$1,'DB Country PMI'!$A$1:$W$1,),)=0,#N/A,VLOOKUP(A51,'DB Country PMI'!$A:$W,MATCH($A$1,'DB Country PMI'!$A$1:$W$1,),))</f>
        <v>50.4</v>
      </c>
      <c r="C51" s="14">
        <f>Table13468113456710[[#This Row],[PMI]]-B50</f>
        <v>1.3999999999999986</v>
      </c>
    </row>
    <row r="52" spans="1:3" x14ac:dyDescent="0.2">
      <c r="A52" s="8">
        <v>41852</v>
      </c>
      <c r="B52" s="11">
        <f>IF(VLOOKUP(A52,'DB Country PMI'!$A:$W,MATCH($A$1,'DB Country PMI'!$A$1:$W$1,),)=0,#N/A,VLOOKUP(A52,'DB Country PMI'!$A:$W,MATCH($A$1,'DB Country PMI'!$A$1:$W$1,),))</f>
        <v>49.9</v>
      </c>
      <c r="C52" s="14">
        <f>Table13468113456710[[#This Row],[PMI]]-B51</f>
        <v>-0.5</v>
      </c>
    </row>
    <row r="53" spans="1:3" x14ac:dyDescent="0.2">
      <c r="A53" s="8">
        <v>41883</v>
      </c>
      <c r="B53" s="11">
        <f>IF(VLOOKUP(A53,'DB Country PMI'!$A:$W,MATCH($A$1,'DB Country PMI'!$A$1:$W$1,),)=0,#N/A,VLOOKUP(A53,'DB Country PMI'!$A:$W,MATCH($A$1,'DB Country PMI'!$A$1:$W$1,),))</f>
        <v>52.5</v>
      </c>
      <c r="C53" s="14">
        <f>Table13468113456710[[#This Row],[PMI]]-B52</f>
        <v>2.6000000000000014</v>
      </c>
    </row>
    <row r="54" spans="1:3" x14ac:dyDescent="0.2">
      <c r="A54" s="8">
        <v>41913</v>
      </c>
      <c r="B54" s="11">
        <f>IF(VLOOKUP(A54,'DB Country PMI'!$A:$W,MATCH($A$1,'DB Country PMI'!$A$1:$W$1,),)=0,#N/A,VLOOKUP(A54,'DB Country PMI'!$A:$W,MATCH($A$1,'DB Country PMI'!$A$1:$W$1,),))</f>
        <v>48.7</v>
      </c>
      <c r="C54" s="14">
        <f>Table13468113456710[[#This Row],[PMI]]-B53</f>
        <v>-3.7999999999999972</v>
      </c>
    </row>
    <row r="55" spans="1:3" x14ac:dyDescent="0.2">
      <c r="A55" s="8">
        <v>41944</v>
      </c>
      <c r="B55" s="11">
        <f>IF(VLOOKUP(A55,'DB Country PMI'!$A:$W,MATCH($A$1,'DB Country PMI'!$A$1:$W$1,),)=0,#N/A,VLOOKUP(A55,'DB Country PMI'!$A:$W,MATCH($A$1,'DB Country PMI'!$A$1:$W$1,),))</f>
        <v>50.6</v>
      </c>
      <c r="C55" s="14">
        <f>Table13468113456710[[#This Row],[PMI]]-B54</f>
        <v>1.8999999999999986</v>
      </c>
    </row>
    <row r="56" spans="1:3" x14ac:dyDescent="0.2">
      <c r="A56" s="8">
        <v>41974</v>
      </c>
      <c r="B56" s="11">
        <f>IF(VLOOKUP(A56,'DB Country PMI'!$A:$W,MATCH($A$1,'DB Country PMI'!$A$1:$W$1,),)=0,#N/A,VLOOKUP(A56,'DB Country PMI'!$A:$W,MATCH($A$1,'DB Country PMI'!$A$1:$W$1,),))</f>
        <v>51.7</v>
      </c>
      <c r="C56" s="14">
        <f>Table13468113456710[[#This Row],[PMI]]-B55</f>
        <v>1.1000000000000014</v>
      </c>
    </row>
    <row r="57" spans="1:3" x14ac:dyDescent="0.2">
      <c r="A57" s="8">
        <v>42005</v>
      </c>
      <c r="B57" s="11">
        <f>IF(VLOOKUP(A57,'DB Country PMI'!$A:$W,MATCH($A$1,'DB Country PMI'!$A$1:$W$1,),)=0,#N/A,VLOOKUP(A57,'DB Country PMI'!$A:$W,MATCH($A$1,'DB Country PMI'!$A$1:$W$1,),))</f>
        <v>51.3</v>
      </c>
      <c r="C57" s="14">
        <f>Table13468113456710[[#This Row],[PMI]]-B56</f>
        <v>-0.40000000000000568</v>
      </c>
    </row>
    <row r="58" spans="1:3" x14ac:dyDescent="0.2">
      <c r="A58" s="8">
        <v>42036</v>
      </c>
      <c r="B58" s="11">
        <f>IF(VLOOKUP(A58,'DB Country PMI'!$A:$W,MATCH($A$1,'DB Country PMI'!$A$1:$W$1,),)=0,#N/A,VLOOKUP(A58,'DB Country PMI'!$A:$W,MATCH($A$1,'DB Country PMI'!$A$1:$W$1,),))</f>
        <v>48.5</v>
      </c>
      <c r="C58" s="14">
        <f>Table13468113456710[[#This Row],[PMI]]-B57</f>
        <v>-2.7999999999999972</v>
      </c>
    </row>
    <row r="59" spans="1:3" x14ac:dyDescent="0.2">
      <c r="A59" s="8">
        <v>42064</v>
      </c>
      <c r="B59" s="11">
        <f>IF(VLOOKUP(A59,'DB Country PMI'!$A:$W,MATCH($A$1,'DB Country PMI'!$A$1:$W$1,),)=0,#N/A,VLOOKUP(A59,'DB Country PMI'!$A:$W,MATCH($A$1,'DB Country PMI'!$A$1:$W$1,),))</f>
        <v>48.4</v>
      </c>
      <c r="C59" s="14">
        <f>Table13468113456710[[#This Row],[PMI]]-B58</f>
        <v>-0.10000000000000142</v>
      </c>
    </row>
    <row r="60" spans="1:3" x14ac:dyDescent="0.2">
      <c r="A60" s="8">
        <v>42095</v>
      </c>
      <c r="B60" s="11">
        <f>IF(VLOOKUP(A60,'DB Country PMI'!$A:$W,MATCH($A$1,'DB Country PMI'!$A$1:$W$1,),)=0,#N/A,VLOOKUP(A60,'DB Country PMI'!$A:$W,MATCH($A$1,'DB Country PMI'!$A$1:$W$1,),))</f>
        <v>51.3</v>
      </c>
      <c r="C60" s="14">
        <f>Table13468113456710[[#This Row],[PMI]]-B59</f>
        <v>2.8999999999999986</v>
      </c>
    </row>
    <row r="61" spans="1:3" x14ac:dyDescent="0.2">
      <c r="A61" s="8">
        <v>42125</v>
      </c>
      <c r="B61" s="11">
        <f>IF(VLOOKUP(A61,'DB Country PMI'!$A:$W,MATCH($A$1,'DB Country PMI'!$A$1:$W$1,),)=0,#N/A,VLOOKUP(A61,'DB Country PMI'!$A:$W,MATCH($A$1,'DB Country PMI'!$A$1:$W$1,),))</f>
        <v>51.5</v>
      </c>
      <c r="C61" s="14">
        <f>Table13468113456710[[#This Row],[PMI]]-B60</f>
        <v>0.20000000000000284</v>
      </c>
    </row>
    <row r="62" spans="1:3" x14ac:dyDescent="0.2">
      <c r="A62" s="8">
        <v>42156</v>
      </c>
      <c r="B62" s="11">
        <f>IF(VLOOKUP(A62,'DB Country PMI'!$A:$W,MATCH($A$1,'DB Country PMI'!$A$1:$W$1,),)=0,#N/A,VLOOKUP(A62,'DB Country PMI'!$A:$W,MATCH($A$1,'DB Country PMI'!$A$1:$W$1,),))</f>
        <v>51.8</v>
      </c>
      <c r="C62" s="14">
        <f>Table13468113456710[[#This Row],[PMI]]-B61</f>
        <v>0.29999999999999716</v>
      </c>
    </row>
    <row r="63" spans="1:3" x14ac:dyDescent="0.2">
      <c r="A63" s="8">
        <v>42186</v>
      </c>
      <c r="B63" s="11">
        <f>IF(VLOOKUP(A63,'DB Country PMI'!$A:$W,MATCH($A$1,'DB Country PMI'!$A$1:$W$1,),)=0,#N/A,VLOOKUP(A63,'DB Country PMI'!$A:$W,MATCH($A$1,'DB Country PMI'!$A$1:$W$1,),))</f>
        <v>51.2</v>
      </c>
      <c r="C63" s="14">
        <f>Table13468113456710[[#This Row],[PMI]]-B62</f>
        <v>-0.59999999999999432</v>
      </c>
    </row>
    <row r="64" spans="1:3" x14ac:dyDescent="0.2">
      <c r="A64" s="8">
        <v>42217</v>
      </c>
      <c r="B64" s="11">
        <f>IF(VLOOKUP(A64,'DB Country PMI'!$A:$W,MATCH($A$1,'DB Country PMI'!$A$1:$W$1,),)=0,#N/A,VLOOKUP(A64,'DB Country PMI'!$A:$W,MATCH($A$1,'DB Country PMI'!$A$1:$W$1,),))</f>
        <v>53.7</v>
      </c>
      <c r="C64" s="14">
        <f>Table13468113456710[[#This Row],[PMI]]-B63</f>
        <v>2.5</v>
      </c>
    </row>
    <row r="65" spans="1:3" x14ac:dyDescent="0.2">
      <c r="A65" s="8">
        <v>42248</v>
      </c>
      <c r="B65" s="11">
        <f>IF(VLOOKUP(A65,'DB Country PMI'!$A:$W,MATCH($A$1,'DB Country PMI'!$A$1:$W$1,),)=0,#N/A,VLOOKUP(A65,'DB Country PMI'!$A:$W,MATCH($A$1,'DB Country PMI'!$A$1:$W$1,),))</f>
        <v>51.4</v>
      </c>
      <c r="C65" s="14">
        <f>Table13468113456710[[#This Row],[PMI]]-B64</f>
        <v>-2.3000000000000043</v>
      </c>
    </row>
    <row r="66" spans="1:3" x14ac:dyDescent="0.2">
      <c r="A66" s="8">
        <v>42278</v>
      </c>
      <c r="B66" s="11">
        <f>IF(VLOOKUP(A66,'DB Country PMI'!$A:$W,MATCH($A$1,'DB Country PMI'!$A$1:$W$1,),)=0,#N/A,VLOOKUP(A66,'DB Country PMI'!$A:$W,MATCH($A$1,'DB Country PMI'!$A$1:$W$1,),))</f>
        <v>52.2</v>
      </c>
      <c r="C66" s="14">
        <f>Table13468113456710[[#This Row],[PMI]]-B65</f>
        <v>0.80000000000000426</v>
      </c>
    </row>
    <row r="67" spans="1:3" x14ac:dyDescent="0.2">
      <c r="A67" s="8">
        <v>42309</v>
      </c>
      <c r="B67" s="11">
        <f>IF(VLOOKUP(A67,'DB Country PMI'!$A:$W,MATCH($A$1,'DB Country PMI'!$A$1:$W$1,),)=0,#N/A,VLOOKUP(A67,'DB Country PMI'!$A:$W,MATCH($A$1,'DB Country PMI'!$A$1:$W$1,),))</f>
        <v>51.6</v>
      </c>
      <c r="C67" s="14">
        <f>Table13468113456710[[#This Row],[PMI]]-B66</f>
        <v>-0.60000000000000142</v>
      </c>
    </row>
    <row r="68" spans="1:3" x14ac:dyDescent="0.2">
      <c r="A68" s="8">
        <v>42339</v>
      </c>
      <c r="B68" s="11">
        <f>IF(VLOOKUP(A68,'DB Country PMI'!$A:$W,MATCH($A$1,'DB Country PMI'!$A$1:$W$1,),)=0,#N/A,VLOOKUP(A68,'DB Country PMI'!$A:$W,MATCH($A$1,'DB Country PMI'!$A$1:$W$1,),))</f>
        <v>51.5</v>
      </c>
      <c r="C68" s="14">
        <f>Table13468113456710[[#This Row],[PMI]]-B67</f>
        <v>-0.10000000000000142</v>
      </c>
    </row>
    <row r="69" spans="1:3" x14ac:dyDescent="0.2">
      <c r="A69" s="8">
        <v>42370</v>
      </c>
      <c r="B69" s="11">
        <f>IF(VLOOKUP(A69,'DB Country PMI'!$A:$W,MATCH($A$1,'DB Country PMI'!$A$1:$W$1,),)=0,#N/A,VLOOKUP(A69,'DB Country PMI'!$A:$W,MATCH($A$1,'DB Country PMI'!$A$1:$W$1,),))</f>
        <v>52.4</v>
      </c>
      <c r="C69" s="14">
        <f>Table13468113456710[[#This Row],[PMI]]-B68</f>
        <v>0.89999999999999858</v>
      </c>
    </row>
    <row r="70" spans="1:3" x14ac:dyDescent="0.2">
      <c r="A70" s="8">
        <v>42401</v>
      </c>
      <c r="B70" s="11">
        <f>IF(VLOOKUP(A70,'DB Country PMI'!$A:$W,MATCH($A$1,'DB Country PMI'!$A$1:$W$1,),)=0,#N/A,VLOOKUP(A70,'DB Country PMI'!$A:$W,MATCH($A$1,'DB Country PMI'!$A$1:$W$1,),))</f>
        <v>51.2</v>
      </c>
      <c r="C70" s="14">
        <f>Table13468113456710[[#This Row],[PMI]]-B69</f>
        <v>-1.1999999999999957</v>
      </c>
    </row>
    <row r="71" spans="1:3" x14ac:dyDescent="0.2">
      <c r="A71" s="8">
        <v>42430</v>
      </c>
      <c r="B71" s="11">
        <f>IF(VLOOKUP(A71,'DB Country PMI'!$A:$W,MATCH($A$1,'DB Country PMI'!$A$1:$W$1,),)=0,#N/A,VLOOKUP(A71,'DB Country PMI'!$A:$W,MATCH($A$1,'DB Country PMI'!$A$1:$W$1,),))</f>
        <v>50</v>
      </c>
      <c r="C71" s="14">
        <f>Table13468113456710[[#This Row],[PMI]]-B70</f>
        <v>-1.2000000000000028</v>
      </c>
    </row>
    <row r="72" spans="1:3" x14ac:dyDescent="0.2">
      <c r="A72" s="8">
        <v>42461</v>
      </c>
      <c r="B72" s="11">
        <f>IF(VLOOKUP(A72,'DB Country PMI'!$A:$W,MATCH($A$1,'DB Country PMI'!$A$1:$W$1,),)=0,#N/A,VLOOKUP(A72,'DB Country PMI'!$A:$W,MATCH($A$1,'DB Country PMI'!$A$1:$W$1,),))</f>
        <v>49.3</v>
      </c>
      <c r="C72" s="14">
        <f>Table13468113456710[[#This Row],[PMI]]-B71</f>
        <v>-0.70000000000000284</v>
      </c>
    </row>
    <row r="73" spans="1:3" x14ac:dyDescent="0.2">
      <c r="A73" s="8">
        <v>42491</v>
      </c>
      <c r="B73" s="11">
        <f>IF(VLOOKUP(A73,'DB Country PMI'!$A:$W,MATCH($A$1,'DB Country PMI'!$A$1:$W$1,),)=0,#N/A,VLOOKUP(A73,'DB Country PMI'!$A:$W,MATCH($A$1,'DB Country PMI'!$A$1:$W$1,),))</f>
        <v>50.4</v>
      </c>
      <c r="C73" s="14">
        <f>Table13468113456710[[#This Row],[PMI]]-B72</f>
        <v>1.1000000000000014</v>
      </c>
    </row>
    <row r="74" spans="1:3" x14ac:dyDescent="0.2">
      <c r="A74" s="8">
        <v>42522</v>
      </c>
      <c r="B74" s="11">
        <f>IF(VLOOKUP(A74,'DB Country PMI'!$A:$W,MATCH($A$1,'DB Country PMI'!$A$1:$W$1,),)=0,#N/A,VLOOKUP(A74,'DB Country PMI'!$A:$W,MATCH($A$1,'DB Country PMI'!$A$1:$W$1,),))</f>
        <v>49.4</v>
      </c>
      <c r="C74" s="14">
        <f>Table13468113456710[[#This Row],[PMI]]-B73</f>
        <v>-1</v>
      </c>
    </row>
    <row r="75" spans="1:3" x14ac:dyDescent="0.2">
      <c r="A75" s="8">
        <v>42552</v>
      </c>
      <c r="B75" s="11">
        <f>IF(VLOOKUP(A75,'DB Country PMI'!$A:$W,MATCH($A$1,'DB Country PMI'!$A$1:$W$1,),)=0,#N/A,VLOOKUP(A75,'DB Country PMI'!$A:$W,MATCH($A$1,'DB Country PMI'!$A$1:$W$1,),))</f>
        <v>50.4</v>
      </c>
      <c r="C75" s="14">
        <f>Table13468113456710[[#This Row],[PMI]]-B74</f>
        <v>1</v>
      </c>
    </row>
    <row r="76" spans="1:3" x14ac:dyDescent="0.2">
      <c r="A76" s="8">
        <v>42583</v>
      </c>
      <c r="B76" s="11">
        <f>IF(VLOOKUP(A76,'DB Country PMI'!$A:$W,MATCH($A$1,'DB Country PMI'!$A$1:$W$1,),)=0,#N/A,VLOOKUP(A76,'DB Country PMI'!$A:$W,MATCH($A$1,'DB Country PMI'!$A$1:$W$1,),))</f>
        <v>49.6</v>
      </c>
      <c r="C76" s="14">
        <f>Table13468113456710[[#This Row],[PMI]]-B75</f>
        <v>-0.79999999999999716</v>
      </c>
    </row>
    <row r="77" spans="1:3" x14ac:dyDescent="0.2">
      <c r="A77" s="8">
        <v>42614</v>
      </c>
      <c r="B77" s="11">
        <f>IF(VLOOKUP(A77,'DB Country PMI'!$A:$W,MATCH($A$1,'DB Country PMI'!$A$1:$W$1,),)=0,#N/A,VLOOKUP(A77,'DB Country PMI'!$A:$W,MATCH($A$1,'DB Country PMI'!$A$1:$W$1,),))</f>
        <v>48.2</v>
      </c>
      <c r="C77" s="14">
        <f>Table13468113456710[[#This Row],[PMI]]-B76</f>
        <v>-1.3999999999999986</v>
      </c>
    </row>
    <row r="78" spans="1:3" x14ac:dyDescent="0.2">
      <c r="A78" s="8">
        <v>42644</v>
      </c>
      <c r="B78" s="11">
        <f>IF(VLOOKUP(A78,'DB Country PMI'!$A:$W,MATCH($A$1,'DB Country PMI'!$A$1:$W$1,),)=0,#N/A,VLOOKUP(A78,'DB Country PMI'!$A:$W,MATCH($A$1,'DB Country PMI'!$A$1:$W$1,),))</f>
        <v>50.5</v>
      </c>
      <c r="C78" s="14">
        <f>Table13468113456710[[#This Row],[PMI]]-B77</f>
        <v>2.2999999999999972</v>
      </c>
    </row>
    <row r="79" spans="1:3" x14ac:dyDescent="0.2">
      <c r="A79" s="8">
        <v>42675</v>
      </c>
      <c r="B79" s="11">
        <f>IF(VLOOKUP(A79,'DB Country PMI'!$A:$W,MATCH($A$1,'DB Country PMI'!$A$1:$W$1,),)=0,#N/A,VLOOKUP(A79,'DB Country PMI'!$A:$W,MATCH($A$1,'DB Country PMI'!$A$1:$W$1,),))</f>
        <v>51.8</v>
      </c>
      <c r="C79" s="14">
        <f>Table13468113456710[[#This Row],[PMI]]-B78</f>
        <v>1.2999999999999972</v>
      </c>
    </row>
    <row r="80" spans="1:3" x14ac:dyDescent="0.2">
      <c r="A80" s="8">
        <v>42705</v>
      </c>
      <c r="B80" s="11">
        <f>IF(VLOOKUP(A80,'DB Country PMI'!$A:$W,MATCH($A$1,'DB Country PMI'!$A$1:$W$1,),)=0,#N/A,VLOOKUP(A80,'DB Country PMI'!$A:$W,MATCH($A$1,'DB Country PMI'!$A$1:$W$1,),))</f>
        <v>52.3</v>
      </c>
      <c r="C80" s="14">
        <f>Table13468113456710[[#This Row],[PMI]]-B79</f>
        <v>0.5</v>
      </c>
    </row>
    <row r="81" spans="1:3" x14ac:dyDescent="0.2">
      <c r="A81" s="8">
        <v>42736</v>
      </c>
      <c r="B81" s="11">
        <f>IF(VLOOKUP(A81,'DB Country PMI'!$A:$W,MATCH($A$1,'DB Country PMI'!$A$1:$W$1,),)=0,#N/A,VLOOKUP(A81,'DB Country PMI'!$A:$W,MATCH($A$1,'DB Country PMI'!$A$1:$W$1,),))</f>
        <v>51.9</v>
      </c>
      <c r="C81" s="14">
        <f>Table13468113456710[[#This Row],[PMI]]-B80</f>
        <v>-0.39999999999999858</v>
      </c>
    </row>
    <row r="82" spans="1:3" x14ac:dyDescent="0.2">
      <c r="A82" s="8">
        <v>42767</v>
      </c>
      <c r="B82" s="11">
        <f>IF(VLOOKUP(A82,'DB Country PMI'!$A:$W,MATCH($A$1,'DB Country PMI'!$A$1:$W$1,),)=0,#N/A,VLOOKUP(A82,'DB Country PMI'!$A:$W,MATCH($A$1,'DB Country PMI'!$A$1:$W$1,),))</f>
        <v>51.3</v>
      </c>
      <c r="C82" s="14">
        <f>Table13468113456710[[#This Row],[PMI]]-B81</f>
        <v>-0.60000000000000142</v>
      </c>
    </row>
    <row r="83" spans="1:3" x14ac:dyDescent="0.2">
      <c r="A83" s="8">
        <v>42795</v>
      </c>
      <c r="B83" s="11">
        <f>IF(VLOOKUP(A83,'DB Country PMI'!$A:$W,MATCH($A$1,'DB Country PMI'!$A$1:$W$1,),)=0,#N/A,VLOOKUP(A83,'DB Country PMI'!$A:$W,MATCH($A$1,'DB Country PMI'!$A$1:$W$1,),))</f>
        <v>52.9</v>
      </c>
      <c r="C83" s="14">
        <f>Table13468113456710[[#This Row],[PMI]]-B82</f>
        <v>1.6000000000000014</v>
      </c>
    </row>
    <row r="84" spans="1:3" x14ac:dyDescent="0.2">
      <c r="A84" s="8">
        <v>42826</v>
      </c>
      <c r="B84" s="11">
        <f>IF(VLOOKUP(A84,'DB Country PMI'!$A:$W,MATCH($A$1,'DB Country PMI'!$A$1:$W$1,),)=0,#N/A,VLOOKUP(A84,'DB Country PMI'!$A:$W,MATCH($A$1,'DB Country PMI'!$A$1:$W$1,),))</f>
        <v>52.2</v>
      </c>
      <c r="C84" s="14">
        <f>Table13468113456710[[#This Row],[PMI]]-B83</f>
        <v>-0.69999999999999574</v>
      </c>
    </row>
    <row r="85" spans="1:3" x14ac:dyDescent="0.2">
      <c r="A85" s="8">
        <v>42856</v>
      </c>
      <c r="B85" s="11">
        <f>IF(VLOOKUP(A85,'DB Country PMI'!$A:$W,MATCH($A$1,'DB Country PMI'!$A$1:$W$1,),)=0,#N/A,VLOOKUP(A85,'DB Country PMI'!$A:$W,MATCH($A$1,'DB Country PMI'!$A$1:$W$1,),))</f>
        <v>53</v>
      </c>
      <c r="C85" s="14">
        <f>Table13468113456710[[#This Row],[PMI]]-B84</f>
        <v>0.79999999999999716</v>
      </c>
    </row>
    <row r="86" spans="1:3" x14ac:dyDescent="0.2">
      <c r="A86" s="8">
        <v>42887</v>
      </c>
      <c r="B86" s="11">
        <f>IF(VLOOKUP(A86,'DB Country PMI'!$A:$W,MATCH($A$1,'DB Country PMI'!$A$1:$W$1,),)=0,#N/A,VLOOKUP(A86,'DB Country PMI'!$A:$W,MATCH($A$1,'DB Country PMI'!$A$1:$W$1,),))</f>
        <v>53.3</v>
      </c>
      <c r="C86" s="14">
        <f>Table13468113456710[[#This Row],[PMI]]-B85</f>
        <v>0.29999999999999716</v>
      </c>
    </row>
    <row r="87" spans="1:3" x14ac:dyDescent="0.2">
      <c r="A87" s="8">
        <v>42917</v>
      </c>
      <c r="B87" s="11">
        <f>IF(VLOOKUP(A87,'DB Country PMI'!$A:$W,MATCH($A$1,'DB Country PMI'!$A$1:$W$1,),)=0,#N/A,VLOOKUP(A87,'DB Country PMI'!$A:$W,MATCH($A$1,'DB Country PMI'!$A$1:$W$1,),))</f>
        <v>52</v>
      </c>
      <c r="C87" s="14">
        <f>Table13468113456710[[#This Row],[PMI]]-B86</f>
        <v>-1.2999999999999972</v>
      </c>
    </row>
    <row r="88" spans="1:3" x14ac:dyDescent="0.2">
      <c r="A88" s="8">
        <v>42948</v>
      </c>
      <c r="B88" s="11">
        <f>IF(VLOOKUP(A88,'DB Country PMI'!$A:$W,MATCH($A$1,'DB Country PMI'!$A$1:$W$1,),)=0,#N/A,VLOOKUP(A88,'DB Country PMI'!$A:$W,MATCH($A$1,'DB Country PMI'!$A$1:$W$1,),))</f>
        <v>51.6</v>
      </c>
      <c r="C88" s="14">
        <f>Table13468113456710[[#This Row],[PMI]]-B87</f>
        <v>-0.39999999999999858</v>
      </c>
    </row>
    <row r="89" spans="1:3" x14ac:dyDescent="0.2">
      <c r="A89" s="8">
        <v>42979</v>
      </c>
      <c r="B89" s="11">
        <f>IF(VLOOKUP(A89,'DB Country PMI'!$A:$W,MATCH($A$1,'DB Country PMI'!$A$1:$W$1,),)=0,#N/A,VLOOKUP(A89,'DB Country PMI'!$A:$W,MATCH($A$1,'DB Country PMI'!$A$1:$W$1,),))</f>
        <v>51</v>
      </c>
      <c r="C89" s="14">
        <f>Table13468113456710[[#This Row],[PMI]]-B88</f>
        <v>-0.60000000000000142</v>
      </c>
    </row>
    <row r="90" spans="1:3" x14ac:dyDescent="0.2">
      <c r="A90" s="8">
        <v>43009</v>
      </c>
      <c r="B90" s="11">
        <f>IF(VLOOKUP(A90,'DB Country PMI'!$A:$W,MATCH($A$1,'DB Country PMI'!$A$1:$W$1,),)=0,#N/A,VLOOKUP(A90,'DB Country PMI'!$A:$W,MATCH($A$1,'DB Country PMI'!$A$1:$W$1,),))</f>
        <v>53.4</v>
      </c>
      <c r="C90" s="14">
        <f>Table13468113456710[[#This Row],[PMI]]-B89</f>
        <v>2.3999999999999986</v>
      </c>
    </row>
    <row r="91" spans="1:3" x14ac:dyDescent="0.2">
      <c r="A91" s="8">
        <v>43040</v>
      </c>
      <c r="B91" s="11">
        <f>IF(VLOOKUP(A91,'DB Country PMI'!$A:$W,MATCH($A$1,'DB Country PMI'!$A$1:$W$1,),)=0,#N/A,VLOOKUP(A91,'DB Country PMI'!$A:$W,MATCH($A$1,'DB Country PMI'!$A$1:$W$1,),))</f>
        <v>51.2</v>
      </c>
      <c r="C91" s="14">
        <f>Table13468113456710[[#This Row],[PMI]]-B90</f>
        <v>-2.1999999999999957</v>
      </c>
    </row>
    <row r="92" spans="1:3" x14ac:dyDescent="0.2">
      <c r="A92" s="8">
        <v>43070</v>
      </c>
      <c r="B92" s="11">
        <f>IF(VLOOKUP(A92,'DB Country PMI'!$A:$W,MATCH($A$1,'DB Country PMI'!$A$1:$W$1,),)=0,#N/A,VLOOKUP(A92,'DB Country PMI'!$A:$W,MATCH($A$1,'DB Country PMI'!$A$1:$W$1,),))</f>
        <v>51.1</v>
      </c>
      <c r="C92" s="14">
        <f>Table13468113456710[[#This Row],[PMI]]-B91</f>
        <v>-0.10000000000000142</v>
      </c>
    </row>
    <row r="93" spans="1:3" x14ac:dyDescent="0.2">
      <c r="A93" s="8">
        <v>43101</v>
      </c>
      <c r="B93" s="11">
        <f>IF(VLOOKUP(A93,'DB Country PMI'!$A:$W,MATCH($A$1,'DB Country PMI'!$A$1:$W$1,),)=0,#N/A,VLOOKUP(A93,'DB Country PMI'!$A:$W,MATCH($A$1,'DB Country PMI'!$A$1:$W$1,),))</f>
        <v>51.9</v>
      </c>
      <c r="C93" s="14">
        <f>Table13468113456710[[#This Row],[PMI]]-B92</f>
        <v>0.79999999999999716</v>
      </c>
    </row>
    <row r="94" spans="1:3" x14ac:dyDescent="0.2">
      <c r="A94" s="8">
        <v>43132</v>
      </c>
      <c r="B94" s="11">
        <f>IF(VLOOKUP(A94,'DB Country PMI'!$A:$W,MATCH($A$1,'DB Country PMI'!$A$1:$W$1,),)=0,#N/A,VLOOKUP(A94,'DB Country PMI'!$A:$W,MATCH($A$1,'DB Country PMI'!$A$1:$W$1,),))</f>
        <v>51.7</v>
      </c>
      <c r="C94" s="14">
        <f>Table13468113456710[[#This Row],[PMI]]-B93</f>
        <v>-0.19999999999999574</v>
      </c>
    </row>
    <row r="95" spans="1:3" x14ac:dyDescent="0.2">
      <c r="A95" s="8">
        <v>43160</v>
      </c>
      <c r="B95" s="11">
        <f>IF(VLOOKUP(A95,'DB Country PMI'!$A:$W,MATCH($A$1,'DB Country PMI'!$A$1:$W$1,),)=0,#N/A,VLOOKUP(A95,'DB Country PMI'!$A:$W,MATCH($A$1,'DB Country PMI'!$A$1:$W$1,),))</f>
        <v>50.9</v>
      </c>
      <c r="C95" s="14">
        <f>Table13468113456710[[#This Row],[PMI]]-B94</f>
        <v>-0.80000000000000426</v>
      </c>
    </row>
    <row r="96" spans="1:3" x14ac:dyDescent="0.2">
      <c r="A96" s="8">
        <v>43191</v>
      </c>
      <c r="B96" s="11">
        <f>IF(VLOOKUP(A96,'DB Country PMI'!$A:$W,MATCH($A$1,'DB Country PMI'!$A$1:$W$1,),)=0,#N/A,VLOOKUP(A96,'DB Country PMI'!$A:$W,MATCH($A$1,'DB Country PMI'!$A$1:$W$1,),))</f>
        <v>52.5</v>
      </c>
      <c r="C96" s="14">
        <f>Table13468113456710[[#This Row],[PMI]]-B95</f>
        <v>1.6000000000000014</v>
      </c>
    </row>
    <row r="97" spans="1:3" x14ac:dyDescent="0.2">
      <c r="A97" s="8">
        <v>43221</v>
      </c>
      <c r="B97" s="11">
        <f>IF(VLOOKUP(A97,'DB Country PMI'!$A:$W,MATCH($A$1,'DB Country PMI'!$A$1:$W$1,),)=0,#N/A,VLOOKUP(A97,'DB Country PMI'!$A:$W,MATCH($A$1,'DB Country PMI'!$A$1:$W$1,),))</f>
        <v>51</v>
      </c>
      <c r="C97" s="14">
        <f>Table13468113456710[[#This Row],[PMI]]-B96</f>
        <v>-1.5</v>
      </c>
    </row>
    <row r="98" spans="1:3" x14ac:dyDescent="0.2">
      <c r="A98" s="8">
        <v>43252</v>
      </c>
      <c r="B98" s="11">
        <f>IF(VLOOKUP(A98,'DB Country PMI'!$A:$W,MATCH($A$1,'DB Country PMI'!$A$1:$W$1,),)=0,#N/A,VLOOKUP(A98,'DB Country PMI'!$A:$W,MATCH($A$1,'DB Country PMI'!$A$1:$W$1,),))</f>
        <v>51.4</v>
      </c>
      <c r="C98" s="14">
        <f>Table13468113456710[[#This Row],[PMI]]-B97</f>
        <v>0.39999999999999858</v>
      </c>
    </row>
    <row r="99" spans="1:3" x14ac:dyDescent="0.2">
      <c r="A99" s="8">
        <v>43282</v>
      </c>
      <c r="B99" s="11">
        <f>IF(VLOOKUP(A99,'DB Country PMI'!$A:$W,MATCH($A$1,'DB Country PMI'!$A$1:$W$1,),)=0,#N/A,VLOOKUP(A99,'DB Country PMI'!$A:$W,MATCH($A$1,'DB Country PMI'!$A$1:$W$1,),))</f>
        <v>51.3</v>
      </c>
      <c r="C99" s="14">
        <f>Table13468113456710[[#This Row],[PMI]]-B98</f>
        <v>-0.10000000000000142</v>
      </c>
    </row>
    <row r="100" spans="1:3" x14ac:dyDescent="0.2">
      <c r="A100" s="8">
        <v>43313</v>
      </c>
      <c r="B100" s="11">
        <f>IF(VLOOKUP(A100,'DB Country PMI'!$A:$W,MATCH($A$1,'DB Country PMI'!$A$1:$W$1,),)=0,#N/A,VLOOKUP(A100,'DB Country PMI'!$A:$W,MATCH($A$1,'DB Country PMI'!$A$1:$W$1,),))</f>
        <v>51.5</v>
      </c>
      <c r="C100" s="14">
        <f>Table13468113456710[[#This Row],[PMI]]-B99</f>
        <v>0.20000000000000284</v>
      </c>
    </row>
    <row r="101" spans="1:3" x14ac:dyDescent="0.2">
      <c r="A101" s="8">
        <v>43344</v>
      </c>
      <c r="B101" s="11">
        <f>IF(VLOOKUP(A101,'DB Country PMI'!$A:$W,MATCH($A$1,'DB Country PMI'!$A$1:$W$1,),)=0,#N/A,VLOOKUP(A101,'DB Country PMI'!$A:$W,MATCH($A$1,'DB Country PMI'!$A$1:$W$1,),))</f>
        <v>50.2</v>
      </c>
      <c r="C101" s="14">
        <f>Table13468113456710[[#This Row],[PMI]]-B100</f>
        <v>-1.2999999999999972</v>
      </c>
    </row>
    <row r="102" spans="1:3" x14ac:dyDescent="0.2">
      <c r="A102" s="8">
        <v>43374</v>
      </c>
      <c r="B102" s="11">
        <f>IF(VLOOKUP(A102,'DB Country PMI'!$A:$W,MATCH($A$1,'DB Country PMI'!$A$1:$W$1,),)=0,#N/A,VLOOKUP(A102,'DB Country PMI'!$A:$W,MATCH($A$1,'DB Country PMI'!$A$1:$W$1,),))</f>
        <v>52.4</v>
      </c>
      <c r="C102" s="14">
        <f>Table13468113456710[[#This Row],[PMI]]-B101</f>
        <v>2.1999999999999957</v>
      </c>
    </row>
    <row r="103" spans="1:3" x14ac:dyDescent="0.2">
      <c r="A103" s="8">
        <v>43405</v>
      </c>
      <c r="B103" s="11">
        <f>IF(VLOOKUP(A103,'DB Country PMI'!$A:$W,MATCH($A$1,'DB Country PMI'!$A$1:$W$1,),)=0,#N/A,VLOOKUP(A103,'DB Country PMI'!$A:$W,MATCH($A$1,'DB Country PMI'!$A$1:$W$1,),))</f>
        <v>52.3</v>
      </c>
      <c r="C103" s="14">
        <f>Table13468113456710[[#This Row],[PMI]]-B102</f>
        <v>-0.10000000000000142</v>
      </c>
    </row>
    <row r="104" spans="1:3" x14ac:dyDescent="0.2">
      <c r="A104" s="8">
        <v>43435</v>
      </c>
      <c r="B104" s="11">
        <f>IF(VLOOKUP(A104,'DB Country PMI'!$A:$W,MATCH($A$1,'DB Country PMI'!$A$1:$W$1,),)=0,#N/A,VLOOKUP(A104,'DB Country PMI'!$A:$W,MATCH($A$1,'DB Country PMI'!$A$1:$W$1,),))</f>
        <v>51</v>
      </c>
      <c r="C104" s="14">
        <f>Table13468113456710[[#This Row],[PMI]]-B103</f>
        <v>-1.2999999999999972</v>
      </c>
    </row>
    <row r="105" spans="1:3" x14ac:dyDescent="0.2">
      <c r="A105" s="8">
        <v>43466</v>
      </c>
      <c r="B105" s="11">
        <f>IF(VLOOKUP(A105,'DB Country PMI'!$A:$W,MATCH($A$1,'DB Country PMI'!$A$1:$W$1,),)=0,#N/A,VLOOKUP(A105,'DB Country PMI'!$A:$W,MATCH($A$1,'DB Country PMI'!$A$1:$W$1,),))</f>
        <v>51.6</v>
      </c>
      <c r="C105" s="14">
        <f>Table13468113456710[[#This Row],[PMI]]-B104</f>
        <v>0.60000000000000142</v>
      </c>
    </row>
    <row r="106" spans="1:3" x14ac:dyDescent="0.2">
      <c r="A106" s="8">
        <v>43497</v>
      </c>
      <c r="B106" s="11">
        <f>IF(VLOOKUP(A106,'DB Country PMI'!$A:$W,MATCH($A$1,'DB Country PMI'!$A$1:$W$1,),)=0,#N/A,VLOOKUP(A106,'DB Country PMI'!$A:$W,MATCH($A$1,'DB Country PMI'!$A$1:$W$1,),))</f>
        <v>52.3</v>
      </c>
      <c r="C106" s="14">
        <f>Table13468113456710[[#This Row],[PMI]]-B105</f>
        <v>0.69999999999999574</v>
      </c>
    </row>
    <row r="107" spans="1:3" x14ac:dyDescent="0.2">
      <c r="A107" s="8">
        <v>43525</v>
      </c>
      <c r="B107" s="11">
        <f>IF(VLOOKUP(A107,'DB Country PMI'!$A:$W,MATCH($A$1,'DB Country PMI'!$A$1:$W$1,),)=0,#N/A,VLOOKUP(A107,'DB Country PMI'!$A:$W,MATCH($A$1,'DB Country PMI'!$A$1:$W$1,),))</f>
        <v>52</v>
      </c>
      <c r="C107" s="14">
        <f>Table13468113456710[[#This Row],[PMI]]-B106</f>
        <v>-0.29999999999999716</v>
      </c>
    </row>
    <row r="108" spans="1:3" x14ac:dyDescent="0.2">
      <c r="A108" s="8">
        <v>43556</v>
      </c>
      <c r="B108" s="11">
        <f>IF(VLOOKUP(A108,'DB Country PMI'!$A:$W,MATCH($A$1,'DB Country PMI'!$A$1:$W$1,),)=0,#N/A,VLOOKUP(A108,'DB Country PMI'!$A:$W,MATCH($A$1,'DB Country PMI'!$A$1:$W$1,),))</f>
        <v>51.8</v>
      </c>
      <c r="C108" s="14">
        <f>Table13468113456710[[#This Row],[PMI]]-B107</f>
        <v>-0.20000000000000284</v>
      </c>
    </row>
    <row r="109" spans="1:3" x14ac:dyDescent="0.2">
      <c r="A109" s="8">
        <v>43586</v>
      </c>
      <c r="B109" s="11">
        <f>IF(VLOOKUP(A109,'DB Country PMI'!$A:$W,MATCH($A$1,'DB Country PMI'!$A$1:$W$1,),)=0,#N/A,VLOOKUP(A109,'DB Country PMI'!$A:$W,MATCH($A$1,'DB Country PMI'!$A$1:$W$1,),))</f>
        <v>51.7</v>
      </c>
      <c r="C109" s="14">
        <f>Table13468113456710[[#This Row],[PMI]]-B108</f>
        <v>-9.9999999999994316E-2</v>
      </c>
    </row>
    <row r="110" spans="1:3" x14ac:dyDescent="0.2">
      <c r="A110" s="8">
        <v>43617</v>
      </c>
      <c r="B110" s="11">
        <f>IF(VLOOKUP(A110,'DB Country PMI'!$A:$W,MATCH($A$1,'DB Country PMI'!$A$1:$W$1,),)=0,#N/A,VLOOKUP(A110,'DB Country PMI'!$A:$W,MATCH($A$1,'DB Country PMI'!$A$1:$W$1,),))</f>
        <v>51.9</v>
      </c>
      <c r="C110" s="14">
        <f>Table13468113456710[[#This Row],[PMI]]-B109</f>
        <v>0.19999999999999574</v>
      </c>
    </row>
    <row r="111" spans="1:3" x14ac:dyDescent="0.2">
      <c r="A111" s="8">
        <v>43647</v>
      </c>
      <c r="B111" s="11">
        <f>IF(VLOOKUP(A111,'DB Country PMI'!$A:$W,MATCH($A$1,'DB Country PMI'!$A$1:$W$1,),)=0,#N/A,VLOOKUP(A111,'DB Country PMI'!$A:$W,MATCH($A$1,'DB Country PMI'!$A$1:$W$1,),))</f>
        <v>51.8</v>
      </c>
      <c r="C111" s="14">
        <f>Table13468113456710[[#This Row],[PMI]]-B110</f>
        <v>-0.10000000000000142</v>
      </c>
    </row>
    <row r="112" spans="1:3" x14ac:dyDescent="0.2">
      <c r="A112" s="8">
        <v>43678</v>
      </c>
      <c r="B112" s="11">
        <f>IF(VLOOKUP(A112,'DB Country PMI'!$A:$W,MATCH($A$1,'DB Country PMI'!$A$1:$W$1,),)=0,#N/A,VLOOKUP(A112,'DB Country PMI'!$A:$W,MATCH($A$1,'DB Country PMI'!$A$1:$W$1,),))</f>
        <v>53.3</v>
      </c>
      <c r="C112" s="14">
        <f>Table13468113456710[[#This Row],[PMI]]-B111</f>
        <v>1.5</v>
      </c>
    </row>
    <row r="113" spans="1:3" x14ac:dyDescent="0.2">
      <c r="A113" s="8">
        <v>43709</v>
      </c>
      <c r="B113" s="11">
        <f>IF(VLOOKUP(A113,'DB Country PMI'!$A:$W,MATCH($A$1,'DB Country PMI'!$A$1:$W$1,),)=0,#N/A,VLOOKUP(A113,'DB Country PMI'!$A:$W,MATCH($A$1,'DB Country PMI'!$A$1:$W$1,),))</f>
        <v>52.8</v>
      </c>
      <c r="C113" s="14">
        <f>Table13468113456710[[#This Row],[PMI]]-B112</f>
        <v>-0.5</v>
      </c>
    </row>
    <row r="114" spans="1:3" x14ac:dyDescent="0.2">
      <c r="A114" s="8">
        <v>43739</v>
      </c>
      <c r="B114" s="11">
        <f>IF(VLOOKUP(A114,'DB Country PMI'!$A:$W,MATCH($A$1,'DB Country PMI'!$A$1:$W$1,),)=0,#N/A,VLOOKUP(A114,'DB Country PMI'!$A:$W,MATCH($A$1,'DB Country PMI'!$A$1:$W$1,),))</f>
        <v>49.7</v>
      </c>
      <c r="C114" s="14">
        <f>Table13468113456710[[#This Row],[PMI]]-B113</f>
        <v>-3.0999999999999943</v>
      </c>
    </row>
    <row r="115" spans="1:3" x14ac:dyDescent="0.2">
      <c r="A115" s="8">
        <v>43770</v>
      </c>
      <c r="B115" s="11">
        <f>IF(VLOOKUP(A115,'DB Country PMI'!$A:$W,MATCH($A$1,'DB Country PMI'!$A$1:$W$1,),)=0,#N/A,VLOOKUP(A115,'DB Country PMI'!$A:$W,MATCH($A$1,'DB Country PMI'!$A$1:$W$1,),))</f>
        <v>50.3</v>
      </c>
      <c r="C115" s="14">
        <f>Table13468113456710[[#This Row],[PMI]]-B114</f>
        <v>0.59999999999999432</v>
      </c>
    </row>
    <row r="116" spans="1:3" x14ac:dyDescent="0.2">
      <c r="A116" s="8">
        <v>43800</v>
      </c>
      <c r="B116" s="11">
        <f>IF(VLOOKUP(A116,'DB Country PMI'!$A:$W,MATCH($A$1,'DB Country PMI'!$A$1:$W$1,),)=0,#N/A,VLOOKUP(A116,'DB Country PMI'!$A:$W,MATCH($A$1,'DB Country PMI'!$A$1:$W$1,),))</f>
        <v>49.4</v>
      </c>
      <c r="C116" s="14">
        <f>Table13468113456710[[#This Row],[PMI]]-B115</f>
        <v>-0.89999999999999858</v>
      </c>
    </row>
    <row r="117" spans="1:3" x14ac:dyDescent="0.2">
      <c r="A117" s="8">
        <v>43831</v>
      </c>
      <c r="B117" s="11">
        <f>IF(VLOOKUP(A117,'DB Country PMI'!$A:$W,MATCH($A$1,'DB Country PMI'!$A$1:$W$1,),)=0,#N/A,VLOOKUP(A117,'DB Country PMI'!$A:$W,MATCH($A$1,'DB Country PMI'!$A$1:$W$1,),))</f>
        <v>51</v>
      </c>
      <c r="C117" s="14">
        <f>Table13468113456710[[#This Row],[PMI]]-B116</f>
        <v>1.6000000000000014</v>
      </c>
    </row>
    <row r="118" spans="1:3" x14ac:dyDescent="0.2">
      <c r="A118" s="8">
        <v>43862</v>
      </c>
      <c r="B118" s="11">
        <f>IF(VLOOKUP(A118,'DB Country PMI'!$A:$W,MATCH($A$1,'DB Country PMI'!$A$1:$W$1,),)=0,#N/A,VLOOKUP(A118,'DB Country PMI'!$A:$W,MATCH($A$1,'DB Country PMI'!$A$1:$W$1,),))</f>
        <v>46.8</v>
      </c>
      <c r="C118" s="14">
        <f>Table13468113456710[[#This Row],[PMI]]-B117</f>
        <v>-4.2000000000000028</v>
      </c>
    </row>
    <row r="119" spans="1:3" x14ac:dyDescent="0.2">
      <c r="A119" s="8">
        <v>43891</v>
      </c>
      <c r="B119" s="11">
        <f>IF(VLOOKUP(A119,'DB Country PMI'!$A:$W,MATCH($A$1,'DB Country PMI'!$A$1:$W$1,),)=0,#N/A,VLOOKUP(A119,'DB Country PMI'!$A:$W,MATCH($A$1,'DB Country PMI'!$A$1:$W$1,),))</f>
        <v>33.799999999999997</v>
      </c>
      <c r="C119" s="14">
        <f>Table13468113456710[[#This Row],[PMI]]-B118</f>
        <v>-13</v>
      </c>
    </row>
    <row r="120" spans="1:3" x14ac:dyDescent="0.2">
      <c r="A120" s="8">
        <v>43922</v>
      </c>
      <c r="B120" s="11">
        <f>IF(VLOOKUP(A120,'DB Country PMI'!$A:$W,MATCH($A$1,'DB Country PMI'!$A$1:$W$1,),)=0,#N/A,VLOOKUP(A120,'DB Country PMI'!$A:$W,MATCH($A$1,'DB Country PMI'!$A$1:$W$1,),))</f>
        <v>22.8</v>
      </c>
      <c r="C120" s="14">
        <f>Table13468113456710[[#This Row],[PMI]]-B119</f>
        <v>-10.999999999999996</v>
      </c>
    </row>
    <row r="121" spans="1:3" x14ac:dyDescent="0.2">
      <c r="A121" s="8">
        <v>43952</v>
      </c>
      <c r="B121" s="11">
        <f>IF(VLOOKUP(A121,'DB Country PMI'!$A:$W,MATCH($A$1,'DB Country PMI'!$A$1:$W$1,),)=0,#N/A,VLOOKUP(A121,'DB Country PMI'!$A:$W,MATCH($A$1,'DB Country PMI'!$A$1:$W$1,),))</f>
        <v>26.5</v>
      </c>
      <c r="C121" s="14">
        <f>Table13468113456710[[#This Row],[PMI]]-B120</f>
        <v>3.6999999999999993</v>
      </c>
    </row>
    <row r="122" spans="1:3" x14ac:dyDescent="0.2">
      <c r="A122" s="8">
        <v>43983</v>
      </c>
      <c r="B122" s="11">
        <f>IF(VLOOKUP(A122,'DB Country PMI'!$A:$W,MATCH($A$1,'DB Country PMI'!$A$1:$W$1,),)=0,#N/A,VLOOKUP(A122,'DB Country PMI'!$A:$W,MATCH($A$1,'DB Country PMI'!$A$1:$W$1,),))</f>
        <v>45</v>
      </c>
      <c r="C122" s="14">
        <f>Table13468113456710[[#This Row],[PMI]]-B121</f>
        <v>18.5</v>
      </c>
    </row>
    <row r="123" spans="1:3" x14ac:dyDescent="0.2">
      <c r="A123" s="8">
        <v>44013</v>
      </c>
      <c r="B123" s="11">
        <f>IF(VLOOKUP(A123,'DB Country PMI'!$A:$W,MATCH($A$1,'DB Country PMI'!$A$1:$W$1,),)=0,#N/A,VLOOKUP(A123,'DB Country PMI'!$A:$W,MATCH($A$1,'DB Country PMI'!$A$1:$W$1,),))</f>
        <v>45.4</v>
      </c>
      <c r="C123" s="14">
        <f>Table13468113456710[[#This Row],[PMI]]-B122</f>
        <v>0.39999999999999858</v>
      </c>
    </row>
    <row r="124" spans="1:3" x14ac:dyDescent="0.2">
      <c r="A124" s="8">
        <v>44044</v>
      </c>
      <c r="B124" s="11">
        <f>IF(VLOOKUP(A124,'DB Country PMI'!$A:$W,MATCH($A$1,'DB Country PMI'!$A$1:$W$1,),)=0,#N/A,VLOOKUP(A124,'DB Country PMI'!$A:$W,MATCH($A$1,'DB Country PMI'!$A$1:$W$1,),))</f>
        <v>45</v>
      </c>
      <c r="C124" s="14">
        <f>Table13468113456710[[#This Row],[PMI]]-B123</f>
        <v>-0.39999999999999858</v>
      </c>
    </row>
    <row r="125" spans="1:3" x14ac:dyDescent="0.2">
      <c r="A125" s="8">
        <v>44075</v>
      </c>
      <c r="B125" s="11">
        <f>IF(VLOOKUP(A125,'DB Country PMI'!$A:$W,MATCH($A$1,'DB Country PMI'!$A$1:$W$1,),)=0,#N/A,VLOOKUP(A125,'DB Country PMI'!$A:$W,MATCH($A$1,'DB Country PMI'!$A$1:$W$1,),))</f>
        <v>46.9</v>
      </c>
      <c r="C125" s="14">
        <f>Table13468113456710[[#This Row],[PMI]]-B124</f>
        <v>1.8999999999999986</v>
      </c>
    </row>
    <row r="126" spans="1:3" x14ac:dyDescent="0.2">
      <c r="A126" s="8">
        <v>44105</v>
      </c>
      <c r="B126" s="11">
        <f>IF(VLOOKUP(A126,'DB Country PMI'!$A:$W,MATCH($A$1,'DB Country PMI'!$A$1:$W$1,),)=0,#N/A,VLOOKUP(A126,'DB Country PMI'!$A:$W,MATCH($A$1,'DB Country PMI'!$A$1:$W$1,),))</f>
        <v>47.7</v>
      </c>
      <c r="C126" s="14">
        <f>Table13468113456710[[#This Row],[PMI]]-B125</f>
        <v>0.80000000000000426</v>
      </c>
    </row>
    <row r="127" spans="1:3" x14ac:dyDescent="0.2">
      <c r="A127" s="8">
        <v>44136</v>
      </c>
      <c r="B127" s="11">
        <f>IF(VLOOKUP(A127,'DB Country PMI'!$A:$W,MATCH($A$1,'DB Country PMI'!$A$1:$W$1,),)=0,#N/A,VLOOKUP(A127,'DB Country PMI'!$A:$W,MATCH($A$1,'DB Country PMI'!$A$1:$W$1,),))</f>
        <v>47.8</v>
      </c>
      <c r="C127" s="14">
        <f>Table13468113456710[[#This Row],[PMI]]-B126</f>
        <v>9.9999999999994316E-2</v>
      </c>
    </row>
    <row r="128" spans="1:3" x14ac:dyDescent="0.2">
      <c r="A128" s="8">
        <v>44166</v>
      </c>
      <c r="B128" s="11">
        <f>IF(VLOOKUP(A128,'DB Country PMI'!$A:$W,MATCH($A$1,'DB Country PMI'!$A$1:$W$1,),)=0,#N/A,VLOOKUP(A128,'DB Country PMI'!$A:$W,MATCH($A$1,'DB Country PMI'!$A$1:$W$1,),))</f>
        <v>47.2</v>
      </c>
      <c r="C128" s="14">
        <f>Table13468113456710[[#This Row],[PMI]]-B127</f>
        <v>-0.59999999999999432</v>
      </c>
    </row>
    <row r="129" spans="1:3" x14ac:dyDescent="0.2">
      <c r="A129" s="8">
        <v>44197</v>
      </c>
      <c r="B129" s="11">
        <f>IF(VLOOKUP(A129,'DB Country PMI'!$A:$W,MATCH($A$1,'DB Country PMI'!$A$1:$W$1,),)=0,#N/A,VLOOKUP(A129,'DB Country PMI'!$A:$W,MATCH($A$1,'DB Country PMI'!$A$1:$W$1,),))</f>
        <v>46.1</v>
      </c>
      <c r="C129" s="14">
        <f>Table13468113456710[[#This Row],[PMI]]-B128</f>
        <v>-1.1000000000000014</v>
      </c>
    </row>
    <row r="130" spans="1:3" x14ac:dyDescent="0.2">
      <c r="A130" s="8">
        <v>44228</v>
      </c>
      <c r="B130" s="11">
        <f>IF(VLOOKUP(A130,'DB Country PMI'!$A:$W,MATCH($A$1,'DB Country PMI'!$A$1:$W$1,),)=0,#N/A,VLOOKUP(A130,'DB Country PMI'!$A:$W,MATCH($A$1,'DB Country PMI'!$A$1:$W$1,),))</f>
        <v>46.3</v>
      </c>
      <c r="C130" s="14">
        <f>Table13468113456710[[#This Row],[PMI]]-B129</f>
        <v>0.19999999999999574</v>
      </c>
    </row>
    <row r="131" spans="1:3" x14ac:dyDescent="0.2">
      <c r="A131" s="8">
        <v>44256</v>
      </c>
      <c r="B131" s="11">
        <f>IF(VLOOKUP(A131,'DB Country PMI'!$A:$W,MATCH($A$1,'DB Country PMI'!$A$1:$W$1,),)=0,#N/A,VLOOKUP(A131,'DB Country PMI'!$A:$W,MATCH($A$1,'DB Country PMI'!$A$1:$W$1,),))</f>
        <v>48.3</v>
      </c>
      <c r="C131" s="14">
        <f>Table13468113456710[[#This Row],[PMI]]-B130</f>
        <v>2</v>
      </c>
    </row>
    <row r="132" spans="1:3" x14ac:dyDescent="0.2">
      <c r="A132" s="8">
        <v>44287</v>
      </c>
      <c r="B132" s="11">
        <f>IF(VLOOKUP(A132,'DB Country PMI'!$A:$W,MATCH($A$1,'DB Country PMI'!$A$1:$W$1,),)=0,#N/A,VLOOKUP(A132,'DB Country PMI'!$A:$W,MATCH($A$1,'DB Country PMI'!$A$1:$W$1,),))</f>
        <v>49.5</v>
      </c>
      <c r="C132" s="14">
        <f>Table13468113456710[[#This Row],[PMI]]-B131</f>
        <v>1.2000000000000028</v>
      </c>
    </row>
    <row r="133" spans="1:3" x14ac:dyDescent="0.2">
      <c r="A133" s="8">
        <v>44317</v>
      </c>
      <c r="B133" s="11">
        <f>IF(VLOOKUP(A133,'DB Country PMI'!$A:$W,MATCH($A$1,'DB Country PMI'!$A$1:$W$1,),)=0,#N/A,VLOOKUP(A133,'DB Country PMI'!$A:$W,MATCH($A$1,'DB Country PMI'!$A$1:$W$1,),))</f>
        <v>46.5</v>
      </c>
      <c r="C133" s="14">
        <f>Table13468113456710[[#This Row],[PMI]]-B132</f>
        <v>-3</v>
      </c>
    </row>
    <row r="134" spans="1:3" x14ac:dyDescent="0.2">
      <c r="A134" s="8">
        <v>44348</v>
      </c>
      <c r="B134" s="11">
        <f>IF(VLOOKUP(A134,'DB Country PMI'!$A:$W,MATCH($A$1,'DB Country PMI'!$A$1:$W$1,),)=0,#N/A,VLOOKUP(A134,'DB Country PMI'!$A:$W,MATCH($A$1,'DB Country PMI'!$A$1:$W$1,),))</f>
        <v>48</v>
      </c>
      <c r="C134" s="14">
        <f>Table13468113456710[[#This Row],[PMI]]-B133</f>
        <v>1.5</v>
      </c>
    </row>
    <row r="135" spans="1:3" x14ac:dyDescent="0.2">
      <c r="A135" s="8">
        <v>44378</v>
      </c>
      <c r="B135" s="11">
        <f>IF(VLOOKUP(A135,'DB Country PMI'!$A:$W,MATCH($A$1,'DB Country PMI'!$A$1:$W$1,),)=0,#N/A,VLOOKUP(A135,'DB Country PMI'!$A:$W,MATCH($A$1,'DB Country PMI'!$A$1:$W$1,),))</f>
        <v>47.4</v>
      </c>
      <c r="C135" s="14">
        <f>Table13468113456710[[#This Row],[PMI]]-B134</f>
        <v>-0.60000000000000142</v>
      </c>
    </row>
    <row r="136" spans="1:3" x14ac:dyDescent="0.2">
      <c r="A136" s="8">
        <v>44409</v>
      </c>
      <c r="B136" s="11">
        <f>IF(VLOOKUP(A136,'DB Country PMI'!$A:$W,MATCH($A$1,'DB Country PMI'!$A$1:$W$1,),)=0,#N/A,VLOOKUP(A136,'DB Country PMI'!$A:$W,MATCH($A$1,'DB Country PMI'!$A$1:$W$1,),))</f>
        <v>42.9</v>
      </c>
      <c r="C136" s="14">
        <f>Table13468113456710[[#This Row],[PMI]]-B135</f>
        <v>-4.5</v>
      </c>
    </row>
    <row r="137" spans="1:3" x14ac:dyDescent="0.2">
      <c r="A137" s="8">
        <v>44440</v>
      </c>
      <c r="B137" s="11">
        <f>IF(VLOOKUP(A137,'DB Country PMI'!$A:$W,MATCH($A$1,'DB Country PMI'!$A$1:$W$1,),)=0,#N/A,VLOOKUP(A137,'DB Country PMI'!$A:$W,MATCH($A$1,'DB Country PMI'!$A$1:$W$1,),))</f>
        <v>47.8</v>
      </c>
      <c r="C137" s="14">
        <f>Table13468113456710[[#This Row],[PMI]]-B136</f>
        <v>4.8999999999999986</v>
      </c>
    </row>
    <row r="138" spans="1:3" x14ac:dyDescent="0.2">
      <c r="A138" s="8">
        <v>44470</v>
      </c>
      <c r="B138" s="11">
        <f>IF(VLOOKUP(A138,'DB Country PMI'!$A:$W,MATCH($A$1,'DB Country PMI'!$A$1:$W$1,),)=0,#N/A,VLOOKUP(A138,'DB Country PMI'!$A:$W,MATCH($A$1,'DB Country PMI'!$A$1:$W$1,),))</f>
        <v>50.7</v>
      </c>
      <c r="C138" s="14">
        <f>Table13468113456710[[#This Row],[PMI]]-B137</f>
        <v>2.9000000000000057</v>
      </c>
    </row>
    <row r="139" spans="1:3" x14ac:dyDescent="0.2">
      <c r="A139" s="8">
        <v>44501</v>
      </c>
      <c r="B139" s="11">
        <f>IF(VLOOKUP(A139,'DB Country PMI'!$A:$W,MATCH($A$1,'DB Country PMI'!$A$1:$W$1,),)=0,#N/A,VLOOKUP(A139,'DB Country PMI'!$A:$W,MATCH($A$1,'DB Country PMI'!$A$1:$W$1,),))</f>
        <v>53</v>
      </c>
      <c r="C139" s="14">
        <f>Table13468113456710[[#This Row],[PMI]]-B138</f>
        <v>2.2999999999999972</v>
      </c>
    </row>
    <row r="140" spans="1:3" x14ac:dyDescent="0.2">
      <c r="A140" s="8">
        <v>44531</v>
      </c>
      <c r="B140" s="11">
        <f>IF(VLOOKUP(A140,'DB Country PMI'!$A:$W,MATCH($A$1,'DB Country PMI'!$A$1:$W$1,),)=0,#N/A,VLOOKUP(A140,'DB Country PMI'!$A:$W,MATCH($A$1,'DB Country PMI'!$A$1:$W$1,),))</f>
        <v>52.1</v>
      </c>
      <c r="C140" s="14">
        <f>Table13468113456710[[#This Row],[PMI]]-B139</f>
        <v>-0.89999999999999858</v>
      </c>
    </row>
    <row r="141" spans="1:3" x14ac:dyDescent="0.2">
      <c r="A141" s="8">
        <v>44562</v>
      </c>
      <c r="B141" s="11">
        <f>IF(VLOOKUP(A141,'DB Country PMI'!$A:$W,MATCH($A$1,'DB Country PMI'!$A$1:$W$1,),)=0,#N/A,VLOOKUP(A141,'DB Country PMI'!$A:$W,MATCH($A$1,'DB Country PMI'!$A$1:$W$1,),))</f>
        <v>47.6</v>
      </c>
      <c r="C141" s="14">
        <f>Table13468113456710[[#This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28</v>
      </c>
      <c r="J1" s="47" t="s">
        <v>61</v>
      </c>
    </row>
    <row r="2" spans="1:10" x14ac:dyDescent="0.2">
      <c r="J2" s="47" t="s">
        <v>73</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51.8</v>
      </c>
      <c r="C6" s="11"/>
    </row>
    <row r="7" spans="1:10" x14ac:dyDescent="0.2">
      <c r="A7" s="8">
        <v>40483</v>
      </c>
      <c r="B7" s="11">
        <f>IF(VLOOKUP(A7,'DB Country PMI'!$A:$W,MATCH($A$1,'DB Country PMI'!$A$1:$W$1,),)=0,#N/A,VLOOKUP(A7,'DB Country PMI'!$A:$W,MATCH($A$1,'DB Country PMI'!$A$1:$W$1,),))</f>
        <v>52.1</v>
      </c>
      <c r="C7" s="14">
        <f>Table1346811345671012[[#This Row],[PMI]]-B6</f>
        <v>0.30000000000000426</v>
      </c>
    </row>
    <row r="8" spans="1:10" x14ac:dyDescent="0.2">
      <c r="A8" s="8">
        <v>40513</v>
      </c>
      <c r="B8" s="11">
        <f>IF(VLOOKUP(A8,'DB Country PMI'!$A:$W,MATCH($A$1,'DB Country PMI'!$A$1:$W$1,),)=0,#N/A,VLOOKUP(A8,'DB Country PMI'!$A:$W,MATCH($A$1,'DB Country PMI'!$A$1:$W$1,),))</f>
        <v>50.2</v>
      </c>
      <c r="C8" s="14">
        <f>Table1346811345671012[[#This Row],[PMI]]-B7</f>
        <v>-1.8999999999999986</v>
      </c>
    </row>
    <row r="9" spans="1:10" x14ac:dyDescent="0.2">
      <c r="A9" s="8">
        <v>40544</v>
      </c>
      <c r="B9" s="11">
        <f>IF(VLOOKUP(A9,'DB Country PMI'!$A:$W,MATCH($A$1,'DB Country PMI'!$A$1:$W$1,),)=0,#N/A,VLOOKUP(A9,'DB Country PMI'!$A:$W,MATCH($A$1,'DB Country PMI'!$A$1:$W$1,),))</f>
        <v>51.2</v>
      </c>
      <c r="C9" s="14">
        <f>Table1346811345671012[[#This Row],[PMI]]-B8</f>
        <v>1</v>
      </c>
    </row>
    <row r="10" spans="1:10" x14ac:dyDescent="0.2">
      <c r="A10" s="8">
        <v>40575</v>
      </c>
      <c r="B10" s="11">
        <f>IF(VLOOKUP(A10,'DB Country PMI'!$A:$W,MATCH($A$1,'DB Country PMI'!$A$1:$W$1,),)=0,#N/A,VLOOKUP(A10,'DB Country PMI'!$A:$W,MATCH($A$1,'DB Country PMI'!$A$1:$W$1,),))</f>
        <v>52.7</v>
      </c>
      <c r="C10" s="14">
        <f>Table1346811345671012[[#This Row],[PMI]]-B9</f>
        <v>1.5</v>
      </c>
    </row>
    <row r="11" spans="1:10" x14ac:dyDescent="0.2">
      <c r="A11" s="8">
        <v>40603</v>
      </c>
      <c r="B11" s="11">
        <f>IF(VLOOKUP(A11,'DB Country PMI'!$A:$W,MATCH($A$1,'DB Country PMI'!$A$1:$W$1,),)=0,#N/A,VLOOKUP(A11,'DB Country PMI'!$A:$W,MATCH($A$1,'DB Country PMI'!$A$1:$W$1,),))</f>
        <v>53.5</v>
      </c>
      <c r="C11" s="14">
        <f>Table1346811345671012[[#This Row],[PMI]]-B10</f>
        <v>0.79999999999999716</v>
      </c>
    </row>
    <row r="12" spans="1:10" x14ac:dyDescent="0.2">
      <c r="A12" s="8">
        <v>40634</v>
      </c>
      <c r="B12" s="11">
        <f>IF(VLOOKUP(A12,'DB Country PMI'!$A:$W,MATCH($A$1,'DB Country PMI'!$A$1:$W$1,),)=0,#N/A,VLOOKUP(A12,'DB Country PMI'!$A:$W,MATCH($A$1,'DB Country PMI'!$A$1:$W$1,),))</f>
        <v>53.2</v>
      </c>
      <c r="C12" s="14">
        <f>Table1346811345671012[[#This Row],[PMI]]-B11</f>
        <v>-0.29999999999999716</v>
      </c>
    </row>
    <row r="13" spans="1:10" x14ac:dyDescent="0.2">
      <c r="A13" s="8">
        <v>40664</v>
      </c>
      <c r="B13" s="11">
        <f>IF(VLOOKUP(A13,'DB Country PMI'!$A:$W,MATCH($A$1,'DB Country PMI'!$A$1:$W$1,),)=0,#N/A,VLOOKUP(A13,'DB Country PMI'!$A:$W,MATCH($A$1,'DB Country PMI'!$A$1:$W$1,),))</f>
        <v>53.3</v>
      </c>
      <c r="C13" s="14">
        <f>Table1346811345671012[[#This Row],[PMI]]-B12</f>
        <v>9.9999999999994316E-2</v>
      </c>
    </row>
    <row r="14" spans="1:10" x14ac:dyDescent="0.2">
      <c r="A14" s="8">
        <v>40695</v>
      </c>
      <c r="B14" s="11">
        <f>IF(VLOOKUP(A14,'DB Country PMI'!$A:$W,MATCH($A$1,'DB Country PMI'!$A$1:$W$1,),)=0,#N/A,VLOOKUP(A14,'DB Country PMI'!$A:$W,MATCH($A$1,'DB Country PMI'!$A$1:$W$1,),))</f>
        <v>52.1</v>
      </c>
      <c r="C14" s="14">
        <f>Table1346811345671012[[#This Row],[PMI]]-B13</f>
        <v>-1.1999999999999957</v>
      </c>
    </row>
    <row r="15" spans="1:10" x14ac:dyDescent="0.2">
      <c r="A15" s="8">
        <v>40725</v>
      </c>
      <c r="B15" s="11">
        <f>IF(VLOOKUP(A15,'DB Country PMI'!$A:$W,MATCH($A$1,'DB Country PMI'!$A$1:$W$1,),)=0,#N/A,VLOOKUP(A15,'DB Country PMI'!$A:$W,MATCH($A$1,'DB Country PMI'!$A$1:$W$1,),))</f>
        <v>53.7</v>
      </c>
      <c r="C15" s="14">
        <f>Table1346811345671012[[#This Row],[PMI]]-B14</f>
        <v>1.6000000000000014</v>
      </c>
    </row>
    <row r="16" spans="1:10" x14ac:dyDescent="0.2">
      <c r="A16" s="8">
        <v>40756</v>
      </c>
      <c r="B16" s="11">
        <f>IF(VLOOKUP(A16,'DB Country PMI'!$A:$W,MATCH($A$1,'DB Country PMI'!$A$1:$W$1,),)=0,#N/A,VLOOKUP(A16,'DB Country PMI'!$A:$W,MATCH($A$1,'DB Country PMI'!$A$1:$W$1,),))</f>
        <v>52.1</v>
      </c>
      <c r="C16" s="14">
        <f>Table1346811345671012[[#This Row],[PMI]]-B15</f>
        <v>-1.6000000000000014</v>
      </c>
    </row>
    <row r="17" spans="1:3" x14ac:dyDescent="0.2">
      <c r="A17" s="8">
        <v>40787</v>
      </c>
      <c r="B17" s="11">
        <f>IF(VLOOKUP(A17,'DB Country PMI'!$A:$W,MATCH($A$1,'DB Country PMI'!$A$1:$W$1,),)=0,#N/A,VLOOKUP(A17,'DB Country PMI'!$A:$W,MATCH($A$1,'DB Country PMI'!$A$1:$W$1,),))</f>
        <v>50.5</v>
      </c>
      <c r="C17" s="14">
        <f>Table1346811345671012[[#This Row],[PMI]]-B16</f>
        <v>-1.6000000000000014</v>
      </c>
    </row>
    <row r="18" spans="1:3" x14ac:dyDescent="0.2">
      <c r="A18" s="8">
        <v>40817</v>
      </c>
      <c r="B18" s="11">
        <f>IF(VLOOKUP(A18,'DB Country PMI'!$A:$W,MATCH($A$1,'DB Country PMI'!$A$1:$W$1,),)=0,#N/A,VLOOKUP(A18,'DB Country PMI'!$A:$W,MATCH($A$1,'DB Country PMI'!$A$1:$W$1,),))</f>
        <v>53.6</v>
      </c>
      <c r="C18" s="14">
        <f>Table1346811345671012[[#This Row],[PMI]]-B17</f>
        <v>3.1000000000000014</v>
      </c>
    </row>
    <row r="19" spans="1:3" x14ac:dyDescent="0.2">
      <c r="A19" s="8">
        <v>40848</v>
      </c>
      <c r="B19" s="11">
        <f>IF(VLOOKUP(A19,'DB Country PMI'!$A:$W,MATCH($A$1,'DB Country PMI'!$A$1:$W$1,),)=0,#N/A,VLOOKUP(A19,'DB Country PMI'!$A:$W,MATCH($A$1,'DB Country PMI'!$A$1:$W$1,),))</f>
        <v>52.6</v>
      </c>
      <c r="C19" s="14">
        <f>Table1346811345671012[[#This Row],[PMI]]-B18</f>
        <v>-1</v>
      </c>
    </row>
    <row r="20" spans="1:3" x14ac:dyDescent="0.2">
      <c r="A20" s="8">
        <v>40878</v>
      </c>
      <c r="B20" s="11">
        <f>IF(VLOOKUP(A20,'DB Country PMI'!$A:$W,MATCH($A$1,'DB Country PMI'!$A$1:$W$1,),)=0,#N/A,VLOOKUP(A20,'DB Country PMI'!$A:$W,MATCH($A$1,'DB Country PMI'!$A$1:$W$1,),))</f>
        <v>54.8</v>
      </c>
      <c r="C20" s="14">
        <f>Table1346811345671012[[#This Row],[PMI]]-B19</f>
        <v>2.1999999999999957</v>
      </c>
    </row>
    <row r="21" spans="1:3" x14ac:dyDescent="0.2">
      <c r="A21" s="8">
        <v>40909</v>
      </c>
      <c r="B21" s="11">
        <f>IF(VLOOKUP(A21,'DB Country PMI'!$A:$W,MATCH($A$1,'DB Country PMI'!$A$1:$W$1,),)=0,#N/A,VLOOKUP(A21,'DB Country PMI'!$A:$W,MATCH($A$1,'DB Country PMI'!$A$1:$W$1,),))</f>
        <v>55</v>
      </c>
      <c r="C21" s="14">
        <f>Table1346811345671012[[#This Row],[PMI]]-B20</f>
        <v>0.20000000000000284</v>
      </c>
    </row>
    <row r="22" spans="1:3" x14ac:dyDescent="0.2">
      <c r="A22" s="8">
        <v>40940</v>
      </c>
      <c r="B22" s="11">
        <f>IF(VLOOKUP(A22,'DB Country PMI'!$A:$W,MATCH($A$1,'DB Country PMI'!$A$1:$W$1,),)=0,#N/A,VLOOKUP(A22,'DB Country PMI'!$A:$W,MATCH($A$1,'DB Country PMI'!$A$1:$W$1,),))</f>
        <v>57.1</v>
      </c>
      <c r="C22" s="14">
        <f>Table1346811345671012[[#This Row],[PMI]]-B21</f>
        <v>2.1000000000000014</v>
      </c>
    </row>
    <row r="23" spans="1:3" x14ac:dyDescent="0.2">
      <c r="A23" s="8">
        <v>40969</v>
      </c>
      <c r="B23" s="11">
        <f>IF(VLOOKUP(A23,'DB Country PMI'!$A:$W,MATCH($A$1,'DB Country PMI'!$A$1:$W$1,),)=0,#N/A,VLOOKUP(A23,'DB Country PMI'!$A:$W,MATCH($A$1,'DB Country PMI'!$A$1:$W$1,),))</f>
        <v>53.8</v>
      </c>
      <c r="C23" s="14">
        <f>Table1346811345671012[[#This Row],[PMI]]-B22</f>
        <v>-3.3000000000000043</v>
      </c>
    </row>
    <row r="24" spans="1:3" x14ac:dyDescent="0.2">
      <c r="A24" s="8">
        <v>41000</v>
      </c>
      <c r="B24" s="11">
        <f>IF(VLOOKUP(A24,'DB Country PMI'!$A:$W,MATCH($A$1,'DB Country PMI'!$A$1:$W$1,),)=0,#N/A,VLOOKUP(A24,'DB Country PMI'!$A:$W,MATCH($A$1,'DB Country PMI'!$A$1:$W$1,),))</f>
        <v>54.4</v>
      </c>
      <c r="C24" s="14">
        <f>Table1346811345671012[[#This Row],[PMI]]-B23</f>
        <v>0.60000000000000142</v>
      </c>
    </row>
    <row r="25" spans="1:3" x14ac:dyDescent="0.2">
      <c r="A25" s="8">
        <v>41030</v>
      </c>
      <c r="B25" s="11">
        <f>IF(VLOOKUP(A25,'DB Country PMI'!$A:$W,MATCH($A$1,'DB Country PMI'!$A$1:$W$1,),)=0,#N/A,VLOOKUP(A25,'DB Country PMI'!$A:$W,MATCH($A$1,'DB Country PMI'!$A$1:$W$1,),))</f>
        <v>49.7</v>
      </c>
      <c r="C25" s="14">
        <f>Table1346811345671012[[#This Row],[PMI]]-B24</f>
        <v>-4.6999999999999957</v>
      </c>
    </row>
    <row r="26" spans="1:3" x14ac:dyDescent="0.2">
      <c r="A26" s="8">
        <v>41061</v>
      </c>
      <c r="B26" s="11">
        <f>IF(VLOOKUP(A26,'DB Country PMI'!$A:$W,MATCH($A$1,'DB Country PMI'!$A$1:$W$1,),)=0,#N/A,VLOOKUP(A26,'DB Country PMI'!$A:$W,MATCH($A$1,'DB Country PMI'!$A$1:$W$1,),))</f>
        <v>53</v>
      </c>
      <c r="C26" s="14">
        <f>Table1346811345671012[[#This Row],[PMI]]-B25</f>
        <v>3.2999999999999972</v>
      </c>
    </row>
    <row r="27" spans="1:3" x14ac:dyDescent="0.2">
      <c r="A27" s="8">
        <v>41091</v>
      </c>
      <c r="B27" s="11">
        <f>IF(VLOOKUP(A27,'DB Country PMI'!$A:$W,MATCH($A$1,'DB Country PMI'!$A$1:$W$1,),)=0,#N/A,VLOOKUP(A27,'DB Country PMI'!$A:$W,MATCH($A$1,'DB Country PMI'!$A$1:$W$1,),))</f>
        <v>48.9</v>
      </c>
      <c r="C27" s="14">
        <f>Table1346811345671012[[#This Row],[PMI]]-B26</f>
        <v>-4.1000000000000014</v>
      </c>
    </row>
    <row r="28" spans="1:3" x14ac:dyDescent="0.2">
      <c r="A28" s="8">
        <v>41122</v>
      </c>
      <c r="B28" s="11">
        <f>IF(VLOOKUP(A28,'DB Country PMI'!$A:$W,MATCH($A$1,'DB Country PMI'!$A$1:$W$1,),)=0,#N/A,VLOOKUP(A28,'DB Country PMI'!$A:$W,MATCH($A$1,'DB Country PMI'!$A$1:$W$1,),))</f>
        <v>48.1</v>
      </c>
      <c r="C28" s="14">
        <f>Table1346811345671012[[#This Row],[PMI]]-B27</f>
        <v>-0.79999999999999716</v>
      </c>
    </row>
    <row r="29" spans="1:3" x14ac:dyDescent="0.2">
      <c r="A29" s="8">
        <v>41153</v>
      </c>
      <c r="B29" s="11">
        <f>IF(VLOOKUP(A29,'DB Country PMI'!$A:$W,MATCH($A$1,'DB Country PMI'!$A$1:$W$1,),)=0,#N/A,VLOOKUP(A29,'DB Country PMI'!$A:$W,MATCH($A$1,'DB Country PMI'!$A$1:$W$1,),))</f>
        <v>52.8</v>
      </c>
      <c r="C29" s="14">
        <f>Table1346811345671012[[#This Row],[PMI]]-B28</f>
        <v>4.6999999999999957</v>
      </c>
    </row>
    <row r="30" spans="1:3" x14ac:dyDescent="0.2">
      <c r="A30" s="8">
        <v>41183</v>
      </c>
      <c r="B30" s="11">
        <f>IF(VLOOKUP(A30,'DB Country PMI'!$A:$W,MATCH($A$1,'DB Country PMI'!$A$1:$W$1,),)=0,#N/A,VLOOKUP(A30,'DB Country PMI'!$A:$W,MATCH($A$1,'DB Country PMI'!$A$1:$W$1,),))</f>
        <v>50.4</v>
      </c>
      <c r="C30" s="14">
        <f>Table1346811345671012[[#This Row],[PMI]]-B29</f>
        <v>-2.3999999999999986</v>
      </c>
    </row>
    <row r="31" spans="1:3" x14ac:dyDescent="0.2">
      <c r="A31" s="8">
        <v>41214</v>
      </c>
      <c r="B31" s="11">
        <f>IF(VLOOKUP(A31,'DB Country PMI'!$A:$W,MATCH($A$1,'DB Country PMI'!$A$1:$W$1,),)=0,#N/A,VLOOKUP(A31,'DB Country PMI'!$A:$W,MATCH($A$1,'DB Country PMI'!$A$1:$W$1,),))</f>
        <v>52.5</v>
      </c>
      <c r="C31" s="14">
        <f>Table1346811345671012[[#This Row],[PMI]]-B30</f>
        <v>2.1000000000000014</v>
      </c>
    </row>
    <row r="32" spans="1:3" x14ac:dyDescent="0.2">
      <c r="A32" s="8">
        <v>41244</v>
      </c>
      <c r="B32" s="11">
        <f>IF(VLOOKUP(A32,'DB Country PMI'!$A:$W,MATCH($A$1,'DB Country PMI'!$A$1:$W$1,),)=0,#N/A,VLOOKUP(A32,'DB Country PMI'!$A:$W,MATCH($A$1,'DB Country PMI'!$A$1:$W$1,),))</f>
        <v>53.2</v>
      </c>
      <c r="C32" s="14">
        <f>Table1346811345671012[[#This Row],[PMI]]-B31</f>
        <v>0.70000000000000284</v>
      </c>
    </row>
    <row r="33" spans="1:3" x14ac:dyDescent="0.2">
      <c r="A33" s="8">
        <v>41275</v>
      </c>
      <c r="B33" s="11">
        <f>IF(VLOOKUP(A33,'DB Country PMI'!$A:$W,MATCH($A$1,'DB Country PMI'!$A$1:$W$1,),)=0,#N/A,VLOOKUP(A33,'DB Country PMI'!$A:$W,MATCH($A$1,'DB Country PMI'!$A$1:$W$1,),))</f>
        <v>54.5</v>
      </c>
      <c r="C33" s="14">
        <f>Table1346811345671012[[#This Row],[PMI]]-B32</f>
        <v>1.2999999999999972</v>
      </c>
    </row>
    <row r="34" spans="1:3" x14ac:dyDescent="0.2">
      <c r="A34" s="8">
        <v>41306</v>
      </c>
      <c r="B34" s="11">
        <f>IF(VLOOKUP(A34,'DB Country PMI'!$A:$W,MATCH($A$1,'DB Country PMI'!$A$1:$W$1,),)=0,#N/A,VLOOKUP(A34,'DB Country PMI'!$A:$W,MATCH($A$1,'DB Country PMI'!$A$1:$W$1,),))</f>
        <v>52.1</v>
      </c>
      <c r="C34" s="14">
        <f>Table1346811345671012[[#This Row],[PMI]]-B33</f>
        <v>-2.3999999999999986</v>
      </c>
    </row>
    <row r="35" spans="1:3" x14ac:dyDescent="0.2">
      <c r="A35" s="8">
        <v>41334</v>
      </c>
      <c r="B35" s="11">
        <f>IF(VLOOKUP(A35,'DB Country PMI'!$A:$W,MATCH($A$1,'DB Country PMI'!$A$1:$W$1,),)=0,#N/A,VLOOKUP(A35,'DB Country PMI'!$A:$W,MATCH($A$1,'DB Country PMI'!$A$1:$W$1,),))</f>
        <v>50.3</v>
      </c>
      <c r="C35" s="14">
        <f>Table1346811345671012[[#This Row],[PMI]]-B34</f>
        <v>-1.8000000000000043</v>
      </c>
    </row>
    <row r="36" spans="1:3" x14ac:dyDescent="0.2">
      <c r="A36" s="8">
        <v>41365</v>
      </c>
      <c r="B36" s="11">
        <f>IF(VLOOKUP(A36,'DB Country PMI'!$A:$W,MATCH($A$1,'DB Country PMI'!$A$1:$W$1,),)=0,#N/A,VLOOKUP(A36,'DB Country PMI'!$A:$W,MATCH($A$1,'DB Country PMI'!$A$1:$W$1,),))</f>
        <v>51</v>
      </c>
      <c r="C36" s="14">
        <f>Table1346811345671012[[#This Row],[PMI]]-B35</f>
        <v>0.70000000000000284</v>
      </c>
    </row>
    <row r="37" spans="1:3" x14ac:dyDescent="0.2">
      <c r="A37" s="8">
        <v>41395</v>
      </c>
      <c r="B37" s="11">
        <f>IF(VLOOKUP(A37,'DB Country PMI'!$A:$W,MATCH($A$1,'DB Country PMI'!$A$1:$W$1,),)=0,#N/A,VLOOKUP(A37,'DB Country PMI'!$A:$W,MATCH($A$1,'DB Country PMI'!$A$1:$W$1,),))</f>
        <v>51</v>
      </c>
      <c r="C37" s="14">
        <f>Table1346811345671012[[#This Row],[PMI]]-B36</f>
        <v>0</v>
      </c>
    </row>
    <row r="38" spans="1:3" x14ac:dyDescent="0.2">
      <c r="A38" s="8">
        <v>41426</v>
      </c>
      <c r="B38" s="11">
        <f>IF(VLOOKUP(A38,'DB Country PMI'!$A:$W,MATCH($A$1,'DB Country PMI'!$A$1:$W$1,),)=0,#N/A,VLOOKUP(A38,'DB Country PMI'!$A:$W,MATCH($A$1,'DB Country PMI'!$A$1:$W$1,),))</f>
        <v>50.3</v>
      </c>
      <c r="C38" s="14">
        <f>Table1346811345671012[[#This Row],[PMI]]-B37</f>
        <v>-0.70000000000000284</v>
      </c>
    </row>
    <row r="39" spans="1:3" x14ac:dyDescent="0.2">
      <c r="A39" s="8">
        <v>41456</v>
      </c>
      <c r="B39" s="11">
        <f>IF(VLOOKUP(A39,'DB Country PMI'!$A:$W,MATCH($A$1,'DB Country PMI'!$A$1:$W$1,),)=0,#N/A,VLOOKUP(A39,'DB Country PMI'!$A:$W,MATCH($A$1,'DB Country PMI'!$A$1:$W$1,),))</f>
        <v>49.7</v>
      </c>
      <c r="C39" s="14">
        <f>Table1346811345671012[[#This Row],[PMI]]-B38</f>
        <v>-0.59999999999999432</v>
      </c>
    </row>
    <row r="40" spans="1:3" x14ac:dyDescent="0.2">
      <c r="A40" s="8">
        <v>41487</v>
      </c>
      <c r="B40" s="11">
        <f>IF(VLOOKUP(A40,'DB Country PMI'!$A:$W,MATCH($A$1,'DB Country PMI'!$A$1:$W$1,),)=0,#N/A,VLOOKUP(A40,'DB Country PMI'!$A:$W,MATCH($A$1,'DB Country PMI'!$A$1:$W$1,),))</f>
        <v>50.7</v>
      </c>
      <c r="C40" s="14">
        <f>Table1346811345671012[[#This Row],[PMI]]-B39</f>
        <v>1</v>
      </c>
    </row>
    <row r="41" spans="1:3" x14ac:dyDescent="0.2">
      <c r="A41" s="8">
        <v>41518</v>
      </c>
      <c r="B41" s="11">
        <f>IF(VLOOKUP(A41,'DB Country PMI'!$A:$W,MATCH($A$1,'DB Country PMI'!$A$1:$W$1,),)=0,#N/A,VLOOKUP(A41,'DB Country PMI'!$A:$W,MATCH($A$1,'DB Country PMI'!$A$1:$W$1,),))</f>
        <v>52.1</v>
      </c>
      <c r="C41" s="14">
        <f>Table1346811345671012[[#This Row],[PMI]]-B40</f>
        <v>1.3999999999999986</v>
      </c>
    </row>
    <row r="42" spans="1:3" x14ac:dyDescent="0.2">
      <c r="A42" s="8">
        <v>41548</v>
      </c>
      <c r="B42" s="11">
        <f>IF(VLOOKUP(A42,'DB Country PMI'!$A:$W,MATCH($A$1,'DB Country PMI'!$A$1:$W$1,),)=0,#N/A,VLOOKUP(A42,'DB Country PMI'!$A:$W,MATCH($A$1,'DB Country PMI'!$A$1:$W$1,),))</f>
        <v>52.3</v>
      </c>
      <c r="C42" s="14">
        <f>Table1346811345671012[[#This Row],[PMI]]-B41</f>
        <v>0.19999999999999574</v>
      </c>
    </row>
    <row r="43" spans="1:3" x14ac:dyDescent="0.2">
      <c r="A43" s="8">
        <v>41579</v>
      </c>
      <c r="B43" s="11">
        <f>IF(VLOOKUP(A43,'DB Country PMI'!$A:$W,MATCH($A$1,'DB Country PMI'!$A$1:$W$1,),)=0,#N/A,VLOOKUP(A43,'DB Country PMI'!$A:$W,MATCH($A$1,'DB Country PMI'!$A$1:$W$1,),))</f>
        <v>51.7</v>
      </c>
      <c r="C43" s="14">
        <f>Table1346811345671012[[#This Row],[PMI]]-B42</f>
        <v>-0.59999999999999432</v>
      </c>
    </row>
    <row r="44" spans="1:3" x14ac:dyDescent="0.2">
      <c r="A44" s="8">
        <v>41609</v>
      </c>
      <c r="B44" s="11">
        <f>IF(VLOOKUP(A44,'DB Country PMI'!$A:$W,MATCH($A$1,'DB Country PMI'!$A$1:$W$1,),)=0,#N/A,VLOOKUP(A44,'DB Country PMI'!$A:$W,MATCH($A$1,'DB Country PMI'!$A$1:$W$1,),))</f>
        <v>50.5</v>
      </c>
      <c r="C44" s="14">
        <f>Table1346811345671012[[#This Row],[PMI]]-B43</f>
        <v>-1.2000000000000028</v>
      </c>
    </row>
    <row r="45" spans="1:3" x14ac:dyDescent="0.2">
      <c r="A45" s="8">
        <v>41640</v>
      </c>
      <c r="B45" s="11">
        <f>IF(VLOOKUP(A45,'DB Country PMI'!$A:$W,MATCH($A$1,'DB Country PMI'!$A$1:$W$1,),)=0,#N/A,VLOOKUP(A45,'DB Country PMI'!$A:$W,MATCH($A$1,'DB Country PMI'!$A$1:$W$1,),))</f>
        <v>49.6</v>
      </c>
      <c r="C45" s="14">
        <f>Table1346811345671012[[#This Row],[PMI]]-B44</f>
        <v>-0.89999999999999858</v>
      </c>
    </row>
    <row r="46" spans="1:3" x14ac:dyDescent="0.2">
      <c r="A46" s="8">
        <v>41671</v>
      </c>
      <c r="B46" s="11">
        <f>IF(VLOOKUP(A46,'DB Country PMI'!$A:$W,MATCH($A$1,'DB Country PMI'!$A$1:$W$1,),)=0,#N/A,VLOOKUP(A46,'DB Country PMI'!$A:$W,MATCH($A$1,'DB Country PMI'!$A$1:$W$1,),))</f>
        <v>50.8</v>
      </c>
      <c r="C46" s="14">
        <f>Table1346811345671012[[#This Row],[PMI]]-B45</f>
        <v>1.1999999999999957</v>
      </c>
    </row>
    <row r="47" spans="1:3" x14ac:dyDescent="0.2">
      <c r="A47" s="8">
        <v>41699</v>
      </c>
      <c r="B47" s="11">
        <f>IF(VLOOKUP(A47,'DB Country PMI'!$A:$W,MATCH($A$1,'DB Country PMI'!$A$1:$W$1,),)=0,#N/A,VLOOKUP(A47,'DB Country PMI'!$A:$W,MATCH($A$1,'DB Country PMI'!$A$1:$W$1,),))</f>
        <v>51</v>
      </c>
      <c r="C47" s="14">
        <f>Table1346811345671012[[#This Row],[PMI]]-B46</f>
        <v>0.20000000000000284</v>
      </c>
    </row>
    <row r="48" spans="1:3" x14ac:dyDescent="0.2">
      <c r="A48" s="8">
        <v>41730</v>
      </c>
      <c r="B48" s="11">
        <f>IF(VLOOKUP(A48,'DB Country PMI'!$A:$W,MATCH($A$1,'DB Country PMI'!$A$1:$W$1,),)=0,#N/A,VLOOKUP(A48,'DB Country PMI'!$A:$W,MATCH($A$1,'DB Country PMI'!$A$1:$W$1,),))</f>
        <v>48.6</v>
      </c>
      <c r="C48" s="14">
        <f>Table1346811345671012[[#This Row],[PMI]]-B47</f>
        <v>-2.3999999999999986</v>
      </c>
    </row>
    <row r="49" spans="1:3" x14ac:dyDescent="0.2">
      <c r="A49" s="8">
        <v>41760</v>
      </c>
      <c r="B49" s="11">
        <f>IF(VLOOKUP(A49,'DB Country PMI'!$A:$W,MATCH($A$1,'DB Country PMI'!$A$1:$W$1,),)=0,#N/A,VLOOKUP(A49,'DB Country PMI'!$A:$W,MATCH($A$1,'DB Country PMI'!$A$1:$W$1,),))</f>
        <v>50.6</v>
      </c>
      <c r="C49" s="14">
        <f>Table1346811345671012[[#This Row],[PMI]]-B48</f>
        <v>2</v>
      </c>
    </row>
    <row r="50" spans="1:3" x14ac:dyDescent="0.2">
      <c r="A50" s="8">
        <v>41791</v>
      </c>
      <c r="B50" s="11">
        <f>IF(VLOOKUP(A50,'DB Country PMI'!$A:$W,MATCH($A$1,'DB Country PMI'!$A$1:$W$1,),)=0,#N/A,VLOOKUP(A50,'DB Country PMI'!$A:$W,MATCH($A$1,'DB Country PMI'!$A$1:$W$1,),))</f>
        <v>51.4</v>
      </c>
      <c r="C50" s="14">
        <f>Table1346811345671012[[#This Row],[PMI]]-B49</f>
        <v>0.79999999999999716</v>
      </c>
    </row>
    <row r="51" spans="1:3" x14ac:dyDescent="0.2">
      <c r="A51" s="8">
        <v>41821</v>
      </c>
      <c r="B51" s="11">
        <f>IF(VLOOKUP(A51,'DB Country PMI'!$A:$W,MATCH($A$1,'DB Country PMI'!$A$1:$W$1,),)=0,#N/A,VLOOKUP(A51,'DB Country PMI'!$A:$W,MATCH($A$1,'DB Country PMI'!$A$1:$W$1,),))</f>
        <v>50.2</v>
      </c>
      <c r="C51" s="14">
        <f>Table1346811345671012[[#This Row],[PMI]]-B50</f>
        <v>-1.1999999999999957</v>
      </c>
    </row>
    <row r="52" spans="1:3" x14ac:dyDescent="0.2">
      <c r="A52" s="8">
        <v>41852</v>
      </c>
      <c r="B52" s="11">
        <f>IF(VLOOKUP(A52,'DB Country PMI'!$A:$W,MATCH($A$1,'DB Country PMI'!$A$1:$W$1,),)=0,#N/A,VLOOKUP(A52,'DB Country PMI'!$A:$W,MATCH($A$1,'DB Country PMI'!$A$1:$W$1,),))</f>
        <v>49.2</v>
      </c>
      <c r="C52" s="14">
        <f>Table1346811345671012[[#This Row],[PMI]]-B51</f>
        <v>-1</v>
      </c>
    </row>
    <row r="53" spans="1:3" x14ac:dyDescent="0.2">
      <c r="A53" s="8">
        <v>41883</v>
      </c>
      <c r="B53" s="11">
        <f>IF(VLOOKUP(A53,'DB Country PMI'!$A:$W,MATCH($A$1,'DB Country PMI'!$A$1:$W$1,),)=0,#N/A,VLOOKUP(A53,'DB Country PMI'!$A:$W,MATCH($A$1,'DB Country PMI'!$A$1:$W$1,),))</f>
        <v>51.2</v>
      </c>
      <c r="C53" s="14">
        <f>Table1346811345671012[[#This Row],[PMI]]-B52</f>
        <v>2</v>
      </c>
    </row>
    <row r="54" spans="1:3" x14ac:dyDescent="0.2">
      <c r="A54" s="8">
        <v>41913</v>
      </c>
      <c r="B54" s="11">
        <f>IF(VLOOKUP(A54,'DB Country PMI'!$A:$W,MATCH($A$1,'DB Country PMI'!$A$1:$W$1,),)=0,#N/A,VLOOKUP(A54,'DB Country PMI'!$A:$W,MATCH($A$1,'DB Country PMI'!$A$1:$W$1,),))</f>
        <v>48.2</v>
      </c>
      <c r="C54" s="14">
        <f>Table1346811345671012[[#This Row],[PMI]]-B53</f>
        <v>-3</v>
      </c>
    </row>
    <row r="55" spans="1:3" x14ac:dyDescent="0.2">
      <c r="A55" s="8">
        <v>41944</v>
      </c>
      <c r="B55" s="11">
        <f>IF(VLOOKUP(A55,'DB Country PMI'!$A:$W,MATCH($A$1,'DB Country PMI'!$A$1:$W$1,),)=0,#N/A,VLOOKUP(A55,'DB Country PMI'!$A:$W,MATCH($A$1,'DB Country PMI'!$A$1:$W$1,),))</f>
        <v>48.5</v>
      </c>
      <c r="C55" s="14">
        <f>Table1346811345671012[[#This Row],[PMI]]-B54</f>
        <v>0.29999999999999716</v>
      </c>
    </row>
    <row r="56" spans="1:3" x14ac:dyDescent="0.2">
      <c r="A56" s="8">
        <v>41974</v>
      </c>
      <c r="B56" s="11">
        <f>IF(VLOOKUP(A56,'DB Country PMI'!$A:$W,MATCH($A$1,'DB Country PMI'!$A$1:$W$1,),)=0,#N/A,VLOOKUP(A56,'DB Country PMI'!$A:$W,MATCH($A$1,'DB Country PMI'!$A$1:$W$1,),))</f>
        <v>49.1</v>
      </c>
      <c r="C56" s="14">
        <f>Table1346811345671012[[#This Row],[PMI]]-B55</f>
        <v>0.60000000000000142</v>
      </c>
    </row>
    <row r="57" spans="1:3" x14ac:dyDescent="0.2">
      <c r="A57" s="8">
        <v>42005</v>
      </c>
      <c r="B57" s="11">
        <f>IF(VLOOKUP(A57,'DB Country PMI'!$A:$W,MATCH($A$1,'DB Country PMI'!$A$1:$W$1,),)=0,#N/A,VLOOKUP(A57,'DB Country PMI'!$A:$W,MATCH($A$1,'DB Country PMI'!$A$1:$W$1,),))</f>
        <v>48.4</v>
      </c>
      <c r="C57" s="14">
        <f>Table1346811345671012[[#This Row],[PMI]]-B56</f>
        <v>-0.70000000000000284</v>
      </c>
    </row>
    <row r="58" spans="1:3" x14ac:dyDescent="0.2">
      <c r="A58" s="8">
        <v>42036</v>
      </c>
      <c r="B58" s="11">
        <f>IF(VLOOKUP(A58,'DB Country PMI'!$A:$W,MATCH($A$1,'DB Country PMI'!$A$1:$W$1,),)=0,#N/A,VLOOKUP(A58,'DB Country PMI'!$A:$W,MATCH($A$1,'DB Country PMI'!$A$1:$W$1,),))</f>
        <v>52.3</v>
      </c>
      <c r="C58" s="14">
        <f>Table1346811345671012[[#This Row],[PMI]]-B57</f>
        <v>3.8999999999999986</v>
      </c>
    </row>
    <row r="59" spans="1:3" x14ac:dyDescent="0.2">
      <c r="A59" s="8">
        <v>42064</v>
      </c>
      <c r="B59" s="11">
        <f>IF(VLOOKUP(A59,'DB Country PMI'!$A:$W,MATCH($A$1,'DB Country PMI'!$A$1:$W$1,),)=0,#N/A,VLOOKUP(A59,'DB Country PMI'!$A:$W,MATCH($A$1,'DB Country PMI'!$A$1:$W$1,),))</f>
        <v>47.9</v>
      </c>
      <c r="C59" s="14">
        <f>Table1346811345671012[[#This Row],[PMI]]-B58</f>
        <v>-4.3999999999999986</v>
      </c>
    </row>
    <row r="60" spans="1:3" x14ac:dyDescent="0.2">
      <c r="A60" s="8">
        <v>42095</v>
      </c>
      <c r="B60" s="11">
        <f>IF(VLOOKUP(A60,'DB Country PMI'!$A:$W,MATCH($A$1,'DB Country PMI'!$A$1:$W$1,),)=0,#N/A,VLOOKUP(A60,'DB Country PMI'!$A:$W,MATCH($A$1,'DB Country PMI'!$A$1:$W$1,),))</f>
        <v>44.6</v>
      </c>
      <c r="C60" s="14">
        <f>Table1346811345671012[[#This Row],[PMI]]-B59</f>
        <v>-3.2999999999999972</v>
      </c>
    </row>
    <row r="61" spans="1:3" x14ac:dyDescent="0.2">
      <c r="A61" s="8">
        <v>42125</v>
      </c>
      <c r="B61" s="11">
        <f>IF(VLOOKUP(A61,'DB Country PMI'!$A:$W,MATCH($A$1,'DB Country PMI'!$A$1:$W$1,),)=0,#N/A,VLOOKUP(A61,'DB Country PMI'!$A:$W,MATCH($A$1,'DB Country PMI'!$A$1:$W$1,),))</f>
        <v>42.5</v>
      </c>
      <c r="C61" s="14">
        <f>Table1346811345671012[[#This Row],[PMI]]-B60</f>
        <v>-2.1000000000000014</v>
      </c>
    </row>
    <row r="62" spans="1:3" x14ac:dyDescent="0.2">
      <c r="A62" s="8">
        <v>42156</v>
      </c>
      <c r="B62" s="11">
        <f>IF(VLOOKUP(A62,'DB Country PMI'!$A:$W,MATCH($A$1,'DB Country PMI'!$A$1:$W$1,),)=0,#N/A,VLOOKUP(A62,'DB Country PMI'!$A:$W,MATCH($A$1,'DB Country PMI'!$A$1:$W$1,),))</f>
        <v>39.9</v>
      </c>
      <c r="C62" s="14">
        <f>Table1346811345671012[[#This Row],[PMI]]-B61</f>
        <v>-2.6000000000000014</v>
      </c>
    </row>
    <row r="63" spans="1:3" x14ac:dyDescent="0.2">
      <c r="A63" s="8">
        <v>42186</v>
      </c>
      <c r="B63" s="11">
        <f>IF(VLOOKUP(A63,'DB Country PMI'!$A:$W,MATCH($A$1,'DB Country PMI'!$A$1:$W$1,),)=0,#N/A,VLOOKUP(A63,'DB Country PMI'!$A:$W,MATCH($A$1,'DB Country PMI'!$A$1:$W$1,),))</f>
        <v>39.1</v>
      </c>
      <c r="C63" s="14">
        <f>Table1346811345671012[[#This Row],[PMI]]-B62</f>
        <v>-0.79999999999999716</v>
      </c>
    </row>
    <row r="64" spans="1:3" x14ac:dyDescent="0.2">
      <c r="A64" s="8">
        <v>42217</v>
      </c>
      <c r="B64" s="11">
        <f>IF(VLOOKUP(A64,'DB Country PMI'!$A:$W,MATCH($A$1,'DB Country PMI'!$A$1:$W$1,),)=0,#N/A,VLOOKUP(A64,'DB Country PMI'!$A:$W,MATCH($A$1,'DB Country PMI'!$A$1:$W$1,),))</f>
        <v>44.8</v>
      </c>
      <c r="C64" s="14">
        <f>Table1346811345671012[[#This Row],[PMI]]-B63</f>
        <v>5.6999999999999957</v>
      </c>
    </row>
    <row r="65" spans="1:3" x14ac:dyDescent="0.2">
      <c r="A65" s="8">
        <v>42248</v>
      </c>
      <c r="B65" s="11">
        <f>IF(VLOOKUP(A65,'DB Country PMI'!$A:$W,MATCH($A$1,'DB Country PMI'!$A$1:$W$1,),)=0,#N/A,VLOOKUP(A65,'DB Country PMI'!$A:$W,MATCH($A$1,'DB Country PMI'!$A$1:$W$1,),))</f>
        <v>41.7</v>
      </c>
      <c r="C65" s="14">
        <f>Table1346811345671012[[#This Row],[PMI]]-B64</f>
        <v>-3.0999999999999943</v>
      </c>
    </row>
    <row r="66" spans="1:3" x14ac:dyDescent="0.2">
      <c r="A66" s="8">
        <v>42278</v>
      </c>
      <c r="B66" s="11">
        <f>IF(VLOOKUP(A66,'DB Country PMI'!$A:$W,MATCH($A$1,'DB Country PMI'!$A$1:$W$1,),)=0,#N/A,VLOOKUP(A66,'DB Country PMI'!$A:$W,MATCH($A$1,'DB Country PMI'!$A$1:$W$1,),))</f>
        <v>43</v>
      </c>
      <c r="C66" s="14">
        <f>Table1346811345671012[[#This Row],[PMI]]-B65</f>
        <v>1.2999999999999972</v>
      </c>
    </row>
    <row r="67" spans="1:3" x14ac:dyDescent="0.2">
      <c r="A67" s="8">
        <v>42309</v>
      </c>
      <c r="B67" s="11">
        <f>IF(VLOOKUP(A67,'DB Country PMI'!$A:$W,MATCH($A$1,'DB Country PMI'!$A$1:$W$1,),)=0,#N/A,VLOOKUP(A67,'DB Country PMI'!$A:$W,MATCH($A$1,'DB Country PMI'!$A$1:$W$1,),))</f>
        <v>45.5</v>
      </c>
      <c r="C67" s="14">
        <f>Table1346811345671012[[#This Row],[PMI]]-B66</f>
        <v>2.5</v>
      </c>
    </row>
    <row r="68" spans="1:3" x14ac:dyDescent="0.2">
      <c r="A68" s="8">
        <v>42339</v>
      </c>
      <c r="B68" s="11">
        <f>IF(VLOOKUP(A68,'DB Country PMI'!$A:$W,MATCH($A$1,'DB Country PMI'!$A$1:$W$1,),)=0,#N/A,VLOOKUP(A68,'DB Country PMI'!$A:$W,MATCH($A$1,'DB Country PMI'!$A$1:$W$1,),))</f>
        <v>43.5</v>
      </c>
      <c r="C68" s="14">
        <f>Table1346811345671012[[#This Row],[PMI]]-B67</f>
        <v>-2</v>
      </c>
    </row>
    <row r="69" spans="1:3" x14ac:dyDescent="0.2">
      <c r="A69" s="8">
        <v>42370</v>
      </c>
      <c r="B69" s="11">
        <f>IF(VLOOKUP(A69,'DB Country PMI'!$A:$W,MATCH($A$1,'DB Country PMI'!$A$1:$W$1,),)=0,#N/A,VLOOKUP(A69,'DB Country PMI'!$A:$W,MATCH($A$1,'DB Country PMI'!$A$1:$W$1,),))</f>
        <v>44.4</v>
      </c>
      <c r="C69" s="14">
        <f>Table1346811345671012[[#This Row],[PMI]]-B68</f>
        <v>0.89999999999999858</v>
      </c>
    </row>
    <row r="70" spans="1:3" x14ac:dyDescent="0.2">
      <c r="A70" s="8">
        <v>42401</v>
      </c>
      <c r="B70" s="11">
        <f>IF(VLOOKUP(A70,'DB Country PMI'!$A:$W,MATCH($A$1,'DB Country PMI'!$A$1:$W$1,),)=0,#N/A,VLOOKUP(A70,'DB Country PMI'!$A:$W,MATCH($A$1,'DB Country PMI'!$A$1:$W$1,),))</f>
        <v>36.9</v>
      </c>
      <c r="C70" s="14">
        <f>Table1346811345671012[[#This Row],[PMI]]-B69</f>
        <v>-7.5</v>
      </c>
    </row>
    <row r="71" spans="1:3" x14ac:dyDescent="0.2">
      <c r="A71" s="8">
        <v>42430</v>
      </c>
      <c r="B71" s="11">
        <f>IF(VLOOKUP(A71,'DB Country PMI'!$A:$W,MATCH($A$1,'DB Country PMI'!$A$1:$W$1,),)=0,#N/A,VLOOKUP(A71,'DB Country PMI'!$A:$W,MATCH($A$1,'DB Country PMI'!$A$1:$W$1,),))</f>
        <v>38.6</v>
      </c>
      <c r="C71" s="14">
        <f>Table1346811345671012[[#This Row],[PMI]]-B70</f>
        <v>1.7000000000000028</v>
      </c>
    </row>
    <row r="72" spans="1:3" x14ac:dyDescent="0.2">
      <c r="A72" s="8">
        <v>42461</v>
      </c>
      <c r="B72" s="11">
        <f>IF(VLOOKUP(A72,'DB Country PMI'!$A:$W,MATCH($A$1,'DB Country PMI'!$A$1:$W$1,),)=0,#N/A,VLOOKUP(A72,'DB Country PMI'!$A:$W,MATCH($A$1,'DB Country PMI'!$A$1:$W$1,),))</f>
        <v>37.4</v>
      </c>
      <c r="C72" s="14">
        <f>Table1346811345671012[[#This Row],[PMI]]-B71</f>
        <v>-1.2000000000000028</v>
      </c>
    </row>
    <row r="73" spans="1:3" x14ac:dyDescent="0.2">
      <c r="A73" s="8">
        <v>42491</v>
      </c>
      <c r="B73" s="11">
        <f>IF(VLOOKUP(A73,'DB Country PMI'!$A:$W,MATCH($A$1,'DB Country PMI'!$A$1:$W$1,),)=0,#N/A,VLOOKUP(A73,'DB Country PMI'!$A:$W,MATCH($A$1,'DB Country PMI'!$A$1:$W$1,),))</f>
        <v>37.299999999999997</v>
      </c>
      <c r="C73" s="14">
        <f>Table1346811345671012[[#This Row],[PMI]]-B72</f>
        <v>-0.10000000000000142</v>
      </c>
    </row>
    <row r="74" spans="1:3" x14ac:dyDescent="0.2">
      <c r="A74" s="8">
        <v>42522</v>
      </c>
      <c r="B74" s="11">
        <f>IF(VLOOKUP(A74,'DB Country PMI'!$A:$W,MATCH($A$1,'DB Country PMI'!$A$1:$W$1,),)=0,#N/A,VLOOKUP(A74,'DB Country PMI'!$A:$W,MATCH($A$1,'DB Country PMI'!$A$1:$W$1,),))</f>
        <v>41.4</v>
      </c>
      <c r="C74" s="14">
        <f>Table1346811345671012[[#This Row],[PMI]]-B73</f>
        <v>4.1000000000000014</v>
      </c>
    </row>
    <row r="75" spans="1:3" x14ac:dyDescent="0.2">
      <c r="A75" s="8">
        <v>42552</v>
      </c>
      <c r="B75" s="11">
        <f>IF(VLOOKUP(A75,'DB Country PMI'!$A:$W,MATCH($A$1,'DB Country PMI'!$A$1:$W$1,),)=0,#N/A,VLOOKUP(A75,'DB Country PMI'!$A:$W,MATCH($A$1,'DB Country PMI'!$A$1:$W$1,),))</f>
        <v>45.6</v>
      </c>
      <c r="C75" s="14">
        <f>Table1346811345671012[[#This Row],[PMI]]-B74</f>
        <v>4.2000000000000028</v>
      </c>
    </row>
    <row r="76" spans="1:3" x14ac:dyDescent="0.2">
      <c r="A76" s="8">
        <v>42583</v>
      </c>
      <c r="B76" s="11">
        <f>IF(VLOOKUP(A76,'DB Country PMI'!$A:$W,MATCH($A$1,'DB Country PMI'!$A$1:$W$1,),)=0,#N/A,VLOOKUP(A76,'DB Country PMI'!$A:$W,MATCH($A$1,'DB Country PMI'!$A$1:$W$1,),))</f>
        <v>42.7</v>
      </c>
      <c r="C76" s="14">
        <f>Table1346811345671012[[#This Row],[PMI]]-B75</f>
        <v>-2.8999999999999986</v>
      </c>
    </row>
    <row r="77" spans="1:3" x14ac:dyDescent="0.2">
      <c r="A77" s="8">
        <v>42614</v>
      </c>
      <c r="B77" s="11">
        <f>IF(VLOOKUP(A77,'DB Country PMI'!$A:$W,MATCH($A$1,'DB Country PMI'!$A$1:$W$1,),)=0,#N/A,VLOOKUP(A77,'DB Country PMI'!$A:$W,MATCH($A$1,'DB Country PMI'!$A$1:$W$1,),))</f>
        <v>45.3</v>
      </c>
      <c r="C77" s="14">
        <f>Table1346811345671012[[#This Row],[PMI]]-B76</f>
        <v>2.5999999999999943</v>
      </c>
    </row>
    <row r="78" spans="1:3" x14ac:dyDescent="0.2">
      <c r="A78" s="8">
        <v>42644</v>
      </c>
      <c r="B78" s="11">
        <f>IF(VLOOKUP(A78,'DB Country PMI'!$A:$W,MATCH($A$1,'DB Country PMI'!$A$1:$W$1,),)=0,#N/A,VLOOKUP(A78,'DB Country PMI'!$A:$W,MATCH($A$1,'DB Country PMI'!$A$1:$W$1,),))</f>
        <v>43.9</v>
      </c>
      <c r="C78" s="14">
        <f>Table1346811345671012[[#This Row],[PMI]]-B77</f>
        <v>-1.3999999999999986</v>
      </c>
    </row>
    <row r="79" spans="1:3" x14ac:dyDescent="0.2">
      <c r="A79" s="8">
        <v>42675</v>
      </c>
      <c r="B79" s="11">
        <f>IF(VLOOKUP(A79,'DB Country PMI'!$A:$W,MATCH($A$1,'DB Country PMI'!$A$1:$W$1,),)=0,#N/A,VLOOKUP(A79,'DB Country PMI'!$A:$W,MATCH($A$1,'DB Country PMI'!$A$1:$W$1,),))</f>
        <v>44.4</v>
      </c>
      <c r="C79" s="14">
        <f>Table1346811345671012[[#This Row],[PMI]]-B78</f>
        <v>0.5</v>
      </c>
    </row>
    <row r="80" spans="1:3" x14ac:dyDescent="0.2">
      <c r="A80" s="8">
        <v>42705</v>
      </c>
      <c r="B80" s="11">
        <f>IF(VLOOKUP(A80,'DB Country PMI'!$A:$W,MATCH($A$1,'DB Country PMI'!$A$1:$W$1,),)=0,#N/A,VLOOKUP(A80,'DB Country PMI'!$A:$W,MATCH($A$1,'DB Country PMI'!$A$1:$W$1,),))</f>
        <v>45.1</v>
      </c>
      <c r="C80" s="14">
        <f>Table1346811345671012[[#This Row],[PMI]]-B79</f>
        <v>0.70000000000000284</v>
      </c>
    </row>
    <row r="81" spans="1:3" x14ac:dyDescent="0.2">
      <c r="A81" s="8">
        <v>42736</v>
      </c>
      <c r="B81" s="11">
        <f>IF(VLOOKUP(A81,'DB Country PMI'!$A:$W,MATCH($A$1,'DB Country PMI'!$A$1:$W$1,),)=0,#N/A,VLOOKUP(A81,'DB Country PMI'!$A:$W,MATCH($A$1,'DB Country PMI'!$A$1:$W$1,),))</f>
        <v>45.1</v>
      </c>
      <c r="C81" s="14">
        <f>Table1346811345671012[[#This Row],[PMI]]-B80</f>
        <v>0</v>
      </c>
    </row>
    <row r="82" spans="1:3" x14ac:dyDescent="0.2">
      <c r="A82" s="8">
        <v>42767</v>
      </c>
      <c r="B82" s="11">
        <f>IF(VLOOKUP(A82,'DB Country PMI'!$A:$W,MATCH($A$1,'DB Country PMI'!$A$1:$W$1,),)=0,#N/A,VLOOKUP(A82,'DB Country PMI'!$A:$W,MATCH($A$1,'DB Country PMI'!$A$1:$W$1,),))</f>
        <v>46.4</v>
      </c>
      <c r="C82" s="14">
        <f>Table1346811345671012[[#This Row],[PMI]]-B81</f>
        <v>1.2999999999999972</v>
      </c>
    </row>
    <row r="83" spans="1:3" x14ac:dyDescent="0.2">
      <c r="A83" s="8">
        <v>42795</v>
      </c>
      <c r="B83" s="11">
        <f>IF(VLOOKUP(A83,'DB Country PMI'!$A:$W,MATCH($A$1,'DB Country PMI'!$A$1:$W$1,),)=0,#N/A,VLOOKUP(A83,'DB Country PMI'!$A:$W,MATCH($A$1,'DB Country PMI'!$A$1:$W$1,),))</f>
        <v>47.7</v>
      </c>
      <c r="C83" s="14">
        <f>Table1346811345671012[[#This Row],[PMI]]-B82</f>
        <v>1.3000000000000043</v>
      </c>
    </row>
    <row r="84" spans="1:3" x14ac:dyDescent="0.2">
      <c r="A84" s="8">
        <v>42826</v>
      </c>
      <c r="B84" s="11">
        <f>IF(VLOOKUP(A84,'DB Country PMI'!$A:$W,MATCH($A$1,'DB Country PMI'!$A$1:$W$1,),)=0,#N/A,VLOOKUP(A84,'DB Country PMI'!$A:$W,MATCH($A$1,'DB Country PMI'!$A$1:$W$1,),))</f>
        <v>50.3</v>
      </c>
      <c r="C84" s="14">
        <f>Table1346811345671012[[#This Row],[PMI]]-B83</f>
        <v>2.5999999999999943</v>
      </c>
    </row>
    <row r="85" spans="1:3" x14ac:dyDescent="0.2">
      <c r="A85" s="8">
        <v>42856</v>
      </c>
      <c r="B85" s="11">
        <f>IF(VLOOKUP(A85,'DB Country PMI'!$A:$W,MATCH($A$1,'DB Country PMI'!$A$1:$W$1,),)=0,#N/A,VLOOKUP(A85,'DB Country PMI'!$A:$W,MATCH($A$1,'DB Country PMI'!$A$1:$W$1,),))</f>
        <v>49.2</v>
      </c>
      <c r="C85" s="14">
        <f>Table1346811345671012[[#This Row],[PMI]]-B84</f>
        <v>-1.0999999999999943</v>
      </c>
    </row>
    <row r="86" spans="1:3" x14ac:dyDescent="0.2">
      <c r="A86" s="8">
        <v>42887</v>
      </c>
      <c r="B86" s="11">
        <f>IF(VLOOKUP(A86,'DB Country PMI'!$A:$W,MATCH($A$1,'DB Country PMI'!$A$1:$W$1,),)=0,#N/A,VLOOKUP(A86,'DB Country PMI'!$A:$W,MATCH($A$1,'DB Country PMI'!$A$1:$W$1,),))</f>
        <v>47.4</v>
      </c>
      <c r="C86" s="14">
        <f>Table1346811345671012[[#This Row],[PMI]]-B85</f>
        <v>-1.8000000000000043</v>
      </c>
    </row>
    <row r="87" spans="1:3" x14ac:dyDescent="0.2">
      <c r="A87" s="8">
        <v>42917</v>
      </c>
      <c r="B87" s="11">
        <f>IF(VLOOKUP(A87,'DB Country PMI'!$A:$W,MATCH($A$1,'DB Country PMI'!$A$1:$W$1,),)=0,#N/A,VLOOKUP(A87,'DB Country PMI'!$A:$W,MATCH($A$1,'DB Country PMI'!$A$1:$W$1,),))</f>
        <v>48.8</v>
      </c>
      <c r="C87" s="14">
        <f>Table1346811345671012[[#This Row],[PMI]]-B86</f>
        <v>1.3999999999999986</v>
      </c>
    </row>
    <row r="88" spans="1:3" x14ac:dyDescent="0.2">
      <c r="A88" s="8">
        <v>42948</v>
      </c>
      <c r="B88" s="11">
        <f>IF(VLOOKUP(A88,'DB Country PMI'!$A:$W,MATCH($A$1,'DB Country PMI'!$A$1:$W$1,),)=0,#N/A,VLOOKUP(A88,'DB Country PMI'!$A:$W,MATCH($A$1,'DB Country PMI'!$A$1:$W$1,),))</f>
        <v>49</v>
      </c>
      <c r="C88" s="14">
        <f>Table1346811345671012[[#This Row],[PMI]]-B87</f>
        <v>0.20000000000000284</v>
      </c>
    </row>
    <row r="89" spans="1:3" x14ac:dyDescent="0.2">
      <c r="A89" s="8">
        <v>42979</v>
      </c>
      <c r="B89" s="11">
        <f>IF(VLOOKUP(A89,'DB Country PMI'!$A:$W,MATCH($A$1,'DB Country PMI'!$A$1:$W$1,),)=0,#N/A,VLOOKUP(A89,'DB Country PMI'!$A:$W,MATCH($A$1,'DB Country PMI'!$A$1:$W$1,),))</f>
        <v>50.7</v>
      </c>
      <c r="C89" s="14">
        <f>Table1346811345671012[[#This Row],[PMI]]-B88</f>
        <v>1.7000000000000028</v>
      </c>
    </row>
    <row r="90" spans="1:3" x14ac:dyDescent="0.2">
      <c r="A90" s="8">
        <v>43009</v>
      </c>
      <c r="B90" s="11">
        <f>IF(VLOOKUP(A90,'DB Country PMI'!$A:$W,MATCH($A$1,'DB Country PMI'!$A$1:$W$1,),)=0,#N/A,VLOOKUP(A90,'DB Country PMI'!$A:$W,MATCH($A$1,'DB Country PMI'!$A$1:$W$1,),))</f>
        <v>48.8</v>
      </c>
      <c r="C90" s="14">
        <f>Table1346811345671012[[#This Row],[PMI]]-B89</f>
        <v>-1.9000000000000057</v>
      </c>
    </row>
    <row r="91" spans="1:3" x14ac:dyDescent="0.2">
      <c r="A91" s="8">
        <v>43040</v>
      </c>
      <c r="B91" s="11">
        <f>IF(VLOOKUP(A91,'DB Country PMI'!$A:$W,MATCH($A$1,'DB Country PMI'!$A$1:$W$1,),)=0,#N/A,VLOOKUP(A91,'DB Country PMI'!$A:$W,MATCH($A$1,'DB Country PMI'!$A$1:$W$1,),))</f>
        <v>46.9</v>
      </c>
      <c r="C91" s="14">
        <f>Table1346811345671012[[#This Row],[PMI]]-B90</f>
        <v>-1.8999999999999986</v>
      </c>
    </row>
    <row r="92" spans="1:3" x14ac:dyDescent="0.2">
      <c r="A92" s="8">
        <v>43070</v>
      </c>
      <c r="B92" s="11">
        <f>IF(VLOOKUP(A92,'DB Country PMI'!$A:$W,MATCH($A$1,'DB Country PMI'!$A$1:$W$1,),)=0,#N/A,VLOOKUP(A92,'DB Country PMI'!$A:$W,MATCH($A$1,'DB Country PMI'!$A$1:$W$1,),))</f>
        <v>47.4</v>
      </c>
      <c r="C92" s="14">
        <f>Table1346811345671012[[#This Row],[PMI]]-B91</f>
        <v>0.5</v>
      </c>
    </row>
    <row r="93" spans="1:3" x14ac:dyDescent="0.2">
      <c r="A93" s="8">
        <v>43101</v>
      </c>
      <c r="B93" s="11">
        <f>IF(VLOOKUP(A93,'DB Country PMI'!$A:$W,MATCH($A$1,'DB Country PMI'!$A$1:$W$1,),)=0,#N/A,VLOOKUP(A93,'DB Country PMI'!$A:$W,MATCH($A$1,'DB Country PMI'!$A$1:$W$1,),))</f>
        <v>50</v>
      </c>
      <c r="C93" s="14">
        <f>Table1346811345671012[[#This Row],[PMI]]-B92</f>
        <v>2.6000000000000014</v>
      </c>
    </row>
    <row r="94" spans="1:3" x14ac:dyDescent="0.2">
      <c r="A94" s="8">
        <v>43132</v>
      </c>
      <c r="B94" s="11">
        <f>IF(VLOOKUP(A94,'DB Country PMI'!$A:$W,MATCH($A$1,'DB Country PMI'!$A$1:$W$1,),)=0,#N/A,VLOOKUP(A94,'DB Country PMI'!$A:$W,MATCH($A$1,'DB Country PMI'!$A$1:$W$1,),))</f>
        <v>52.7</v>
      </c>
      <c r="C94" s="14">
        <f>Table1346811345671012[[#This Row],[PMI]]-B93</f>
        <v>2.7000000000000028</v>
      </c>
    </row>
    <row r="95" spans="1:3" x14ac:dyDescent="0.2">
      <c r="A95" s="8">
        <v>43160</v>
      </c>
      <c r="B95" s="11">
        <f>IF(VLOOKUP(A95,'DB Country PMI'!$A:$W,MATCH($A$1,'DB Country PMI'!$A$1:$W$1,),)=0,#N/A,VLOOKUP(A95,'DB Country PMI'!$A:$W,MATCH($A$1,'DB Country PMI'!$A$1:$W$1,),))</f>
        <v>50.4</v>
      </c>
      <c r="C95" s="14">
        <f>Table1346811345671012[[#This Row],[PMI]]-B94</f>
        <v>-2.3000000000000043</v>
      </c>
    </row>
    <row r="96" spans="1:3" x14ac:dyDescent="0.2">
      <c r="A96" s="8">
        <v>43191</v>
      </c>
      <c r="B96" s="11">
        <f>IF(VLOOKUP(A96,'DB Country PMI'!$A:$W,MATCH($A$1,'DB Country PMI'!$A$1:$W$1,),)=0,#N/A,VLOOKUP(A96,'DB Country PMI'!$A:$W,MATCH($A$1,'DB Country PMI'!$A$1:$W$1,),))</f>
        <v>50</v>
      </c>
      <c r="C96" s="14">
        <f>Table1346811345671012[[#This Row],[PMI]]-B95</f>
        <v>-0.39999999999999858</v>
      </c>
    </row>
    <row r="97" spans="1:3" x14ac:dyDescent="0.2">
      <c r="A97" s="8">
        <v>43221</v>
      </c>
      <c r="B97" s="11">
        <f>IF(VLOOKUP(A97,'DB Country PMI'!$A:$W,MATCH($A$1,'DB Country PMI'!$A$1:$W$1,),)=0,#N/A,VLOOKUP(A97,'DB Country PMI'!$A:$W,MATCH($A$1,'DB Country PMI'!$A$1:$W$1,),))</f>
        <v>49.5</v>
      </c>
      <c r="C97" s="14">
        <f>Table1346811345671012[[#This Row],[PMI]]-B96</f>
        <v>-0.5</v>
      </c>
    </row>
    <row r="98" spans="1:3" x14ac:dyDescent="0.2">
      <c r="A98" s="8">
        <v>43252</v>
      </c>
      <c r="B98" s="11">
        <f>IF(VLOOKUP(A98,'DB Country PMI'!$A:$W,MATCH($A$1,'DB Country PMI'!$A$1:$W$1,),)=0,#N/A,VLOOKUP(A98,'DB Country PMI'!$A:$W,MATCH($A$1,'DB Country PMI'!$A$1:$W$1,),))</f>
        <v>47</v>
      </c>
      <c r="C98" s="14">
        <f>Table1346811345671012[[#This Row],[PMI]]-B97</f>
        <v>-2.5</v>
      </c>
    </row>
    <row r="99" spans="1:3" x14ac:dyDescent="0.2">
      <c r="A99" s="8">
        <v>43282</v>
      </c>
      <c r="B99" s="11">
        <f>IF(VLOOKUP(A99,'DB Country PMI'!$A:$W,MATCH($A$1,'DB Country PMI'!$A$1:$W$1,),)=0,#N/A,VLOOKUP(A99,'DB Country PMI'!$A:$W,MATCH($A$1,'DB Country PMI'!$A$1:$W$1,),))</f>
        <v>50.4</v>
      </c>
      <c r="C99" s="14">
        <f>Table1346811345671012[[#This Row],[PMI]]-B98</f>
        <v>3.3999999999999986</v>
      </c>
    </row>
    <row r="100" spans="1:3" x14ac:dyDescent="0.2">
      <c r="A100" s="8">
        <v>43313</v>
      </c>
      <c r="B100" s="11">
        <f>IF(VLOOKUP(A100,'DB Country PMI'!$A:$W,MATCH($A$1,'DB Country PMI'!$A$1:$W$1,),)=0,#N/A,VLOOKUP(A100,'DB Country PMI'!$A:$W,MATCH($A$1,'DB Country PMI'!$A$1:$W$1,),))</f>
        <v>46.8</v>
      </c>
      <c r="C100" s="14">
        <f>Table1346811345671012[[#This Row],[PMI]]-B99</f>
        <v>-3.6000000000000014</v>
      </c>
    </row>
    <row r="101" spans="1:3" x14ac:dyDescent="0.2">
      <c r="A101" s="8">
        <v>43344</v>
      </c>
      <c r="B101" s="11">
        <f>IF(VLOOKUP(A101,'DB Country PMI'!$A:$W,MATCH($A$1,'DB Country PMI'!$A$1:$W$1,),)=0,#N/A,VLOOKUP(A101,'DB Country PMI'!$A:$W,MATCH($A$1,'DB Country PMI'!$A$1:$W$1,),))</f>
        <v>46.4</v>
      </c>
      <c r="C101" s="14">
        <f>Table1346811345671012[[#This Row],[PMI]]-B100</f>
        <v>-0.39999999999999858</v>
      </c>
    </row>
    <row r="102" spans="1:3" x14ac:dyDescent="0.2">
      <c r="A102" s="8">
        <v>43374</v>
      </c>
      <c r="B102" s="11">
        <f>IF(VLOOKUP(A102,'DB Country PMI'!$A:$W,MATCH($A$1,'DB Country PMI'!$A$1:$W$1,),)=0,#N/A,VLOOKUP(A102,'DB Country PMI'!$A:$W,MATCH($A$1,'DB Country PMI'!$A$1:$W$1,),))</f>
        <v>50.5</v>
      </c>
      <c r="C102" s="14">
        <f>Table1346811345671012[[#This Row],[PMI]]-B101</f>
        <v>4.1000000000000014</v>
      </c>
    </row>
    <row r="103" spans="1:3" x14ac:dyDescent="0.2">
      <c r="A103" s="8">
        <v>43405</v>
      </c>
      <c r="B103" s="11">
        <f>IF(VLOOKUP(A103,'DB Country PMI'!$A:$W,MATCH($A$1,'DB Country PMI'!$A$1:$W$1,),)=0,#N/A,VLOOKUP(A103,'DB Country PMI'!$A:$W,MATCH($A$1,'DB Country PMI'!$A$1:$W$1,),))</f>
        <v>51.3</v>
      </c>
      <c r="C103" s="14">
        <f>Table1346811345671012[[#This Row],[PMI]]-B102</f>
        <v>0.79999999999999716</v>
      </c>
    </row>
    <row r="104" spans="1:3" x14ac:dyDescent="0.2">
      <c r="A104" s="8">
        <v>43435</v>
      </c>
      <c r="B104" s="11">
        <f>IF(VLOOKUP(A104,'DB Country PMI'!$A:$W,MATCH($A$1,'DB Country PMI'!$A$1:$W$1,),)=0,#N/A,VLOOKUP(A104,'DB Country PMI'!$A:$W,MATCH($A$1,'DB Country PMI'!$A$1:$W$1,),))</f>
        <v>51.9</v>
      </c>
      <c r="C104" s="14">
        <f>Table1346811345671012[[#This Row],[PMI]]-B103</f>
        <v>0.60000000000000142</v>
      </c>
    </row>
    <row r="105" spans="1:3" x14ac:dyDescent="0.2">
      <c r="A105" s="8">
        <v>43466</v>
      </c>
      <c r="B105" s="11">
        <f>IF(VLOOKUP(A105,'DB Country PMI'!$A:$W,MATCH($A$1,'DB Country PMI'!$A$1:$W$1,),)=0,#N/A,VLOOKUP(A105,'DB Country PMI'!$A:$W,MATCH($A$1,'DB Country PMI'!$A$1:$W$1,),))</f>
        <v>52</v>
      </c>
      <c r="C105" s="14">
        <f>Table1346811345671012[[#This Row],[PMI]]-B104</f>
        <v>0.10000000000000142</v>
      </c>
    </row>
    <row r="106" spans="1:3" x14ac:dyDescent="0.2">
      <c r="A106" s="8">
        <v>43497</v>
      </c>
      <c r="B106" s="11">
        <f>IF(VLOOKUP(A106,'DB Country PMI'!$A:$W,MATCH($A$1,'DB Country PMI'!$A$1:$W$1,),)=0,#N/A,VLOOKUP(A106,'DB Country PMI'!$A:$W,MATCH($A$1,'DB Country PMI'!$A$1:$W$1,),))</f>
        <v>52.2</v>
      </c>
      <c r="C106" s="14">
        <f>Table1346811345671012[[#This Row],[PMI]]-B105</f>
        <v>0.20000000000000284</v>
      </c>
    </row>
    <row r="107" spans="1:3" x14ac:dyDescent="0.2">
      <c r="A107" s="8">
        <v>43525</v>
      </c>
      <c r="B107" s="11">
        <f>IF(VLOOKUP(A107,'DB Country PMI'!$A:$W,MATCH($A$1,'DB Country PMI'!$A$1:$W$1,),)=0,#N/A,VLOOKUP(A107,'DB Country PMI'!$A:$W,MATCH($A$1,'DB Country PMI'!$A$1:$W$1,),))</f>
        <v>52.7</v>
      </c>
      <c r="C107" s="14">
        <f>Table1346811345671012[[#This Row],[PMI]]-B106</f>
        <v>0.5</v>
      </c>
    </row>
    <row r="108" spans="1:3" x14ac:dyDescent="0.2">
      <c r="A108" s="8">
        <v>43556</v>
      </c>
      <c r="B108" s="11">
        <f>IF(VLOOKUP(A108,'DB Country PMI'!$A:$W,MATCH($A$1,'DB Country PMI'!$A$1:$W$1,),)=0,#N/A,VLOOKUP(A108,'DB Country PMI'!$A:$W,MATCH($A$1,'DB Country PMI'!$A$1:$W$1,),))</f>
        <v>49.9</v>
      </c>
      <c r="C108" s="14">
        <f>Table1346811345671012[[#This Row],[PMI]]-B107</f>
        <v>-2.8000000000000043</v>
      </c>
    </row>
    <row r="109" spans="1:3" x14ac:dyDescent="0.2">
      <c r="A109" s="8">
        <v>43586</v>
      </c>
      <c r="B109" s="11">
        <f>IF(VLOOKUP(A109,'DB Country PMI'!$A:$W,MATCH($A$1,'DB Country PMI'!$A$1:$W$1,),)=0,#N/A,VLOOKUP(A109,'DB Country PMI'!$A:$W,MATCH($A$1,'DB Country PMI'!$A$1:$W$1,),))</f>
        <v>47.8</v>
      </c>
      <c r="C109" s="14">
        <f>Table1346811345671012[[#This Row],[PMI]]-B108</f>
        <v>-2.1000000000000014</v>
      </c>
    </row>
    <row r="110" spans="1:3" x14ac:dyDescent="0.2">
      <c r="A110" s="8">
        <v>43617</v>
      </c>
      <c r="B110" s="11">
        <f>IF(VLOOKUP(A110,'DB Country PMI'!$A:$W,MATCH($A$1,'DB Country PMI'!$A$1:$W$1,),)=0,#N/A,VLOOKUP(A110,'DB Country PMI'!$A:$W,MATCH($A$1,'DB Country PMI'!$A$1:$W$1,),))</f>
        <v>48.2</v>
      </c>
      <c r="C110" s="14">
        <f>Table1346811345671012[[#This Row],[PMI]]-B109</f>
        <v>0.40000000000000568</v>
      </c>
    </row>
    <row r="111" spans="1:3" x14ac:dyDescent="0.2">
      <c r="A111" s="8">
        <v>43647</v>
      </c>
      <c r="B111" s="11">
        <f>IF(VLOOKUP(A111,'DB Country PMI'!$A:$W,MATCH($A$1,'DB Country PMI'!$A$1:$W$1,),)=0,#N/A,VLOOKUP(A111,'DB Country PMI'!$A:$W,MATCH($A$1,'DB Country PMI'!$A$1:$W$1,),))</f>
        <v>52.2</v>
      </c>
      <c r="C111" s="14">
        <f>Table1346811345671012[[#This Row],[PMI]]-B110</f>
        <v>4</v>
      </c>
    </row>
    <row r="112" spans="1:3" x14ac:dyDescent="0.2">
      <c r="A112" s="8">
        <v>43678</v>
      </c>
      <c r="B112" s="11">
        <f>IF(VLOOKUP(A112,'DB Country PMI'!$A:$W,MATCH($A$1,'DB Country PMI'!$A$1:$W$1,),)=0,#N/A,VLOOKUP(A112,'DB Country PMI'!$A:$W,MATCH($A$1,'DB Country PMI'!$A$1:$W$1,),))</f>
        <v>51.4</v>
      </c>
      <c r="C112" s="14">
        <f>Table1346811345671012[[#This Row],[PMI]]-B111</f>
        <v>-0.80000000000000426</v>
      </c>
    </row>
    <row r="113" spans="1:3" x14ac:dyDescent="0.2">
      <c r="A113" s="8">
        <v>43709</v>
      </c>
      <c r="B113" s="11">
        <f>IF(VLOOKUP(A113,'DB Country PMI'!$A:$W,MATCH($A$1,'DB Country PMI'!$A$1:$W$1,),)=0,#N/A,VLOOKUP(A113,'DB Country PMI'!$A:$W,MATCH($A$1,'DB Country PMI'!$A$1:$W$1,),))</f>
        <v>51.8</v>
      </c>
      <c r="C113" s="14">
        <f>Table1346811345671012[[#This Row],[PMI]]-B112</f>
        <v>0.39999999999999858</v>
      </c>
    </row>
    <row r="114" spans="1:3" x14ac:dyDescent="0.2">
      <c r="A114" s="8">
        <v>43739</v>
      </c>
      <c r="B114" s="11">
        <f>IF(VLOOKUP(A114,'DB Country PMI'!$A:$W,MATCH($A$1,'DB Country PMI'!$A$1:$W$1,),)=0,#N/A,VLOOKUP(A114,'DB Country PMI'!$A:$W,MATCH($A$1,'DB Country PMI'!$A$1:$W$1,),))</f>
        <v>51.2</v>
      </c>
      <c r="C114" s="14">
        <f>Table1346811345671012[[#This Row],[PMI]]-B113</f>
        <v>-0.59999999999999432</v>
      </c>
    </row>
    <row r="115" spans="1:3" x14ac:dyDescent="0.2">
      <c r="A115" s="8">
        <v>43770</v>
      </c>
      <c r="B115" s="11">
        <f>IF(VLOOKUP(A115,'DB Country PMI'!$A:$W,MATCH($A$1,'DB Country PMI'!$A$1:$W$1,),)=0,#N/A,VLOOKUP(A115,'DB Country PMI'!$A:$W,MATCH($A$1,'DB Country PMI'!$A$1:$W$1,),))</f>
        <v>50.9</v>
      </c>
      <c r="C115" s="14">
        <f>Table1346811345671012[[#This Row],[PMI]]-B114</f>
        <v>-0.30000000000000426</v>
      </c>
    </row>
    <row r="116" spans="1:3" x14ac:dyDescent="0.2">
      <c r="A116" s="8">
        <v>43800</v>
      </c>
      <c r="B116" s="11">
        <f>IF(VLOOKUP(A116,'DB Country PMI'!$A:$W,MATCH($A$1,'DB Country PMI'!$A$1:$W$1,),)=0,#N/A,VLOOKUP(A116,'DB Country PMI'!$A:$W,MATCH($A$1,'DB Country PMI'!$A$1:$W$1,),))</f>
        <v>51</v>
      </c>
      <c r="C116" s="14">
        <f>Table1346811345671012[[#This Row],[PMI]]-B115</f>
        <v>0.10000000000000142</v>
      </c>
    </row>
    <row r="117" spans="1:3" x14ac:dyDescent="0.2">
      <c r="A117" s="8">
        <v>43831</v>
      </c>
      <c r="B117" s="11">
        <f>IF(VLOOKUP(A117,'DB Country PMI'!$A:$W,MATCH($A$1,'DB Country PMI'!$A$1:$W$1,),)=0,#N/A,VLOOKUP(A117,'DB Country PMI'!$A:$W,MATCH($A$1,'DB Country PMI'!$A$1:$W$1,),))</f>
        <v>52.7</v>
      </c>
      <c r="C117" s="14">
        <f>Table1346811345671012[[#This Row],[PMI]]-B116</f>
        <v>1.7000000000000028</v>
      </c>
    </row>
    <row r="118" spans="1:3" x14ac:dyDescent="0.2">
      <c r="A118" s="8">
        <v>43862</v>
      </c>
      <c r="B118" s="11">
        <f>IF(VLOOKUP(A118,'DB Country PMI'!$A:$W,MATCH($A$1,'DB Country PMI'!$A$1:$W$1,),)=0,#N/A,VLOOKUP(A118,'DB Country PMI'!$A:$W,MATCH($A$1,'DB Country PMI'!$A$1:$W$1,),))</f>
        <v>50.4</v>
      </c>
      <c r="C118" s="14">
        <f>Table1346811345671012[[#This Row],[PMI]]-B117</f>
        <v>-2.3000000000000043</v>
      </c>
    </row>
    <row r="119" spans="1:3" x14ac:dyDescent="0.2">
      <c r="A119" s="8">
        <v>43891</v>
      </c>
      <c r="B119" s="11">
        <f>IF(VLOOKUP(A119,'DB Country PMI'!$A:$W,MATCH($A$1,'DB Country PMI'!$A$1:$W$1,),)=0,#N/A,VLOOKUP(A119,'DB Country PMI'!$A:$W,MATCH($A$1,'DB Country PMI'!$A$1:$W$1,),))</f>
        <v>34.5</v>
      </c>
      <c r="C119" s="14">
        <f>Table1346811345671012[[#This Row],[PMI]]-B118</f>
        <v>-15.899999999999999</v>
      </c>
    </row>
    <row r="120" spans="1:3" x14ac:dyDescent="0.2">
      <c r="A120" s="8">
        <v>43922</v>
      </c>
      <c r="B120" s="11">
        <f>IF(VLOOKUP(A120,'DB Country PMI'!$A:$W,MATCH($A$1,'DB Country PMI'!$A$1:$W$1,),)=0,#N/A,VLOOKUP(A120,'DB Country PMI'!$A:$W,MATCH($A$1,'DB Country PMI'!$A$1:$W$1,),))</f>
        <v>27.4</v>
      </c>
      <c r="C120" s="14">
        <f>Table1346811345671012[[#This Row],[PMI]]-B119</f>
        <v>-7.1000000000000014</v>
      </c>
    </row>
    <row r="121" spans="1:3" x14ac:dyDescent="0.2">
      <c r="A121" s="8">
        <v>43952</v>
      </c>
      <c r="B121" s="11">
        <f>IF(VLOOKUP(A121,'DB Country PMI'!$A:$W,MATCH($A$1,'DB Country PMI'!$A$1:$W$1,),)=0,#N/A,VLOOKUP(A121,'DB Country PMI'!$A:$W,MATCH($A$1,'DB Country PMI'!$A$1:$W$1,),))</f>
        <v>27.6</v>
      </c>
      <c r="C121" s="14">
        <f>Table1346811345671012[[#This Row],[PMI]]-B120</f>
        <v>0.20000000000000284</v>
      </c>
    </row>
    <row r="122" spans="1:3" x14ac:dyDescent="0.2">
      <c r="A122" s="8">
        <v>43983</v>
      </c>
      <c r="B122" s="11">
        <f>IF(VLOOKUP(A122,'DB Country PMI'!$A:$W,MATCH($A$1,'DB Country PMI'!$A$1:$W$1,),)=0,#N/A,VLOOKUP(A122,'DB Country PMI'!$A:$W,MATCH($A$1,'DB Country PMI'!$A$1:$W$1,),))</f>
        <v>35.9</v>
      </c>
      <c r="C122" s="14">
        <f>Table1346811345671012[[#This Row],[PMI]]-B121</f>
        <v>8.2999999999999972</v>
      </c>
    </row>
    <row r="123" spans="1:3" x14ac:dyDescent="0.2">
      <c r="A123" s="8">
        <v>44013</v>
      </c>
      <c r="B123" s="11">
        <f>IF(VLOOKUP(A123,'DB Country PMI'!$A:$W,MATCH($A$1,'DB Country PMI'!$A$1:$W$1,),)=0,#N/A,VLOOKUP(A123,'DB Country PMI'!$A:$W,MATCH($A$1,'DB Country PMI'!$A$1:$W$1,),))</f>
        <v>42.5</v>
      </c>
      <c r="C123" s="14">
        <f>Table1346811345671012[[#This Row],[PMI]]-B122</f>
        <v>6.6000000000000014</v>
      </c>
    </row>
    <row r="124" spans="1:3" x14ac:dyDescent="0.2">
      <c r="A124" s="8">
        <v>44044</v>
      </c>
      <c r="B124" s="11">
        <f>IF(VLOOKUP(A124,'DB Country PMI'!$A:$W,MATCH($A$1,'DB Country PMI'!$A$1:$W$1,),)=0,#N/A,VLOOKUP(A124,'DB Country PMI'!$A:$W,MATCH($A$1,'DB Country PMI'!$A$1:$W$1,),))</f>
        <v>49.5</v>
      </c>
      <c r="C124" s="14">
        <f>Table1346811345671012[[#This Row],[PMI]]-B123</f>
        <v>7</v>
      </c>
    </row>
    <row r="125" spans="1:3" x14ac:dyDescent="0.2">
      <c r="A125" s="8">
        <v>44075</v>
      </c>
      <c r="B125" s="11">
        <f>IF(VLOOKUP(A125,'DB Country PMI'!$A:$W,MATCH($A$1,'DB Country PMI'!$A$1:$W$1,),)=0,#N/A,VLOOKUP(A125,'DB Country PMI'!$A:$W,MATCH($A$1,'DB Country PMI'!$A$1:$W$1,),))</f>
        <v>50.4</v>
      </c>
      <c r="C125" s="14">
        <f>Table1346811345671012[[#This Row],[PMI]]-B124</f>
        <v>0.89999999999999858</v>
      </c>
    </row>
    <row r="126" spans="1:3" x14ac:dyDescent="0.2">
      <c r="A126" s="8">
        <v>44105</v>
      </c>
      <c r="B126" s="11">
        <f>IF(VLOOKUP(A126,'DB Country PMI'!$A:$W,MATCH($A$1,'DB Country PMI'!$A$1:$W$1,),)=0,#N/A,VLOOKUP(A126,'DB Country PMI'!$A:$W,MATCH($A$1,'DB Country PMI'!$A$1:$W$1,),))</f>
        <v>52.3</v>
      </c>
      <c r="C126" s="14">
        <f>Table1346811345671012[[#This Row],[PMI]]-B125</f>
        <v>1.8999999999999986</v>
      </c>
    </row>
    <row r="127" spans="1:3" x14ac:dyDescent="0.2">
      <c r="A127" s="8">
        <v>44136</v>
      </c>
      <c r="B127" s="11">
        <f>IF(VLOOKUP(A127,'DB Country PMI'!$A:$W,MATCH($A$1,'DB Country PMI'!$A$1:$W$1,),)=0,#N/A,VLOOKUP(A127,'DB Country PMI'!$A:$W,MATCH($A$1,'DB Country PMI'!$A$1:$W$1,),))</f>
        <v>50.9</v>
      </c>
      <c r="C127" s="14">
        <f>Table1346811345671012[[#This Row],[PMI]]-B126</f>
        <v>-1.3999999999999986</v>
      </c>
    </row>
    <row r="128" spans="1:3" x14ac:dyDescent="0.2">
      <c r="A128" s="8">
        <v>44166</v>
      </c>
      <c r="B128" s="11">
        <f>IF(VLOOKUP(A128,'DB Country PMI'!$A:$W,MATCH($A$1,'DB Country PMI'!$A$1:$W$1,),)=0,#N/A,VLOOKUP(A128,'DB Country PMI'!$A:$W,MATCH($A$1,'DB Country PMI'!$A$1:$W$1,),))</f>
        <v>51.1</v>
      </c>
      <c r="C128" s="14">
        <f>Table1346811345671012[[#This Row],[PMI]]-B127</f>
        <v>0.20000000000000284</v>
      </c>
    </row>
    <row r="129" spans="1:3" x14ac:dyDescent="0.2">
      <c r="A129" s="8">
        <v>44197</v>
      </c>
      <c r="B129" s="11">
        <f>IF(VLOOKUP(A129,'DB Country PMI'!$A:$W,MATCH($A$1,'DB Country PMI'!$A$1:$W$1,),)=0,#N/A,VLOOKUP(A129,'DB Country PMI'!$A:$W,MATCH($A$1,'DB Country PMI'!$A$1:$W$1,),))</f>
        <v>47</v>
      </c>
      <c r="C129" s="14">
        <f>Table1346811345671012[[#This Row],[PMI]]-B128</f>
        <v>-4.1000000000000014</v>
      </c>
    </row>
    <row r="130" spans="1:3" x14ac:dyDescent="0.2">
      <c r="A130" s="8">
        <v>44228</v>
      </c>
      <c r="B130" s="11">
        <f>IF(VLOOKUP(A130,'DB Country PMI'!$A:$W,MATCH($A$1,'DB Country PMI'!$A$1:$W$1,),)=0,#N/A,VLOOKUP(A130,'DB Country PMI'!$A:$W,MATCH($A$1,'DB Country PMI'!$A$1:$W$1,),))</f>
        <v>47.1</v>
      </c>
      <c r="C130" s="14">
        <f>Table1346811345671012[[#This Row],[PMI]]-B129</f>
        <v>0.10000000000000142</v>
      </c>
    </row>
    <row r="131" spans="1:3" x14ac:dyDescent="0.2">
      <c r="A131" s="8">
        <v>44256</v>
      </c>
      <c r="B131" s="11">
        <f>IF(VLOOKUP(A131,'DB Country PMI'!$A:$W,MATCH($A$1,'DB Country PMI'!$A$1:$W$1,),)=0,#N/A,VLOOKUP(A131,'DB Country PMI'!$A:$W,MATCH($A$1,'DB Country PMI'!$A$1:$W$1,),))</f>
        <v>44.1</v>
      </c>
      <c r="C131" s="14">
        <f>Table1346811345671012[[#This Row],[PMI]]-B130</f>
        <v>-3</v>
      </c>
    </row>
    <row r="132" spans="1:3" x14ac:dyDescent="0.2">
      <c r="A132" s="8">
        <v>44287</v>
      </c>
      <c r="B132" s="11">
        <f>IF(VLOOKUP(A132,'DB Country PMI'!$A:$W,MATCH($A$1,'DB Country PMI'!$A$1:$W$1,),)=0,#N/A,VLOOKUP(A132,'DB Country PMI'!$A:$W,MATCH($A$1,'DB Country PMI'!$A$1:$W$1,),))</f>
        <v>42.9</v>
      </c>
      <c r="C132" s="14">
        <f>Table1346811345671012[[#This Row],[PMI]]-B131</f>
        <v>-1.2000000000000028</v>
      </c>
    </row>
    <row r="133" spans="1:3" x14ac:dyDescent="0.2">
      <c r="A133" s="8">
        <v>44317</v>
      </c>
      <c r="B133" s="11">
        <f>IF(VLOOKUP(A133,'DB Country PMI'!$A:$W,MATCH($A$1,'DB Country PMI'!$A$1:$W$1,),)=0,#N/A,VLOOKUP(A133,'DB Country PMI'!$A:$W,MATCH($A$1,'DB Country PMI'!$A$1:$W$1,),))</f>
        <v>48.3</v>
      </c>
      <c r="C133" s="14">
        <f>Table1346811345671012[[#This Row],[PMI]]-B132</f>
        <v>5.3999999999999986</v>
      </c>
    </row>
    <row r="134" spans="1:3" x14ac:dyDescent="0.2">
      <c r="A134" s="8">
        <v>44348</v>
      </c>
      <c r="B134" s="11">
        <f>IF(VLOOKUP(A134,'DB Country PMI'!$A:$W,MATCH($A$1,'DB Country PMI'!$A$1:$W$1,),)=0,#N/A,VLOOKUP(A134,'DB Country PMI'!$A:$W,MATCH($A$1,'DB Country PMI'!$A$1:$W$1,),))</f>
        <v>53.9</v>
      </c>
      <c r="C134" s="14">
        <f>Table1346811345671012[[#This Row],[PMI]]-B133</f>
        <v>5.6000000000000014</v>
      </c>
    </row>
    <row r="135" spans="1:3" x14ac:dyDescent="0.2">
      <c r="A135" s="8">
        <v>44378</v>
      </c>
      <c r="B135" s="11">
        <f>IF(VLOOKUP(A135,'DB Country PMI'!$A:$W,MATCH($A$1,'DB Country PMI'!$A$1:$W$1,),)=0,#N/A,VLOOKUP(A135,'DB Country PMI'!$A:$W,MATCH($A$1,'DB Country PMI'!$A$1:$W$1,),))</f>
        <v>54.4</v>
      </c>
      <c r="C135" s="14">
        <f>Table1346811345671012[[#This Row],[PMI]]-B134</f>
        <v>0.5</v>
      </c>
    </row>
    <row r="136" spans="1:3" x14ac:dyDescent="0.2">
      <c r="A136" s="8">
        <v>44409</v>
      </c>
      <c r="B136" s="11">
        <f>IF(VLOOKUP(A136,'DB Country PMI'!$A:$W,MATCH($A$1,'DB Country PMI'!$A$1:$W$1,),)=0,#N/A,VLOOKUP(A136,'DB Country PMI'!$A:$W,MATCH($A$1,'DB Country PMI'!$A$1:$W$1,),))</f>
        <v>55.1</v>
      </c>
      <c r="C136" s="14">
        <f>Table1346811345671012[[#This Row],[PMI]]-B135</f>
        <v>0.70000000000000284</v>
      </c>
    </row>
    <row r="137" spans="1:3" x14ac:dyDescent="0.2">
      <c r="A137" s="8">
        <v>44440</v>
      </c>
      <c r="B137" s="11">
        <f>IF(VLOOKUP(A137,'DB Country PMI'!$A:$W,MATCH($A$1,'DB Country PMI'!$A$1:$W$1,),)=0,#N/A,VLOOKUP(A137,'DB Country PMI'!$A:$W,MATCH($A$1,'DB Country PMI'!$A$1:$W$1,),))</f>
        <v>54.6</v>
      </c>
      <c r="C137" s="14">
        <f>Table1346811345671012[[#This Row],[PMI]]-B136</f>
        <v>-0.5</v>
      </c>
    </row>
    <row r="138" spans="1:3" x14ac:dyDescent="0.2">
      <c r="A138" s="8">
        <v>44470</v>
      </c>
      <c r="B138" s="11">
        <f>IF(VLOOKUP(A138,'DB Country PMI'!$A:$W,MATCH($A$1,'DB Country PMI'!$A$1:$W$1,),)=0,#N/A,VLOOKUP(A138,'DB Country PMI'!$A:$W,MATCH($A$1,'DB Country PMI'!$A$1:$W$1,),))</f>
        <v>54.9</v>
      </c>
      <c r="C138" s="14">
        <f>Table1346811345671012[[#This Row],[PMI]]-B137</f>
        <v>0.29999999999999716</v>
      </c>
    </row>
    <row r="139" spans="1:3" x14ac:dyDescent="0.2">
      <c r="A139" s="8">
        <v>44501</v>
      </c>
      <c r="B139" s="11">
        <f>IF(VLOOKUP(A139,'DB Country PMI'!$A:$W,MATCH($A$1,'DB Country PMI'!$A$1:$W$1,),)=0,#N/A,VLOOKUP(A139,'DB Country PMI'!$A:$W,MATCH($A$1,'DB Country PMI'!$A$1:$W$1,),))</f>
        <v>53.6</v>
      </c>
      <c r="C139" s="14">
        <f>Table1346811345671012[[#This Row],[PMI]]-B138</f>
        <v>-1.2999999999999972</v>
      </c>
    </row>
    <row r="140" spans="1:3" x14ac:dyDescent="0.2">
      <c r="A140" s="8">
        <v>44531</v>
      </c>
      <c r="B140" s="11">
        <f>IF(VLOOKUP(A140,'DB Country PMI'!$A:$W,MATCH($A$1,'DB Country PMI'!$A$1:$W$1,),)=0,#N/A,VLOOKUP(A140,'DB Country PMI'!$A:$W,MATCH($A$1,'DB Country PMI'!$A$1:$W$1,),))</f>
        <v>53.6</v>
      </c>
      <c r="C140" s="14">
        <f>Table1346811345671012[[#This Row],[PMI]]-B139</f>
        <v>0</v>
      </c>
    </row>
    <row r="141" spans="1:3" x14ac:dyDescent="0.2">
      <c r="A141" s="8">
        <v>44562</v>
      </c>
      <c r="B141" s="11">
        <f>IF(VLOOKUP(A141,'DB Country PMI'!$A:$W,MATCH($A$1,'DB Country PMI'!$A$1:$W$1,),)=0,#N/A,VLOOKUP(A141,'DB Country PMI'!$A:$W,MATCH($A$1,'DB Country PMI'!$A$1:$W$1,),))</f>
        <v>52.8</v>
      </c>
      <c r="C141" s="14">
        <f>Table1346811345671012[[#This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29</v>
      </c>
      <c r="J1" s="47" t="s">
        <v>61</v>
      </c>
    </row>
    <row r="2" spans="1:10" x14ac:dyDescent="0.2">
      <c r="J2" s="47" t="s">
        <v>74</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54.7</v>
      </c>
      <c r="C6" s="11"/>
    </row>
    <row r="7" spans="1:10" x14ac:dyDescent="0.2">
      <c r="A7" s="8">
        <v>40483</v>
      </c>
      <c r="B7" s="11">
        <f>IF(VLOOKUP(A7,'DB Country PMI'!$A:$W,MATCH($A$1,'DB Country PMI'!$A$1:$W$1,),)=0,#N/A,VLOOKUP(A7,'DB Country PMI'!$A:$W,MATCH($A$1,'DB Country PMI'!$A$1:$W$1,),))</f>
        <v>54.1</v>
      </c>
      <c r="C7" s="14">
        <f>Table134681134567101213[[#This Row],[PMI]]-B6</f>
        <v>-0.60000000000000142</v>
      </c>
    </row>
    <row r="8" spans="1:10" x14ac:dyDescent="0.2">
      <c r="A8" s="8">
        <v>40513</v>
      </c>
      <c r="B8" s="11">
        <f>IF(VLOOKUP(A8,'DB Country PMI'!$A:$W,MATCH($A$1,'DB Country PMI'!$A$1:$W$1,),)=0,#N/A,VLOOKUP(A8,'DB Country PMI'!$A:$W,MATCH($A$1,'DB Country PMI'!$A$1:$W$1,),))</f>
        <v>53.4</v>
      </c>
      <c r="C8" s="14">
        <f>Table134681134567101213[[#This Row],[PMI]]-B7</f>
        <v>-0.70000000000000284</v>
      </c>
    </row>
    <row r="9" spans="1:10" x14ac:dyDescent="0.2">
      <c r="A9" s="8">
        <v>40544</v>
      </c>
      <c r="B9" s="11">
        <f>IF(VLOOKUP(A9,'DB Country PMI'!$A:$W,MATCH($A$1,'DB Country PMI'!$A$1:$W$1,),)=0,#N/A,VLOOKUP(A9,'DB Country PMI'!$A:$W,MATCH($A$1,'DB Country PMI'!$A$1:$W$1,),))</f>
        <v>52.4</v>
      </c>
      <c r="C9" s="14">
        <f>Table134681134567101213[[#This Row],[PMI]]-B8</f>
        <v>-1</v>
      </c>
    </row>
    <row r="10" spans="1:10" x14ac:dyDescent="0.2">
      <c r="A10" s="8">
        <v>40575</v>
      </c>
      <c r="B10" s="11">
        <f>IF(VLOOKUP(A10,'DB Country PMI'!$A:$W,MATCH($A$1,'DB Country PMI'!$A$1:$W$1,),)=0,#N/A,VLOOKUP(A10,'DB Country PMI'!$A:$W,MATCH($A$1,'DB Country PMI'!$A$1:$W$1,),))</f>
        <v>53.4</v>
      </c>
      <c r="C10" s="14">
        <f>Table134681134567101213[[#This Row],[PMI]]-B9</f>
        <v>1</v>
      </c>
    </row>
    <row r="11" spans="1:10" x14ac:dyDescent="0.2">
      <c r="A11" s="8">
        <v>40603</v>
      </c>
      <c r="B11" s="11">
        <f>IF(VLOOKUP(A11,'DB Country PMI'!$A:$W,MATCH($A$1,'DB Country PMI'!$A$1:$W$1,),)=0,#N/A,VLOOKUP(A11,'DB Country PMI'!$A:$W,MATCH($A$1,'DB Country PMI'!$A$1:$W$1,),))</f>
        <v>53.3</v>
      </c>
      <c r="C11" s="14">
        <f>Table134681134567101213[[#This Row],[PMI]]-B10</f>
        <v>-0.10000000000000142</v>
      </c>
    </row>
    <row r="12" spans="1:10" x14ac:dyDescent="0.2">
      <c r="A12" s="8">
        <v>40634</v>
      </c>
      <c r="B12" s="11">
        <f>IF(VLOOKUP(A12,'DB Country PMI'!$A:$W,MATCH($A$1,'DB Country PMI'!$A$1:$W$1,),)=0,#N/A,VLOOKUP(A12,'DB Country PMI'!$A:$W,MATCH($A$1,'DB Country PMI'!$A$1:$W$1,),))</f>
        <v>55.8</v>
      </c>
      <c r="C12" s="14">
        <f>Table134681134567101213[[#This Row],[PMI]]-B11</f>
        <v>2.5</v>
      </c>
    </row>
    <row r="13" spans="1:10" x14ac:dyDescent="0.2">
      <c r="A13" s="8">
        <v>40664</v>
      </c>
      <c r="B13" s="11">
        <f>IF(VLOOKUP(A13,'DB Country PMI'!$A:$W,MATCH($A$1,'DB Country PMI'!$A$1:$W$1,),)=0,#N/A,VLOOKUP(A13,'DB Country PMI'!$A:$W,MATCH($A$1,'DB Country PMI'!$A$1:$W$1,),))</f>
        <v>57.6</v>
      </c>
      <c r="C13" s="14">
        <f>Table134681134567101213[[#This Row],[PMI]]-B12</f>
        <v>1.8000000000000043</v>
      </c>
    </row>
    <row r="14" spans="1:10" x14ac:dyDescent="0.2">
      <c r="A14" s="8">
        <v>40695</v>
      </c>
      <c r="B14" s="11">
        <f>IF(VLOOKUP(A14,'DB Country PMI'!$A:$W,MATCH($A$1,'DB Country PMI'!$A$1:$W$1,),)=0,#N/A,VLOOKUP(A14,'DB Country PMI'!$A:$W,MATCH($A$1,'DB Country PMI'!$A$1:$W$1,),))</f>
        <v>55.1</v>
      </c>
      <c r="C14" s="14">
        <f>Table134681134567101213[[#This Row],[PMI]]-B13</f>
        <v>-2.5</v>
      </c>
    </row>
    <row r="15" spans="1:10" x14ac:dyDescent="0.2">
      <c r="A15" s="8">
        <v>40725</v>
      </c>
      <c r="B15" s="11">
        <f>IF(VLOOKUP(A15,'DB Country PMI'!$A:$W,MATCH($A$1,'DB Country PMI'!$A$1:$W$1,),)=0,#N/A,VLOOKUP(A15,'DB Country PMI'!$A:$W,MATCH($A$1,'DB Country PMI'!$A$1:$W$1,),))</f>
        <v>56.9</v>
      </c>
      <c r="C15" s="14">
        <f>Table134681134567101213[[#This Row],[PMI]]-B14</f>
        <v>1.7999999999999972</v>
      </c>
    </row>
    <row r="16" spans="1:10" x14ac:dyDescent="0.2">
      <c r="A16" s="8">
        <v>40756</v>
      </c>
      <c r="B16" s="11">
        <f>IF(VLOOKUP(A16,'DB Country PMI'!$A:$W,MATCH($A$1,'DB Country PMI'!$A$1:$W$1,),)=0,#N/A,VLOOKUP(A16,'DB Country PMI'!$A:$W,MATCH($A$1,'DB Country PMI'!$A$1:$W$1,),))</f>
        <v>55.1</v>
      </c>
      <c r="C16" s="14">
        <f>Table134681134567101213[[#This Row],[PMI]]-B15</f>
        <v>-1.7999999999999972</v>
      </c>
    </row>
    <row r="17" spans="1:3" x14ac:dyDescent="0.2">
      <c r="A17" s="8">
        <v>40787</v>
      </c>
      <c r="B17" s="11">
        <f>IF(VLOOKUP(A17,'DB Country PMI'!$A:$W,MATCH($A$1,'DB Country PMI'!$A$1:$W$1,),)=0,#N/A,VLOOKUP(A17,'DB Country PMI'!$A:$W,MATCH($A$1,'DB Country PMI'!$A$1:$W$1,),))</f>
        <v>53.3</v>
      </c>
      <c r="C17" s="14">
        <f>Table134681134567101213[[#This Row],[PMI]]-B16</f>
        <v>-1.8000000000000043</v>
      </c>
    </row>
    <row r="18" spans="1:3" x14ac:dyDescent="0.2">
      <c r="A18" s="8">
        <v>40817</v>
      </c>
      <c r="B18" s="11">
        <f>IF(VLOOKUP(A18,'DB Country PMI'!$A:$W,MATCH($A$1,'DB Country PMI'!$A$1:$W$1,),)=0,#N/A,VLOOKUP(A18,'DB Country PMI'!$A:$W,MATCH($A$1,'DB Country PMI'!$A$1:$W$1,),))</f>
        <v>53.5</v>
      </c>
      <c r="C18" s="14">
        <f>Table134681134567101213[[#This Row],[PMI]]-B17</f>
        <v>0.20000000000000284</v>
      </c>
    </row>
    <row r="19" spans="1:3" x14ac:dyDescent="0.2">
      <c r="A19" s="8">
        <v>40848</v>
      </c>
      <c r="B19" s="11">
        <f>IF(VLOOKUP(A19,'DB Country PMI'!$A:$W,MATCH($A$1,'DB Country PMI'!$A$1:$W$1,),)=0,#N/A,VLOOKUP(A19,'DB Country PMI'!$A:$W,MATCH($A$1,'DB Country PMI'!$A$1:$W$1,),))</f>
        <v>54.8</v>
      </c>
      <c r="C19" s="14">
        <f>Table134681134567101213[[#This Row],[PMI]]-B18</f>
        <v>1.2999999999999972</v>
      </c>
    </row>
    <row r="20" spans="1:3" x14ac:dyDescent="0.2">
      <c r="A20" s="8">
        <v>40878</v>
      </c>
      <c r="B20" s="11">
        <f>IF(VLOOKUP(A20,'DB Country PMI'!$A:$W,MATCH($A$1,'DB Country PMI'!$A$1:$W$1,),)=0,#N/A,VLOOKUP(A20,'DB Country PMI'!$A:$W,MATCH($A$1,'DB Country PMI'!$A$1:$W$1,),))</f>
        <v>53.8</v>
      </c>
      <c r="C20" s="14">
        <f>Table134681134567101213[[#This Row],[PMI]]-B19</f>
        <v>-1</v>
      </c>
    </row>
    <row r="21" spans="1:3" x14ac:dyDescent="0.2">
      <c r="A21" s="8">
        <v>40909</v>
      </c>
      <c r="B21" s="11">
        <f>IF(VLOOKUP(A21,'DB Country PMI'!$A:$W,MATCH($A$1,'DB Country PMI'!$A$1:$W$1,),)=0,#N/A,VLOOKUP(A21,'DB Country PMI'!$A:$W,MATCH($A$1,'DB Country PMI'!$A$1:$W$1,),))</f>
        <v>56.5</v>
      </c>
      <c r="C21" s="14">
        <f>Table134681134567101213[[#This Row],[PMI]]-B20</f>
        <v>2.7000000000000028</v>
      </c>
    </row>
    <row r="22" spans="1:3" x14ac:dyDescent="0.2">
      <c r="A22" s="8">
        <v>40940</v>
      </c>
      <c r="B22" s="11">
        <f>IF(VLOOKUP(A22,'DB Country PMI'!$A:$W,MATCH($A$1,'DB Country PMI'!$A$1:$W$1,),)=0,#N/A,VLOOKUP(A22,'DB Country PMI'!$A:$W,MATCH($A$1,'DB Country PMI'!$A$1:$W$1,),))</f>
        <v>55.3</v>
      </c>
      <c r="C22" s="14">
        <f>Table134681134567101213[[#This Row],[PMI]]-B21</f>
        <v>-1.2000000000000028</v>
      </c>
    </row>
    <row r="23" spans="1:3" x14ac:dyDescent="0.2">
      <c r="A23" s="8">
        <v>40969</v>
      </c>
      <c r="B23" s="11">
        <f>IF(VLOOKUP(A23,'DB Country PMI'!$A:$W,MATCH($A$1,'DB Country PMI'!$A$1:$W$1,),)=0,#N/A,VLOOKUP(A23,'DB Country PMI'!$A:$W,MATCH($A$1,'DB Country PMI'!$A$1:$W$1,),))</f>
        <v>54.4</v>
      </c>
      <c r="C23" s="14">
        <f>Table134681134567101213[[#This Row],[PMI]]-B22</f>
        <v>-0.89999999999999858</v>
      </c>
    </row>
    <row r="24" spans="1:3" x14ac:dyDescent="0.2">
      <c r="A24" s="8">
        <v>41000</v>
      </c>
      <c r="B24" s="11">
        <f>IF(VLOOKUP(A24,'DB Country PMI'!$A:$W,MATCH($A$1,'DB Country PMI'!$A$1:$W$1,),)=0,#N/A,VLOOKUP(A24,'DB Country PMI'!$A:$W,MATCH($A$1,'DB Country PMI'!$A$1:$W$1,),))</f>
        <v>52.6</v>
      </c>
      <c r="C24" s="14">
        <f>Table134681134567101213[[#This Row],[PMI]]-B23</f>
        <v>-1.7999999999999972</v>
      </c>
    </row>
    <row r="25" spans="1:3" x14ac:dyDescent="0.2">
      <c r="A25" s="8">
        <v>41030</v>
      </c>
      <c r="B25" s="11">
        <f>IF(VLOOKUP(A25,'DB Country PMI'!$A:$W,MATCH($A$1,'DB Country PMI'!$A$1:$W$1,),)=0,#N/A,VLOOKUP(A25,'DB Country PMI'!$A:$W,MATCH($A$1,'DB Country PMI'!$A$1:$W$1,),))</f>
        <v>54.9</v>
      </c>
      <c r="C25" s="14">
        <f>Table134681134567101213[[#This Row],[PMI]]-B24</f>
        <v>2.2999999999999972</v>
      </c>
    </row>
    <row r="26" spans="1:3" x14ac:dyDescent="0.2">
      <c r="A26" s="8">
        <v>41061</v>
      </c>
      <c r="B26" s="11">
        <f>IF(VLOOKUP(A26,'DB Country PMI'!$A:$W,MATCH($A$1,'DB Country PMI'!$A$1:$W$1,),)=0,#N/A,VLOOKUP(A26,'DB Country PMI'!$A:$W,MATCH($A$1,'DB Country PMI'!$A$1:$W$1,),))</f>
        <v>53.2</v>
      </c>
      <c r="C26" s="14">
        <f>Table134681134567101213[[#This Row],[PMI]]-B25</f>
        <v>-1.6999999999999957</v>
      </c>
    </row>
    <row r="27" spans="1:3" x14ac:dyDescent="0.2">
      <c r="A27" s="8">
        <v>41091</v>
      </c>
      <c r="B27" s="11">
        <f>IF(VLOOKUP(A27,'DB Country PMI'!$A:$W,MATCH($A$1,'DB Country PMI'!$A$1:$W$1,),)=0,#N/A,VLOOKUP(A27,'DB Country PMI'!$A:$W,MATCH($A$1,'DB Country PMI'!$A$1:$W$1,),))</f>
        <v>52</v>
      </c>
      <c r="C27" s="14">
        <f>Table134681134567101213[[#This Row],[PMI]]-B26</f>
        <v>-1.2000000000000028</v>
      </c>
    </row>
    <row r="28" spans="1:3" x14ac:dyDescent="0.2">
      <c r="A28" s="8">
        <v>41122</v>
      </c>
      <c r="B28" s="11">
        <f>IF(VLOOKUP(A28,'DB Country PMI'!$A:$W,MATCH($A$1,'DB Country PMI'!$A$1:$W$1,),)=0,#N/A,VLOOKUP(A28,'DB Country PMI'!$A:$W,MATCH($A$1,'DB Country PMI'!$A$1:$W$1,),))</f>
        <v>52.6</v>
      </c>
      <c r="C28" s="14">
        <f>Table134681134567101213[[#This Row],[PMI]]-B27</f>
        <v>0.60000000000000142</v>
      </c>
    </row>
    <row r="29" spans="1:3" x14ac:dyDescent="0.2">
      <c r="A29" s="8">
        <v>41153</v>
      </c>
      <c r="B29" s="11">
        <f>IF(VLOOKUP(A29,'DB Country PMI'!$A:$W,MATCH($A$1,'DB Country PMI'!$A$1:$W$1,),)=0,#N/A,VLOOKUP(A29,'DB Country PMI'!$A:$W,MATCH($A$1,'DB Country PMI'!$A$1:$W$1,),))</f>
        <v>54.5</v>
      </c>
      <c r="C29" s="14">
        <f>Table134681134567101213[[#This Row],[PMI]]-B28</f>
        <v>1.8999999999999986</v>
      </c>
    </row>
    <row r="30" spans="1:3" x14ac:dyDescent="0.2">
      <c r="A30" s="8">
        <v>41183</v>
      </c>
      <c r="B30" s="11">
        <f>IF(VLOOKUP(A30,'DB Country PMI'!$A:$W,MATCH($A$1,'DB Country PMI'!$A$1:$W$1,),)=0,#N/A,VLOOKUP(A30,'DB Country PMI'!$A:$W,MATCH($A$1,'DB Country PMI'!$A$1:$W$1,),))</f>
        <v>57.3</v>
      </c>
      <c r="C30" s="14">
        <f>Table134681134567101213[[#This Row],[PMI]]-B29</f>
        <v>2.7999999999999972</v>
      </c>
    </row>
    <row r="31" spans="1:3" x14ac:dyDescent="0.2">
      <c r="A31" s="8">
        <v>41214</v>
      </c>
      <c r="B31" s="11">
        <f>IF(VLOOKUP(A31,'DB Country PMI'!$A:$W,MATCH($A$1,'DB Country PMI'!$A$1:$W$1,),)=0,#N/A,VLOOKUP(A31,'DB Country PMI'!$A:$W,MATCH($A$1,'DB Country PMI'!$A$1:$W$1,),))</f>
        <v>57.1</v>
      </c>
      <c r="C31" s="14">
        <f>Table134681134567101213[[#This Row],[PMI]]-B30</f>
        <v>-0.19999999999999574</v>
      </c>
    </row>
    <row r="32" spans="1:3" x14ac:dyDescent="0.2">
      <c r="A32" s="8">
        <v>41244</v>
      </c>
      <c r="B32" s="11">
        <f>IF(VLOOKUP(A32,'DB Country PMI'!$A:$W,MATCH($A$1,'DB Country PMI'!$A$1:$W$1,),)=0,#N/A,VLOOKUP(A32,'DB Country PMI'!$A:$W,MATCH($A$1,'DB Country PMI'!$A$1:$W$1,),))</f>
        <v>56.1</v>
      </c>
      <c r="C32" s="14">
        <f>Table134681134567101213[[#This Row],[PMI]]-B31</f>
        <v>-1</v>
      </c>
    </row>
    <row r="33" spans="1:3" x14ac:dyDescent="0.2">
      <c r="A33" s="8">
        <v>41275</v>
      </c>
      <c r="B33" s="11">
        <f>IF(VLOOKUP(A33,'DB Country PMI'!$A:$W,MATCH($A$1,'DB Country PMI'!$A$1:$W$1,),)=0,#N/A,VLOOKUP(A33,'DB Country PMI'!$A:$W,MATCH($A$1,'DB Country PMI'!$A$1:$W$1,),))</f>
        <v>55.7</v>
      </c>
      <c r="C33" s="14">
        <f>Table134681134567101213[[#This Row],[PMI]]-B32</f>
        <v>-0.39999999999999858</v>
      </c>
    </row>
    <row r="34" spans="1:3" x14ac:dyDescent="0.2">
      <c r="A34" s="8">
        <v>41306</v>
      </c>
      <c r="B34" s="11">
        <f>IF(VLOOKUP(A34,'DB Country PMI'!$A:$W,MATCH($A$1,'DB Country PMI'!$A$1:$W$1,),)=0,#N/A,VLOOKUP(A34,'DB Country PMI'!$A:$W,MATCH($A$1,'DB Country PMI'!$A$1:$W$1,),))</f>
        <v>56.1</v>
      </c>
      <c r="C34" s="14">
        <f>Table134681134567101213[[#This Row],[PMI]]-B33</f>
        <v>0.39999999999999858</v>
      </c>
    </row>
    <row r="35" spans="1:3" x14ac:dyDescent="0.2">
      <c r="A35" s="8">
        <v>41334</v>
      </c>
      <c r="B35" s="11">
        <f>IF(VLOOKUP(A35,'DB Country PMI'!$A:$W,MATCH($A$1,'DB Country PMI'!$A$1:$W$1,),)=0,#N/A,VLOOKUP(A35,'DB Country PMI'!$A:$W,MATCH($A$1,'DB Country PMI'!$A$1:$W$1,),))</f>
        <v>54.6</v>
      </c>
      <c r="C35" s="14">
        <f>Table134681134567101213[[#This Row],[PMI]]-B34</f>
        <v>-1.5</v>
      </c>
    </row>
    <row r="36" spans="1:3" x14ac:dyDescent="0.2">
      <c r="A36" s="8">
        <v>41365</v>
      </c>
      <c r="B36" s="11">
        <f>IF(VLOOKUP(A36,'DB Country PMI'!$A:$W,MATCH($A$1,'DB Country PMI'!$A$1:$W$1,),)=0,#N/A,VLOOKUP(A36,'DB Country PMI'!$A:$W,MATCH($A$1,'DB Country PMI'!$A$1:$W$1,),))</f>
        <v>53</v>
      </c>
      <c r="C36" s="14">
        <f>Table134681134567101213[[#This Row],[PMI]]-B35</f>
        <v>-1.6000000000000014</v>
      </c>
    </row>
    <row r="37" spans="1:3" x14ac:dyDescent="0.2">
      <c r="A37" s="8">
        <v>41395</v>
      </c>
      <c r="B37" s="11">
        <f>IF(VLOOKUP(A37,'DB Country PMI'!$A:$W,MATCH($A$1,'DB Country PMI'!$A$1:$W$1,),)=0,#N/A,VLOOKUP(A37,'DB Country PMI'!$A:$W,MATCH($A$1,'DB Country PMI'!$A$1:$W$1,),))</f>
        <v>51.4</v>
      </c>
      <c r="C37" s="14">
        <f>Table134681134567101213[[#This Row],[PMI]]-B36</f>
        <v>-1.6000000000000014</v>
      </c>
    </row>
    <row r="38" spans="1:3" x14ac:dyDescent="0.2">
      <c r="A38" s="8">
        <v>41426</v>
      </c>
      <c r="B38" s="11">
        <f>IF(VLOOKUP(A38,'DB Country PMI'!$A:$W,MATCH($A$1,'DB Country PMI'!$A$1:$W$1,),)=0,#N/A,VLOOKUP(A38,'DB Country PMI'!$A:$W,MATCH($A$1,'DB Country PMI'!$A$1:$W$1,),))</f>
        <v>48.8</v>
      </c>
      <c r="C38" s="14">
        <f>Table134681134567101213[[#This Row],[PMI]]-B37</f>
        <v>-2.6000000000000014</v>
      </c>
    </row>
    <row r="39" spans="1:3" x14ac:dyDescent="0.2">
      <c r="A39" s="8">
        <v>41456</v>
      </c>
      <c r="B39" s="11">
        <f>IF(VLOOKUP(A39,'DB Country PMI'!$A:$W,MATCH($A$1,'DB Country PMI'!$A$1:$W$1,),)=0,#N/A,VLOOKUP(A39,'DB Country PMI'!$A:$W,MATCH($A$1,'DB Country PMI'!$A$1:$W$1,),))</f>
        <v>48.7</v>
      </c>
      <c r="C39" s="14">
        <f>Table134681134567101213[[#This Row],[PMI]]-B38</f>
        <v>-9.9999999999994316E-2</v>
      </c>
    </row>
    <row r="40" spans="1:3" x14ac:dyDescent="0.2">
      <c r="A40" s="8">
        <v>41487</v>
      </c>
      <c r="B40" s="11">
        <f>IF(VLOOKUP(A40,'DB Country PMI'!$A:$W,MATCH($A$1,'DB Country PMI'!$A$1:$W$1,),)=0,#N/A,VLOOKUP(A40,'DB Country PMI'!$A:$W,MATCH($A$1,'DB Country PMI'!$A$1:$W$1,),))</f>
        <v>51.8</v>
      </c>
      <c r="C40" s="14">
        <f>Table134681134567101213[[#This Row],[PMI]]-B39</f>
        <v>3.0999999999999943</v>
      </c>
    </row>
    <row r="41" spans="1:3" x14ac:dyDescent="0.2">
      <c r="A41" s="8">
        <v>41518</v>
      </c>
      <c r="B41" s="11">
        <f>IF(VLOOKUP(A41,'DB Country PMI'!$A:$W,MATCH($A$1,'DB Country PMI'!$A$1:$W$1,),)=0,#N/A,VLOOKUP(A41,'DB Country PMI'!$A:$W,MATCH($A$1,'DB Country PMI'!$A$1:$W$1,),))</f>
        <v>51.5</v>
      </c>
      <c r="C41" s="14">
        <f>Table134681134567101213[[#This Row],[PMI]]-B40</f>
        <v>-0.29999999999999716</v>
      </c>
    </row>
    <row r="42" spans="1:3" x14ac:dyDescent="0.2">
      <c r="A42" s="8">
        <v>41548</v>
      </c>
      <c r="B42" s="11">
        <f>IF(VLOOKUP(A42,'DB Country PMI'!$A:$W,MATCH($A$1,'DB Country PMI'!$A$1:$W$1,),)=0,#N/A,VLOOKUP(A42,'DB Country PMI'!$A:$W,MATCH($A$1,'DB Country PMI'!$A$1:$W$1,),))</f>
        <v>52.5</v>
      </c>
      <c r="C42" s="14">
        <f>Table134681134567101213[[#This Row],[PMI]]-B41</f>
        <v>1</v>
      </c>
    </row>
    <row r="43" spans="1:3" x14ac:dyDescent="0.2">
      <c r="A43" s="8">
        <v>41579</v>
      </c>
      <c r="B43" s="11">
        <f>IF(VLOOKUP(A43,'DB Country PMI'!$A:$W,MATCH($A$1,'DB Country PMI'!$A$1:$W$1,),)=0,#N/A,VLOOKUP(A43,'DB Country PMI'!$A:$W,MATCH($A$1,'DB Country PMI'!$A$1:$W$1,),))</f>
        <v>52.9</v>
      </c>
      <c r="C43" s="14">
        <f>Table134681134567101213[[#This Row],[PMI]]-B42</f>
        <v>0.39999999999999858</v>
      </c>
    </row>
    <row r="44" spans="1:3" x14ac:dyDescent="0.2">
      <c r="A44" s="8">
        <v>41609</v>
      </c>
      <c r="B44" s="11">
        <f>IF(VLOOKUP(A44,'DB Country PMI'!$A:$W,MATCH($A$1,'DB Country PMI'!$A$1:$W$1,),)=0,#N/A,VLOOKUP(A44,'DB Country PMI'!$A:$W,MATCH($A$1,'DB Country PMI'!$A$1:$W$1,),))</f>
        <v>51.4</v>
      </c>
      <c r="C44" s="14">
        <f>Table134681134567101213[[#This Row],[PMI]]-B43</f>
        <v>-1.5</v>
      </c>
    </row>
    <row r="45" spans="1:3" x14ac:dyDescent="0.2">
      <c r="A45" s="8">
        <v>41640</v>
      </c>
      <c r="B45" s="11">
        <f>IF(VLOOKUP(A45,'DB Country PMI'!$A:$W,MATCH($A$1,'DB Country PMI'!$A$1:$W$1,),)=0,#N/A,VLOOKUP(A45,'DB Country PMI'!$A:$W,MATCH($A$1,'DB Country PMI'!$A$1:$W$1,),))</f>
        <v>50.2</v>
      </c>
      <c r="C45" s="14">
        <f>Table134681134567101213[[#This Row],[PMI]]-B44</f>
        <v>-1.1999999999999957</v>
      </c>
    </row>
    <row r="46" spans="1:3" x14ac:dyDescent="0.2">
      <c r="A46" s="8">
        <v>41671</v>
      </c>
      <c r="B46" s="11">
        <f>IF(VLOOKUP(A46,'DB Country PMI'!$A:$W,MATCH($A$1,'DB Country PMI'!$A$1:$W$1,),)=0,#N/A,VLOOKUP(A46,'DB Country PMI'!$A:$W,MATCH($A$1,'DB Country PMI'!$A$1:$W$1,),))</f>
        <v>50.8</v>
      </c>
      <c r="C46" s="14">
        <f>Table134681134567101213[[#This Row],[PMI]]-B45</f>
        <v>0.59999999999999432</v>
      </c>
    </row>
    <row r="47" spans="1:3" x14ac:dyDescent="0.2">
      <c r="A47" s="8">
        <v>41699</v>
      </c>
      <c r="B47" s="11">
        <f>IF(VLOOKUP(A47,'DB Country PMI'!$A:$W,MATCH($A$1,'DB Country PMI'!$A$1:$W$1,),)=0,#N/A,VLOOKUP(A47,'DB Country PMI'!$A:$W,MATCH($A$1,'DB Country PMI'!$A$1:$W$1,),))</f>
        <v>47.7</v>
      </c>
      <c r="C47" s="14">
        <f>Table134681134567101213[[#This Row],[PMI]]-B46</f>
        <v>-3.0999999999999943</v>
      </c>
    </row>
    <row r="48" spans="1:3" x14ac:dyDescent="0.2">
      <c r="A48" s="8">
        <v>41730</v>
      </c>
      <c r="B48" s="11">
        <f>IF(VLOOKUP(A48,'DB Country PMI'!$A:$W,MATCH($A$1,'DB Country PMI'!$A$1:$W$1,),)=0,#N/A,VLOOKUP(A48,'DB Country PMI'!$A:$W,MATCH($A$1,'DB Country PMI'!$A$1:$W$1,),))</f>
        <v>46.8</v>
      </c>
      <c r="C48" s="14">
        <f>Table134681134567101213[[#This Row],[PMI]]-B47</f>
        <v>-0.90000000000000568</v>
      </c>
    </row>
    <row r="49" spans="1:3" x14ac:dyDescent="0.2">
      <c r="A49" s="8">
        <v>41760</v>
      </c>
      <c r="B49" s="11">
        <f>IF(VLOOKUP(A49,'DB Country PMI'!$A:$W,MATCH($A$1,'DB Country PMI'!$A$1:$W$1,),)=0,#N/A,VLOOKUP(A49,'DB Country PMI'!$A:$W,MATCH($A$1,'DB Country PMI'!$A$1:$W$1,),))</f>
        <v>46.1</v>
      </c>
      <c r="C49" s="14">
        <f>Table134681134567101213[[#This Row],[PMI]]-B48</f>
        <v>-0.69999999999999574</v>
      </c>
    </row>
    <row r="50" spans="1:3" x14ac:dyDescent="0.2">
      <c r="A50" s="8">
        <v>41791</v>
      </c>
      <c r="B50" s="11">
        <f>IF(VLOOKUP(A50,'DB Country PMI'!$A:$W,MATCH($A$1,'DB Country PMI'!$A$1:$W$1,),)=0,#N/A,VLOOKUP(A50,'DB Country PMI'!$A:$W,MATCH($A$1,'DB Country PMI'!$A$1:$W$1,),))</f>
        <v>49.8</v>
      </c>
      <c r="C50" s="14">
        <f>Table134681134567101213[[#This Row],[PMI]]-B49</f>
        <v>3.6999999999999957</v>
      </c>
    </row>
    <row r="51" spans="1:3" x14ac:dyDescent="0.2">
      <c r="A51" s="8">
        <v>41821</v>
      </c>
      <c r="B51" s="11">
        <f>IF(VLOOKUP(A51,'DB Country PMI'!$A:$W,MATCH($A$1,'DB Country PMI'!$A$1:$W$1,),)=0,#N/A,VLOOKUP(A51,'DB Country PMI'!$A:$W,MATCH($A$1,'DB Country PMI'!$A$1:$W$1,),))</f>
        <v>49.7</v>
      </c>
      <c r="C51" s="14">
        <f>Table134681134567101213[[#This Row],[PMI]]-B50</f>
        <v>-9.9999999999994316E-2</v>
      </c>
    </row>
    <row r="52" spans="1:3" x14ac:dyDescent="0.2">
      <c r="A52" s="8">
        <v>41852</v>
      </c>
      <c r="B52" s="11">
        <f>IF(VLOOKUP(A52,'DB Country PMI'!$A:$W,MATCH($A$1,'DB Country PMI'!$A$1:$W$1,),)=0,#N/A,VLOOKUP(A52,'DB Country PMI'!$A:$W,MATCH($A$1,'DB Country PMI'!$A$1:$W$1,),))</f>
        <v>50.3</v>
      </c>
      <c r="C52" s="14">
        <f>Table134681134567101213[[#This Row],[PMI]]-B51</f>
        <v>0.59999999999999432</v>
      </c>
    </row>
    <row r="53" spans="1:3" x14ac:dyDescent="0.2">
      <c r="A53" s="8">
        <v>41883</v>
      </c>
      <c r="B53" s="11">
        <f>IF(VLOOKUP(A53,'DB Country PMI'!$A:$W,MATCH($A$1,'DB Country PMI'!$A$1:$W$1,),)=0,#N/A,VLOOKUP(A53,'DB Country PMI'!$A:$W,MATCH($A$1,'DB Country PMI'!$A$1:$W$1,),))</f>
        <v>50.5</v>
      </c>
      <c r="C53" s="14">
        <f>Table134681134567101213[[#This Row],[PMI]]-B52</f>
        <v>0.20000000000000284</v>
      </c>
    </row>
    <row r="54" spans="1:3" x14ac:dyDescent="0.2">
      <c r="A54" s="8">
        <v>41913</v>
      </c>
      <c r="B54" s="11">
        <f>IF(VLOOKUP(A54,'DB Country PMI'!$A:$W,MATCH($A$1,'DB Country PMI'!$A$1:$W$1,),)=0,#N/A,VLOOKUP(A54,'DB Country PMI'!$A:$W,MATCH($A$1,'DB Country PMI'!$A$1:$W$1,),))</f>
        <v>47.4</v>
      </c>
      <c r="C54" s="14">
        <f>Table134681134567101213[[#This Row],[PMI]]-B53</f>
        <v>-3.1000000000000014</v>
      </c>
    </row>
    <row r="55" spans="1:3" x14ac:dyDescent="0.2">
      <c r="A55" s="8">
        <v>41944</v>
      </c>
      <c r="B55" s="11">
        <f>IF(VLOOKUP(A55,'DB Country PMI'!$A:$W,MATCH($A$1,'DB Country PMI'!$A$1:$W$1,),)=0,#N/A,VLOOKUP(A55,'DB Country PMI'!$A:$W,MATCH($A$1,'DB Country PMI'!$A$1:$W$1,),))</f>
        <v>44.5</v>
      </c>
      <c r="C55" s="14">
        <f>Table134681134567101213[[#This Row],[PMI]]-B54</f>
        <v>-2.8999999999999986</v>
      </c>
    </row>
    <row r="56" spans="1:3" x14ac:dyDescent="0.2">
      <c r="A56" s="8">
        <v>41974</v>
      </c>
      <c r="B56" s="11">
        <f>IF(VLOOKUP(A56,'DB Country PMI'!$A:$W,MATCH($A$1,'DB Country PMI'!$A$1:$W$1,),)=0,#N/A,VLOOKUP(A56,'DB Country PMI'!$A:$W,MATCH($A$1,'DB Country PMI'!$A$1:$W$1,),))</f>
        <v>45.8</v>
      </c>
      <c r="C56" s="14">
        <f>Table134681134567101213[[#This Row],[PMI]]-B55</f>
        <v>1.2999999999999972</v>
      </c>
    </row>
    <row r="57" spans="1:3" x14ac:dyDescent="0.2">
      <c r="A57" s="8">
        <v>42005</v>
      </c>
      <c r="B57" s="11">
        <f>IF(VLOOKUP(A57,'DB Country PMI'!$A:$W,MATCH($A$1,'DB Country PMI'!$A$1:$W$1,),)=0,#N/A,VLOOKUP(A57,'DB Country PMI'!$A:$W,MATCH($A$1,'DB Country PMI'!$A$1:$W$1,),))</f>
        <v>43.9</v>
      </c>
      <c r="C57" s="14">
        <f>Table134681134567101213[[#This Row],[PMI]]-B56</f>
        <v>-1.8999999999999986</v>
      </c>
    </row>
    <row r="58" spans="1:3" x14ac:dyDescent="0.2">
      <c r="A58" s="8">
        <v>42036</v>
      </c>
      <c r="B58" s="11">
        <f>IF(VLOOKUP(A58,'DB Country PMI'!$A:$W,MATCH($A$1,'DB Country PMI'!$A$1:$W$1,),)=0,#N/A,VLOOKUP(A58,'DB Country PMI'!$A:$W,MATCH($A$1,'DB Country PMI'!$A$1:$W$1,),))</f>
        <v>41.3</v>
      </c>
      <c r="C58" s="14">
        <f>Table134681134567101213[[#This Row],[PMI]]-B57</f>
        <v>-2.6000000000000014</v>
      </c>
    </row>
    <row r="59" spans="1:3" x14ac:dyDescent="0.2">
      <c r="A59" s="8">
        <v>42064</v>
      </c>
      <c r="B59" s="11">
        <f>IF(VLOOKUP(A59,'DB Country PMI'!$A:$W,MATCH($A$1,'DB Country PMI'!$A$1:$W$1,),)=0,#N/A,VLOOKUP(A59,'DB Country PMI'!$A:$W,MATCH($A$1,'DB Country PMI'!$A$1:$W$1,),))</f>
        <v>46.1</v>
      </c>
      <c r="C59" s="14">
        <f>Table134681134567101213[[#This Row],[PMI]]-B58</f>
        <v>4.8000000000000043</v>
      </c>
    </row>
    <row r="60" spans="1:3" x14ac:dyDescent="0.2">
      <c r="A60" s="8">
        <v>42095</v>
      </c>
      <c r="B60" s="11">
        <f>IF(VLOOKUP(A60,'DB Country PMI'!$A:$W,MATCH($A$1,'DB Country PMI'!$A$1:$W$1,),)=0,#N/A,VLOOKUP(A60,'DB Country PMI'!$A:$W,MATCH($A$1,'DB Country PMI'!$A$1:$W$1,),))</f>
        <v>50.7</v>
      </c>
      <c r="C60" s="14">
        <f>Table134681134567101213[[#This Row],[PMI]]-B59</f>
        <v>4.6000000000000014</v>
      </c>
    </row>
    <row r="61" spans="1:3" x14ac:dyDescent="0.2">
      <c r="A61" s="8">
        <v>42125</v>
      </c>
      <c r="B61" s="11">
        <f>IF(VLOOKUP(A61,'DB Country PMI'!$A:$W,MATCH($A$1,'DB Country PMI'!$A$1:$W$1,),)=0,#N/A,VLOOKUP(A61,'DB Country PMI'!$A:$W,MATCH($A$1,'DB Country PMI'!$A$1:$W$1,),))</f>
        <v>52.8</v>
      </c>
      <c r="C61" s="14">
        <f>Table134681134567101213[[#This Row],[PMI]]-B60</f>
        <v>2.0999999999999943</v>
      </c>
    </row>
    <row r="62" spans="1:3" x14ac:dyDescent="0.2">
      <c r="A62" s="8">
        <v>42156</v>
      </c>
      <c r="B62" s="11">
        <f>IF(VLOOKUP(A62,'DB Country PMI'!$A:$W,MATCH($A$1,'DB Country PMI'!$A$1:$W$1,),)=0,#N/A,VLOOKUP(A62,'DB Country PMI'!$A:$W,MATCH($A$1,'DB Country PMI'!$A$1:$W$1,),))</f>
        <v>49.5</v>
      </c>
      <c r="C62" s="14">
        <f>Table134681134567101213[[#This Row],[PMI]]-B61</f>
        <v>-3.2999999999999972</v>
      </c>
    </row>
    <row r="63" spans="1:3" x14ac:dyDescent="0.2">
      <c r="A63" s="8">
        <v>42186</v>
      </c>
      <c r="B63" s="11">
        <f>IF(VLOOKUP(A63,'DB Country PMI'!$A:$W,MATCH($A$1,'DB Country PMI'!$A$1:$W$1,),)=0,#N/A,VLOOKUP(A63,'DB Country PMI'!$A:$W,MATCH($A$1,'DB Country PMI'!$A$1:$W$1,),))</f>
        <v>51.6</v>
      </c>
      <c r="C63" s="14">
        <f>Table134681134567101213[[#This Row],[PMI]]-B62</f>
        <v>2.1000000000000014</v>
      </c>
    </row>
    <row r="64" spans="1:3" x14ac:dyDescent="0.2">
      <c r="A64" s="8">
        <v>42217</v>
      </c>
      <c r="B64" s="11">
        <f>IF(VLOOKUP(A64,'DB Country PMI'!$A:$W,MATCH($A$1,'DB Country PMI'!$A$1:$W$1,),)=0,#N/A,VLOOKUP(A64,'DB Country PMI'!$A:$W,MATCH($A$1,'DB Country PMI'!$A$1:$W$1,),))</f>
        <v>49.1</v>
      </c>
      <c r="C64" s="14">
        <f>Table134681134567101213[[#This Row],[PMI]]-B63</f>
        <v>-2.5</v>
      </c>
    </row>
    <row r="65" spans="1:3" x14ac:dyDescent="0.2">
      <c r="A65" s="8">
        <v>42248</v>
      </c>
      <c r="B65" s="11">
        <f>IF(VLOOKUP(A65,'DB Country PMI'!$A:$W,MATCH($A$1,'DB Country PMI'!$A$1:$W$1,),)=0,#N/A,VLOOKUP(A65,'DB Country PMI'!$A:$W,MATCH($A$1,'DB Country PMI'!$A$1:$W$1,),))</f>
        <v>51.3</v>
      </c>
      <c r="C65" s="14">
        <f>Table134681134567101213[[#This Row],[PMI]]-B64</f>
        <v>2.1999999999999957</v>
      </c>
    </row>
    <row r="66" spans="1:3" x14ac:dyDescent="0.2">
      <c r="A66" s="8">
        <v>42278</v>
      </c>
      <c r="B66" s="11">
        <f>IF(VLOOKUP(A66,'DB Country PMI'!$A:$W,MATCH($A$1,'DB Country PMI'!$A$1:$W$1,),)=0,#N/A,VLOOKUP(A66,'DB Country PMI'!$A:$W,MATCH($A$1,'DB Country PMI'!$A$1:$W$1,),))</f>
        <v>47.8</v>
      </c>
      <c r="C66" s="14">
        <f>Table134681134567101213[[#This Row],[PMI]]-B65</f>
        <v>-3.5</v>
      </c>
    </row>
    <row r="67" spans="1:3" x14ac:dyDescent="0.2">
      <c r="A67" s="8">
        <v>42309</v>
      </c>
      <c r="B67" s="11">
        <f>IF(VLOOKUP(A67,'DB Country PMI'!$A:$W,MATCH($A$1,'DB Country PMI'!$A$1:$W$1,),)=0,#N/A,VLOOKUP(A67,'DB Country PMI'!$A:$W,MATCH($A$1,'DB Country PMI'!$A$1:$W$1,),))</f>
        <v>49.8</v>
      </c>
      <c r="C67" s="14">
        <f>Table134681134567101213[[#This Row],[PMI]]-B66</f>
        <v>2</v>
      </c>
    </row>
    <row r="68" spans="1:3" x14ac:dyDescent="0.2">
      <c r="A68" s="8">
        <v>42339</v>
      </c>
      <c r="B68" s="11">
        <f>IF(VLOOKUP(A68,'DB Country PMI'!$A:$W,MATCH($A$1,'DB Country PMI'!$A$1:$W$1,),)=0,#N/A,VLOOKUP(A68,'DB Country PMI'!$A:$W,MATCH($A$1,'DB Country PMI'!$A$1:$W$1,),))</f>
        <v>47.8</v>
      </c>
      <c r="C68" s="14">
        <f>Table134681134567101213[[#This Row],[PMI]]-B67</f>
        <v>-2</v>
      </c>
    </row>
    <row r="69" spans="1:3" x14ac:dyDescent="0.2">
      <c r="A69" s="8">
        <v>42370</v>
      </c>
      <c r="B69" s="11">
        <f>IF(VLOOKUP(A69,'DB Country PMI'!$A:$W,MATCH($A$1,'DB Country PMI'!$A$1:$W$1,),)=0,#N/A,VLOOKUP(A69,'DB Country PMI'!$A:$W,MATCH($A$1,'DB Country PMI'!$A$1:$W$1,),))</f>
        <v>47.1</v>
      </c>
      <c r="C69" s="14">
        <f>Table134681134567101213[[#This Row],[PMI]]-B68</f>
        <v>-0.69999999999999574</v>
      </c>
    </row>
    <row r="70" spans="1:3" x14ac:dyDescent="0.2">
      <c r="A70" s="8">
        <v>42401</v>
      </c>
      <c r="B70" s="11">
        <f>IF(VLOOKUP(A70,'DB Country PMI'!$A:$W,MATCH($A$1,'DB Country PMI'!$A$1:$W$1,),)=0,#N/A,VLOOKUP(A70,'DB Country PMI'!$A:$W,MATCH($A$1,'DB Country PMI'!$A$1:$W$1,),))</f>
        <v>50.9</v>
      </c>
      <c r="C70" s="14">
        <f>Table134681134567101213[[#This Row],[PMI]]-B69</f>
        <v>3.7999999999999972</v>
      </c>
    </row>
    <row r="71" spans="1:3" x14ac:dyDescent="0.2">
      <c r="A71" s="8">
        <v>42430</v>
      </c>
      <c r="B71" s="11">
        <f>IF(VLOOKUP(A71,'DB Country PMI'!$A:$W,MATCH($A$1,'DB Country PMI'!$A$1:$W$1,),)=0,#N/A,VLOOKUP(A71,'DB Country PMI'!$A:$W,MATCH($A$1,'DB Country PMI'!$A$1:$W$1,),))</f>
        <v>52</v>
      </c>
      <c r="C71" s="14">
        <f>Table134681134567101213[[#This Row],[PMI]]-B70</f>
        <v>1.1000000000000014</v>
      </c>
    </row>
    <row r="72" spans="1:3" x14ac:dyDescent="0.2">
      <c r="A72" s="8">
        <v>42461</v>
      </c>
      <c r="B72" s="11">
        <f>IF(VLOOKUP(A72,'DB Country PMI'!$A:$W,MATCH($A$1,'DB Country PMI'!$A$1:$W$1,),)=0,#N/A,VLOOKUP(A72,'DB Country PMI'!$A:$W,MATCH($A$1,'DB Country PMI'!$A$1:$W$1,),))</f>
        <v>54.2</v>
      </c>
      <c r="C72" s="14">
        <f>Table134681134567101213[[#This Row],[PMI]]-B71</f>
        <v>2.2000000000000028</v>
      </c>
    </row>
    <row r="73" spans="1:3" x14ac:dyDescent="0.2">
      <c r="A73" s="8">
        <v>42491</v>
      </c>
      <c r="B73" s="11">
        <f>IF(VLOOKUP(A73,'DB Country PMI'!$A:$W,MATCH($A$1,'DB Country PMI'!$A$1:$W$1,),)=0,#N/A,VLOOKUP(A73,'DB Country PMI'!$A:$W,MATCH($A$1,'DB Country PMI'!$A$1:$W$1,),))</f>
        <v>51.8</v>
      </c>
      <c r="C73" s="14">
        <f>Table134681134567101213[[#This Row],[PMI]]-B72</f>
        <v>-2.4000000000000057</v>
      </c>
    </row>
    <row r="74" spans="1:3" x14ac:dyDescent="0.2">
      <c r="A74" s="8">
        <v>42522</v>
      </c>
      <c r="B74" s="11">
        <f>IF(VLOOKUP(A74,'DB Country PMI'!$A:$W,MATCH($A$1,'DB Country PMI'!$A$1:$W$1,),)=0,#N/A,VLOOKUP(A74,'DB Country PMI'!$A:$W,MATCH($A$1,'DB Country PMI'!$A$1:$W$1,),))</f>
        <v>53.8</v>
      </c>
      <c r="C74" s="14">
        <f>Table134681134567101213[[#This Row],[PMI]]-B73</f>
        <v>2</v>
      </c>
    </row>
    <row r="75" spans="1:3" x14ac:dyDescent="0.2">
      <c r="A75" s="8">
        <v>42552</v>
      </c>
      <c r="B75" s="11">
        <f>IF(VLOOKUP(A75,'DB Country PMI'!$A:$W,MATCH($A$1,'DB Country PMI'!$A$1:$W$1,),)=0,#N/A,VLOOKUP(A75,'DB Country PMI'!$A:$W,MATCH($A$1,'DB Country PMI'!$A$1:$W$1,),))</f>
        <v>55</v>
      </c>
      <c r="C75" s="14">
        <f>Table134681134567101213[[#This Row],[PMI]]-B74</f>
        <v>1.2000000000000028</v>
      </c>
    </row>
    <row r="76" spans="1:3" x14ac:dyDescent="0.2">
      <c r="A76" s="8">
        <v>42583</v>
      </c>
      <c r="B76" s="11">
        <f>IF(VLOOKUP(A76,'DB Country PMI'!$A:$W,MATCH($A$1,'DB Country PMI'!$A$1:$W$1,),)=0,#N/A,VLOOKUP(A76,'DB Country PMI'!$A:$W,MATCH($A$1,'DB Country PMI'!$A$1:$W$1,),))</f>
        <v>53.5</v>
      </c>
      <c r="C76" s="14">
        <f>Table134681134567101213[[#This Row],[PMI]]-B75</f>
        <v>-1.5</v>
      </c>
    </row>
    <row r="77" spans="1:3" x14ac:dyDescent="0.2">
      <c r="A77" s="8">
        <v>42614</v>
      </c>
      <c r="B77" s="11">
        <f>IF(VLOOKUP(A77,'DB Country PMI'!$A:$W,MATCH($A$1,'DB Country PMI'!$A$1:$W$1,),)=0,#N/A,VLOOKUP(A77,'DB Country PMI'!$A:$W,MATCH($A$1,'DB Country PMI'!$A$1:$W$1,),))</f>
        <v>53</v>
      </c>
      <c r="C77" s="14">
        <f>Table134681134567101213[[#This Row],[PMI]]-B76</f>
        <v>-0.5</v>
      </c>
    </row>
    <row r="78" spans="1:3" x14ac:dyDescent="0.2">
      <c r="A78" s="8">
        <v>42644</v>
      </c>
      <c r="B78" s="11">
        <f>IF(VLOOKUP(A78,'DB Country PMI'!$A:$W,MATCH($A$1,'DB Country PMI'!$A$1:$W$1,),)=0,#N/A,VLOOKUP(A78,'DB Country PMI'!$A:$W,MATCH($A$1,'DB Country PMI'!$A$1:$W$1,),))</f>
        <v>52.7</v>
      </c>
      <c r="C78" s="14">
        <f>Table134681134567101213[[#This Row],[PMI]]-B77</f>
        <v>-0.29999999999999716</v>
      </c>
    </row>
    <row r="79" spans="1:3" x14ac:dyDescent="0.2">
      <c r="A79" s="8">
        <v>42675</v>
      </c>
      <c r="B79" s="11">
        <f>IF(VLOOKUP(A79,'DB Country PMI'!$A:$W,MATCH($A$1,'DB Country PMI'!$A$1:$W$1,),)=0,#N/A,VLOOKUP(A79,'DB Country PMI'!$A:$W,MATCH($A$1,'DB Country PMI'!$A$1:$W$1,),))</f>
        <v>54.7</v>
      </c>
      <c r="C79" s="14">
        <f>Table134681134567101213[[#This Row],[PMI]]-B78</f>
        <v>2</v>
      </c>
    </row>
    <row r="80" spans="1:3" x14ac:dyDescent="0.2">
      <c r="A80" s="8">
        <v>42705</v>
      </c>
      <c r="B80" s="11">
        <f>IF(VLOOKUP(A80,'DB Country PMI'!$A:$W,MATCH($A$1,'DB Country PMI'!$A$1:$W$1,),)=0,#N/A,VLOOKUP(A80,'DB Country PMI'!$A:$W,MATCH($A$1,'DB Country PMI'!$A$1:$W$1,),))</f>
        <v>56.5</v>
      </c>
      <c r="C80" s="14">
        <f>Table134681134567101213[[#This Row],[PMI]]-B79</f>
        <v>1.7999999999999972</v>
      </c>
    </row>
    <row r="81" spans="1:3" x14ac:dyDescent="0.2">
      <c r="A81" s="8">
        <v>42736</v>
      </c>
      <c r="B81" s="11">
        <f>IF(VLOOKUP(A81,'DB Country PMI'!$A:$W,MATCH($A$1,'DB Country PMI'!$A$1:$W$1,),)=0,#N/A,VLOOKUP(A81,'DB Country PMI'!$A:$W,MATCH($A$1,'DB Country PMI'!$A$1:$W$1,),))</f>
        <v>58.4</v>
      </c>
      <c r="C81" s="14">
        <f>Table134681134567101213[[#This Row],[PMI]]-B80</f>
        <v>1.8999999999999986</v>
      </c>
    </row>
    <row r="82" spans="1:3" x14ac:dyDescent="0.2">
      <c r="A82" s="8">
        <v>42767</v>
      </c>
      <c r="B82" s="11">
        <f>IF(VLOOKUP(A82,'DB Country PMI'!$A:$W,MATCH($A$1,'DB Country PMI'!$A$1:$W$1,),)=0,#N/A,VLOOKUP(A82,'DB Country PMI'!$A:$W,MATCH($A$1,'DB Country PMI'!$A$1:$W$1,),))</f>
        <v>55.5</v>
      </c>
      <c r="C82" s="14">
        <f>Table134681134567101213[[#This Row],[PMI]]-B81</f>
        <v>-2.8999999999999986</v>
      </c>
    </row>
    <row r="83" spans="1:3" x14ac:dyDescent="0.2">
      <c r="A83" s="8">
        <v>42795</v>
      </c>
      <c r="B83" s="11">
        <f>IF(VLOOKUP(A83,'DB Country PMI'!$A:$W,MATCH($A$1,'DB Country PMI'!$A$1:$W$1,),)=0,#N/A,VLOOKUP(A83,'DB Country PMI'!$A:$W,MATCH($A$1,'DB Country PMI'!$A$1:$W$1,),))</f>
        <v>56.6</v>
      </c>
      <c r="C83" s="14">
        <f>Table134681134567101213[[#This Row],[PMI]]-B82</f>
        <v>1.1000000000000014</v>
      </c>
    </row>
    <row r="84" spans="1:3" x14ac:dyDescent="0.2">
      <c r="A84" s="8">
        <v>42826</v>
      </c>
      <c r="B84" s="11">
        <f>IF(VLOOKUP(A84,'DB Country PMI'!$A:$W,MATCH($A$1,'DB Country PMI'!$A$1:$W$1,),)=0,#N/A,VLOOKUP(A84,'DB Country PMI'!$A:$W,MATCH($A$1,'DB Country PMI'!$A$1:$W$1,),))</f>
        <v>56.1</v>
      </c>
      <c r="C84" s="14">
        <f>Table134681134567101213[[#This Row],[PMI]]-B83</f>
        <v>-0.5</v>
      </c>
    </row>
    <row r="85" spans="1:3" x14ac:dyDescent="0.2">
      <c r="A85" s="8">
        <v>42856</v>
      </c>
      <c r="B85" s="11">
        <f>IF(VLOOKUP(A85,'DB Country PMI'!$A:$W,MATCH($A$1,'DB Country PMI'!$A$1:$W$1,),)=0,#N/A,VLOOKUP(A85,'DB Country PMI'!$A:$W,MATCH($A$1,'DB Country PMI'!$A$1:$W$1,),))</f>
        <v>56.3</v>
      </c>
      <c r="C85" s="14">
        <f>Table134681134567101213[[#This Row],[PMI]]-B84</f>
        <v>0.19999999999999574</v>
      </c>
    </row>
    <row r="86" spans="1:3" x14ac:dyDescent="0.2">
      <c r="A86" s="8">
        <v>42887</v>
      </c>
      <c r="B86" s="11">
        <f>IF(VLOOKUP(A86,'DB Country PMI'!$A:$W,MATCH($A$1,'DB Country PMI'!$A$1:$W$1,),)=0,#N/A,VLOOKUP(A86,'DB Country PMI'!$A:$W,MATCH($A$1,'DB Country PMI'!$A$1:$W$1,),))</f>
        <v>55.5</v>
      </c>
      <c r="C86" s="14">
        <f>Table134681134567101213[[#This Row],[PMI]]-B85</f>
        <v>-0.79999999999999716</v>
      </c>
    </row>
    <row r="87" spans="1:3" x14ac:dyDescent="0.2">
      <c r="A87" s="8">
        <v>42917</v>
      </c>
      <c r="B87" s="11">
        <f>IF(VLOOKUP(A87,'DB Country PMI'!$A:$W,MATCH($A$1,'DB Country PMI'!$A$1:$W$1,),)=0,#N/A,VLOOKUP(A87,'DB Country PMI'!$A:$W,MATCH($A$1,'DB Country PMI'!$A$1:$W$1,),))</f>
        <v>52.6</v>
      </c>
      <c r="C87" s="14">
        <f>Table134681134567101213[[#This Row],[PMI]]-B86</f>
        <v>-2.8999999999999986</v>
      </c>
    </row>
    <row r="88" spans="1:3" x14ac:dyDescent="0.2">
      <c r="A88" s="8">
        <v>42948</v>
      </c>
      <c r="B88" s="11">
        <f>IF(VLOOKUP(A88,'DB Country PMI'!$A:$W,MATCH($A$1,'DB Country PMI'!$A$1:$W$1,),)=0,#N/A,VLOOKUP(A88,'DB Country PMI'!$A:$W,MATCH($A$1,'DB Country PMI'!$A$1:$W$1,),))</f>
        <v>54.2</v>
      </c>
      <c r="C88" s="14">
        <f>Table134681134567101213[[#This Row],[PMI]]-B87</f>
        <v>1.6000000000000014</v>
      </c>
    </row>
    <row r="89" spans="1:3" x14ac:dyDescent="0.2">
      <c r="A89" s="8">
        <v>42979</v>
      </c>
      <c r="B89" s="11">
        <f>IF(VLOOKUP(A89,'DB Country PMI'!$A:$W,MATCH($A$1,'DB Country PMI'!$A$1:$W$1,),)=0,#N/A,VLOOKUP(A89,'DB Country PMI'!$A:$W,MATCH($A$1,'DB Country PMI'!$A$1:$W$1,),))</f>
        <v>55.2</v>
      </c>
      <c r="C89" s="14">
        <f>Table134681134567101213[[#This Row],[PMI]]-B88</f>
        <v>1</v>
      </c>
    </row>
    <row r="90" spans="1:3" x14ac:dyDescent="0.2">
      <c r="A90" s="8">
        <v>43009</v>
      </c>
      <c r="B90" s="11">
        <f>IF(VLOOKUP(A90,'DB Country PMI'!$A:$W,MATCH($A$1,'DB Country PMI'!$A$1:$W$1,),)=0,#N/A,VLOOKUP(A90,'DB Country PMI'!$A:$W,MATCH($A$1,'DB Country PMI'!$A$1:$W$1,),))</f>
        <v>53.9</v>
      </c>
      <c r="C90" s="14">
        <f>Table134681134567101213[[#This Row],[PMI]]-B89</f>
        <v>-1.3000000000000043</v>
      </c>
    </row>
    <row r="91" spans="1:3" x14ac:dyDescent="0.2">
      <c r="A91" s="8">
        <v>43040</v>
      </c>
      <c r="B91" s="11">
        <f>IF(VLOOKUP(A91,'DB Country PMI'!$A:$W,MATCH($A$1,'DB Country PMI'!$A$1:$W$1,),)=0,#N/A,VLOOKUP(A91,'DB Country PMI'!$A:$W,MATCH($A$1,'DB Country PMI'!$A$1:$W$1,),))</f>
        <v>57.4</v>
      </c>
      <c r="C91" s="14">
        <f>Table134681134567101213[[#This Row],[PMI]]-B90</f>
        <v>3.5</v>
      </c>
    </row>
    <row r="92" spans="1:3" x14ac:dyDescent="0.2">
      <c r="A92" s="8">
        <v>43070</v>
      </c>
      <c r="B92" s="11">
        <f>IF(VLOOKUP(A92,'DB Country PMI'!$A:$W,MATCH($A$1,'DB Country PMI'!$A$1:$W$1,),)=0,#N/A,VLOOKUP(A92,'DB Country PMI'!$A:$W,MATCH($A$1,'DB Country PMI'!$A$1:$W$1,),))</f>
        <v>56.8</v>
      </c>
      <c r="C92" s="14">
        <f>Table134681134567101213[[#This Row],[PMI]]-B91</f>
        <v>-0.60000000000000142</v>
      </c>
    </row>
    <row r="93" spans="1:3" x14ac:dyDescent="0.2">
      <c r="A93" s="8">
        <v>43101</v>
      </c>
      <c r="B93" s="11">
        <f>IF(VLOOKUP(A93,'DB Country PMI'!$A:$W,MATCH($A$1,'DB Country PMI'!$A$1:$W$1,),)=0,#N/A,VLOOKUP(A93,'DB Country PMI'!$A:$W,MATCH($A$1,'DB Country PMI'!$A$1:$W$1,),))</f>
        <v>55.1</v>
      </c>
      <c r="C93" s="14">
        <f>Table134681134567101213[[#This Row],[PMI]]-B92</f>
        <v>-1.6999999999999957</v>
      </c>
    </row>
    <row r="94" spans="1:3" x14ac:dyDescent="0.2">
      <c r="A94" s="8">
        <v>43132</v>
      </c>
      <c r="B94" s="11">
        <f>IF(VLOOKUP(A94,'DB Country PMI'!$A:$W,MATCH($A$1,'DB Country PMI'!$A$1:$W$1,),)=0,#N/A,VLOOKUP(A94,'DB Country PMI'!$A:$W,MATCH($A$1,'DB Country PMI'!$A$1:$W$1,),))</f>
        <v>56.5</v>
      </c>
      <c r="C94" s="14">
        <f>Table134681134567101213[[#This Row],[PMI]]-B93</f>
        <v>1.3999999999999986</v>
      </c>
    </row>
    <row r="95" spans="1:3" x14ac:dyDescent="0.2">
      <c r="A95" s="8">
        <v>43160</v>
      </c>
      <c r="B95" s="11">
        <f>IF(VLOOKUP(A95,'DB Country PMI'!$A:$W,MATCH($A$1,'DB Country PMI'!$A$1:$W$1,),)=0,#N/A,VLOOKUP(A95,'DB Country PMI'!$A:$W,MATCH($A$1,'DB Country PMI'!$A$1:$W$1,),))</f>
        <v>53.7</v>
      </c>
      <c r="C95" s="14">
        <f>Table134681134567101213[[#This Row],[PMI]]-B94</f>
        <v>-2.7999999999999972</v>
      </c>
    </row>
    <row r="96" spans="1:3" x14ac:dyDescent="0.2">
      <c r="A96" s="8">
        <v>43191</v>
      </c>
      <c r="B96" s="11">
        <f>IF(VLOOKUP(A96,'DB Country PMI'!$A:$W,MATCH($A$1,'DB Country PMI'!$A$1:$W$1,),)=0,#N/A,VLOOKUP(A96,'DB Country PMI'!$A:$W,MATCH($A$1,'DB Country PMI'!$A$1:$W$1,),))</f>
        <v>55.5</v>
      </c>
      <c r="C96" s="14">
        <f>Table134681134567101213[[#This Row],[PMI]]-B95</f>
        <v>1.7999999999999972</v>
      </c>
    </row>
    <row r="97" spans="1:3" x14ac:dyDescent="0.2">
      <c r="A97" s="8">
        <v>43221</v>
      </c>
      <c r="B97" s="11">
        <f>IF(VLOOKUP(A97,'DB Country PMI'!$A:$W,MATCH($A$1,'DB Country PMI'!$A$1:$W$1,),)=0,#N/A,VLOOKUP(A97,'DB Country PMI'!$A:$W,MATCH($A$1,'DB Country PMI'!$A$1:$W$1,),))</f>
        <v>54.1</v>
      </c>
      <c r="C97" s="14">
        <f>Table134681134567101213[[#This Row],[PMI]]-B96</f>
        <v>-1.3999999999999986</v>
      </c>
    </row>
    <row r="98" spans="1:3" x14ac:dyDescent="0.2">
      <c r="A98" s="8">
        <v>43252</v>
      </c>
      <c r="B98" s="11">
        <f>IF(VLOOKUP(A98,'DB Country PMI'!$A:$W,MATCH($A$1,'DB Country PMI'!$A$1:$W$1,),)=0,#N/A,VLOOKUP(A98,'DB Country PMI'!$A:$W,MATCH($A$1,'DB Country PMI'!$A$1:$W$1,),))</f>
        <v>52.3</v>
      </c>
      <c r="C98" s="14">
        <f>Table134681134567101213[[#This Row],[PMI]]-B97</f>
        <v>-1.8000000000000043</v>
      </c>
    </row>
    <row r="99" spans="1:3" x14ac:dyDescent="0.2">
      <c r="A99" s="8">
        <v>43282</v>
      </c>
      <c r="B99" s="11">
        <f>IF(VLOOKUP(A99,'DB Country PMI'!$A:$W,MATCH($A$1,'DB Country PMI'!$A$1:$W$1,),)=0,#N/A,VLOOKUP(A99,'DB Country PMI'!$A:$W,MATCH($A$1,'DB Country PMI'!$A$1:$W$1,),))</f>
        <v>52.8</v>
      </c>
      <c r="C99" s="14">
        <f>Table134681134567101213[[#This Row],[PMI]]-B98</f>
        <v>0.5</v>
      </c>
    </row>
    <row r="100" spans="1:3" x14ac:dyDescent="0.2">
      <c r="A100" s="8">
        <v>43313</v>
      </c>
      <c r="B100" s="11">
        <f>IF(VLOOKUP(A100,'DB Country PMI'!$A:$W,MATCH($A$1,'DB Country PMI'!$A$1:$W$1,),)=0,#N/A,VLOOKUP(A100,'DB Country PMI'!$A:$W,MATCH($A$1,'DB Country PMI'!$A$1:$W$1,),))</f>
        <v>53.3</v>
      </c>
      <c r="C100" s="14">
        <f>Table134681134567101213[[#This Row],[PMI]]-B99</f>
        <v>0.5</v>
      </c>
    </row>
    <row r="101" spans="1:3" x14ac:dyDescent="0.2">
      <c r="A101" s="8">
        <v>43344</v>
      </c>
      <c r="B101" s="11">
        <f>IF(VLOOKUP(A101,'DB Country PMI'!$A:$W,MATCH($A$1,'DB Country PMI'!$A$1:$W$1,),)=0,#N/A,VLOOKUP(A101,'DB Country PMI'!$A:$W,MATCH($A$1,'DB Country PMI'!$A$1:$W$1,),))</f>
        <v>54.7</v>
      </c>
      <c r="C101" s="14">
        <f>Table134681134567101213[[#This Row],[PMI]]-B100</f>
        <v>1.4000000000000057</v>
      </c>
    </row>
    <row r="102" spans="1:3" x14ac:dyDescent="0.2">
      <c r="A102" s="8">
        <v>43374</v>
      </c>
      <c r="B102" s="11">
        <f>IF(VLOOKUP(A102,'DB Country PMI'!$A:$W,MATCH($A$1,'DB Country PMI'!$A$1:$W$1,),)=0,#N/A,VLOOKUP(A102,'DB Country PMI'!$A:$W,MATCH($A$1,'DB Country PMI'!$A$1:$W$1,),))</f>
        <v>56.9</v>
      </c>
      <c r="C102" s="14">
        <f>Table134681134567101213[[#This Row],[PMI]]-B101</f>
        <v>2.1999999999999957</v>
      </c>
    </row>
    <row r="103" spans="1:3" x14ac:dyDescent="0.2">
      <c r="A103" s="8">
        <v>43405</v>
      </c>
      <c r="B103" s="11">
        <f>IF(VLOOKUP(A103,'DB Country PMI'!$A:$W,MATCH($A$1,'DB Country PMI'!$A$1:$W$1,),)=0,#N/A,VLOOKUP(A103,'DB Country PMI'!$A:$W,MATCH($A$1,'DB Country PMI'!$A$1:$W$1,),))</f>
        <v>55.6</v>
      </c>
      <c r="C103" s="14">
        <f>Table134681134567101213[[#This Row],[PMI]]-B102</f>
        <v>-1.2999999999999972</v>
      </c>
    </row>
    <row r="104" spans="1:3" x14ac:dyDescent="0.2">
      <c r="A104" s="8">
        <v>43435</v>
      </c>
      <c r="B104" s="11">
        <f>IF(VLOOKUP(A104,'DB Country PMI'!$A:$W,MATCH($A$1,'DB Country PMI'!$A$1:$W$1,),)=0,#N/A,VLOOKUP(A104,'DB Country PMI'!$A:$W,MATCH($A$1,'DB Country PMI'!$A$1:$W$1,),))</f>
        <v>54.4</v>
      </c>
      <c r="C104" s="14">
        <f>Table134681134567101213[[#This Row],[PMI]]-B103</f>
        <v>-1.2000000000000028</v>
      </c>
    </row>
    <row r="105" spans="1:3" x14ac:dyDescent="0.2">
      <c r="A105" s="8">
        <v>43466</v>
      </c>
      <c r="B105" s="11">
        <f>IF(VLOOKUP(A105,'DB Country PMI'!$A:$W,MATCH($A$1,'DB Country PMI'!$A$1:$W$1,),)=0,#N/A,VLOOKUP(A105,'DB Country PMI'!$A:$W,MATCH($A$1,'DB Country PMI'!$A$1:$W$1,),))</f>
        <v>54.9</v>
      </c>
      <c r="C105" s="14">
        <f>Table134681134567101213[[#This Row],[PMI]]-B104</f>
        <v>0.5</v>
      </c>
    </row>
    <row r="106" spans="1:3" x14ac:dyDescent="0.2">
      <c r="A106" s="8">
        <v>43497</v>
      </c>
      <c r="B106" s="11">
        <f>IF(VLOOKUP(A106,'DB Country PMI'!$A:$W,MATCH($A$1,'DB Country PMI'!$A$1:$W$1,),)=0,#N/A,VLOOKUP(A106,'DB Country PMI'!$A:$W,MATCH($A$1,'DB Country PMI'!$A$1:$W$1,),))</f>
        <v>55.3</v>
      </c>
      <c r="C106" s="14">
        <f>Table134681134567101213[[#This Row],[PMI]]-B105</f>
        <v>0.39999999999999858</v>
      </c>
    </row>
    <row r="107" spans="1:3" x14ac:dyDescent="0.2">
      <c r="A107" s="8">
        <v>43525</v>
      </c>
      <c r="B107" s="11">
        <f>IF(VLOOKUP(A107,'DB Country PMI'!$A:$W,MATCH($A$1,'DB Country PMI'!$A$1:$W$1,),)=0,#N/A,VLOOKUP(A107,'DB Country PMI'!$A:$W,MATCH($A$1,'DB Country PMI'!$A$1:$W$1,),))</f>
        <v>54.4</v>
      </c>
      <c r="C107" s="14">
        <f>Table134681134567101213[[#This Row],[PMI]]-B106</f>
        <v>-0.89999999999999858</v>
      </c>
    </row>
    <row r="108" spans="1:3" x14ac:dyDescent="0.2">
      <c r="A108" s="8">
        <v>43556</v>
      </c>
      <c r="B108" s="11">
        <f>IF(VLOOKUP(A108,'DB Country PMI'!$A:$W,MATCH($A$1,'DB Country PMI'!$A$1:$W$1,),)=0,#N/A,VLOOKUP(A108,'DB Country PMI'!$A:$W,MATCH($A$1,'DB Country PMI'!$A$1:$W$1,),))</f>
        <v>52.6</v>
      </c>
      <c r="C108" s="14">
        <f>Table134681134567101213[[#This Row],[PMI]]-B107</f>
        <v>-1.7999999999999972</v>
      </c>
    </row>
    <row r="109" spans="1:3" x14ac:dyDescent="0.2">
      <c r="A109" s="8">
        <v>43586</v>
      </c>
      <c r="B109" s="11">
        <f>IF(VLOOKUP(A109,'DB Country PMI'!$A:$W,MATCH($A$1,'DB Country PMI'!$A$1:$W$1,),)=0,#N/A,VLOOKUP(A109,'DB Country PMI'!$A:$W,MATCH($A$1,'DB Country PMI'!$A$1:$W$1,),))</f>
        <v>52</v>
      </c>
      <c r="C109" s="14">
        <f>Table134681134567101213[[#This Row],[PMI]]-B108</f>
        <v>-0.60000000000000142</v>
      </c>
    </row>
    <row r="110" spans="1:3" x14ac:dyDescent="0.2">
      <c r="A110" s="8">
        <v>43617</v>
      </c>
      <c r="B110" s="11">
        <f>IF(VLOOKUP(A110,'DB Country PMI'!$A:$W,MATCH($A$1,'DB Country PMI'!$A$1:$W$1,),)=0,#N/A,VLOOKUP(A110,'DB Country PMI'!$A:$W,MATCH($A$1,'DB Country PMI'!$A$1:$W$1,),))</f>
        <v>49.7</v>
      </c>
      <c r="C110" s="14">
        <f>Table134681134567101213[[#This Row],[PMI]]-B109</f>
        <v>-2.2999999999999972</v>
      </c>
    </row>
    <row r="111" spans="1:3" x14ac:dyDescent="0.2">
      <c r="A111" s="8">
        <v>43647</v>
      </c>
      <c r="B111" s="11">
        <f>IF(VLOOKUP(A111,'DB Country PMI'!$A:$W,MATCH($A$1,'DB Country PMI'!$A$1:$W$1,),)=0,#N/A,VLOOKUP(A111,'DB Country PMI'!$A:$W,MATCH($A$1,'DB Country PMI'!$A$1:$W$1,),))</f>
        <v>50.4</v>
      </c>
      <c r="C111" s="14">
        <f>Table134681134567101213[[#This Row],[PMI]]-B110</f>
        <v>0.69999999999999574</v>
      </c>
    </row>
    <row r="112" spans="1:3" x14ac:dyDescent="0.2">
      <c r="A112" s="8">
        <v>43678</v>
      </c>
      <c r="B112" s="11">
        <f>IF(VLOOKUP(A112,'DB Country PMI'!$A:$W,MATCH($A$1,'DB Country PMI'!$A$1:$W$1,),)=0,#N/A,VLOOKUP(A112,'DB Country PMI'!$A:$W,MATCH($A$1,'DB Country PMI'!$A$1:$W$1,),))</f>
        <v>52.1</v>
      </c>
      <c r="C112" s="14">
        <f>Table134681134567101213[[#This Row],[PMI]]-B111</f>
        <v>1.7000000000000028</v>
      </c>
    </row>
    <row r="113" spans="1:3" x14ac:dyDescent="0.2">
      <c r="A113" s="8">
        <v>43709</v>
      </c>
      <c r="B113" s="11">
        <f>IF(VLOOKUP(A113,'DB Country PMI'!$A:$W,MATCH($A$1,'DB Country PMI'!$A$1:$W$1,),)=0,#N/A,VLOOKUP(A113,'DB Country PMI'!$A:$W,MATCH($A$1,'DB Country PMI'!$A$1:$W$1,),))</f>
        <v>53.6</v>
      </c>
      <c r="C113" s="14">
        <f>Table134681134567101213[[#This Row],[PMI]]-B112</f>
        <v>1.5</v>
      </c>
    </row>
    <row r="114" spans="1:3" x14ac:dyDescent="0.2">
      <c r="A114" s="8">
        <v>43739</v>
      </c>
      <c r="B114" s="11">
        <f>IF(VLOOKUP(A114,'DB Country PMI'!$A:$W,MATCH($A$1,'DB Country PMI'!$A$1:$W$1,),)=0,#N/A,VLOOKUP(A114,'DB Country PMI'!$A:$W,MATCH($A$1,'DB Country PMI'!$A$1:$W$1,),))</f>
        <v>55.8</v>
      </c>
      <c r="C114" s="14">
        <f>Table134681134567101213[[#This Row],[PMI]]-B113</f>
        <v>2.1999999999999957</v>
      </c>
    </row>
    <row r="115" spans="1:3" x14ac:dyDescent="0.2">
      <c r="A115" s="8">
        <v>43770</v>
      </c>
      <c r="B115" s="11">
        <f>IF(VLOOKUP(A115,'DB Country PMI'!$A:$W,MATCH($A$1,'DB Country PMI'!$A$1:$W$1,),)=0,#N/A,VLOOKUP(A115,'DB Country PMI'!$A:$W,MATCH($A$1,'DB Country PMI'!$A$1:$W$1,),))</f>
        <v>55.6</v>
      </c>
      <c r="C115" s="14">
        <f>Table134681134567101213[[#This Row],[PMI]]-B114</f>
        <v>-0.19999999999999574</v>
      </c>
    </row>
    <row r="116" spans="1:3" x14ac:dyDescent="0.2">
      <c r="A116" s="8">
        <v>43800</v>
      </c>
      <c r="B116" s="11">
        <f>IF(VLOOKUP(A116,'DB Country PMI'!$A:$W,MATCH($A$1,'DB Country PMI'!$A$1:$W$1,),)=0,#N/A,VLOOKUP(A116,'DB Country PMI'!$A:$W,MATCH($A$1,'DB Country PMI'!$A$1:$W$1,),))</f>
        <v>53.1</v>
      </c>
      <c r="C116" s="14">
        <f>Table134681134567101213[[#This Row],[PMI]]-B115</f>
        <v>-2.5</v>
      </c>
    </row>
    <row r="117" spans="1:3" x14ac:dyDescent="0.2">
      <c r="A117" s="8">
        <v>43831</v>
      </c>
      <c r="B117" s="11">
        <f>IF(VLOOKUP(A117,'DB Country PMI'!$A:$W,MATCH($A$1,'DB Country PMI'!$A$1:$W$1,),)=0,#N/A,VLOOKUP(A117,'DB Country PMI'!$A:$W,MATCH($A$1,'DB Country PMI'!$A$1:$W$1,),))</f>
        <v>54.1</v>
      </c>
      <c r="C117" s="14">
        <f>Table134681134567101213[[#This Row],[PMI]]-B116</f>
        <v>1</v>
      </c>
    </row>
    <row r="118" spans="1:3" x14ac:dyDescent="0.2">
      <c r="A118" s="8">
        <v>43862</v>
      </c>
      <c r="B118" s="11">
        <f>IF(VLOOKUP(A118,'DB Country PMI'!$A:$W,MATCH($A$1,'DB Country PMI'!$A$1:$W$1,),)=0,#N/A,VLOOKUP(A118,'DB Country PMI'!$A:$W,MATCH($A$1,'DB Country PMI'!$A$1:$W$1,),))</f>
        <v>52</v>
      </c>
      <c r="C118" s="14">
        <f>Table134681134567101213[[#This Row],[PMI]]-B117</f>
        <v>-2.1000000000000014</v>
      </c>
    </row>
    <row r="119" spans="1:3" x14ac:dyDescent="0.2">
      <c r="A119" s="8">
        <v>43891</v>
      </c>
      <c r="B119" s="11">
        <f>IF(VLOOKUP(A119,'DB Country PMI'!$A:$W,MATCH($A$1,'DB Country PMI'!$A$1:$W$1,),)=0,#N/A,VLOOKUP(A119,'DB Country PMI'!$A:$W,MATCH($A$1,'DB Country PMI'!$A$1:$W$1,),))</f>
        <v>37.1</v>
      </c>
      <c r="C119" s="14">
        <f>Table134681134567101213[[#This Row],[PMI]]-B118</f>
        <v>-14.899999999999999</v>
      </c>
    </row>
    <row r="120" spans="1:3" x14ac:dyDescent="0.2">
      <c r="A120" s="8">
        <v>43922</v>
      </c>
      <c r="B120" s="11">
        <f>IF(VLOOKUP(A120,'DB Country PMI'!$A:$W,MATCH($A$1,'DB Country PMI'!$A$1:$W$1,),)=0,#N/A,VLOOKUP(A120,'DB Country PMI'!$A:$W,MATCH($A$1,'DB Country PMI'!$A$1:$W$1,),))</f>
        <v>12.2</v>
      </c>
      <c r="C120" s="14">
        <f>Table134681134567101213[[#This Row],[PMI]]-B119</f>
        <v>-24.900000000000002</v>
      </c>
    </row>
    <row r="121" spans="1:3" x14ac:dyDescent="0.2">
      <c r="A121" s="8">
        <v>43952</v>
      </c>
      <c r="B121" s="11">
        <f>IF(VLOOKUP(A121,'DB Country PMI'!$A:$W,MATCH($A$1,'DB Country PMI'!$A$1:$W$1,),)=0,#N/A,VLOOKUP(A121,'DB Country PMI'!$A:$W,MATCH($A$1,'DB Country PMI'!$A$1:$W$1,),))</f>
        <v>35.9</v>
      </c>
      <c r="C121" s="14">
        <f>Table134681134567101213[[#This Row],[PMI]]-B120</f>
        <v>23.7</v>
      </c>
    </row>
    <row r="122" spans="1:3" x14ac:dyDescent="0.2">
      <c r="A122" s="8">
        <v>43983</v>
      </c>
      <c r="B122" s="11">
        <f>IF(VLOOKUP(A122,'DB Country PMI'!$A:$W,MATCH($A$1,'DB Country PMI'!$A$1:$W$1,),)=0,#N/A,VLOOKUP(A122,'DB Country PMI'!$A:$W,MATCH($A$1,'DB Country PMI'!$A$1:$W$1,),))</f>
        <v>47.8</v>
      </c>
      <c r="C122" s="14">
        <f>Table134681134567101213[[#This Row],[PMI]]-B121</f>
        <v>11.899999999999999</v>
      </c>
    </row>
    <row r="123" spans="1:3" x14ac:dyDescent="0.2">
      <c r="A123" s="8">
        <v>44013</v>
      </c>
      <c r="B123" s="11">
        <f>IF(VLOOKUP(A123,'DB Country PMI'!$A:$W,MATCH($A$1,'DB Country PMI'!$A$1:$W$1,),)=0,#N/A,VLOOKUP(A123,'DB Country PMI'!$A:$W,MATCH($A$1,'DB Country PMI'!$A$1:$W$1,),))</f>
        <v>58.5</v>
      </c>
      <c r="C123" s="14">
        <f>Table134681134567101213[[#This Row],[PMI]]-B122</f>
        <v>10.700000000000003</v>
      </c>
    </row>
    <row r="124" spans="1:3" x14ac:dyDescent="0.2">
      <c r="A124" s="8">
        <v>44044</v>
      </c>
      <c r="B124" s="11">
        <f>IF(VLOOKUP(A124,'DB Country PMI'!$A:$W,MATCH($A$1,'DB Country PMI'!$A$1:$W$1,),)=0,#N/A,VLOOKUP(A124,'DB Country PMI'!$A:$W,MATCH($A$1,'DB Country PMI'!$A$1:$W$1,),))</f>
        <v>58.2</v>
      </c>
      <c r="C124" s="14">
        <f>Table134681134567101213[[#This Row],[PMI]]-B123</f>
        <v>-0.29999999999999716</v>
      </c>
    </row>
    <row r="125" spans="1:3" x14ac:dyDescent="0.2">
      <c r="A125" s="8">
        <v>44075</v>
      </c>
      <c r="B125" s="11">
        <f>IF(VLOOKUP(A125,'DB Country PMI'!$A:$W,MATCH($A$1,'DB Country PMI'!$A$1:$W$1,),)=0,#N/A,VLOOKUP(A125,'DB Country PMI'!$A:$W,MATCH($A$1,'DB Country PMI'!$A$1:$W$1,),))</f>
        <v>53.7</v>
      </c>
      <c r="C125" s="14">
        <f>Table134681134567101213[[#This Row],[PMI]]-B124</f>
        <v>-4.5</v>
      </c>
    </row>
    <row r="126" spans="1:3" x14ac:dyDescent="0.2">
      <c r="A126" s="8">
        <v>44105</v>
      </c>
      <c r="B126" s="11">
        <f>IF(VLOOKUP(A126,'DB Country PMI'!$A:$W,MATCH($A$1,'DB Country PMI'!$A$1:$W$1,),)=0,#N/A,VLOOKUP(A126,'DB Country PMI'!$A:$W,MATCH($A$1,'DB Country PMI'!$A$1:$W$1,),))</f>
        <v>46.9</v>
      </c>
      <c r="C126" s="14">
        <f>Table134681134567101213[[#This Row],[PMI]]-B125</f>
        <v>-6.8000000000000043</v>
      </c>
    </row>
    <row r="127" spans="1:3" x14ac:dyDescent="0.2">
      <c r="A127" s="8">
        <v>44136</v>
      </c>
      <c r="B127" s="11">
        <f>IF(VLOOKUP(A127,'DB Country PMI'!$A:$W,MATCH($A$1,'DB Country PMI'!$A$1:$W$1,),)=0,#N/A,VLOOKUP(A127,'DB Country PMI'!$A:$W,MATCH($A$1,'DB Country PMI'!$A$1:$W$1,),))</f>
        <v>48.2</v>
      </c>
      <c r="C127" s="14">
        <f>Table134681134567101213[[#This Row],[PMI]]-B126</f>
        <v>1.3000000000000043</v>
      </c>
    </row>
    <row r="128" spans="1:3" x14ac:dyDescent="0.2">
      <c r="A128" s="8">
        <v>44166</v>
      </c>
      <c r="B128" s="11">
        <f>IF(VLOOKUP(A128,'DB Country PMI'!$A:$W,MATCH($A$1,'DB Country PMI'!$A$1:$W$1,),)=0,#N/A,VLOOKUP(A128,'DB Country PMI'!$A:$W,MATCH($A$1,'DB Country PMI'!$A$1:$W$1,),))</f>
        <v>48</v>
      </c>
      <c r="C128" s="14">
        <f>Table134681134567101213[[#This Row],[PMI]]-B127</f>
        <v>-0.20000000000000284</v>
      </c>
    </row>
    <row r="129" spans="1:3" x14ac:dyDescent="0.2">
      <c r="A129" s="8">
        <v>44197</v>
      </c>
      <c r="B129" s="11">
        <f>IF(VLOOKUP(A129,'DB Country PMI'!$A:$W,MATCH($A$1,'DB Country PMI'!$A$1:$W$1,),)=0,#N/A,VLOOKUP(A129,'DB Country PMI'!$A:$W,MATCH($A$1,'DB Country PMI'!$A$1:$W$1,),))</f>
        <v>52.7</v>
      </c>
      <c r="C129" s="14">
        <f>Table134681134567101213[[#This Row],[PMI]]-B128</f>
        <v>4.7000000000000028</v>
      </c>
    </row>
    <row r="130" spans="1:3" x14ac:dyDescent="0.2">
      <c r="A130" s="8">
        <v>44228</v>
      </c>
      <c r="B130" s="11">
        <f>IF(VLOOKUP(A130,'DB Country PMI'!$A:$W,MATCH($A$1,'DB Country PMI'!$A$1:$W$1,),)=0,#N/A,VLOOKUP(A130,'DB Country PMI'!$A:$W,MATCH($A$1,'DB Country PMI'!$A$1:$W$1,),))</f>
        <v>52.2</v>
      </c>
      <c r="C130" s="14">
        <f>Table134681134567101213[[#This Row],[PMI]]-B129</f>
        <v>-0.5</v>
      </c>
    </row>
    <row r="131" spans="1:3" x14ac:dyDescent="0.2">
      <c r="A131" s="8">
        <v>44256</v>
      </c>
      <c r="B131" s="11">
        <f>IF(VLOOKUP(A131,'DB Country PMI'!$A:$W,MATCH($A$1,'DB Country PMI'!$A$1:$W$1,),)=0,#N/A,VLOOKUP(A131,'DB Country PMI'!$A:$W,MATCH($A$1,'DB Country PMI'!$A$1:$W$1,),))</f>
        <v>55.8</v>
      </c>
      <c r="C131" s="14">
        <f>Table134681134567101213[[#This Row],[PMI]]-B130</f>
        <v>3.5999999999999943</v>
      </c>
    </row>
    <row r="132" spans="1:3" x14ac:dyDescent="0.2">
      <c r="A132" s="8">
        <v>44287</v>
      </c>
      <c r="B132" s="11">
        <f>IF(VLOOKUP(A132,'DB Country PMI'!$A:$W,MATCH($A$1,'DB Country PMI'!$A$1:$W$1,),)=0,#N/A,VLOOKUP(A132,'DB Country PMI'!$A:$W,MATCH($A$1,'DB Country PMI'!$A$1:$W$1,),))</f>
        <v>55.2</v>
      </c>
      <c r="C132" s="14">
        <f>Table134681134567101213[[#This Row],[PMI]]-B131</f>
        <v>-0.59999999999999432</v>
      </c>
    </row>
    <row r="133" spans="1:3" x14ac:dyDescent="0.2">
      <c r="A133" s="8">
        <v>44317</v>
      </c>
      <c r="B133" s="11">
        <f>IF(VLOOKUP(A133,'DB Country PMI'!$A:$W,MATCH($A$1,'DB Country PMI'!$A$1:$W$1,),)=0,#N/A,VLOOKUP(A133,'DB Country PMI'!$A:$W,MATCH($A$1,'DB Country PMI'!$A$1:$W$1,),))</f>
        <v>57.5</v>
      </c>
      <c r="C133" s="14">
        <f>Table134681134567101213[[#This Row],[PMI]]-B132</f>
        <v>2.2999999999999972</v>
      </c>
    </row>
    <row r="134" spans="1:3" x14ac:dyDescent="0.2">
      <c r="A134" s="8">
        <v>44348</v>
      </c>
      <c r="B134" s="11">
        <f>IF(VLOOKUP(A134,'DB Country PMI'!$A:$W,MATCH($A$1,'DB Country PMI'!$A$1:$W$1,),)=0,#N/A,VLOOKUP(A134,'DB Country PMI'!$A:$W,MATCH($A$1,'DB Country PMI'!$A$1:$W$1,),))</f>
        <v>56.5</v>
      </c>
      <c r="C134" s="14">
        <f>Table134681134567101213[[#This Row],[PMI]]-B133</f>
        <v>-1</v>
      </c>
    </row>
    <row r="135" spans="1:3" x14ac:dyDescent="0.2">
      <c r="A135" s="8">
        <v>44378</v>
      </c>
      <c r="B135" s="11">
        <f>IF(VLOOKUP(A135,'DB Country PMI'!$A:$W,MATCH($A$1,'DB Country PMI'!$A$1:$W$1,),)=0,#N/A,VLOOKUP(A135,'DB Country PMI'!$A:$W,MATCH($A$1,'DB Country PMI'!$A$1:$W$1,),))</f>
        <v>53.5</v>
      </c>
      <c r="C135" s="14">
        <f>Table134681134567101213[[#This Row],[PMI]]-B134</f>
        <v>-3</v>
      </c>
    </row>
    <row r="136" spans="1:3" x14ac:dyDescent="0.2">
      <c r="A136" s="8">
        <v>44409</v>
      </c>
      <c r="B136" s="11">
        <f>IF(VLOOKUP(A136,'DB Country PMI'!$A:$W,MATCH($A$1,'DB Country PMI'!$A$1:$W$1,),)=0,#N/A,VLOOKUP(A136,'DB Country PMI'!$A:$W,MATCH($A$1,'DB Country PMI'!$A$1:$W$1,),))</f>
        <v>49.3</v>
      </c>
      <c r="C136" s="14">
        <f>Table134681134567101213[[#This Row],[PMI]]-B135</f>
        <v>-4.2000000000000028</v>
      </c>
    </row>
    <row r="137" spans="1:3" x14ac:dyDescent="0.2">
      <c r="A137" s="8">
        <v>44440</v>
      </c>
      <c r="B137" s="11">
        <f>IF(VLOOKUP(A137,'DB Country PMI'!$A:$W,MATCH($A$1,'DB Country PMI'!$A$1:$W$1,),)=0,#N/A,VLOOKUP(A137,'DB Country PMI'!$A:$W,MATCH($A$1,'DB Country PMI'!$A$1:$W$1,),))</f>
        <v>50.5</v>
      </c>
      <c r="C137" s="14">
        <f>Table134681134567101213[[#This Row],[PMI]]-B136</f>
        <v>1.2000000000000028</v>
      </c>
    </row>
    <row r="138" spans="1:3" x14ac:dyDescent="0.2">
      <c r="A138" s="8">
        <v>44470</v>
      </c>
      <c r="B138" s="11">
        <f>IF(VLOOKUP(A138,'DB Country PMI'!$A:$W,MATCH($A$1,'DB Country PMI'!$A$1:$W$1,),)=0,#N/A,VLOOKUP(A138,'DB Country PMI'!$A:$W,MATCH($A$1,'DB Country PMI'!$A$1:$W$1,),))</f>
        <v>58.8</v>
      </c>
      <c r="C138" s="14">
        <f>Table134681134567101213[[#This Row],[PMI]]-B137</f>
        <v>8.2999999999999972</v>
      </c>
    </row>
    <row r="139" spans="1:3" x14ac:dyDescent="0.2">
      <c r="A139" s="8">
        <v>44501</v>
      </c>
      <c r="B139" s="11">
        <f>IF(VLOOKUP(A139,'DB Country PMI'!$A:$W,MATCH($A$1,'DB Country PMI'!$A$1:$W$1,),)=0,#N/A,VLOOKUP(A139,'DB Country PMI'!$A:$W,MATCH($A$1,'DB Country PMI'!$A$1:$W$1,),))</f>
        <v>47.1</v>
      </c>
      <c r="C139" s="14">
        <f>Table134681134567101213[[#This Row],[PMI]]-B138</f>
        <v>-11.699999999999996</v>
      </c>
    </row>
    <row r="140" spans="1:3" x14ac:dyDescent="0.2">
      <c r="A140" s="8">
        <v>44531</v>
      </c>
      <c r="B140" s="11">
        <f>IF(VLOOKUP(A140,'DB Country PMI'!$A:$W,MATCH($A$1,'DB Country PMI'!$A$1:$W$1,),)=0,#N/A,VLOOKUP(A140,'DB Country PMI'!$A:$W,MATCH($A$1,'DB Country PMI'!$A$1:$W$1,),))</f>
        <v>49.5</v>
      </c>
      <c r="C140" s="14">
        <f>Table134681134567101213[[#This Row],[PMI]]-B139</f>
        <v>2.3999999999999986</v>
      </c>
    </row>
    <row r="141" spans="1:3" x14ac:dyDescent="0.2">
      <c r="A141" s="8">
        <v>44562</v>
      </c>
      <c r="B141" s="11">
        <f>IF(VLOOKUP(A141,'DB Country PMI'!$A:$W,MATCH($A$1,'DB Country PMI'!$A$1:$W$1,),)=0,#N/A,VLOOKUP(A141,'DB Country PMI'!$A:$W,MATCH($A$1,'DB Country PMI'!$A$1:$W$1,),))</f>
        <v>49.8</v>
      </c>
      <c r="C141" s="14">
        <f>Table134681134567101213[[#This Row],[PMI]]-B140</f>
        <v>0.29999999999999716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x14ac:dyDescent="0.2"/>
  <cols>
    <col min="1" max="1" width="13.5" style="47" customWidth="1"/>
    <col min="2" max="2" width="11.33203125" style="47" customWidth="1"/>
    <col min="3" max="5" width="9.1640625" style="47" customWidth="1"/>
    <col min="6" max="16384" width="9.1640625" style="47"/>
  </cols>
  <sheetData>
    <row r="1" spans="1:10" x14ac:dyDescent="0.2">
      <c r="A1" s="47" t="s">
        <v>27</v>
      </c>
      <c r="J1" s="47" t="s">
        <v>61</v>
      </c>
    </row>
    <row r="2" spans="1:10" x14ac:dyDescent="0.2">
      <c r="J2" s="47" t="s">
        <v>75</v>
      </c>
    </row>
    <row r="4" spans="1:10" ht="16" customHeight="1" thickBot="1" x14ac:dyDescent="0.25"/>
    <row r="5" spans="1:10" ht="16" customHeight="1" thickBot="1" x14ac:dyDescent="0.25">
      <c r="A5" s="12" t="s">
        <v>33</v>
      </c>
      <c r="B5" s="13" t="s">
        <v>59</v>
      </c>
      <c r="C5" s="13" t="s">
        <v>60</v>
      </c>
    </row>
    <row r="6" spans="1:10" x14ac:dyDescent="0.2">
      <c r="A6" s="10">
        <v>40452</v>
      </c>
      <c r="B6" s="11">
        <f>IF(VLOOKUP(A6,'DB Country PMI'!$A:$W,MATCH($A$1,'DB Country PMI'!$A$1:$W$1,),)=0,#N/A,VLOOKUP(A6,'DB Country PMI'!$A:$W,MATCH($A$1,'DB Country PMI'!$A$1:$W$1,),))</f>
        <v>46.5</v>
      </c>
      <c r="C6" s="11"/>
    </row>
    <row r="7" spans="1:10" x14ac:dyDescent="0.2">
      <c r="A7" s="8">
        <v>40483</v>
      </c>
      <c r="B7" s="11">
        <f>IF(VLOOKUP(A7,'DB Country PMI'!$A:$W,MATCH($A$1,'DB Country PMI'!$A$1:$W$1,),)=0,#N/A,VLOOKUP(A7,'DB Country PMI'!$A:$W,MATCH($A$1,'DB Country PMI'!$A$1:$W$1,),))</f>
        <v>48.3</v>
      </c>
      <c r="C7" s="14">
        <f>Table13468113456710121314[[#This Row],[PMI]]-B6</f>
        <v>1.7999999999999972</v>
      </c>
    </row>
    <row r="8" spans="1:10" x14ac:dyDescent="0.2">
      <c r="A8" s="8">
        <v>40513</v>
      </c>
      <c r="B8" s="11">
        <f>IF(VLOOKUP(A8,'DB Country PMI'!$A:$W,MATCH($A$1,'DB Country PMI'!$A$1:$W$1,),)=0,#N/A,VLOOKUP(A8,'DB Country PMI'!$A:$W,MATCH($A$1,'DB Country PMI'!$A$1:$W$1,),))</f>
        <v>49.1</v>
      </c>
      <c r="C8" s="14">
        <f>Table13468113456710121314[[#This Row],[PMI]]-B7</f>
        <v>0.80000000000000426</v>
      </c>
    </row>
    <row r="9" spans="1:10" x14ac:dyDescent="0.2">
      <c r="A9" s="8">
        <v>40544</v>
      </c>
      <c r="B9" s="11">
        <f>IF(VLOOKUP(A9,'DB Country PMI'!$A:$W,MATCH($A$1,'DB Country PMI'!$A$1:$W$1,),)=0,#N/A,VLOOKUP(A9,'DB Country PMI'!$A:$W,MATCH($A$1,'DB Country PMI'!$A$1:$W$1,),))</f>
        <v>50.1</v>
      </c>
      <c r="C9" s="14">
        <f>Table13468113456710121314[[#This Row],[PMI]]-B8</f>
        <v>1</v>
      </c>
    </row>
    <row r="10" spans="1:10" x14ac:dyDescent="0.2">
      <c r="A10" s="8">
        <v>40575</v>
      </c>
      <c r="B10" s="11">
        <f>IF(VLOOKUP(A10,'DB Country PMI'!$A:$W,MATCH($A$1,'DB Country PMI'!$A$1:$W$1,),)=0,#N/A,VLOOKUP(A10,'DB Country PMI'!$A:$W,MATCH($A$1,'DB Country PMI'!$A$1:$W$1,),))</f>
        <v>50.8</v>
      </c>
      <c r="C10" s="14">
        <f>Table13468113456710121314[[#This Row],[PMI]]-B9</f>
        <v>0.69999999999999574</v>
      </c>
    </row>
    <row r="11" spans="1:10" x14ac:dyDescent="0.2">
      <c r="A11" s="8">
        <v>40603</v>
      </c>
      <c r="B11" s="11">
        <f>IF(VLOOKUP(A11,'DB Country PMI'!$A:$W,MATCH($A$1,'DB Country PMI'!$A$1:$W$1,),)=0,#N/A,VLOOKUP(A11,'DB Country PMI'!$A:$W,MATCH($A$1,'DB Country PMI'!$A$1:$W$1,),))</f>
        <v>48.7</v>
      </c>
      <c r="C11" s="14">
        <f>Table13468113456710121314[[#This Row],[PMI]]-B10</f>
        <v>-2.0999999999999943</v>
      </c>
    </row>
    <row r="12" spans="1:10" x14ac:dyDescent="0.2">
      <c r="A12" s="8">
        <v>40634</v>
      </c>
      <c r="B12" s="11">
        <f>IF(VLOOKUP(A12,'DB Country PMI'!$A:$W,MATCH($A$1,'DB Country PMI'!$A$1:$W$1,),)=0,#N/A,VLOOKUP(A12,'DB Country PMI'!$A:$W,MATCH($A$1,'DB Country PMI'!$A$1:$W$1,),))</f>
        <v>50.4</v>
      </c>
      <c r="C12" s="14">
        <f>Table13468113456710121314[[#This Row],[PMI]]-B11</f>
        <v>1.6999999999999957</v>
      </c>
    </row>
    <row r="13" spans="1:10" x14ac:dyDescent="0.2">
      <c r="A13" s="8">
        <v>40664</v>
      </c>
      <c r="B13" s="11">
        <f>IF(VLOOKUP(A13,'DB Country PMI'!$A:$W,MATCH($A$1,'DB Country PMI'!$A$1:$W$1,),)=0,#N/A,VLOOKUP(A13,'DB Country PMI'!$A:$W,MATCH($A$1,'DB Country PMI'!$A$1:$W$1,),))</f>
        <v>50.9</v>
      </c>
      <c r="C13" s="14">
        <f>Table13468113456710121314[[#This Row],[PMI]]-B12</f>
        <v>0.5</v>
      </c>
    </row>
    <row r="14" spans="1:10" x14ac:dyDescent="0.2">
      <c r="A14" s="8">
        <v>40695</v>
      </c>
      <c r="B14" s="11">
        <f>IF(VLOOKUP(A14,'DB Country PMI'!$A:$W,MATCH($A$1,'DB Country PMI'!$A$1:$W$1,),)=0,#N/A,VLOOKUP(A14,'DB Country PMI'!$A:$W,MATCH($A$1,'DB Country PMI'!$A$1:$W$1,),))</f>
        <v>50.2</v>
      </c>
      <c r="C14" s="14">
        <f>Table13468113456710121314[[#This Row],[PMI]]-B13</f>
        <v>-0.69999999999999574</v>
      </c>
    </row>
    <row r="15" spans="1:10" x14ac:dyDescent="0.2">
      <c r="A15" s="8">
        <v>40725</v>
      </c>
      <c r="B15" s="11">
        <f>IF(VLOOKUP(A15,'DB Country PMI'!$A:$W,MATCH($A$1,'DB Country PMI'!$A$1:$W$1,),)=0,#N/A,VLOOKUP(A15,'DB Country PMI'!$A:$W,MATCH($A$1,'DB Country PMI'!$A$1:$W$1,),))</f>
        <v>46.5</v>
      </c>
      <c r="C15" s="14">
        <f>Table13468113456710121314[[#This Row],[PMI]]-B14</f>
        <v>-3.7000000000000028</v>
      </c>
    </row>
    <row r="16" spans="1:10" x14ac:dyDescent="0.2">
      <c r="A16" s="8">
        <v>40756</v>
      </c>
      <c r="B16" s="11">
        <f>IF(VLOOKUP(A16,'DB Country PMI'!$A:$W,MATCH($A$1,'DB Country PMI'!$A$1:$W$1,),)=0,#N/A,VLOOKUP(A16,'DB Country PMI'!$A:$W,MATCH($A$1,'DB Country PMI'!$A$1:$W$1,),))</f>
        <v>45.2</v>
      </c>
      <c r="C16" s="14">
        <f>Table13468113456710121314[[#This Row],[PMI]]-B15</f>
        <v>-1.2999999999999972</v>
      </c>
    </row>
    <row r="17" spans="1:3" x14ac:dyDescent="0.2">
      <c r="A17" s="8">
        <v>40787</v>
      </c>
      <c r="B17" s="11">
        <f>IF(VLOOKUP(A17,'DB Country PMI'!$A:$W,MATCH($A$1,'DB Country PMI'!$A$1:$W$1,),)=0,#N/A,VLOOKUP(A17,'DB Country PMI'!$A:$W,MATCH($A$1,'DB Country PMI'!$A$1:$W$1,),))</f>
        <v>44.8</v>
      </c>
      <c r="C17" s="14">
        <f>Table13468113456710121314[[#This Row],[PMI]]-B16</f>
        <v>-0.40000000000000568</v>
      </c>
    </row>
    <row r="18" spans="1:3" x14ac:dyDescent="0.2">
      <c r="A18" s="8">
        <v>40817</v>
      </c>
      <c r="B18" s="11">
        <f>IF(VLOOKUP(A18,'DB Country PMI'!$A:$W,MATCH($A$1,'DB Country PMI'!$A$1:$W$1,),)=0,#N/A,VLOOKUP(A18,'DB Country PMI'!$A:$W,MATCH($A$1,'DB Country PMI'!$A$1:$W$1,),))</f>
        <v>41.8</v>
      </c>
      <c r="C18" s="14">
        <f>Table13468113456710121314[[#This Row],[PMI]]-B17</f>
        <v>-3</v>
      </c>
    </row>
    <row r="19" spans="1:3" x14ac:dyDescent="0.2">
      <c r="A19" s="8">
        <v>40848</v>
      </c>
      <c r="B19" s="11">
        <f>IF(VLOOKUP(A19,'DB Country PMI'!$A:$W,MATCH($A$1,'DB Country PMI'!$A$1:$W$1,),)=0,#N/A,VLOOKUP(A19,'DB Country PMI'!$A:$W,MATCH($A$1,'DB Country PMI'!$A$1:$W$1,),))</f>
        <v>36.799999999999997</v>
      </c>
      <c r="C19" s="14">
        <f>Table13468113456710121314[[#This Row],[PMI]]-B18</f>
        <v>-5</v>
      </c>
    </row>
    <row r="20" spans="1:3" x14ac:dyDescent="0.2">
      <c r="A20" s="8">
        <v>40878</v>
      </c>
      <c r="B20" s="11">
        <f>IF(VLOOKUP(A20,'DB Country PMI'!$A:$W,MATCH($A$1,'DB Country PMI'!$A$1:$W$1,),)=0,#N/A,VLOOKUP(A20,'DB Country PMI'!$A:$W,MATCH($A$1,'DB Country PMI'!$A$1:$W$1,),))</f>
        <v>42.1</v>
      </c>
      <c r="C20" s="14">
        <f>Table13468113456710121314[[#This Row],[PMI]]-B19</f>
        <v>5.3000000000000043</v>
      </c>
    </row>
    <row r="21" spans="1:3" x14ac:dyDescent="0.2">
      <c r="A21" s="8">
        <v>40909</v>
      </c>
      <c r="B21" s="11">
        <f>IF(VLOOKUP(A21,'DB Country PMI'!$A:$W,MATCH($A$1,'DB Country PMI'!$A$1:$W$1,),)=0,#N/A,VLOOKUP(A21,'DB Country PMI'!$A:$W,MATCH($A$1,'DB Country PMI'!$A$1:$W$1,),))</f>
        <v>46.1</v>
      </c>
      <c r="C21" s="14">
        <f>Table13468113456710121314[[#This Row],[PMI]]-B20</f>
        <v>4</v>
      </c>
    </row>
    <row r="22" spans="1:3" x14ac:dyDescent="0.2">
      <c r="A22" s="8">
        <v>40940</v>
      </c>
      <c r="B22" s="11">
        <f>IF(VLOOKUP(A22,'DB Country PMI'!$A:$W,MATCH($A$1,'DB Country PMI'!$A$1:$W$1,),)=0,#N/A,VLOOKUP(A22,'DB Country PMI'!$A:$W,MATCH($A$1,'DB Country PMI'!$A$1:$W$1,),))</f>
        <v>41.9</v>
      </c>
      <c r="C22" s="14">
        <f>Table13468113456710121314[[#This Row],[PMI]]-B21</f>
        <v>-4.2000000000000028</v>
      </c>
    </row>
    <row r="23" spans="1:3" x14ac:dyDescent="0.2">
      <c r="A23" s="8">
        <v>40969</v>
      </c>
      <c r="B23" s="11">
        <f>IF(VLOOKUP(A23,'DB Country PMI'!$A:$W,MATCH($A$1,'DB Country PMI'!$A$1:$W$1,),)=0,#N/A,VLOOKUP(A23,'DB Country PMI'!$A:$W,MATCH($A$1,'DB Country PMI'!$A$1:$W$1,),))</f>
        <v>46.3</v>
      </c>
      <c r="C23" s="14">
        <f>Table13468113456710121314[[#This Row],[PMI]]-B22</f>
        <v>4.3999999999999986</v>
      </c>
    </row>
    <row r="24" spans="1:3" x14ac:dyDescent="0.2">
      <c r="A24" s="8">
        <v>41000</v>
      </c>
      <c r="B24" s="11">
        <f>IF(VLOOKUP(A24,'DB Country PMI'!$A:$W,MATCH($A$1,'DB Country PMI'!$A$1:$W$1,),)=0,#N/A,VLOOKUP(A24,'DB Country PMI'!$A:$W,MATCH($A$1,'DB Country PMI'!$A$1:$W$1,),))</f>
        <v>42.1</v>
      </c>
      <c r="C24" s="14">
        <f>Table13468113456710121314[[#This Row],[PMI]]-B23</f>
        <v>-4.1999999999999957</v>
      </c>
    </row>
    <row r="25" spans="1:3" x14ac:dyDescent="0.2">
      <c r="A25" s="8">
        <v>41030</v>
      </c>
      <c r="B25" s="11">
        <f>IF(VLOOKUP(A25,'DB Country PMI'!$A:$W,MATCH($A$1,'DB Country PMI'!$A$1:$W$1,),)=0,#N/A,VLOOKUP(A25,'DB Country PMI'!$A:$W,MATCH($A$1,'DB Country PMI'!$A$1:$W$1,),))</f>
        <v>41.8</v>
      </c>
      <c r="C25" s="14">
        <f>Table13468113456710121314[[#This Row],[PMI]]-B24</f>
        <v>-0.30000000000000426</v>
      </c>
    </row>
    <row r="26" spans="1:3" x14ac:dyDescent="0.2">
      <c r="A26" s="8">
        <v>41061</v>
      </c>
      <c r="B26" s="11">
        <f>IF(VLOOKUP(A26,'DB Country PMI'!$A:$W,MATCH($A$1,'DB Country PMI'!$A$1:$W$1,),)=0,#N/A,VLOOKUP(A26,'DB Country PMI'!$A:$W,MATCH($A$1,'DB Country PMI'!$A$1:$W$1,),))</f>
        <v>43.4</v>
      </c>
      <c r="C26" s="14">
        <f>Table13468113456710121314[[#This Row],[PMI]]-B25</f>
        <v>1.6000000000000014</v>
      </c>
    </row>
    <row r="27" spans="1:3" x14ac:dyDescent="0.2">
      <c r="A27" s="8">
        <v>41091</v>
      </c>
      <c r="B27" s="11">
        <f>IF(VLOOKUP(A27,'DB Country PMI'!$A:$W,MATCH($A$1,'DB Country PMI'!$A$1:$W$1,),)=0,#N/A,VLOOKUP(A27,'DB Country PMI'!$A:$W,MATCH($A$1,'DB Country PMI'!$A$1:$W$1,),))</f>
        <v>43.7</v>
      </c>
      <c r="C27" s="14">
        <f>Table13468113456710121314[[#This Row],[PMI]]-B26</f>
        <v>0.30000000000000426</v>
      </c>
    </row>
    <row r="28" spans="1:3" x14ac:dyDescent="0.2">
      <c r="A28" s="8">
        <v>41122</v>
      </c>
      <c r="B28" s="11">
        <f>IF(VLOOKUP(A28,'DB Country PMI'!$A:$W,MATCH($A$1,'DB Country PMI'!$A$1:$W$1,),)=0,#N/A,VLOOKUP(A28,'DB Country PMI'!$A:$W,MATCH($A$1,'DB Country PMI'!$A$1:$W$1,),))</f>
        <v>44</v>
      </c>
      <c r="C28" s="14">
        <f>Table13468113456710121314[[#This Row],[PMI]]-B27</f>
        <v>0.29999999999999716</v>
      </c>
    </row>
    <row r="29" spans="1:3" x14ac:dyDescent="0.2">
      <c r="A29" s="8">
        <v>41153</v>
      </c>
      <c r="B29" s="11">
        <f>IF(VLOOKUP(A29,'DB Country PMI'!$A:$W,MATCH($A$1,'DB Country PMI'!$A$1:$W$1,),)=0,#N/A,VLOOKUP(A29,'DB Country PMI'!$A:$W,MATCH($A$1,'DB Country PMI'!$A$1:$W$1,),))</f>
        <v>40.200000000000003</v>
      </c>
      <c r="C29" s="14">
        <f>Table13468113456710121314[[#This Row],[PMI]]-B28</f>
        <v>-3.7999999999999972</v>
      </c>
    </row>
    <row r="30" spans="1:3" x14ac:dyDescent="0.2">
      <c r="A30" s="8">
        <v>41183</v>
      </c>
      <c r="B30" s="11">
        <f>IF(VLOOKUP(A30,'DB Country PMI'!$A:$W,MATCH($A$1,'DB Country PMI'!$A$1:$W$1,),)=0,#N/A,VLOOKUP(A30,'DB Country PMI'!$A:$W,MATCH($A$1,'DB Country PMI'!$A$1:$W$1,),))</f>
        <v>41.2</v>
      </c>
      <c r="C30" s="14">
        <f>Table13468113456710121314[[#This Row],[PMI]]-B29</f>
        <v>1</v>
      </c>
    </row>
    <row r="31" spans="1:3" x14ac:dyDescent="0.2">
      <c r="A31" s="8">
        <v>41214</v>
      </c>
      <c r="B31" s="11">
        <f>IF(VLOOKUP(A31,'DB Country PMI'!$A:$W,MATCH($A$1,'DB Country PMI'!$A$1:$W$1,),)=0,#N/A,VLOOKUP(A31,'DB Country PMI'!$A:$W,MATCH($A$1,'DB Country PMI'!$A$1:$W$1,),))</f>
        <v>42.4</v>
      </c>
      <c r="C31" s="14">
        <f>Table13468113456710121314[[#This Row],[PMI]]-B30</f>
        <v>1.1999999999999957</v>
      </c>
    </row>
    <row r="32" spans="1:3" x14ac:dyDescent="0.2">
      <c r="A32" s="8">
        <v>41244</v>
      </c>
      <c r="B32" s="11">
        <f>IF(VLOOKUP(A32,'DB Country PMI'!$A:$W,MATCH($A$1,'DB Country PMI'!$A$1:$W$1,),)=0,#N/A,VLOOKUP(A32,'DB Country PMI'!$A:$W,MATCH($A$1,'DB Country PMI'!$A$1:$W$1,),))</f>
        <v>44.1</v>
      </c>
      <c r="C32" s="14">
        <f>Table13468113456710121314[[#This Row],[PMI]]-B31</f>
        <v>1.7000000000000028</v>
      </c>
    </row>
    <row r="33" spans="1:3" x14ac:dyDescent="0.2">
      <c r="A33" s="8">
        <v>41275</v>
      </c>
      <c r="B33" s="11">
        <f>IF(VLOOKUP(A33,'DB Country PMI'!$A:$W,MATCH($A$1,'DB Country PMI'!$A$1:$W$1,),)=0,#N/A,VLOOKUP(A33,'DB Country PMI'!$A:$W,MATCH($A$1,'DB Country PMI'!$A$1:$W$1,),))</f>
        <v>47</v>
      </c>
      <c r="C33" s="14">
        <f>Table13468113456710121314[[#This Row],[PMI]]-B32</f>
        <v>2.8999999999999986</v>
      </c>
    </row>
    <row r="34" spans="1:3" x14ac:dyDescent="0.2">
      <c r="A34" s="8">
        <v>41306</v>
      </c>
      <c r="B34" s="11">
        <f>IF(VLOOKUP(A34,'DB Country PMI'!$A:$W,MATCH($A$1,'DB Country PMI'!$A$1:$W$1,),)=0,#N/A,VLOOKUP(A34,'DB Country PMI'!$A:$W,MATCH($A$1,'DB Country PMI'!$A$1:$W$1,),))</f>
        <v>44.7</v>
      </c>
      <c r="C34" s="14">
        <f>Table13468113456710121314[[#This Row],[PMI]]-B33</f>
        <v>-2.2999999999999972</v>
      </c>
    </row>
    <row r="35" spans="1:3" x14ac:dyDescent="0.2">
      <c r="A35" s="8">
        <v>41334</v>
      </c>
      <c r="B35" s="11">
        <f>IF(VLOOKUP(A35,'DB Country PMI'!$A:$W,MATCH($A$1,'DB Country PMI'!$A$1:$W$1,),)=0,#N/A,VLOOKUP(A35,'DB Country PMI'!$A:$W,MATCH($A$1,'DB Country PMI'!$A$1:$W$1,),))</f>
        <v>45.3</v>
      </c>
      <c r="C35" s="14">
        <f>Table13468113456710121314[[#This Row],[PMI]]-B34</f>
        <v>0.59999999999999432</v>
      </c>
    </row>
    <row r="36" spans="1:3" x14ac:dyDescent="0.2">
      <c r="A36" s="8">
        <v>41365</v>
      </c>
      <c r="B36" s="11">
        <f>IF(VLOOKUP(A36,'DB Country PMI'!$A:$W,MATCH($A$1,'DB Country PMI'!$A$1:$W$1,),)=0,#N/A,VLOOKUP(A36,'DB Country PMI'!$A:$W,MATCH($A$1,'DB Country PMI'!$A$1:$W$1,),))</f>
        <v>44.4</v>
      </c>
      <c r="C36" s="14">
        <f>Table13468113456710121314[[#This Row],[PMI]]-B35</f>
        <v>-0.89999999999999858</v>
      </c>
    </row>
    <row r="37" spans="1:3" x14ac:dyDescent="0.2">
      <c r="A37" s="8">
        <v>41395</v>
      </c>
      <c r="B37" s="11">
        <f>IF(VLOOKUP(A37,'DB Country PMI'!$A:$W,MATCH($A$1,'DB Country PMI'!$A$1:$W$1,),)=0,#N/A,VLOOKUP(A37,'DB Country PMI'!$A:$W,MATCH($A$1,'DB Country PMI'!$A$1:$W$1,),))</f>
        <v>47.3</v>
      </c>
      <c r="C37" s="14">
        <f>Table13468113456710121314[[#This Row],[PMI]]-B36</f>
        <v>2.8999999999999986</v>
      </c>
    </row>
    <row r="38" spans="1:3" x14ac:dyDescent="0.2">
      <c r="A38" s="8">
        <v>41426</v>
      </c>
      <c r="B38" s="11">
        <f>IF(VLOOKUP(A38,'DB Country PMI'!$A:$W,MATCH($A$1,'DB Country PMI'!$A$1:$W$1,),)=0,#N/A,VLOOKUP(A38,'DB Country PMI'!$A:$W,MATCH($A$1,'DB Country PMI'!$A$1:$W$1,),))</f>
        <v>47.8</v>
      </c>
      <c r="C38" s="14">
        <f>Table13468113456710121314[[#This Row],[PMI]]-B37</f>
        <v>0.5</v>
      </c>
    </row>
    <row r="39" spans="1:3" x14ac:dyDescent="0.2">
      <c r="A39" s="8">
        <v>41456</v>
      </c>
      <c r="B39" s="11">
        <f>IF(VLOOKUP(A39,'DB Country PMI'!$A:$W,MATCH($A$1,'DB Country PMI'!$A$1:$W$1,),)=0,#N/A,VLOOKUP(A39,'DB Country PMI'!$A:$W,MATCH($A$1,'DB Country PMI'!$A$1:$W$1,),))</f>
        <v>48.5</v>
      </c>
      <c r="C39" s="14">
        <f>Table13468113456710121314[[#This Row],[PMI]]-B38</f>
        <v>0.70000000000000284</v>
      </c>
    </row>
    <row r="40" spans="1:3" x14ac:dyDescent="0.2">
      <c r="A40" s="8">
        <v>41487</v>
      </c>
      <c r="B40" s="11">
        <f>IF(VLOOKUP(A40,'DB Country PMI'!$A:$W,MATCH($A$1,'DB Country PMI'!$A$1:$W$1,),)=0,#N/A,VLOOKUP(A40,'DB Country PMI'!$A:$W,MATCH($A$1,'DB Country PMI'!$A$1:$W$1,),))</f>
        <v>50.5</v>
      </c>
      <c r="C40" s="14">
        <f>Table13468113456710121314[[#This Row],[PMI]]-B39</f>
        <v>2</v>
      </c>
    </row>
    <row r="41" spans="1:3" x14ac:dyDescent="0.2">
      <c r="A41" s="8">
        <v>41518</v>
      </c>
      <c r="B41" s="11">
        <f>IF(VLOOKUP(A41,'DB Country PMI'!$A:$W,MATCH($A$1,'DB Country PMI'!$A$1:$W$1,),)=0,#N/A,VLOOKUP(A41,'DB Country PMI'!$A:$W,MATCH($A$1,'DB Country PMI'!$A$1:$W$1,),))</f>
        <v>49</v>
      </c>
      <c r="C41" s="14">
        <f>Table13468113456710121314[[#This Row],[PMI]]-B40</f>
        <v>-1.5</v>
      </c>
    </row>
    <row r="42" spans="1:3" x14ac:dyDescent="0.2">
      <c r="A42" s="8">
        <v>41548</v>
      </c>
      <c r="B42" s="11">
        <f>IF(VLOOKUP(A42,'DB Country PMI'!$A:$W,MATCH($A$1,'DB Country PMI'!$A$1:$W$1,),)=0,#N/A,VLOOKUP(A42,'DB Country PMI'!$A:$W,MATCH($A$1,'DB Country PMI'!$A$1:$W$1,),))</f>
        <v>49.6</v>
      </c>
      <c r="C42" s="14">
        <f>Table13468113456710121314[[#This Row],[PMI]]-B41</f>
        <v>0.60000000000000142</v>
      </c>
    </row>
    <row r="43" spans="1:3" x14ac:dyDescent="0.2">
      <c r="A43" s="8">
        <v>41579</v>
      </c>
      <c r="B43" s="11">
        <f>IF(VLOOKUP(A43,'DB Country PMI'!$A:$W,MATCH($A$1,'DB Country PMI'!$A$1:$W$1,),)=0,#N/A,VLOOKUP(A43,'DB Country PMI'!$A:$W,MATCH($A$1,'DB Country PMI'!$A$1:$W$1,),))</f>
        <v>51.5</v>
      </c>
      <c r="C43" s="14">
        <f>Table13468113456710121314[[#This Row],[PMI]]-B42</f>
        <v>1.8999999999999986</v>
      </c>
    </row>
    <row r="44" spans="1:3" x14ac:dyDescent="0.2">
      <c r="A44" s="8">
        <v>41609</v>
      </c>
      <c r="B44" s="11">
        <f>IF(VLOOKUP(A44,'DB Country PMI'!$A:$W,MATCH($A$1,'DB Country PMI'!$A$1:$W$1,),)=0,#N/A,VLOOKUP(A44,'DB Country PMI'!$A:$W,MATCH($A$1,'DB Country PMI'!$A$1:$W$1,),))</f>
        <v>53.2</v>
      </c>
      <c r="C44" s="14">
        <f>Table13468113456710121314[[#This Row],[PMI]]-B43</f>
        <v>1.7000000000000028</v>
      </c>
    </row>
    <row r="45" spans="1:3" x14ac:dyDescent="0.2">
      <c r="A45" s="8">
        <v>41640</v>
      </c>
      <c r="B45" s="11">
        <f>IF(VLOOKUP(A45,'DB Country PMI'!$A:$W,MATCH($A$1,'DB Country PMI'!$A$1:$W$1,),)=0,#N/A,VLOOKUP(A45,'DB Country PMI'!$A:$W,MATCH($A$1,'DB Country PMI'!$A$1:$W$1,),))</f>
        <v>54.9</v>
      </c>
      <c r="C45" s="14">
        <f>Table13468113456710121314[[#This Row],[PMI]]-B44</f>
        <v>1.6999999999999957</v>
      </c>
    </row>
    <row r="46" spans="1:3" x14ac:dyDescent="0.2">
      <c r="A46" s="8">
        <v>41671</v>
      </c>
      <c r="B46" s="11">
        <f>IF(VLOOKUP(A46,'DB Country PMI'!$A:$W,MATCH($A$1,'DB Country PMI'!$A$1:$W$1,),)=0,#N/A,VLOOKUP(A46,'DB Country PMI'!$A:$W,MATCH($A$1,'DB Country PMI'!$A$1:$W$1,),))</f>
        <v>53.7</v>
      </c>
      <c r="C46" s="14">
        <f>Table13468113456710121314[[#This Row],[PMI]]-B45</f>
        <v>-1.1999999999999957</v>
      </c>
    </row>
    <row r="47" spans="1:3" x14ac:dyDescent="0.2">
      <c r="A47" s="8">
        <v>41699</v>
      </c>
      <c r="B47" s="11">
        <f>IF(VLOOKUP(A47,'DB Country PMI'!$A:$W,MATCH($A$1,'DB Country PMI'!$A$1:$W$1,),)=0,#N/A,VLOOKUP(A47,'DB Country PMI'!$A:$W,MATCH($A$1,'DB Country PMI'!$A$1:$W$1,),))</f>
        <v>54</v>
      </c>
      <c r="C47" s="14">
        <f>Table13468113456710121314[[#This Row],[PMI]]-B46</f>
        <v>0.29999999999999716</v>
      </c>
    </row>
    <row r="48" spans="1:3" x14ac:dyDescent="0.2">
      <c r="A48" s="8">
        <v>41730</v>
      </c>
      <c r="B48" s="11">
        <f>IF(VLOOKUP(A48,'DB Country PMI'!$A:$W,MATCH($A$1,'DB Country PMI'!$A$1:$W$1,),)=0,#N/A,VLOOKUP(A48,'DB Country PMI'!$A:$W,MATCH($A$1,'DB Country PMI'!$A$1:$W$1,),))</f>
        <v>56.5</v>
      </c>
      <c r="C48" s="14">
        <f>Table13468113456710121314[[#This Row],[PMI]]-B47</f>
        <v>2.5</v>
      </c>
    </row>
    <row r="49" spans="1:3" x14ac:dyDescent="0.2">
      <c r="A49" s="8">
        <v>41760</v>
      </c>
      <c r="B49" s="11">
        <f>IF(VLOOKUP(A49,'DB Country PMI'!$A:$W,MATCH($A$1,'DB Country PMI'!$A$1:$W$1,),)=0,#N/A,VLOOKUP(A49,'DB Country PMI'!$A:$W,MATCH($A$1,'DB Country PMI'!$A$1:$W$1,),))</f>
        <v>55.7</v>
      </c>
      <c r="C49" s="14">
        <f>Table13468113456710121314[[#This Row],[PMI]]-B48</f>
        <v>-0.79999999999999716</v>
      </c>
    </row>
    <row r="50" spans="1:3" x14ac:dyDescent="0.2">
      <c r="A50" s="8">
        <v>41791</v>
      </c>
      <c r="B50" s="11">
        <f>IF(VLOOKUP(A50,'DB Country PMI'!$A:$W,MATCH($A$1,'DB Country PMI'!$A$1:$W$1,),)=0,#N/A,VLOOKUP(A50,'DB Country PMI'!$A:$W,MATCH($A$1,'DB Country PMI'!$A$1:$W$1,),))</f>
        <v>54.8</v>
      </c>
      <c r="C50" s="14">
        <f>Table13468113456710121314[[#This Row],[PMI]]-B49</f>
        <v>-0.90000000000000568</v>
      </c>
    </row>
    <row r="51" spans="1:3" x14ac:dyDescent="0.2">
      <c r="A51" s="8">
        <v>41821</v>
      </c>
      <c r="B51" s="11">
        <f>IF(VLOOKUP(A51,'DB Country PMI'!$A:$W,MATCH($A$1,'DB Country PMI'!$A$1:$W$1,),)=0,#N/A,VLOOKUP(A51,'DB Country PMI'!$A:$W,MATCH($A$1,'DB Country PMI'!$A$1:$W$1,),))</f>
        <v>56.2</v>
      </c>
      <c r="C51" s="14">
        <f>Table13468113456710121314[[#This Row],[PMI]]-B50</f>
        <v>1.4000000000000057</v>
      </c>
    </row>
    <row r="52" spans="1:3" x14ac:dyDescent="0.2">
      <c r="A52" s="8">
        <v>41852</v>
      </c>
      <c r="B52" s="11">
        <f>IF(VLOOKUP(A52,'DB Country PMI'!$A:$W,MATCH($A$1,'DB Country PMI'!$A$1:$W$1,),)=0,#N/A,VLOOKUP(A52,'DB Country PMI'!$A:$W,MATCH($A$1,'DB Country PMI'!$A$1:$W$1,),))</f>
        <v>58.1</v>
      </c>
      <c r="C52" s="14">
        <f>Table13468113456710121314[[#This Row],[PMI]]-B51</f>
        <v>1.8999999999999986</v>
      </c>
    </row>
    <row r="53" spans="1:3" x14ac:dyDescent="0.2">
      <c r="A53" s="8">
        <v>41883</v>
      </c>
      <c r="B53" s="11">
        <f>IF(VLOOKUP(A53,'DB Country PMI'!$A:$W,MATCH($A$1,'DB Country PMI'!$A$1:$W$1,),)=0,#N/A,VLOOKUP(A53,'DB Country PMI'!$A:$W,MATCH($A$1,'DB Country PMI'!$A$1:$W$1,),))</f>
        <v>55.8</v>
      </c>
      <c r="C53" s="14">
        <f>Table13468113456710121314[[#This Row],[PMI]]-B52</f>
        <v>-2.3000000000000043</v>
      </c>
    </row>
    <row r="54" spans="1:3" x14ac:dyDescent="0.2">
      <c r="A54" s="8">
        <v>41913</v>
      </c>
      <c r="B54" s="11">
        <f>IF(VLOOKUP(A54,'DB Country PMI'!$A:$W,MATCH($A$1,'DB Country PMI'!$A$1:$W$1,),)=0,#N/A,VLOOKUP(A54,'DB Country PMI'!$A:$W,MATCH($A$1,'DB Country PMI'!$A$1:$W$1,),))</f>
        <v>55.9</v>
      </c>
      <c r="C54" s="14">
        <f>Table13468113456710121314[[#This Row],[PMI]]-B53</f>
        <v>0.10000000000000142</v>
      </c>
    </row>
    <row r="55" spans="1:3" x14ac:dyDescent="0.2">
      <c r="A55" s="8">
        <v>41944</v>
      </c>
      <c r="B55" s="11">
        <f>IF(VLOOKUP(A55,'DB Country PMI'!$A:$W,MATCH($A$1,'DB Country PMI'!$A$1:$W$1,),)=0,#N/A,VLOOKUP(A55,'DB Country PMI'!$A:$W,MATCH($A$1,'DB Country PMI'!$A$1:$W$1,),))</f>
        <v>52.7</v>
      </c>
      <c r="C55" s="14">
        <f>Table13468113456710121314[[#This Row],[PMI]]-B54</f>
        <v>-3.1999999999999957</v>
      </c>
    </row>
    <row r="56" spans="1:3" x14ac:dyDescent="0.2">
      <c r="A56" s="8">
        <v>41974</v>
      </c>
      <c r="B56" s="11">
        <f>IF(VLOOKUP(A56,'DB Country PMI'!$A:$W,MATCH($A$1,'DB Country PMI'!$A$1:$W$1,),)=0,#N/A,VLOOKUP(A56,'DB Country PMI'!$A:$W,MATCH($A$1,'DB Country PMI'!$A$1:$W$1,),))</f>
        <v>54.3</v>
      </c>
      <c r="C56" s="14">
        <f>Table13468113456710121314[[#This Row],[PMI]]-B55</f>
        <v>1.5999999999999943</v>
      </c>
    </row>
    <row r="57" spans="1:3" x14ac:dyDescent="0.2">
      <c r="A57" s="8">
        <v>42005</v>
      </c>
      <c r="B57" s="11">
        <f>IF(VLOOKUP(A57,'DB Country PMI'!$A:$W,MATCH($A$1,'DB Country PMI'!$A$1:$W$1,),)=0,#N/A,VLOOKUP(A57,'DB Country PMI'!$A:$W,MATCH($A$1,'DB Country PMI'!$A$1:$W$1,),))</f>
        <v>56.7</v>
      </c>
      <c r="C57" s="14">
        <f>Table13468113456710121314[[#This Row],[PMI]]-B56</f>
        <v>2.4000000000000057</v>
      </c>
    </row>
    <row r="58" spans="1:3" x14ac:dyDescent="0.2">
      <c r="A58" s="8">
        <v>42036</v>
      </c>
      <c r="B58" s="11">
        <f>IF(VLOOKUP(A58,'DB Country PMI'!$A:$W,MATCH($A$1,'DB Country PMI'!$A$1:$W$1,),)=0,#N/A,VLOOKUP(A58,'DB Country PMI'!$A:$W,MATCH($A$1,'DB Country PMI'!$A$1:$W$1,),))</f>
        <v>56.2</v>
      </c>
      <c r="C58" s="14">
        <f>Table13468113456710121314[[#This Row],[PMI]]-B57</f>
        <v>-0.5</v>
      </c>
    </row>
    <row r="59" spans="1:3" x14ac:dyDescent="0.2">
      <c r="A59" s="8">
        <v>42064</v>
      </c>
      <c r="B59" s="11">
        <f>IF(VLOOKUP(A59,'DB Country PMI'!$A:$W,MATCH($A$1,'DB Country PMI'!$A$1:$W$1,),)=0,#N/A,VLOOKUP(A59,'DB Country PMI'!$A:$W,MATCH($A$1,'DB Country PMI'!$A$1:$W$1,),))</f>
        <v>57.3</v>
      </c>
      <c r="C59" s="14">
        <f>Table13468113456710121314[[#This Row],[PMI]]-B58</f>
        <v>1.0999999999999943</v>
      </c>
    </row>
    <row r="60" spans="1:3" x14ac:dyDescent="0.2">
      <c r="A60" s="8">
        <v>42095</v>
      </c>
      <c r="B60" s="11">
        <f>IF(VLOOKUP(A60,'DB Country PMI'!$A:$W,MATCH($A$1,'DB Country PMI'!$A$1:$W$1,),)=0,#N/A,VLOOKUP(A60,'DB Country PMI'!$A:$W,MATCH($A$1,'DB Country PMI'!$A$1:$W$1,),))</f>
        <v>60.3</v>
      </c>
      <c r="C60" s="14">
        <f>Table13468113456710121314[[#This Row],[PMI]]-B59</f>
        <v>3</v>
      </c>
    </row>
    <row r="61" spans="1:3" x14ac:dyDescent="0.2">
      <c r="A61" s="8">
        <v>42125</v>
      </c>
      <c r="B61" s="11">
        <f>IF(VLOOKUP(A61,'DB Country PMI'!$A:$W,MATCH($A$1,'DB Country PMI'!$A$1:$W$1,),)=0,#N/A,VLOOKUP(A61,'DB Country PMI'!$A:$W,MATCH($A$1,'DB Country PMI'!$A$1:$W$1,),))</f>
        <v>58.4</v>
      </c>
      <c r="C61" s="14">
        <f>Table13468113456710121314[[#This Row],[PMI]]-B60</f>
        <v>-1.8999999999999986</v>
      </c>
    </row>
    <row r="62" spans="1:3" x14ac:dyDescent="0.2">
      <c r="A62" s="8">
        <v>42156</v>
      </c>
      <c r="B62" s="11">
        <f>IF(VLOOKUP(A62,'DB Country PMI'!$A:$W,MATCH($A$1,'DB Country PMI'!$A$1:$W$1,),)=0,#N/A,VLOOKUP(A62,'DB Country PMI'!$A:$W,MATCH($A$1,'DB Country PMI'!$A$1:$W$1,),))</f>
        <v>56.1</v>
      </c>
      <c r="C62" s="14">
        <f>Table13468113456710121314[[#This Row],[PMI]]-B61</f>
        <v>-2.2999999999999972</v>
      </c>
    </row>
    <row r="63" spans="1:3" x14ac:dyDescent="0.2">
      <c r="A63" s="8">
        <v>42186</v>
      </c>
      <c r="B63" s="11">
        <f>IF(VLOOKUP(A63,'DB Country PMI'!$A:$W,MATCH($A$1,'DB Country PMI'!$A$1:$W$1,),)=0,#N/A,VLOOKUP(A63,'DB Country PMI'!$A:$W,MATCH($A$1,'DB Country PMI'!$A$1:$W$1,),))</f>
        <v>59.7</v>
      </c>
      <c r="C63" s="14">
        <f>Table13468113456710121314[[#This Row],[PMI]]-B62</f>
        <v>3.6000000000000014</v>
      </c>
    </row>
    <row r="64" spans="1:3" x14ac:dyDescent="0.2">
      <c r="A64" s="8">
        <v>42217</v>
      </c>
      <c r="B64" s="11">
        <f>IF(VLOOKUP(A64,'DB Country PMI'!$A:$W,MATCH($A$1,'DB Country PMI'!$A$1:$W$1,),)=0,#N/A,VLOOKUP(A64,'DB Country PMI'!$A:$W,MATCH($A$1,'DB Country PMI'!$A$1:$W$1,),))</f>
        <v>59.6</v>
      </c>
      <c r="C64" s="14">
        <f>Table13468113456710121314[[#This Row],[PMI]]-B63</f>
        <v>-0.10000000000000142</v>
      </c>
    </row>
    <row r="65" spans="1:3" x14ac:dyDescent="0.2">
      <c r="A65" s="8">
        <v>42248</v>
      </c>
      <c r="B65" s="11">
        <f>IF(VLOOKUP(A65,'DB Country PMI'!$A:$W,MATCH($A$1,'DB Country PMI'!$A$1:$W$1,),)=0,#N/A,VLOOKUP(A65,'DB Country PMI'!$A:$W,MATCH($A$1,'DB Country PMI'!$A$1:$W$1,),))</f>
        <v>55.1</v>
      </c>
      <c r="C65" s="14">
        <f>Table13468113456710121314[[#This Row],[PMI]]-B64</f>
        <v>-4.5</v>
      </c>
    </row>
    <row r="66" spans="1:3" x14ac:dyDescent="0.2">
      <c r="A66" s="8">
        <v>42278</v>
      </c>
      <c r="B66" s="11">
        <f>IF(VLOOKUP(A66,'DB Country PMI'!$A:$W,MATCH($A$1,'DB Country PMI'!$A$1:$W$1,),)=0,#N/A,VLOOKUP(A66,'DB Country PMI'!$A:$W,MATCH($A$1,'DB Country PMI'!$A$1:$W$1,),))</f>
        <v>55.9</v>
      </c>
      <c r="C66" s="14">
        <f>Table13468113456710121314[[#This Row],[PMI]]-B65</f>
        <v>0.79999999999999716</v>
      </c>
    </row>
    <row r="67" spans="1:3" x14ac:dyDescent="0.2">
      <c r="A67" s="8">
        <v>42309</v>
      </c>
      <c r="B67" s="11">
        <f>IF(VLOOKUP(A67,'DB Country PMI'!$A:$W,MATCH($A$1,'DB Country PMI'!$A$1:$W$1,),)=0,#N/A,VLOOKUP(A67,'DB Country PMI'!$A:$W,MATCH($A$1,'DB Country PMI'!$A$1:$W$1,),))</f>
        <v>56.7</v>
      </c>
      <c r="C67" s="14">
        <f>Table13468113456710121314[[#This Row],[PMI]]-B66</f>
        <v>0.80000000000000426</v>
      </c>
    </row>
    <row r="68" spans="1:3" x14ac:dyDescent="0.2">
      <c r="A68" s="8">
        <v>42339</v>
      </c>
      <c r="B68" s="11">
        <f>IF(VLOOKUP(A68,'DB Country PMI'!$A:$W,MATCH($A$1,'DB Country PMI'!$A$1:$W$1,),)=0,#N/A,VLOOKUP(A68,'DB Country PMI'!$A:$W,MATCH($A$1,'DB Country PMI'!$A$1:$W$1,),))</f>
        <v>55.1</v>
      </c>
      <c r="C68" s="14">
        <f>Table13468113456710121314[[#This Row],[PMI]]-B67</f>
        <v>-1.6000000000000014</v>
      </c>
    </row>
    <row r="69" spans="1:3" x14ac:dyDescent="0.2">
      <c r="A69" s="8">
        <v>42370</v>
      </c>
      <c r="B69" s="11">
        <f>IF(VLOOKUP(A69,'DB Country PMI'!$A:$W,MATCH($A$1,'DB Country PMI'!$A$1:$W$1,),)=0,#N/A,VLOOKUP(A69,'DB Country PMI'!$A:$W,MATCH($A$1,'DB Country PMI'!$A$1:$W$1,),))</f>
        <v>54.6</v>
      </c>
      <c r="C69" s="14">
        <f>Table13468113456710121314[[#This Row],[PMI]]-B68</f>
        <v>-0.5</v>
      </c>
    </row>
    <row r="70" spans="1:3" x14ac:dyDescent="0.2">
      <c r="A70" s="8">
        <v>42401</v>
      </c>
      <c r="B70" s="11">
        <f>IF(VLOOKUP(A70,'DB Country PMI'!$A:$W,MATCH($A$1,'DB Country PMI'!$A$1:$W$1,),)=0,#N/A,VLOOKUP(A70,'DB Country PMI'!$A:$W,MATCH($A$1,'DB Country PMI'!$A$1:$W$1,),))</f>
        <v>54.1</v>
      </c>
      <c r="C70" s="14">
        <f>Table13468113456710121314[[#This Row],[PMI]]-B69</f>
        <v>-0.5</v>
      </c>
    </row>
    <row r="71" spans="1:3" x14ac:dyDescent="0.2">
      <c r="A71" s="8">
        <v>42430</v>
      </c>
      <c r="B71" s="11">
        <f>IF(VLOOKUP(A71,'DB Country PMI'!$A:$W,MATCH($A$1,'DB Country PMI'!$A$1:$W$1,),)=0,#N/A,VLOOKUP(A71,'DB Country PMI'!$A:$W,MATCH($A$1,'DB Country PMI'!$A$1:$W$1,),))</f>
        <v>55.3</v>
      </c>
      <c r="C71" s="14">
        <f>Table13468113456710121314[[#This Row],[PMI]]-B70</f>
        <v>1.1999999999999957</v>
      </c>
    </row>
    <row r="72" spans="1:3" x14ac:dyDescent="0.2">
      <c r="A72" s="8">
        <v>42461</v>
      </c>
      <c r="B72" s="11">
        <f>IF(VLOOKUP(A72,'DB Country PMI'!$A:$W,MATCH($A$1,'DB Country PMI'!$A$1:$W$1,),)=0,#N/A,VLOOKUP(A72,'DB Country PMI'!$A:$W,MATCH($A$1,'DB Country PMI'!$A$1:$W$1,),))</f>
        <v>55.1</v>
      </c>
      <c r="C72" s="14">
        <f>Table13468113456710121314[[#This Row],[PMI]]-B71</f>
        <v>-0.19999999999999574</v>
      </c>
    </row>
    <row r="73" spans="1:3" x14ac:dyDescent="0.2">
      <c r="A73" s="8">
        <v>42491</v>
      </c>
      <c r="B73" s="11">
        <f>IF(VLOOKUP(A73,'DB Country PMI'!$A:$W,MATCH($A$1,'DB Country PMI'!$A$1:$W$1,),)=0,#N/A,VLOOKUP(A73,'DB Country PMI'!$A:$W,MATCH($A$1,'DB Country PMI'!$A$1:$W$1,),))</f>
        <v>55.4</v>
      </c>
      <c r="C73" s="14">
        <f>Table13468113456710121314[[#This Row],[PMI]]-B72</f>
        <v>0.29999999999999716</v>
      </c>
    </row>
    <row r="74" spans="1:3" x14ac:dyDescent="0.2">
      <c r="A74" s="8">
        <v>42522</v>
      </c>
      <c r="B74" s="11">
        <f>IF(VLOOKUP(A74,'DB Country PMI'!$A:$W,MATCH($A$1,'DB Country PMI'!$A$1:$W$1,),)=0,#N/A,VLOOKUP(A74,'DB Country PMI'!$A:$W,MATCH($A$1,'DB Country PMI'!$A$1:$W$1,),))</f>
        <v>56</v>
      </c>
      <c r="C74" s="14">
        <f>Table13468113456710121314[[#This Row],[PMI]]-B73</f>
        <v>0.60000000000000142</v>
      </c>
    </row>
    <row r="75" spans="1:3" x14ac:dyDescent="0.2">
      <c r="A75" s="8">
        <v>42552</v>
      </c>
      <c r="B75" s="11">
        <f>IF(VLOOKUP(A75,'DB Country PMI'!$A:$W,MATCH($A$1,'DB Country PMI'!$A$1:$W$1,),)=0,#N/A,VLOOKUP(A75,'DB Country PMI'!$A:$W,MATCH($A$1,'DB Country PMI'!$A$1:$W$1,),))</f>
        <v>54.1</v>
      </c>
      <c r="C75" s="14">
        <f>Table13468113456710121314[[#This Row],[PMI]]-B74</f>
        <v>-1.8999999999999986</v>
      </c>
    </row>
    <row r="76" spans="1:3" x14ac:dyDescent="0.2">
      <c r="A76" s="8">
        <v>42583</v>
      </c>
      <c r="B76" s="11">
        <f>IF(VLOOKUP(A76,'DB Country PMI'!$A:$W,MATCH($A$1,'DB Country PMI'!$A$1:$W$1,),)=0,#N/A,VLOOKUP(A76,'DB Country PMI'!$A:$W,MATCH($A$1,'DB Country PMI'!$A$1:$W$1,),))</f>
        <v>56</v>
      </c>
      <c r="C76" s="14">
        <f>Table13468113456710121314[[#This Row],[PMI]]-B75</f>
        <v>1.8999999999999986</v>
      </c>
    </row>
    <row r="77" spans="1:3" x14ac:dyDescent="0.2">
      <c r="A77" s="8">
        <v>42614</v>
      </c>
      <c r="B77" s="11">
        <f>IF(VLOOKUP(A77,'DB Country PMI'!$A:$W,MATCH($A$1,'DB Country PMI'!$A$1:$W$1,),)=0,#N/A,VLOOKUP(A77,'DB Country PMI'!$A:$W,MATCH($A$1,'DB Country PMI'!$A$1:$W$1,),))</f>
        <v>54.7</v>
      </c>
      <c r="C77" s="14">
        <f>Table13468113456710121314[[#This Row],[PMI]]-B76</f>
        <v>-1.2999999999999972</v>
      </c>
    </row>
    <row r="78" spans="1:3" x14ac:dyDescent="0.2">
      <c r="A78" s="8">
        <v>42644</v>
      </c>
      <c r="B78" s="11">
        <f>IF(VLOOKUP(A78,'DB Country PMI'!$A:$W,MATCH($A$1,'DB Country PMI'!$A$1:$W$1,),)=0,#N/A,VLOOKUP(A78,'DB Country PMI'!$A:$W,MATCH($A$1,'DB Country PMI'!$A$1:$W$1,),))</f>
        <v>54.6</v>
      </c>
      <c r="C78" s="14">
        <f>Table13468113456710121314[[#This Row],[PMI]]-B77</f>
        <v>-0.10000000000000142</v>
      </c>
    </row>
    <row r="79" spans="1:3" x14ac:dyDescent="0.2">
      <c r="A79" s="8">
        <v>42675</v>
      </c>
      <c r="B79" s="11">
        <f>IF(VLOOKUP(A79,'DB Country PMI'!$A:$W,MATCH($A$1,'DB Country PMI'!$A$1:$W$1,),)=0,#N/A,VLOOKUP(A79,'DB Country PMI'!$A:$W,MATCH($A$1,'DB Country PMI'!$A$1:$W$1,),))</f>
        <v>55.1</v>
      </c>
      <c r="C79" s="14">
        <f>Table13468113456710121314[[#This Row],[PMI]]-B78</f>
        <v>0.5</v>
      </c>
    </row>
    <row r="80" spans="1:3" x14ac:dyDescent="0.2">
      <c r="A80" s="8">
        <v>42705</v>
      </c>
      <c r="B80" s="11">
        <f>IF(VLOOKUP(A80,'DB Country PMI'!$A:$W,MATCH($A$1,'DB Country PMI'!$A$1:$W$1,),)=0,#N/A,VLOOKUP(A80,'DB Country PMI'!$A:$W,MATCH($A$1,'DB Country PMI'!$A$1:$W$1,),))</f>
        <v>55</v>
      </c>
      <c r="C80" s="14">
        <f>Table13468113456710121314[[#This Row],[PMI]]-B79</f>
        <v>-0.10000000000000142</v>
      </c>
    </row>
    <row r="81" spans="1:3" x14ac:dyDescent="0.2">
      <c r="A81" s="8">
        <v>42736</v>
      </c>
      <c r="B81" s="11">
        <f>IF(VLOOKUP(A81,'DB Country PMI'!$A:$W,MATCH($A$1,'DB Country PMI'!$A$1:$W$1,),)=0,#N/A,VLOOKUP(A81,'DB Country PMI'!$A:$W,MATCH($A$1,'DB Country PMI'!$A$1:$W$1,),))</f>
        <v>54.2</v>
      </c>
      <c r="C81" s="14">
        <f>Table13468113456710121314[[#This Row],[PMI]]-B80</f>
        <v>-0.79999999999999716</v>
      </c>
    </row>
    <row r="82" spans="1:3" x14ac:dyDescent="0.2">
      <c r="A82" s="8">
        <v>42767</v>
      </c>
      <c r="B82" s="11">
        <f>IF(VLOOKUP(A82,'DB Country PMI'!$A:$W,MATCH($A$1,'DB Country PMI'!$A$1:$W$1,),)=0,#N/A,VLOOKUP(A82,'DB Country PMI'!$A:$W,MATCH($A$1,'DB Country PMI'!$A$1:$W$1,),))</f>
        <v>57</v>
      </c>
      <c r="C82" s="14">
        <f>Table13468113456710121314[[#This Row],[PMI]]-B81</f>
        <v>2.7999999999999972</v>
      </c>
    </row>
    <row r="83" spans="1:3" x14ac:dyDescent="0.2">
      <c r="A83" s="8">
        <v>42795</v>
      </c>
      <c r="B83" s="11">
        <f>IF(VLOOKUP(A83,'DB Country PMI'!$A:$W,MATCH($A$1,'DB Country PMI'!$A$1:$W$1,),)=0,#N/A,VLOOKUP(A83,'DB Country PMI'!$A:$W,MATCH($A$1,'DB Country PMI'!$A$1:$W$1,),))</f>
        <v>57.4</v>
      </c>
      <c r="C83" s="14">
        <f>Table13468113456710121314[[#This Row],[PMI]]-B82</f>
        <v>0.39999999999999858</v>
      </c>
    </row>
    <row r="84" spans="1:3" x14ac:dyDescent="0.2">
      <c r="A84" s="8">
        <v>42826</v>
      </c>
      <c r="B84" s="11">
        <f>IF(VLOOKUP(A84,'DB Country PMI'!$A:$W,MATCH($A$1,'DB Country PMI'!$A$1:$W$1,),)=0,#N/A,VLOOKUP(A84,'DB Country PMI'!$A:$W,MATCH($A$1,'DB Country PMI'!$A$1:$W$1,),))</f>
        <v>57.8</v>
      </c>
      <c r="C84" s="14">
        <f>Table13468113456710121314[[#This Row],[PMI]]-B83</f>
        <v>0.39999999999999858</v>
      </c>
    </row>
    <row r="85" spans="1:3" x14ac:dyDescent="0.2">
      <c r="A85" s="8">
        <v>42856</v>
      </c>
      <c r="B85" s="11">
        <f>IF(VLOOKUP(A85,'DB Country PMI'!$A:$W,MATCH($A$1,'DB Country PMI'!$A$1:$W$1,),)=0,#N/A,VLOOKUP(A85,'DB Country PMI'!$A:$W,MATCH($A$1,'DB Country PMI'!$A$1:$W$1,),))</f>
        <v>57.3</v>
      </c>
      <c r="C85" s="14">
        <f>Table13468113456710121314[[#This Row],[PMI]]-B84</f>
        <v>-0.5</v>
      </c>
    </row>
    <row r="86" spans="1:3" x14ac:dyDescent="0.2">
      <c r="A86" s="8">
        <v>42887</v>
      </c>
      <c r="B86" s="11">
        <f>IF(VLOOKUP(A86,'DB Country PMI'!$A:$W,MATCH($A$1,'DB Country PMI'!$A$1:$W$1,),)=0,#N/A,VLOOKUP(A86,'DB Country PMI'!$A:$W,MATCH($A$1,'DB Country PMI'!$A$1:$W$1,),))</f>
        <v>58.3</v>
      </c>
      <c r="C86" s="14">
        <f>Table13468113456710121314[[#This Row],[PMI]]-B85</f>
        <v>1</v>
      </c>
    </row>
    <row r="87" spans="1:3" x14ac:dyDescent="0.2">
      <c r="A87" s="8">
        <v>42917</v>
      </c>
      <c r="B87" s="11">
        <f>IF(VLOOKUP(A87,'DB Country PMI'!$A:$W,MATCH($A$1,'DB Country PMI'!$A$1:$W$1,),)=0,#N/A,VLOOKUP(A87,'DB Country PMI'!$A:$W,MATCH($A$1,'DB Country PMI'!$A$1:$W$1,),))</f>
        <v>57.6</v>
      </c>
      <c r="C87" s="14">
        <f>Table13468113456710121314[[#This Row],[PMI]]-B86</f>
        <v>-0.69999999999999574</v>
      </c>
    </row>
    <row r="88" spans="1:3" x14ac:dyDescent="0.2">
      <c r="A88" s="8">
        <v>42948</v>
      </c>
      <c r="B88" s="11">
        <f>IF(VLOOKUP(A88,'DB Country PMI'!$A:$W,MATCH($A$1,'DB Country PMI'!$A$1:$W$1,),)=0,#N/A,VLOOKUP(A88,'DB Country PMI'!$A:$W,MATCH($A$1,'DB Country PMI'!$A$1:$W$1,),))</f>
        <v>56</v>
      </c>
      <c r="C88" s="14">
        <f>Table13468113456710121314[[#This Row],[PMI]]-B87</f>
        <v>-1.6000000000000014</v>
      </c>
    </row>
    <row r="89" spans="1:3" x14ac:dyDescent="0.2">
      <c r="A89" s="8">
        <v>42979</v>
      </c>
      <c r="B89" s="11">
        <f>IF(VLOOKUP(A89,'DB Country PMI'!$A:$W,MATCH($A$1,'DB Country PMI'!$A$1:$W$1,),)=0,#N/A,VLOOKUP(A89,'DB Country PMI'!$A:$W,MATCH($A$1,'DB Country PMI'!$A$1:$W$1,),))</f>
        <v>56.7</v>
      </c>
      <c r="C89" s="14">
        <f>Table13468113456710121314[[#This Row],[PMI]]-B88</f>
        <v>0.70000000000000284</v>
      </c>
    </row>
    <row r="90" spans="1:3" x14ac:dyDescent="0.2">
      <c r="A90" s="8">
        <v>43009</v>
      </c>
      <c r="B90" s="11">
        <f>IF(VLOOKUP(A90,'DB Country PMI'!$A:$W,MATCH($A$1,'DB Country PMI'!$A$1:$W$1,),)=0,#N/A,VLOOKUP(A90,'DB Country PMI'!$A:$W,MATCH($A$1,'DB Country PMI'!$A$1:$W$1,),))</f>
        <v>54.6</v>
      </c>
      <c r="C90" s="14">
        <f>Table13468113456710121314[[#This Row],[PMI]]-B89</f>
        <v>-2.1000000000000014</v>
      </c>
    </row>
    <row r="91" spans="1:3" x14ac:dyDescent="0.2">
      <c r="A91" s="8">
        <v>43040</v>
      </c>
      <c r="B91" s="11">
        <f>IF(VLOOKUP(A91,'DB Country PMI'!$A:$W,MATCH($A$1,'DB Country PMI'!$A$1:$W$1,),)=0,#N/A,VLOOKUP(A91,'DB Country PMI'!$A:$W,MATCH($A$1,'DB Country PMI'!$A$1:$W$1,),))</f>
        <v>54.4</v>
      </c>
      <c r="C91" s="14">
        <f>Table13468113456710121314[[#This Row],[PMI]]-B90</f>
        <v>-0.20000000000000284</v>
      </c>
    </row>
    <row r="92" spans="1:3" x14ac:dyDescent="0.2">
      <c r="A92" s="8">
        <v>43070</v>
      </c>
      <c r="B92" s="11">
        <f>IF(VLOOKUP(A92,'DB Country PMI'!$A:$W,MATCH($A$1,'DB Country PMI'!$A$1:$W$1,),)=0,#N/A,VLOOKUP(A92,'DB Country PMI'!$A:$W,MATCH($A$1,'DB Country PMI'!$A$1:$W$1,),))</f>
        <v>54.6</v>
      </c>
      <c r="C92" s="14">
        <f>Table13468113456710121314[[#This Row],[PMI]]-B91</f>
        <v>0.20000000000000284</v>
      </c>
    </row>
    <row r="93" spans="1:3" x14ac:dyDescent="0.2">
      <c r="A93" s="8">
        <v>43101</v>
      </c>
      <c r="B93" s="11">
        <f>IF(VLOOKUP(A93,'DB Country PMI'!$A:$W,MATCH($A$1,'DB Country PMI'!$A$1:$W$1,),)=0,#N/A,VLOOKUP(A93,'DB Country PMI'!$A:$W,MATCH($A$1,'DB Country PMI'!$A$1:$W$1,),))</f>
        <v>56.9</v>
      </c>
      <c r="C93" s="14">
        <f>Table13468113456710121314[[#This Row],[PMI]]-B92</f>
        <v>2.2999999999999972</v>
      </c>
    </row>
    <row r="94" spans="1:3" x14ac:dyDescent="0.2">
      <c r="A94" s="8">
        <v>43132</v>
      </c>
      <c r="B94" s="11">
        <f>IF(VLOOKUP(A94,'DB Country PMI'!$A:$W,MATCH($A$1,'DB Country PMI'!$A$1:$W$1,),)=0,#N/A,VLOOKUP(A94,'DB Country PMI'!$A:$W,MATCH($A$1,'DB Country PMI'!$A$1:$W$1,),))</f>
        <v>57.3</v>
      </c>
      <c r="C94" s="14">
        <f>Table13468113456710121314[[#This Row],[PMI]]-B93</f>
        <v>0.39999999999999858</v>
      </c>
    </row>
    <row r="95" spans="1:3" x14ac:dyDescent="0.2">
      <c r="A95" s="8">
        <v>43160</v>
      </c>
      <c r="B95" s="11">
        <f>IF(VLOOKUP(A95,'DB Country PMI'!$A:$W,MATCH($A$1,'DB Country PMI'!$A$1:$W$1,),)=0,#N/A,VLOOKUP(A95,'DB Country PMI'!$A:$W,MATCH($A$1,'DB Country PMI'!$A$1:$W$1,),))</f>
        <v>56.2</v>
      </c>
      <c r="C95" s="14">
        <f>Table13468113456710121314[[#This Row],[PMI]]-B94</f>
        <v>-1.0999999999999943</v>
      </c>
    </row>
    <row r="96" spans="1:3" x14ac:dyDescent="0.2">
      <c r="A96" s="8">
        <v>43191</v>
      </c>
      <c r="B96" s="11">
        <f>IF(VLOOKUP(A96,'DB Country PMI'!$A:$W,MATCH($A$1,'DB Country PMI'!$A$1:$W$1,),)=0,#N/A,VLOOKUP(A96,'DB Country PMI'!$A:$W,MATCH($A$1,'DB Country PMI'!$A$1:$W$1,),))</f>
        <v>55.6</v>
      </c>
      <c r="C96" s="14">
        <f>Table13468113456710121314[[#This Row],[PMI]]-B95</f>
        <v>-0.60000000000000142</v>
      </c>
    </row>
    <row r="97" spans="1:3" x14ac:dyDescent="0.2">
      <c r="A97" s="8">
        <v>43221</v>
      </c>
      <c r="B97" s="11">
        <f>IF(VLOOKUP(A97,'DB Country PMI'!$A:$W,MATCH($A$1,'DB Country PMI'!$A$1:$W$1,),)=0,#N/A,VLOOKUP(A97,'DB Country PMI'!$A:$W,MATCH($A$1,'DB Country PMI'!$A$1:$W$1,),))</f>
        <v>56.4</v>
      </c>
      <c r="C97" s="14">
        <f>Table13468113456710121314[[#This Row],[PMI]]-B96</f>
        <v>0.79999999999999716</v>
      </c>
    </row>
    <row r="98" spans="1:3" x14ac:dyDescent="0.2">
      <c r="A98" s="8">
        <v>43252</v>
      </c>
      <c r="B98" s="11">
        <f>IF(VLOOKUP(A98,'DB Country PMI'!$A:$W,MATCH($A$1,'DB Country PMI'!$A$1:$W$1,),)=0,#N/A,VLOOKUP(A98,'DB Country PMI'!$A:$W,MATCH($A$1,'DB Country PMI'!$A$1:$W$1,),))</f>
        <v>55.4</v>
      </c>
      <c r="C98" s="14">
        <f>Table13468113456710121314[[#This Row],[PMI]]-B97</f>
        <v>-1</v>
      </c>
    </row>
    <row r="99" spans="1:3" x14ac:dyDescent="0.2">
      <c r="A99" s="8">
        <v>43282</v>
      </c>
      <c r="B99" s="11">
        <f>IF(VLOOKUP(A99,'DB Country PMI'!$A:$W,MATCH($A$1,'DB Country PMI'!$A$1:$W$1,),)=0,#N/A,VLOOKUP(A99,'DB Country PMI'!$A:$W,MATCH($A$1,'DB Country PMI'!$A$1:$W$1,),))</f>
        <v>52.6</v>
      </c>
      <c r="C99" s="14">
        <f>Table13468113456710121314[[#This Row],[PMI]]-B98</f>
        <v>-2.7999999999999972</v>
      </c>
    </row>
    <row r="100" spans="1:3" x14ac:dyDescent="0.2">
      <c r="A100" s="8">
        <v>43313</v>
      </c>
      <c r="B100" s="11">
        <f>IF(VLOOKUP(A100,'DB Country PMI'!$A:$W,MATCH($A$1,'DB Country PMI'!$A$1:$W$1,),)=0,#N/A,VLOOKUP(A100,'DB Country PMI'!$A:$W,MATCH($A$1,'DB Country PMI'!$A$1:$W$1,),))</f>
        <v>52.7</v>
      </c>
      <c r="C100" s="14">
        <f>Table13468113456710121314[[#This Row],[PMI]]-B99</f>
        <v>0.10000000000000142</v>
      </c>
    </row>
    <row r="101" spans="1:3" x14ac:dyDescent="0.2">
      <c r="A101" s="8">
        <v>43344</v>
      </c>
      <c r="B101" s="11">
        <f>IF(VLOOKUP(A101,'DB Country PMI'!$A:$W,MATCH($A$1,'DB Country PMI'!$A$1:$W$1,),)=0,#N/A,VLOOKUP(A101,'DB Country PMI'!$A:$W,MATCH($A$1,'DB Country PMI'!$A$1:$W$1,),))</f>
        <v>52.5</v>
      </c>
      <c r="C101" s="14">
        <f>Table13468113456710121314[[#This Row],[PMI]]-B100</f>
        <v>-0.20000000000000284</v>
      </c>
    </row>
    <row r="102" spans="1:3" x14ac:dyDescent="0.2">
      <c r="A102" s="8">
        <v>43374</v>
      </c>
      <c r="B102" s="11">
        <f>IF(VLOOKUP(A102,'DB Country PMI'!$A:$W,MATCH($A$1,'DB Country PMI'!$A$1:$W$1,),)=0,#N/A,VLOOKUP(A102,'DB Country PMI'!$A:$W,MATCH($A$1,'DB Country PMI'!$A$1:$W$1,),))</f>
        <v>54</v>
      </c>
      <c r="C102" s="14">
        <f>Table13468113456710121314[[#This Row],[PMI]]-B101</f>
        <v>1.5</v>
      </c>
    </row>
    <row r="103" spans="1:3" x14ac:dyDescent="0.2">
      <c r="A103" s="8">
        <v>43405</v>
      </c>
      <c r="B103" s="11">
        <f>IF(VLOOKUP(A103,'DB Country PMI'!$A:$W,MATCH($A$1,'DB Country PMI'!$A$1:$W$1,),)=0,#N/A,VLOOKUP(A103,'DB Country PMI'!$A:$W,MATCH($A$1,'DB Country PMI'!$A$1:$W$1,),))</f>
        <v>54</v>
      </c>
      <c r="C103" s="14">
        <f>Table13468113456710121314[[#This Row],[PMI]]-B102</f>
        <v>0</v>
      </c>
    </row>
    <row r="104" spans="1:3" x14ac:dyDescent="0.2">
      <c r="A104" s="8">
        <v>43435</v>
      </c>
      <c r="B104" s="11">
        <f>IF(VLOOKUP(A104,'DB Country PMI'!$A:$W,MATCH($A$1,'DB Country PMI'!$A$1:$W$1,),)=0,#N/A,VLOOKUP(A104,'DB Country PMI'!$A:$W,MATCH($A$1,'DB Country PMI'!$A$1:$W$1,),))</f>
        <v>54</v>
      </c>
      <c r="C104" s="14">
        <f>Table13468113456710121314[[#This Row],[PMI]]-B103</f>
        <v>0</v>
      </c>
    </row>
    <row r="105" spans="1:3" x14ac:dyDescent="0.2">
      <c r="A105" s="8">
        <v>43466</v>
      </c>
      <c r="B105" s="11">
        <f>IF(VLOOKUP(A105,'DB Country PMI'!$A:$W,MATCH($A$1,'DB Country PMI'!$A$1:$W$1,),)=0,#N/A,VLOOKUP(A105,'DB Country PMI'!$A:$W,MATCH($A$1,'DB Country PMI'!$A$1:$W$1,),))</f>
        <v>54.7</v>
      </c>
      <c r="C105" s="14">
        <f>Table13468113456710121314[[#This Row],[PMI]]-B104</f>
        <v>0.70000000000000284</v>
      </c>
    </row>
    <row r="106" spans="1:3" x14ac:dyDescent="0.2">
      <c r="A106" s="8">
        <v>43497</v>
      </c>
      <c r="B106" s="11">
        <f>IF(VLOOKUP(A106,'DB Country PMI'!$A:$W,MATCH($A$1,'DB Country PMI'!$A$1:$W$1,),)=0,#N/A,VLOOKUP(A106,'DB Country PMI'!$A:$W,MATCH($A$1,'DB Country PMI'!$A$1:$W$1,),))</f>
        <v>54.5</v>
      </c>
      <c r="C106" s="14">
        <f>Table13468113456710121314[[#This Row],[PMI]]-B105</f>
        <v>-0.20000000000000284</v>
      </c>
    </row>
    <row r="107" spans="1:3" x14ac:dyDescent="0.2">
      <c r="A107" s="8">
        <v>43525</v>
      </c>
      <c r="B107" s="11">
        <f>IF(VLOOKUP(A107,'DB Country PMI'!$A:$W,MATCH($A$1,'DB Country PMI'!$A$1:$W$1,),)=0,#N/A,VLOOKUP(A107,'DB Country PMI'!$A:$W,MATCH($A$1,'DB Country PMI'!$A$1:$W$1,),))</f>
        <v>56.8</v>
      </c>
      <c r="C107" s="14">
        <f>Table13468113456710121314[[#This Row],[PMI]]-B106</f>
        <v>2.2999999999999972</v>
      </c>
    </row>
    <row r="108" spans="1:3" x14ac:dyDescent="0.2">
      <c r="A108" s="8">
        <v>43556</v>
      </c>
      <c r="B108" s="11">
        <f>IF(VLOOKUP(A108,'DB Country PMI'!$A:$W,MATCH($A$1,'DB Country PMI'!$A$1:$W$1,),)=0,#N/A,VLOOKUP(A108,'DB Country PMI'!$A:$W,MATCH($A$1,'DB Country PMI'!$A$1:$W$1,),))</f>
        <v>53.1</v>
      </c>
      <c r="C108" s="14">
        <f>Table13468113456710121314[[#This Row],[PMI]]-B107</f>
        <v>-3.6999999999999957</v>
      </c>
    </row>
    <row r="109" spans="1:3" x14ac:dyDescent="0.2">
      <c r="A109" s="8">
        <v>43586</v>
      </c>
      <c r="B109" s="11">
        <f>IF(VLOOKUP(A109,'DB Country PMI'!$A:$W,MATCH($A$1,'DB Country PMI'!$A$1:$W$1,),)=0,#N/A,VLOOKUP(A109,'DB Country PMI'!$A:$W,MATCH($A$1,'DB Country PMI'!$A$1:$W$1,),))</f>
        <v>52.8</v>
      </c>
      <c r="C109" s="14">
        <f>Table13468113456710121314[[#This Row],[PMI]]-B108</f>
        <v>-0.30000000000000426</v>
      </c>
    </row>
    <row r="110" spans="1:3" x14ac:dyDescent="0.2">
      <c r="A110" s="8">
        <v>43617</v>
      </c>
      <c r="B110" s="11">
        <f>IF(VLOOKUP(A110,'DB Country PMI'!$A:$W,MATCH($A$1,'DB Country PMI'!$A$1:$W$1,),)=0,#N/A,VLOOKUP(A110,'DB Country PMI'!$A:$W,MATCH($A$1,'DB Country PMI'!$A$1:$W$1,),))</f>
        <v>53.6</v>
      </c>
      <c r="C110" s="14">
        <f>Table13468113456710121314[[#This Row],[PMI]]-B109</f>
        <v>0.80000000000000426</v>
      </c>
    </row>
    <row r="111" spans="1:3" x14ac:dyDescent="0.2">
      <c r="A111" s="8">
        <v>43647</v>
      </c>
      <c r="B111" s="11">
        <f>IF(VLOOKUP(A111,'DB Country PMI'!$A:$W,MATCH($A$1,'DB Country PMI'!$A$1:$W$1,),)=0,#N/A,VLOOKUP(A111,'DB Country PMI'!$A:$W,MATCH($A$1,'DB Country PMI'!$A$1:$W$1,),))</f>
        <v>52.9</v>
      </c>
      <c r="C111" s="14">
        <f>Table13468113456710121314[[#This Row],[PMI]]-B110</f>
        <v>-0.70000000000000284</v>
      </c>
    </row>
    <row r="112" spans="1:3" x14ac:dyDescent="0.2">
      <c r="A112" s="8">
        <v>43678</v>
      </c>
      <c r="B112" s="11">
        <f>IF(VLOOKUP(A112,'DB Country PMI'!$A:$W,MATCH($A$1,'DB Country PMI'!$A$1:$W$1,),)=0,#N/A,VLOOKUP(A112,'DB Country PMI'!$A:$W,MATCH($A$1,'DB Country PMI'!$A$1:$W$1,),))</f>
        <v>54.3</v>
      </c>
      <c r="C112" s="14">
        <f>Table13468113456710121314[[#This Row],[PMI]]-B111</f>
        <v>1.3999999999999986</v>
      </c>
    </row>
    <row r="113" spans="1:3" x14ac:dyDescent="0.2">
      <c r="A113" s="8">
        <v>43709</v>
      </c>
      <c r="B113" s="11">
        <f>IF(VLOOKUP(A113,'DB Country PMI'!$A:$W,MATCH($A$1,'DB Country PMI'!$A$1:$W$1,),)=0,#N/A,VLOOKUP(A113,'DB Country PMI'!$A:$W,MATCH($A$1,'DB Country PMI'!$A$1:$W$1,),))</f>
        <v>53.3</v>
      </c>
      <c r="C113" s="14">
        <f>Table13468113456710121314[[#This Row],[PMI]]-B112</f>
        <v>-1</v>
      </c>
    </row>
    <row r="114" spans="1:3" x14ac:dyDescent="0.2">
      <c r="A114" s="8">
        <v>43739</v>
      </c>
      <c r="B114" s="11">
        <f>IF(VLOOKUP(A114,'DB Country PMI'!$A:$W,MATCH($A$1,'DB Country PMI'!$A$1:$W$1,),)=0,#N/A,VLOOKUP(A114,'DB Country PMI'!$A:$W,MATCH($A$1,'DB Country PMI'!$A$1:$W$1,),))</f>
        <v>52.7</v>
      </c>
      <c r="C114" s="14">
        <f>Table13468113456710121314[[#This Row],[PMI]]-B113</f>
        <v>-0.59999999999999432</v>
      </c>
    </row>
    <row r="115" spans="1:3" x14ac:dyDescent="0.2">
      <c r="A115" s="8">
        <v>43770</v>
      </c>
      <c r="B115" s="11">
        <f>IF(VLOOKUP(A115,'DB Country PMI'!$A:$W,MATCH($A$1,'DB Country PMI'!$A$1:$W$1,),)=0,#N/A,VLOOKUP(A115,'DB Country PMI'!$A:$W,MATCH($A$1,'DB Country PMI'!$A$1:$W$1,),))</f>
        <v>53.2</v>
      </c>
      <c r="C115" s="14">
        <f>Table13468113456710121314[[#This Row],[PMI]]-B114</f>
        <v>0.5</v>
      </c>
    </row>
    <row r="116" spans="1:3" x14ac:dyDescent="0.2">
      <c r="A116" s="8">
        <v>43800</v>
      </c>
      <c r="B116" s="11">
        <f>IF(VLOOKUP(A116,'DB Country PMI'!$A:$W,MATCH($A$1,'DB Country PMI'!$A$1:$W$1,),)=0,#N/A,VLOOKUP(A116,'DB Country PMI'!$A:$W,MATCH($A$1,'DB Country PMI'!$A$1:$W$1,),))</f>
        <v>54.9</v>
      </c>
      <c r="C116" s="14">
        <f>Table13468113456710121314[[#This Row],[PMI]]-B115</f>
        <v>1.6999999999999957</v>
      </c>
    </row>
    <row r="117" spans="1:3" x14ac:dyDescent="0.2">
      <c r="A117" s="8">
        <v>43831</v>
      </c>
      <c r="B117" s="11">
        <f>IF(VLOOKUP(A117,'DB Country PMI'!$A:$W,MATCH($A$1,'DB Country PMI'!$A$1:$W$1,),)=0,#N/A,VLOOKUP(A117,'DB Country PMI'!$A:$W,MATCH($A$1,'DB Country PMI'!$A$1:$W$1,),))</f>
        <v>52.3</v>
      </c>
      <c r="C117" s="14">
        <f>Table13468113456710121314[[#This Row],[PMI]]-B116</f>
        <v>-2.6000000000000014</v>
      </c>
    </row>
    <row r="118" spans="1:3" x14ac:dyDescent="0.2">
      <c r="A118" s="8">
        <v>43862</v>
      </c>
      <c r="B118" s="11">
        <f>IF(VLOOKUP(A118,'DB Country PMI'!$A:$W,MATCH($A$1,'DB Country PMI'!$A$1:$W$1,),)=0,#N/A,VLOOKUP(A118,'DB Country PMI'!$A:$W,MATCH($A$1,'DB Country PMI'!$A$1:$W$1,),))</f>
        <v>52.1</v>
      </c>
      <c r="C118" s="14">
        <f>Table13468113456710121314[[#This Row],[PMI]]-B117</f>
        <v>-0.19999999999999574</v>
      </c>
    </row>
    <row r="119" spans="1:3" x14ac:dyDescent="0.2">
      <c r="A119" s="8">
        <v>43891</v>
      </c>
      <c r="B119" s="11">
        <f>IF(VLOOKUP(A119,'DB Country PMI'!$A:$W,MATCH($A$1,'DB Country PMI'!$A$1:$W$1,),)=0,#N/A,VLOOKUP(A119,'DB Country PMI'!$A:$W,MATCH($A$1,'DB Country PMI'!$A$1:$W$1,),))</f>
        <v>23</v>
      </c>
      <c r="C119" s="14">
        <f>Table13468113456710121314[[#This Row],[PMI]]-B118</f>
        <v>-29.1</v>
      </c>
    </row>
    <row r="120" spans="1:3" x14ac:dyDescent="0.2">
      <c r="A120" s="8">
        <v>43922</v>
      </c>
      <c r="B120" s="11">
        <f>IF(VLOOKUP(A120,'DB Country PMI'!$A:$W,MATCH($A$1,'DB Country PMI'!$A$1:$W$1,),)=0,#N/A,VLOOKUP(A120,'DB Country PMI'!$A:$W,MATCH($A$1,'DB Country PMI'!$A$1:$W$1,),))</f>
        <v>7.1</v>
      </c>
      <c r="C120" s="14">
        <f>Table13468113456710121314[[#This Row],[PMI]]-B119</f>
        <v>-15.9</v>
      </c>
    </row>
    <row r="121" spans="1:3" x14ac:dyDescent="0.2">
      <c r="A121" s="8">
        <v>43952</v>
      </c>
      <c r="B121" s="11">
        <f>IF(VLOOKUP(A121,'DB Country PMI'!$A:$W,MATCH($A$1,'DB Country PMI'!$A$1:$W$1,),)=0,#N/A,VLOOKUP(A121,'DB Country PMI'!$A:$W,MATCH($A$1,'DB Country PMI'!$A$1:$W$1,),))</f>
        <v>27.9</v>
      </c>
      <c r="C121" s="14">
        <f>Table13468113456710121314[[#This Row],[PMI]]-B120</f>
        <v>20.799999999999997</v>
      </c>
    </row>
    <row r="122" spans="1:3" x14ac:dyDescent="0.2">
      <c r="A122" s="8">
        <v>43983</v>
      </c>
      <c r="B122" s="11">
        <f>IF(VLOOKUP(A122,'DB Country PMI'!$A:$W,MATCH($A$1,'DB Country PMI'!$A$1:$W$1,),)=0,#N/A,VLOOKUP(A122,'DB Country PMI'!$A:$W,MATCH($A$1,'DB Country PMI'!$A$1:$W$1,),))</f>
        <v>50.2</v>
      </c>
      <c r="C122" s="14">
        <f>Table13468113456710121314[[#This Row],[PMI]]-B121</f>
        <v>22.300000000000004</v>
      </c>
    </row>
    <row r="123" spans="1:3" x14ac:dyDescent="0.2">
      <c r="A123" s="8">
        <v>44013</v>
      </c>
      <c r="B123" s="11">
        <f>IF(VLOOKUP(A123,'DB Country PMI'!$A:$W,MATCH($A$1,'DB Country PMI'!$A$1:$W$1,),)=0,#N/A,VLOOKUP(A123,'DB Country PMI'!$A:$W,MATCH($A$1,'DB Country PMI'!$A$1:$W$1,),))</f>
        <v>51.9</v>
      </c>
      <c r="C123" s="14">
        <f>Table13468113456710121314[[#This Row],[PMI]]-B122</f>
        <v>1.6999999999999957</v>
      </c>
    </row>
    <row r="124" spans="1:3" x14ac:dyDescent="0.2">
      <c r="A124" s="8">
        <v>44044</v>
      </c>
      <c r="B124" s="11">
        <f>IF(VLOOKUP(A124,'DB Country PMI'!$A:$W,MATCH($A$1,'DB Country PMI'!$A$1:$W$1,),)=0,#N/A,VLOOKUP(A124,'DB Country PMI'!$A:$W,MATCH($A$1,'DB Country PMI'!$A$1:$W$1,),))</f>
        <v>47.7</v>
      </c>
      <c r="C124" s="14">
        <f>Table13468113456710121314[[#This Row],[PMI]]-B123</f>
        <v>-4.1999999999999957</v>
      </c>
    </row>
    <row r="125" spans="1:3" x14ac:dyDescent="0.2">
      <c r="A125" s="8">
        <v>44075</v>
      </c>
      <c r="B125" s="11">
        <f>IF(VLOOKUP(A125,'DB Country PMI'!$A:$W,MATCH($A$1,'DB Country PMI'!$A$1:$W$1,),)=0,#N/A,VLOOKUP(A125,'DB Country PMI'!$A:$W,MATCH($A$1,'DB Country PMI'!$A$1:$W$1,),))</f>
        <v>42.4</v>
      </c>
      <c r="C125" s="14">
        <f>Table13468113456710121314[[#This Row],[PMI]]-B124</f>
        <v>-5.3000000000000043</v>
      </c>
    </row>
    <row r="126" spans="1:3" x14ac:dyDescent="0.2">
      <c r="A126" s="8">
        <v>44105</v>
      </c>
      <c r="B126" s="11">
        <f>IF(VLOOKUP(A126,'DB Country PMI'!$A:$W,MATCH($A$1,'DB Country PMI'!$A$1:$W$1,),)=0,#N/A,VLOOKUP(A126,'DB Country PMI'!$A:$W,MATCH($A$1,'DB Country PMI'!$A$1:$W$1,),))</f>
        <v>41.4</v>
      </c>
      <c r="C126" s="14">
        <f>Table13468113456710121314[[#This Row],[PMI]]-B125</f>
        <v>-1</v>
      </c>
    </row>
    <row r="127" spans="1:3" x14ac:dyDescent="0.2">
      <c r="A127" s="8">
        <v>44136</v>
      </c>
      <c r="B127" s="11">
        <f>IF(VLOOKUP(A127,'DB Country PMI'!$A:$W,MATCH($A$1,'DB Country PMI'!$A$1:$W$1,),)=0,#N/A,VLOOKUP(A127,'DB Country PMI'!$A:$W,MATCH($A$1,'DB Country PMI'!$A$1:$W$1,),))</f>
        <v>39.5</v>
      </c>
      <c r="C127" s="14">
        <f>Table13468113456710121314[[#This Row],[PMI]]-B126</f>
        <v>-1.8999999999999986</v>
      </c>
    </row>
    <row r="128" spans="1:3" x14ac:dyDescent="0.2">
      <c r="A128" s="8">
        <v>44166</v>
      </c>
      <c r="B128" s="11">
        <f>IF(VLOOKUP(A128,'DB Country PMI'!$A:$W,MATCH($A$1,'DB Country PMI'!$A$1:$W$1,),)=0,#N/A,VLOOKUP(A128,'DB Country PMI'!$A:$W,MATCH($A$1,'DB Country PMI'!$A$1:$W$1,),))</f>
        <v>48</v>
      </c>
      <c r="C128" s="14">
        <f>Table13468113456710121314[[#This Row],[PMI]]-B127</f>
        <v>8.5</v>
      </c>
    </row>
    <row r="129" spans="1:3" x14ac:dyDescent="0.2">
      <c r="A129" s="8">
        <v>44197</v>
      </c>
      <c r="B129" s="11">
        <f>IF(VLOOKUP(A129,'DB Country PMI'!$A:$W,MATCH($A$1,'DB Country PMI'!$A$1:$W$1,),)=0,#N/A,VLOOKUP(A129,'DB Country PMI'!$A:$W,MATCH($A$1,'DB Country PMI'!$A$1:$W$1,),))</f>
        <v>41.7</v>
      </c>
      <c r="C129" s="14">
        <f>Table13468113456710121314[[#This Row],[PMI]]-B128</f>
        <v>-6.2999999999999972</v>
      </c>
    </row>
    <row r="130" spans="1:3" x14ac:dyDescent="0.2">
      <c r="A130" s="8">
        <v>44228</v>
      </c>
      <c r="B130" s="11">
        <f>IF(VLOOKUP(A130,'DB Country PMI'!$A:$W,MATCH($A$1,'DB Country PMI'!$A$1:$W$1,),)=0,#N/A,VLOOKUP(A130,'DB Country PMI'!$A:$W,MATCH($A$1,'DB Country PMI'!$A$1:$W$1,),))</f>
        <v>43.1</v>
      </c>
      <c r="C130" s="14">
        <f>Table13468113456710121314[[#This Row],[PMI]]-B129</f>
        <v>1.3999999999999986</v>
      </c>
    </row>
    <row r="131" spans="1:3" x14ac:dyDescent="0.2">
      <c r="A131" s="8">
        <v>44256</v>
      </c>
      <c r="B131" s="11">
        <f>IF(VLOOKUP(A131,'DB Country PMI'!$A:$W,MATCH($A$1,'DB Country PMI'!$A$1:$W$1,),)=0,#N/A,VLOOKUP(A131,'DB Country PMI'!$A:$W,MATCH($A$1,'DB Country PMI'!$A$1:$W$1,),))</f>
        <v>48.1</v>
      </c>
      <c r="C131" s="14">
        <f>Table13468113456710121314[[#This Row],[PMI]]-B130</f>
        <v>5</v>
      </c>
    </row>
    <row r="132" spans="1:3" x14ac:dyDescent="0.2">
      <c r="A132" s="8">
        <v>44287</v>
      </c>
      <c r="B132" s="11">
        <f>IF(VLOOKUP(A132,'DB Country PMI'!$A:$W,MATCH($A$1,'DB Country PMI'!$A$1:$W$1,),)=0,#N/A,VLOOKUP(A132,'DB Country PMI'!$A:$W,MATCH($A$1,'DB Country PMI'!$A$1:$W$1,),))</f>
        <v>54.6</v>
      </c>
      <c r="C132" s="14">
        <f>Table13468113456710121314[[#This Row],[PMI]]-B131</f>
        <v>6.5</v>
      </c>
    </row>
    <row r="133" spans="1:3" x14ac:dyDescent="0.2">
      <c r="A133" s="8">
        <v>44317</v>
      </c>
      <c r="B133" s="11">
        <f>IF(VLOOKUP(A133,'DB Country PMI'!$A:$W,MATCH($A$1,'DB Country PMI'!$A$1:$W$1,),)=0,#N/A,VLOOKUP(A133,'DB Country PMI'!$A:$W,MATCH($A$1,'DB Country PMI'!$A$1:$W$1,),))</f>
        <v>59.4</v>
      </c>
      <c r="C133" s="14">
        <f>Table13468113456710121314[[#This Row],[PMI]]-B132</f>
        <v>4.7999999999999972</v>
      </c>
    </row>
    <row r="134" spans="1:3" x14ac:dyDescent="0.2">
      <c r="A134" s="8">
        <v>44348</v>
      </c>
      <c r="B134" s="11">
        <f>IF(VLOOKUP(A134,'DB Country PMI'!$A:$W,MATCH($A$1,'DB Country PMI'!$A$1:$W$1,),)=0,#N/A,VLOOKUP(A134,'DB Country PMI'!$A:$W,MATCH($A$1,'DB Country PMI'!$A$1:$W$1,),))</f>
        <v>62.5</v>
      </c>
      <c r="C134" s="14">
        <f>Table13468113456710121314[[#This Row],[PMI]]-B133</f>
        <v>3.1000000000000014</v>
      </c>
    </row>
    <row r="135" spans="1:3" x14ac:dyDescent="0.2">
      <c r="A135" s="8">
        <v>44378</v>
      </c>
      <c r="B135" s="11">
        <f>IF(VLOOKUP(A135,'DB Country PMI'!$A:$W,MATCH($A$1,'DB Country PMI'!$A$1:$W$1,),)=0,#N/A,VLOOKUP(A135,'DB Country PMI'!$A:$W,MATCH($A$1,'DB Country PMI'!$A$1:$W$1,),))</f>
        <v>61.9</v>
      </c>
      <c r="C135" s="14">
        <f>Table13468113456710121314[[#This Row],[PMI]]-B134</f>
        <v>-0.60000000000000142</v>
      </c>
    </row>
    <row r="136" spans="1:3" x14ac:dyDescent="0.2">
      <c r="A136" s="8">
        <v>44409</v>
      </c>
      <c r="B136" s="11">
        <f>IF(VLOOKUP(A136,'DB Country PMI'!$A:$W,MATCH($A$1,'DB Country PMI'!$A$1:$W$1,),)=0,#N/A,VLOOKUP(A136,'DB Country PMI'!$A:$W,MATCH($A$1,'DB Country PMI'!$A$1:$W$1,),))</f>
        <v>60.1</v>
      </c>
      <c r="C136" s="14">
        <f>Table13468113456710121314[[#This Row],[PMI]]-B135</f>
        <v>-1.7999999999999972</v>
      </c>
    </row>
    <row r="137" spans="1:3" x14ac:dyDescent="0.2">
      <c r="A137" s="8">
        <v>44440</v>
      </c>
      <c r="B137" s="11">
        <f>IF(VLOOKUP(A137,'DB Country PMI'!$A:$W,MATCH($A$1,'DB Country PMI'!$A$1:$W$1,),)=0,#N/A,VLOOKUP(A137,'DB Country PMI'!$A:$W,MATCH($A$1,'DB Country PMI'!$A$1:$W$1,),))</f>
        <v>56.9</v>
      </c>
      <c r="C137" s="14">
        <f>Table13468113456710121314[[#This Row],[PMI]]-B136</f>
        <v>-3.2000000000000028</v>
      </c>
    </row>
    <row r="138" spans="1:3" x14ac:dyDescent="0.2">
      <c r="A138" s="8">
        <v>44470</v>
      </c>
      <c r="B138" s="11">
        <f>IF(VLOOKUP(A138,'DB Country PMI'!$A:$W,MATCH($A$1,'DB Country PMI'!$A$1:$W$1,),)=0,#N/A,VLOOKUP(A138,'DB Country PMI'!$A:$W,MATCH($A$1,'DB Country PMI'!$A$1:$W$1,),))</f>
        <v>56.6</v>
      </c>
      <c r="C138" s="14">
        <f>Table13468113456710121314[[#This Row],[PMI]]-B137</f>
        <v>-0.29999999999999716</v>
      </c>
    </row>
    <row r="139" spans="1:3" x14ac:dyDescent="0.2">
      <c r="A139" s="8">
        <v>44501</v>
      </c>
      <c r="B139" s="11">
        <f>IF(VLOOKUP(A139,'DB Country PMI'!$A:$W,MATCH($A$1,'DB Country PMI'!$A$1:$W$1,),)=0,#N/A,VLOOKUP(A139,'DB Country PMI'!$A:$W,MATCH($A$1,'DB Country PMI'!$A$1:$W$1,),))</f>
        <v>59.8</v>
      </c>
      <c r="C139" s="14">
        <f>Table13468113456710121314[[#This Row],[PMI]]-B138</f>
        <v>3.1999999999999957</v>
      </c>
    </row>
    <row r="140" spans="1:3" x14ac:dyDescent="0.2">
      <c r="A140" s="8">
        <v>44531</v>
      </c>
      <c r="B140" s="11">
        <f>IF(VLOOKUP(A140,'DB Country PMI'!$A:$W,MATCH($A$1,'DB Country PMI'!$A$1:$W$1,),)=0,#N/A,VLOOKUP(A140,'DB Country PMI'!$A:$W,MATCH($A$1,'DB Country PMI'!$A$1:$W$1,),))</f>
        <v>55.8</v>
      </c>
      <c r="C140" s="14">
        <f>Table13468113456710121314[[#This Row],[PMI]]-B139</f>
        <v>-4</v>
      </c>
    </row>
    <row r="141" spans="1:3" x14ac:dyDescent="0.2">
      <c r="A141" s="8">
        <v>44562</v>
      </c>
      <c r="B141" s="11">
        <f>IF(VLOOKUP(A141,'DB Country PMI'!$A:$W,MATCH($A$1,'DB Country PMI'!$A$1:$W$1,),)=0,#N/A,VLOOKUP(A141,'DB Country PMI'!$A:$W,MATCH($A$1,'DB Country PMI'!$A$1:$W$1,),))</f>
        <v>46.6</v>
      </c>
      <c r="C141" s="14">
        <f>Table13468113456710121314[[#This Row],[PMI]]-B140</f>
        <v>-9.1999999999999957</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2022-02-16T10:58:09Z</dcterms:modified>
</cp:coreProperties>
</file>