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2AAF9350-919B-45CE-B809-42185805041A}" xr6:coauthVersionLast="47" xr6:coauthVersionMax="47" xr10:uidLastSave="{00000000-0000-0000-0000-000000000000}"/>
  <bookViews>
    <workbookView xWindow="-19455" yWindow="-21600" windowWidth="43410" windowHeight="21600" tabRatio="804"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4" i="3" l="1"/>
  <c r="D104" i="3"/>
  <c r="E104" i="3"/>
  <c r="F104" i="3"/>
  <c r="G104" i="3"/>
  <c r="H104" i="3"/>
  <c r="I104" i="3"/>
  <c r="J104" i="3"/>
  <c r="K104" i="3"/>
  <c r="L104" i="3"/>
  <c r="M104" i="3"/>
  <c r="N104" i="3"/>
  <c r="O104" i="3"/>
  <c r="P104" i="3"/>
  <c r="Q104" i="3"/>
  <c r="B151" i="18"/>
  <c r="C151" i="18"/>
  <c r="B151" i="17"/>
  <c r="B151" i="16"/>
  <c r="B151" i="15"/>
  <c r="B151" i="14"/>
  <c r="B151" i="13"/>
  <c r="C151" i="13"/>
  <c r="B151" i="12"/>
  <c r="B151" i="11"/>
  <c r="B151" i="10"/>
  <c r="C151" i="10"/>
  <c r="B190" i="9"/>
  <c r="B177" i="8"/>
  <c r="C177" i="8"/>
  <c r="B151" i="7"/>
  <c r="B190" i="6"/>
  <c r="B115" i="5"/>
  <c r="B151" i="4"/>
  <c r="C151" i="4"/>
  <c r="B150" i="4"/>
  <c r="B150" i="18"/>
  <c r="B149" i="18"/>
  <c r="C150" i="18" s="1"/>
  <c r="B148" i="18"/>
  <c r="C149" i="18" s="1"/>
  <c r="B147" i="18"/>
  <c r="B146" i="18"/>
  <c r="B145" i="18"/>
  <c r="C146" i="18" s="1"/>
  <c r="B144" i="18"/>
  <c r="C145" i="18" s="1"/>
  <c r="B143" i="18"/>
  <c r="B142" i="18"/>
  <c r="C143" i="18" s="1"/>
  <c r="C141" i="18"/>
  <c r="B141" i="18"/>
  <c r="B140" i="18"/>
  <c r="B139" i="18"/>
  <c r="C140" i="18" s="1"/>
  <c r="B138" i="18"/>
  <c r="C139" i="18" s="1"/>
  <c r="B137" i="18"/>
  <c r="B136" i="18"/>
  <c r="C137" i="18" s="1"/>
  <c r="B135" i="18"/>
  <c r="B134" i="18"/>
  <c r="B133" i="18"/>
  <c r="B132" i="18"/>
  <c r="C133" i="18" s="1"/>
  <c r="B131" i="18"/>
  <c r="B130" i="18"/>
  <c r="B129" i="18"/>
  <c r="C130" i="18" s="1"/>
  <c r="B128" i="18"/>
  <c r="L81" i="3" s="1"/>
  <c r="B127" i="18"/>
  <c r="B126" i="18"/>
  <c r="C127" i="18" s="1"/>
  <c r="B125" i="18"/>
  <c r="B124" i="18"/>
  <c r="C125" i="18" s="1"/>
  <c r="B123" i="18"/>
  <c r="C124" i="18" s="1"/>
  <c r="B122" i="18"/>
  <c r="C123" i="18" s="1"/>
  <c r="B121" i="18"/>
  <c r="B120" i="18"/>
  <c r="B119" i="18"/>
  <c r="B118" i="18"/>
  <c r="C119" i="18" s="1"/>
  <c r="C117" i="18"/>
  <c r="B117" i="18"/>
  <c r="C118" i="18" s="1"/>
  <c r="B116" i="18"/>
  <c r="B115" i="18"/>
  <c r="B114" i="18"/>
  <c r="C115" i="18" s="1"/>
  <c r="B113" i="18"/>
  <c r="C114" i="18" s="1"/>
  <c r="B112" i="18"/>
  <c r="C111" i="18"/>
  <c r="B111" i="18"/>
  <c r="C112" i="18" s="1"/>
  <c r="B110" i="18"/>
  <c r="B109" i="18"/>
  <c r="B108" i="18"/>
  <c r="C109" i="18" s="1"/>
  <c r="B107" i="18"/>
  <c r="C108" i="18" s="1"/>
  <c r="B106" i="18"/>
  <c r="C105" i="18"/>
  <c r="B105" i="18"/>
  <c r="B104" i="18"/>
  <c r="B103" i="18"/>
  <c r="C104" i="18" s="1"/>
  <c r="B102" i="18"/>
  <c r="B101" i="18"/>
  <c r="C102" i="18" s="1"/>
  <c r="B100" i="18"/>
  <c r="B99" i="18"/>
  <c r="B98" i="18"/>
  <c r="B97" i="18"/>
  <c r="C98" i="18" s="1"/>
  <c r="B96" i="18"/>
  <c r="B95" i="18"/>
  <c r="C96" i="18" s="1"/>
  <c r="B94" i="18"/>
  <c r="B93" i="18"/>
  <c r="C94" i="18" s="1"/>
  <c r="B92" i="18"/>
  <c r="B91" i="18"/>
  <c r="C92" i="18" s="1"/>
  <c r="B90" i="18"/>
  <c r="B89" i="18"/>
  <c r="B88" i="18"/>
  <c r="C89" i="18" s="1"/>
  <c r="B87" i="18"/>
  <c r="C88" i="18" s="1"/>
  <c r="B86" i="18"/>
  <c r="B85" i="18"/>
  <c r="C86" i="18" s="1"/>
  <c r="B84" i="18"/>
  <c r="B83" i="18"/>
  <c r="C84" i="18" s="1"/>
  <c r="B82" i="18"/>
  <c r="C83" i="18" s="1"/>
  <c r="B81" i="18"/>
  <c r="B80" i="18"/>
  <c r="B79" i="18"/>
  <c r="B78" i="18"/>
  <c r="C79" i="18" s="1"/>
  <c r="B77" i="18"/>
  <c r="C78" i="18" s="1"/>
  <c r="B76" i="18"/>
  <c r="C77" i="18" s="1"/>
  <c r="B75" i="18"/>
  <c r="L28" i="3" s="1"/>
  <c r="B74" i="18"/>
  <c r="B73" i="18"/>
  <c r="C74" i="18" s="1"/>
  <c r="B72" i="18"/>
  <c r="C73" i="18" s="1"/>
  <c r="B71" i="18"/>
  <c r="B70" i="18"/>
  <c r="C71" i="18" s="1"/>
  <c r="C69" i="18"/>
  <c r="B69" i="18"/>
  <c r="B68" i="18"/>
  <c r="B67" i="18"/>
  <c r="C68" i="18" s="1"/>
  <c r="B66" i="18"/>
  <c r="C67" i="18" s="1"/>
  <c r="B65" i="18"/>
  <c r="B64" i="18"/>
  <c r="C65" i="18" s="1"/>
  <c r="B63" i="18"/>
  <c r="B62" i="18"/>
  <c r="B61" i="18"/>
  <c r="B60" i="18"/>
  <c r="C61" i="18" s="1"/>
  <c r="B59" i="18"/>
  <c r="B58" i="18"/>
  <c r="B57" i="18"/>
  <c r="C58" i="18" s="1"/>
  <c r="B56" i="18"/>
  <c r="B55" i="18"/>
  <c r="B54" i="18"/>
  <c r="C55" i="18" s="1"/>
  <c r="B53" i="18"/>
  <c r="B52" i="18"/>
  <c r="C53" i="18" s="1"/>
  <c r="B51" i="18"/>
  <c r="C52" i="18" s="1"/>
  <c r="B50" i="18"/>
  <c r="C51" i="18" s="1"/>
  <c r="B49" i="18"/>
  <c r="B48" i="18"/>
  <c r="B47" i="18"/>
  <c r="C48" i="18" s="1"/>
  <c r="B46" i="18"/>
  <c r="C47" i="18" s="1"/>
  <c r="C45" i="18"/>
  <c r="B45" i="18"/>
  <c r="C46" i="18" s="1"/>
  <c r="B44" i="18"/>
  <c r="B43" i="18"/>
  <c r="B42" i="18"/>
  <c r="C43" i="18" s="1"/>
  <c r="B41" i="18"/>
  <c r="C42" i="18" s="1"/>
  <c r="B40" i="18"/>
  <c r="C39" i="18"/>
  <c r="B39" i="18"/>
  <c r="C40" i="18" s="1"/>
  <c r="B38" i="18"/>
  <c r="B37" i="18"/>
  <c r="C38" i="18" s="1"/>
  <c r="B36" i="18"/>
  <c r="C37" i="18" s="1"/>
  <c r="B35" i="18"/>
  <c r="C36" i="18" s="1"/>
  <c r="B34" i="18"/>
  <c r="C33" i="18"/>
  <c r="B33" i="18"/>
  <c r="B32" i="18"/>
  <c r="B31" i="18"/>
  <c r="C32" i="18" s="1"/>
  <c r="B30" i="18"/>
  <c r="B29" i="18"/>
  <c r="C30" i="18" s="1"/>
  <c r="B28" i="18"/>
  <c r="B27" i="18"/>
  <c r="B26" i="18"/>
  <c r="B25" i="18"/>
  <c r="C26" i="18" s="1"/>
  <c r="B24" i="18"/>
  <c r="B23" i="18"/>
  <c r="C24" i="18" s="1"/>
  <c r="B22" i="18"/>
  <c r="B21" i="18"/>
  <c r="C22" i="18" s="1"/>
  <c r="B20" i="18"/>
  <c r="B19" i="18"/>
  <c r="C20" i="18" s="1"/>
  <c r="B18" i="18"/>
  <c r="B17" i="18"/>
  <c r="B16" i="18"/>
  <c r="C17" i="18" s="1"/>
  <c r="B15" i="18"/>
  <c r="C16" i="18" s="1"/>
  <c r="B14" i="18"/>
  <c r="B13" i="18"/>
  <c r="C14" i="18" s="1"/>
  <c r="B12" i="18"/>
  <c r="B11" i="18"/>
  <c r="C12" i="18" s="1"/>
  <c r="B10" i="18"/>
  <c r="C11" i="18" s="1"/>
  <c r="B9" i="18"/>
  <c r="C10" i="18" s="1"/>
  <c r="B8" i="18"/>
  <c r="B7" i="18"/>
  <c r="B6" i="18"/>
  <c r="C7" i="18" s="1"/>
  <c r="B150" i="17"/>
  <c r="C151" i="17" s="1"/>
  <c r="B149" i="17"/>
  <c r="N102" i="3" s="1"/>
  <c r="B148" i="17"/>
  <c r="B147" i="17"/>
  <c r="C147" i="17" s="1"/>
  <c r="C146" i="17"/>
  <c r="B146" i="17"/>
  <c r="B145" i="17"/>
  <c r="C145" i="17" s="1"/>
  <c r="B144" i="17"/>
  <c r="C144" i="17" s="1"/>
  <c r="B143" i="17"/>
  <c r="B142" i="17"/>
  <c r="C141" i="17"/>
  <c r="B141" i="17"/>
  <c r="B140" i="17"/>
  <c r="C140" i="17" s="1"/>
  <c r="C139" i="17"/>
  <c r="B139" i="17"/>
  <c r="B138" i="17"/>
  <c r="C138" i="17" s="1"/>
  <c r="B137" i="17"/>
  <c r="B136" i="17"/>
  <c r="B135" i="17"/>
  <c r="N88" i="3" s="1"/>
  <c r="C134" i="17"/>
  <c r="B134" i="17"/>
  <c r="B133" i="17"/>
  <c r="C133" i="17" s="1"/>
  <c r="B132" i="17"/>
  <c r="C132" i="17" s="1"/>
  <c r="B131" i="17"/>
  <c r="B130" i="17"/>
  <c r="B129" i="17"/>
  <c r="C129" i="17" s="1"/>
  <c r="B128" i="17"/>
  <c r="N81" i="3" s="1"/>
  <c r="C127" i="17"/>
  <c r="B127" i="17"/>
  <c r="B126" i="17"/>
  <c r="C126" i="17" s="1"/>
  <c r="B125" i="17"/>
  <c r="B124" i="17"/>
  <c r="B123" i="17"/>
  <c r="C123" i="17" s="1"/>
  <c r="B122" i="17"/>
  <c r="C122" i="17" s="1"/>
  <c r="B121" i="17"/>
  <c r="C121" i="17" s="1"/>
  <c r="C120" i="17"/>
  <c r="B120" i="17"/>
  <c r="B119" i="17"/>
  <c r="B118" i="17"/>
  <c r="C117" i="17"/>
  <c r="B117" i="17"/>
  <c r="B116" i="17"/>
  <c r="C116" i="17" s="1"/>
  <c r="B115" i="17"/>
  <c r="C115" i="17" s="1"/>
  <c r="B114" i="17"/>
  <c r="C114" i="17" s="1"/>
  <c r="B113" i="17"/>
  <c r="B112" i="17"/>
  <c r="B111" i="17"/>
  <c r="C111" i="17" s="1"/>
  <c r="B110" i="17"/>
  <c r="C110" i="17" s="1"/>
  <c r="B109" i="17"/>
  <c r="C109" i="17" s="1"/>
  <c r="B108" i="17"/>
  <c r="C108" i="17" s="1"/>
  <c r="B107" i="17"/>
  <c r="B106" i="17"/>
  <c r="C105" i="17"/>
  <c r="B105" i="17"/>
  <c r="B104" i="17"/>
  <c r="C104" i="17" s="1"/>
  <c r="B103" i="17"/>
  <c r="C103" i="17" s="1"/>
  <c r="B102" i="17"/>
  <c r="C102" i="17" s="1"/>
  <c r="B101" i="17"/>
  <c r="B100" i="17"/>
  <c r="B99" i="17"/>
  <c r="N52" i="3" s="1"/>
  <c r="C98" i="17"/>
  <c r="B98" i="17"/>
  <c r="B97" i="17"/>
  <c r="C97" i="17" s="1"/>
  <c r="B96" i="17"/>
  <c r="C96" i="17" s="1"/>
  <c r="B95" i="17"/>
  <c r="B94" i="17"/>
  <c r="B93" i="17"/>
  <c r="C93" i="17" s="1"/>
  <c r="B92" i="17"/>
  <c r="N45" i="3" s="1"/>
  <c r="C91" i="17"/>
  <c r="B91" i="17"/>
  <c r="B90" i="17"/>
  <c r="C90" i="17" s="1"/>
  <c r="B89" i="17"/>
  <c r="B88" i="17"/>
  <c r="B87" i="17"/>
  <c r="C87" i="17" s="1"/>
  <c r="B86" i="17"/>
  <c r="C86" i="17" s="1"/>
  <c r="B85" i="17"/>
  <c r="N38" i="3" s="1"/>
  <c r="C84" i="17"/>
  <c r="B84" i="17"/>
  <c r="B83" i="17"/>
  <c r="B82" i="17"/>
  <c r="B81" i="17"/>
  <c r="C81" i="17" s="1"/>
  <c r="B80" i="17"/>
  <c r="C80" i="17" s="1"/>
  <c r="B79" i="17"/>
  <c r="C79" i="17" s="1"/>
  <c r="B78" i="17"/>
  <c r="N31" i="3" s="1"/>
  <c r="B77" i="17"/>
  <c r="N30" i="3" s="1"/>
  <c r="B76" i="17"/>
  <c r="B75" i="17"/>
  <c r="C75" i="17" s="1"/>
  <c r="B74" i="17"/>
  <c r="C74" i="17" s="1"/>
  <c r="B73" i="17"/>
  <c r="C73" i="17" s="1"/>
  <c r="B72" i="17"/>
  <c r="C72" i="17" s="1"/>
  <c r="B71" i="17"/>
  <c r="B70" i="17"/>
  <c r="C69" i="17"/>
  <c r="B69" i="17"/>
  <c r="B68" i="17"/>
  <c r="C68" i="17" s="1"/>
  <c r="B67" i="17"/>
  <c r="C67" i="17" s="1"/>
  <c r="B66" i="17"/>
  <c r="C66" i="17" s="1"/>
  <c r="B65" i="17"/>
  <c r="B64" i="17"/>
  <c r="B63" i="17"/>
  <c r="N16" i="3" s="1"/>
  <c r="C62" i="17"/>
  <c r="B62" i="17"/>
  <c r="B61" i="17"/>
  <c r="C61" i="17" s="1"/>
  <c r="B60" i="17"/>
  <c r="C60" i="17" s="1"/>
  <c r="B59" i="17"/>
  <c r="B58" i="17"/>
  <c r="B57" i="17"/>
  <c r="C57" i="17" s="1"/>
  <c r="B56" i="17"/>
  <c r="C56" i="17" s="1"/>
  <c r="C55" i="17"/>
  <c r="B55" i="17"/>
  <c r="B54" i="17"/>
  <c r="C54" i="17" s="1"/>
  <c r="B53" i="17"/>
  <c r="B52" i="17"/>
  <c r="B51" i="17"/>
  <c r="C51" i="17" s="1"/>
  <c r="B50" i="17"/>
  <c r="C50" i="17" s="1"/>
  <c r="B49" i="17"/>
  <c r="C49" i="17" s="1"/>
  <c r="C48" i="17"/>
  <c r="B48" i="17"/>
  <c r="B47" i="17"/>
  <c r="B46" i="17"/>
  <c r="B45" i="17"/>
  <c r="C45" i="17" s="1"/>
  <c r="B44" i="17"/>
  <c r="C43" i="17"/>
  <c r="B43" i="17"/>
  <c r="B42" i="17"/>
  <c r="B41" i="17"/>
  <c r="C42" i="17" s="1"/>
  <c r="B40" i="17"/>
  <c r="B39" i="17"/>
  <c r="B38" i="17"/>
  <c r="C39" i="17" s="1"/>
  <c r="B37" i="17"/>
  <c r="B36" i="17"/>
  <c r="C36" i="17" s="1"/>
  <c r="B35" i="17"/>
  <c r="B34" i="17"/>
  <c r="B33" i="17"/>
  <c r="C33" i="17" s="1"/>
  <c r="B32" i="17"/>
  <c r="C31" i="17"/>
  <c r="B31" i="17"/>
  <c r="C30" i="17"/>
  <c r="B30" i="17"/>
  <c r="B29" i="17"/>
  <c r="B28" i="17"/>
  <c r="C27" i="17"/>
  <c r="B27" i="17"/>
  <c r="B26" i="17"/>
  <c r="B25" i="17"/>
  <c r="C26" i="17" s="1"/>
  <c r="C24" i="17"/>
  <c r="B24" i="17"/>
  <c r="B23" i="17"/>
  <c r="B22" i="17"/>
  <c r="B21" i="17"/>
  <c r="C21" i="17" s="1"/>
  <c r="B20" i="17"/>
  <c r="C19" i="17"/>
  <c r="B19" i="17"/>
  <c r="B18" i="17"/>
  <c r="B17" i="17"/>
  <c r="C18" i="17" s="1"/>
  <c r="B16" i="17"/>
  <c r="B15" i="17"/>
  <c r="B14" i="17"/>
  <c r="C15" i="17" s="1"/>
  <c r="B13" i="17"/>
  <c r="B12" i="17"/>
  <c r="C12" i="17" s="1"/>
  <c r="B11" i="17"/>
  <c r="B10" i="17"/>
  <c r="B9" i="17"/>
  <c r="C9" i="17" s="1"/>
  <c r="B8" i="17"/>
  <c r="B7" i="17"/>
  <c r="B6" i="17"/>
  <c r="C7" i="17" s="1"/>
  <c r="B150" i="16"/>
  <c r="C151" i="16" s="1"/>
  <c r="B149" i="16"/>
  <c r="C150" i="16" s="1"/>
  <c r="C148" i="16"/>
  <c r="B148" i="16"/>
  <c r="B147" i="16"/>
  <c r="B146" i="16"/>
  <c r="B145" i="16"/>
  <c r="C146" i="16" s="1"/>
  <c r="B144" i="16"/>
  <c r="C145" i="16" s="1"/>
  <c r="B143" i="16"/>
  <c r="C144" i="16" s="1"/>
  <c r="C142" i="16"/>
  <c r="B142" i="16"/>
  <c r="B141" i="16"/>
  <c r="B140" i="16"/>
  <c r="C141" i="16" s="1"/>
  <c r="B139" i="16"/>
  <c r="C140" i="16" s="1"/>
  <c r="B138" i="16"/>
  <c r="B137" i="16"/>
  <c r="C136" i="16"/>
  <c r="B136" i="16"/>
  <c r="B135" i="16"/>
  <c r="B134" i="16"/>
  <c r="C135" i="16" s="1"/>
  <c r="B133" i="16"/>
  <c r="C134" i="16" s="1"/>
  <c r="B132" i="16"/>
  <c r="C133" i="16" s="1"/>
  <c r="B131" i="16"/>
  <c r="B130" i="16"/>
  <c r="C131" i="16" s="1"/>
  <c r="B129" i="16"/>
  <c r="B128" i="16"/>
  <c r="B127" i="16"/>
  <c r="B126" i="16"/>
  <c r="B125" i="16"/>
  <c r="B124" i="16"/>
  <c r="C125" i="16" s="1"/>
  <c r="B123" i="16"/>
  <c r="B122" i="16"/>
  <c r="C123" i="16" s="1"/>
  <c r="B121" i="16"/>
  <c r="B120" i="16"/>
  <c r="B119" i="16"/>
  <c r="C120" i="16" s="1"/>
  <c r="C118" i="16"/>
  <c r="B118" i="16"/>
  <c r="B117" i="16"/>
  <c r="B116" i="16"/>
  <c r="B115" i="16"/>
  <c r="B114" i="16"/>
  <c r="B113" i="16"/>
  <c r="C114" i="16" s="1"/>
  <c r="B112" i="16"/>
  <c r="C113" i="16" s="1"/>
  <c r="B111" i="16"/>
  <c r="B110" i="16"/>
  <c r="B109" i="16"/>
  <c r="C110" i="16" s="1"/>
  <c r="B108" i="16"/>
  <c r="B107" i="16"/>
  <c r="C106" i="16"/>
  <c r="B106" i="16"/>
  <c r="B105" i="16"/>
  <c r="B104" i="16"/>
  <c r="B103" i="16"/>
  <c r="C104" i="16" s="1"/>
  <c r="B102" i="16"/>
  <c r="C103" i="16" s="1"/>
  <c r="B101" i="16"/>
  <c r="C102" i="16" s="1"/>
  <c r="B100" i="16"/>
  <c r="B99" i="16"/>
  <c r="C100" i="16" s="1"/>
  <c r="B98" i="16"/>
  <c r="B97" i="16"/>
  <c r="B96" i="16"/>
  <c r="B95" i="16"/>
  <c r="B94" i="16"/>
  <c r="B93" i="16"/>
  <c r="B92" i="16"/>
  <c r="C93" i="16" s="1"/>
  <c r="B91" i="16"/>
  <c r="C92" i="16" s="1"/>
  <c r="B90" i="16"/>
  <c r="B89" i="16"/>
  <c r="B88" i="16"/>
  <c r="C89" i="16" s="1"/>
  <c r="B87" i="16"/>
  <c r="B86" i="16"/>
  <c r="B85" i="16"/>
  <c r="B84" i="16"/>
  <c r="B83" i="16"/>
  <c r="C84" i="16" s="1"/>
  <c r="B82" i="16"/>
  <c r="C83" i="16" s="1"/>
  <c r="B81" i="16"/>
  <c r="M34" i="3" s="1"/>
  <c r="B80" i="16"/>
  <c r="B79" i="16"/>
  <c r="B78" i="16"/>
  <c r="C79" i="16" s="1"/>
  <c r="B77" i="16"/>
  <c r="C78" i="16" s="1"/>
  <c r="C76" i="16"/>
  <c r="B76" i="16"/>
  <c r="B75" i="16"/>
  <c r="B74" i="16"/>
  <c r="B73" i="16"/>
  <c r="C74" i="16" s="1"/>
  <c r="B72" i="16"/>
  <c r="B71" i="16"/>
  <c r="C72" i="16" s="1"/>
  <c r="C70" i="16"/>
  <c r="B70" i="16"/>
  <c r="B69" i="16"/>
  <c r="B68" i="16"/>
  <c r="C69" i="16" s="1"/>
  <c r="B67" i="16"/>
  <c r="C68" i="16" s="1"/>
  <c r="B66" i="16"/>
  <c r="B65" i="16"/>
  <c r="C64" i="16"/>
  <c r="B64" i="16"/>
  <c r="B63" i="16"/>
  <c r="B62" i="16"/>
  <c r="B61" i="16"/>
  <c r="C62" i="16" s="1"/>
  <c r="B60" i="16"/>
  <c r="C61" i="16" s="1"/>
  <c r="B59" i="16"/>
  <c r="B58" i="16"/>
  <c r="C59" i="16" s="1"/>
  <c r="B57" i="16"/>
  <c r="B56" i="16"/>
  <c r="B55" i="16"/>
  <c r="B54" i="16"/>
  <c r="B53" i="16"/>
  <c r="B52" i="16"/>
  <c r="C53" i="16" s="1"/>
  <c r="B51" i="16"/>
  <c r="B50" i="16"/>
  <c r="C51" i="16" s="1"/>
  <c r="B49" i="16"/>
  <c r="B48" i="16"/>
  <c r="B47" i="16"/>
  <c r="C48" i="16" s="1"/>
  <c r="C46" i="16"/>
  <c r="B46" i="16"/>
  <c r="B45" i="16"/>
  <c r="B44" i="16"/>
  <c r="B43" i="16"/>
  <c r="B42" i="16"/>
  <c r="C43" i="16" s="1"/>
  <c r="B41" i="16"/>
  <c r="C42" i="16" s="1"/>
  <c r="B40" i="16"/>
  <c r="C41" i="16" s="1"/>
  <c r="B39" i="16"/>
  <c r="B38" i="16"/>
  <c r="B37" i="16"/>
  <c r="C38" i="16" s="1"/>
  <c r="B36" i="16"/>
  <c r="B35" i="16"/>
  <c r="C34" i="16"/>
  <c r="B34" i="16"/>
  <c r="B33" i="16"/>
  <c r="B32" i="16"/>
  <c r="C33" i="16" s="1"/>
  <c r="B31" i="16"/>
  <c r="C32" i="16" s="1"/>
  <c r="B30" i="16"/>
  <c r="C31" i="16" s="1"/>
  <c r="B29" i="16"/>
  <c r="C30" i="16" s="1"/>
  <c r="B28" i="16"/>
  <c r="B27" i="16"/>
  <c r="C28" i="16" s="1"/>
  <c r="B26" i="16"/>
  <c r="B25" i="16"/>
  <c r="B24" i="16"/>
  <c r="B23" i="16"/>
  <c r="B22" i="16"/>
  <c r="B21" i="16"/>
  <c r="B20" i="16"/>
  <c r="C21" i="16" s="1"/>
  <c r="B19" i="16"/>
  <c r="C20" i="16" s="1"/>
  <c r="B18" i="16"/>
  <c r="B17" i="16"/>
  <c r="B16" i="16"/>
  <c r="C17" i="16" s="1"/>
  <c r="B15" i="16"/>
  <c r="B14" i="16"/>
  <c r="B13" i="16"/>
  <c r="B12" i="16"/>
  <c r="B11" i="16"/>
  <c r="C12" i="16" s="1"/>
  <c r="B10" i="16"/>
  <c r="C11" i="16" s="1"/>
  <c r="B9" i="16"/>
  <c r="B8" i="16"/>
  <c r="B7" i="16"/>
  <c r="B6" i="16"/>
  <c r="B150" i="15"/>
  <c r="C151" i="15" s="1"/>
  <c r="B149" i="15"/>
  <c r="B148" i="15"/>
  <c r="C148" i="15" s="1"/>
  <c r="C147" i="15"/>
  <c r="B147" i="15"/>
  <c r="B146" i="15"/>
  <c r="C146" i="15" s="1"/>
  <c r="B145" i="15"/>
  <c r="G98" i="3" s="1"/>
  <c r="B144" i="15"/>
  <c r="B143" i="15"/>
  <c r="B142" i="15"/>
  <c r="C142" i="15" s="1"/>
  <c r="B141" i="15"/>
  <c r="C141" i="15" s="1"/>
  <c r="B140" i="15"/>
  <c r="C140" i="15" s="1"/>
  <c r="B139" i="15"/>
  <c r="C139" i="15" s="1"/>
  <c r="B138" i="15"/>
  <c r="B137" i="15"/>
  <c r="G90" i="3" s="1"/>
  <c r="B136" i="15"/>
  <c r="B135" i="15"/>
  <c r="C136" i="15" s="1"/>
  <c r="B134" i="15"/>
  <c r="C134" i="15" s="1"/>
  <c r="B133" i="15"/>
  <c r="C133" i="15" s="1"/>
  <c r="B132" i="15"/>
  <c r="B131" i="15"/>
  <c r="B130" i="15"/>
  <c r="G83" i="3" s="1"/>
  <c r="B129" i="15"/>
  <c r="C129" i="15" s="1"/>
  <c r="B128" i="15"/>
  <c r="C128" i="15" s="1"/>
  <c r="B127" i="15"/>
  <c r="C127" i="15" s="1"/>
  <c r="B126" i="15"/>
  <c r="B125" i="15"/>
  <c r="B124" i="15"/>
  <c r="C124" i="15" s="1"/>
  <c r="B123" i="15"/>
  <c r="G76" i="3" s="1"/>
  <c r="B122" i="15"/>
  <c r="C122" i="15" s="1"/>
  <c r="B121" i="15"/>
  <c r="C121" i="15" s="1"/>
  <c r="B120" i="15"/>
  <c r="B119" i="15"/>
  <c r="B118" i="15"/>
  <c r="C118" i="15" s="1"/>
  <c r="B117" i="15"/>
  <c r="C117" i="15" s="1"/>
  <c r="B116" i="15"/>
  <c r="G69" i="3" s="1"/>
  <c r="B115" i="15"/>
  <c r="C115" i="15" s="1"/>
  <c r="B114" i="15"/>
  <c r="B113" i="15"/>
  <c r="B112" i="15"/>
  <c r="C112" i="15" s="1"/>
  <c r="B111" i="15"/>
  <c r="C111" i="15" s="1"/>
  <c r="B110" i="15"/>
  <c r="C110" i="15" s="1"/>
  <c r="B109" i="15"/>
  <c r="G62" i="3" s="1"/>
  <c r="B108" i="15"/>
  <c r="B107" i="15"/>
  <c r="G60" i="3" s="1"/>
  <c r="B106" i="15"/>
  <c r="C106" i="15" s="1"/>
  <c r="B105" i="15"/>
  <c r="C105" i="15" s="1"/>
  <c r="B104" i="15"/>
  <c r="C104" i="15" s="1"/>
  <c r="B103" i="15"/>
  <c r="C103" i="15" s="1"/>
  <c r="B102" i="15"/>
  <c r="B101" i="15"/>
  <c r="B100" i="15"/>
  <c r="C100" i="15" s="1"/>
  <c r="B99" i="15"/>
  <c r="C99" i="15" s="1"/>
  <c r="B98" i="15"/>
  <c r="C98" i="15" s="1"/>
  <c r="B97" i="15"/>
  <c r="C97" i="15" s="1"/>
  <c r="B96" i="15"/>
  <c r="B95" i="15"/>
  <c r="B94" i="15"/>
  <c r="G47" i="3" s="1"/>
  <c r="B93" i="15"/>
  <c r="C93" i="15" s="1"/>
  <c r="B92" i="15"/>
  <c r="C92" i="15" s="1"/>
  <c r="B91" i="15"/>
  <c r="C91" i="15" s="1"/>
  <c r="B90" i="15"/>
  <c r="B89" i="15"/>
  <c r="B88" i="15"/>
  <c r="C88" i="15" s="1"/>
  <c r="B87" i="15"/>
  <c r="C87" i="15" s="1"/>
  <c r="B86" i="15"/>
  <c r="C86" i="15" s="1"/>
  <c r="B85" i="15"/>
  <c r="C85" i="15" s="1"/>
  <c r="B84" i="15"/>
  <c r="B83" i="15"/>
  <c r="B82" i="15"/>
  <c r="C82" i="15" s="1"/>
  <c r="B81" i="15"/>
  <c r="C81" i="15" s="1"/>
  <c r="B80" i="15"/>
  <c r="G33" i="3" s="1"/>
  <c r="B79" i="15"/>
  <c r="C79" i="15" s="1"/>
  <c r="B78" i="15"/>
  <c r="B77" i="15"/>
  <c r="B76" i="15"/>
  <c r="C76" i="15" s="1"/>
  <c r="B75" i="15"/>
  <c r="C75" i="15" s="1"/>
  <c r="B74" i="15"/>
  <c r="C74" i="15" s="1"/>
  <c r="B73" i="15"/>
  <c r="C73" i="15" s="1"/>
  <c r="B72" i="15"/>
  <c r="B71" i="15"/>
  <c r="B70" i="15"/>
  <c r="C70" i="15" s="1"/>
  <c r="B69" i="15"/>
  <c r="C68" i="15"/>
  <c r="B68" i="15"/>
  <c r="C69" i="15" s="1"/>
  <c r="B67" i="15"/>
  <c r="B66" i="15"/>
  <c r="C67" i="15" s="1"/>
  <c r="B65" i="15"/>
  <c r="G18" i="3" s="1"/>
  <c r="C64" i="15"/>
  <c r="B64" i="15"/>
  <c r="B63" i="15"/>
  <c r="G16" i="3" s="1"/>
  <c r="B62" i="15"/>
  <c r="C63" i="15" s="1"/>
  <c r="B61" i="15"/>
  <c r="C61" i="15" s="1"/>
  <c r="B60" i="15"/>
  <c r="B59" i="15"/>
  <c r="B58" i="15"/>
  <c r="C58" i="15" s="1"/>
  <c r="B57" i="15"/>
  <c r="C56" i="15"/>
  <c r="B56" i="15"/>
  <c r="B55" i="15"/>
  <c r="B54" i="15"/>
  <c r="C55" i="15" s="1"/>
  <c r="B53" i="15"/>
  <c r="C52" i="15"/>
  <c r="B52" i="15"/>
  <c r="B51" i="15"/>
  <c r="B50" i="15"/>
  <c r="C51" i="15" s="1"/>
  <c r="B49" i="15"/>
  <c r="C49" i="15" s="1"/>
  <c r="B48" i="15"/>
  <c r="B47" i="15"/>
  <c r="B46" i="15"/>
  <c r="C46" i="15" s="1"/>
  <c r="B45" i="15"/>
  <c r="C44" i="15"/>
  <c r="B44" i="15"/>
  <c r="C45" i="15" s="1"/>
  <c r="B43" i="15"/>
  <c r="B42" i="15"/>
  <c r="C43" i="15" s="1"/>
  <c r="B41" i="15"/>
  <c r="C40" i="15"/>
  <c r="B40" i="15"/>
  <c r="B39" i="15"/>
  <c r="B38" i="15"/>
  <c r="C39" i="15" s="1"/>
  <c r="B37" i="15"/>
  <c r="C37" i="15" s="1"/>
  <c r="B36" i="15"/>
  <c r="B35" i="15"/>
  <c r="B34" i="15"/>
  <c r="C34" i="15" s="1"/>
  <c r="B33" i="15"/>
  <c r="C32" i="15"/>
  <c r="B32" i="15"/>
  <c r="B31" i="15"/>
  <c r="B30" i="15"/>
  <c r="C31" i="15" s="1"/>
  <c r="B29" i="15"/>
  <c r="C28" i="15"/>
  <c r="B28" i="15"/>
  <c r="B27" i="15"/>
  <c r="B26" i="15"/>
  <c r="C27" i="15" s="1"/>
  <c r="B25" i="15"/>
  <c r="C25" i="15" s="1"/>
  <c r="B24" i="15"/>
  <c r="B23" i="15"/>
  <c r="B22" i="15"/>
  <c r="C22" i="15" s="1"/>
  <c r="B21" i="15"/>
  <c r="C20" i="15"/>
  <c r="B20" i="15"/>
  <c r="C21" i="15" s="1"/>
  <c r="B19" i="15"/>
  <c r="B18" i="15"/>
  <c r="C19" i="15" s="1"/>
  <c r="B17" i="15"/>
  <c r="C16" i="15"/>
  <c r="B16" i="15"/>
  <c r="B15" i="15"/>
  <c r="B14" i="15"/>
  <c r="C15" i="15" s="1"/>
  <c r="B13" i="15"/>
  <c r="C13" i="15" s="1"/>
  <c r="B12" i="15"/>
  <c r="B11" i="15"/>
  <c r="B10" i="15"/>
  <c r="C10" i="15" s="1"/>
  <c r="B9" i="15"/>
  <c r="C8" i="15"/>
  <c r="B8" i="15"/>
  <c r="B7" i="15"/>
  <c r="B6" i="15"/>
  <c r="B150" i="14"/>
  <c r="C151" i="14" s="1"/>
  <c r="B149" i="14"/>
  <c r="C150" i="14" s="1"/>
  <c r="B148" i="14"/>
  <c r="B147" i="14"/>
  <c r="C148" i="14" s="1"/>
  <c r="B146" i="14"/>
  <c r="B145" i="14"/>
  <c r="B144" i="14"/>
  <c r="C145" i="14" s="1"/>
  <c r="C143" i="14"/>
  <c r="B143" i="14"/>
  <c r="B142" i="14"/>
  <c r="B141" i="14"/>
  <c r="C142" i="14" s="1"/>
  <c r="B140" i="14"/>
  <c r="B139" i="14"/>
  <c r="C140" i="14" s="1"/>
  <c r="B138" i="14"/>
  <c r="C137" i="14"/>
  <c r="B137" i="14"/>
  <c r="B136" i="14"/>
  <c r="B135" i="14"/>
  <c r="B134" i="14"/>
  <c r="C135" i="14" s="1"/>
  <c r="B133" i="14"/>
  <c r="C134" i="14" s="1"/>
  <c r="B132" i="14"/>
  <c r="B131" i="14"/>
  <c r="C132" i="14" s="1"/>
  <c r="B130" i="14"/>
  <c r="B129" i="14"/>
  <c r="C130" i="14" s="1"/>
  <c r="B128" i="14"/>
  <c r="C129" i="14" s="1"/>
  <c r="B127" i="14"/>
  <c r="B126" i="14"/>
  <c r="B125" i="14"/>
  <c r="C126" i="14" s="1"/>
  <c r="B124" i="14"/>
  <c r="C125" i="14" s="1"/>
  <c r="B123" i="14"/>
  <c r="C124" i="14" s="1"/>
  <c r="B122" i="14"/>
  <c r="B121" i="14"/>
  <c r="B120" i="14"/>
  <c r="C121" i="14" s="1"/>
  <c r="B119" i="14"/>
  <c r="C120" i="14" s="1"/>
  <c r="B118" i="14"/>
  <c r="B117" i="14"/>
  <c r="B116" i="14"/>
  <c r="B115" i="14"/>
  <c r="C116" i="14" s="1"/>
  <c r="B114" i="14"/>
  <c r="C115" i="14" s="1"/>
  <c r="B113" i="14"/>
  <c r="C114" i="14" s="1"/>
  <c r="B112" i="14"/>
  <c r="B111" i="14"/>
  <c r="B110" i="14"/>
  <c r="C111" i="14" s="1"/>
  <c r="B109" i="14"/>
  <c r="B108" i="14"/>
  <c r="C109" i="14" s="1"/>
  <c r="B107" i="14"/>
  <c r="B106" i="14"/>
  <c r="B105" i="14"/>
  <c r="C106" i="14" s="1"/>
  <c r="B104" i="14"/>
  <c r="C105" i="14" s="1"/>
  <c r="B103" i="14"/>
  <c r="C104" i="14" s="1"/>
  <c r="B102" i="14"/>
  <c r="C103" i="14" s="1"/>
  <c r="B101" i="14"/>
  <c r="B100" i="14"/>
  <c r="C101" i="14" s="1"/>
  <c r="B99" i="14"/>
  <c r="B98" i="14"/>
  <c r="C99" i="14" s="1"/>
  <c r="B97" i="14"/>
  <c r="B96" i="14"/>
  <c r="C97" i="14" s="1"/>
  <c r="B95" i="14"/>
  <c r="B94" i="14"/>
  <c r="B93" i="14"/>
  <c r="C94" i="14" s="1"/>
  <c r="B92" i="14"/>
  <c r="C93" i="14" s="1"/>
  <c r="B91" i="14"/>
  <c r="B90" i="14"/>
  <c r="B89" i="14"/>
  <c r="C90" i="14" s="1"/>
  <c r="B88" i="14"/>
  <c r="B87" i="14"/>
  <c r="C88" i="14" s="1"/>
  <c r="B86" i="14"/>
  <c r="B85" i="14"/>
  <c r="C86" i="14" s="1"/>
  <c r="B84" i="14"/>
  <c r="B83" i="14"/>
  <c r="C84" i="14" s="1"/>
  <c r="B82" i="14"/>
  <c r="B81" i="14"/>
  <c r="C82" i="14" s="1"/>
  <c r="B80" i="14"/>
  <c r="K33" i="3" s="1"/>
  <c r="B79" i="14"/>
  <c r="B78" i="14"/>
  <c r="B77" i="14"/>
  <c r="C78" i="14" s="1"/>
  <c r="B76" i="14"/>
  <c r="C77" i="14" s="1"/>
  <c r="B75" i="14"/>
  <c r="B74" i="14"/>
  <c r="C75" i="14" s="1"/>
  <c r="B73" i="14"/>
  <c r="B72" i="14"/>
  <c r="C73" i="14" s="1"/>
  <c r="B71" i="14"/>
  <c r="C72" i="14" s="1"/>
  <c r="B70" i="14"/>
  <c r="B69" i="14"/>
  <c r="C70" i="14" s="1"/>
  <c r="B68" i="14"/>
  <c r="B67" i="14"/>
  <c r="B66" i="14"/>
  <c r="C67" i="14" s="1"/>
  <c r="B65" i="14"/>
  <c r="B64" i="14"/>
  <c r="B63" i="14"/>
  <c r="B62" i="14"/>
  <c r="B61" i="14"/>
  <c r="B60" i="14"/>
  <c r="C61" i="14" s="1"/>
  <c r="B59" i="14"/>
  <c r="C60" i="14" s="1"/>
  <c r="B58" i="14"/>
  <c r="B57" i="14"/>
  <c r="C58" i="14" s="1"/>
  <c r="B56" i="14"/>
  <c r="B55" i="14"/>
  <c r="B54" i="14"/>
  <c r="B53" i="14"/>
  <c r="C54" i="14" s="1"/>
  <c r="B52" i="14"/>
  <c r="B51" i="14"/>
  <c r="C52" i="14" s="1"/>
  <c r="B50" i="14"/>
  <c r="B49" i="14"/>
  <c r="C50" i="14" s="1"/>
  <c r="B48" i="14"/>
  <c r="C49" i="14" s="1"/>
  <c r="B47" i="14"/>
  <c r="B46" i="14"/>
  <c r="B45" i="14"/>
  <c r="B44" i="14"/>
  <c r="B43" i="14"/>
  <c r="C44" i="14" s="1"/>
  <c r="B42" i="14"/>
  <c r="C41" i="14"/>
  <c r="B41" i="14"/>
  <c r="B40" i="14"/>
  <c r="B39" i="14"/>
  <c r="B38" i="14"/>
  <c r="C39" i="14" s="1"/>
  <c r="B37" i="14"/>
  <c r="C38" i="14" s="1"/>
  <c r="B36" i="14"/>
  <c r="C37" i="14" s="1"/>
  <c r="C35" i="14"/>
  <c r="B35" i="14"/>
  <c r="B34" i="14"/>
  <c r="B33" i="14"/>
  <c r="C34" i="14" s="1"/>
  <c r="B32" i="14"/>
  <c r="B31" i="14"/>
  <c r="B30" i="14"/>
  <c r="C29" i="14"/>
  <c r="B29" i="14"/>
  <c r="B28" i="14"/>
  <c r="B27" i="14"/>
  <c r="C28" i="14" s="1"/>
  <c r="B26" i="14"/>
  <c r="C27" i="14" s="1"/>
  <c r="B25" i="14"/>
  <c r="B24" i="14"/>
  <c r="B23" i="14"/>
  <c r="B22" i="14"/>
  <c r="C23" i="14" s="1"/>
  <c r="B21" i="14"/>
  <c r="B20" i="14"/>
  <c r="B19" i="14"/>
  <c r="B18" i="14"/>
  <c r="B17" i="14"/>
  <c r="B16" i="14"/>
  <c r="C17" i="14" s="1"/>
  <c r="B15" i="14"/>
  <c r="B14" i="14"/>
  <c r="B13" i="14"/>
  <c r="B12" i="14"/>
  <c r="B11" i="14"/>
  <c r="C11" i="14" s="1"/>
  <c r="B10" i="14"/>
  <c r="B9" i="14"/>
  <c r="C10" i="14" s="1"/>
  <c r="B8" i="14"/>
  <c r="B7" i="14"/>
  <c r="B6" i="14"/>
  <c r="C150" i="13"/>
  <c r="B150" i="13"/>
  <c r="B149" i="13"/>
  <c r="B148" i="13"/>
  <c r="Q101" i="3" s="1"/>
  <c r="B147" i="13"/>
  <c r="C147" i="13" s="1"/>
  <c r="B146" i="13"/>
  <c r="C146" i="13" s="1"/>
  <c r="B145" i="13"/>
  <c r="C144" i="13"/>
  <c r="B144" i="13"/>
  <c r="B143" i="13"/>
  <c r="C143" i="13" s="1"/>
  <c r="B142" i="13"/>
  <c r="Q95" i="3" s="1"/>
  <c r="C141" i="13"/>
  <c r="B141" i="13"/>
  <c r="C140" i="13"/>
  <c r="B140" i="13"/>
  <c r="B139" i="13"/>
  <c r="B138" i="13"/>
  <c r="C139" i="13" s="1"/>
  <c r="C137" i="13"/>
  <c r="B137" i="13"/>
  <c r="B136" i="13"/>
  <c r="B135" i="13"/>
  <c r="Q88" i="3" s="1"/>
  <c r="B134" i="13"/>
  <c r="C134" i="13" s="1"/>
  <c r="B133" i="13"/>
  <c r="B132" i="13"/>
  <c r="C133" i="13" s="1"/>
  <c r="C131" i="13"/>
  <c r="B131" i="13"/>
  <c r="B130" i="13"/>
  <c r="C130" i="13" s="1"/>
  <c r="B129" i="13"/>
  <c r="C129" i="13" s="1"/>
  <c r="C128" i="13"/>
  <c r="B128" i="13"/>
  <c r="B127" i="13"/>
  <c r="B126" i="13"/>
  <c r="C125" i="13"/>
  <c r="B125" i="13"/>
  <c r="C124" i="13"/>
  <c r="B124" i="13"/>
  <c r="B123" i="13"/>
  <c r="B122" i="13"/>
  <c r="Q75" i="3" s="1"/>
  <c r="B121" i="13"/>
  <c r="B120" i="13"/>
  <c r="B119" i="13"/>
  <c r="C120" i="13" s="1"/>
  <c r="C118" i="13"/>
  <c r="B118" i="13"/>
  <c r="B117" i="13"/>
  <c r="C117" i="13" s="1"/>
  <c r="B116" i="13"/>
  <c r="Q69" i="3" s="1"/>
  <c r="B115" i="13"/>
  <c r="Q68" i="3" s="1"/>
  <c r="B114" i="13"/>
  <c r="B113" i="13"/>
  <c r="C113" i="13" s="1"/>
  <c r="C112" i="13"/>
  <c r="B112" i="13"/>
  <c r="C111" i="13"/>
  <c r="B111" i="13"/>
  <c r="B110" i="13"/>
  <c r="B109" i="13"/>
  <c r="Q62" i="3" s="1"/>
  <c r="C108" i="13"/>
  <c r="B108" i="13"/>
  <c r="B107" i="13"/>
  <c r="B106" i="13"/>
  <c r="C107" i="13" s="1"/>
  <c r="C105" i="13"/>
  <c r="B105" i="13"/>
  <c r="B104" i="13"/>
  <c r="C104" i="13" s="1"/>
  <c r="B103" i="13"/>
  <c r="B102" i="13"/>
  <c r="C103" i="13" s="1"/>
  <c r="B101" i="13"/>
  <c r="C101" i="13" s="1"/>
  <c r="B100" i="13"/>
  <c r="C100" i="13" s="1"/>
  <c r="C99" i="13"/>
  <c r="B99" i="13"/>
  <c r="C98" i="13"/>
  <c r="B98" i="13"/>
  <c r="B97" i="13"/>
  <c r="B96" i="13"/>
  <c r="C97" i="13" s="1"/>
  <c r="C95" i="13"/>
  <c r="B95" i="13"/>
  <c r="B94" i="13"/>
  <c r="B93" i="13"/>
  <c r="C94" i="13" s="1"/>
  <c r="C92" i="13"/>
  <c r="B92" i="13"/>
  <c r="B91" i="13"/>
  <c r="B90" i="13"/>
  <c r="C91" i="13" s="1"/>
  <c r="B89" i="13"/>
  <c r="Q42" i="3" s="1"/>
  <c r="B88" i="13"/>
  <c r="C88" i="13" s="1"/>
  <c r="B87" i="13"/>
  <c r="C87" i="13" s="1"/>
  <c r="C86" i="13"/>
  <c r="B86" i="13"/>
  <c r="B85" i="13"/>
  <c r="B84" i="13"/>
  <c r="B83" i="13"/>
  <c r="C83" i="13" s="1"/>
  <c r="C82" i="13"/>
  <c r="B82" i="13"/>
  <c r="B81" i="13"/>
  <c r="B80" i="13"/>
  <c r="C81" i="13" s="1"/>
  <c r="B79" i="13"/>
  <c r="C78" i="13"/>
  <c r="B78" i="13"/>
  <c r="B77" i="13"/>
  <c r="B76" i="13"/>
  <c r="Q29" i="3" s="1"/>
  <c r="B75" i="13"/>
  <c r="C75" i="13" s="1"/>
  <c r="B74" i="13"/>
  <c r="C74" i="13" s="1"/>
  <c r="B73" i="13"/>
  <c r="C72" i="13"/>
  <c r="B72" i="13"/>
  <c r="B71" i="13"/>
  <c r="C71" i="13" s="1"/>
  <c r="B70" i="13"/>
  <c r="Q23" i="3" s="1"/>
  <c r="C69" i="13"/>
  <c r="B69" i="13"/>
  <c r="C68" i="13"/>
  <c r="B68" i="13"/>
  <c r="B67" i="13"/>
  <c r="C66" i="13"/>
  <c r="B66" i="13"/>
  <c r="C67" i="13" s="1"/>
  <c r="C65" i="13"/>
  <c r="B65" i="13"/>
  <c r="B64" i="13"/>
  <c r="B63" i="13"/>
  <c r="Q16" i="3" s="1"/>
  <c r="B62" i="13"/>
  <c r="C62" i="13" s="1"/>
  <c r="B61" i="13"/>
  <c r="B60" i="13"/>
  <c r="C61" i="13" s="1"/>
  <c r="C59" i="13"/>
  <c r="B59" i="13"/>
  <c r="B58" i="13"/>
  <c r="C58" i="13" s="1"/>
  <c r="B57" i="13"/>
  <c r="C57" i="13" s="1"/>
  <c r="C56" i="13"/>
  <c r="B56" i="13"/>
  <c r="B55" i="13"/>
  <c r="B54" i="13"/>
  <c r="C53" i="13"/>
  <c r="B53" i="13"/>
  <c r="C52" i="13"/>
  <c r="B52" i="13"/>
  <c r="B51" i="13"/>
  <c r="B50" i="13"/>
  <c r="C51" i="13" s="1"/>
  <c r="B49" i="13"/>
  <c r="B48" i="13"/>
  <c r="B47" i="13"/>
  <c r="C48" i="13" s="1"/>
  <c r="C46" i="13"/>
  <c r="B46" i="13"/>
  <c r="B45" i="13"/>
  <c r="C45" i="13" s="1"/>
  <c r="B44" i="13"/>
  <c r="B43" i="13"/>
  <c r="C44" i="13" s="1"/>
  <c r="C42" i="13"/>
  <c r="B42" i="13"/>
  <c r="B41" i="13"/>
  <c r="B40" i="13"/>
  <c r="C41" i="13" s="1"/>
  <c r="B39" i="13"/>
  <c r="C39" i="13" s="1"/>
  <c r="C38" i="13"/>
  <c r="B38" i="13"/>
  <c r="B37" i="13"/>
  <c r="B36" i="13"/>
  <c r="C37" i="13" s="1"/>
  <c r="C35" i="13"/>
  <c r="B35" i="13"/>
  <c r="C34" i="13"/>
  <c r="B34" i="13"/>
  <c r="B33" i="13"/>
  <c r="C32" i="13"/>
  <c r="B32" i="13"/>
  <c r="B31" i="13"/>
  <c r="B30" i="13"/>
  <c r="B29" i="13"/>
  <c r="C29" i="13" s="1"/>
  <c r="C28" i="13"/>
  <c r="B28" i="13"/>
  <c r="B27" i="13"/>
  <c r="C27" i="13" s="1"/>
  <c r="B26" i="13"/>
  <c r="C26" i="13" s="1"/>
  <c r="B25" i="13"/>
  <c r="C24" i="13"/>
  <c r="B24" i="13"/>
  <c r="B23" i="13"/>
  <c r="C23" i="13" s="1"/>
  <c r="B22" i="13"/>
  <c r="C22" i="13" s="1"/>
  <c r="B21" i="13"/>
  <c r="C21" i="13" s="1"/>
  <c r="C20" i="13"/>
  <c r="B20" i="13"/>
  <c r="B19" i="13"/>
  <c r="B18" i="13"/>
  <c r="C19" i="13" s="1"/>
  <c r="C17" i="13"/>
  <c r="B17" i="13"/>
  <c r="B16" i="13"/>
  <c r="B15" i="13"/>
  <c r="C16" i="13" s="1"/>
  <c r="B14" i="13"/>
  <c r="C14" i="13" s="1"/>
  <c r="B13" i="13"/>
  <c r="C12" i="13"/>
  <c r="B12" i="13"/>
  <c r="B11" i="13"/>
  <c r="C11" i="13" s="1"/>
  <c r="B10" i="13"/>
  <c r="B9" i="13"/>
  <c r="C8" i="13"/>
  <c r="B8" i="13"/>
  <c r="B7" i="13"/>
  <c r="B6" i="13"/>
  <c r="B150" i="12"/>
  <c r="C151" i="12" s="1"/>
  <c r="B149" i="12"/>
  <c r="P102" i="3" s="1"/>
  <c r="B148" i="12"/>
  <c r="B147" i="12"/>
  <c r="B146" i="12"/>
  <c r="C147" i="12" s="1"/>
  <c r="B145" i="12"/>
  <c r="B144" i="12"/>
  <c r="B143" i="12"/>
  <c r="C144" i="12" s="1"/>
  <c r="B142" i="12"/>
  <c r="B141" i="12"/>
  <c r="B140" i="12"/>
  <c r="C141" i="12" s="1"/>
  <c r="B139" i="12"/>
  <c r="C140" i="12" s="1"/>
  <c r="B138" i="12"/>
  <c r="B137" i="12"/>
  <c r="C138" i="12" s="1"/>
  <c r="B136" i="12"/>
  <c r="B135" i="12"/>
  <c r="C135" i="12" s="1"/>
  <c r="B134" i="12"/>
  <c r="B133" i="12"/>
  <c r="B132" i="12"/>
  <c r="C133" i="12" s="1"/>
  <c r="B131" i="12"/>
  <c r="B130" i="12"/>
  <c r="B129" i="12"/>
  <c r="B128" i="12"/>
  <c r="P81" i="3" s="1"/>
  <c r="B127" i="12"/>
  <c r="P80" i="3" s="1"/>
  <c r="B126" i="12"/>
  <c r="B125" i="12"/>
  <c r="B124" i="12"/>
  <c r="C125" i="12" s="1"/>
  <c r="B123" i="12"/>
  <c r="B122" i="12"/>
  <c r="B121" i="12"/>
  <c r="C121" i="12" s="1"/>
  <c r="B120" i="12"/>
  <c r="B119" i="12"/>
  <c r="B118" i="12"/>
  <c r="B117" i="12"/>
  <c r="C118" i="12" s="1"/>
  <c r="B116" i="12"/>
  <c r="P69" i="3" s="1"/>
  <c r="B115" i="12"/>
  <c r="B114" i="12"/>
  <c r="C115" i="12" s="1"/>
  <c r="B113" i="12"/>
  <c r="B112" i="12"/>
  <c r="B111" i="12"/>
  <c r="B110" i="12"/>
  <c r="C111" i="12" s="1"/>
  <c r="B109" i="12"/>
  <c r="B108" i="12"/>
  <c r="C109" i="12" s="1"/>
  <c r="B107" i="12"/>
  <c r="B106" i="12"/>
  <c r="B105" i="12"/>
  <c r="C106" i="12" s="1"/>
  <c r="B104" i="12"/>
  <c r="B103" i="12"/>
  <c r="B102" i="12"/>
  <c r="B101" i="12"/>
  <c r="B100" i="12"/>
  <c r="B99" i="12"/>
  <c r="C99" i="12" s="1"/>
  <c r="B98" i="12"/>
  <c r="B97" i="12"/>
  <c r="C98" i="12" s="1"/>
  <c r="B96" i="12"/>
  <c r="B95" i="12"/>
  <c r="B94" i="12"/>
  <c r="C95" i="12" s="1"/>
  <c r="B93" i="12"/>
  <c r="B92" i="12"/>
  <c r="C92" i="12" s="1"/>
  <c r="B91" i="12"/>
  <c r="B90" i="12"/>
  <c r="B89" i="12"/>
  <c r="B88" i="12"/>
  <c r="C89" i="12" s="1"/>
  <c r="B87" i="12"/>
  <c r="B86" i="12"/>
  <c r="C87" i="12" s="1"/>
  <c r="B85" i="12"/>
  <c r="P38" i="3" s="1"/>
  <c r="B84" i="12"/>
  <c r="P37" i="3" s="1"/>
  <c r="B83" i="12"/>
  <c r="P36" i="3" s="1"/>
  <c r="B82" i="12"/>
  <c r="B81" i="12"/>
  <c r="C82" i="12" s="1"/>
  <c r="B80" i="12"/>
  <c r="B79" i="12"/>
  <c r="B78" i="12"/>
  <c r="C78" i="12" s="1"/>
  <c r="B77" i="12"/>
  <c r="B76" i="12"/>
  <c r="C77" i="12" s="1"/>
  <c r="B75" i="12"/>
  <c r="B74" i="12"/>
  <c r="C75" i="12" s="1"/>
  <c r="B73" i="12"/>
  <c r="B72" i="12"/>
  <c r="B71" i="12"/>
  <c r="C71" i="12" s="1"/>
  <c r="B70" i="12"/>
  <c r="B69" i="12"/>
  <c r="B68" i="12"/>
  <c r="B67" i="12"/>
  <c r="B66" i="12"/>
  <c r="B65" i="12"/>
  <c r="C66" i="12" s="1"/>
  <c r="B64" i="12"/>
  <c r="B63" i="12"/>
  <c r="C64" i="12" s="1"/>
  <c r="B62" i="12"/>
  <c r="C63" i="12" s="1"/>
  <c r="B61" i="12"/>
  <c r="B60" i="12"/>
  <c r="B59" i="12"/>
  <c r="B58" i="12"/>
  <c r="B57" i="12"/>
  <c r="B56" i="12"/>
  <c r="B55" i="12"/>
  <c r="C56" i="12" s="1"/>
  <c r="B54" i="12"/>
  <c r="B53" i="12"/>
  <c r="C54" i="12" s="1"/>
  <c r="B52" i="12"/>
  <c r="B51" i="12"/>
  <c r="C52" i="12" s="1"/>
  <c r="B50" i="12"/>
  <c r="C51" i="12" s="1"/>
  <c r="B49" i="12"/>
  <c r="B48" i="12"/>
  <c r="B47" i="12"/>
  <c r="B46" i="12"/>
  <c r="B45" i="12"/>
  <c r="B44" i="12"/>
  <c r="B43" i="12"/>
  <c r="C44" i="12" s="1"/>
  <c r="B42" i="12"/>
  <c r="B41" i="12"/>
  <c r="C42" i="12" s="1"/>
  <c r="B40" i="12"/>
  <c r="B39" i="12"/>
  <c r="C40" i="12" s="1"/>
  <c r="B38" i="12"/>
  <c r="C39" i="12" s="1"/>
  <c r="B37" i="12"/>
  <c r="B36" i="12"/>
  <c r="B35" i="12"/>
  <c r="B34" i="12"/>
  <c r="B33" i="12"/>
  <c r="B32" i="12"/>
  <c r="B31" i="12"/>
  <c r="C32" i="12" s="1"/>
  <c r="B30" i="12"/>
  <c r="B29" i="12"/>
  <c r="B28" i="12"/>
  <c r="B27" i="12"/>
  <c r="C28" i="12" s="1"/>
  <c r="B26" i="12"/>
  <c r="C27" i="12" s="1"/>
  <c r="B25" i="12"/>
  <c r="B24" i="12"/>
  <c r="B23" i="12"/>
  <c r="B22" i="12"/>
  <c r="B21" i="12"/>
  <c r="B20" i="12"/>
  <c r="B19" i="12"/>
  <c r="C20" i="12" s="1"/>
  <c r="B18" i="12"/>
  <c r="B17" i="12"/>
  <c r="B16" i="12"/>
  <c r="B15" i="12"/>
  <c r="C16" i="12" s="1"/>
  <c r="B14" i="12"/>
  <c r="C15" i="12" s="1"/>
  <c r="B13" i="12"/>
  <c r="B12" i="12"/>
  <c r="B11" i="12"/>
  <c r="B10" i="12"/>
  <c r="B9" i="12"/>
  <c r="B8" i="12"/>
  <c r="B7" i="12"/>
  <c r="C8" i="12" s="1"/>
  <c r="B6" i="12"/>
  <c r="B150" i="11"/>
  <c r="O103" i="3" s="1"/>
  <c r="O7" i="3" s="1"/>
  <c r="C149" i="11"/>
  <c r="B149" i="11"/>
  <c r="C148" i="11"/>
  <c r="B148" i="11"/>
  <c r="B147" i="11"/>
  <c r="C147" i="11" s="1"/>
  <c r="B146" i="11"/>
  <c r="C146" i="11" s="1"/>
  <c r="B145" i="11"/>
  <c r="B144" i="11"/>
  <c r="B143" i="11"/>
  <c r="O96" i="3" s="1"/>
  <c r="B142" i="11"/>
  <c r="O95" i="3" s="1"/>
  <c r="B141" i="11"/>
  <c r="B140" i="11"/>
  <c r="C141" i="11" s="1"/>
  <c r="B139" i="11"/>
  <c r="C140" i="11" s="1"/>
  <c r="B138" i="11"/>
  <c r="B137" i="11"/>
  <c r="C138" i="11" s="1"/>
  <c r="C136" i="11"/>
  <c r="B136" i="11"/>
  <c r="C135" i="11"/>
  <c r="B135" i="11"/>
  <c r="B134" i="11"/>
  <c r="C134" i="11" s="1"/>
  <c r="B133" i="11"/>
  <c r="C132" i="11"/>
  <c r="B132" i="11"/>
  <c r="B131" i="11"/>
  <c r="C131" i="11" s="1"/>
  <c r="B130" i="11"/>
  <c r="O83" i="3" s="1"/>
  <c r="B129" i="11"/>
  <c r="O82" i="3" s="1"/>
  <c r="B128" i="11"/>
  <c r="B127" i="11"/>
  <c r="C128" i="11" s="1"/>
  <c r="B126" i="11"/>
  <c r="B125" i="11"/>
  <c r="B124" i="11"/>
  <c r="O77" i="3" s="1"/>
  <c r="C123" i="11"/>
  <c r="B123" i="11"/>
  <c r="C122" i="11"/>
  <c r="B122" i="11"/>
  <c r="B121" i="11"/>
  <c r="C120" i="11"/>
  <c r="B120" i="11"/>
  <c r="C121" i="11" s="1"/>
  <c r="C119" i="11"/>
  <c r="B119" i="11"/>
  <c r="B118" i="11"/>
  <c r="C118" i="11" s="1"/>
  <c r="B117" i="11"/>
  <c r="O70" i="3" s="1"/>
  <c r="B116" i="11"/>
  <c r="O69" i="3" s="1"/>
  <c r="B115" i="11"/>
  <c r="B114" i="11"/>
  <c r="C115" i="11" s="1"/>
  <c r="B113" i="11"/>
  <c r="C113" i="11" s="1"/>
  <c r="B112" i="11"/>
  <c r="B111" i="11"/>
  <c r="C112" i="11" s="1"/>
  <c r="C110" i="11"/>
  <c r="B110" i="11"/>
  <c r="B109" i="11"/>
  <c r="O62" i="3" s="1"/>
  <c r="B108" i="11"/>
  <c r="C107" i="11"/>
  <c r="B107" i="11"/>
  <c r="C108" i="11" s="1"/>
  <c r="C106" i="11"/>
  <c r="B106" i="11"/>
  <c r="B105" i="11"/>
  <c r="C105" i="11" s="1"/>
  <c r="B104" i="11"/>
  <c r="O57" i="3" s="1"/>
  <c r="B103" i="11"/>
  <c r="C102" i="11"/>
  <c r="B102" i="11"/>
  <c r="C103" i="11" s="1"/>
  <c r="B101" i="11"/>
  <c r="C101" i="11" s="1"/>
  <c r="B100" i="11"/>
  <c r="C100" i="11" s="1"/>
  <c r="B99" i="11"/>
  <c r="B98" i="11"/>
  <c r="C99" i="11" s="1"/>
  <c r="B97" i="11"/>
  <c r="O50" i="3" s="1"/>
  <c r="B96" i="11"/>
  <c r="B95" i="11"/>
  <c r="C94" i="11"/>
  <c r="B94" i="11"/>
  <c r="C95" i="11" s="1"/>
  <c r="C93" i="11"/>
  <c r="B93" i="11"/>
  <c r="B92" i="11"/>
  <c r="C92" i="11" s="1"/>
  <c r="B91" i="11"/>
  <c r="O44" i="3" s="1"/>
  <c r="C90" i="11"/>
  <c r="B90" i="11"/>
  <c r="C89" i="11"/>
  <c r="B89" i="11"/>
  <c r="B88" i="11"/>
  <c r="C88" i="11" s="1"/>
  <c r="B87" i="11"/>
  <c r="O40" i="3" s="1"/>
  <c r="C86" i="11"/>
  <c r="B86" i="11"/>
  <c r="B85" i="11"/>
  <c r="B84" i="11"/>
  <c r="C85" i="11" s="1"/>
  <c r="B83" i="11"/>
  <c r="O36" i="3" s="1"/>
  <c r="B82" i="11"/>
  <c r="C81" i="11"/>
  <c r="B81" i="11"/>
  <c r="C82" i="11" s="1"/>
  <c r="C80" i="11"/>
  <c r="B80" i="11"/>
  <c r="B79" i="11"/>
  <c r="B78" i="11"/>
  <c r="C79" i="11" s="1"/>
  <c r="C77" i="11"/>
  <c r="B77" i="11"/>
  <c r="C76" i="11"/>
  <c r="B76" i="11"/>
  <c r="B75" i="11"/>
  <c r="C75" i="11" s="1"/>
  <c r="B74" i="11"/>
  <c r="C74" i="11" s="1"/>
  <c r="B73" i="11"/>
  <c r="B72" i="11"/>
  <c r="B71" i="11"/>
  <c r="O24" i="3" s="1"/>
  <c r="B70" i="11"/>
  <c r="O23" i="3" s="1"/>
  <c r="B69" i="11"/>
  <c r="B68" i="11"/>
  <c r="C68" i="11" s="1"/>
  <c r="B67" i="11"/>
  <c r="C66" i="11"/>
  <c r="B66" i="11"/>
  <c r="B65" i="11"/>
  <c r="C65" i="11" s="1"/>
  <c r="B64" i="11"/>
  <c r="C64" i="11" s="1"/>
  <c r="B63" i="11"/>
  <c r="C62" i="11"/>
  <c r="B62" i="11"/>
  <c r="B61" i="11"/>
  <c r="C60" i="11"/>
  <c r="B60" i="11"/>
  <c r="C61" i="11" s="1"/>
  <c r="C59" i="11"/>
  <c r="B59" i="11"/>
  <c r="B58" i="11"/>
  <c r="C58" i="11" s="1"/>
  <c r="B57" i="11"/>
  <c r="C57" i="11" s="1"/>
  <c r="B56" i="11"/>
  <c r="B55" i="11"/>
  <c r="C56" i="11" s="1"/>
  <c r="B54" i="11"/>
  <c r="B53" i="11"/>
  <c r="C54" i="11" s="1"/>
  <c r="B52" i="11"/>
  <c r="B51" i="11"/>
  <c r="C51" i="11" s="1"/>
  <c r="B50" i="11"/>
  <c r="C50" i="11" s="1"/>
  <c r="B49" i="11"/>
  <c r="B48" i="11"/>
  <c r="B47" i="11"/>
  <c r="C48" i="11" s="1"/>
  <c r="B46" i="11"/>
  <c r="B45" i="11"/>
  <c r="C45" i="11" s="1"/>
  <c r="B44" i="11"/>
  <c r="C44" i="11" s="1"/>
  <c r="B43" i="11"/>
  <c r="B42" i="11"/>
  <c r="B41" i="11"/>
  <c r="B40" i="11"/>
  <c r="B39" i="11"/>
  <c r="C39" i="11" s="1"/>
  <c r="B38" i="11"/>
  <c r="B37" i="11"/>
  <c r="C38" i="11" s="1"/>
  <c r="B36" i="11"/>
  <c r="B35" i="11"/>
  <c r="B34" i="11"/>
  <c r="B33" i="11"/>
  <c r="C33" i="11" s="1"/>
  <c r="B32" i="11"/>
  <c r="B31" i="11"/>
  <c r="C32" i="11" s="1"/>
  <c r="B30" i="11"/>
  <c r="B29" i="11"/>
  <c r="C30" i="11" s="1"/>
  <c r="B28" i="11"/>
  <c r="B27" i="11"/>
  <c r="C27" i="11" s="1"/>
  <c r="B26" i="11"/>
  <c r="C26" i="11" s="1"/>
  <c r="B25" i="11"/>
  <c r="B24" i="11"/>
  <c r="B23" i="11"/>
  <c r="C24" i="11" s="1"/>
  <c r="B22" i="11"/>
  <c r="B21" i="11"/>
  <c r="C21" i="11" s="1"/>
  <c r="B20" i="11"/>
  <c r="C20" i="11" s="1"/>
  <c r="B19" i="11"/>
  <c r="B18" i="11"/>
  <c r="B17" i="11"/>
  <c r="B16" i="11"/>
  <c r="B15" i="11"/>
  <c r="C16" i="11" s="1"/>
  <c r="B14" i="11"/>
  <c r="B13" i="11"/>
  <c r="C14" i="11" s="1"/>
  <c r="B12" i="11"/>
  <c r="B11" i="11"/>
  <c r="B10" i="11"/>
  <c r="B9" i="11"/>
  <c r="B8" i="11"/>
  <c r="B7" i="11"/>
  <c r="C8" i="11" s="1"/>
  <c r="B6" i="11"/>
  <c r="C150" i="10"/>
  <c r="B150" i="10"/>
  <c r="B149" i="10"/>
  <c r="B148" i="10"/>
  <c r="B147" i="10"/>
  <c r="C148" i="10" s="1"/>
  <c r="B146" i="10"/>
  <c r="B145" i="10"/>
  <c r="C144" i="10"/>
  <c r="B144" i="10"/>
  <c r="B143" i="10"/>
  <c r="B142" i="10"/>
  <c r="C143" i="10" s="1"/>
  <c r="B141" i="10"/>
  <c r="B140" i="10"/>
  <c r="J93" i="3" s="1"/>
  <c r="B139" i="10"/>
  <c r="C138" i="10"/>
  <c r="B138" i="10"/>
  <c r="B137" i="10"/>
  <c r="B136" i="10"/>
  <c r="C137" i="10" s="1"/>
  <c r="B135" i="10"/>
  <c r="B134" i="10"/>
  <c r="B133" i="10"/>
  <c r="B132" i="10"/>
  <c r="C132" i="10" s="1"/>
  <c r="B131" i="10"/>
  <c r="B130" i="10"/>
  <c r="C131" i="10" s="1"/>
  <c r="B129" i="10"/>
  <c r="B128" i="10"/>
  <c r="J81" i="3" s="1"/>
  <c r="B127" i="10"/>
  <c r="B126" i="10"/>
  <c r="C127" i="10" s="1"/>
  <c r="B125" i="10"/>
  <c r="B124" i="10"/>
  <c r="B123" i="10"/>
  <c r="B122" i="10"/>
  <c r="B121" i="10"/>
  <c r="C122" i="10" s="1"/>
  <c r="B120" i="10"/>
  <c r="J73" i="3" s="1"/>
  <c r="B119" i="10"/>
  <c r="B118" i="10"/>
  <c r="C119" i="10" s="1"/>
  <c r="B117" i="10"/>
  <c r="B116" i="10"/>
  <c r="B115" i="10"/>
  <c r="C116" i="10" s="1"/>
  <c r="C114" i="10"/>
  <c r="B114" i="10"/>
  <c r="B113" i="10"/>
  <c r="B112" i="10"/>
  <c r="B111" i="10"/>
  <c r="B110" i="10"/>
  <c r="B109" i="10"/>
  <c r="C110" i="10" s="1"/>
  <c r="B108" i="10"/>
  <c r="B107" i="10"/>
  <c r="B106" i="10"/>
  <c r="B105" i="10"/>
  <c r="J58" i="3" s="1"/>
  <c r="B104" i="10"/>
  <c r="B103" i="10"/>
  <c r="B102" i="10"/>
  <c r="B101" i="10"/>
  <c r="C102" i="10" s="1"/>
  <c r="B100" i="10"/>
  <c r="B99" i="10"/>
  <c r="B98" i="10"/>
  <c r="B97" i="10"/>
  <c r="C98" i="10" s="1"/>
  <c r="B96" i="10"/>
  <c r="C96" i="10" s="1"/>
  <c r="B95" i="10"/>
  <c r="J48" i="3" s="1"/>
  <c r="B94" i="10"/>
  <c r="J47" i="3" s="1"/>
  <c r="B93" i="10"/>
  <c r="B92" i="10"/>
  <c r="B91" i="10"/>
  <c r="B90" i="10"/>
  <c r="C91" i="10" s="1"/>
  <c r="B89" i="10"/>
  <c r="C90" i="10" s="1"/>
  <c r="B88" i="10"/>
  <c r="B87" i="10"/>
  <c r="J40" i="3" s="1"/>
  <c r="B86" i="10"/>
  <c r="B85" i="10"/>
  <c r="C86" i="10" s="1"/>
  <c r="C84" i="10"/>
  <c r="B84" i="10"/>
  <c r="C85" i="10" s="1"/>
  <c r="B83" i="10"/>
  <c r="B82" i="10"/>
  <c r="B81" i="10"/>
  <c r="B80" i="10"/>
  <c r="B79" i="10"/>
  <c r="C78" i="10"/>
  <c r="B78" i="10"/>
  <c r="B77" i="10"/>
  <c r="B76" i="10"/>
  <c r="B75" i="10"/>
  <c r="B74" i="10"/>
  <c r="B73" i="10"/>
  <c r="C72" i="10"/>
  <c r="B72" i="10"/>
  <c r="B71" i="10"/>
  <c r="B70" i="10"/>
  <c r="C71" i="10" s="1"/>
  <c r="B69" i="10"/>
  <c r="B68" i="10"/>
  <c r="B67" i="10"/>
  <c r="B66" i="10"/>
  <c r="C67" i="10" s="1"/>
  <c r="B65" i="10"/>
  <c r="B64" i="10"/>
  <c r="C65" i="10" s="1"/>
  <c r="B63" i="10"/>
  <c r="C64" i="10" s="1"/>
  <c r="B62" i="10"/>
  <c r="B61" i="10"/>
  <c r="B60" i="10"/>
  <c r="B59" i="10"/>
  <c r="B58" i="10"/>
  <c r="C59" i="10" s="1"/>
  <c r="B57" i="10"/>
  <c r="B56" i="10"/>
  <c r="B55" i="10"/>
  <c r="B54" i="10"/>
  <c r="C55" i="10" s="1"/>
  <c r="B53" i="10"/>
  <c r="B52" i="10"/>
  <c r="C53" i="10" s="1"/>
  <c r="B51" i="10"/>
  <c r="C52" i="10" s="1"/>
  <c r="B50" i="10"/>
  <c r="B49" i="10"/>
  <c r="B48" i="10"/>
  <c r="B47" i="10"/>
  <c r="B46" i="10"/>
  <c r="C47" i="10" s="1"/>
  <c r="B45" i="10"/>
  <c r="B44" i="10"/>
  <c r="B43" i="10"/>
  <c r="B42" i="10"/>
  <c r="C43" i="10" s="1"/>
  <c r="B41" i="10"/>
  <c r="B40" i="10"/>
  <c r="C41" i="10" s="1"/>
  <c r="B39" i="10"/>
  <c r="C40" i="10" s="1"/>
  <c r="B38" i="10"/>
  <c r="B37" i="10"/>
  <c r="B36" i="10"/>
  <c r="B35" i="10"/>
  <c r="B34" i="10"/>
  <c r="C35" i="10" s="1"/>
  <c r="B33" i="10"/>
  <c r="B32" i="10"/>
  <c r="B31" i="10"/>
  <c r="B30" i="10"/>
  <c r="C31" i="10" s="1"/>
  <c r="B29" i="10"/>
  <c r="B28" i="10"/>
  <c r="C29" i="10" s="1"/>
  <c r="B27" i="10"/>
  <c r="C28" i="10" s="1"/>
  <c r="B26" i="10"/>
  <c r="B25" i="10"/>
  <c r="B24" i="10"/>
  <c r="B23" i="10"/>
  <c r="B22" i="10"/>
  <c r="C23" i="10" s="1"/>
  <c r="B21" i="10"/>
  <c r="B20" i="10"/>
  <c r="B19" i="10"/>
  <c r="B18" i="10"/>
  <c r="C19" i="10" s="1"/>
  <c r="B17" i="10"/>
  <c r="B16" i="10"/>
  <c r="C17" i="10" s="1"/>
  <c r="B15" i="10"/>
  <c r="C16" i="10" s="1"/>
  <c r="B14" i="10"/>
  <c r="B13" i="10"/>
  <c r="B12" i="10"/>
  <c r="B11" i="10"/>
  <c r="B10" i="10"/>
  <c r="C11" i="10" s="1"/>
  <c r="B9" i="10"/>
  <c r="B8" i="10"/>
  <c r="B7" i="10"/>
  <c r="B6" i="10"/>
  <c r="C7" i="10" s="1"/>
  <c r="B189" i="9"/>
  <c r="C190" i="9" s="1"/>
  <c r="B188" i="9"/>
  <c r="C189" i="9" s="1"/>
  <c r="C187" i="9"/>
  <c r="B187" i="9"/>
  <c r="B186" i="9"/>
  <c r="C186" i="9" s="1"/>
  <c r="B185" i="9"/>
  <c r="H99" i="3" s="1"/>
  <c r="B184" i="9"/>
  <c r="C185" i="9" s="1"/>
  <c r="B183" i="9"/>
  <c r="C183" i="9" s="1"/>
  <c r="B182" i="9"/>
  <c r="C182" i="9" s="1"/>
  <c r="C181" i="9"/>
  <c r="B181" i="9"/>
  <c r="B180" i="9"/>
  <c r="B179" i="9"/>
  <c r="C180" i="9" s="1"/>
  <c r="C178" i="9"/>
  <c r="B178" i="9"/>
  <c r="C179" i="9" s="1"/>
  <c r="C177" i="9"/>
  <c r="B177" i="9"/>
  <c r="B176" i="9"/>
  <c r="B175" i="9"/>
  <c r="C176" i="9" s="1"/>
  <c r="C174" i="9"/>
  <c r="B174" i="9"/>
  <c r="B173" i="9"/>
  <c r="B172" i="9"/>
  <c r="C173" i="9" s="1"/>
  <c r="B171" i="9"/>
  <c r="C171" i="9" s="1"/>
  <c r="B170" i="9"/>
  <c r="C170" i="9" s="1"/>
  <c r="B169" i="9"/>
  <c r="C169" i="9" s="1"/>
  <c r="C168" i="9"/>
  <c r="B168" i="9"/>
  <c r="B167" i="9"/>
  <c r="B166" i="9"/>
  <c r="C167" i="9" s="1"/>
  <c r="C165" i="9"/>
  <c r="B165" i="9"/>
  <c r="C164" i="9"/>
  <c r="B164" i="9"/>
  <c r="B163" i="9"/>
  <c r="B162" i="9"/>
  <c r="C163" i="9" s="1"/>
  <c r="B161" i="9"/>
  <c r="B160" i="9"/>
  <c r="B159" i="9"/>
  <c r="H73" i="3" s="1"/>
  <c r="B158" i="9"/>
  <c r="H72" i="3" s="1"/>
  <c r="B157" i="9"/>
  <c r="C157" i="9" s="1"/>
  <c r="B156" i="9"/>
  <c r="C156" i="9" s="1"/>
  <c r="B155" i="9"/>
  <c r="C154" i="9"/>
  <c r="B154" i="9"/>
  <c r="B153" i="9"/>
  <c r="C153" i="9" s="1"/>
  <c r="C152" i="9"/>
  <c r="B152" i="9"/>
  <c r="C151" i="9"/>
  <c r="B151" i="9"/>
  <c r="C150" i="9"/>
  <c r="B150" i="9"/>
  <c r="B149" i="9"/>
  <c r="C148" i="9"/>
  <c r="B148" i="9"/>
  <c r="C149" i="9" s="1"/>
  <c r="B147" i="9"/>
  <c r="C147" i="9" s="1"/>
  <c r="B146" i="9"/>
  <c r="H60" i="3" s="1"/>
  <c r="B145" i="9"/>
  <c r="H59" i="3" s="1"/>
  <c r="B144" i="9"/>
  <c r="C144" i="9" s="1"/>
  <c r="B143" i="9"/>
  <c r="B142" i="9"/>
  <c r="C143" i="9" s="1"/>
  <c r="C141" i="9"/>
  <c r="B141" i="9"/>
  <c r="B140" i="9"/>
  <c r="C140" i="9" s="1"/>
  <c r="C139" i="9"/>
  <c r="B139" i="9"/>
  <c r="C138" i="9"/>
  <c r="B138" i="9"/>
  <c r="B137" i="9"/>
  <c r="B136" i="9"/>
  <c r="C135" i="9"/>
  <c r="B135" i="9"/>
  <c r="B134" i="9"/>
  <c r="C134" i="9" s="1"/>
  <c r="B133" i="9"/>
  <c r="C133" i="9" s="1"/>
  <c r="B132" i="9"/>
  <c r="H46" i="3" s="1"/>
  <c r="B131" i="9"/>
  <c r="B130" i="9"/>
  <c r="B129" i="9"/>
  <c r="C130" i="9" s="1"/>
  <c r="C128" i="9"/>
  <c r="B128" i="9"/>
  <c r="B127" i="9"/>
  <c r="C127" i="9" s="1"/>
  <c r="B126" i="9"/>
  <c r="B125" i="9"/>
  <c r="H39" i="3" s="1"/>
  <c r="B124" i="9"/>
  <c r="B123" i="9"/>
  <c r="C123" i="9" s="1"/>
  <c r="C122" i="9"/>
  <c r="B122" i="9"/>
  <c r="B121" i="9"/>
  <c r="C121" i="9" s="1"/>
  <c r="B120" i="9"/>
  <c r="H34" i="3" s="1"/>
  <c r="B119" i="9"/>
  <c r="C118" i="9"/>
  <c r="B118" i="9"/>
  <c r="C119" i="9" s="1"/>
  <c r="B117" i="9"/>
  <c r="B116" i="9"/>
  <c r="C117" i="9" s="1"/>
  <c r="C115" i="9"/>
  <c r="B115" i="9"/>
  <c r="B114" i="9"/>
  <c r="C114" i="9" s="1"/>
  <c r="B113" i="9"/>
  <c r="B112" i="9"/>
  <c r="C113" i="9" s="1"/>
  <c r="B111" i="9"/>
  <c r="C111" i="9" s="1"/>
  <c r="B110" i="9"/>
  <c r="C110" i="9" s="1"/>
  <c r="C109" i="9"/>
  <c r="B109" i="9"/>
  <c r="B108" i="9"/>
  <c r="C108" i="9" s="1"/>
  <c r="B107" i="9"/>
  <c r="C106" i="9"/>
  <c r="B106" i="9"/>
  <c r="C107" i="9" s="1"/>
  <c r="C105" i="9"/>
  <c r="B105" i="9"/>
  <c r="B104" i="9"/>
  <c r="B103" i="9"/>
  <c r="C104" i="9" s="1"/>
  <c r="C102" i="9"/>
  <c r="B102" i="9"/>
  <c r="B101" i="9"/>
  <c r="B100" i="9"/>
  <c r="C99" i="9"/>
  <c r="B99" i="9"/>
  <c r="C98" i="9"/>
  <c r="B98" i="9"/>
  <c r="B97" i="9"/>
  <c r="B96" i="9"/>
  <c r="C97" i="9" s="1"/>
  <c r="B95" i="9"/>
  <c r="B94" i="9"/>
  <c r="B93" i="9"/>
  <c r="C93" i="9" s="1"/>
  <c r="C92" i="9"/>
  <c r="B92" i="9"/>
  <c r="C91" i="9"/>
  <c r="B91" i="9"/>
  <c r="C90" i="9"/>
  <c r="B90" i="9"/>
  <c r="B89" i="9"/>
  <c r="B88" i="9"/>
  <c r="C89" i="9" s="1"/>
  <c r="C87" i="9"/>
  <c r="B87" i="9"/>
  <c r="B86" i="9"/>
  <c r="C86" i="9" s="1"/>
  <c r="C85" i="9"/>
  <c r="B85" i="9"/>
  <c r="C84" i="9"/>
  <c r="B84" i="9"/>
  <c r="B83" i="9"/>
  <c r="B82" i="9"/>
  <c r="C81" i="9"/>
  <c r="B81" i="9"/>
  <c r="B80" i="9"/>
  <c r="C80" i="9" s="1"/>
  <c r="B79" i="9"/>
  <c r="C79" i="9" s="1"/>
  <c r="B78" i="9"/>
  <c r="C78" i="9" s="1"/>
  <c r="B77" i="9"/>
  <c r="B76" i="9"/>
  <c r="B75" i="9"/>
  <c r="C76" i="9" s="1"/>
  <c r="C74" i="9"/>
  <c r="B74" i="9"/>
  <c r="B73" i="9"/>
  <c r="C73" i="9" s="1"/>
  <c r="B72" i="9"/>
  <c r="B71" i="9"/>
  <c r="C72" i="9" s="1"/>
  <c r="C70" i="9"/>
  <c r="B70" i="9"/>
  <c r="B69" i="9"/>
  <c r="C69" i="9" s="1"/>
  <c r="C68" i="9"/>
  <c r="B68" i="9"/>
  <c r="B67" i="9"/>
  <c r="B66" i="9"/>
  <c r="C66" i="9" s="1"/>
  <c r="B65" i="9"/>
  <c r="B64" i="9"/>
  <c r="C65" i="9" s="1"/>
  <c r="B63" i="9"/>
  <c r="C62" i="9"/>
  <c r="B62" i="9"/>
  <c r="B61" i="9"/>
  <c r="C60" i="9"/>
  <c r="B60" i="9"/>
  <c r="B59" i="9"/>
  <c r="B58" i="9"/>
  <c r="B57" i="9"/>
  <c r="B56" i="9"/>
  <c r="C57" i="9" s="1"/>
  <c r="B55" i="9"/>
  <c r="C55" i="9" s="1"/>
  <c r="C54" i="9"/>
  <c r="B54" i="9"/>
  <c r="B53" i="9"/>
  <c r="B52" i="9"/>
  <c r="C53" i="9" s="1"/>
  <c r="B51" i="9"/>
  <c r="C50" i="9"/>
  <c r="B50" i="9"/>
  <c r="B49" i="9"/>
  <c r="B48" i="9"/>
  <c r="C48" i="9" s="1"/>
  <c r="B47" i="9"/>
  <c r="C46" i="9"/>
  <c r="B46" i="9"/>
  <c r="C47" i="9" s="1"/>
  <c r="B45" i="9"/>
  <c r="B44" i="9"/>
  <c r="B43" i="9"/>
  <c r="C43" i="9" s="1"/>
  <c r="C42" i="9"/>
  <c r="B42" i="9"/>
  <c r="B41" i="9"/>
  <c r="B40" i="9"/>
  <c r="C41" i="9" s="1"/>
  <c r="B39" i="9"/>
  <c r="C38" i="9"/>
  <c r="B38" i="9"/>
  <c r="C39" i="9" s="1"/>
  <c r="B37" i="9"/>
  <c r="C37" i="9" s="1"/>
  <c r="B36" i="9"/>
  <c r="C36" i="9" s="1"/>
  <c r="B35" i="9"/>
  <c r="B34" i="9"/>
  <c r="B33" i="9"/>
  <c r="B32" i="9"/>
  <c r="C33" i="9" s="1"/>
  <c r="B31" i="9"/>
  <c r="B30" i="9"/>
  <c r="C30" i="9" s="1"/>
  <c r="B29" i="9"/>
  <c r="B28" i="9"/>
  <c r="B27" i="9"/>
  <c r="B26" i="9"/>
  <c r="C27" i="9" s="1"/>
  <c r="B25" i="9"/>
  <c r="B24" i="9"/>
  <c r="B23" i="9"/>
  <c r="B22" i="9"/>
  <c r="C23" i="9" s="1"/>
  <c r="B21" i="9"/>
  <c r="C22" i="9" s="1"/>
  <c r="C20" i="9"/>
  <c r="B20" i="9"/>
  <c r="B19" i="9"/>
  <c r="B18" i="9"/>
  <c r="C19" i="9" s="1"/>
  <c r="B17" i="9"/>
  <c r="B16" i="9"/>
  <c r="B15" i="9"/>
  <c r="B14" i="9"/>
  <c r="C15" i="9" s="1"/>
  <c r="B13" i="9"/>
  <c r="C14" i="9" s="1"/>
  <c r="B12" i="9"/>
  <c r="B11" i="9"/>
  <c r="B10" i="9"/>
  <c r="C11" i="9" s="1"/>
  <c r="B9" i="9"/>
  <c r="C8" i="9"/>
  <c r="B8" i="9"/>
  <c r="B7" i="9"/>
  <c r="B6" i="9"/>
  <c r="C7" i="9" s="1"/>
  <c r="B176" i="8"/>
  <c r="B175" i="8"/>
  <c r="B174" i="8"/>
  <c r="C174" i="8" s="1"/>
  <c r="B173" i="8"/>
  <c r="I100" i="3" s="1"/>
  <c r="B172" i="8"/>
  <c r="B171" i="8"/>
  <c r="B170" i="8"/>
  <c r="B169" i="8"/>
  <c r="C168" i="8"/>
  <c r="B168" i="8"/>
  <c r="B167" i="8"/>
  <c r="B166" i="8"/>
  <c r="C167" i="8" s="1"/>
  <c r="B165" i="8"/>
  <c r="B164" i="8"/>
  <c r="B163" i="8"/>
  <c r="C162" i="8"/>
  <c r="B162" i="8"/>
  <c r="B161" i="8"/>
  <c r="I88" i="3" s="1"/>
  <c r="B160" i="8"/>
  <c r="C161" i="8" s="1"/>
  <c r="B159" i="8"/>
  <c r="I86" i="3" s="1"/>
  <c r="B158" i="8"/>
  <c r="B157" i="8"/>
  <c r="B156" i="8"/>
  <c r="C156" i="8" s="1"/>
  <c r="B155" i="8"/>
  <c r="B154" i="8"/>
  <c r="C155" i="8" s="1"/>
  <c r="B153" i="8"/>
  <c r="B152" i="8"/>
  <c r="I79" i="3" s="1"/>
  <c r="B151" i="8"/>
  <c r="B150" i="8"/>
  <c r="C151" i="8" s="1"/>
  <c r="B149" i="8"/>
  <c r="B148" i="8"/>
  <c r="I75" i="3" s="1"/>
  <c r="B147" i="8"/>
  <c r="B146" i="8"/>
  <c r="B145" i="8"/>
  <c r="C146" i="8" s="1"/>
  <c r="B144" i="8"/>
  <c r="B143" i="8"/>
  <c r="C144" i="8" s="1"/>
  <c r="B142" i="8"/>
  <c r="C143" i="8" s="1"/>
  <c r="B141" i="8"/>
  <c r="B140" i="8"/>
  <c r="B139" i="8"/>
  <c r="C140" i="8" s="1"/>
  <c r="B138" i="8"/>
  <c r="I65" i="3" s="1"/>
  <c r="B137" i="8"/>
  <c r="I64" i="3" s="1"/>
  <c r="B136" i="8"/>
  <c r="B135" i="8"/>
  <c r="B134" i="8"/>
  <c r="B133" i="8"/>
  <c r="C134" i="8" s="1"/>
  <c r="B132" i="8"/>
  <c r="B131" i="8"/>
  <c r="B130" i="8"/>
  <c r="C131" i="8" s="1"/>
  <c r="B129" i="8"/>
  <c r="B128" i="8"/>
  <c r="B127" i="8"/>
  <c r="C128" i="8" s="1"/>
  <c r="C126" i="8"/>
  <c r="B126" i="8"/>
  <c r="I53" i="3" s="1"/>
  <c r="B125" i="8"/>
  <c r="B124" i="8"/>
  <c r="B123" i="8"/>
  <c r="B122" i="8"/>
  <c r="B121" i="8"/>
  <c r="C122" i="8" s="1"/>
  <c r="B120" i="8"/>
  <c r="B119" i="8"/>
  <c r="C120" i="8" s="1"/>
  <c r="B118" i="8"/>
  <c r="B117" i="8"/>
  <c r="I44" i="3" s="1"/>
  <c r="B116" i="8"/>
  <c r="B115" i="8"/>
  <c r="I42" i="3" s="1"/>
  <c r="C114" i="8"/>
  <c r="B114" i="8"/>
  <c r="B113" i="8"/>
  <c r="B112" i="8"/>
  <c r="C113" i="8" s="1"/>
  <c r="B111" i="8"/>
  <c r="B110" i="8"/>
  <c r="B109" i="8"/>
  <c r="C110" i="8" s="1"/>
  <c r="B108" i="8"/>
  <c r="B107" i="8"/>
  <c r="I34" i="3" s="1"/>
  <c r="B106" i="8"/>
  <c r="C107" i="8" s="1"/>
  <c r="B105" i="8"/>
  <c r="I32" i="3" s="1"/>
  <c r="B104" i="8"/>
  <c r="B103" i="8"/>
  <c r="B102" i="8"/>
  <c r="B101" i="8"/>
  <c r="C102" i="8" s="1"/>
  <c r="B100" i="8"/>
  <c r="B99" i="8"/>
  <c r="B98" i="8"/>
  <c r="B97" i="8"/>
  <c r="C98" i="8" s="1"/>
  <c r="B96" i="8"/>
  <c r="B95" i="8"/>
  <c r="C96" i="8" s="1"/>
  <c r="B94" i="8"/>
  <c r="B93" i="8"/>
  <c r="B92" i="8"/>
  <c r="B91" i="8"/>
  <c r="B90" i="8"/>
  <c r="C90" i="8" s="1"/>
  <c r="B89" i="8"/>
  <c r="B88" i="8"/>
  <c r="C89" i="8" s="1"/>
  <c r="B87" i="8"/>
  <c r="B86" i="8"/>
  <c r="I13" i="3" s="1"/>
  <c r="B85" i="8"/>
  <c r="B84" i="8"/>
  <c r="C84" i="8" s="1"/>
  <c r="B83" i="8"/>
  <c r="B82" i="8"/>
  <c r="B81" i="8"/>
  <c r="B80" i="8"/>
  <c r="B79" i="8"/>
  <c r="C80" i="8" s="1"/>
  <c r="B78" i="8"/>
  <c r="B77" i="8"/>
  <c r="C78" i="8" s="1"/>
  <c r="B76" i="8"/>
  <c r="B75" i="8"/>
  <c r="B74" i="8"/>
  <c r="B73" i="8"/>
  <c r="C74" i="8" s="1"/>
  <c r="B72" i="8"/>
  <c r="B71" i="8"/>
  <c r="B70" i="8"/>
  <c r="B69" i="8"/>
  <c r="B68" i="8"/>
  <c r="B67" i="8"/>
  <c r="C68" i="8" s="1"/>
  <c r="B66" i="8"/>
  <c r="B65" i="8"/>
  <c r="C66" i="8" s="1"/>
  <c r="B64" i="8"/>
  <c r="B63" i="8"/>
  <c r="B62" i="8"/>
  <c r="B61" i="8"/>
  <c r="C62" i="8" s="1"/>
  <c r="B60" i="8"/>
  <c r="B59" i="8"/>
  <c r="B58" i="8"/>
  <c r="B57" i="8"/>
  <c r="B56" i="8"/>
  <c r="B55" i="8"/>
  <c r="C56" i="8" s="1"/>
  <c r="B54" i="8"/>
  <c r="B53" i="8"/>
  <c r="B52" i="8"/>
  <c r="B51" i="8"/>
  <c r="B50" i="8"/>
  <c r="C51" i="8" s="1"/>
  <c r="B49" i="8"/>
  <c r="C50" i="8" s="1"/>
  <c r="B48" i="8"/>
  <c r="B47" i="8"/>
  <c r="B46" i="8"/>
  <c r="B45" i="8"/>
  <c r="B44" i="8"/>
  <c r="C45" i="8" s="1"/>
  <c r="B43" i="8"/>
  <c r="B42" i="8"/>
  <c r="C42" i="8" s="1"/>
  <c r="B41" i="8"/>
  <c r="B40" i="8"/>
  <c r="B39" i="8"/>
  <c r="C40" i="8" s="1"/>
  <c r="B38" i="8"/>
  <c r="B37" i="8"/>
  <c r="C36" i="8"/>
  <c r="B36" i="8"/>
  <c r="B35" i="8"/>
  <c r="B34" i="8"/>
  <c r="C35" i="8" s="1"/>
  <c r="B33" i="8"/>
  <c r="B32" i="8"/>
  <c r="B31" i="8"/>
  <c r="C32" i="8" s="1"/>
  <c r="B30" i="8"/>
  <c r="C31" i="8" s="1"/>
  <c r="B29" i="8"/>
  <c r="B28" i="8"/>
  <c r="B27" i="8"/>
  <c r="C28" i="8" s="1"/>
  <c r="B26" i="8"/>
  <c r="B25" i="8"/>
  <c r="B24" i="8"/>
  <c r="B23" i="8"/>
  <c r="B22" i="8"/>
  <c r="B21" i="8"/>
  <c r="B20" i="8"/>
  <c r="B19" i="8"/>
  <c r="C20" i="8" s="1"/>
  <c r="B18" i="8"/>
  <c r="B17" i="8"/>
  <c r="C18" i="8" s="1"/>
  <c r="B16" i="8"/>
  <c r="C17" i="8" s="1"/>
  <c r="B15" i="8"/>
  <c r="B14" i="8"/>
  <c r="B13" i="8"/>
  <c r="B12" i="8"/>
  <c r="C12" i="8" s="1"/>
  <c r="B11" i="8"/>
  <c r="B10" i="8"/>
  <c r="B9" i="8"/>
  <c r="C10" i="8" s="1"/>
  <c r="B8" i="8"/>
  <c r="C9" i="8" s="1"/>
  <c r="B7" i="8"/>
  <c r="B6" i="8"/>
  <c r="C7" i="8" s="1"/>
  <c r="B150" i="7"/>
  <c r="C151" i="7" s="1"/>
  <c r="C149" i="7"/>
  <c r="B149" i="7"/>
  <c r="B148" i="7"/>
  <c r="C148" i="7" s="1"/>
  <c r="C147" i="7"/>
  <c r="B147" i="7"/>
  <c r="B146" i="7"/>
  <c r="B145" i="7"/>
  <c r="C146" i="7" s="1"/>
  <c r="B144" i="7"/>
  <c r="C144" i="7" s="1"/>
  <c r="C143" i="7"/>
  <c r="B143" i="7"/>
  <c r="C142" i="7"/>
  <c r="B142" i="7"/>
  <c r="C141" i="7"/>
  <c r="B141" i="7"/>
  <c r="B140" i="7"/>
  <c r="B139" i="7"/>
  <c r="C140" i="7" s="1"/>
  <c r="C138" i="7"/>
  <c r="B138" i="7"/>
  <c r="B137" i="7"/>
  <c r="C137" i="7" s="1"/>
  <c r="C136" i="7"/>
  <c r="B136" i="7"/>
  <c r="B135" i="7"/>
  <c r="C135" i="7" s="1"/>
  <c r="B134" i="7"/>
  <c r="B133" i="7"/>
  <c r="B132" i="7"/>
  <c r="E85" i="3" s="1"/>
  <c r="B131" i="7"/>
  <c r="C131" i="7" s="1"/>
  <c r="C130" i="7"/>
  <c r="B130" i="7"/>
  <c r="E83" i="3" s="1"/>
  <c r="B129" i="7"/>
  <c r="B128" i="7"/>
  <c r="C129" i="7" s="1"/>
  <c r="B127" i="7"/>
  <c r="B126" i="7"/>
  <c r="E79" i="3" s="1"/>
  <c r="C125" i="7"/>
  <c r="B125" i="7"/>
  <c r="E78" i="3" s="1"/>
  <c r="B124" i="7"/>
  <c r="C124" i="7" s="1"/>
  <c r="C123" i="7"/>
  <c r="B123" i="7"/>
  <c r="B122" i="7"/>
  <c r="C121" i="7"/>
  <c r="B121" i="7"/>
  <c r="B120" i="7"/>
  <c r="C120" i="7" s="1"/>
  <c r="B119" i="7"/>
  <c r="C119" i="7" s="1"/>
  <c r="B118" i="7"/>
  <c r="C118" i="7" s="1"/>
  <c r="C117" i="7"/>
  <c r="B117" i="7"/>
  <c r="B116" i="7"/>
  <c r="B115" i="7"/>
  <c r="C114" i="7"/>
  <c r="B114" i="7"/>
  <c r="B113" i="7"/>
  <c r="B112" i="7"/>
  <c r="C113" i="7" s="1"/>
  <c r="B111" i="7"/>
  <c r="C111" i="7" s="1"/>
  <c r="B110" i="7"/>
  <c r="C109" i="7"/>
  <c r="B109" i="7"/>
  <c r="B108" i="7"/>
  <c r="C108" i="7" s="1"/>
  <c r="B107" i="7"/>
  <c r="B106" i="7"/>
  <c r="B105" i="7"/>
  <c r="B104" i="7"/>
  <c r="C105" i="7" s="1"/>
  <c r="B103" i="7"/>
  <c r="C102" i="7"/>
  <c r="B102" i="7"/>
  <c r="B101" i="7"/>
  <c r="B100" i="7"/>
  <c r="C101" i="7" s="1"/>
  <c r="B99" i="7"/>
  <c r="B98" i="7"/>
  <c r="B97" i="7"/>
  <c r="C98" i="7" s="1"/>
  <c r="B96" i="7"/>
  <c r="C96" i="7" s="1"/>
  <c r="B95" i="7"/>
  <c r="B94" i="7"/>
  <c r="C95" i="7" s="1"/>
  <c r="B93" i="7"/>
  <c r="B92" i="7"/>
  <c r="B91" i="7"/>
  <c r="C92" i="7" s="1"/>
  <c r="B90" i="7"/>
  <c r="C90" i="7" s="1"/>
  <c r="B89" i="7"/>
  <c r="B88" i="7"/>
  <c r="C89" i="7" s="1"/>
  <c r="B87" i="7"/>
  <c r="E40" i="3" s="1"/>
  <c r="B86" i="7"/>
  <c r="B85" i="7"/>
  <c r="C86" i="7" s="1"/>
  <c r="B84" i="7"/>
  <c r="C84" i="7" s="1"/>
  <c r="B83" i="7"/>
  <c r="B82" i="7"/>
  <c r="B81" i="7"/>
  <c r="B80" i="7"/>
  <c r="B79" i="7"/>
  <c r="B78" i="7"/>
  <c r="B77" i="7"/>
  <c r="E30" i="3" s="1"/>
  <c r="B76" i="7"/>
  <c r="E29" i="3" s="1"/>
  <c r="B75" i="7"/>
  <c r="E28" i="3" s="1"/>
  <c r="B74" i="7"/>
  <c r="C75" i="7" s="1"/>
  <c r="C73" i="7"/>
  <c r="B73" i="7"/>
  <c r="B72" i="7"/>
  <c r="B71" i="7"/>
  <c r="B70" i="7"/>
  <c r="B69" i="7"/>
  <c r="B68" i="7"/>
  <c r="C69" i="7" s="1"/>
  <c r="B67" i="7"/>
  <c r="C68" i="7" s="1"/>
  <c r="B66" i="7"/>
  <c r="B65" i="7"/>
  <c r="B64" i="7"/>
  <c r="C65" i="7" s="1"/>
  <c r="B63" i="7"/>
  <c r="E16" i="3" s="1"/>
  <c r="B62" i="7"/>
  <c r="B61" i="7"/>
  <c r="C62" i="7" s="1"/>
  <c r="B60" i="7"/>
  <c r="C60" i="7" s="1"/>
  <c r="B59" i="7"/>
  <c r="B58" i="7"/>
  <c r="C59" i="7" s="1"/>
  <c r="B57" i="7"/>
  <c r="B56" i="7"/>
  <c r="C57" i="7" s="1"/>
  <c r="B55" i="7"/>
  <c r="B54" i="7"/>
  <c r="C54" i="7" s="1"/>
  <c r="B53" i="7"/>
  <c r="B52" i="7"/>
  <c r="B51" i="7"/>
  <c r="B50" i="7"/>
  <c r="C51" i="7" s="1"/>
  <c r="C49" i="7"/>
  <c r="B49" i="7"/>
  <c r="B48" i="7"/>
  <c r="B47" i="7"/>
  <c r="B46" i="7"/>
  <c r="C47" i="7" s="1"/>
  <c r="B45" i="7"/>
  <c r="B44" i="7"/>
  <c r="C45" i="7" s="1"/>
  <c r="C43" i="7"/>
  <c r="B43" i="7"/>
  <c r="B42" i="7"/>
  <c r="C42" i="7" s="1"/>
  <c r="B41" i="7"/>
  <c r="B40" i="7"/>
  <c r="C41" i="7" s="1"/>
  <c r="B39" i="7"/>
  <c r="B38" i="7"/>
  <c r="B37" i="7"/>
  <c r="C38" i="7" s="1"/>
  <c r="B36" i="7"/>
  <c r="C36" i="7" s="1"/>
  <c r="B35" i="7"/>
  <c r="B34" i="7"/>
  <c r="C35" i="7" s="1"/>
  <c r="B33" i="7"/>
  <c r="B32" i="7"/>
  <c r="B31" i="7"/>
  <c r="B30" i="7"/>
  <c r="C30" i="7" s="1"/>
  <c r="B29" i="7"/>
  <c r="B28" i="7"/>
  <c r="B27" i="7"/>
  <c r="B26" i="7"/>
  <c r="C27" i="7" s="1"/>
  <c r="C25" i="7"/>
  <c r="B25" i="7"/>
  <c r="B24" i="7"/>
  <c r="B23" i="7"/>
  <c r="B22" i="7"/>
  <c r="B21" i="7"/>
  <c r="B20" i="7"/>
  <c r="C19" i="7"/>
  <c r="B19" i="7"/>
  <c r="C20" i="7" s="1"/>
  <c r="B18" i="7"/>
  <c r="C18" i="7" s="1"/>
  <c r="B17" i="7"/>
  <c r="B16" i="7"/>
  <c r="C17" i="7" s="1"/>
  <c r="B15" i="7"/>
  <c r="B14" i="7"/>
  <c r="B13" i="7"/>
  <c r="C14" i="7" s="1"/>
  <c r="B12" i="7"/>
  <c r="C12" i="7" s="1"/>
  <c r="B11" i="7"/>
  <c r="B10" i="7"/>
  <c r="B9" i="7"/>
  <c r="B8" i="7"/>
  <c r="B7" i="7"/>
  <c r="B6" i="7"/>
  <c r="C7" i="7" s="1"/>
  <c r="B189" i="6"/>
  <c r="C190" i="6" s="1"/>
  <c r="B188" i="6"/>
  <c r="C188" i="6" s="1"/>
  <c r="B187" i="6"/>
  <c r="C187" i="6" s="1"/>
  <c r="B186" i="6"/>
  <c r="F100" i="3" s="1"/>
  <c r="B185" i="6"/>
  <c r="B184" i="6"/>
  <c r="C184" i="6" s="1"/>
  <c r="B183" i="6"/>
  <c r="C183" i="6" s="1"/>
  <c r="B182" i="6"/>
  <c r="B181" i="6"/>
  <c r="F95" i="3" s="1"/>
  <c r="B180" i="6"/>
  <c r="F94" i="3" s="1"/>
  <c r="B179" i="6"/>
  <c r="B178" i="6"/>
  <c r="C178" i="6" s="1"/>
  <c r="B177" i="6"/>
  <c r="B176" i="6"/>
  <c r="C175" i="6"/>
  <c r="B175" i="6"/>
  <c r="B174" i="6"/>
  <c r="B173" i="6"/>
  <c r="B172" i="6"/>
  <c r="C172" i="6" s="1"/>
  <c r="B171" i="6"/>
  <c r="F85" i="3" s="1"/>
  <c r="B170" i="6"/>
  <c r="B169" i="6"/>
  <c r="C169" i="6" s="1"/>
  <c r="B168" i="6"/>
  <c r="B167" i="6"/>
  <c r="C166" i="6"/>
  <c r="B166" i="6"/>
  <c r="B165" i="6"/>
  <c r="B164" i="6"/>
  <c r="C165" i="6" s="1"/>
  <c r="B163" i="6"/>
  <c r="C163" i="6" s="1"/>
  <c r="B162" i="6"/>
  <c r="B161" i="6"/>
  <c r="B160" i="6"/>
  <c r="C160" i="6" s="1"/>
  <c r="B159" i="6"/>
  <c r="F73" i="3" s="1"/>
  <c r="B158" i="6"/>
  <c r="C157" i="6"/>
  <c r="B157" i="6"/>
  <c r="B156" i="6"/>
  <c r="B155" i="6"/>
  <c r="B154" i="6"/>
  <c r="C154" i="6" s="1"/>
  <c r="B153" i="6"/>
  <c r="F67" i="3" s="1"/>
  <c r="B152" i="6"/>
  <c r="B151" i="6"/>
  <c r="C151" i="6" s="1"/>
  <c r="B150" i="6"/>
  <c r="F64" i="3" s="1"/>
  <c r="B149" i="6"/>
  <c r="C148" i="6"/>
  <c r="B148" i="6"/>
  <c r="B147" i="6"/>
  <c r="B146" i="6"/>
  <c r="C147" i="6" s="1"/>
  <c r="B145" i="6"/>
  <c r="F59" i="3" s="1"/>
  <c r="B144" i="6"/>
  <c r="F58" i="3" s="1"/>
  <c r="B143" i="6"/>
  <c r="B142" i="6"/>
  <c r="C143" i="6" s="1"/>
  <c r="B141" i="6"/>
  <c r="B140" i="6"/>
  <c r="C139" i="6"/>
  <c r="B139" i="6"/>
  <c r="B138" i="6"/>
  <c r="B137" i="6"/>
  <c r="B136" i="6"/>
  <c r="C136" i="6" s="1"/>
  <c r="B135" i="6"/>
  <c r="B134" i="6"/>
  <c r="B133" i="6"/>
  <c r="C134" i="6" s="1"/>
  <c r="B132" i="6"/>
  <c r="F46" i="3" s="1"/>
  <c r="B131" i="6"/>
  <c r="C130" i="6"/>
  <c r="B130" i="6"/>
  <c r="B129" i="6"/>
  <c r="B128" i="6"/>
  <c r="C129" i="6" s="1"/>
  <c r="B127" i="6"/>
  <c r="C128" i="6" s="1"/>
  <c r="B126" i="6"/>
  <c r="F40" i="3" s="1"/>
  <c r="B125" i="6"/>
  <c r="B124" i="6"/>
  <c r="C125" i="6" s="1"/>
  <c r="B123" i="6"/>
  <c r="F37" i="3" s="1"/>
  <c r="B122" i="6"/>
  <c r="C121" i="6"/>
  <c r="B121" i="6"/>
  <c r="B120" i="6"/>
  <c r="B119" i="6"/>
  <c r="C120" i="6" s="1"/>
  <c r="B118" i="6"/>
  <c r="C118" i="6" s="1"/>
  <c r="B117" i="6"/>
  <c r="F31" i="3" s="1"/>
  <c r="B116" i="6"/>
  <c r="F30" i="3" s="1"/>
  <c r="B115" i="6"/>
  <c r="C116" i="6" s="1"/>
  <c r="B114" i="6"/>
  <c r="F28" i="3" s="1"/>
  <c r="B113" i="6"/>
  <c r="C112" i="6"/>
  <c r="B112" i="6"/>
  <c r="B111" i="6"/>
  <c r="B110" i="6"/>
  <c r="C111" i="6" s="1"/>
  <c r="B109" i="6"/>
  <c r="C110" i="6" s="1"/>
  <c r="B108" i="6"/>
  <c r="F22" i="3" s="1"/>
  <c r="B107" i="6"/>
  <c r="B106" i="6"/>
  <c r="B105" i="6"/>
  <c r="F19" i="3" s="1"/>
  <c r="B104" i="6"/>
  <c r="C105" i="6" s="1"/>
  <c r="B103" i="6"/>
  <c r="B102" i="6"/>
  <c r="B101" i="6"/>
  <c r="B100" i="6"/>
  <c r="C101" i="6" s="1"/>
  <c r="B99" i="6"/>
  <c r="B98" i="6"/>
  <c r="C99" i="6" s="1"/>
  <c r="C97" i="6"/>
  <c r="B97" i="6"/>
  <c r="B96" i="6"/>
  <c r="B95" i="6"/>
  <c r="C96" i="6" s="1"/>
  <c r="B94" i="6"/>
  <c r="B93" i="6"/>
  <c r="B92" i="6"/>
  <c r="C93" i="6" s="1"/>
  <c r="B91" i="6"/>
  <c r="B90" i="6"/>
  <c r="C91" i="6" s="1"/>
  <c r="B89" i="6"/>
  <c r="B88" i="6"/>
  <c r="B87" i="6"/>
  <c r="C88" i="6" s="1"/>
  <c r="B86" i="6"/>
  <c r="B85" i="6"/>
  <c r="C86" i="6" s="1"/>
  <c r="B84" i="6"/>
  <c r="B83" i="6"/>
  <c r="B82" i="6"/>
  <c r="B81" i="6"/>
  <c r="B80" i="6"/>
  <c r="B79" i="6"/>
  <c r="B78" i="6"/>
  <c r="C79" i="6" s="1"/>
  <c r="B77" i="6"/>
  <c r="C78" i="6" s="1"/>
  <c r="B76" i="6"/>
  <c r="B75" i="6"/>
  <c r="B74" i="6"/>
  <c r="C75" i="6" s="1"/>
  <c r="C73" i="6"/>
  <c r="B73" i="6"/>
  <c r="B72" i="6"/>
  <c r="B71" i="6"/>
  <c r="B70" i="6"/>
  <c r="B69" i="6"/>
  <c r="C70" i="6" s="1"/>
  <c r="B68" i="6"/>
  <c r="B67" i="6"/>
  <c r="C68" i="6" s="1"/>
  <c r="B66" i="6"/>
  <c r="B65" i="6"/>
  <c r="B64" i="6"/>
  <c r="C65" i="6" s="1"/>
  <c r="B63" i="6"/>
  <c r="C64" i="6" s="1"/>
  <c r="B62" i="6"/>
  <c r="C61" i="6"/>
  <c r="B61" i="6"/>
  <c r="B60" i="6"/>
  <c r="B59" i="6"/>
  <c r="C60" i="6" s="1"/>
  <c r="B58" i="6"/>
  <c r="B57" i="6"/>
  <c r="C58" i="6" s="1"/>
  <c r="B56" i="6"/>
  <c r="C57" i="6" s="1"/>
  <c r="B55" i="6"/>
  <c r="B54" i="6"/>
  <c r="C55" i="6" s="1"/>
  <c r="B53" i="6"/>
  <c r="C54" i="6" s="1"/>
  <c r="B52" i="6"/>
  <c r="B51" i="6"/>
  <c r="C52" i="6" s="1"/>
  <c r="B50" i="6"/>
  <c r="B49" i="6"/>
  <c r="C50" i="6" s="1"/>
  <c r="B48" i="6"/>
  <c r="B47" i="6"/>
  <c r="C48" i="6" s="1"/>
  <c r="B46" i="6"/>
  <c r="C47" i="6" s="1"/>
  <c r="B45" i="6"/>
  <c r="B44" i="6"/>
  <c r="B43" i="6"/>
  <c r="C44" i="6" s="1"/>
  <c r="B42" i="6"/>
  <c r="B41" i="6"/>
  <c r="C42" i="6" s="1"/>
  <c r="B40" i="6"/>
  <c r="B39" i="6"/>
  <c r="B38" i="6"/>
  <c r="C39" i="6" s="1"/>
  <c r="B37" i="6"/>
  <c r="C38" i="6" s="1"/>
  <c r="B36" i="6"/>
  <c r="B35" i="6"/>
  <c r="B34" i="6"/>
  <c r="B33" i="6"/>
  <c r="C34" i="6" s="1"/>
  <c r="B32" i="6"/>
  <c r="C33" i="6" s="1"/>
  <c r="B31" i="6"/>
  <c r="B30" i="6"/>
  <c r="B29" i="6"/>
  <c r="B28" i="6"/>
  <c r="C29" i="6" s="1"/>
  <c r="B27" i="6"/>
  <c r="B26" i="6"/>
  <c r="C27" i="6" s="1"/>
  <c r="C25" i="6"/>
  <c r="B25" i="6"/>
  <c r="B24" i="6"/>
  <c r="B23" i="6"/>
  <c r="C24" i="6" s="1"/>
  <c r="B22" i="6"/>
  <c r="B21" i="6"/>
  <c r="B20" i="6"/>
  <c r="C21" i="6" s="1"/>
  <c r="B19" i="6"/>
  <c r="B18" i="6"/>
  <c r="C19" i="6" s="1"/>
  <c r="B17" i="6"/>
  <c r="B16" i="6"/>
  <c r="B15" i="6"/>
  <c r="C16" i="6" s="1"/>
  <c r="B14" i="6"/>
  <c r="B13" i="6"/>
  <c r="C14" i="6" s="1"/>
  <c r="B12" i="6"/>
  <c r="B11" i="6"/>
  <c r="B10" i="6"/>
  <c r="B9" i="6"/>
  <c r="B8" i="6"/>
  <c r="B7" i="6"/>
  <c r="B6" i="6"/>
  <c r="C7" i="6" s="1"/>
  <c r="B114" i="5"/>
  <c r="C115" i="5" s="1"/>
  <c r="B113" i="5"/>
  <c r="B112" i="5"/>
  <c r="C112" i="5" s="1"/>
  <c r="C111" i="5"/>
  <c r="B111" i="5"/>
  <c r="C110" i="5"/>
  <c r="B110" i="5"/>
  <c r="B109" i="5"/>
  <c r="B108" i="5"/>
  <c r="C109" i="5" s="1"/>
  <c r="B107" i="5"/>
  <c r="C108" i="5" s="1"/>
  <c r="B106" i="5"/>
  <c r="C106" i="5" s="1"/>
  <c r="B105" i="5"/>
  <c r="C105" i="5" s="1"/>
  <c r="B104" i="5"/>
  <c r="B103" i="5"/>
  <c r="C104" i="5" s="1"/>
  <c r="B102" i="5"/>
  <c r="B101" i="5"/>
  <c r="C102" i="5" s="1"/>
  <c r="B100" i="5"/>
  <c r="D89" i="3" s="1"/>
  <c r="B99" i="5"/>
  <c r="C99" i="5" s="1"/>
  <c r="B98" i="5"/>
  <c r="C98" i="5" s="1"/>
  <c r="B97" i="5"/>
  <c r="B96" i="5"/>
  <c r="C95" i="5"/>
  <c r="B95" i="5"/>
  <c r="B94" i="5"/>
  <c r="C94" i="5" s="1"/>
  <c r="B93" i="5"/>
  <c r="C92" i="5"/>
  <c r="B92" i="5"/>
  <c r="B91" i="5"/>
  <c r="D80" i="3" s="1"/>
  <c r="B90" i="5"/>
  <c r="C89" i="5"/>
  <c r="B89" i="5"/>
  <c r="C90" i="5" s="1"/>
  <c r="B88" i="5"/>
  <c r="C88" i="5" s="1"/>
  <c r="B87" i="5"/>
  <c r="B86" i="5"/>
  <c r="C87" i="5" s="1"/>
  <c r="B85" i="5"/>
  <c r="B84" i="5"/>
  <c r="C85" i="5" s="1"/>
  <c r="B83" i="5"/>
  <c r="B82" i="5"/>
  <c r="C82" i="5" s="1"/>
  <c r="B81" i="5"/>
  <c r="D70" i="3" s="1"/>
  <c r="B80" i="5"/>
  <c r="C81" i="5" s="1"/>
  <c r="B79" i="5"/>
  <c r="B78" i="5"/>
  <c r="B77" i="5"/>
  <c r="C78" i="5" s="1"/>
  <c r="C76" i="5"/>
  <c r="B76" i="5"/>
  <c r="B75" i="5"/>
  <c r="B74" i="5"/>
  <c r="B73" i="5"/>
  <c r="B72" i="5"/>
  <c r="C71" i="5"/>
  <c r="B71" i="5"/>
  <c r="B70" i="5"/>
  <c r="C70" i="5" s="1"/>
  <c r="B69" i="5"/>
  <c r="C68" i="5"/>
  <c r="B68" i="5"/>
  <c r="B67" i="5"/>
  <c r="D56" i="3" s="1"/>
  <c r="B66" i="5"/>
  <c r="C65" i="5"/>
  <c r="B65" i="5"/>
  <c r="C66" i="5" s="1"/>
  <c r="B64" i="5"/>
  <c r="C64" i="5" s="1"/>
  <c r="B63" i="5"/>
  <c r="B62" i="5"/>
  <c r="B61" i="5"/>
  <c r="B60" i="5"/>
  <c r="C61" i="5" s="1"/>
  <c r="B59" i="5"/>
  <c r="B58" i="5"/>
  <c r="B57" i="5"/>
  <c r="D46" i="3" s="1"/>
  <c r="B56" i="5"/>
  <c r="B55" i="5"/>
  <c r="C56" i="5" s="1"/>
  <c r="B54" i="5"/>
  <c r="B53" i="5"/>
  <c r="C54" i="5" s="1"/>
  <c r="B52" i="5"/>
  <c r="B51" i="5"/>
  <c r="D40" i="3" s="1"/>
  <c r="B50" i="5"/>
  <c r="B49" i="5"/>
  <c r="B48" i="5"/>
  <c r="C49" i="5" s="1"/>
  <c r="B47" i="5"/>
  <c r="B46" i="5"/>
  <c r="C46" i="5" s="1"/>
  <c r="B45" i="5"/>
  <c r="B44" i="5"/>
  <c r="C45" i="5" s="1"/>
  <c r="B43" i="5"/>
  <c r="B42" i="5"/>
  <c r="C43" i="5" s="1"/>
  <c r="B41" i="5"/>
  <c r="B40" i="5"/>
  <c r="B39" i="5"/>
  <c r="D28" i="3" s="1"/>
  <c r="B38" i="5"/>
  <c r="B37" i="5"/>
  <c r="C38" i="5" s="1"/>
  <c r="B36" i="5"/>
  <c r="B35" i="5"/>
  <c r="C36" i="5" s="1"/>
  <c r="B34" i="5"/>
  <c r="B33" i="5"/>
  <c r="D22" i="3" s="1"/>
  <c r="B32" i="5"/>
  <c r="B31" i="5"/>
  <c r="D20" i="3" s="1"/>
  <c r="B30" i="5"/>
  <c r="C29" i="5"/>
  <c r="B29" i="5"/>
  <c r="C30" i="5" s="1"/>
  <c r="B28" i="5"/>
  <c r="B27" i="5"/>
  <c r="B26" i="5"/>
  <c r="B25" i="5"/>
  <c r="B24" i="5"/>
  <c r="C25" i="5" s="1"/>
  <c r="B23" i="5"/>
  <c r="C24" i="5" s="1"/>
  <c r="B22" i="5"/>
  <c r="B21" i="5"/>
  <c r="B20" i="5"/>
  <c r="B19" i="5"/>
  <c r="B18" i="5"/>
  <c r="B17" i="5"/>
  <c r="C18" i="5" s="1"/>
  <c r="B16" i="5"/>
  <c r="C16" i="5" s="1"/>
  <c r="B15" i="5"/>
  <c r="B14" i="5"/>
  <c r="C15" i="5" s="1"/>
  <c r="B13" i="5"/>
  <c r="B12" i="5"/>
  <c r="C13" i="5" s="1"/>
  <c r="B11" i="5"/>
  <c r="B10" i="5"/>
  <c r="B9" i="5"/>
  <c r="B8" i="5"/>
  <c r="B7" i="5"/>
  <c r="B6" i="5"/>
  <c r="B149" i="4"/>
  <c r="C150" i="4" s="1"/>
  <c r="B148" i="4"/>
  <c r="C148" i="4" s="1"/>
  <c r="B147" i="4"/>
  <c r="C100" i="3" s="1"/>
  <c r="B146" i="4"/>
  <c r="B145" i="4"/>
  <c r="C145" i="4" s="1"/>
  <c r="B144" i="4"/>
  <c r="B143" i="4"/>
  <c r="B142" i="4"/>
  <c r="C142" i="4" s="1"/>
  <c r="B141" i="4"/>
  <c r="B140" i="4"/>
  <c r="C141" i="4" s="1"/>
  <c r="B139" i="4"/>
  <c r="B138" i="4"/>
  <c r="B137" i="4"/>
  <c r="B136" i="4"/>
  <c r="B135" i="4"/>
  <c r="C88" i="3" s="1"/>
  <c r="B134" i="4"/>
  <c r="B133" i="4"/>
  <c r="C86" i="3" s="1"/>
  <c r="B132" i="4"/>
  <c r="B131" i="4"/>
  <c r="B130" i="4"/>
  <c r="B129" i="4"/>
  <c r="B128" i="4"/>
  <c r="B127" i="4"/>
  <c r="C127" i="4" s="1"/>
  <c r="B126" i="4"/>
  <c r="C79" i="3" s="1"/>
  <c r="B125" i="4"/>
  <c r="B124" i="4"/>
  <c r="C124" i="4" s="1"/>
  <c r="B123" i="4"/>
  <c r="B122" i="4"/>
  <c r="C123" i="4" s="1"/>
  <c r="B121" i="4"/>
  <c r="B120" i="4"/>
  <c r="C73" i="3" s="1"/>
  <c r="B119" i="4"/>
  <c r="B118" i="4"/>
  <c r="B117" i="4"/>
  <c r="C70" i="3" s="1"/>
  <c r="B116" i="4"/>
  <c r="C115" i="4"/>
  <c r="B115" i="4"/>
  <c r="B114" i="4"/>
  <c r="B113" i="4"/>
  <c r="B112" i="4"/>
  <c r="B111" i="4"/>
  <c r="C64" i="3" s="1"/>
  <c r="B110" i="4"/>
  <c r="B109" i="4"/>
  <c r="C109" i="4" s="1"/>
  <c r="B108" i="4"/>
  <c r="B107" i="4"/>
  <c r="B106" i="4"/>
  <c r="C107" i="4" s="1"/>
  <c r="B105" i="4"/>
  <c r="B104" i="4"/>
  <c r="B103" i="4"/>
  <c r="B102" i="4"/>
  <c r="B101" i="4"/>
  <c r="B100" i="4"/>
  <c r="B99" i="4"/>
  <c r="C52" i="3" s="1"/>
  <c r="B98" i="4"/>
  <c r="C97" i="4"/>
  <c r="B97" i="4"/>
  <c r="C98" i="4" s="1"/>
  <c r="B96" i="4"/>
  <c r="B95" i="4"/>
  <c r="B94" i="4"/>
  <c r="B93" i="4"/>
  <c r="B92" i="4"/>
  <c r="B91" i="4"/>
  <c r="C91" i="4" s="1"/>
  <c r="B90" i="4"/>
  <c r="B89" i="4"/>
  <c r="C42" i="3" s="1"/>
  <c r="B88" i="4"/>
  <c r="B87" i="4"/>
  <c r="C88" i="4" s="1"/>
  <c r="B86" i="4"/>
  <c r="B85" i="4"/>
  <c r="C85" i="4" s="1"/>
  <c r="B84" i="4"/>
  <c r="B83" i="4"/>
  <c r="B82" i="4"/>
  <c r="B81" i="4"/>
  <c r="B80" i="4"/>
  <c r="C33" i="3" s="1"/>
  <c r="B79" i="4"/>
  <c r="B78" i="4"/>
  <c r="C79" i="4" s="1"/>
  <c r="B77" i="4"/>
  <c r="B76" i="4"/>
  <c r="B75" i="4"/>
  <c r="B74" i="4"/>
  <c r="B73" i="4"/>
  <c r="C74" i="4" s="1"/>
  <c r="B72" i="4"/>
  <c r="C25" i="3" s="1"/>
  <c r="B71" i="4"/>
  <c r="B70" i="4"/>
  <c r="B69" i="4"/>
  <c r="B68" i="4"/>
  <c r="B67" i="4"/>
  <c r="B66" i="4"/>
  <c r="C19" i="3" s="1"/>
  <c r="B65" i="4"/>
  <c r="B64" i="4"/>
  <c r="B63" i="4"/>
  <c r="B62" i="4"/>
  <c r="B61" i="4"/>
  <c r="C14" i="3" s="1"/>
  <c r="B60" i="4"/>
  <c r="B59" i="4"/>
  <c r="C12" i="3" s="1"/>
  <c r="B58" i="4"/>
  <c r="B57" i="4"/>
  <c r="B56" i="4"/>
  <c r="C57" i="4" s="1"/>
  <c r="B55" i="4"/>
  <c r="B54" i="4"/>
  <c r="B53" i="4"/>
  <c r="B52" i="4"/>
  <c r="C53" i="4" s="1"/>
  <c r="B51" i="4"/>
  <c r="B50" i="4"/>
  <c r="B49" i="4"/>
  <c r="C49" i="4" s="1"/>
  <c r="B48" i="4"/>
  <c r="B47" i="4"/>
  <c r="B46" i="4"/>
  <c r="B45" i="4"/>
  <c r="B44" i="4"/>
  <c r="B43" i="4"/>
  <c r="B42" i="4"/>
  <c r="B41" i="4"/>
  <c r="B40" i="4"/>
  <c r="B39" i="4"/>
  <c r="B38" i="4"/>
  <c r="B37" i="4"/>
  <c r="C38" i="4" s="1"/>
  <c r="B36" i="4"/>
  <c r="B35" i="4"/>
  <c r="B34" i="4"/>
  <c r="B33" i="4"/>
  <c r="B32" i="4"/>
  <c r="B31" i="4"/>
  <c r="C32" i="4" s="1"/>
  <c r="B30" i="4"/>
  <c r="B29" i="4"/>
  <c r="B28" i="4"/>
  <c r="B27" i="4"/>
  <c r="B26" i="4"/>
  <c r="C27" i="4" s="1"/>
  <c r="B25" i="4"/>
  <c r="C26" i="4" s="1"/>
  <c r="B24" i="4"/>
  <c r="B23" i="4"/>
  <c r="B22" i="4"/>
  <c r="B21" i="4"/>
  <c r="B20" i="4"/>
  <c r="B19" i="4"/>
  <c r="C19" i="4" s="1"/>
  <c r="B18" i="4"/>
  <c r="B17" i="4"/>
  <c r="B16" i="4"/>
  <c r="B15" i="4"/>
  <c r="C16" i="4" s="1"/>
  <c r="B14" i="4"/>
  <c r="C13" i="4"/>
  <c r="B13" i="4"/>
  <c r="B12" i="4"/>
  <c r="B11" i="4"/>
  <c r="B10" i="4"/>
  <c r="B9" i="4"/>
  <c r="B8" i="4"/>
  <c r="B7" i="4"/>
  <c r="B6" i="4"/>
  <c r="Q103" i="3"/>
  <c r="P29" i="1" s="1"/>
  <c r="M103" i="3"/>
  <c r="L103" i="3"/>
  <c r="L9" i="3" s="1"/>
  <c r="K103" i="3"/>
  <c r="J103" i="3"/>
  <c r="I103" i="3"/>
  <c r="P21" i="1" s="1"/>
  <c r="H103" i="3"/>
  <c r="G103" i="3"/>
  <c r="P19" i="1" s="1"/>
  <c r="E103" i="3"/>
  <c r="D103" i="3"/>
  <c r="D9" i="3" s="1"/>
  <c r="C103" i="3"/>
  <c r="C7" i="3" s="1"/>
  <c r="Q102" i="3"/>
  <c r="O102" i="3"/>
  <c r="M102" i="3"/>
  <c r="L102" i="3"/>
  <c r="K102" i="3"/>
  <c r="J102" i="3"/>
  <c r="I102" i="3"/>
  <c r="H102" i="3"/>
  <c r="G102" i="3"/>
  <c r="F102" i="3"/>
  <c r="E102" i="3"/>
  <c r="D102" i="3"/>
  <c r="P101" i="3"/>
  <c r="O101" i="3"/>
  <c r="N101" i="3"/>
  <c r="M101" i="3"/>
  <c r="L101" i="3"/>
  <c r="K101" i="3"/>
  <c r="J101" i="3"/>
  <c r="I101" i="3"/>
  <c r="H101" i="3"/>
  <c r="G101" i="3"/>
  <c r="F101" i="3"/>
  <c r="E101" i="3"/>
  <c r="D101" i="3"/>
  <c r="C101" i="3"/>
  <c r="Q100" i="3"/>
  <c r="P100" i="3"/>
  <c r="O100" i="3"/>
  <c r="N100" i="3"/>
  <c r="M100" i="3"/>
  <c r="L100" i="3"/>
  <c r="K100" i="3"/>
  <c r="J100" i="3"/>
  <c r="H100" i="3"/>
  <c r="G100" i="3"/>
  <c r="E100" i="3"/>
  <c r="D100" i="3"/>
  <c r="Q99" i="3"/>
  <c r="P99" i="3"/>
  <c r="O99" i="3"/>
  <c r="N99" i="3"/>
  <c r="M99" i="3"/>
  <c r="L99" i="3"/>
  <c r="K99" i="3"/>
  <c r="J99" i="3"/>
  <c r="I99" i="3"/>
  <c r="G99" i="3"/>
  <c r="E99" i="3"/>
  <c r="D99" i="3"/>
  <c r="C99" i="3"/>
  <c r="Q98" i="3"/>
  <c r="P98" i="3"/>
  <c r="O98" i="3"/>
  <c r="N98" i="3"/>
  <c r="M98" i="3"/>
  <c r="L98" i="3"/>
  <c r="K98" i="3"/>
  <c r="J98" i="3"/>
  <c r="I98" i="3"/>
  <c r="F98" i="3"/>
  <c r="D98" i="3"/>
  <c r="C98" i="3"/>
  <c r="Q97" i="3"/>
  <c r="P97" i="3"/>
  <c r="O97" i="3"/>
  <c r="N97" i="3"/>
  <c r="M97" i="3"/>
  <c r="L97" i="3"/>
  <c r="J97" i="3"/>
  <c r="I97" i="3"/>
  <c r="H97" i="3"/>
  <c r="G97" i="3"/>
  <c r="F97" i="3"/>
  <c r="E97" i="3"/>
  <c r="D97" i="3"/>
  <c r="C97" i="3"/>
  <c r="Q96" i="3"/>
  <c r="P96" i="3"/>
  <c r="N96" i="3"/>
  <c r="L96" i="3"/>
  <c r="K96" i="3"/>
  <c r="J96" i="3"/>
  <c r="I96" i="3"/>
  <c r="H96" i="3"/>
  <c r="G96" i="3"/>
  <c r="F96" i="3"/>
  <c r="E96" i="3"/>
  <c r="P95" i="3"/>
  <c r="N95" i="3"/>
  <c r="M95" i="3"/>
  <c r="L95" i="3"/>
  <c r="K95" i="3"/>
  <c r="J95" i="3"/>
  <c r="I95" i="3"/>
  <c r="H95" i="3"/>
  <c r="E95" i="3"/>
  <c r="C95" i="3"/>
  <c r="Q94" i="3"/>
  <c r="P94" i="3"/>
  <c r="O94" i="3"/>
  <c r="N94" i="3"/>
  <c r="M94" i="3"/>
  <c r="L94" i="3"/>
  <c r="K94" i="3"/>
  <c r="I94" i="3"/>
  <c r="H94" i="3"/>
  <c r="G94" i="3"/>
  <c r="E94" i="3"/>
  <c r="C94" i="3"/>
  <c r="Q93" i="3"/>
  <c r="P93" i="3"/>
  <c r="O93" i="3"/>
  <c r="N93" i="3"/>
  <c r="M93" i="3"/>
  <c r="L93" i="3"/>
  <c r="K93" i="3"/>
  <c r="I93" i="3"/>
  <c r="H93" i="3"/>
  <c r="G93" i="3"/>
  <c r="E93" i="3"/>
  <c r="D93" i="3"/>
  <c r="C93" i="3"/>
  <c r="Q92" i="3"/>
  <c r="P92" i="3"/>
  <c r="O92" i="3"/>
  <c r="N92" i="3"/>
  <c r="M92" i="3"/>
  <c r="L92" i="3"/>
  <c r="K92" i="3"/>
  <c r="J92" i="3"/>
  <c r="I92" i="3"/>
  <c r="H92" i="3"/>
  <c r="G92" i="3"/>
  <c r="F92" i="3"/>
  <c r="D92" i="3"/>
  <c r="C92" i="3"/>
  <c r="Q91" i="3"/>
  <c r="P91" i="3"/>
  <c r="O91" i="3"/>
  <c r="N91" i="3"/>
  <c r="M91" i="3"/>
  <c r="L91" i="3"/>
  <c r="K91" i="3"/>
  <c r="J91" i="3"/>
  <c r="I91" i="3"/>
  <c r="H91" i="3"/>
  <c r="G91" i="3"/>
  <c r="F91" i="3"/>
  <c r="E91" i="3"/>
  <c r="D91" i="3"/>
  <c r="C91" i="3"/>
  <c r="Q90" i="3"/>
  <c r="O90" i="3"/>
  <c r="N90" i="3"/>
  <c r="M90" i="3"/>
  <c r="L90" i="3"/>
  <c r="K90" i="3"/>
  <c r="J90" i="3"/>
  <c r="I90" i="3"/>
  <c r="H90" i="3"/>
  <c r="F90" i="3"/>
  <c r="E90" i="3"/>
  <c r="D90" i="3"/>
  <c r="Q89" i="3"/>
  <c r="P89" i="3"/>
  <c r="O89" i="3"/>
  <c r="N89" i="3"/>
  <c r="M89" i="3"/>
  <c r="L89" i="3"/>
  <c r="K89" i="3"/>
  <c r="I89" i="3"/>
  <c r="H89" i="3"/>
  <c r="G89" i="3"/>
  <c r="F89" i="3"/>
  <c r="E89" i="3"/>
  <c r="C89" i="3"/>
  <c r="P88" i="3"/>
  <c r="O88" i="3"/>
  <c r="M88" i="3"/>
  <c r="L88" i="3"/>
  <c r="K88" i="3"/>
  <c r="J88" i="3"/>
  <c r="H88" i="3"/>
  <c r="G88" i="3"/>
  <c r="F88" i="3"/>
  <c r="E88" i="3"/>
  <c r="D88" i="3"/>
  <c r="Q87" i="3"/>
  <c r="P87" i="3"/>
  <c r="O87" i="3"/>
  <c r="N87" i="3"/>
  <c r="M87" i="3"/>
  <c r="L87" i="3"/>
  <c r="J87" i="3"/>
  <c r="H87" i="3"/>
  <c r="G87" i="3"/>
  <c r="E87" i="3"/>
  <c r="D87" i="3"/>
  <c r="C87" i="3"/>
  <c r="Q86" i="3"/>
  <c r="P86" i="3"/>
  <c r="O86" i="3"/>
  <c r="N86" i="3"/>
  <c r="L86" i="3"/>
  <c r="J86" i="3"/>
  <c r="H86" i="3"/>
  <c r="G86" i="3"/>
  <c r="F86" i="3"/>
  <c r="E86" i="3"/>
  <c r="D86" i="3"/>
  <c r="Q85" i="3"/>
  <c r="P85" i="3"/>
  <c r="O85" i="3"/>
  <c r="N85" i="3"/>
  <c r="L85" i="3"/>
  <c r="K85" i="3"/>
  <c r="J85" i="3"/>
  <c r="I85" i="3"/>
  <c r="H85" i="3"/>
  <c r="G85" i="3"/>
  <c r="D85" i="3"/>
  <c r="C85" i="3"/>
  <c r="Q84" i="3"/>
  <c r="P84" i="3"/>
  <c r="O84" i="3"/>
  <c r="N84" i="3"/>
  <c r="M84" i="3"/>
  <c r="L84" i="3"/>
  <c r="K84" i="3"/>
  <c r="J84" i="3"/>
  <c r="I84" i="3"/>
  <c r="H84" i="3"/>
  <c r="G84" i="3"/>
  <c r="F84" i="3"/>
  <c r="E84" i="3"/>
  <c r="D84" i="3"/>
  <c r="Q83" i="3"/>
  <c r="P83" i="3"/>
  <c r="N83" i="3"/>
  <c r="M83" i="3"/>
  <c r="L83" i="3"/>
  <c r="K83" i="3"/>
  <c r="J83" i="3"/>
  <c r="I83" i="3"/>
  <c r="H83" i="3"/>
  <c r="D83" i="3"/>
  <c r="C83" i="3"/>
  <c r="Q82" i="3"/>
  <c r="P82" i="3"/>
  <c r="N82" i="3"/>
  <c r="M82" i="3"/>
  <c r="L82" i="3"/>
  <c r="K82" i="3"/>
  <c r="J82" i="3"/>
  <c r="I82" i="3"/>
  <c r="H82" i="3"/>
  <c r="G82" i="3"/>
  <c r="F82" i="3"/>
  <c r="E82" i="3"/>
  <c r="D82" i="3"/>
  <c r="C82" i="3"/>
  <c r="Q81" i="3"/>
  <c r="O81" i="3"/>
  <c r="M81" i="3"/>
  <c r="K81" i="3"/>
  <c r="I81" i="3"/>
  <c r="H81" i="3"/>
  <c r="E81" i="3"/>
  <c r="D81" i="3"/>
  <c r="C81" i="3"/>
  <c r="Q80" i="3"/>
  <c r="O80" i="3"/>
  <c r="N80" i="3"/>
  <c r="M80" i="3"/>
  <c r="L80" i="3"/>
  <c r="K80" i="3"/>
  <c r="J80" i="3"/>
  <c r="I80" i="3"/>
  <c r="H80" i="3"/>
  <c r="G80" i="3"/>
  <c r="F80" i="3"/>
  <c r="E80" i="3"/>
  <c r="C80" i="3"/>
  <c r="Q79" i="3"/>
  <c r="P79" i="3"/>
  <c r="O79" i="3"/>
  <c r="N79" i="3"/>
  <c r="M79" i="3"/>
  <c r="L79" i="3"/>
  <c r="K79" i="3"/>
  <c r="J79" i="3"/>
  <c r="H79" i="3"/>
  <c r="G79" i="3"/>
  <c r="F79" i="3"/>
  <c r="D79" i="3"/>
  <c r="Q78" i="3"/>
  <c r="P78" i="3"/>
  <c r="O78" i="3"/>
  <c r="N78" i="3"/>
  <c r="M78" i="3"/>
  <c r="L78" i="3"/>
  <c r="K78" i="3"/>
  <c r="J78" i="3"/>
  <c r="I78" i="3"/>
  <c r="H78" i="3"/>
  <c r="G78" i="3"/>
  <c r="F78" i="3"/>
  <c r="D78" i="3"/>
  <c r="Q77" i="3"/>
  <c r="P77" i="3"/>
  <c r="N77" i="3"/>
  <c r="M77" i="3"/>
  <c r="L77" i="3"/>
  <c r="J77" i="3"/>
  <c r="H77" i="3"/>
  <c r="G77" i="3"/>
  <c r="F77" i="3"/>
  <c r="E77" i="3"/>
  <c r="D77" i="3"/>
  <c r="C77" i="3"/>
  <c r="Q76" i="3"/>
  <c r="P76" i="3"/>
  <c r="O76" i="3"/>
  <c r="N76" i="3"/>
  <c r="M76" i="3"/>
  <c r="L76" i="3"/>
  <c r="K76" i="3"/>
  <c r="J76" i="3"/>
  <c r="I76" i="3"/>
  <c r="H76" i="3"/>
  <c r="F76" i="3"/>
  <c r="E76" i="3"/>
  <c r="D76" i="3"/>
  <c r="C76" i="3"/>
  <c r="P75" i="3"/>
  <c r="O75" i="3"/>
  <c r="N75" i="3"/>
  <c r="L75" i="3"/>
  <c r="K75" i="3"/>
  <c r="J75" i="3"/>
  <c r="H75" i="3"/>
  <c r="G75" i="3"/>
  <c r="E75" i="3"/>
  <c r="D75" i="3"/>
  <c r="Q74" i="3"/>
  <c r="P74" i="3"/>
  <c r="O74" i="3"/>
  <c r="M74" i="3"/>
  <c r="L74" i="3"/>
  <c r="K74" i="3"/>
  <c r="J74" i="3"/>
  <c r="I74" i="3"/>
  <c r="H74" i="3"/>
  <c r="G74" i="3"/>
  <c r="E74" i="3"/>
  <c r="D74" i="3"/>
  <c r="C74" i="3"/>
  <c r="Q73" i="3"/>
  <c r="P73" i="3"/>
  <c r="O73" i="3"/>
  <c r="N73" i="3"/>
  <c r="M73" i="3"/>
  <c r="L73" i="3"/>
  <c r="K73" i="3"/>
  <c r="I73" i="3"/>
  <c r="G73" i="3"/>
  <c r="E73" i="3"/>
  <c r="Q72" i="3"/>
  <c r="P72" i="3"/>
  <c r="O72" i="3"/>
  <c r="N72" i="3"/>
  <c r="M72" i="3"/>
  <c r="L72" i="3"/>
  <c r="K72" i="3"/>
  <c r="J72" i="3"/>
  <c r="I72" i="3"/>
  <c r="F72" i="3"/>
  <c r="D72" i="3"/>
  <c r="Q71" i="3"/>
  <c r="P71" i="3"/>
  <c r="O71" i="3"/>
  <c r="N71" i="3"/>
  <c r="M71" i="3"/>
  <c r="L71" i="3"/>
  <c r="K71" i="3"/>
  <c r="J71" i="3"/>
  <c r="I71" i="3"/>
  <c r="H71" i="3"/>
  <c r="G71" i="3"/>
  <c r="F71" i="3"/>
  <c r="D71" i="3"/>
  <c r="C71" i="3"/>
  <c r="Q70" i="3"/>
  <c r="P70" i="3"/>
  <c r="N70" i="3"/>
  <c r="M70" i="3"/>
  <c r="L70" i="3"/>
  <c r="K70" i="3"/>
  <c r="J70" i="3"/>
  <c r="I70" i="3"/>
  <c r="H70" i="3"/>
  <c r="G70" i="3"/>
  <c r="F70" i="3"/>
  <c r="E70" i="3"/>
  <c r="N69" i="3"/>
  <c r="M69" i="3"/>
  <c r="L69" i="3"/>
  <c r="K69" i="3"/>
  <c r="J69" i="3"/>
  <c r="I69" i="3"/>
  <c r="H69" i="3"/>
  <c r="F69" i="3"/>
  <c r="E69" i="3"/>
  <c r="C69" i="3"/>
  <c r="P68" i="3"/>
  <c r="O68" i="3"/>
  <c r="N68" i="3"/>
  <c r="M68" i="3"/>
  <c r="L68" i="3"/>
  <c r="K68" i="3"/>
  <c r="J68" i="3"/>
  <c r="I68" i="3"/>
  <c r="H68" i="3"/>
  <c r="G68" i="3"/>
  <c r="F68" i="3"/>
  <c r="E68" i="3"/>
  <c r="D68" i="3"/>
  <c r="C68" i="3"/>
  <c r="Q67" i="3"/>
  <c r="P67" i="3"/>
  <c r="M67" i="3"/>
  <c r="L67" i="3"/>
  <c r="K67" i="3"/>
  <c r="J67" i="3"/>
  <c r="I67" i="3"/>
  <c r="H67" i="3"/>
  <c r="G67" i="3"/>
  <c r="E67" i="3"/>
  <c r="D67" i="3"/>
  <c r="C67" i="3"/>
  <c r="Q66" i="3"/>
  <c r="P66" i="3"/>
  <c r="O66" i="3"/>
  <c r="N66" i="3"/>
  <c r="M66" i="3"/>
  <c r="L66" i="3"/>
  <c r="J66" i="3"/>
  <c r="H66" i="3"/>
  <c r="G66" i="3"/>
  <c r="F66" i="3"/>
  <c r="E66" i="3"/>
  <c r="D66" i="3"/>
  <c r="Q65" i="3"/>
  <c r="P65" i="3"/>
  <c r="O65" i="3"/>
  <c r="N65" i="3"/>
  <c r="L65" i="3"/>
  <c r="K65" i="3"/>
  <c r="J65" i="3"/>
  <c r="H65" i="3"/>
  <c r="G65" i="3"/>
  <c r="D65" i="3"/>
  <c r="C65" i="3"/>
  <c r="Q64" i="3"/>
  <c r="P64" i="3"/>
  <c r="O64" i="3"/>
  <c r="N64" i="3"/>
  <c r="M64" i="3"/>
  <c r="L64" i="3"/>
  <c r="K64" i="3"/>
  <c r="J64" i="3"/>
  <c r="H64" i="3"/>
  <c r="G64" i="3"/>
  <c r="E64" i="3"/>
  <c r="D64" i="3"/>
  <c r="Q63" i="3"/>
  <c r="P63" i="3"/>
  <c r="O63" i="3"/>
  <c r="N63" i="3"/>
  <c r="M63" i="3"/>
  <c r="L63" i="3"/>
  <c r="K63" i="3"/>
  <c r="J63" i="3"/>
  <c r="I63" i="3"/>
  <c r="H63" i="3"/>
  <c r="G63" i="3"/>
  <c r="E63" i="3"/>
  <c r="D63" i="3"/>
  <c r="C63" i="3"/>
  <c r="P62" i="3"/>
  <c r="N62" i="3"/>
  <c r="M62" i="3"/>
  <c r="L62" i="3"/>
  <c r="K62" i="3"/>
  <c r="I62" i="3"/>
  <c r="H62" i="3"/>
  <c r="F62" i="3"/>
  <c r="E62" i="3"/>
  <c r="D62" i="3"/>
  <c r="C62" i="3"/>
  <c r="Q61" i="3"/>
  <c r="P61" i="3"/>
  <c r="O61" i="3"/>
  <c r="N61" i="3"/>
  <c r="M61" i="3"/>
  <c r="L61" i="3"/>
  <c r="K61" i="3"/>
  <c r="J61" i="3"/>
  <c r="I61" i="3"/>
  <c r="H61" i="3"/>
  <c r="G61" i="3"/>
  <c r="F61" i="3"/>
  <c r="E61" i="3"/>
  <c r="D61" i="3"/>
  <c r="C61" i="3"/>
  <c r="Q60" i="3"/>
  <c r="P60" i="3"/>
  <c r="O60" i="3"/>
  <c r="N60" i="3"/>
  <c r="M60" i="3"/>
  <c r="K60" i="3"/>
  <c r="J60" i="3"/>
  <c r="I60" i="3"/>
  <c r="F60" i="3"/>
  <c r="E60" i="3"/>
  <c r="D60" i="3"/>
  <c r="Q59" i="3"/>
  <c r="P59" i="3"/>
  <c r="O59" i="3"/>
  <c r="N59" i="3"/>
  <c r="M59" i="3"/>
  <c r="L59" i="3"/>
  <c r="K59" i="3"/>
  <c r="J59" i="3"/>
  <c r="I59" i="3"/>
  <c r="G59" i="3"/>
  <c r="E59" i="3"/>
  <c r="D59" i="3"/>
  <c r="Q58" i="3"/>
  <c r="P58" i="3"/>
  <c r="O58" i="3"/>
  <c r="N58" i="3"/>
  <c r="M58" i="3"/>
  <c r="L58" i="3"/>
  <c r="K58" i="3"/>
  <c r="I58" i="3"/>
  <c r="H58" i="3"/>
  <c r="G58" i="3"/>
  <c r="E58" i="3"/>
  <c r="D58" i="3"/>
  <c r="C58" i="3"/>
  <c r="Q57" i="3"/>
  <c r="P57" i="3"/>
  <c r="N57" i="3"/>
  <c r="M57" i="3"/>
  <c r="L57" i="3"/>
  <c r="K57" i="3"/>
  <c r="J57" i="3"/>
  <c r="H57" i="3"/>
  <c r="G57" i="3"/>
  <c r="F57" i="3"/>
  <c r="D57" i="3"/>
  <c r="C57" i="3"/>
  <c r="Q56" i="3"/>
  <c r="P56" i="3"/>
  <c r="O56" i="3"/>
  <c r="N56" i="3"/>
  <c r="M56" i="3"/>
  <c r="L56" i="3"/>
  <c r="J56" i="3"/>
  <c r="I56" i="3"/>
  <c r="H56" i="3"/>
  <c r="G56" i="3"/>
  <c r="E56" i="3"/>
  <c r="C56" i="3"/>
  <c r="P55" i="3"/>
  <c r="O55" i="3"/>
  <c r="N55" i="3"/>
  <c r="L55" i="3"/>
  <c r="J55" i="3"/>
  <c r="I55" i="3"/>
  <c r="H55" i="3"/>
  <c r="G55" i="3"/>
  <c r="F55" i="3"/>
  <c r="E55" i="3"/>
  <c r="D55" i="3"/>
  <c r="Q54" i="3"/>
  <c r="P54" i="3"/>
  <c r="O54" i="3"/>
  <c r="N54" i="3"/>
  <c r="L54" i="3"/>
  <c r="K54" i="3"/>
  <c r="J54" i="3"/>
  <c r="H54" i="3"/>
  <c r="G54" i="3"/>
  <c r="F54" i="3"/>
  <c r="E54" i="3"/>
  <c r="D54" i="3"/>
  <c r="C54" i="3"/>
  <c r="Q53" i="3"/>
  <c r="P53" i="3"/>
  <c r="N53" i="3"/>
  <c r="M53" i="3"/>
  <c r="L53" i="3"/>
  <c r="K53" i="3"/>
  <c r="J53" i="3"/>
  <c r="H53" i="3"/>
  <c r="G53" i="3"/>
  <c r="F53" i="3"/>
  <c r="E53" i="3"/>
  <c r="D53" i="3"/>
  <c r="C53" i="3"/>
  <c r="Q52" i="3"/>
  <c r="P52" i="3"/>
  <c r="O52" i="3"/>
  <c r="M52" i="3"/>
  <c r="L52" i="3"/>
  <c r="K52" i="3"/>
  <c r="J52" i="3"/>
  <c r="I52" i="3"/>
  <c r="H52" i="3"/>
  <c r="G52" i="3"/>
  <c r="F52" i="3"/>
  <c r="E52" i="3"/>
  <c r="D52" i="3"/>
  <c r="Q51" i="3"/>
  <c r="P51" i="3"/>
  <c r="O51" i="3"/>
  <c r="N51" i="3"/>
  <c r="M51" i="3"/>
  <c r="L51" i="3"/>
  <c r="K51" i="3"/>
  <c r="J51" i="3"/>
  <c r="I51" i="3"/>
  <c r="H51" i="3"/>
  <c r="G51" i="3"/>
  <c r="E51" i="3"/>
  <c r="D51" i="3"/>
  <c r="C51" i="3"/>
  <c r="Q50" i="3"/>
  <c r="P50" i="3"/>
  <c r="M50" i="3"/>
  <c r="L50" i="3"/>
  <c r="K50" i="3"/>
  <c r="J50" i="3"/>
  <c r="I50" i="3"/>
  <c r="H50" i="3"/>
  <c r="G50" i="3"/>
  <c r="F50" i="3"/>
  <c r="D50" i="3"/>
  <c r="C50" i="3"/>
  <c r="P49" i="3"/>
  <c r="N49" i="3"/>
  <c r="M49" i="3"/>
  <c r="L49" i="3"/>
  <c r="K49" i="3"/>
  <c r="J49" i="3"/>
  <c r="I49" i="3"/>
  <c r="H49" i="3"/>
  <c r="G49" i="3"/>
  <c r="F49" i="3"/>
  <c r="C49" i="3"/>
  <c r="Q48" i="3"/>
  <c r="P48" i="3"/>
  <c r="O48" i="3"/>
  <c r="N48" i="3"/>
  <c r="M48" i="3"/>
  <c r="L48" i="3"/>
  <c r="K48" i="3"/>
  <c r="I48" i="3"/>
  <c r="H48" i="3"/>
  <c r="G48" i="3"/>
  <c r="F48" i="3"/>
  <c r="E48" i="3"/>
  <c r="D48" i="3"/>
  <c r="Q47" i="3"/>
  <c r="O47" i="3"/>
  <c r="N47" i="3"/>
  <c r="M47" i="3"/>
  <c r="L47" i="3"/>
  <c r="K47" i="3"/>
  <c r="I47" i="3"/>
  <c r="H47" i="3"/>
  <c r="E47" i="3"/>
  <c r="D47" i="3"/>
  <c r="C47" i="3"/>
  <c r="Q46" i="3"/>
  <c r="P46" i="3"/>
  <c r="O46" i="3"/>
  <c r="N46" i="3"/>
  <c r="M46" i="3"/>
  <c r="L46" i="3"/>
  <c r="K46" i="3"/>
  <c r="J46" i="3"/>
  <c r="E46" i="3"/>
  <c r="Q45" i="3"/>
  <c r="P45" i="3"/>
  <c r="O45" i="3"/>
  <c r="M45" i="3"/>
  <c r="L45" i="3"/>
  <c r="J45" i="3"/>
  <c r="I45" i="3"/>
  <c r="H45" i="3"/>
  <c r="E45" i="3"/>
  <c r="D45" i="3"/>
  <c r="C45" i="3"/>
  <c r="Q44" i="3"/>
  <c r="P44" i="3"/>
  <c r="N44" i="3"/>
  <c r="L44" i="3"/>
  <c r="K44" i="3"/>
  <c r="J44" i="3"/>
  <c r="H44" i="3"/>
  <c r="G44" i="3"/>
  <c r="F44" i="3"/>
  <c r="E44" i="3"/>
  <c r="D44" i="3"/>
  <c r="C44" i="3"/>
  <c r="Q43" i="3"/>
  <c r="P43" i="3"/>
  <c r="O43" i="3"/>
  <c r="N43" i="3"/>
  <c r="M43" i="3"/>
  <c r="L43" i="3"/>
  <c r="K43" i="3"/>
  <c r="J43" i="3"/>
  <c r="I43" i="3"/>
  <c r="H43" i="3"/>
  <c r="G43" i="3"/>
  <c r="F43" i="3"/>
  <c r="E43" i="3"/>
  <c r="D43" i="3"/>
  <c r="C43" i="3"/>
  <c r="P42" i="3"/>
  <c r="O42" i="3"/>
  <c r="N42" i="3"/>
  <c r="M42" i="3"/>
  <c r="L42" i="3"/>
  <c r="K42" i="3"/>
  <c r="J42" i="3"/>
  <c r="H42" i="3"/>
  <c r="G42" i="3"/>
  <c r="F42" i="3"/>
  <c r="E42" i="3"/>
  <c r="D42" i="3"/>
  <c r="Q41" i="3"/>
  <c r="P41" i="3"/>
  <c r="O41" i="3"/>
  <c r="N41" i="3"/>
  <c r="M41" i="3"/>
  <c r="L41" i="3"/>
  <c r="K41" i="3"/>
  <c r="J41" i="3"/>
  <c r="I41" i="3"/>
  <c r="H41" i="3"/>
  <c r="G41" i="3"/>
  <c r="F41" i="3"/>
  <c r="C41" i="3"/>
  <c r="Q40" i="3"/>
  <c r="P40" i="3"/>
  <c r="N40" i="3"/>
  <c r="M40" i="3"/>
  <c r="L40" i="3"/>
  <c r="K40" i="3"/>
  <c r="I40" i="3"/>
  <c r="H40" i="3"/>
  <c r="Q39" i="3"/>
  <c r="P39" i="3"/>
  <c r="O39" i="3"/>
  <c r="N39" i="3"/>
  <c r="M39" i="3"/>
  <c r="L39" i="3"/>
  <c r="K39" i="3"/>
  <c r="J39" i="3"/>
  <c r="I39" i="3"/>
  <c r="E39" i="3"/>
  <c r="D39" i="3"/>
  <c r="C39" i="3"/>
  <c r="Q38" i="3"/>
  <c r="O38" i="3"/>
  <c r="M38" i="3"/>
  <c r="L38" i="3"/>
  <c r="K38" i="3"/>
  <c r="J38" i="3"/>
  <c r="H38" i="3"/>
  <c r="F38" i="3"/>
  <c r="E38" i="3"/>
  <c r="D38" i="3"/>
  <c r="C38" i="3"/>
  <c r="Q37" i="3"/>
  <c r="N37" i="3"/>
  <c r="M37" i="3"/>
  <c r="L37" i="3"/>
  <c r="K37" i="3"/>
  <c r="I37" i="3"/>
  <c r="H37" i="3"/>
  <c r="G37" i="3"/>
  <c r="E37" i="3"/>
  <c r="D37" i="3"/>
  <c r="C37" i="3"/>
  <c r="Q36" i="3"/>
  <c r="N36" i="3"/>
  <c r="M36" i="3"/>
  <c r="L36" i="3"/>
  <c r="K36" i="3"/>
  <c r="J36" i="3"/>
  <c r="I36" i="3"/>
  <c r="H36" i="3"/>
  <c r="F36" i="3"/>
  <c r="E36" i="3"/>
  <c r="D36" i="3"/>
  <c r="Q35" i="3"/>
  <c r="P35" i="3"/>
  <c r="O35" i="3"/>
  <c r="N35" i="3"/>
  <c r="L35" i="3"/>
  <c r="K35" i="3"/>
  <c r="J35" i="3"/>
  <c r="I35" i="3"/>
  <c r="H35" i="3"/>
  <c r="G35" i="3"/>
  <c r="F35" i="3"/>
  <c r="E35" i="3"/>
  <c r="D35" i="3"/>
  <c r="C35" i="3"/>
  <c r="Q34" i="3"/>
  <c r="P34" i="3"/>
  <c r="N34" i="3"/>
  <c r="L34" i="3"/>
  <c r="J34" i="3"/>
  <c r="G34" i="3"/>
  <c r="F34" i="3"/>
  <c r="E34" i="3"/>
  <c r="D34" i="3"/>
  <c r="C34" i="3"/>
  <c r="Q33" i="3"/>
  <c r="P33" i="3"/>
  <c r="O33" i="3"/>
  <c r="N33" i="3"/>
  <c r="M33" i="3"/>
  <c r="L33" i="3"/>
  <c r="J33" i="3"/>
  <c r="H33" i="3"/>
  <c r="F33" i="3"/>
  <c r="E33" i="3"/>
  <c r="D33" i="3"/>
  <c r="Q32" i="3"/>
  <c r="P32" i="3"/>
  <c r="O32" i="3"/>
  <c r="N32" i="3"/>
  <c r="M32" i="3"/>
  <c r="L32" i="3"/>
  <c r="K32" i="3"/>
  <c r="H32" i="3"/>
  <c r="F32" i="3"/>
  <c r="E32" i="3"/>
  <c r="D32" i="3"/>
  <c r="C32" i="3"/>
  <c r="Q31" i="3"/>
  <c r="P31" i="3"/>
  <c r="M31" i="3"/>
  <c r="L31" i="3"/>
  <c r="K31" i="3"/>
  <c r="J31" i="3"/>
  <c r="I31" i="3"/>
  <c r="H31" i="3"/>
  <c r="G31" i="3"/>
  <c r="Q30" i="3"/>
  <c r="P30" i="3"/>
  <c r="O30" i="3"/>
  <c r="M30" i="3"/>
  <c r="L30" i="3"/>
  <c r="K30" i="3"/>
  <c r="J30" i="3"/>
  <c r="I30" i="3"/>
  <c r="H30" i="3"/>
  <c r="G30" i="3"/>
  <c r="D30" i="3"/>
  <c r="P29" i="3"/>
  <c r="O29" i="3"/>
  <c r="N29" i="3"/>
  <c r="M29" i="3"/>
  <c r="L29" i="3"/>
  <c r="K29" i="3"/>
  <c r="J29" i="3"/>
  <c r="I29" i="3"/>
  <c r="H29" i="3"/>
  <c r="G29" i="3"/>
  <c r="F29" i="3"/>
  <c r="D29" i="3"/>
  <c r="C29" i="3"/>
  <c r="Q28" i="3"/>
  <c r="P28" i="3"/>
  <c r="O28" i="3"/>
  <c r="N28" i="3"/>
  <c r="M28" i="3"/>
  <c r="K28" i="3"/>
  <c r="J28" i="3"/>
  <c r="H28" i="3"/>
  <c r="G28" i="3"/>
  <c r="Q27" i="3"/>
  <c r="P27" i="3"/>
  <c r="O27" i="3"/>
  <c r="N27" i="3"/>
  <c r="M27" i="3"/>
  <c r="L27" i="3"/>
  <c r="K27" i="3"/>
  <c r="J27" i="3"/>
  <c r="I27" i="3"/>
  <c r="H27" i="3"/>
  <c r="G27" i="3"/>
  <c r="D27" i="3"/>
  <c r="C27" i="3"/>
  <c r="Q26" i="3"/>
  <c r="P26" i="3"/>
  <c r="O26" i="3"/>
  <c r="N26" i="3"/>
  <c r="M26" i="3"/>
  <c r="L26" i="3"/>
  <c r="K26" i="3"/>
  <c r="J26" i="3"/>
  <c r="I26" i="3"/>
  <c r="F26" i="3"/>
  <c r="E26" i="3"/>
  <c r="D26" i="3"/>
  <c r="Q25" i="3"/>
  <c r="P25" i="3"/>
  <c r="O25" i="3"/>
  <c r="N25" i="3"/>
  <c r="M25" i="3"/>
  <c r="L25" i="3"/>
  <c r="K25" i="3"/>
  <c r="J25" i="3"/>
  <c r="I25" i="3"/>
  <c r="H25" i="3"/>
  <c r="G25" i="3"/>
  <c r="F25" i="3"/>
  <c r="E25" i="3"/>
  <c r="D25" i="3"/>
  <c r="Q24" i="3"/>
  <c r="P24" i="3"/>
  <c r="N24" i="3"/>
  <c r="L24" i="3"/>
  <c r="K24" i="3"/>
  <c r="J24" i="3"/>
  <c r="H24" i="3"/>
  <c r="G24" i="3"/>
  <c r="F24" i="3"/>
  <c r="E24" i="3"/>
  <c r="D24" i="3"/>
  <c r="P23" i="3"/>
  <c r="N23" i="3"/>
  <c r="M23" i="3"/>
  <c r="L23" i="3"/>
  <c r="K23" i="3"/>
  <c r="J23" i="3"/>
  <c r="I23" i="3"/>
  <c r="H23" i="3"/>
  <c r="G23" i="3"/>
  <c r="F23" i="3"/>
  <c r="E23" i="3"/>
  <c r="D23" i="3"/>
  <c r="C23" i="3"/>
  <c r="Q22" i="3"/>
  <c r="P22" i="3"/>
  <c r="O22" i="3"/>
  <c r="N22" i="3"/>
  <c r="M22" i="3"/>
  <c r="L22" i="3"/>
  <c r="J22" i="3"/>
  <c r="H22" i="3"/>
  <c r="G22" i="3"/>
  <c r="E22" i="3"/>
  <c r="C22" i="3"/>
  <c r="Q21" i="3"/>
  <c r="P21" i="3"/>
  <c r="O21" i="3"/>
  <c r="N21" i="3"/>
  <c r="M21" i="3"/>
  <c r="L21" i="3"/>
  <c r="K21" i="3"/>
  <c r="J21" i="3"/>
  <c r="I21" i="3"/>
  <c r="H21" i="3"/>
  <c r="G21" i="3"/>
  <c r="F21" i="3"/>
  <c r="E21" i="3"/>
  <c r="D21" i="3"/>
  <c r="C21" i="3"/>
  <c r="Q20" i="3"/>
  <c r="P20" i="3"/>
  <c r="O20" i="3"/>
  <c r="N20" i="3"/>
  <c r="M20" i="3"/>
  <c r="L20" i="3"/>
  <c r="K20" i="3"/>
  <c r="J20" i="3"/>
  <c r="I20" i="3"/>
  <c r="H20" i="3"/>
  <c r="G20" i="3"/>
  <c r="F20" i="3"/>
  <c r="Q19" i="3"/>
  <c r="P19" i="3"/>
  <c r="O19" i="3"/>
  <c r="N19" i="3"/>
  <c r="M19" i="3"/>
  <c r="L19" i="3"/>
  <c r="K19" i="3"/>
  <c r="J19" i="3"/>
  <c r="I19" i="3"/>
  <c r="H19" i="3"/>
  <c r="G19" i="3"/>
  <c r="E19" i="3"/>
  <c r="D19" i="3"/>
  <c r="Q18" i="3"/>
  <c r="P18" i="3"/>
  <c r="O18" i="3"/>
  <c r="N18" i="3"/>
  <c r="M18" i="3"/>
  <c r="L18" i="3"/>
  <c r="K18" i="3"/>
  <c r="J18" i="3"/>
  <c r="I18" i="3"/>
  <c r="H18" i="3"/>
  <c r="E18" i="3"/>
  <c r="D18" i="3"/>
  <c r="Q17" i="3"/>
  <c r="P17" i="3"/>
  <c r="N17" i="3"/>
  <c r="M17" i="3"/>
  <c r="L17" i="3"/>
  <c r="K17" i="3"/>
  <c r="J17" i="3"/>
  <c r="I17" i="3"/>
  <c r="H17" i="3"/>
  <c r="G17" i="3"/>
  <c r="F17" i="3"/>
  <c r="E17" i="3"/>
  <c r="D17" i="3"/>
  <c r="C17" i="3"/>
  <c r="P16" i="3"/>
  <c r="O16" i="3"/>
  <c r="M16" i="3"/>
  <c r="L16" i="3"/>
  <c r="K16" i="3"/>
  <c r="I16" i="3"/>
  <c r="H16" i="3"/>
  <c r="F16" i="3"/>
  <c r="D16" i="3"/>
  <c r="C16" i="3"/>
  <c r="Q15" i="3"/>
  <c r="O15" i="3"/>
  <c r="N15" i="3"/>
  <c r="M15" i="3"/>
  <c r="L15" i="3"/>
  <c r="K15" i="3"/>
  <c r="J15" i="3"/>
  <c r="I15" i="3"/>
  <c r="H15" i="3"/>
  <c r="F15" i="3"/>
  <c r="E15" i="3"/>
  <c r="D15" i="3"/>
  <c r="Q14" i="3"/>
  <c r="P14" i="3"/>
  <c r="O14" i="3"/>
  <c r="N14" i="3"/>
  <c r="L14" i="3"/>
  <c r="K14" i="3"/>
  <c r="J14" i="3"/>
  <c r="I14" i="3"/>
  <c r="H14" i="3"/>
  <c r="G14" i="3"/>
  <c r="F14" i="3"/>
  <c r="E14" i="3"/>
  <c r="D14" i="3"/>
  <c r="Q13" i="3"/>
  <c r="O13" i="3"/>
  <c r="N13" i="3"/>
  <c r="L13" i="3"/>
  <c r="K13" i="3"/>
  <c r="J13" i="3"/>
  <c r="H13" i="3"/>
  <c r="G13" i="3"/>
  <c r="F13" i="3"/>
  <c r="E13" i="3"/>
  <c r="D13" i="3"/>
  <c r="C13" i="3"/>
  <c r="Q12" i="3"/>
  <c r="P12" i="3"/>
  <c r="O12" i="3"/>
  <c r="N12" i="3"/>
  <c r="M12" i="3"/>
  <c r="L12" i="3"/>
  <c r="K12" i="3"/>
  <c r="J12" i="3"/>
  <c r="I12" i="3"/>
  <c r="H12" i="3"/>
  <c r="G12" i="3"/>
  <c r="F12" i="3"/>
  <c r="E12" i="3"/>
  <c r="M9" i="3"/>
  <c r="K9" i="3"/>
  <c r="J9" i="3"/>
  <c r="I9" i="3"/>
  <c r="H9" i="3"/>
  <c r="E9" i="3"/>
  <c r="M7" i="3"/>
  <c r="V4" i="3"/>
  <c r="K7" i="3" s="1"/>
  <c r="V3" i="3"/>
  <c r="P25" i="1"/>
  <c r="P24" i="1"/>
  <c r="P23" i="1"/>
  <c r="P22" i="1"/>
  <c r="P20" i="1"/>
  <c r="P17" i="1"/>
  <c r="Q13" i="1"/>
  <c r="Q24" i="1" s="1"/>
  <c r="Q19" i="1" l="1"/>
  <c r="Q25" i="1"/>
  <c r="L7" i="3"/>
  <c r="D7" i="3"/>
  <c r="C15" i="18"/>
  <c r="C87" i="18"/>
  <c r="C28" i="18"/>
  <c r="C57" i="18"/>
  <c r="C100" i="18"/>
  <c r="C110" i="18"/>
  <c r="C120" i="18"/>
  <c r="C129" i="18"/>
  <c r="L8" i="3"/>
  <c r="L10" i="3" s="1"/>
  <c r="C8" i="18"/>
  <c r="C18" i="18"/>
  <c r="C27" i="18"/>
  <c r="C49" i="18"/>
  <c r="C59" i="18"/>
  <c r="C70" i="18"/>
  <c r="C80" i="18"/>
  <c r="C90" i="18"/>
  <c r="C99" i="18"/>
  <c r="C121" i="18"/>
  <c r="C131" i="18"/>
  <c r="C142" i="18"/>
  <c r="C19" i="18"/>
  <c r="C29" i="18"/>
  <c r="C50" i="18"/>
  <c r="C60" i="18"/>
  <c r="C91" i="18"/>
  <c r="C101" i="18"/>
  <c r="C122" i="18"/>
  <c r="C132" i="18"/>
  <c r="C82" i="18"/>
  <c r="C9" i="18"/>
  <c r="C31" i="18"/>
  <c r="C41" i="18"/>
  <c r="C62" i="18"/>
  <c r="C72" i="18"/>
  <c r="C81" i="18"/>
  <c r="C103" i="18"/>
  <c r="C113" i="18"/>
  <c r="C134" i="18"/>
  <c r="C144" i="18"/>
  <c r="L60" i="3"/>
  <c r="L5" i="3" s="1"/>
  <c r="L6" i="3" s="1"/>
  <c r="C21" i="18"/>
  <c r="C64" i="18"/>
  <c r="C93" i="18"/>
  <c r="C136" i="18"/>
  <c r="C13" i="18"/>
  <c r="C23" i="18"/>
  <c r="C34" i="18"/>
  <c r="C44" i="18"/>
  <c r="C54" i="18"/>
  <c r="C63" i="18"/>
  <c r="C85" i="18"/>
  <c r="C95" i="18"/>
  <c r="C106" i="18"/>
  <c r="C116" i="18"/>
  <c r="C126" i="18"/>
  <c r="C135" i="18"/>
  <c r="C76" i="18"/>
  <c r="C148" i="18"/>
  <c r="C25" i="18"/>
  <c r="C35" i="18"/>
  <c r="C56" i="18"/>
  <c r="C66" i="18"/>
  <c r="C75" i="18"/>
  <c r="C97" i="18"/>
  <c r="C107" i="18"/>
  <c r="C128" i="18"/>
  <c r="C138" i="18"/>
  <c r="C147" i="18"/>
  <c r="N67" i="3"/>
  <c r="N74" i="3"/>
  <c r="C25" i="17"/>
  <c r="C63" i="17"/>
  <c r="C78" i="17"/>
  <c r="C85" i="17"/>
  <c r="C92" i="17"/>
  <c r="C99" i="17"/>
  <c r="C128" i="17"/>
  <c r="C135" i="17"/>
  <c r="C150" i="17"/>
  <c r="N50" i="3"/>
  <c r="N3" i="3" s="1"/>
  <c r="C20" i="17"/>
  <c r="C44" i="17"/>
  <c r="N103" i="3"/>
  <c r="C14" i="17"/>
  <c r="C38" i="17"/>
  <c r="C13" i="17"/>
  <c r="C37" i="17"/>
  <c r="C8" i="17"/>
  <c r="C32" i="17"/>
  <c r="M54" i="3"/>
  <c r="M55" i="3"/>
  <c r="M85" i="3"/>
  <c r="M86" i="3"/>
  <c r="C10" i="16"/>
  <c r="C63" i="16"/>
  <c r="C73" i="16"/>
  <c r="C82" i="16"/>
  <c r="C112" i="16"/>
  <c r="M13" i="3"/>
  <c r="C23" i="16"/>
  <c r="C52" i="16"/>
  <c r="C95" i="16"/>
  <c r="C105" i="16"/>
  <c r="C115" i="16"/>
  <c r="C124" i="16"/>
  <c r="C40" i="16"/>
  <c r="M14" i="3"/>
  <c r="C13" i="16"/>
  <c r="C22" i="16"/>
  <c r="C44" i="16"/>
  <c r="C54" i="16"/>
  <c r="C65" i="16"/>
  <c r="C75" i="16"/>
  <c r="C85" i="16"/>
  <c r="C94" i="16"/>
  <c r="C116" i="16"/>
  <c r="C126" i="16"/>
  <c r="C137" i="16"/>
  <c r="C147" i="16"/>
  <c r="C14" i="16"/>
  <c r="C24" i="16"/>
  <c r="C35" i="16"/>
  <c r="C45" i="16"/>
  <c r="C55" i="16"/>
  <c r="C86" i="16"/>
  <c r="C96" i="16"/>
  <c r="C107" i="16"/>
  <c r="C117" i="16"/>
  <c r="C127" i="16"/>
  <c r="M65" i="3"/>
  <c r="C15" i="16"/>
  <c r="C25" i="16"/>
  <c r="C56" i="16"/>
  <c r="C66" i="16"/>
  <c r="C77" i="16"/>
  <c r="C87" i="16"/>
  <c r="C97" i="16"/>
  <c r="C128" i="16"/>
  <c r="C138" i="16"/>
  <c r="C149" i="16"/>
  <c r="C26" i="16"/>
  <c r="C36" i="16"/>
  <c r="C47" i="16"/>
  <c r="C57" i="16"/>
  <c r="C67" i="16"/>
  <c r="C98" i="16"/>
  <c r="C108" i="16"/>
  <c r="C119" i="16"/>
  <c r="C129" i="16"/>
  <c r="C139" i="16"/>
  <c r="M75" i="3"/>
  <c r="M96" i="3"/>
  <c r="C27" i="16"/>
  <c r="C37" i="16"/>
  <c r="C99" i="16"/>
  <c r="C109" i="16"/>
  <c r="C16" i="16"/>
  <c r="C88" i="16"/>
  <c r="M24" i="3"/>
  <c r="M35" i="3"/>
  <c r="M44" i="3"/>
  <c r="C7" i="16"/>
  <c r="C18" i="16"/>
  <c r="C29" i="16"/>
  <c r="C39" i="16"/>
  <c r="C49" i="16"/>
  <c r="C58" i="16"/>
  <c r="C80" i="16"/>
  <c r="C90" i="16"/>
  <c r="C101" i="16"/>
  <c r="C111" i="16"/>
  <c r="C121" i="16"/>
  <c r="C130" i="16"/>
  <c r="C9" i="16"/>
  <c r="C19" i="16"/>
  <c r="C50" i="16"/>
  <c r="C60" i="16"/>
  <c r="C71" i="16"/>
  <c r="C81" i="16"/>
  <c r="C91" i="16"/>
  <c r="C122" i="16"/>
  <c r="C132" i="16"/>
  <c r="C143" i="16"/>
  <c r="G32" i="3"/>
  <c r="G9" i="3"/>
  <c r="C80" i="15"/>
  <c r="C109" i="15"/>
  <c r="C116" i="15"/>
  <c r="C123" i="15"/>
  <c r="C130" i="15"/>
  <c r="C145" i="15"/>
  <c r="G26" i="3"/>
  <c r="G38" i="3"/>
  <c r="G39" i="3"/>
  <c r="G3" i="3" s="1"/>
  <c r="G81" i="3"/>
  <c r="G95" i="3"/>
  <c r="C26" i="15"/>
  <c r="C50" i="15"/>
  <c r="G40" i="3"/>
  <c r="C94" i="15"/>
  <c r="G15" i="3"/>
  <c r="G46" i="3"/>
  <c r="G45" i="3"/>
  <c r="C7" i="15"/>
  <c r="C14" i="15"/>
  <c r="C38" i="15"/>
  <c r="C62" i="15"/>
  <c r="C135" i="15"/>
  <c r="C9" i="15"/>
  <c r="C33" i="15"/>
  <c r="C57" i="15"/>
  <c r="K77" i="3"/>
  <c r="C136" i="14"/>
  <c r="C113" i="14"/>
  <c r="K45" i="3"/>
  <c r="C96" i="14"/>
  <c r="C147" i="14"/>
  <c r="K22" i="3"/>
  <c r="K5" i="3" s="1"/>
  <c r="K6" i="3" s="1"/>
  <c r="C7" i="14"/>
  <c r="C18" i="14"/>
  <c r="C30" i="14"/>
  <c r="C40" i="14"/>
  <c r="C51" i="14"/>
  <c r="C62" i="14"/>
  <c r="C74" i="14"/>
  <c r="C85" i="14"/>
  <c r="C95" i="14"/>
  <c r="C117" i="14"/>
  <c r="C127" i="14"/>
  <c r="C138" i="14"/>
  <c r="C146" i="14"/>
  <c r="C108" i="14"/>
  <c r="C118" i="14"/>
  <c r="C128" i="14"/>
  <c r="C20" i="14"/>
  <c r="C64" i="14"/>
  <c r="C76" i="14"/>
  <c r="C98" i="14"/>
  <c r="C107" i="14"/>
  <c r="C139" i="14"/>
  <c r="K66" i="3"/>
  <c r="K97" i="3"/>
  <c r="C53" i="14"/>
  <c r="C66" i="14"/>
  <c r="C100" i="14"/>
  <c r="C110" i="14"/>
  <c r="C119" i="14"/>
  <c r="C141" i="14"/>
  <c r="C149" i="14"/>
  <c r="K34" i="3"/>
  <c r="K86" i="3"/>
  <c r="K87" i="3"/>
  <c r="C24" i="14"/>
  <c r="C56" i="14"/>
  <c r="C68" i="14"/>
  <c r="C79" i="14"/>
  <c r="C91" i="14"/>
  <c r="C102" i="14"/>
  <c r="C112" i="14"/>
  <c r="C122" i="14"/>
  <c r="C131" i="14"/>
  <c r="K55" i="3"/>
  <c r="K56" i="3"/>
  <c r="C13" i="14"/>
  <c r="C46" i="14"/>
  <c r="C69" i="14"/>
  <c r="C80" i="14"/>
  <c r="C92" i="14"/>
  <c r="C123" i="14"/>
  <c r="C133" i="14"/>
  <c r="C144" i="14"/>
  <c r="C50" i="13"/>
  <c r="C102" i="13"/>
  <c r="C135" i="13"/>
  <c r="C148" i="13"/>
  <c r="Q9" i="3"/>
  <c r="Q55" i="3"/>
  <c r="Q5" i="3" s="1"/>
  <c r="Q6" i="3" s="1"/>
  <c r="C7" i="13"/>
  <c r="C36" i="13"/>
  <c r="C70" i="13"/>
  <c r="C96" i="13"/>
  <c r="C116" i="13"/>
  <c r="C142" i="13"/>
  <c r="C63" i="13"/>
  <c r="C89" i="13"/>
  <c r="C122" i="13"/>
  <c r="C31" i="13"/>
  <c r="C64" i="13"/>
  <c r="C77" i="13"/>
  <c r="C85" i="13"/>
  <c r="C90" i="13"/>
  <c r="C110" i="13"/>
  <c r="C123" i="13"/>
  <c r="C136" i="13"/>
  <c r="C149" i="13"/>
  <c r="C76" i="13"/>
  <c r="Q49" i="3"/>
  <c r="Q3" i="3" s="1"/>
  <c r="C30" i="13"/>
  <c r="C79" i="13"/>
  <c r="C84" i="13"/>
  <c r="C25" i="13"/>
  <c r="C73" i="13"/>
  <c r="C145" i="13"/>
  <c r="C10" i="13"/>
  <c r="C138" i="13"/>
  <c r="C18" i="13"/>
  <c r="C33" i="13"/>
  <c r="C40" i="13"/>
  <c r="C47" i="13"/>
  <c r="C55" i="13"/>
  <c r="C60" i="13"/>
  <c r="C80" i="13"/>
  <c r="C93" i="13"/>
  <c r="C106" i="13"/>
  <c r="C119" i="13"/>
  <c r="C127" i="13"/>
  <c r="C132" i="13"/>
  <c r="C49" i="13"/>
  <c r="C54" i="13"/>
  <c r="C121" i="13"/>
  <c r="C126" i="13"/>
  <c r="C13" i="13"/>
  <c r="C115" i="13"/>
  <c r="C43" i="13"/>
  <c r="C109" i="13"/>
  <c r="C114" i="13"/>
  <c r="P103" i="3"/>
  <c r="C17" i="12"/>
  <c r="C29" i="12"/>
  <c r="C41" i="12"/>
  <c r="C53" i="12"/>
  <c r="C65" i="12"/>
  <c r="C85" i="12"/>
  <c r="C97" i="12"/>
  <c r="C119" i="12"/>
  <c r="C128" i="12"/>
  <c r="C150" i="12"/>
  <c r="C120" i="12"/>
  <c r="C130" i="12"/>
  <c r="C7" i="12"/>
  <c r="C19" i="12"/>
  <c r="C31" i="12"/>
  <c r="C43" i="12"/>
  <c r="C55" i="12"/>
  <c r="C67" i="12"/>
  <c r="C131" i="12"/>
  <c r="C142" i="12"/>
  <c r="C9" i="12"/>
  <c r="C21" i="12"/>
  <c r="C33" i="12"/>
  <c r="C45" i="12"/>
  <c r="C57" i="12"/>
  <c r="C69" i="12"/>
  <c r="C90" i="12"/>
  <c r="C10" i="12"/>
  <c r="C22" i="12"/>
  <c r="C34" i="12"/>
  <c r="C46" i="12"/>
  <c r="C58" i="12"/>
  <c r="C70" i="12"/>
  <c r="C80" i="12"/>
  <c r="C91" i="12"/>
  <c r="C101" i="12"/>
  <c r="C113" i="12"/>
  <c r="C123" i="12"/>
  <c r="C134" i="12"/>
  <c r="C145" i="12"/>
  <c r="C11" i="12"/>
  <c r="C23" i="12"/>
  <c r="C35" i="12"/>
  <c r="C47" i="12"/>
  <c r="C59" i="12"/>
  <c r="C102" i="12"/>
  <c r="P90" i="3"/>
  <c r="C13" i="12"/>
  <c r="C25" i="12"/>
  <c r="C37" i="12"/>
  <c r="C49" i="12"/>
  <c r="C61" i="12"/>
  <c r="C83" i="12"/>
  <c r="C104" i="12"/>
  <c r="C114" i="12"/>
  <c r="C126" i="12"/>
  <c r="P15" i="3"/>
  <c r="P5" i="3" s="1"/>
  <c r="P6" i="3" s="1"/>
  <c r="P47" i="3"/>
  <c r="C14" i="12"/>
  <c r="C26" i="12"/>
  <c r="C38" i="12"/>
  <c r="C50" i="12"/>
  <c r="C73" i="12"/>
  <c r="C84" i="12"/>
  <c r="C94" i="12"/>
  <c r="C105" i="12"/>
  <c r="C116" i="12"/>
  <c r="C127" i="12"/>
  <c r="C137" i="12"/>
  <c r="C149" i="12"/>
  <c r="C97" i="11"/>
  <c r="O17" i="3"/>
  <c r="O5" i="3" s="1"/>
  <c r="O6" i="3" s="1"/>
  <c r="O31" i="3"/>
  <c r="C9" i="11"/>
  <c r="C17" i="11"/>
  <c r="C25" i="11"/>
  <c r="C41" i="11"/>
  <c r="C49" i="11"/>
  <c r="C63" i="11"/>
  <c r="C70" i="11"/>
  <c r="C83" i="11"/>
  <c r="C91" i="11"/>
  <c r="C96" i="11"/>
  <c r="C116" i="11"/>
  <c r="C129" i="11"/>
  <c r="C142" i="11"/>
  <c r="C104" i="11"/>
  <c r="C117" i="11"/>
  <c r="C130" i="11"/>
  <c r="C143" i="11"/>
  <c r="O34" i="3"/>
  <c r="O53" i="3"/>
  <c r="C11" i="11"/>
  <c r="C19" i="11"/>
  <c r="C35" i="11"/>
  <c r="C43" i="11"/>
  <c r="C73" i="11"/>
  <c r="C78" i="11"/>
  <c r="C98" i="11"/>
  <c r="C111" i="11"/>
  <c r="C124" i="11"/>
  <c r="C137" i="11"/>
  <c r="C145" i="11"/>
  <c r="C150" i="11"/>
  <c r="C71" i="11"/>
  <c r="C10" i="11"/>
  <c r="C18" i="11"/>
  <c r="C34" i="11"/>
  <c r="C42" i="11"/>
  <c r="C72" i="11"/>
  <c r="C139" i="11"/>
  <c r="C144" i="11"/>
  <c r="C40" i="11"/>
  <c r="C84" i="11"/>
  <c r="C67" i="11"/>
  <c r="C125" i="11"/>
  <c r="C133" i="11"/>
  <c r="C13" i="11"/>
  <c r="C29" i="11"/>
  <c r="C37" i="11"/>
  <c r="C53" i="11"/>
  <c r="C127" i="11"/>
  <c r="O49" i="3"/>
  <c r="C12" i="11"/>
  <c r="C28" i="11"/>
  <c r="C36" i="11"/>
  <c r="C52" i="11"/>
  <c r="C87" i="11"/>
  <c r="C126" i="11"/>
  <c r="O67" i="3"/>
  <c r="C15" i="11"/>
  <c r="C23" i="11"/>
  <c r="C31" i="11"/>
  <c r="C47" i="11"/>
  <c r="C55" i="11"/>
  <c r="C109" i="11"/>
  <c r="C114" i="11"/>
  <c r="C151" i="11"/>
  <c r="O37" i="3"/>
  <c r="C7" i="11"/>
  <c r="C22" i="11"/>
  <c r="C46" i="11"/>
  <c r="C69" i="11"/>
  <c r="C10" i="10"/>
  <c r="C22" i="10"/>
  <c r="C34" i="10"/>
  <c r="C46" i="10"/>
  <c r="C58" i="10"/>
  <c r="C80" i="10"/>
  <c r="C101" i="10"/>
  <c r="C120" i="10"/>
  <c r="J16" i="3"/>
  <c r="J37" i="3"/>
  <c r="J89" i="3"/>
  <c r="J62" i="3"/>
  <c r="C12" i="10"/>
  <c r="C24" i="10"/>
  <c r="C36" i="10"/>
  <c r="C48" i="10"/>
  <c r="C60" i="10"/>
  <c r="C92" i="10"/>
  <c r="C113" i="10"/>
  <c r="C83" i="10"/>
  <c r="C14" i="10"/>
  <c r="C26" i="10"/>
  <c r="C38" i="10"/>
  <c r="C50" i="10"/>
  <c r="C62" i="10"/>
  <c r="C104" i="10"/>
  <c r="C125" i="10"/>
  <c r="C74" i="10"/>
  <c r="C95" i="10"/>
  <c r="J7" i="3"/>
  <c r="C107" i="10"/>
  <c r="C126" i="10"/>
  <c r="C18" i="10"/>
  <c r="C30" i="10"/>
  <c r="C42" i="10"/>
  <c r="C54" i="10"/>
  <c r="C66" i="10"/>
  <c r="C77" i="10"/>
  <c r="C128" i="10"/>
  <c r="C149" i="10"/>
  <c r="C109" i="10"/>
  <c r="C8" i="10"/>
  <c r="C20" i="10"/>
  <c r="C32" i="10"/>
  <c r="C44" i="10"/>
  <c r="C56" i="10"/>
  <c r="C68" i="10"/>
  <c r="C89" i="10"/>
  <c r="C108" i="10"/>
  <c r="H26" i="3"/>
  <c r="H4" i="3" s="1"/>
  <c r="C64" i="9"/>
  <c r="C112" i="9"/>
  <c r="C132" i="9"/>
  <c r="C145" i="9"/>
  <c r="C158" i="9"/>
  <c r="C184" i="9"/>
  <c r="C126" i="9"/>
  <c r="C40" i="9"/>
  <c r="C120" i="9"/>
  <c r="C146" i="9"/>
  <c r="C159" i="9"/>
  <c r="C172" i="9"/>
  <c r="C31" i="9"/>
  <c r="C17" i="9"/>
  <c r="C25" i="9"/>
  <c r="C32" i="9"/>
  <c r="C49" i="9"/>
  <c r="C59" i="9"/>
  <c r="C161" i="9"/>
  <c r="C166" i="9"/>
  <c r="C56" i="9"/>
  <c r="C9" i="9"/>
  <c r="C16" i="9"/>
  <c r="C24" i="9"/>
  <c r="C51" i="9"/>
  <c r="C67" i="9"/>
  <c r="C95" i="9"/>
  <c r="C155" i="9"/>
  <c r="C160" i="9"/>
  <c r="C35" i="9"/>
  <c r="C18" i="9"/>
  <c r="C26" i="9"/>
  <c r="C45" i="9"/>
  <c r="C61" i="9"/>
  <c r="C75" i="9"/>
  <c r="C83" i="9"/>
  <c r="C96" i="9"/>
  <c r="C103" i="9"/>
  <c r="C116" i="9"/>
  <c r="C129" i="9"/>
  <c r="C137" i="9"/>
  <c r="C142" i="9"/>
  <c r="C162" i="9"/>
  <c r="C175" i="9"/>
  <c r="C188" i="9"/>
  <c r="H98" i="3"/>
  <c r="H3" i="3" s="1"/>
  <c r="C44" i="9"/>
  <c r="C63" i="9"/>
  <c r="C77" i="9"/>
  <c r="C82" i="9"/>
  <c r="C131" i="9"/>
  <c r="C136" i="9"/>
  <c r="C13" i="9"/>
  <c r="C21" i="9"/>
  <c r="C29" i="9"/>
  <c r="C71" i="9"/>
  <c r="C125" i="9"/>
  <c r="C12" i="9"/>
  <c r="C124" i="9"/>
  <c r="C108" i="8"/>
  <c r="I22" i="3"/>
  <c r="I46" i="3"/>
  <c r="I33" i="3"/>
  <c r="C55" i="8"/>
  <c r="C133" i="8"/>
  <c r="C44" i="8"/>
  <c r="C54" i="8"/>
  <c r="C79" i="8"/>
  <c r="C132" i="8"/>
  <c r="I66" i="3"/>
  <c r="I87" i="3"/>
  <c r="C24" i="8"/>
  <c r="C69" i="8"/>
  <c r="C103" i="8"/>
  <c r="I24" i="3"/>
  <c r="I54" i="3"/>
  <c r="C14" i="8"/>
  <c r="C25" i="8"/>
  <c r="C58" i="8"/>
  <c r="C92" i="8"/>
  <c r="C104" i="8"/>
  <c r="C158" i="8"/>
  <c r="C26" i="8"/>
  <c r="C48" i="8"/>
  <c r="C59" i="8"/>
  <c r="C71" i="8"/>
  <c r="C127" i="8"/>
  <c r="C149" i="8"/>
  <c r="C27" i="8"/>
  <c r="C38" i="8"/>
  <c r="C72" i="8"/>
  <c r="C116" i="8"/>
  <c r="C138" i="8"/>
  <c r="C150" i="8"/>
  <c r="I57" i="3"/>
  <c r="I77" i="3"/>
  <c r="C8" i="8"/>
  <c r="C30" i="8"/>
  <c r="C41" i="8"/>
  <c r="C52" i="8"/>
  <c r="C86" i="8"/>
  <c r="C97" i="8"/>
  <c r="C152" i="8"/>
  <c r="C173" i="8"/>
  <c r="C145" i="7"/>
  <c r="E27" i="3"/>
  <c r="C8" i="7"/>
  <c r="C37" i="7"/>
  <c r="C48" i="7"/>
  <c r="C80" i="7"/>
  <c r="C88" i="7"/>
  <c r="C97" i="7"/>
  <c r="C107" i="7"/>
  <c r="C126" i="7"/>
  <c r="C134" i="7"/>
  <c r="C139" i="7"/>
  <c r="C78" i="7"/>
  <c r="E49" i="3"/>
  <c r="E65" i="3"/>
  <c r="E71" i="3"/>
  <c r="C29" i="7"/>
  <c r="C39" i="7"/>
  <c r="C50" i="7"/>
  <c r="C79" i="7"/>
  <c r="C99" i="7"/>
  <c r="C106" i="7"/>
  <c r="C128" i="7"/>
  <c r="C133" i="7"/>
  <c r="C67" i="7"/>
  <c r="C132" i="7"/>
  <c r="C9" i="7"/>
  <c r="C71" i="7"/>
  <c r="C81" i="7"/>
  <c r="C122" i="7"/>
  <c r="C127" i="7"/>
  <c r="E31" i="3"/>
  <c r="E72" i="3"/>
  <c r="C116" i="7"/>
  <c r="C112" i="7"/>
  <c r="E50" i="3"/>
  <c r="C11" i="7"/>
  <c r="C21" i="7"/>
  <c r="C32" i="7"/>
  <c r="C61" i="7"/>
  <c r="C72" i="7"/>
  <c r="C83" i="7"/>
  <c r="C91" i="7"/>
  <c r="C100" i="7"/>
  <c r="C115" i="7"/>
  <c r="C31" i="7"/>
  <c r="C53" i="7"/>
  <c r="C63" i="7"/>
  <c r="C74" i="7"/>
  <c r="C93" i="7"/>
  <c r="C110" i="7"/>
  <c r="E98" i="3"/>
  <c r="C23" i="7"/>
  <c r="C33" i="7"/>
  <c r="C44" i="7"/>
  <c r="E20" i="3"/>
  <c r="E57" i="3"/>
  <c r="E92" i="3"/>
  <c r="C13" i="7"/>
  <c r="C24" i="7"/>
  <c r="C56" i="7"/>
  <c r="C85" i="7"/>
  <c r="C94" i="7"/>
  <c r="C104" i="7"/>
  <c r="C150" i="7"/>
  <c r="E41" i="3"/>
  <c r="C15" i="7"/>
  <c r="C26" i="7"/>
  <c r="C55" i="7"/>
  <c r="C66" i="7"/>
  <c r="C77" i="7"/>
  <c r="C87" i="7"/>
  <c r="C103" i="7"/>
  <c r="F18" i="3"/>
  <c r="F47" i="3"/>
  <c r="F83" i="3"/>
  <c r="C8" i="6"/>
  <c r="C18" i="6"/>
  <c r="C28" i="6"/>
  <c r="C37" i="6"/>
  <c r="C69" i="6"/>
  <c r="C80" i="6"/>
  <c r="C90" i="6"/>
  <c r="C100" i="6"/>
  <c r="C109" i="6"/>
  <c r="C127" i="6"/>
  <c r="C145" i="6"/>
  <c r="C181" i="6"/>
  <c r="C189" i="6"/>
  <c r="C182" i="6"/>
  <c r="C67" i="6"/>
  <c r="C9" i="6"/>
  <c r="C20" i="6"/>
  <c r="C30" i="6"/>
  <c r="C40" i="6"/>
  <c r="C49" i="6"/>
  <c r="C81" i="6"/>
  <c r="C92" i="6"/>
  <c r="C102" i="6"/>
  <c r="F74" i="3"/>
  <c r="C10" i="6"/>
  <c r="C41" i="6"/>
  <c r="C51" i="6"/>
  <c r="C62" i="6"/>
  <c r="C72" i="6"/>
  <c r="C82" i="6"/>
  <c r="C122" i="6"/>
  <c r="C140" i="6"/>
  <c r="C32" i="6"/>
  <c r="C104" i="6"/>
  <c r="C12" i="6"/>
  <c r="C22" i="6"/>
  <c r="C31" i="6"/>
  <c r="C53" i="6"/>
  <c r="C63" i="6"/>
  <c r="C74" i="6"/>
  <c r="C84" i="6"/>
  <c r="C94" i="6"/>
  <c r="C103" i="6"/>
  <c r="C114" i="6"/>
  <c r="C123" i="6"/>
  <c r="C132" i="6"/>
  <c r="C141" i="6"/>
  <c r="C159" i="6"/>
  <c r="C177" i="6"/>
  <c r="C43" i="6"/>
  <c r="F65" i="3"/>
  <c r="C13" i="6"/>
  <c r="C45" i="6"/>
  <c r="C56" i="6"/>
  <c r="C66" i="6"/>
  <c r="C76" i="6"/>
  <c r="C85" i="6"/>
  <c r="C106" i="6"/>
  <c r="C115" i="6"/>
  <c r="C124" i="6"/>
  <c r="C133" i="6"/>
  <c r="C142" i="6"/>
  <c r="F56" i="3"/>
  <c r="F103" i="3"/>
  <c r="C15" i="6"/>
  <c r="C26" i="6"/>
  <c r="C36" i="6"/>
  <c r="C46" i="6"/>
  <c r="C77" i="6"/>
  <c r="C87" i="6"/>
  <c r="C98" i="6"/>
  <c r="C108" i="6"/>
  <c r="C117" i="6"/>
  <c r="C135" i="6"/>
  <c r="C144" i="6"/>
  <c r="C153" i="6"/>
  <c r="C171" i="6"/>
  <c r="C34" i="5"/>
  <c r="C52" i="5"/>
  <c r="C100" i="5"/>
  <c r="C107" i="5"/>
  <c r="C23" i="5"/>
  <c r="D41" i="3"/>
  <c r="D69" i="3"/>
  <c r="D94" i="3"/>
  <c r="C63" i="5"/>
  <c r="C77" i="5"/>
  <c r="C35" i="5"/>
  <c r="C44" i="5"/>
  <c r="C53" i="5"/>
  <c r="C62" i="5"/>
  <c r="C79" i="5"/>
  <c r="C86" i="5"/>
  <c r="C101" i="5"/>
  <c r="D31" i="3"/>
  <c r="D95" i="3"/>
  <c r="C27" i="5"/>
  <c r="C37" i="5"/>
  <c r="C55" i="5"/>
  <c r="C72" i="5"/>
  <c r="C96" i="5"/>
  <c r="C103" i="5"/>
  <c r="P16" i="1"/>
  <c r="D96" i="3"/>
  <c r="C7" i="5"/>
  <c r="C17" i="5"/>
  <c r="C28" i="5"/>
  <c r="C39" i="5"/>
  <c r="C48" i="5"/>
  <c r="C57" i="5"/>
  <c r="C73" i="5"/>
  <c r="C80" i="5"/>
  <c r="C97" i="5"/>
  <c r="C9" i="5"/>
  <c r="C19" i="5"/>
  <c r="C47" i="5"/>
  <c r="C75" i="5"/>
  <c r="D12" i="3"/>
  <c r="D3" i="3" s="1"/>
  <c r="C10" i="5"/>
  <c r="C21" i="5"/>
  <c r="C31" i="5"/>
  <c r="C40" i="5"/>
  <c r="C58" i="5"/>
  <c r="C67" i="5"/>
  <c r="C74" i="5"/>
  <c r="C91" i="5"/>
  <c r="D49" i="3"/>
  <c r="D73" i="3"/>
  <c r="C12" i="5"/>
  <c r="C42" i="5"/>
  <c r="C51" i="5"/>
  <c r="C60" i="5"/>
  <c r="C84" i="5"/>
  <c r="C114" i="5"/>
  <c r="C11" i="5"/>
  <c r="C22" i="5"/>
  <c r="C33" i="5"/>
  <c r="C41" i="5"/>
  <c r="C50" i="5"/>
  <c r="C59" i="5"/>
  <c r="C69" i="5"/>
  <c r="C83" i="5"/>
  <c r="C93" i="5"/>
  <c r="C113" i="5"/>
  <c r="C12" i="4"/>
  <c r="C22" i="4"/>
  <c r="C33" i="4"/>
  <c r="C45" i="4"/>
  <c r="C68" i="4"/>
  <c r="C112" i="4"/>
  <c r="C133" i="4"/>
  <c r="C31" i="3"/>
  <c r="C114" i="4"/>
  <c r="C35" i="4"/>
  <c r="C47" i="4"/>
  <c r="C58" i="4"/>
  <c r="C82" i="4"/>
  <c r="C103" i="4"/>
  <c r="C48" i="4"/>
  <c r="C104" i="4"/>
  <c r="C72" i="4"/>
  <c r="C84" i="4"/>
  <c r="C94" i="4"/>
  <c r="C25" i="4"/>
  <c r="C75" i="3"/>
  <c r="C139" i="4"/>
  <c r="C7" i="4"/>
  <c r="C51" i="4"/>
  <c r="C63" i="4"/>
  <c r="C76" i="4"/>
  <c r="C130" i="4"/>
  <c r="C10" i="4"/>
  <c r="C31" i="4"/>
  <c r="C66" i="4"/>
  <c r="C78" i="4"/>
  <c r="C99" i="4"/>
  <c r="C121" i="4"/>
  <c r="C46" i="3"/>
  <c r="C67" i="4"/>
  <c r="C119" i="4"/>
  <c r="C137" i="4"/>
  <c r="C15" i="3"/>
  <c r="C28" i="3"/>
  <c r="C55" i="3"/>
  <c r="C59" i="3"/>
  <c r="C8" i="4"/>
  <c r="C18" i="4"/>
  <c r="C28" i="4"/>
  <c r="C37" i="4"/>
  <c r="C59" i="4"/>
  <c r="C69" i="4"/>
  <c r="C80" i="4"/>
  <c r="C90" i="4"/>
  <c r="C100" i="4"/>
  <c r="C118" i="4"/>
  <c r="C136" i="4"/>
  <c r="C20" i="3"/>
  <c r="C24" i="3"/>
  <c r="C29" i="4"/>
  <c r="C39" i="4"/>
  <c r="C50" i="4"/>
  <c r="C60" i="4"/>
  <c r="C70" i="4"/>
  <c r="C101" i="4"/>
  <c r="C111" i="4"/>
  <c r="C129" i="4"/>
  <c r="C147" i="4"/>
  <c r="C9" i="4"/>
  <c r="C30" i="4"/>
  <c r="C40" i="4"/>
  <c r="C81" i="4"/>
  <c r="C92" i="4"/>
  <c r="C102" i="4"/>
  <c r="C62" i="4"/>
  <c r="C11" i="4"/>
  <c r="C21" i="4"/>
  <c r="C42" i="4"/>
  <c r="C52" i="4"/>
  <c r="C61" i="4"/>
  <c r="C93" i="4"/>
  <c r="C40" i="3"/>
  <c r="C44" i="4"/>
  <c r="C54" i="4"/>
  <c r="C64" i="4"/>
  <c r="C73" i="4"/>
  <c r="C105" i="4"/>
  <c r="C26" i="3"/>
  <c r="C66" i="3"/>
  <c r="C14" i="4"/>
  <c r="C24" i="4"/>
  <c r="C34" i="4"/>
  <c r="C43" i="4"/>
  <c r="C75" i="4"/>
  <c r="C86" i="4"/>
  <c r="C106" i="4"/>
  <c r="C125" i="4"/>
  <c r="C56" i="4"/>
  <c r="C36" i="3"/>
  <c r="C15" i="4"/>
  <c r="C36" i="4"/>
  <c r="C46" i="4"/>
  <c r="C55" i="4"/>
  <c r="C87" i="4"/>
  <c r="C117" i="4"/>
  <c r="C135" i="4"/>
  <c r="I5" i="3"/>
  <c r="I6" i="3" s="1"/>
  <c r="C142" i="10"/>
  <c r="C141" i="10"/>
  <c r="J94" i="3"/>
  <c r="C84" i="15"/>
  <c r="C83" i="15"/>
  <c r="C120" i="15"/>
  <c r="C119" i="15"/>
  <c r="G72" i="3"/>
  <c r="E7" i="3"/>
  <c r="Q7" i="3"/>
  <c r="N8" i="3"/>
  <c r="N10" i="3" s="1"/>
  <c r="C77" i="4"/>
  <c r="C108" i="4"/>
  <c r="C60" i="3"/>
  <c r="C78" i="3"/>
  <c r="C126" i="4"/>
  <c r="C144" i="4"/>
  <c r="C96" i="3"/>
  <c r="C143" i="4"/>
  <c r="C23" i="6"/>
  <c r="C95" i="6"/>
  <c r="C186" i="6"/>
  <c r="F99" i="3"/>
  <c r="C185" i="6"/>
  <c r="C101" i="9"/>
  <c r="C100" i="9"/>
  <c r="O8" i="3"/>
  <c r="O10" i="3" s="1"/>
  <c r="P13" i="3"/>
  <c r="G36" i="3"/>
  <c r="F45" i="3"/>
  <c r="C17" i="4"/>
  <c r="C89" i="4"/>
  <c r="C35" i="6"/>
  <c r="D4" i="3"/>
  <c r="Q21" i="1"/>
  <c r="C126" i="6"/>
  <c r="F39" i="3"/>
  <c r="C162" i="6"/>
  <c r="F75" i="3"/>
  <c r="C161" i="6"/>
  <c r="F93" i="3"/>
  <c r="C180" i="6"/>
  <c r="C179" i="6"/>
  <c r="F81" i="3"/>
  <c r="C168" i="6"/>
  <c r="C167" i="6"/>
  <c r="Q20" i="1"/>
  <c r="H7" i="3"/>
  <c r="E8" i="3"/>
  <c r="E10" i="3" s="1"/>
  <c r="Q8" i="3"/>
  <c r="Q10" i="3" s="1"/>
  <c r="C9" i="3"/>
  <c r="C18" i="3"/>
  <c r="I28" i="3"/>
  <c r="C30" i="3"/>
  <c r="C120" i="4"/>
  <c r="C72" i="3"/>
  <c r="C90" i="3"/>
  <c r="C138" i="4"/>
  <c r="C61" i="8"/>
  <c r="C60" i="8"/>
  <c r="C70" i="10"/>
  <c r="C69" i="10"/>
  <c r="P15" i="1"/>
  <c r="P27" i="1"/>
  <c r="Q4" i="3"/>
  <c r="G7" i="3"/>
  <c r="D8" i="3"/>
  <c r="D10" i="3" s="1"/>
  <c r="P8" i="3"/>
  <c r="P10" i="3" s="1"/>
  <c r="Q27" i="1"/>
  <c r="I7" i="3"/>
  <c r="F8" i="3"/>
  <c r="F10" i="3" s="1"/>
  <c r="O9" i="3"/>
  <c r="Q16" i="1"/>
  <c r="Q22" i="1"/>
  <c r="Q28" i="1"/>
  <c r="L3" i="3"/>
  <c r="G8" i="3"/>
  <c r="G10" i="3" s="1"/>
  <c r="J32" i="3"/>
  <c r="J4" i="3" s="1"/>
  <c r="C20" i="4"/>
  <c r="C71" i="4"/>
  <c r="C17" i="6"/>
  <c r="C89" i="6"/>
  <c r="C119" i="6"/>
  <c r="C137" i="6"/>
  <c r="Q26" i="1"/>
  <c r="H8" i="3"/>
  <c r="H10" i="3" s="1"/>
  <c r="C41" i="4"/>
  <c r="C113" i="4"/>
  <c r="C131" i="4"/>
  <c r="C59" i="6"/>
  <c r="Q23" i="1"/>
  <c r="C83" i="4"/>
  <c r="C138" i="6"/>
  <c r="F51" i="3"/>
  <c r="C156" i="6"/>
  <c r="C155" i="6"/>
  <c r="C174" i="6"/>
  <c r="F87" i="3"/>
  <c r="C173" i="6"/>
  <c r="M8" i="3"/>
  <c r="M10" i="3" s="1"/>
  <c r="C150" i="6"/>
  <c r="F63" i="3"/>
  <c r="C149" i="6"/>
  <c r="M3" i="3"/>
  <c r="J8" i="3"/>
  <c r="J10" i="3" s="1"/>
  <c r="C132" i="4"/>
  <c r="C84" i="3"/>
  <c r="C102" i="3"/>
  <c r="C8" i="3" s="1"/>
  <c r="C10" i="3" s="1"/>
  <c r="C149" i="4"/>
  <c r="C71" i="6"/>
  <c r="C23" i="4"/>
  <c r="C95" i="4"/>
  <c r="C113" i="6"/>
  <c r="C131" i="6"/>
  <c r="Q17" i="1"/>
  <c r="Q29" i="1"/>
  <c r="I8" i="3"/>
  <c r="I10" i="3" s="1"/>
  <c r="Q18" i="1"/>
  <c r="K8" i="3"/>
  <c r="K10" i="3" s="1"/>
  <c r="F27" i="3"/>
  <c r="C65" i="4"/>
  <c r="C96" i="4"/>
  <c r="C48" i="3"/>
  <c r="C11" i="6"/>
  <c r="C83" i="6"/>
  <c r="C112" i="8"/>
  <c r="C111" i="8"/>
  <c r="I38" i="3"/>
  <c r="C107" i="6"/>
  <c r="C82" i="8"/>
  <c r="C81" i="8"/>
  <c r="C154" i="8"/>
  <c r="C153" i="8"/>
  <c r="C164" i="8"/>
  <c r="C163" i="8"/>
  <c r="C112" i="10"/>
  <c r="C111" i="10"/>
  <c r="C11" i="8"/>
  <c r="C21" i="8"/>
  <c r="C73" i="8"/>
  <c r="C83" i="8"/>
  <c r="C124" i="8"/>
  <c r="C123" i="8"/>
  <c r="C145" i="8"/>
  <c r="C28" i="9"/>
  <c r="C52" i="9"/>
  <c r="C94" i="9"/>
  <c r="C82" i="10"/>
  <c r="C81" i="10"/>
  <c r="C103" i="10"/>
  <c r="C22" i="8"/>
  <c r="C43" i="8"/>
  <c r="C53" i="8"/>
  <c r="C63" i="8"/>
  <c r="C94" i="8"/>
  <c r="C93" i="8"/>
  <c r="C115" i="8"/>
  <c r="C125" i="8"/>
  <c r="C166" i="8"/>
  <c r="C165" i="8"/>
  <c r="C176" i="8"/>
  <c r="C175" i="8"/>
  <c r="C88" i="9"/>
  <c r="C13" i="10"/>
  <c r="C25" i="10"/>
  <c r="C37" i="10"/>
  <c r="C49" i="10"/>
  <c r="C61" i="10"/>
  <c r="C73" i="10"/>
  <c r="C124" i="10"/>
  <c r="C123" i="10"/>
  <c r="C134" i="10"/>
  <c r="C133" i="10"/>
  <c r="C86" i="12"/>
  <c r="C129" i="12"/>
  <c r="C13" i="8"/>
  <c r="C23" i="8"/>
  <c r="C33" i="8"/>
  <c r="C64" i="8"/>
  <c r="C85" i="8"/>
  <c r="C95" i="8"/>
  <c r="C136" i="8"/>
  <c r="C135" i="8"/>
  <c r="C157" i="8"/>
  <c r="C94" i="10"/>
  <c r="C93" i="10"/>
  <c r="C115" i="10"/>
  <c r="C108" i="12"/>
  <c r="C34" i="8"/>
  <c r="C65" i="8"/>
  <c r="C106" i="8"/>
  <c r="C105" i="8"/>
  <c r="C137" i="8"/>
  <c r="C15" i="10"/>
  <c r="C27" i="10"/>
  <c r="C39" i="10"/>
  <c r="C51" i="10"/>
  <c r="C63" i="10"/>
  <c r="C136" i="10"/>
  <c r="C135" i="10"/>
  <c r="C146" i="10"/>
  <c r="C145" i="10"/>
  <c r="C18" i="12"/>
  <c r="C30" i="12"/>
  <c r="C8" i="5"/>
  <c r="C14" i="5"/>
  <c r="C20" i="5"/>
  <c r="C26" i="5"/>
  <c r="C32" i="5"/>
  <c r="C10" i="7"/>
  <c r="C16" i="7"/>
  <c r="C22" i="7"/>
  <c r="C28" i="7"/>
  <c r="C34" i="7"/>
  <c r="C40" i="7"/>
  <c r="C46" i="7"/>
  <c r="C52" i="7"/>
  <c r="C58" i="7"/>
  <c r="C64" i="7"/>
  <c r="C70" i="7"/>
  <c r="C76" i="7"/>
  <c r="C82" i="7"/>
  <c r="C76" i="8"/>
  <c r="C75" i="8"/>
  <c r="C148" i="8"/>
  <c r="C147" i="8"/>
  <c r="C106" i="10"/>
  <c r="C105" i="10"/>
  <c r="C48" i="14"/>
  <c r="C47" i="14"/>
  <c r="C110" i="4"/>
  <c r="C116" i="4"/>
  <c r="C122" i="4"/>
  <c r="C128" i="4"/>
  <c r="C134" i="4"/>
  <c r="C140" i="4"/>
  <c r="C146" i="4"/>
  <c r="C146" i="6"/>
  <c r="C152" i="6"/>
  <c r="C158" i="6"/>
  <c r="C164" i="6"/>
  <c r="C170" i="6"/>
  <c r="C176" i="6"/>
  <c r="C15" i="8"/>
  <c r="C46" i="8"/>
  <c r="C67" i="8"/>
  <c r="C77" i="8"/>
  <c r="C118" i="8"/>
  <c r="C117" i="8"/>
  <c r="C139" i="8"/>
  <c r="C76" i="10"/>
  <c r="C75" i="10"/>
  <c r="C97" i="10"/>
  <c r="C79" i="12"/>
  <c r="C122" i="12"/>
  <c r="C16" i="8"/>
  <c r="C37" i="8"/>
  <c r="C47" i="8"/>
  <c r="C57" i="8"/>
  <c r="C88" i="8"/>
  <c r="C87" i="8"/>
  <c r="C109" i="8"/>
  <c r="C119" i="8"/>
  <c r="C160" i="8"/>
  <c r="C159" i="8"/>
  <c r="C170" i="8"/>
  <c r="C169" i="8"/>
  <c r="C118" i="10"/>
  <c r="C117" i="10"/>
  <c r="C130" i="8"/>
  <c r="C129" i="8"/>
  <c r="C88" i="10"/>
  <c r="C87" i="10"/>
  <c r="C49" i="8"/>
  <c r="C100" i="8"/>
  <c r="C99" i="8"/>
  <c r="C121" i="8"/>
  <c r="C172" i="8"/>
  <c r="C171" i="8"/>
  <c r="C79" i="10"/>
  <c r="C130" i="10"/>
  <c r="C129" i="10"/>
  <c r="C140" i="10"/>
  <c r="C139" i="10"/>
  <c r="C19" i="8"/>
  <c r="C29" i="8"/>
  <c r="C39" i="8"/>
  <c r="C70" i="8"/>
  <c r="C91" i="8"/>
  <c r="C101" i="8"/>
  <c r="C142" i="8"/>
  <c r="C141" i="8"/>
  <c r="C10" i="9"/>
  <c r="C34" i="9"/>
  <c r="C58" i="9"/>
  <c r="C9" i="10"/>
  <c r="C21" i="10"/>
  <c r="C33" i="10"/>
  <c r="C45" i="10"/>
  <c r="C57" i="10"/>
  <c r="C100" i="10"/>
  <c r="C99" i="10"/>
  <c r="C121" i="10"/>
  <c r="C12" i="12"/>
  <c r="C24" i="12"/>
  <c r="C36" i="12"/>
  <c r="C48" i="12"/>
  <c r="C60" i="12"/>
  <c r="C72" i="12"/>
  <c r="C93" i="12"/>
  <c r="C30" i="15"/>
  <c r="C29" i="15"/>
  <c r="C54" i="15"/>
  <c r="C53" i="15"/>
  <c r="C59" i="17"/>
  <c r="C58" i="17"/>
  <c r="C95" i="17"/>
  <c r="C94" i="17"/>
  <c r="C131" i="17"/>
  <c r="C130" i="17"/>
  <c r="C88" i="12"/>
  <c r="C124" i="12"/>
  <c r="C8" i="14"/>
  <c r="C89" i="14"/>
  <c r="C78" i="15"/>
  <c r="C77" i="15"/>
  <c r="C114" i="15"/>
  <c r="C113" i="15"/>
  <c r="C150" i="15"/>
  <c r="C149" i="15"/>
  <c r="C29" i="17"/>
  <c r="C28" i="17"/>
  <c r="C9" i="14"/>
  <c r="C19" i="14"/>
  <c r="C59" i="14"/>
  <c r="C81" i="14"/>
  <c r="C53" i="17"/>
  <c r="C52" i="17"/>
  <c r="C89" i="17"/>
  <c r="C88" i="17"/>
  <c r="C125" i="17"/>
  <c r="C124" i="17"/>
  <c r="C24" i="15"/>
  <c r="C23" i="15"/>
  <c r="C48" i="15"/>
  <c r="C47" i="15"/>
  <c r="C72" i="15"/>
  <c r="C71" i="15"/>
  <c r="C108" i="15"/>
  <c r="C107" i="15"/>
  <c r="C144" i="15"/>
  <c r="C143" i="15"/>
  <c r="C147" i="10"/>
  <c r="C62" i="12"/>
  <c r="C68" i="12"/>
  <c r="C74" i="12"/>
  <c r="C81" i="12"/>
  <c r="C96" i="12"/>
  <c r="C103" i="12"/>
  <c r="C110" i="12"/>
  <c r="C117" i="12"/>
  <c r="C132" i="12"/>
  <c r="C139" i="12"/>
  <c r="C146" i="12"/>
  <c r="C21" i="14"/>
  <c r="C31" i="14"/>
  <c r="C42" i="14"/>
  <c r="C71" i="14"/>
  <c r="C23" i="17"/>
  <c r="C22" i="17"/>
  <c r="C47" i="17"/>
  <c r="C46" i="17"/>
  <c r="C83" i="17"/>
  <c r="C82" i="17"/>
  <c r="C119" i="17"/>
  <c r="C118" i="17"/>
  <c r="C76" i="12"/>
  <c r="C112" i="12"/>
  <c r="C148" i="12"/>
  <c r="C9" i="13"/>
  <c r="C15" i="13"/>
  <c r="C12" i="14"/>
  <c r="C22" i="14"/>
  <c r="C32" i="14"/>
  <c r="C63" i="14"/>
  <c r="C102" i="15"/>
  <c r="C101" i="15"/>
  <c r="C138" i="15"/>
  <c r="C137" i="15"/>
  <c r="C33" i="14"/>
  <c r="C43" i="14"/>
  <c r="C83" i="14"/>
  <c r="C18" i="15"/>
  <c r="C17" i="15"/>
  <c r="C42" i="15"/>
  <c r="C41" i="15"/>
  <c r="C66" i="15"/>
  <c r="C65" i="15"/>
  <c r="C77" i="17"/>
  <c r="C76" i="17"/>
  <c r="C113" i="17"/>
  <c r="C112" i="17"/>
  <c r="C149" i="17"/>
  <c r="C148" i="17"/>
  <c r="C96" i="15"/>
  <c r="C95" i="15"/>
  <c r="C132" i="15"/>
  <c r="C131" i="15"/>
  <c r="C17" i="17"/>
  <c r="C16" i="17"/>
  <c r="C41" i="17"/>
  <c r="C40" i="17"/>
  <c r="C14" i="14"/>
  <c r="C45" i="14"/>
  <c r="C55" i="14"/>
  <c r="C71" i="17"/>
  <c r="C70" i="17"/>
  <c r="C107" i="17"/>
  <c r="C106" i="17"/>
  <c r="C143" i="17"/>
  <c r="C142" i="17"/>
  <c r="C100" i="12"/>
  <c r="C107" i="12"/>
  <c r="C136" i="12"/>
  <c r="C143" i="12"/>
  <c r="C15" i="14"/>
  <c r="C25" i="14"/>
  <c r="C36" i="14"/>
  <c r="C65" i="14"/>
  <c r="C87" i="14"/>
  <c r="C12" i="15"/>
  <c r="C11" i="15"/>
  <c r="C36" i="15"/>
  <c r="C35" i="15"/>
  <c r="C60" i="15"/>
  <c r="C59" i="15"/>
  <c r="C90" i="15"/>
  <c r="C89" i="15"/>
  <c r="C126" i="15"/>
  <c r="C125" i="15"/>
  <c r="C16" i="14"/>
  <c r="C26" i="14"/>
  <c r="C57" i="14"/>
  <c r="C11" i="17"/>
  <c r="C10" i="17"/>
  <c r="C35" i="17"/>
  <c r="C34" i="17"/>
  <c r="C65" i="17"/>
  <c r="C64" i="17"/>
  <c r="C101" i="17"/>
  <c r="C100" i="17"/>
  <c r="C137" i="17"/>
  <c r="C136" i="17"/>
  <c r="C8" i="16"/>
  <c r="L4" i="3" l="1"/>
  <c r="N5" i="3"/>
  <c r="N6" i="3" s="1"/>
  <c r="N4" i="3"/>
  <c r="N7" i="3"/>
  <c r="N9" i="3"/>
  <c r="P26" i="1"/>
  <c r="M4" i="3"/>
  <c r="M5" i="3"/>
  <c r="M6" i="3" s="1"/>
  <c r="G5" i="3"/>
  <c r="G6" i="3" s="1"/>
  <c r="K4" i="3"/>
  <c r="K3" i="3"/>
  <c r="P4" i="3"/>
  <c r="P3" i="3"/>
  <c r="P28" i="1"/>
  <c r="P7" i="3"/>
  <c r="P9" i="3"/>
  <c r="O3" i="3"/>
  <c r="O4" i="3"/>
  <c r="H5" i="3"/>
  <c r="H6" i="3" s="1"/>
  <c r="I3" i="3"/>
  <c r="E5" i="3"/>
  <c r="E6" i="3" s="1"/>
  <c r="E3" i="3"/>
  <c r="E4" i="3"/>
  <c r="F7" i="3"/>
  <c r="F9" i="3"/>
  <c r="P18" i="1"/>
  <c r="F4" i="3"/>
  <c r="D5" i="3"/>
  <c r="D6" i="3" s="1"/>
  <c r="Q15" i="1"/>
  <c r="C5" i="3"/>
  <c r="C6" i="3" s="1"/>
  <c r="C4" i="3"/>
  <c r="F3" i="3"/>
  <c r="G4" i="3"/>
  <c r="F5" i="3"/>
  <c r="F6" i="3" s="1"/>
  <c r="I4" i="3"/>
  <c r="C3" i="3"/>
  <c r="J5" i="3"/>
  <c r="J6" i="3" s="1"/>
  <c r="J3" i="3"/>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<sst xmlns="http://schemas.openxmlformats.org/spreadsheetml/2006/main" count="174" uniqueCount="77">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</sst>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1">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17" xfId="0" applyFont="1" applyFill="1" applyBorder="1" applyAlignment="1">
      <alignment horizontal="center"/>
    </xf>
    <xf numFmtId="0" fontId="0" fillId="0" borderId="2" xfId="0" applyBorder="1"/>
    <xf numFmtId="0" fontId="0" fillId="0" borderId="3" xfId="0" applyBorder="1"/>
    <xf numFmtId="0" fontId="3" fillId="4" borderId="18" xfId="0" applyFont="1" applyFill="1" applyBorder="1" applyAlignment="1">
      <alignment horizontal="center"/>
    </xf>
    <xf numFmtId="0" fontId="0" fillId="0" borderId="29" xfId="0" applyBorder="1"/>
    <xf numFmtId="0" fontId="3" fillId="4" borderId="21" xfId="0" applyFont="1" applyFill="1" applyBorder="1" applyAlignment="1">
      <alignment horizontal="center"/>
    </xf>
    <xf numFmtId="0" fontId="0" fillId="0" borderId="5" xfId="0" applyBorder="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7" xfId="0" applyFont="1" applyFill="1" applyBorder="1" applyAlignment="1">
      <alignment horizontal="center"/>
    </xf>
    <xf numFmtId="0" fontId="3" fillId="4" borderId="8" xfId="0" applyFont="1" applyFill="1" applyBorder="1" applyAlignment="1">
      <alignment horizontal="center"/>
    </xf>
    <xf numFmtId="0" fontId="0" fillId="0" borderId="4" xfId="0" applyBorder="1"/>
    <xf numFmtId="0" fontId="5" fillId="2" borderId="0" xfId="0" applyFont="1" applyFill="1" applyAlignment="1">
      <alignment wrapText="1"/>
    </xf>
    <xf numFmtId="0" fontId="0" fillId="2" borderId="0" xfId="0" applyFill="1" applyAlignment="1">
      <alignment wrapText="1"/>
    </xf>
    <xf numFmtId="0" fontId="4" fillId="2" borderId="0" xfId="2" applyFill="1" applyAlignment="1">
      <alignment wrapText="1"/>
    </xf>
    <xf numFmtId="0" fontId="3" fillId="2" borderId="0" xfId="0" applyFont="1" applyFill="1"/>
    <xf numFmtId="0" fontId="0" fillId="0" borderId="0" xfId="0" applyAlignment="1">
      <alignment vertical="center"/>
    </xf>
    <xf numFmtId="0" fontId="3" fillId="4" borderId="25" xfId="0" applyFont="1" applyFill="1" applyBorder="1" applyAlignment="1">
      <alignment horizontal="center"/>
    </xf>
    <xf numFmtId="0" fontId="0" fillId="0" borderId="28" xfId="0" applyBorder="1"/>
  </cellXfs>
  <cellStyles count="4">
    <cellStyle name="Hyperlink" xfId="2" builtinId="8"/>
    <cellStyle name="Normal" xfId="0" builtinId="0"/>
    <cellStyle name="Normal 3" xfId="3" xr:uid="{00000000-0005-0000-0000-000003000000}"/>
    <cellStyle name="Percent" xfId="1" builtinId="5"/>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7491-40D5-9DB5-8F48C0AB8331}"/>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7491-40D5-9DB5-8F48C0AB8331}"/>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7491-40D5-9DB5-8F48C0AB8331}"/>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7491-40D5-9DB5-8F48C0AB8331}"/>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7491-40D5-9DB5-8F48C0AB8331}"/>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Global!$B$6:$B$152</c:f>
              <c:numCache>
                <c:formatCode>General</c:formatCode>
                <c:ptCount val="147"/>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pt idx="144">
                  <c:v>#N/A</c:v>
                </c:pt>
                <c:pt idx="145">
                  <c:v>#N/A</c:v>
                </c:pt>
              </c:numCache>
            </c:numRef>
          </c:val>
          <c:smooth val="0"/>
          <c:extLst>
            <c:ext xmlns:c16="http://schemas.microsoft.com/office/drawing/2014/chart" uri="{C3380CC4-5D6E-409C-BE32-E72D297353CC}">
              <c16:uniqueId val="{00000000-A95B-4E47-AB39-3D70AA71DF9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US!$A$6:$A$115</c:f>
              <c:numCache>
                <c:formatCode>m/d/yyyy</c:formatCode>
                <c:ptCount val="110"/>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pt idx="109">
                  <c:v>44866</c:v>
                </c:pt>
              </c:numCache>
            </c:numRef>
          </c:cat>
          <c:val>
            <c:numRef>
              <c:f>US!$B$6:$B$115</c:f>
              <c:numCache>
                <c:formatCode>General</c:formatCode>
                <c:ptCount val="110"/>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pt idx="109">
                  <c:v>46.2</c:v>
                </c:pt>
              </c:numCache>
            </c:numRef>
          </c:val>
          <c:smooth val="0"/>
          <c:extLst>
            <c:ext xmlns:c16="http://schemas.microsoft.com/office/drawing/2014/chart" uri="{C3380CC4-5D6E-409C-BE32-E72D297353CC}">
              <c16:uniqueId val="{00000000-9528-4E65-A69A-A576DC230E6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EuroArea!$A$6:$A$190</c:f>
              <c:numCache>
                <c:formatCode>m/d/yyyy</c:formatCode>
                <c:ptCount val="18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numCache>
            </c:numRef>
          </c:cat>
          <c:val>
            <c:numRef>
              <c:f>EuroArea!$B$6:$B$190</c:f>
              <c:numCache>
                <c:formatCode>General</c:formatCode>
                <c:ptCount val="185"/>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pt idx="184">
                  <c:v>48.5</c:v>
                </c:pt>
              </c:numCache>
            </c:numRef>
          </c:val>
          <c:smooth val="0"/>
          <c:extLst>
            <c:ext xmlns:c16="http://schemas.microsoft.com/office/drawing/2014/chart" uri="{C3380CC4-5D6E-409C-BE32-E72D297353CC}">
              <c16:uniqueId val="{00000000-9D38-42AE-9FCE-26BFD0FDF3D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China!$B$6:$B$151</c:f>
              <c:numCache>
                <c:formatCode>General</c:formatCode>
                <c:ptCount val="146"/>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pt idx="145">
                  <c:v>46.7</c:v>
                </c:pt>
              </c:numCache>
            </c:numRef>
          </c:val>
          <c:smooth val="0"/>
          <c:extLst>
            <c:ext xmlns:c16="http://schemas.microsoft.com/office/drawing/2014/chart" uri="{C3380CC4-5D6E-409C-BE32-E72D297353CC}">
              <c16:uniqueId val="{00000000-8F03-495F-898A-2F9F2C998B0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France!$A$6:$A$178</c:f>
              <c:numCache>
                <c:formatCode>m/d/yyyy</c:formatCode>
                <c:ptCount val="173"/>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numCache>
            </c:numRef>
          </c:cat>
          <c:val>
            <c:numRef>
              <c:f>France!$B$6:$B$178</c:f>
              <c:numCache>
                <c:formatCode>General</c:formatCode>
                <c:ptCount val="173"/>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pt idx="171">
                  <c:v>49.3</c:v>
                </c:pt>
              </c:numCache>
            </c:numRef>
          </c:val>
          <c:smooth val="0"/>
          <c:extLst>
            <c:ext xmlns:c16="http://schemas.microsoft.com/office/drawing/2014/chart" uri="{C3380CC4-5D6E-409C-BE32-E72D297353CC}">
              <c16:uniqueId val="{00000000-F51C-4C97-9B81-C74D1594557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Germany!$A$6:$A$190</c:f>
              <c:numCache>
                <c:formatCode>m/d/yyyy</c:formatCode>
                <c:ptCount val="18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numCache>
            </c:numRef>
          </c:cat>
          <c:val>
            <c:numRef>
              <c:f>Germany!$B$6:$B$190</c:f>
              <c:numCache>
                <c:formatCode>General</c:formatCode>
                <c:ptCount val="185"/>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pt idx="184">
                  <c:v>46.1</c:v>
                </c:pt>
              </c:numCache>
            </c:numRef>
          </c:val>
          <c:smooth val="0"/>
          <c:extLst>
            <c:ext xmlns:c16="http://schemas.microsoft.com/office/drawing/2014/chart" uri="{C3380CC4-5D6E-409C-BE32-E72D297353CC}">
              <c16:uniqueId val="{00000000-7C41-4BCC-9BF2-0BAD0FDC698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UK!$B$6:$B$151</c:f>
              <c:numCache>
                <c:formatCode>General</c:formatCode>
                <c:ptCount val="146"/>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pt idx="145">
                  <c:v>48.8</c:v>
                </c:pt>
              </c:numCache>
            </c:numRef>
          </c:val>
          <c:smooth val="0"/>
          <c:extLst>
            <c:ext xmlns:c16="http://schemas.microsoft.com/office/drawing/2014/chart" uri="{C3380CC4-5D6E-409C-BE32-E72D297353CC}">
              <c16:uniqueId val="{00000000-090E-4AC7-B810-9461350D118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India!$B$6:$B$151</c:f>
              <c:numCache>
                <c:formatCode>General</c:formatCode>
                <c:ptCount val="146"/>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pt idx="145">
                  <c:v>56.4</c:v>
                </c:pt>
              </c:numCache>
            </c:numRef>
          </c:val>
          <c:smooth val="0"/>
          <c:extLst>
            <c:ext xmlns:c16="http://schemas.microsoft.com/office/drawing/2014/chart" uri="{C3380CC4-5D6E-409C-BE32-E72D297353CC}">
              <c16:uniqueId val="{00000000-4107-4FA9-9D2D-CCE7F6F1E5C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Australia!$B$6:$B$151</c:f>
              <c:numCache>
                <c:formatCode>General</c:formatCode>
                <c:ptCount val="146"/>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pt idx="145">
                  <c:v>45.6</c:v>
                </c:pt>
              </c:numCache>
            </c:numRef>
          </c:val>
          <c:smooth val="0"/>
          <c:extLst>
            <c:ext xmlns:c16="http://schemas.microsoft.com/office/drawing/2014/chart" uri="{C3380CC4-5D6E-409C-BE32-E72D297353CC}">
              <c16:uniqueId val="{00000000-9F99-49AB-8C9C-F6C04E1057B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Ireland!$B$6:$B$151</c:f>
              <c:numCache>
                <c:formatCode>General</c:formatCode>
                <c:ptCount val="146"/>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pt idx="145">
                  <c:v>50.8</c:v>
                </c:pt>
              </c:numCache>
            </c:numRef>
          </c:val>
          <c:smooth val="0"/>
          <c:extLst>
            <c:ext xmlns:c16="http://schemas.microsoft.com/office/drawing/2014/chart" uri="{C3380CC4-5D6E-409C-BE32-E72D297353CC}">
              <c16:uniqueId val="{00000000-C34F-436F-9933-E9103D2792D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Italy!$B$6:$B$151</c:f>
              <c:numCache>
                <c:formatCode>General</c:formatCode>
                <c:ptCount val="146"/>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pt idx="145">
                  <c:v>49.5</c:v>
                </c:pt>
              </c:numCache>
            </c:numRef>
          </c:val>
          <c:smooth val="0"/>
          <c:extLst>
            <c:ext xmlns:c16="http://schemas.microsoft.com/office/drawing/2014/chart" uri="{C3380CC4-5D6E-409C-BE32-E72D297353CC}">
              <c16:uniqueId val="{00000000-AA1C-48FE-AED5-8D830382207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Japan!$B$6:$B$151</c:f>
              <c:numCache>
                <c:formatCode>General</c:formatCode>
                <c:ptCount val="146"/>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pt idx="145">
                  <c:v>50.3</c:v>
                </c:pt>
              </c:numCache>
            </c:numRef>
          </c:val>
          <c:smooth val="0"/>
          <c:extLst>
            <c:ext xmlns:c16="http://schemas.microsoft.com/office/drawing/2014/chart" uri="{C3380CC4-5D6E-409C-BE32-E72D297353CC}">
              <c16:uniqueId val="{00000000-5DA5-4E6C-AB67-E19A533C569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Brazil!$B$6:$B$151</c:f>
              <c:numCache>
                <c:formatCode>General</c:formatCode>
                <c:ptCount val="146"/>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pt idx="145">
                  <c:v>51.6</c:v>
                </c:pt>
              </c:numCache>
            </c:numRef>
          </c:val>
          <c:smooth val="0"/>
          <c:extLst>
            <c:ext xmlns:c16="http://schemas.microsoft.com/office/drawing/2014/chart" uri="{C3380CC4-5D6E-409C-BE32-E72D297353CC}">
              <c16:uniqueId val="{00000000-EE26-419E-9EFD-8BC4002397A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Russia!$B$6:$B$151</c:f>
              <c:numCache>
                <c:formatCode>General</c:formatCode>
                <c:ptCount val="146"/>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pt idx="145">
                  <c:v>48.3</c:v>
                </c:pt>
              </c:numCache>
            </c:numRef>
          </c:val>
          <c:smooth val="0"/>
          <c:extLst>
            <c:ext xmlns:c16="http://schemas.microsoft.com/office/drawing/2014/chart" uri="{C3380CC4-5D6E-409C-BE32-E72D297353CC}">
              <c16:uniqueId val="{00000000-1B39-4659-B28A-776B52C7155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Spain!$B$6:$B$151</c:f>
              <c:numCache>
                <c:formatCode>General</c:formatCode>
                <c:ptCount val="146"/>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pt idx="145">
                  <c:v>51.2</c:v>
                </c:pt>
              </c:numCache>
            </c:numRef>
          </c:val>
          <c:smooth val="0"/>
          <c:extLst>
            <c:ext xmlns:c16="http://schemas.microsoft.com/office/drawing/2014/chart" uri="{C3380CC4-5D6E-409C-BE32-E72D297353CC}">
              <c16:uniqueId val="{00000000-14AF-4226-84D5-9D500781B64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277811</xdr:colOff>
      <xdr:row>80</xdr:row>
      <xdr:rowOff>92868</xdr:rowOff>
    </xdr:from>
    <xdr:to>
      <xdr:col>12</xdr:col>
      <xdr:colOff>396874</xdr:colOff>
      <xdr:row>104</xdr:row>
      <xdr:rowOff>7937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141939</xdr:colOff>
      <xdr:row>158</xdr:row>
      <xdr:rowOff>59764</xdr:rowOff>
    </xdr:from>
    <xdr:to>
      <xdr:col>12</xdr:col>
      <xdr:colOff>321235</xdr:colOff>
      <xdr:row>179</xdr:row>
      <xdr:rowOff>8217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373061</xdr:colOff>
      <xdr:row>119</xdr:row>
      <xdr:rowOff>103188</xdr:rowOff>
    </xdr:from>
    <xdr:to>
      <xdr:col>11</xdr:col>
      <xdr:colOff>428624</xdr:colOff>
      <xdr:row>140</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261939</xdr:colOff>
      <xdr:row>143</xdr:row>
      <xdr:rowOff>7938</xdr:rowOff>
    </xdr:from>
    <xdr:to>
      <xdr:col>12</xdr:col>
      <xdr:colOff>349249</xdr:colOff>
      <xdr:row>166</xdr:row>
      <xdr:rowOff>65882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165100</xdr:colOff>
      <xdr:row>156</xdr:row>
      <xdr:rowOff>152401</xdr:rowOff>
    </xdr:from>
    <xdr:to>
      <xdr:col>12</xdr:col>
      <xdr:colOff>237066</xdr:colOff>
      <xdr:row>179</xdr:row>
      <xdr:rowOff>59267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232832</xdr:colOff>
      <xdr:row>118</xdr:row>
      <xdr:rowOff>25399</xdr:rowOff>
    </xdr:from>
    <xdr:to>
      <xdr:col>12</xdr:col>
      <xdr:colOff>516465</xdr:colOff>
      <xdr:row>140</xdr:row>
      <xdr:rowOff>42332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277812</xdr:colOff>
      <xdr:row>118</xdr:row>
      <xdr:rowOff>182563</xdr:rowOff>
    </xdr:from>
    <xdr:to>
      <xdr:col>12</xdr:col>
      <xdr:colOff>547687</xdr:colOff>
      <xdr:row>140</xdr:row>
      <xdr:rowOff>57944</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173568</xdr:colOff>
      <xdr:row>118</xdr:row>
      <xdr:rowOff>135466</xdr:rowOff>
    </xdr:from>
    <xdr:to>
      <xdr:col>11</xdr:col>
      <xdr:colOff>423334</xdr:colOff>
      <xdr:row>140</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150813</xdr:colOff>
      <xdr:row>118</xdr:row>
      <xdr:rowOff>158750</xdr:rowOff>
    </xdr:from>
    <xdr:to>
      <xdr:col>12</xdr:col>
      <xdr:colOff>444499</xdr:colOff>
      <xdr:row>139</xdr:row>
      <xdr:rowOff>169070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214311</xdr:colOff>
      <xdr:row>119</xdr:row>
      <xdr:rowOff>87313</xdr:rowOff>
    </xdr:from>
    <xdr:to>
      <xdr:col>11</xdr:col>
      <xdr:colOff>206375</xdr:colOff>
      <xdr:row>140</xdr:row>
      <xdr:rowOff>50007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139701</xdr:colOff>
      <xdr:row>116</xdr:row>
      <xdr:rowOff>152399</xdr:rowOff>
    </xdr:from>
    <xdr:to>
      <xdr:col>13</xdr:col>
      <xdr:colOff>237067</xdr:colOff>
      <xdr:row>140</xdr:row>
      <xdr:rowOff>84667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261939</xdr:colOff>
      <xdr:row>117</xdr:row>
      <xdr:rowOff>127000</xdr:rowOff>
    </xdr:from>
    <xdr:to>
      <xdr:col>12</xdr:col>
      <xdr:colOff>230187</xdr:colOff>
      <xdr:row>140</xdr:row>
      <xdr:rowOff>42070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238126</xdr:colOff>
      <xdr:row>116</xdr:row>
      <xdr:rowOff>150813</xdr:rowOff>
    </xdr:from>
    <xdr:to>
      <xdr:col>12</xdr:col>
      <xdr:colOff>404812</xdr:colOff>
      <xdr:row>140</xdr:row>
      <xdr:rowOff>26194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268940</xdr:colOff>
      <xdr:row>118</xdr:row>
      <xdr:rowOff>104588</xdr:rowOff>
    </xdr:from>
    <xdr:to>
      <xdr:col>12</xdr:col>
      <xdr:colOff>664882</xdr:colOff>
      <xdr:row>140</xdr:row>
      <xdr:rowOff>53042</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51" totalsRowShown="0" headerRowDxfId="129" dataDxfId="127" headerRowBorderDxfId="128" tableBorderDxfId="126" totalsRowBorderDxfId="125">
  <autoFilter ref="A5:C151" xr:uid="{00000000-0009-0000-0100-000001000000}"/>
  <tableColumns count="3">
    <tableColumn id="1" xr3:uid="{00000000-0010-0000-0000-000001000000}" name="Date" dataDxfId="124"/>
    <tableColumn id="2" xr3:uid="{00000000-0010-0000-0000-000002000000}" name="PMI" dataDxfId="123">
      <calculatedColumnFormula>IF(VLOOKUP(A6,'DB Country PMI'!$A:$V,MATCH($A$1,'DB Country PMI'!$A$1:$V$1,),)=0,#N/A,VLOOKUP(A6,'DB Country PMI'!$A:$V,MATCH($A$1,'DB Country PMI'!$A$1:$V$1,),))</calculatedColumnFormula>
    </tableColumn>
    <tableColumn id="3" xr3:uid="{00000000-0010-0000-0000-000003000000}"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5" totalsRowShown="0" headerRowDxfId="121" dataDxfId="119" headerRowBorderDxfId="120" tableBorderDxfId="118" totalsRowBorderDxfId="117">
  <autoFilter ref="A5:C115" xr:uid="{00000000-0009-0000-0100-000002000000}"/>
  <tableColumns count="3">
    <tableColumn id="1" xr3:uid="{00000000-0010-0000-0100-000001000000}" name="Date" dataDxfId="116"/>
    <tableColumn id="2" xr3:uid="{00000000-0010-0000-0100-000002000000}" name="PMI" dataDxfId="115">
      <calculatedColumnFormula>IF(VLOOKUP(A6,'DB Country PMI'!$A:$V,MATCH($A$1,'DB Country PMI'!$A$1:$V$1,),)=0,#N/A,VLOOKUP(A6,'DB Country PMI'!$A:$V,MATCH($A$1,'DB Country PMI'!$A$1:$V$1,),))</calculatedColumnFormula>
    </tableColumn>
    <tableColumn id="3" xr3:uid="{00000000-0010-0000-0100-000003000000}"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90" totalsRowShown="0" headerRowDxfId="113" dataDxfId="111" headerRowBorderDxfId="112" tableBorderDxfId="110" totalsRowBorderDxfId="109">
  <autoFilter ref="A5:C190" xr:uid="{00000000-0009-0000-0100-000003000000}"/>
  <tableColumns count="3">
    <tableColumn id="1" xr3:uid="{00000000-0010-0000-0200-000001000000}" name="Date" dataDxfId="108"/>
    <tableColumn id="2" xr3:uid="{00000000-0010-0000-0200-000002000000}" name="PMI" dataDxfId="107">
      <calculatedColumnFormula>IF(VLOOKUP(A6,'DB Country PMI'!$A:$V,MATCH($A$1,'DB Country PMI'!$A$1:$V$1,),)=0,#N/A,VLOOKUP(A6,'DB Country PMI'!$A:$V,MATCH($A$1,'DB Country PMI'!$A$1:$V$1,),))</calculatedColumnFormula>
    </tableColumn>
    <tableColumn id="3" xr3:uid="{00000000-0010-0000-0200-000003000000}"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1" totalsRowShown="0" headerRowDxfId="105" dataDxfId="103" headerRowBorderDxfId="104" tableBorderDxfId="102" totalsRowBorderDxfId="101">
  <autoFilter ref="A5:C151" xr:uid="{00000000-0009-0000-0100-000004000000}"/>
  <tableColumns count="3">
    <tableColumn id="1" xr3:uid="{00000000-0010-0000-0300-000001000000}" name="Date" dataDxfId="100"/>
    <tableColumn id="2" xr3:uid="{00000000-0010-0000-0300-000002000000}" name="PMI" dataDxfId="99">
      <calculatedColumnFormula>IF(VLOOKUP(A6,'DB Country PMI'!$A:$W,MATCH($A$1,'DB Country PMI'!$A$1:$W$1,),)=0,#N/A,VLOOKUP(A6,'DB Country PMI'!$A:$W,MATCH($A$1,'DB Country PMI'!$A$1:$W$1,),))</calculatedColumnFormula>
    </tableColumn>
    <tableColumn id="3" xr3:uid="{00000000-0010-0000-0300-000003000000}"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7" totalsRowShown="0" headerRowDxfId="97" dataDxfId="95" headerRowBorderDxfId="96" tableBorderDxfId="94" totalsRowBorderDxfId="93">
  <autoFilter ref="A5:C177" xr:uid="{00000000-0009-0000-0100-000005000000}"/>
  <tableColumns count="3">
    <tableColumn id="1" xr3:uid="{00000000-0010-0000-0400-000001000000}" name="Date" dataDxfId="92"/>
    <tableColumn id="2" xr3:uid="{00000000-0010-0000-0400-000002000000}" name="PMI" dataDxfId="91">
      <calculatedColumnFormula>IF(VLOOKUP(A6,'DB Country PMI'!$A:$W,MATCH($A$1,'DB Country PMI'!$A$1:$W$1,),)=0,#N/A,VLOOKUP(A6,'DB Country PMI'!$A:$W,MATCH($A$1,'DB Country PMI'!$A$1:$W$1,),))</calculatedColumnFormula>
    </tableColumn>
    <tableColumn id="3" xr3:uid="{00000000-0010-0000-0400-000003000000}"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90" totalsRowShown="0" headerRowDxfId="89" dataDxfId="87" headerRowBorderDxfId="88" tableBorderDxfId="86" totalsRowBorderDxfId="85">
  <autoFilter ref="A5:C190" xr:uid="{00000000-0009-0000-0100-000006000000}"/>
  <tableColumns count="3">
    <tableColumn id="1" xr3:uid="{00000000-0010-0000-0500-000001000000}" name="Date" dataDxfId="84"/>
    <tableColumn id="2" xr3:uid="{00000000-0010-0000-0500-000002000000}" name="PMI" dataDxfId="83">
      <calculatedColumnFormula>IF(VLOOKUP(A6,'DB Country PMI'!$A:$W,MATCH($A$1,'DB Country PMI'!$A$1:$W$1,),)=0,#N/A,VLOOKUP(A6,'DB Country PMI'!$A:$W,MATCH($A$1,'DB Country PMI'!$A$1:$W$1,),))</calculatedColumnFormula>
    </tableColumn>
    <tableColumn id="3" xr3:uid="{00000000-0010-0000-0500-000003000000}"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1" totalsRowShown="0" headerRowDxfId="81" dataDxfId="79" headerRowBorderDxfId="80" tableBorderDxfId="78" totalsRowBorderDxfId="77">
  <autoFilter ref="A5:C151" xr:uid="{00000000-0009-0000-0100-000007000000}"/>
  <tableColumns count="3">
    <tableColumn id="1" xr3:uid="{00000000-0010-0000-0600-000001000000}" name="Date" dataDxfId="76"/>
    <tableColumn id="2" xr3:uid="{00000000-0010-0000-0600-000002000000}" name="PMI" dataDxfId="75">
      <calculatedColumnFormula>IF(VLOOKUP(A6,'DB Country PMI'!$A:$W,MATCH($A$1,'DB Country PMI'!$A$1:$W$1,),)=0,#N/A,VLOOKUP(A6,'DB Country PMI'!$A:$W,MATCH($A$1,'DB Country PMI'!$A$1:$W$1,),))</calculatedColumnFormula>
    </tableColumn>
    <tableColumn id="3" xr3:uid="{00000000-0010-0000-0600-000003000000}" name="mom" dataDxfId="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1" totalsRowShown="0" headerRowDxfId="73" dataDxfId="71" headerRowBorderDxfId="72" tableBorderDxfId="70" totalsRowBorderDxfId="69">
  <autoFilter ref="A5:C151" xr:uid="{00000000-0009-0000-0100-000008000000}"/>
  <tableColumns count="3">
    <tableColumn id="1" xr3:uid="{00000000-0010-0000-0700-000001000000}" name="Date" dataDxfId="68"/>
    <tableColumn id="2" xr3:uid="{00000000-0010-0000-0700-000002000000}" name="PMI" dataDxfId="67">
      <calculatedColumnFormula>IF(VLOOKUP(A6,'DB Country PMI'!$A:$W,MATCH($A$1,'DB Country PMI'!$A$1:$W$1,),)=0,#N/A,VLOOKUP(A6,'DB Country PMI'!$A:$W,MATCH($A$1,'DB Country PMI'!$A$1:$W$1,),))</calculatedColumnFormula>
    </tableColumn>
    <tableColumn id="3" xr3:uid="{00000000-0010-0000-0700-000003000000}"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1" totalsRowShown="0" headerRowDxfId="65" dataDxfId="63" headerRowBorderDxfId="64" tableBorderDxfId="62" totalsRowBorderDxfId="61">
  <autoFilter ref="A5:C151" xr:uid="{00000000-0009-0000-0100-000009000000}"/>
  <tableColumns count="3">
    <tableColumn id="1" xr3:uid="{00000000-0010-0000-0800-000001000000}" name="Date" dataDxfId="60"/>
    <tableColumn id="2" xr3:uid="{00000000-0010-0000-0800-000002000000}" name="PMI" dataDxfId="59">
      <calculatedColumnFormula>IF(VLOOKUP(A6,'DB Country PMI'!$A:$W,MATCH($A$1,'DB Country PMI'!$A$1:$W$1,),)=0,#N/A,VLOOKUP(A6,'DB Country PMI'!$A:$W,MATCH($A$1,'DB Country PMI'!$A$1:$W$1,),))</calculatedColumnFormula>
    </tableColumn>
    <tableColumn id="3" xr3:uid="{00000000-0010-0000-0800-000003000000}"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1" totalsRowShown="0" headerRowDxfId="57" dataDxfId="55" headerRowBorderDxfId="56" tableBorderDxfId="54" totalsRowBorderDxfId="53">
  <autoFilter ref="A5:C151" xr:uid="{00000000-0009-0000-0100-00000A000000}"/>
  <tableColumns count="3">
    <tableColumn id="1" xr3:uid="{00000000-0010-0000-0900-000001000000}" name="Date" dataDxfId="52"/>
    <tableColumn id="2" xr3:uid="{00000000-0010-0000-0900-000002000000}" name="PMI" dataDxfId="51">
      <calculatedColumnFormula>IF(VLOOKUP(A6,'DB Country PMI'!$A:$W,MATCH($A$1,'DB Country PMI'!$A$1:$W$1,),)=0,#N/A,VLOOKUP(A6,'DB Country PMI'!$A:$W,MATCH($A$1,'DB Country PMI'!$A$1:$W$1,),))</calculatedColumnFormula>
    </tableColumn>
    <tableColumn id="3" xr3:uid="{00000000-0010-0000-0900-000003000000}"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1" totalsRowShown="0" headerRowDxfId="49" dataDxfId="47" headerRowBorderDxfId="48" tableBorderDxfId="46" totalsRowBorderDxfId="45">
  <autoFilter ref="A5:C151" xr:uid="{00000000-0009-0000-0100-00000B000000}"/>
  <tableColumns count="3">
    <tableColumn id="1" xr3:uid="{00000000-0010-0000-0A00-000001000000}" name="Date" dataDxfId="44"/>
    <tableColumn id="2" xr3:uid="{00000000-0010-0000-0A00-000002000000}" name="PMI" dataDxfId="43">
      <calculatedColumnFormula>IF(VLOOKUP(A6,'DB Country PMI'!$A:$W,MATCH($A$1,'DB Country PMI'!$A$1:$W$1,),)=0,#N/A,VLOOKUP(A6,'DB Country PMI'!$A:$W,MATCH($A$1,'DB Country PMI'!$A$1:$W$1,),))</calculatedColumnFormula>
    </tableColumn>
    <tableColumn id="3" xr3:uid="{00000000-0010-0000-0A00-000003000000}"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1" totalsRowShown="0" headerRowDxfId="41" dataDxfId="39" headerRowBorderDxfId="40" tableBorderDxfId="38" totalsRowBorderDxfId="37">
  <autoFilter ref="A5:C151" xr:uid="{00000000-0009-0000-0100-00000C000000}"/>
  <tableColumns count="3">
    <tableColumn id="1" xr3:uid="{00000000-0010-0000-0B00-000001000000}" name="Date" dataDxfId="36"/>
    <tableColumn id="2" xr3:uid="{00000000-0010-0000-0B00-000002000000}" name="PMI" dataDxfId="35">
      <calculatedColumnFormula>IF(VLOOKUP(A6,'DB Country PMI'!$A:$W,MATCH($A$1,'DB Country PMI'!$A$1:$W$1,),)=0,#N/A,VLOOKUP(A6,'DB Country PMI'!$A:$W,MATCH($A$1,'DB Country PMI'!$A$1:$W$1,),))</calculatedColumnFormula>
    </tableColumn>
    <tableColumn id="3" xr3:uid="{00000000-0010-0000-0B00-000003000000}"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1" totalsRowShown="0" headerRowDxfId="33" dataDxfId="31" headerRowBorderDxfId="32" tableBorderDxfId="30" totalsRowBorderDxfId="29">
  <autoFilter ref="A5:C151" xr:uid="{00000000-0009-0000-0100-00000D000000}"/>
  <tableColumns count="3">
    <tableColumn id="1" xr3:uid="{00000000-0010-0000-0C00-000001000000}" name="Date" dataDxfId="28"/>
    <tableColumn id="2" xr3:uid="{00000000-0010-0000-0C00-000002000000}" name="PMI" dataDxfId="27"/>
    <tableColumn id="3" xr3:uid="{00000000-0010-0000-0C00-000003000000}"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1" totalsRowShown="0" headerRowDxfId="25" dataDxfId="23" headerRowBorderDxfId="24" tableBorderDxfId="22" totalsRowBorderDxfId="21">
  <autoFilter ref="A5:C151" xr:uid="{00000000-0009-0000-0100-00000E000000}"/>
  <tableColumns count="3">
    <tableColumn id="1" xr3:uid="{00000000-0010-0000-0D00-000001000000}" name="Date" dataDxfId="20"/>
    <tableColumn id="2" xr3:uid="{00000000-0010-0000-0D00-000002000000}" name="PMI" dataDxfId="19">
      <calculatedColumnFormula>IF(VLOOKUP(A6,'DB Country PMI'!$A:$W,MATCH($A$1,'DB Country PMI'!$A$1:$W$1,),)=0,#N/A,VLOOKUP(A6,'DB Country PMI'!$A:$W,MATCH($A$1,'DB Country PMI'!$A$1:$W$1,),))</calculatedColumnFormula>
    </tableColumn>
    <tableColumn id="3" xr3:uid="{00000000-0010-0000-0D00-000003000000}"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1" totalsRowShown="0" headerRowDxfId="17" dataDxfId="15" headerRowBorderDxfId="16" tableBorderDxfId="14" totalsRowBorderDxfId="13">
  <autoFilter ref="A5:C151" xr:uid="{00000000-0009-0000-0100-00000F000000}"/>
  <tableColumns count="3">
    <tableColumn id="1" xr3:uid="{00000000-0010-0000-0E00-000001000000}" name="Date" dataDxfId="12"/>
    <tableColumn id="2" xr3:uid="{00000000-0010-0000-0E00-000002000000}" name="PMI" dataDxfId="11">
      <calculatedColumnFormula>IF(VLOOKUP(A6,'DB Country PMI'!$A:$W,MATCH($A$1,'DB Country PMI'!$A$1:$W$1,),)=0,#N/A,VLOOKUP(A6,'DB Country PMI'!$A:$W,MATCH($A$1,'DB Country PMI'!$A$1:$W$1,),))</calculatedColumnFormula>
    </tableColumn>
    <tableColumn id="3" xr3:uid="{00000000-0010-0000-0E00-000003000000}"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topLeftCell="G11" zoomScale="150" zoomScaleNormal="150" workbookViewId="0">
      <selection activeCell="V17" sqref="V17"/>
    </sheetView>
  </sheetViews>
  <sheetFormatPr defaultColWidth="9.1796875" defaultRowHeight="14.5" x14ac:dyDescent="0.35"/>
  <cols>
    <col min="1" max="1" width="4" style="47" customWidth="1"/>
    <col min="2" max="5" width="12.81640625" style="47" customWidth="1"/>
    <col min="6" max="6" width="13.6328125" style="47" customWidth="1"/>
    <col min="7" max="10" width="12.81640625" style="47" customWidth="1"/>
    <col min="11" max="13" width="2" style="47" customWidth="1"/>
    <col min="14" max="14" width="9.1796875" style="47" customWidth="1"/>
    <col min="15" max="15" width="15.453125" style="47" customWidth="1"/>
    <col min="16" max="18" width="12.6328125" style="47" customWidth="1"/>
    <col min="19" max="19" width="11.6328125" style="47" customWidth="1"/>
    <col min="20" max="30" width="9.1796875" style="47" customWidth="1"/>
    <col min="31" max="16384" width="9.1796875" style="47"/>
  </cols>
  <sheetData>
    <row r="1" spans="2:19" x14ac:dyDescent="0.35">
      <c r="B1" s="58"/>
      <c r="C1" s="59"/>
      <c r="D1" s="59"/>
      <c r="E1" s="59"/>
      <c r="F1" s="59"/>
      <c r="G1" s="59"/>
      <c r="H1" s="59"/>
      <c r="I1" s="59"/>
      <c r="J1" s="59"/>
    </row>
    <row r="2" spans="2:19" ht="16" customHeight="1" thickBot="1" x14ac:dyDescent="0.4">
      <c r="B2" s="60"/>
      <c r="C2" s="60"/>
      <c r="D2" s="60"/>
      <c r="E2" s="60"/>
      <c r="F2" s="60"/>
      <c r="G2" s="60"/>
      <c r="H2" s="60"/>
      <c r="I2" s="60"/>
      <c r="J2" s="60"/>
    </row>
    <row r="3" spans="2:19" ht="16" customHeight="1" thickBot="1" x14ac:dyDescent="0.4">
      <c r="B3" s="61" t="s">
        <v>0</v>
      </c>
      <c r="C3" s="52"/>
      <c r="D3" s="52"/>
      <c r="E3" s="52"/>
      <c r="F3" s="52"/>
      <c r="G3" s="52"/>
      <c r="H3" s="52"/>
      <c r="I3" s="52"/>
      <c r="J3" s="53"/>
    </row>
    <row r="5" spans="2:19" x14ac:dyDescent="0.35">
      <c r="B5" s="62" t="s">
        <v>1</v>
      </c>
      <c r="C5" s="63"/>
      <c r="D5" s="63"/>
      <c r="E5" s="63"/>
      <c r="F5" s="63"/>
      <c r="G5" s="63"/>
      <c r="H5" s="63"/>
      <c r="I5" s="63"/>
      <c r="J5" s="57"/>
    </row>
    <row r="7" spans="2:19" ht="225.75" customHeight="1" x14ac:dyDescent="0.35">
      <c r="B7" s="64" t="s">
        <v>2</v>
      </c>
      <c r="C7" s="59"/>
      <c r="D7" s="59"/>
      <c r="E7" s="59"/>
      <c r="F7" s="59"/>
      <c r="G7" s="59"/>
      <c r="H7" s="59"/>
      <c r="I7" s="59"/>
      <c r="J7" s="59"/>
    </row>
    <row r="8" spans="2:19" ht="24" customHeight="1" x14ac:dyDescent="0.35">
      <c r="B8" s="37"/>
      <c r="C8" s="48"/>
      <c r="D8" s="48"/>
      <c r="E8" s="48"/>
      <c r="F8" s="48"/>
      <c r="G8" s="48"/>
      <c r="H8" s="48"/>
      <c r="I8" s="48"/>
      <c r="J8" s="48"/>
    </row>
    <row r="9" spans="2:19" ht="16" customHeight="1" thickBot="1" x14ac:dyDescent="0.4">
      <c r="B9" s="1"/>
      <c r="C9" s="2"/>
      <c r="D9" s="2"/>
      <c r="E9" s="2"/>
    </row>
    <row r="10" spans="2:19" ht="16" customHeight="1" thickBot="1" x14ac:dyDescent="0.4">
      <c r="B10" s="62" t="s">
        <v>3</v>
      </c>
      <c r="C10" s="63"/>
      <c r="D10" s="63"/>
      <c r="E10" s="63"/>
      <c r="F10" s="63"/>
      <c r="G10" s="63"/>
      <c r="H10" s="63"/>
      <c r="I10" s="63"/>
      <c r="J10" s="57"/>
      <c r="N10" s="51" t="s">
        <v>4</v>
      </c>
      <c r="O10" s="52"/>
      <c r="P10" s="52"/>
      <c r="Q10" s="52"/>
      <c r="R10" s="52"/>
      <c r="S10" s="53"/>
    </row>
    <row r="11" spans="2:19" x14ac:dyDescent="0.35">
      <c r="N11" s="3" t="s">
        <v>5</v>
      </c>
    </row>
    <row r="12" spans="2:19" ht="16" customHeight="1" thickBot="1" x14ac:dyDescent="0.4">
      <c r="B12" s="62" t="s">
        <v>6</v>
      </c>
      <c r="C12" s="63"/>
      <c r="D12" s="63"/>
      <c r="E12" s="63"/>
      <c r="F12" s="57"/>
      <c r="G12" s="62" t="s">
        <v>7</v>
      </c>
      <c r="H12" s="63"/>
      <c r="I12" s="63"/>
      <c r="J12" s="57"/>
    </row>
    <row r="13" spans="2:19" x14ac:dyDescent="0.35">
      <c r="P13" s="4">
        <v>44866</v>
      </c>
      <c r="Q13" s="5">
        <f>DATE(YEAR(P13),MONTH(P13)-1,DAY(P13))</f>
        <v>44835</v>
      </c>
      <c r="R13" s="6"/>
      <c r="S13" s="15" t="s">
        <v>8</v>
      </c>
    </row>
    <row r="14" spans="2:19" ht="16" customHeight="1" thickBot="1" x14ac:dyDescent="0.4">
      <c r="B14" s="59" t="s">
        <v>9</v>
      </c>
      <c r="C14" s="59"/>
      <c r="D14" s="59"/>
      <c r="E14" s="59"/>
      <c r="F14" s="59"/>
      <c r="G14" s="59" t="s">
        <v>10</v>
      </c>
      <c r="H14" s="59"/>
      <c r="I14" s="59"/>
      <c r="J14" s="59"/>
      <c r="O14" s="47" t="s">
        <v>11</v>
      </c>
      <c r="P14" s="38" t="s">
        <v>12</v>
      </c>
      <c r="Q14" s="38" t="s">
        <v>12</v>
      </c>
      <c r="R14" s="7" t="s">
        <v>13</v>
      </c>
      <c r="S14" s="32" t="s">
        <v>14</v>
      </c>
    </row>
    <row r="15" spans="2:19" ht="30.75" customHeight="1" x14ac:dyDescent="0.35">
      <c r="G15" s="65" t="s">
        <v>15</v>
      </c>
      <c r="H15" s="59"/>
      <c r="I15" s="59"/>
      <c r="J15" s="59"/>
      <c r="N15" s="54" t="s">
        <v>9</v>
      </c>
      <c r="O15" s="55"/>
      <c r="P15" s="39" t="e">
        <f>VLOOKUP($P$13,Summary!$B:$AB,MATCH(Note!N15,Summary!$B$2:$AB$2,),)</f>
        <v>#N/A</v>
      </c>
      <c r="Q15" s="11" t="e">
        <f>VLOOKUP($Q$13,Summary!$B:$AB,MATCH(Note!N15,Summary!$B$2:$AB$2,),)</f>
        <v>#N/A</v>
      </c>
      <c r="R15" s="42">
        <v>-1</v>
      </c>
      <c r="S15" s="33"/>
    </row>
    <row r="16" spans="2:19" x14ac:dyDescent="0.35">
      <c r="B16" s="66" t="s">
        <v>16</v>
      </c>
      <c r="C16" s="59"/>
      <c r="D16" s="59"/>
      <c r="E16" s="59"/>
      <c r="F16" s="59"/>
      <c r="G16" s="59" t="s">
        <v>17</v>
      </c>
      <c r="H16" s="59"/>
      <c r="I16" s="59"/>
      <c r="J16" s="59"/>
      <c r="N16" s="56" t="s">
        <v>18</v>
      </c>
      <c r="O16" s="57"/>
      <c r="P16" s="40">
        <f>VLOOKUP($P$13,Summary!$B:$AB,MATCH(Note!N16,Summary!$B$2:$AB$2,),)</f>
        <v>46.2</v>
      </c>
      <c r="Q16" s="14">
        <f>VLOOKUP($Q$13,Summary!$B:$AB,MATCH(Note!N16,Summary!$B$2:$AB$2,),)</f>
        <v>47.8</v>
      </c>
      <c r="R16" s="43">
        <v>-0.39999999999999858</v>
      </c>
      <c r="S16" s="34">
        <v>0.24099999999999999</v>
      </c>
    </row>
    <row r="17" spans="2:19" x14ac:dyDescent="0.35">
      <c r="B17" s="59"/>
      <c r="C17" s="59"/>
      <c r="D17" s="59"/>
      <c r="E17" s="59"/>
      <c r="F17" s="59"/>
      <c r="G17" s="47" t="s">
        <v>19</v>
      </c>
      <c r="N17" s="56" t="s">
        <v>20</v>
      </c>
      <c r="O17" s="57"/>
      <c r="P17" s="40">
        <f>VLOOKUP($P$13,Summary!$B:$AB,MATCH(Note!N17,Summary!$B$2:$AB$2,),)</f>
        <v>46.7</v>
      </c>
      <c r="Q17" s="14">
        <f>VLOOKUP($Q$13,Summary!$B:$AB,MATCH(Note!N17,Summary!$B$2:$AB$2,),)</f>
        <v>48.4</v>
      </c>
      <c r="R17" s="43">
        <v>1</v>
      </c>
      <c r="S17" s="34">
        <v>0.152</v>
      </c>
    </row>
    <row r="18" spans="2:19" x14ac:dyDescent="0.35">
      <c r="B18" s="59"/>
      <c r="C18" s="59"/>
      <c r="D18" s="59"/>
      <c r="E18" s="59"/>
      <c r="F18" s="59"/>
      <c r="N18" s="56" t="s">
        <v>21</v>
      </c>
      <c r="O18" s="57"/>
      <c r="P18" s="40">
        <f>VLOOKUP($P$13,Summary!$B:$AB,MATCH(Note!N18,Summary!$B$2:$AB$2,),)</f>
        <v>48.5</v>
      </c>
      <c r="Q18" s="14">
        <f>VLOOKUP($Q$13,Summary!$B:$AB,MATCH(Note!N18,Summary!$B$2:$AB$2,),)</f>
        <v>48.6</v>
      </c>
      <c r="R18" s="43">
        <v>-2.7999999999999972</v>
      </c>
      <c r="S18" s="34">
        <v>0.156</v>
      </c>
    </row>
    <row r="19" spans="2:19" x14ac:dyDescent="0.35">
      <c r="N19" s="56" t="s">
        <v>22</v>
      </c>
      <c r="O19" s="57"/>
      <c r="P19" s="40">
        <f>VLOOKUP($P$13,Summary!$B:$AB,MATCH(Note!N19,Summary!$B$2:$AB$2,),)</f>
        <v>50.3</v>
      </c>
      <c r="Q19" s="14">
        <f>VLOOKUP($Q$13,Summary!$B:$AB,MATCH(Note!N19,Summary!$B$2:$AB$2,),)</f>
        <v>53.2</v>
      </c>
      <c r="R19" s="43">
        <v>-0.89999999999999858</v>
      </c>
      <c r="S19" s="34">
        <v>0.06</v>
      </c>
    </row>
    <row r="20" spans="2:19" x14ac:dyDescent="0.35">
      <c r="B20" s="59"/>
      <c r="C20" s="59"/>
      <c r="D20" s="59"/>
      <c r="E20" s="59"/>
      <c r="F20" s="59"/>
      <c r="G20" s="59"/>
      <c r="H20" s="59"/>
      <c r="I20" s="59"/>
      <c r="J20" s="59"/>
      <c r="N20" s="56" t="s">
        <v>23</v>
      </c>
      <c r="O20" s="57"/>
      <c r="P20" s="40">
        <f>VLOOKUP($P$13,Summary!$B:$AB,MATCH(Note!N20,Summary!$B$2:$AB$2,),)</f>
        <v>46.1</v>
      </c>
      <c r="Q20" s="14">
        <f>VLOOKUP($Q$13,Summary!$B:$AB,MATCH(Note!N20,Summary!$B$2:$AB$2,),)</f>
        <v>46.5</v>
      </c>
      <c r="R20" s="43">
        <v>-4</v>
      </c>
      <c r="S20" s="34">
        <v>4.5642432442496987E-2</v>
      </c>
    </row>
    <row r="21" spans="2:19" x14ac:dyDescent="0.35">
      <c r="B21" s="59"/>
      <c r="C21" s="59"/>
      <c r="D21" s="59"/>
      <c r="E21" s="59"/>
      <c r="F21" s="59"/>
      <c r="G21" s="59"/>
      <c r="H21" s="59"/>
      <c r="I21" s="59"/>
      <c r="J21" s="59"/>
      <c r="N21" s="56" t="s">
        <v>24</v>
      </c>
      <c r="O21" s="57"/>
      <c r="P21" s="40">
        <f>VLOOKUP($P$13,Summary!$B:$AB,MATCH(Note!N21,Summary!$B$2:$AB$2,),)</f>
        <v>49.3</v>
      </c>
      <c r="Q21" s="14">
        <f>VLOOKUP($Q$13,Summary!$B:$AB,MATCH(Note!N21,Summary!$B$2:$AB$2,),)</f>
        <v>51.7</v>
      </c>
      <c r="R21" s="43">
        <v>-0.39999999999999858</v>
      </c>
      <c r="S21" s="34">
        <v>3.2062660592594432E-2</v>
      </c>
    </row>
    <row r="22" spans="2:19" x14ac:dyDescent="0.35">
      <c r="B22" s="59"/>
      <c r="C22" s="59"/>
      <c r="D22" s="59"/>
      <c r="E22" s="59"/>
      <c r="F22" s="59"/>
      <c r="G22" s="59"/>
      <c r="H22" s="59"/>
      <c r="I22" s="59"/>
      <c r="J22" s="59"/>
      <c r="N22" s="56" t="s">
        <v>25</v>
      </c>
      <c r="O22" s="57"/>
      <c r="P22" s="40">
        <f>VLOOKUP($P$13,Summary!$B:$AB,MATCH(Note!N22,Summary!$B$2:$AB$2,),)</f>
        <v>48.8</v>
      </c>
      <c r="Q22" s="14">
        <f>VLOOKUP($Q$13,Summary!$B:$AB,MATCH(Note!N22,Summary!$B$2:$AB$2,),)</f>
        <v>48.8</v>
      </c>
      <c r="R22" s="43">
        <v>-4.8999999999999986</v>
      </c>
      <c r="S22" s="34">
        <v>3.3000000000000002E-2</v>
      </c>
    </row>
    <row r="23" spans="2:19" x14ac:dyDescent="0.35">
      <c r="B23" s="59"/>
      <c r="C23" s="59"/>
      <c r="D23" s="59"/>
      <c r="E23" s="59"/>
      <c r="F23" s="59"/>
      <c r="N23" s="56" t="s">
        <v>26</v>
      </c>
      <c r="O23" s="57"/>
      <c r="P23" s="40">
        <f>VLOOKUP($P$13,Summary!$B:$AB,MATCH(Note!N23,Summary!$B$2:$AB$2,),)</f>
        <v>49.5</v>
      </c>
      <c r="Q23" s="14">
        <f>VLOOKUP($Q$13,Summary!$B:$AB,MATCH(Note!N23,Summary!$B$2:$AB$2,),)</f>
        <v>46.4</v>
      </c>
      <c r="R23" s="43">
        <v>-2.899999999999999</v>
      </c>
      <c r="S23" s="34">
        <v>2.4E-2</v>
      </c>
    </row>
    <row r="24" spans="2:19" x14ac:dyDescent="0.35">
      <c r="B24" s="59"/>
      <c r="C24" s="59"/>
      <c r="D24" s="59"/>
      <c r="E24" s="59"/>
      <c r="F24" s="59"/>
      <c r="N24" s="56" t="s">
        <v>27</v>
      </c>
      <c r="O24" s="57"/>
      <c r="P24" s="40">
        <f>VLOOKUP($P$13,Summary!$B:$AB,MATCH(Note!N24,Summary!$B$2:$AB$2,),)</f>
        <v>51.2</v>
      </c>
      <c r="Q24" s="14">
        <f>VLOOKUP($Q$13,Summary!$B:$AB,MATCH(Note!N24,Summary!$B$2:$AB$2,),)</f>
        <v>49.7</v>
      </c>
      <c r="R24" s="43">
        <v>-4</v>
      </c>
      <c r="S24" s="34">
        <v>1.6273382902396941E-2</v>
      </c>
    </row>
    <row r="25" spans="2:19" x14ac:dyDescent="0.35">
      <c r="N25" s="56" t="s">
        <v>28</v>
      </c>
      <c r="O25" s="57"/>
      <c r="P25" s="40">
        <f>VLOOKUP($P$13,Summary!$B:$AB,MATCH(Note!N25,Summary!$B$2:$AB$2,),)</f>
        <v>51.6</v>
      </c>
      <c r="Q25" s="14">
        <f>VLOOKUP($Q$13,Summary!$B:$AB,MATCH(Note!N25,Summary!$B$2:$AB$2,),)</f>
        <v>54</v>
      </c>
      <c r="R25" s="43">
        <v>0</v>
      </c>
      <c r="S25" s="34">
        <v>2.5521033750822361E-2</v>
      </c>
    </row>
    <row r="26" spans="2:19" x14ac:dyDescent="0.35">
      <c r="N26" s="56" t="s">
        <v>29</v>
      </c>
      <c r="O26" s="57"/>
      <c r="P26" s="40">
        <f>VLOOKUP($P$13,Summary!$B:$AB,MATCH(Note!N26,Summary!$B$2:$AB$2,),)</f>
        <v>48.3</v>
      </c>
      <c r="Q26" s="14">
        <f>VLOOKUP($Q$13,Summary!$B:$AB,MATCH(Note!N26,Summary!$B$2:$AB$2,),)</f>
        <v>43.7</v>
      </c>
      <c r="R26" s="43">
        <v>2.399999999999999</v>
      </c>
      <c r="S26" s="34">
        <v>1.9587641662839338E-2</v>
      </c>
    </row>
    <row r="27" spans="2:19" x14ac:dyDescent="0.35">
      <c r="N27" s="56" t="s">
        <v>30</v>
      </c>
      <c r="O27" s="57"/>
      <c r="P27" s="40">
        <f>VLOOKUP($P$13,Summary!$B:$AB,MATCH(Note!N27,Summary!$B$2:$AB$2,),)</f>
        <v>56.4</v>
      </c>
      <c r="Q27" s="14">
        <f>VLOOKUP($Q$13,Summary!$B:$AB,MATCH(Note!N27,Summary!$B$2:$AB$2,),)</f>
        <v>55.1</v>
      </c>
      <c r="R27" s="43">
        <v>-2.600000000000001</v>
      </c>
      <c r="S27" s="34">
        <v>3.2286093767455719E-2</v>
      </c>
    </row>
    <row r="28" spans="2:19" x14ac:dyDescent="0.35">
      <c r="N28" s="56" t="s">
        <v>31</v>
      </c>
      <c r="O28" s="57"/>
      <c r="P28" s="40">
        <f>VLOOKUP($P$13,Summary!$B:$AB,MATCH(Note!N28,Summary!$B$2:$AB$2,),)</f>
        <v>45.6</v>
      </c>
      <c r="Q28" s="14">
        <f>VLOOKUP($Q$13,Summary!$B:$AB,MATCH(Note!N28,Summary!$B$2:$AB$2,),)</f>
        <v>47.7</v>
      </c>
      <c r="R28" s="43">
        <v>2</v>
      </c>
      <c r="S28" s="34">
        <v>1.6422338352304462E-2</v>
      </c>
    </row>
    <row r="29" spans="2:19" ht="16" customHeight="1" thickBot="1" x14ac:dyDescent="0.4">
      <c r="N29" s="69" t="s">
        <v>32</v>
      </c>
      <c r="O29" s="70"/>
      <c r="P29" s="41">
        <f>VLOOKUP($P$13,Summary!$B:$AB,MATCH(Note!N29,Summary!$B$2:$AB$2,),)</f>
        <v>50.8</v>
      </c>
      <c r="Q29" s="35">
        <f>VLOOKUP($Q$13,Summary!$B:$AB,MATCH(Note!N29,Summary!$B$2:$AB$2,),)</f>
        <v>53.2</v>
      </c>
      <c r="R29" s="44">
        <v>-3.899999999999999</v>
      </c>
      <c r="S29" s="36">
        <v>4.1459266890927372E-3</v>
      </c>
    </row>
    <row r="32" spans="2:19" x14ac:dyDescent="0.35">
      <c r="B32" s="67"/>
      <c r="C32" s="59"/>
      <c r="D32" s="59"/>
      <c r="E32" s="59"/>
      <c r="F32" s="59"/>
      <c r="G32" s="59"/>
      <c r="H32" s="59"/>
      <c r="I32" s="59"/>
      <c r="J32" s="59"/>
      <c r="K32" s="59"/>
      <c r="L32" s="59"/>
      <c r="M32" s="59"/>
      <c r="N32" s="59"/>
      <c r="O32" s="59"/>
      <c r="P32" s="59"/>
      <c r="Q32" s="59"/>
      <c r="R32" s="59"/>
      <c r="S32" s="59"/>
    </row>
    <row r="33" spans="2:19" x14ac:dyDescent="0.35">
      <c r="B33" s="65"/>
      <c r="C33" s="59"/>
      <c r="D33" s="59"/>
      <c r="E33" s="59"/>
      <c r="F33" s="59"/>
      <c r="G33" s="59"/>
      <c r="H33" s="59"/>
      <c r="I33" s="59"/>
      <c r="J33" s="59"/>
      <c r="K33" s="59"/>
      <c r="L33" s="59"/>
      <c r="M33" s="59"/>
      <c r="N33" s="59"/>
      <c r="O33" s="59"/>
      <c r="P33" s="59"/>
      <c r="Q33" s="59"/>
      <c r="R33" s="59"/>
      <c r="S33" s="59"/>
    </row>
    <row r="34" spans="2:19" x14ac:dyDescent="0.35">
      <c r="B34" s="68"/>
      <c r="C34" s="59"/>
      <c r="D34" s="59"/>
      <c r="E34" s="59"/>
      <c r="F34" s="59"/>
      <c r="G34" s="59"/>
      <c r="H34" s="59"/>
      <c r="I34" s="59"/>
      <c r="J34" s="59"/>
      <c r="K34" s="59"/>
      <c r="L34" s="59"/>
      <c r="M34" s="59"/>
      <c r="N34" s="59"/>
      <c r="O34" s="59"/>
      <c r="P34" s="59"/>
      <c r="Q34" s="59"/>
      <c r="R34" s="59"/>
      <c r="S34" s="59"/>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dxfId="9" priority="7" operator="lessThan">
      <formula>0</formula>
    </cfRule>
    <cfRule type="cellIs" dxfId="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6"/>
  <sheetViews>
    <sheetView zoomScale="170" zoomScaleNormal="170" workbookViewId="0">
      <pane ySplit="1" topLeftCell="A172" activePane="bottomLeft" state="frozen"/>
      <selection activeCell="AD109" sqref="AD109"/>
      <selection pane="bottomLeft" activeCell="AD109" sqref="AD109"/>
    </sheetView>
  </sheetViews>
  <sheetFormatPr defaultColWidth="10.81640625" defaultRowHeight="14.5" x14ac:dyDescent="0.35"/>
  <cols>
    <col min="1" max="11" width="10.81640625" customWidth="1"/>
  </cols>
  <sheetData>
    <row r="1" spans="1:22" x14ac:dyDescent="0.35">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35">
      <c r="A2" s="50">
        <v>39264</v>
      </c>
      <c r="E2">
        <v>58.3</v>
      </c>
      <c r="G2">
        <v>58.9</v>
      </c>
    </row>
    <row r="3" spans="1:22" x14ac:dyDescent="0.35">
      <c r="A3" s="50">
        <v>39295</v>
      </c>
      <c r="E3">
        <v>58</v>
      </c>
      <c r="G3">
        <v>59.8</v>
      </c>
    </row>
    <row r="4" spans="1:22" x14ac:dyDescent="0.35">
      <c r="A4" s="50">
        <v>39326</v>
      </c>
      <c r="E4">
        <v>54.2</v>
      </c>
      <c r="G4">
        <v>53.1</v>
      </c>
    </row>
    <row r="5" spans="1:22" x14ac:dyDescent="0.35">
      <c r="A5" s="50">
        <v>39356</v>
      </c>
      <c r="E5">
        <v>55.8</v>
      </c>
      <c r="G5">
        <v>55.1</v>
      </c>
    </row>
    <row r="6" spans="1:22" x14ac:dyDescent="0.35">
      <c r="A6" s="50">
        <v>39387</v>
      </c>
      <c r="E6">
        <v>54.1</v>
      </c>
      <c r="G6">
        <v>53.1</v>
      </c>
    </row>
    <row r="7" spans="1:22" x14ac:dyDescent="0.35">
      <c r="A7" s="50">
        <v>39417</v>
      </c>
      <c r="E7">
        <v>53.1</v>
      </c>
      <c r="G7">
        <v>51.5</v>
      </c>
    </row>
    <row r="8" spans="1:22" x14ac:dyDescent="0.35">
      <c r="A8" s="50">
        <v>39448</v>
      </c>
      <c r="E8">
        <v>50.6</v>
      </c>
      <c r="G8">
        <v>49.2</v>
      </c>
    </row>
    <row r="9" spans="1:22" x14ac:dyDescent="0.35">
      <c r="A9" s="50">
        <v>39479</v>
      </c>
      <c r="E9">
        <v>51.7</v>
      </c>
      <c r="G9">
        <v>52.2</v>
      </c>
    </row>
    <row r="10" spans="1:22" x14ac:dyDescent="0.35">
      <c r="A10" s="50">
        <v>39508</v>
      </c>
      <c r="E10">
        <v>51.6</v>
      </c>
      <c r="G10">
        <v>51.8</v>
      </c>
    </row>
    <row r="11" spans="1:22" x14ac:dyDescent="0.35">
      <c r="A11" s="50">
        <v>39539</v>
      </c>
      <c r="E11">
        <v>52</v>
      </c>
      <c r="G11">
        <v>54.9</v>
      </c>
    </row>
    <row r="12" spans="1:22" x14ac:dyDescent="0.35">
      <c r="A12" s="50">
        <v>39569</v>
      </c>
      <c r="E12">
        <v>50.6</v>
      </c>
      <c r="G12">
        <v>53.8</v>
      </c>
    </row>
    <row r="13" spans="1:22" x14ac:dyDescent="0.35">
      <c r="A13" s="50">
        <v>39600</v>
      </c>
      <c r="E13">
        <v>49.1</v>
      </c>
      <c r="G13">
        <v>52.1</v>
      </c>
    </row>
    <row r="14" spans="1:22" x14ac:dyDescent="0.35">
      <c r="A14" s="50">
        <v>39630</v>
      </c>
      <c r="E14">
        <v>48.3</v>
      </c>
      <c r="G14">
        <v>53.1</v>
      </c>
    </row>
    <row r="15" spans="1:22" x14ac:dyDescent="0.35">
      <c r="A15" s="50">
        <v>39661</v>
      </c>
      <c r="E15">
        <v>48.5</v>
      </c>
      <c r="F15">
        <v>48</v>
      </c>
      <c r="G15">
        <v>51.4</v>
      </c>
    </row>
    <row r="16" spans="1:22" x14ac:dyDescent="0.35">
      <c r="A16" s="50">
        <v>39692</v>
      </c>
      <c r="E16">
        <v>48.4</v>
      </c>
      <c r="F16">
        <v>50.1</v>
      </c>
      <c r="G16">
        <v>50.2</v>
      </c>
    </row>
    <row r="17" spans="1:7" x14ac:dyDescent="0.35">
      <c r="A17" s="50">
        <v>39722</v>
      </c>
      <c r="E17">
        <v>45.8</v>
      </c>
      <c r="F17">
        <v>47.5</v>
      </c>
      <c r="G17">
        <v>48.3</v>
      </c>
    </row>
    <row r="18" spans="1:7" x14ac:dyDescent="0.35">
      <c r="A18" s="50">
        <v>39753</v>
      </c>
      <c r="E18">
        <v>42.5</v>
      </c>
      <c r="F18">
        <v>46.2</v>
      </c>
      <c r="G18">
        <v>45.1</v>
      </c>
    </row>
    <row r="19" spans="1:7" x14ac:dyDescent="0.35">
      <c r="A19" s="50">
        <v>39783</v>
      </c>
      <c r="E19">
        <v>42.3</v>
      </c>
      <c r="F19">
        <v>44.2</v>
      </c>
      <c r="G19">
        <v>43.1</v>
      </c>
    </row>
    <row r="20" spans="1:7" x14ac:dyDescent="0.35">
      <c r="A20" s="50">
        <v>39814</v>
      </c>
      <c r="E20">
        <v>42.2</v>
      </c>
      <c r="F20">
        <v>42.6</v>
      </c>
      <c r="G20">
        <v>45.2</v>
      </c>
    </row>
    <row r="21" spans="1:7" x14ac:dyDescent="0.35">
      <c r="A21" s="50">
        <v>39845</v>
      </c>
      <c r="E21">
        <v>39.200000000000003</v>
      </c>
      <c r="F21">
        <v>40.200000000000003</v>
      </c>
      <c r="G21">
        <v>41.3</v>
      </c>
    </row>
    <row r="22" spans="1:7" x14ac:dyDescent="0.35">
      <c r="A22" s="50">
        <v>39873</v>
      </c>
      <c r="E22">
        <v>40.9</v>
      </c>
      <c r="F22">
        <v>43.6</v>
      </c>
      <c r="G22">
        <v>42.3</v>
      </c>
    </row>
    <row r="23" spans="1:7" x14ac:dyDescent="0.35">
      <c r="A23" s="50">
        <v>39904</v>
      </c>
      <c r="E23">
        <v>43.8</v>
      </c>
      <c r="F23">
        <v>46.5</v>
      </c>
      <c r="G23">
        <v>43.8</v>
      </c>
    </row>
    <row r="24" spans="1:7" x14ac:dyDescent="0.35">
      <c r="A24" s="50">
        <v>39934</v>
      </c>
      <c r="E24">
        <v>44.8</v>
      </c>
      <c r="F24">
        <v>48.3</v>
      </c>
      <c r="G24">
        <v>45.2</v>
      </c>
    </row>
    <row r="25" spans="1:7" x14ac:dyDescent="0.35">
      <c r="A25" s="50">
        <v>39965</v>
      </c>
      <c r="E25">
        <v>44.7</v>
      </c>
      <c r="F25">
        <v>47.2</v>
      </c>
      <c r="G25">
        <v>45.2</v>
      </c>
    </row>
    <row r="26" spans="1:7" x14ac:dyDescent="0.35">
      <c r="A26" s="50">
        <v>39995</v>
      </c>
      <c r="E26">
        <v>45.7</v>
      </c>
      <c r="F26">
        <v>45.5</v>
      </c>
      <c r="G26">
        <v>48.1</v>
      </c>
    </row>
    <row r="27" spans="1:7" x14ac:dyDescent="0.35">
      <c r="A27" s="50">
        <v>40026</v>
      </c>
      <c r="E27">
        <v>49.9</v>
      </c>
      <c r="F27">
        <v>49.3</v>
      </c>
      <c r="G27">
        <v>53.8</v>
      </c>
    </row>
    <row r="28" spans="1:7" x14ac:dyDescent="0.35">
      <c r="A28" s="50">
        <v>40057</v>
      </c>
      <c r="E28">
        <v>50.9</v>
      </c>
      <c r="F28">
        <v>53.2</v>
      </c>
      <c r="G28">
        <v>52.2</v>
      </c>
    </row>
    <row r="29" spans="1:7" x14ac:dyDescent="0.35">
      <c r="A29" s="50">
        <v>40087</v>
      </c>
      <c r="E29">
        <v>52.6</v>
      </c>
      <c r="F29">
        <v>57.7</v>
      </c>
      <c r="G29">
        <v>50.7</v>
      </c>
    </row>
    <row r="30" spans="1:7" x14ac:dyDescent="0.35">
      <c r="A30" s="50">
        <v>40118</v>
      </c>
      <c r="E30">
        <v>53</v>
      </c>
      <c r="F30">
        <v>60.9</v>
      </c>
      <c r="G30">
        <v>51.4</v>
      </c>
    </row>
    <row r="31" spans="1:7" x14ac:dyDescent="0.35">
      <c r="A31" s="50">
        <v>40148</v>
      </c>
      <c r="E31">
        <v>52.9</v>
      </c>
      <c r="F31">
        <v>58.2</v>
      </c>
      <c r="G31">
        <v>52.1</v>
      </c>
    </row>
    <row r="32" spans="1:7" x14ac:dyDescent="0.35">
      <c r="A32" s="50">
        <v>40179</v>
      </c>
      <c r="E32">
        <v>52.5</v>
      </c>
      <c r="F32">
        <v>56.3</v>
      </c>
      <c r="G32">
        <v>52.2</v>
      </c>
    </row>
    <row r="33" spans="1:21" x14ac:dyDescent="0.35">
      <c r="A33" s="50">
        <v>40210</v>
      </c>
      <c r="E33">
        <v>51.8</v>
      </c>
      <c r="F33">
        <v>54.6</v>
      </c>
      <c r="G33">
        <v>51.9</v>
      </c>
    </row>
    <row r="34" spans="1:21" x14ac:dyDescent="0.35">
      <c r="A34" s="50">
        <v>40238</v>
      </c>
      <c r="E34">
        <v>54.1</v>
      </c>
      <c r="F34">
        <v>53.8</v>
      </c>
      <c r="G34">
        <v>54.9</v>
      </c>
    </row>
    <row r="35" spans="1:21" x14ac:dyDescent="0.35">
      <c r="A35" s="50">
        <v>40269</v>
      </c>
      <c r="E35">
        <v>55.6</v>
      </c>
      <c r="F35">
        <v>59.2</v>
      </c>
      <c r="G35">
        <v>53.7</v>
      </c>
    </row>
    <row r="36" spans="1:21" x14ac:dyDescent="0.35">
      <c r="A36" s="50">
        <v>40299</v>
      </c>
      <c r="E36">
        <v>56.2</v>
      </c>
      <c r="F36">
        <v>61.4</v>
      </c>
      <c r="G36">
        <v>54.8</v>
      </c>
    </row>
    <row r="37" spans="1:21" x14ac:dyDescent="0.35">
      <c r="A37" s="50">
        <v>40330</v>
      </c>
      <c r="E37">
        <v>55.5</v>
      </c>
      <c r="F37">
        <v>60.8</v>
      </c>
      <c r="G37">
        <v>54.8</v>
      </c>
    </row>
    <row r="38" spans="1:21" x14ac:dyDescent="0.35">
      <c r="A38" s="50">
        <v>40360</v>
      </c>
      <c r="E38">
        <v>55.8</v>
      </c>
      <c r="F38">
        <v>61.1</v>
      </c>
      <c r="G38">
        <v>56.5</v>
      </c>
    </row>
    <row r="39" spans="1:21" x14ac:dyDescent="0.35">
      <c r="A39" s="50">
        <v>40391</v>
      </c>
      <c r="E39">
        <v>55.9</v>
      </c>
      <c r="F39">
        <v>60.4</v>
      </c>
      <c r="G39">
        <v>57.2</v>
      </c>
    </row>
    <row r="40" spans="1:21" x14ac:dyDescent="0.35">
      <c r="A40" s="50">
        <v>40422</v>
      </c>
      <c r="E40">
        <v>54.1</v>
      </c>
      <c r="F40">
        <v>58.2</v>
      </c>
      <c r="G40">
        <v>54.9</v>
      </c>
    </row>
    <row r="41" spans="1:21" x14ac:dyDescent="0.35">
      <c r="A41" s="50">
        <v>40452</v>
      </c>
      <c r="B41">
        <v>50.7</v>
      </c>
      <c r="C41">
        <v>51.8</v>
      </c>
      <c r="D41">
        <v>60.5</v>
      </c>
      <c r="E41">
        <v>53.3</v>
      </c>
      <c r="F41">
        <v>54.8</v>
      </c>
      <c r="G41">
        <v>56</v>
      </c>
      <c r="H41">
        <v>54.6</v>
      </c>
      <c r="I41">
        <v>58.4</v>
      </c>
      <c r="J41">
        <v>50.9</v>
      </c>
      <c r="K41">
        <v>51</v>
      </c>
      <c r="L41">
        <v>47.2</v>
      </c>
      <c r="P41">
        <v>54.7</v>
      </c>
      <c r="Q41">
        <v>46.5</v>
      </c>
      <c r="U41">
        <v>53.2</v>
      </c>
    </row>
    <row r="42" spans="1:21" x14ac:dyDescent="0.35">
      <c r="A42" s="50">
        <v>40483</v>
      </c>
      <c r="B42">
        <v>46.2</v>
      </c>
      <c r="C42">
        <v>52.1</v>
      </c>
      <c r="D42">
        <v>53.2</v>
      </c>
      <c r="E42">
        <v>55.4</v>
      </c>
      <c r="F42">
        <v>55</v>
      </c>
      <c r="G42">
        <v>59.2</v>
      </c>
      <c r="H42">
        <v>54.8</v>
      </c>
      <c r="I42">
        <v>61.3</v>
      </c>
      <c r="J42">
        <v>50.8</v>
      </c>
      <c r="K42">
        <v>54.4</v>
      </c>
      <c r="L42">
        <v>49.5</v>
      </c>
      <c r="P42">
        <v>54.1</v>
      </c>
      <c r="Q42">
        <v>48.3</v>
      </c>
      <c r="U42">
        <v>53</v>
      </c>
    </row>
    <row r="43" spans="1:21" x14ac:dyDescent="0.35">
      <c r="A43" s="50">
        <v>40513</v>
      </c>
      <c r="B43">
        <v>47.1</v>
      </c>
      <c r="C43">
        <v>50.2</v>
      </c>
      <c r="D43">
        <v>48.1</v>
      </c>
      <c r="E43">
        <v>56.5</v>
      </c>
      <c r="F43">
        <v>57.1</v>
      </c>
      <c r="G43">
        <v>59.5</v>
      </c>
      <c r="H43">
        <v>56.3</v>
      </c>
      <c r="I43">
        <v>62.1</v>
      </c>
      <c r="J43">
        <v>52.1</v>
      </c>
      <c r="K43">
        <v>52.1</v>
      </c>
      <c r="L43">
        <v>50.1</v>
      </c>
      <c r="P43">
        <v>53.4</v>
      </c>
      <c r="Q43">
        <v>49.1</v>
      </c>
      <c r="U43">
        <v>53.9</v>
      </c>
    </row>
    <row r="44" spans="1:21" x14ac:dyDescent="0.35">
      <c r="A44" s="50">
        <v>40544</v>
      </c>
      <c r="B44">
        <v>45.5</v>
      </c>
      <c r="C44">
        <v>51.2</v>
      </c>
      <c r="D44">
        <v>46.5</v>
      </c>
      <c r="E44">
        <v>55.9</v>
      </c>
      <c r="F44">
        <v>58.3</v>
      </c>
      <c r="G44">
        <v>60.3</v>
      </c>
      <c r="H44">
        <v>57.1</v>
      </c>
      <c r="I44">
        <v>59.4</v>
      </c>
      <c r="J44">
        <v>53.6</v>
      </c>
      <c r="K44">
        <v>53.5</v>
      </c>
      <c r="L44">
        <v>48.1</v>
      </c>
      <c r="P44">
        <v>52.4</v>
      </c>
      <c r="Q44">
        <v>50.1</v>
      </c>
      <c r="U44">
        <v>54.5</v>
      </c>
    </row>
    <row r="45" spans="1:21" x14ac:dyDescent="0.35">
      <c r="A45" s="50">
        <v>40575</v>
      </c>
      <c r="B45">
        <v>48.7</v>
      </c>
      <c r="C45">
        <v>52.7</v>
      </c>
      <c r="D45">
        <v>44.1</v>
      </c>
      <c r="E45">
        <v>56.8</v>
      </c>
      <c r="F45">
        <v>59.7</v>
      </c>
      <c r="G45">
        <v>58.6</v>
      </c>
      <c r="H45">
        <v>59.3</v>
      </c>
      <c r="I45">
        <v>61</v>
      </c>
      <c r="J45">
        <v>55.1</v>
      </c>
      <c r="K45">
        <v>53.1</v>
      </c>
      <c r="L45">
        <v>49.8</v>
      </c>
      <c r="P45">
        <v>53.4</v>
      </c>
      <c r="Q45">
        <v>50.8</v>
      </c>
      <c r="U45">
        <v>52.6</v>
      </c>
    </row>
    <row r="46" spans="1:21" x14ac:dyDescent="0.35">
      <c r="A46" s="50">
        <v>40603</v>
      </c>
      <c r="B46">
        <v>46.5</v>
      </c>
      <c r="C46">
        <v>53.5</v>
      </c>
      <c r="D46">
        <v>60.2</v>
      </c>
      <c r="E46">
        <v>57.2</v>
      </c>
      <c r="F46">
        <v>60.4</v>
      </c>
      <c r="G46">
        <v>60.1</v>
      </c>
      <c r="H46">
        <v>54</v>
      </c>
      <c r="I46">
        <v>60</v>
      </c>
      <c r="J46">
        <v>51.1</v>
      </c>
      <c r="K46">
        <v>53.3</v>
      </c>
      <c r="L46">
        <v>35.299999999999997</v>
      </c>
      <c r="P46">
        <v>53.3</v>
      </c>
      <c r="Q46">
        <v>48.7</v>
      </c>
      <c r="U46">
        <v>57.1</v>
      </c>
    </row>
    <row r="47" spans="1:21" x14ac:dyDescent="0.35">
      <c r="A47" s="50">
        <v>40634</v>
      </c>
      <c r="B47">
        <v>51.5</v>
      </c>
      <c r="C47">
        <v>53.2</v>
      </c>
      <c r="D47">
        <v>62.5</v>
      </c>
      <c r="E47">
        <v>56.7</v>
      </c>
      <c r="F47">
        <v>62.9</v>
      </c>
      <c r="G47">
        <v>56.8</v>
      </c>
      <c r="H47">
        <v>51</v>
      </c>
      <c r="I47">
        <v>59.2</v>
      </c>
      <c r="J47">
        <v>50.2</v>
      </c>
      <c r="K47">
        <v>52.2</v>
      </c>
      <c r="L47">
        <v>35</v>
      </c>
      <c r="P47">
        <v>55.8</v>
      </c>
      <c r="Q47">
        <v>50.4</v>
      </c>
      <c r="U47">
        <v>54.3</v>
      </c>
    </row>
    <row r="48" spans="1:21" x14ac:dyDescent="0.35">
      <c r="A48" s="50">
        <v>40664</v>
      </c>
      <c r="B48">
        <v>49.9</v>
      </c>
      <c r="C48">
        <v>53.3</v>
      </c>
      <c r="D48">
        <v>61.9</v>
      </c>
      <c r="E48">
        <v>55.4</v>
      </c>
      <c r="F48">
        <v>62.5</v>
      </c>
      <c r="G48">
        <v>56.1</v>
      </c>
      <c r="H48">
        <v>52.5</v>
      </c>
      <c r="I48">
        <v>57.7</v>
      </c>
      <c r="J48">
        <v>50.5</v>
      </c>
      <c r="K48">
        <v>50.1</v>
      </c>
      <c r="L48">
        <v>43.8</v>
      </c>
      <c r="P48">
        <v>57.6</v>
      </c>
      <c r="Q48">
        <v>50.9</v>
      </c>
      <c r="U48">
        <v>53.8</v>
      </c>
    </row>
    <row r="49" spans="1:21" x14ac:dyDescent="0.35">
      <c r="A49" s="50">
        <v>40695</v>
      </c>
      <c r="B49">
        <v>48.5</v>
      </c>
      <c r="C49">
        <v>52.1</v>
      </c>
      <c r="D49">
        <v>57</v>
      </c>
      <c r="E49">
        <v>53.7</v>
      </c>
      <c r="F49">
        <v>56.1</v>
      </c>
      <c r="G49">
        <v>56.7</v>
      </c>
      <c r="H49">
        <v>52.1</v>
      </c>
      <c r="I49">
        <v>56.1</v>
      </c>
      <c r="J49">
        <v>52.4</v>
      </c>
      <c r="K49">
        <v>47.4</v>
      </c>
      <c r="L49">
        <v>45.4</v>
      </c>
      <c r="P49">
        <v>55.1</v>
      </c>
      <c r="Q49">
        <v>50.2</v>
      </c>
      <c r="U49">
        <v>53.9</v>
      </c>
    </row>
    <row r="50" spans="1:21" x14ac:dyDescent="0.35">
      <c r="A50" s="50">
        <v>40725</v>
      </c>
      <c r="B50">
        <v>48.8</v>
      </c>
      <c r="C50">
        <v>53.7</v>
      </c>
      <c r="D50">
        <v>59.6</v>
      </c>
      <c r="E50">
        <v>51.6</v>
      </c>
      <c r="F50">
        <v>54.2</v>
      </c>
      <c r="G50">
        <v>52.9</v>
      </c>
      <c r="H50">
        <v>53.1</v>
      </c>
      <c r="I50">
        <v>58.2</v>
      </c>
      <c r="J50">
        <v>51.7</v>
      </c>
      <c r="K50">
        <v>48.6</v>
      </c>
      <c r="L50">
        <v>45.3</v>
      </c>
      <c r="P50">
        <v>56.9</v>
      </c>
      <c r="Q50">
        <v>46.5</v>
      </c>
      <c r="U50">
        <v>55.4</v>
      </c>
    </row>
    <row r="51" spans="1:21" x14ac:dyDescent="0.35">
      <c r="A51" s="50">
        <v>40756</v>
      </c>
      <c r="B51">
        <v>52.1</v>
      </c>
      <c r="C51">
        <v>52.1</v>
      </c>
      <c r="D51">
        <v>58.1</v>
      </c>
      <c r="E51">
        <v>51.5</v>
      </c>
      <c r="F51">
        <v>52.3</v>
      </c>
      <c r="G51">
        <v>51.1</v>
      </c>
      <c r="H51">
        <v>52.4</v>
      </c>
      <c r="I51">
        <v>56.7</v>
      </c>
      <c r="J51">
        <v>51.1</v>
      </c>
      <c r="K51">
        <v>48.4</v>
      </c>
      <c r="L51">
        <v>44.1</v>
      </c>
      <c r="P51">
        <v>55.1</v>
      </c>
      <c r="Q51">
        <v>45.2</v>
      </c>
      <c r="U51">
        <v>51.1</v>
      </c>
    </row>
    <row r="52" spans="1:21" x14ac:dyDescent="0.35">
      <c r="A52" s="50">
        <v>40787</v>
      </c>
      <c r="B52">
        <v>50.3</v>
      </c>
      <c r="C52">
        <v>50.5</v>
      </c>
      <c r="D52">
        <v>57</v>
      </c>
      <c r="E52">
        <v>48.8</v>
      </c>
      <c r="F52">
        <v>51.5</v>
      </c>
      <c r="G52">
        <v>49.7</v>
      </c>
      <c r="H52">
        <v>52.6</v>
      </c>
      <c r="I52">
        <v>49.8</v>
      </c>
      <c r="J52">
        <v>51.3</v>
      </c>
      <c r="K52">
        <v>45.8</v>
      </c>
      <c r="L52">
        <v>46.4</v>
      </c>
      <c r="P52">
        <v>53.3</v>
      </c>
      <c r="Q52">
        <v>44.8</v>
      </c>
      <c r="U52">
        <v>52.9</v>
      </c>
    </row>
    <row r="53" spans="1:21" x14ac:dyDescent="0.35">
      <c r="A53" s="50">
        <v>40817</v>
      </c>
      <c r="B53">
        <v>48.8</v>
      </c>
      <c r="C53">
        <v>53.6</v>
      </c>
      <c r="D53">
        <v>54.6</v>
      </c>
      <c r="E53">
        <v>46.4</v>
      </c>
      <c r="F53">
        <v>44.6</v>
      </c>
      <c r="G53">
        <v>50.6</v>
      </c>
      <c r="H53">
        <v>51.8</v>
      </c>
      <c r="I53">
        <v>49.1</v>
      </c>
      <c r="J53">
        <v>51.5</v>
      </c>
      <c r="K53">
        <v>43.9</v>
      </c>
      <c r="L53">
        <v>52.3</v>
      </c>
      <c r="P53">
        <v>53.5</v>
      </c>
      <c r="Q53">
        <v>41.8</v>
      </c>
      <c r="U53">
        <v>51.3</v>
      </c>
    </row>
    <row r="54" spans="1:21" x14ac:dyDescent="0.35">
      <c r="A54" s="50">
        <v>40848</v>
      </c>
      <c r="B54">
        <v>47.7</v>
      </c>
      <c r="C54">
        <v>52.6</v>
      </c>
      <c r="D54">
        <v>49.7</v>
      </c>
      <c r="E54">
        <v>47.5</v>
      </c>
      <c r="F54">
        <v>49.6</v>
      </c>
      <c r="G54">
        <v>50.3</v>
      </c>
      <c r="H54">
        <v>52.6</v>
      </c>
      <c r="I54">
        <v>53.2</v>
      </c>
      <c r="J54">
        <v>52.7</v>
      </c>
      <c r="K54">
        <v>45.8</v>
      </c>
      <c r="L54">
        <v>49.5</v>
      </c>
      <c r="P54">
        <v>54.8</v>
      </c>
      <c r="Q54">
        <v>36.799999999999997</v>
      </c>
      <c r="U54">
        <v>52.1</v>
      </c>
    </row>
    <row r="55" spans="1:21" x14ac:dyDescent="0.35">
      <c r="A55" s="50">
        <v>40878</v>
      </c>
      <c r="B55">
        <v>49</v>
      </c>
      <c r="C55">
        <v>54.8</v>
      </c>
      <c r="D55">
        <v>56</v>
      </c>
      <c r="E55">
        <v>48.8</v>
      </c>
      <c r="F55">
        <v>50.3</v>
      </c>
      <c r="G55">
        <v>52.4</v>
      </c>
      <c r="H55">
        <v>53.2</v>
      </c>
      <c r="I55">
        <v>54.2</v>
      </c>
      <c r="J55">
        <v>48.4</v>
      </c>
      <c r="K55">
        <v>44.5</v>
      </c>
      <c r="L55">
        <v>50.4</v>
      </c>
      <c r="P55">
        <v>53.8</v>
      </c>
      <c r="Q55">
        <v>42.1</v>
      </c>
      <c r="U55">
        <v>54</v>
      </c>
    </row>
    <row r="56" spans="1:21" x14ac:dyDescent="0.35">
      <c r="A56" s="50">
        <v>40909</v>
      </c>
      <c r="B56">
        <v>51.9</v>
      </c>
      <c r="C56">
        <v>55</v>
      </c>
      <c r="D56">
        <v>52.5</v>
      </c>
      <c r="E56">
        <v>50.4</v>
      </c>
      <c r="F56">
        <v>52.3</v>
      </c>
      <c r="G56">
        <v>53.7</v>
      </c>
      <c r="H56">
        <v>55.4</v>
      </c>
      <c r="I56">
        <v>55.1</v>
      </c>
      <c r="J56">
        <v>48.3</v>
      </c>
      <c r="K56">
        <v>44.8</v>
      </c>
      <c r="L56">
        <v>51</v>
      </c>
      <c r="P56">
        <v>56.5</v>
      </c>
      <c r="Q56">
        <v>46.1</v>
      </c>
      <c r="U56">
        <v>56</v>
      </c>
    </row>
    <row r="57" spans="1:21" x14ac:dyDescent="0.35">
      <c r="A57" s="50">
        <v>40940</v>
      </c>
      <c r="B57">
        <v>46.7</v>
      </c>
      <c r="C57">
        <v>57.1</v>
      </c>
      <c r="D57">
        <v>53.9</v>
      </c>
      <c r="E57">
        <v>48.8</v>
      </c>
      <c r="F57">
        <v>50</v>
      </c>
      <c r="G57">
        <v>52.8</v>
      </c>
      <c r="H57">
        <v>56.5</v>
      </c>
      <c r="I57">
        <v>53.4</v>
      </c>
      <c r="J57">
        <v>53.3</v>
      </c>
      <c r="K57">
        <v>44.1</v>
      </c>
      <c r="L57">
        <v>51.2</v>
      </c>
      <c r="P57">
        <v>55.3</v>
      </c>
      <c r="Q57">
        <v>41.9</v>
      </c>
      <c r="U57">
        <v>53.8</v>
      </c>
    </row>
    <row r="58" spans="1:21" x14ac:dyDescent="0.35">
      <c r="A58" s="50">
        <v>40969</v>
      </c>
      <c r="B58">
        <v>47</v>
      </c>
      <c r="C58">
        <v>53.8</v>
      </c>
      <c r="D58">
        <v>53.3</v>
      </c>
      <c r="E58">
        <v>47.9</v>
      </c>
      <c r="F58">
        <v>50.1</v>
      </c>
      <c r="G58">
        <v>52.1</v>
      </c>
      <c r="H58">
        <v>54.3</v>
      </c>
      <c r="I58">
        <v>54.1</v>
      </c>
      <c r="J58">
        <v>52.1</v>
      </c>
      <c r="K58">
        <v>44.3</v>
      </c>
      <c r="L58">
        <v>53.7</v>
      </c>
      <c r="P58">
        <v>54.4</v>
      </c>
      <c r="Q58">
        <v>46.3</v>
      </c>
      <c r="U58">
        <v>55.3</v>
      </c>
    </row>
    <row r="59" spans="1:21" x14ac:dyDescent="0.35">
      <c r="A59" s="50">
        <v>41000</v>
      </c>
      <c r="B59">
        <v>39.6</v>
      </c>
      <c r="C59">
        <v>54.4</v>
      </c>
      <c r="D59">
        <v>54.1</v>
      </c>
      <c r="E59">
        <v>46.9</v>
      </c>
      <c r="F59">
        <v>45.2</v>
      </c>
      <c r="G59">
        <v>52.2</v>
      </c>
      <c r="H59">
        <v>53.2</v>
      </c>
      <c r="I59">
        <v>52.3</v>
      </c>
      <c r="J59">
        <v>52.2</v>
      </c>
      <c r="K59">
        <v>42.3</v>
      </c>
      <c r="L59">
        <v>51</v>
      </c>
      <c r="P59">
        <v>52.6</v>
      </c>
      <c r="Q59">
        <v>42.1</v>
      </c>
      <c r="U59">
        <v>53.3</v>
      </c>
    </row>
    <row r="60" spans="1:21" x14ac:dyDescent="0.35">
      <c r="A60" s="50">
        <v>41030</v>
      </c>
      <c r="B60">
        <v>43.5</v>
      </c>
      <c r="C60">
        <v>49.7</v>
      </c>
      <c r="D60">
        <v>54.7</v>
      </c>
      <c r="E60">
        <v>46.7</v>
      </c>
      <c r="F60">
        <v>45.1</v>
      </c>
      <c r="G60">
        <v>51.8</v>
      </c>
      <c r="H60">
        <v>53.3</v>
      </c>
      <c r="I60">
        <v>52.8</v>
      </c>
      <c r="J60">
        <v>48.9</v>
      </c>
      <c r="K60">
        <v>42.8</v>
      </c>
      <c r="L60">
        <v>50.5</v>
      </c>
      <c r="P60">
        <v>54.9</v>
      </c>
      <c r="Q60">
        <v>41.8</v>
      </c>
      <c r="U60">
        <v>53.3</v>
      </c>
    </row>
    <row r="61" spans="1:21" x14ac:dyDescent="0.35">
      <c r="A61" s="50">
        <v>41061</v>
      </c>
      <c r="B61">
        <v>48.8</v>
      </c>
      <c r="C61">
        <v>53</v>
      </c>
      <c r="D61">
        <v>52.3</v>
      </c>
      <c r="E61">
        <v>47.1</v>
      </c>
      <c r="F61">
        <v>47.9</v>
      </c>
      <c r="G61">
        <v>49.9</v>
      </c>
      <c r="H61">
        <v>50.1</v>
      </c>
      <c r="I61">
        <v>54.7</v>
      </c>
      <c r="J61">
        <v>49.7</v>
      </c>
      <c r="K61">
        <v>43.1</v>
      </c>
      <c r="L61">
        <v>49.5</v>
      </c>
      <c r="P61">
        <v>53.2</v>
      </c>
      <c r="Q61">
        <v>43.4</v>
      </c>
      <c r="U61">
        <v>51.3</v>
      </c>
    </row>
    <row r="62" spans="1:21" x14ac:dyDescent="0.35">
      <c r="A62" s="50">
        <v>41091</v>
      </c>
      <c r="B62">
        <v>46.5</v>
      </c>
      <c r="C62">
        <v>48.9</v>
      </c>
      <c r="D62">
        <v>53.1</v>
      </c>
      <c r="E62">
        <v>47.9</v>
      </c>
      <c r="F62">
        <v>50</v>
      </c>
      <c r="G62">
        <v>50.3</v>
      </c>
      <c r="H62">
        <v>49.2</v>
      </c>
      <c r="I62">
        <v>54.3</v>
      </c>
      <c r="J62">
        <v>49.1</v>
      </c>
      <c r="K62">
        <v>43</v>
      </c>
      <c r="L62">
        <v>48.7</v>
      </c>
      <c r="P62">
        <v>52</v>
      </c>
      <c r="Q62">
        <v>43.7</v>
      </c>
      <c r="U62">
        <v>51.3</v>
      </c>
    </row>
    <row r="63" spans="1:21" x14ac:dyDescent="0.35">
      <c r="A63" s="50">
        <v>41122</v>
      </c>
      <c r="B63">
        <v>42.4</v>
      </c>
      <c r="C63">
        <v>48.1</v>
      </c>
      <c r="D63">
        <v>52</v>
      </c>
      <c r="E63">
        <v>47.2</v>
      </c>
      <c r="F63">
        <v>49.2</v>
      </c>
      <c r="G63">
        <v>48.3</v>
      </c>
      <c r="H63">
        <v>52.4</v>
      </c>
      <c r="I63">
        <v>54.2</v>
      </c>
      <c r="J63">
        <v>51.7</v>
      </c>
      <c r="K63">
        <v>44</v>
      </c>
      <c r="L63">
        <v>47.5</v>
      </c>
      <c r="P63">
        <v>52.6</v>
      </c>
      <c r="Q63">
        <v>44</v>
      </c>
      <c r="U63">
        <v>51</v>
      </c>
    </row>
    <row r="64" spans="1:21" x14ac:dyDescent="0.35">
      <c r="A64" s="50">
        <v>41153</v>
      </c>
      <c r="B64">
        <v>41.9</v>
      </c>
      <c r="C64">
        <v>52.8</v>
      </c>
      <c r="D64">
        <v>54.3</v>
      </c>
      <c r="E64">
        <v>46.1</v>
      </c>
      <c r="F64">
        <v>45</v>
      </c>
      <c r="G64">
        <v>49.7</v>
      </c>
      <c r="H64">
        <v>53.1</v>
      </c>
      <c r="I64">
        <v>55</v>
      </c>
      <c r="J64">
        <v>53.9</v>
      </c>
      <c r="K64">
        <v>44.5</v>
      </c>
      <c r="L64">
        <v>48.8</v>
      </c>
      <c r="P64">
        <v>54.5</v>
      </c>
      <c r="Q64">
        <v>40.200000000000003</v>
      </c>
      <c r="U64">
        <v>53.7</v>
      </c>
    </row>
    <row r="65" spans="1:22" x14ac:dyDescent="0.35">
      <c r="A65" s="50">
        <v>41183</v>
      </c>
      <c r="B65">
        <v>42.8</v>
      </c>
      <c r="C65">
        <v>50.4</v>
      </c>
      <c r="D65">
        <v>53.5</v>
      </c>
      <c r="E65">
        <v>46</v>
      </c>
      <c r="F65">
        <v>44.6</v>
      </c>
      <c r="G65">
        <v>48.4</v>
      </c>
      <c r="H65">
        <v>53.6</v>
      </c>
      <c r="I65">
        <v>55.8</v>
      </c>
      <c r="J65">
        <v>56.1</v>
      </c>
      <c r="K65">
        <v>46</v>
      </c>
      <c r="L65">
        <v>49.7</v>
      </c>
      <c r="P65">
        <v>57.3</v>
      </c>
      <c r="Q65">
        <v>41.2</v>
      </c>
      <c r="U65">
        <v>52.2</v>
      </c>
    </row>
    <row r="66" spans="1:22" x14ac:dyDescent="0.35">
      <c r="A66" s="50">
        <v>41214</v>
      </c>
      <c r="B66">
        <v>47.1</v>
      </c>
      <c r="C66">
        <v>52.5</v>
      </c>
      <c r="D66">
        <v>52.1</v>
      </c>
      <c r="E66">
        <v>46.7</v>
      </c>
      <c r="F66">
        <v>45.8</v>
      </c>
      <c r="G66">
        <v>49.7</v>
      </c>
      <c r="H66">
        <v>54.8</v>
      </c>
      <c r="I66">
        <v>53.8</v>
      </c>
      <c r="J66">
        <v>56.1</v>
      </c>
      <c r="K66">
        <v>44.6</v>
      </c>
      <c r="L66">
        <v>49.1</v>
      </c>
      <c r="P66">
        <v>57.1</v>
      </c>
      <c r="Q66">
        <v>42.4</v>
      </c>
      <c r="U66">
        <v>50.6</v>
      </c>
    </row>
    <row r="67" spans="1:22" x14ac:dyDescent="0.35">
      <c r="A67" s="50">
        <v>41244</v>
      </c>
      <c r="B67">
        <v>46.3</v>
      </c>
      <c r="C67">
        <v>53.2</v>
      </c>
      <c r="D67">
        <v>53.5</v>
      </c>
      <c r="E67">
        <v>47.2</v>
      </c>
      <c r="F67">
        <v>44.1</v>
      </c>
      <c r="G67">
        <v>55.7</v>
      </c>
      <c r="H67">
        <v>54.8</v>
      </c>
      <c r="I67">
        <v>52.1</v>
      </c>
      <c r="J67">
        <v>56.5</v>
      </c>
      <c r="K67">
        <v>43.1</v>
      </c>
      <c r="L67">
        <v>50.1</v>
      </c>
      <c r="P67">
        <v>56.1</v>
      </c>
      <c r="Q67">
        <v>44.1</v>
      </c>
      <c r="U67">
        <v>50.2</v>
      </c>
    </row>
    <row r="68" spans="1:22" x14ac:dyDescent="0.35">
      <c r="A68" s="50">
        <v>41275</v>
      </c>
      <c r="B68">
        <v>45.4</v>
      </c>
      <c r="C68">
        <v>54.5</v>
      </c>
      <c r="D68">
        <v>54</v>
      </c>
      <c r="E68">
        <v>48.6</v>
      </c>
      <c r="F68">
        <v>43.6</v>
      </c>
      <c r="G68">
        <v>54.7</v>
      </c>
      <c r="H68">
        <v>53.6</v>
      </c>
      <c r="I68">
        <v>57.5</v>
      </c>
      <c r="J68">
        <v>56.8</v>
      </c>
      <c r="K68">
        <v>43.9</v>
      </c>
      <c r="L68">
        <v>50.4</v>
      </c>
      <c r="P68">
        <v>55.7</v>
      </c>
      <c r="Q68">
        <v>47</v>
      </c>
      <c r="U68">
        <v>51.5</v>
      </c>
    </row>
    <row r="69" spans="1:22" x14ac:dyDescent="0.35">
      <c r="A69" s="50">
        <v>41306</v>
      </c>
      <c r="B69">
        <v>48.5</v>
      </c>
      <c r="C69">
        <v>52.1</v>
      </c>
      <c r="D69">
        <v>52.1</v>
      </c>
      <c r="E69">
        <v>47.9</v>
      </c>
      <c r="F69">
        <v>43.7</v>
      </c>
      <c r="G69">
        <v>50.9</v>
      </c>
      <c r="H69">
        <v>53.2</v>
      </c>
      <c r="I69">
        <v>54.2</v>
      </c>
      <c r="J69">
        <v>53.6</v>
      </c>
      <c r="K69">
        <v>43.6</v>
      </c>
      <c r="L69">
        <v>51.3</v>
      </c>
      <c r="P69">
        <v>56.1</v>
      </c>
      <c r="Q69">
        <v>44.7</v>
      </c>
      <c r="U69">
        <v>51.8</v>
      </c>
    </row>
    <row r="70" spans="1:22" x14ac:dyDescent="0.35">
      <c r="A70" s="50">
        <v>41334</v>
      </c>
      <c r="B70">
        <v>49.6</v>
      </c>
      <c r="C70">
        <v>50.3</v>
      </c>
      <c r="D70">
        <v>54.3</v>
      </c>
      <c r="E70">
        <v>46.4</v>
      </c>
      <c r="F70">
        <v>41.3</v>
      </c>
      <c r="G70">
        <v>49.6</v>
      </c>
      <c r="H70">
        <v>53.4</v>
      </c>
      <c r="I70">
        <v>51.4</v>
      </c>
      <c r="J70">
        <v>52.3</v>
      </c>
      <c r="K70">
        <v>45.5</v>
      </c>
      <c r="L70">
        <v>53.4</v>
      </c>
      <c r="P70">
        <v>54.6</v>
      </c>
      <c r="Q70">
        <v>45.3</v>
      </c>
      <c r="U70">
        <v>52.4</v>
      </c>
    </row>
    <row r="71" spans="1:22" x14ac:dyDescent="0.35">
      <c r="A71" s="50">
        <v>41365</v>
      </c>
      <c r="B71">
        <v>44.1</v>
      </c>
      <c r="C71">
        <v>51</v>
      </c>
      <c r="D71">
        <v>51.1</v>
      </c>
      <c r="E71">
        <v>47</v>
      </c>
      <c r="F71">
        <v>44.3</v>
      </c>
      <c r="G71">
        <v>49.7</v>
      </c>
      <c r="H71">
        <v>52.1</v>
      </c>
      <c r="I71">
        <v>50.7</v>
      </c>
      <c r="J71">
        <v>55.2</v>
      </c>
      <c r="K71">
        <v>47</v>
      </c>
      <c r="L71">
        <v>52.5</v>
      </c>
      <c r="P71">
        <v>53</v>
      </c>
      <c r="Q71">
        <v>44.4</v>
      </c>
      <c r="U71">
        <v>52.9</v>
      </c>
    </row>
    <row r="72" spans="1:22" x14ac:dyDescent="0.35">
      <c r="A72" s="50">
        <v>41395</v>
      </c>
      <c r="B72">
        <v>40.6</v>
      </c>
      <c r="C72">
        <v>51</v>
      </c>
      <c r="D72">
        <v>51.2</v>
      </c>
      <c r="E72">
        <v>47.2</v>
      </c>
      <c r="F72">
        <v>44.3</v>
      </c>
      <c r="G72">
        <v>50.4</v>
      </c>
      <c r="H72">
        <v>53.7</v>
      </c>
      <c r="I72">
        <v>53.6</v>
      </c>
      <c r="J72">
        <v>52.7</v>
      </c>
      <c r="K72">
        <v>46.5</v>
      </c>
      <c r="L72">
        <v>54.8</v>
      </c>
      <c r="P72">
        <v>51.4</v>
      </c>
      <c r="Q72">
        <v>47.3</v>
      </c>
      <c r="U72">
        <v>54.9</v>
      </c>
    </row>
    <row r="73" spans="1:22" x14ac:dyDescent="0.35">
      <c r="A73" s="50">
        <v>41426</v>
      </c>
      <c r="B73">
        <v>41.5</v>
      </c>
      <c r="C73">
        <v>50.3</v>
      </c>
      <c r="D73">
        <v>51.3</v>
      </c>
      <c r="E73">
        <v>48.3</v>
      </c>
      <c r="F73">
        <v>47.2</v>
      </c>
      <c r="G73">
        <v>51.3</v>
      </c>
      <c r="H73">
        <v>51.3</v>
      </c>
      <c r="I73">
        <v>51.7</v>
      </c>
      <c r="J73">
        <v>61.6</v>
      </c>
      <c r="K73">
        <v>45.8</v>
      </c>
      <c r="L73">
        <v>52.1</v>
      </c>
      <c r="P73">
        <v>48.8</v>
      </c>
      <c r="Q73">
        <v>47.8</v>
      </c>
      <c r="U73">
        <v>56.9</v>
      </c>
    </row>
    <row r="74" spans="1:22" x14ac:dyDescent="0.35">
      <c r="A74" s="50">
        <v>41456</v>
      </c>
      <c r="B74">
        <v>39.4</v>
      </c>
      <c r="C74">
        <v>49.7</v>
      </c>
      <c r="D74">
        <v>51.3</v>
      </c>
      <c r="E74">
        <v>49.8</v>
      </c>
      <c r="F74">
        <v>48.6</v>
      </c>
      <c r="G74">
        <v>52.8</v>
      </c>
      <c r="H74">
        <v>54.9</v>
      </c>
      <c r="I74">
        <v>47.9</v>
      </c>
      <c r="J74">
        <v>59.6</v>
      </c>
      <c r="K74">
        <v>48.7</v>
      </c>
      <c r="L74">
        <v>50.6</v>
      </c>
      <c r="P74">
        <v>48.7</v>
      </c>
      <c r="Q74">
        <v>48.5</v>
      </c>
      <c r="U74">
        <v>60.2</v>
      </c>
    </row>
    <row r="75" spans="1:22" x14ac:dyDescent="0.35">
      <c r="A75" s="50">
        <v>41487</v>
      </c>
      <c r="B75">
        <v>39</v>
      </c>
      <c r="C75">
        <v>50.7</v>
      </c>
      <c r="D75">
        <v>52.8</v>
      </c>
      <c r="E75">
        <v>50.7</v>
      </c>
      <c r="F75">
        <v>48.9</v>
      </c>
      <c r="G75">
        <v>53.7</v>
      </c>
      <c r="H75">
        <v>56</v>
      </c>
      <c r="I75">
        <v>47.6</v>
      </c>
      <c r="J75">
        <v>57.2</v>
      </c>
      <c r="K75">
        <v>48.8</v>
      </c>
      <c r="L75">
        <v>51.2</v>
      </c>
      <c r="P75">
        <v>51.8</v>
      </c>
      <c r="Q75">
        <v>50.5</v>
      </c>
      <c r="U75">
        <v>60.5</v>
      </c>
    </row>
    <row r="76" spans="1:22" x14ac:dyDescent="0.35">
      <c r="A76" s="50">
        <v>41518</v>
      </c>
      <c r="B76">
        <v>47.1</v>
      </c>
      <c r="C76">
        <v>52.1</v>
      </c>
      <c r="D76">
        <v>52.4</v>
      </c>
      <c r="E76">
        <v>52.2</v>
      </c>
      <c r="F76">
        <v>51</v>
      </c>
      <c r="G76">
        <v>52.9</v>
      </c>
      <c r="H76">
        <v>53.6</v>
      </c>
      <c r="I76">
        <v>44.6</v>
      </c>
      <c r="J76">
        <v>56.8</v>
      </c>
      <c r="K76">
        <v>52.7</v>
      </c>
      <c r="L76">
        <v>53</v>
      </c>
      <c r="P76">
        <v>51.5</v>
      </c>
      <c r="Q76">
        <v>49</v>
      </c>
      <c r="U76">
        <v>60.3</v>
      </c>
    </row>
    <row r="77" spans="1:22" x14ac:dyDescent="0.35">
      <c r="A77" s="50">
        <v>41548</v>
      </c>
      <c r="B77">
        <v>47.9</v>
      </c>
      <c r="C77">
        <v>52.3</v>
      </c>
      <c r="D77">
        <v>52.6</v>
      </c>
      <c r="E77">
        <v>51.6</v>
      </c>
      <c r="F77">
        <v>50.9</v>
      </c>
      <c r="G77">
        <v>55.7</v>
      </c>
      <c r="H77">
        <v>51.8</v>
      </c>
      <c r="I77">
        <v>47.1</v>
      </c>
      <c r="J77">
        <v>60.1</v>
      </c>
      <c r="K77">
        <v>50.5</v>
      </c>
      <c r="L77">
        <v>55.3</v>
      </c>
      <c r="P77">
        <v>52.5</v>
      </c>
      <c r="Q77">
        <v>49.6</v>
      </c>
      <c r="U77">
        <v>62.5</v>
      </c>
      <c r="V77">
        <v>49.3</v>
      </c>
    </row>
    <row r="78" spans="1:22" x14ac:dyDescent="0.35">
      <c r="A78" s="50">
        <v>41579</v>
      </c>
      <c r="B78">
        <v>48.9</v>
      </c>
      <c r="C78">
        <v>51.7</v>
      </c>
      <c r="D78">
        <v>52.5</v>
      </c>
      <c r="E78">
        <v>51.2</v>
      </c>
      <c r="F78">
        <v>48</v>
      </c>
      <c r="G78">
        <v>53.5</v>
      </c>
      <c r="H78">
        <v>53.9</v>
      </c>
      <c r="I78">
        <v>47.2</v>
      </c>
      <c r="J78">
        <v>57.1</v>
      </c>
      <c r="K78">
        <v>47.2</v>
      </c>
      <c r="L78">
        <v>51.8</v>
      </c>
      <c r="P78">
        <v>52.9</v>
      </c>
      <c r="Q78">
        <v>51.5</v>
      </c>
      <c r="U78">
        <v>60</v>
      </c>
      <c r="V78">
        <v>55.9</v>
      </c>
    </row>
    <row r="79" spans="1:22" x14ac:dyDescent="0.35">
      <c r="A79" s="50">
        <v>41609</v>
      </c>
      <c r="B79">
        <v>46.1</v>
      </c>
      <c r="C79">
        <v>50.5</v>
      </c>
      <c r="D79">
        <v>51.4</v>
      </c>
      <c r="E79">
        <v>51</v>
      </c>
      <c r="F79">
        <v>48.1</v>
      </c>
      <c r="G79">
        <v>53.1</v>
      </c>
      <c r="H79">
        <v>53.5</v>
      </c>
      <c r="I79">
        <v>47.9</v>
      </c>
      <c r="J79">
        <v>59.3</v>
      </c>
      <c r="K79">
        <v>48.6</v>
      </c>
      <c r="L79">
        <v>52.1</v>
      </c>
      <c r="P79">
        <v>51.4</v>
      </c>
      <c r="Q79">
        <v>53.2</v>
      </c>
      <c r="U79">
        <v>58.8</v>
      </c>
      <c r="V79">
        <v>55.7</v>
      </c>
    </row>
    <row r="80" spans="1:22" x14ac:dyDescent="0.35">
      <c r="A80" s="50">
        <v>41640</v>
      </c>
      <c r="B80">
        <v>49.3</v>
      </c>
      <c r="C80">
        <v>49.6</v>
      </c>
      <c r="D80">
        <v>50.7</v>
      </c>
      <c r="E80">
        <v>51.6</v>
      </c>
      <c r="F80">
        <v>48.9</v>
      </c>
      <c r="G80">
        <v>55.9</v>
      </c>
      <c r="H80">
        <v>53.8</v>
      </c>
      <c r="I80">
        <v>48.3</v>
      </c>
      <c r="J80">
        <v>61.5</v>
      </c>
      <c r="K80">
        <v>49.4</v>
      </c>
      <c r="L80">
        <v>51.2</v>
      </c>
      <c r="P80">
        <v>50.2</v>
      </c>
      <c r="Q80">
        <v>54.9</v>
      </c>
      <c r="U80">
        <v>58.3</v>
      </c>
      <c r="V80">
        <v>56.7</v>
      </c>
    </row>
    <row r="81" spans="1:22" x14ac:dyDescent="0.35">
      <c r="A81" s="50">
        <v>41671</v>
      </c>
      <c r="B81">
        <v>55.2</v>
      </c>
      <c r="C81">
        <v>50.8</v>
      </c>
      <c r="D81">
        <v>51</v>
      </c>
      <c r="E81">
        <v>52.6</v>
      </c>
      <c r="F81">
        <v>47.2</v>
      </c>
      <c r="G81">
        <v>53</v>
      </c>
      <c r="H81">
        <v>52.7</v>
      </c>
      <c r="I81">
        <v>48.8</v>
      </c>
      <c r="J81">
        <v>57.5</v>
      </c>
      <c r="K81">
        <v>52.9</v>
      </c>
      <c r="L81">
        <v>49.3</v>
      </c>
      <c r="P81">
        <v>50.8</v>
      </c>
      <c r="Q81">
        <v>53.7</v>
      </c>
      <c r="U81">
        <v>58.2</v>
      </c>
      <c r="V81">
        <v>53.3</v>
      </c>
    </row>
    <row r="82" spans="1:22" x14ac:dyDescent="0.35">
      <c r="A82" s="50">
        <v>41699</v>
      </c>
      <c r="B82">
        <v>48.9</v>
      </c>
      <c r="C82">
        <v>51</v>
      </c>
      <c r="D82">
        <v>51.9</v>
      </c>
      <c r="E82">
        <v>52.2</v>
      </c>
      <c r="F82">
        <v>51.5</v>
      </c>
      <c r="G82">
        <v>54.7</v>
      </c>
      <c r="H82">
        <v>53.5</v>
      </c>
      <c r="I82">
        <v>47.5</v>
      </c>
      <c r="J82">
        <v>60.7</v>
      </c>
      <c r="K82">
        <v>49.5</v>
      </c>
      <c r="L82">
        <v>52.2</v>
      </c>
      <c r="P82">
        <v>47.7</v>
      </c>
      <c r="Q82">
        <v>54</v>
      </c>
      <c r="U82">
        <v>57.6</v>
      </c>
      <c r="V82">
        <v>55.3</v>
      </c>
    </row>
    <row r="83" spans="1:22" x14ac:dyDescent="0.35">
      <c r="A83" s="50">
        <v>41730</v>
      </c>
      <c r="B83">
        <v>48.6</v>
      </c>
      <c r="C83">
        <v>48.6</v>
      </c>
      <c r="D83">
        <v>51.4</v>
      </c>
      <c r="E83">
        <v>53.1</v>
      </c>
      <c r="F83">
        <v>50.4</v>
      </c>
      <c r="G83">
        <v>56.4</v>
      </c>
      <c r="H83">
        <v>52.7</v>
      </c>
      <c r="I83">
        <v>48.5</v>
      </c>
      <c r="J83">
        <v>61.9</v>
      </c>
      <c r="K83">
        <v>51.1</v>
      </c>
      <c r="L83">
        <v>46.4</v>
      </c>
      <c r="P83">
        <v>46.8</v>
      </c>
      <c r="Q83">
        <v>56.5</v>
      </c>
      <c r="U83">
        <v>58.7</v>
      </c>
      <c r="V83">
        <v>55</v>
      </c>
    </row>
    <row r="84" spans="1:22" x14ac:dyDescent="0.35">
      <c r="A84" s="50">
        <v>41760</v>
      </c>
      <c r="B84">
        <v>49.9</v>
      </c>
      <c r="C84">
        <v>50.6</v>
      </c>
      <c r="D84">
        <v>50.7</v>
      </c>
      <c r="E84">
        <v>53.2</v>
      </c>
      <c r="F84">
        <v>49.1</v>
      </c>
      <c r="G84">
        <v>56</v>
      </c>
      <c r="H84">
        <v>54.6</v>
      </c>
      <c r="I84">
        <v>50.7</v>
      </c>
      <c r="J84">
        <v>61.7</v>
      </c>
      <c r="K84">
        <v>51.6</v>
      </c>
      <c r="L84">
        <v>49.3</v>
      </c>
      <c r="P84">
        <v>46.1</v>
      </c>
      <c r="Q84">
        <v>55.7</v>
      </c>
      <c r="U84">
        <v>58.6</v>
      </c>
      <c r="V84">
        <v>58</v>
      </c>
    </row>
    <row r="85" spans="1:22" x14ac:dyDescent="0.35">
      <c r="A85" s="50">
        <v>41791</v>
      </c>
      <c r="B85">
        <v>47.6</v>
      </c>
      <c r="C85">
        <v>51.4</v>
      </c>
      <c r="D85">
        <v>53.1</v>
      </c>
      <c r="E85">
        <v>52.8</v>
      </c>
      <c r="F85">
        <v>48.2</v>
      </c>
      <c r="G85">
        <v>54.6</v>
      </c>
      <c r="H85">
        <v>55.8</v>
      </c>
      <c r="I85">
        <v>54.4</v>
      </c>
      <c r="J85">
        <v>62.6</v>
      </c>
      <c r="K85">
        <v>53.6</v>
      </c>
      <c r="L85">
        <v>49</v>
      </c>
      <c r="P85">
        <v>49.8</v>
      </c>
      <c r="Q85">
        <v>54.8</v>
      </c>
      <c r="U85">
        <v>57.7</v>
      </c>
      <c r="V85">
        <v>61</v>
      </c>
    </row>
    <row r="86" spans="1:22" x14ac:dyDescent="0.35">
      <c r="A86" s="50">
        <v>41821</v>
      </c>
      <c r="B86">
        <v>49.3</v>
      </c>
      <c r="C86">
        <v>50.2</v>
      </c>
      <c r="D86">
        <v>50</v>
      </c>
      <c r="E86">
        <v>54.2</v>
      </c>
      <c r="F86">
        <v>50.4</v>
      </c>
      <c r="G86">
        <v>56.7</v>
      </c>
      <c r="H86">
        <v>56</v>
      </c>
      <c r="I86">
        <v>52.2</v>
      </c>
      <c r="J86">
        <v>61.3</v>
      </c>
      <c r="K86">
        <v>52.8</v>
      </c>
      <c r="L86">
        <v>50.4</v>
      </c>
      <c r="P86">
        <v>49.7</v>
      </c>
      <c r="Q86">
        <v>56.2</v>
      </c>
      <c r="U86">
        <v>59.1</v>
      </c>
      <c r="V86">
        <v>60.8</v>
      </c>
    </row>
    <row r="87" spans="1:22" x14ac:dyDescent="0.35">
      <c r="A87" s="50">
        <v>41852</v>
      </c>
      <c r="B87">
        <v>49.4</v>
      </c>
      <c r="C87">
        <v>49.2</v>
      </c>
      <c r="D87">
        <v>54.1</v>
      </c>
      <c r="E87">
        <v>53.1</v>
      </c>
      <c r="F87">
        <v>50.3</v>
      </c>
      <c r="G87">
        <v>54.9</v>
      </c>
      <c r="H87">
        <v>55.5</v>
      </c>
      <c r="I87">
        <v>50.6</v>
      </c>
      <c r="J87">
        <v>62.4</v>
      </c>
      <c r="K87">
        <v>49.8</v>
      </c>
      <c r="L87">
        <v>49.9</v>
      </c>
      <c r="P87">
        <v>50.3</v>
      </c>
      <c r="Q87">
        <v>58.1</v>
      </c>
      <c r="U87">
        <v>60.5</v>
      </c>
      <c r="V87">
        <v>59.5</v>
      </c>
    </row>
    <row r="88" spans="1:22" x14ac:dyDescent="0.35">
      <c r="A88" s="50">
        <v>41883</v>
      </c>
      <c r="B88">
        <v>45.5</v>
      </c>
      <c r="C88">
        <v>51.2</v>
      </c>
      <c r="D88">
        <v>53.5</v>
      </c>
      <c r="E88">
        <v>52.4</v>
      </c>
      <c r="F88">
        <v>48.4</v>
      </c>
      <c r="G88">
        <v>55.7</v>
      </c>
      <c r="H88">
        <v>55.3</v>
      </c>
      <c r="I88">
        <v>51.6</v>
      </c>
      <c r="J88">
        <v>62.5</v>
      </c>
      <c r="K88">
        <v>48.8</v>
      </c>
      <c r="L88">
        <v>52.5</v>
      </c>
      <c r="P88">
        <v>50.5</v>
      </c>
      <c r="Q88">
        <v>55.8</v>
      </c>
      <c r="U88">
        <v>58.7</v>
      </c>
      <c r="V88">
        <v>58.9</v>
      </c>
    </row>
    <row r="89" spans="1:22" x14ac:dyDescent="0.35">
      <c r="A89" s="50">
        <v>41913</v>
      </c>
      <c r="B89">
        <v>43.6</v>
      </c>
      <c r="C89">
        <v>48.2</v>
      </c>
      <c r="D89">
        <v>52.9</v>
      </c>
      <c r="E89">
        <v>52.3</v>
      </c>
      <c r="F89">
        <v>48.3</v>
      </c>
      <c r="G89">
        <v>54.4</v>
      </c>
      <c r="H89">
        <v>53.7</v>
      </c>
      <c r="I89">
        <v>50</v>
      </c>
      <c r="J89">
        <v>61.5</v>
      </c>
      <c r="K89">
        <v>50.8</v>
      </c>
      <c r="L89">
        <v>48.7</v>
      </c>
      <c r="P89">
        <v>47.4</v>
      </c>
      <c r="Q89">
        <v>55.9</v>
      </c>
      <c r="U89">
        <v>56.2</v>
      </c>
      <c r="V89">
        <v>57.1</v>
      </c>
    </row>
    <row r="90" spans="1:22" x14ac:dyDescent="0.35">
      <c r="A90" s="50">
        <v>41944</v>
      </c>
      <c r="B90">
        <v>43.8</v>
      </c>
      <c r="C90">
        <v>48.5</v>
      </c>
      <c r="D90">
        <v>53</v>
      </c>
      <c r="E90">
        <v>51.1</v>
      </c>
      <c r="F90">
        <v>47.9</v>
      </c>
      <c r="G90">
        <v>52.1</v>
      </c>
      <c r="H90">
        <v>53.5</v>
      </c>
      <c r="I90">
        <v>52.6</v>
      </c>
      <c r="J90">
        <v>61.6</v>
      </c>
      <c r="K90">
        <v>51.8</v>
      </c>
      <c r="L90">
        <v>50.6</v>
      </c>
      <c r="P90">
        <v>44.5</v>
      </c>
      <c r="Q90">
        <v>52.7</v>
      </c>
      <c r="U90">
        <v>58.6</v>
      </c>
      <c r="V90">
        <v>56.2</v>
      </c>
    </row>
    <row r="91" spans="1:22" x14ac:dyDescent="0.35">
      <c r="A91" s="50">
        <v>41974</v>
      </c>
      <c r="B91">
        <v>47.5</v>
      </c>
      <c r="C91">
        <v>49.1</v>
      </c>
      <c r="D91">
        <v>53.4</v>
      </c>
      <c r="E91">
        <v>51.6</v>
      </c>
      <c r="F91">
        <v>50.6</v>
      </c>
      <c r="G91">
        <v>52.1</v>
      </c>
      <c r="H91">
        <v>52.3</v>
      </c>
      <c r="I91">
        <v>51.1</v>
      </c>
      <c r="J91">
        <v>62.6</v>
      </c>
      <c r="K91">
        <v>49.4</v>
      </c>
      <c r="L91">
        <v>51.7</v>
      </c>
      <c r="P91">
        <v>45.8</v>
      </c>
      <c r="Q91">
        <v>54.3</v>
      </c>
      <c r="U91">
        <v>55.8</v>
      </c>
      <c r="V91">
        <v>53.3</v>
      </c>
    </row>
    <row r="92" spans="1:22" x14ac:dyDescent="0.35">
      <c r="A92" s="50">
        <v>42005</v>
      </c>
      <c r="B92">
        <v>49.5</v>
      </c>
      <c r="C92">
        <v>48.4</v>
      </c>
      <c r="D92">
        <v>51.8</v>
      </c>
      <c r="E92">
        <v>52.7</v>
      </c>
      <c r="F92">
        <v>49.4</v>
      </c>
      <c r="G92">
        <v>54</v>
      </c>
      <c r="H92">
        <v>52.9</v>
      </c>
      <c r="I92">
        <v>52.4</v>
      </c>
      <c r="J92">
        <v>62.5</v>
      </c>
      <c r="K92">
        <v>51.2</v>
      </c>
      <c r="L92">
        <v>51.3</v>
      </c>
      <c r="P92">
        <v>43.9</v>
      </c>
      <c r="Q92">
        <v>56.7</v>
      </c>
      <c r="U92">
        <v>57.2</v>
      </c>
      <c r="V92">
        <v>54.2</v>
      </c>
    </row>
    <row r="93" spans="1:22" x14ac:dyDescent="0.35">
      <c r="A93" s="50">
        <v>42036</v>
      </c>
      <c r="B93">
        <v>51.7</v>
      </c>
      <c r="C93">
        <v>52.3</v>
      </c>
      <c r="D93">
        <v>52</v>
      </c>
      <c r="E93">
        <v>53.7</v>
      </c>
      <c r="F93">
        <v>53.4</v>
      </c>
      <c r="G93">
        <v>54.7</v>
      </c>
      <c r="H93">
        <v>54.1</v>
      </c>
      <c r="I93">
        <v>53.9</v>
      </c>
      <c r="J93">
        <v>61.4</v>
      </c>
      <c r="K93">
        <v>50</v>
      </c>
      <c r="L93">
        <v>48.5</v>
      </c>
      <c r="P93">
        <v>41.3</v>
      </c>
      <c r="Q93">
        <v>56.2</v>
      </c>
      <c r="U93">
        <v>56.7</v>
      </c>
      <c r="V93">
        <v>57.1</v>
      </c>
    </row>
    <row r="94" spans="1:22" x14ac:dyDescent="0.35">
      <c r="A94" s="50">
        <v>42064</v>
      </c>
      <c r="B94">
        <v>50.2</v>
      </c>
      <c r="C94">
        <v>47.9</v>
      </c>
      <c r="D94">
        <v>52.3</v>
      </c>
      <c r="E94">
        <v>54.2</v>
      </c>
      <c r="F94">
        <v>52.4</v>
      </c>
      <c r="G94">
        <v>55.4</v>
      </c>
      <c r="H94">
        <v>55.1</v>
      </c>
      <c r="I94">
        <v>53</v>
      </c>
      <c r="J94">
        <v>60.9</v>
      </c>
      <c r="K94">
        <v>51.6</v>
      </c>
      <c r="L94">
        <v>48.4</v>
      </c>
      <c r="P94">
        <v>46.1</v>
      </c>
      <c r="Q94">
        <v>57.3</v>
      </c>
      <c r="U94">
        <v>58.9</v>
      </c>
      <c r="V94">
        <v>59.2</v>
      </c>
    </row>
    <row r="95" spans="1:22" x14ac:dyDescent="0.35">
      <c r="A95" s="50">
        <v>42095</v>
      </c>
      <c r="B95">
        <v>49.7</v>
      </c>
      <c r="C95">
        <v>44.6</v>
      </c>
      <c r="D95">
        <v>52.9</v>
      </c>
      <c r="E95">
        <v>54.1</v>
      </c>
      <c r="F95">
        <v>51.4</v>
      </c>
      <c r="G95">
        <v>54</v>
      </c>
      <c r="H95">
        <v>54.8</v>
      </c>
      <c r="I95">
        <v>52.4</v>
      </c>
      <c r="J95">
        <v>60.6</v>
      </c>
      <c r="K95">
        <v>53.1</v>
      </c>
      <c r="L95">
        <v>51.3</v>
      </c>
      <c r="P95">
        <v>50.7</v>
      </c>
      <c r="Q95">
        <v>60.3</v>
      </c>
      <c r="U95">
        <v>59.5</v>
      </c>
      <c r="V95">
        <v>57.4</v>
      </c>
    </row>
    <row r="96" spans="1:22" x14ac:dyDescent="0.35">
      <c r="A96" s="50">
        <v>42125</v>
      </c>
      <c r="B96">
        <v>49.6</v>
      </c>
      <c r="C96">
        <v>42.5</v>
      </c>
      <c r="D96">
        <v>53.5</v>
      </c>
      <c r="E96">
        <v>53.8</v>
      </c>
      <c r="F96">
        <v>52.8</v>
      </c>
      <c r="G96">
        <v>53</v>
      </c>
      <c r="H96">
        <v>54.1</v>
      </c>
      <c r="I96">
        <v>49.6</v>
      </c>
      <c r="J96">
        <v>61.4</v>
      </c>
      <c r="K96">
        <v>52.5</v>
      </c>
      <c r="L96">
        <v>51.5</v>
      </c>
      <c r="P96">
        <v>52.8</v>
      </c>
      <c r="Q96">
        <v>58.4</v>
      </c>
      <c r="U96">
        <v>56.5</v>
      </c>
      <c r="V96">
        <v>56.2</v>
      </c>
    </row>
    <row r="97" spans="1:22" x14ac:dyDescent="0.35">
      <c r="A97" s="50">
        <v>42156</v>
      </c>
      <c r="B97">
        <v>51.2</v>
      </c>
      <c r="C97">
        <v>39.9</v>
      </c>
      <c r="D97">
        <v>51.8</v>
      </c>
      <c r="E97">
        <v>54.4</v>
      </c>
      <c r="F97">
        <v>54.1</v>
      </c>
      <c r="G97">
        <v>53.8</v>
      </c>
      <c r="H97">
        <v>53.5</v>
      </c>
      <c r="I97">
        <v>47.7</v>
      </c>
      <c r="J97">
        <v>63.3</v>
      </c>
      <c r="K97">
        <v>53.4</v>
      </c>
      <c r="L97">
        <v>51.8</v>
      </c>
      <c r="P97">
        <v>49.5</v>
      </c>
      <c r="Q97">
        <v>56.1</v>
      </c>
      <c r="U97">
        <v>58.5</v>
      </c>
      <c r="V97">
        <v>54.8</v>
      </c>
    </row>
    <row r="98" spans="1:22" x14ac:dyDescent="0.35">
      <c r="A98" s="50">
        <v>42186</v>
      </c>
      <c r="B98">
        <v>54.1</v>
      </c>
      <c r="C98">
        <v>39.1</v>
      </c>
      <c r="D98">
        <v>53.8</v>
      </c>
      <c r="E98">
        <v>54</v>
      </c>
      <c r="F98">
        <v>52</v>
      </c>
      <c r="G98">
        <v>53.8</v>
      </c>
      <c r="H98">
        <v>53.9</v>
      </c>
      <c r="I98">
        <v>50.8</v>
      </c>
      <c r="J98">
        <v>63.4</v>
      </c>
      <c r="K98">
        <v>52</v>
      </c>
      <c r="L98">
        <v>51.2</v>
      </c>
      <c r="P98">
        <v>51.6</v>
      </c>
      <c r="Q98">
        <v>59.7</v>
      </c>
      <c r="U98">
        <v>57.4</v>
      </c>
      <c r="V98">
        <v>55.7</v>
      </c>
    </row>
    <row r="99" spans="1:22" x14ac:dyDescent="0.35">
      <c r="A99" s="50">
        <v>42217</v>
      </c>
      <c r="B99">
        <v>55.6</v>
      </c>
      <c r="C99">
        <v>44.8</v>
      </c>
      <c r="D99">
        <v>51.5</v>
      </c>
      <c r="E99">
        <v>54.4</v>
      </c>
      <c r="F99">
        <v>50.6</v>
      </c>
      <c r="G99">
        <v>54.9</v>
      </c>
      <c r="H99">
        <v>54.4</v>
      </c>
      <c r="I99">
        <v>51.8</v>
      </c>
      <c r="J99">
        <v>62.1</v>
      </c>
      <c r="K99">
        <v>54.6</v>
      </c>
      <c r="L99">
        <v>53.7</v>
      </c>
      <c r="P99">
        <v>49.1</v>
      </c>
      <c r="Q99">
        <v>59.6</v>
      </c>
      <c r="U99">
        <v>55.6</v>
      </c>
      <c r="V99">
        <v>56.1</v>
      </c>
    </row>
    <row r="100" spans="1:22" x14ac:dyDescent="0.35">
      <c r="A100" s="50">
        <v>42248</v>
      </c>
      <c r="B100">
        <v>52.3</v>
      </c>
      <c r="C100">
        <v>41.7</v>
      </c>
      <c r="D100">
        <v>50.5</v>
      </c>
      <c r="E100">
        <v>53.7</v>
      </c>
      <c r="F100">
        <v>51.9</v>
      </c>
      <c r="G100">
        <v>54.1</v>
      </c>
      <c r="H100">
        <v>53.3</v>
      </c>
      <c r="I100">
        <v>51.3</v>
      </c>
      <c r="J100">
        <v>62.4</v>
      </c>
      <c r="K100">
        <v>53.3</v>
      </c>
      <c r="L100">
        <v>51.4</v>
      </c>
      <c r="P100">
        <v>51.3</v>
      </c>
      <c r="Q100">
        <v>55.1</v>
      </c>
      <c r="U100">
        <v>53.3</v>
      </c>
      <c r="V100">
        <v>55.1</v>
      </c>
    </row>
    <row r="101" spans="1:22" x14ac:dyDescent="0.35">
      <c r="A101" s="50">
        <v>42278</v>
      </c>
      <c r="B101">
        <v>48.9</v>
      </c>
      <c r="C101">
        <v>43</v>
      </c>
      <c r="D101">
        <v>52</v>
      </c>
      <c r="E101">
        <v>54.1</v>
      </c>
      <c r="F101">
        <v>52.7</v>
      </c>
      <c r="G101">
        <v>54.5</v>
      </c>
      <c r="H101">
        <v>53.7</v>
      </c>
      <c r="I101">
        <v>53.2</v>
      </c>
      <c r="J101">
        <v>60.1</v>
      </c>
      <c r="K101">
        <v>53.4</v>
      </c>
      <c r="L101">
        <v>52.2</v>
      </c>
      <c r="P101">
        <v>47.8</v>
      </c>
      <c r="Q101">
        <v>55.9</v>
      </c>
      <c r="U101">
        <v>54.9</v>
      </c>
      <c r="V101">
        <v>54.8</v>
      </c>
    </row>
    <row r="102" spans="1:22" x14ac:dyDescent="0.35">
      <c r="A102" s="50">
        <v>42309</v>
      </c>
      <c r="B102">
        <v>48.2</v>
      </c>
      <c r="C102">
        <v>45.5</v>
      </c>
      <c r="D102">
        <v>51.2</v>
      </c>
      <c r="E102">
        <v>54.2</v>
      </c>
      <c r="F102">
        <v>51</v>
      </c>
      <c r="G102">
        <v>55.6</v>
      </c>
      <c r="H102">
        <v>54.1</v>
      </c>
      <c r="I102">
        <v>50.1</v>
      </c>
      <c r="J102">
        <v>63.6</v>
      </c>
      <c r="K102">
        <v>53.4</v>
      </c>
      <c r="L102">
        <v>51.6</v>
      </c>
      <c r="P102">
        <v>49.8</v>
      </c>
      <c r="Q102">
        <v>56.7</v>
      </c>
      <c r="U102">
        <v>55.9</v>
      </c>
      <c r="V102">
        <v>56.1</v>
      </c>
    </row>
    <row r="103" spans="1:22" x14ac:dyDescent="0.35">
      <c r="A103" s="50">
        <v>42339</v>
      </c>
      <c r="B103">
        <v>46.3</v>
      </c>
      <c r="C103">
        <v>43.5</v>
      </c>
      <c r="D103">
        <v>50.2</v>
      </c>
      <c r="E103">
        <v>54.2</v>
      </c>
      <c r="F103">
        <v>49.8</v>
      </c>
      <c r="G103">
        <v>56</v>
      </c>
      <c r="H103">
        <v>53.1</v>
      </c>
      <c r="I103">
        <v>53.6</v>
      </c>
      <c r="J103">
        <v>61.8</v>
      </c>
      <c r="K103">
        <v>55.3</v>
      </c>
      <c r="L103">
        <v>51.5</v>
      </c>
      <c r="P103">
        <v>47.8</v>
      </c>
      <c r="Q103">
        <v>55.1</v>
      </c>
      <c r="U103">
        <v>55.5</v>
      </c>
      <c r="V103">
        <v>54.3</v>
      </c>
    </row>
    <row r="104" spans="1:22" x14ac:dyDescent="0.35">
      <c r="A104" s="50">
        <v>42370</v>
      </c>
      <c r="B104">
        <v>48.4</v>
      </c>
      <c r="C104">
        <v>44.4</v>
      </c>
      <c r="D104">
        <v>52.4</v>
      </c>
      <c r="E104">
        <v>53.6</v>
      </c>
      <c r="F104">
        <v>50.3</v>
      </c>
      <c r="G104">
        <v>55</v>
      </c>
      <c r="H104">
        <v>52.8</v>
      </c>
      <c r="I104">
        <v>54.3</v>
      </c>
      <c r="J104">
        <v>64</v>
      </c>
      <c r="K104">
        <v>53.6</v>
      </c>
      <c r="L104">
        <v>52.4</v>
      </c>
      <c r="P104">
        <v>47.1</v>
      </c>
      <c r="Q104">
        <v>54.6</v>
      </c>
      <c r="U104">
        <v>55.6</v>
      </c>
      <c r="V104">
        <v>53.2</v>
      </c>
    </row>
    <row r="105" spans="1:22" x14ac:dyDescent="0.35">
      <c r="A105" s="50">
        <v>42401</v>
      </c>
      <c r="B105">
        <v>51.8</v>
      </c>
      <c r="C105">
        <v>36.9</v>
      </c>
      <c r="D105">
        <v>51.2</v>
      </c>
      <c r="E105">
        <v>53.3</v>
      </c>
      <c r="F105">
        <v>49.2</v>
      </c>
      <c r="G105">
        <v>55.3</v>
      </c>
      <c r="H105">
        <v>50.7</v>
      </c>
      <c r="I105">
        <v>51.4</v>
      </c>
      <c r="J105">
        <v>62.1</v>
      </c>
      <c r="K105">
        <v>53.8</v>
      </c>
      <c r="L105">
        <v>51.2</v>
      </c>
      <c r="P105">
        <v>50.9</v>
      </c>
      <c r="Q105">
        <v>54.1</v>
      </c>
      <c r="U105">
        <v>52.7</v>
      </c>
      <c r="V105">
        <v>49.7</v>
      </c>
    </row>
    <row r="106" spans="1:22" x14ac:dyDescent="0.35">
      <c r="A106" s="50">
        <v>42430</v>
      </c>
      <c r="B106">
        <v>49.5</v>
      </c>
      <c r="C106">
        <v>38.6</v>
      </c>
      <c r="D106">
        <v>52.2</v>
      </c>
      <c r="E106">
        <v>53.1</v>
      </c>
      <c r="F106">
        <v>49.9</v>
      </c>
      <c r="G106">
        <v>55.1</v>
      </c>
      <c r="H106">
        <v>51.4</v>
      </c>
      <c r="I106">
        <v>54.3</v>
      </c>
      <c r="J106">
        <v>62.8</v>
      </c>
      <c r="K106">
        <v>51.2</v>
      </c>
      <c r="L106">
        <v>50</v>
      </c>
      <c r="P106">
        <v>52</v>
      </c>
      <c r="Q106">
        <v>55.3</v>
      </c>
      <c r="U106">
        <v>53.7</v>
      </c>
      <c r="V106">
        <v>51.3</v>
      </c>
    </row>
    <row r="107" spans="1:22" x14ac:dyDescent="0.35">
      <c r="A107" s="50">
        <v>42461</v>
      </c>
      <c r="B107">
        <v>49.7</v>
      </c>
      <c r="C107">
        <v>37.4</v>
      </c>
      <c r="D107">
        <v>51.8</v>
      </c>
      <c r="E107">
        <v>53.1</v>
      </c>
      <c r="F107">
        <v>50.6</v>
      </c>
      <c r="G107">
        <v>54.5</v>
      </c>
      <c r="H107">
        <v>51.9</v>
      </c>
      <c r="I107">
        <v>53.7</v>
      </c>
      <c r="J107">
        <v>59.8</v>
      </c>
      <c r="K107">
        <v>52.1</v>
      </c>
      <c r="L107">
        <v>49.3</v>
      </c>
      <c r="P107">
        <v>54.2</v>
      </c>
      <c r="Q107">
        <v>55.1</v>
      </c>
      <c r="U107">
        <v>52.3</v>
      </c>
      <c r="V107">
        <v>52.8</v>
      </c>
    </row>
    <row r="108" spans="1:22" x14ac:dyDescent="0.35">
      <c r="A108" s="50">
        <v>42491</v>
      </c>
      <c r="B108">
        <v>51.5</v>
      </c>
      <c r="C108">
        <v>37.299999999999997</v>
      </c>
      <c r="D108">
        <v>51.2</v>
      </c>
      <c r="E108">
        <v>53.3</v>
      </c>
      <c r="F108">
        <v>51.6</v>
      </c>
      <c r="G108">
        <v>55.2</v>
      </c>
      <c r="H108">
        <v>52.8</v>
      </c>
      <c r="I108">
        <v>51</v>
      </c>
      <c r="J108">
        <v>61.7</v>
      </c>
      <c r="K108">
        <v>49.8</v>
      </c>
      <c r="L108">
        <v>50.4</v>
      </c>
      <c r="P108">
        <v>51.8</v>
      </c>
      <c r="Q108">
        <v>55.4</v>
      </c>
      <c r="U108">
        <v>53.5</v>
      </c>
      <c r="V108">
        <v>51.3</v>
      </c>
    </row>
    <row r="109" spans="1:22" x14ac:dyDescent="0.35">
      <c r="A109" s="50">
        <v>42522</v>
      </c>
      <c r="B109">
        <v>51.3</v>
      </c>
      <c r="C109">
        <v>41.4</v>
      </c>
      <c r="D109">
        <v>52.7</v>
      </c>
      <c r="E109">
        <v>52.8</v>
      </c>
      <c r="F109">
        <v>49.9</v>
      </c>
      <c r="G109">
        <v>53.7</v>
      </c>
      <c r="H109">
        <v>51.3</v>
      </c>
      <c r="I109">
        <v>50.3</v>
      </c>
      <c r="J109">
        <v>61.2</v>
      </c>
      <c r="K109">
        <v>51.9</v>
      </c>
      <c r="L109">
        <v>49.4</v>
      </c>
      <c r="P109">
        <v>53.8</v>
      </c>
      <c r="Q109">
        <v>56</v>
      </c>
      <c r="U109">
        <v>52.3</v>
      </c>
      <c r="V109">
        <v>51.4</v>
      </c>
    </row>
    <row r="110" spans="1:22" x14ac:dyDescent="0.35">
      <c r="A110" s="50">
        <v>42552</v>
      </c>
      <c r="B110">
        <v>53.9</v>
      </c>
      <c r="C110">
        <v>45.6</v>
      </c>
      <c r="D110">
        <v>51.7</v>
      </c>
      <c r="E110">
        <v>52.9</v>
      </c>
      <c r="F110">
        <v>50.5</v>
      </c>
      <c r="G110">
        <v>54.4</v>
      </c>
      <c r="H110">
        <v>51.3</v>
      </c>
      <c r="I110">
        <v>51.9</v>
      </c>
      <c r="J110">
        <v>59.5</v>
      </c>
      <c r="K110">
        <v>52</v>
      </c>
      <c r="L110">
        <v>50.4</v>
      </c>
      <c r="P110">
        <v>55</v>
      </c>
      <c r="Q110">
        <v>54.1</v>
      </c>
      <c r="U110">
        <v>47.4</v>
      </c>
      <c r="V110">
        <v>51.4</v>
      </c>
    </row>
    <row r="111" spans="1:22" x14ac:dyDescent="0.35">
      <c r="A111" s="50">
        <v>42583</v>
      </c>
      <c r="B111">
        <v>45</v>
      </c>
      <c r="C111">
        <v>42.7</v>
      </c>
      <c r="D111">
        <v>52.1</v>
      </c>
      <c r="E111">
        <v>52.8</v>
      </c>
      <c r="F111">
        <v>52.3</v>
      </c>
      <c r="G111">
        <v>51.7</v>
      </c>
      <c r="H111">
        <v>51.5</v>
      </c>
      <c r="I111">
        <v>54.7</v>
      </c>
      <c r="J111">
        <v>59.7</v>
      </c>
      <c r="K111">
        <v>52.3</v>
      </c>
      <c r="L111">
        <v>49.6</v>
      </c>
      <c r="P111">
        <v>53.5</v>
      </c>
      <c r="Q111">
        <v>56</v>
      </c>
      <c r="U111">
        <v>52.9</v>
      </c>
      <c r="V111">
        <v>51</v>
      </c>
    </row>
    <row r="112" spans="1:22" x14ac:dyDescent="0.35">
      <c r="A112" s="50">
        <v>42614</v>
      </c>
      <c r="B112">
        <v>48.9</v>
      </c>
      <c r="C112">
        <v>45.3</v>
      </c>
      <c r="D112">
        <v>51</v>
      </c>
      <c r="E112">
        <v>52.2</v>
      </c>
      <c r="F112">
        <v>53.3</v>
      </c>
      <c r="G112">
        <v>50.9</v>
      </c>
      <c r="H112">
        <v>51.6</v>
      </c>
      <c r="I112">
        <v>52</v>
      </c>
      <c r="J112">
        <v>56.2</v>
      </c>
      <c r="K112">
        <v>50.7</v>
      </c>
      <c r="L112">
        <v>48.2</v>
      </c>
      <c r="P112">
        <v>53</v>
      </c>
      <c r="Q112">
        <v>54.7</v>
      </c>
      <c r="U112">
        <v>52.6</v>
      </c>
      <c r="V112">
        <v>52.3</v>
      </c>
    </row>
    <row r="113" spans="1:22" x14ac:dyDescent="0.35">
      <c r="A113" s="50">
        <v>42644</v>
      </c>
      <c r="B113">
        <v>50.5</v>
      </c>
      <c r="C113">
        <v>43.9</v>
      </c>
      <c r="D113">
        <v>52.4</v>
      </c>
      <c r="E113">
        <v>52.8</v>
      </c>
      <c r="F113">
        <v>51.4</v>
      </c>
      <c r="G113">
        <v>54.2</v>
      </c>
      <c r="H113">
        <v>53.2</v>
      </c>
      <c r="I113">
        <v>54.5</v>
      </c>
      <c r="J113">
        <v>54.6</v>
      </c>
      <c r="K113">
        <v>51</v>
      </c>
      <c r="L113">
        <v>50.5</v>
      </c>
      <c r="P113">
        <v>52.7</v>
      </c>
      <c r="Q113">
        <v>54.6</v>
      </c>
      <c r="U113">
        <v>54.5</v>
      </c>
      <c r="V113">
        <v>54.8</v>
      </c>
    </row>
    <row r="114" spans="1:22" x14ac:dyDescent="0.35">
      <c r="A114" s="50">
        <v>42675</v>
      </c>
      <c r="B114">
        <v>51.1</v>
      </c>
      <c r="C114">
        <v>44.4</v>
      </c>
      <c r="D114">
        <v>53.1</v>
      </c>
      <c r="E114">
        <v>53.8</v>
      </c>
      <c r="F114">
        <v>51.6</v>
      </c>
      <c r="G114">
        <v>55.1</v>
      </c>
      <c r="H114">
        <v>53.3</v>
      </c>
      <c r="I114">
        <v>46.7</v>
      </c>
      <c r="J114">
        <v>56</v>
      </c>
      <c r="K114">
        <v>53.3</v>
      </c>
      <c r="L114">
        <v>51.8</v>
      </c>
      <c r="P114">
        <v>54.7</v>
      </c>
      <c r="Q114">
        <v>55.1</v>
      </c>
      <c r="U114">
        <v>55.2</v>
      </c>
      <c r="V114">
        <v>54.6</v>
      </c>
    </row>
    <row r="115" spans="1:22" x14ac:dyDescent="0.35">
      <c r="A115" s="50">
        <v>42705</v>
      </c>
      <c r="B115">
        <v>57.7</v>
      </c>
      <c r="C115">
        <v>45.1</v>
      </c>
      <c r="D115">
        <v>53.4</v>
      </c>
      <c r="E115">
        <v>53.7</v>
      </c>
      <c r="F115">
        <v>52.9</v>
      </c>
      <c r="G115">
        <v>54.3</v>
      </c>
      <c r="H115">
        <v>53.3</v>
      </c>
      <c r="I115">
        <v>46.8</v>
      </c>
      <c r="J115">
        <v>59.1</v>
      </c>
      <c r="K115">
        <v>52.3</v>
      </c>
      <c r="L115">
        <v>52.3</v>
      </c>
      <c r="P115">
        <v>56.5</v>
      </c>
      <c r="Q115">
        <v>55</v>
      </c>
      <c r="U115">
        <v>56.2</v>
      </c>
      <c r="V115">
        <v>53.9</v>
      </c>
    </row>
    <row r="116" spans="1:22" x14ac:dyDescent="0.35">
      <c r="A116" s="50">
        <v>42736</v>
      </c>
      <c r="B116">
        <v>54.5</v>
      </c>
      <c r="C116">
        <v>45.1</v>
      </c>
      <c r="D116">
        <v>53.1</v>
      </c>
      <c r="E116">
        <v>53.7</v>
      </c>
      <c r="F116">
        <v>54.1</v>
      </c>
      <c r="G116">
        <v>53.4</v>
      </c>
      <c r="H116">
        <v>53.9</v>
      </c>
      <c r="I116">
        <v>48.7</v>
      </c>
      <c r="J116">
        <v>61</v>
      </c>
      <c r="K116">
        <v>52.4</v>
      </c>
      <c r="L116">
        <v>51.9</v>
      </c>
      <c r="P116">
        <v>58.4</v>
      </c>
      <c r="Q116">
        <v>54.2</v>
      </c>
      <c r="U116">
        <v>54.5</v>
      </c>
      <c r="V116">
        <v>55.6</v>
      </c>
    </row>
    <row r="117" spans="1:22" x14ac:dyDescent="0.35">
      <c r="A117" s="50">
        <v>42767</v>
      </c>
      <c r="B117">
        <v>49</v>
      </c>
      <c r="C117">
        <v>46.4</v>
      </c>
      <c r="D117">
        <v>52.6</v>
      </c>
      <c r="E117">
        <v>55.5</v>
      </c>
      <c r="F117">
        <v>56.4</v>
      </c>
      <c r="G117">
        <v>54.4</v>
      </c>
      <c r="H117">
        <v>53.3</v>
      </c>
      <c r="I117">
        <v>50.3</v>
      </c>
      <c r="J117">
        <v>60.6</v>
      </c>
      <c r="K117">
        <v>54.1</v>
      </c>
      <c r="L117">
        <v>51.3</v>
      </c>
      <c r="P117">
        <v>55.5</v>
      </c>
      <c r="Q117">
        <v>57</v>
      </c>
      <c r="U117">
        <v>53.3</v>
      </c>
      <c r="V117">
        <v>53.8</v>
      </c>
    </row>
    <row r="118" spans="1:22" x14ac:dyDescent="0.35">
      <c r="A118" s="50">
        <v>42795</v>
      </c>
      <c r="B118">
        <v>51.7</v>
      </c>
      <c r="C118">
        <v>47.7</v>
      </c>
      <c r="D118">
        <v>52.2</v>
      </c>
      <c r="E118">
        <v>56</v>
      </c>
      <c r="F118">
        <v>57.5</v>
      </c>
      <c r="G118">
        <v>55.6</v>
      </c>
      <c r="H118">
        <v>53.6</v>
      </c>
      <c r="I118">
        <v>51.5</v>
      </c>
      <c r="J118">
        <v>59.1</v>
      </c>
      <c r="K118">
        <v>52.9</v>
      </c>
      <c r="L118">
        <v>52.9</v>
      </c>
      <c r="P118">
        <v>56.6</v>
      </c>
      <c r="Q118">
        <v>57.4</v>
      </c>
      <c r="U118">
        <v>55</v>
      </c>
      <c r="V118">
        <v>52.8</v>
      </c>
    </row>
    <row r="119" spans="1:22" x14ac:dyDescent="0.35">
      <c r="A119" s="50">
        <v>42826</v>
      </c>
      <c r="B119">
        <v>53</v>
      </c>
      <c r="C119">
        <v>50.3</v>
      </c>
      <c r="D119">
        <v>51.5</v>
      </c>
      <c r="E119">
        <v>56.4</v>
      </c>
      <c r="F119">
        <v>56.7</v>
      </c>
      <c r="G119">
        <v>55.4</v>
      </c>
      <c r="H119">
        <v>53.6</v>
      </c>
      <c r="I119">
        <v>50.2</v>
      </c>
      <c r="J119">
        <v>61.1</v>
      </c>
      <c r="K119">
        <v>56.2</v>
      </c>
      <c r="L119">
        <v>52.2</v>
      </c>
      <c r="P119">
        <v>56.1</v>
      </c>
      <c r="Q119">
        <v>57.8</v>
      </c>
      <c r="U119">
        <v>55.8</v>
      </c>
      <c r="V119">
        <v>53.1</v>
      </c>
    </row>
    <row r="120" spans="1:22" x14ac:dyDescent="0.35">
      <c r="A120" s="50">
        <v>42856</v>
      </c>
      <c r="B120">
        <v>51.5</v>
      </c>
      <c r="C120">
        <v>49.2</v>
      </c>
      <c r="D120">
        <v>52.8</v>
      </c>
      <c r="E120">
        <v>56.3</v>
      </c>
      <c r="F120">
        <v>57.2</v>
      </c>
      <c r="G120">
        <v>55.4</v>
      </c>
      <c r="H120">
        <v>53.8</v>
      </c>
      <c r="I120">
        <v>52.2</v>
      </c>
      <c r="J120">
        <v>59.5</v>
      </c>
      <c r="K120">
        <v>55.1</v>
      </c>
      <c r="L120">
        <v>53</v>
      </c>
      <c r="P120">
        <v>56.3</v>
      </c>
      <c r="Q120">
        <v>57.3</v>
      </c>
      <c r="U120">
        <v>53.8</v>
      </c>
      <c r="V120">
        <v>53.6</v>
      </c>
    </row>
    <row r="121" spans="1:22" x14ac:dyDescent="0.35">
      <c r="A121" s="50">
        <v>42887</v>
      </c>
      <c r="B121">
        <v>54.8</v>
      </c>
      <c r="C121">
        <v>47.4</v>
      </c>
      <c r="D121">
        <v>51.6</v>
      </c>
      <c r="E121">
        <v>55.4</v>
      </c>
      <c r="F121">
        <v>56.9</v>
      </c>
      <c r="G121">
        <v>54</v>
      </c>
      <c r="H121">
        <v>53.8</v>
      </c>
      <c r="I121">
        <v>53.1</v>
      </c>
      <c r="J121">
        <v>57.6</v>
      </c>
      <c r="K121">
        <v>53.6</v>
      </c>
      <c r="L121">
        <v>53.3</v>
      </c>
      <c r="P121">
        <v>55.5</v>
      </c>
      <c r="Q121">
        <v>58.3</v>
      </c>
      <c r="U121">
        <v>53.4</v>
      </c>
      <c r="V121">
        <v>54.2</v>
      </c>
    </row>
    <row r="122" spans="1:22" x14ac:dyDescent="0.35">
      <c r="A122" s="50">
        <v>42917</v>
      </c>
      <c r="B122">
        <v>56.4</v>
      </c>
      <c r="C122">
        <v>48.8</v>
      </c>
      <c r="D122">
        <v>51.5</v>
      </c>
      <c r="E122">
        <v>55.4</v>
      </c>
      <c r="F122">
        <v>56</v>
      </c>
      <c r="G122">
        <v>53.1</v>
      </c>
      <c r="H122">
        <v>53.7</v>
      </c>
      <c r="I122">
        <v>45.9</v>
      </c>
      <c r="J122">
        <v>58.3</v>
      </c>
      <c r="K122">
        <v>56.3</v>
      </c>
      <c r="L122">
        <v>52</v>
      </c>
      <c r="P122">
        <v>52.6</v>
      </c>
      <c r="Q122">
        <v>57.6</v>
      </c>
      <c r="U122">
        <v>53.8</v>
      </c>
      <c r="V122">
        <v>54.7</v>
      </c>
    </row>
    <row r="123" spans="1:22" x14ac:dyDescent="0.35">
      <c r="A123" s="50">
        <v>42948</v>
      </c>
      <c r="B123">
        <v>53</v>
      </c>
      <c r="C123">
        <v>49</v>
      </c>
      <c r="D123">
        <v>52.7</v>
      </c>
      <c r="E123">
        <v>54.7</v>
      </c>
      <c r="F123">
        <v>54.9</v>
      </c>
      <c r="G123">
        <v>53.5</v>
      </c>
      <c r="H123">
        <v>54.1</v>
      </c>
      <c r="I123">
        <v>47.5</v>
      </c>
      <c r="J123">
        <v>58.4</v>
      </c>
      <c r="K123">
        <v>55.1</v>
      </c>
      <c r="L123">
        <v>51.6</v>
      </c>
      <c r="P123">
        <v>54.2</v>
      </c>
      <c r="Q123">
        <v>56</v>
      </c>
      <c r="U123">
        <v>53.2</v>
      </c>
      <c r="V123">
        <v>56</v>
      </c>
    </row>
    <row r="124" spans="1:22" x14ac:dyDescent="0.35">
      <c r="A124" s="50">
        <v>42979</v>
      </c>
      <c r="B124">
        <v>52.1</v>
      </c>
      <c r="C124">
        <v>50.7</v>
      </c>
      <c r="D124">
        <v>50.6</v>
      </c>
      <c r="E124">
        <v>55.8</v>
      </c>
      <c r="F124">
        <v>57</v>
      </c>
      <c r="G124">
        <v>55.6</v>
      </c>
      <c r="H124">
        <v>54</v>
      </c>
      <c r="I124">
        <v>50.7</v>
      </c>
      <c r="J124">
        <v>58.7</v>
      </c>
      <c r="K124">
        <v>53.2</v>
      </c>
      <c r="L124">
        <v>51</v>
      </c>
      <c r="P124">
        <v>55.2</v>
      </c>
      <c r="Q124">
        <v>56.7</v>
      </c>
      <c r="U124">
        <v>53.6</v>
      </c>
      <c r="V124">
        <v>55.3</v>
      </c>
    </row>
    <row r="125" spans="1:22" x14ac:dyDescent="0.35">
      <c r="A125" s="50">
        <v>43009</v>
      </c>
      <c r="B125">
        <v>51.4</v>
      </c>
      <c r="C125">
        <v>48.8</v>
      </c>
      <c r="D125">
        <v>51.2</v>
      </c>
      <c r="E125">
        <v>55</v>
      </c>
      <c r="F125">
        <v>57.3</v>
      </c>
      <c r="G125">
        <v>54.7</v>
      </c>
      <c r="H125">
        <v>54.1</v>
      </c>
      <c r="I125">
        <v>51.7</v>
      </c>
      <c r="J125">
        <v>57.5</v>
      </c>
      <c r="K125">
        <v>52.1</v>
      </c>
      <c r="L125">
        <v>53.4</v>
      </c>
      <c r="P125">
        <v>53.9</v>
      </c>
      <c r="Q125">
        <v>54.6</v>
      </c>
      <c r="U125">
        <v>55.6</v>
      </c>
      <c r="V125">
        <v>55.3</v>
      </c>
    </row>
    <row r="126" spans="1:22" x14ac:dyDescent="0.35">
      <c r="A126" s="50">
        <v>43040</v>
      </c>
      <c r="B126">
        <v>51.7</v>
      </c>
      <c r="C126">
        <v>46.9</v>
      </c>
      <c r="D126">
        <v>51.9</v>
      </c>
      <c r="E126">
        <v>56.2</v>
      </c>
      <c r="F126">
        <v>60.4</v>
      </c>
      <c r="G126">
        <v>54.3</v>
      </c>
      <c r="H126">
        <v>53.7</v>
      </c>
      <c r="I126">
        <v>48.5</v>
      </c>
      <c r="J126">
        <v>56</v>
      </c>
      <c r="K126">
        <v>54.7</v>
      </c>
      <c r="L126">
        <v>51.2</v>
      </c>
      <c r="P126">
        <v>57.4</v>
      </c>
      <c r="Q126">
        <v>54.4</v>
      </c>
      <c r="U126">
        <v>53.8</v>
      </c>
      <c r="V126">
        <v>54.5</v>
      </c>
    </row>
    <row r="127" spans="1:22" x14ac:dyDescent="0.35">
      <c r="A127" s="50">
        <v>43070</v>
      </c>
      <c r="B127">
        <v>52</v>
      </c>
      <c r="C127">
        <v>47.4</v>
      </c>
      <c r="D127">
        <v>53.9</v>
      </c>
      <c r="E127">
        <v>56.6</v>
      </c>
      <c r="F127">
        <v>59.1</v>
      </c>
      <c r="G127">
        <v>55.8</v>
      </c>
      <c r="H127">
        <v>53.8</v>
      </c>
      <c r="I127">
        <v>50.9</v>
      </c>
      <c r="J127">
        <v>60.4</v>
      </c>
      <c r="K127">
        <v>55.4</v>
      </c>
      <c r="L127">
        <v>51.1</v>
      </c>
      <c r="P127">
        <v>56.8</v>
      </c>
      <c r="Q127">
        <v>54.6</v>
      </c>
      <c r="U127">
        <v>54.2</v>
      </c>
      <c r="V127">
        <v>53.7</v>
      </c>
    </row>
    <row r="128" spans="1:22" x14ac:dyDescent="0.35">
      <c r="A128" s="50">
        <v>43101</v>
      </c>
      <c r="B128">
        <v>54.9</v>
      </c>
      <c r="C128">
        <v>50</v>
      </c>
      <c r="D128">
        <v>54.7</v>
      </c>
      <c r="E128">
        <v>58</v>
      </c>
      <c r="F128">
        <v>59.2</v>
      </c>
      <c r="G128">
        <v>57.3</v>
      </c>
      <c r="H128">
        <v>54.1</v>
      </c>
      <c r="I128">
        <v>51.7</v>
      </c>
      <c r="J128">
        <v>59.8</v>
      </c>
      <c r="K128">
        <v>57.7</v>
      </c>
      <c r="L128">
        <v>51.9</v>
      </c>
      <c r="P128">
        <v>55.1</v>
      </c>
      <c r="Q128">
        <v>56.9</v>
      </c>
      <c r="U128">
        <v>53</v>
      </c>
      <c r="V128">
        <v>53.3</v>
      </c>
    </row>
    <row r="129" spans="1:22" x14ac:dyDescent="0.35">
      <c r="A129" s="50">
        <v>43132</v>
      </c>
      <c r="B129">
        <v>54</v>
      </c>
      <c r="C129">
        <v>52.7</v>
      </c>
      <c r="D129">
        <v>54.2</v>
      </c>
      <c r="E129">
        <v>56.2</v>
      </c>
      <c r="F129">
        <v>57.4</v>
      </c>
      <c r="G129">
        <v>55.3</v>
      </c>
      <c r="H129">
        <v>54.8</v>
      </c>
      <c r="I129">
        <v>47.8</v>
      </c>
      <c r="J129">
        <v>57.2</v>
      </c>
      <c r="K129">
        <v>55</v>
      </c>
      <c r="L129">
        <v>51.7</v>
      </c>
      <c r="P129">
        <v>56.5</v>
      </c>
      <c r="Q129">
        <v>57.3</v>
      </c>
      <c r="U129">
        <v>54.5</v>
      </c>
      <c r="V129">
        <v>55.9</v>
      </c>
    </row>
    <row r="130" spans="1:22" x14ac:dyDescent="0.35">
      <c r="A130" s="50">
        <v>43160</v>
      </c>
      <c r="B130">
        <v>56.9</v>
      </c>
      <c r="C130">
        <v>50.4</v>
      </c>
      <c r="D130">
        <v>52.3</v>
      </c>
      <c r="E130">
        <v>54.9</v>
      </c>
      <c r="F130">
        <v>56.8</v>
      </c>
      <c r="G130">
        <v>53.9</v>
      </c>
      <c r="H130">
        <v>53.2</v>
      </c>
      <c r="I130">
        <v>50.3</v>
      </c>
      <c r="J130">
        <v>56.5</v>
      </c>
      <c r="K130">
        <v>52.6</v>
      </c>
      <c r="L130">
        <v>50.9</v>
      </c>
      <c r="P130">
        <v>53.7</v>
      </c>
      <c r="Q130">
        <v>56.2</v>
      </c>
      <c r="U130">
        <v>51.7</v>
      </c>
      <c r="V130">
        <v>54</v>
      </c>
    </row>
    <row r="131" spans="1:22" x14ac:dyDescent="0.35">
      <c r="A131" s="50">
        <v>43191</v>
      </c>
      <c r="B131">
        <v>55.2</v>
      </c>
      <c r="C131">
        <v>50</v>
      </c>
      <c r="D131">
        <v>52.9</v>
      </c>
      <c r="E131">
        <v>54.7</v>
      </c>
      <c r="F131">
        <v>57.4</v>
      </c>
      <c r="G131">
        <v>53</v>
      </c>
      <c r="H131">
        <v>53.8</v>
      </c>
      <c r="I131">
        <v>51.4</v>
      </c>
      <c r="J131">
        <v>58.3</v>
      </c>
      <c r="K131">
        <v>52.6</v>
      </c>
      <c r="L131">
        <v>52.5</v>
      </c>
      <c r="P131">
        <v>55.5</v>
      </c>
      <c r="Q131">
        <v>55.6</v>
      </c>
      <c r="U131">
        <v>52.8</v>
      </c>
      <c r="V131">
        <v>54.6</v>
      </c>
    </row>
    <row r="132" spans="1:22" x14ac:dyDescent="0.35">
      <c r="A132" s="50">
        <v>43221</v>
      </c>
      <c r="B132">
        <v>59</v>
      </c>
      <c r="C132">
        <v>49.5</v>
      </c>
      <c r="D132">
        <v>52.9</v>
      </c>
      <c r="E132">
        <v>53.8</v>
      </c>
      <c r="F132">
        <v>54.3</v>
      </c>
      <c r="G132">
        <v>52.1</v>
      </c>
      <c r="H132">
        <v>54.3</v>
      </c>
      <c r="I132">
        <v>49.6</v>
      </c>
      <c r="J132">
        <v>59.3</v>
      </c>
      <c r="K132">
        <v>53.1</v>
      </c>
      <c r="L132">
        <v>51</v>
      </c>
      <c r="P132">
        <v>54.1</v>
      </c>
      <c r="Q132">
        <v>56.4</v>
      </c>
      <c r="U132">
        <v>54</v>
      </c>
      <c r="V132">
        <v>56.8</v>
      </c>
    </row>
    <row r="133" spans="1:22" x14ac:dyDescent="0.35">
      <c r="A133" s="50">
        <v>43252</v>
      </c>
      <c r="B133">
        <v>63</v>
      </c>
      <c r="C133">
        <v>47</v>
      </c>
      <c r="D133">
        <v>53.9</v>
      </c>
      <c r="E133">
        <v>55.2</v>
      </c>
      <c r="F133">
        <v>55.9</v>
      </c>
      <c r="G133">
        <v>54.5</v>
      </c>
      <c r="H133">
        <v>54.6</v>
      </c>
      <c r="I133">
        <v>52.6</v>
      </c>
      <c r="J133">
        <v>59.5</v>
      </c>
      <c r="K133">
        <v>54.3</v>
      </c>
      <c r="L133">
        <v>51.4</v>
      </c>
      <c r="P133">
        <v>52.3</v>
      </c>
      <c r="Q133">
        <v>55.4</v>
      </c>
      <c r="U133">
        <v>55.1</v>
      </c>
      <c r="V133">
        <v>56.5</v>
      </c>
    </row>
    <row r="134" spans="1:22" x14ac:dyDescent="0.35">
      <c r="A134" s="50">
        <v>43282</v>
      </c>
      <c r="B134">
        <v>53.6</v>
      </c>
      <c r="C134">
        <v>50.4</v>
      </c>
      <c r="D134">
        <v>52.8</v>
      </c>
      <c r="E134">
        <v>54.2</v>
      </c>
      <c r="F134">
        <v>54.9</v>
      </c>
      <c r="G134">
        <v>54.1</v>
      </c>
      <c r="H134">
        <v>54</v>
      </c>
      <c r="I134">
        <v>54.2</v>
      </c>
      <c r="J134">
        <v>57.4</v>
      </c>
      <c r="K134">
        <v>54</v>
      </c>
      <c r="L134">
        <v>51.3</v>
      </c>
      <c r="P134">
        <v>52.8</v>
      </c>
      <c r="Q134">
        <v>52.6</v>
      </c>
      <c r="U134">
        <v>53.5</v>
      </c>
      <c r="V134">
        <v>56</v>
      </c>
    </row>
    <row r="135" spans="1:22" x14ac:dyDescent="0.35">
      <c r="A135" s="50">
        <v>43313</v>
      </c>
      <c r="B135">
        <v>52.2</v>
      </c>
      <c r="C135">
        <v>46.8</v>
      </c>
      <c r="D135">
        <v>51.5</v>
      </c>
      <c r="E135">
        <v>54.4</v>
      </c>
      <c r="F135">
        <v>55.4</v>
      </c>
      <c r="G135">
        <v>55</v>
      </c>
      <c r="H135">
        <v>53.5</v>
      </c>
      <c r="I135">
        <v>51.5</v>
      </c>
      <c r="J135">
        <v>58</v>
      </c>
      <c r="K135">
        <v>52.6</v>
      </c>
      <c r="L135">
        <v>51.5</v>
      </c>
      <c r="P135">
        <v>53.3</v>
      </c>
      <c r="Q135">
        <v>52.7</v>
      </c>
      <c r="U135">
        <v>54.3</v>
      </c>
      <c r="V135">
        <v>55.2</v>
      </c>
    </row>
    <row r="136" spans="1:22" x14ac:dyDescent="0.35">
      <c r="A136" s="50">
        <v>43344</v>
      </c>
      <c r="B136">
        <v>52.5</v>
      </c>
      <c r="C136">
        <v>46.4</v>
      </c>
      <c r="D136">
        <v>53.1</v>
      </c>
      <c r="E136">
        <v>54.7</v>
      </c>
      <c r="F136">
        <v>54.8</v>
      </c>
      <c r="G136">
        <v>55.9</v>
      </c>
      <c r="H136">
        <v>52.9</v>
      </c>
      <c r="I136">
        <v>50.9</v>
      </c>
      <c r="J136">
        <v>58.7</v>
      </c>
      <c r="K136">
        <v>53.3</v>
      </c>
      <c r="L136">
        <v>50.2</v>
      </c>
      <c r="P136">
        <v>54.7</v>
      </c>
      <c r="Q136">
        <v>52.5</v>
      </c>
      <c r="U136">
        <v>53.9</v>
      </c>
      <c r="V136">
        <v>52.9</v>
      </c>
    </row>
    <row r="137" spans="1:22" x14ac:dyDescent="0.35">
      <c r="A137" s="50">
        <v>43374</v>
      </c>
      <c r="B137">
        <v>51.1</v>
      </c>
      <c r="C137">
        <v>50.5</v>
      </c>
      <c r="D137">
        <v>50.8</v>
      </c>
      <c r="E137">
        <v>53.7</v>
      </c>
      <c r="F137">
        <v>55.3</v>
      </c>
      <c r="G137">
        <v>54.7</v>
      </c>
      <c r="H137">
        <v>53.4</v>
      </c>
      <c r="I137">
        <v>52.2</v>
      </c>
      <c r="J137">
        <v>57.2</v>
      </c>
      <c r="K137">
        <v>49.2</v>
      </c>
      <c r="L137">
        <v>52.4</v>
      </c>
      <c r="P137">
        <v>56.9</v>
      </c>
      <c r="Q137">
        <v>54</v>
      </c>
      <c r="U137">
        <v>52.2</v>
      </c>
      <c r="V137">
        <v>54.8</v>
      </c>
    </row>
    <row r="138" spans="1:22" x14ac:dyDescent="0.35">
      <c r="A138" s="50">
        <v>43405</v>
      </c>
      <c r="B138">
        <v>55.1</v>
      </c>
      <c r="C138">
        <v>51.3</v>
      </c>
      <c r="D138">
        <v>53.8</v>
      </c>
      <c r="E138">
        <v>53.4</v>
      </c>
      <c r="F138">
        <v>55.1</v>
      </c>
      <c r="G138">
        <v>53.3</v>
      </c>
      <c r="H138">
        <v>53.7</v>
      </c>
      <c r="I138">
        <v>53.7</v>
      </c>
      <c r="J138">
        <v>57.1</v>
      </c>
      <c r="K138">
        <v>50.3</v>
      </c>
      <c r="L138">
        <v>52.3</v>
      </c>
      <c r="P138">
        <v>55.6</v>
      </c>
      <c r="Q138">
        <v>54</v>
      </c>
      <c r="U138">
        <v>50.4</v>
      </c>
      <c r="V138">
        <v>54.4</v>
      </c>
    </row>
    <row r="139" spans="1:22" x14ac:dyDescent="0.35">
      <c r="A139" s="50">
        <v>43435</v>
      </c>
      <c r="B139">
        <v>52.1</v>
      </c>
      <c r="C139">
        <v>51.9</v>
      </c>
      <c r="D139">
        <v>53.9</v>
      </c>
      <c r="E139">
        <v>51.2</v>
      </c>
      <c r="F139">
        <v>49</v>
      </c>
      <c r="G139">
        <v>51.8</v>
      </c>
      <c r="H139">
        <v>53</v>
      </c>
      <c r="I139">
        <v>53.2</v>
      </c>
      <c r="J139">
        <v>56.3</v>
      </c>
      <c r="K139">
        <v>50.5</v>
      </c>
      <c r="L139">
        <v>51</v>
      </c>
      <c r="P139">
        <v>54.4</v>
      </c>
      <c r="Q139">
        <v>54</v>
      </c>
      <c r="U139">
        <v>51.2</v>
      </c>
      <c r="V139">
        <v>54.4</v>
      </c>
    </row>
    <row r="140" spans="1:22" x14ac:dyDescent="0.35">
      <c r="A140" s="50">
        <v>43466</v>
      </c>
      <c r="B140">
        <v>44.3</v>
      </c>
      <c r="C140">
        <v>52</v>
      </c>
      <c r="D140">
        <v>53.6</v>
      </c>
      <c r="E140">
        <v>51.2</v>
      </c>
      <c r="F140">
        <v>47.8</v>
      </c>
      <c r="G140">
        <v>53</v>
      </c>
      <c r="H140">
        <v>52.6</v>
      </c>
      <c r="I140">
        <v>52.2</v>
      </c>
      <c r="J140">
        <v>54.2</v>
      </c>
      <c r="K140">
        <v>49.7</v>
      </c>
      <c r="L140">
        <v>51.6</v>
      </c>
      <c r="P140">
        <v>54.9</v>
      </c>
      <c r="Q140">
        <v>54.7</v>
      </c>
      <c r="U140">
        <v>50.1</v>
      </c>
      <c r="V140">
        <v>54.2</v>
      </c>
    </row>
    <row r="141" spans="1:22" x14ac:dyDescent="0.35">
      <c r="A141" s="50">
        <v>43497</v>
      </c>
      <c r="B141">
        <v>44.5</v>
      </c>
      <c r="C141">
        <v>52.2</v>
      </c>
      <c r="D141">
        <v>51.1</v>
      </c>
      <c r="E141">
        <v>52.8</v>
      </c>
      <c r="F141">
        <v>50.2</v>
      </c>
      <c r="G141">
        <v>55.3</v>
      </c>
      <c r="H141">
        <v>53.3</v>
      </c>
      <c r="I141">
        <v>52.5</v>
      </c>
      <c r="J141">
        <v>55.9</v>
      </c>
      <c r="K141">
        <v>50.4</v>
      </c>
      <c r="L141">
        <v>52.3</v>
      </c>
      <c r="P141">
        <v>55.3</v>
      </c>
      <c r="Q141">
        <v>54.5</v>
      </c>
      <c r="U141">
        <v>51.3</v>
      </c>
      <c r="V141">
        <v>56.2</v>
      </c>
    </row>
    <row r="142" spans="1:22" x14ac:dyDescent="0.35">
      <c r="A142" s="50">
        <v>43525</v>
      </c>
      <c r="B142">
        <v>44.8</v>
      </c>
      <c r="C142">
        <v>52.7</v>
      </c>
      <c r="D142">
        <v>54.4</v>
      </c>
      <c r="E142">
        <v>53.3</v>
      </c>
      <c r="F142">
        <v>49.1</v>
      </c>
      <c r="G142">
        <v>55.4</v>
      </c>
      <c r="H142">
        <v>53.7</v>
      </c>
      <c r="I142">
        <v>52</v>
      </c>
      <c r="J142">
        <v>55.3</v>
      </c>
      <c r="K142">
        <v>53.1</v>
      </c>
      <c r="L142">
        <v>52</v>
      </c>
      <c r="P142">
        <v>54.4</v>
      </c>
      <c r="Q142">
        <v>56.8</v>
      </c>
      <c r="U142">
        <v>48.9</v>
      </c>
      <c r="V142">
        <v>54.8</v>
      </c>
    </row>
    <row r="143" spans="1:22" x14ac:dyDescent="0.35">
      <c r="A143" s="50">
        <v>43556</v>
      </c>
      <c r="B143">
        <v>46.5</v>
      </c>
      <c r="C143">
        <v>49.9</v>
      </c>
      <c r="D143">
        <v>54.5</v>
      </c>
      <c r="E143">
        <v>52.8</v>
      </c>
      <c r="F143">
        <v>50.5</v>
      </c>
      <c r="G143">
        <v>55.7</v>
      </c>
      <c r="H143">
        <v>52.7</v>
      </c>
      <c r="I143">
        <v>51</v>
      </c>
      <c r="J143">
        <v>54.7</v>
      </c>
      <c r="K143">
        <v>50.4</v>
      </c>
      <c r="L143">
        <v>51.8</v>
      </c>
      <c r="P143">
        <v>52.6</v>
      </c>
      <c r="Q143">
        <v>53.1</v>
      </c>
      <c r="U143">
        <v>50.4</v>
      </c>
      <c r="V143">
        <v>53</v>
      </c>
    </row>
    <row r="144" spans="1:22" x14ac:dyDescent="0.35">
      <c r="A144" s="50">
        <v>43586</v>
      </c>
      <c r="B144">
        <v>52.5</v>
      </c>
      <c r="C144">
        <v>47.8</v>
      </c>
      <c r="D144">
        <v>52.7</v>
      </c>
      <c r="E144">
        <v>52.9</v>
      </c>
      <c r="F144">
        <v>51.5</v>
      </c>
      <c r="G144">
        <v>55.4</v>
      </c>
      <c r="H144">
        <v>51.6</v>
      </c>
      <c r="I144">
        <v>50.2</v>
      </c>
      <c r="J144">
        <v>57</v>
      </c>
      <c r="K144">
        <v>50</v>
      </c>
      <c r="L144">
        <v>51.7</v>
      </c>
      <c r="P144">
        <v>52</v>
      </c>
      <c r="Q144">
        <v>52.8</v>
      </c>
      <c r="U144">
        <v>51</v>
      </c>
      <c r="V144">
        <v>50.9</v>
      </c>
    </row>
    <row r="145" spans="1:22" x14ac:dyDescent="0.35">
      <c r="A145" s="50">
        <v>43617</v>
      </c>
      <c r="B145">
        <v>52.2</v>
      </c>
      <c r="C145">
        <v>48.2</v>
      </c>
      <c r="D145">
        <v>52</v>
      </c>
      <c r="E145">
        <v>53.6</v>
      </c>
      <c r="F145">
        <v>52.9</v>
      </c>
      <c r="G145">
        <v>55.8</v>
      </c>
      <c r="H145">
        <v>51.9</v>
      </c>
      <c r="I145">
        <v>49.6</v>
      </c>
      <c r="J145">
        <v>56.9</v>
      </c>
      <c r="K145">
        <v>50.5</v>
      </c>
      <c r="L145">
        <v>51.9</v>
      </c>
      <c r="P145">
        <v>49.7</v>
      </c>
      <c r="Q145">
        <v>53.6</v>
      </c>
      <c r="U145">
        <v>50.2</v>
      </c>
      <c r="V145">
        <v>51.5</v>
      </c>
    </row>
    <row r="146" spans="1:22" x14ac:dyDescent="0.35">
      <c r="A146" s="50">
        <v>43647</v>
      </c>
      <c r="B146">
        <v>43.9</v>
      </c>
      <c r="C146">
        <v>52.2</v>
      </c>
      <c r="D146">
        <v>51.6</v>
      </c>
      <c r="E146">
        <v>53.2</v>
      </c>
      <c r="F146">
        <v>52.6</v>
      </c>
      <c r="G146">
        <v>54.5</v>
      </c>
      <c r="H146">
        <v>52.5</v>
      </c>
      <c r="I146">
        <v>53.8</v>
      </c>
      <c r="J146">
        <v>55</v>
      </c>
      <c r="K146">
        <v>51.7</v>
      </c>
      <c r="L146">
        <v>51.8</v>
      </c>
      <c r="P146">
        <v>50.4</v>
      </c>
      <c r="Q146">
        <v>52.9</v>
      </c>
      <c r="U146">
        <v>51.4</v>
      </c>
      <c r="V146">
        <v>53</v>
      </c>
    </row>
    <row r="147" spans="1:22" x14ac:dyDescent="0.35">
      <c r="A147" s="50">
        <v>43678</v>
      </c>
      <c r="B147">
        <v>51.4</v>
      </c>
      <c r="C147">
        <v>51.4</v>
      </c>
      <c r="D147">
        <v>52.1</v>
      </c>
      <c r="E147">
        <v>53.5</v>
      </c>
      <c r="F147">
        <v>53.4</v>
      </c>
      <c r="G147">
        <v>54.8</v>
      </c>
      <c r="H147">
        <v>51.8</v>
      </c>
      <c r="I147">
        <v>52.4</v>
      </c>
      <c r="J147">
        <v>54.6</v>
      </c>
      <c r="K147">
        <v>50.6</v>
      </c>
      <c r="L147">
        <v>53.3</v>
      </c>
      <c r="P147">
        <v>52.1</v>
      </c>
      <c r="Q147">
        <v>54.3</v>
      </c>
      <c r="U147">
        <v>50.6</v>
      </c>
      <c r="V147">
        <v>50.7</v>
      </c>
    </row>
    <row r="148" spans="1:22" x14ac:dyDescent="0.35">
      <c r="A148" s="50">
        <v>43709</v>
      </c>
      <c r="B148">
        <v>51.5</v>
      </c>
      <c r="C148">
        <v>51.8</v>
      </c>
      <c r="D148">
        <v>51.3</v>
      </c>
      <c r="E148">
        <v>51.6</v>
      </c>
      <c r="F148">
        <v>51.1</v>
      </c>
      <c r="G148">
        <v>51.4</v>
      </c>
      <c r="H148">
        <v>51.6</v>
      </c>
      <c r="I148">
        <v>48.7</v>
      </c>
      <c r="J148">
        <v>53.1</v>
      </c>
      <c r="K148">
        <v>51.4</v>
      </c>
      <c r="L148">
        <v>52.8</v>
      </c>
      <c r="P148">
        <v>53.6</v>
      </c>
      <c r="Q148">
        <v>53.3</v>
      </c>
      <c r="U148">
        <v>49.5</v>
      </c>
      <c r="V148">
        <v>50.9</v>
      </c>
    </row>
    <row r="149" spans="1:22" x14ac:dyDescent="0.35">
      <c r="A149" s="50">
        <v>43739</v>
      </c>
      <c r="B149">
        <v>54.2</v>
      </c>
      <c r="C149">
        <v>51.2</v>
      </c>
      <c r="D149">
        <v>51.1</v>
      </c>
      <c r="E149">
        <v>52.2</v>
      </c>
      <c r="F149">
        <v>52.9</v>
      </c>
      <c r="G149">
        <v>51.6</v>
      </c>
      <c r="H149">
        <v>51</v>
      </c>
      <c r="I149">
        <v>49.2</v>
      </c>
      <c r="J149">
        <v>50.6</v>
      </c>
      <c r="K149">
        <v>52.2</v>
      </c>
      <c r="L149">
        <v>49.7</v>
      </c>
      <c r="P149">
        <v>55.8</v>
      </c>
      <c r="Q149">
        <v>52.7</v>
      </c>
      <c r="U149">
        <v>50</v>
      </c>
      <c r="V149">
        <v>50.6</v>
      </c>
    </row>
    <row r="150" spans="1:22" x14ac:dyDescent="0.35">
      <c r="A150" s="50">
        <v>43770</v>
      </c>
      <c r="B150">
        <v>53.7</v>
      </c>
      <c r="C150">
        <v>50.9</v>
      </c>
      <c r="D150">
        <v>53.5</v>
      </c>
      <c r="E150">
        <v>51.9</v>
      </c>
      <c r="F150">
        <v>52.2</v>
      </c>
      <c r="G150">
        <v>51.7</v>
      </c>
      <c r="H150">
        <v>51.6</v>
      </c>
      <c r="I150">
        <v>52.7</v>
      </c>
      <c r="J150">
        <v>52</v>
      </c>
      <c r="K150">
        <v>50.4</v>
      </c>
      <c r="L150">
        <v>50.3</v>
      </c>
      <c r="P150">
        <v>55.6</v>
      </c>
      <c r="Q150">
        <v>53.2</v>
      </c>
      <c r="U150">
        <v>49.3</v>
      </c>
      <c r="V150">
        <v>51.6</v>
      </c>
    </row>
    <row r="151" spans="1:22" x14ac:dyDescent="0.35">
      <c r="A151" s="50">
        <v>43800</v>
      </c>
      <c r="B151">
        <v>48.7</v>
      </c>
      <c r="C151">
        <v>51</v>
      </c>
      <c r="D151">
        <v>52.5</v>
      </c>
      <c r="E151">
        <v>52.8</v>
      </c>
      <c r="F151">
        <v>52.4</v>
      </c>
      <c r="G151">
        <v>52.9</v>
      </c>
      <c r="H151">
        <v>52</v>
      </c>
      <c r="I151">
        <v>53.3</v>
      </c>
      <c r="J151">
        <v>55.9</v>
      </c>
      <c r="K151">
        <v>51.1</v>
      </c>
      <c r="L151">
        <v>49.4</v>
      </c>
      <c r="P151">
        <v>53.1</v>
      </c>
      <c r="Q151">
        <v>54.9</v>
      </c>
      <c r="U151">
        <v>50</v>
      </c>
      <c r="V151">
        <v>52.8</v>
      </c>
    </row>
    <row r="152" spans="1:22" x14ac:dyDescent="0.35">
      <c r="A152" s="50">
        <v>43831</v>
      </c>
      <c r="B152">
        <v>46.6</v>
      </c>
      <c r="C152">
        <v>52.7</v>
      </c>
      <c r="D152">
        <v>51.8</v>
      </c>
      <c r="E152">
        <v>52.5</v>
      </c>
      <c r="F152">
        <v>51</v>
      </c>
      <c r="G152">
        <v>54.2</v>
      </c>
      <c r="H152">
        <v>52.7</v>
      </c>
      <c r="I152">
        <v>55.5</v>
      </c>
      <c r="J152">
        <v>56.9</v>
      </c>
      <c r="K152">
        <v>51.4</v>
      </c>
      <c r="L152">
        <v>51</v>
      </c>
      <c r="P152">
        <v>54.1</v>
      </c>
      <c r="Q152">
        <v>52.3</v>
      </c>
      <c r="U152">
        <v>53.9</v>
      </c>
      <c r="V152">
        <v>53.4</v>
      </c>
    </row>
    <row r="153" spans="1:22" x14ac:dyDescent="0.35">
      <c r="A153" s="50">
        <v>43862</v>
      </c>
      <c r="B153">
        <v>47</v>
      </c>
      <c r="C153">
        <v>50.4</v>
      </c>
      <c r="D153">
        <v>26.5</v>
      </c>
      <c r="E153">
        <v>52.6</v>
      </c>
      <c r="F153">
        <v>52.5</v>
      </c>
      <c r="G153">
        <v>52.5</v>
      </c>
      <c r="H153">
        <v>47.1</v>
      </c>
      <c r="I153">
        <v>57.5</v>
      </c>
      <c r="J153">
        <v>59.9</v>
      </c>
      <c r="K153">
        <v>52.1</v>
      </c>
      <c r="L153">
        <v>46.8</v>
      </c>
      <c r="P153">
        <v>52</v>
      </c>
      <c r="Q153">
        <v>52.1</v>
      </c>
      <c r="U153">
        <v>53.2</v>
      </c>
      <c r="V153">
        <v>49.4</v>
      </c>
    </row>
    <row r="154" spans="1:22" x14ac:dyDescent="0.35">
      <c r="A154" s="50">
        <v>43891</v>
      </c>
      <c r="B154">
        <v>38.700000000000003</v>
      </c>
      <c r="C154">
        <v>34.5</v>
      </c>
      <c r="D154">
        <v>43</v>
      </c>
      <c r="E154">
        <v>26.4</v>
      </c>
      <c r="F154">
        <v>27.4</v>
      </c>
      <c r="G154">
        <v>31.7</v>
      </c>
      <c r="H154">
        <v>36.799999999999997</v>
      </c>
      <c r="I154">
        <v>49.3</v>
      </c>
      <c r="J154">
        <v>32.5</v>
      </c>
      <c r="K154">
        <v>17.399999999999999</v>
      </c>
      <c r="L154">
        <v>33.799999999999997</v>
      </c>
      <c r="P154">
        <v>37.1</v>
      </c>
      <c r="Q154">
        <v>23</v>
      </c>
      <c r="U154">
        <v>34.5</v>
      </c>
      <c r="V154">
        <v>39.799999999999997</v>
      </c>
    </row>
    <row r="155" spans="1:22" x14ac:dyDescent="0.35">
      <c r="A155" s="50">
        <v>43922</v>
      </c>
      <c r="B155">
        <v>27.1</v>
      </c>
      <c r="C155">
        <v>27.4</v>
      </c>
      <c r="D155">
        <v>44.4</v>
      </c>
      <c r="E155">
        <v>12</v>
      </c>
      <c r="F155">
        <v>10.199999999999999</v>
      </c>
      <c r="G155">
        <v>16.2</v>
      </c>
      <c r="H155">
        <v>24</v>
      </c>
      <c r="I155">
        <v>49.3</v>
      </c>
      <c r="J155">
        <v>13.9</v>
      </c>
      <c r="K155">
        <v>10.8</v>
      </c>
      <c r="L155">
        <v>22.8</v>
      </c>
      <c r="P155">
        <v>12.2</v>
      </c>
      <c r="Q155">
        <v>7.1</v>
      </c>
      <c r="U155">
        <v>13.4</v>
      </c>
      <c r="V155">
        <v>26.7</v>
      </c>
    </row>
    <row r="156" spans="1:22" x14ac:dyDescent="0.35">
      <c r="A156" s="50">
        <v>43952</v>
      </c>
      <c r="B156">
        <v>31.6</v>
      </c>
      <c r="C156">
        <v>27.6</v>
      </c>
      <c r="D156">
        <v>55</v>
      </c>
      <c r="E156">
        <v>30.5</v>
      </c>
      <c r="F156">
        <v>31.1</v>
      </c>
      <c r="G156">
        <v>32.6</v>
      </c>
      <c r="H156">
        <v>35.1</v>
      </c>
      <c r="I156">
        <v>12.6</v>
      </c>
      <c r="J156">
        <v>23.4</v>
      </c>
      <c r="K156">
        <v>28.9</v>
      </c>
      <c r="L156">
        <v>26.5</v>
      </c>
      <c r="P156">
        <v>35.9</v>
      </c>
      <c r="Q156">
        <v>27.9</v>
      </c>
      <c r="U156">
        <v>29</v>
      </c>
      <c r="V156">
        <v>37.5</v>
      </c>
    </row>
    <row r="157" spans="1:22" x14ac:dyDescent="0.35">
      <c r="A157" s="50">
        <v>43983</v>
      </c>
      <c r="B157">
        <v>31.5</v>
      </c>
      <c r="C157">
        <v>35.9</v>
      </c>
      <c r="D157">
        <v>58.4</v>
      </c>
      <c r="E157">
        <v>48.3</v>
      </c>
      <c r="F157">
        <v>50.7</v>
      </c>
      <c r="G157">
        <v>47.3</v>
      </c>
      <c r="H157">
        <v>48</v>
      </c>
      <c r="I157">
        <v>33.700000000000003</v>
      </c>
      <c r="J157">
        <v>39.700000000000003</v>
      </c>
      <c r="K157">
        <v>46.4</v>
      </c>
      <c r="L157">
        <v>45</v>
      </c>
      <c r="P157">
        <v>47.8</v>
      </c>
      <c r="Q157">
        <v>50.2</v>
      </c>
      <c r="U157">
        <v>47.1</v>
      </c>
      <c r="V157">
        <v>47.9</v>
      </c>
    </row>
    <row r="158" spans="1:22" x14ac:dyDescent="0.35">
      <c r="A158" s="50">
        <v>44013</v>
      </c>
      <c r="B158">
        <v>44</v>
      </c>
      <c r="C158">
        <v>42.5</v>
      </c>
      <c r="D158">
        <v>54.1</v>
      </c>
      <c r="E158">
        <v>54.7</v>
      </c>
      <c r="F158">
        <v>57.3</v>
      </c>
      <c r="G158">
        <v>55.6</v>
      </c>
      <c r="H158">
        <v>50.6</v>
      </c>
      <c r="I158">
        <v>34.200000000000003</v>
      </c>
      <c r="J158">
        <v>51.9</v>
      </c>
      <c r="K158">
        <v>51.6</v>
      </c>
      <c r="L158">
        <v>45.4</v>
      </c>
      <c r="P158">
        <v>58.5</v>
      </c>
      <c r="Q158">
        <v>51.9</v>
      </c>
      <c r="U158">
        <v>56.5</v>
      </c>
      <c r="V158">
        <v>50</v>
      </c>
    </row>
    <row r="159" spans="1:22" x14ac:dyDescent="0.35">
      <c r="A159" s="50">
        <v>44044</v>
      </c>
      <c r="B159">
        <v>43.5</v>
      </c>
      <c r="C159">
        <v>49.5</v>
      </c>
      <c r="D159">
        <v>54</v>
      </c>
      <c r="E159">
        <v>50.5</v>
      </c>
      <c r="F159">
        <v>51.5</v>
      </c>
      <c r="G159">
        <v>52.5</v>
      </c>
      <c r="H159">
        <v>52</v>
      </c>
      <c r="I159">
        <v>41.8</v>
      </c>
      <c r="J159">
        <v>52.4</v>
      </c>
      <c r="K159">
        <v>47.1</v>
      </c>
      <c r="L159">
        <v>45</v>
      </c>
      <c r="P159">
        <v>58.2</v>
      </c>
      <c r="Q159">
        <v>47.7</v>
      </c>
      <c r="U159">
        <v>58.8</v>
      </c>
      <c r="V159">
        <v>55</v>
      </c>
    </row>
    <row r="160" spans="1:22" x14ac:dyDescent="0.35">
      <c r="A160" s="50">
        <v>44075</v>
      </c>
      <c r="B160">
        <v>36.200000000000003</v>
      </c>
      <c r="C160">
        <v>50.4</v>
      </c>
      <c r="D160">
        <v>54.8</v>
      </c>
      <c r="E160">
        <v>48</v>
      </c>
      <c r="F160">
        <v>47.5</v>
      </c>
      <c r="G160">
        <v>50.6</v>
      </c>
      <c r="H160">
        <v>52</v>
      </c>
      <c r="I160">
        <v>49.8</v>
      </c>
      <c r="J160">
        <v>45.8</v>
      </c>
      <c r="K160">
        <v>48.8</v>
      </c>
      <c r="L160">
        <v>46.9</v>
      </c>
      <c r="P160">
        <v>53.7</v>
      </c>
      <c r="Q160">
        <v>42.4</v>
      </c>
      <c r="U160">
        <v>56.1</v>
      </c>
      <c r="V160">
        <v>54.6</v>
      </c>
    </row>
    <row r="161" spans="1:22" x14ac:dyDescent="0.35">
      <c r="A161" s="50">
        <v>44105</v>
      </c>
      <c r="B161">
        <v>51.4</v>
      </c>
      <c r="C161">
        <v>52.3</v>
      </c>
      <c r="D161">
        <v>56.8</v>
      </c>
      <c r="E161">
        <v>46.9</v>
      </c>
      <c r="F161">
        <v>46.5</v>
      </c>
      <c r="G161">
        <v>49.5</v>
      </c>
      <c r="H161">
        <v>52.9</v>
      </c>
      <c r="I161">
        <v>54.1</v>
      </c>
      <c r="J161">
        <v>48.3</v>
      </c>
      <c r="K161">
        <v>46.7</v>
      </c>
      <c r="L161">
        <v>47.7</v>
      </c>
      <c r="P161">
        <v>46.9</v>
      </c>
      <c r="Q161">
        <v>41.4</v>
      </c>
      <c r="U161">
        <v>51.4</v>
      </c>
      <c r="V161">
        <v>56.9</v>
      </c>
    </row>
    <row r="162" spans="1:22" x14ac:dyDescent="0.35">
      <c r="A162" s="50">
        <v>44136</v>
      </c>
      <c r="B162">
        <v>52.9</v>
      </c>
      <c r="C162">
        <v>50.9</v>
      </c>
      <c r="D162">
        <v>57.8</v>
      </c>
      <c r="E162">
        <v>41.7</v>
      </c>
      <c r="F162">
        <v>38.799999999999997</v>
      </c>
      <c r="G162">
        <v>46</v>
      </c>
      <c r="H162">
        <v>52.2</v>
      </c>
      <c r="I162">
        <v>53.7</v>
      </c>
      <c r="J162">
        <v>45.4</v>
      </c>
      <c r="K162">
        <v>39.4</v>
      </c>
      <c r="L162">
        <v>47.8</v>
      </c>
      <c r="P162">
        <v>48.2</v>
      </c>
      <c r="Q162">
        <v>39.5</v>
      </c>
      <c r="U162">
        <v>47.6</v>
      </c>
      <c r="V162">
        <v>58.4</v>
      </c>
    </row>
    <row r="163" spans="1:22" x14ac:dyDescent="0.35">
      <c r="A163" s="50">
        <v>44166</v>
      </c>
      <c r="B163">
        <v>54.3</v>
      </c>
      <c r="C163">
        <v>51.1</v>
      </c>
      <c r="D163">
        <v>56.3</v>
      </c>
      <c r="E163">
        <v>46.4</v>
      </c>
      <c r="F163">
        <v>49.1</v>
      </c>
      <c r="G163">
        <v>47</v>
      </c>
      <c r="H163">
        <v>51.8</v>
      </c>
      <c r="I163">
        <v>52.3</v>
      </c>
      <c r="J163">
        <v>50.1</v>
      </c>
      <c r="K163">
        <v>39.700000000000003</v>
      </c>
      <c r="L163">
        <v>47.2</v>
      </c>
      <c r="P163">
        <v>48</v>
      </c>
      <c r="Q163">
        <v>48</v>
      </c>
      <c r="U163">
        <v>49.4</v>
      </c>
      <c r="V163">
        <v>54.8</v>
      </c>
    </row>
    <row r="164" spans="1:22" x14ac:dyDescent="0.35">
      <c r="A164" s="50">
        <v>44197</v>
      </c>
      <c r="B164">
        <v>54.3</v>
      </c>
      <c r="C164">
        <v>47</v>
      </c>
      <c r="D164">
        <v>52</v>
      </c>
      <c r="E164">
        <v>45.4</v>
      </c>
      <c r="F164">
        <v>47.3</v>
      </c>
      <c r="G164">
        <v>46.7</v>
      </c>
      <c r="H164">
        <v>51.6</v>
      </c>
      <c r="I164">
        <v>52.8</v>
      </c>
      <c r="J164">
        <v>36.200000000000003</v>
      </c>
      <c r="K164">
        <v>44.7</v>
      </c>
      <c r="L164">
        <v>46.1</v>
      </c>
      <c r="P164">
        <v>52.7</v>
      </c>
      <c r="Q164">
        <v>41.7</v>
      </c>
      <c r="U164">
        <v>39.5</v>
      </c>
      <c r="V164">
        <v>58.3</v>
      </c>
    </row>
    <row r="165" spans="1:22" x14ac:dyDescent="0.35">
      <c r="A165" s="50">
        <v>44228</v>
      </c>
      <c r="B165">
        <v>55.8</v>
      </c>
      <c r="C165">
        <v>47.1</v>
      </c>
      <c r="D165">
        <v>51.5</v>
      </c>
      <c r="E165">
        <v>45.7</v>
      </c>
      <c r="F165">
        <v>45.6</v>
      </c>
      <c r="G165">
        <v>45.7</v>
      </c>
      <c r="H165">
        <v>52.8</v>
      </c>
      <c r="I165">
        <v>55.3</v>
      </c>
      <c r="J165">
        <v>41.2</v>
      </c>
      <c r="K165">
        <v>48.8</v>
      </c>
      <c r="L165">
        <v>46.3</v>
      </c>
      <c r="P165">
        <v>52.2</v>
      </c>
      <c r="Q165">
        <v>43.1</v>
      </c>
      <c r="U165">
        <v>49.5</v>
      </c>
      <c r="V165">
        <v>59.8</v>
      </c>
    </row>
    <row r="166" spans="1:22" x14ac:dyDescent="0.35">
      <c r="A166" s="50">
        <v>44256</v>
      </c>
      <c r="B166">
        <v>58.7</v>
      </c>
      <c r="C166">
        <v>44.1</v>
      </c>
      <c r="D166">
        <v>54.3</v>
      </c>
      <c r="E166">
        <v>49.6</v>
      </c>
      <c r="F166">
        <v>48.2</v>
      </c>
      <c r="G166">
        <v>51.5</v>
      </c>
      <c r="H166">
        <v>54.7</v>
      </c>
      <c r="I166">
        <v>54.6</v>
      </c>
      <c r="J166">
        <v>54.6</v>
      </c>
      <c r="K166">
        <v>48.6</v>
      </c>
      <c r="L166">
        <v>48.3</v>
      </c>
      <c r="P166">
        <v>55.8</v>
      </c>
      <c r="Q166">
        <v>48.1</v>
      </c>
      <c r="U166">
        <v>56.3</v>
      </c>
      <c r="V166">
        <v>60.4</v>
      </c>
    </row>
    <row r="167" spans="1:22" x14ac:dyDescent="0.35">
      <c r="A167" s="50">
        <v>44287</v>
      </c>
      <c r="B167">
        <v>61</v>
      </c>
      <c r="C167">
        <v>42.9</v>
      </c>
      <c r="D167">
        <v>56.3</v>
      </c>
      <c r="E167">
        <v>50.5</v>
      </c>
      <c r="F167">
        <v>50.3</v>
      </c>
      <c r="G167">
        <v>49.9</v>
      </c>
      <c r="H167">
        <v>57</v>
      </c>
      <c r="I167">
        <v>54</v>
      </c>
      <c r="J167">
        <v>57.7</v>
      </c>
      <c r="K167">
        <v>47.3</v>
      </c>
      <c r="L167">
        <v>49.5</v>
      </c>
      <c r="P167">
        <v>55.2</v>
      </c>
      <c r="Q167">
        <v>54.6</v>
      </c>
      <c r="U167">
        <v>60.1</v>
      </c>
      <c r="V167">
        <v>64.7</v>
      </c>
    </row>
    <row r="168" spans="1:22" x14ac:dyDescent="0.35">
      <c r="A168" s="50">
        <v>44317</v>
      </c>
      <c r="B168">
        <v>61.2</v>
      </c>
      <c r="C168">
        <v>48.3</v>
      </c>
      <c r="D168">
        <v>55.1</v>
      </c>
      <c r="E168">
        <v>55.2</v>
      </c>
      <c r="F168">
        <v>56.6</v>
      </c>
      <c r="G168">
        <v>52.8</v>
      </c>
      <c r="H168">
        <v>59.5</v>
      </c>
      <c r="I168">
        <v>46.4</v>
      </c>
      <c r="J168">
        <v>62.1</v>
      </c>
      <c r="K168">
        <v>53.1</v>
      </c>
      <c r="L168">
        <v>46.5</v>
      </c>
      <c r="P168">
        <v>57.5</v>
      </c>
      <c r="Q168">
        <v>59.4</v>
      </c>
      <c r="U168">
        <v>62.9</v>
      </c>
      <c r="V168">
        <v>70.400000000000006</v>
      </c>
    </row>
    <row r="169" spans="1:22" x14ac:dyDescent="0.35">
      <c r="A169" s="50">
        <v>44348</v>
      </c>
      <c r="B169">
        <v>57.8</v>
      </c>
      <c r="C169">
        <v>53.9</v>
      </c>
      <c r="D169">
        <v>50.3</v>
      </c>
      <c r="E169">
        <v>58.3</v>
      </c>
      <c r="F169">
        <v>57.8</v>
      </c>
      <c r="G169">
        <v>57.5</v>
      </c>
      <c r="H169">
        <v>57.4</v>
      </c>
      <c r="I169">
        <v>41.2</v>
      </c>
      <c r="J169">
        <v>63.1</v>
      </c>
      <c r="K169">
        <v>56.8</v>
      </c>
      <c r="L169">
        <v>48</v>
      </c>
      <c r="P169">
        <v>56.5</v>
      </c>
      <c r="Q169">
        <v>62.5</v>
      </c>
      <c r="U169">
        <v>62.4</v>
      </c>
      <c r="V169">
        <v>64.599999999999994</v>
      </c>
    </row>
    <row r="170" spans="1:22" x14ac:dyDescent="0.35">
      <c r="A170" s="50">
        <v>44378</v>
      </c>
      <c r="B170">
        <v>51.7</v>
      </c>
      <c r="C170">
        <v>54.4</v>
      </c>
      <c r="D170">
        <v>54.9</v>
      </c>
      <c r="E170">
        <v>59.8</v>
      </c>
      <c r="F170">
        <v>56.8</v>
      </c>
      <c r="G170">
        <v>61.8</v>
      </c>
      <c r="H170">
        <v>56.3</v>
      </c>
      <c r="I170">
        <v>45.4</v>
      </c>
      <c r="J170">
        <v>66.599999999999994</v>
      </c>
      <c r="K170">
        <v>58</v>
      </c>
      <c r="L170">
        <v>47.4</v>
      </c>
      <c r="P170">
        <v>53.5</v>
      </c>
      <c r="Q170">
        <v>61.9</v>
      </c>
      <c r="U170">
        <v>59.6</v>
      </c>
      <c r="V170">
        <v>59.9</v>
      </c>
    </row>
    <row r="171" spans="1:22" x14ac:dyDescent="0.35">
      <c r="A171" s="50">
        <v>44409</v>
      </c>
      <c r="B171">
        <v>45.6</v>
      </c>
      <c r="C171">
        <v>55.1</v>
      </c>
      <c r="D171">
        <v>46.7</v>
      </c>
      <c r="E171">
        <v>59</v>
      </c>
      <c r="F171">
        <v>56.3</v>
      </c>
      <c r="G171">
        <v>60.8</v>
      </c>
      <c r="H171">
        <v>52.8</v>
      </c>
      <c r="I171">
        <v>56.7</v>
      </c>
      <c r="J171">
        <v>63.7</v>
      </c>
      <c r="K171">
        <v>58</v>
      </c>
      <c r="L171">
        <v>42.9</v>
      </c>
      <c r="P171">
        <v>49.3</v>
      </c>
      <c r="Q171">
        <v>60.1</v>
      </c>
      <c r="T171">
        <v>61.3</v>
      </c>
      <c r="U171">
        <v>55</v>
      </c>
      <c r="V171">
        <v>55.1</v>
      </c>
    </row>
    <row r="172" spans="1:22" x14ac:dyDescent="0.35">
      <c r="A172" s="50">
        <v>44440</v>
      </c>
      <c r="B172">
        <v>45.7</v>
      </c>
      <c r="C172">
        <v>54.6</v>
      </c>
      <c r="D172">
        <v>53.4</v>
      </c>
      <c r="E172">
        <v>56.4</v>
      </c>
      <c r="F172">
        <v>56.2</v>
      </c>
      <c r="G172">
        <v>56.2</v>
      </c>
      <c r="H172">
        <v>53.8</v>
      </c>
      <c r="I172">
        <v>55.2</v>
      </c>
      <c r="J172">
        <v>63.7</v>
      </c>
      <c r="K172">
        <v>55.5</v>
      </c>
      <c r="L172">
        <v>47.8</v>
      </c>
      <c r="P172">
        <v>50.5</v>
      </c>
      <c r="Q172">
        <v>56.9</v>
      </c>
      <c r="U172">
        <v>55.4</v>
      </c>
      <c r="V172">
        <v>54.9</v>
      </c>
    </row>
    <row r="173" spans="1:22" x14ac:dyDescent="0.35">
      <c r="A173" s="50">
        <v>44470</v>
      </c>
      <c r="B173">
        <v>47.6</v>
      </c>
      <c r="C173">
        <v>54.9</v>
      </c>
      <c r="D173">
        <v>53.8</v>
      </c>
      <c r="E173">
        <v>54.6</v>
      </c>
      <c r="F173">
        <v>56.6</v>
      </c>
      <c r="G173">
        <v>52.4</v>
      </c>
      <c r="H173">
        <v>55.6</v>
      </c>
      <c r="I173">
        <v>58.4</v>
      </c>
      <c r="J173">
        <v>63.4</v>
      </c>
      <c r="K173">
        <v>52.4</v>
      </c>
      <c r="L173">
        <v>50.7</v>
      </c>
      <c r="P173">
        <v>58.8</v>
      </c>
      <c r="Q173">
        <v>56.6</v>
      </c>
      <c r="U173">
        <v>59.1</v>
      </c>
      <c r="V173">
        <v>58.7</v>
      </c>
    </row>
    <row r="174" spans="1:22" x14ac:dyDescent="0.35">
      <c r="A174" s="50">
        <v>44501</v>
      </c>
      <c r="B174">
        <v>47.6</v>
      </c>
      <c r="C174">
        <v>53.6</v>
      </c>
      <c r="D174">
        <v>52.1</v>
      </c>
      <c r="E174">
        <v>55.9</v>
      </c>
      <c r="F174">
        <v>57.4</v>
      </c>
      <c r="G174">
        <v>52.7</v>
      </c>
      <c r="H174">
        <v>55.6</v>
      </c>
      <c r="I174">
        <v>58.1</v>
      </c>
      <c r="J174">
        <v>59.3</v>
      </c>
      <c r="K174">
        <v>55.9</v>
      </c>
      <c r="L174">
        <v>53</v>
      </c>
      <c r="P174">
        <v>47.1</v>
      </c>
      <c r="Q174">
        <v>59.8</v>
      </c>
      <c r="U174">
        <v>58.5</v>
      </c>
      <c r="V174">
        <v>58</v>
      </c>
    </row>
    <row r="175" spans="1:22" x14ac:dyDescent="0.35">
      <c r="A175" s="50">
        <v>44531</v>
      </c>
      <c r="B175">
        <v>49.6</v>
      </c>
      <c r="C175">
        <v>53.6</v>
      </c>
      <c r="D175">
        <v>53.1</v>
      </c>
      <c r="E175">
        <v>53.1</v>
      </c>
      <c r="F175">
        <v>57</v>
      </c>
      <c r="G175">
        <v>48.7</v>
      </c>
      <c r="H175">
        <v>54.6</v>
      </c>
      <c r="I175">
        <v>55.5</v>
      </c>
      <c r="J175">
        <v>55.4</v>
      </c>
      <c r="K175">
        <v>53</v>
      </c>
      <c r="L175">
        <v>52.1</v>
      </c>
      <c r="N175">
        <v>49.7</v>
      </c>
      <c r="O175">
        <v>48</v>
      </c>
      <c r="P175">
        <v>49.5</v>
      </c>
      <c r="Q175">
        <v>55.8</v>
      </c>
      <c r="R175">
        <v>62.4</v>
      </c>
      <c r="U175">
        <v>53.6</v>
      </c>
      <c r="V175">
        <v>57.6</v>
      </c>
    </row>
    <row r="176" spans="1:22" x14ac:dyDescent="0.35">
      <c r="A176" s="50">
        <v>44562</v>
      </c>
      <c r="B176">
        <v>56.2</v>
      </c>
      <c r="C176">
        <v>52.8</v>
      </c>
      <c r="D176">
        <v>51.4</v>
      </c>
      <c r="E176">
        <v>51.1</v>
      </c>
      <c r="F176">
        <v>53.1</v>
      </c>
      <c r="G176">
        <v>52.2</v>
      </c>
      <c r="H176">
        <v>51.3</v>
      </c>
      <c r="I176">
        <v>51.5</v>
      </c>
      <c r="J176">
        <v>56.2</v>
      </c>
      <c r="K176">
        <v>48.5</v>
      </c>
      <c r="L176">
        <v>47.6</v>
      </c>
      <c r="M176">
        <v>27.3</v>
      </c>
      <c r="N176">
        <v>45.9</v>
      </c>
      <c r="P176">
        <v>49.8</v>
      </c>
      <c r="Q176">
        <v>46.6</v>
      </c>
      <c r="R176">
        <v>57.5</v>
      </c>
      <c r="S176">
        <v>68.599999999999994</v>
      </c>
      <c r="T176">
        <v>56.44</v>
      </c>
      <c r="U176">
        <v>54.1</v>
      </c>
      <c r="V176">
        <v>51.2</v>
      </c>
    </row>
    <row r="177" spans="1:22" x14ac:dyDescent="0.35">
      <c r="A177" s="50">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35">
      <c r="A178" s="50">
        <v>44621</v>
      </c>
      <c r="B178">
        <v>56.2</v>
      </c>
      <c r="C178">
        <v>58.1</v>
      </c>
      <c r="D178">
        <v>42</v>
      </c>
      <c r="E178">
        <v>54.8</v>
      </c>
      <c r="F178">
        <v>57.4</v>
      </c>
      <c r="G178">
        <v>55</v>
      </c>
      <c r="H178">
        <v>52.7</v>
      </c>
      <c r="I178">
        <v>53.6</v>
      </c>
      <c r="J178">
        <v>63.4</v>
      </c>
      <c r="K178">
        <v>52.1</v>
      </c>
      <c r="L178">
        <v>48.7</v>
      </c>
      <c r="M178">
        <v>49</v>
      </c>
      <c r="N178">
        <v>51.6</v>
      </c>
      <c r="P178">
        <v>38.1</v>
      </c>
      <c r="Q178">
        <v>53.4</v>
      </c>
      <c r="R178">
        <v>51.3</v>
      </c>
      <c r="S178">
        <v>65.3</v>
      </c>
      <c r="T178">
        <v>61.12</v>
      </c>
      <c r="U178">
        <v>61</v>
      </c>
      <c r="V178">
        <v>58.9</v>
      </c>
    </row>
    <row r="179" spans="1:22" x14ac:dyDescent="0.35">
      <c r="A179" s="50">
        <v>44652</v>
      </c>
      <c r="B179">
        <v>57.8</v>
      </c>
      <c r="C179">
        <v>60.6</v>
      </c>
      <c r="D179">
        <v>36.200000000000003</v>
      </c>
      <c r="E179">
        <v>57.7</v>
      </c>
      <c r="F179">
        <v>58.8</v>
      </c>
      <c r="G179">
        <v>57.9</v>
      </c>
      <c r="H179">
        <v>51</v>
      </c>
      <c r="I179">
        <v>57.9</v>
      </c>
      <c r="J179">
        <v>61.7</v>
      </c>
      <c r="K179">
        <v>55.7</v>
      </c>
      <c r="L179">
        <v>50.5</v>
      </c>
      <c r="M179">
        <v>51.4</v>
      </c>
      <c r="N179">
        <v>51.4</v>
      </c>
      <c r="P179">
        <v>44.5</v>
      </c>
      <c r="Q179">
        <v>57.1</v>
      </c>
      <c r="R179">
        <v>43.8</v>
      </c>
      <c r="S179">
        <v>68.099999999999994</v>
      </c>
      <c r="T179">
        <v>56.22</v>
      </c>
      <c r="U179">
        <v>58.3</v>
      </c>
      <c r="V179">
        <v>54.7</v>
      </c>
    </row>
    <row r="180" spans="1:22" x14ac:dyDescent="0.35">
      <c r="A180" s="50">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35">
      <c r="A181" s="50">
        <v>44713</v>
      </c>
      <c r="B181">
        <v>48.8</v>
      </c>
      <c r="C181">
        <v>60.8</v>
      </c>
      <c r="D181">
        <v>54.5</v>
      </c>
      <c r="E181">
        <v>52.8</v>
      </c>
      <c r="F181">
        <v>54.4</v>
      </c>
      <c r="G181">
        <v>52.4</v>
      </c>
      <c r="H181">
        <v>53.5</v>
      </c>
      <c r="I181">
        <v>59.2</v>
      </c>
      <c r="J181">
        <v>55.6</v>
      </c>
      <c r="K181">
        <v>51.6</v>
      </c>
      <c r="L181">
        <v>54.2</v>
      </c>
      <c r="M181">
        <v>54.3</v>
      </c>
      <c r="N181">
        <v>55.4</v>
      </c>
      <c r="P181">
        <v>51.7</v>
      </c>
      <c r="Q181">
        <v>54</v>
      </c>
      <c r="R181">
        <v>40.299999999999997</v>
      </c>
      <c r="S181">
        <v>62.8</v>
      </c>
      <c r="T181">
        <v>58.98</v>
      </c>
      <c r="U181">
        <v>53.4</v>
      </c>
      <c r="V181">
        <v>51.6</v>
      </c>
    </row>
    <row r="182" spans="1:22" x14ac:dyDescent="0.35">
      <c r="A182" s="50">
        <v>44743</v>
      </c>
      <c r="B182">
        <v>51.7</v>
      </c>
      <c r="C182">
        <v>55.8</v>
      </c>
      <c r="D182">
        <v>55.5</v>
      </c>
      <c r="E182">
        <v>51.2</v>
      </c>
      <c r="F182">
        <v>53.2</v>
      </c>
      <c r="G182">
        <v>49.7</v>
      </c>
      <c r="I182">
        <v>55.5</v>
      </c>
      <c r="J182">
        <v>56.3</v>
      </c>
      <c r="K182">
        <v>48.4</v>
      </c>
      <c r="L182">
        <v>50.3</v>
      </c>
      <c r="M182">
        <v>54.6</v>
      </c>
      <c r="N182">
        <v>51.2</v>
      </c>
      <c r="O182">
        <v>50.4</v>
      </c>
      <c r="P182">
        <v>54.7</v>
      </c>
      <c r="Q182">
        <v>53.8</v>
      </c>
      <c r="R182">
        <v>43</v>
      </c>
      <c r="S182">
        <v>58.8</v>
      </c>
      <c r="T182">
        <v>55.17</v>
      </c>
      <c r="U182">
        <v>52.6</v>
      </c>
      <c r="V182">
        <v>47.3</v>
      </c>
    </row>
    <row r="183" spans="1:22" x14ac:dyDescent="0.35">
      <c r="A183" s="50">
        <v>44774</v>
      </c>
      <c r="B183">
        <v>53.3</v>
      </c>
      <c r="C183">
        <v>53.9</v>
      </c>
      <c r="D183">
        <v>55</v>
      </c>
      <c r="E183">
        <v>49.8</v>
      </c>
      <c r="F183">
        <v>51.2</v>
      </c>
      <c r="G183">
        <v>47.7</v>
      </c>
      <c r="I183">
        <v>57.2</v>
      </c>
      <c r="J183">
        <v>54.7</v>
      </c>
      <c r="K183">
        <v>50.5</v>
      </c>
      <c r="L183">
        <v>49.5</v>
      </c>
      <c r="M183">
        <v>52.7</v>
      </c>
      <c r="N183">
        <v>58.6</v>
      </c>
      <c r="P183">
        <v>49.9</v>
      </c>
      <c r="Q183">
        <v>50.6</v>
      </c>
      <c r="R183">
        <v>51.7</v>
      </c>
      <c r="S183">
        <v>59.4</v>
      </c>
      <c r="T183">
        <v>56.88</v>
      </c>
      <c r="U183">
        <v>50.9</v>
      </c>
      <c r="V183">
        <v>43.7</v>
      </c>
    </row>
    <row r="184" spans="1:22" x14ac:dyDescent="0.35">
      <c r="A184" s="50">
        <v>44805</v>
      </c>
      <c r="B184">
        <v>48</v>
      </c>
      <c r="C184">
        <v>51.9</v>
      </c>
      <c r="D184">
        <v>49.3</v>
      </c>
      <c r="E184">
        <v>48.8</v>
      </c>
      <c r="F184">
        <v>52.9</v>
      </c>
      <c r="G184">
        <v>45</v>
      </c>
      <c r="I184">
        <v>54.3</v>
      </c>
      <c r="J184">
        <v>54.1</v>
      </c>
      <c r="K184">
        <v>48.8</v>
      </c>
      <c r="L184">
        <v>52.2</v>
      </c>
      <c r="M184">
        <v>49.1</v>
      </c>
      <c r="N184">
        <v>55.8</v>
      </c>
      <c r="P184">
        <v>51.1</v>
      </c>
      <c r="Q184">
        <v>48.5</v>
      </c>
      <c r="R184">
        <v>51.2</v>
      </c>
      <c r="S184">
        <v>55.1</v>
      </c>
      <c r="T184">
        <v>52.27</v>
      </c>
      <c r="U184">
        <v>50</v>
      </c>
      <c r="V184">
        <v>49.3</v>
      </c>
    </row>
    <row r="185" spans="1:22" x14ac:dyDescent="0.35">
      <c r="A185" s="50">
        <v>44835</v>
      </c>
      <c r="B185">
        <v>47.7</v>
      </c>
      <c r="C185">
        <v>54</v>
      </c>
      <c r="D185">
        <v>48.4</v>
      </c>
      <c r="E185">
        <v>48.6</v>
      </c>
      <c r="F185">
        <v>51.7</v>
      </c>
      <c r="G185">
        <v>46.5</v>
      </c>
      <c r="I185">
        <v>55.1</v>
      </c>
      <c r="J185">
        <v>53.2</v>
      </c>
      <c r="K185">
        <v>46.4</v>
      </c>
      <c r="L185">
        <v>53.2</v>
      </c>
      <c r="M185">
        <v>50.3</v>
      </c>
      <c r="N185">
        <v>57.4</v>
      </c>
      <c r="P185">
        <v>43.7</v>
      </c>
      <c r="Q185">
        <v>49.7</v>
      </c>
      <c r="R185">
        <v>47.9</v>
      </c>
      <c r="S185">
        <v>56.9</v>
      </c>
      <c r="T185">
        <v>53.55</v>
      </c>
      <c r="U185">
        <v>48.8</v>
      </c>
      <c r="V185">
        <v>47.8</v>
      </c>
    </row>
    <row r="186" spans="1:22" x14ac:dyDescent="0.35">
      <c r="A186" s="50">
        <v>44866</v>
      </c>
      <c r="B186">
        <v>45.6</v>
      </c>
      <c r="C186">
        <v>51.6</v>
      </c>
      <c r="D186">
        <v>46.7</v>
      </c>
      <c r="E186">
        <v>48.5</v>
      </c>
      <c r="F186">
        <v>49.3</v>
      </c>
      <c r="G186">
        <v>46.1</v>
      </c>
      <c r="I186">
        <v>56.4</v>
      </c>
      <c r="J186">
        <v>50.8</v>
      </c>
      <c r="K186">
        <v>49.5</v>
      </c>
      <c r="L186">
        <v>50.3</v>
      </c>
      <c r="M186">
        <v>49.1</v>
      </c>
      <c r="P186">
        <v>48.3</v>
      </c>
      <c r="Q186">
        <v>51.2</v>
      </c>
      <c r="S186">
        <v>54.3</v>
      </c>
      <c r="T186">
        <v>53.54</v>
      </c>
      <c r="U186">
        <v>48.8</v>
      </c>
      <c r="V186">
        <v>46.2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zoomScale="150" zoomScaleNormal="150" workbookViewId="0">
      <pane xSplit="2" ySplit="11" topLeftCell="C86" activePane="bottomRight" state="frozen"/>
      <selection activeCell="AD109" sqref="AD109"/>
      <selection pane="topRight" activeCell="AD109" sqref="AD109"/>
      <selection pane="bottomLeft" activeCell="AD109" sqref="AD109"/>
      <selection pane="bottomRight" activeCell="V102" sqref="V102"/>
    </sheetView>
  </sheetViews>
  <sheetFormatPr defaultColWidth="9.1796875" defaultRowHeight="14.5" x14ac:dyDescent="0.35"/>
  <cols>
    <col min="1" max="1" width="9.1796875" style="47" customWidth="1"/>
    <col min="2" max="2" width="17.81640625" customWidth="1"/>
    <col min="3" max="17" width="6.1796875" customWidth="1"/>
    <col min="18" max="18" width="9.1796875" style="47" customWidth="1"/>
    <col min="19" max="19" width="12.36328125" style="47" customWidth="1"/>
    <col min="20" max="20" width="9.1796875" style="47" customWidth="1"/>
    <col min="21" max="21" width="10.453125" style="47" customWidth="1"/>
    <col min="22" max="22" width="10.6328125" style="47" bestFit="1" customWidth="1"/>
    <col min="23" max="63" width="9.1796875" style="47" customWidth="1"/>
    <col min="64" max="74" width="9.1796875" customWidth="1"/>
  </cols>
  <sheetData>
    <row r="1" spans="2:25" s="47" customFormat="1" ht="16" customHeight="1" thickBot="1" x14ac:dyDescent="0.4">
      <c r="S1" s="16" t="s">
        <v>46</v>
      </c>
      <c r="T1" s="47" t="s">
        <v>47</v>
      </c>
      <c r="V1" s="46">
        <v>44866</v>
      </c>
      <c r="Y1" s="3" t="s">
        <v>48</v>
      </c>
    </row>
    <row r="2" spans="2:25" ht="72.75" customHeight="1" thickBot="1" x14ac:dyDescent="0.4">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35">
      <c r="B3" s="20" t="s">
        <v>49</v>
      </c>
      <c r="C3" s="21" t="e">
        <f t="shared" ref="C3:Q3" ca="1" si="0">MAX(OFFSET(C$12,COUNT(C$12:C$105),0,-13,1))</f>
        <v>#N/A</v>
      </c>
      <c r="D3" s="21">
        <f t="shared" ca="1" si="0"/>
        <v>58.9</v>
      </c>
      <c r="E3" s="21">
        <f t="shared" ca="1" si="0"/>
        <v>55.5</v>
      </c>
      <c r="F3" s="21">
        <f t="shared" ca="1" si="0"/>
        <v>57.7</v>
      </c>
      <c r="G3" s="21">
        <f t="shared" ca="1" si="0"/>
        <v>54.2</v>
      </c>
      <c r="H3" s="21">
        <f t="shared" ca="1" si="0"/>
        <v>57.9</v>
      </c>
      <c r="I3" s="21">
        <f t="shared" ca="1" si="0"/>
        <v>58.8</v>
      </c>
      <c r="J3" s="21">
        <f t="shared" ca="1" si="0"/>
        <v>61</v>
      </c>
      <c r="K3" s="21">
        <f t="shared" ca="1" si="0"/>
        <v>55.7</v>
      </c>
      <c r="L3" s="21">
        <f t="shared" ca="1" si="0"/>
        <v>57.1</v>
      </c>
      <c r="M3" s="21">
        <f t="shared" ca="1" si="0"/>
        <v>60.8</v>
      </c>
      <c r="N3" s="21">
        <f t="shared" ca="1" si="0"/>
        <v>54.7</v>
      </c>
      <c r="O3" s="21">
        <f t="shared" ca="1" si="0"/>
        <v>59.2</v>
      </c>
      <c r="P3" s="21">
        <f t="shared" ca="1" si="0"/>
        <v>60</v>
      </c>
      <c r="Q3" s="21">
        <f t="shared" ca="1" si="0"/>
        <v>63.4</v>
      </c>
      <c r="T3" s="47" t="s">
        <v>50</v>
      </c>
      <c r="V3" s="19">
        <f>DATE(YEAR(V1),MONTH(V1)-1,DAY(V1))</f>
        <v>44835</v>
      </c>
    </row>
    <row r="4" spans="2:25" hidden="1" x14ac:dyDescent="0.35">
      <c r="B4" s="20" t="s">
        <v>51</v>
      </c>
      <c r="C4" s="21" t="e">
        <f t="shared" ref="C4:Q4" ca="1" si="1">MIN(OFFSET(C$12,COUNT(C$12:C$105),0,-13,1))</f>
        <v>#N/A</v>
      </c>
      <c r="D4" s="21">
        <f t="shared" ca="1" si="1"/>
        <v>43.7</v>
      </c>
      <c r="E4" s="21">
        <f t="shared" ca="1" si="1"/>
        <v>36.200000000000003</v>
      </c>
      <c r="F4" s="21">
        <f t="shared" ca="1" si="1"/>
        <v>48.5</v>
      </c>
      <c r="G4" s="21">
        <f t="shared" ca="1" si="1"/>
        <v>42.7</v>
      </c>
      <c r="H4" s="21">
        <f t="shared" ca="1" si="1"/>
        <v>45</v>
      </c>
      <c r="I4" s="21">
        <f t="shared" ca="1" si="1"/>
        <v>49.3</v>
      </c>
      <c r="J4" s="21">
        <f t="shared" ca="1" si="1"/>
        <v>48.8</v>
      </c>
      <c r="K4" s="21">
        <f t="shared" ca="1" si="1"/>
        <v>46.4</v>
      </c>
      <c r="L4" s="21">
        <f t="shared" ca="1" si="1"/>
        <v>46.6</v>
      </c>
      <c r="M4" s="21">
        <f t="shared" ca="1" si="1"/>
        <v>51.6</v>
      </c>
      <c r="N4" s="21">
        <f t="shared" ca="1" si="1"/>
        <v>38.1</v>
      </c>
      <c r="O4" s="21">
        <f t="shared" ca="1" si="1"/>
        <v>51.5</v>
      </c>
      <c r="P4" s="21">
        <f t="shared" ca="1" si="1"/>
        <v>45.6</v>
      </c>
      <c r="Q4" s="21">
        <f t="shared" ca="1" si="1"/>
        <v>50.8</v>
      </c>
      <c r="T4" s="47" t="s">
        <v>52</v>
      </c>
      <c r="V4" s="19">
        <f>DATE(YEAR(V1),MONTH(V1)-12,DAY(V1))</f>
        <v>44501</v>
      </c>
    </row>
    <row r="5" spans="2:25" ht="16" hidden="1" customHeight="1" thickBot="1" x14ac:dyDescent="0.4">
      <c r="B5" s="20" t="s">
        <v>53</v>
      </c>
      <c r="C5" s="22" t="e">
        <f t="shared" ref="C5:Q5" ca="1" si="2">AVERAGE(OFFSET(C$12,COUNT(C$12:C$105),0,-13,1))</f>
        <v>#N/A</v>
      </c>
      <c r="D5" s="22">
        <f t="shared" ca="1" si="2"/>
        <v>51.541666666666664</v>
      </c>
      <c r="E5" s="22">
        <f t="shared" ca="1" si="2"/>
        <v>48.641666666666673</v>
      </c>
      <c r="F5" s="22">
        <f t="shared" ca="1" si="2"/>
        <v>52.375</v>
      </c>
      <c r="G5" s="22">
        <f t="shared" ca="1" si="2"/>
        <v>50.25</v>
      </c>
      <c r="H5" s="22">
        <f t="shared" ca="1" si="2"/>
        <v>51.175000000000004</v>
      </c>
      <c r="I5" s="22">
        <f t="shared" ca="1" si="2"/>
        <v>54.608333333333327</v>
      </c>
      <c r="J5" s="22">
        <f t="shared" ca="1" si="2"/>
        <v>53.67499999999999</v>
      </c>
      <c r="K5" s="22">
        <f t="shared" ca="1" si="2"/>
        <v>50.916666666666664</v>
      </c>
      <c r="L5" s="22">
        <f t="shared" ca="1" si="2"/>
        <v>52.816666666666684</v>
      </c>
      <c r="M5" s="22">
        <f t="shared" ca="1" si="2"/>
        <v>55.533333333333339</v>
      </c>
      <c r="N5" s="22">
        <f t="shared" ca="1" si="2"/>
        <v>48.491666666666667</v>
      </c>
      <c r="O5" s="22">
        <f t="shared" ca="1" si="2"/>
        <v>55.574999999999996</v>
      </c>
      <c r="P5" s="22">
        <f t="shared" ca="1" si="2"/>
        <v>52.008333333333333</v>
      </c>
      <c r="Q5" s="22">
        <f t="shared" ca="1" si="2"/>
        <v>56.95000000000001</v>
      </c>
      <c r="V5" s="45"/>
    </row>
    <row r="6" spans="2:25" x14ac:dyDescent="0.35">
      <c r="B6" s="23" t="s">
        <v>54</v>
      </c>
      <c r="C6" s="24" t="e">
        <f t="shared" ref="C6:Q6" ca="1" si="3">IF((VLOOKUP($V$1,$B:$AA,MATCH(C2,$B$2:$AA$2,),))&gt;C5,"above","below")</f>
        <v>#N/A</v>
      </c>
      <c r="D6" s="24" t="str">
        <f t="shared" ca="1" si="3"/>
        <v>below</v>
      </c>
      <c r="E6" s="24" t="str">
        <f t="shared" ca="1" si="3"/>
        <v>below</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below</v>
      </c>
      <c r="N6" s="24" t="str">
        <f t="shared" ca="1" si="3"/>
        <v>below</v>
      </c>
      <c r="O6" s="24" t="str">
        <f t="shared" ca="1" si="3"/>
        <v>above</v>
      </c>
      <c r="P6" s="24" t="str">
        <f t="shared" ca="1" si="3"/>
        <v>below</v>
      </c>
      <c r="Q6" s="24" t="str">
        <f t="shared" ca="1" si="3"/>
        <v>below</v>
      </c>
    </row>
    <row r="7" spans="2:25" x14ac:dyDescent="0.35">
      <c r="B7" s="23" t="s">
        <v>55</v>
      </c>
      <c r="C7" s="25" t="e">
        <f t="shared" ref="C7:Q7" si="4">VLOOKUP($V$1,$B:$AA,MATCH(C2,$B$2:$AA$2,),)-VLOOKUP($V$4,$B:$AA,MATCH(C2,$B$2:$AA$2,),)</f>
        <v>#N/A</v>
      </c>
      <c r="D7" s="25">
        <f t="shared" si="4"/>
        <v>-11.799999999999997</v>
      </c>
      <c r="E7" s="25">
        <f t="shared" si="4"/>
        <v>-5.3999999999999986</v>
      </c>
      <c r="F7" s="25">
        <f t="shared" si="4"/>
        <v>-7.3999999999999986</v>
      </c>
      <c r="G7" s="25">
        <f t="shared" si="4"/>
        <v>-2.7000000000000028</v>
      </c>
      <c r="H7" s="25">
        <f t="shared" si="4"/>
        <v>-6.6000000000000014</v>
      </c>
      <c r="I7" s="25">
        <f t="shared" si="4"/>
        <v>-8.1000000000000014</v>
      </c>
      <c r="J7" s="25">
        <f t="shared" si="4"/>
        <v>-9.7000000000000028</v>
      </c>
      <c r="K7" s="25">
        <f t="shared" si="4"/>
        <v>-6.3999999999999986</v>
      </c>
      <c r="L7" s="25">
        <f t="shared" si="4"/>
        <v>-8.5999999999999943</v>
      </c>
      <c r="M7" s="25">
        <f t="shared" si="4"/>
        <v>-2</v>
      </c>
      <c r="N7" s="25">
        <f t="shared" si="4"/>
        <v>1.1999999999999957</v>
      </c>
      <c r="O7" s="25">
        <f t="shared" si="4"/>
        <v>-1.7000000000000028</v>
      </c>
      <c r="P7" s="25">
        <f t="shared" si="4"/>
        <v>-2</v>
      </c>
      <c r="Q7" s="25">
        <f t="shared" si="4"/>
        <v>-8.5</v>
      </c>
    </row>
    <row r="8" spans="2:25" x14ac:dyDescent="0.35">
      <c r="B8" s="23" t="s">
        <v>56</v>
      </c>
      <c r="C8" s="25" t="e">
        <f t="shared" ref="C8:Q8" si="5">VLOOKUP($V$1,$B:$AA,MATCH(C2,$B$2:$AA$2,),)-VLOOKUP($V$3,$B:$AA,MATCH(C2,$B$2:$AA$2,),)</f>
        <v>#N/A</v>
      </c>
      <c r="D8" s="25">
        <f t="shared" si="5"/>
        <v>-1.5999999999999943</v>
      </c>
      <c r="E8" s="25">
        <f t="shared" si="5"/>
        <v>-1.6999999999999957</v>
      </c>
      <c r="F8" s="25">
        <f t="shared" si="5"/>
        <v>-0.10000000000000142</v>
      </c>
      <c r="G8" s="25">
        <f t="shared" si="5"/>
        <v>-2.9000000000000057</v>
      </c>
      <c r="H8" s="25">
        <f t="shared" si="5"/>
        <v>-0.39999999999999858</v>
      </c>
      <c r="I8" s="25">
        <f t="shared" si="5"/>
        <v>-2.4000000000000057</v>
      </c>
      <c r="J8" s="25">
        <f t="shared" si="5"/>
        <v>0</v>
      </c>
      <c r="K8" s="25">
        <f t="shared" si="5"/>
        <v>3.1000000000000014</v>
      </c>
      <c r="L8" s="25">
        <f t="shared" si="5"/>
        <v>1.5</v>
      </c>
      <c r="M8" s="25">
        <f t="shared" si="5"/>
        <v>-2.3999999999999986</v>
      </c>
      <c r="N8" s="25">
        <f t="shared" si="5"/>
        <v>4.5999999999999943</v>
      </c>
      <c r="O8" s="25">
        <f t="shared" si="5"/>
        <v>1.2999999999999972</v>
      </c>
      <c r="P8" s="25">
        <f t="shared" si="5"/>
        <v>-2.1000000000000014</v>
      </c>
      <c r="Q8" s="25">
        <f t="shared" si="5"/>
        <v>-2.4000000000000057</v>
      </c>
    </row>
    <row r="9" spans="2:25" ht="66.75" customHeight="1" x14ac:dyDescent="0.35">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Contraction</v>
      </c>
      <c r="J9" s="27" t="str">
        <f t="shared" si="6"/>
        <v>Contraction</v>
      </c>
      <c r="K9" s="27" t="str">
        <f t="shared" si="6"/>
        <v>Contraction</v>
      </c>
      <c r="L9" s="27" t="str">
        <f t="shared" si="6"/>
        <v>Growth</v>
      </c>
      <c r="M9" s="27" t="str">
        <f t="shared" si="6"/>
        <v>Growth</v>
      </c>
      <c r="N9" s="27" t="str">
        <f t="shared" si="6"/>
        <v>Contraction</v>
      </c>
      <c r="O9" s="27" t="str">
        <f t="shared" si="6"/>
        <v>Growth</v>
      </c>
      <c r="P9" s="27" t="str">
        <f t="shared" si="6"/>
        <v>Contraction</v>
      </c>
      <c r="Q9" s="27" t="str">
        <f t="shared" si="6"/>
        <v>Growth</v>
      </c>
    </row>
    <row r="10" spans="2:25" ht="26.25" customHeight="1" thickBot="1" x14ac:dyDescent="0.4">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str">
        <f t="shared" si="7"/>
        <v>-</v>
      </c>
      <c r="Q10" s="29" t="str">
        <f t="shared" si="7"/>
        <v>-</v>
      </c>
    </row>
    <row r="11" spans="2:25" ht="26.25" customHeight="1" x14ac:dyDescent="0.35">
      <c r="B11" s="47"/>
      <c r="C11" s="47"/>
      <c r="D11" s="47"/>
      <c r="E11" s="47"/>
      <c r="F11" s="47"/>
      <c r="G11" s="47"/>
      <c r="H11" s="47"/>
      <c r="I11" s="47"/>
      <c r="J11" s="47"/>
      <c r="K11" s="47"/>
      <c r="L11" s="47"/>
      <c r="M11" s="47"/>
      <c r="N11" s="47"/>
      <c r="O11" s="47"/>
      <c r="P11" s="47"/>
      <c r="Q11" s="47"/>
    </row>
    <row r="12" spans="2:25" x14ac:dyDescent="0.35">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35">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35">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35">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35">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35">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35">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35">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35">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35">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35">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35">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35">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35">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35">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35">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35">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35">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35">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35">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35">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35">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35">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35">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35">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35">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35">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35">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35">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35">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35">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35">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35">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35">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35">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35">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35">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35">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7" customFormat="1" x14ac:dyDescent="0.35">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7" customFormat="1" x14ac:dyDescent="0.35">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7" customFormat="1" x14ac:dyDescent="0.35">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7" customFormat="1" x14ac:dyDescent="0.35">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7" customFormat="1" x14ac:dyDescent="0.35">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7" customFormat="1" x14ac:dyDescent="0.35">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7" customFormat="1" x14ac:dyDescent="0.35">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7" customFormat="1" x14ac:dyDescent="0.35">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7" customFormat="1" x14ac:dyDescent="0.35">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7" customFormat="1" x14ac:dyDescent="0.35">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7" customFormat="1" x14ac:dyDescent="0.35">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7" customFormat="1" x14ac:dyDescent="0.35">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7" customFormat="1" x14ac:dyDescent="0.35">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7" customFormat="1" x14ac:dyDescent="0.35">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7" customFormat="1" x14ac:dyDescent="0.35">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7" customFormat="1" x14ac:dyDescent="0.35">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7" customFormat="1" x14ac:dyDescent="0.35">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7" customFormat="1" x14ac:dyDescent="0.35">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7" customFormat="1" x14ac:dyDescent="0.35">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7" customFormat="1" x14ac:dyDescent="0.35">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7" customFormat="1" x14ac:dyDescent="0.35">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7" customFormat="1" x14ac:dyDescent="0.35">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7" customFormat="1" x14ac:dyDescent="0.35">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7" customFormat="1" x14ac:dyDescent="0.35">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7" customFormat="1" x14ac:dyDescent="0.35">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7" customFormat="1" x14ac:dyDescent="0.35">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7" customFormat="1" x14ac:dyDescent="0.35">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7" customFormat="1" x14ac:dyDescent="0.35">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7" customFormat="1" x14ac:dyDescent="0.35">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7" customFormat="1" x14ac:dyDescent="0.35">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7" customFormat="1" x14ac:dyDescent="0.35">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7" customFormat="1" x14ac:dyDescent="0.35">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7" customFormat="1" x14ac:dyDescent="0.35">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7" customFormat="1" x14ac:dyDescent="0.35">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7" customFormat="1" x14ac:dyDescent="0.35">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7" customFormat="1" x14ac:dyDescent="0.35">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7" customFormat="1" x14ac:dyDescent="0.35">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7" customFormat="1" x14ac:dyDescent="0.35">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7" customFormat="1" x14ac:dyDescent="0.35">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7" customFormat="1" x14ac:dyDescent="0.35">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7" customFormat="1" x14ac:dyDescent="0.35">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7" customFormat="1" x14ac:dyDescent="0.35">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7" customFormat="1" x14ac:dyDescent="0.35">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7" customFormat="1" x14ac:dyDescent="0.35">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7" customFormat="1" x14ac:dyDescent="0.35">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7" customFormat="1" x14ac:dyDescent="0.35">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7" customFormat="1" x14ac:dyDescent="0.35">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7" customFormat="1" x14ac:dyDescent="0.35">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7" customFormat="1" x14ac:dyDescent="0.35">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7" customFormat="1" x14ac:dyDescent="0.35">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7" customFormat="1" x14ac:dyDescent="0.35">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7" customFormat="1" x14ac:dyDescent="0.35">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7" customFormat="1" x14ac:dyDescent="0.35">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7" customFormat="1" x14ac:dyDescent="0.35">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7" customFormat="1" x14ac:dyDescent="0.35">
      <c r="B104" s="30">
        <v>44866</v>
      </c>
      <c r="C104" s="31" t="e">
        <f>VLOOKUP(B104,Global!$A:$B,2,)</f>
        <v>#N/A</v>
      </c>
      <c r="D104" s="31">
        <f>VLOOKUP(B104,US!$A:$B,2,)</f>
        <v>46.2</v>
      </c>
      <c r="E104" s="31">
        <f>VLOOKUP(B104,China!$A:$B,2,)</f>
        <v>46.7</v>
      </c>
      <c r="F104" s="31">
        <f>VLOOKUP(B104,EuroArea!$A:$B,2,)</f>
        <v>48.5</v>
      </c>
      <c r="G104" s="31">
        <f>VLOOKUP(B104,Japan!$A:$B,2,)</f>
        <v>50.3</v>
      </c>
      <c r="H104" s="31">
        <f>VLOOKUP(B104,Germany!$A:$B,2,)</f>
        <v>46.1</v>
      </c>
      <c r="I104" s="31">
        <f>VLOOKUP(B104,France!$A:$B,2,)</f>
        <v>49.3</v>
      </c>
      <c r="J104" s="31">
        <f>VLOOKUP(B104,UK!$A:$B,2,)</f>
        <v>48.8</v>
      </c>
      <c r="K104" s="31">
        <f>VLOOKUP(B104,Italy!$A:$B,2,)</f>
        <v>49.5</v>
      </c>
      <c r="L104" s="31">
        <f>VLOOKUP(B104,Spain!$A:$B,2,)</f>
        <v>51.2</v>
      </c>
      <c r="M104" s="31">
        <f>VLOOKUP(B104,Brazil!$A:$B,2,)</f>
        <v>51.6</v>
      </c>
      <c r="N104" s="31">
        <f>VLOOKUP(B104,Russia!$A:$B,2,)</f>
        <v>48.3</v>
      </c>
      <c r="O104" s="31">
        <f>VLOOKUP(B104,India!$A:$B,2,)</f>
        <v>56.4</v>
      </c>
      <c r="P104" s="31">
        <f>VLOOKUP(B104,Australia!$A:$B,2,)</f>
        <v>45.6</v>
      </c>
      <c r="Q104" s="31">
        <f>VLOOKUP(B104,Ireland!$A:$B,2,)</f>
        <v>50.8</v>
      </c>
    </row>
    <row r="105" spans="2:17" s="47" customFormat="1" x14ac:dyDescent="0.35"/>
    <row r="106" spans="2:17" s="47" customFormat="1" x14ac:dyDescent="0.35"/>
    <row r="107" spans="2:17" s="47" customFormat="1" x14ac:dyDescent="0.35"/>
    <row r="108" spans="2:17" s="47" customFormat="1" x14ac:dyDescent="0.35"/>
    <row r="109" spans="2:17" s="47" customFormat="1" x14ac:dyDescent="0.35"/>
    <row r="110" spans="2:17" s="47" customFormat="1" x14ac:dyDescent="0.35"/>
    <row r="111" spans="2:17" s="47" customFormat="1" x14ac:dyDescent="0.35"/>
    <row r="112" spans="2:17" s="47" customFormat="1" x14ac:dyDescent="0.35"/>
    <row r="113" s="47" customFormat="1" x14ac:dyDescent="0.35"/>
    <row r="114" s="47" customFormat="1" x14ac:dyDescent="0.35"/>
    <row r="115" s="47" customFormat="1" x14ac:dyDescent="0.35"/>
    <row r="116" s="47" customFormat="1" x14ac:dyDescent="0.35"/>
    <row r="117" s="47" customFormat="1" x14ac:dyDescent="0.35"/>
    <row r="118" s="47" customFormat="1" x14ac:dyDescent="0.35"/>
    <row r="119" s="47" customFormat="1" x14ac:dyDescent="0.35"/>
    <row r="120" s="47" customFormat="1" x14ac:dyDescent="0.35"/>
    <row r="121" s="47" customFormat="1" x14ac:dyDescent="0.35"/>
    <row r="122" s="47" customFormat="1" x14ac:dyDescent="0.35"/>
    <row r="123" s="47" customFormat="1" x14ac:dyDescent="0.35"/>
    <row r="124" s="47" customFormat="1" x14ac:dyDescent="0.35"/>
    <row r="125" s="47" customFormat="1" x14ac:dyDescent="0.35"/>
    <row r="126" s="47" customFormat="1" x14ac:dyDescent="0.35"/>
    <row r="127" s="47" customFormat="1" x14ac:dyDescent="0.35"/>
    <row r="128" s="47" customFormat="1" x14ac:dyDescent="0.35"/>
    <row r="129" s="47" customFormat="1" x14ac:dyDescent="0.35"/>
    <row r="130" s="47" customFormat="1" x14ac:dyDescent="0.35"/>
    <row r="131" s="47" customFormat="1" x14ac:dyDescent="0.35"/>
    <row r="132" s="47" customFormat="1" x14ac:dyDescent="0.35"/>
    <row r="133" s="47" customFormat="1" x14ac:dyDescent="0.35"/>
    <row r="134" s="47" customFormat="1" x14ac:dyDescent="0.35"/>
    <row r="135" s="47" customFormat="1" x14ac:dyDescent="0.35"/>
    <row r="136" s="47" customFormat="1" x14ac:dyDescent="0.35"/>
    <row r="137" s="47" customFormat="1" x14ac:dyDescent="0.35"/>
    <row r="138" s="47" customFormat="1" x14ac:dyDescent="0.35"/>
    <row r="139" s="47" customFormat="1" x14ac:dyDescent="0.35"/>
    <row r="140" s="47" customFormat="1" x14ac:dyDescent="0.35"/>
    <row r="141" s="47" customFormat="1" x14ac:dyDescent="0.35"/>
    <row r="142" s="47" customFormat="1" x14ac:dyDescent="0.35"/>
    <row r="143" s="47" customFormat="1" x14ac:dyDescent="0.35"/>
    <row r="144" s="47" customFormat="1" x14ac:dyDescent="0.35"/>
    <row r="145" s="47" customFormat="1" x14ac:dyDescent="0.35"/>
    <row r="146" s="47" customFormat="1" x14ac:dyDescent="0.35"/>
    <row r="147" s="47" customFormat="1" x14ac:dyDescent="0.35"/>
    <row r="148" s="47" customFormat="1" x14ac:dyDescent="0.35"/>
    <row r="149" s="47" customFormat="1" x14ac:dyDescent="0.35"/>
    <row r="150" s="47" customFormat="1" x14ac:dyDescent="0.35"/>
    <row r="151" s="47" customFormat="1" x14ac:dyDescent="0.35"/>
    <row r="152" s="47" customFormat="1" x14ac:dyDescent="0.35"/>
    <row r="153" s="47" customFormat="1" x14ac:dyDescent="0.35"/>
    <row r="154" s="47" customFormat="1" x14ac:dyDescent="0.35"/>
    <row r="155" s="47" customFormat="1" x14ac:dyDescent="0.35"/>
    <row r="156" s="47" customFormat="1" x14ac:dyDescent="0.35"/>
    <row r="157" s="47" customFormat="1" x14ac:dyDescent="0.35"/>
    <row r="158" s="47" customFormat="1" x14ac:dyDescent="0.35"/>
    <row r="159" s="47" customFormat="1" x14ac:dyDescent="0.35"/>
    <row r="160" s="47" customFormat="1" x14ac:dyDescent="0.35"/>
    <row r="161" s="47" customFormat="1" x14ac:dyDescent="0.35"/>
    <row r="162" s="47" customFormat="1" x14ac:dyDescent="0.35"/>
    <row r="163" s="47" customFormat="1" x14ac:dyDescent="0.35"/>
    <row r="164" s="47" customFormat="1" x14ac:dyDescent="0.35"/>
    <row r="165" s="47" customFormat="1" x14ac:dyDescent="0.35"/>
    <row r="166" s="47" customFormat="1" x14ac:dyDescent="0.35"/>
    <row r="167" s="47" customFormat="1" x14ac:dyDescent="0.35"/>
    <row r="168" s="47" customFormat="1" x14ac:dyDescent="0.35"/>
    <row r="169" s="47" customFormat="1" x14ac:dyDescent="0.35"/>
    <row r="170" s="47" customFormat="1" x14ac:dyDescent="0.35"/>
    <row r="171" s="47" customFormat="1" x14ac:dyDescent="0.35"/>
    <row r="172" s="47" customFormat="1" x14ac:dyDescent="0.35"/>
    <row r="173" s="47" customFormat="1" x14ac:dyDescent="0.35"/>
    <row r="174" s="47" customFormat="1" x14ac:dyDescent="0.35"/>
    <row r="175" s="47" customFormat="1" x14ac:dyDescent="0.35"/>
    <row r="176" s="47" customFormat="1" x14ac:dyDescent="0.35"/>
    <row r="177" s="47" customFormat="1" x14ac:dyDescent="0.35"/>
    <row r="178" s="47" customFormat="1" x14ac:dyDescent="0.35"/>
    <row r="179" s="47" customFormat="1" x14ac:dyDescent="0.35"/>
    <row r="180" s="47" customFormat="1" x14ac:dyDescent="0.35"/>
    <row r="181" s="47" customFormat="1" x14ac:dyDescent="0.35"/>
    <row r="182" s="47" customFormat="1" x14ac:dyDescent="0.35"/>
    <row r="183" s="47" customFormat="1" x14ac:dyDescent="0.35"/>
    <row r="184" s="47" customFormat="1" x14ac:dyDescent="0.35"/>
    <row r="185" s="47" customFormat="1" x14ac:dyDescent="0.35"/>
    <row r="186" s="47" customFormat="1" x14ac:dyDescent="0.35"/>
    <row r="187" s="47" customFormat="1" x14ac:dyDescent="0.35"/>
    <row r="188" s="47" customFormat="1" x14ac:dyDescent="0.35"/>
    <row r="189" s="47" customFormat="1" x14ac:dyDescent="0.35"/>
    <row r="190" s="47" customFormat="1" x14ac:dyDescent="0.35"/>
    <row r="191" s="47" customFormat="1" x14ac:dyDescent="0.35"/>
    <row r="192" s="47" customFormat="1" x14ac:dyDescent="0.35"/>
    <row r="193" s="47" customFormat="1" x14ac:dyDescent="0.35"/>
    <row r="194" s="47" customFormat="1" x14ac:dyDescent="0.35"/>
    <row r="195" s="47" customFormat="1" x14ac:dyDescent="0.35"/>
    <row r="196" s="47" customFormat="1" x14ac:dyDescent="0.35"/>
    <row r="197" s="47" customFormat="1" x14ac:dyDescent="0.35"/>
    <row r="198" s="47" customFormat="1" x14ac:dyDescent="0.35"/>
    <row r="199" s="47" customFormat="1" x14ac:dyDescent="0.35"/>
    <row r="200" s="47" customFormat="1" x14ac:dyDescent="0.35"/>
    <row r="201" s="47" customFormat="1" x14ac:dyDescent="0.35"/>
    <row r="202" s="47" customFormat="1" x14ac:dyDescent="0.35"/>
    <row r="203" s="47" customFormat="1" x14ac:dyDescent="0.35"/>
    <row r="204" s="47" customFormat="1" x14ac:dyDescent="0.35"/>
    <row r="205" s="47" customFormat="1" x14ac:dyDescent="0.35"/>
    <row r="206" s="47" customFormat="1" x14ac:dyDescent="0.35"/>
    <row r="207" s="47" customFormat="1" x14ac:dyDescent="0.35"/>
    <row r="208" s="47" customFormat="1" x14ac:dyDescent="0.35"/>
    <row r="209" s="47" customFormat="1" x14ac:dyDescent="0.35"/>
    <row r="210" s="47" customFormat="1" x14ac:dyDescent="0.35"/>
    <row r="211" s="47" customFormat="1" x14ac:dyDescent="0.35"/>
    <row r="212" s="47" customFormat="1" x14ac:dyDescent="0.35"/>
    <row r="213" s="47" customFormat="1" x14ac:dyDescent="0.35"/>
    <row r="214" s="47" customFormat="1" x14ac:dyDescent="0.35"/>
    <row r="215" s="47" customFormat="1" x14ac:dyDescent="0.35"/>
    <row r="216" s="47" customFormat="1" x14ac:dyDescent="0.35"/>
    <row r="217" s="47" customFormat="1" x14ac:dyDescent="0.35"/>
    <row r="218" s="47" customFormat="1" x14ac:dyDescent="0.35"/>
    <row r="219" s="47" customFormat="1" x14ac:dyDescent="0.35"/>
    <row r="220" s="47" customFormat="1" x14ac:dyDescent="0.35"/>
    <row r="221" s="47" customFormat="1" x14ac:dyDescent="0.35"/>
    <row r="222" s="47" customFormat="1" x14ac:dyDescent="0.35"/>
    <row r="223" s="47" customFormat="1" x14ac:dyDescent="0.35"/>
    <row r="224" s="47" customFormat="1" x14ac:dyDescent="0.35"/>
    <row r="225" s="47" customFormat="1" x14ac:dyDescent="0.35"/>
    <row r="226" s="47" customFormat="1" x14ac:dyDescent="0.35"/>
    <row r="227" s="47" customFormat="1" x14ac:dyDescent="0.35"/>
    <row r="228" s="47" customFormat="1" x14ac:dyDescent="0.35"/>
    <row r="229" s="47" customFormat="1" x14ac:dyDescent="0.35"/>
    <row r="230" s="47" customFormat="1" x14ac:dyDescent="0.35"/>
    <row r="231" s="47" customFormat="1" x14ac:dyDescent="0.35"/>
    <row r="232" s="47" customFormat="1" x14ac:dyDescent="0.35"/>
    <row r="233" s="47" customFormat="1" x14ac:dyDescent="0.35"/>
    <row r="234" s="47" customFormat="1" x14ac:dyDescent="0.35"/>
    <row r="235" s="47" customFormat="1" x14ac:dyDescent="0.35"/>
    <row r="236" s="47" customFormat="1" x14ac:dyDescent="0.35"/>
    <row r="237" s="47" customFormat="1" x14ac:dyDescent="0.35"/>
    <row r="238" s="47" customFormat="1" x14ac:dyDescent="0.35"/>
    <row r="239" s="47" customFormat="1" x14ac:dyDescent="0.35"/>
    <row r="240" s="47" customFormat="1" x14ac:dyDescent="0.35"/>
    <row r="241" s="47" customFormat="1" x14ac:dyDescent="0.35"/>
    <row r="242" s="47" customFormat="1" x14ac:dyDescent="0.35"/>
    <row r="243" s="47" customFormat="1" x14ac:dyDescent="0.35"/>
    <row r="244" s="47" customFormat="1" x14ac:dyDescent="0.35"/>
    <row r="245" s="47" customFormat="1" x14ac:dyDescent="0.35"/>
    <row r="246" s="47" customFormat="1" x14ac:dyDescent="0.35"/>
    <row r="247" s="47" customFormat="1" x14ac:dyDescent="0.35"/>
    <row r="248" s="47" customFormat="1" x14ac:dyDescent="0.35"/>
    <row r="249" s="47" customFormat="1" x14ac:dyDescent="0.35"/>
    <row r="250" s="47" customFormat="1" x14ac:dyDescent="0.35"/>
    <row r="251" s="47" customFormat="1" x14ac:dyDescent="0.35"/>
    <row r="252" s="47" customFormat="1" x14ac:dyDescent="0.35"/>
    <row r="253" s="47" customFormat="1" x14ac:dyDescent="0.35"/>
    <row r="254" s="47" customFormat="1" x14ac:dyDescent="0.35"/>
    <row r="255" s="47" customFormat="1" x14ac:dyDescent="0.35"/>
    <row r="256" s="47" customFormat="1" x14ac:dyDescent="0.35"/>
    <row r="257" s="47" customFormat="1" x14ac:dyDescent="0.35"/>
    <row r="258" s="47" customFormat="1" x14ac:dyDescent="0.35"/>
    <row r="259" s="47" customFormat="1" x14ac:dyDescent="0.35"/>
    <row r="260" s="47" customFormat="1" x14ac:dyDescent="0.35"/>
    <row r="261" s="47" customFormat="1" x14ac:dyDescent="0.35"/>
    <row r="262" s="47" customFormat="1" x14ac:dyDescent="0.35"/>
    <row r="263" s="47" customFormat="1" x14ac:dyDescent="0.35"/>
    <row r="264" s="47" customFormat="1" x14ac:dyDescent="0.35"/>
    <row r="265" s="47" customFormat="1" x14ac:dyDescent="0.35"/>
    <row r="266" s="47" customFormat="1" x14ac:dyDescent="0.35"/>
    <row r="267" s="47" customFormat="1" x14ac:dyDescent="0.35"/>
    <row r="268" s="47" customFormat="1" x14ac:dyDescent="0.35"/>
    <row r="269" s="47" customFormat="1" x14ac:dyDescent="0.35"/>
    <row r="270" s="47" customFormat="1" x14ac:dyDescent="0.35"/>
    <row r="271" s="47" customFormat="1" x14ac:dyDescent="0.35"/>
    <row r="272" s="47" customFormat="1" x14ac:dyDescent="0.35"/>
    <row r="273" s="47" customFormat="1" x14ac:dyDescent="0.35"/>
    <row r="274" s="47" customFormat="1" x14ac:dyDescent="0.35"/>
    <row r="275" s="47" customFormat="1" x14ac:dyDescent="0.35"/>
    <row r="276" s="47" customFormat="1" x14ac:dyDescent="0.35"/>
    <row r="277" s="47" customFormat="1" x14ac:dyDescent="0.35"/>
    <row r="278" s="47" customFormat="1" x14ac:dyDescent="0.35"/>
    <row r="279" s="47" customFormat="1" x14ac:dyDescent="0.35"/>
    <row r="280" s="47" customFormat="1" x14ac:dyDescent="0.35"/>
    <row r="281" s="47" customFormat="1" x14ac:dyDescent="0.35"/>
    <row r="282" s="47" customFormat="1" x14ac:dyDescent="0.35"/>
    <row r="283" s="47" customFormat="1" x14ac:dyDescent="0.35"/>
    <row r="284" s="47" customFormat="1" x14ac:dyDescent="0.35"/>
    <row r="285" s="47" customFormat="1" x14ac:dyDescent="0.35"/>
    <row r="286" s="47" customFormat="1" x14ac:dyDescent="0.35"/>
    <row r="287" s="47" customFormat="1" x14ac:dyDescent="0.35"/>
    <row r="288" s="47" customFormat="1" x14ac:dyDescent="0.35"/>
    <row r="289" s="47" customFormat="1" x14ac:dyDescent="0.35"/>
    <row r="290" s="47" customFormat="1" x14ac:dyDescent="0.35"/>
    <row r="291" s="47" customFormat="1" x14ac:dyDescent="0.35"/>
    <row r="292" s="47" customFormat="1" x14ac:dyDescent="0.35"/>
    <row r="293" s="47" customFormat="1" x14ac:dyDescent="0.35"/>
    <row r="294" s="47" customFormat="1" x14ac:dyDescent="0.35"/>
    <row r="295" s="47" customFormat="1" x14ac:dyDescent="0.35"/>
    <row r="296" s="47" customFormat="1" x14ac:dyDescent="0.35"/>
    <row r="297" s="47" customFormat="1" x14ac:dyDescent="0.35"/>
    <row r="298" s="47" customFormat="1" x14ac:dyDescent="0.35"/>
    <row r="299" s="47" customFormat="1" x14ac:dyDescent="0.35"/>
    <row r="300" s="47" customFormat="1" x14ac:dyDescent="0.35"/>
    <row r="301" s="47" customFormat="1" x14ac:dyDescent="0.35"/>
    <row r="302" s="47" customFormat="1" x14ac:dyDescent="0.35"/>
    <row r="303" s="47" customFormat="1" x14ac:dyDescent="0.35"/>
    <row r="304" s="47" customFormat="1" x14ac:dyDescent="0.35"/>
    <row r="305" s="47" customFormat="1" x14ac:dyDescent="0.35"/>
    <row r="306" s="47" customFormat="1" x14ac:dyDescent="0.35"/>
    <row r="307" s="47" customFormat="1" x14ac:dyDescent="0.35"/>
    <row r="308" s="47" customFormat="1" x14ac:dyDescent="0.35"/>
    <row r="309" s="47" customFormat="1" x14ac:dyDescent="0.35"/>
    <row r="310" s="47" customFormat="1" x14ac:dyDescent="0.35"/>
    <row r="311" s="47" customFormat="1" x14ac:dyDescent="0.35"/>
    <row r="312" s="47" customFormat="1" x14ac:dyDescent="0.35"/>
    <row r="313" s="47" customFormat="1" x14ac:dyDescent="0.35"/>
    <row r="314" s="47" customFormat="1" x14ac:dyDescent="0.35"/>
    <row r="315" s="47" customFormat="1" x14ac:dyDescent="0.35"/>
    <row r="316" s="47" customFormat="1" x14ac:dyDescent="0.35"/>
    <row r="317" s="47" customFormat="1" x14ac:dyDescent="0.35"/>
    <row r="318" s="47" customFormat="1" x14ac:dyDescent="0.35"/>
    <row r="319" s="47" customFormat="1" x14ac:dyDescent="0.35"/>
    <row r="320" s="47" customFormat="1" x14ac:dyDescent="0.35"/>
    <row r="321" s="47" customFormat="1" x14ac:dyDescent="0.35"/>
    <row r="322" s="47" customFormat="1" x14ac:dyDescent="0.35"/>
    <row r="323" s="47" customFormat="1" x14ac:dyDescent="0.35"/>
    <row r="324" s="47" customFormat="1" x14ac:dyDescent="0.35"/>
    <row r="325" s="47" customFormat="1" x14ac:dyDescent="0.35"/>
    <row r="326" s="47" customFormat="1" x14ac:dyDescent="0.35"/>
    <row r="327" s="47" customFormat="1" x14ac:dyDescent="0.35"/>
    <row r="328" s="47" customFormat="1" x14ac:dyDescent="0.35"/>
    <row r="329" s="47" customFormat="1" x14ac:dyDescent="0.35"/>
    <row r="330" s="47" customFormat="1" x14ac:dyDescent="0.35"/>
    <row r="331" s="47" customFormat="1" x14ac:dyDescent="0.35"/>
    <row r="332" s="47" customFormat="1" x14ac:dyDescent="0.35"/>
    <row r="333" s="47" customFormat="1" x14ac:dyDescent="0.35"/>
    <row r="334" s="47" customFormat="1" x14ac:dyDescent="0.35"/>
    <row r="335" s="47" customFormat="1" x14ac:dyDescent="0.35"/>
    <row r="336" s="47" customFormat="1" x14ac:dyDescent="0.35"/>
    <row r="337" s="47" customFormat="1" x14ac:dyDescent="0.35"/>
    <row r="338" s="47" customFormat="1" x14ac:dyDescent="0.35"/>
    <row r="339" s="47" customFormat="1" x14ac:dyDescent="0.35"/>
    <row r="340" s="47" customFormat="1" x14ac:dyDescent="0.35"/>
    <row r="341" s="47" customFormat="1" x14ac:dyDescent="0.35"/>
    <row r="342" s="47" customFormat="1" x14ac:dyDescent="0.35"/>
    <row r="343" s="47" customFormat="1" x14ac:dyDescent="0.35"/>
    <row r="344" s="47" customFormat="1" x14ac:dyDescent="0.35"/>
    <row r="345" s="47" customFormat="1" x14ac:dyDescent="0.35"/>
    <row r="346" s="47" customFormat="1" x14ac:dyDescent="0.35"/>
    <row r="347" s="47" customFormat="1" x14ac:dyDescent="0.35"/>
  </sheetData>
  <conditionalFormatting sqref="C12:Q104">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7" priority="11" operator="containsText" text="below">
      <formula>NOT(ISERROR(SEARCH("below",C6)))</formula>
    </cfRule>
    <cfRule type="containsText" dxfId="6" priority="12" operator="containsText" text="above">
      <formula>NOT(ISERROR(SEARCH("above",C6)))</formula>
    </cfRule>
  </conditionalFormatting>
  <conditionalFormatting sqref="C8:Q8">
    <cfRule type="cellIs" dxfId="5" priority="9" operator="lessThan">
      <formula>0</formula>
    </cfRule>
    <cfRule type="cellIs" dxfId="4" priority="10" operator="greaterThan">
      <formula>0</formula>
    </cfRule>
  </conditionalFormatting>
  <conditionalFormatting sqref="C9:Q9">
    <cfRule type="cellIs" dxfId="3" priority="3" operator="equal">
      <formula>"Growth"</formula>
    </cfRule>
    <cfRule type="cellIs" dxfId="2" priority="4" operator="equal">
      <formula>"Contraction"</formula>
    </cfRule>
  </conditionalFormatting>
  <conditionalFormatting sqref="C10:Q10">
    <cfRule type="cellIs" dxfId="1" priority="1" operator="equal">
      <formula>"+"</formula>
    </cfRule>
    <cfRule type="cellIs" dxfId="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51"/>
  <sheetViews>
    <sheetView zoomScale="160" zoomScaleNormal="160" workbookViewId="0">
      <pane ySplit="5" topLeftCell="A132" activePane="bottomLeft" state="frozen"/>
      <selection activeCell="V1" sqref="V1"/>
      <selection pane="bottomLeft" activeCell="A140" sqref="A140: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8" x14ac:dyDescent="0.35">
      <c r="A1" s="47" t="s">
        <v>9</v>
      </c>
    </row>
    <row r="2" spans="1:8" x14ac:dyDescent="0.35">
      <c r="H2" s="47" t="s">
        <v>59</v>
      </c>
    </row>
    <row r="4" spans="1:8" ht="16" customHeight="1" thickBot="1" x14ac:dyDescent="0.4"/>
    <row r="5" spans="1:8" ht="16" customHeight="1" thickBot="1" x14ac:dyDescent="0.4">
      <c r="A5" s="12" t="s">
        <v>33</v>
      </c>
      <c r="B5" s="13" t="s">
        <v>60</v>
      </c>
      <c r="C5" s="13" t="s">
        <v>61</v>
      </c>
    </row>
    <row r="6" spans="1:8" x14ac:dyDescent="0.35">
      <c r="A6" s="10">
        <v>40452</v>
      </c>
      <c r="B6" s="11">
        <f>IF(VLOOKUP(A6,'DB Country PMI'!$A:$V,MATCH($A$1,'DB Country PMI'!$A$1:$V$1,),)=0,#N/A,VLOOKUP(A6,'DB Country PMI'!$A:$V,MATCH($A$1,'DB Country PMI'!$A$1:$V$1,),))</f>
        <v>54.6</v>
      </c>
      <c r="C6" s="11"/>
    </row>
    <row r="7" spans="1:8" x14ac:dyDescent="0.35">
      <c r="A7" s="8">
        <v>40483</v>
      </c>
      <c r="B7" s="11">
        <f>IF(VLOOKUP(A7,'DB Country PMI'!$A:$V,MATCH($A$1,'DB Country PMI'!$A$1:$V$1,),)=0,#N/A,VLOOKUP(A7,'DB Country PMI'!$A:$V,MATCH($A$1,'DB Country PMI'!$A$1:$V$1,),))</f>
        <v>54.8</v>
      </c>
      <c r="C7" s="14">
        <f>Table1[[#This Row],[PMI]]-B6</f>
        <v>0.19999999999999574</v>
      </c>
    </row>
    <row r="8" spans="1:8" x14ac:dyDescent="0.35">
      <c r="A8" s="8">
        <v>40513</v>
      </c>
      <c r="B8" s="11">
        <f>IF(VLOOKUP(A8,'DB Country PMI'!$A:$V,MATCH($A$1,'DB Country PMI'!$A$1:$V$1,),)=0,#N/A,VLOOKUP(A8,'DB Country PMI'!$A:$V,MATCH($A$1,'DB Country PMI'!$A$1:$V$1,),))</f>
        <v>56.3</v>
      </c>
      <c r="C8" s="14">
        <f>Table1[[#This Row],[PMI]]-B7</f>
        <v>1.5</v>
      </c>
    </row>
    <row r="9" spans="1:8" x14ac:dyDescent="0.35">
      <c r="A9" s="8">
        <v>40544</v>
      </c>
      <c r="B9" s="11">
        <f>IF(VLOOKUP(A9,'DB Country PMI'!$A:$V,MATCH($A$1,'DB Country PMI'!$A$1:$V$1,),)=0,#N/A,VLOOKUP(A9,'DB Country PMI'!$A:$V,MATCH($A$1,'DB Country PMI'!$A$1:$V$1,),))</f>
        <v>57.1</v>
      </c>
      <c r="C9" s="14">
        <f>Table1[[#This Row],[PMI]]-B8</f>
        <v>0.80000000000000426</v>
      </c>
    </row>
    <row r="10" spans="1:8" x14ac:dyDescent="0.35">
      <c r="A10" s="8">
        <v>40575</v>
      </c>
      <c r="B10" s="11">
        <f>IF(VLOOKUP(A10,'DB Country PMI'!$A:$V,MATCH($A$1,'DB Country PMI'!$A$1:$V$1,),)=0,#N/A,VLOOKUP(A10,'DB Country PMI'!$A:$V,MATCH($A$1,'DB Country PMI'!$A$1:$V$1,),))</f>
        <v>59.3</v>
      </c>
      <c r="C10" s="14">
        <f>Table1[[#This Row],[PMI]]-B9</f>
        <v>2.1999999999999957</v>
      </c>
    </row>
    <row r="11" spans="1:8" x14ac:dyDescent="0.35">
      <c r="A11" s="8">
        <v>40603</v>
      </c>
      <c r="B11" s="11">
        <f>IF(VLOOKUP(A11,'DB Country PMI'!$A:$V,MATCH($A$1,'DB Country PMI'!$A$1:$V$1,),)=0,#N/A,VLOOKUP(A11,'DB Country PMI'!$A:$V,MATCH($A$1,'DB Country PMI'!$A$1:$V$1,),))</f>
        <v>54</v>
      </c>
      <c r="C11" s="14">
        <f>Table1[[#This Row],[PMI]]-B10</f>
        <v>-5.2999999999999972</v>
      </c>
    </row>
    <row r="12" spans="1:8" x14ac:dyDescent="0.35">
      <c r="A12" s="8">
        <v>40634</v>
      </c>
      <c r="B12" s="11">
        <f>IF(VLOOKUP(A12,'DB Country PMI'!$A:$V,MATCH($A$1,'DB Country PMI'!$A$1:$V$1,),)=0,#N/A,VLOOKUP(A12,'DB Country PMI'!$A:$V,MATCH($A$1,'DB Country PMI'!$A$1:$V$1,),))</f>
        <v>51</v>
      </c>
      <c r="C12" s="14">
        <f>Table1[[#This Row],[PMI]]-B11</f>
        <v>-3</v>
      </c>
    </row>
    <row r="13" spans="1:8" x14ac:dyDescent="0.35">
      <c r="A13" s="8">
        <v>40664</v>
      </c>
      <c r="B13" s="11">
        <f>IF(VLOOKUP(A13,'DB Country PMI'!$A:$V,MATCH($A$1,'DB Country PMI'!$A$1:$V$1,),)=0,#N/A,VLOOKUP(A13,'DB Country PMI'!$A:$V,MATCH($A$1,'DB Country PMI'!$A$1:$V$1,),))</f>
        <v>52.5</v>
      </c>
      <c r="C13" s="14">
        <f>Table1[[#This Row],[PMI]]-B12</f>
        <v>1.5</v>
      </c>
    </row>
    <row r="14" spans="1:8" x14ac:dyDescent="0.35">
      <c r="A14" s="8">
        <v>40695</v>
      </c>
      <c r="B14" s="11">
        <f>IF(VLOOKUP(A14,'DB Country PMI'!$A:$V,MATCH($A$1,'DB Country PMI'!$A$1:$V$1,),)=0,#N/A,VLOOKUP(A14,'DB Country PMI'!$A:$V,MATCH($A$1,'DB Country PMI'!$A$1:$V$1,),))</f>
        <v>52.1</v>
      </c>
      <c r="C14" s="14">
        <f>Table1[[#This Row],[PMI]]-B13</f>
        <v>-0.39999999999999858</v>
      </c>
    </row>
    <row r="15" spans="1:8" x14ac:dyDescent="0.35">
      <c r="A15" s="8">
        <v>40725</v>
      </c>
      <c r="B15" s="11">
        <f>IF(VLOOKUP(A15,'DB Country PMI'!$A:$V,MATCH($A$1,'DB Country PMI'!$A$1:$V$1,),)=0,#N/A,VLOOKUP(A15,'DB Country PMI'!$A:$V,MATCH($A$1,'DB Country PMI'!$A$1:$V$1,),))</f>
        <v>53.1</v>
      </c>
      <c r="C15" s="14">
        <f>Table1[[#This Row],[PMI]]-B14</f>
        <v>1</v>
      </c>
    </row>
    <row r="16" spans="1:8" x14ac:dyDescent="0.35">
      <c r="A16" s="8">
        <v>40756</v>
      </c>
      <c r="B16" s="11">
        <f>IF(VLOOKUP(A16,'DB Country PMI'!$A:$V,MATCH($A$1,'DB Country PMI'!$A$1:$V$1,),)=0,#N/A,VLOOKUP(A16,'DB Country PMI'!$A:$V,MATCH($A$1,'DB Country PMI'!$A$1:$V$1,),))</f>
        <v>52.4</v>
      </c>
      <c r="C16" s="14">
        <f>Table1[[#This Row],[PMI]]-B15</f>
        <v>-0.70000000000000284</v>
      </c>
    </row>
    <row r="17" spans="1:3" x14ac:dyDescent="0.35">
      <c r="A17" s="8">
        <v>40787</v>
      </c>
      <c r="B17" s="11">
        <f>IF(VLOOKUP(A17,'DB Country PMI'!$A:$V,MATCH($A$1,'DB Country PMI'!$A$1:$V$1,),)=0,#N/A,VLOOKUP(A17,'DB Country PMI'!$A:$V,MATCH($A$1,'DB Country PMI'!$A$1:$V$1,),))</f>
        <v>52.6</v>
      </c>
      <c r="C17" s="14">
        <f>Table1[[#This Row],[PMI]]-B16</f>
        <v>0.20000000000000284</v>
      </c>
    </row>
    <row r="18" spans="1:3" x14ac:dyDescent="0.35">
      <c r="A18" s="8">
        <v>40817</v>
      </c>
      <c r="B18" s="11">
        <f>IF(VLOOKUP(A18,'DB Country PMI'!$A:$V,MATCH($A$1,'DB Country PMI'!$A$1:$V$1,),)=0,#N/A,VLOOKUP(A18,'DB Country PMI'!$A:$V,MATCH($A$1,'DB Country PMI'!$A$1:$V$1,),))</f>
        <v>51.8</v>
      </c>
      <c r="C18" s="14">
        <f>Table1[[#This Row],[PMI]]-B17</f>
        <v>-0.80000000000000426</v>
      </c>
    </row>
    <row r="19" spans="1:3" x14ac:dyDescent="0.35">
      <c r="A19" s="8">
        <v>40848</v>
      </c>
      <c r="B19" s="11">
        <f>IF(VLOOKUP(A19,'DB Country PMI'!$A:$V,MATCH($A$1,'DB Country PMI'!$A$1:$V$1,),)=0,#N/A,VLOOKUP(A19,'DB Country PMI'!$A:$V,MATCH($A$1,'DB Country PMI'!$A$1:$V$1,),))</f>
        <v>52.6</v>
      </c>
      <c r="C19" s="14">
        <f>Table1[[#This Row],[PMI]]-B18</f>
        <v>0.80000000000000426</v>
      </c>
    </row>
    <row r="20" spans="1:3" x14ac:dyDescent="0.35">
      <c r="A20" s="8">
        <v>40878</v>
      </c>
      <c r="B20" s="11">
        <f>IF(VLOOKUP(A20,'DB Country PMI'!$A:$V,MATCH($A$1,'DB Country PMI'!$A$1:$V$1,),)=0,#N/A,VLOOKUP(A20,'DB Country PMI'!$A:$V,MATCH($A$1,'DB Country PMI'!$A$1:$V$1,),))</f>
        <v>53.2</v>
      </c>
      <c r="C20" s="14">
        <f>Table1[[#This Row],[PMI]]-B19</f>
        <v>0.60000000000000142</v>
      </c>
    </row>
    <row r="21" spans="1:3" x14ac:dyDescent="0.35">
      <c r="A21" s="8">
        <v>40909</v>
      </c>
      <c r="B21" s="11">
        <f>IF(VLOOKUP(A21,'DB Country PMI'!$A:$V,MATCH($A$1,'DB Country PMI'!$A$1:$V$1,),)=0,#N/A,VLOOKUP(A21,'DB Country PMI'!$A:$V,MATCH($A$1,'DB Country PMI'!$A$1:$V$1,),))</f>
        <v>55.4</v>
      </c>
      <c r="C21" s="14">
        <f>Table1[[#This Row],[PMI]]-B20</f>
        <v>2.1999999999999957</v>
      </c>
    </row>
    <row r="22" spans="1:3" x14ac:dyDescent="0.35">
      <c r="A22" s="8">
        <v>40940</v>
      </c>
      <c r="B22" s="11">
        <f>IF(VLOOKUP(A22,'DB Country PMI'!$A:$V,MATCH($A$1,'DB Country PMI'!$A$1:$V$1,),)=0,#N/A,VLOOKUP(A22,'DB Country PMI'!$A:$V,MATCH($A$1,'DB Country PMI'!$A$1:$V$1,),))</f>
        <v>56.5</v>
      </c>
      <c r="C22" s="14">
        <f>Table1[[#This Row],[PMI]]-B21</f>
        <v>1.1000000000000014</v>
      </c>
    </row>
    <row r="23" spans="1:3" x14ac:dyDescent="0.35">
      <c r="A23" s="8">
        <v>40969</v>
      </c>
      <c r="B23" s="11">
        <f>IF(VLOOKUP(A23,'DB Country PMI'!$A:$V,MATCH($A$1,'DB Country PMI'!$A$1:$V$1,),)=0,#N/A,VLOOKUP(A23,'DB Country PMI'!$A:$V,MATCH($A$1,'DB Country PMI'!$A$1:$V$1,),))</f>
        <v>54.3</v>
      </c>
      <c r="C23" s="14">
        <f>Table1[[#This Row],[PMI]]-B22</f>
        <v>-2.2000000000000028</v>
      </c>
    </row>
    <row r="24" spans="1:3" x14ac:dyDescent="0.35">
      <c r="A24" s="8">
        <v>41000</v>
      </c>
      <c r="B24" s="11">
        <f>IF(VLOOKUP(A24,'DB Country PMI'!$A:$V,MATCH($A$1,'DB Country PMI'!$A$1:$V$1,),)=0,#N/A,VLOOKUP(A24,'DB Country PMI'!$A:$V,MATCH($A$1,'DB Country PMI'!$A$1:$V$1,),))</f>
        <v>53.2</v>
      </c>
      <c r="C24" s="14">
        <f>Table1[[#This Row],[PMI]]-B23</f>
        <v>-1.0999999999999943</v>
      </c>
    </row>
    <row r="25" spans="1:3" x14ac:dyDescent="0.35">
      <c r="A25" s="8">
        <v>41030</v>
      </c>
      <c r="B25" s="11">
        <f>IF(VLOOKUP(A25,'DB Country PMI'!$A:$V,MATCH($A$1,'DB Country PMI'!$A$1:$V$1,),)=0,#N/A,VLOOKUP(A25,'DB Country PMI'!$A:$V,MATCH($A$1,'DB Country PMI'!$A$1:$V$1,),))</f>
        <v>53.3</v>
      </c>
      <c r="C25" s="14">
        <f>Table1[[#This Row],[PMI]]-B24</f>
        <v>9.9999999999994316E-2</v>
      </c>
    </row>
    <row r="26" spans="1:3" x14ac:dyDescent="0.35">
      <c r="A26" s="8">
        <v>41061</v>
      </c>
      <c r="B26" s="11">
        <f>IF(VLOOKUP(A26,'DB Country PMI'!$A:$V,MATCH($A$1,'DB Country PMI'!$A$1:$V$1,),)=0,#N/A,VLOOKUP(A26,'DB Country PMI'!$A:$V,MATCH($A$1,'DB Country PMI'!$A$1:$V$1,),))</f>
        <v>50.1</v>
      </c>
      <c r="C26" s="14">
        <f>Table1[[#This Row],[PMI]]-B25</f>
        <v>-3.1999999999999957</v>
      </c>
    </row>
    <row r="27" spans="1:3" x14ac:dyDescent="0.35">
      <c r="A27" s="8">
        <v>41091</v>
      </c>
      <c r="B27" s="11">
        <f>IF(VLOOKUP(A27,'DB Country PMI'!$A:$V,MATCH($A$1,'DB Country PMI'!$A$1:$V$1,),)=0,#N/A,VLOOKUP(A27,'DB Country PMI'!$A:$V,MATCH($A$1,'DB Country PMI'!$A$1:$V$1,),))</f>
        <v>49.2</v>
      </c>
      <c r="C27" s="14">
        <f>Table1[[#This Row],[PMI]]-B26</f>
        <v>-0.89999999999999858</v>
      </c>
    </row>
    <row r="28" spans="1:3" x14ac:dyDescent="0.35">
      <c r="A28" s="8">
        <v>41122</v>
      </c>
      <c r="B28" s="11">
        <f>IF(VLOOKUP(A28,'DB Country PMI'!$A:$V,MATCH($A$1,'DB Country PMI'!$A$1:$V$1,),)=0,#N/A,VLOOKUP(A28,'DB Country PMI'!$A:$V,MATCH($A$1,'DB Country PMI'!$A$1:$V$1,),))</f>
        <v>52.4</v>
      </c>
      <c r="C28" s="14">
        <f>Table1[[#This Row],[PMI]]-B27</f>
        <v>3.1999999999999957</v>
      </c>
    </row>
    <row r="29" spans="1:3" x14ac:dyDescent="0.35">
      <c r="A29" s="8">
        <v>41153</v>
      </c>
      <c r="B29" s="11">
        <f>IF(VLOOKUP(A29,'DB Country PMI'!$A:$V,MATCH($A$1,'DB Country PMI'!$A$1:$V$1,),)=0,#N/A,VLOOKUP(A29,'DB Country PMI'!$A:$V,MATCH($A$1,'DB Country PMI'!$A$1:$V$1,),))</f>
        <v>53.1</v>
      </c>
      <c r="C29" s="14">
        <f>Table1[[#This Row],[PMI]]-B28</f>
        <v>0.70000000000000284</v>
      </c>
    </row>
    <row r="30" spans="1:3" x14ac:dyDescent="0.35">
      <c r="A30" s="8">
        <v>41183</v>
      </c>
      <c r="B30" s="11">
        <f>IF(VLOOKUP(A30,'DB Country PMI'!$A:$V,MATCH($A$1,'DB Country PMI'!$A$1:$V$1,),)=0,#N/A,VLOOKUP(A30,'DB Country PMI'!$A:$V,MATCH($A$1,'DB Country PMI'!$A$1:$V$1,),))</f>
        <v>53.6</v>
      </c>
      <c r="C30" s="14">
        <f>Table1[[#This Row],[PMI]]-B29</f>
        <v>0.5</v>
      </c>
    </row>
    <row r="31" spans="1:3" x14ac:dyDescent="0.35">
      <c r="A31" s="8">
        <v>41214</v>
      </c>
      <c r="B31" s="11">
        <f>IF(VLOOKUP(A31,'DB Country PMI'!$A:$V,MATCH($A$1,'DB Country PMI'!$A$1:$V$1,),)=0,#N/A,VLOOKUP(A31,'DB Country PMI'!$A:$V,MATCH($A$1,'DB Country PMI'!$A$1:$V$1,),))</f>
        <v>54.8</v>
      </c>
      <c r="C31" s="14">
        <f>Table1[[#This Row],[PMI]]-B30</f>
        <v>1.1999999999999957</v>
      </c>
    </row>
    <row r="32" spans="1:3" x14ac:dyDescent="0.35">
      <c r="A32" s="8">
        <v>41244</v>
      </c>
      <c r="B32" s="11">
        <f>IF(VLOOKUP(A32,'DB Country PMI'!$A:$V,MATCH($A$1,'DB Country PMI'!$A$1:$V$1,),)=0,#N/A,VLOOKUP(A32,'DB Country PMI'!$A:$V,MATCH($A$1,'DB Country PMI'!$A$1:$V$1,),))</f>
        <v>54.8</v>
      </c>
      <c r="C32" s="14">
        <f>Table1[[#This Row],[PMI]]-B31</f>
        <v>0</v>
      </c>
    </row>
    <row r="33" spans="1:3" x14ac:dyDescent="0.35">
      <c r="A33" s="8">
        <v>41275</v>
      </c>
      <c r="B33" s="11">
        <f>IF(VLOOKUP(A33,'DB Country PMI'!$A:$V,MATCH($A$1,'DB Country PMI'!$A$1:$V$1,),)=0,#N/A,VLOOKUP(A33,'DB Country PMI'!$A:$V,MATCH($A$1,'DB Country PMI'!$A$1:$V$1,),))</f>
        <v>53.6</v>
      </c>
      <c r="C33" s="14">
        <f>Table1[[#This Row],[PMI]]-B32</f>
        <v>-1.1999999999999957</v>
      </c>
    </row>
    <row r="34" spans="1:3" x14ac:dyDescent="0.35">
      <c r="A34" s="8">
        <v>41306</v>
      </c>
      <c r="B34" s="11">
        <f>IF(VLOOKUP(A34,'DB Country PMI'!$A:$V,MATCH($A$1,'DB Country PMI'!$A$1:$V$1,),)=0,#N/A,VLOOKUP(A34,'DB Country PMI'!$A:$V,MATCH($A$1,'DB Country PMI'!$A$1:$V$1,),))</f>
        <v>53.2</v>
      </c>
      <c r="C34" s="14">
        <f>Table1[[#This Row],[PMI]]-B33</f>
        <v>-0.39999999999999858</v>
      </c>
    </row>
    <row r="35" spans="1:3" x14ac:dyDescent="0.35">
      <c r="A35" s="8">
        <v>41334</v>
      </c>
      <c r="B35" s="11">
        <f>IF(VLOOKUP(A35,'DB Country PMI'!$A:$V,MATCH($A$1,'DB Country PMI'!$A$1:$V$1,),)=0,#N/A,VLOOKUP(A35,'DB Country PMI'!$A:$V,MATCH($A$1,'DB Country PMI'!$A$1:$V$1,),))</f>
        <v>53.4</v>
      </c>
      <c r="C35" s="14">
        <f>Table1[[#This Row],[PMI]]-B34</f>
        <v>0.19999999999999574</v>
      </c>
    </row>
    <row r="36" spans="1:3" x14ac:dyDescent="0.35">
      <c r="A36" s="8">
        <v>41365</v>
      </c>
      <c r="B36" s="11">
        <f>IF(VLOOKUP(A36,'DB Country PMI'!$A:$V,MATCH($A$1,'DB Country PMI'!$A$1:$V$1,),)=0,#N/A,VLOOKUP(A36,'DB Country PMI'!$A:$V,MATCH($A$1,'DB Country PMI'!$A$1:$V$1,),))</f>
        <v>52.1</v>
      </c>
      <c r="C36" s="14">
        <f>Table1[[#This Row],[PMI]]-B35</f>
        <v>-1.2999999999999972</v>
      </c>
    </row>
    <row r="37" spans="1:3" x14ac:dyDescent="0.35">
      <c r="A37" s="8">
        <v>41395</v>
      </c>
      <c r="B37" s="11">
        <f>IF(VLOOKUP(A37,'DB Country PMI'!$A:$V,MATCH($A$1,'DB Country PMI'!$A$1:$V$1,),)=0,#N/A,VLOOKUP(A37,'DB Country PMI'!$A:$V,MATCH($A$1,'DB Country PMI'!$A$1:$V$1,),))</f>
        <v>53.7</v>
      </c>
      <c r="C37" s="14">
        <f>Table1[[#This Row],[PMI]]-B36</f>
        <v>1.6000000000000014</v>
      </c>
    </row>
    <row r="38" spans="1:3" x14ac:dyDescent="0.35">
      <c r="A38" s="8">
        <v>41426</v>
      </c>
      <c r="B38" s="11">
        <f>IF(VLOOKUP(A38,'DB Country PMI'!$A:$V,MATCH($A$1,'DB Country PMI'!$A$1:$V$1,),)=0,#N/A,VLOOKUP(A38,'DB Country PMI'!$A:$V,MATCH($A$1,'DB Country PMI'!$A$1:$V$1,),))</f>
        <v>51.3</v>
      </c>
      <c r="C38" s="14">
        <f>Table1[[#This Row],[PMI]]-B37</f>
        <v>-2.4000000000000057</v>
      </c>
    </row>
    <row r="39" spans="1:3" x14ac:dyDescent="0.35">
      <c r="A39" s="8">
        <v>41456</v>
      </c>
      <c r="B39" s="11">
        <f>IF(VLOOKUP(A39,'DB Country PMI'!$A:$V,MATCH($A$1,'DB Country PMI'!$A$1:$V$1,),)=0,#N/A,VLOOKUP(A39,'DB Country PMI'!$A:$V,MATCH($A$1,'DB Country PMI'!$A$1:$V$1,),))</f>
        <v>54.9</v>
      </c>
      <c r="C39" s="14">
        <f>Table1[[#This Row],[PMI]]-B38</f>
        <v>3.6000000000000014</v>
      </c>
    </row>
    <row r="40" spans="1:3" x14ac:dyDescent="0.35">
      <c r="A40" s="8">
        <v>41487</v>
      </c>
      <c r="B40" s="11">
        <f>IF(VLOOKUP(A40,'DB Country PMI'!$A:$V,MATCH($A$1,'DB Country PMI'!$A$1:$V$1,),)=0,#N/A,VLOOKUP(A40,'DB Country PMI'!$A:$V,MATCH($A$1,'DB Country PMI'!$A$1:$V$1,),))</f>
        <v>56</v>
      </c>
      <c r="C40" s="14">
        <f>Table1[[#This Row],[PMI]]-B39</f>
        <v>1.1000000000000014</v>
      </c>
    </row>
    <row r="41" spans="1:3" x14ac:dyDescent="0.35">
      <c r="A41" s="8">
        <v>41518</v>
      </c>
      <c r="B41" s="11">
        <f>IF(VLOOKUP(A41,'DB Country PMI'!$A:$V,MATCH($A$1,'DB Country PMI'!$A$1:$V$1,),)=0,#N/A,VLOOKUP(A41,'DB Country PMI'!$A:$V,MATCH($A$1,'DB Country PMI'!$A$1:$V$1,),))</f>
        <v>53.6</v>
      </c>
      <c r="C41" s="14">
        <f>Table1[[#This Row],[PMI]]-B40</f>
        <v>-2.3999999999999986</v>
      </c>
    </row>
    <row r="42" spans="1:3" x14ac:dyDescent="0.35">
      <c r="A42" s="8">
        <v>41548</v>
      </c>
      <c r="B42" s="11">
        <f>IF(VLOOKUP(A42,'DB Country PMI'!$A:$V,MATCH($A$1,'DB Country PMI'!$A$1:$V$1,),)=0,#N/A,VLOOKUP(A42,'DB Country PMI'!$A:$V,MATCH($A$1,'DB Country PMI'!$A$1:$V$1,),))</f>
        <v>51.8</v>
      </c>
      <c r="C42" s="14">
        <f>Table1[[#This Row],[PMI]]-B41</f>
        <v>-1.8000000000000043</v>
      </c>
    </row>
    <row r="43" spans="1:3" x14ac:dyDescent="0.35">
      <c r="A43" s="8">
        <v>41579</v>
      </c>
      <c r="B43" s="11">
        <f>IF(VLOOKUP(A43,'DB Country PMI'!$A:$V,MATCH($A$1,'DB Country PMI'!$A$1:$V$1,),)=0,#N/A,VLOOKUP(A43,'DB Country PMI'!$A:$V,MATCH($A$1,'DB Country PMI'!$A$1:$V$1,),))</f>
        <v>53.9</v>
      </c>
      <c r="C43" s="14">
        <f>Table1[[#This Row],[PMI]]-B42</f>
        <v>2.1000000000000014</v>
      </c>
    </row>
    <row r="44" spans="1:3" x14ac:dyDescent="0.35">
      <c r="A44" s="8">
        <v>41609</v>
      </c>
      <c r="B44" s="11">
        <f>IF(VLOOKUP(A44,'DB Country PMI'!$A:$V,MATCH($A$1,'DB Country PMI'!$A$1:$V$1,),)=0,#N/A,VLOOKUP(A44,'DB Country PMI'!$A:$V,MATCH($A$1,'DB Country PMI'!$A$1:$V$1,),))</f>
        <v>53.5</v>
      </c>
      <c r="C44" s="14">
        <f>Table1[[#This Row],[PMI]]-B43</f>
        <v>-0.39999999999999858</v>
      </c>
    </row>
    <row r="45" spans="1:3" x14ac:dyDescent="0.35">
      <c r="A45" s="8">
        <v>41640</v>
      </c>
      <c r="B45" s="11">
        <f>IF(VLOOKUP(A45,'DB Country PMI'!$A:$V,MATCH($A$1,'DB Country PMI'!$A$1:$V$1,),)=0,#N/A,VLOOKUP(A45,'DB Country PMI'!$A:$V,MATCH($A$1,'DB Country PMI'!$A$1:$V$1,),))</f>
        <v>53.8</v>
      </c>
      <c r="C45" s="14">
        <f>Table1[[#This Row],[PMI]]-B44</f>
        <v>0.29999999999999716</v>
      </c>
    </row>
    <row r="46" spans="1:3" x14ac:dyDescent="0.35">
      <c r="A46" s="8">
        <v>41671</v>
      </c>
      <c r="B46" s="11">
        <f>IF(VLOOKUP(A46,'DB Country PMI'!$A:$V,MATCH($A$1,'DB Country PMI'!$A$1:$V$1,),)=0,#N/A,VLOOKUP(A46,'DB Country PMI'!$A:$V,MATCH($A$1,'DB Country PMI'!$A$1:$V$1,),))</f>
        <v>52.7</v>
      </c>
      <c r="C46" s="14">
        <f>Table1[[#This Row],[PMI]]-B45</f>
        <v>-1.0999999999999943</v>
      </c>
    </row>
    <row r="47" spans="1:3" x14ac:dyDescent="0.35">
      <c r="A47" s="8">
        <v>41699</v>
      </c>
      <c r="B47" s="11">
        <f>IF(VLOOKUP(A47,'DB Country PMI'!$A:$V,MATCH($A$1,'DB Country PMI'!$A$1:$V$1,),)=0,#N/A,VLOOKUP(A47,'DB Country PMI'!$A:$V,MATCH($A$1,'DB Country PMI'!$A$1:$V$1,),))</f>
        <v>53.5</v>
      </c>
      <c r="C47" s="14">
        <f>Table1[[#This Row],[PMI]]-B46</f>
        <v>0.79999999999999716</v>
      </c>
    </row>
    <row r="48" spans="1:3" x14ac:dyDescent="0.35">
      <c r="A48" s="8">
        <v>41730</v>
      </c>
      <c r="B48" s="11">
        <f>IF(VLOOKUP(A48,'DB Country PMI'!$A:$V,MATCH($A$1,'DB Country PMI'!$A$1:$V$1,),)=0,#N/A,VLOOKUP(A48,'DB Country PMI'!$A:$V,MATCH($A$1,'DB Country PMI'!$A$1:$V$1,),))</f>
        <v>52.7</v>
      </c>
      <c r="C48" s="14">
        <f>Table1[[#This Row],[PMI]]-B47</f>
        <v>-0.79999999999999716</v>
      </c>
    </row>
    <row r="49" spans="1:3" x14ac:dyDescent="0.35">
      <c r="A49" s="8">
        <v>41760</v>
      </c>
      <c r="B49" s="11">
        <f>IF(VLOOKUP(A49,'DB Country PMI'!$A:$V,MATCH($A$1,'DB Country PMI'!$A$1:$V$1,),)=0,#N/A,VLOOKUP(A49,'DB Country PMI'!$A:$V,MATCH($A$1,'DB Country PMI'!$A$1:$V$1,),))</f>
        <v>54.6</v>
      </c>
      <c r="C49" s="14">
        <f>Table1[[#This Row],[PMI]]-B48</f>
        <v>1.8999999999999986</v>
      </c>
    </row>
    <row r="50" spans="1:3" x14ac:dyDescent="0.35">
      <c r="A50" s="8">
        <v>41791</v>
      </c>
      <c r="B50" s="11">
        <f>IF(VLOOKUP(A50,'DB Country PMI'!$A:$V,MATCH($A$1,'DB Country PMI'!$A$1:$V$1,),)=0,#N/A,VLOOKUP(A50,'DB Country PMI'!$A:$V,MATCH($A$1,'DB Country PMI'!$A$1:$V$1,),))</f>
        <v>55.8</v>
      </c>
      <c r="C50" s="14">
        <f>Table1[[#This Row],[PMI]]-B49</f>
        <v>1.1999999999999957</v>
      </c>
    </row>
    <row r="51" spans="1:3" x14ac:dyDescent="0.35">
      <c r="A51" s="8">
        <v>41821</v>
      </c>
      <c r="B51" s="11">
        <f>IF(VLOOKUP(A51,'DB Country PMI'!$A:$V,MATCH($A$1,'DB Country PMI'!$A$1:$V$1,),)=0,#N/A,VLOOKUP(A51,'DB Country PMI'!$A:$V,MATCH($A$1,'DB Country PMI'!$A$1:$V$1,),))</f>
        <v>56</v>
      </c>
      <c r="C51" s="14">
        <f>Table1[[#This Row],[PMI]]-B50</f>
        <v>0.20000000000000284</v>
      </c>
    </row>
    <row r="52" spans="1:3" x14ac:dyDescent="0.35">
      <c r="A52" s="8">
        <v>41852</v>
      </c>
      <c r="B52" s="11">
        <f>IF(VLOOKUP(A52,'DB Country PMI'!$A:$V,MATCH($A$1,'DB Country PMI'!$A$1:$V$1,),)=0,#N/A,VLOOKUP(A52,'DB Country PMI'!$A:$V,MATCH($A$1,'DB Country PMI'!$A$1:$V$1,),))</f>
        <v>55.5</v>
      </c>
      <c r="C52" s="14">
        <f>Table1[[#This Row],[PMI]]-B51</f>
        <v>-0.5</v>
      </c>
    </row>
    <row r="53" spans="1:3" x14ac:dyDescent="0.35">
      <c r="A53" s="8">
        <v>41883</v>
      </c>
      <c r="B53" s="11">
        <f>IF(VLOOKUP(A53,'DB Country PMI'!$A:$V,MATCH($A$1,'DB Country PMI'!$A$1:$V$1,),)=0,#N/A,VLOOKUP(A53,'DB Country PMI'!$A:$V,MATCH($A$1,'DB Country PMI'!$A$1:$V$1,),))</f>
        <v>55.3</v>
      </c>
      <c r="C53" s="14">
        <f>Table1[[#This Row],[PMI]]-B52</f>
        <v>-0.20000000000000284</v>
      </c>
    </row>
    <row r="54" spans="1:3" x14ac:dyDescent="0.35">
      <c r="A54" s="8">
        <v>41913</v>
      </c>
      <c r="B54" s="11">
        <f>IF(VLOOKUP(A54,'DB Country PMI'!$A:$V,MATCH($A$1,'DB Country PMI'!$A$1:$V$1,),)=0,#N/A,VLOOKUP(A54,'DB Country PMI'!$A:$V,MATCH($A$1,'DB Country PMI'!$A$1:$V$1,),))</f>
        <v>53.7</v>
      </c>
      <c r="C54" s="14">
        <f>Table1[[#This Row],[PMI]]-B53</f>
        <v>-1.5999999999999943</v>
      </c>
    </row>
    <row r="55" spans="1:3" x14ac:dyDescent="0.35">
      <c r="A55" s="8">
        <v>41944</v>
      </c>
      <c r="B55" s="11">
        <f>IF(VLOOKUP(A55,'DB Country PMI'!$A:$V,MATCH($A$1,'DB Country PMI'!$A$1:$V$1,),)=0,#N/A,VLOOKUP(A55,'DB Country PMI'!$A:$V,MATCH($A$1,'DB Country PMI'!$A$1:$V$1,),))</f>
        <v>53.5</v>
      </c>
      <c r="C55" s="14">
        <f>Table1[[#This Row],[PMI]]-B54</f>
        <v>-0.20000000000000284</v>
      </c>
    </row>
    <row r="56" spans="1:3" x14ac:dyDescent="0.35">
      <c r="A56" s="8">
        <v>41974</v>
      </c>
      <c r="B56" s="11">
        <f>IF(VLOOKUP(A56,'DB Country PMI'!$A:$V,MATCH($A$1,'DB Country PMI'!$A$1:$V$1,),)=0,#N/A,VLOOKUP(A56,'DB Country PMI'!$A:$V,MATCH($A$1,'DB Country PMI'!$A$1:$V$1,),))</f>
        <v>52.3</v>
      </c>
      <c r="C56" s="14">
        <f>Table1[[#This Row],[PMI]]-B55</f>
        <v>-1.2000000000000028</v>
      </c>
    </row>
    <row r="57" spans="1:3" x14ac:dyDescent="0.35">
      <c r="A57" s="8">
        <v>42005</v>
      </c>
      <c r="B57" s="11">
        <f>IF(VLOOKUP(A57,'DB Country PMI'!$A:$V,MATCH($A$1,'DB Country PMI'!$A$1:$V$1,),)=0,#N/A,VLOOKUP(A57,'DB Country PMI'!$A:$V,MATCH($A$1,'DB Country PMI'!$A$1:$V$1,),))</f>
        <v>52.9</v>
      </c>
      <c r="C57" s="14">
        <f>Table1[[#This Row],[PMI]]-B56</f>
        <v>0.60000000000000142</v>
      </c>
    </row>
    <row r="58" spans="1:3" x14ac:dyDescent="0.35">
      <c r="A58" s="8">
        <v>42036</v>
      </c>
      <c r="B58" s="11">
        <f>IF(VLOOKUP(A58,'DB Country PMI'!$A:$V,MATCH($A$1,'DB Country PMI'!$A$1:$V$1,),)=0,#N/A,VLOOKUP(A58,'DB Country PMI'!$A:$V,MATCH($A$1,'DB Country PMI'!$A$1:$V$1,),))</f>
        <v>54.1</v>
      </c>
      <c r="C58" s="14">
        <f>Table1[[#This Row],[PMI]]-B57</f>
        <v>1.2000000000000028</v>
      </c>
    </row>
    <row r="59" spans="1:3" x14ac:dyDescent="0.35">
      <c r="A59" s="8">
        <v>42064</v>
      </c>
      <c r="B59" s="11">
        <f>IF(VLOOKUP(A59,'DB Country PMI'!$A:$V,MATCH($A$1,'DB Country PMI'!$A$1:$V$1,),)=0,#N/A,VLOOKUP(A59,'DB Country PMI'!$A:$V,MATCH($A$1,'DB Country PMI'!$A$1:$V$1,),))</f>
        <v>55.1</v>
      </c>
      <c r="C59" s="14">
        <f>Table1[[#This Row],[PMI]]-B58</f>
        <v>1</v>
      </c>
    </row>
    <row r="60" spans="1:3" x14ac:dyDescent="0.35">
      <c r="A60" s="8">
        <v>42095</v>
      </c>
      <c r="B60" s="11">
        <f>IF(VLOOKUP(A60,'DB Country PMI'!$A:$V,MATCH($A$1,'DB Country PMI'!$A$1:$V$1,),)=0,#N/A,VLOOKUP(A60,'DB Country PMI'!$A:$V,MATCH($A$1,'DB Country PMI'!$A$1:$V$1,),))</f>
        <v>54.8</v>
      </c>
      <c r="C60" s="14">
        <f>Table1[[#This Row],[PMI]]-B59</f>
        <v>-0.30000000000000426</v>
      </c>
    </row>
    <row r="61" spans="1:3" x14ac:dyDescent="0.35">
      <c r="A61" s="8">
        <v>42125</v>
      </c>
      <c r="B61" s="11">
        <f>IF(VLOOKUP(A61,'DB Country PMI'!$A:$V,MATCH($A$1,'DB Country PMI'!$A$1:$V$1,),)=0,#N/A,VLOOKUP(A61,'DB Country PMI'!$A:$V,MATCH($A$1,'DB Country PMI'!$A$1:$V$1,),))</f>
        <v>54.1</v>
      </c>
      <c r="C61" s="14">
        <f>Table1[[#This Row],[PMI]]-B60</f>
        <v>-0.69999999999999574</v>
      </c>
    </row>
    <row r="62" spans="1:3" x14ac:dyDescent="0.35">
      <c r="A62" s="8">
        <v>42156</v>
      </c>
      <c r="B62" s="11">
        <f>IF(VLOOKUP(A62,'DB Country PMI'!$A:$V,MATCH($A$1,'DB Country PMI'!$A$1:$V$1,),)=0,#N/A,VLOOKUP(A62,'DB Country PMI'!$A:$V,MATCH($A$1,'DB Country PMI'!$A$1:$V$1,),))</f>
        <v>53.5</v>
      </c>
      <c r="C62" s="14">
        <f>Table1[[#This Row],[PMI]]-B61</f>
        <v>-0.60000000000000142</v>
      </c>
    </row>
    <row r="63" spans="1:3" x14ac:dyDescent="0.35">
      <c r="A63" s="8">
        <v>42186</v>
      </c>
      <c r="B63" s="11">
        <f>IF(VLOOKUP(A63,'DB Country PMI'!$A:$V,MATCH($A$1,'DB Country PMI'!$A$1:$V$1,),)=0,#N/A,VLOOKUP(A63,'DB Country PMI'!$A:$V,MATCH($A$1,'DB Country PMI'!$A$1:$V$1,),))</f>
        <v>53.9</v>
      </c>
      <c r="C63" s="14">
        <f>Table1[[#This Row],[PMI]]-B62</f>
        <v>0.39999999999999858</v>
      </c>
    </row>
    <row r="64" spans="1:3" x14ac:dyDescent="0.35">
      <c r="A64" s="8">
        <v>42217</v>
      </c>
      <c r="B64" s="11">
        <f>IF(VLOOKUP(A64,'DB Country PMI'!$A:$V,MATCH($A$1,'DB Country PMI'!$A$1:$V$1,),)=0,#N/A,VLOOKUP(A64,'DB Country PMI'!$A:$V,MATCH($A$1,'DB Country PMI'!$A$1:$V$1,),))</f>
        <v>54.4</v>
      </c>
      <c r="C64" s="14">
        <f>Table1[[#This Row],[PMI]]-B63</f>
        <v>0.5</v>
      </c>
    </row>
    <row r="65" spans="1:3" x14ac:dyDescent="0.35">
      <c r="A65" s="8">
        <v>42248</v>
      </c>
      <c r="B65" s="11">
        <f>IF(VLOOKUP(A65,'DB Country PMI'!$A:$V,MATCH($A$1,'DB Country PMI'!$A$1:$V$1,),)=0,#N/A,VLOOKUP(A65,'DB Country PMI'!$A:$V,MATCH($A$1,'DB Country PMI'!$A$1:$V$1,),))</f>
        <v>53.3</v>
      </c>
      <c r="C65" s="14">
        <f>Table1[[#This Row],[PMI]]-B64</f>
        <v>-1.1000000000000014</v>
      </c>
    </row>
    <row r="66" spans="1:3" x14ac:dyDescent="0.35">
      <c r="A66" s="8">
        <v>42278</v>
      </c>
      <c r="B66" s="11">
        <f>IF(VLOOKUP(A66,'DB Country PMI'!$A:$V,MATCH($A$1,'DB Country PMI'!$A$1:$V$1,),)=0,#N/A,VLOOKUP(A66,'DB Country PMI'!$A:$V,MATCH($A$1,'DB Country PMI'!$A$1:$V$1,),))</f>
        <v>53.7</v>
      </c>
      <c r="C66" s="14">
        <f>Table1[[#This Row],[PMI]]-B65</f>
        <v>0.40000000000000568</v>
      </c>
    </row>
    <row r="67" spans="1:3" x14ac:dyDescent="0.35">
      <c r="A67" s="8">
        <v>42309</v>
      </c>
      <c r="B67" s="11">
        <f>IF(VLOOKUP(A67,'DB Country PMI'!$A:$V,MATCH($A$1,'DB Country PMI'!$A$1:$V$1,),)=0,#N/A,VLOOKUP(A67,'DB Country PMI'!$A:$V,MATCH($A$1,'DB Country PMI'!$A$1:$V$1,),))</f>
        <v>54.1</v>
      </c>
      <c r="C67" s="14">
        <f>Table1[[#This Row],[PMI]]-B66</f>
        <v>0.39999999999999858</v>
      </c>
    </row>
    <row r="68" spans="1:3" x14ac:dyDescent="0.35">
      <c r="A68" s="8">
        <v>42339</v>
      </c>
      <c r="B68" s="11">
        <f>IF(VLOOKUP(A68,'DB Country PMI'!$A:$V,MATCH($A$1,'DB Country PMI'!$A$1:$V$1,),)=0,#N/A,VLOOKUP(A68,'DB Country PMI'!$A:$V,MATCH($A$1,'DB Country PMI'!$A$1:$V$1,),))</f>
        <v>53.1</v>
      </c>
      <c r="C68" s="14">
        <f>Table1[[#This Row],[PMI]]-B67</f>
        <v>-1</v>
      </c>
    </row>
    <row r="69" spans="1:3" x14ac:dyDescent="0.35">
      <c r="A69" s="8">
        <v>42370</v>
      </c>
      <c r="B69" s="11">
        <f>IF(VLOOKUP(A69,'DB Country PMI'!$A:$V,MATCH($A$1,'DB Country PMI'!$A$1:$V$1,),)=0,#N/A,VLOOKUP(A69,'DB Country PMI'!$A:$V,MATCH($A$1,'DB Country PMI'!$A$1:$V$1,),))</f>
        <v>52.8</v>
      </c>
      <c r="C69" s="14">
        <f>Table1[[#This Row],[PMI]]-B68</f>
        <v>-0.30000000000000426</v>
      </c>
    </row>
    <row r="70" spans="1:3" x14ac:dyDescent="0.35">
      <c r="A70" s="8">
        <v>42401</v>
      </c>
      <c r="B70" s="11">
        <f>IF(VLOOKUP(A70,'DB Country PMI'!$A:$V,MATCH($A$1,'DB Country PMI'!$A$1:$V$1,),)=0,#N/A,VLOOKUP(A70,'DB Country PMI'!$A:$V,MATCH($A$1,'DB Country PMI'!$A$1:$V$1,),))</f>
        <v>50.7</v>
      </c>
      <c r="C70" s="14">
        <f>Table1[[#This Row],[PMI]]-B69</f>
        <v>-2.0999999999999943</v>
      </c>
    </row>
    <row r="71" spans="1:3" x14ac:dyDescent="0.35">
      <c r="A71" s="8">
        <v>42430</v>
      </c>
      <c r="B71" s="11">
        <f>IF(VLOOKUP(A71,'DB Country PMI'!$A:$V,MATCH($A$1,'DB Country PMI'!$A$1:$V$1,),)=0,#N/A,VLOOKUP(A71,'DB Country PMI'!$A:$V,MATCH($A$1,'DB Country PMI'!$A$1:$V$1,),))</f>
        <v>51.4</v>
      </c>
      <c r="C71" s="14">
        <f>Table1[[#This Row],[PMI]]-B70</f>
        <v>0.69999999999999574</v>
      </c>
    </row>
    <row r="72" spans="1:3" x14ac:dyDescent="0.35">
      <c r="A72" s="8">
        <v>42461</v>
      </c>
      <c r="B72" s="11">
        <f>IF(VLOOKUP(A72,'DB Country PMI'!$A:$V,MATCH($A$1,'DB Country PMI'!$A$1:$V$1,),)=0,#N/A,VLOOKUP(A72,'DB Country PMI'!$A:$V,MATCH($A$1,'DB Country PMI'!$A$1:$V$1,),))</f>
        <v>51.9</v>
      </c>
      <c r="C72" s="14">
        <f>Table1[[#This Row],[PMI]]-B71</f>
        <v>0.5</v>
      </c>
    </row>
    <row r="73" spans="1:3" x14ac:dyDescent="0.35">
      <c r="A73" s="8">
        <v>42491</v>
      </c>
      <c r="B73" s="11">
        <f>IF(VLOOKUP(A73,'DB Country PMI'!$A:$V,MATCH($A$1,'DB Country PMI'!$A$1:$V$1,),)=0,#N/A,VLOOKUP(A73,'DB Country PMI'!$A:$V,MATCH($A$1,'DB Country PMI'!$A$1:$V$1,),))</f>
        <v>52.8</v>
      </c>
      <c r="C73" s="14">
        <f>Table1[[#This Row],[PMI]]-B72</f>
        <v>0.89999999999999858</v>
      </c>
    </row>
    <row r="74" spans="1:3" x14ac:dyDescent="0.35">
      <c r="A74" s="8">
        <v>42522</v>
      </c>
      <c r="B74" s="11">
        <f>IF(VLOOKUP(A74,'DB Country PMI'!$A:$V,MATCH($A$1,'DB Country PMI'!$A$1:$V$1,),)=0,#N/A,VLOOKUP(A74,'DB Country PMI'!$A:$V,MATCH($A$1,'DB Country PMI'!$A$1:$V$1,),))</f>
        <v>51.3</v>
      </c>
      <c r="C74" s="14">
        <f>Table1[[#This Row],[PMI]]-B73</f>
        <v>-1.5</v>
      </c>
    </row>
    <row r="75" spans="1:3" x14ac:dyDescent="0.35">
      <c r="A75" s="8">
        <v>42552</v>
      </c>
      <c r="B75" s="11">
        <f>IF(VLOOKUP(A75,'DB Country PMI'!$A:$V,MATCH($A$1,'DB Country PMI'!$A$1:$V$1,),)=0,#N/A,VLOOKUP(A75,'DB Country PMI'!$A:$V,MATCH($A$1,'DB Country PMI'!$A$1:$V$1,),))</f>
        <v>51.3</v>
      </c>
      <c r="C75" s="14">
        <f>Table1[[#This Row],[PMI]]-B74</f>
        <v>0</v>
      </c>
    </row>
    <row r="76" spans="1:3" x14ac:dyDescent="0.35">
      <c r="A76" s="8">
        <v>42583</v>
      </c>
      <c r="B76" s="11">
        <f>IF(VLOOKUP(A76,'DB Country PMI'!$A:$V,MATCH($A$1,'DB Country PMI'!$A$1:$V$1,),)=0,#N/A,VLOOKUP(A76,'DB Country PMI'!$A:$V,MATCH($A$1,'DB Country PMI'!$A$1:$V$1,),))</f>
        <v>51.5</v>
      </c>
      <c r="C76" s="14">
        <f>Table1[[#This Row],[PMI]]-B75</f>
        <v>0.20000000000000284</v>
      </c>
    </row>
    <row r="77" spans="1:3" x14ac:dyDescent="0.35">
      <c r="A77" s="8">
        <v>42614</v>
      </c>
      <c r="B77" s="11">
        <f>IF(VLOOKUP(A77,'DB Country PMI'!$A:$V,MATCH($A$1,'DB Country PMI'!$A$1:$V$1,),)=0,#N/A,VLOOKUP(A77,'DB Country PMI'!$A:$V,MATCH($A$1,'DB Country PMI'!$A$1:$V$1,),))</f>
        <v>51.6</v>
      </c>
      <c r="C77" s="14">
        <f>Table1[[#This Row],[PMI]]-B76</f>
        <v>0.10000000000000142</v>
      </c>
    </row>
    <row r="78" spans="1:3" x14ac:dyDescent="0.35">
      <c r="A78" s="8">
        <v>42644</v>
      </c>
      <c r="B78" s="11">
        <f>IF(VLOOKUP(A78,'DB Country PMI'!$A:$V,MATCH($A$1,'DB Country PMI'!$A$1:$V$1,),)=0,#N/A,VLOOKUP(A78,'DB Country PMI'!$A:$V,MATCH($A$1,'DB Country PMI'!$A$1:$V$1,),))</f>
        <v>53.2</v>
      </c>
      <c r="C78" s="14">
        <f>Table1[[#This Row],[PMI]]-B77</f>
        <v>1.6000000000000014</v>
      </c>
    </row>
    <row r="79" spans="1:3" x14ac:dyDescent="0.35">
      <c r="A79" s="8">
        <v>42675</v>
      </c>
      <c r="B79" s="11">
        <f>IF(VLOOKUP(A79,'DB Country PMI'!$A:$V,MATCH($A$1,'DB Country PMI'!$A$1:$V$1,),)=0,#N/A,VLOOKUP(A79,'DB Country PMI'!$A:$V,MATCH($A$1,'DB Country PMI'!$A$1:$V$1,),))</f>
        <v>53.3</v>
      </c>
      <c r="C79" s="14">
        <f>Table1[[#This Row],[PMI]]-B78</f>
        <v>9.9999999999994316E-2</v>
      </c>
    </row>
    <row r="80" spans="1:3" x14ac:dyDescent="0.35">
      <c r="A80" s="8">
        <v>42705</v>
      </c>
      <c r="B80" s="11">
        <f>IF(VLOOKUP(A80,'DB Country PMI'!$A:$V,MATCH($A$1,'DB Country PMI'!$A$1:$V$1,),)=0,#N/A,VLOOKUP(A80,'DB Country PMI'!$A:$V,MATCH($A$1,'DB Country PMI'!$A$1:$V$1,),))</f>
        <v>53.3</v>
      </c>
      <c r="C80" s="14">
        <f>Table1[[#This Row],[PMI]]-B79</f>
        <v>0</v>
      </c>
    </row>
    <row r="81" spans="1:3" x14ac:dyDescent="0.35">
      <c r="A81" s="8">
        <v>42736</v>
      </c>
      <c r="B81" s="11">
        <f>IF(VLOOKUP(A81,'DB Country PMI'!$A:$V,MATCH($A$1,'DB Country PMI'!$A$1:$V$1,),)=0,#N/A,VLOOKUP(A81,'DB Country PMI'!$A:$V,MATCH($A$1,'DB Country PMI'!$A$1:$V$1,),))</f>
        <v>53.9</v>
      </c>
      <c r="C81" s="14">
        <f>Table1[[#This Row],[PMI]]-B80</f>
        <v>0.60000000000000142</v>
      </c>
    </row>
    <row r="82" spans="1:3" x14ac:dyDescent="0.35">
      <c r="A82" s="8">
        <v>42767</v>
      </c>
      <c r="B82" s="11">
        <f>IF(VLOOKUP(A82,'DB Country PMI'!$A:$V,MATCH($A$1,'DB Country PMI'!$A$1:$V$1,),)=0,#N/A,VLOOKUP(A82,'DB Country PMI'!$A:$V,MATCH($A$1,'DB Country PMI'!$A$1:$V$1,),))</f>
        <v>53.3</v>
      </c>
      <c r="C82" s="14">
        <f>Table1[[#This Row],[PMI]]-B81</f>
        <v>-0.60000000000000142</v>
      </c>
    </row>
    <row r="83" spans="1:3" x14ac:dyDescent="0.35">
      <c r="A83" s="8">
        <v>42795</v>
      </c>
      <c r="B83" s="11">
        <f>IF(VLOOKUP(A83,'DB Country PMI'!$A:$V,MATCH($A$1,'DB Country PMI'!$A$1:$V$1,),)=0,#N/A,VLOOKUP(A83,'DB Country PMI'!$A:$V,MATCH($A$1,'DB Country PMI'!$A$1:$V$1,),))</f>
        <v>53.6</v>
      </c>
      <c r="C83" s="14">
        <f>Table1[[#This Row],[PMI]]-B82</f>
        <v>0.30000000000000426</v>
      </c>
    </row>
    <row r="84" spans="1:3" x14ac:dyDescent="0.35">
      <c r="A84" s="8">
        <v>42826</v>
      </c>
      <c r="B84" s="11">
        <f>IF(VLOOKUP(A84,'DB Country PMI'!$A:$V,MATCH($A$1,'DB Country PMI'!$A$1:$V$1,),)=0,#N/A,VLOOKUP(A84,'DB Country PMI'!$A:$V,MATCH($A$1,'DB Country PMI'!$A$1:$V$1,),))</f>
        <v>53.6</v>
      </c>
      <c r="C84" s="14">
        <f>Table1[[#This Row],[PMI]]-B83</f>
        <v>0</v>
      </c>
    </row>
    <row r="85" spans="1:3" x14ac:dyDescent="0.35">
      <c r="A85" s="8">
        <v>42856</v>
      </c>
      <c r="B85" s="11">
        <f>IF(VLOOKUP(A85,'DB Country PMI'!$A:$V,MATCH($A$1,'DB Country PMI'!$A$1:$V$1,),)=0,#N/A,VLOOKUP(A85,'DB Country PMI'!$A:$V,MATCH($A$1,'DB Country PMI'!$A$1:$V$1,),))</f>
        <v>53.8</v>
      </c>
      <c r="C85" s="14">
        <f>Table1[[#This Row],[PMI]]-B84</f>
        <v>0.19999999999999574</v>
      </c>
    </row>
    <row r="86" spans="1:3" x14ac:dyDescent="0.35">
      <c r="A86" s="8">
        <v>42887</v>
      </c>
      <c r="B86" s="11">
        <f>IF(VLOOKUP(A86,'DB Country PMI'!$A:$V,MATCH($A$1,'DB Country PMI'!$A$1:$V$1,),)=0,#N/A,VLOOKUP(A86,'DB Country PMI'!$A:$V,MATCH($A$1,'DB Country PMI'!$A$1:$V$1,),))</f>
        <v>53.8</v>
      </c>
      <c r="C86" s="14">
        <f>Table1[[#This Row],[PMI]]-B85</f>
        <v>0</v>
      </c>
    </row>
    <row r="87" spans="1:3" x14ac:dyDescent="0.35">
      <c r="A87" s="8">
        <v>42917</v>
      </c>
      <c r="B87" s="11">
        <f>IF(VLOOKUP(A87,'DB Country PMI'!$A:$V,MATCH($A$1,'DB Country PMI'!$A$1:$V$1,),)=0,#N/A,VLOOKUP(A87,'DB Country PMI'!$A:$V,MATCH($A$1,'DB Country PMI'!$A$1:$V$1,),))</f>
        <v>53.7</v>
      </c>
      <c r="C87" s="14">
        <f>Table1[[#This Row],[PMI]]-B86</f>
        <v>-9.9999999999994316E-2</v>
      </c>
    </row>
    <row r="88" spans="1:3" x14ac:dyDescent="0.35">
      <c r="A88" s="8">
        <v>42948</v>
      </c>
      <c r="B88" s="11">
        <f>IF(VLOOKUP(A88,'DB Country PMI'!$A:$V,MATCH($A$1,'DB Country PMI'!$A$1:$V$1,),)=0,#N/A,VLOOKUP(A88,'DB Country PMI'!$A:$V,MATCH($A$1,'DB Country PMI'!$A$1:$V$1,),))</f>
        <v>54.1</v>
      </c>
      <c r="C88" s="14">
        <f>Table1[[#This Row],[PMI]]-B87</f>
        <v>0.39999999999999858</v>
      </c>
    </row>
    <row r="89" spans="1:3" x14ac:dyDescent="0.35">
      <c r="A89" s="8">
        <v>42979</v>
      </c>
      <c r="B89" s="11">
        <f>IF(VLOOKUP(A89,'DB Country PMI'!$A:$V,MATCH($A$1,'DB Country PMI'!$A$1:$V$1,),)=0,#N/A,VLOOKUP(A89,'DB Country PMI'!$A:$V,MATCH($A$1,'DB Country PMI'!$A$1:$V$1,),))</f>
        <v>54</v>
      </c>
      <c r="C89" s="14">
        <f>Table1[[#This Row],[PMI]]-B88</f>
        <v>-0.10000000000000142</v>
      </c>
    </row>
    <row r="90" spans="1:3" x14ac:dyDescent="0.35">
      <c r="A90" s="8">
        <v>43009</v>
      </c>
      <c r="B90" s="11">
        <f>IF(VLOOKUP(A90,'DB Country PMI'!$A:$V,MATCH($A$1,'DB Country PMI'!$A$1:$V$1,),)=0,#N/A,VLOOKUP(A90,'DB Country PMI'!$A:$V,MATCH($A$1,'DB Country PMI'!$A$1:$V$1,),))</f>
        <v>54.1</v>
      </c>
      <c r="C90" s="14">
        <f>Table1[[#This Row],[PMI]]-B89</f>
        <v>0.10000000000000142</v>
      </c>
    </row>
    <row r="91" spans="1:3" x14ac:dyDescent="0.35">
      <c r="A91" s="8">
        <v>43040</v>
      </c>
      <c r="B91" s="11">
        <f>IF(VLOOKUP(A91,'DB Country PMI'!$A:$V,MATCH($A$1,'DB Country PMI'!$A$1:$V$1,),)=0,#N/A,VLOOKUP(A91,'DB Country PMI'!$A:$V,MATCH($A$1,'DB Country PMI'!$A$1:$V$1,),))</f>
        <v>53.7</v>
      </c>
      <c r="C91" s="14">
        <f>Table1[[#This Row],[PMI]]-B90</f>
        <v>-0.39999999999999858</v>
      </c>
    </row>
    <row r="92" spans="1:3" x14ac:dyDescent="0.35">
      <c r="A92" s="8">
        <v>43070</v>
      </c>
      <c r="B92" s="11">
        <f>IF(VLOOKUP(A92,'DB Country PMI'!$A:$V,MATCH($A$1,'DB Country PMI'!$A$1:$V$1,),)=0,#N/A,VLOOKUP(A92,'DB Country PMI'!$A:$V,MATCH($A$1,'DB Country PMI'!$A$1:$V$1,),))</f>
        <v>53.8</v>
      </c>
      <c r="C92" s="14">
        <f>Table1[[#This Row],[PMI]]-B91</f>
        <v>9.9999999999994316E-2</v>
      </c>
    </row>
    <row r="93" spans="1:3" x14ac:dyDescent="0.35">
      <c r="A93" s="8">
        <v>43101</v>
      </c>
      <c r="B93" s="11">
        <f>IF(VLOOKUP(A93,'DB Country PMI'!$A:$V,MATCH($A$1,'DB Country PMI'!$A$1:$V$1,),)=0,#N/A,VLOOKUP(A93,'DB Country PMI'!$A:$V,MATCH($A$1,'DB Country PMI'!$A$1:$V$1,),))</f>
        <v>54.1</v>
      </c>
      <c r="C93" s="14">
        <f>Table1[[#This Row],[PMI]]-B92</f>
        <v>0.30000000000000426</v>
      </c>
    </row>
    <row r="94" spans="1:3" x14ac:dyDescent="0.35">
      <c r="A94" s="8">
        <v>43132</v>
      </c>
      <c r="B94" s="11">
        <f>IF(VLOOKUP(A94,'DB Country PMI'!$A:$V,MATCH($A$1,'DB Country PMI'!$A$1:$V$1,),)=0,#N/A,VLOOKUP(A94,'DB Country PMI'!$A:$V,MATCH($A$1,'DB Country PMI'!$A$1:$V$1,),))</f>
        <v>54.8</v>
      </c>
      <c r="C94" s="14">
        <f>Table1[[#This Row],[PMI]]-B93</f>
        <v>0.69999999999999574</v>
      </c>
    </row>
    <row r="95" spans="1:3" x14ac:dyDescent="0.35">
      <c r="A95" s="8">
        <v>43160</v>
      </c>
      <c r="B95" s="11">
        <f>IF(VLOOKUP(A95,'DB Country PMI'!$A:$V,MATCH($A$1,'DB Country PMI'!$A$1:$V$1,),)=0,#N/A,VLOOKUP(A95,'DB Country PMI'!$A:$V,MATCH($A$1,'DB Country PMI'!$A$1:$V$1,),))</f>
        <v>53.2</v>
      </c>
      <c r="C95" s="14">
        <f>Table1[[#This Row],[PMI]]-B94</f>
        <v>-1.5999999999999943</v>
      </c>
    </row>
    <row r="96" spans="1:3" x14ac:dyDescent="0.35">
      <c r="A96" s="8">
        <v>43191</v>
      </c>
      <c r="B96" s="11">
        <f>IF(VLOOKUP(A96,'DB Country PMI'!$A:$V,MATCH($A$1,'DB Country PMI'!$A$1:$V$1,),)=0,#N/A,VLOOKUP(A96,'DB Country PMI'!$A:$V,MATCH($A$1,'DB Country PMI'!$A$1:$V$1,),))</f>
        <v>53.8</v>
      </c>
      <c r="C96" s="14">
        <f>Table1[[#This Row],[PMI]]-B95</f>
        <v>0.59999999999999432</v>
      </c>
    </row>
    <row r="97" spans="1:3" x14ac:dyDescent="0.35">
      <c r="A97" s="8">
        <v>43221</v>
      </c>
      <c r="B97" s="11">
        <f>IF(VLOOKUP(A97,'DB Country PMI'!$A:$V,MATCH($A$1,'DB Country PMI'!$A$1:$V$1,),)=0,#N/A,VLOOKUP(A97,'DB Country PMI'!$A:$V,MATCH($A$1,'DB Country PMI'!$A$1:$V$1,),))</f>
        <v>54.3</v>
      </c>
      <c r="C97" s="14">
        <f>Table1[[#This Row],[PMI]]-B96</f>
        <v>0.5</v>
      </c>
    </row>
    <row r="98" spans="1:3" x14ac:dyDescent="0.35">
      <c r="A98" s="8">
        <v>43252</v>
      </c>
      <c r="B98" s="11">
        <f>IF(VLOOKUP(A98,'DB Country PMI'!$A:$V,MATCH($A$1,'DB Country PMI'!$A$1:$V$1,),)=0,#N/A,VLOOKUP(A98,'DB Country PMI'!$A:$V,MATCH($A$1,'DB Country PMI'!$A$1:$V$1,),))</f>
        <v>54.6</v>
      </c>
      <c r="C98" s="14">
        <f>Table1[[#This Row],[PMI]]-B97</f>
        <v>0.30000000000000426</v>
      </c>
    </row>
    <row r="99" spans="1:3" x14ac:dyDescent="0.35">
      <c r="A99" s="8">
        <v>43282</v>
      </c>
      <c r="B99" s="11">
        <f>IF(VLOOKUP(A99,'DB Country PMI'!$A:$V,MATCH($A$1,'DB Country PMI'!$A$1:$V$1,),)=0,#N/A,VLOOKUP(A99,'DB Country PMI'!$A:$V,MATCH($A$1,'DB Country PMI'!$A$1:$V$1,),))</f>
        <v>54</v>
      </c>
      <c r="C99" s="14">
        <f>Table1[[#This Row],[PMI]]-B98</f>
        <v>-0.60000000000000142</v>
      </c>
    </row>
    <row r="100" spans="1:3" x14ac:dyDescent="0.35">
      <c r="A100" s="8">
        <v>43313</v>
      </c>
      <c r="B100" s="11">
        <f>IF(VLOOKUP(A100,'DB Country PMI'!$A:$V,MATCH($A$1,'DB Country PMI'!$A$1:$V$1,),)=0,#N/A,VLOOKUP(A100,'DB Country PMI'!$A:$V,MATCH($A$1,'DB Country PMI'!$A$1:$V$1,),))</f>
        <v>53.5</v>
      </c>
      <c r="C100" s="14">
        <f>Table1[[#This Row],[PMI]]-B99</f>
        <v>-0.5</v>
      </c>
    </row>
    <row r="101" spans="1:3" x14ac:dyDescent="0.35">
      <c r="A101" s="8">
        <v>43344</v>
      </c>
      <c r="B101" s="11">
        <f>IF(VLOOKUP(A101,'DB Country PMI'!$A:$V,MATCH($A$1,'DB Country PMI'!$A$1:$V$1,),)=0,#N/A,VLOOKUP(A101,'DB Country PMI'!$A:$V,MATCH($A$1,'DB Country PMI'!$A$1:$V$1,),))</f>
        <v>52.9</v>
      </c>
      <c r="C101" s="14">
        <f>Table1[[#This Row],[PMI]]-B100</f>
        <v>-0.60000000000000142</v>
      </c>
    </row>
    <row r="102" spans="1:3" x14ac:dyDescent="0.35">
      <c r="A102" s="8">
        <v>43374</v>
      </c>
      <c r="B102" s="11">
        <f>IF(VLOOKUP(A102,'DB Country PMI'!$A:$V,MATCH($A$1,'DB Country PMI'!$A$1:$V$1,),)=0,#N/A,VLOOKUP(A102,'DB Country PMI'!$A:$V,MATCH($A$1,'DB Country PMI'!$A$1:$V$1,),))</f>
        <v>53.4</v>
      </c>
      <c r="C102" s="14">
        <f>Table1[[#This Row],[PMI]]-B101</f>
        <v>0.5</v>
      </c>
    </row>
    <row r="103" spans="1:3" x14ac:dyDescent="0.35">
      <c r="A103" s="8">
        <v>43405</v>
      </c>
      <c r="B103" s="11">
        <f>IF(VLOOKUP(A103,'DB Country PMI'!$A:$V,MATCH($A$1,'DB Country PMI'!$A$1:$V$1,),)=0,#N/A,VLOOKUP(A103,'DB Country PMI'!$A:$V,MATCH($A$1,'DB Country PMI'!$A$1:$V$1,),))</f>
        <v>53.7</v>
      </c>
      <c r="C103" s="14">
        <f>Table1[[#This Row],[PMI]]-B102</f>
        <v>0.30000000000000426</v>
      </c>
    </row>
    <row r="104" spans="1:3" x14ac:dyDescent="0.35">
      <c r="A104" s="8">
        <v>43435</v>
      </c>
      <c r="B104" s="11">
        <f>IF(VLOOKUP(A104,'DB Country PMI'!$A:$V,MATCH($A$1,'DB Country PMI'!$A$1:$V$1,),)=0,#N/A,VLOOKUP(A104,'DB Country PMI'!$A:$V,MATCH($A$1,'DB Country PMI'!$A$1:$V$1,),))</f>
        <v>53</v>
      </c>
      <c r="C104" s="14">
        <f>Table1[[#This Row],[PMI]]-B103</f>
        <v>-0.70000000000000284</v>
      </c>
    </row>
    <row r="105" spans="1:3" x14ac:dyDescent="0.35">
      <c r="A105" s="8">
        <v>43466</v>
      </c>
      <c r="B105" s="11">
        <f>IF(VLOOKUP(A105,'DB Country PMI'!$A:$V,MATCH($A$1,'DB Country PMI'!$A$1:$V$1,),)=0,#N/A,VLOOKUP(A105,'DB Country PMI'!$A:$V,MATCH($A$1,'DB Country PMI'!$A$1:$V$1,),))</f>
        <v>52.6</v>
      </c>
      <c r="C105" s="14">
        <f>Table1[[#This Row],[PMI]]-B104</f>
        <v>-0.39999999999999858</v>
      </c>
    </row>
    <row r="106" spans="1:3" x14ac:dyDescent="0.35">
      <c r="A106" s="8">
        <v>43497</v>
      </c>
      <c r="B106" s="11">
        <f>IF(VLOOKUP(A106,'DB Country PMI'!$A:$V,MATCH($A$1,'DB Country PMI'!$A$1:$V$1,),)=0,#N/A,VLOOKUP(A106,'DB Country PMI'!$A:$V,MATCH($A$1,'DB Country PMI'!$A$1:$V$1,),))</f>
        <v>53.3</v>
      </c>
      <c r="C106" s="14">
        <f>Table1[[#This Row],[PMI]]-B105</f>
        <v>0.69999999999999574</v>
      </c>
    </row>
    <row r="107" spans="1:3" x14ac:dyDescent="0.35">
      <c r="A107" s="8">
        <v>43525</v>
      </c>
      <c r="B107" s="11">
        <f>IF(VLOOKUP(A107,'DB Country PMI'!$A:$V,MATCH($A$1,'DB Country PMI'!$A$1:$V$1,),)=0,#N/A,VLOOKUP(A107,'DB Country PMI'!$A:$V,MATCH($A$1,'DB Country PMI'!$A$1:$V$1,),))</f>
        <v>53.7</v>
      </c>
      <c r="C107" s="14">
        <f>Table1[[#This Row],[PMI]]-B106</f>
        <v>0.40000000000000568</v>
      </c>
    </row>
    <row r="108" spans="1:3" x14ac:dyDescent="0.35">
      <c r="A108" s="8">
        <v>43556</v>
      </c>
      <c r="B108" s="11">
        <f>IF(VLOOKUP(A108,'DB Country PMI'!$A:$V,MATCH($A$1,'DB Country PMI'!$A$1:$V$1,),)=0,#N/A,VLOOKUP(A108,'DB Country PMI'!$A:$V,MATCH($A$1,'DB Country PMI'!$A$1:$V$1,),))</f>
        <v>52.7</v>
      </c>
      <c r="C108" s="14">
        <f>Table1[[#This Row],[PMI]]-B107</f>
        <v>-1</v>
      </c>
    </row>
    <row r="109" spans="1:3" x14ac:dyDescent="0.35">
      <c r="A109" s="8">
        <v>43586</v>
      </c>
      <c r="B109" s="11">
        <f>IF(VLOOKUP(A109,'DB Country PMI'!$A:$V,MATCH($A$1,'DB Country PMI'!$A$1:$V$1,),)=0,#N/A,VLOOKUP(A109,'DB Country PMI'!$A:$V,MATCH($A$1,'DB Country PMI'!$A$1:$V$1,),))</f>
        <v>51.6</v>
      </c>
      <c r="C109" s="14">
        <f>Table1[[#This Row],[PMI]]-B108</f>
        <v>-1.1000000000000014</v>
      </c>
    </row>
    <row r="110" spans="1:3" x14ac:dyDescent="0.35">
      <c r="A110" s="8">
        <v>43617</v>
      </c>
      <c r="B110" s="11">
        <f>IF(VLOOKUP(A110,'DB Country PMI'!$A:$V,MATCH($A$1,'DB Country PMI'!$A$1:$V$1,),)=0,#N/A,VLOOKUP(A110,'DB Country PMI'!$A:$V,MATCH($A$1,'DB Country PMI'!$A$1:$V$1,),))</f>
        <v>51.9</v>
      </c>
      <c r="C110" s="14">
        <f>Table1[[#This Row],[PMI]]-B109</f>
        <v>0.29999999999999716</v>
      </c>
    </row>
    <row r="111" spans="1:3" x14ac:dyDescent="0.35">
      <c r="A111" s="8">
        <v>43647</v>
      </c>
      <c r="B111" s="11">
        <f>IF(VLOOKUP(A111,'DB Country PMI'!$A:$V,MATCH($A$1,'DB Country PMI'!$A$1:$V$1,),)=0,#N/A,VLOOKUP(A111,'DB Country PMI'!$A:$V,MATCH($A$1,'DB Country PMI'!$A$1:$V$1,),))</f>
        <v>52.5</v>
      </c>
      <c r="C111" s="14">
        <f>Table1[[#This Row],[PMI]]-B110</f>
        <v>0.60000000000000142</v>
      </c>
    </row>
    <row r="112" spans="1:3" x14ac:dyDescent="0.35">
      <c r="A112" s="9">
        <v>43678</v>
      </c>
      <c r="B112" s="11">
        <f>IF(VLOOKUP(A112,'DB Country PMI'!$A:$V,MATCH($A$1,'DB Country PMI'!$A$1:$V$1,),)=0,#N/A,VLOOKUP(A112,'DB Country PMI'!$A:$V,MATCH($A$1,'DB Country PMI'!$A$1:$V$1,),))</f>
        <v>51.8</v>
      </c>
      <c r="C112" s="14">
        <f>Table1[[#This Row],[PMI]]-B111</f>
        <v>-0.70000000000000284</v>
      </c>
    </row>
    <row r="113" spans="1:3" x14ac:dyDescent="0.35">
      <c r="A113" s="8">
        <v>43709</v>
      </c>
      <c r="B113" s="11">
        <f>IF(VLOOKUP(A113,'DB Country PMI'!$A:$V,MATCH($A$1,'DB Country PMI'!$A$1:$V$1,),)=0,#N/A,VLOOKUP(A113,'DB Country PMI'!$A:$V,MATCH($A$1,'DB Country PMI'!$A$1:$V$1,),))</f>
        <v>51.6</v>
      </c>
      <c r="C113" s="14">
        <f>Table1[[#This Row],[PMI]]-B112</f>
        <v>-0.19999999999999574</v>
      </c>
    </row>
    <row r="114" spans="1:3" x14ac:dyDescent="0.35">
      <c r="A114" s="9">
        <v>43739</v>
      </c>
      <c r="B114" s="11">
        <f>IF(VLOOKUP(A114,'DB Country PMI'!$A:$V,MATCH($A$1,'DB Country PMI'!$A$1:$V$1,),)=0,#N/A,VLOOKUP(A114,'DB Country PMI'!$A:$V,MATCH($A$1,'DB Country PMI'!$A$1:$V$1,),))</f>
        <v>51</v>
      </c>
      <c r="C114" s="14">
        <f>Table1[[#This Row],[PMI]]-B113</f>
        <v>-0.60000000000000142</v>
      </c>
    </row>
    <row r="115" spans="1:3" x14ac:dyDescent="0.35">
      <c r="A115" s="8">
        <v>43770</v>
      </c>
      <c r="B115" s="11">
        <f>IF(VLOOKUP(A115,'DB Country PMI'!$A:$V,MATCH($A$1,'DB Country PMI'!$A$1:$V$1,),)=0,#N/A,VLOOKUP(A115,'DB Country PMI'!$A:$V,MATCH($A$1,'DB Country PMI'!$A$1:$V$1,),))</f>
        <v>51.6</v>
      </c>
      <c r="C115" s="14">
        <f>Table1[[#This Row],[PMI]]-B114</f>
        <v>0.60000000000000142</v>
      </c>
    </row>
    <row r="116" spans="1:3" x14ac:dyDescent="0.35">
      <c r="A116" s="9">
        <v>43800</v>
      </c>
      <c r="B116" s="11">
        <f>IF(VLOOKUP(A116,'DB Country PMI'!$A:$V,MATCH($A$1,'DB Country PMI'!$A$1:$V$1,),)=0,#N/A,VLOOKUP(A116,'DB Country PMI'!$A:$V,MATCH($A$1,'DB Country PMI'!$A$1:$V$1,),))</f>
        <v>52</v>
      </c>
      <c r="C116" s="14">
        <f>Table1[[#This Row],[PMI]]-B115</f>
        <v>0.39999999999999858</v>
      </c>
    </row>
    <row r="117" spans="1:3" x14ac:dyDescent="0.35">
      <c r="A117" s="8">
        <v>43831</v>
      </c>
      <c r="B117" s="11">
        <f>IF(VLOOKUP(A117,'DB Country PMI'!$A:$V,MATCH($A$1,'DB Country PMI'!$A$1:$V$1,),)=0,#N/A,VLOOKUP(A117,'DB Country PMI'!$A:$V,MATCH($A$1,'DB Country PMI'!$A$1:$V$1,),))</f>
        <v>52.7</v>
      </c>
      <c r="C117" s="14">
        <f>Table1[[#This Row],[PMI]]-B116</f>
        <v>0.70000000000000284</v>
      </c>
    </row>
    <row r="118" spans="1:3" x14ac:dyDescent="0.35">
      <c r="A118" s="9">
        <v>43862</v>
      </c>
      <c r="B118" s="11">
        <f>IF(VLOOKUP(A118,'DB Country PMI'!$A:$V,MATCH($A$1,'DB Country PMI'!$A$1:$V$1,),)=0,#N/A,VLOOKUP(A118,'DB Country PMI'!$A:$V,MATCH($A$1,'DB Country PMI'!$A$1:$V$1,),))</f>
        <v>47.1</v>
      </c>
      <c r="C118" s="14">
        <f>Table1[[#This Row],[PMI]]-B117</f>
        <v>-5.6000000000000014</v>
      </c>
    </row>
    <row r="119" spans="1:3" x14ac:dyDescent="0.35">
      <c r="A119" s="8">
        <v>43891</v>
      </c>
      <c r="B119" s="11">
        <f>IF(VLOOKUP(A119,'DB Country PMI'!$A:$V,MATCH($A$1,'DB Country PMI'!$A$1:$V$1,),)=0,#N/A,VLOOKUP(A119,'DB Country PMI'!$A:$V,MATCH($A$1,'DB Country PMI'!$A$1:$V$1,),))</f>
        <v>36.799999999999997</v>
      </c>
      <c r="C119" s="14">
        <f>Table1[[#This Row],[PMI]]-B118</f>
        <v>-10.300000000000004</v>
      </c>
    </row>
    <row r="120" spans="1:3" x14ac:dyDescent="0.35">
      <c r="A120" s="9">
        <v>43922</v>
      </c>
      <c r="B120" s="11">
        <f>IF(VLOOKUP(A120,'DB Country PMI'!$A:$V,MATCH($A$1,'DB Country PMI'!$A$1:$V$1,),)=0,#N/A,VLOOKUP(A120,'DB Country PMI'!$A:$V,MATCH($A$1,'DB Country PMI'!$A$1:$V$1,),))</f>
        <v>24</v>
      </c>
      <c r="C120" s="14">
        <f>Table1[[#This Row],[PMI]]-B119</f>
        <v>-12.799999999999997</v>
      </c>
    </row>
    <row r="121" spans="1:3" x14ac:dyDescent="0.35">
      <c r="A121" s="8">
        <v>43952</v>
      </c>
      <c r="B121" s="11">
        <f>IF(VLOOKUP(A121,'DB Country PMI'!$A:$V,MATCH($A$1,'DB Country PMI'!$A$1:$V$1,),)=0,#N/A,VLOOKUP(A121,'DB Country PMI'!$A:$V,MATCH($A$1,'DB Country PMI'!$A$1:$V$1,),))</f>
        <v>35.1</v>
      </c>
      <c r="C121" s="14">
        <f>Table1[[#This Row],[PMI]]-B120</f>
        <v>11.100000000000001</v>
      </c>
    </row>
    <row r="122" spans="1:3" x14ac:dyDescent="0.35">
      <c r="A122" s="9">
        <v>43983</v>
      </c>
      <c r="B122" s="11">
        <f>IF(VLOOKUP(A122,'DB Country PMI'!$A:$V,MATCH($A$1,'DB Country PMI'!$A$1:$V$1,),)=0,#N/A,VLOOKUP(A122,'DB Country PMI'!$A:$V,MATCH($A$1,'DB Country PMI'!$A$1:$V$1,),))</f>
        <v>48</v>
      </c>
      <c r="C122" s="14">
        <f>Table1[[#This Row],[PMI]]-B121</f>
        <v>12.899999999999999</v>
      </c>
    </row>
    <row r="123" spans="1:3" x14ac:dyDescent="0.35">
      <c r="A123" s="8">
        <v>44013</v>
      </c>
      <c r="B123" s="11">
        <f>IF(VLOOKUP(A123,'DB Country PMI'!$A:$V,MATCH($A$1,'DB Country PMI'!$A$1:$V$1,),)=0,#N/A,VLOOKUP(A123,'DB Country PMI'!$A:$V,MATCH($A$1,'DB Country PMI'!$A$1:$V$1,),))</f>
        <v>50.6</v>
      </c>
      <c r="C123" s="14">
        <f>Table1[[#This Row],[PMI]]-B122</f>
        <v>2.6000000000000014</v>
      </c>
    </row>
    <row r="124" spans="1:3" x14ac:dyDescent="0.35">
      <c r="A124" s="9">
        <v>44044</v>
      </c>
      <c r="B124" s="11">
        <f>IF(VLOOKUP(A124,'DB Country PMI'!$A:$V,MATCH($A$1,'DB Country PMI'!$A$1:$V$1,),)=0,#N/A,VLOOKUP(A124,'DB Country PMI'!$A:$V,MATCH($A$1,'DB Country PMI'!$A$1:$V$1,),))</f>
        <v>52</v>
      </c>
      <c r="C124" s="14">
        <f>Table1[[#This Row],[PMI]]-B123</f>
        <v>1.3999999999999986</v>
      </c>
    </row>
    <row r="125" spans="1:3" x14ac:dyDescent="0.35">
      <c r="A125" s="8">
        <v>44075</v>
      </c>
      <c r="B125" s="11">
        <f>IF(VLOOKUP(A125,'DB Country PMI'!$A:$V,MATCH($A$1,'DB Country PMI'!$A$1:$V$1,),)=0,#N/A,VLOOKUP(A125,'DB Country PMI'!$A:$V,MATCH($A$1,'DB Country PMI'!$A$1:$V$1,),))</f>
        <v>52</v>
      </c>
      <c r="C125" s="14">
        <f>Table1[[#This Row],[PMI]]-B124</f>
        <v>0</v>
      </c>
    </row>
    <row r="126" spans="1:3" x14ac:dyDescent="0.35">
      <c r="A126" s="9">
        <v>44105</v>
      </c>
      <c r="B126" s="11">
        <f>IF(VLOOKUP(A126,'DB Country PMI'!$A:$V,MATCH($A$1,'DB Country PMI'!$A$1:$V$1,),)=0,#N/A,VLOOKUP(A126,'DB Country PMI'!$A:$V,MATCH($A$1,'DB Country PMI'!$A$1:$V$1,),))</f>
        <v>52.9</v>
      </c>
      <c r="C126" s="14">
        <f>Table1[[#This Row],[PMI]]-B125</f>
        <v>0.89999999999999858</v>
      </c>
    </row>
    <row r="127" spans="1:3" x14ac:dyDescent="0.35">
      <c r="A127" s="8">
        <v>44136</v>
      </c>
      <c r="B127" s="11">
        <f>IF(VLOOKUP(A127,'DB Country PMI'!$A:$V,MATCH($A$1,'DB Country PMI'!$A$1:$V$1,),)=0,#N/A,VLOOKUP(A127,'DB Country PMI'!$A:$V,MATCH($A$1,'DB Country PMI'!$A$1:$V$1,),))</f>
        <v>52.2</v>
      </c>
      <c r="C127" s="14">
        <f>Table1[[#This Row],[PMI]]-B126</f>
        <v>-0.69999999999999574</v>
      </c>
    </row>
    <row r="128" spans="1:3" x14ac:dyDescent="0.35">
      <c r="A128" s="9">
        <v>44166</v>
      </c>
      <c r="B128" s="11">
        <f>IF(VLOOKUP(A128,'DB Country PMI'!$A:$V,MATCH($A$1,'DB Country PMI'!$A$1:$V$1,),)=0,#N/A,VLOOKUP(A128,'DB Country PMI'!$A:$V,MATCH($A$1,'DB Country PMI'!$A$1:$V$1,),))</f>
        <v>51.8</v>
      </c>
      <c r="C128" s="14">
        <f>Table1[[#This Row],[PMI]]-B127</f>
        <v>-0.40000000000000568</v>
      </c>
    </row>
    <row r="129" spans="1:3" x14ac:dyDescent="0.35">
      <c r="A129" s="8">
        <v>44197</v>
      </c>
      <c r="B129" s="11">
        <f>IF(VLOOKUP(A129,'DB Country PMI'!$A:$V,MATCH($A$1,'DB Country PMI'!$A$1:$V$1,),)=0,#N/A,VLOOKUP(A129,'DB Country PMI'!$A:$V,MATCH($A$1,'DB Country PMI'!$A$1:$V$1,),))</f>
        <v>51.6</v>
      </c>
      <c r="C129" s="14">
        <f>Table1[[#This Row],[PMI]]-B128</f>
        <v>-0.19999999999999574</v>
      </c>
    </row>
    <row r="130" spans="1:3" x14ac:dyDescent="0.35">
      <c r="A130" s="9">
        <v>44228</v>
      </c>
      <c r="B130" s="11">
        <f>IF(VLOOKUP(A130,'DB Country PMI'!$A:$V,MATCH($A$1,'DB Country PMI'!$A$1:$V$1,),)=0,#N/A,VLOOKUP(A130,'DB Country PMI'!$A:$V,MATCH($A$1,'DB Country PMI'!$A$1:$V$1,),))</f>
        <v>52.8</v>
      </c>
      <c r="C130" s="14">
        <f>Table1[[#This Row],[PMI]]-B129</f>
        <v>1.1999999999999957</v>
      </c>
    </row>
    <row r="131" spans="1:3" x14ac:dyDescent="0.35">
      <c r="A131" s="8">
        <v>44256</v>
      </c>
      <c r="B131" s="11">
        <f>IF(VLOOKUP(A131,'DB Country PMI'!$A:$V,MATCH($A$1,'DB Country PMI'!$A$1:$V$1,),)=0,#N/A,VLOOKUP(A131,'DB Country PMI'!$A:$V,MATCH($A$1,'DB Country PMI'!$A$1:$V$1,),))</f>
        <v>54.7</v>
      </c>
      <c r="C131" s="14">
        <f>Table1[[#This Row],[PMI]]-B130</f>
        <v>1.9000000000000057</v>
      </c>
    </row>
    <row r="132" spans="1:3" x14ac:dyDescent="0.35">
      <c r="A132" s="9">
        <v>44287</v>
      </c>
      <c r="B132" s="11">
        <f>IF(VLOOKUP(A132,'DB Country PMI'!$A:$V,MATCH($A$1,'DB Country PMI'!$A$1:$V$1,),)=0,#N/A,VLOOKUP(A132,'DB Country PMI'!$A:$V,MATCH($A$1,'DB Country PMI'!$A$1:$V$1,),))</f>
        <v>57</v>
      </c>
      <c r="C132" s="14">
        <f>Table1[[#This Row],[PMI]]-B131</f>
        <v>2.2999999999999972</v>
      </c>
    </row>
    <row r="133" spans="1:3" x14ac:dyDescent="0.35">
      <c r="A133" s="8">
        <v>44317</v>
      </c>
      <c r="B133" s="11">
        <f>IF(VLOOKUP(A133,'DB Country PMI'!$A:$V,MATCH($A$1,'DB Country PMI'!$A$1:$V$1,),)=0,#N/A,VLOOKUP(A133,'DB Country PMI'!$A:$V,MATCH($A$1,'DB Country PMI'!$A$1:$V$1,),))</f>
        <v>59.5</v>
      </c>
      <c r="C133" s="14">
        <f>Table1[[#This Row],[PMI]]-B132</f>
        <v>2.5</v>
      </c>
    </row>
    <row r="134" spans="1:3" x14ac:dyDescent="0.35">
      <c r="A134" s="9">
        <v>44348</v>
      </c>
      <c r="B134" s="11">
        <f>IF(VLOOKUP(A134,'DB Country PMI'!$A:$V,MATCH($A$1,'DB Country PMI'!$A$1:$V$1,),)=0,#N/A,VLOOKUP(A134,'DB Country PMI'!$A:$V,MATCH($A$1,'DB Country PMI'!$A$1:$V$1,),))</f>
        <v>57.4</v>
      </c>
      <c r="C134" s="14">
        <f>Table1[[#This Row],[PMI]]-B133</f>
        <v>-2.1000000000000014</v>
      </c>
    </row>
    <row r="135" spans="1:3" x14ac:dyDescent="0.35">
      <c r="A135" s="8">
        <v>44378</v>
      </c>
      <c r="B135" s="11">
        <f>IF(VLOOKUP(A135,'DB Country PMI'!$A:$V,MATCH($A$1,'DB Country PMI'!$A$1:$V$1,),)=0,#N/A,VLOOKUP(A135,'DB Country PMI'!$A:$V,MATCH($A$1,'DB Country PMI'!$A$1:$V$1,),))</f>
        <v>56.3</v>
      </c>
      <c r="C135" s="14">
        <f>Table1[[#This Row],[PMI]]-B134</f>
        <v>-1.1000000000000014</v>
      </c>
    </row>
    <row r="136" spans="1:3" x14ac:dyDescent="0.35">
      <c r="A136" s="9">
        <v>44409</v>
      </c>
      <c r="B136" s="11">
        <f>IF(VLOOKUP(A136,'DB Country PMI'!$A:$V,MATCH($A$1,'DB Country PMI'!$A$1:$V$1,),)=0,#N/A,VLOOKUP(A136,'DB Country PMI'!$A:$V,MATCH($A$1,'DB Country PMI'!$A$1:$V$1,),))</f>
        <v>52.8</v>
      </c>
      <c r="C136" s="14">
        <f>Table1[[#This Row],[PMI]]-B135</f>
        <v>-3.5</v>
      </c>
    </row>
    <row r="137" spans="1:3" x14ac:dyDescent="0.35">
      <c r="A137" s="8">
        <v>44440</v>
      </c>
      <c r="B137" s="11">
        <f>IF(VLOOKUP(A137,'DB Country PMI'!$A:$V,MATCH($A$1,'DB Country PMI'!$A$1:$V$1,),)=0,#N/A,VLOOKUP(A137,'DB Country PMI'!$A:$V,MATCH($A$1,'DB Country PMI'!$A$1:$V$1,),))</f>
        <v>53.8</v>
      </c>
      <c r="C137" s="14">
        <f>Table1[[#This Row],[PMI]]-B136</f>
        <v>1</v>
      </c>
    </row>
    <row r="138" spans="1:3" x14ac:dyDescent="0.35">
      <c r="A138" s="9">
        <v>44470</v>
      </c>
      <c r="B138" s="11">
        <f>IF(VLOOKUP(A138,'DB Country PMI'!$A:$V,MATCH($A$1,'DB Country PMI'!$A$1:$V$1,),)=0,#N/A,VLOOKUP(A138,'DB Country PMI'!$A:$V,MATCH($A$1,'DB Country PMI'!$A$1:$V$1,),))</f>
        <v>55.6</v>
      </c>
      <c r="C138" s="14">
        <f>Table1[[#This Row],[PMI]]-B137</f>
        <v>1.8000000000000043</v>
      </c>
    </row>
    <row r="139" spans="1:3" x14ac:dyDescent="0.35">
      <c r="A139" s="8">
        <v>44501</v>
      </c>
      <c r="B139" s="11">
        <f>IF(VLOOKUP(A139,'DB Country PMI'!$A:$V,MATCH($A$1,'DB Country PMI'!$A$1:$V$1,),)=0,#N/A,VLOOKUP(A139,'DB Country PMI'!$A:$V,MATCH($A$1,'DB Country PMI'!$A$1:$V$1,),))</f>
        <v>55.6</v>
      </c>
      <c r="C139" s="14">
        <f>Table1[[#This Row],[PMI]]-B138</f>
        <v>0</v>
      </c>
    </row>
    <row r="140" spans="1:3" x14ac:dyDescent="0.35">
      <c r="A140" s="9">
        <v>44531</v>
      </c>
      <c r="B140" s="11">
        <f>IF(VLOOKUP(A140,'DB Country PMI'!$A:$V,MATCH($A$1,'DB Country PMI'!$A$1:$V$1,),)=0,#N/A,VLOOKUP(A140,'DB Country PMI'!$A:$V,MATCH($A$1,'DB Country PMI'!$A$1:$V$1,),))</f>
        <v>54.6</v>
      </c>
      <c r="C140" s="14">
        <f>Table1[[#This Row],[PMI]]-B139</f>
        <v>-1</v>
      </c>
    </row>
    <row r="141" spans="1:3" x14ac:dyDescent="0.35">
      <c r="A141" s="9">
        <v>44562</v>
      </c>
      <c r="B141" s="11">
        <f>IF(VLOOKUP(A141,'DB Country PMI'!$A:$V,MATCH($A$1,'DB Country PMI'!$A$1:$V$1,),)=0,#N/A,VLOOKUP(A141,'DB Country PMI'!$A:$V,MATCH($A$1,'DB Country PMI'!$A$1:$V$1,),))</f>
        <v>51.3</v>
      </c>
      <c r="C141" s="14">
        <f>Table1[[#This Row],[PMI]]-B140</f>
        <v>-3.3000000000000043</v>
      </c>
    </row>
    <row r="142" spans="1:3" x14ac:dyDescent="0.35">
      <c r="A142" s="9">
        <v>44593</v>
      </c>
      <c r="B142" s="11">
        <f>IF(VLOOKUP(A142,'DB Country PMI'!$A:$V,MATCH($A$1,'DB Country PMI'!$A$1:$V$1,),)=0,#N/A,VLOOKUP(A142,'DB Country PMI'!$A:$V,MATCH($A$1,'DB Country PMI'!$A$1:$V$1,),))</f>
        <v>53.5</v>
      </c>
      <c r="C142" s="14">
        <f>Table1[[#This Row],[PMI]]-B141</f>
        <v>2.2000000000000028</v>
      </c>
    </row>
    <row r="143" spans="1:3" x14ac:dyDescent="0.35">
      <c r="A143" s="8">
        <v>44621</v>
      </c>
      <c r="B143" s="11">
        <f>IF(VLOOKUP(A143,'DB Country PMI'!$A:$V,MATCH($A$1,'DB Country PMI'!$A$1:$V$1,),)=0,#N/A,VLOOKUP(A143,'DB Country PMI'!$A:$V,MATCH($A$1,'DB Country PMI'!$A$1:$V$1,),))</f>
        <v>52.7</v>
      </c>
      <c r="C143" s="14">
        <f>Table1[[#This Row],[PMI]]-B142</f>
        <v>-0.79999999999999716</v>
      </c>
    </row>
    <row r="144" spans="1:3" x14ac:dyDescent="0.35">
      <c r="A144" s="9">
        <v>44652</v>
      </c>
      <c r="B144" s="11">
        <f>IF(VLOOKUP(A144,'DB Country PMI'!$A:$V,MATCH($A$1,'DB Country PMI'!$A$1:$V$1,),)=0,#N/A,VLOOKUP(A144,'DB Country PMI'!$A:$V,MATCH($A$1,'DB Country PMI'!$A$1:$V$1,),))</f>
        <v>51</v>
      </c>
      <c r="C144" s="14">
        <f>Table1[[#This Row],[PMI]]-B143</f>
        <v>-1.7000000000000028</v>
      </c>
    </row>
    <row r="145" spans="1:3" x14ac:dyDescent="0.35">
      <c r="A145" s="8">
        <v>44682</v>
      </c>
      <c r="B145" s="11">
        <f>IF(VLOOKUP(A145,'DB Country PMI'!$A:$V,MATCH($A$1,'DB Country PMI'!$A$1:$V$1,),)=0,#N/A,VLOOKUP(A145,'DB Country PMI'!$A:$V,MATCH($A$1,'DB Country PMI'!$A$1:$V$1,),))</f>
        <v>51.3</v>
      </c>
      <c r="C145" s="14">
        <f>Table1[[#This Row],[PMI]]-B144</f>
        <v>0.29999999999999716</v>
      </c>
    </row>
    <row r="146" spans="1:3" x14ac:dyDescent="0.35">
      <c r="A146" s="9">
        <v>44713</v>
      </c>
      <c r="B146" s="11">
        <f>IF(VLOOKUP(A146,'DB Country PMI'!$A:$V,MATCH($A$1,'DB Country PMI'!$A$1:$V$1,),)=0,#N/A,VLOOKUP(A146,'DB Country PMI'!$A:$V,MATCH($A$1,'DB Country PMI'!$A$1:$V$1,),))</f>
        <v>53.5</v>
      </c>
      <c r="C146" s="14">
        <f>Table1[[#This Row],[PMI]]-B145</f>
        <v>2.2000000000000028</v>
      </c>
    </row>
    <row r="147" spans="1:3" x14ac:dyDescent="0.35">
      <c r="A147" s="9">
        <v>44743</v>
      </c>
      <c r="B147" s="11" t="e">
        <f>IF(VLOOKUP(A147,'DB Country PMI'!$A:$V,MATCH($A$1,'DB Country PMI'!$A$1:$V$1,),)=0,#N/A,VLOOKUP(A147,'DB Country PMI'!$A:$V,MATCH($A$1,'DB Country PMI'!$A$1:$V$1,),))</f>
        <v>#N/A</v>
      </c>
      <c r="C147" s="14" t="e">
        <f>Table1[[#This Row],[PMI]]-B146</f>
        <v>#N/A</v>
      </c>
    </row>
    <row r="148" spans="1:3" x14ac:dyDescent="0.35">
      <c r="A148" s="9">
        <v>44774</v>
      </c>
      <c r="B148" s="11" t="e">
        <f>IF(VLOOKUP(A148,'DB Country PMI'!$A:$V,MATCH($A$1,'DB Country PMI'!$A$1:$V$1,),)=0,#N/A,VLOOKUP(A148,'DB Country PMI'!$A:$V,MATCH($A$1,'DB Country PMI'!$A$1:$V$1,),))</f>
        <v>#N/A</v>
      </c>
      <c r="C148" s="14" t="e">
        <f>Table1[[#This Row],[PMI]]-B147</f>
        <v>#N/A</v>
      </c>
    </row>
    <row r="149" spans="1:3" x14ac:dyDescent="0.35">
      <c r="A149" s="9">
        <v>44805</v>
      </c>
      <c r="B149" s="11" t="e">
        <f>IF(VLOOKUP(A149,'DB Country PMI'!$A:$V,MATCH($A$1,'DB Country PMI'!$A$1:$V$1,),)=0,#N/A,VLOOKUP(A149,'DB Country PMI'!$A:$V,MATCH($A$1,'DB Country PMI'!$A$1:$V$1,),))</f>
        <v>#N/A</v>
      </c>
      <c r="C149" s="14" t="e">
        <f>Table1[[#This Row],[PMI]]-B148</f>
        <v>#N/A</v>
      </c>
    </row>
    <row r="150" spans="1:3" x14ac:dyDescent="0.35">
      <c r="A150" s="9">
        <v>44835</v>
      </c>
      <c r="B150" s="11" t="e">
        <f>IF(VLOOKUP(A150,'DB Country PMI'!$A:$V,MATCH($A$1,'DB Country PMI'!$A$1:$V$1,),)=0,#N/A,VLOOKUP(A150,'DB Country PMI'!$A:$V,MATCH($A$1,'DB Country PMI'!$A$1:$V$1,),))</f>
        <v>#N/A</v>
      </c>
      <c r="C150" s="14" t="e">
        <f>Table1[[#This Row],[PMI]]-B149</f>
        <v>#N/A</v>
      </c>
    </row>
    <row r="151" spans="1:3" x14ac:dyDescent="0.35">
      <c r="A151" s="9">
        <v>44866</v>
      </c>
      <c r="B151" s="11" t="e">
        <f>IF(VLOOKUP(A151,'DB Country PMI'!$A:$V,MATCH($A$1,'DB Country PMI'!$A$1:$V$1,),)=0,#N/A,VLOOKUP(A151,'DB Country PMI'!$A:$V,MATCH($A$1,'DB Country PMI'!$A$1:$V$1,),))</f>
        <v>#N/A</v>
      </c>
      <c r="C151" s="14" t="e">
        <f>Table1[[#This Row],[PMI]]-B150</f>
        <v>#N/A</v>
      </c>
    </row>
  </sheetData>
  <conditionalFormatting sqref="B6:B151">
    <cfRule type="colorScale" priority="203">
      <colorScale>
        <cfvo type="min"/>
        <cfvo type="percentile" val="50"/>
        <cfvo type="max"/>
        <color rgb="FFF8696B"/>
        <color rgb="FFFFEB84"/>
        <color rgb="FF63BE7B"/>
      </colorScale>
    </cfRule>
  </conditionalFormatting>
  <conditionalFormatting sqref="C7:C151">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5"/>
  <sheetViews>
    <sheetView zoomScale="160" zoomScaleNormal="160" workbookViewId="0">
      <pane ySplit="5" topLeftCell="A89" activePane="bottomLeft" state="frozen"/>
      <selection pane="bottomLeft" activeCell="A105" sqref="A105:C115"/>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45</v>
      </c>
      <c r="J1" s="47" t="s">
        <v>62</v>
      </c>
    </row>
    <row r="2" spans="1:10" x14ac:dyDescent="0.35">
      <c r="J2" s="47" t="s">
        <v>63</v>
      </c>
    </row>
    <row r="4" spans="1:10" ht="16" customHeight="1" thickBot="1" x14ac:dyDescent="0.4"/>
    <row r="5" spans="1:10" ht="16" customHeight="1" thickBot="1" x14ac:dyDescent="0.4">
      <c r="A5" s="12" t="s">
        <v>33</v>
      </c>
      <c r="B5" s="13" t="s">
        <v>60</v>
      </c>
      <c r="C5" s="13" t="s">
        <v>61</v>
      </c>
    </row>
    <row r="6" spans="1:10" x14ac:dyDescent="0.35">
      <c r="A6" s="10">
        <v>41548</v>
      </c>
      <c r="B6" s="11">
        <f>IF(VLOOKUP(A6,'DB Country PMI'!$A:$V,MATCH($A$1,'DB Country PMI'!$A$1:$V$1,),)=0,#N/A,VLOOKUP(A6,'DB Country PMI'!$A:$V,MATCH($A$1,'DB Country PMI'!$A$1:$V$1,),))</f>
        <v>49.3</v>
      </c>
      <c r="C6" s="11"/>
    </row>
    <row r="7" spans="1:10" x14ac:dyDescent="0.35">
      <c r="A7" s="8">
        <v>41579</v>
      </c>
      <c r="B7" s="11">
        <f>IF(VLOOKUP(A7,'DB Country PMI'!$A:$V,MATCH($A$1,'DB Country PMI'!$A$1:$V$1,),)=0,#N/A,VLOOKUP(A7,'DB Country PMI'!$A:$V,MATCH($A$1,'DB Country PMI'!$A$1:$V$1,),))</f>
        <v>55.9</v>
      </c>
      <c r="C7" s="14">
        <f>Table1346811[[#This Row],[PMI]]-B6</f>
        <v>6.6000000000000014</v>
      </c>
    </row>
    <row r="8" spans="1:10" x14ac:dyDescent="0.35">
      <c r="A8" s="8">
        <v>41609</v>
      </c>
      <c r="B8" s="11">
        <f>IF(VLOOKUP(A8,'DB Country PMI'!$A:$V,MATCH($A$1,'DB Country PMI'!$A$1:$V$1,),)=0,#N/A,VLOOKUP(A8,'DB Country PMI'!$A:$V,MATCH($A$1,'DB Country PMI'!$A$1:$V$1,),))</f>
        <v>55.7</v>
      </c>
      <c r="C8" s="14">
        <f>Table1346811[[#This Row],[PMI]]-B7</f>
        <v>-0.19999999999999574</v>
      </c>
    </row>
    <row r="9" spans="1:10" x14ac:dyDescent="0.35">
      <c r="A9" s="8">
        <v>41640</v>
      </c>
      <c r="B9" s="11">
        <f>IF(VLOOKUP(A9,'DB Country PMI'!$A:$V,MATCH($A$1,'DB Country PMI'!$A$1:$V$1,),)=0,#N/A,VLOOKUP(A9,'DB Country PMI'!$A:$V,MATCH($A$1,'DB Country PMI'!$A$1:$V$1,),))</f>
        <v>56.7</v>
      </c>
      <c r="C9" s="14">
        <f>Table1346811[[#This Row],[PMI]]-B8</f>
        <v>1</v>
      </c>
    </row>
    <row r="10" spans="1:10" x14ac:dyDescent="0.35">
      <c r="A10" s="8">
        <v>41671</v>
      </c>
      <c r="B10" s="11">
        <f>IF(VLOOKUP(A10,'DB Country PMI'!$A:$V,MATCH($A$1,'DB Country PMI'!$A$1:$V$1,),)=0,#N/A,VLOOKUP(A10,'DB Country PMI'!$A:$V,MATCH($A$1,'DB Country PMI'!$A$1:$V$1,),))</f>
        <v>53.3</v>
      </c>
      <c r="C10" s="14">
        <f>Table1346811[[#This Row],[PMI]]-B9</f>
        <v>-3.4000000000000057</v>
      </c>
    </row>
    <row r="11" spans="1:10" x14ac:dyDescent="0.35">
      <c r="A11" s="8">
        <v>41699</v>
      </c>
      <c r="B11" s="11">
        <f>IF(VLOOKUP(A11,'DB Country PMI'!$A:$V,MATCH($A$1,'DB Country PMI'!$A$1:$V$1,),)=0,#N/A,VLOOKUP(A11,'DB Country PMI'!$A:$V,MATCH($A$1,'DB Country PMI'!$A$1:$V$1,),))</f>
        <v>55.3</v>
      </c>
      <c r="C11" s="14">
        <f>Table1346811[[#This Row],[PMI]]-B10</f>
        <v>2</v>
      </c>
    </row>
    <row r="12" spans="1:10" x14ac:dyDescent="0.35">
      <c r="A12" s="8">
        <v>41730</v>
      </c>
      <c r="B12" s="11">
        <f>IF(VLOOKUP(A12,'DB Country PMI'!$A:$V,MATCH($A$1,'DB Country PMI'!$A$1:$V$1,),)=0,#N/A,VLOOKUP(A12,'DB Country PMI'!$A:$V,MATCH($A$1,'DB Country PMI'!$A$1:$V$1,),))</f>
        <v>55</v>
      </c>
      <c r="C12" s="14">
        <f>Table1346811[[#This Row],[PMI]]-B11</f>
        <v>-0.29999999999999716</v>
      </c>
    </row>
    <row r="13" spans="1:10" x14ac:dyDescent="0.35">
      <c r="A13" s="8">
        <v>41760</v>
      </c>
      <c r="B13" s="11">
        <f>IF(VLOOKUP(A13,'DB Country PMI'!$A:$V,MATCH($A$1,'DB Country PMI'!$A$1:$V$1,),)=0,#N/A,VLOOKUP(A13,'DB Country PMI'!$A:$V,MATCH($A$1,'DB Country PMI'!$A$1:$V$1,),))</f>
        <v>58</v>
      </c>
      <c r="C13" s="14">
        <f>Table1346811[[#This Row],[PMI]]-B12</f>
        <v>3</v>
      </c>
    </row>
    <row r="14" spans="1:10" x14ac:dyDescent="0.35">
      <c r="A14" s="8">
        <v>41791</v>
      </c>
      <c r="B14" s="11">
        <f>IF(VLOOKUP(A14,'DB Country PMI'!$A:$V,MATCH($A$1,'DB Country PMI'!$A$1:$V$1,),)=0,#N/A,VLOOKUP(A14,'DB Country PMI'!$A:$V,MATCH($A$1,'DB Country PMI'!$A$1:$V$1,),))</f>
        <v>61</v>
      </c>
      <c r="C14" s="14">
        <f>Table1346811[[#This Row],[PMI]]-B13</f>
        <v>3</v>
      </c>
    </row>
    <row r="15" spans="1:10" x14ac:dyDescent="0.35">
      <c r="A15" s="8">
        <v>41821</v>
      </c>
      <c r="B15" s="11">
        <f>IF(VLOOKUP(A15,'DB Country PMI'!$A:$V,MATCH($A$1,'DB Country PMI'!$A$1:$V$1,),)=0,#N/A,VLOOKUP(A15,'DB Country PMI'!$A:$V,MATCH($A$1,'DB Country PMI'!$A$1:$V$1,),))</f>
        <v>60.8</v>
      </c>
      <c r="C15" s="14">
        <f>Table1346811[[#This Row],[PMI]]-B14</f>
        <v>-0.20000000000000284</v>
      </c>
    </row>
    <row r="16" spans="1:10" x14ac:dyDescent="0.35">
      <c r="A16" s="8">
        <v>41852</v>
      </c>
      <c r="B16" s="11">
        <f>IF(VLOOKUP(A16,'DB Country PMI'!$A:$V,MATCH($A$1,'DB Country PMI'!$A$1:$V$1,),)=0,#N/A,VLOOKUP(A16,'DB Country PMI'!$A:$V,MATCH($A$1,'DB Country PMI'!$A$1:$V$1,),))</f>
        <v>59.5</v>
      </c>
      <c r="C16" s="14">
        <f>Table1346811[[#This Row],[PMI]]-B15</f>
        <v>-1.2999999999999972</v>
      </c>
    </row>
    <row r="17" spans="1:3" x14ac:dyDescent="0.35">
      <c r="A17" s="8">
        <v>41883</v>
      </c>
      <c r="B17" s="11">
        <f>IF(VLOOKUP(A17,'DB Country PMI'!$A:$V,MATCH($A$1,'DB Country PMI'!$A$1:$V$1,),)=0,#N/A,VLOOKUP(A17,'DB Country PMI'!$A:$V,MATCH($A$1,'DB Country PMI'!$A$1:$V$1,),))</f>
        <v>58.9</v>
      </c>
      <c r="C17" s="14">
        <f>Table1346811[[#This Row],[PMI]]-B16</f>
        <v>-0.60000000000000142</v>
      </c>
    </row>
    <row r="18" spans="1:3" x14ac:dyDescent="0.35">
      <c r="A18" s="8">
        <v>41913</v>
      </c>
      <c r="B18" s="11">
        <f>IF(VLOOKUP(A18,'DB Country PMI'!$A:$V,MATCH($A$1,'DB Country PMI'!$A$1:$V$1,),)=0,#N/A,VLOOKUP(A18,'DB Country PMI'!$A:$V,MATCH($A$1,'DB Country PMI'!$A$1:$V$1,),))</f>
        <v>57.1</v>
      </c>
      <c r="C18" s="14">
        <f>Table1346811[[#This Row],[PMI]]-B17</f>
        <v>-1.7999999999999972</v>
      </c>
    </row>
    <row r="19" spans="1:3" x14ac:dyDescent="0.35">
      <c r="A19" s="8">
        <v>41944</v>
      </c>
      <c r="B19" s="11">
        <f>IF(VLOOKUP(A19,'DB Country PMI'!$A:$V,MATCH($A$1,'DB Country PMI'!$A$1:$V$1,),)=0,#N/A,VLOOKUP(A19,'DB Country PMI'!$A:$V,MATCH($A$1,'DB Country PMI'!$A$1:$V$1,),))</f>
        <v>56.2</v>
      </c>
      <c r="C19" s="14">
        <f>Table1346811[[#This Row],[PMI]]-B18</f>
        <v>-0.89999999999999858</v>
      </c>
    </row>
    <row r="20" spans="1:3" x14ac:dyDescent="0.35">
      <c r="A20" s="8">
        <v>41974</v>
      </c>
      <c r="B20" s="11">
        <f>IF(VLOOKUP(A20,'DB Country PMI'!$A:$V,MATCH($A$1,'DB Country PMI'!$A$1:$V$1,),)=0,#N/A,VLOOKUP(A20,'DB Country PMI'!$A:$V,MATCH($A$1,'DB Country PMI'!$A$1:$V$1,),))</f>
        <v>53.3</v>
      </c>
      <c r="C20" s="14">
        <f>Table1346811[[#This Row],[PMI]]-B19</f>
        <v>-2.9000000000000057</v>
      </c>
    </row>
    <row r="21" spans="1:3" x14ac:dyDescent="0.35">
      <c r="A21" s="8">
        <v>42005</v>
      </c>
      <c r="B21" s="11">
        <f>IF(VLOOKUP(A21,'DB Country PMI'!$A:$V,MATCH($A$1,'DB Country PMI'!$A$1:$V$1,),)=0,#N/A,VLOOKUP(A21,'DB Country PMI'!$A:$V,MATCH($A$1,'DB Country PMI'!$A$1:$V$1,),))</f>
        <v>54.2</v>
      </c>
      <c r="C21" s="14">
        <f>Table1346811[[#This Row],[PMI]]-B20</f>
        <v>0.90000000000000568</v>
      </c>
    </row>
    <row r="22" spans="1:3" x14ac:dyDescent="0.35">
      <c r="A22" s="8">
        <v>42036</v>
      </c>
      <c r="B22" s="11">
        <f>IF(VLOOKUP(A22,'DB Country PMI'!$A:$V,MATCH($A$1,'DB Country PMI'!$A$1:$V$1,),)=0,#N/A,VLOOKUP(A22,'DB Country PMI'!$A:$V,MATCH($A$1,'DB Country PMI'!$A$1:$V$1,),))</f>
        <v>57.1</v>
      </c>
      <c r="C22" s="14">
        <f>Table1346811[[#This Row],[PMI]]-B21</f>
        <v>2.8999999999999986</v>
      </c>
    </row>
    <row r="23" spans="1:3" x14ac:dyDescent="0.35">
      <c r="A23" s="8">
        <v>42064</v>
      </c>
      <c r="B23" s="11">
        <f>IF(VLOOKUP(A23,'DB Country PMI'!$A:$V,MATCH($A$1,'DB Country PMI'!$A$1:$V$1,),)=0,#N/A,VLOOKUP(A23,'DB Country PMI'!$A:$V,MATCH($A$1,'DB Country PMI'!$A$1:$V$1,),))</f>
        <v>59.2</v>
      </c>
      <c r="C23" s="14">
        <f>Table1346811[[#This Row],[PMI]]-B22</f>
        <v>2.1000000000000014</v>
      </c>
    </row>
    <row r="24" spans="1:3" x14ac:dyDescent="0.35">
      <c r="A24" s="8">
        <v>42095</v>
      </c>
      <c r="B24" s="11">
        <f>IF(VLOOKUP(A24,'DB Country PMI'!$A:$V,MATCH($A$1,'DB Country PMI'!$A$1:$V$1,),)=0,#N/A,VLOOKUP(A24,'DB Country PMI'!$A:$V,MATCH($A$1,'DB Country PMI'!$A$1:$V$1,),))</f>
        <v>57.4</v>
      </c>
      <c r="C24" s="14">
        <f>Table1346811[[#This Row],[PMI]]-B23</f>
        <v>-1.8000000000000043</v>
      </c>
    </row>
    <row r="25" spans="1:3" x14ac:dyDescent="0.35">
      <c r="A25" s="8">
        <v>42125</v>
      </c>
      <c r="B25" s="11">
        <f>IF(VLOOKUP(A25,'DB Country PMI'!$A:$V,MATCH($A$1,'DB Country PMI'!$A$1:$V$1,),)=0,#N/A,VLOOKUP(A25,'DB Country PMI'!$A:$V,MATCH($A$1,'DB Country PMI'!$A$1:$V$1,),))</f>
        <v>56.2</v>
      </c>
      <c r="C25" s="14">
        <f>Table1346811[[#This Row],[PMI]]-B24</f>
        <v>-1.1999999999999957</v>
      </c>
    </row>
    <row r="26" spans="1:3" x14ac:dyDescent="0.35">
      <c r="A26" s="8">
        <v>42156</v>
      </c>
      <c r="B26" s="11">
        <f>IF(VLOOKUP(A26,'DB Country PMI'!$A:$V,MATCH($A$1,'DB Country PMI'!$A$1:$V$1,),)=0,#N/A,VLOOKUP(A26,'DB Country PMI'!$A:$V,MATCH($A$1,'DB Country PMI'!$A$1:$V$1,),))</f>
        <v>54.8</v>
      </c>
      <c r="C26" s="14">
        <f>Table1346811[[#This Row],[PMI]]-B25</f>
        <v>-1.4000000000000057</v>
      </c>
    </row>
    <row r="27" spans="1:3" x14ac:dyDescent="0.35">
      <c r="A27" s="8">
        <v>42186</v>
      </c>
      <c r="B27" s="11">
        <f>IF(VLOOKUP(A27,'DB Country PMI'!$A:$V,MATCH($A$1,'DB Country PMI'!$A$1:$V$1,),)=0,#N/A,VLOOKUP(A27,'DB Country PMI'!$A:$V,MATCH($A$1,'DB Country PMI'!$A$1:$V$1,),))</f>
        <v>55.7</v>
      </c>
      <c r="C27" s="14">
        <f>Table1346811[[#This Row],[PMI]]-B26</f>
        <v>0.90000000000000568</v>
      </c>
    </row>
    <row r="28" spans="1:3" x14ac:dyDescent="0.35">
      <c r="A28" s="8">
        <v>42217</v>
      </c>
      <c r="B28" s="11">
        <f>IF(VLOOKUP(A28,'DB Country PMI'!$A:$V,MATCH($A$1,'DB Country PMI'!$A$1:$V$1,),)=0,#N/A,VLOOKUP(A28,'DB Country PMI'!$A:$V,MATCH($A$1,'DB Country PMI'!$A$1:$V$1,),))</f>
        <v>56.1</v>
      </c>
      <c r="C28" s="14">
        <f>Table1346811[[#This Row],[PMI]]-B27</f>
        <v>0.39999999999999858</v>
      </c>
    </row>
    <row r="29" spans="1:3" x14ac:dyDescent="0.35">
      <c r="A29" s="8">
        <v>42248</v>
      </c>
      <c r="B29" s="11">
        <f>IF(VLOOKUP(A29,'DB Country PMI'!$A:$V,MATCH($A$1,'DB Country PMI'!$A$1:$V$1,),)=0,#N/A,VLOOKUP(A29,'DB Country PMI'!$A:$V,MATCH($A$1,'DB Country PMI'!$A$1:$V$1,),))</f>
        <v>55.1</v>
      </c>
      <c r="C29" s="14">
        <f>Table1346811[[#This Row],[PMI]]-B28</f>
        <v>-1</v>
      </c>
    </row>
    <row r="30" spans="1:3" x14ac:dyDescent="0.35">
      <c r="A30" s="8">
        <v>42278</v>
      </c>
      <c r="B30" s="11">
        <f>IF(VLOOKUP(A30,'DB Country PMI'!$A:$V,MATCH($A$1,'DB Country PMI'!$A$1:$V$1,),)=0,#N/A,VLOOKUP(A30,'DB Country PMI'!$A:$V,MATCH($A$1,'DB Country PMI'!$A$1:$V$1,),))</f>
        <v>54.8</v>
      </c>
      <c r="C30" s="14">
        <f>Table1346811[[#This Row],[PMI]]-B29</f>
        <v>-0.30000000000000426</v>
      </c>
    </row>
    <row r="31" spans="1:3" x14ac:dyDescent="0.35">
      <c r="A31" s="8">
        <v>42309</v>
      </c>
      <c r="B31" s="11">
        <f>IF(VLOOKUP(A31,'DB Country PMI'!$A:$V,MATCH($A$1,'DB Country PMI'!$A$1:$V$1,),)=0,#N/A,VLOOKUP(A31,'DB Country PMI'!$A:$V,MATCH($A$1,'DB Country PMI'!$A$1:$V$1,),))</f>
        <v>56.1</v>
      </c>
      <c r="C31" s="14">
        <f>Table1346811[[#This Row],[PMI]]-B30</f>
        <v>1.3000000000000043</v>
      </c>
    </row>
    <row r="32" spans="1:3" x14ac:dyDescent="0.35">
      <c r="A32" s="8">
        <v>42339</v>
      </c>
      <c r="B32" s="11">
        <f>IF(VLOOKUP(A32,'DB Country PMI'!$A:$V,MATCH($A$1,'DB Country PMI'!$A$1:$V$1,),)=0,#N/A,VLOOKUP(A32,'DB Country PMI'!$A:$V,MATCH($A$1,'DB Country PMI'!$A$1:$V$1,),))</f>
        <v>54.3</v>
      </c>
      <c r="C32" s="14">
        <f>Table1346811[[#This Row],[PMI]]-B31</f>
        <v>-1.8000000000000043</v>
      </c>
    </row>
    <row r="33" spans="1:3" x14ac:dyDescent="0.35">
      <c r="A33" s="8">
        <v>42370</v>
      </c>
      <c r="B33" s="11">
        <f>IF(VLOOKUP(A33,'DB Country PMI'!$A:$V,MATCH($A$1,'DB Country PMI'!$A$1:$V$1,),)=0,#N/A,VLOOKUP(A33,'DB Country PMI'!$A:$V,MATCH($A$1,'DB Country PMI'!$A$1:$V$1,),))</f>
        <v>53.2</v>
      </c>
      <c r="C33" s="14">
        <f>Table1346811[[#This Row],[PMI]]-B32</f>
        <v>-1.0999999999999943</v>
      </c>
    </row>
    <row r="34" spans="1:3" x14ac:dyDescent="0.35">
      <c r="A34" s="8">
        <v>42401</v>
      </c>
      <c r="B34" s="11">
        <f>IF(VLOOKUP(A34,'DB Country PMI'!$A:$V,MATCH($A$1,'DB Country PMI'!$A$1:$V$1,),)=0,#N/A,VLOOKUP(A34,'DB Country PMI'!$A:$V,MATCH($A$1,'DB Country PMI'!$A$1:$V$1,),))</f>
        <v>49.7</v>
      </c>
      <c r="C34" s="14">
        <f>Table1346811[[#This Row],[PMI]]-B33</f>
        <v>-3.5</v>
      </c>
    </row>
    <row r="35" spans="1:3" x14ac:dyDescent="0.35">
      <c r="A35" s="8">
        <v>42430</v>
      </c>
      <c r="B35" s="11">
        <f>IF(VLOOKUP(A35,'DB Country PMI'!$A:$V,MATCH($A$1,'DB Country PMI'!$A$1:$V$1,),)=0,#N/A,VLOOKUP(A35,'DB Country PMI'!$A:$V,MATCH($A$1,'DB Country PMI'!$A$1:$V$1,),))</f>
        <v>51.3</v>
      </c>
      <c r="C35" s="14">
        <f>Table1346811[[#This Row],[PMI]]-B34</f>
        <v>1.5999999999999943</v>
      </c>
    </row>
    <row r="36" spans="1:3" x14ac:dyDescent="0.35">
      <c r="A36" s="8">
        <v>42461</v>
      </c>
      <c r="B36" s="11">
        <f>IF(VLOOKUP(A36,'DB Country PMI'!$A:$V,MATCH($A$1,'DB Country PMI'!$A$1:$V$1,),)=0,#N/A,VLOOKUP(A36,'DB Country PMI'!$A:$V,MATCH($A$1,'DB Country PMI'!$A$1:$V$1,),))</f>
        <v>52.8</v>
      </c>
      <c r="C36" s="14">
        <f>Table1346811[[#This Row],[PMI]]-B35</f>
        <v>1.5</v>
      </c>
    </row>
    <row r="37" spans="1:3" x14ac:dyDescent="0.35">
      <c r="A37" s="8">
        <v>42491</v>
      </c>
      <c r="B37" s="11">
        <f>IF(VLOOKUP(A37,'DB Country PMI'!$A:$V,MATCH($A$1,'DB Country PMI'!$A$1:$V$1,),)=0,#N/A,VLOOKUP(A37,'DB Country PMI'!$A:$V,MATCH($A$1,'DB Country PMI'!$A$1:$V$1,),))</f>
        <v>51.3</v>
      </c>
      <c r="C37" s="14">
        <f>Table1346811[[#This Row],[PMI]]-B36</f>
        <v>-1.5</v>
      </c>
    </row>
    <row r="38" spans="1:3" x14ac:dyDescent="0.35">
      <c r="A38" s="8">
        <v>42522</v>
      </c>
      <c r="B38" s="11">
        <f>IF(VLOOKUP(A38,'DB Country PMI'!$A:$V,MATCH($A$1,'DB Country PMI'!$A$1:$V$1,),)=0,#N/A,VLOOKUP(A38,'DB Country PMI'!$A:$V,MATCH($A$1,'DB Country PMI'!$A$1:$V$1,),))</f>
        <v>51.4</v>
      </c>
      <c r="C38" s="14">
        <f>Table1346811[[#This Row],[PMI]]-B37</f>
        <v>0.10000000000000142</v>
      </c>
    </row>
    <row r="39" spans="1:3" x14ac:dyDescent="0.35">
      <c r="A39" s="8">
        <v>42552</v>
      </c>
      <c r="B39" s="11">
        <f>IF(VLOOKUP(A39,'DB Country PMI'!$A:$V,MATCH($A$1,'DB Country PMI'!$A$1:$V$1,),)=0,#N/A,VLOOKUP(A39,'DB Country PMI'!$A:$V,MATCH($A$1,'DB Country PMI'!$A$1:$V$1,),))</f>
        <v>51.4</v>
      </c>
      <c r="C39" s="14">
        <f>Table1346811[[#This Row],[PMI]]-B38</f>
        <v>0</v>
      </c>
    </row>
    <row r="40" spans="1:3" x14ac:dyDescent="0.35">
      <c r="A40" s="8">
        <v>42583</v>
      </c>
      <c r="B40" s="11">
        <f>IF(VLOOKUP(A40,'DB Country PMI'!$A:$V,MATCH($A$1,'DB Country PMI'!$A$1:$V$1,),)=0,#N/A,VLOOKUP(A40,'DB Country PMI'!$A:$V,MATCH($A$1,'DB Country PMI'!$A$1:$V$1,),))</f>
        <v>51</v>
      </c>
      <c r="C40" s="14">
        <f>Table1346811[[#This Row],[PMI]]-B39</f>
        <v>-0.39999999999999858</v>
      </c>
    </row>
    <row r="41" spans="1:3" x14ac:dyDescent="0.35">
      <c r="A41" s="8">
        <v>42614</v>
      </c>
      <c r="B41" s="11">
        <f>IF(VLOOKUP(A41,'DB Country PMI'!$A:$V,MATCH($A$1,'DB Country PMI'!$A$1:$V$1,),)=0,#N/A,VLOOKUP(A41,'DB Country PMI'!$A:$V,MATCH($A$1,'DB Country PMI'!$A$1:$V$1,),))</f>
        <v>52.3</v>
      </c>
      <c r="C41" s="14">
        <f>Table1346811[[#This Row],[PMI]]-B40</f>
        <v>1.2999999999999972</v>
      </c>
    </row>
    <row r="42" spans="1:3" x14ac:dyDescent="0.35">
      <c r="A42" s="8">
        <v>42644</v>
      </c>
      <c r="B42" s="11">
        <f>IF(VLOOKUP(A42,'DB Country PMI'!$A:$V,MATCH($A$1,'DB Country PMI'!$A$1:$V$1,),)=0,#N/A,VLOOKUP(A42,'DB Country PMI'!$A:$V,MATCH($A$1,'DB Country PMI'!$A$1:$V$1,),))</f>
        <v>54.8</v>
      </c>
      <c r="C42" s="14">
        <f>Table1346811[[#This Row],[PMI]]-B41</f>
        <v>2.5</v>
      </c>
    </row>
    <row r="43" spans="1:3" x14ac:dyDescent="0.35">
      <c r="A43" s="8">
        <v>42675</v>
      </c>
      <c r="B43" s="11">
        <f>IF(VLOOKUP(A43,'DB Country PMI'!$A:$V,MATCH($A$1,'DB Country PMI'!$A$1:$V$1,),)=0,#N/A,VLOOKUP(A43,'DB Country PMI'!$A:$V,MATCH($A$1,'DB Country PMI'!$A$1:$V$1,),))</f>
        <v>54.6</v>
      </c>
      <c r="C43" s="14">
        <f>Table1346811[[#This Row],[PMI]]-B42</f>
        <v>-0.19999999999999574</v>
      </c>
    </row>
    <row r="44" spans="1:3" x14ac:dyDescent="0.35">
      <c r="A44" s="8">
        <v>42705</v>
      </c>
      <c r="B44" s="11">
        <f>IF(VLOOKUP(A44,'DB Country PMI'!$A:$V,MATCH($A$1,'DB Country PMI'!$A$1:$V$1,),)=0,#N/A,VLOOKUP(A44,'DB Country PMI'!$A:$V,MATCH($A$1,'DB Country PMI'!$A$1:$V$1,),))</f>
        <v>53.9</v>
      </c>
      <c r="C44" s="14">
        <f>Table1346811[[#This Row],[PMI]]-B43</f>
        <v>-0.70000000000000284</v>
      </c>
    </row>
    <row r="45" spans="1:3" x14ac:dyDescent="0.35">
      <c r="A45" s="8">
        <v>42736</v>
      </c>
      <c r="B45" s="11">
        <f>IF(VLOOKUP(A45,'DB Country PMI'!$A:$V,MATCH($A$1,'DB Country PMI'!$A$1:$V$1,),)=0,#N/A,VLOOKUP(A45,'DB Country PMI'!$A:$V,MATCH($A$1,'DB Country PMI'!$A$1:$V$1,),))</f>
        <v>55.6</v>
      </c>
      <c r="C45" s="14">
        <f>Table1346811[[#This Row],[PMI]]-B44</f>
        <v>1.7000000000000028</v>
      </c>
    </row>
    <row r="46" spans="1:3" x14ac:dyDescent="0.35">
      <c r="A46" s="8">
        <v>42767</v>
      </c>
      <c r="B46" s="11">
        <f>IF(VLOOKUP(A46,'DB Country PMI'!$A:$V,MATCH($A$1,'DB Country PMI'!$A$1:$V$1,),)=0,#N/A,VLOOKUP(A46,'DB Country PMI'!$A:$V,MATCH($A$1,'DB Country PMI'!$A$1:$V$1,),))</f>
        <v>53.8</v>
      </c>
      <c r="C46" s="14">
        <f>Table1346811[[#This Row],[PMI]]-B45</f>
        <v>-1.8000000000000043</v>
      </c>
    </row>
    <row r="47" spans="1:3" x14ac:dyDescent="0.35">
      <c r="A47" s="8">
        <v>42795</v>
      </c>
      <c r="B47" s="11">
        <f>IF(VLOOKUP(A47,'DB Country PMI'!$A:$V,MATCH($A$1,'DB Country PMI'!$A$1:$V$1,),)=0,#N/A,VLOOKUP(A47,'DB Country PMI'!$A:$V,MATCH($A$1,'DB Country PMI'!$A$1:$V$1,),))</f>
        <v>52.8</v>
      </c>
      <c r="C47" s="14">
        <f>Table1346811[[#This Row],[PMI]]-B46</f>
        <v>-1</v>
      </c>
    </row>
    <row r="48" spans="1:3" x14ac:dyDescent="0.35">
      <c r="A48" s="8">
        <v>42826</v>
      </c>
      <c r="B48" s="11">
        <f>IF(VLOOKUP(A48,'DB Country PMI'!$A:$V,MATCH($A$1,'DB Country PMI'!$A$1:$V$1,),)=0,#N/A,VLOOKUP(A48,'DB Country PMI'!$A:$V,MATCH($A$1,'DB Country PMI'!$A$1:$V$1,),))</f>
        <v>53.1</v>
      </c>
      <c r="C48" s="14">
        <f>Table1346811[[#This Row],[PMI]]-B47</f>
        <v>0.30000000000000426</v>
      </c>
    </row>
    <row r="49" spans="1:3" x14ac:dyDescent="0.35">
      <c r="A49" s="8">
        <v>42856</v>
      </c>
      <c r="B49" s="11">
        <f>IF(VLOOKUP(A49,'DB Country PMI'!$A:$V,MATCH($A$1,'DB Country PMI'!$A$1:$V$1,),)=0,#N/A,VLOOKUP(A49,'DB Country PMI'!$A:$V,MATCH($A$1,'DB Country PMI'!$A$1:$V$1,),))</f>
        <v>53.6</v>
      </c>
      <c r="C49" s="14">
        <f>Table1346811[[#This Row],[PMI]]-B48</f>
        <v>0.5</v>
      </c>
    </row>
    <row r="50" spans="1:3" x14ac:dyDescent="0.35">
      <c r="A50" s="8">
        <v>42887</v>
      </c>
      <c r="B50" s="11">
        <f>IF(VLOOKUP(A50,'DB Country PMI'!$A:$V,MATCH($A$1,'DB Country PMI'!$A$1:$V$1,),)=0,#N/A,VLOOKUP(A50,'DB Country PMI'!$A:$V,MATCH($A$1,'DB Country PMI'!$A$1:$V$1,),))</f>
        <v>54.2</v>
      </c>
      <c r="C50" s="14">
        <f>Table1346811[[#This Row],[PMI]]-B49</f>
        <v>0.60000000000000142</v>
      </c>
    </row>
    <row r="51" spans="1:3" x14ac:dyDescent="0.35">
      <c r="A51" s="8">
        <v>42917</v>
      </c>
      <c r="B51" s="11">
        <f>IF(VLOOKUP(A51,'DB Country PMI'!$A:$V,MATCH($A$1,'DB Country PMI'!$A$1:$V$1,),)=0,#N/A,VLOOKUP(A51,'DB Country PMI'!$A:$V,MATCH($A$1,'DB Country PMI'!$A$1:$V$1,),))</f>
        <v>54.7</v>
      </c>
      <c r="C51" s="14">
        <f>Table1346811[[#This Row],[PMI]]-B50</f>
        <v>0.5</v>
      </c>
    </row>
    <row r="52" spans="1:3" x14ac:dyDescent="0.35">
      <c r="A52" s="8">
        <v>42948</v>
      </c>
      <c r="B52" s="11">
        <f>IF(VLOOKUP(A52,'DB Country PMI'!$A:$V,MATCH($A$1,'DB Country PMI'!$A$1:$V$1,),)=0,#N/A,VLOOKUP(A52,'DB Country PMI'!$A:$V,MATCH($A$1,'DB Country PMI'!$A$1:$V$1,),))</f>
        <v>56</v>
      </c>
      <c r="C52" s="14">
        <f>Table1346811[[#This Row],[PMI]]-B51</f>
        <v>1.2999999999999972</v>
      </c>
    </row>
    <row r="53" spans="1:3" x14ac:dyDescent="0.35">
      <c r="A53" s="8">
        <v>42979</v>
      </c>
      <c r="B53" s="11">
        <f>IF(VLOOKUP(A53,'DB Country PMI'!$A:$V,MATCH($A$1,'DB Country PMI'!$A$1:$V$1,),)=0,#N/A,VLOOKUP(A53,'DB Country PMI'!$A:$V,MATCH($A$1,'DB Country PMI'!$A$1:$V$1,),))</f>
        <v>55.3</v>
      </c>
      <c r="C53" s="14">
        <f>Table1346811[[#This Row],[PMI]]-B52</f>
        <v>-0.70000000000000284</v>
      </c>
    </row>
    <row r="54" spans="1:3" x14ac:dyDescent="0.35">
      <c r="A54" s="8">
        <v>43009</v>
      </c>
      <c r="B54" s="11">
        <f>IF(VLOOKUP(A54,'DB Country PMI'!$A:$V,MATCH($A$1,'DB Country PMI'!$A$1:$V$1,),)=0,#N/A,VLOOKUP(A54,'DB Country PMI'!$A:$V,MATCH($A$1,'DB Country PMI'!$A$1:$V$1,),))</f>
        <v>55.3</v>
      </c>
      <c r="C54" s="14">
        <f>Table1346811[[#This Row],[PMI]]-B53</f>
        <v>0</v>
      </c>
    </row>
    <row r="55" spans="1:3" x14ac:dyDescent="0.35">
      <c r="A55" s="8">
        <v>43040</v>
      </c>
      <c r="B55" s="11">
        <f>IF(VLOOKUP(A55,'DB Country PMI'!$A:$V,MATCH($A$1,'DB Country PMI'!$A$1:$V$1,),)=0,#N/A,VLOOKUP(A55,'DB Country PMI'!$A:$V,MATCH($A$1,'DB Country PMI'!$A$1:$V$1,),))</f>
        <v>54.5</v>
      </c>
      <c r="C55" s="14">
        <f>Table1346811[[#This Row],[PMI]]-B54</f>
        <v>-0.79999999999999716</v>
      </c>
    </row>
    <row r="56" spans="1:3" x14ac:dyDescent="0.35">
      <c r="A56" s="8">
        <v>43070</v>
      </c>
      <c r="B56" s="11">
        <f>IF(VLOOKUP(A56,'DB Country PMI'!$A:$V,MATCH($A$1,'DB Country PMI'!$A$1:$V$1,),)=0,#N/A,VLOOKUP(A56,'DB Country PMI'!$A:$V,MATCH($A$1,'DB Country PMI'!$A$1:$V$1,),))</f>
        <v>53.7</v>
      </c>
      <c r="C56" s="14">
        <f>Table1346811[[#This Row],[PMI]]-B55</f>
        <v>-0.79999999999999716</v>
      </c>
    </row>
    <row r="57" spans="1:3" x14ac:dyDescent="0.35">
      <c r="A57" s="8">
        <v>43101</v>
      </c>
      <c r="B57" s="11">
        <f>IF(VLOOKUP(A57,'DB Country PMI'!$A:$V,MATCH($A$1,'DB Country PMI'!$A$1:$V$1,),)=0,#N/A,VLOOKUP(A57,'DB Country PMI'!$A:$V,MATCH($A$1,'DB Country PMI'!$A$1:$V$1,),))</f>
        <v>53.3</v>
      </c>
      <c r="C57" s="14">
        <f>Table1346811[[#This Row],[PMI]]-B56</f>
        <v>-0.40000000000000568</v>
      </c>
    </row>
    <row r="58" spans="1:3" x14ac:dyDescent="0.35">
      <c r="A58" s="8">
        <v>43132</v>
      </c>
      <c r="B58" s="11">
        <f>IF(VLOOKUP(A58,'DB Country PMI'!$A:$V,MATCH($A$1,'DB Country PMI'!$A$1:$V$1,),)=0,#N/A,VLOOKUP(A58,'DB Country PMI'!$A:$V,MATCH($A$1,'DB Country PMI'!$A$1:$V$1,),))</f>
        <v>55.9</v>
      </c>
      <c r="C58" s="14">
        <f>Table1346811[[#This Row],[PMI]]-B57</f>
        <v>2.6000000000000014</v>
      </c>
    </row>
    <row r="59" spans="1:3" x14ac:dyDescent="0.35">
      <c r="A59" s="8">
        <v>43160</v>
      </c>
      <c r="B59" s="11">
        <f>IF(VLOOKUP(A59,'DB Country PMI'!$A:$V,MATCH($A$1,'DB Country PMI'!$A$1:$V$1,),)=0,#N/A,VLOOKUP(A59,'DB Country PMI'!$A:$V,MATCH($A$1,'DB Country PMI'!$A$1:$V$1,),))</f>
        <v>54</v>
      </c>
      <c r="C59" s="14">
        <f>Table1346811[[#This Row],[PMI]]-B58</f>
        <v>-1.8999999999999986</v>
      </c>
    </row>
    <row r="60" spans="1:3" x14ac:dyDescent="0.35">
      <c r="A60" s="8">
        <v>43191</v>
      </c>
      <c r="B60" s="11">
        <f>IF(VLOOKUP(A60,'DB Country PMI'!$A:$V,MATCH($A$1,'DB Country PMI'!$A$1:$V$1,),)=0,#N/A,VLOOKUP(A60,'DB Country PMI'!$A:$V,MATCH($A$1,'DB Country PMI'!$A$1:$V$1,),))</f>
        <v>54.6</v>
      </c>
      <c r="C60" s="14">
        <f>Table1346811[[#This Row],[PMI]]-B59</f>
        <v>0.60000000000000142</v>
      </c>
    </row>
    <row r="61" spans="1:3" x14ac:dyDescent="0.35">
      <c r="A61" s="8">
        <v>43221</v>
      </c>
      <c r="B61" s="11">
        <f>IF(VLOOKUP(A61,'DB Country PMI'!$A:$V,MATCH($A$1,'DB Country PMI'!$A$1:$V$1,),)=0,#N/A,VLOOKUP(A61,'DB Country PMI'!$A:$V,MATCH($A$1,'DB Country PMI'!$A$1:$V$1,),))</f>
        <v>56.8</v>
      </c>
      <c r="C61" s="14">
        <f>Table1346811[[#This Row],[PMI]]-B60</f>
        <v>2.1999999999999957</v>
      </c>
    </row>
    <row r="62" spans="1:3" x14ac:dyDescent="0.35">
      <c r="A62" s="8">
        <v>43252</v>
      </c>
      <c r="B62" s="11">
        <f>IF(VLOOKUP(A62,'DB Country PMI'!$A:$V,MATCH($A$1,'DB Country PMI'!$A$1:$V$1,),)=0,#N/A,VLOOKUP(A62,'DB Country PMI'!$A:$V,MATCH($A$1,'DB Country PMI'!$A$1:$V$1,),))</f>
        <v>56.5</v>
      </c>
      <c r="C62" s="14">
        <f>Table1346811[[#This Row],[PMI]]-B61</f>
        <v>-0.29999999999999716</v>
      </c>
    </row>
    <row r="63" spans="1:3" x14ac:dyDescent="0.35">
      <c r="A63" s="8">
        <v>43282</v>
      </c>
      <c r="B63" s="11">
        <f>IF(VLOOKUP(A63,'DB Country PMI'!$A:$V,MATCH($A$1,'DB Country PMI'!$A$1:$V$1,),)=0,#N/A,VLOOKUP(A63,'DB Country PMI'!$A:$V,MATCH($A$1,'DB Country PMI'!$A$1:$V$1,),))</f>
        <v>56</v>
      </c>
      <c r="C63" s="14">
        <f>Table1346811[[#This Row],[PMI]]-B62</f>
        <v>-0.5</v>
      </c>
    </row>
    <row r="64" spans="1:3" x14ac:dyDescent="0.35">
      <c r="A64" s="8">
        <v>43313</v>
      </c>
      <c r="B64" s="11">
        <f>IF(VLOOKUP(A64,'DB Country PMI'!$A:$V,MATCH($A$1,'DB Country PMI'!$A$1:$V$1,),)=0,#N/A,VLOOKUP(A64,'DB Country PMI'!$A:$V,MATCH($A$1,'DB Country PMI'!$A$1:$V$1,),))</f>
        <v>55.2</v>
      </c>
      <c r="C64" s="14">
        <f>Table1346811[[#This Row],[PMI]]-B63</f>
        <v>-0.79999999999999716</v>
      </c>
    </row>
    <row r="65" spans="1:3" x14ac:dyDescent="0.35">
      <c r="A65" s="8">
        <v>43344</v>
      </c>
      <c r="B65" s="11">
        <f>IF(VLOOKUP(A65,'DB Country PMI'!$A:$V,MATCH($A$1,'DB Country PMI'!$A$1:$V$1,),)=0,#N/A,VLOOKUP(A65,'DB Country PMI'!$A:$V,MATCH($A$1,'DB Country PMI'!$A$1:$V$1,),))</f>
        <v>52.9</v>
      </c>
      <c r="C65" s="14">
        <f>Table1346811[[#This Row],[PMI]]-B64</f>
        <v>-2.3000000000000043</v>
      </c>
    </row>
    <row r="66" spans="1:3" x14ac:dyDescent="0.35">
      <c r="A66" s="8">
        <v>43374</v>
      </c>
      <c r="B66" s="11">
        <f>IF(VLOOKUP(A66,'DB Country PMI'!$A:$V,MATCH($A$1,'DB Country PMI'!$A$1:$V$1,),)=0,#N/A,VLOOKUP(A66,'DB Country PMI'!$A:$V,MATCH($A$1,'DB Country PMI'!$A$1:$V$1,),))</f>
        <v>54.8</v>
      </c>
      <c r="C66" s="14">
        <f>Table1346811[[#This Row],[PMI]]-B65</f>
        <v>1.8999999999999986</v>
      </c>
    </row>
    <row r="67" spans="1:3" x14ac:dyDescent="0.35">
      <c r="A67" s="8">
        <v>43405</v>
      </c>
      <c r="B67" s="11">
        <f>IF(VLOOKUP(A67,'DB Country PMI'!$A:$V,MATCH($A$1,'DB Country PMI'!$A$1:$V$1,),)=0,#N/A,VLOOKUP(A67,'DB Country PMI'!$A:$V,MATCH($A$1,'DB Country PMI'!$A$1:$V$1,),))</f>
        <v>54.4</v>
      </c>
      <c r="C67" s="14">
        <f>Table1346811[[#This Row],[PMI]]-B66</f>
        <v>-0.39999999999999858</v>
      </c>
    </row>
    <row r="68" spans="1:3" x14ac:dyDescent="0.35">
      <c r="A68" s="8">
        <v>43435</v>
      </c>
      <c r="B68" s="11">
        <f>IF(VLOOKUP(A68,'DB Country PMI'!$A:$V,MATCH($A$1,'DB Country PMI'!$A$1:$V$1,),)=0,#N/A,VLOOKUP(A68,'DB Country PMI'!$A:$V,MATCH($A$1,'DB Country PMI'!$A$1:$V$1,),))</f>
        <v>54.4</v>
      </c>
      <c r="C68" s="14">
        <f>Table1346811[[#This Row],[PMI]]-B67</f>
        <v>0</v>
      </c>
    </row>
    <row r="69" spans="1:3" x14ac:dyDescent="0.35">
      <c r="A69" s="8">
        <v>43466</v>
      </c>
      <c r="B69" s="11">
        <f>IF(VLOOKUP(A69,'DB Country PMI'!$A:$V,MATCH($A$1,'DB Country PMI'!$A$1:$V$1,),)=0,#N/A,VLOOKUP(A69,'DB Country PMI'!$A:$V,MATCH($A$1,'DB Country PMI'!$A$1:$V$1,),))</f>
        <v>54.2</v>
      </c>
      <c r="C69" s="14">
        <f>Table1346811[[#This Row],[PMI]]-B68</f>
        <v>-0.19999999999999574</v>
      </c>
    </row>
    <row r="70" spans="1:3" x14ac:dyDescent="0.35">
      <c r="A70" s="8">
        <v>43497</v>
      </c>
      <c r="B70" s="11">
        <f>IF(VLOOKUP(A70,'DB Country PMI'!$A:$V,MATCH($A$1,'DB Country PMI'!$A$1:$V$1,),)=0,#N/A,VLOOKUP(A70,'DB Country PMI'!$A:$V,MATCH($A$1,'DB Country PMI'!$A$1:$V$1,),))</f>
        <v>56.2</v>
      </c>
      <c r="C70" s="14">
        <f>Table1346811[[#This Row],[PMI]]-B69</f>
        <v>2</v>
      </c>
    </row>
    <row r="71" spans="1:3" x14ac:dyDescent="0.35">
      <c r="A71" s="8">
        <v>43525</v>
      </c>
      <c r="B71" s="11">
        <f>IF(VLOOKUP(A71,'DB Country PMI'!$A:$V,MATCH($A$1,'DB Country PMI'!$A$1:$V$1,),)=0,#N/A,VLOOKUP(A71,'DB Country PMI'!$A:$V,MATCH($A$1,'DB Country PMI'!$A$1:$V$1,),))</f>
        <v>54.8</v>
      </c>
      <c r="C71" s="14">
        <f>Table1346811[[#This Row],[PMI]]-B70</f>
        <v>-1.4000000000000057</v>
      </c>
    </row>
    <row r="72" spans="1:3" x14ac:dyDescent="0.35">
      <c r="A72" s="8">
        <v>43556</v>
      </c>
      <c r="B72" s="11">
        <f>IF(VLOOKUP(A72,'DB Country PMI'!$A:$V,MATCH($A$1,'DB Country PMI'!$A$1:$V$1,),)=0,#N/A,VLOOKUP(A72,'DB Country PMI'!$A:$V,MATCH($A$1,'DB Country PMI'!$A$1:$V$1,),))</f>
        <v>53</v>
      </c>
      <c r="C72" s="14">
        <f>Table1346811[[#This Row],[PMI]]-B71</f>
        <v>-1.7999999999999972</v>
      </c>
    </row>
    <row r="73" spans="1:3" x14ac:dyDescent="0.35">
      <c r="A73" s="8">
        <v>43586</v>
      </c>
      <c r="B73" s="11">
        <f>IF(VLOOKUP(A73,'DB Country PMI'!$A:$V,MATCH($A$1,'DB Country PMI'!$A$1:$V$1,),)=0,#N/A,VLOOKUP(A73,'DB Country PMI'!$A:$V,MATCH($A$1,'DB Country PMI'!$A$1:$V$1,),))</f>
        <v>50.9</v>
      </c>
      <c r="C73" s="14">
        <f>Table1346811[[#This Row],[PMI]]-B72</f>
        <v>-2.1000000000000014</v>
      </c>
    </row>
    <row r="74" spans="1:3" x14ac:dyDescent="0.35">
      <c r="A74" s="8">
        <v>43617</v>
      </c>
      <c r="B74" s="11">
        <f>IF(VLOOKUP(A74,'DB Country PMI'!$A:$V,MATCH($A$1,'DB Country PMI'!$A$1:$V$1,),)=0,#N/A,VLOOKUP(A74,'DB Country PMI'!$A:$V,MATCH($A$1,'DB Country PMI'!$A$1:$V$1,),))</f>
        <v>51.5</v>
      </c>
      <c r="C74" s="14">
        <f>Table1346811[[#This Row],[PMI]]-B73</f>
        <v>0.60000000000000142</v>
      </c>
    </row>
    <row r="75" spans="1:3" x14ac:dyDescent="0.35">
      <c r="A75" s="8">
        <v>43647</v>
      </c>
      <c r="B75" s="11">
        <f>IF(VLOOKUP(A75,'DB Country PMI'!$A:$V,MATCH($A$1,'DB Country PMI'!$A$1:$V$1,),)=0,#N/A,VLOOKUP(A75,'DB Country PMI'!$A:$V,MATCH($A$1,'DB Country PMI'!$A$1:$V$1,),))</f>
        <v>53</v>
      </c>
      <c r="C75" s="14">
        <f>Table1346811[[#This Row],[PMI]]-B74</f>
        <v>1.5</v>
      </c>
    </row>
    <row r="76" spans="1:3" x14ac:dyDescent="0.35">
      <c r="A76" s="8">
        <v>43678</v>
      </c>
      <c r="B76" s="11">
        <f>IF(VLOOKUP(A76,'DB Country PMI'!$A:$V,MATCH($A$1,'DB Country PMI'!$A$1:$V$1,),)=0,#N/A,VLOOKUP(A76,'DB Country PMI'!$A:$V,MATCH($A$1,'DB Country PMI'!$A$1:$V$1,),))</f>
        <v>50.7</v>
      </c>
      <c r="C76" s="14">
        <f>Table1346811[[#This Row],[PMI]]-B75</f>
        <v>-2.2999999999999972</v>
      </c>
    </row>
    <row r="77" spans="1:3" x14ac:dyDescent="0.35">
      <c r="A77" s="8">
        <v>43709</v>
      </c>
      <c r="B77" s="11">
        <f>IF(VLOOKUP(A77,'DB Country PMI'!$A:$V,MATCH($A$1,'DB Country PMI'!$A$1:$V$1,),)=0,#N/A,VLOOKUP(A77,'DB Country PMI'!$A:$V,MATCH($A$1,'DB Country PMI'!$A$1:$V$1,),))</f>
        <v>50.9</v>
      </c>
      <c r="C77" s="14">
        <f>Table1346811[[#This Row],[PMI]]-B76</f>
        <v>0.19999999999999574</v>
      </c>
    </row>
    <row r="78" spans="1:3" x14ac:dyDescent="0.35">
      <c r="A78" s="8">
        <v>43739</v>
      </c>
      <c r="B78" s="11">
        <f>IF(VLOOKUP(A78,'DB Country PMI'!$A:$V,MATCH($A$1,'DB Country PMI'!$A$1:$V$1,),)=0,#N/A,VLOOKUP(A78,'DB Country PMI'!$A:$V,MATCH($A$1,'DB Country PMI'!$A$1:$V$1,),))</f>
        <v>50.6</v>
      </c>
      <c r="C78" s="14">
        <f>Table1346811[[#This Row],[PMI]]-B77</f>
        <v>-0.29999999999999716</v>
      </c>
    </row>
    <row r="79" spans="1:3" x14ac:dyDescent="0.35">
      <c r="A79" s="8">
        <v>43770</v>
      </c>
      <c r="B79" s="11">
        <f>IF(VLOOKUP(A79,'DB Country PMI'!$A:$V,MATCH($A$1,'DB Country PMI'!$A$1:$V$1,),)=0,#N/A,VLOOKUP(A79,'DB Country PMI'!$A:$V,MATCH($A$1,'DB Country PMI'!$A$1:$V$1,),))</f>
        <v>51.6</v>
      </c>
      <c r="C79" s="14">
        <f>Table1346811[[#This Row],[PMI]]-B78</f>
        <v>1</v>
      </c>
    </row>
    <row r="80" spans="1:3" x14ac:dyDescent="0.35">
      <c r="A80" s="8">
        <v>43800</v>
      </c>
      <c r="B80" s="11">
        <f>IF(VLOOKUP(A80,'DB Country PMI'!$A:$V,MATCH($A$1,'DB Country PMI'!$A$1:$V$1,),)=0,#N/A,VLOOKUP(A80,'DB Country PMI'!$A:$V,MATCH($A$1,'DB Country PMI'!$A$1:$V$1,),))</f>
        <v>52.8</v>
      </c>
      <c r="C80" s="14">
        <f>Table1346811[[#This Row],[PMI]]-B79</f>
        <v>1.1999999999999957</v>
      </c>
    </row>
    <row r="81" spans="1:3" x14ac:dyDescent="0.35">
      <c r="A81" s="8">
        <v>43831</v>
      </c>
      <c r="B81" s="11">
        <f>IF(VLOOKUP(A81,'DB Country PMI'!$A:$V,MATCH($A$1,'DB Country PMI'!$A$1:$V$1,),)=0,#N/A,VLOOKUP(A81,'DB Country PMI'!$A:$V,MATCH($A$1,'DB Country PMI'!$A$1:$V$1,),))</f>
        <v>53.4</v>
      </c>
      <c r="C81" s="14">
        <f>Table1346811[[#This Row],[PMI]]-B80</f>
        <v>0.60000000000000142</v>
      </c>
    </row>
    <row r="82" spans="1:3" x14ac:dyDescent="0.35">
      <c r="A82" s="8">
        <v>43862</v>
      </c>
      <c r="B82" s="11">
        <f>IF(VLOOKUP(A82,'DB Country PMI'!$A:$V,MATCH($A$1,'DB Country PMI'!$A$1:$V$1,),)=0,#N/A,VLOOKUP(A82,'DB Country PMI'!$A:$V,MATCH($A$1,'DB Country PMI'!$A$1:$V$1,),))</f>
        <v>49.4</v>
      </c>
      <c r="C82" s="14">
        <f>Table1346811[[#This Row],[PMI]]-B81</f>
        <v>-4</v>
      </c>
    </row>
    <row r="83" spans="1:3" x14ac:dyDescent="0.35">
      <c r="A83" s="8">
        <v>43891</v>
      </c>
      <c r="B83" s="11">
        <f>IF(VLOOKUP(A83,'DB Country PMI'!$A:$V,MATCH($A$1,'DB Country PMI'!$A$1:$V$1,),)=0,#N/A,VLOOKUP(A83,'DB Country PMI'!$A:$V,MATCH($A$1,'DB Country PMI'!$A$1:$V$1,),))</f>
        <v>39.799999999999997</v>
      </c>
      <c r="C83" s="14">
        <f>Table1346811[[#This Row],[PMI]]-B82</f>
        <v>-9.6000000000000014</v>
      </c>
    </row>
    <row r="84" spans="1:3" x14ac:dyDescent="0.35">
      <c r="A84" s="8">
        <v>43922</v>
      </c>
      <c r="B84" s="11">
        <f>IF(VLOOKUP(A84,'DB Country PMI'!$A:$V,MATCH($A$1,'DB Country PMI'!$A$1:$V$1,),)=0,#N/A,VLOOKUP(A84,'DB Country PMI'!$A:$V,MATCH($A$1,'DB Country PMI'!$A$1:$V$1,),))</f>
        <v>26.7</v>
      </c>
      <c r="C84" s="14">
        <f>Table1346811[[#This Row],[PMI]]-B83</f>
        <v>-13.099999999999998</v>
      </c>
    </row>
    <row r="85" spans="1:3" x14ac:dyDescent="0.35">
      <c r="A85" s="8">
        <v>43952</v>
      </c>
      <c r="B85" s="11">
        <f>IF(VLOOKUP(A85,'DB Country PMI'!$A:$V,MATCH($A$1,'DB Country PMI'!$A$1:$V$1,),)=0,#N/A,VLOOKUP(A85,'DB Country PMI'!$A:$V,MATCH($A$1,'DB Country PMI'!$A$1:$V$1,),))</f>
        <v>37.5</v>
      </c>
      <c r="C85" s="14">
        <f>Table1346811[[#This Row],[PMI]]-B84</f>
        <v>10.8</v>
      </c>
    </row>
    <row r="86" spans="1:3" x14ac:dyDescent="0.35">
      <c r="A86" s="8">
        <v>43983</v>
      </c>
      <c r="B86" s="11">
        <f>IF(VLOOKUP(A86,'DB Country PMI'!$A:$V,MATCH($A$1,'DB Country PMI'!$A$1:$V$1,),)=0,#N/A,VLOOKUP(A86,'DB Country PMI'!$A:$V,MATCH($A$1,'DB Country PMI'!$A$1:$V$1,),))</f>
        <v>47.9</v>
      </c>
      <c r="C86" s="14">
        <f>Table1346811[[#This Row],[PMI]]-B85</f>
        <v>10.399999999999999</v>
      </c>
    </row>
    <row r="87" spans="1:3" x14ac:dyDescent="0.35">
      <c r="A87" s="8">
        <v>44013</v>
      </c>
      <c r="B87" s="11">
        <f>IF(VLOOKUP(A87,'DB Country PMI'!$A:$V,MATCH($A$1,'DB Country PMI'!$A$1:$V$1,),)=0,#N/A,VLOOKUP(A87,'DB Country PMI'!$A:$V,MATCH($A$1,'DB Country PMI'!$A$1:$V$1,),))</f>
        <v>50</v>
      </c>
      <c r="C87" s="14">
        <f>Table1346811[[#This Row],[PMI]]-B86</f>
        <v>2.1000000000000014</v>
      </c>
    </row>
    <row r="88" spans="1:3" x14ac:dyDescent="0.35">
      <c r="A88" s="8">
        <v>44044</v>
      </c>
      <c r="B88" s="11">
        <f>IF(VLOOKUP(A88,'DB Country PMI'!$A:$V,MATCH($A$1,'DB Country PMI'!$A$1:$V$1,),)=0,#N/A,VLOOKUP(A88,'DB Country PMI'!$A:$V,MATCH($A$1,'DB Country PMI'!$A$1:$V$1,),))</f>
        <v>55</v>
      </c>
      <c r="C88" s="14">
        <f>Table1346811[[#This Row],[PMI]]-B87</f>
        <v>5</v>
      </c>
    </row>
    <row r="89" spans="1:3" x14ac:dyDescent="0.35">
      <c r="A89" s="8">
        <v>44075</v>
      </c>
      <c r="B89" s="11">
        <f>IF(VLOOKUP(A89,'DB Country PMI'!$A:$V,MATCH($A$1,'DB Country PMI'!$A$1:$V$1,),)=0,#N/A,VLOOKUP(A89,'DB Country PMI'!$A:$V,MATCH($A$1,'DB Country PMI'!$A$1:$V$1,),))</f>
        <v>54.6</v>
      </c>
      <c r="C89" s="14">
        <f>Table1346811[[#This Row],[PMI]]-B88</f>
        <v>-0.39999999999999858</v>
      </c>
    </row>
    <row r="90" spans="1:3" x14ac:dyDescent="0.35">
      <c r="A90" s="8">
        <v>44105</v>
      </c>
      <c r="B90" s="11">
        <f>IF(VLOOKUP(A90,'DB Country PMI'!$A:$V,MATCH($A$1,'DB Country PMI'!$A$1:$V$1,),)=0,#N/A,VLOOKUP(A90,'DB Country PMI'!$A:$V,MATCH($A$1,'DB Country PMI'!$A$1:$V$1,),))</f>
        <v>56.9</v>
      </c>
      <c r="C90" s="14">
        <f>Table1346811[[#This Row],[PMI]]-B89</f>
        <v>2.2999999999999972</v>
      </c>
    </row>
    <row r="91" spans="1:3" x14ac:dyDescent="0.35">
      <c r="A91" s="8">
        <v>44136</v>
      </c>
      <c r="B91" s="11">
        <f>IF(VLOOKUP(A91,'DB Country PMI'!$A:$V,MATCH($A$1,'DB Country PMI'!$A$1:$V$1,),)=0,#N/A,VLOOKUP(A91,'DB Country PMI'!$A:$V,MATCH($A$1,'DB Country PMI'!$A$1:$V$1,),))</f>
        <v>58.4</v>
      </c>
      <c r="C91" s="14">
        <f>Table1346811[[#This Row],[PMI]]-B90</f>
        <v>1.5</v>
      </c>
    </row>
    <row r="92" spans="1:3" x14ac:dyDescent="0.35">
      <c r="A92" s="8">
        <v>44166</v>
      </c>
      <c r="B92" s="11">
        <f>IF(VLOOKUP(A92,'DB Country PMI'!$A:$V,MATCH($A$1,'DB Country PMI'!$A$1:$V$1,),)=0,#N/A,VLOOKUP(A92,'DB Country PMI'!$A:$V,MATCH($A$1,'DB Country PMI'!$A$1:$V$1,),))</f>
        <v>54.8</v>
      </c>
      <c r="C92" s="14">
        <f>Table1346811[[#This Row],[PMI]]-B91</f>
        <v>-3.6000000000000014</v>
      </c>
    </row>
    <row r="93" spans="1:3" x14ac:dyDescent="0.35">
      <c r="A93" s="8">
        <v>44197</v>
      </c>
      <c r="B93" s="11">
        <f>IF(VLOOKUP(A93,'DB Country PMI'!$A:$V,MATCH($A$1,'DB Country PMI'!$A$1:$V$1,),)=0,#N/A,VLOOKUP(A93,'DB Country PMI'!$A:$V,MATCH($A$1,'DB Country PMI'!$A$1:$V$1,),))</f>
        <v>58.3</v>
      </c>
      <c r="C93" s="14">
        <f>Table1346811[[#This Row],[PMI]]-B92</f>
        <v>3.5</v>
      </c>
    </row>
    <row r="94" spans="1:3" x14ac:dyDescent="0.35">
      <c r="A94" s="8">
        <v>44228</v>
      </c>
      <c r="B94" s="11">
        <f>IF(VLOOKUP(A94,'DB Country PMI'!$A:$V,MATCH($A$1,'DB Country PMI'!$A$1:$V$1,),)=0,#N/A,VLOOKUP(A94,'DB Country PMI'!$A:$V,MATCH($A$1,'DB Country PMI'!$A$1:$V$1,),))</f>
        <v>59.8</v>
      </c>
      <c r="C94" s="14">
        <f>Table1346811[[#This Row],[PMI]]-B93</f>
        <v>1.5</v>
      </c>
    </row>
    <row r="95" spans="1:3" x14ac:dyDescent="0.35">
      <c r="A95" s="8">
        <v>44256</v>
      </c>
      <c r="B95" s="11">
        <f>IF(VLOOKUP(A95,'DB Country PMI'!$A:$V,MATCH($A$1,'DB Country PMI'!$A$1:$V$1,),)=0,#N/A,VLOOKUP(A95,'DB Country PMI'!$A:$V,MATCH($A$1,'DB Country PMI'!$A$1:$V$1,),))</f>
        <v>60.4</v>
      </c>
      <c r="C95" s="14">
        <f>Table1346811[[#This Row],[PMI]]-B94</f>
        <v>0.60000000000000142</v>
      </c>
    </row>
    <row r="96" spans="1:3" x14ac:dyDescent="0.35">
      <c r="A96" s="8">
        <v>44287</v>
      </c>
      <c r="B96" s="11">
        <f>IF(VLOOKUP(A96,'DB Country PMI'!$A:$V,MATCH($A$1,'DB Country PMI'!$A$1:$V$1,),)=0,#N/A,VLOOKUP(A96,'DB Country PMI'!$A:$V,MATCH($A$1,'DB Country PMI'!$A$1:$V$1,),))</f>
        <v>64.7</v>
      </c>
      <c r="C96" s="14">
        <f>Table1346811[[#This Row],[PMI]]-B95</f>
        <v>4.3000000000000043</v>
      </c>
    </row>
    <row r="97" spans="1:3" x14ac:dyDescent="0.35">
      <c r="A97" s="8">
        <v>44317</v>
      </c>
      <c r="B97" s="11">
        <f>IF(VLOOKUP(A97,'DB Country PMI'!$A:$V,MATCH($A$1,'DB Country PMI'!$A$1:$V$1,),)=0,#N/A,VLOOKUP(A97,'DB Country PMI'!$A:$V,MATCH($A$1,'DB Country PMI'!$A$1:$V$1,),))</f>
        <v>70.400000000000006</v>
      </c>
      <c r="C97" s="14">
        <f>Table1346811[[#This Row],[PMI]]-B96</f>
        <v>5.7000000000000028</v>
      </c>
    </row>
    <row r="98" spans="1:3" x14ac:dyDescent="0.35">
      <c r="A98" s="8">
        <v>44348</v>
      </c>
      <c r="B98" s="11">
        <f>IF(VLOOKUP(A98,'DB Country PMI'!$A:$V,MATCH($A$1,'DB Country PMI'!$A$1:$V$1,),)=0,#N/A,VLOOKUP(A98,'DB Country PMI'!$A:$V,MATCH($A$1,'DB Country PMI'!$A$1:$V$1,),))</f>
        <v>64.599999999999994</v>
      </c>
      <c r="C98" s="14">
        <f>Table1346811[[#This Row],[PMI]]-B97</f>
        <v>-5.8000000000000114</v>
      </c>
    </row>
    <row r="99" spans="1:3" x14ac:dyDescent="0.35">
      <c r="A99" s="8">
        <v>44378</v>
      </c>
      <c r="B99" s="11">
        <f>IF(VLOOKUP(A99,'DB Country PMI'!$A:$V,MATCH($A$1,'DB Country PMI'!$A$1:$V$1,),)=0,#N/A,VLOOKUP(A99,'DB Country PMI'!$A:$V,MATCH($A$1,'DB Country PMI'!$A$1:$V$1,),))</f>
        <v>59.9</v>
      </c>
      <c r="C99" s="14">
        <f>Table1346811[[#This Row],[PMI]]-B98</f>
        <v>-4.6999999999999957</v>
      </c>
    </row>
    <row r="100" spans="1:3" x14ac:dyDescent="0.35">
      <c r="A100" s="8">
        <v>44409</v>
      </c>
      <c r="B100" s="11">
        <f>IF(VLOOKUP(A100,'DB Country PMI'!$A:$V,MATCH($A$1,'DB Country PMI'!$A$1:$V$1,),)=0,#N/A,VLOOKUP(A100,'DB Country PMI'!$A:$V,MATCH($A$1,'DB Country PMI'!$A$1:$V$1,),))</f>
        <v>55.1</v>
      </c>
      <c r="C100" s="14">
        <f>Table1346811[[#This Row],[PMI]]-B99</f>
        <v>-4.7999999999999972</v>
      </c>
    </row>
    <row r="101" spans="1:3" x14ac:dyDescent="0.35">
      <c r="A101" s="8">
        <v>44440</v>
      </c>
      <c r="B101" s="11">
        <f>IF(VLOOKUP(A101,'DB Country PMI'!$A:$V,MATCH($A$1,'DB Country PMI'!$A$1:$V$1,),)=0,#N/A,VLOOKUP(A101,'DB Country PMI'!$A:$V,MATCH($A$1,'DB Country PMI'!$A$1:$V$1,),))</f>
        <v>54.9</v>
      </c>
      <c r="C101" s="14">
        <f>Table1346811[[#This Row],[PMI]]-B100</f>
        <v>-0.20000000000000284</v>
      </c>
    </row>
    <row r="102" spans="1:3" x14ac:dyDescent="0.35">
      <c r="A102" s="8">
        <v>44470</v>
      </c>
      <c r="B102" s="11">
        <f>IF(VLOOKUP(A102,'DB Country PMI'!$A:$V,MATCH($A$1,'DB Country PMI'!$A$1:$V$1,),)=0,#N/A,VLOOKUP(A102,'DB Country PMI'!$A:$V,MATCH($A$1,'DB Country PMI'!$A$1:$V$1,),))</f>
        <v>58.7</v>
      </c>
      <c r="C102" s="14">
        <f>Table1346811[[#This Row],[PMI]]-B101</f>
        <v>3.8000000000000043</v>
      </c>
    </row>
    <row r="103" spans="1:3" x14ac:dyDescent="0.35">
      <c r="A103" s="8">
        <v>44501</v>
      </c>
      <c r="B103" s="11">
        <f>IF(VLOOKUP(A103,'DB Country PMI'!$A:$V,MATCH($A$1,'DB Country PMI'!$A$1:$V$1,),)=0,#N/A,VLOOKUP(A103,'DB Country PMI'!$A:$V,MATCH($A$1,'DB Country PMI'!$A$1:$V$1,),))</f>
        <v>58</v>
      </c>
      <c r="C103" s="14">
        <f>Table1346811[[#This Row],[PMI]]-B102</f>
        <v>-0.70000000000000284</v>
      </c>
    </row>
    <row r="104" spans="1:3" x14ac:dyDescent="0.35">
      <c r="A104" s="8">
        <v>44531</v>
      </c>
      <c r="B104" s="11">
        <f>IF(VLOOKUP(A104,'DB Country PMI'!$A:$V,MATCH($A$1,'DB Country PMI'!$A$1:$V$1,),)=0,#N/A,VLOOKUP(A104,'DB Country PMI'!$A:$V,MATCH($A$1,'DB Country PMI'!$A$1:$V$1,),))</f>
        <v>57.6</v>
      </c>
      <c r="C104" s="14">
        <f>Table1346811[[#This Row],[PMI]]-B103</f>
        <v>-0.39999999999999858</v>
      </c>
    </row>
    <row r="105" spans="1:3" x14ac:dyDescent="0.35">
      <c r="A105" s="8">
        <v>44562</v>
      </c>
      <c r="B105" s="11">
        <f>IF(VLOOKUP(A105,'DB Country PMI'!$A:$V,MATCH($A$1,'DB Country PMI'!$A$1:$V$1,),)=0,#N/A,VLOOKUP(A105,'DB Country PMI'!$A:$V,MATCH($A$1,'DB Country PMI'!$A$1:$V$1,),))</f>
        <v>51.2</v>
      </c>
      <c r="C105" s="14">
        <f>Table1346811[[#This Row],[PMI]]-B104</f>
        <v>-6.3999999999999986</v>
      </c>
    </row>
    <row r="106" spans="1:3" x14ac:dyDescent="0.35">
      <c r="A106" s="8">
        <v>44593</v>
      </c>
      <c r="B106" s="11">
        <f>IF(VLOOKUP(A106,'DB Country PMI'!$A:$V,MATCH($A$1,'DB Country PMI'!$A$1:$V$1,),)=0,#N/A,VLOOKUP(A106,'DB Country PMI'!$A:$V,MATCH($A$1,'DB Country PMI'!$A$1:$V$1,),))</f>
        <v>56.7</v>
      </c>
      <c r="C106" s="14">
        <f>Table1346811[[#This Row],[PMI]]-B105</f>
        <v>5.5</v>
      </c>
    </row>
    <row r="107" spans="1:3" x14ac:dyDescent="0.35">
      <c r="A107" s="8">
        <v>44621</v>
      </c>
      <c r="B107" s="11">
        <f>IF(VLOOKUP(A107,'DB Country PMI'!$A:$V,MATCH($A$1,'DB Country PMI'!$A$1:$V$1,),)=0,#N/A,VLOOKUP(A107,'DB Country PMI'!$A:$V,MATCH($A$1,'DB Country PMI'!$A$1:$V$1,),))</f>
        <v>58.9</v>
      </c>
      <c r="C107" s="14">
        <f>Table1346811[[#This Row],[PMI]]-B106</f>
        <v>2.1999999999999957</v>
      </c>
    </row>
    <row r="108" spans="1:3" x14ac:dyDescent="0.35">
      <c r="A108" s="8">
        <v>44652</v>
      </c>
      <c r="B108" s="11">
        <f>IF(VLOOKUP(A108,'DB Country PMI'!$A:$V,MATCH($A$1,'DB Country PMI'!$A$1:$V$1,),)=0,#N/A,VLOOKUP(A108,'DB Country PMI'!$A:$V,MATCH($A$1,'DB Country PMI'!$A$1:$V$1,),))</f>
        <v>54.7</v>
      </c>
      <c r="C108" s="14">
        <f>Table1346811[[#This Row],[PMI]]-B107</f>
        <v>-4.1999999999999957</v>
      </c>
    </row>
    <row r="109" spans="1:3" x14ac:dyDescent="0.35">
      <c r="A109" s="8">
        <v>44682</v>
      </c>
      <c r="B109" s="11">
        <f>IF(VLOOKUP(A109,'DB Country PMI'!$A:$V,MATCH($A$1,'DB Country PMI'!$A$1:$V$1,),)=0,#N/A,VLOOKUP(A109,'DB Country PMI'!$A:$V,MATCH($A$1,'DB Country PMI'!$A$1:$V$1,),))</f>
        <v>53.5</v>
      </c>
      <c r="C109" s="14">
        <f>Table1346811[[#This Row],[PMI]]-B108</f>
        <v>-1.2000000000000028</v>
      </c>
    </row>
    <row r="110" spans="1:3" x14ac:dyDescent="0.35">
      <c r="A110" s="8">
        <v>44713</v>
      </c>
      <c r="B110" s="11">
        <f>IF(VLOOKUP(A110,'DB Country PMI'!$A:$V,MATCH($A$1,'DB Country PMI'!$A$1:$V$1,),)=0,#N/A,VLOOKUP(A110,'DB Country PMI'!$A:$V,MATCH($A$1,'DB Country PMI'!$A$1:$V$1,),))</f>
        <v>51.6</v>
      </c>
      <c r="C110" s="14">
        <f>Table1346811[[#This Row],[PMI]]-B109</f>
        <v>-1.8999999999999986</v>
      </c>
    </row>
    <row r="111" spans="1:3" x14ac:dyDescent="0.35">
      <c r="A111" s="8">
        <v>44743</v>
      </c>
      <c r="B111" s="11">
        <f>IF(VLOOKUP(A111,'DB Country PMI'!$A:$V,MATCH($A$1,'DB Country PMI'!$A$1:$V$1,),)=0,#N/A,VLOOKUP(A111,'DB Country PMI'!$A:$V,MATCH($A$1,'DB Country PMI'!$A$1:$V$1,),))</f>
        <v>47.3</v>
      </c>
      <c r="C111" s="14">
        <f>Table1346811[[#This Row],[PMI]]-B110</f>
        <v>-4.3000000000000043</v>
      </c>
    </row>
    <row r="112" spans="1:3" x14ac:dyDescent="0.35">
      <c r="A112" s="8">
        <v>44774</v>
      </c>
      <c r="B112" s="11">
        <f>IF(VLOOKUP(A112,'DB Country PMI'!$A:$V,MATCH($A$1,'DB Country PMI'!$A$1:$V$1,),)=0,#N/A,VLOOKUP(A112,'DB Country PMI'!$A:$V,MATCH($A$1,'DB Country PMI'!$A$1:$V$1,),))</f>
        <v>43.7</v>
      </c>
      <c r="C112" s="14">
        <f>Table1346811[[#This Row],[PMI]]-B111</f>
        <v>-3.5999999999999943</v>
      </c>
    </row>
    <row r="113" spans="1:3" x14ac:dyDescent="0.35">
      <c r="A113" s="8">
        <v>44805</v>
      </c>
      <c r="B113" s="11">
        <f>IF(VLOOKUP(A113,'DB Country PMI'!$A:$V,MATCH($A$1,'DB Country PMI'!$A$1:$V$1,),)=0,#N/A,VLOOKUP(A113,'DB Country PMI'!$A:$V,MATCH($A$1,'DB Country PMI'!$A$1:$V$1,),))</f>
        <v>49.3</v>
      </c>
      <c r="C113" s="14">
        <f>Table1346811[[#This Row],[PMI]]-B112</f>
        <v>5.5999999999999943</v>
      </c>
    </row>
    <row r="114" spans="1:3" x14ac:dyDescent="0.35">
      <c r="A114" s="8">
        <v>44835</v>
      </c>
      <c r="B114" s="11">
        <f>IF(VLOOKUP(A114,'DB Country PMI'!$A:$V,MATCH($A$1,'DB Country PMI'!$A$1:$V$1,),)=0,#N/A,VLOOKUP(A114,'DB Country PMI'!$A:$V,MATCH($A$1,'DB Country PMI'!$A$1:$V$1,),))</f>
        <v>47.8</v>
      </c>
      <c r="C114" s="14">
        <f>Table1346811[[#This Row],[PMI]]-B113</f>
        <v>-1.5</v>
      </c>
    </row>
    <row r="115" spans="1:3" x14ac:dyDescent="0.35">
      <c r="A115" s="8">
        <v>44866</v>
      </c>
      <c r="B115" s="11">
        <f>IF(VLOOKUP(A115,'DB Country PMI'!$A:$V,MATCH($A$1,'DB Country PMI'!$A$1:$V$1,),)=0,#N/A,VLOOKUP(A115,'DB Country PMI'!$A:$V,MATCH($A$1,'DB Country PMI'!$A$1:$V$1,),))</f>
        <v>46.2</v>
      </c>
      <c r="C115" s="14">
        <f>Table1346811[[#This Row],[PMI]]-B114</f>
        <v>-1.5999999999999943</v>
      </c>
    </row>
  </sheetData>
  <conditionalFormatting sqref="B6:B115">
    <cfRule type="colorScale" priority="46">
      <colorScale>
        <cfvo type="min"/>
        <cfvo type="percentile" val="50"/>
        <cfvo type="max"/>
        <color rgb="FFF8696B"/>
        <color rgb="FFFFEB84"/>
        <color rgb="FF63BE7B"/>
      </colorScale>
    </cfRule>
  </conditionalFormatting>
  <conditionalFormatting sqref="C7:C115">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90"/>
  <sheetViews>
    <sheetView zoomScale="170" zoomScaleNormal="170" workbookViewId="0">
      <pane ySplit="5" topLeftCell="A170" activePane="bottomLeft" state="frozen"/>
      <selection pane="bottomLeft" activeCell="A178" sqref="A178:C190"/>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35</v>
      </c>
      <c r="J1" s="47" t="s">
        <v>62</v>
      </c>
    </row>
    <row r="2" spans="1:10" x14ac:dyDescent="0.35">
      <c r="J2" s="47" t="s">
        <v>64</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PMI'!$A:$V,MATCH($A$1,'DB Country PMI'!$A$1:$V$1,),)=0,#N/A,VLOOKUP(A6,'DB Country PMI'!$A:$V,MATCH($A$1,'DB Country PMI'!$A$1:$V$1,),))</f>
        <v>58.3</v>
      </c>
      <c r="C6" s="11"/>
    </row>
    <row r="7" spans="1:10" x14ac:dyDescent="0.35">
      <c r="A7" s="8">
        <v>39295</v>
      </c>
      <c r="B7" s="11">
        <f>IF(VLOOKUP(A7,'DB Country PMI'!$A:$V,MATCH($A$1,'DB Country PMI'!$A$1:$V$1,),)=0,#N/A,VLOOKUP(A7,'DB Country PMI'!$A:$V,MATCH($A$1,'DB Country PMI'!$A$1:$V$1,),))</f>
        <v>58</v>
      </c>
      <c r="C7" s="14">
        <f>Table13468113[[#This Row],[PMI]]-B6</f>
        <v>-0.29999999999999716</v>
      </c>
    </row>
    <row r="8" spans="1:10" x14ac:dyDescent="0.35">
      <c r="A8" s="8">
        <v>39326</v>
      </c>
      <c r="B8" s="11">
        <f>IF(VLOOKUP(A8,'DB Country PMI'!$A:$V,MATCH($A$1,'DB Country PMI'!$A$1:$V$1,),)=0,#N/A,VLOOKUP(A8,'DB Country PMI'!$A:$V,MATCH($A$1,'DB Country PMI'!$A$1:$V$1,),))</f>
        <v>54.2</v>
      </c>
      <c r="C8" s="14">
        <f>Table13468113[[#This Row],[PMI]]-B7</f>
        <v>-3.7999999999999972</v>
      </c>
    </row>
    <row r="9" spans="1:10" x14ac:dyDescent="0.35">
      <c r="A9" s="8">
        <v>39356</v>
      </c>
      <c r="B9" s="11">
        <f>IF(VLOOKUP(A9,'DB Country PMI'!$A:$V,MATCH($A$1,'DB Country PMI'!$A$1:$V$1,),)=0,#N/A,VLOOKUP(A9,'DB Country PMI'!$A:$V,MATCH($A$1,'DB Country PMI'!$A$1:$V$1,),))</f>
        <v>55.8</v>
      </c>
      <c r="C9" s="14">
        <f>Table13468113[[#This Row],[PMI]]-B8</f>
        <v>1.5999999999999943</v>
      </c>
    </row>
    <row r="10" spans="1:10" x14ac:dyDescent="0.35">
      <c r="A10" s="8">
        <v>39387</v>
      </c>
      <c r="B10" s="11">
        <f>IF(VLOOKUP(A10,'DB Country PMI'!$A:$V,MATCH($A$1,'DB Country PMI'!$A$1:$V$1,),)=0,#N/A,VLOOKUP(A10,'DB Country PMI'!$A:$V,MATCH($A$1,'DB Country PMI'!$A$1:$V$1,),))</f>
        <v>54.1</v>
      </c>
      <c r="C10" s="14">
        <f>Table13468113[[#This Row],[PMI]]-B9</f>
        <v>-1.6999999999999957</v>
      </c>
    </row>
    <row r="11" spans="1:10" x14ac:dyDescent="0.35">
      <c r="A11" s="8">
        <v>39417</v>
      </c>
      <c r="B11" s="11">
        <f>IF(VLOOKUP(A11,'DB Country PMI'!$A:$V,MATCH($A$1,'DB Country PMI'!$A$1:$V$1,),)=0,#N/A,VLOOKUP(A11,'DB Country PMI'!$A:$V,MATCH($A$1,'DB Country PMI'!$A$1:$V$1,),))</f>
        <v>53.1</v>
      </c>
      <c r="C11" s="14">
        <f>Table13468113[[#This Row],[PMI]]-B10</f>
        <v>-1</v>
      </c>
    </row>
    <row r="12" spans="1:10" x14ac:dyDescent="0.35">
      <c r="A12" s="8">
        <v>39448</v>
      </c>
      <c r="B12" s="11">
        <f>IF(VLOOKUP(A12,'DB Country PMI'!$A:$V,MATCH($A$1,'DB Country PMI'!$A$1:$V$1,),)=0,#N/A,VLOOKUP(A12,'DB Country PMI'!$A:$V,MATCH($A$1,'DB Country PMI'!$A$1:$V$1,),))</f>
        <v>50.6</v>
      </c>
      <c r="C12" s="14">
        <f>Table13468113[[#This Row],[PMI]]-B11</f>
        <v>-2.5</v>
      </c>
    </row>
    <row r="13" spans="1:10" x14ac:dyDescent="0.35">
      <c r="A13" s="8">
        <v>39479</v>
      </c>
      <c r="B13" s="11">
        <f>IF(VLOOKUP(A13,'DB Country PMI'!$A:$V,MATCH($A$1,'DB Country PMI'!$A$1:$V$1,),)=0,#N/A,VLOOKUP(A13,'DB Country PMI'!$A:$V,MATCH($A$1,'DB Country PMI'!$A$1:$V$1,),))</f>
        <v>51.7</v>
      </c>
      <c r="C13" s="14">
        <f>Table13468113[[#This Row],[PMI]]-B12</f>
        <v>1.1000000000000014</v>
      </c>
    </row>
    <row r="14" spans="1:10" x14ac:dyDescent="0.35">
      <c r="A14" s="8">
        <v>39508</v>
      </c>
      <c r="B14" s="11">
        <f>IF(VLOOKUP(A14,'DB Country PMI'!$A:$V,MATCH($A$1,'DB Country PMI'!$A$1:$V$1,),)=0,#N/A,VLOOKUP(A14,'DB Country PMI'!$A:$V,MATCH($A$1,'DB Country PMI'!$A$1:$V$1,),))</f>
        <v>51.6</v>
      </c>
      <c r="C14" s="14">
        <f>Table13468113[[#This Row],[PMI]]-B13</f>
        <v>-0.10000000000000142</v>
      </c>
    </row>
    <row r="15" spans="1:10" x14ac:dyDescent="0.35">
      <c r="A15" s="8">
        <v>39539</v>
      </c>
      <c r="B15" s="11">
        <f>IF(VLOOKUP(A15,'DB Country PMI'!$A:$V,MATCH($A$1,'DB Country PMI'!$A$1:$V$1,),)=0,#N/A,VLOOKUP(A15,'DB Country PMI'!$A:$V,MATCH($A$1,'DB Country PMI'!$A$1:$V$1,),))</f>
        <v>52</v>
      </c>
      <c r="C15" s="14">
        <f>Table13468113[[#This Row],[PMI]]-B14</f>
        <v>0.39999999999999858</v>
      </c>
    </row>
    <row r="16" spans="1:10" x14ac:dyDescent="0.35">
      <c r="A16" s="8">
        <v>39569</v>
      </c>
      <c r="B16" s="11">
        <f>IF(VLOOKUP(A16,'DB Country PMI'!$A:$V,MATCH($A$1,'DB Country PMI'!$A$1:$V$1,),)=0,#N/A,VLOOKUP(A16,'DB Country PMI'!$A:$V,MATCH($A$1,'DB Country PMI'!$A$1:$V$1,),))</f>
        <v>50.6</v>
      </c>
      <c r="C16" s="14">
        <f>Table13468113[[#This Row],[PMI]]-B15</f>
        <v>-1.3999999999999986</v>
      </c>
    </row>
    <row r="17" spans="1:3" x14ac:dyDescent="0.35">
      <c r="A17" s="8">
        <v>39600</v>
      </c>
      <c r="B17" s="11">
        <f>IF(VLOOKUP(A17,'DB Country PMI'!$A:$V,MATCH($A$1,'DB Country PMI'!$A$1:$V$1,),)=0,#N/A,VLOOKUP(A17,'DB Country PMI'!$A:$V,MATCH($A$1,'DB Country PMI'!$A$1:$V$1,),))</f>
        <v>49.1</v>
      </c>
      <c r="C17" s="14">
        <f>Table13468113[[#This Row],[PMI]]-B16</f>
        <v>-1.5</v>
      </c>
    </row>
    <row r="18" spans="1:3" x14ac:dyDescent="0.35">
      <c r="A18" s="8">
        <v>39630</v>
      </c>
      <c r="B18" s="11">
        <f>IF(VLOOKUP(A18,'DB Country PMI'!$A:$V,MATCH($A$1,'DB Country PMI'!$A$1:$V$1,),)=0,#N/A,VLOOKUP(A18,'DB Country PMI'!$A:$V,MATCH($A$1,'DB Country PMI'!$A$1:$V$1,),))</f>
        <v>48.3</v>
      </c>
      <c r="C18" s="14">
        <f>Table13468113[[#This Row],[PMI]]-B17</f>
        <v>-0.80000000000000426</v>
      </c>
    </row>
    <row r="19" spans="1:3" x14ac:dyDescent="0.35">
      <c r="A19" s="8">
        <v>39661</v>
      </c>
      <c r="B19" s="11">
        <f>IF(VLOOKUP(A19,'DB Country PMI'!$A:$V,MATCH($A$1,'DB Country PMI'!$A$1:$V$1,),)=0,#N/A,VLOOKUP(A19,'DB Country PMI'!$A:$V,MATCH($A$1,'DB Country PMI'!$A$1:$V$1,),))</f>
        <v>48.5</v>
      </c>
      <c r="C19" s="14">
        <f>Table13468113[[#This Row],[PMI]]-B18</f>
        <v>0.20000000000000284</v>
      </c>
    </row>
    <row r="20" spans="1:3" x14ac:dyDescent="0.35">
      <c r="A20" s="8">
        <v>39692</v>
      </c>
      <c r="B20" s="11">
        <f>IF(VLOOKUP(A20,'DB Country PMI'!$A:$V,MATCH($A$1,'DB Country PMI'!$A$1:$V$1,),)=0,#N/A,VLOOKUP(A20,'DB Country PMI'!$A:$V,MATCH($A$1,'DB Country PMI'!$A$1:$V$1,),))</f>
        <v>48.4</v>
      </c>
      <c r="C20" s="14">
        <f>Table13468113[[#This Row],[PMI]]-B19</f>
        <v>-0.10000000000000142</v>
      </c>
    </row>
    <row r="21" spans="1:3" x14ac:dyDescent="0.35">
      <c r="A21" s="8">
        <v>39722</v>
      </c>
      <c r="B21" s="11">
        <f>IF(VLOOKUP(A21,'DB Country PMI'!$A:$V,MATCH($A$1,'DB Country PMI'!$A$1:$V$1,),)=0,#N/A,VLOOKUP(A21,'DB Country PMI'!$A:$V,MATCH($A$1,'DB Country PMI'!$A$1:$V$1,),))</f>
        <v>45.8</v>
      </c>
      <c r="C21" s="14">
        <f>Table13468113[[#This Row],[PMI]]-B20</f>
        <v>-2.6000000000000014</v>
      </c>
    </row>
    <row r="22" spans="1:3" x14ac:dyDescent="0.35">
      <c r="A22" s="8">
        <v>39753</v>
      </c>
      <c r="B22" s="11">
        <f>IF(VLOOKUP(A22,'DB Country PMI'!$A:$V,MATCH($A$1,'DB Country PMI'!$A$1:$V$1,),)=0,#N/A,VLOOKUP(A22,'DB Country PMI'!$A:$V,MATCH($A$1,'DB Country PMI'!$A$1:$V$1,),))</f>
        <v>42.5</v>
      </c>
      <c r="C22" s="14">
        <f>Table13468113[[#This Row],[PMI]]-B21</f>
        <v>-3.2999999999999972</v>
      </c>
    </row>
    <row r="23" spans="1:3" x14ac:dyDescent="0.35">
      <c r="A23" s="8">
        <v>39783</v>
      </c>
      <c r="B23" s="11">
        <f>IF(VLOOKUP(A23,'DB Country PMI'!$A:$V,MATCH($A$1,'DB Country PMI'!$A$1:$V$1,),)=0,#N/A,VLOOKUP(A23,'DB Country PMI'!$A:$V,MATCH($A$1,'DB Country PMI'!$A$1:$V$1,),))</f>
        <v>42.3</v>
      </c>
      <c r="C23" s="14">
        <f>Table13468113[[#This Row],[PMI]]-B22</f>
        <v>-0.20000000000000284</v>
      </c>
    </row>
    <row r="24" spans="1:3" x14ac:dyDescent="0.35">
      <c r="A24" s="8">
        <v>39814</v>
      </c>
      <c r="B24" s="11">
        <f>IF(VLOOKUP(A24,'DB Country PMI'!$A:$V,MATCH($A$1,'DB Country PMI'!$A$1:$V$1,),)=0,#N/A,VLOOKUP(A24,'DB Country PMI'!$A:$V,MATCH($A$1,'DB Country PMI'!$A$1:$V$1,),))</f>
        <v>42.2</v>
      </c>
      <c r="C24" s="14">
        <f>Table13468113[[#This Row],[PMI]]-B23</f>
        <v>-9.9999999999994316E-2</v>
      </c>
    </row>
    <row r="25" spans="1:3" x14ac:dyDescent="0.35">
      <c r="A25" s="8">
        <v>39845</v>
      </c>
      <c r="B25" s="11">
        <f>IF(VLOOKUP(A25,'DB Country PMI'!$A:$V,MATCH($A$1,'DB Country PMI'!$A$1:$V$1,),)=0,#N/A,VLOOKUP(A25,'DB Country PMI'!$A:$V,MATCH($A$1,'DB Country PMI'!$A$1:$V$1,),))</f>
        <v>39.200000000000003</v>
      </c>
      <c r="C25" s="14">
        <f>Table13468113[[#This Row],[PMI]]-B24</f>
        <v>-3</v>
      </c>
    </row>
    <row r="26" spans="1:3" x14ac:dyDescent="0.35">
      <c r="A26" s="8">
        <v>39873</v>
      </c>
      <c r="B26" s="11">
        <f>IF(VLOOKUP(A26,'DB Country PMI'!$A:$V,MATCH($A$1,'DB Country PMI'!$A$1:$V$1,),)=0,#N/A,VLOOKUP(A26,'DB Country PMI'!$A:$V,MATCH($A$1,'DB Country PMI'!$A$1:$V$1,),))</f>
        <v>40.9</v>
      </c>
      <c r="C26" s="14">
        <f>Table13468113[[#This Row],[PMI]]-B25</f>
        <v>1.6999999999999957</v>
      </c>
    </row>
    <row r="27" spans="1:3" x14ac:dyDescent="0.35">
      <c r="A27" s="8">
        <v>39904</v>
      </c>
      <c r="B27" s="11">
        <f>IF(VLOOKUP(A27,'DB Country PMI'!$A:$V,MATCH($A$1,'DB Country PMI'!$A$1:$V$1,),)=0,#N/A,VLOOKUP(A27,'DB Country PMI'!$A:$V,MATCH($A$1,'DB Country PMI'!$A$1:$V$1,),))</f>
        <v>43.8</v>
      </c>
      <c r="C27" s="14">
        <f>Table13468113[[#This Row],[PMI]]-B26</f>
        <v>2.8999999999999986</v>
      </c>
    </row>
    <row r="28" spans="1:3" x14ac:dyDescent="0.35">
      <c r="A28" s="8">
        <v>39934</v>
      </c>
      <c r="B28" s="11">
        <f>IF(VLOOKUP(A28,'DB Country PMI'!$A:$V,MATCH($A$1,'DB Country PMI'!$A$1:$V$1,),)=0,#N/A,VLOOKUP(A28,'DB Country PMI'!$A:$V,MATCH($A$1,'DB Country PMI'!$A$1:$V$1,),))</f>
        <v>44.8</v>
      </c>
      <c r="C28" s="14">
        <f>Table13468113[[#This Row],[PMI]]-B27</f>
        <v>1</v>
      </c>
    </row>
    <row r="29" spans="1:3" x14ac:dyDescent="0.35">
      <c r="A29" s="8">
        <v>39965</v>
      </c>
      <c r="B29" s="11">
        <f>IF(VLOOKUP(A29,'DB Country PMI'!$A:$V,MATCH($A$1,'DB Country PMI'!$A$1:$V$1,),)=0,#N/A,VLOOKUP(A29,'DB Country PMI'!$A:$V,MATCH($A$1,'DB Country PMI'!$A$1:$V$1,),))</f>
        <v>44.7</v>
      </c>
      <c r="C29" s="14">
        <f>Table13468113[[#This Row],[PMI]]-B28</f>
        <v>-9.9999999999994316E-2</v>
      </c>
    </row>
    <row r="30" spans="1:3" x14ac:dyDescent="0.35">
      <c r="A30" s="8">
        <v>39995</v>
      </c>
      <c r="B30" s="11">
        <f>IF(VLOOKUP(A30,'DB Country PMI'!$A:$V,MATCH($A$1,'DB Country PMI'!$A$1:$V$1,),)=0,#N/A,VLOOKUP(A30,'DB Country PMI'!$A:$V,MATCH($A$1,'DB Country PMI'!$A$1:$V$1,),))</f>
        <v>45.7</v>
      </c>
      <c r="C30" s="14">
        <f>Table13468113[[#This Row],[PMI]]-B29</f>
        <v>1</v>
      </c>
    </row>
    <row r="31" spans="1:3" x14ac:dyDescent="0.35">
      <c r="A31" s="8">
        <v>40026</v>
      </c>
      <c r="B31" s="11">
        <f>IF(VLOOKUP(A31,'DB Country PMI'!$A:$V,MATCH($A$1,'DB Country PMI'!$A$1:$V$1,),)=0,#N/A,VLOOKUP(A31,'DB Country PMI'!$A:$V,MATCH($A$1,'DB Country PMI'!$A$1:$V$1,),))</f>
        <v>49.9</v>
      </c>
      <c r="C31" s="14">
        <f>Table13468113[[#This Row],[PMI]]-B30</f>
        <v>4.1999999999999957</v>
      </c>
    </row>
    <row r="32" spans="1:3" x14ac:dyDescent="0.35">
      <c r="A32" s="8">
        <v>40057</v>
      </c>
      <c r="B32" s="11">
        <f>IF(VLOOKUP(A32,'DB Country PMI'!$A:$V,MATCH($A$1,'DB Country PMI'!$A$1:$V$1,),)=0,#N/A,VLOOKUP(A32,'DB Country PMI'!$A:$V,MATCH($A$1,'DB Country PMI'!$A$1:$V$1,),))</f>
        <v>50.9</v>
      </c>
      <c r="C32" s="14">
        <f>Table13468113[[#This Row],[PMI]]-B31</f>
        <v>1</v>
      </c>
    </row>
    <row r="33" spans="1:3" x14ac:dyDescent="0.35">
      <c r="A33" s="8">
        <v>40087</v>
      </c>
      <c r="B33" s="11">
        <f>IF(VLOOKUP(A33,'DB Country PMI'!$A:$V,MATCH($A$1,'DB Country PMI'!$A$1:$V$1,),)=0,#N/A,VLOOKUP(A33,'DB Country PMI'!$A:$V,MATCH($A$1,'DB Country PMI'!$A$1:$V$1,),))</f>
        <v>52.6</v>
      </c>
      <c r="C33" s="14">
        <f>Table13468113[[#This Row],[PMI]]-B32</f>
        <v>1.7000000000000028</v>
      </c>
    </row>
    <row r="34" spans="1:3" x14ac:dyDescent="0.35">
      <c r="A34" s="8">
        <v>40118</v>
      </c>
      <c r="B34" s="11">
        <f>IF(VLOOKUP(A34,'DB Country PMI'!$A:$V,MATCH($A$1,'DB Country PMI'!$A$1:$V$1,),)=0,#N/A,VLOOKUP(A34,'DB Country PMI'!$A:$V,MATCH($A$1,'DB Country PMI'!$A$1:$V$1,),))</f>
        <v>53</v>
      </c>
      <c r="C34" s="14">
        <f>Table13468113[[#This Row],[PMI]]-B33</f>
        <v>0.39999999999999858</v>
      </c>
    </row>
    <row r="35" spans="1:3" x14ac:dyDescent="0.35">
      <c r="A35" s="8">
        <v>40148</v>
      </c>
      <c r="B35" s="11">
        <f>IF(VLOOKUP(A35,'DB Country PMI'!$A:$V,MATCH($A$1,'DB Country PMI'!$A$1:$V$1,),)=0,#N/A,VLOOKUP(A35,'DB Country PMI'!$A:$V,MATCH($A$1,'DB Country PMI'!$A$1:$V$1,),))</f>
        <v>52.9</v>
      </c>
      <c r="C35" s="14">
        <f>Table13468113[[#This Row],[PMI]]-B34</f>
        <v>-0.10000000000000142</v>
      </c>
    </row>
    <row r="36" spans="1:3" x14ac:dyDescent="0.35">
      <c r="A36" s="8">
        <v>40179</v>
      </c>
      <c r="B36" s="11">
        <f>IF(VLOOKUP(A36,'DB Country PMI'!$A:$V,MATCH($A$1,'DB Country PMI'!$A$1:$V$1,),)=0,#N/A,VLOOKUP(A36,'DB Country PMI'!$A:$V,MATCH($A$1,'DB Country PMI'!$A$1:$V$1,),))</f>
        <v>52.5</v>
      </c>
      <c r="C36" s="14">
        <f>Table13468113[[#This Row],[PMI]]-B35</f>
        <v>-0.39999999999999858</v>
      </c>
    </row>
    <row r="37" spans="1:3" x14ac:dyDescent="0.35">
      <c r="A37" s="8">
        <v>40210</v>
      </c>
      <c r="B37" s="11">
        <f>IF(VLOOKUP(A37,'DB Country PMI'!$A:$V,MATCH($A$1,'DB Country PMI'!$A$1:$V$1,),)=0,#N/A,VLOOKUP(A37,'DB Country PMI'!$A:$V,MATCH($A$1,'DB Country PMI'!$A$1:$V$1,),))</f>
        <v>51.8</v>
      </c>
      <c r="C37" s="14">
        <f>Table13468113[[#This Row],[PMI]]-B36</f>
        <v>-0.70000000000000284</v>
      </c>
    </row>
    <row r="38" spans="1:3" x14ac:dyDescent="0.35">
      <c r="A38" s="8">
        <v>40238</v>
      </c>
      <c r="B38" s="11">
        <f>IF(VLOOKUP(A38,'DB Country PMI'!$A:$V,MATCH($A$1,'DB Country PMI'!$A$1:$V$1,),)=0,#N/A,VLOOKUP(A38,'DB Country PMI'!$A:$V,MATCH($A$1,'DB Country PMI'!$A$1:$V$1,),))</f>
        <v>54.1</v>
      </c>
      <c r="C38" s="14">
        <f>Table13468113[[#This Row],[PMI]]-B37</f>
        <v>2.3000000000000043</v>
      </c>
    </row>
    <row r="39" spans="1:3" x14ac:dyDescent="0.35">
      <c r="A39" s="8">
        <v>40269</v>
      </c>
      <c r="B39" s="11">
        <f>IF(VLOOKUP(A39,'DB Country PMI'!$A:$V,MATCH($A$1,'DB Country PMI'!$A$1:$V$1,),)=0,#N/A,VLOOKUP(A39,'DB Country PMI'!$A:$V,MATCH($A$1,'DB Country PMI'!$A$1:$V$1,),))</f>
        <v>55.6</v>
      </c>
      <c r="C39" s="14">
        <f>Table13468113[[#This Row],[PMI]]-B38</f>
        <v>1.5</v>
      </c>
    </row>
    <row r="40" spans="1:3" x14ac:dyDescent="0.35">
      <c r="A40" s="8">
        <v>40299</v>
      </c>
      <c r="B40" s="11">
        <f>IF(VLOOKUP(A40,'DB Country PMI'!$A:$V,MATCH($A$1,'DB Country PMI'!$A$1:$V$1,),)=0,#N/A,VLOOKUP(A40,'DB Country PMI'!$A:$V,MATCH($A$1,'DB Country PMI'!$A$1:$V$1,),))</f>
        <v>56.2</v>
      </c>
      <c r="C40" s="14">
        <f>Table13468113[[#This Row],[PMI]]-B39</f>
        <v>0.60000000000000142</v>
      </c>
    </row>
    <row r="41" spans="1:3" x14ac:dyDescent="0.35">
      <c r="A41" s="8">
        <v>40330</v>
      </c>
      <c r="B41" s="11">
        <f>IF(VLOOKUP(A41,'DB Country PMI'!$A:$V,MATCH($A$1,'DB Country PMI'!$A$1:$V$1,),)=0,#N/A,VLOOKUP(A41,'DB Country PMI'!$A:$V,MATCH($A$1,'DB Country PMI'!$A$1:$V$1,),))</f>
        <v>55.5</v>
      </c>
      <c r="C41" s="14">
        <f>Table13468113[[#This Row],[PMI]]-B40</f>
        <v>-0.70000000000000284</v>
      </c>
    </row>
    <row r="42" spans="1:3" x14ac:dyDescent="0.35">
      <c r="A42" s="8">
        <v>40360</v>
      </c>
      <c r="B42" s="11">
        <f>IF(VLOOKUP(A42,'DB Country PMI'!$A:$V,MATCH($A$1,'DB Country PMI'!$A$1:$V$1,),)=0,#N/A,VLOOKUP(A42,'DB Country PMI'!$A:$V,MATCH($A$1,'DB Country PMI'!$A$1:$V$1,),))</f>
        <v>55.8</v>
      </c>
      <c r="C42" s="14">
        <f>Table13468113[[#This Row],[PMI]]-B41</f>
        <v>0.29999999999999716</v>
      </c>
    </row>
    <row r="43" spans="1:3" x14ac:dyDescent="0.35">
      <c r="A43" s="8">
        <v>40391</v>
      </c>
      <c r="B43" s="11">
        <f>IF(VLOOKUP(A43,'DB Country PMI'!$A:$V,MATCH($A$1,'DB Country PMI'!$A$1:$V$1,),)=0,#N/A,VLOOKUP(A43,'DB Country PMI'!$A:$V,MATCH($A$1,'DB Country PMI'!$A$1:$V$1,),))</f>
        <v>55.9</v>
      </c>
      <c r="C43" s="14">
        <f>Table13468113[[#This Row],[PMI]]-B42</f>
        <v>0.10000000000000142</v>
      </c>
    </row>
    <row r="44" spans="1:3" x14ac:dyDescent="0.35">
      <c r="A44" s="8">
        <v>40422</v>
      </c>
      <c r="B44" s="11">
        <f>IF(VLOOKUP(A44,'DB Country PMI'!$A:$V,MATCH($A$1,'DB Country PMI'!$A$1:$V$1,),)=0,#N/A,VLOOKUP(A44,'DB Country PMI'!$A:$V,MATCH($A$1,'DB Country PMI'!$A$1:$V$1,),))</f>
        <v>54.1</v>
      </c>
      <c r="C44" s="14">
        <f>Table13468113[[#This Row],[PMI]]-B43</f>
        <v>-1.7999999999999972</v>
      </c>
    </row>
    <row r="45" spans="1:3" x14ac:dyDescent="0.35">
      <c r="A45" s="8">
        <v>40452</v>
      </c>
      <c r="B45" s="11">
        <f>IF(VLOOKUP(A45,'DB Country PMI'!$A:$V,MATCH($A$1,'DB Country PMI'!$A$1:$V$1,),)=0,#N/A,VLOOKUP(A45,'DB Country PMI'!$A:$V,MATCH($A$1,'DB Country PMI'!$A$1:$V$1,),))</f>
        <v>53.3</v>
      </c>
      <c r="C45" s="14">
        <f>Table13468113[[#This Row],[PMI]]-B44</f>
        <v>-0.80000000000000426</v>
      </c>
    </row>
    <row r="46" spans="1:3" x14ac:dyDescent="0.35">
      <c r="A46" s="8">
        <v>40483</v>
      </c>
      <c r="B46" s="11">
        <f>IF(VLOOKUP(A46,'DB Country PMI'!$A:$V,MATCH($A$1,'DB Country PMI'!$A$1:$V$1,),)=0,#N/A,VLOOKUP(A46,'DB Country PMI'!$A:$V,MATCH($A$1,'DB Country PMI'!$A$1:$V$1,),))</f>
        <v>55.4</v>
      </c>
      <c r="C46" s="14">
        <f>Table13468113[[#This Row],[PMI]]-B45</f>
        <v>2.1000000000000014</v>
      </c>
    </row>
    <row r="47" spans="1:3" x14ac:dyDescent="0.35">
      <c r="A47" s="8">
        <v>40513</v>
      </c>
      <c r="B47" s="11">
        <f>IF(VLOOKUP(A47,'DB Country PMI'!$A:$V,MATCH($A$1,'DB Country PMI'!$A$1:$V$1,),)=0,#N/A,VLOOKUP(A47,'DB Country PMI'!$A:$V,MATCH($A$1,'DB Country PMI'!$A$1:$V$1,),))</f>
        <v>56.5</v>
      </c>
      <c r="C47" s="14">
        <f>Table13468113[[#This Row],[PMI]]-B46</f>
        <v>1.1000000000000014</v>
      </c>
    </row>
    <row r="48" spans="1:3" x14ac:dyDescent="0.35">
      <c r="A48" s="8">
        <v>40544</v>
      </c>
      <c r="B48" s="11">
        <f>IF(VLOOKUP(A48,'DB Country PMI'!$A:$V,MATCH($A$1,'DB Country PMI'!$A$1:$V$1,),)=0,#N/A,VLOOKUP(A48,'DB Country PMI'!$A:$V,MATCH($A$1,'DB Country PMI'!$A$1:$V$1,),))</f>
        <v>55.9</v>
      </c>
      <c r="C48" s="14">
        <f>Table13468113[[#This Row],[PMI]]-B47</f>
        <v>-0.60000000000000142</v>
      </c>
    </row>
    <row r="49" spans="1:3" x14ac:dyDescent="0.35">
      <c r="A49" s="8">
        <v>40575</v>
      </c>
      <c r="B49" s="11">
        <f>IF(VLOOKUP(A49,'DB Country PMI'!$A:$V,MATCH($A$1,'DB Country PMI'!$A$1:$V$1,),)=0,#N/A,VLOOKUP(A49,'DB Country PMI'!$A:$V,MATCH($A$1,'DB Country PMI'!$A$1:$V$1,),))</f>
        <v>56.8</v>
      </c>
      <c r="C49" s="14">
        <f>Table13468113[[#This Row],[PMI]]-B48</f>
        <v>0.89999999999999858</v>
      </c>
    </row>
    <row r="50" spans="1:3" x14ac:dyDescent="0.35">
      <c r="A50" s="8">
        <v>40603</v>
      </c>
      <c r="B50" s="11">
        <f>IF(VLOOKUP(A50,'DB Country PMI'!$A:$V,MATCH($A$1,'DB Country PMI'!$A$1:$V$1,),)=0,#N/A,VLOOKUP(A50,'DB Country PMI'!$A:$V,MATCH($A$1,'DB Country PMI'!$A$1:$V$1,),))</f>
        <v>57.2</v>
      </c>
      <c r="C50" s="14">
        <f>Table13468113[[#This Row],[PMI]]-B49</f>
        <v>0.40000000000000568</v>
      </c>
    </row>
    <row r="51" spans="1:3" x14ac:dyDescent="0.35">
      <c r="A51" s="8">
        <v>40634</v>
      </c>
      <c r="B51" s="11">
        <f>IF(VLOOKUP(A51,'DB Country PMI'!$A:$V,MATCH($A$1,'DB Country PMI'!$A$1:$V$1,),)=0,#N/A,VLOOKUP(A51,'DB Country PMI'!$A:$V,MATCH($A$1,'DB Country PMI'!$A$1:$V$1,),))</f>
        <v>56.7</v>
      </c>
      <c r="C51" s="14">
        <f>Table13468113[[#This Row],[PMI]]-B50</f>
        <v>-0.5</v>
      </c>
    </row>
    <row r="52" spans="1:3" x14ac:dyDescent="0.35">
      <c r="A52" s="8">
        <v>40664</v>
      </c>
      <c r="B52" s="11">
        <f>IF(VLOOKUP(A52,'DB Country PMI'!$A:$V,MATCH($A$1,'DB Country PMI'!$A$1:$V$1,),)=0,#N/A,VLOOKUP(A52,'DB Country PMI'!$A:$V,MATCH($A$1,'DB Country PMI'!$A$1:$V$1,),))</f>
        <v>55.4</v>
      </c>
      <c r="C52" s="14">
        <f>Table13468113[[#This Row],[PMI]]-B51</f>
        <v>-1.3000000000000043</v>
      </c>
    </row>
    <row r="53" spans="1:3" x14ac:dyDescent="0.35">
      <c r="A53" s="8">
        <v>40695</v>
      </c>
      <c r="B53" s="11">
        <f>IF(VLOOKUP(A53,'DB Country PMI'!$A:$V,MATCH($A$1,'DB Country PMI'!$A$1:$V$1,),)=0,#N/A,VLOOKUP(A53,'DB Country PMI'!$A:$V,MATCH($A$1,'DB Country PMI'!$A$1:$V$1,),))</f>
        <v>53.7</v>
      </c>
      <c r="C53" s="14">
        <f>Table13468113[[#This Row],[PMI]]-B52</f>
        <v>-1.6999999999999957</v>
      </c>
    </row>
    <row r="54" spans="1:3" x14ac:dyDescent="0.35">
      <c r="A54" s="8">
        <v>40725</v>
      </c>
      <c r="B54" s="11">
        <f>IF(VLOOKUP(A54,'DB Country PMI'!$A:$V,MATCH($A$1,'DB Country PMI'!$A$1:$V$1,),)=0,#N/A,VLOOKUP(A54,'DB Country PMI'!$A:$V,MATCH($A$1,'DB Country PMI'!$A$1:$V$1,),))</f>
        <v>51.6</v>
      </c>
      <c r="C54" s="14">
        <f>Table13468113[[#This Row],[PMI]]-B53</f>
        <v>-2.1000000000000014</v>
      </c>
    </row>
    <row r="55" spans="1:3" x14ac:dyDescent="0.35">
      <c r="A55" s="8">
        <v>40756</v>
      </c>
      <c r="B55" s="11">
        <f>IF(VLOOKUP(A55,'DB Country PMI'!$A:$V,MATCH($A$1,'DB Country PMI'!$A$1:$V$1,),)=0,#N/A,VLOOKUP(A55,'DB Country PMI'!$A:$V,MATCH($A$1,'DB Country PMI'!$A$1:$V$1,),))</f>
        <v>51.5</v>
      </c>
      <c r="C55" s="14">
        <f>Table13468113[[#This Row],[PMI]]-B54</f>
        <v>-0.10000000000000142</v>
      </c>
    </row>
    <row r="56" spans="1:3" x14ac:dyDescent="0.35">
      <c r="A56" s="8">
        <v>40787</v>
      </c>
      <c r="B56" s="11">
        <f>IF(VLOOKUP(A56,'DB Country PMI'!$A:$V,MATCH($A$1,'DB Country PMI'!$A$1:$V$1,),)=0,#N/A,VLOOKUP(A56,'DB Country PMI'!$A:$V,MATCH($A$1,'DB Country PMI'!$A$1:$V$1,),))</f>
        <v>48.8</v>
      </c>
      <c r="C56" s="14">
        <f>Table13468113[[#This Row],[PMI]]-B55</f>
        <v>-2.7000000000000028</v>
      </c>
    </row>
    <row r="57" spans="1:3" x14ac:dyDescent="0.35">
      <c r="A57" s="8">
        <v>40817</v>
      </c>
      <c r="B57" s="11">
        <f>IF(VLOOKUP(A57,'DB Country PMI'!$A:$V,MATCH($A$1,'DB Country PMI'!$A$1:$V$1,),)=0,#N/A,VLOOKUP(A57,'DB Country PMI'!$A:$V,MATCH($A$1,'DB Country PMI'!$A$1:$V$1,),))</f>
        <v>46.4</v>
      </c>
      <c r="C57" s="14">
        <f>Table13468113[[#This Row],[PMI]]-B56</f>
        <v>-2.3999999999999986</v>
      </c>
    </row>
    <row r="58" spans="1:3" x14ac:dyDescent="0.35">
      <c r="A58" s="8">
        <v>40848</v>
      </c>
      <c r="B58" s="11">
        <f>IF(VLOOKUP(A58,'DB Country PMI'!$A:$V,MATCH($A$1,'DB Country PMI'!$A$1:$V$1,),)=0,#N/A,VLOOKUP(A58,'DB Country PMI'!$A:$V,MATCH($A$1,'DB Country PMI'!$A$1:$V$1,),))</f>
        <v>47.5</v>
      </c>
      <c r="C58" s="14">
        <f>Table13468113[[#This Row],[PMI]]-B57</f>
        <v>1.1000000000000014</v>
      </c>
    </row>
    <row r="59" spans="1:3" x14ac:dyDescent="0.35">
      <c r="A59" s="8">
        <v>40878</v>
      </c>
      <c r="B59" s="11">
        <f>IF(VLOOKUP(A59,'DB Country PMI'!$A:$V,MATCH($A$1,'DB Country PMI'!$A$1:$V$1,),)=0,#N/A,VLOOKUP(A59,'DB Country PMI'!$A:$V,MATCH($A$1,'DB Country PMI'!$A$1:$V$1,),))</f>
        <v>48.8</v>
      </c>
      <c r="C59" s="14">
        <f>Table13468113[[#This Row],[PMI]]-B58</f>
        <v>1.2999999999999972</v>
      </c>
    </row>
    <row r="60" spans="1:3" x14ac:dyDescent="0.35">
      <c r="A60" s="8">
        <v>40909</v>
      </c>
      <c r="B60" s="11">
        <f>IF(VLOOKUP(A60,'DB Country PMI'!$A:$V,MATCH($A$1,'DB Country PMI'!$A$1:$V$1,),)=0,#N/A,VLOOKUP(A60,'DB Country PMI'!$A:$V,MATCH($A$1,'DB Country PMI'!$A$1:$V$1,),))</f>
        <v>50.4</v>
      </c>
      <c r="C60" s="14">
        <f>Table13468113[[#This Row],[PMI]]-B59</f>
        <v>1.6000000000000014</v>
      </c>
    </row>
    <row r="61" spans="1:3" x14ac:dyDescent="0.35">
      <c r="A61" s="8">
        <v>40940</v>
      </c>
      <c r="B61" s="11">
        <f>IF(VLOOKUP(A61,'DB Country PMI'!$A:$V,MATCH($A$1,'DB Country PMI'!$A$1:$V$1,),)=0,#N/A,VLOOKUP(A61,'DB Country PMI'!$A:$V,MATCH($A$1,'DB Country PMI'!$A$1:$V$1,),))</f>
        <v>48.8</v>
      </c>
      <c r="C61" s="14">
        <f>Table13468113[[#This Row],[PMI]]-B60</f>
        <v>-1.6000000000000014</v>
      </c>
    </row>
    <row r="62" spans="1:3" x14ac:dyDescent="0.35">
      <c r="A62" s="8">
        <v>40969</v>
      </c>
      <c r="B62" s="11">
        <f>IF(VLOOKUP(A62,'DB Country PMI'!$A:$V,MATCH($A$1,'DB Country PMI'!$A$1:$V$1,),)=0,#N/A,VLOOKUP(A62,'DB Country PMI'!$A:$V,MATCH($A$1,'DB Country PMI'!$A$1:$V$1,),))</f>
        <v>47.9</v>
      </c>
      <c r="C62" s="14">
        <f>Table13468113[[#This Row],[PMI]]-B61</f>
        <v>-0.89999999999999858</v>
      </c>
    </row>
    <row r="63" spans="1:3" x14ac:dyDescent="0.35">
      <c r="A63" s="8">
        <v>41000</v>
      </c>
      <c r="B63" s="11">
        <f>IF(VLOOKUP(A63,'DB Country PMI'!$A:$V,MATCH($A$1,'DB Country PMI'!$A$1:$V$1,),)=0,#N/A,VLOOKUP(A63,'DB Country PMI'!$A:$V,MATCH($A$1,'DB Country PMI'!$A$1:$V$1,),))</f>
        <v>46.9</v>
      </c>
      <c r="C63" s="14">
        <f>Table13468113[[#This Row],[PMI]]-B62</f>
        <v>-1</v>
      </c>
    </row>
    <row r="64" spans="1:3" x14ac:dyDescent="0.35">
      <c r="A64" s="8">
        <v>41030</v>
      </c>
      <c r="B64" s="11">
        <f>IF(VLOOKUP(A64,'DB Country PMI'!$A:$V,MATCH($A$1,'DB Country PMI'!$A$1:$V$1,),)=0,#N/A,VLOOKUP(A64,'DB Country PMI'!$A:$V,MATCH($A$1,'DB Country PMI'!$A$1:$V$1,),))</f>
        <v>46.7</v>
      </c>
      <c r="C64" s="14">
        <f>Table13468113[[#This Row],[PMI]]-B63</f>
        <v>-0.19999999999999574</v>
      </c>
    </row>
    <row r="65" spans="1:3" x14ac:dyDescent="0.35">
      <c r="A65" s="8">
        <v>41061</v>
      </c>
      <c r="B65" s="11">
        <f>IF(VLOOKUP(A65,'DB Country PMI'!$A:$V,MATCH($A$1,'DB Country PMI'!$A$1:$V$1,),)=0,#N/A,VLOOKUP(A65,'DB Country PMI'!$A:$V,MATCH($A$1,'DB Country PMI'!$A$1:$V$1,),))</f>
        <v>47.1</v>
      </c>
      <c r="C65" s="14">
        <f>Table13468113[[#This Row],[PMI]]-B64</f>
        <v>0.39999999999999858</v>
      </c>
    </row>
    <row r="66" spans="1:3" x14ac:dyDescent="0.35">
      <c r="A66" s="8">
        <v>41091</v>
      </c>
      <c r="B66" s="11">
        <f>IF(VLOOKUP(A66,'DB Country PMI'!$A:$V,MATCH($A$1,'DB Country PMI'!$A$1:$V$1,),)=0,#N/A,VLOOKUP(A66,'DB Country PMI'!$A:$V,MATCH($A$1,'DB Country PMI'!$A$1:$V$1,),))</f>
        <v>47.9</v>
      </c>
      <c r="C66" s="14">
        <f>Table13468113[[#This Row],[PMI]]-B65</f>
        <v>0.79999999999999716</v>
      </c>
    </row>
    <row r="67" spans="1:3" x14ac:dyDescent="0.35">
      <c r="A67" s="8">
        <v>41122</v>
      </c>
      <c r="B67" s="11">
        <f>IF(VLOOKUP(A67,'DB Country PMI'!$A:$V,MATCH($A$1,'DB Country PMI'!$A$1:$V$1,),)=0,#N/A,VLOOKUP(A67,'DB Country PMI'!$A:$V,MATCH($A$1,'DB Country PMI'!$A$1:$V$1,),))</f>
        <v>47.2</v>
      </c>
      <c r="C67" s="14">
        <f>Table13468113[[#This Row],[PMI]]-B66</f>
        <v>-0.69999999999999574</v>
      </c>
    </row>
    <row r="68" spans="1:3" x14ac:dyDescent="0.35">
      <c r="A68" s="8">
        <v>41153</v>
      </c>
      <c r="B68" s="11">
        <f>IF(VLOOKUP(A68,'DB Country PMI'!$A:$V,MATCH($A$1,'DB Country PMI'!$A$1:$V$1,),)=0,#N/A,VLOOKUP(A68,'DB Country PMI'!$A:$V,MATCH($A$1,'DB Country PMI'!$A$1:$V$1,),))</f>
        <v>46.1</v>
      </c>
      <c r="C68" s="14">
        <f>Table13468113[[#This Row],[PMI]]-B67</f>
        <v>-1.1000000000000014</v>
      </c>
    </row>
    <row r="69" spans="1:3" x14ac:dyDescent="0.35">
      <c r="A69" s="8">
        <v>41183</v>
      </c>
      <c r="B69" s="11">
        <f>IF(VLOOKUP(A69,'DB Country PMI'!$A:$V,MATCH($A$1,'DB Country PMI'!$A$1:$V$1,),)=0,#N/A,VLOOKUP(A69,'DB Country PMI'!$A:$V,MATCH($A$1,'DB Country PMI'!$A$1:$V$1,),))</f>
        <v>46</v>
      </c>
      <c r="C69" s="14">
        <f>Table13468113[[#This Row],[PMI]]-B68</f>
        <v>-0.10000000000000142</v>
      </c>
    </row>
    <row r="70" spans="1:3" x14ac:dyDescent="0.35">
      <c r="A70" s="8">
        <v>41214</v>
      </c>
      <c r="B70" s="11">
        <f>IF(VLOOKUP(A70,'DB Country PMI'!$A:$V,MATCH($A$1,'DB Country PMI'!$A$1:$V$1,),)=0,#N/A,VLOOKUP(A70,'DB Country PMI'!$A:$V,MATCH($A$1,'DB Country PMI'!$A$1:$V$1,),))</f>
        <v>46.7</v>
      </c>
      <c r="C70" s="14">
        <f>Table13468113[[#This Row],[PMI]]-B69</f>
        <v>0.70000000000000284</v>
      </c>
    </row>
    <row r="71" spans="1:3" x14ac:dyDescent="0.35">
      <c r="A71" s="8">
        <v>41244</v>
      </c>
      <c r="B71" s="11">
        <f>IF(VLOOKUP(A71,'DB Country PMI'!$A:$V,MATCH($A$1,'DB Country PMI'!$A$1:$V$1,),)=0,#N/A,VLOOKUP(A71,'DB Country PMI'!$A:$V,MATCH($A$1,'DB Country PMI'!$A$1:$V$1,),))</f>
        <v>47.2</v>
      </c>
      <c r="C71" s="14">
        <f>Table13468113[[#This Row],[PMI]]-B70</f>
        <v>0.5</v>
      </c>
    </row>
    <row r="72" spans="1:3" x14ac:dyDescent="0.35">
      <c r="A72" s="8">
        <v>41275</v>
      </c>
      <c r="B72" s="11">
        <f>IF(VLOOKUP(A72,'DB Country PMI'!$A:$V,MATCH($A$1,'DB Country PMI'!$A$1:$V$1,),)=0,#N/A,VLOOKUP(A72,'DB Country PMI'!$A:$V,MATCH($A$1,'DB Country PMI'!$A$1:$V$1,),))</f>
        <v>48.6</v>
      </c>
      <c r="C72" s="14">
        <f>Table13468113[[#This Row],[PMI]]-B71</f>
        <v>1.3999999999999986</v>
      </c>
    </row>
    <row r="73" spans="1:3" x14ac:dyDescent="0.35">
      <c r="A73" s="8">
        <v>41306</v>
      </c>
      <c r="B73" s="11">
        <f>IF(VLOOKUP(A73,'DB Country PMI'!$A:$V,MATCH($A$1,'DB Country PMI'!$A$1:$V$1,),)=0,#N/A,VLOOKUP(A73,'DB Country PMI'!$A:$V,MATCH($A$1,'DB Country PMI'!$A$1:$V$1,),))</f>
        <v>47.9</v>
      </c>
      <c r="C73" s="14">
        <f>Table13468113[[#This Row],[PMI]]-B72</f>
        <v>-0.70000000000000284</v>
      </c>
    </row>
    <row r="74" spans="1:3" x14ac:dyDescent="0.35">
      <c r="A74" s="8">
        <v>41334</v>
      </c>
      <c r="B74" s="11">
        <f>IF(VLOOKUP(A74,'DB Country PMI'!$A:$V,MATCH($A$1,'DB Country PMI'!$A$1:$V$1,),)=0,#N/A,VLOOKUP(A74,'DB Country PMI'!$A:$V,MATCH($A$1,'DB Country PMI'!$A$1:$V$1,),))</f>
        <v>46.4</v>
      </c>
      <c r="C74" s="14">
        <f>Table13468113[[#This Row],[PMI]]-B73</f>
        <v>-1.5</v>
      </c>
    </row>
    <row r="75" spans="1:3" x14ac:dyDescent="0.35">
      <c r="A75" s="8">
        <v>41365</v>
      </c>
      <c r="B75" s="11">
        <f>IF(VLOOKUP(A75,'DB Country PMI'!$A:$V,MATCH($A$1,'DB Country PMI'!$A$1:$V$1,),)=0,#N/A,VLOOKUP(A75,'DB Country PMI'!$A:$V,MATCH($A$1,'DB Country PMI'!$A$1:$V$1,),))</f>
        <v>47</v>
      </c>
      <c r="C75" s="14">
        <f>Table13468113[[#This Row],[PMI]]-B74</f>
        <v>0.60000000000000142</v>
      </c>
    </row>
    <row r="76" spans="1:3" x14ac:dyDescent="0.35">
      <c r="A76" s="8">
        <v>41395</v>
      </c>
      <c r="B76" s="11">
        <f>IF(VLOOKUP(A76,'DB Country PMI'!$A:$V,MATCH($A$1,'DB Country PMI'!$A$1:$V$1,),)=0,#N/A,VLOOKUP(A76,'DB Country PMI'!$A:$V,MATCH($A$1,'DB Country PMI'!$A$1:$V$1,),))</f>
        <v>47.2</v>
      </c>
      <c r="C76" s="14">
        <f>Table13468113[[#This Row],[PMI]]-B75</f>
        <v>0.20000000000000284</v>
      </c>
    </row>
    <row r="77" spans="1:3" x14ac:dyDescent="0.35">
      <c r="A77" s="8">
        <v>41426</v>
      </c>
      <c r="B77" s="11">
        <f>IF(VLOOKUP(A77,'DB Country PMI'!$A:$V,MATCH($A$1,'DB Country PMI'!$A$1:$V$1,),)=0,#N/A,VLOOKUP(A77,'DB Country PMI'!$A:$V,MATCH($A$1,'DB Country PMI'!$A$1:$V$1,),))</f>
        <v>48.3</v>
      </c>
      <c r="C77" s="14">
        <f>Table13468113[[#This Row],[PMI]]-B76</f>
        <v>1.0999999999999943</v>
      </c>
    </row>
    <row r="78" spans="1:3" x14ac:dyDescent="0.35">
      <c r="A78" s="8">
        <v>41456</v>
      </c>
      <c r="B78" s="11">
        <f>IF(VLOOKUP(A78,'DB Country PMI'!$A:$V,MATCH($A$1,'DB Country PMI'!$A$1:$V$1,),)=0,#N/A,VLOOKUP(A78,'DB Country PMI'!$A:$V,MATCH($A$1,'DB Country PMI'!$A$1:$V$1,),))</f>
        <v>49.8</v>
      </c>
      <c r="C78" s="14">
        <f>Table13468113[[#This Row],[PMI]]-B77</f>
        <v>1.5</v>
      </c>
    </row>
    <row r="79" spans="1:3" x14ac:dyDescent="0.35">
      <c r="A79" s="8">
        <v>41487</v>
      </c>
      <c r="B79" s="11">
        <f>IF(VLOOKUP(A79,'DB Country PMI'!$A:$V,MATCH($A$1,'DB Country PMI'!$A$1:$V$1,),)=0,#N/A,VLOOKUP(A79,'DB Country PMI'!$A:$V,MATCH($A$1,'DB Country PMI'!$A$1:$V$1,),))</f>
        <v>50.7</v>
      </c>
      <c r="C79" s="14">
        <f>Table13468113[[#This Row],[PMI]]-B78</f>
        <v>0.90000000000000568</v>
      </c>
    </row>
    <row r="80" spans="1:3" x14ac:dyDescent="0.35">
      <c r="A80" s="8">
        <v>41518</v>
      </c>
      <c r="B80" s="11">
        <f>IF(VLOOKUP(A80,'DB Country PMI'!$A:$V,MATCH($A$1,'DB Country PMI'!$A$1:$V$1,),)=0,#N/A,VLOOKUP(A80,'DB Country PMI'!$A:$V,MATCH($A$1,'DB Country PMI'!$A$1:$V$1,),))</f>
        <v>52.2</v>
      </c>
      <c r="C80" s="14">
        <f>Table13468113[[#This Row],[PMI]]-B79</f>
        <v>1.5</v>
      </c>
    </row>
    <row r="81" spans="1:3" x14ac:dyDescent="0.35">
      <c r="A81" s="8">
        <v>41548</v>
      </c>
      <c r="B81" s="11">
        <f>IF(VLOOKUP(A81,'DB Country PMI'!$A:$V,MATCH($A$1,'DB Country PMI'!$A$1:$V$1,),)=0,#N/A,VLOOKUP(A81,'DB Country PMI'!$A:$V,MATCH($A$1,'DB Country PMI'!$A$1:$V$1,),))</f>
        <v>51.6</v>
      </c>
      <c r="C81" s="14">
        <f>Table13468113[[#This Row],[PMI]]-B80</f>
        <v>-0.60000000000000142</v>
      </c>
    </row>
    <row r="82" spans="1:3" x14ac:dyDescent="0.35">
      <c r="A82" s="8">
        <v>41579</v>
      </c>
      <c r="B82" s="11">
        <f>IF(VLOOKUP(A82,'DB Country PMI'!$A:$V,MATCH($A$1,'DB Country PMI'!$A$1:$V$1,),)=0,#N/A,VLOOKUP(A82,'DB Country PMI'!$A:$V,MATCH($A$1,'DB Country PMI'!$A$1:$V$1,),))</f>
        <v>51.2</v>
      </c>
      <c r="C82" s="14">
        <f>Table13468113[[#This Row],[PMI]]-B81</f>
        <v>-0.39999999999999858</v>
      </c>
    </row>
    <row r="83" spans="1:3" x14ac:dyDescent="0.35">
      <c r="A83" s="8">
        <v>41609</v>
      </c>
      <c r="B83" s="11">
        <f>IF(VLOOKUP(A83,'DB Country PMI'!$A:$V,MATCH($A$1,'DB Country PMI'!$A$1:$V$1,),)=0,#N/A,VLOOKUP(A83,'DB Country PMI'!$A:$V,MATCH($A$1,'DB Country PMI'!$A$1:$V$1,),))</f>
        <v>51</v>
      </c>
      <c r="C83" s="14">
        <f>Table13468113[[#This Row],[PMI]]-B82</f>
        <v>-0.20000000000000284</v>
      </c>
    </row>
    <row r="84" spans="1:3" x14ac:dyDescent="0.35">
      <c r="A84" s="8">
        <v>41640</v>
      </c>
      <c r="B84" s="11">
        <f>IF(VLOOKUP(A84,'DB Country PMI'!$A:$V,MATCH($A$1,'DB Country PMI'!$A$1:$V$1,),)=0,#N/A,VLOOKUP(A84,'DB Country PMI'!$A:$V,MATCH($A$1,'DB Country PMI'!$A$1:$V$1,),))</f>
        <v>51.6</v>
      </c>
      <c r="C84" s="14">
        <f>Table13468113[[#This Row],[PMI]]-B83</f>
        <v>0.60000000000000142</v>
      </c>
    </row>
    <row r="85" spans="1:3" x14ac:dyDescent="0.35">
      <c r="A85" s="8">
        <v>41671</v>
      </c>
      <c r="B85" s="11">
        <f>IF(VLOOKUP(A85,'DB Country PMI'!$A:$V,MATCH($A$1,'DB Country PMI'!$A$1:$V$1,),)=0,#N/A,VLOOKUP(A85,'DB Country PMI'!$A:$V,MATCH($A$1,'DB Country PMI'!$A$1:$V$1,),))</f>
        <v>52.6</v>
      </c>
      <c r="C85" s="14">
        <f>Table13468113[[#This Row],[PMI]]-B84</f>
        <v>1</v>
      </c>
    </row>
    <row r="86" spans="1:3" x14ac:dyDescent="0.35">
      <c r="A86" s="8">
        <v>41699</v>
      </c>
      <c r="B86" s="11">
        <f>IF(VLOOKUP(A86,'DB Country PMI'!$A:$V,MATCH($A$1,'DB Country PMI'!$A$1:$V$1,),)=0,#N/A,VLOOKUP(A86,'DB Country PMI'!$A:$V,MATCH($A$1,'DB Country PMI'!$A$1:$V$1,),))</f>
        <v>52.2</v>
      </c>
      <c r="C86" s="14">
        <f>Table13468113[[#This Row],[PMI]]-B85</f>
        <v>-0.39999999999999858</v>
      </c>
    </row>
    <row r="87" spans="1:3" x14ac:dyDescent="0.35">
      <c r="A87" s="8">
        <v>41730</v>
      </c>
      <c r="B87" s="11">
        <f>IF(VLOOKUP(A87,'DB Country PMI'!$A:$V,MATCH($A$1,'DB Country PMI'!$A$1:$V$1,),)=0,#N/A,VLOOKUP(A87,'DB Country PMI'!$A:$V,MATCH($A$1,'DB Country PMI'!$A$1:$V$1,),))</f>
        <v>53.1</v>
      </c>
      <c r="C87" s="14">
        <f>Table13468113[[#This Row],[PMI]]-B86</f>
        <v>0.89999999999999858</v>
      </c>
    </row>
    <row r="88" spans="1:3" x14ac:dyDescent="0.35">
      <c r="A88" s="8">
        <v>41760</v>
      </c>
      <c r="B88" s="11">
        <f>IF(VLOOKUP(A88,'DB Country PMI'!$A:$V,MATCH($A$1,'DB Country PMI'!$A$1:$V$1,),)=0,#N/A,VLOOKUP(A88,'DB Country PMI'!$A:$V,MATCH($A$1,'DB Country PMI'!$A$1:$V$1,),))</f>
        <v>53.2</v>
      </c>
      <c r="C88" s="14">
        <f>Table13468113[[#This Row],[PMI]]-B87</f>
        <v>0.10000000000000142</v>
      </c>
    </row>
    <row r="89" spans="1:3" x14ac:dyDescent="0.35">
      <c r="A89" s="8">
        <v>41791</v>
      </c>
      <c r="B89" s="11">
        <f>IF(VLOOKUP(A89,'DB Country PMI'!$A:$V,MATCH($A$1,'DB Country PMI'!$A$1:$V$1,),)=0,#N/A,VLOOKUP(A89,'DB Country PMI'!$A:$V,MATCH($A$1,'DB Country PMI'!$A$1:$V$1,),))</f>
        <v>52.8</v>
      </c>
      <c r="C89" s="14">
        <f>Table13468113[[#This Row],[PMI]]-B88</f>
        <v>-0.40000000000000568</v>
      </c>
    </row>
    <row r="90" spans="1:3" x14ac:dyDescent="0.35">
      <c r="A90" s="8">
        <v>41821</v>
      </c>
      <c r="B90" s="11">
        <f>IF(VLOOKUP(A90,'DB Country PMI'!$A:$V,MATCH($A$1,'DB Country PMI'!$A$1:$V$1,),)=0,#N/A,VLOOKUP(A90,'DB Country PMI'!$A:$V,MATCH($A$1,'DB Country PMI'!$A$1:$V$1,),))</f>
        <v>54.2</v>
      </c>
      <c r="C90" s="14">
        <f>Table13468113[[#This Row],[PMI]]-B89</f>
        <v>1.4000000000000057</v>
      </c>
    </row>
    <row r="91" spans="1:3" x14ac:dyDescent="0.35">
      <c r="A91" s="8">
        <v>41852</v>
      </c>
      <c r="B91" s="11">
        <f>IF(VLOOKUP(A91,'DB Country PMI'!$A:$V,MATCH($A$1,'DB Country PMI'!$A$1:$V$1,),)=0,#N/A,VLOOKUP(A91,'DB Country PMI'!$A:$V,MATCH($A$1,'DB Country PMI'!$A$1:$V$1,),))</f>
        <v>53.1</v>
      </c>
      <c r="C91" s="14">
        <f>Table13468113[[#This Row],[PMI]]-B90</f>
        <v>-1.1000000000000014</v>
      </c>
    </row>
    <row r="92" spans="1:3" x14ac:dyDescent="0.35">
      <c r="A92" s="8">
        <v>41883</v>
      </c>
      <c r="B92" s="11">
        <f>IF(VLOOKUP(A92,'DB Country PMI'!$A:$V,MATCH($A$1,'DB Country PMI'!$A$1:$V$1,),)=0,#N/A,VLOOKUP(A92,'DB Country PMI'!$A:$V,MATCH($A$1,'DB Country PMI'!$A$1:$V$1,),))</f>
        <v>52.4</v>
      </c>
      <c r="C92" s="14">
        <f>Table13468113[[#This Row],[PMI]]-B91</f>
        <v>-0.70000000000000284</v>
      </c>
    </row>
    <row r="93" spans="1:3" x14ac:dyDescent="0.35">
      <c r="A93" s="8">
        <v>41913</v>
      </c>
      <c r="B93" s="11">
        <f>IF(VLOOKUP(A93,'DB Country PMI'!$A:$V,MATCH($A$1,'DB Country PMI'!$A$1:$V$1,),)=0,#N/A,VLOOKUP(A93,'DB Country PMI'!$A:$V,MATCH($A$1,'DB Country PMI'!$A$1:$V$1,),))</f>
        <v>52.3</v>
      </c>
      <c r="C93" s="14">
        <f>Table13468113[[#This Row],[PMI]]-B92</f>
        <v>-0.10000000000000142</v>
      </c>
    </row>
    <row r="94" spans="1:3" x14ac:dyDescent="0.35">
      <c r="A94" s="8">
        <v>41944</v>
      </c>
      <c r="B94" s="11">
        <f>IF(VLOOKUP(A94,'DB Country PMI'!$A:$V,MATCH($A$1,'DB Country PMI'!$A$1:$V$1,),)=0,#N/A,VLOOKUP(A94,'DB Country PMI'!$A:$V,MATCH($A$1,'DB Country PMI'!$A$1:$V$1,),))</f>
        <v>51.1</v>
      </c>
      <c r="C94" s="14">
        <f>Table13468113[[#This Row],[PMI]]-B93</f>
        <v>-1.1999999999999957</v>
      </c>
    </row>
    <row r="95" spans="1:3" x14ac:dyDescent="0.35">
      <c r="A95" s="8">
        <v>41974</v>
      </c>
      <c r="B95" s="11">
        <f>IF(VLOOKUP(A95,'DB Country PMI'!$A:$V,MATCH($A$1,'DB Country PMI'!$A$1:$V$1,),)=0,#N/A,VLOOKUP(A95,'DB Country PMI'!$A:$V,MATCH($A$1,'DB Country PMI'!$A$1:$V$1,),))</f>
        <v>51.6</v>
      </c>
      <c r="C95" s="14">
        <f>Table13468113[[#This Row],[PMI]]-B94</f>
        <v>0.5</v>
      </c>
    </row>
    <row r="96" spans="1:3" x14ac:dyDescent="0.35">
      <c r="A96" s="8">
        <v>42005</v>
      </c>
      <c r="B96" s="11">
        <f>IF(VLOOKUP(A96,'DB Country PMI'!$A:$V,MATCH($A$1,'DB Country PMI'!$A$1:$V$1,),)=0,#N/A,VLOOKUP(A96,'DB Country PMI'!$A:$V,MATCH($A$1,'DB Country PMI'!$A$1:$V$1,),))</f>
        <v>52.7</v>
      </c>
      <c r="C96" s="14">
        <f>Table13468113[[#This Row],[PMI]]-B95</f>
        <v>1.1000000000000014</v>
      </c>
    </row>
    <row r="97" spans="1:3" x14ac:dyDescent="0.35">
      <c r="A97" s="8">
        <v>42036</v>
      </c>
      <c r="B97" s="11">
        <f>IF(VLOOKUP(A97,'DB Country PMI'!$A:$V,MATCH($A$1,'DB Country PMI'!$A$1:$V$1,),)=0,#N/A,VLOOKUP(A97,'DB Country PMI'!$A:$V,MATCH($A$1,'DB Country PMI'!$A$1:$V$1,),))</f>
        <v>53.7</v>
      </c>
      <c r="C97" s="14">
        <f>Table13468113[[#This Row],[PMI]]-B96</f>
        <v>1</v>
      </c>
    </row>
    <row r="98" spans="1:3" x14ac:dyDescent="0.35">
      <c r="A98" s="8">
        <v>42064</v>
      </c>
      <c r="B98" s="11">
        <f>IF(VLOOKUP(A98,'DB Country PMI'!$A:$V,MATCH($A$1,'DB Country PMI'!$A$1:$V$1,),)=0,#N/A,VLOOKUP(A98,'DB Country PMI'!$A:$V,MATCH($A$1,'DB Country PMI'!$A$1:$V$1,),))</f>
        <v>54.2</v>
      </c>
      <c r="C98" s="14">
        <f>Table13468113[[#This Row],[PMI]]-B97</f>
        <v>0.5</v>
      </c>
    </row>
    <row r="99" spans="1:3" x14ac:dyDescent="0.35">
      <c r="A99" s="8">
        <v>42095</v>
      </c>
      <c r="B99" s="11">
        <f>IF(VLOOKUP(A99,'DB Country PMI'!$A:$V,MATCH($A$1,'DB Country PMI'!$A$1:$V$1,),)=0,#N/A,VLOOKUP(A99,'DB Country PMI'!$A:$V,MATCH($A$1,'DB Country PMI'!$A$1:$V$1,),))</f>
        <v>54.1</v>
      </c>
      <c r="C99" s="14">
        <f>Table13468113[[#This Row],[PMI]]-B98</f>
        <v>-0.10000000000000142</v>
      </c>
    </row>
    <row r="100" spans="1:3" x14ac:dyDescent="0.35">
      <c r="A100" s="8">
        <v>42125</v>
      </c>
      <c r="B100" s="11">
        <f>IF(VLOOKUP(A100,'DB Country PMI'!$A:$V,MATCH($A$1,'DB Country PMI'!$A$1:$V$1,),)=0,#N/A,VLOOKUP(A100,'DB Country PMI'!$A:$V,MATCH($A$1,'DB Country PMI'!$A$1:$V$1,),))</f>
        <v>53.8</v>
      </c>
      <c r="C100" s="14">
        <f>Table13468113[[#This Row],[PMI]]-B99</f>
        <v>-0.30000000000000426</v>
      </c>
    </row>
    <row r="101" spans="1:3" x14ac:dyDescent="0.35">
      <c r="A101" s="8">
        <v>42156</v>
      </c>
      <c r="B101" s="11">
        <f>IF(VLOOKUP(A101,'DB Country PMI'!$A:$V,MATCH($A$1,'DB Country PMI'!$A$1:$V$1,),)=0,#N/A,VLOOKUP(A101,'DB Country PMI'!$A:$V,MATCH($A$1,'DB Country PMI'!$A$1:$V$1,),))</f>
        <v>54.4</v>
      </c>
      <c r="C101" s="14">
        <f>Table13468113[[#This Row],[PMI]]-B100</f>
        <v>0.60000000000000142</v>
      </c>
    </row>
    <row r="102" spans="1:3" x14ac:dyDescent="0.35">
      <c r="A102" s="8">
        <v>42186</v>
      </c>
      <c r="B102" s="11">
        <f>IF(VLOOKUP(A102,'DB Country PMI'!$A:$V,MATCH($A$1,'DB Country PMI'!$A$1:$V$1,),)=0,#N/A,VLOOKUP(A102,'DB Country PMI'!$A:$V,MATCH($A$1,'DB Country PMI'!$A$1:$V$1,),))</f>
        <v>54</v>
      </c>
      <c r="C102" s="14">
        <f>Table13468113[[#This Row],[PMI]]-B101</f>
        <v>-0.39999999999999858</v>
      </c>
    </row>
    <row r="103" spans="1:3" x14ac:dyDescent="0.35">
      <c r="A103" s="8">
        <v>42217</v>
      </c>
      <c r="B103" s="11">
        <f>IF(VLOOKUP(A103,'DB Country PMI'!$A:$V,MATCH($A$1,'DB Country PMI'!$A$1:$V$1,),)=0,#N/A,VLOOKUP(A103,'DB Country PMI'!$A:$V,MATCH($A$1,'DB Country PMI'!$A$1:$V$1,),))</f>
        <v>54.4</v>
      </c>
      <c r="C103" s="14">
        <f>Table13468113[[#This Row],[PMI]]-B102</f>
        <v>0.39999999999999858</v>
      </c>
    </row>
    <row r="104" spans="1:3" x14ac:dyDescent="0.35">
      <c r="A104" s="8">
        <v>42248</v>
      </c>
      <c r="B104" s="11">
        <f>IF(VLOOKUP(A104,'DB Country PMI'!$A:$V,MATCH($A$1,'DB Country PMI'!$A$1:$V$1,),)=0,#N/A,VLOOKUP(A104,'DB Country PMI'!$A:$V,MATCH($A$1,'DB Country PMI'!$A$1:$V$1,),))</f>
        <v>53.7</v>
      </c>
      <c r="C104" s="14">
        <f>Table13468113[[#This Row],[PMI]]-B103</f>
        <v>-0.69999999999999574</v>
      </c>
    </row>
    <row r="105" spans="1:3" x14ac:dyDescent="0.35">
      <c r="A105" s="8">
        <v>42278</v>
      </c>
      <c r="B105" s="11">
        <f>IF(VLOOKUP(A105,'DB Country PMI'!$A:$V,MATCH($A$1,'DB Country PMI'!$A$1:$V$1,),)=0,#N/A,VLOOKUP(A105,'DB Country PMI'!$A:$V,MATCH($A$1,'DB Country PMI'!$A$1:$V$1,),))</f>
        <v>54.1</v>
      </c>
      <c r="C105" s="14">
        <f>Table13468113[[#This Row],[PMI]]-B104</f>
        <v>0.39999999999999858</v>
      </c>
    </row>
    <row r="106" spans="1:3" x14ac:dyDescent="0.35">
      <c r="A106" s="8">
        <v>42309</v>
      </c>
      <c r="B106" s="11">
        <f>IF(VLOOKUP(A106,'DB Country PMI'!$A:$V,MATCH($A$1,'DB Country PMI'!$A$1:$V$1,),)=0,#N/A,VLOOKUP(A106,'DB Country PMI'!$A:$V,MATCH($A$1,'DB Country PMI'!$A$1:$V$1,),))</f>
        <v>54.2</v>
      </c>
      <c r="C106" s="14">
        <f>Table13468113[[#This Row],[PMI]]-B105</f>
        <v>0.10000000000000142</v>
      </c>
    </row>
    <row r="107" spans="1:3" x14ac:dyDescent="0.35">
      <c r="A107" s="8">
        <v>42339</v>
      </c>
      <c r="B107" s="11">
        <f>IF(VLOOKUP(A107,'DB Country PMI'!$A:$V,MATCH($A$1,'DB Country PMI'!$A$1:$V$1,),)=0,#N/A,VLOOKUP(A107,'DB Country PMI'!$A:$V,MATCH($A$1,'DB Country PMI'!$A$1:$V$1,),))</f>
        <v>54.2</v>
      </c>
      <c r="C107" s="14">
        <f>Table13468113[[#This Row],[PMI]]-B106</f>
        <v>0</v>
      </c>
    </row>
    <row r="108" spans="1:3" x14ac:dyDescent="0.35">
      <c r="A108" s="8">
        <v>42370</v>
      </c>
      <c r="B108" s="11">
        <f>IF(VLOOKUP(A108,'DB Country PMI'!$A:$V,MATCH($A$1,'DB Country PMI'!$A$1:$V$1,),)=0,#N/A,VLOOKUP(A108,'DB Country PMI'!$A:$V,MATCH($A$1,'DB Country PMI'!$A$1:$V$1,),))</f>
        <v>53.6</v>
      </c>
      <c r="C108" s="14">
        <f>Table13468113[[#This Row],[PMI]]-B107</f>
        <v>-0.60000000000000142</v>
      </c>
    </row>
    <row r="109" spans="1:3" x14ac:dyDescent="0.35">
      <c r="A109" s="8">
        <v>42401</v>
      </c>
      <c r="B109" s="11">
        <f>IF(VLOOKUP(A109,'DB Country PMI'!$A:$V,MATCH($A$1,'DB Country PMI'!$A$1:$V$1,),)=0,#N/A,VLOOKUP(A109,'DB Country PMI'!$A:$V,MATCH($A$1,'DB Country PMI'!$A$1:$V$1,),))</f>
        <v>53.3</v>
      </c>
      <c r="C109" s="14">
        <f>Table13468113[[#This Row],[PMI]]-B108</f>
        <v>-0.30000000000000426</v>
      </c>
    </row>
    <row r="110" spans="1:3" x14ac:dyDescent="0.35">
      <c r="A110" s="8">
        <v>42430</v>
      </c>
      <c r="B110" s="11">
        <f>IF(VLOOKUP(A110,'DB Country PMI'!$A:$V,MATCH($A$1,'DB Country PMI'!$A$1:$V$1,),)=0,#N/A,VLOOKUP(A110,'DB Country PMI'!$A:$V,MATCH($A$1,'DB Country PMI'!$A$1:$V$1,),))</f>
        <v>53.1</v>
      </c>
      <c r="C110" s="14">
        <f>Table13468113[[#This Row],[PMI]]-B109</f>
        <v>-0.19999999999999574</v>
      </c>
    </row>
    <row r="111" spans="1:3" x14ac:dyDescent="0.35">
      <c r="A111" s="8">
        <v>42461</v>
      </c>
      <c r="B111" s="11">
        <f>IF(VLOOKUP(A111,'DB Country PMI'!$A:$V,MATCH($A$1,'DB Country PMI'!$A$1:$V$1,),)=0,#N/A,VLOOKUP(A111,'DB Country PMI'!$A:$V,MATCH($A$1,'DB Country PMI'!$A$1:$V$1,),))</f>
        <v>53.1</v>
      </c>
      <c r="C111" s="14">
        <f>Table13468113[[#This Row],[PMI]]-B110</f>
        <v>0</v>
      </c>
    </row>
    <row r="112" spans="1:3" x14ac:dyDescent="0.35">
      <c r="A112" s="8">
        <v>42491</v>
      </c>
      <c r="B112" s="11">
        <f>IF(VLOOKUP(A112,'DB Country PMI'!$A:$V,MATCH($A$1,'DB Country PMI'!$A$1:$V$1,),)=0,#N/A,VLOOKUP(A112,'DB Country PMI'!$A:$V,MATCH($A$1,'DB Country PMI'!$A$1:$V$1,),))</f>
        <v>53.3</v>
      </c>
      <c r="C112" s="14">
        <f>Table13468113[[#This Row],[PMI]]-B111</f>
        <v>0.19999999999999574</v>
      </c>
    </row>
    <row r="113" spans="1:3" x14ac:dyDescent="0.35">
      <c r="A113" s="8">
        <v>42522</v>
      </c>
      <c r="B113" s="11">
        <f>IF(VLOOKUP(A113,'DB Country PMI'!$A:$V,MATCH($A$1,'DB Country PMI'!$A$1:$V$1,),)=0,#N/A,VLOOKUP(A113,'DB Country PMI'!$A:$V,MATCH($A$1,'DB Country PMI'!$A$1:$V$1,),))</f>
        <v>52.8</v>
      </c>
      <c r="C113" s="14">
        <f>Table13468113[[#This Row],[PMI]]-B112</f>
        <v>-0.5</v>
      </c>
    </row>
    <row r="114" spans="1:3" x14ac:dyDescent="0.35">
      <c r="A114" s="8">
        <v>42552</v>
      </c>
      <c r="B114" s="11">
        <f>IF(VLOOKUP(A114,'DB Country PMI'!$A:$V,MATCH($A$1,'DB Country PMI'!$A$1:$V$1,),)=0,#N/A,VLOOKUP(A114,'DB Country PMI'!$A:$V,MATCH($A$1,'DB Country PMI'!$A$1:$V$1,),))</f>
        <v>52.9</v>
      </c>
      <c r="C114" s="14">
        <f>Table13468113[[#This Row],[PMI]]-B113</f>
        <v>0.10000000000000142</v>
      </c>
    </row>
    <row r="115" spans="1:3" x14ac:dyDescent="0.35">
      <c r="A115" s="8">
        <v>42583</v>
      </c>
      <c r="B115" s="11">
        <f>IF(VLOOKUP(A115,'DB Country PMI'!$A:$V,MATCH($A$1,'DB Country PMI'!$A$1:$V$1,),)=0,#N/A,VLOOKUP(A115,'DB Country PMI'!$A:$V,MATCH($A$1,'DB Country PMI'!$A$1:$V$1,),))</f>
        <v>52.8</v>
      </c>
      <c r="C115" s="14">
        <f>Table13468113[[#This Row],[PMI]]-B114</f>
        <v>-0.10000000000000142</v>
      </c>
    </row>
    <row r="116" spans="1:3" x14ac:dyDescent="0.35">
      <c r="A116" s="8">
        <v>42614</v>
      </c>
      <c r="B116" s="11">
        <f>IF(VLOOKUP(A116,'DB Country PMI'!$A:$V,MATCH($A$1,'DB Country PMI'!$A$1:$V$1,),)=0,#N/A,VLOOKUP(A116,'DB Country PMI'!$A:$V,MATCH($A$1,'DB Country PMI'!$A$1:$V$1,),))</f>
        <v>52.2</v>
      </c>
      <c r="C116" s="14">
        <f>Table13468113[[#This Row],[PMI]]-B115</f>
        <v>-0.59999999999999432</v>
      </c>
    </row>
    <row r="117" spans="1:3" x14ac:dyDescent="0.35">
      <c r="A117" s="8">
        <v>42644</v>
      </c>
      <c r="B117" s="11">
        <f>IF(VLOOKUP(A117,'DB Country PMI'!$A:$V,MATCH($A$1,'DB Country PMI'!$A$1:$V$1,),)=0,#N/A,VLOOKUP(A117,'DB Country PMI'!$A:$V,MATCH($A$1,'DB Country PMI'!$A$1:$V$1,),))</f>
        <v>52.8</v>
      </c>
      <c r="C117" s="14">
        <f>Table13468113[[#This Row],[PMI]]-B116</f>
        <v>0.59999999999999432</v>
      </c>
    </row>
    <row r="118" spans="1:3" x14ac:dyDescent="0.35">
      <c r="A118" s="8">
        <v>42675</v>
      </c>
      <c r="B118" s="11">
        <f>IF(VLOOKUP(A118,'DB Country PMI'!$A:$V,MATCH($A$1,'DB Country PMI'!$A$1:$V$1,),)=0,#N/A,VLOOKUP(A118,'DB Country PMI'!$A:$V,MATCH($A$1,'DB Country PMI'!$A$1:$V$1,),))</f>
        <v>53.8</v>
      </c>
      <c r="C118" s="14">
        <f>Table13468113[[#This Row],[PMI]]-B117</f>
        <v>1</v>
      </c>
    </row>
    <row r="119" spans="1:3" x14ac:dyDescent="0.35">
      <c r="A119" s="8">
        <v>42705</v>
      </c>
      <c r="B119" s="11">
        <f>IF(VLOOKUP(A119,'DB Country PMI'!$A:$V,MATCH($A$1,'DB Country PMI'!$A$1:$V$1,),)=0,#N/A,VLOOKUP(A119,'DB Country PMI'!$A:$V,MATCH($A$1,'DB Country PMI'!$A$1:$V$1,),))</f>
        <v>53.7</v>
      </c>
      <c r="C119" s="14">
        <f>Table13468113[[#This Row],[PMI]]-B118</f>
        <v>-9.9999999999994316E-2</v>
      </c>
    </row>
    <row r="120" spans="1:3" x14ac:dyDescent="0.35">
      <c r="A120" s="8">
        <v>42736</v>
      </c>
      <c r="B120" s="11">
        <f>IF(VLOOKUP(A120,'DB Country PMI'!$A:$V,MATCH($A$1,'DB Country PMI'!$A$1:$V$1,),)=0,#N/A,VLOOKUP(A120,'DB Country PMI'!$A:$V,MATCH($A$1,'DB Country PMI'!$A$1:$V$1,),))</f>
        <v>53.7</v>
      </c>
      <c r="C120" s="14">
        <f>Table13468113[[#This Row],[PMI]]-B119</f>
        <v>0</v>
      </c>
    </row>
    <row r="121" spans="1:3" x14ac:dyDescent="0.35">
      <c r="A121" s="8">
        <v>42767</v>
      </c>
      <c r="B121" s="11">
        <f>IF(VLOOKUP(A121,'DB Country PMI'!$A:$V,MATCH($A$1,'DB Country PMI'!$A$1:$V$1,),)=0,#N/A,VLOOKUP(A121,'DB Country PMI'!$A:$V,MATCH($A$1,'DB Country PMI'!$A$1:$V$1,),))</f>
        <v>55.5</v>
      </c>
      <c r="C121" s="14">
        <f>Table13468113[[#This Row],[PMI]]-B120</f>
        <v>1.7999999999999972</v>
      </c>
    </row>
    <row r="122" spans="1:3" x14ac:dyDescent="0.35">
      <c r="A122" s="8">
        <v>42795</v>
      </c>
      <c r="B122" s="11">
        <f>IF(VLOOKUP(A122,'DB Country PMI'!$A:$V,MATCH($A$1,'DB Country PMI'!$A$1:$V$1,),)=0,#N/A,VLOOKUP(A122,'DB Country PMI'!$A:$V,MATCH($A$1,'DB Country PMI'!$A$1:$V$1,),))</f>
        <v>56</v>
      </c>
      <c r="C122" s="14">
        <f>Table13468113[[#This Row],[PMI]]-B121</f>
        <v>0.5</v>
      </c>
    </row>
    <row r="123" spans="1:3" x14ac:dyDescent="0.35">
      <c r="A123" s="8">
        <v>42826</v>
      </c>
      <c r="B123" s="11">
        <f>IF(VLOOKUP(A123,'DB Country PMI'!$A:$V,MATCH($A$1,'DB Country PMI'!$A$1:$V$1,),)=0,#N/A,VLOOKUP(A123,'DB Country PMI'!$A:$V,MATCH($A$1,'DB Country PMI'!$A$1:$V$1,),))</f>
        <v>56.4</v>
      </c>
      <c r="C123" s="14">
        <f>Table13468113[[#This Row],[PMI]]-B122</f>
        <v>0.39999999999999858</v>
      </c>
    </row>
    <row r="124" spans="1:3" x14ac:dyDescent="0.35">
      <c r="A124" s="8">
        <v>42856</v>
      </c>
      <c r="B124" s="11">
        <f>IF(VLOOKUP(A124,'DB Country PMI'!$A:$V,MATCH($A$1,'DB Country PMI'!$A$1:$V$1,),)=0,#N/A,VLOOKUP(A124,'DB Country PMI'!$A:$V,MATCH($A$1,'DB Country PMI'!$A$1:$V$1,),))</f>
        <v>56.3</v>
      </c>
      <c r="C124" s="14">
        <f>Table13468113[[#This Row],[PMI]]-B123</f>
        <v>-0.10000000000000142</v>
      </c>
    </row>
    <row r="125" spans="1:3" x14ac:dyDescent="0.35">
      <c r="A125" s="8">
        <v>42887</v>
      </c>
      <c r="B125" s="11">
        <f>IF(VLOOKUP(A125,'DB Country PMI'!$A:$V,MATCH($A$1,'DB Country PMI'!$A$1:$V$1,),)=0,#N/A,VLOOKUP(A125,'DB Country PMI'!$A:$V,MATCH($A$1,'DB Country PMI'!$A$1:$V$1,),))</f>
        <v>55.4</v>
      </c>
      <c r="C125" s="14">
        <f>Table13468113[[#This Row],[PMI]]-B124</f>
        <v>-0.89999999999999858</v>
      </c>
    </row>
    <row r="126" spans="1:3" x14ac:dyDescent="0.35">
      <c r="A126" s="8">
        <v>42917</v>
      </c>
      <c r="B126" s="11">
        <f>IF(VLOOKUP(A126,'DB Country PMI'!$A:$V,MATCH($A$1,'DB Country PMI'!$A$1:$V$1,),)=0,#N/A,VLOOKUP(A126,'DB Country PMI'!$A:$V,MATCH($A$1,'DB Country PMI'!$A$1:$V$1,),))</f>
        <v>55.4</v>
      </c>
      <c r="C126" s="14">
        <f>Table13468113[[#This Row],[PMI]]-B125</f>
        <v>0</v>
      </c>
    </row>
    <row r="127" spans="1:3" x14ac:dyDescent="0.35">
      <c r="A127" s="8">
        <v>42948</v>
      </c>
      <c r="B127" s="11">
        <f>IF(VLOOKUP(A127,'DB Country PMI'!$A:$V,MATCH($A$1,'DB Country PMI'!$A$1:$V$1,),)=0,#N/A,VLOOKUP(A127,'DB Country PMI'!$A:$V,MATCH($A$1,'DB Country PMI'!$A$1:$V$1,),))</f>
        <v>54.7</v>
      </c>
      <c r="C127" s="14">
        <f>Table13468113[[#This Row],[PMI]]-B126</f>
        <v>-0.69999999999999574</v>
      </c>
    </row>
    <row r="128" spans="1:3" x14ac:dyDescent="0.35">
      <c r="A128" s="8">
        <v>42979</v>
      </c>
      <c r="B128" s="11">
        <f>IF(VLOOKUP(A128,'DB Country PMI'!$A:$V,MATCH($A$1,'DB Country PMI'!$A$1:$V$1,),)=0,#N/A,VLOOKUP(A128,'DB Country PMI'!$A:$V,MATCH($A$1,'DB Country PMI'!$A$1:$V$1,),))</f>
        <v>55.8</v>
      </c>
      <c r="C128" s="14">
        <f>Table13468113[[#This Row],[PMI]]-B127</f>
        <v>1.0999999999999943</v>
      </c>
    </row>
    <row r="129" spans="1:3" x14ac:dyDescent="0.35">
      <c r="A129" s="8">
        <v>43009</v>
      </c>
      <c r="B129" s="11">
        <f>IF(VLOOKUP(A129,'DB Country PMI'!$A:$V,MATCH($A$1,'DB Country PMI'!$A$1:$V$1,),)=0,#N/A,VLOOKUP(A129,'DB Country PMI'!$A:$V,MATCH($A$1,'DB Country PMI'!$A$1:$V$1,),))</f>
        <v>55</v>
      </c>
      <c r="C129" s="14">
        <f>Table13468113[[#This Row],[PMI]]-B128</f>
        <v>-0.79999999999999716</v>
      </c>
    </row>
    <row r="130" spans="1:3" x14ac:dyDescent="0.35">
      <c r="A130" s="8">
        <v>43040</v>
      </c>
      <c r="B130" s="11">
        <f>IF(VLOOKUP(A130,'DB Country PMI'!$A:$V,MATCH($A$1,'DB Country PMI'!$A$1:$V$1,),)=0,#N/A,VLOOKUP(A130,'DB Country PMI'!$A:$V,MATCH($A$1,'DB Country PMI'!$A$1:$V$1,),))</f>
        <v>56.2</v>
      </c>
      <c r="C130" s="14">
        <f>Table13468113[[#This Row],[PMI]]-B129</f>
        <v>1.2000000000000028</v>
      </c>
    </row>
    <row r="131" spans="1:3" x14ac:dyDescent="0.35">
      <c r="A131" s="8">
        <v>43070</v>
      </c>
      <c r="B131" s="11">
        <f>IF(VLOOKUP(A131,'DB Country PMI'!$A:$V,MATCH($A$1,'DB Country PMI'!$A$1:$V$1,),)=0,#N/A,VLOOKUP(A131,'DB Country PMI'!$A:$V,MATCH($A$1,'DB Country PMI'!$A$1:$V$1,),))</f>
        <v>56.6</v>
      </c>
      <c r="C131" s="14">
        <f>Table13468113[[#This Row],[PMI]]-B130</f>
        <v>0.39999999999999858</v>
      </c>
    </row>
    <row r="132" spans="1:3" x14ac:dyDescent="0.35">
      <c r="A132" s="8">
        <v>43101</v>
      </c>
      <c r="B132" s="11">
        <f>IF(VLOOKUP(A132,'DB Country PMI'!$A:$V,MATCH($A$1,'DB Country PMI'!$A$1:$V$1,),)=0,#N/A,VLOOKUP(A132,'DB Country PMI'!$A:$V,MATCH($A$1,'DB Country PMI'!$A$1:$V$1,),))</f>
        <v>58</v>
      </c>
      <c r="C132" s="14">
        <f>Table13468113[[#This Row],[PMI]]-B131</f>
        <v>1.3999999999999986</v>
      </c>
    </row>
    <row r="133" spans="1:3" x14ac:dyDescent="0.35">
      <c r="A133" s="8">
        <v>43132</v>
      </c>
      <c r="B133" s="11">
        <f>IF(VLOOKUP(A133,'DB Country PMI'!$A:$V,MATCH($A$1,'DB Country PMI'!$A$1:$V$1,),)=0,#N/A,VLOOKUP(A133,'DB Country PMI'!$A:$V,MATCH($A$1,'DB Country PMI'!$A$1:$V$1,),))</f>
        <v>56.2</v>
      </c>
      <c r="C133" s="14">
        <f>Table13468113[[#This Row],[PMI]]-B132</f>
        <v>-1.7999999999999972</v>
      </c>
    </row>
    <row r="134" spans="1:3" x14ac:dyDescent="0.35">
      <c r="A134" s="8">
        <v>43160</v>
      </c>
      <c r="B134" s="11">
        <f>IF(VLOOKUP(A134,'DB Country PMI'!$A:$V,MATCH($A$1,'DB Country PMI'!$A$1:$V$1,),)=0,#N/A,VLOOKUP(A134,'DB Country PMI'!$A:$V,MATCH($A$1,'DB Country PMI'!$A$1:$V$1,),))</f>
        <v>54.9</v>
      </c>
      <c r="C134" s="14">
        <f>Table13468113[[#This Row],[PMI]]-B133</f>
        <v>-1.3000000000000043</v>
      </c>
    </row>
    <row r="135" spans="1:3" x14ac:dyDescent="0.35">
      <c r="A135" s="8">
        <v>43191</v>
      </c>
      <c r="B135" s="11">
        <f>IF(VLOOKUP(A135,'DB Country PMI'!$A:$V,MATCH($A$1,'DB Country PMI'!$A$1:$V$1,),)=0,#N/A,VLOOKUP(A135,'DB Country PMI'!$A:$V,MATCH($A$1,'DB Country PMI'!$A$1:$V$1,),))</f>
        <v>54.7</v>
      </c>
      <c r="C135" s="14">
        <f>Table13468113[[#This Row],[PMI]]-B134</f>
        <v>-0.19999999999999574</v>
      </c>
    </row>
    <row r="136" spans="1:3" x14ac:dyDescent="0.35">
      <c r="A136" s="8">
        <v>43221</v>
      </c>
      <c r="B136" s="11">
        <f>IF(VLOOKUP(A136,'DB Country PMI'!$A:$V,MATCH($A$1,'DB Country PMI'!$A$1:$V$1,),)=0,#N/A,VLOOKUP(A136,'DB Country PMI'!$A:$V,MATCH($A$1,'DB Country PMI'!$A$1:$V$1,),))</f>
        <v>53.8</v>
      </c>
      <c r="C136" s="14">
        <f>Table13468113[[#This Row],[PMI]]-B135</f>
        <v>-0.90000000000000568</v>
      </c>
    </row>
    <row r="137" spans="1:3" x14ac:dyDescent="0.35">
      <c r="A137" s="8">
        <v>43252</v>
      </c>
      <c r="B137" s="11">
        <f>IF(VLOOKUP(A137,'DB Country PMI'!$A:$V,MATCH($A$1,'DB Country PMI'!$A$1:$V$1,),)=0,#N/A,VLOOKUP(A137,'DB Country PMI'!$A:$V,MATCH($A$1,'DB Country PMI'!$A$1:$V$1,),))</f>
        <v>55.2</v>
      </c>
      <c r="C137" s="14">
        <f>Table13468113[[#This Row],[PMI]]-B136</f>
        <v>1.4000000000000057</v>
      </c>
    </row>
    <row r="138" spans="1:3" x14ac:dyDescent="0.35">
      <c r="A138" s="8">
        <v>43282</v>
      </c>
      <c r="B138" s="11">
        <f>IF(VLOOKUP(A138,'DB Country PMI'!$A:$V,MATCH($A$1,'DB Country PMI'!$A$1:$V$1,),)=0,#N/A,VLOOKUP(A138,'DB Country PMI'!$A:$V,MATCH($A$1,'DB Country PMI'!$A$1:$V$1,),))</f>
        <v>54.2</v>
      </c>
      <c r="C138" s="14">
        <f>Table13468113[[#This Row],[PMI]]-B137</f>
        <v>-1</v>
      </c>
    </row>
    <row r="139" spans="1:3" x14ac:dyDescent="0.35">
      <c r="A139" s="8">
        <v>43313</v>
      </c>
      <c r="B139" s="11">
        <f>IF(VLOOKUP(A139,'DB Country PMI'!$A:$V,MATCH($A$1,'DB Country PMI'!$A$1:$V$1,),)=0,#N/A,VLOOKUP(A139,'DB Country PMI'!$A:$V,MATCH($A$1,'DB Country PMI'!$A$1:$V$1,),))</f>
        <v>54.4</v>
      </c>
      <c r="C139" s="14">
        <f>Table13468113[[#This Row],[PMI]]-B138</f>
        <v>0.19999999999999574</v>
      </c>
    </row>
    <row r="140" spans="1:3" x14ac:dyDescent="0.35">
      <c r="A140" s="8">
        <v>43344</v>
      </c>
      <c r="B140" s="11">
        <f>IF(VLOOKUP(A140,'DB Country PMI'!$A:$V,MATCH($A$1,'DB Country PMI'!$A$1:$V$1,),)=0,#N/A,VLOOKUP(A140,'DB Country PMI'!$A:$V,MATCH($A$1,'DB Country PMI'!$A$1:$V$1,),))</f>
        <v>54.7</v>
      </c>
      <c r="C140" s="14">
        <f>Table13468113[[#This Row],[PMI]]-B139</f>
        <v>0.30000000000000426</v>
      </c>
    </row>
    <row r="141" spans="1:3" x14ac:dyDescent="0.35">
      <c r="A141" s="8">
        <v>43374</v>
      </c>
      <c r="B141" s="11">
        <f>IF(VLOOKUP(A141,'DB Country PMI'!$A:$V,MATCH($A$1,'DB Country PMI'!$A$1:$V$1,),)=0,#N/A,VLOOKUP(A141,'DB Country PMI'!$A:$V,MATCH($A$1,'DB Country PMI'!$A$1:$V$1,),))</f>
        <v>53.7</v>
      </c>
      <c r="C141" s="14">
        <f>Table13468113[[#This Row],[PMI]]-B140</f>
        <v>-1</v>
      </c>
    </row>
    <row r="142" spans="1:3" x14ac:dyDescent="0.35">
      <c r="A142" s="8">
        <v>43405</v>
      </c>
      <c r="B142" s="11">
        <f>IF(VLOOKUP(A142,'DB Country PMI'!$A:$V,MATCH($A$1,'DB Country PMI'!$A$1:$V$1,),)=0,#N/A,VLOOKUP(A142,'DB Country PMI'!$A:$V,MATCH($A$1,'DB Country PMI'!$A$1:$V$1,),))</f>
        <v>53.4</v>
      </c>
      <c r="C142" s="14">
        <f>Table13468113[[#This Row],[PMI]]-B141</f>
        <v>-0.30000000000000426</v>
      </c>
    </row>
    <row r="143" spans="1:3" x14ac:dyDescent="0.35">
      <c r="A143" s="8">
        <v>43435</v>
      </c>
      <c r="B143" s="11">
        <f>IF(VLOOKUP(A143,'DB Country PMI'!$A:$V,MATCH($A$1,'DB Country PMI'!$A$1:$V$1,),)=0,#N/A,VLOOKUP(A143,'DB Country PMI'!$A:$V,MATCH($A$1,'DB Country PMI'!$A$1:$V$1,),))</f>
        <v>51.2</v>
      </c>
      <c r="C143" s="14">
        <f>Table13468113[[#This Row],[PMI]]-B142</f>
        <v>-2.1999999999999957</v>
      </c>
    </row>
    <row r="144" spans="1:3" x14ac:dyDescent="0.35">
      <c r="A144" s="8">
        <v>43466</v>
      </c>
      <c r="B144" s="11">
        <f>IF(VLOOKUP(A144,'DB Country PMI'!$A:$V,MATCH($A$1,'DB Country PMI'!$A$1:$V$1,),)=0,#N/A,VLOOKUP(A144,'DB Country PMI'!$A:$V,MATCH($A$1,'DB Country PMI'!$A$1:$V$1,),))</f>
        <v>51.2</v>
      </c>
      <c r="C144" s="14">
        <f>Table13468113[[#This Row],[PMI]]-B143</f>
        <v>0</v>
      </c>
    </row>
    <row r="145" spans="1:3" x14ac:dyDescent="0.35">
      <c r="A145" s="8">
        <v>43497</v>
      </c>
      <c r="B145" s="11">
        <f>IF(VLOOKUP(A145,'DB Country PMI'!$A:$V,MATCH($A$1,'DB Country PMI'!$A$1:$V$1,),)=0,#N/A,VLOOKUP(A145,'DB Country PMI'!$A:$V,MATCH($A$1,'DB Country PMI'!$A$1:$V$1,),))</f>
        <v>52.8</v>
      </c>
      <c r="C145" s="14">
        <f>Table13468113[[#This Row],[PMI]]-B144</f>
        <v>1.5999999999999943</v>
      </c>
    </row>
    <row r="146" spans="1:3" x14ac:dyDescent="0.35">
      <c r="A146" s="8">
        <v>43525</v>
      </c>
      <c r="B146" s="11">
        <f>IF(VLOOKUP(A146,'DB Country PMI'!$A:$V,MATCH($A$1,'DB Country PMI'!$A$1:$V$1,),)=0,#N/A,VLOOKUP(A146,'DB Country PMI'!$A:$V,MATCH($A$1,'DB Country PMI'!$A$1:$V$1,),))</f>
        <v>53.3</v>
      </c>
      <c r="C146" s="14">
        <f>Table13468113[[#This Row],[PMI]]-B145</f>
        <v>0.5</v>
      </c>
    </row>
    <row r="147" spans="1:3" x14ac:dyDescent="0.35">
      <c r="A147" s="8">
        <v>43556</v>
      </c>
      <c r="B147" s="11">
        <f>IF(VLOOKUP(A147,'DB Country PMI'!$A:$V,MATCH($A$1,'DB Country PMI'!$A$1:$V$1,),)=0,#N/A,VLOOKUP(A147,'DB Country PMI'!$A:$V,MATCH($A$1,'DB Country PMI'!$A$1:$V$1,),))</f>
        <v>52.8</v>
      </c>
      <c r="C147" s="14">
        <f>Table13468113[[#This Row],[PMI]]-B146</f>
        <v>-0.5</v>
      </c>
    </row>
    <row r="148" spans="1:3" x14ac:dyDescent="0.35">
      <c r="A148" s="8">
        <v>43586</v>
      </c>
      <c r="B148" s="11">
        <f>IF(VLOOKUP(A148,'DB Country PMI'!$A:$V,MATCH($A$1,'DB Country PMI'!$A$1:$V$1,),)=0,#N/A,VLOOKUP(A148,'DB Country PMI'!$A:$V,MATCH($A$1,'DB Country PMI'!$A$1:$V$1,),))</f>
        <v>52.9</v>
      </c>
      <c r="C148" s="14">
        <f>Table13468113[[#This Row],[PMI]]-B147</f>
        <v>0.10000000000000142</v>
      </c>
    </row>
    <row r="149" spans="1:3" x14ac:dyDescent="0.35">
      <c r="A149" s="8">
        <v>43617</v>
      </c>
      <c r="B149" s="11">
        <f>IF(VLOOKUP(A149,'DB Country PMI'!$A:$V,MATCH($A$1,'DB Country PMI'!$A$1:$V$1,),)=0,#N/A,VLOOKUP(A149,'DB Country PMI'!$A:$V,MATCH($A$1,'DB Country PMI'!$A$1:$V$1,),))</f>
        <v>53.6</v>
      </c>
      <c r="C149" s="14">
        <f>Table13468113[[#This Row],[PMI]]-B148</f>
        <v>0.70000000000000284</v>
      </c>
    </row>
    <row r="150" spans="1:3" x14ac:dyDescent="0.35">
      <c r="A150" s="8">
        <v>43647</v>
      </c>
      <c r="B150" s="11">
        <f>IF(VLOOKUP(A150,'DB Country PMI'!$A:$V,MATCH($A$1,'DB Country PMI'!$A$1:$V$1,),)=0,#N/A,VLOOKUP(A150,'DB Country PMI'!$A:$V,MATCH($A$1,'DB Country PMI'!$A$1:$V$1,),))</f>
        <v>53.2</v>
      </c>
      <c r="C150" s="14">
        <f>Table13468113[[#This Row],[PMI]]-B149</f>
        <v>-0.39999999999999858</v>
      </c>
    </row>
    <row r="151" spans="1:3" x14ac:dyDescent="0.35">
      <c r="A151" s="8">
        <v>43678</v>
      </c>
      <c r="B151" s="11">
        <f>IF(VLOOKUP(A151,'DB Country PMI'!$A:$V,MATCH($A$1,'DB Country PMI'!$A$1:$V$1,),)=0,#N/A,VLOOKUP(A151,'DB Country PMI'!$A:$V,MATCH($A$1,'DB Country PMI'!$A$1:$V$1,),))</f>
        <v>53.5</v>
      </c>
      <c r="C151" s="14">
        <f>Table13468113[[#This Row],[PMI]]-B150</f>
        <v>0.29999999999999716</v>
      </c>
    </row>
    <row r="152" spans="1:3" x14ac:dyDescent="0.35">
      <c r="A152" s="8">
        <v>43709</v>
      </c>
      <c r="B152" s="11">
        <f>IF(VLOOKUP(A152,'DB Country PMI'!$A:$V,MATCH($A$1,'DB Country PMI'!$A$1:$V$1,),)=0,#N/A,VLOOKUP(A152,'DB Country PMI'!$A:$V,MATCH($A$1,'DB Country PMI'!$A$1:$V$1,),))</f>
        <v>51.6</v>
      </c>
      <c r="C152" s="14">
        <f>Table13468113[[#This Row],[PMI]]-B151</f>
        <v>-1.8999999999999986</v>
      </c>
    </row>
    <row r="153" spans="1:3" x14ac:dyDescent="0.35">
      <c r="A153" s="8">
        <v>43739</v>
      </c>
      <c r="B153" s="11">
        <f>IF(VLOOKUP(A153,'DB Country PMI'!$A:$V,MATCH($A$1,'DB Country PMI'!$A$1:$V$1,),)=0,#N/A,VLOOKUP(A153,'DB Country PMI'!$A:$V,MATCH($A$1,'DB Country PMI'!$A$1:$V$1,),))</f>
        <v>52.2</v>
      </c>
      <c r="C153" s="14">
        <f>Table13468113[[#This Row],[PMI]]-B152</f>
        <v>0.60000000000000142</v>
      </c>
    </row>
    <row r="154" spans="1:3" x14ac:dyDescent="0.35">
      <c r="A154" s="8">
        <v>43770</v>
      </c>
      <c r="B154" s="11">
        <f>IF(VLOOKUP(A154,'DB Country PMI'!$A:$V,MATCH($A$1,'DB Country PMI'!$A$1:$V$1,),)=0,#N/A,VLOOKUP(A154,'DB Country PMI'!$A:$V,MATCH($A$1,'DB Country PMI'!$A$1:$V$1,),))</f>
        <v>51.9</v>
      </c>
      <c r="C154" s="14">
        <f>Table13468113[[#This Row],[PMI]]-B153</f>
        <v>-0.30000000000000426</v>
      </c>
    </row>
    <row r="155" spans="1:3" x14ac:dyDescent="0.35">
      <c r="A155" s="8">
        <v>43800</v>
      </c>
      <c r="B155" s="11">
        <f>IF(VLOOKUP(A155,'DB Country PMI'!$A:$V,MATCH($A$1,'DB Country PMI'!$A$1:$V$1,),)=0,#N/A,VLOOKUP(A155,'DB Country PMI'!$A:$V,MATCH($A$1,'DB Country PMI'!$A$1:$V$1,),))</f>
        <v>52.8</v>
      </c>
      <c r="C155" s="14">
        <f>Table13468113[[#This Row],[PMI]]-B154</f>
        <v>0.89999999999999858</v>
      </c>
    </row>
    <row r="156" spans="1:3" x14ac:dyDescent="0.35">
      <c r="A156" s="8">
        <v>43831</v>
      </c>
      <c r="B156" s="11">
        <f>IF(VLOOKUP(A156,'DB Country PMI'!$A:$V,MATCH($A$1,'DB Country PMI'!$A$1:$V$1,),)=0,#N/A,VLOOKUP(A156,'DB Country PMI'!$A:$V,MATCH($A$1,'DB Country PMI'!$A$1:$V$1,),))</f>
        <v>52.5</v>
      </c>
      <c r="C156" s="14">
        <f>Table13468113[[#This Row],[PMI]]-B155</f>
        <v>-0.29999999999999716</v>
      </c>
    </row>
    <row r="157" spans="1:3" x14ac:dyDescent="0.35">
      <c r="A157" s="8">
        <v>43862</v>
      </c>
      <c r="B157" s="11">
        <f>IF(VLOOKUP(A157,'DB Country PMI'!$A:$V,MATCH($A$1,'DB Country PMI'!$A$1:$V$1,),)=0,#N/A,VLOOKUP(A157,'DB Country PMI'!$A:$V,MATCH($A$1,'DB Country PMI'!$A$1:$V$1,),))</f>
        <v>52.6</v>
      </c>
      <c r="C157" s="14">
        <f>Table13468113[[#This Row],[PMI]]-B156</f>
        <v>0.10000000000000142</v>
      </c>
    </row>
    <row r="158" spans="1:3" x14ac:dyDescent="0.35">
      <c r="A158" s="8">
        <v>43891</v>
      </c>
      <c r="B158" s="11">
        <f>IF(VLOOKUP(A158,'DB Country PMI'!$A:$V,MATCH($A$1,'DB Country PMI'!$A$1:$V$1,),)=0,#N/A,VLOOKUP(A158,'DB Country PMI'!$A:$V,MATCH($A$1,'DB Country PMI'!$A$1:$V$1,),))</f>
        <v>26.4</v>
      </c>
      <c r="C158" s="14">
        <f>Table13468113[[#This Row],[PMI]]-B157</f>
        <v>-26.200000000000003</v>
      </c>
    </row>
    <row r="159" spans="1:3" x14ac:dyDescent="0.35">
      <c r="A159" s="8">
        <v>43922</v>
      </c>
      <c r="B159" s="11">
        <f>IF(VLOOKUP(A159,'DB Country PMI'!$A:$V,MATCH($A$1,'DB Country PMI'!$A$1:$V$1,),)=0,#N/A,VLOOKUP(A159,'DB Country PMI'!$A:$V,MATCH($A$1,'DB Country PMI'!$A$1:$V$1,),))</f>
        <v>12</v>
      </c>
      <c r="C159" s="14">
        <f>Table13468113[[#This Row],[PMI]]-B158</f>
        <v>-14.399999999999999</v>
      </c>
    </row>
    <row r="160" spans="1:3" x14ac:dyDescent="0.35">
      <c r="A160" s="8">
        <v>43952</v>
      </c>
      <c r="B160" s="11">
        <f>IF(VLOOKUP(A160,'DB Country PMI'!$A:$V,MATCH($A$1,'DB Country PMI'!$A$1:$V$1,),)=0,#N/A,VLOOKUP(A160,'DB Country PMI'!$A:$V,MATCH($A$1,'DB Country PMI'!$A$1:$V$1,),))</f>
        <v>30.5</v>
      </c>
      <c r="C160" s="14">
        <f>Table13468113[[#This Row],[PMI]]-B159</f>
        <v>18.5</v>
      </c>
    </row>
    <row r="161" spans="1:3" x14ac:dyDescent="0.35">
      <c r="A161" s="8">
        <v>43983</v>
      </c>
      <c r="B161" s="11">
        <f>IF(VLOOKUP(A161,'DB Country PMI'!$A:$V,MATCH($A$1,'DB Country PMI'!$A$1:$V$1,),)=0,#N/A,VLOOKUP(A161,'DB Country PMI'!$A:$V,MATCH($A$1,'DB Country PMI'!$A$1:$V$1,),))</f>
        <v>48.3</v>
      </c>
      <c r="C161" s="14">
        <f>Table13468113[[#This Row],[PMI]]-B160</f>
        <v>17.799999999999997</v>
      </c>
    </row>
    <row r="162" spans="1:3" x14ac:dyDescent="0.35">
      <c r="A162" s="8">
        <v>44013</v>
      </c>
      <c r="B162" s="11">
        <f>IF(VLOOKUP(A162,'DB Country PMI'!$A:$V,MATCH($A$1,'DB Country PMI'!$A$1:$V$1,),)=0,#N/A,VLOOKUP(A162,'DB Country PMI'!$A:$V,MATCH($A$1,'DB Country PMI'!$A$1:$V$1,),))</f>
        <v>54.7</v>
      </c>
      <c r="C162" s="14">
        <f>Table13468113[[#This Row],[PMI]]-B161</f>
        <v>6.4000000000000057</v>
      </c>
    </row>
    <row r="163" spans="1:3" x14ac:dyDescent="0.35">
      <c r="A163" s="8">
        <v>44044</v>
      </c>
      <c r="B163" s="11">
        <f>IF(VLOOKUP(A163,'DB Country PMI'!$A:$V,MATCH($A$1,'DB Country PMI'!$A$1:$V$1,),)=0,#N/A,VLOOKUP(A163,'DB Country PMI'!$A:$V,MATCH($A$1,'DB Country PMI'!$A$1:$V$1,),))</f>
        <v>50.5</v>
      </c>
      <c r="C163" s="14">
        <f>Table13468113[[#This Row],[PMI]]-B162</f>
        <v>-4.2000000000000028</v>
      </c>
    </row>
    <row r="164" spans="1:3" x14ac:dyDescent="0.35">
      <c r="A164" s="8">
        <v>44075</v>
      </c>
      <c r="B164" s="11">
        <f>IF(VLOOKUP(A164,'DB Country PMI'!$A:$V,MATCH($A$1,'DB Country PMI'!$A$1:$V$1,),)=0,#N/A,VLOOKUP(A164,'DB Country PMI'!$A:$V,MATCH($A$1,'DB Country PMI'!$A$1:$V$1,),))</f>
        <v>48</v>
      </c>
      <c r="C164" s="14">
        <f>Table13468113[[#This Row],[PMI]]-B163</f>
        <v>-2.5</v>
      </c>
    </row>
    <row r="165" spans="1:3" x14ac:dyDescent="0.35">
      <c r="A165" s="8">
        <v>44105</v>
      </c>
      <c r="B165" s="11">
        <f>IF(VLOOKUP(A165,'DB Country PMI'!$A:$V,MATCH($A$1,'DB Country PMI'!$A$1:$V$1,),)=0,#N/A,VLOOKUP(A165,'DB Country PMI'!$A:$V,MATCH($A$1,'DB Country PMI'!$A$1:$V$1,),))</f>
        <v>46.9</v>
      </c>
      <c r="C165" s="14">
        <f>Table13468113[[#This Row],[PMI]]-B164</f>
        <v>-1.1000000000000014</v>
      </c>
    </row>
    <row r="166" spans="1:3" x14ac:dyDescent="0.35">
      <c r="A166" s="8">
        <v>44136</v>
      </c>
      <c r="B166" s="11">
        <f>IF(VLOOKUP(A166,'DB Country PMI'!$A:$V,MATCH($A$1,'DB Country PMI'!$A$1:$V$1,),)=0,#N/A,VLOOKUP(A166,'DB Country PMI'!$A:$V,MATCH($A$1,'DB Country PMI'!$A$1:$V$1,),))</f>
        <v>41.7</v>
      </c>
      <c r="C166" s="14">
        <f>Table13468113[[#This Row],[PMI]]-B165</f>
        <v>-5.1999999999999957</v>
      </c>
    </row>
    <row r="167" spans="1:3" x14ac:dyDescent="0.35">
      <c r="A167" s="8">
        <v>44166</v>
      </c>
      <c r="B167" s="11">
        <f>IF(VLOOKUP(A167,'DB Country PMI'!$A:$V,MATCH($A$1,'DB Country PMI'!$A$1:$V$1,),)=0,#N/A,VLOOKUP(A167,'DB Country PMI'!$A:$V,MATCH($A$1,'DB Country PMI'!$A$1:$V$1,),))</f>
        <v>46.4</v>
      </c>
      <c r="C167" s="14">
        <f>Table13468113[[#This Row],[PMI]]-B166</f>
        <v>4.6999999999999957</v>
      </c>
    </row>
    <row r="168" spans="1:3" x14ac:dyDescent="0.35">
      <c r="A168" s="8">
        <v>44197</v>
      </c>
      <c r="B168" s="11">
        <f>IF(VLOOKUP(A168,'DB Country PMI'!$A:$V,MATCH($A$1,'DB Country PMI'!$A$1:$V$1,),)=0,#N/A,VLOOKUP(A168,'DB Country PMI'!$A:$V,MATCH($A$1,'DB Country PMI'!$A$1:$V$1,),))</f>
        <v>45.4</v>
      </c>
      <c r="C168" s="14">
        <f>Table13468113[[#This Row],[PMI]]-B167</f>
        <v>-1</v>
      </c>
    </row>
    <row r="169" spans="1:3" x14ac:dyDescent="0.35">
      <c r="A169" s="8">
        <v>44228</v>
      </c>
      <c r="B169" s="11">
        <f>IF(VLOOKUP(A169,'DB Country PMI'!$A:$V,MATCH($A$1,'DB Country PMI'!$A$1:$V$1,),)=0,#N/A,VLOOKUP(A169,'DB Country PMI'!$A:$V,MATCH($A$1,'DB Country PMI'!$A$1:$V$1,),))</f>
        <v>45.7</v>
      </c>
      <c r="C169" s="14">
        <f>Table13468113[[#This Row],[PMI]]-B168</f>
        <v>0.30000000000000426</v>
      </c>
    </row>
    <row r="170" spans="1:3" x14ac:dyDescent="0.35">
      <c r="A170" s="8">
        <v>44256</v>
      </c>
      <c r="B170" s="11">
        <f>IF(VLOOKUP(A170,'DB Country PMI'!$A:$V,MATCH($A$1,'DB Country PMI'!$A$1:$V$1,),)=0,#N/A,VLOOKUP(A170,'DB Country PMI'!$A:$V,MATCH($A$1,'DB Country PMI'!$A$1:$V$1,),))</f>
        <v>49.6</v>
      </c>
      <c r="C170" s="14">
        <f>Table13468113[[#This Row],[PMI]]-B169</f>
        <v>3.8999999999999986</v>
      </c>
    </row>
    <row r="171" spans="1:3" x14ac:dyDescent="0.35">
      <c r="A171" s="8">
        <v>44287</v>
      </c>
      <c r="B171" s="11">
        <f>IF(VLOOKUP(A171,'DB Country PMI'!$A:$V,MATCH($A$1,'DB Country PMI'!$A$1:$V$1,),)=0,#N/A,VLOOKUP(A171,'DB Country PMI'!$A:$V,MATCH($A$1,'DB Country PMI'!$A$1:$V$1,),))</f>
        <v>50.5</v>
      </c>
      <c r="C171" s="14">
        <f>Table13468113[[#This Row],[PMI]]-B170</f>
        <v>0.89999999999999858</v>
      </c>
    </row>
    <row r="172" spans="1:3" x14ac:dyDescent="0.35">
      <c r="A172" s="8">
        <v>44317</v>
      </c>
      <c r="B172" s="11">
        <f>IF(VLOOKUP(A172,'DB Country PMI'!$A:$V,MATCH($A$1,'DB Country PMI'!$A$1:$V$1,),)=0,#N/A,VLOOKUP(A172,'DB Country PMI'!$A:$V,MATCH($A$1,'DB Country PMI'!$A$1:$V$1,),))</f>
        <v>55.2</v>
      </c>
      <c r="C172" s="14">
        <f>Table13468113[[#This Row],[PMI]]-B171</f>
        <v>4.7000000000000028</v>
      </c>
    </row>
    <row r="173" spans="1:3" x14ac:dyDescent="0.35">
      <c r="A173" s="8">
        <v>44348</v>
      </c>
      <c r="B173" s="11">
        <f>IF(VLOOKUP(A173,'DB Country PMI'!$A:$V,MATCH($A$1,'DB Country PMI'!$A$1:$V$1,),)=0,#N/A,VLOOKUP(A173,'DB Country PMI'!$A:$V,MATCH($A$1,'DB Country PMI'!$A$1:$V$1,),))</f>
        <v>58.3</v>
      </c>
      <c r="C173" s="14">
        <f>Table13468113[[#This Row],[PMI]]-B172</f>
        <v>3.0999999999999943</v>
      </c>
    </row>
    <row r="174" spans="1:3" x14ac:dyDescent="0.35">
      <c r="A174" s="8">
        <v>44378</v>
      </c>
      <c r="B174" s="11">
        <f>IF(VLOOKUP(A174,'DB Country PMI'!$A:$V,MATCH($A$1,'DB Country PMI'!$A$1:$V$1,),)=0,#N/A,VLOOKUP(A174,'DB Country PMI'!$A:$V,MATCH($A$1,'DB Country PMI'!$A$1:$V$1,),))</f>
        <v>59.8</v>
      </c>
      <c r="C174" s="14">
        <f>Table13468113[[#This Row],[PMI]]-B173</f>
        <v>1.5</v>
      </c>
    </row>
    <row r="175" spans="1:3" x14ac:dyDescent="0.35">
      <c r="A175" s="8">
        <v>44409</v>
      </c>
      <c r="B175" s="11">
        <f>IF(VLOOKUP(A175,'DB Country PMI'!$A:$V,MATCH($A$1,'DB Country PMI'!$A$1:$V$1,),)=0,#N/A,VLOOKUP(A175,'DB Country PMI'!$A:$V,MATCH($A$1,'DB Country PMI'!$A$1:$V$1,),))</f>
        <v>59</v>
      </c>
      <c r="C175" s="14">
        <f>Table13468113[[#This Row],[PMI]]-B174</f>
        <v>-0.79999999999999716</v>
      </c>
    </row>
    <row r="176" spans="1:3" x14ac:dyDescent="0.35">
      <c r="A176" s="8">
        <v>44440</v>
      </c>
      <c r="B176" s="11">
        <f>IF(VLOOKUP(A176,'DB Country PMI'!$A:$V,MATCH($A$1,'DB Country PMI'!$A$1:$V$1,),)=0,#N/A,VLOOKUP(A176,'DB Country PMI'!$A:$V,MATCH($A$1,'DB Country PMI'!$A$1:$V$1,),))</f>
        <v>56.4</v>
      </c>
      <c r="C176" s="14">
        <f>Table13468113[[#This Row],[PMI]]-B175</f>
        <v>-2.6000000000000014</v>
      </c>
    </row>
    <row r="177" spans="1:3" x14ac:dyDescent="0.35">
      <c r="A177" s="8">
        <v>44470</v>
      </c>
      <c r="B177" s="11">
        <f>IF(VLOOKUP(A177,'DB Country PMI'!$A:$V,MATCH($A$1,'DB Country PMI'!$A$1:$V$1,),)=0,#N/A,VLOOKUP(A177,'DB Country PMI'!$A:$V,MATCH($A$1,'DB Country PMI'!$A$1:$V$1,),))</f>
        <v>54.6</v>
      </c>
      <c r="C177" s="14">
        <f>Table13468113[[#This Row],[PMI]]-B176</f>
        <v>-1.7999999999999972</v>
      </c>
    </row>
    <row r="178" spans="1:3" x14ac:dyDescent="0.35">
      <c r="A178" s="8">
        <v>44501</v>
      </c>
      <c r="B178" s="11">
        <f>IF(VLOOKUP(A178,'DB Country PMI'!$A:$V,MATCH($A$1,'DB Country PMI'!$A$1:$V$1,),)=0,#N/A,VLOOKUP(A178,'DB Country PMI'!$A:$V,MATCH($A$1,'DB Country PMI'!$A$1:$V$1,),))</f>
        <v>55.9</v>
      </c>
      <c r="C178" s="14">
        <f>Table13468113[[#This Row],[PMI]]-B177</f>
        <v>1.2999999999999972</v>
      </c>
    </row>
    <row r="179" spans="1:3" x14ac:dyDescent="0.35">
      <c r="A179" s="8">
        <v>44531</v>
      </c>
      <c r="B179" s="11">
        <f>IF(VLOOKUP(A179,'DB Country PMI'!$A:$V,MATCH($A$1,'DB Country PMI'!$A$1:$V$1,),)=0,#N/A,VLOOKUP(A179,'DB Country PMI'!$A:$V,MATCH($A$1,'DB Country PMI'!$A$1:$V$1,),))</f>
        <v>53.1</v>
      </c>
      <c r="C179" s="14">
        <f>Table13468113[[#This Row],[PMI]]-B178</f>
        <v>-2.7999999999999972</v>
      </c>
    </row>
    <row r="180" spans="1:3" x14ac:dyDescent="0.35">
      <c r="A180" s="8">
        <v>44562</v>
      </c>
      <c r="B180" s="11">
        <f>IF(VLOOKUP(A180,'DB Country PMI'!$A:$V,MATCH($A$1,'DB Country PMI'!$A$1:$V$1,),)=0,#N/A,VLOOKUP(A180,'DB Country PMI'!$A:$V,MATCH($A$1,'DB Country PMI'!$A$1:$V$1,),))</f>
        <v>51.1</v>
      </c>
      <c r="C180" s="14">
        <f>Table13468113[[#This Row],[PMI]]-B179</f>
        <v>-2</v>
      </c>
    </row>
    <row r="181" spans="1:3" x14ac:dyDescent="0.35">
      <c r="A181" s="8">
        <v>44593</v>
      </c>
      <c r="B181" s="11">
        <f>IF(VLOOKUP(A181,'DB Country PMI'!$A:$V,MATCH($A$1,'DB Country PMI'!$A$1:$V$1,),)=0,#N/A,VLOOKUP(A181,'DB Country PMI'!$A:$V,MATCH($A$1,'DB Country PMI'!$A$1:$V$1,),))</f>
        <v>55.8</v>
      </c>
      <c r="C181" s="14">
        <f>Table13468113[[#This Row],[PMI]]-B180</f>
        <v>4.6999999999999957</v>
      </c>
    </row>
    <row r="182" spans="1:3" x14ac:dyDescent="0.35">
      <c r="A182" s="8">
        <v>44621</v>
      </c>
      <c r="B182" s="11">
        <f>IF(VLOOKUP(A182,'DB Country PMI'!$A:$V,MATCH($A$1,'DB Country PMI'!$A$1:$V$1,),)=0,#N/A,VLOOKUP(A182,'DB Country PMI'!$A:$V,MATCH($A$1,'DB Country PMI'!$A$1:$V$1,),))</f>
        <v>54.8</v>
      </c>
      <c r="C182" s="14">
        <f>Table13468113[[#This Row],[PMI]]-B181</f>
        <v>-1</v>
      </c>
    </row>
    <row r="183" spans="1:3" x14ac:dyDescent="0.35">
      <c r="A183" s="8">
        <v>44652</v>
      </c>
      <c r="B183" s="11">
        <f>IF(VLOOKUP(A183,'DB Country PMI'!$A:$V,MATCH($A$1,'DB Country PMI'!$A$1:$V$1,),)=0,#N/A,VLOOKUP(A183,'DB Country PMI'!$A:$V,MATCH($A$1,'DB Country PMI'!$A$1:$V$1,),))</f>
        <v>57.7</v>
      </c>
      <c r="C183" s="14">
        <f>Table13468113[[#This Row],[PMI]]-B182</f>
        <v>2.9000000000000057</v>
      </c>
    </row>
    <row r="184" spans="1:3" x14ac:dyDescent="0.35">
      <c r="A184" s="8">
        <v>44682</v>
      </c>
      <c r="B184" s="11">
        <f>IF(VLOOKUP(A184,'DB Country PMI'!$A:$V,MATCH($A$1,'DB Country PMI'!$A$1:$V$1,),)=0,#N/A,VLOOKUP(A184,'DB Country PMI'!$A:$V,MATCH($A$1,'DB Country PMI'!$A$1:$V$1,),))</f>
        <v>56.3</v>
      </c>
      <c r="C184" s="14">
        <f>Table13468113[[#This Row],[PMI]]-B183</f>
        <v>-1.4000000000000057</v>
      </c>
    </row>
    <row r="185" spans="1:3" x14ac:dyDescent="0.35">
      <c r="A185" s="8">
        <v>44713</v>
      </c>
      <c r="B185" s="11">
        <f>IF(VLOOKUP(A185,'DB Country PMI'!$A:$V,MATCH($A$1,'DB Country PMI'!$A$1:$V$1,),)=0,#N/A,VLOOKUP(A185,'DB Country PMI'!$A:$V,MATCH($A$1,'DB Country PMI'!$A$1:$V$1,),))</f>
        <v>52.8</v>
      </c>
      <c r="C185" s="14">
        <f>Table13468113[[#This Row],[PMI]]-B184</f>
        <v>-3.5</v>
      </c>
    </row>
    <row r="186" spans="1:3" x14ac:dyDescent="0.35">
      <c r="A186" s="8">
        <v>44743</v>
      </c>
      <c r="B186" s="11">
        <f>IF(VLOOKUP(A186,'DB Country PMI'!$A:$V,MATCH($A$1,'DB Country PMI'!$A$1:$V$1,),)=0,#N/A,VLOOKUP(A186,'DB Country PMI'!$A:$V,MATCH($A$1,'DB Country PMI'!$A$1:$V$1,),))</f>
        <v>51.2</v>
      </c>
      <c r="C186" s="14">
        <f>Table13468113[[#This Row],[PMI]]-B185</f>
        <v>-1.5999999999999943</v>
      </c>
    </row>
    <row r="187" spans="1:3" x14ac:dyDescent="0.35">
      <c r="A187" s="8">
        <v>44774</v>
      </c>
      <c r="B187" s="11">
        <f>IF(VLOOKUP(A187,'DB Country PMI'!$A:$V,MATCH($A$1,'DB Country PMI'!$A$1:$V$1,),)=0,#N/A,VLOOKUP(A187,'DB Country PMI'!$A:$V,MATCH($A$1,'DB Country PMI'!$A$1:$V$1,),))</f>
        <v>49.8</v>
      </c>
      <c r="C187" s="14">
        <f>Table13468113[[#This Row],[PMI]]-B186</f>
        <v>-1.4000000000000057</v>
      </c>
    </row>
    <row r="188" spans="1:3" x14ac:dyDescent="0.35">
      <c r="A188" s="8">
        <v>44805</v>
      </c>
      <c r="B188" s="11">
        <f>IF(VLOOKUP(A188,'DB Country PMI'!$A:$V,MATCH($A$1,'DB Country PMI'!$A$1:$V$1,),)=0,#N/A,VLOOKUP(A188,'DB Country PMI'!$A:$V,MATCH($A$1,'DB Country PMI'!$A$1:$V$1,),))</f>
        <v>48.8</v>
      </c>
      <c r="C188" s="14">
        <f>Table13468113[[#This Row],[PMI]]-B187</f>
        <v>-1</v>
      </c>
    </row>
    <row r="189" spans="1:3" x14ac:dyDescent="0.35">
      <c r="A189" s="8">
        <v>44835</v>
      </c>
      <c r="B189" s="11">
        <f>IF(VLOOKUP(A189,'DB Country PMI'!$A:$V,MATCH($A$1,'DB Country PMI'!$A$1:$V$1,),)=0,#N/A,VLOOKUP(A189,'DB Country PMI'!$A:$V,MATCH($A$1,'DB Country PMI'!$A$1:$V$1,),))</f>
        <v>48.6</v>
      </c>
      <c r="C189" s="14">
        <f>Table13468113[[#This Row],[PMI]]-B188</f>
        <v>-0.19999999999999574</v>
      </c>
    </row>
    <row r="190" spans="1:3" x14ac:dyDescent="0.35">
      <c r="A190" s="8">
        <v>44866</v>
      </c>
      <c r="B190" s="11">
        <f>IF(VLOOKUP(A190,'DB Country PMI'!$A:$V,MATCH($A$1,'DB Country PMI'!$A$1:$V$1,),)=0,#N/A,VLOOKUP(A190,'DB Country PMI'!$A:$V,MATCH($A$1,'DB Country PMI'!$A$1:$V$1,),))</f>
        <v>48.5</v>
      </c>
      <c r="C190" s="14">
        <f>Table13468113[[#This Row],[PMI]]-B189</f>
        <v>-0.10000000000000142</v>
      </c>
    </row>
  </sheetData>
  <conditionalFormatting sqref="B6:B190">
    <cfRule type="colorScale" priority="3">
      <colorScale>
        <cfvo type="min"/>
        <cfvo type="percentile" val="50"/>
        <cfvo type="max"/>
        <color rgb="FFF8696B"/>
        <color rgb="FFFFEB84"/>
        <color rgb="FF63BE7B"/>
      </colorScale>
    </cfRule>
  </conditionalFormatting>
  <conditionalFormatting sqref="C7:C19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1"/>
  <sheetViews>
    <sheetView zoomScale="160" zoomScaleNormal="160" workbookViewId="0">
      <pane ySplit="5" topLeftCell="A139" activePane="bottomLeft" state="frozen"/>
      <selection pane="bottomLeft" activeCell="A134" sqref="A134: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34</v>
      </c>
      <c r="J1" s="47" t="s">
        <v>62</v>
      </c>
    </row>
    <row r="2" spans="1:10" x14ac:dyDescent="0.35">
      <c r="J2" s="47" t="s">
        <v>65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60.5</v>
      </c>
      <c r="C6" s="11"/>
    </row>
    <row r="7" spans="1:10" x14ac:dyDescent="0.35">
      <c r="A7" s="8">
        <v>40483</v>
      </c>
      <c r="B7" s="11">
        <f>IF(VLOOKUP(A7,'DB Country PMI'!$A:$W,MATCH($A$1,'DB Country PMI'!$A$1:$W$1,),)=0,#N/A,VLOOKUP(A7,'DB Country PMI'!$A:$W,MATCH($A$1,'DB Country PMI'!$A$1:$W$1,),))</f>
        <v>53.2</v>
      </c>
      <c r="C7" s="14">
        <f>Table134681134[[#This Row],[PMI]]-B6</f>
        <v>-7.2999999999999972</v>
      </c>
    </row>
    <row r="8" spans="1:10" x14ac:dyDescent="0.35">
      <c r="A8" s="8">
        <v>40513</v>
      </c>
      <c r="B8" s="11">
        <f>IF(VLOOKUP(A8,'DB Country PMI'!$A:$W,MATCH($A$1,'DB Country PMI'!$A$1:$W$1,),)=0,#N/A,VLOOKUP(A8,'DB Country PMI'!$A:$W,MATCH($A$1,'DB Country PMI'!$A$1:$W$1,),))</f>
        <v>48.1</v>
      </c>
      <c r="C8" s="14">
        <f>Table134681134[[#This Row],[PMI]]-B7</f>
        <v>-5.1000000000000014</v>
      </c>
    </row>
    <row r="9" spans="1:10" x14ac:dyDescent="0.35">
      <c r="A9" s="8">
        <v>40544</v>
      </c>
      <c r="B9" s="11">
        <f>IF(VLOOKUP(A9,'DB Country PMI'!$A:$W,MATCH($A$1,'DB Country PMI'!$A$1:$W$1,),)=0,#N/A,VLOOKUP(A9,'DB Country PMI'!$A:$W,MATCH($A$1,'DB Country PMI'!$A$1:$W$1,),))</f>
        <v>46.5</v>
      </c>
      <c r="C9" s="14">
        <f>Table134681134[[#This Row],[PMI]]-B8</f>
        <v>-1.6000000000000014</v>
      </c>
    </row>
    <row r="10" spans="1:10" x14ac:dyDescent="0.35">
      <c r="A10" s="8">
        <v>40575</v>
      </c>
      <c r="B10" s="11">
        <f>IF(VLOOKUP(A10,'DB Country PMI'!$A:$W,MATCH($A$1,'DB Country PMI'!$A$1:$W$1,),)=0,#N/A,VLOOKUP(A10,'DB Country PMI'!$A:$W,MATCH($A$1,'DB Country PMI'!$A$1:$W$1,),))</f>
        <v>44.1</v>
      </c>
      <c r="C10" s="14">
        <f>Table134681134[[#This Row],[PMI]]-B9</f>
        <v>-2.3999999999999986</v>
      </c>
    </row>
    <row r="11" spans="1:10" x14ac:dyDescent="0.35">
      <c r="A11" s="8">
        <v>40603</v>
      </c>
      <c r="B11" s="11">
        <f>IF(VLOOKUP(A11,'DB Country PMI'!$A:$W,MATCH($A$1,'DB Country PMI'!$A$1:$W$1,),)=0,#N/A,VLOOKUP(A11,'DB Country PMI'!$A:$W,MATCH($A$1,'DB Country PMI'!$A$1:$W$1,),))</f>
        <v>60.2</v>
      </c>
      <c r="C11" s="14">
        <f>Table134681134[[#This Row],[PMI]]-B10</f>
        <v>16.100000000000001</v>
      </c>
    </row>
    <row r="12" spans="1:10" x14ac:dyDescent="0.35">
      <c r="A12" s="8">
        <v>40634</v>
      </c>
      <c r="B12" s="11">
        <f>IF(VLOOKUP(A12,'DB Country PMI'!$A:$W,MATCH($A$1,'DB Country PMI'!$A$1:$W$1,),)=0,#N/A,VLOOKUP(A12,'DB Country PMI'!$A:$W,MATCH($A$1,'DB Country PMI'!$A$1:$W$1,),))</f>
        <v>62.5</v>
      </c>
      <c r="C12" s="14">
        <f>Table134681134[[#This Row],[PMI]]-B11</f>
        <v>2.2999999999999972</v>
      </c>
    </row>
    <row r="13" spans="1:10" x14ac:dyDescent="0.35">
      <c r="A13" s="8">
        <v>40664</v>
      </c>
      <c r="B13" s="11">
        <f>IF(VLOOKUP(A13,'DB Country PMI'!$A:$W,MATCH($A$1,'DB Country PMI'!$A$1:$W$1,),)=0,#N/A,VLOOKUP(A13,'DB Country PMI'!$A:$W,MATCH($A$1,'DB Country PMI'!$A$1:$W$1,),))</f>
        <v>61.9</v>
      </c>
      <c r="C13" s="14">
        <f>Table134681134[[#This Row],[PMI]]-B12</f>
        <v>-0.60000000000000142</v>
      </c>
    </row>
    <row r="14" spans="1:10" x14ac:dyDescent="0.35">
      <c r="A14" s="8">
        <v>40695</v>
      </c>
      <c r="B14" s="11">
        <f>IF(VLOOKUP(A14,'DB Country PMI'!$A:$W,MATCH($A$1,'DB Country PMI'!$A$1:$W$1,),)=0,#N/A,VLOOKUP(A14,'DB Country PMI'!$A:$W,MATCH($A$1,'DB Country PMI'!$A$1:$W$1,),))</f>
        <v>57</v>
      </c>
      <c r="C14" s="14">
        <f>Table134681134[[#This Row],[PMI]]-B13</f>
        <v>-4.8999999999999986</v>
      </c>
    </row>
    <row r="15" spans="1:10" x14ac:dyDescent="0.35">
      <c r="A15" s="8">
        <v>40725</v>
      </c>
      <c r="B15" s="11">
        <f>IF(VLOOKUP(A15,'DB Country PMI'!$A:$W,MATCH($A$1,'DB Country PMI'!$A$1:$W$1,),)=0,#N/A,VLOOKUP(A15,'DB Country PMI'!$A:$W,MATCH($A$1,'DB Country PMI'!$A$1:$W$1,),))</f>
        <v>59.6</v>
      </c>
      <c r="C15" s="14">
        <f>Table134681134[[#This Row],[PMI]]-B14</f>
        <v>2.6000000000000014</v>
      </c>
    </row>
    <row r="16" spans="1:10" x14ac:dyDescent="0.35">
      <c r="A16" s="8">
        <v>40756</v>
      </c>
      <c r="B16" s="11">
        <f>IF(VLOOKUP(A16,'DB Country PMI'!$A:$W,MATCH($A$1,'DB Country PMI'!$A$1:$W$1,),)=0,#N/A,VLOOKUP(A16,'DB Country PMI'!$A:$W,MATCH($A$1,'DB Country PMI'!$A$1:$W$1,),))</f>
        <v>58.1</v>
      </c>
      <c r="C16" s="14">
        <f>Table134681134[[#This Row],[PMI]]-B15</f>
        <v>-1.5</v>
      </c>
    </row>
    <row r="17" spans="1:3" x14ac:dyDescent="0.35">
      <c r="A17" s="8">
        <v>40787</v>
      </c>
      <c r="B17" s="11">
        <f>IF(VLOOKUP(A17,'DB Country PMI'!$A:$W,MATCH($A$1,'DB Country PMI'!$A$1:$W$1,),)=0,#N/A,VLOOKUP(A17,'DB Country PMI'!$A:$W,MATCH($A$1,'DB Country PMI'!$A$1:$W$1,),))</f>
        <v>57</v>
      </c>
      <c r="C17" s="14">
        <f>Table134681134[[#This Row],[PMI]]-B16</f>
        <v>-1.1000000000000014</v>
      </c>
    </row>
    <row r="18" spans="1:3" x14ac:dyDescent="0.35">
      <c r="A18" s="8">
        <v>40817</v>
      </c>
      <c r="B18" s="11">
        <f>IF(VLOOKUP(A18,'DB Country PMI'!$A:$W,MATCH($A$1,'DB Country PMI'!$A$1:$W$1,),)=0,#N/A,VLOOKUP(A18,'DB Country PMI'!$A:$W,MATCH($A$1,'DB Country PMI'!$A$1:$W$1,),))</f>
        <v>54.6</v>
      </c>
      <c r="C18" s="14">
        <f>Table134681134[[#This Row],[PMI]]-B17</f>
        <v>-2.3999999999999986</v>
      </c>
    </row>
    <row r="19" spans="1:3" x14ac:dyDescent="0.35">
      <c r="A19" s="8">
        <v>40848</v>
      </c>
      <c r="B19" s="11">
        <f>IF(VLOOKUP(A19,'DB Country PMI'!$A:$W,MATCH($A$1,'DB Country PMI'!$A$1:$W$1,),)=0,#N/A,VLOOKUP(A19,'DB Country PMI'!$A:$W,MATCH($A$1,'DB Country PMI'!$A$1:$W$1,),))</f>
        <v>49.7</v>
      </c>
      <c r="C19" s="14">
        <f>Table134681134[[#This Row],[PMI]]-B18</f>
        <v>-4.8999999999999986</v>
      </c>
    </row>
    <row r="20" spans="1:3" x14ac:dyDescent="0.35">
      <c r="A20" s="8">
        <v>40878</v>
      </c>
      <c r="B20" s="11">
        <f>IF(VLOOKUP(A20,'DB Country PMI'!$A:$W,MATCH($A$1,'DB Country PMI'!$A$1:$W$1,),)=0,#N/A,VLOOKUP(A20,'DB Country PMI'!$A:$W,MATCH($A$1,'DB Country PMI'!$A$1:$W$1,),))</f>
        <v>56</v>
      </c>
      <c r="C20" s="14">
        <f>Table134681134[[#This Row],[PMI]]-B19</f>
        <v>6.2999999999999972</v>
      </c>
    </row>
    <row r="21" spans="1:3" x14ac:dyDescent="0.35">
      <c r="A21" s="8">
        <v>40909</v>
      </c>
      <c r="B21" s="11">
        <f>IF(VLOOKUP(A21,'DB Country PMI'!$A:$W,MATCH($A$1,'DB Country PMI'!$A$1:$W$1,),)=0,#N/A,VLOOKUP(A21,'DB Country PMI'!$A:$W,MATCH($A$1,'DB Country PMI'!$A$1:$W$1,),))</f>
        <v>52.5</v>
      </c>
      <c r="C21" s="14">
        <f>Table134681134[[#This Row],[PMI]]-B20</f>
        <v>-3.5</v>
      </c>
    </row>
    <row r="22" spans="1:3" x14ac:dyDescent="0.35">
      <c r="A22" s="8">
        <v>40940</v>
      </c>
      <c r="B22" s="11">
        <f>IF(VLOOKUP(A22,'DB Country PMI'!$A:$W,MATCH($A$1,'DB Country PMI'!$A$1:$W$1,),)=0,#N/A,VLOOKUP(A22,'DB Country PMI'!$A:$W,MATCH($A$1,'DB Country PMI'!$A$1:$W$1,),))</f>
        <v>53.9</v>
      </c>
      <c r="C22" s="14">
        <f>Table134681134[[#This Row],[PMI]]-B21</f>
        <v>1.3999999999999986</v>
      </c>
    </row>
    <row r="23" spans="1:3" x14ac:dyDescent="0.35">
      <c r="A23" s="8">
        <v>40969</v>
      </c>
      <c r="B23" s="11">
        <f>IF(VLOOKUP(A23,'DB Country PMI'!$A:$W,MATCH($A$1,'DB Country PMI'!$A$1:$W$1,),)=0,#N/A,VLOOKUP(A23,'DB Country PMI'!$A:$W,MATCH($A$1,'DB Country PMI'!$A$1:$W$1,),))</f>
        <v>53.3</v>
      </c>
      <c r="C23" s="14">
        <f>Table134681134[[#This Row],[PMI]]-B22</f>
        <v>-0.60000000000000142</v>
      </c>
    </row>
    <row r="24" spans="1:3" x14ac:dyDescent="0.35">
      <c r="A24" s="8">
        <v>41000</v>
      </c>
      <c r="B24" s="11">
        <f>IF(VLOOKUP(A24,'DB Country PMI'!$A:$W,MATCH($A$1,'DB Country PMI'!$A$1:$W$1,),)=0,#N/A,VLOOKUP(A24,'DB Country PMI'!$A:$W,MATCH($A$1,'DB Country PMI'!$A$1:$W$1,),))</f>
        <v>54.1</v>
      </c>
      <c r="C24" s="14">
        <f>Table134681134[[#This Row],[PMI]]-B23</f>
        <v>0.80000000000000426</v>
      </c>
    </row>
    <row r="25" spans="1:3" x14ac:dyDescent="0.35">
      <c r="A25" s="8">
        <v>41030</v>
      </c>
      <c r="B25" s="11">
        <f>IF(VLOOKUP(A25,'DB Country PMI'!$A:$W,MATCH($A$1,'DB Country PMI'!$A$1:$W$1,),)=0,#N/A,VLOOKUP(A25,'DB Country PMI'!$A:$W,MATCH($A$1,'DB Country PMI'!$A$1:$W$1,),))</f>
        <v>54.7</v>
      </c>
      <c r="C25" s="14">
        <f>Table134681134[[#This Row],[PMI]]-B24</f>
        <v>0.60000000000000142</v>
      </c>
    </row>
    <row r="26" spans="1:3" x14ac:dyDescent="0.35">
      <c r="A26" s="8">
        <v>41061</v>
      </c>
      <c r="B26" s="11">
        <f>IF(VLOOKUP(A26,'DB Country PMI'!$A:$W,MATCH($A$1,'DB Country PMI'!$A$1:$W$1,),)=0,#N/A,VLOOKUP(A26,'DB Country PMI'!$A:$W,MATCH($A$1,'DB Country PMI'!$A$1:$W$1,),))</f>
        <v>52.3</v>
      </c>
      <c r="C26" s="14">
        <f>Table134681134[[#This Row],[PMI]]-B25</f>
        <v>-2.4000000000000057</v>
      </c>
    </row>
    <row r="27" spans="1:3" x14ac:dyDescent="0.35">
      <c r="A27" s="8">
        <v>41091</v>
      </c>
      <c r="B27" s="11">
        <f>IF(VLOOKUP(A27,'DB Country PMI'!$A:$W,MATCH($A$1,'DB Country PMI'!$A$1:$W$1,),)=0,#N/A,VLOOKUP(A27,'DB Country PMI'!$A:$W,MATCH($A$1,'DB Country PMI'!$A$1:$W$1,),))</f>
        <v>53.1</v>
      </c>
      <c r="C27" s="14">
        <f>Table134681134[[#This Row],[PMI]]-B26</f>
        <v>0.80000000000000426</v>
      </c>
    </row>
    <row r="28" spans="1:3" x14ac:dyDescent="0.35">
      <c r="A28" s="8">
        <v>41122</v>
      </c>
      <c r="B28" s="11">
        <f>IF(VLOOKUP(A28,'DB Country PMI'!$A:$W,MATCH($A$1,'DB Country PMI'!$A$1:$W$1,),)=0,#N/A,VLOOKUP(A28,'DB Country PMI'!$A:$W,MATCH($A$1,'DB Country PMI'!$A$1:$W$1,),))</f>
        <v>52</v>
      </c>
      <c r="C28" s="14">
        <f>Table134681134[[#This Row],[PMI]]-B27</f>
        <v>-1.1000000000000014</v>
      </c>
    </row>
    <row r="29" spans="1:3" x14ac:dyDescent="0.35">
      <c r="A29" s="8">
        <v>41153</v>
      </c>
      <c r="B29" s="11">
        <f>IF(VLOOKUP(A29,'DB Country PMI'!$A:$W,MATCH($A$1,'DB Country PMI'!$A$1:$W$1,),)=0,#N/A,VLOOKUP(A29,'DB Country PMI'!$A:$W,MATCH($A$1,'DB Country PMI'!$A$1:$W$1,),))</f>
        <v>54.3</v>
      </c>
      <c r="C29" s="14">
        <f>Table134681134[[#This Row],[PMI]]-B28</f>
        <v>2.2999999999999972</v>
      </c>
    </row>
    <row r="30" spans="1:3" x14ac:dyDescent="0.35">
      <c r="A30" s="8">
        <v>41183</v>
      </c>
      <c r="B30" s="11">
        <f>IF(VLOOKUP(A30,'DB Country PMI'!$A:$W,MATCH($A$1,'DB Country PMI'!$A$1:$W$1,),)=0,#N/A,VLOOKUP(A30,'DB Country PMI'!$A:$W,MATCH($A$1,'DB Country PMI'!$A$1:$W$1,),))</f>
        <v>53.5</v>
      </c>
      <c r="C30" s="14">
        <f>Table134681134[[#This Row],[PMI]]-B29</f>
        <v>-0.79999999999999716</v>
      </c>
    </row>
    <row r="31" spans="1:3" x14ac:dyDescent="0.35">
      <c r="A31" s="8">
        <v>41214</v>
      </c>
      <c r="B31" s="11">
        <f>IF(VLOOKUP(A31,'DB Country PMI'!$A:$W,MATCH($A$1,'DB Country PMI'!$A$1:$W$1,),)=0,#N/A,VLOOKUP(A31,'DB Country PMI'!$A:$W,MATCH($A$1,'DB Country PMI'!$A$1:$W$1,),))</f>
        <v>52.1</v>
      </c>
      <c r="C31" s="14">
        <f>Table134681134[[#This Row],[PMI]]-B30</f>
        <v>-1.3999999999999986</v>
      </c>
    </row>
    <row r="32" spans="1:3" x14ac:dyDescent="0.35">
      <c r="A32" s="8">
        <v>41244</v>
      </c>
      <c r="B32" s="11">
        <f>IF(VLOOKUP(A32,'DB Country PMI'!$A:$W,MATCH($A$1,'DB Country PMI'!$A$1:$W$1,),)=0,#N/A,VLOOKUP(A32,'DB Country PMI'!$A:$W,MATCH($A$1,'DB Country PMI'!$A$1:$W$1,),))</f>
        <v>53.5</v>
      </c>
      <c r="C32" s="14">
        <f>Table134681134[[#This Row],[PMI]]-B31</f>
        <v>1.3999999999999986</v>
      </c>
    </row>
    <row r="33" spans="1:3" x14ac:dyDescent="0.35">
      <c r="A33" s="8">
        <v>41275</v>
      </c>
      <c r="B33" s="11">
        <f>IF(VLOOKUP(A33,'DB Country PMI'!$A:$W,MATCH($A$1,'DB Country PMI'!$A$1:$W$1,),)=0,#N/A,VLOOKUP(A33,'DB Country PMI'!$A:$W,MATCH($A$1,'DB Country PMI'!$A$1:$W$1,),))</f>
        <v>54</v>
      </c>
      <c r="C33" s="14">
        <f>Table134681134[[#This Row],[PMI]]-B32</f>
        <v>0.5</v>
      </c>
    </row>
    <row r="34" spans="1:3" x14ac:dyDescent="0.35">
      <c r="A34" s="8">
        <v>41306</v>
      </c>
      <c r="B34" s="11">
        <f>IF(VLOOKUP(A34,'DB Country PMI'!$A:$W,MATCH($A$1,'DB Country PMI'!$A$1:$W$1,),)=0,#N/A,VLOOKUP(A34,'DB Country PMI'!$A:$W,MATCH($A$1,'DB Country PMI'!$A$1:$W$1,),))</f>
        <v>52.1</v>
      </c>
      <c r="C34" s="14">
        <f>Table134681134[[#This Row],[PMI]]-B33</f>
        <v>-1.8999999999999986</v>
      </c>
    </row>
    <row r="35" spans="1:3" x14ac:dyDescent="0.35">
      <c r="A35" s="8">
        <v>41334</v>
      </c>
      <c r="B35" s="11">
        <f>IF(VLOOKUP(A35,'DB Country PMI'!$A:$W,MATCH($A$1,'DB Country PMI'!$A$1:$W$1,),)=0,#N/A,VLOOKUP(A35,'DB Country PMI'!$A:$W,MATCH($A$1,'DB Country PMI'!$A$1:$W$1,),))</f>
        <v>54.3</v>
      </c>
      <c r="C35" s="14">
        <f>Table134681134[[#This Row],[PMI]]-B34</f>
        <v>2.1999999999999957</v>
      </c>
    </row>
    <row r="36" spans="1:3" x14ac:dyDescent="0.35">
      <c r="A36" s="8">
        <v>41365</v>
      </c>
      <c r="B36" s="11">
        <f>IF(VLOOKUP(A36,'DB Country PMI'!$A:$W,MATCH($A$1,'DB Country PMI'!$A$1:$W$1,),)=0,#N/A,VLOOKUP(A36,'DB Country PMI'!$A:$W,MATCH($A$1,'DB Country PMI'!$A$1:$W$1,),))</f>
        <v>51.1</v>
      </c>
      <c r="C36" s="14">
        <f>Table134681134[[#This Row],[PMI]]-B35</f>
        <v>-3.1999999999999957</v>
      </c>
    </row>
    <row r="37" spans="1:3" x14ac:dyDescent="0.35">
      <c r="A37" s="8">
        <v>41395</v>
      </c>
      <c r="B37" s="11">
        <f>IF(VLOOKUP(A37,'DB Country PMI'!$A:$W,MATCH($A$1,'DB Country PMI'!$A$1:$W$1,),)=0,#N/A,VLOOKUP(A37,'DB Country PMI'!$A:$W,MATCH($A$1,'DB Country PMI'!$A$1:$W$1,),))</f>
        <v>51.2</v>
      </c>
      <c r="C37" s="14">
        <f>Table134681134[[#This Row],[PMI]]-B36</f>
        <v>0.10000000000000142</v>
      </c>
    </row>
    <row r="38" spans="1:3" x14ac:dyDescent="0.35">
      <c r="A38" s="8">
        <v>41426</v>
      </c>
      <c r="B38" s="11">
        <f>IF(VLOOKUP(A38,'DB Country PMI'!$A:$W,MATCH($A$1,'DB Country PMI'!$A$1:$W$1,),)=0,#N/A,VLOOKUP(A38,'DB Country PMI'!$A:$W,MATCH($A$1,'DB Country PMI'!$A$1:$W$1,),))</f>
        <v>51.3</v>
      </c>
      <c r="C38" s="14">
        <f>Table134681134[[#This Row],[PMI]]-B37</f>
        <v>9.9999999999994316E-2</v>
      </c>
    </row>
    <row r="39" spans="1:3" x14ac:dyDescent="0.35">
      <c r="A39" s="8">
        <v>41456</v>
      </c>
      <c r="B39" s="11">
        <f>IF(VLOOKUP(A39,'DB Country PMI'!$A:$W,MATCH($A$1,'DB Country PMI'!$A$1:$W$1,),)=0,#N/A,VLOOKUP(A39,'DB Country PMI'!$A:$W,MATCH($A$1,'DB Country PMI'!$A$1:$W$1,),))</f>
        <v>51.3</v>
      </c>
      <c r="C39" s="14">
        <f>Table134681134[[#This Row],[PMI]]-B38</f>
        <v>0</v>
      </c>
    </row>
    <row r="40" spans="1:3" x14ac:dyDescent="0.35">
      <c r="A40" s="8">
        <v>41487</v>
      </c>
      <c r="B40" s="11">
        <f>IF(VLOOKUP(A40,'DB Country PMI'!$A:$W,MATCH($A$1,'DB Country PMI'!$A$1:$W$1,),)=0,#N/A,VLOOKUP(A40,'DB Country PMI'!$A:$W,MATCH($A$1,'DB Country PMI'!$A$1:$W$1,),))</f>
        <v>52.8</v>
      </c>
      <c r="C40" s="14">
        <f>Table134681134[[#This Row],[PMI]]-B39</f>
        <v>1.5</v>
      </c>
    </row>
    <row r="41" spans="1:3" x14ac:dyDescent="0.35">
      <c r="A41" s="8">
        <v>41518</v>
      </c>
      <c r="B41" s="11">
        <f>IF(VLOOKUP(A41,'DB Country PMI'!$A:$W,MATCH($A$1,'DB Country PMI'!$A$1:$W$1,),)=0,#N/A,VLOOKUP(A41,'DB Country PMI'!$A:$W,MATCH($A$1,'DB Country PMI'!$A$1:$W$1,),))</f>
        <v>52.4</v>
      </c>
      <c r="C41" s="14">
        <f>Table134681134[[#This Row],[PMI]]-B40</f>
        <v>-0.39999999999999858</v>
      </c>
    </row>
    <row r="42" spans="1:3" x14ac:dyDescent="0.35">
      <c r="A42" s="8">
        <v>41548</v>
      </c>
      <c r="B42" s="11">
        <f>IF(VLOOKUP(A42,'DB Country PMI'!$A:$W,MATCH($A$1,'DB Country PMI'!$A$1:$W$1,),)=0,#N/A,VLOOKUP(A42,'DB Country PMI'!$A:$W,MATCH($A$1,'DB Country PMI'!$A$1:$W$1,),))</f>
        <v>52.6</v>
      </c>
      <c r="C42" s="14">
        <f>Table134681134[[#This Row],[PMI]]-B41</f>
        <v>0.20000000000000284</v>
      </c>
    </row>
    <row r="43" spans="1:3" x14ac:dyDescent="0.35">
      <c r="A43" s="8">
        <v>41579</v>
      </c>
      <c r="B43" s="11">
        <f>IF(VLOOKUP(A43,'DB Country PMI'!$A:$W,MATCH($A$1,'DB Country PMI'!$A$1:$W$1,),)=0,#N/A,VLOOKUP(A43,'DB Country PMI'!$A:$W,MATCH($A$1,'DB Country PMI'!$A$1:$W$1,),))</f>
        <v>52.5</v>
      </c>
      <c r="C43" s="14">
        <f>Table134681134[[#This Row],[PMI]]-B42</f>
        <v>-0.10000000000000142</v>
      </c>
    </row>
    <row r="44" spans="1:3" x14ac:dyDescent="0.35">
      <c r="A44" s="8">
        <v>41609</v>
      </c>
      <c r="B44" s="11">
        <f>IF(VLOOKUP(A44,'DB Country PMI'!$A:$W,MATCH($A$1,'DB Country PMI'!$A$1:$W$1,),)=0,#N/A,VLOOKUP(A44,'DB Country PMI'!$A:$W,MATCH($A$1,'DB Country PMI'!$A$1:$W$1,),))</f>
        <v>51.4</v>
      </c>
      <c r="C44" s="14">
        <f>Table134681134[[#This Row],[PMI]]-B43</f>
        <v>-1.1000000000000014</v>
      </c>
    </row>
    <row r="45" spans="1:3" x14ac:dyDescent="0.35">
      <c r="A45" s="8">
        <v>41640</v>
      </c>
      <c r="B45" s="11">
        <f>IF(VLOOKUP(A45,'DB Country PMI'!$A:$W,MATCH($A$1,'DB Country PMI'!$A$1:$W$1,),)=0,#N/A,VLOOKUP(A45,'DB Country PMI'!$A:$W,MATCH($A$1,'DB Country PMI'!$A$1:$W$1,),))</f>
        <v>50.7</v>
      </c>
      <c r="C45" s="14">
        <f>Table134681134[[#This Row],[PMI]]-B44</f>
        <v>-0.69999999999999574</v>
      </c>
    </row>
    <row r="46" spans="1:3" x14ac:dyDescent="0.35">
      <c r="A46" s="8">
        <v>41671</v>
      </c>
      <c r="B46" s="11">
        <f>IF(VLOOKUP(A46,'DB Country PMI'!$A:$W,MATCH($A$1,'DB Country PMI'!$A$1:$W$1,),)=0,#N/A,VLOOKUP(A46,'DB Country PMI'!$A:$W,MATCH($A$1,'DB Country PMI'!$A$1:$W$1,),))</f>
        <v>51</v>
      </c>
      <c r="C46" s="14">
        <f>Table134681134[[#This Row],[PMI]]-B45</f>
        <v>0.29999999999999716</v>
      </c>
    </row>
    <row r="47" spans="1:3" x14ac:dyDescent="0.35">
      <c r="A47" s="8">
        <v>41699</v>
      </c>
      <c r="B47" s="11">
        <f>IF(VLOOKUP(A47,'DB Country PMI'!$A:$W,MATCH($A$1,'DB Country PMI'!$A$1:$W$1,),)=0,#N/A,VLOOKUP(A47,'DB Country PMI'!$A:$W,MATCH($A$1,'DB Country PMI'!$A$1:$W$1,),))</f>
        <v>51.9</v>
      </c>
      <c r="C47" s="14">
        <f>Table134681134[[#This Row],[PMI]]-B46</f>
        <v>0.89999999999999858</v>
      </c>
    </row>
    <row r="48" spans="1:3" x14ac:dyDescent="0.35">
      <c r="A48" s="8">
        <v>41730</v>
      </c>
      <c r="B48" s="11">
        <f>IF(VLOOKUP(A48,'DB Country PMI'!$A:$W,MATCH($A$1,'DB Country PMI'!$A$1:$W$1,),)=0,#N/A,VLOOKUP(A48,'DB Country PMI'!$A:$W,MATCH($A$1,'DB Country PMI'!$A$1:$W$1,),))</f>
        <v>51.4</v>
      </c>
      <c r="C48" s="14">
        <f>Table134681134[[#This Row],[PMI]]-B47</f>
        <v>-0.5</v>
      </c>
    </row>
    <row r="49" spans="1:3" x14ac:dyDescent="0.35">
      <c r="A49" s="8">
        <v>41760</v>
      </c>
      <c r="B49" s="11">
        <f>IF(VLOOKUP(A49,'DB Country PMI'!$A:$W,MATCH($A$1,'DB Country PMI'!$A$1:$W$1,),)=0,#N/A,VLOOKUP(A49,'DB Country PMI'!$A:$W,MATCH($A$1,'DB Country PMI'!$A$1:$W$1,),))</f>
        <v>50.7</v>
      </c>
      <c r="C49" s="14">
        <f>Table134681134[[#This Row],[PMI]]-B48</f>
        <v>-0.69999999999999574</v>
      </c>
    </row>
    <row r="50" spans="1:3" x14ac:dyDescent="0.35">
      <c r="A50" s="8">
        <v>41791</v>
      </c>
      <c r="B50" s="11">
        <f>IF(VLOOKUP(A50,'DB Country PMI'!$A:$W,MATCH($A$1,'DB Country PMI'!$A$1:$W$1,),)=0,#N/A,VLOOKUP(A50,'DB Country PMI'!$A:$W,MATCH($A$1,'DB Country PMI'!$A$1:$W$1,),))</f>
        <v>53.1</v>
      </c>
      <c r="C50" s="14">
        <f>Table134681134[[#This Row],[PMI]]-B49</f>
        <v>2.3999999999999986</v>
      </c>
    </row>
    <row r="51" spans="1:3" x14ac:dyDescent="0.35">
      <c r="A51" s="8">
        <v>41821</v>
      </c>
      <c r="B51" s="11">
        <f>IF(VLOOKUP(A51,'DB Country PMI'!$A:$W,MATCH($A$1,'DB Country PMI'!$A$1:$W$1,),)=0,#N/A,VLOOKUP(A51,'DB Country PMI'!$A:$W,MATCH($A$1,'DB Country PMI'!$A$1:$W$1,),))</f>
        <v>50</v>
      </c>
      <c r="C51" s="14">
        <f>Table134681134[[#This Row],[PMI]]-B50</f>
        <v>-3.1000000000000014</v>
      </c>
    </row>
    <row r="52" spans="1:3" x14ac:dyDescent="0.35">
      <c r="A52" s="8">
        <v>41852</v>
      </c>
      <c r="B52" s="11">
        <f>IF(VLOOKUP(A52,'DB Country PMI'!$A:$W,MATCH($A$1,'DB Country PMI'!$A$1:$W$1,),)=0,#N/A,VLOOKUP(A52,'DB Country PMI'!$A:$W,MATCH($A$1,'DB Country PMI'!$A$1:$W$1,),))</f>
        <v>54.1</v>
      </c>
      <c r="C52" s="14">
        <f>Table134681134[[#This Row],[PMI]]-B51</f>
        <v>4.1000000000000014</v>
      </c>
    </row>
    <row r="53" spans="1:3" x14ac:dyDescent="0.35">
      <c r="A53" s="8">
        <v>41883</v>
      </c>
      <c r="B53" s="11">
        <f>IF(VLOOKUP(A53,'DB Country PMI'!$A:$W,MATCH($A$1,'DB Country PMI'!$A$1:$W$1,),)=0,#N/A,VLOOKUP(A53,'DB Country PMI'!$A:$W,MATCH($A$1,'DB Country PMI'!$A$1:$W$1,),))</f>
        <v>53.5</v>
      </c>
      <c r="C53" s="14">
        <f>Table134681134[[#This Row],[PMI]]-B52</f>
        <v>-0.60000000000000142</v>
      </c>
    </row>
    <row r="54" spans="1:3" x14ac:dyDescent="0.35">
      <c r="A54" s="8">
        <v>41913</v>
      </c>
      <c r="B54" s="11">
        <f>IF(VLOOKUP(A54,'DB Country PMI'!$A:$W,MATCH($A$1,'DB Country PMI'!$A$1:$W$1,),)=0,#N/A,VLOOKUP(A54,'DB Country PMI'!$A:$W,MATCH($A$1,'DB Country PMI'!$A$1:$W$1,),))</f>
        <v>52.9</v>
      </c>
      <c r="C54" s="14">
        <f>Table134681134[[#This Row],[PMI]]-B53</f>
        <v>-0.60000000000000142</v>
      </c>
    </row>
    <row r="55" spans="1:3" x14ac:dyDescent="0.35">
      <c r="A55" s="8">
        <v>41944</v>
      </c>
      <c r="B55" s="11">
        <f>IF(VLOOKUP(A55,'DB Country PMI'!$A:$W,MATCH($A$1,'DB Country PMI'!$A$1:$W$1,),)=0,#N/A,VLOOKUP(A55,'DB Country PMI'!$A:$W,MATCH($A$1,'DB Country PMI'!$A$1:$W$1,),))</f>
        <v>53</v>
      </c>
      <c r="C55" s="14">
        <f>Table134681134[[#This Row],[PMI]]-B54</f>
        <v>0.10000000000000142</v>
      </c>
    </row>
    <row r="56" spans="1:3" x14ac:dyDescent="0.35">
      <c r="A56" s="8">
        <v>41974</v>
      </c>
      <c r="B56" s="11">
        <f>IF(VLOOKUP(A56,'DB Country PMI'!$A:$W,MATCH($A$1,'DB Country PMI'!$A$1:$W$1,),)=0,#N/A,VLOOKUP(A56,'DB Country PMI'!$A:$W,MATCH($A$1,'DB Country PMI'!$A$1:$W$1,),))</f>
        <v>53.4</v>
      </c>
      <c r="C56" s="14">
        <f>Table134681134[[#This Row],[PMI]]-B55</f>
        <v>0.39999999999999858</v>
      </c>
    </row>
    <row r="57" spans="1:3" x14ac:dyDescent="0.35">
      <c r="A57" s="8">
        <v>42005</v>
      </c>
      <c r="B57" s="11">
        <f>IF(VLOOKUP(A57,'DB Country PMI'!$A:$W,MATCH($A$1,'DB Country PMI'!$A$1:$W$1,),)=0,#N/A,VLOOKUP(A57,'DB Country PMI'!$A:$W,MATCH($A$1,'DB Country PMI'!$A$1:$W$1,),))</f>
        <v>51.8</v>
      </c>
      <c r="C57" s="14">
        <f>Table134681134[[#This Row],[PMI]]-B56</f>
        <v>-1.6000000000000014</v>
      </c>
    </row>
    <row r="58" spans="1:3" x14ac:dyDescent="0.35">
      <c r="A58" s="8">
        <v>42036</v>
      </c>
      <c r="B58" s="11">
        <f>IF(VLOOKUP(A58,'DB Country PMI'!$A:$W,MATCH($A$1,'DB Country PMI'!$A$1:$W$1,),)=0,#N/A,VLOOKUP(A58,'DB Country PMI'!$A:$W,MATCH($A$1,'DB Country PMI'!$A$1:$W$1,),))</f>
        <v>52</v>
      </c>
      <c r="C58" s="14">
        <f>Table134681134[[#This Row],[PMI]]-B57</f>
        <v>0.20000000000000284</v>
      </c>
    </row>
    <row r="59" spans="1:3" x14ac:dyDescent="0.35">
      <c r="A59" s="8">
        <v>42064</v>
      </c>
      <c r="B59" s="11">
        <f>IF(VLOOKUP(A59,'DB Country PMI'!$A:$W,MATCH($A$1,'DB Country PMI'!$A$1:$W$1,),)=0,#N/A,VLOOKUP(A59,'DB Country PMI'!$A:$W,MATCH($A$1,'DB Country PMI'!$A$1:$W$1,),))</f>
        <v>52.3</v>
      </c>
      <c r="C59" s="14">
        <f>Table134681134[[#This Row],[PMI]]-B58</f>
        <v>0.29999999999999716</v>
      </c>
    </row>
    <row r="60" spans="1:3" x14ac:dyDescent="0.35">
      <c r="A60" s="8">
        <v>42095</v>
      </c>
      <c r="B60" s="11">
        <f>IF(VLOOKUP(A60,'DB Country PMI'!$A:$W,MATCH($A$1,'DB Country PMI'!$A$1:$W$1,),)=0,#N/A,VLOOKUP(A60,'DB Country PMI'!$A:$W,MATCH($A$1,'DB Country PMI'!$A$1:$W$1,),))</f>
        <v>52.9</v>
      </c>
      <c r="C60" s="14">
        <f>Table134681134[[#This Row],[PMI]]-B59</f>
        <v>0.60000000000000142</v>
      </c>
    </row>
    <row r="61" spans="1:3" x14ac:dyDescent="0.35">
      <c r="A61" s="8">
        <v>42125</v>
      </c>
      <c r="B61" s="11">
        <f>IF(VLOOKUP(A61,'DB Country PMI'!$A:$W,MATCH($A$1,'DB Country PMI'!$A$1:$W$1,),)=0,#N/A,VLOOKUP(A61,'DB Country PMI'!$A:$W,MATCH($A$1,'DB Country PMI'!$A$1:$W$1,),))</f>
        <v>53.5</v>
      </c>
      <c r="C61" s="14">
        <f>Table134681134[[#This Row],[PMI]]-B60</f>
        <v>0.60000000000000142</v>
      </c>
    </row>
    <row r="62" spans="1:3" x14ac:dyDescent="0.35">
      <c r="A62" s="8">
        <v>42156</v>
      </c>
      <c r="B62" s="11">
        <f>IF(VLOOKUP(A62,'DB Country PMI'!$A:$W,MATCH($A$1,'DB Country PMI'!$A$1:$W$1,),)=0,#N/A,VLOOKUP(A62,'DB Country PMI'!$A:$W,MATCH($A$1,'DB Country PMI'!$A$1:$W$1,),))</f>
        <v>51.8</v>
      </c>
      <c r="C62" s="14">
        <f>Table134681134[[#This Row],[PMI]]-B61</f>
        <v>-1.7000000000000028</v>
      </c>
    </row>
    <row r="63" spans="1:3" x14ac:dyDescent="0.35">
      <c r="A63" s="8">
        <v>42186</v>
      </c>
      <c r="B63" s="11">
        <f>IF(VLOOKUP(A63,'DB Country PMI'!$A:$W,MATCH($A$1,'DB Country PMI'!$A$1:$W$1,),)=0,#N/A,VLOOKUP(A63,'DB Country PMI'!$A:$W,MATCH($A$1,'DB Country PMI'!$A$1:$W$1,),))</f>
        <v>53.8</v>
      </c>
      <c r="C63" s="14">
        <f>Table134681134[[#This Row],[PMI]]-B62</f>
        <v>2</v>
      </c>
    </row>
    <row r="64" spans="1:3" x14ac:dyDescent="0.35">
      <c r="A64" s="8">
        <v>42217</v>
      </c>
      <c r="B64" s="11">
        <f>IF(VLOOKUP(A64,'DB Country PMI'!$A:$W,MATCH($A$1,'DB Country PMI'!$A$1:$W$1,),)=0,#N/A,VLOOKUP(A64,'DB Country PMI'!$A:$W,MATCH($A$1,'DB Country PMI'!$A$1:$W$1,),))</f>
        <v>51.5</v>
      </c>
      <c r="C64" s="14">
        <f>Table134681134[[#This Row],[PMI]]-B63</f>
        <v>-2.2999999999999972</v>
      </c>
    </row>
    <row r="65" spans="1:3" x14ac:dyDescent="0.35">
      <c r="A65" s="8">
        <v>42248</v>
      </c>
      <c r="B65" s="11">
        <f>IF(VLOOKUP(A65,'DB Country PMI'!$A:$W,MATCH($A$1,'DB Country PMI'!$A$1:$W$1,),)=0,#N/A,VLOOKUP(A65,'DB Country PMI'!$A:$W,MATCH($A$1,'DB Country PMI'!$A$1:$W$1,),))</f>
        <v>50.5</v>
      </c>
      <c r="C65" s="14">
        <f>Table134681134[[#This Row],[PMI]]-B64</f>
        <v>-1</v>
      </c>
    </row>
    <row r="66" spans="1:3" x14ac:dyDescent="0.35">
      <c r="A66" s="8">
        <v>42278</v>
      </c>
      <c r="B66" s="11">
        <f>IF(VLOOKUP(A66,'DB Country PMI'!$A:$W,MATCH($A$1,'DB Country PMI'!$A$1:$W$1,),)=0,#N/A,VLOOKUP(A66,'DB Country PMI'!$A:$W,MATCH($A$1,'DB Country PMI'!$A$1:$W$1,),))</f>
        <v>52</v>
      </c>
      <c r="C66" s="14">
        <f>Table134681134[[#This Row],[PMI]]-B65</f>
        <v>1.5</v>
      </c>
    </row>
    <row r="67" spans="1:3" x14ac:dyDescent="0.35">
      <c r="A67" s="8">
        <v>42309</v>
      </c>
      <c r="B67" s="11">
        <f>IF(VLOOKUP(A67,'DB Country PMI'!$A:$W,MATCH($A$1,'DB Country PMI'!$A$1:$W$1,),)=0,#N/A,VLOOKUP(A67,'DB Country PMI'!$A:$W,MATCH($A$1,'DB Country PMI'!$A$1:$W$1,),))</f>
        <v>51.2</v>
      </c>
      <c r="C67" s="14">
        <f>Table134681134[[#This Row],[PMI]]-B66</f>
        <v>-0.79999999999999716</v>
      </c>
    </row>
    <row r="68" spans="1:3" x14ac:dyDescent="0.35">
      <c r="A68" s="8">
        <v>42339</v>
      </c>
      <c r="B68" s="11">
        <f>IF(VLOOKUP(A68,'DB Country PMI'!$A:$W,MATCH($A$1,'DB Country PMI'!$A$1:$W$1,),)=0,#N/A,VLOOKUP(A68,'DB Country PMI'!$A:$W,MATCH($A$1,'DB Country PMI'!$A$1:$W$1,),))</f>
        <v>50.2</v>
      </c>
      <c r="C68" s="14">
        <f>Table134681134[[#This Row],[PMI]]-B67</f>
        <v>-1</v>
      </c>
    </row>
    <row r="69" spans="1:3" x14ac:dyDescent="0.35">
      <c r="A69" s="8">
        <v>42370</v>
      </c>
      <c r="B69" s="11">
        <f>IF(VLOOKUP(A69,'DB Country PMI'!$A:$W,MATCH($A$1,'DB Country PMI'!$A$1:$W$1,),)=0,#N/A,VLOOKUP(A69,'DB Country PMI'!$A:$W,MATCH($A$1,'DB Country PMI'!$A$1:$W$1,),))</f>
        <v>52.4</v>
      </c>
      <c r="C69" s="14">
        <f>Table134681134[[#This Row],[PMI]]-B68</f>
        <v>2.1999999999999957</v>
      </c>
    </row>
    <row r="70" spans="1:3" x14ac:dyDescent="0.35">
      <c r="A70" s="8">
        <v>42401</v>
      </c>
      <c r="B70" s="11">
        <f>IF(VLOOKUP(A70,'DB Country PMI'!$A:$W,MATCH($A$1,'DB Country PMI'!$A$1:$W$1,),)=0,#N/A,VLOOKUP(A70,'DB Country PMI'!$A:$W,MATCH($A$1,'DB Country PMI'!$A$1:$W$1,),))</f>
        <v>51.2</v>
      </c>
      <c r="C70" s="14">
        <f>Table134681134[[#This Row],[PMI]]-B69</f>
        <v>-1.1999999999999957</v>
      </c>
    </row>
    <row r="71" spans="1:3" x14ac:dyDescent="0.35">
      <c r="A71" s="8">
        <v>42430</v>
      </c>
      <c r="B71" s="11">
        <f>IF(VLOOKUP(A71,'DB Country PMI'!$A:$W,MATCH($A$1,'DB Country PMI'!$A$1:$W$1,),)=0,#N/A,VLOOKUP(A71,'DB Country PMI'!$A:$W,MATCH($A$1,'DB Country PMI'!$A$1:$W$1,),))</f>
        <v>52.2</v>
      </c>
      <c r="C71" s="14">
        <f>Table134681134[[#This Row],[PMI]]-B70</f>
        <v>1</v>
      </c>
    </row>
    <row r="72" spans="1:3" x14ac:dyDescent="0.35">
      <c r="A72" s="8">
        <v>42461</v>
      </c>
      <c r="B72" s="11">
        <f>IF(VLOOKUP(A72,'DB Country PMI'!$A:$W,MATCH($A$1,'DB Country PMI'!$A$1:$W$1,),)=0,#N/A,VLOOKUP(A72,'DB Country PMI'!$A:$W,MATCH($A$1,'DB Country PMI'!$A$1:$W$1,),))</f>
        <v>51.8</v>
      </c>
      <c r="C72" s="14">
        <f>Table134681134[[#This Row],[PMI]]-B71</f>
        <v>-0.40000000000000568</v>
      </c>
    </row>
    <row r="73" spans="1:3" x14ac:dyDescent="0.35">
      <c r="A73" s="8">
        <v>42491</v>
      </c>
      <c r="B73" s="11">
        <f>IF(VLOOKUP(A73,'DB Country PMI'!$A:$W,MATCH($A$1,'DB Country PMI'!$A$1:$W$1,),)=0,#N/A,VLOOKUP(A73,'DB Country PMI'!$A:$W,MATCH($A$1,'DB Country PMI'!$A$1:$W$1,),))</f>
        <v>51.2</v>
      </c>
      <c r="C73" s="14">
        <f>Table134681134[[#This Row],[PMI]]-B72</f>
        <v>-0.59999999999999432</v>
      </c>
    </row>
    <row r="74" spans="1:3" x14ac:dyDescent="0.35">
      <c r="A74" s="8">
        <v>42522</v>
      </c>
      <c r="B74" s="11">
        <f>IF(VLOOKUP(A74,'DB Country PMI'!$A:$W,MATCH($A$1,'DB Country PMI'!$A$1:$W$1,),)=0,#N/A,VLOOKUP(A74,'DB Country PMI'!$A:$W,MATCH($A$1,'DB Country PMI'!$A$1:$W$1,),))</f>
        <v>52.7</v>
      </c>
      <c r="C74" s="14">
        <f>Table134681134[[#This Row],[PMI]]-B73</f>
        <v>1.5</v>
      </c>
    </row>
    <row r="75" spans="1:3" x14ac:dyDescent="0.35">
      <c r="A75" s="8">
        <v>42552</v>
      </c>
      <c r="B75" s="11">
        <f>IF(VLOOKUP(A75,'DB Country PMI'!$A:$W,MATCH($A$1,'DB Country PMI'!$A$1:$W$1,),)=0,#N/A,VLOOKUP(A75,'DB Country PMI'!$A:$W,MATCH($A$1,'DB Country PMI'!$A$1:$W$1,),))</f>
        <v>51.7</v>
      </c>
      <c r="C75" s="14">
        <f>Table134681134[[#This Row],[PMI]]-B74</f>
        <v>-1</v>
      </c>
    </row>
    <row r="76" spans="1:3" x14ac:dyDescent="0.35">
      <c r="A76" s="8">
        <v>42583</v>
      </c>
      <c r="B76" s="11">
        <f>IF(VLOOKUP(A76,'DB Country PMI'!$A:$W,MATCH($A$1,'DB Country PMI'!$A$1:$W$1,),)=0,#N/A,VLOOKUP(A76,'DB Country PMI'!$A:$W,MATCH($A$1,'DB Country PMI'!$A$1:$W$1,),))</f>
        <v>52.1</v>
      </c>
      <c r="C76" s="14">
        <f>Table134681134[[#This Row],[PMI]]-B75</f>
        <v>0.39999999999999858</v>
      </c>
    </row>
    <row r="77" spans="1:3" x14ac:dyDescent="0.35">
      <c r="A77" s="8">
        <v>42614</v>
      </c>
      <c r="B77" s="11">
        <f>IF(VLOOKUP(A77,'DB Country PMI'!$A:$W,MATCH($A$1,'DB Country PMI'!$A$1:$W$1,),)=0,#N/A,VLOOKUP(A77,'DB Country PMI'!$A:$W,MATCH($A$1,'DB Country PMI'!$A$1:$W$1,),))</f>
        <v>51</v>
      </c>
      <c r="C77" s="14">
        <f>Table134681134[[#This Row],[PMI]]-B76</f>
        <v>-1.1000000000000014</v>
      </c>
    </row>
    <row r="78" spans="1:3" x14ac:dyDescent="0.35">
      <c r="A78" s="8">
        <v>42644</v>
      </c>
      <c r="B78" s="11">
        <f>IF(VLOOKUP(A78,'DB Country PMI'!$A:$W,MATCH($A$1,'DB Country PMI'!$A$1:$W$1,),)=0,#N/A,VLOOKUP(A78,'DB Country PMI'!$A:$W,MATCH($A$1,'DB Country PMI'!$A$1:$W$1,),))</f>
        <v>52.4</v>
      </c>
      <c r="C78" s="14">
        <f>Table134681134[[#This Row],[PMI]]-B77</f>
        <v>1.3999999999999986</v>
      </c>
    </row>
    <row r="79" spans="1:3" x14ac:dyDescent="0.35">
      <c r="A79" s="8">
        <v>42675</v>
      </c>
      <c r="B79" s="11">
        <f>IF(VLOOKUP(A79,'DB Country PMI'!$A:$W,MATCH($A$1,'DB Country PMI'!$A$1:$W$1,),)=0,#N/A,VLOOKUP(A79,'DB Country PMI'!$A:$W,MATCH($A$1,'DB Country PMI'!$A$1:$W$1,),))</f>
        <v>53.1</v>
      </c>
      <c r="C79" s="14">
        <f>Table134681134[[#This Row],[PMI]]-B78</f>
        <v>0.70000000000000284</v>
      </c>
    </row>
    <row r="80" spans="1:3" x14ac:dyDescent="0.35">
      <c r="A80" s="8">
        <v>42705</v>
      </c>
      <c r="B80" s="11">
        <f>IF(VLOOKUP(A80,'DB Country PMI'!$A:$W,MATCH($A$1,'DB Country PMI'!$A$1:$W$1,),)=0,#N/A,VLOOKUP(A80,'DB Country PMI'!$A:$W,MATCH($A$1,'DB Country PMI'!$A$1:$W$1,),))</f>
        <v>53.4</v>
      </c>
      <c r="C80" s="14">
        <f>Table134681134[[#This Row],[PMI]]-B79</f>
        <v>0.29999999999999716</v>
      </c>
    </row>
    <row r="81" spans="1:3" x14ac:dyDescent="0.35">
      <c r="A81" s="8">
        <v>42736</v>
      </c>
      <c r="B81" s="11">
        <f>IF(VLOOKUP(A81,'DB Country PMI'!$A:$W,MATCH($A$1,'DB Country PMI'!$A$1:$W$1,),)=0,#N/A,VLOOKUP(A81,'DB Country PMI'!$A:$W,MATCH($A$1,'DB Country PMI'!$A$1:$W$1,),))</f>
        <v>53.1</v>
      </c>
      <c r="C81" s="14">
        <f>Table134681134[[#This Row],[PMI]]-B80</f>
        <v>-0.29999999999999716</v>
      </c>
    </row>
    <row r="82" spans="1:3" x14ac:dyDescent="0.35">
      <c r="A82" s="8">
        <v>42767</v>
      </c>
      <c r="B82" s="11">
        <f>IF(VLOOKUP(A82,'DB Country PMI'!$A:$W,MATCH($A$1,'DB Country PMI'!$A$1:$W$1,),)=0,#N/A,VLOOKUP(A82,'DB Country PMI'!$A:$W,MATCH($A$1,'DB Country PMI'!$A$1:$W$1,),))</f>
        <v>52.6</v>
      </c>
      <c r="C82" s="14">
        <f>Table134681134[[#This Row],[PMI]]-B81</f>
        <v>-0.5</v>
      </c>
    </row>
    <row r="83" spans="1:3" x14ac:dyDescent="0.35">
      <c r="A83" s="8">
        <v>42795</v>
      </c>
      <c r="B83" s="11">
        <f>IF(VLOOKUP(A83,'DB Country PMI'!$A:$W,MATCH($A$1,'DB Country PMI'!$A$1:$W$1,),)=0,#N/A,VLOOKUP(A83,'DB Country PMI'!$A:$W,MATCH($A$1,'DB Country PMI'!$A$1:$W$1,),))</f>
        <v>52.2</v>
      </c>
      <c r="C83" s="14">
        <f>Table134681134[[#This Row],[PMI]]-B82</f>
        <v>-0.39999999999999858</v>
      </c>
    </row>
    <row r="84" spans="1:3" x14ac:dyDescent="0.35">
      <c r="A84" s="8">
        <v>42826</v>
      </c>
      <c r="B84" s="11">
        <f>IF(VLOOKUP(A84,'DB Country PMI'!$A:$W,MATCH($A$1,'DB Country PMI'!$A$1:$W$1,),)=0,#N/A,VLOOKUP(A84,'DB Country PMI'!$A:$W,MATCH($A$1,'DB Country PMI'!$A$1:$W$1,),))</f>
        <v>51.5</v>
      </c>
      <c r="C84" s="14">
        <f>Table134681134[[#This Row],[PMI]]-B83</f>
        <v>-0.70000000000000284</v>
      </c>
    </row>
    <row r="85" spans="1:3" x14ac:dyDescent="0.35">
      <c r="A85" s="8">
        <v>42856</v>
      </c>
      <c r="B85" s="11">
        <f>IF(VLOOKUP(A85,'DB Country PMI'!$A:$W,MATCH($A$1,'DB Country PMI'!$A$1:$W$1,),)=0,#N/A,VLOOKUP(A85,'DB Country PMI'!$A:$W,MATCH($A$1,'DB Country PMI'!$A$1:$W$1,),))</f>
        <v>52.8</v>
      </c>
      <c r="C85" s="14">
        <f>Table134681134[[#This Row],[PMI]]-B84</f>
        <v>1.2999999999999972</v>
      </c>
    </row>
    <row r="86" spans="1:3" x14ac:dyDescent="0.35">
      <c r="A86" s="8">
        <v>42887</v>
      </c>
      <c r="B86" s="11">
        <f>IF(VLOOKUP(A86,'DB Country PMI'!$A:$W,MATCH($A$1,'DB Country PMI'!$A$1:$W$1,),)=0,#N/A,VLOOKUP(A86,'DB Country PMI'!$A:$W,MATCH($A$1,'DB Country PMI'!$A$1:$W$1,),))</f>
        <v>51.6</v>
      </c>
      <c r="C86" s="14">
        <f>Table134681134[[#This Row],[PMI]]-B85</f>
        <v>-1.1999999999999957</v>
      </c>
    </row>
    <row r="87" spans="1:3" x14ac:dyDescent="0.35">
      <c r="A87" s="8">
        <v>42917</v>
      </c>
      <c r="B87" s="11">
        <f>IF(VLOOKUP(A87,'DB Country PMI'!$A:$W,MATCH($A$1,'DB Country PMI'!$A$1:$W$1,),)=0,#N/A,VLOOKUP(A87,'DB Country PMI'!$A:$W,MATCH($A$1,'DB Country PMI'!$A$1:$W$1,),))</f>
        <v>51.5</v>
      </c>
      <c r="C87" s="14">
        <f>Table134681134[[#This Row],[PMI]]-B86</f>
        <v>-0.10000000000000142</v>
      </c>
    </row>
    <row r="88" spans="1:3" x14ac:dyDescent="0.35">
      <c r="A88" s="8">
        <v>42948</v>
      </c>
      <c r="B88" s="11">
        <f>IF(VLOOKUP(A88,'DB Country PMI'!$A:$W,MATCH($A$1,'DB Country PMI'!$A$1:$W$1,),)=0,#N/A,VLOOKUP(A88,'DB Country PMI'!$A:$W,MATCH($A$1,'DB Country PMI'!$A$1:$W$1,),))</f>
        <v>52.7</v>
      </c>
      <c r="C88" s="14">
        <f>Table134681134[[#This Row],[PMI]]-B87</f>
        <v>1.2000000000000028</v>
      </c>
    </row>
    <row r="89" spans="1:3" x14ac:dyDescent="0.35">
      <c r="A89" s="8">
        <v>42979</v>
      </c>
      <c r="B89" s="11">
        <f>IF(VLOOKUP(A89,'DB Country PMI'!$A:$W,MATCH($A$1,'DB Country PMI'!$A$1:$W$1,),)=0,#N/A,VLOOKUP(A89,'DB Country PMI'!$A:$W,MATCH($A$1,'DB Country PMI'!$A$1:$W$1,),))</f>
        <v>50.6</v>
      </c>
      <c r="C89" s="14">
        <f>Table134681134[[#This Row],[PMI]]-B88</f>
        <v>-2.1000000000000014</v>
      </c>
    </row>
    <row r="90" spans="1:3" x14ac:dyDescent="0.35">
      <c r="A90" s="8">
        <v>43009</v>
      </c>
      <c r="B90" s="11">
        <f>IF(VLOOKUP(A90,'DB Country PMI'!$A:$W,MATCH($A$1,'DB Country PMI'!$A$1:$W$1,),)=0,#N/A,VLOOKUP(A90,'DB Country PMI'!$A:$W,MATCH($A$1,'DB Country PMI'!$A$1:$W$1,),))</f>
        <v>51.2</v>
      </c>
      <c r="C90" s="14">
        <f>Table134681134[[#This Row],[PMI]]-B89</f>
        <v>0.60000000000000142</v>
      </c>
    </row>
    <row r="91" spans="1:3" x14ac:dyDescent="0.35">
      <c r="A91" s="8">
        <v>43040</v>
      </c>
      <c r="B91" s="11">
        <f>IF(VLOOKUP(A91,'DB Country PMI'!$A:$W,MATCH($A$1,'DB Country PMI'!$A$1:$W$1,),)=0,#N/A,VLOOKUP(A91,'DB Country PMI'!$A:$W,MATCH($A$1,'DB Country PMI'!$A$1:$W$1,),))</f>
        <v>51.9</v>
      </c>
      <c r="C91" s="14">
        <f>Table134681134[[#This Row],[PMI]]-B90</f>
        <v>0.69999999999999574</v>
      </c>
    </row>
    <row r="92" spans="1:3" x14ac:dyDescent="0.35">
      <c r="A92" s="8">
        <v>43070</v>
      </c>
      <c r="B92" s="11">
        <f>IF(VLOOKUP(A92,'DB Country PMI'!$A:$W,MATCH($A$1,'DB Country PMI'!$A$1:$W$1,),)=0,#N/A,VLOOKUP(A92,'DB Country PMI'!$A:$W,MATCH($A$1,'DB Country PMI'!$A$1:$W$1,),))</f>
        <v>53.9</v>
      </c>
      <c r="C92" s="14">
        <f>Table134681134[[#This Row],[PMI]]-B91</f>
        <v>2</v>
      </c>
    </row>
    <row r="93" spans="1:3" x14ac:dyDescent="0.35">
      <c r="A93" s="8">
        <v>43101</v>
      </c>
      <c r="B93" s="11">
        <f>IF(VLOOKUP(A93,'DB Country PMI'!$A:$W,MATCH($A$1,'DB Country PMI'!$A$1:$W$1,),)=0,#N/A,VLOOKUP(A93,'DB Country PMI'!$A:$W,MATCH($A$1,'DB Country PMI'!$A$1:$W$1,),))</f>
        <v>54.7</v>
      </c>
      <c r="C93" s="14">
        <f>Table134681134[[#This Row],[PMI]]-B92</f>
        <v>0.80000000000000426</v>
      </c>
    </row>
    <row r="94" spans="1:3" x14ac:dyDescent="0.35">
      <c r="A94" s="8">
        <v>43132</v>
      </c>
      <c r="B94" s="11">
        <f>IF(VLOOKUP(A94,'DB Country PMI'!$A:$W,MATCH($A$1,'DB Country PMI'!$A$1:$W$1,),)=0,#N/A,VLOOKUP(A94,'DB Country PMI'!$A:$W,MATCH($A$1,'DB Country PMI'!$A$1:$W$1,),))</f>
        <v>54.2</v>
      </c>
      <c r="C94" s="14">
        <f>Table134681134[[#This Row],[PMI]]-B93</f>
        <v>-0.5</v>
      </c>
    </row>
    <row r="95" spans="1:3" x14ac:dyDescent="0.35">
      <c r="A95" s="8">
        <v>43160</v>
      </c>
      <c r="B95" s="11">
        <f>IF(VLOOKUP(A95,'DB Country PMI'!$A:$W,MATCH($A$1,'DB Country PMI'!$A$1:$W$1,),)=0,#N/A,VLOOKUP(A95,'DB Country PMI'!$A:$W,MATCH($A$1,'DB Country PMI'!$A$1:$W$1,),))</f>
        <v>52.3</v>
      </c>
      <c r="C95" s="14">
        <f>Table134681134[[#This Row],[PMI]]-B94</f>
        <v>-1.9000000000000057</v>
      </c>
    </row>
    <row r="96" spans="1:3" x14ac:dyDescent="0.35">
      <c r="A96" s="8">
        <v>43191</v>
      </c>
      <c r="B96" s="11">
        <f>IF(VLOOKUP(A96,'DB Country PMI'!$A:$W,MATCH($A$1,'DB Country PMI'!$A$1:$W$1,),)=0,#N/A,VLOOKUP(A96,'DB Country PMI'!$A:$W,MATCH($A$1,'DB Country PMI'!$A$1:$W$1,),))</f>
        <v>52.9</v>
      </c>
      <c r="C96" s="14">
        <f>Table134681134[[#This Row],[PMI]]-B95</f>
        <v>0.60000000000000142</v>
      </c>
    </row>
    <row r="97" spans="1:3" x14ac:dyDescent="0.35">
      <c r="A97" s="8">
        <v>43221</v>
      </c>
      <c r="B97" s="11">
        <f>IF(VLOOKUP(A97,'DB Country PMI'!$A:$W,MATCH($A$1,'DB Country PMI'!$A$1:$W$1,),)=0,#N/A,VLOOKUP(A97,'DB Country PMI'!$A:$W,MATCH($A$1,'DB Country PMI'!$A$1:$W$1,),))</f>
        <v>52.9</v>
      </c>
      <c r="C97" s="14">
        <f>Table134681134[[#This Row],[PMI]]-B96</f>
        <v>0</v>
      </c>
    </row>
    <row r="98" spans="1:3" x14ac:dyDescent="0.35">
      <c r="A98" s="8">
        <v>43252</v>
      </c>
      <c r="B98" s="11">
        <f>IF(VLOOKUP(A98,'DB Country PMI'!$A:$W,MATCH($A$1,'DB Country PMI'!$A$1:$W$1,),)=0,#N/A,VLOOKUP(A98,'DB Country PMI'!$A:$W,MATCH($A$1,'DB Country PMI'!$A$1:$W$1,),))</f>
        <v>53.9</v>
      </c>
      <c r="C98" s="14">
        <f>Table134681134[[#This Row],[PMI]]-B97</f>
        <v>1</v>
      </c>
    </row>
    <row r="99" spans="1:3" x14ac:dyDescent="0.35">
      <c r="A99" s="8">
        <v>43282</v>
      </c>
      <c r="B99" s="11">
        <f>IF(VLOOKUP(A99,'DB Country PMI'!$A:$W,MATCH($A$1,'DB Country PMI'!$A$1:$W$1,),)=0,#N/A,VLOOKUP(A99,'DB Country PMI'!$A:$W,MATCH($A$1,'DB Country PMI'!$A$1:$W$1,),))</f>
        <v>52.8</v>
      </c>
      <c r="C99" s="14">
        <f>Table134681134[[#This Row],[PMI]]-B98</f>
        <v>-1.1000000000000014</v>
      </c>
    </row>
    <row r="100" spans="1:3" x14ac:dyDescent="0.35">
      <c r="A100" s="8">
        <v>43313</v>
      </c>
      <c r="B100" s="11">
        <f>IF(VLOOKUP(A100,'DB Country PMI'!$A:$W,MATCH($A$1,'DB Country PMI'!$A$1:$W$1,),)=0,#N/A,VLOOKUP(A100,'DB Country PMI'!$A:$W,MATCH($A$1,'DB Country PMI'!$A$1:$W$1,),))</f>
        <v>51.5</v>
      </c>
      <c r="C100" s="14">
        <f>Table134681134[[#This Row],[PMI]]-B99</f>
        <v>-1.2999999999999972</v>
      </c>
    </row>
    <row r="101" spans="1:3" x14ac:dyDescent="0.35">
      <c r="A101" s="8">
        <v>43344</v>
      </c>
      <c r="B101" s="11">
        <f>IF(VLOOKUP(A101,'DB Country PMI'!$A:$W,MATCH($A$1,'DB Country PMI'!$A$1:$W$1,),)=0,#N/A,VLOOKUP(A101,'DB Country PMI'!$A:$W,MATCH($A$1,'DB Country PMI'!$A$1:$W$1,),))</f>
        <v>53.1</v>
      </c>
      <c r="C101" s="14">
        <f>Table134681134[[#This Row],[PMI]]-B100</f>
        <v>1.6000000000000014</v>
      </c>
    </row>
    <row r="102" spans="1:3" x14ac:dyDescent="0.35">
      <c r="A102" s="8">
        <v>43374</v>
      </c>
      <c r="B102" s="11">
        <f>IF(VLOOKUP(A102,'DB Country PMI'!$A:$W,MATCH($A$1,'DB Country PMI'!$A$1:$W$1,),)=0,#N/A,VLOOKUP(A102,'DB Country PMI'!$A:$W,MATCH($A$1,'DB Country PMI'!$A$1:$W$1,),))</f>
        <v>50.8</v>
      </c>
      <c r="C102" s="14">
        <f>Table134681134[[#This Row],[PMI]]-B101</f>
        <v>-2.3000000000000043</v>
      </c>
    </row>
    <row r="103" spans="1:3" x14ac:dyDescent="0.35">
      <c r="A103" s="8">
        <v>43405</v>
      </c>
      <c r="B103" s="11">
        <f>IF(VLOOKUP(A103,'DB Country PMI'!$A:$W,MATCH($A$1,'DB Country PMI'!$A$1:$W$1,),)=0,#N/A,VLOOKUP(A103,'DB Country PMI'!$A:$W,MATCH($A$1,'DB Country PMI'!$A$1:$W$1,),))</f>
        <v>53.8</v>
      </c>
      <c r="C103" s="14">
        <f>Table134681134[[#This Row],[PMI]]-B102</f>
        <v>3</v>
      </c>
    </row>
    <row r="104" spans="1:3" x14ac:dyDescent="0.35">
      <c r="A104" s="8">
        <v>43435</v>
      </c>
      <c r="B104" s="11">
        <f>IF(VLOOKUP(A104,'DB Country PMI'!$A:$W,MATCH($A$1,'DB Country PMI'!$A$1:$W$1,),)=0,#N/A,VLOOKUP(A104,'DB Country PMI'!$A:$W,MATCH($A$1,'DB Country PMI'!$A$1:$W$1,),))</f>
        <v>53.9</v>
      </c>
      <c r="C104" s="14">
        <f>Table134681134[[#This Row],[PMI]]-B103</f>
        <v>0.10000000000000142</v>
      </c>
    </row>
    <row r="105" spans="1:3" x14ac:dyDescent="0.35">
      <c r="A105" s="8">
        <v>43466</v>
      </c>
      <c r="B105" s="11">
        <f>IF(VLOOKUP(A105,'DB Country PMI'!$A:$W,MATCH($A$1,'DB Country PMI'!$A$1:$W$1,),)=0,#N/A,VLOOKUP(A105,'DB Country PMI'!$A:$W,MATCH($A$1,'DB Country PMI'!$A$1:$W$1,),))</f>
        <v>53.6</v>
      </c>
      <c r="C105" s="14">
        <f>Table134681134[[#This Row],[PMI]]-B104</f>
        <v>-0.29999999999999716</v>
      </c>
    </row>
    <row r="106" spans="1:3" x14ac:dyDescent="0.35">
      <c r="A106" s="8">
        <v>43497</v>
      </c>
      <c r="B106" s="11">
        <f>IF(VLOOKUP(A106,'DB Country PMI'!$A:$W,MATCH($A$1,'DB Country PMI'!$A$1:$W$1,),)=0,#N/A,VLOOKUP(A106,'DB Country PMI'!$A:$W,MATCH($A$1,'DB Country PMI'!$A$1:$W$1,),))</f>
        <v>51.1</v>
      </c>
      <c r="C106" s="14">
        <f>Table134681134[[#This Row],[PMI]]-B105</f>
        <v>-2.5</v>
      </c>
    </row>
    <row r="107" spans="1:3" x14ac:dyDescent="0.35">
      <c r="A107" s="8">
        <v>43525</v>
      </c>
      <c r="B107" s="11">
        <f>IF(VLOOKUP(A107,'DB Country PMI'!$A:$W,MATCH($A$1,'DB Country PMI'!$A$1:$W$1,),)=0,#N/A,VLOOKUP(A107,'DB Country PMI'!$A:$W,MATCH($A$1,'DB Country PMI'!$A$1:$W$1,),))</f>
        <v>54.4</v>
      </c>
      <c r="C107" s="14">
        <f>Table134681134[[#This Row],[PMI]]-B106</f>
        <v>3.2999999999999972</v>
      </c>
    </row>
    <row r="108" spans="1:3" x14ac:dyDescent="0.35">
      <c r="A108" s="8">
        <v>43556</v>
      </c>
      <c r="B108" s="11">
        <f>IF(VLOOKUP(A108,'DB Country PMI'!$A:$W,MATCH($A$1,'DB Country PMI'!$A$1:$W$1,),)=0,#N/A,VLOOKUP(A108,'DB Country PMI'!$A:$W,MATCH($A$1,'DB Country PMI'!$A$1:$W$1,),))</f>
        <v>54.5</v>
      </c>
      <c r="C108" s="14">
        <f>Table134681134[[#This Row],[PMI]]-B107</f>
        <v>0.10000000000000142</v>
      </c>
    </row>
    <row r="109" spans="1:3" x14ac:dyDescent="0.35">
      <c r="A109" s="8">
        <v>43586</v>
      </c>
      <c r="B109" s="11">
        <f>IF(VLOOKUP(A109,'DB Country PMI'!$A:$W,MATCH($A$1,'DB Country PMI'!$A$1:$W$1,),)=0,#N/A,VLOOKUP(A109,'DB Country PMI'!$A:$W,MATCH($A$1,'DB Country PMI'!$A$1:$W$1,),))</f>
        <v>52.7</v>
      </c>
      <c r="C109" s="14">
        <f>Table134681134[[#This Row],[PMI]]-B108</f>
        <v>-1.7999999999999972</v>
      </c>
    </row>
    <row r="110" spans="1:3" x14ac:dyDescent="0.35">
      <c r="A110" s="8">
        <v>43617</v>
      </c>
      <c r="B110" s="11">
        <f>IF(VLOOKUP(A110,'DB Country PMI'!$A:$W,MATCH($A$1,'DB Country PMI'!$A$1:$W$1,),)=0,#N/A,VLOOKUP(A110,'DB Country PMI'!$A:$W,MATCH($A$1,'DB Country PMI'!$A$1:$W$1,),))</f>
        <v>52</v>
      </c>
      <c r="C110" s="14">
        <f>Table134681134[[#This Row],[PMI]]-B109</f>
        <v>-0.70000000000000284</v>
      </c>
    </row>
    <row r="111" spans="1:3" x14ac:dyDescent="0.35">
      <c r="A111" s="8">
        <v>43647</v>
      </c>
      <c r="B111" s="11">
        <f>IF(VLOOKUP(A111,'DB Country PMI'!$A:$W,MATCH($A$1,'DB Country PMI'!$A$1:$W$1,),)=0,#N/A,VLOOKUP(A111,'DB Country PMI'!$A:$W,MATCH($A$1,'DB Country PMI'!$A$1:$W$1,),))</f>
        <v>51.6</v>
      </c>
      <c r="C111" s="14">
        <f>Table134681134[[#This Row],[PMI]]-B110</f>
        <v>-0.39999999999999858</v>
      </c>
    </row>
    <row r="112" spans="1:3" x14ac:dyDescent="0.35">
      <c r="A112" s="8">
        <v>43678</v>
      </c>
      <c r="B112" s="11">
        <f>IF(VLOOKUP(A112,'DB Country PMI'!$A:$W,MATCH($A$1,'DB Country PMI'!$A$1:$W$1,),)=0,#N/A,VLOOKUP(A112,'DB Country PMI'!$A:$W,MATCH($A$1,'DB Country PMI'!$A$1:$W$1,),))</f>
        <v>52.1</v>
      </c>
      <c r="C112" s="14">
        <f>Table134681134[[#This Row],[PMI]]-B111</f>
        <v>0.5</v>
      </c>
    </row>
    <row r="113" spans="1:6" x14ac:dyDescent="0.35">
      <c r="A113" s="8">
        <v>43709</v>
      </c>
      <c r="B113" s="11">
        <f>IF(VLOOKUP(A113,'DB Country PMI'!$A:$W,MATCH($A$1,'DB Country PMI'!$A$1:$W$1,),)=0,#N/A,VLOOKUP(A113,'DB Country PMI'!$A:$W,MATCH($A$1,'DB Country PMI'!$A$1:$W$1,),))</f>
        <v>51.3</v>
      </c>
      <c r="C113" s="14">
        <f>Table134681134[[#This Row],[PMI]]-B112</f>
        <v>-0.80000000000000426</v>
      </c>
    </row>
    <row r="114" spans="1:6" x14ac:dyDescent="0.35">
      <c r="A114" s="8">
        <v>43739</v>
      </c>
      <c r="B114" s="11">
        <f>IF(VLOOKUP(A114,'DB Country PMI'!$A:$W,MATCH($A$1,'DB Country PMI'!$A$1:$W$1,),)=0,#N/A,VLOOKUP(A114,'DB Country PMI'!$A:$W,MATCH($A$1,'DB Country PMI'!$A$1:$W$1,),))</f>
        <v>51.1</v>
      </c>
      <c r="C114" s="14">
        <f>Table134681134[[#This Row],[PMI]]-B113</f>
        <v>-0.19999999999999574</v>
      </c>
      <c r="F114" s="49"/>
    </row>
    <row r="115" spans="1:6" x14ac:dyDescent="0.35">
      <c r="A115" s="8">
        <v>43770</v>
      </c>
      <c r="B115" s="11">
        <f>IF(VLOOKUP(A115,'DB Country PMI'!$A:$W,MATCH($A$1,'DB Country PMI'!$A$1:$W$1,),)=0,#N/A,VLOOKUP(A115,'DB Country PMI'!$A:$W,MATCH($A$1,'DB Country PMI'!$A$1:$W$1,),))</f>
        <v>53.5</v>
      </c>
      <c r="C115" s="14">
        <f>Table134681134[[#This Row],[PMI]]-B114</f>
        <v>2.3999999999999986</v>
      </c>
    </row>
    <row r="116" spans="1:6" x14ac:dyDescent="0.35">
      <c r="A116" s="8">
        <v>43800</v>
      </c>
      <c r="B116" s="11">
        <f>IF(VLOOKUP(A116,'DB Country PMI'!$A:$W,MATCH($A$1,'DB Country PMI'!$A$1:$W$1,),)=0,#N/A,VLOOKUP(A116,'DB Country PMI'!$A:$W,MATCH($A$1,'DB Country PMI'!$A$1:$W$1,),))</f>
        <v>52.5</v>
      </c>
      <c r="C116" s="14">
        <f>Table134681134[[#This Row],[PMI]]-B115</f>
        <v>-1</v>
      </c>
    </row>
    <row r="117" spans="1:6" x14ac:dyDescent="0.35">
      <c r="A117" s="8">
        <v>43831</v>
      </c>
      <c r="B117" s="11">
        <f>IF(VLOOKUP(A117,'DB Country PMI'!$A:$W,MATCH($A$1,'DB Country PMI'!$A$1:$W$1,),)=0,#N/A,VLOOKUP(A117,'DB Country PMI'!$A:$W,MATCH($A$1,'DB Country PMI'!$A$1:$W$1,),))</f>
        <v>51.8</v>
      </c>
      <c r="C117" s="14">
        <f>Table134681134[[#This Row],[PMI]]-B116</f>
        <v>-0.70000000000000284</v>
      </c>
    </row>
    <row r="118" spans="1:6" x14ac:dyDescent="0.35">
      <c r="A118" s="8">
        <v>43862</v>
      </c>
      <c r="B118" s="11">
        <f>IF(VLOOKUP(A118,'DB Country PMI'!$A:$W,MATCH($A$1,'DB Country PMI'!$A$1:$W$1,),)=0,#N/A,VLOOKUP(A118,'DB Country PMI'!$A:$W,MATCH($A$1,'DB Country PMI'!$A$1:$W$1,),))</f>
        <v>26.5</v>
      </c>
      <c r="C118" s="14">
        <f>Table134681134[[#This Row],[PMI]]-B117</f>
        <v>-25.299999999999997</v>
      </c>
    </row>
    <row r="119" spans="1:6" x14ac:dyDescent="0.35">
      <c r="A119" s="8">
        <v>43891</v>
      </c>
      <c r="B119" s="11">
        <f>IF(VLOOKUP(A119,'DB Country PMI'!$A:$W,MATCH($A$1,'DB Country PMI'!$A$1:$W$1,),)=0,#N/A,VLOOKUP(A119,'DB Country PMI'!$A:$W,MATCH($A$1,'DB Country PMI'!$A$1:$W$1,),))</f>
        <v>43</v>
      </c>
      <c r="C119" s="14">
        <f>Table134681134[[#This Row],[PMI]]-B118</f>
        <v>16.5</v>
      </c>
    </row>
    <row r="120" spans="1:6" x14ac:dyDescent="0.35">
      <c r="A120" s="8">
        <v>43922</v>
      </c>
      <c r="B120" s="11">
        <f>IF(VLOOKUP(A120,'DB Country PMI'!$A:$W,MATCH($A$1,'DB Country PMI'!$A$1:$W$1,),)=0,#N/A,VLOOKUP(A120,'DB Country PMI'!$A:$W,MATCH($A$1,'DB Country PMI'!$A$1:$W$1,),))</f>
        <v>44.4</v>
      </c>
      <c r="C120" s="14">
        <f>Table134681134[[#This Row],[PMI]]-B119</f>
        <v>1.3999999999999986</v>
      </c>
    </row>
    <row r="121" spans="1:6" x14ac:dyDescent="0.35">
      <c r="A121" s="8">
        <v>43952</v>
      </c>
      <c r="B121" s="11">
        <f>IF(VLOOKUP(A121,'DB Country PMI'!$A:$W,MATCH($A$1,'DB Country PMI'!$A$1:$W$1,),)=0,#N/A,VLOOKUP(A121,'DB Country PMI'!$A:$W,MATCH($A$1,'DB Country PMI'!$A$1:$W$1,),))</f>
        <v>55</v>
      </c>
      <c r="C121" s="14">
        <f>Table134681134[[#This Row],[PMI]]-B120</f>
        <v>10.600000000000001</v>
      </c>
    </row>
    <row r="122" spans="1:6" x14ac:dyDescent="0.35">
      <c r="A122" s="8">
        <v>43983</v>
      </c>
      <c r="B122" s="11">
        <f>IF(VLOOKUP(A122,'DB Country PMI'!$A:$W,MATCH($A$1,'DB Country PMI'!$A$1:$W$1,),)=0,#N/A,VLOOKUP(A122,'DB Country PMI'!$A:$W,MATCH($A$1,'DB Country PMI'!$A$1:$W$1,),))</f>
        <v>58.4</v>
      </c>
      <c r="C122" s="14">
        <f>Table134681134[[#This Row],[PMI]]-B121</f>
        <v>3.3999999999999986</v>
      </c>
    </row>
    <row r="123" spans="1:6" x14ac:dyDescent="0.35">
      <c r="A123" s="8">
        <v>44013</v>
      </c>
      <c r="B123" s="11">
        <f>IF(VLOOKUP(A123,'DB Country PMI'!$A:$W,MATCH($A$1,'DB Country PMI'!$A$1:$W$1,),)=0,#N/A,VLOOKUP(A123,'DB Country PMI'!$A:$W,MATCH($A$1,'DB Country PMI'!$A$1:$W$1,),))</f>
        <v>54.1</v>
      </c>
      <c r="C123" s="14">
        <f>Table134681134[[#This Row],[PMI]]-B122</f>
        <v>-4.2999999999999972</v>
      </c>
    </row>
    <row r="124" spans="1:6" x14ac:dyDescent="0.35">
      <c r="A124" s="8">
        <v>44044</v>
      </c>
      <c r="B124" s="11">
        <f>IF(VLOOKUP(A124,'DB Country PMI'!$A:$W,MATCH($A$1,'DB Country PMI'!$A$1:$W$1,),)=0,#N/A,VLOOKUP(A124,'DB Country PMI'!$A:$W,MATCH($A$1,'DB Country PMI'!$A$1:$W$1,),))</f>
        <v>54</v>
      </c>
      <c r="C124" s="14">
        <f>Table134681134[[#This Row],[PMI]]-B123</f>
        <v>-0.10000000000000142</v>
      </c>
    </row>
    <row r="125" spans="1:6" x14ac:dyDescent="0.35">
      <c r="A125" s="8">
        <v>44075</v>
      </c>
      <c r="B125" s="11">
        <f>IF(VLOOKUP(A125,'DB Country PMI'!$A:$W,MATCH($A$1,'DB Country PMI'!$A$1:$W$1,),)=0,#N/A,VLOOKUP(A125,'DB Country PMI'!$A:$W,MATCH($A$1,'DB Country PMI'!$A$1:$W$1,),))</f>
        <v>54.8</v>
      </c>
      <c r="C125" s="14">
        <f>Table134681134[[#This Row],[PMI]]-B124</f>
        <v>0.79999999999999716</v>
      </c>
    </row>
    <row r="126" spans="1:6" x14ac:dyDescent="0.35">
      <c r="A126" s="8">
        <v>44105</v>
      </c>
      <c r="B126" s="11">
        <f>IF(VLOOKUP(A126,'DB Country PMI'!$A:$W,MATCH($A$1,'DB Country PMI'!$A$1:$W$1,),)=0,#N/A,VLOOKUP(A126,'DB Country PMI'!$A:$W,MATCH($A$1,'DB Country PMI'!$A$1:$W$1,),))</f>
        <v>56.8</v>
      </c>
      <c r="C126" s="14">
        <f>Table134681134[[#This Row],[PMI]]-B125</f>
        <v>2</v>
      </c>
    </row>
    <row r="127" spans="1:6" x14ac:dyDescent="0.35">
      <c r="A127" s="8">
        <v>44136</v>
      </c>
      <c r="B127" s="11">
        <f>IF(VLOOKUP(A127,'DB Country PMI'!$A:$W,MATCH($A$1,'DB Country PMI'!$A$1:$W$1,),)=0,#N/A,VLOOKUP(A127,'DB Country PMI'!$A:$W,MATCH($A$1,'DB Country PMI'!$A$1:$W$1,),))</f>
        <v>57.8</v>
      </c>
      <c r="C127" s="14">
        <f>Table134681134[[#This Row],[PMI]]-B126</f>
        <v>1</v>
      </c>
    </row>
    <row r="128" spans="1:6" x14ac:dyDescent="0.35">
      <c r="A128" s="8">
        <v>44166</v>
      </c>
      <c r="B128" s="11">
        <f>IF(VLOOKUP(A128,'DB Country PMI'!$A:$W,MATCH($A$1,'DB Country PMI'!$A$1:$W$1,),)=0,#N/A,VLOOKUP(A128,'DB Country PMI'!$A:$W,MATCH($A$1,'DB Country PMI'!$A$1:$W$1,),))</f>
        <v>56.3</v>
      </c>
      <c r="C128" s="14">
        <f>Table134681134[[#This Row],[PMI]]-B127</f>
        <v>-1.5</v>
      </c>
    </row>
    <row r="129" spans="1:3" x14ac:dyDescent="0.35">
      <c r="A129" s="8">
        <v>44197</v>
      </c>
      <c r="B129" s="11">
        <f>IF(VLOOKUP(A129,'DB Country PMI'!$A:$W,MATCH($A$1,'DB Country PMI'!$A$1:$W$1,),)=0,#N/A,VLOOKUP(A129,'DB Country PMI'!$A:$W,MATCH($A$1,'DB Country PMI'!$A$1:$W$1,),))</f>
        <v>52</v>
      </c>
      <c r="C129" s="14">
        <f>Table134681134[[#This Row],[PMI]]-B128</f>
        <v>-4.2999999999999972</v>
      </c>
    </row>
    <row r="130" spans="1:3" x14ac:dyDescent="0.35">
      <c r="A130" s="8">
        <v>44228</v>
      </c>
      <c r="B130" s="11">
        <f>IF(VLOOKUP(A130,'DB Country PMI'!$A:$W,MATCH($A$1,'DB Country PMI'!$A$1:$W$1,),)=0,#N/A,VLOOKUP(A130,'DB Country PMI'!$A:$W,MATCH($A$1,'DB Country PMI'!$A$1:$W$1,),))</f>
        <v>51.5</v>
      </c>
      <c r="C130" s="14">
        <f>Table134681134[[#This Row],[PMI]]-B129</f>
        <v>-0.5</v>
      </c>
    </row>
    <row r="131" spans="1:3" x14ac:dyDescent="0.35">
      <c r="A131" s="8">
        <v>44256</v>
      </c>
      <c r="B131" s="11">
        <f>IF(VLOOKUP(A131,'DB Country PMI'!$A:$W,MATCH($A$1,'DB Country PMI'!$A$1:$W$1,),)=0,#N/A,VLOOKUP(A131,'DB Country PMI'!$A:$W,MATCH($A$1,'DB Country PMI'!$A$1:$W$1,),))</f>
        <v>54.3</v>
      </c>
      <c r="C131" s="14">
        <f>Table134681134[[#This Row],[PMI]]-B130</f>
        <v>2.7999999999999972</v>
      </c>
    </row>
    <row r="132" spans="1:3" x14ac:dyDescent="0.35">
      <c r="A132" s="8">
        <v>44287</v>
      </c>
      <c r="B132" s="11">
        <f>IF(VLOOKUP(A132,'DB Country PMI'!$A:$W,MATCH($A$1,'DB Country PMI'!$A$1:$W$1,),)=0,#N/A,VLOOKUP(A132,'DB Country PMI'!$A:$W,MATCH($A$1,'DB Country PMI'!$A$1:$W$1,),))</f>
        <v>56.3</v>
      </c>
      <c r="C132" s="14">
        <f>Table134681134[[#This Row],[PMI]]-B131</f>
        <v>2</v>
      </c>
    </row>
    <row r="133" spans="1:3" x14ac:dyDescent="0.35">
      <c r="A133" s="8">
        <v>44317</v>
      </c>
      <c r="B133" s="11">
        <f>IF(VLOOKUP(A133,'DB Country PMI'!$A:$W,MATCH($A$1,'DB Country PMI'!$A$1:$W$1,),)=0,#N/A,VLOOKUP(A133,'DB Country PMI'!$A:$W,MATCH($A$1,'DB Country PMI'!$A$1:$W$1,),))</f>
        <v>55.1</v>
      </c>
      <c r="C133" s="14">
        <f>Table134681134[[#This Row],[PMI]]-B132</f>
        <v>-1.1999999999999957</v>
      </c>
    </row>
    <row r="134" spans="1:3" x14ac:dyDescent="0.35">
      <c r="A134" s="8">
        <v>44348</v>
      </c>
      <c r="B134" s="11">
        <f>IF(VLOOKUP(A134,'DB Country PMI'!$A:$W,MATCH($A$1,'DB Country PMI'!$A$1:$W$1,),)=0,#N/A,VLOOKUP(A134,'DB Country PMI'!$A:$W,MATCH($A$1,'DB Country PMI'!$A$1:$W$1,),))</f>
        <v>50.3</v>
      </c>
      <c r="C134" s="14">
        <f>Table134681134[[#This Row],[PMI]]-B133</f>
        <v>-4.8000000000000043</v>
      </c>
    </row>
    <row r="135" spans="1:3" x14ac:dyDescent="0.35">
      <c r="A135" s="8">
        <v>44378</v>
      </c>
      <c r="B135" s="11">
        <f>IF(VLOOKUP(A135,'DB Country PMI'!$A:$W,MATCH($A$1,'DB Country PMI'!$A$1:$W$1,),)=0,#N/A,VLOOKUP(A135,'DB Country PMI'!$A:$W,MATCH($A$1,'DB Country PMI'!$A$1:$W$1,),))</f>
        <v>54.9</v>
      </c>
      <c r="C135" s="14">
        <f>Table134681134[[#This Row],[PMI]]-B134</f>
        <v>4.6000000000000014</v>
      </c>
    </row>
    <row r="136" spans="1:3" x14ac:dyDescent="0.35">
      <c r="A136" s="8">
        <v>44409</v>
      </c>
      <c r="B136" s="11">
        <f>IF(VLOOKUP(A136,'DB Country PMI'!$A:$W,MATCH($A$1,'DB Country PMI'!$A$1:$W$1,),)=0,#N/A,VLOOKUP(A136,'DB Country PMI'!$A:$W,MATCH($A$1,'DB Country PMI'!$A$1:$W$1,),))</f>
        <v>46.7</v>
      </c>
      <c r="C136" s="14">
        <f>Table134681134[[#This Row],[PMI]]-B135</f>
        <v>-8.1999999999999957</v>
      </c>
    </row>
    <row r="137" spans="1:3" x14ac:dyDescent="0.35">
      <c r="A137" s="8">
        <v>44440</v>
      </c>
      <c r="B137" s="11">
        <f>IF(VLOOKUP(A137,'DB Country PMI'!$A:$W,MATCH($A$1,'DB Country PMI'!$A$1:$W$1,),)=0,#N/A,VLOOKUP(A137,'DB Country PMI'!$A:$W,MATCH($A$1,'DB Country PMI'!$A$1:$W$1,),))</f>
        <v>53.4</v>
      </c>
      <c r="C137" s="14">
        <f>Table134681134[[#This Row],[PMI]]-B136</f>
        <v>6.6999999999999957</v>
      </c>
    </row>
    <row r="138" spans="1:3" x14ac:dyDescent="0.35">
      <c r="A138" s="8">
        <v>44470</v>
      </c>
      <c r="B138" s="11">
        <f>IF(VLOOKUP(A138,'DB Country PMI'!$A:$W,MATCH($A$1,'DB Country PMI'!$A$1:$W$1,),)=0,#N/A,VLOOKUP(A138,'DB Country PMI'!$A:$W,MATCH($A$1,'DB Country PMI'!$A$1:$W$1,),))</f>
        <v>53.8</v>
      </c>
      <c r="C138" s="14">
        <f>Table134681134[[#This Row],[PMI]]-B137</f>
        <v>0.39999999999999858</v>
      </c>
    </row>
    <row r="139" spans="1:3" x14ac:dyDescent="0.35">
      <c r="A139" s="8">
        <v>44501</v>
      </c>
      <c r="B139" s="11">
        <f>IF(VLOOKUP(A139,'DB Country PMI'!$A:$W,MATCH($A$1,'DB Country PMI'!$A$1:$W$1,),)=0,#N/A,VLOOKUP(A139,'DB Country PMI'!$A:$W,MATCH($A$1,'DB Country PMI'!$A$1:$W$1,),))</f>
        <v>52.1</v>
      </c>
      <c r="C139" s="14">
        <f>Table134681134[[#This Row],[PMI]]-B138</f>
        <v>-1.6999999999999957</v>
      </c>
    </row>
    <row r="140" spans="1:3" x14ac:dyDescent="0.35">
      <c r="A140" s="8">
        <v>44531</v>
      </c>
      <c r="B140" s="11">
        <f>IF(VLOOKUP(A140,'DB Country PMI'!$A:$W,MATCH($A$1,'DB Country PMI'!$A$1:$W$1,),)=0,#N/A,VLOOKUP(A140,'DB Country PMI'!$A:$W,MATCH($A$1,'DB Country PMI'!$A$1:$W$1,),))</f>
        <v>53.1</v>
      </c>
      <c r="C140" s="14">
        <f>Table134681134[[#This Row],[PMI]]-B139</f>
        <v>1</v>
      </c>
    </row>
    <row r="141" spans="1:3" x14ac:dyDescent="0.35">
      <c r="A141" s="8">
        <v>44562</v>
      </c>
      <c r="B141" s="11">
        <f>IF(VLOOKUP(A141,'DB Country PMI'!$A:$W,MATCH($A$1,'DB Country PMI'!$A$1:$W$1,),)=0,#N/A,VLOOKUP(A141,'DB Country PMI'!$A:$W,MATCH($A$1,'DB Country PMI'!$A$1:$W$1,),))</f>
        <v>51.4</v>
      </c>
      <c r="C141" s="14">
        <f>Table134681134[[#This Row],[PMI]]-B140</f>
        <v>-1.7000000000000028</v>
      </c>
    </row>
    <row r="142" spans="1:3" x14ac:dyDescent="0.35">
      <c r="A142" s="8">
        <v>44593</v>
      </c>
      <c r="B142" s="11">
        <f>IF(VLOOKUP(A142,'DB Country PMI'!$A:$W,MATCH($A$1,'DB Country PMI'!$A$1:$W$1,),)=0,#N/A,VLOOKUP(A142,'DB Country PMI'!$A:$W,MATCH($A$1,'DB Country PMI'!$A$1:$W$1,),))</f>
        <v>50.2</v>
      </c>
      <c r="C142" s="14">
        <f>Table134681134[[#This Row],[PMI]]-B141</f>
        <v>-1.1999999999999957</v>
      </c>
    </row>
    <row r="143" spans="1:3" x14ac:dyDescent="0.35">
      <c r="A143" s="8">
        <v>44621</v>
      </c>
      <c r="B143" s="11">
        <f>IF(VLOOKUP(A143,'DB Country PMI'!$A:$W,MATCH($A$1,'DB Country PMI'!$A$1:$W$1,),)=0,#N/A,VLOOKUP(A143,'DB Country PMI'!$A:$W,MATCH($A$1,'DB Country PMI'!$A$1:$W$1,),))</f>
        <v>42</v>
      </c>
      <c r="C143" s="14">
        <f>Table134681134[[#This Row],[PMI]]-B142</f>
        <v>-8.2000000000000028</v>
      </c>
    </row>
    <row r="144" spans="1:3" x14ac:dyDescent="0.35">
      <c r="A144" s="8">
        <v>44652</v>
      </c>
      <c r="B144" s="11">
        <f>IF(VLOOKUP(A144,'DB Country PMI'!$A:$W,MATCH($A$1,'DB Country PMI'!$A$1:$W$1,),)=0,#N/A,VLOOKUP(A144,'DB Country PMI'!$A:$W,MATCH($A$1,'DB Country PMI'!$A$1:$W$1,),))</f>
        <v>36.200000000000003</v>
      </c>
      <c r="C144" s="14">
        <f>Table134681134[[#This Row],[PMI]]-B143</f>
        <v>-5.7999999999999972</v>
      </c>
    </row>
    <row r="145" spans="1:3" x14ac:dyDescent="0.35">
      <c r="A145" s="8">
        <v>44682</v>
      </c>
      <c r="B145" s="11">
        <f>IF(VLOOKUP(A145,'DB Country PMI'!$A:$W,MATCH($A$1,'DB Country PMI'!$A$1:$W$1,),)=0,#N/A,VLOOKUP(A145,'DB Country PMI'!$A:$W,MATCH($A$1,'DB Country PMI'!$A$1:$W$1,),))</f>
        <v>41.4</v>
      </c>
      <c r="C145" s="14">
        <f>Table134681134[[#This Row],[PMI]]-B144</f>
        <v>5.1999999999999957</v>
      </c>
    </row>
    <row r="146" spans="1:3" x14ac:dyDescent="0.35">
      <c r="A146" s="8">
        <v>44713</v>
      </c>
      <c r="B146" s="11">
        <f>IF(VLOOKUP(A146,'DB Country PMI'!$A:$W,MATCH($A$1,'DB Country PMI'!$A$1:$W$1,),)=0,#N/A,VLOOKUP(A146,'DB Country PMI'!$A:$W,MATCH($A$1,'DB Country PMI'!$A$1:$W$1,),))</f>
        <v>54.5</v>
      </c>
      <c r="C146" s="14">
        <f>Table134681134[[#This Row],[PMI]]-B145</f>
        <v>13.100000000000001</v>
      </c>
    </row>
    <row r="147" spans="1:3" x14ac:dyDescent="0.35">
      <c r="A147" s="8">
        <v>44743</v>
      </c>
      <c r="B147" s="11">
        <f>IF(VLOOKUP(A147,'DB Country PMI'!$A:$W,MATCH($A$1,'DB Country PMI'!$A$1:$W$1,),)=0,#N/A,VLOOKUP(A147,'DB Country PMI'!$A:$W,MATCH($A$1,'DB Country PMI'!$A$1:$W$1,),))</f>
        <v>55.5</v>
      </c>
      <c r="C147" s="14">
        <f>Table134681134[[#This Row],[PMI]]-B146</f>
        <v>1</v>
      </c>
    </row>
    <row r="148" spans="1:3" x14ac:dyDescent="0.35">
      <c r="A148" s="8">
        <v>44774</v>
      </c>
      <c r="B148" s="11">
        <f>IF(VLOOKUP(A148,'DB Country PMI'!$A:$W,MATCH($A$1,'DB Country PMI'!$A$1:$W$1,),)=0,#N/A,VLOOKUP(A148,'DB Country PMI'!$A:$W,MATCH($A$1,'DB Country PMI'!$A$1:$W$1,),))</f>
        <v>55</v>
      </c>
      <c r="C148" s="14">
        <f>Table134681134[[#This Row],[PMI]]-B147</f>
        <v>-0.5</v>
      </c>
    </row>
    <row r="149" spans="1:3" x14ac:dyDescent="0.35">
      <c r="A149" s="8">
        <v>44805</v>
      </c>
      <c r="B149" s="11">
        <f>IF(VLOOKUP(A149,'DB Country PMI'!$A:$W,MATCH($A$1,'DB Country PMI'!$A$1:$W$1,),)=0,#N/A,VLOOKUP(A149,'DB Country PMI'!$A:$W,MATCH($A$1,'DB Country PMI'!$A$1:$W$1,),))</f>
        <v>49.3</v>
      </c>
      <c r="C149" s="14">
        <f>Table134681134[[#This Row],[PMI]]-B148</f>
        <v>-5.7000000000000028</v>
      </c>
    </row>
    <row r="150" spans="1:3" x14ac:dyDescent="0.35">
      <c r="A150" s="8">
        <v>44835</v>
      </c>
      <c r="B150" s="11">
        <f>IF(VLOOKUP(A150,'DB Country PMI'!$A:$W,MATCH($A$1,'DB Country PMI'!$A$1:$W$1,),)=0,#N/A,VLOOKUP(A150,'DB Country PMI'!$A:$W,MATCH($A$1,'DB Country PMI'!$A$1:$W$1,),))</f>
        <v>48.4</v>
      </c>
      <c r="C150" s="14">
        <f>Table134681134[[#This Row],[PMI]]-B149</f>
        <v>-0.89999999999999858</v>
      </c>
    </row>
    <row r="151" spans="1:3" x14ac:dyDescent="0.35">
      <c r="A151" s="8">
        <v>44866</v>
      </c>
      <c r="B151" s="11">
        <f>IF(VLOOKUP(A151,'DB Country PMI'!$A:$W,MATCH($A$1,'DB Country PMI'!$A$1:$W$1,),)=0,#N/A,VLOOKUP(A151,'DB Country PMI'!$A:$W,MATCH($A$1,'DB Country PMI'!$A$1:$W$1,),))</f>
        <v>46.7</v>
      </c>
      <c r="C151" s="14">
        <f>Table134681134[[#This Row],[PMI]]-B150</f>
        <v>-1.6999999999999957</v>
      </c>
    </row>
  </sheetData>
  <conditionalFormatting sqref="C7:C151">
    <cfRule type="colorScale" priority="205">
      <colorScale>
        <cfvo type="min"/>
        <cfvo type="percentile" val="50"/>
        <cfvo type="max"/>
        <color rgb="FFF8696B"/>
        <color rgb="FFFCFCFF"/>
        <color rgb="FF5A8AC6"/>
      </colorScale>
    </cfRule>
  </conditionalFormatting>
  <conditionalFormatting sqref="B6:B151">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7"/>
  <sheetViews>
    <sheetView zoomScale="160" zoomScaleNormal="160" workbookViewId="0">
      <pane ySplit="5" topLeftCell="A163" activePane="bottomLeft" state="frozen"/>
      <selection pane="bottomLeft" activeCell="A163" sqref="A163:C177"/>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24</v>
      </c>
      <c r="J1" s="47" t="s">
        <v>62</v>
      </c>
    </row>
    <row r="2" spans="1:10" x14ac:dyDescent="0.35">
      <c r="J2" s="47" t="s">
        <v>66</v>
      </c>
    </row>
    <row r="4" spans="1:10" ht="16" customHeight="1" thickBot="1" x14ac:dyDescent="0.4"/>
    <row r="5" spans="1:10" ht="16" customHeight="1" thickBot="1" x14ac:dyDescent="0.4">
      <c r="A5" s="12" t="s">
        <v>33</v>
      </c>
      <c r="B5" s="13" t="s">
        <v>60</v>
      </c>
      <c r="C5" s="13" t="s">
        <v>61</v>
      </c>
    </row>
    <row r="6" spans="1:10" x14ac:dyDescent="0.35">
      <c r="A6" s="10">
        <v>39661</v>
      </c>
      <c r="B6" s="11">
        <f>IF(VLOOKUP(A6,'DB Country PMI'!$A:$W,MATCH($A$1,'DB Country PMI'!$A$1:$W$1,),)=0,#N/A,VLOOKUP(A6,'DB Country PMI'!$A:$W,MATCH($A$1,'DB Country PMI'!$A$1:$W$1,),))</f>
        <v>48</v>
      </c>
      <c r="C6" s="11"/>
    </row>
    <row r="7" spans="1:10" x14ac:dyDescent="0.35">
      <c r="A7" s="8">
        <v>39692</v>
      </c>
      <c r="B7" s="11">
        <f>IF(VLOOKUP(A7,'DB Country PMI'!$A:$W,MATCH($A$1,'DB Country PMI'!$A$1:$W$1,),)=0,#N/A,VLOOKUP(A7,'DB Country PMI'!$A:$W,MATCH($A$1,'DB Country PMI'!$A$1:$W$1,),))</f>
        <v>50.1</v>
      </c>
      <c r="C7" s="14">
        <f>Table1346811345[[#This Row],[PMI]]-B6</f>
        <v>2.1000000000000014</v>
      </c>
    </row>
    <row r="8" spans="1:10" x14ac:dyDescent="0.35">
      <c r="A8" s="8">
        <v>39722</v>
      </c>
      <c r="B8" s="11">
        <f>IF(VLOOKUP(A8,'DB Country PMI'!$A:$W,MATCH($A$1,'DB Country PMI'!$A$1:$W$1,),)=0,#N/A,VLOOKUP(A8,'DB Country PMI'!$A:$W,MATCH($A$1,'DB Country PMI'!$A$1:$W$1,),))</f>
        <v>47.5</v>
      </c>
      <c r="C8" s="14">
        <f>Table1346811345[[#This Row],[PMI]]-B7</f>
        <v>-2.6000000000000014</v>
      </c>
    </row>
    <row r="9" spans="1:10" x14ac:dyDescent="0.35">
      <c r="A9" s="8">
        <v>39753</v>
      </c>
      <c r="B9" s="11">
        <f>IF(VLOOKUP(A9,'DB Country PMI'!$A:$W,MATCH($A$1,'DB Country PMI'!$A$1:$W$1,),)=0,#N/A,VLOOKUP(A9,'DB Country PMI'!$A:$W,MATCH($A$1,'DB Country PMI'!$A$1:$W$1,),))</f>
        <v>46.2</v>
      </c>
      <c r="C9" s="14">
        <f>Table1346811345[[#This Row],[PMI]]-B8</f>
        <v>-1.2999999999999972</v>
      </c>
    </row>
    <row r="10" spans="1:10" x14ac:dyDescent="0.35">
      <c r="A10" s="8">
        <v>39783</v>
      </c>
      <c r="B10" s="11">
        <f>IF(VLOOKUP(A10,'DB Country PMI'!$A:$W,MATCH($A$1,'DB Country PMI'!$A$1:$W$1,),)=0,#N/A,VLOOKUP(A10,'DB Country PMI'!$A:$W,MATCH($A$1,'DB Country PMI'!$A$1:$W$1,),))</f>
        <v>44.2</v>
      </c>
      <c r="C10" s="14">
        <f>Table1346811345[[#This Row],[PMI]]-B9</f>
        <v>-2</v>
      </c>
    </row>
    <row r="11" spans="1:10" x14ac:dyDescent="0.35">
      <c r="A11" s="8">
        <v>39814</v>
      </c>
      <c r="B11" s="11">
        <f>IF(VLOOKUP(A11,'DB Country PMI'!$A:$W,MATCH($A$1,'DB Country PMI'!$A$1:$W$1,),)=0,#N/A,VLOOKUP(A11,'DB Country PMI'!$A:$W,MATCH($A$1,'DB Country PMI'!$A$1:$W$1,),))</f>
        <v>42.6</v>
      </c>
      <c r="C11" s="14">
        <f>Table1346811345[[#This Row],[PMI]]-B10</f>
        <v>-1.6000000000000014</v>
      </c>
    </row>
    <row r="12" spans="1:10" x14ac:dyDescent="0.35">
      <c r="A12" s="8">
        <v>39845</v>
      </c>
      <c r="B12" s="11">
        <f>IF(VLOOKUP(A12,'DB Country PMI'!$A:$W,MATCH($A$1,'DB Country PMI'!$A$1:$W$1,),)=0,#N/A,VLOOKUP(A12,'DB Country PMI'!$A:$W,MATCH($A$1,'DB Country PMI'!$A$1:$W$1,),))</f>
        <v>40.200000000000003</v>
      </c>
      <c r="C12" s="14">
        <f>Table1346811345[[#This Row],[PMI]]-B11</f>
        <v>-2.3999999999999986</v>
      </c>
    </row>
    <row r="13" spans="1:10" x14ac:dyDescent="0.35">
      <c r="A13" s="8">
        <v>39873</v>
      </c>
      <c r="B13" s="11">
        <f>IF(VLOOKUP(A13,'DB Country PMI'!$A:$W,MATCH($A$1,'DB Country PMI'!$A$1:$W$1,),)=0,#N/A,VLOOKUP(A13,'DB Country PMI'!$A:$W,MATCH($A$1,'DB Country PMI'!$A$1:$W$1,),))</f>
        <v>43.6</v>
      </c>
      <c r="C13" s="14">
        <f>Table1346811345[[#This Row],[PMI]]-B12</f>
        <v>3.3999999999999986</v>
      </c>
    </row>
    <row r="14" spans="1:10" x14ac:dyDescent="0.35">
      <c r="A14" s="8">
        <v>39904</v>
      </c>
      <c r="B14" s="11">
        <f>IF(VLOOKUP(A14,'DB Country PMI'!$A:$W,MATCH($A$1,'DB Country PMI'!$A$1:$W$1,),)=0,#N/A,VLOOKUP(A14,'DB Country PMI'!$A:$W,MATCH($A$1,'DB Country PMI'!$A$1:$W$1,),))</f>
        <v>46.5</v>
      </c>
      <c r="C14" s="14">
        <f>Table1346811345[[#This Row],[PMI]]-B13</f>
        <v>2.8999999999999986</v>
      </c>
    </row>
    <row r="15" spans="1:10" x14ac:dyDescent="0.35">
      <c r="A15" s="8">
        <v>39934</v>
      </c>
      <c r="B15" s="11">
        <f>IF(VLOOKUP(A15,'DB Country PMI'!$A:$W,MATCH($A$1,'DB Country PMI'!$A$1:$W$1,),)=0,#N/A,VLOOKUP(A15,'DB Country PMI'!$A:$W,MATCH($A$1,'DB Country PMI'!$A$1:$W$1,),))</f>
        <v>48.3</v>
      </c>
      <c r="C15" s="14">
        <f>Table1346811345[[#This Row],[PMI]]-B14</f>
        <v>1.7999999999999972</v>
      </c>
    </row>
    <row r="16" spans="1:10" x14ac:dyDescent="0.35">
      <c r="A16" s="8">
        <v>39965</v>
      </c>
      <c r="B16" s="11">
        <f>IF(VLOOKUP(A16,'DB Country PMI'!$A:$W,MATCH($A$1,'DB Country PMI'!$A$1:$W$1,),)=0,#N/A,VLOOKUP(A16,'DB Country PMI'!$A:$W,MATCH($A$1,'DB Country PMI'!$A$1:$W$1,),))</f>
        <v>47.2</v>
      </c>
      <c r="C16" s="14">
        <f>Table1346811345[[#This Row],[PMI]]-B15</f>
        <v>-1.0999999999999943</v>
      </c>
    </row>
    <row r="17" spans="1:3" x14ac:dyDescent="0.35">
      <c r="A17" s="8">
        <v>39995</v>
      </c>
      <c r="B17" s="11">
        <f>IF(VLOOKUP(A17,'DB Country PMI'!$A:$W,MATCH($A$1,'DB Country PMI'!$A$1:$W$1,),)=0,#N/A,VLOOKUP(A17,'DB Country PMI'!$A:$W,MATCH($A$1,'DB Country PMI'!$A$1:$W$1,),))</f>
        <v>45.5</v>
      </c>
      <c r="C17" s="14">
        <f>Table1346811345[[#This Row],[PMI]]-B16</f>
        <v>-1.7000000000000028</v>
      </c>
    </row>
    <row r="18" spans="1:3" x14ac:dyDescent="0.35">
      <c r="A18" s="8">
        <v>40026</v>
      </c>
      <c r="B18" s="11">
        <f>IF(VLOOKUP(A18,'DB Country PMI'!$A:$W,MATCH($A$1,'DB Country PMI'!$A$1:$W$1,),)=0,#N/A,VLOOKUP(A18,'DB Country PMI'!$A:$W,MATCH($A$1,'DB Country PMI'!$A$1:$W$1,),))</f>
        <v>49.3</v>
      </c>
      <c r="C18" s="14">
        <f>Table1346811345[[#This Row],[PMI]]-B17</f>
        <v>3.7999999999999972</v>
      </c>
    </row>
    <row r="19" spans="1:3" x14ac:dyDescent="0.35">
      <c r="A19" s="8">
        <v>40057</v>
      </c>
      <c r="B19" s="11">
        <f>IF(VLOOKUP(A19,'DB Country PMI'!$A:$W,MATCH($A$1,'DB Country PMI'!$A$1:$W$1,),)=0,#N/A,VLOOKUP(A19,'DB Country PMI'!$A:$W,MATCH($A$1,'DB Country PMI'!$A$1:$W$1,),))</f>
        <v>53.2</v>
      </c>
      <c r="C19" s="14">
        <f>Table1346811345[[#This Row],[PMI]]-B18</f>
        <v>3.9000000000000057</v>
      </c>
    </row>
    <row r="20" spans="1:3" x14ac:dyDescent="0.35">
      <c r="A20" s="8">
        <v>40087</v>
      </c>
      <c r="B20" s="11">
        <f>IF(VLOOKUP(A20,'DB Country PMI'!$A:$W,MATCH($A$1,'DB Country PMI'!$A$1:$W$1,),)=0,#N/A,VLOOKUP(A20,'DB Country PMI'!$A:$W,MATCH($A$1,'DB Country PMI'!$A$1:$W$1,),))</f>
        <v>57.7</v>
      </c>
      <c r="C20" s="14">
        <f>Table1346811345[[#This Row],[PMI]]-B19</f>
        <v>4.5</v>
      </c>
    </row>
    <row r="21" spans="1:3" x14ac:dyDescent="0.35">
      <c r="A21" s="8">
        <v>40118</v>
      </c>
      <c r="B21" s="11">
        <f>IF(VLOOKUP(A21,'DB Country PMI'!$A:$W,MATCH($A$1,'DB Country PMI'!$A$1:$W$1,),)=0,#N/A,VLOOKUP(A21,'DB Country PMI'!$A:$W,MATCH($A$1,'DB Country PMI'!$A$1:$W$1,),))</f>
        <v>60.9</v>
      </c>
      <c r="C21" s="14">
        <f>Table1346811345[[#This Row],[PMI]]-B20</f>
        <v>3.1999999999999957</v>
      </c>
    </row>
    <row r="22" spans="1:3" x14ac:dyDescent="0.35">
      <c r="A22" s="8">
        <v>40148</v>
      </c>
      <c r="B22" s="11">
        <f>IF(VLOOKUP(A22,'DB Country PMI'!$A:$W,MATCH($A$1,'DB Country PMI'!$A$1:$W$1,),)=0,#N/A,VLOOKUP(A22,'DB Country PMI'!$A:$W,MATCH($A$1,'DB Country PMI'!$A$1:$W$1,),))</f>
        <v>58.2</v>
      </c>
      <c r="C22" s="14">
        <f>Table1346811345[[#This Row],[PMI]]-B21</f>
        <v>-2.6999999999999957</v>
      </c>
    </row>
    <row r="23" spans="1:3" x14ac:dyDescent="0.35">
      <c r="A23" s="8">
        <v>40179</v>
      </c>
      <c r="B23" s="11">
        <f>IF(VLOOKUP(A23,'DB Country PMI'!$A:$W,MATCH($A$1,'DB Country PMI'!$A$1:$W$1,),)=0,#N/A,VLOOKUP(A23,'DB Country PMI'!$A:$W,MATCH($A$1,'DB Country PMI'!$A$1:$W$1,),))</f>
        <v>56.3</v>
      </c>
      <c r="C23" s="14">
        <f>Table1346811345[[#This Row],[PMI]]-B22</f>
        <v>-1.9000000000000057</v>
      </c>
    </row>
    <row r="24" spans="1:3" x14ac:dyDescent="0.35">
      <c r="A24" s="8">
        <v>40210</v>
      </c>
      <c r="B24" s="11">
        <f>IF(VLOOKUP(A24,'DB Country PMI'!$A:$W,MATCH($A$1,'DB Country PMI'!$A$1:$W$1,),)=0,#N/A,VLOOKUP(A24,'DB Country PMI'!$A:$W,MATCH($A$1,'DB Country PMI'!$A$1:$W$1,),))</f>
        <v>54.6</v>
      </c>
      <c r="C24" s="14">
        <f>Table1346811345[[#This Row],[PMI]]-B23</f>
        <v>-1.6999999999999957</v>
      </c>
    </row>
    <row r="25" spans="1:3" x14ac:dyDescent="0.35">
      <c r="A25" s="8">
        <v>40238</v>
      </c>
      <c r="B25" s="11">
        <f>IF(VLOOKUP(A25,'DB Country PMI'!$A:$W,MATCH($A$1,'DB Country PMI'!$A$1:$W$1,),)=0,#N/A,VLOOKUP(A25,'DB Country PMI'!$A:$W,MATCH($A$1,'DB Country PMI'!$A$1:$W$1,),))</f>
        <v>53.8</v>
      </c>
      <c r="C25" s="14">
        <f>Table1346811345[[#This Row],[PMI]]-B24</f>
        <v>-0.80000000000000426</v>
      </c>
    </row>
    <row r="26" spans="1:3" x14ac:dyDescent="0.35">
      <c r="A26" s="8">
        <v>40269</v>
      </c>
      <c r="B26" s="11">
        <f>IF(VLOOKUP(A26,'DB Country PMI'!$A:$W,MATCH($A$1,'DB Country PMI'!$A$1:$W$1,),)=0,#N/A,VLOOKUP(A26,'DB Country PMI'!$A:$W,MATCH($A$1,'DB Country PMI'!$A$1:$W$1,),))</f>
        <v>59.2</v>
      </c>
      <c r="C26" s="14">
        <f>Table1346811345[[#This Row],[PMI]]-B25</f>
        <v>5.4000000000000057</v>
      </c>
    </row>
    <row r="27" spans="1:3" x14ac:dyDescent="0.35">
      <c r="A27" s="8">
        <v>40299</v>
      </c>
      <c r="B27" s="11">
        <f>IF(VLOOKUP(A27,'DB Country PMI'!$A:$W,MATCH($A$1,'DB Country PMI'!$A$1:$W$1,),)=0,#N/A,VLOOKUP(A27,'DB Country PMI'!$A:$W,MATCH($A$1,'DB Country PMI'!$A$1:$W$1,),))</f>
        <v>61.4</v>
      </c>
      <c r="C27" s="14">
        <f>Table1346811345[[#This Row],[PMI]]-B26</f>
        <v>2.1999999999999957</v>
      </c>
    </row>
    <row r="28" spans="1:3" x14ac:dyDescent="0.35">
      <c r="A28" s="8">
        <v>40330</v>
      </c>
      <c r="B28" s="11">
        <f>IF(VLOOKUP(A28,'DB Country PMI'!$A:$W,MATCH($A$1,'DB Country PMI'!$A$1:$W$1,),)=0,#N/A,VLOOKUP(A28,'DB Country PMI'!$A:$W,MATCH($A$1,'DB Country PMI'!$A$1:$W$1,),))</f>
        <v>60.8</v>
      </c>
      <c r="C28" s="14">
        <f>Table1346811345[[#This Row],[PMI]]-B27</f>
        <v>-0.60000000000000142</v>
      </c>
    </row>
    <row r="29" spans="1:3" x14ac:dyDescent="0.35">
      <c r="A29" s="8">
        <v>40360</v>
      </c>
      <c r="B29" s="11">
        <f>IF(VLOOKUP(A29,'DB Country PMI'!$A:$W,MATCH($A$1,'DB Country PMI'!$A$1:$W$1,),)=0,#N/A,VLOOKUP(A29,'DB Country PMI'!$A:$W,MATCH($A$1,'DB Country PMI'!$A$1:$W$1,),))</f>
        <v>61.1</v>
      </c>
      <c r="C29" s="14">
        <f>Table1346811345[[#This Row],[PMI]]-B28</f>
        <v>0.30000000000000426</v>
      </c>
    </row>
    <row r="30" spans="1:3" x14ac:dyDescent="0.35">
      <c r="A30" s="8">
        <v>40391</v>
      </c>
      <c r="B30" s="11">
        <f>IF(VLOOKUP(A30,'DB Country PMI'!$A:$W,MATCH($A$1,'DB Country PMI'!$A$1:$W$1,),)=0,#N/A,VLOOKUP(A30,'DB Country PMI'!$A:$W,MATCH($A$1,'DB Country PMI'!$A$1:$W$1,),))</f>
        <v>60.4</v>
      </c>
      <c r="C30" s="14">
        <f>Table1346811345[[#This Row],[PMI]]-B29</f>
        <v>-0.70000000000000284</v>
      </c>
    </row>
    <row r="31" spans="1:3" x14ac:dyDescent="0.35">
      <c r="A31" s="8">
        <v>40422</v>
      </c>
      <c r="B31" s="11">
        <f>IF(VLOOKUP(A31,'DB Country PMI'!$A:$W,MATCH($A$1,'DB Country PMI'!$A$1:$W$1,),)=0,#N/A,VLOOKUP(A31,'DB Country PMI'!$A:$W,MATCH($A$1,'DB Country PMI'!$A$1:$W$1,),))</f>
        <v>58.2</v>
      </c>
      <c r="C31" s="14">
        <f>Table1346811345[[#This Row],[PMI]]-B30</f>
        <v>-2.1999999999999957</v>
      </c>
    </row>
    <row r="32" spans="1:3" x14ac:dyDescent="0.35">
      <c r="A32" s="8">
        <v>40452</v>
      </c>
      <c r="B32" s="11">
        <f>IF(VLOOKUP(A32,'DB Country PMI'!$A:$W,MATCH($A$1,'DB Country PMI'!$A$1:$W$1,),)=0,#N/A,VLOOKUP(A32,'DB Country PMI'!$A:$W,MATCH($A$1,'DB Country PMI'!$A$1:$W$1,),))</f>
        <v>54.8</v>
      </c>
      <c r="C32" s="14">
        <f>Table1346811345[[#This Row],[PMI]]-B31</f>
        <v>-3.4000000000000057</v>
      </c>
    </row>
    <row r="33" spans="1:3" x14ac:dyDescent="0.35">
      <c r="A33" s="8">
        <v>40483</v>
      </c>
      <c r="B33" s="11">
        <f>IF(VLOOKUP(A33,'DB Country PMI'!$A:$W,MATCH($A$1,'DB Country PMI'!$A$1:$W$1,),)=0,#N/A,VLOOKUP(A33,'DB Country PMI'!$A:$W,MATCH($A$1,'DB Country PMI'!$A$1:$W$1,),))</f>
        <v>55</v>
      </c>
      <c r="C33" s="14">
        <f>Table1346811345[[#This Row],[PMI]]-B32</f>
        <v>0.20000000000000284</v>
      </c>
    </row>
    <row r="34" spans="1:3" x14ac:dyDescent="0.35">
      <c r="A34" s="8">
        <v>40513</v>
      </c>
      <c r="B34" s="11">
        <f>IF(VLOOKUP(A34,'DB Country PMI'!$A:$W,MATCH($A$1,'DB Country PMI'!$A$1:$W$1,),)=0,#N/A,VLOOKUP(A34,'DB Country PMI'!$A:$W,MATCH($A$1,'DB Country PMI'!$A$1:$W$1,),))</f>
        <v>57.1</v>
      </c>
      <c r="C34" s="14">
        <f>Table1346811345[[#This Row],[PMI]]-B33</f>
        <v>2.1000000000000014</v>
      </c>
    </row>
    <row r="35" spans="1:3" x14ac:dyDescent="0.35">
      <c r="A35" s="8">
        <v>40544</v>
      </c>
      <c r="B35" s="11">
        <f>IF(VLOOKUP(A35,'DB Country PMI'!$A:$W,MATCH($A$1,'DB Country PMI'!$A$1:$W$1,),)=0,#N/A,VLOOKUP(A35,'DB Country PMI'!$A:$W,MATCH($A$1,'DB Country PMI'!$A$1:$W$1,),))</f>
        <v>58.3</v>
      </c>
      <c r="C35" s="14">
        <f>Table1346811345[[#This Row],[PMI]]-B34</f>
        <v>1.1999999999999957</v>
      </c>
    </row>
    <row r="36" spans="1:3" x14ac:dyDescent="0.35">
      <c r="A36" s="8">
        <v>40575</v>
      </c>
      <c r="B36" s="11">
        <f>IF(VLOOKUP(A36,'DB Country PMI'!$A:$W,MATCH($A$1,'DB Country PMI'!$A$1:$W$1,),)=0,#N/A,VLOOKUP(A36,'DB Country PMI'!$A:$W,MATCH($A$1,'DB Country PMI'!$A$1:$W$1,),))</f>
        <v>59.7</v>
      </c>
      <c r="C36" s="14">
        <f>Table1346811345[[#This Row],[PMI]]-B35</f>
        <v>1.4000000000000057</v>
      </c>
    </row>
    <row r="37" spans="1:3" x14ac:dyDescent="0.35">
      <c r="A37" s="8">
        <v>40603</v>
      </c>
      <c r="B37" s="11">
        <f>IF(VLOOKUP(A37,'DB Country PMI'!$A:$W,MATCH($A$1,'DB Country PMI'!$A$1:$W$1,),)=0,#N/A,VLOOKUP(A37,'DB Country PMI'!$A:$W,MATCH($A$1,'DB Country PMI'!$A$1:$W$1,),))</f>
        <v>60.4</v>
      </c>
      <c r="C37" s="14">
        <f>Table1346811345[[#This Row],[PMI]]-B36</f>
        <v>0.69999999999999574</v>
      </c>
    </row>
    <row r="38" spans="1:3" x14ac:dyDescent="0.35">
      <c r="A38" s="8">
        <v>40634</v>
      </c>
      <c r="B38" s="11">
        <f>IF(VLOOKUP(A38,'DB Country PMI'!$A:$W,MATCH($A$1,'DB Country PMI'!$A$1:$W$1,),)=0,#N/A,VLOOKUP(A38,'DB Country PMI'!$A:$W,MATCH($A$1,'DB Country PMI'!$A$1:$W$1,),))</f>
        <v>62.9</v>
      </c>
      <c r="C38" s="14">
        <f>Table1346811345[[#This Row],[PMI]]-B37</f>
        <v>2.5</v>
      </c>
    </row>
    <row r="39" spans="1:3" x14ac:dyDescent="0.35">
      <c r="A39" s="8">
        <v>40664</v>
      </c>
      <c r="B39" s="11">
        <f>IF(VLOOKUP(A39,'DB Country PMI'!$A:$W,MATCH($A$1,'DB Country PMI'!$A$1:$W$1,),)=0,#N/A,VLOOKUP(A39,'DB Country PMI'!$A:$W,MATCH($A$1,'DB Country PMI'!$A$1:$W$1,),))</f>
        <v>62.5</v>
      </c>
      <c r="C39" s="14">
        <f>Table1346811345[[#This Row],[PMI]]-B38</f>
        <v>-0.39999999999999858</v>
      </c>
    </row>
    <row r="40" spans="1:3" x14ac:dyDescent="0.35">
      <c r="A40" s="8">
        <v>40695</v>
      </c>
      <c r="B40" s="11">
        <f>IF(VLOOKUP(A40,'DB Country PMI'!$A:$W,MATCH($A$1,'DB Country PMI'!$A$1:$W$1,),)=0,#N/A,VLOOKUP(A40,'DB Country PMI'!$A:$W,MATCH($A$1,'DB Country PMI'!$A$1:$W$1,),))</f>
        <v>56.1</v>
      </c>
      <c r="C40" s="14">
        <f>Table1346811345[[#This Row],[PMI]]-B39</f>
        <v>-6.3999999999999986</v>
      </c>
    </row>
    <row r="41" spans="1:3" x14ac:dyDescent="0.35">
      <c r="A41" s="8">
        <v>40725</v>
      </c>
      <c r="B41" s="11">
        <f>IF(VLOOKUP(A41,'DB Country PMI'!$A:$W,MATCH($A$1,'DB Country PMI'!$A$1:$W$1,),)=0,#N/A,VLOOKUP(A41,'DB Country PMI'!$A:$W,MATCH($A$1,'DB Country PMI'!$A$1:$W$1,),))</f>
        <v>54.2</v>
      </c>
      <c r="C41" s="14">
        <f>Table1346811345[[#This Row],[PMI]]-B40</f>
        <v>-1.8999999999999986</v>
      </c>
    </row>
    <row r="42" spans="1:3" x14ac:dyDescent="0.35">
      <c r="A42" s="8">
        <v>40756</v>
      </c>
      <c r="B42" s="11">
        <f>IF(VLOOKUP(A42,'DB Country PMI'!$A:$W,MATCH($A$1,'DB Country PMI'!$A$1:$W$1,),)=0,#N/A,VLOOKUP(A42,'DB Country PMI'!$A:$W,MATCH($A$1,'DB Country PMI'!$A$1:$W$1,),))</f>
        <v>52.3</v>
      </c>
      <c r="C42" s="14">
        <f>Table1346811345[[#This Row],[PMI]]-B41</f>
        <v>-1.9000000000000057</v>
      </c>
    </row>
    <row r="43" spans="1:3" x14ac:dyDescent="0.35">
      <c r="A43" s="8">
        <v>40787</v>
      </c>
      <c r="B43" s="11">
        <f>IF(VLOOKUP(A43,'DB Country PMI'!$A:$W,MATCH($A$1,'DB Country PMI'!$A$1:$W$1,),)=0,#N/A,VLOOKUP(A43,'DB Country PMI'!$A:$W,MATCH($A$1,'DB Country PMI'!$A$1:$W$1,),))</f>
        <v>51.5</v>
      </c>
      <c r="C43" s="14">
        <f>Table1346811345[[#This Row],[PMI]]-B42</f>
        <v>-0.79999999999999716</v>
      </c>
    </row>
    <row r="44" spans="1:3" x14ac:dyDescent="0.35">
      <c r="A44" s="8">
        <v>40817</v>
      </c>
      <c r="B44" s="11">
        <f>IF(VLOOKUP(A44,'DB Country PMI'!$A:$W,MATCH($A$1,'DB Country PMI'!$A$1:$W$1,),)=0,#N/A,VLOOKUP(A44,'DB Country PMI'!$A:$W,MATCH($A$1,'DB Country PMI'!$A$1:$W$1,),))</f>
        <v>44.6</v>
      </c>
      <c r="C44" s="14">
        <f>Table1346811345[[#This Row],[PMI]]-B43</f>
        <v>-6.8999999999999986</v>
      </c>
    </row>
    <row r="45" spans="1:3" x14ac:dyDescent="0.35">
      <c r="A45" s="8">
        <v>40848</v>
      </c>
      <c r="B45" s="11">
        <f>IF(VLOOKUP(A45,'DB Country PMI'!$A:$W,MATCH($A$1,'DB Country PMI'!$A$1:$W$1,),)=0,#N/A,VLOOKUP(A45,'DB Country PMI'!$A:$W,MATCH($A$1,'DB Country PMI'!$A$1:$W$1,),))</f>
        <v>49.6</v>
      </c>
      <c r="C45" s="14">
        <f>Table1346811345[[#This Row],[PMI]]-B44</f>
        <v>5</v>
      </c>
    </row>
    <row r="46" spans="1:3" x14ac:dyDescent="0.35">
      <c r="A46" s="8">
        <v>40878</v>
      </c>
      <c r="B46" s="11">
        <f>IF(VLOOKUP(A46,'DB Country PMI'!$A:$W,MATCH($A$1,'DB Country PMI'!$A$1:$W$1,),)=0,#N/A,VLOOKUP(A46,'DB Country PMI'!$A:$W,MATCH($A$1,'DB Country PMI'!$A$1:$W$1,),))</f>
        <v>50.3</v>
      </c>
      <c r="C46" s="14">
        <f>Table1346811345[[#This Row],[PMI]]-B45</f>
        <v>0.69999999999999574</v>
      </c>
    </row>
    <row r="47" spans="1:3" x14ac:dyDescent="0.35">
      <c r="A47" s="8">
        <v>40909</v>
      </c>
      <c r="B47" s="11">
        <f>IF(VLOOKUP(A47,'DB Country PMI'!$A:$W,MATCH($A$1,'DB Country PMI'!$A$1:$W$1,),)=0,#N/A,VLOOKUP(A47,'DB Country PMI'!$A:$W,MATCH($A$1,'DB Country PMI'!$A$1:$W$1,),))</f>
        <v>52.3</v>
      </c>
      <c r="C47" s="14">
        <f>Table1346811345[[#This Row],[PMI]]-B46</f>
        <v>2</v>
      </c>
    </row>
    <row r="48" spans="1:3" x14ac:dyDescent="0.35">
      <c r="A48" s="8">
        <v>40940</v>
      </c>
      <c r="B48" s="11">
        <f>IF(VLOOKUP(A48,'DB Country PMI'!$A:$W,MATCH($A$1,'DB Country PMI'!$A$1:$W$1,),)=0,#N/A,VLOOKUP(A48,'DB Country PMI'!$A:$W,MATCH($A$1,'DB Country PMI'!$A$1:$W$1,),))</f>
        <v>50</v>
      </c>
      <c r="C48" s="14">
        <f>Table1346811345[[#This Row],[PMI]]-B47</f>
        <v>-2.2999999999999972</v>
      </c>
    </row>
    <row r="49" spans="1:3" x14ac:dyDescent="0.35">
      <c r="A49" s="8">
        <v>40969</v>
      </c>
      <c r="B49" s="11">
        <f>IF(VLOOKUP(A49,'DB Country PMI'!$A:$W,MATCH($A$1,'DB Country PMI'!$A$1:$W$1,),)=0,#N/A,VLOOKUP(A49,'DB Country PMI'!$A:$W,MATCH($A$1,'DB Country PMI'!$A$1:$W$1,),))</f>
        <v>50.1</v>
      </c>
      <c r="C49" s="14">
        <f>Table1346811345[[#This Row],[PMI]]-B48</f>
        <v>0.10000000000000142</v>
      </c>
    </row>
    <row r="50" spans="1:3" x14ac:dyDescent="0.35">
      <c r="A50" s="8">
        <v>41000</v>
      </c>
      <c r="B50" s="11">
        <f>IF(VLOOKUP(A50,'DB Country PMI'!$A:$W,MATCH($A$1,'DB Country PMI'!$A$1:$W$1,),)=0,#N/A,VLOOKUP(A50,'DB Country PMI'!$A:$W,MATCH($A$1,'DB Country PMI'!$A$1:$W$1,),))</f>
        <v>45.2</v>
      </c>
      <c r="C50" s="14">
        <f>Table1346811345[[#This Row],[PMI]]-B49</f>
        <v>-4.8999999999999986</v>
      </c>
    </row>
    <row r="51" spans="1:3" x14ac:dyDescent="0.35">
      <c r="A51" s="8">
        <v>41030</v>
      </c>
      <c r="B51" s="11">
        <f>IF(VLOOKUP(A51,'DB Country PMI'!$A:$W,MATCH($A$1,'DB Country PMI'!$A$1:$W$1,),)=0,#N/A,VLOOKUP(A51,'DB Country PMI'!$A:$W,MATCH($A$1,'DB Country PMI'!$A$1:$W$1,),))</f>
        <v>45.1</v>
      </c>
      <c r="C51" s="14">
        <f>Table1346811345[[#This Row],[PMI]]-B50</f>
        <v>-0.10000000000000142</v>
      </c>
    </row>
    <row r="52" spans="1:3" x14ac:dyDescent="0.35">
      <c r="A52" s="8">
        <v>41061</v>
      </c>
      <c r="B52" s="11">
        <f>IF(VLOOKUP(A52,'DB Country PMI'!$A:$W,MATCH($A$1,'DB Country PMI'!$A$1:$W$1,),)=0,#N/A,VLOOKUP(A52,'DB Country PMI'!$A:$W,MATCH($A$1,'DB Country PMI'!$A$1:$W$1,),))</f>
        <v>47.9</v>
      </c>
      <c r="C52" s="14">
        <f>Table1346811345[[#This Row],[PMI]]-B51</f>
        <v>2.7999999999999972</v>
      </c>
    </row>
    <row r="53" spans="1:3" x14ac:dyDescent="0.35">
      <c r="A53" s="8">
        <v>41091</v>
      </c>
      <c r="B53" s="11">
        <f>IF(VLOOKUP(A53,'DB Country PMI'!$A:$W,MATCH($A$1,'DB Country PMI'!$A$1:$W$1,),)=0,#N/A,VLOOKUP(A53,'DB Country PMI'!$A:$W,MATCH($A$1,'DB Country PMI'!$A$1:$W$1,),))</f>
        <v>50</v>
      </c>
      <c r="C53" s="14">
        <f>Table1346811345[[#This Row],[PMI]]-B52</f>
        <v>2.1000000000000014</v>
      </c>
    </row>
    <row r="54" spans="1:3" x14ac:dyDescent="0.35">
      <c r="A54" s="8">
        <v>41122</v>
      </c>
      <c r="B54" s="11">
        <f>IF(VLOOKUP(A54,'DB Country PMI'!$A:$W,MATCH($A$1,'DB Country PMI'!$A$1:$W$1,),)=0,#N/A,VLOOKUP(A54,'DB Country PMI'!$A:$W,MATCH($A$1,'DB Country PMI'!$A$1:$W$1,),))</f>
        <v>49.2</v>
      </c>
      <c r="C54" s="14">
        <f>Table1346811345[[#This Row],[PMI]]-B53</f>
        <v>-0.79999999999999716</v>
      </c>
    </row>
    <row r="55" spans="1:3" x14ac:dyDescent="0.35">
      <c r="A55" s="8">
        <v>41153</v>
      </c>
      <c r="B55" s="11">
        <f>IF(VLOOKUP(A55,'DB Country PMI'!$A:$W,MATCH($A$1,'DB Country PMI'!$A$1:$W$1,),)=0,#N/A,VLOOKUP(A55,'DB Country PMI'!$A:$W,MATCH($A$1,'DB Country PMI'!$A$1:$W$1,),))</f>
        <v>45</v>
      </c>
      <c r="C55" s="14">
        <f>Table1346811345[[#This Row],[PMI]]-B54</f>
        <v>-4.2000000000000028</v>
      </c>
    </row>
    <row r="56" spans="1:3" x14ac:dyDescent="0.35">
      <c r="A56" s="8">
        <v>41183</v>
      </c>
      <c r="B56" s="11">
        <f>IF(VLOOKUP(A56,'DB Country PMI'!$A:$W,MATCH($A$1,'DB Country PMI'!$A$1:$W$1,),)=0,#N/A,VLOOKUP(A56,'DB Country PMI'!$A:$W,MATCH($A$1,'DB Country PMI'!$A$1:$W$1,),))</f>
        <v>44.6</v>
      </c>
      <c r="C56" s="14">
        <f>Table1346811345[[#This Row],[PMI]]-B55</f>
        <v>-0.39999999999999858</v>
      </c>
    </row>
    <row r="57" spans="1:3" x14ac:dyDescent="0.35">
      <c r="A57" s="8">
        <v>41214</v>
      </c>
      <c r="B57" s="11">
        <f>IF(VLOOKUP(A57,'DB Country PMI'!$A:$W,MATCH($A$1,'DB Country PMI'!$A$1:$W$1,),)=0,#N/A,VLOOKUP(A57,'DB Country PMI'!$A:$W,MATCH($A$1,'DB Country PMI'!$A$1:$W$1,),))</f>
        <v>45.8</v>
      </c>
      <c r="C57" s="14">
        <f>Table1346811345[[#This Row],[PMI]]-B56</f>
        <v>1.1999999999999957</v>
      </c>
    </row>
    <row r="58" spans="1:3" x14ac:dyDescent="0.35">
      <c r="A58" s="8">
        <v>41244</v>
      </c>
      <c r="B58" s="11">
        <f>IF(VLOOKUP(A58,'DB Country PMI'!$A:$W,MATCH($A$1,'DB Country PMI'!$A$1:$W$1,),)=0,#N/A,VLOOKUP(A58,'DB Country PMI'!$A:$W,MATCH($A$1,'DB Country PMI'!$A$1:$W$1,),))</f>
        <v>44.1</v>
      </c>
      <c r="C58" s="14">
        <f>Table1346811345[[#This Row],[PMI]]-B57</f>
        <v>-1.6999999999999957</v>
      </c>
    </row>
    <row r="59" spans="1:3" x14ac:dyDescent="0.35">
      <c r="A59" s="8">
        <v>41275</v>
      </c>
      <c r="B59" s="11">
        <f>IF(VLOOKUP(A59,'DB Country PMI'!$A:$W,MATCH($A$1,'DB Country PMI'!$A$1:$W$1,),)=0,#N/A,VLOOKUP(A59,'DB Country PMI'!$A:$W,MATCH($A$1,'DB Country PMI'!$A$1:$W$1,),))</f>
        <v>43.6</v>
      </c>
      <c r="C59" s="14">
        <f>Table1346811345[[#This Row],[PMI]]-B58</f>
        <v>-0.5</v>
      </c>
    </row>
    <row r="60" spans="1:3" x14ac:dyDescent="0.35">
      <c r="A60" s="8">
        <v>41306</v>
      </c>
      <c r="B60" s="11">
        <f>IF(VLOOKUP(A60,'DB Country PMI'!$A:$W,MATCH($A$1,'DB Country PMI'!$A$1:$W$1,),)=0,#N/A,VLOOKUP(A60,'DB Country PMI'!$A:$W,MATCH($A$1,'DB Country PMI'!$A$1:$W$1,),))</f>
        <v>43.7</v>
      </c>
      <c r="C60" s="14">
        <f>Table1346811345[[#This Row],[PMI]]-B59</f>
        <v>0.10000000000000142</v>
      </c>
    </row>
    <row r="61" spans="1:3" x14ac:dyDescent="0.35">
      <c r="A61" s="8">
        <v>41334</v>
      </c>
      <c r="B61" s="11">
        <f>IF(VLOOKUP(A61,'DB Country PMI'!$A:$W,MATCH($A$1,'DB Country PMI'!$A$1:$W$1,),)=0,#N/A,VLOOKUP(A61,'DB Country PMI'!$A:$W,MATCH($A$1,'DB Country PMI'!$A$1:$W$1,),))</f>
        <v>41.3</v>
      </c>
      <c r="C61" s="14">
        <f>Table1346811345[[#This Row],[PMI]]-B60</f>
        <v>-2.4000000000000057</v>
      </c>
    </row>
    <row r="62" spans="1:3" x14ac:dyDescent="0.35">
      <c r="A62" s="8">
        <v>41365</v>
      </c>
      <c r="B62" s="11">
        <f>IF(VLOOKUP(A62,'DB Country PMI'!$A:$W,MATCH($A$1,'DB Country PMI'!$A$1:$W$1,),)=0,#N/A,VLOOKUP(A62,'DB Country PMI'!$A:$W,MATCH($A$1,'DB Country PMI'!$A$1:$W$1,),))</f>
        <v>44.3</v>
      </c>
      <c r="C62" s="14">
        <f>Table1346811345[[#This Row],[PMI]]-B61</f>
        <v>3</v>
      </c>
    </row>
    <row r="63" spans="1:3" x14ac:dyDescent="0.35">
      <c r="A63" s="8">
        <v>41395</v>
      </c>
      <c r="B63" s="11">
        <f>IF(VLOOKUP(A63,'DB Country PMI'!$A:$W,MATCH($A$1,'DB Country PMI'!$A$1:$W$1,),)=0,#N/A,VLOOKUP(A63,'DB Country PMI'!$A:$W,MATCH($A$1,'DB Country PMI'!$A$1:$W$1,),))</f>
        <v>44.3</v>
      </c>
      <c r="C63" s="14">
        <f>Table1346811345[[#This Row],[PMI]]-B62</f>
        <v>0</v>
      </c>
    </row>
    <row r="64" spans="1:3" x14ac:dyDescent="0.35">
      <c r="A64" s="8">
        <v>41426</v>
      </c>
      <c r="B64" s="11">
        <f>IF(VLOOKUP(A64,'DB Country PMI'!$A:$W,MATCH($A$1,'DB Country PMI'!$A$1:$W$1,),)=0,#N/A,VLOOKUP(A64,'DB Country PMI'!$A:$W,MATCH($A$1,'DB Country PMI'!$A$1:$W$1,),))</f>
        <v>47.2</v>
      </c>
      <c r="C64" s="14">
        <f>Table1346811345[[#This Row],[PMI]]-B63</f>
        <v>2.9000000000000057</v>
      </c>
    </row>
    <row r="65" spans="1:3" x14ac:dyDescent="0.35">
      <c r="A65" s="8">
        <v>41456</v>
      </c>
      <c r="B65" s="11">
        <f>IF(VLOOKUP(A65,'DB Country PMI'!$A:$W,MATCH($A$1,'DB Country PMI'!$A$1:$W$1,),)=0,#N/A,VLOOKUP(A65,'DB Country PMI'!$A:$W,MATCH($A$1,'DB Country PMI'!$A$1:$W$1,),))</f>
        <v>48.6</v>
      </c>
      <c r="C65" s="14">
        <f>Table1346811345[[#This Row],[PMI]]-B64</f>
        <v>1.3999999999999986</v>
      </c>
    </row>
    <row r="66" spans="1:3" x14ac:dyDescent="0.35">
      <c r="A66" s="8">
        <v>41487</v>
      </c>
      <c r="B66" s="11">
        <f>IF(VLOOKUP(A66,'DB Country PMI'!$A:$W,MATCH($A$1,'DB Country PMI'!$A$1:$W$1,),)=0,#N/A,VLOOKUP(A66,'DB Country PMI'!$A:$W,MATCH($A$1,'DB Country PMI'!$A$1:$W$1,),))</f>
        <v>48.9</v>
      </c>
      <c r="C66" s="14">
        <f>Table1346811345[[#This Row],[PMI]]-B65</f>
        <v>0.29999999999999716</v>
      </c>
    </row>
    <row r="67" spans="1:3" x14ac:dyDescent="0.35">
      <c r="A67" s="8">
        <v>41518</v>
      </c>
      <c r="B67" s="11">
        <f>IF(VLOOKUP(A67,'DB Country PMI'!$A:$W,MATCH($A$1,'DB Country PMI'!$A$1:$W$1,),)=0,#N/A,VLOOKUP(A67,'DB Country PMI'!$A:$W,MATCH($A$1,'DB Country PMI'!$A$1:$W$1,),))</f>
        <v>51</v>
      </c>
      <c r="C67" s="14">
        <f>Table1346811345[[#This Row],[PMI]]-B66</f>
        <v>2.1000000000000014</v>
      </c>
    </row>
    <row r="68" spans="1:3" x14ac:dyDescent="0.35">
      <c r="A68" s="8">
        <v>41548</v>
      </c>
      <c r="B68" s="11">
        <f>IF(VLOOKUP(A68,'DB Country PMI'!$A:$W,MATCH($A$1,'DB Country PMI'!$A$1:$W$1,),)=0,#N/A,VLOOKUP(A68,'DB Country PMI'!$A:$W,MATCH($A$1,'DB Country PMI'!$A$1:$W$1,),))</f>
        <v>50.9</v>
      </c>
      <c r="C68" s="14">
        <f>Table1346811345[[#This Row],[PMI]]-B67</f>
        <v>-0.10000000000000142</v>
      </c>
    </row>
    <row r="69" spans="1:3" x14ac:dyDescent="0.35">
      <c r="A69" s="8">
        <v>41579</v>
      </c>
      <c r="B69" s="11">
        <f>IF(VLOOKUP(A69,'DB Country PMI'!$A:$W,MATCH($A$1,'DB Country PMI'!$A$1:$W$1,),)=0,#N/A,VLOOKUP(A69,'DB Country PMI'!$A:$W,MATCH($A$1,'DB Country PMI'!$A$1:$W$1,),))</f>
        <v>48</v>
      </c>
      <c r="C69" s="14">
        <f>Table1346811345[[#This Row],[PMI]]-B68</f>
        <v>-2.8999999999999986</v>
      </c>
    </row>
    <row r="70" spans="1:3" x14ac:dyDescent="0.35">
      <c r="A70" s="8">
        <v>41609</v>
      </c>
      <c r="B70" s="11">
        <f>IF(VLOOKUP(A70,'DB Country PMI'!$A:$W,MATCH($A$1,'DB Country PMI'!$A$1:$W$1,),)=0,#N/A,VLOOKUP(A70,'DB Country PMI'!$A:$W,MATCH($A$1,'DB Country PMI'!$A$1:$W$1,),))</f>
        <v>48.1</v>
      </c>
      <c r="C70" s="14">
        <f>Table1346811345[[#This Row],[PMI]]-B69</f>
        <v>0.10000000000000142</v>
      </c>
    </row>
    <row r="71" spans="1:3" x14ac:dyDescent="0.35">
      <c r="A71" s="8">
        <v>41640</v>
      </c>
      <c r="B71" s="11">
        <f>IF(VLOOKUP(A71,'DB Country PMI'!$A:$W,MATCH($A$1,'DB Country PMI'!$A$1:$W$1,),)=0,#N/A,VLOOKUP(A71,'DB Country PMI'!$A:$W,MATCH($A$1,'DB Country PMI'!$A$1:$W$1,),))</f>
        <v>48.9</v>
      </c>
      <c r="C71" s="14">
        <f>Table1346811345[[#This Row],[PMI]]-B70</f>
        <v>0.79999999999999716</v>
      </c>
    </row>
    <row r="72" spans="1:3" x14ac:dyDescent="0.35">
      <c r="A72" s="8">
        <v>41671</v>
      </c>
      <c r="B72" s="11">
        <f>IF(VLOOKUP(A72,'DB Country PMI'!$A:$W,MATCH($A$1,'DB Country PMI'!$A$1:$W$1,),)=0,#N/A,VLOOKUP(A72,'DB Country PMI'!$A:$W,MATCH($A$1,'DB Country PMI'!$A$1:$W$1,),))</f>
        <v>47.2</v>
      </c>
      <c r="C72" s="14">
        <f>Table1346811345[[#This Row],[PMI]]-B71</f>
        <v>-1.6999999999999957</v>
      </c>
    </row>
    <row r="73" spans="1:3" x14ac:dyDescent="0.35">
      <c r="A73" s="8">
        <v>41699</v>
      </c>
      <c r="B73" s="11">
        <f>IF(VLOOKUP(A73,'DB Country PMI'!$A:$W,MATCH($A$1,'DB Country PMI'!$A$1:$W$1,),)=0,#N/A,VLOOKUP(A73,'DB Country PMI'!$A:$W,MATCH($A$1,'DB Country PMI'!$A$1:$W$1,),))</f>
        <v>51.5</v>
      </c>
      <c r="C73" s="14">
        <f>Table1346811345[[#This Row],[PMI]]-B72</f>
        <v>4.2999999999999972</v>
      </c>
    </row>
    <row r="74" spans="1:3" x14ac:dyDescent="0.35">
      <c r="A74" s="8">
        <v>41730</v>
      </c>
      <c r="B74" s="11">
        <f>IF(VLOOKUP(A74,'DB Country PMI'!$A:$W,MATCH($A$1,'DB Country PMI'!$A$1:$W$1,),)=0,#N/A,VLOOKUP(A74,'DB Country PMI'!$A:$W,MATCH($A$1,'DB Country PMI'!$A$1:$W$1,),))</f>
        <v>50.4</v>
      </c>
      <c r="C74" s="14">
        <f>Table1346811345[[#This Row],[PMI]]-B73</f>
        <v>-1.1000000000000014</v>
      </c>
    </row>
    <row r="75" spans="1:3" x14ac:dyDescent="0.35">
      <c r="A75" s="8">
        <v>41760</v>
      </c>
      <c r="B75" s="11">
        <f>IF(VLOOKUP(A75,'DB Country PMI'!$A:$W,MATCH($A$1,'DB Country PMI'!$A$1:$W$1,),)=0,#N/A,VLOOKUP(A75,'DB Country PMI'!$A:$W,MATCH($A$1,'DB Country PMI'!$A$1:$W$1,),))</f>
        <v>49.1</v>
      </c>
      <c r="C75" s="14">
        <f>Table1346811345[[#This Row],[PMI]]-B74</f>
        <v>-1.2999999999999972</v>
      </c>
    </row>
    <row r="76" spans="1:3" x14ac:dyDescent="0.35">
      <c r="A76" s="8">
        <v>41791</v>
      </c>
      <c r="B76" s="11">
        <f>IF(VLOOKUP(A76,'DB Country PMI'!$A:$W,MATCH($A$1,'DB Country PMI'!$A$1:$W$1,),)=0,#N/A,VLOOKUP(A76,'DB Country PMI'!$A:$W,MATCH($A$1,'DB Country PMI'!$A$1:$W$1,),))</f>
        <v>48.2</v>
      </c>
      <c r="C76" s="14">
        <f>Table1346811345[[#This Row],[PMI]]-B75</f>
        <v>-0.89999999999999858</v>
      </c>
    </row>
    <row r="77" spans="1:3" x14ac:dyDescent="0.35">
      <c r="A77" s="8">
        <v>41821</v>
      </c>
      <c r="B77" s="11">
        <f>IF(VLOOKUP(A77,'DB Country PMI'!$A:$W,MATCH($A$1,'DB Country PMI'!$A$1:$W$1,),)=0,#N/A,VLOOKUP(A77,'DB Country PMI'!$A:$W,MATCH($A$1,'DB Country PMI'!$A$1:$W$1,),))</f>
        <v>50.4</v>
      </c>
      <c r="C77" s="14">
        <f>Table1346811345[[#This Row],[PMI]]-B76</f>
        <v>2.1999999999999957</v>
      </c>
    </row>
    <row r="78" spans="1:3" x14ac:dyDescent="0.35">
      <c r="A78" s="8">
        <v>41852</v>
      </c>
      <c r="B78" s="11">
        <f>IF(VLOOKUP(A78,'DB Country PMI'!$A:$W,MATCH($A$1,'DB Country PMI'!$A$1:$W$1,),)=0,#N/A,VLOOKUP(A78,'DB Country PMI'!$A:$W,MATCH($A$1,'DB Country PMI'!$A$1:$W$1,),))</f>
        <v>50.3</v>
      </c>
      <c r="C78" s="14">
        <f>Table1346811345[[#This Row],[PMI]]-B77</f>
        <v>-0.10000000000000142</v>
      </c>
    </row>
    <row r="79" spans="1:3" x14ac:dyDescent="0.35">
      <c r="A79" s="8">
        <v>41883</v>
      </c>
      <c r="B79" s="11">
        <f>IF(VLOOKUP(A79,'DB Country PMI'!$A:$W,MATCH($A$1,'DB Country PMI'!$A$1:$W$1,),)=0,#N/A,VLOOKUP(A79,'DB Country PMI'!$A:$W,MATCH($A$1,'DB Country PMI'!$A$1:$W$1,),))</f>
        <v>48.4</v>
      </c>
      <c r="C79" s="14">
        <f>Table1346811345[[#This Row],[PMI]]-B78</f>
        <v>-1.8999999999999986</v>
      </c>
    </row>
    <row r="80" spans="1:3" x14ac:dyDescent="0.35">
      <c r="A80" s="8">
        <v>41913</v>
      </c>
      <c r="B80" s="11">
        <f>IF(VLOOKUP(A80,'DB Country PMI'!$A:$W,MATCH($A$1,'DB Country PMI'!$A$1:$W$1,),)=0,#N/A,VLOOKUP(A80,'DB Country PMI'!$A:$W,MATCH($A$1,'DB Country PMI'!$A$1:$W$1,),))</f>
        <v>48.3</v>
      </c>
      <c r="C80" s="14">
        <f>Table1346811345[[#This Row],[PMI]]-B79</f>
        <v>-0.10000000000000142</v>
      </c>
    </row>
    <row r="81" spans="1:3" x14ac:dyDescent="0.35">
      <c r="A81" s="8">
        <v>41944</v>
      </c>
      <c r="B81" s="11">
        <f>IF(VLOOKUP(A81,'DB Country PMI'!$A:$W,MATCH($A$1,'DB Country PMI'!$A$1:$W$1,),)=0,#N/A,VLOOKUP(A81,'DB Country PMI'!$A:$W,MATCH($A$1,'DB Country PMI'!$A$1:$W$1,),))</f>
        <v>47.9</v>
      </c>
      <c r="C81" s="14">
        <f>Table1346811345[[#This Row],[PMI]]-B80</f>
        <v>-0.39999999999999858</v>
      </c>
    </row>
    <row r="82" spans="1:3" x14ac:dyDescent="0.35">
      <c r="A82" s="8">
        <v>41974</v>
      </c>
      <c r="B82" s="11">
        <f>IF(VLOOKUP(A82,'DB Country PMI'!$A:$W,MATCH($A$1,'DB Country PMI'!$A$1:$W$1,),)=0,#N/A,VLOOKUP(A82,'DB Country PMI'!$A:$W,MATCH($A$1,'DB Country PMI'!$A$1:$W$1,),))</f>
        <v>50.6</v>
      </c>
      <c r="C82" s="14">
        <f>Table1346811345[[#This Row],[PMI]]-B81</f>
        <v>2.7000000000000028</v>
      </c>
    </row>
    <row r="83" spans="1:3" x14ac:dyDescent="0.35">
      <c r="A83" s="8">
        <v>42005</v>
      </c>
      <c r="B83" s="11">
        <f>IF(VLOOKUP(A83,'DB Country PMI'!$A:$W,MATCH($A$1,'DB Country PMI'!$A$1:$W$1,),)=0,#N/A,VLOOKUP(A83,'DB Country PMI'!$A:$W,MATCH($A$1,'DB Country PMI'!$A$1:$W$1,),))</f>
        <v>49.4</v>
      </c>
      <c r="C83" s="14">
        <f>Table1346811345[[#This Row],[PMI]]-B82</f>
        <v>-1.2000000000000028</v>
      </c>
    </row>
    <row r="84" spans="1:3" x14ac:dyDescent="0.35">
      <c r="A84" s="8">
        <v>42036</v>
      </c>
      <c r="B84" s="11">
        <f>IF(VLOOKUP(A84,'DB Country PMI'!$A:$W,MATCH($A$1,'DB Country PMI'!$A$1:$W$1,),)=0,#N/A,VLOOKUP(A84,'DB Country PMI'!$A:$W,MATCH($A$1,'DB Country PMI'!$A$1:$W$1,),))</f>
        <v>53.4</v>
      </c>
      <c r="C84" s="14">
        <f>Table1346811345[[#This Row],[PMI]]-B83</f>
        <v>4</v>
      </c>
    </row>
    <row r="85" spans="1:3" x14ac:dyDescent="0.35">
      <c r="A85" s="8">
        <v>42064</v>
      </c>
      <c r="B85" s="11">
        <f>IF(VLOOKUP(A85,'DB Country PMI'!$A:$W,MATCH($A$1,'DB Country PMI'!$A$1:$W$1,),)=0,#N/A,VLOOKUP(A85,'DB Country PMI'!$A:$W,MATCH($A$1,'DB Country PMI'!$A$1:$W$1,),))</f>
        <v>52.4</v>
      </c>
      <c r="C85" s="14">
        <f>Table1346811345[[#This Row],[PMI]]-B84</f>
        <v>-1</v>
      </c>
    </row>
    <row r="86" spans="1:3" x14ac:dyDescent="0.35">
      <c r="A86" s="8">
        <v>42095</v>
      </c>
      <c r="B86" s="11">
        <f>IF(VLOOKUP(A86,'DB Country PMI'!$A:$W,MATCH($A$1,'DB Country PMI'!$A$1:$W$1,),)=0,#N/A,VLOOKUP(A86,'DB Country PMI'!$A:$W,MATCH($A$1,'DB Country PMI'!$A$1:$W$1,),))</f>
        <v>51.4</v>
      </c>
      <c r="C86" s="14">
        <f>Table1346811345[[#This Row],[PMI]]-B85</f>
        <v>-1</v>
      </c>
    </row>
    <row r="87" spans="1:3" x14ac:dyDescent="0.35">
      <c r="A87" s="8">
        <v>42125</v>
      </c>
      <c r="B87" s="11">
        <f>IF(VLOOKUP(A87,'DB Country PMI'!$A:$W,MATCH($A$1,'DB Country PMI'!$A$1:$W$1,),)=0,#N/A,VLOOKUP(A87,'DB Country PMI'!$A:$W,MATCH($A$1,'DB Country PMI'!$A$1:$W$1,),))</f>
        <v>52.8</v>
      </c>
      <c r="C87" s="14">
        <f>Table1346811345[[#This Row],[PMI]]-B86</f>
        <v>1.3999999999999986</v>
      </c>
    </row>
    <row r="88" spans="1:3" x14ac:dyDescent="0.35">
      <c r="A88" s="8">
        <v>42156</v>
      </c>
      <c r="B88" s="11">
        <f>IF(VLOOKUP(A88,'DB Country PMI'!$A:$W,MATCH($A$1,'DB Country PMI'!$A$1:$W$1,),)=0,#N/A,VLOOKUP(A88,'DB Country PMI'!$A:$W,MATCH($A$1,'DB Country PMI'!$A$1:$W$1,),))</f>
        <v>54.1</v>
      </c>
      <c r="C88" s="14">
        <f>Table1346811345[[#This Row],[PMI]]-B87</f>
        <v>1.3000000000000043</v>
      </c>
    </row>
    <row r="89" spans="1:3" x14ac:dyDescent="0.35">
      <c r="A89" s="8">
        <v>42186</v>
      </c>
      <c r="B89" s="11">
        <f>IF(VLOOKUP(A89,'DB Country PMI'!$A:$W,MATCH($A$1,'DB Country PMI'!$A$1:$W$1,),)=0,#N/A,VLOOKUP(A89,'DB Country PMI'!$A:$W,MATCH($A$1,'DB Country PMI'!$A$1:$W$1,),))</f>
        <v>52</v>
      </c>
      <c r="C89" s="14">
        <f>Table1346811345[[#This Row],[PMI]]-B88</f>
        <v>-2.1000000000000014</v>
      </c>
    </row>
    <row r="90" spans="1:3" x14ac:dyDescent="0.35">
      <c r="A90" s="8">
        <v>42217</v>
      </c>
      <c r="B90" s="11">
        <f>IF(VLOOKUP(A90,'DB Country PMI'!$A:$W,MATCH($A$1,'DB Country PMI'!$A$1:$W$1,),)=0,#N/A,VLOOKUP(A90,'DB Country PMI'!$A:$W,MATCH($A$1,'DB Country PMI'!$A$1:$W$1,),))</f>
        <v>50.6</v>
      </c>
      <c r="C90" s="14">
        <f>Table1346811345[[#This Row],[PMI]]-B89</f>
        <v>-1.3999999999999986</v>
      </c>
    </row>
    <row r="91" spans="1:3" x14ac:dyDescent="0.35">
      <c r="A91" s="8">
        <v>42248</v>
      </c>
      <c r="B91" s="11">
        <f>IF(VLOOKUP(A91,'DB Country PMI'!$A:$W,MATCH($A$1,'DB Country PMI'!$A$1:$W$1,),)=0,#N/A,VLOOKUP(A91,'DB Country PMI'!$A:$W,MATCH($A$1,'DB Country PMI'!$A$1:$W$1,),))</f>
        <v>51.9</v>
      </c>
      <c r="C91" s="14">
        <f>Table1346811345[[#This Row],[PMI]]-B90</f>
        <v>1.2999999999999972</v>
      </c>
    </row>
    <row r="92" spans="1:3" x14ac:dyDescent="0.35">
      <c r="A92" s="8">
        <v>42278</v>
      </c>
      <c r="B92" s="11">
        <f>IF(VLOOKUP(A92,'DB Country PMI'!$A:$W,MATCH($A$1,'DB Country PMI'!$A$1:$W$1,),)=0,#N/A,VLOOKUP(A92,'DB Country PMI'!$A:$W,MATCH($A$1,'DB Country PMI'!$A$1:$W$1,),))</f>
        <v>52.7</v>
      </c>
      <c r="C92" s="14">
        <f>Table1346811345[[#This Row],[PMI]]-B91</f>
        <v>0.80000000000000426</v>
      </c>
    </row>
    <row r="93" spans="1:3" x14ac:dyDescent="0.35">
      <c r="A93" s="8">
        <v>42309</v>
      </c>
      <c r="B93" s="11">
        <f>IF(VLOOKUP(A93,'DB Country PMI'!$A:$W,MATCH($A$1,'DB Country PMI'!$A$1:$W$1,),)=0,#N/A,VLOOKUP(A93,'DB Country PMI'!$A:$W,MATCH($A$1,'DB Country PMI'!$A$1:$W$1,),))</f>
        <v>51</v>
      </c>
      <c r="C93" s="14">
        <f>Table1346811345[[#This Row],[PMI]]-B92</f>
        <v>-1.7000000000000028</v>
      </c>
    </row>
    <row r="94" spans="1:3" x14ac:dyDescent="0.35">
      <c r="A94" s="8">
        <v>42339</v>
      </c>
      <c r="B94" s="11">
        <f>IF(VLOOKUP(A94,'DB Country PMI'!$A:$W,MATCH($A$1,'DB Country PMI'!$A$1:$W$1,),)=0,#N/A,VLOOKUP(A94,'DB Country PMI'!$A:$W,MATCH($A$1,'DB Country PMI'!$A$1:$W$1,),))</f>
        <v>49.8</v>
      </c>
      <c r="C94" s="14">
        <f>Table1346811345[[#This Row],[PMI]]-B93</f>
        <v>-1.2000000000000028</v>
      </c>
    </row>
    <row r="95" spans="1:3" x14ac:dyDescent="0.35">
      <c r="A95" s="8">
        <v>42370</v>
      </c>
      <c r="B95" s="11">
        <f>IF(VLOOKUP(A95,'DB Country PMI'!$A:$W,MATCH($A$1,'DB Country PMI'!$A$1:$W$1,),)=0,#N/A,VLOOKUP(A95,'DB Country PMI'!$A:$W,MATCH($A$1,'DB Country PMI'!$A$1:$W$1,),))</f>
        <v>50.3</v>
      </c>
      <c r="C95" s="14">
        <f>Table1346811345[[#This Row],[PMI]]-B94</f>
        <v>0.5</v>
      </c>
    </row>
    <row r="96" spans="1:3" x14ac:dyDescent="0.35">
      <c r="A96" s="8">
        <v>42401</v>
      </c>
      <c r="B96" s="11">
        <f>IF(VLOOKUP(A96,'DB Country PMI'!$A:$W,MATCH($A$1,'DB Country PMI'!$A$1:$W$1,),)=0,#N/A,VLOOKUP(A96,'DB Country PMI'!$A:$W,MATCH($A$1,'DB Country PMI'!$A$1:$W$1,),))</f>
        <v>49.2</v>
      </c>
      <c r="C96" s="14">
        <f>Table1346811345[[#This Row],[PMI]]-B95</f>
        <v>-1.0999999999999943</v>
      </c>
    </row>
    <row r="97" spans="1:3" x14ac:dyDescent="0.35">
      <c r="A97" s="8">
        <v>42430</v>
      </c>
      <c r="B97" s="11">
        <f>IF(VLOOKUP(A97,'DB Country PMI'!$A:$W,MATCH($A$1,'DB Country PMI'!$A$1:$W$1,),)=0,#N/A,VLOOKUP(A97,'DB Country PMI'!$A:$W,MATCH($A$1,'DB Country PMI'!$A$1:$W$1,),))</f>
        <v>49.9</v>
      </c>
      <c r="C97" s="14">
        <f>Table1346811345[[#This Row],[PMI]]-B96</f>
        <v>0.69999999999999574</v>
      </c>
    </row>
    <row r="98" spans="1:3" x14ac:dyDescent="0.35">
      <c r="A98" s="8">
        <v>42461</v>
      </c>
      <c r="B98" s="11">
        <f>IF(VLOOKUP(A98,'DB Country PMI'!$A:$W,MATCH($A$1,'DB Country PMI'!$A$1:$W$1,),)=0,#N/A,VLOOKUP(A98,'DB Country PMI'!$A:$W,MATCH($A$1,'DB Country PMI'!$A$1:$W$1,),))</f>
        <v>50.6</v>
      </c>
      <c r="C98" s="14">
        <f>Table1346811345[[#This Row],[PMI]]-B97</f>
        <v>0.70000000000000284</v>
      </c>
    </row>
    <row r="99" spans="1:3" x14ac:dyDescent="0.35">
      <c r="A99" s="8">
        <v>42491</v>
      </c>
      <c r="B99" s="11">
        <f>IF(VLOOKUP(A99,'DB Country PMI'!$A:$W,MATCH($A$1,'DB Country PMI'!$A$1:$W$1,),)=0,#N/A,VLOOKUP(A99,'DB Country PMI'!$A:$W,MATCH($A$1,'DB Country PMI'!$A$1:$W$1,),))</f>
        <v>51.6</v>
      </c>
      <c r="C99" s="14">
        <f>Table1346811345[[#This Row],[PMI]]-B98</f>
        <v>1</v>
      </c>
    </row>
    <row r="100" spans="1:3" x14ac:dyDescent="0.35">
      <c r="A100" s="8">
        <v>42522</v>
      </c>
      <c r="B100" s="11">
        <f>IF(VLOOKUP(A100,'DB Country PMI'!$A:$W,MATCH($A$1,'DB Country PMI'!$A$1:$W$1,),)=0,#N/A,VLOOKUP(A100,'DB Country PMI'!$A:$W,MATCH($A$1,'DB Country PMI'!$A$1:$W$1,),))</f>
        <v>49.9</v>
      </c>
      <c r="C100" s="14">
        <f>Table1346811345[[#This Row],[PMI]]-B99</f>
        <v>-1.7000000000000028</v>
      </c>
    </row>
    <row r="101" spans="1:3" x14ac:dyDescent="0.35">
      <c r="A101" s="8">
        <v>42552</v>
      </c>
      <c r="B101" s="11">
        <f>IF(VLOOKUP(A101,'DB Country PMI'!$A:$W,MATCH($A$1,'DB Country PMI'!$A$1:$W$1,),)=0,#N/A,VLOOKUP(A101,'DB Country PMI'!$A:$W,MATCH($A$1,'DB Country PMI'!$A$1:$W$1,),))</f>
        <v>50.5</v>
      </c>
      <c r="C101" s="14">
        <f>Table1346811345[[#This Row],[PMI]]-B100</f>
        <v>0.60000000000000142</v>
      </c>
    </row>
    <row r="102" spans="1:3" x14ac:dyDescent="0.35">
      <c r="A102" s="8">
        <v>42583</v>
      </c>
      <c r="B102" s="11">
        <f>IF(VLOOKUP(A102,'DB Country PMI'!$A:$W,MATCH($A$1,'DB Country PMI'!$A$1:$W$1,),)=0,#N/A,VLOOKUP(A102,'DB Country PMI'!$A:$W,MATCH($A$1,'DB Country PMI'!$A$1:$W$1,),))</f>
        <v>52.3</v>
      </c>
      <c r="C102" s="14">
        <f>Table1346811345[[#This Row],[PMI]]-B101</f>
        <v>1.7999999999999972</v>
      </c>
    </row>
    <row r="103" spans="1:3" x14ac:dyDescent="0.35">
      <c r="A103" s="8">
        <v>42614</v>
      </c>
      <c r="B103" s="11">
        <f>IF(VLOOKUP(A103,'DB Country PMI'!$A:$W,MATCH($A$1,'DB Country PMI'!$A$1:$W$1,),)=0,#N/A,VLOOKUP(A103,'DB Country PMI'!$A:$W,MATCH($A$1,'DB Country PMI'!$A$1:$W$1,),))</f>
        <v>53.3</v>
      </c>
      <c r="C103" s="14">
        <f>Table1346811345[[#This Row],[PMI]]-B102</f>
        <v>1</v>
      </c>
    </row>
    <row r="104" spans="1:3" x14ac:dyDescent="0.35">
      <c r="A104" s="8">
        <v>42644</v>
      </c>
      <c r="B104" s="11">
        <f>IF(VLOOKUP(A104,'DB Country PMI'!$A:$W,MATCH($A$1,'DB Country PMI'!$A$1:$W$1,),)=0,#N/A,VLOOKUP(A104,'DB Country PMI'!$A:$W,MATCH($A$1,'DB Country PMI'!$A$1:$W$1,),))</f>
        <v>51.4</v>
      </c>
      <c r="C104" s="14">
        <f>Table1346811345[[#This Row],[PMI]]-B103</f>
        <v>-1.8999999999999986</v>
      </c>
    </row>
    <row r="105" spans="1:3" x14ac:dyDescent="0.35">
      <c r="A105" s="8">
        <v>42675</v>
      </c>
      <c r="B105" s="11">
        <f>IF(VLOOKUP(A105,'DB Country PMI'!$A:$W,MATCH($A$1,'DB Country PMI'!$A$1:$W$1,),)=0,#N/A,VLOOKUP(A105,'DB Country PMI'!$A:$W,MATCH($A$1,'DB Country PMI'!$A$1:$W$1,),))</f>
        <v>51.6</v>
      </c>
      <c r="C105" s="14">
        <f>Table1346811345[[#This Row],[PMI]]-B104</f>
        <v>0.20000000000000284</v>
      </c>
    </row>
    <row r="106" spans="1:3" x14ac:dyDescent="0.35">
      <c r="A106" s="8">
        <v>42705</v>
      </c>
      <c r="B106" s="11">
        <f>IF(VLOOKUP(A106,'DB Country PMI'!$A:$W,MATCH($A$1,'DB Country PMI'!$A$1:$W$1,),)=0,#N/A,VLOOKUP(A106,'DB Country PMI'!$A:$W,MATCH($A$1,'DB Country PMI'!$A$1:$W$1,),))</f>
        <v>52.9</v>
      </c>
      <c r="C106" s="14">
        <f>Table1346811345[[#This Row],[PMI]]-B105</f>
        <v>1.2999999999999972</v>
      </c>
    </row>
    <row r="107" spans="1:3" x14ac:dyDescent="0.35">
      <c r="A107" s="8">
        <v>42736</v>
      </c>
      <c r="B107" s="11">
        <f>IF(VLOOKUP(A107,'DB Country PMI'!$A:$W,MATCH($A$1,'DB Country PMI'!$A$1:$W$1,),)=0,#N/A,VLOOKUP(A107,'DB Country PMI'!$A:$W,MATCH($A$1,'DB Country PMI'!$A$1:$W$1,),))</f>
        <v>54.1</v>
      </c>
      <c r="C107" s="14">
        <f>Table1346811345[[#This Row],[PMI]]-B106</f>
        <v>1.2000000000000028</v>
      </c>
    </row>
    <row r="108" spans="1:3" x14ac:dyDescent="0.35">
      <c r="A108" s="8">
        <v>42767</v>
      </c>
      <c r="B108" s="11">
        <f>IF(VLOOKUP(A108,'DB Country PMI'!$A:$W,MATCH($A$1,'DB Country PMI'!$A$1:$W$1,),)=0,#N/A,VLOOKUP(A108,'DB Country PMI'!$A:$W,MATCH($A$1,'DB Country PMI'!$A$1:$W$1,),))</f>
        <v>56.4</v>
      </c>
      <c r="C108" s="14">
        <f>Table1346811345[[#This Row],[PMI]]-B107</f>
        <v>2.2999999999999972</v>
      </c>
    </row>
    <row r="109" spans="1:3" x14ac:dyDescent="0.35">
      <c r="A109" s="8">
        <v>42795</v>
      </c>
      <c r="B109" s="11">
        <f>IF(VLOOKUP(A109,'DB Country PMI'!$A:$W,MATCH($A$1,'DB Country PMI'!$A$1:$W$1,),)=0,#N/A,VLOOKUP(A109,'DB Country PMI'!$A:$W,MATCH($A$1,'DB Country PMI'!$A$1:$W$1,),))</f>
        <v>57.5</v>
      </c>
      <c r="C109" s="14">
        <f>Table1346811345[[#This Row],[PMI]]-B108</f>
        <v>1.1000000000000014</v>
      </c>
    </row>
    <row r="110" spans="1:3" x14ac:dyDescent="0.35">
      <c r="A110" s="8">
        <v>42826</v>
      </c>
      <c r="B110" s="11">
        <f>IF(VLOOKUP(A110,'DB Country PMI'!$A:$W,MATCH($A$1,'DB Country PMI'!$A$1:$W$1,),)=0,#N/A,VLOOKUP(A110,'DB Country PMI'!$A:$W,MATCH($A$1,'DB Country PMI'!$A$1:$W$1,),))</f>
        <v>56.7</v>
      </c>
      <c r="C110" s="14">
        <f>Table1346811345[[#This Row],[PMI]]-B109</f>
        <v>-0.79999999999999716</v>
      </c>
    </row>
    <row r="111" spans="1:3" x14ac:dyDescent="0.35">
      <c r="A111" s="8">
        <v>42856</v>
      </c>
      <c r="B111" s="11">
        <f>IF(VLOOKUP(A111,'DB Country PMI'!$A:$W,MATCH($A$1,'DB Country PMI'!$A$1:$W$1,),)=0,#N/A,VLOOKUP(A111,'DB Country PMI'!$A:$W,MATCH($A$1,'DB Country PMI'!$A$1:$W$1,),))</f>
        <v>57.2</v>
      </c>
      <c r="C111" s="14">
        <f>Table1346811345[[#This Row],[PMI]]-B110</f>
        <v>0.5</v>
      </c>
    </row>
    <row r="112" spans="1:3" x14ac:dyDescent="0.35">
      <c r="A112" s="8">
        <v>42887</v>
      </c>
      <c r="B112" s="11">
        <f>IF(VLOOKUP(A112,'DB Country PMI'!$A:$W,MATCH($A$1,'DB Country PMI'!$A$1:$W$1,),)=0,#N/A,VLOOKUP(A112,'DB Country PMI'!$A:$W,MATCH($A$1,'DB Country PMI'!$A$1:$W$1,),))</f>
        <v>56.9</v>
      </c>
      <c r="C112" s="14">
        <f>Table1346811345[[#This Row],[PMI]]-B111</f>
        <v>-0.30000000000000426</v>
      </c>
    </row>
    <row r="113" spans="1:3" x14ac:dyDescent="0.35">
      <c r="A113" s="8">
        <v>42917</v>
      </c>
      <c r="B113" s="11">
        <f>IF(VLOOKUP(A113,'DB Country PMI'!$A:$W,MATCH($A$1,'DB Country PMI'!$A$1:$W$1,),)=0,#N/A,VLOOKUP(A113,'DB Country PMI'!$A:$W,MATCH($A$1,'DB Country PMI'!$A$1:$W$1,),))</f>
        <v>56</v>
      </c>
      <c r="C113" s="14">
        <f>Table1346811345[[#This Row],[PMI]]-B112</f>
        <v>-0.89999999999999858</v>
      </c>
    </row>
    <row r="114" spans="1:3" x14ac:dyDescent="0.35">
      <c r="A114" s="8">
        <v>42948</v>
      </c>
      <c r="B114" s="11">
        <f>IF(VLOOKUP(A114,'DB Country PMI'!$A:$W,MATCH($A$1,'DB Country PMI'!$A$1:$W$1,),)=0,#N/A,VLOOKUP(A114,'DB Country PMI'!$A:$W,MATCH($A$1,'DB Country PMI'!$A$1:$W$1,),))</f>
        <v>54.9</v>
      </c>
      <c r="C114" s="14">
        <f>Table1346811345[[#This Row],[PMI]]-B113</f>
        <v>-1.1000000000000014</v>
      </c>
    </row>
    <row r="115" spans="1:3" x14ac:dyDescent="0.35">
      <c r="A115" s="8">
        <v>42979</v>
      </c>
      <c r="B115" s="11">
        <f>IF(VLOOKUP(A115,'DB Country PMI'!$A:$W,MATCH($A$1,'DB Country PMI'!$A$1:$W$1,),)=0,#N/A,VLOOKUP(A115,'DB Country PMI'!$A:$W,MATCH($A$1,'DB Country PMI'!$A$1:$W$1,),))</f>
        <v>57</v>
      </c>
      <c r="C115" s="14">
        <f>Table1346811345[[#This Row],[PMI]]-B114</f>
        <v>2.1000000000000014</v>
      </c>
    </row>
    <row r="116" spans="1:3" x14ac:dyDescent="0.35">
      <c r="A116" s="8">
        <v>43009</v>
      </c>
      <c r="B116" s="11">
        <f>IF(VLOOKUP(A116,'DB Country PMI'!$A:$W,MATCH($A$1,'DB Country PMI'!$A$1:$W$1,),)=0,#N/A,VLOOKUP(A116,'DB Country PMI'!$A:$W,MATCH($A$1,'DB Country PMI'!$A$1:$W$1,),))</f>
        <v>57.3</v>
      </c>
      <c r="C116" s="14">
        <f>Table1346811345[[#This Row],[PMI]]-B115</f>
        <v>0.29999999999999716</v>
      </c>
    </row>
    <row r="117" spans="1:3" x14ac:dyDescent="0.35">
      <c r="A117" s="8">
        <v>43040</v>
      </c>
      <c r="B117" s="11">
        <f>IF(VLOOKUP(A117,'DB Country PMI'!$A:$W,MATCH($A$1,'DB Country PMI'!$A$1:$W$1,),)=0,#N/A,VLOOKUP(A117,'DB Country PMI'!$A:$W,MATCH($A$1,'DB Country PMI'!$A$1:$W$1,),))</f>
        <v>60.4</v>
      </c>
      <c r="C117" s="14">
        <f>Table1346811345[[#This Row],[PMI]]-B116</f>
        <v>3.1000000000000014</v>
      </c>
    </row>
    <row r="118" spans="1:3" x14ac:dyDescent="0.35">
      <c r="A118" s="8">
        <v>43070</v>
      </c>
      <c r="B118" s="11">
        <f>IF(VLOOKUP(A118,'DB Country PMI'!$A:$W,MATCH($A$1,'DB Country PMI'!$A$1:$W$1,),)=0,#N/A,VLOOKUP(A118,'DB Country PMI'!$A:$W,MATCH($A$1,'DB Country PMI'!$A$1:$W$1,),))</f>
        <v>59.1</v>
      </c>
      <c r="C118" s="14">
        <f>Table1346811345[[#This Row],[PMI]]-B117</f>
        <v>-1.2999999999999972</v>
      </c>
    </row>
    <row r="119" spans="1:3" x14ac:dyDescent="0.35">
      <c r="A119" s="8">
        <v>43101</v>
      </c>
      <c r="B119" s="11">
        <f>IF(VLOOKUP(A119,'DB Country PMI'!$A:$W,MATCH($A$1,'DB Country PMI'!$A$1:$W$1,),)=0,#N/A,VLOOKUP(A119,'DB Country PMI'!$A:$W,MATCH($A$1,'DB Country PMI'!$A$1:$W$1,),))</f>
        <v>59.2</v>
      </c>
      <c r="C119" s="14">
        <f>Table1346811345[[#This Row],[PMI]]-B118</f>
        <v>0.10000000000000142</v>
      </c>
    </row>
    <row r="120" spans="1:3" x14ac:dyDescent="0.35">
      <c r="A120" s="8">
        <v>43132</v>
      </c>
      <c r="B120" s="11">
        <f>IF(VLOOKUP(A120,'DB Country PMI'!$A:$W,MATCH($A$1,'DB Country PMI'!$A$1:$W$1,),)=0,#N/A,VLOOKUP(A120,'DB Country PMI'!$A:$W,MATCH($A$1,'DB Country PMI'!$A$1:$W$1,),))</f>
        <v>57.4</v>
      </c>
      <c r="C120" s="14">
        <f>Table1346811345[[#This Row],[PMI]]-B119</f>
        <v>-1.8000000000000043</v>
      </c>
    </row>
    <row r="121" spans="1:3" x14ac:dyDescent="0.35">
      <c r="A121" s="8">
        <v>43160</v>
      </c>
      <c r="B121" s="11">
        <f>IF(VLOOKUP(A121,'DB Country PMI'!$A:$W,MATCH($A$1,'DB Country PMI'!$A$1:$W$1,),)=0,#N/A,VLOOKUP(A121,'DB Country PMI'!$A:$W,MATCH($A$1,'DB Country PMI'!$A$1:$W$1,),))</f>
        <v>56.8</v>
      </c>
      <c r="C121" s="14">
        <f>Table1346811345[[#This Row],[PMI]]-B120</f>
        <v>-0.60000000000000142</v>
      </c>
    </row>
    <row r="122" spans="1:3" x14ac:dyDescent="0.35">
      <c r="A122" s="8">
        <v>43191</v>
      </c>
      <c r="B122" s="11">
        <f>IF(VLOOKUP(A122,'DB Country PMI'!$A:$W,MATCH($A$1,'DB Country PMI'!$A$1:$W$1,),)=0,#N/A,VLOOKUP(A122,'DB Country PMI'!$A:$W,MATCH($A$1,'DB Country PMI'!$A$1:$W$1,),))</f>
        <v>57.4</v>
      </c>
      <c r="C122" s="14">
        <f>Table1346811345[[#This Row],[PMI]]-B121</f>
        <v>0.60000000000000142</v>
      </c>
    </row>
    <row r="123" spans="1:3" x14ac:dyDescent="0.35">
      <c r="A123" s="8">
        <v>43221</v>
      </c>
      <c r="B123" s="11">
        <f>IF(VLOOKUP(A123,'DB Country PMI'!$A:$W,MATCH($A$1,'DB Country PMI'!$A$1:$W$1,),)=0,#N/A,VLOOKUP(A123,'DB Country PMI'!$A:$W,MATCH($A$1,'DB Country PMI'!$A$1:$W$1,),))</f>
        <v>54.3</v>
      </c>
      <c r="C123" s="14">
        <f>Table1346811345[[#This Row],[PMI]]-B122</f>
        <v>-3.1000000000000014</v>
      </c>
    </row>
    <row r="124" spans="1:3" x14ac:dyDescent="0.35">
      <c r="A124" s="8">
        <v>43252</v>
      </c>
      <c r="B124" s="11">
        <f>IF(VLOOKUP(A124,'DB Country PMI'!$A:$W,MATCH($A$1,'DB Country PMI'!$A$1:$W$1,),)=0,#N/A,VLOOKUP(A124,'DB Country PMI'!$A:$W,MATCH($A$1,'DB Country PMI'!$A$1:$W$1,),))</f>
        <v>55.9</v>
      </c>
      <c r="C124" s="14">
        <f>Table1346811345[[#This Row],[PMI]]-B123</f>
        <v>1.6000000000000014</v>
      </c>
    </row>
    <row r="125" spans="1:3" x14ac:dyDescent="0.35">
      <c r="A125" s="8">
        <v>43282</v>
      </c>
      <c r="B125" s="11">
        <f>IF(VLOOKUP(A125,'DB Country PMI'!$A:$W,MATCH($A$1,'DB Country PMI'!$A$1:$W$1,),)=0,#N/A,VLOOKUP(A125,'DB Country PMI'!$A:$W,MATCH($A$1,'DB Country PMI'!$A$1:$W$1,),))</f>
        <v>54.9</v>
      </c>
      <c r="C125" s="14">
        <f>Table1346811345[[#This Row],[PMI]]-B124</f>
        <v>-1</v>
      </c>
    </row>
    <row r="126" spans="1:3" x14ac:dyDescent="0.35">
      <c r="A126" s="8">
        <v>43313</v>
      </c>
      <c r="B126" s="11">
        <f>IF(VLOOKUP(A126,'DB Country PMI'!$A:$W,MATCH($A$1,'DB Country PMI'!$A$1:$W$1,),)=0,#N/A,VLOOKUP(A126,'DB Country PMI'!$A:$W,MATCH($A$1,'DB Country PMI'!$A$1:$W$1,),))</f>
        <v>55.4</v>
      </c>
      <c r="C126" s="14">
        <f>Table1346811345[[#This Row],[PMI]]-B125</f>
        <v>0.5</v>
      </c>
    </row>
    <row r="127" spans="1:3" x14ac:dyDescent="0.35">
      <c r="A127" s="8">
        <v>43344</v>
      </c>
      <c r="B127" s="11">
        <f>IF(VLOOKUP(A127,'DB Country PMI'!$A:$W,MATCH($A$1,'DB Country PMI'!$A$1:$W$1,),)=0,#N/A,VLOOKUP(A127,'DB Country PMI'!$A:$W,MATCH($A$1,'DB Country PMI'!$A$1:$W$1,),))</f>
        <v>54.8</v>
      </c>
      <c r="C127" s="14">
        <f>Table1346811345[[#This Row],[PMI]]-B126</f>
        <v>-0.60000000000000142</v>
      </c>
    </row>
    <row r="128" spans="1:3" x14ac:dyDescent="0.35">
      <c r="A128" s="8">
        <v>43374</v>
      </c>
      <c r="B128" s="11">
        <f>IF(VLOOKUP(A128,'DB Country PMI'!$A:$W,MATCH($A$1,'DB Country PMI'!$A$1:$W$1,),)=0,#N/A,VLOOKUP(A128,'DB Country PMI'!$A:$W,MATCH($A$1,'DB Country PMI'!$A$1:$W$1,),))</f>
        <v>55.3</v>
      </c>
      <c r="C128" s="14">
        <f>Table1346811345[[#This Row],[PMI]]-B127</f>
        <v>0.5</v>
      </c>
    </row>
    <row r="129" spans="1:3" x14ac:dyDescent="0.35">
      <c r="A129" s="8">
        <v>43405</v>
      </c>
      <c r="B129" s="11">
        <f>IF(VLOOKUP(A129,'DB Country PMI'!$A:$W,MATCH($A$1,'DB Country PMI'!$A$1:$W$1,),)=0,#N/A,VLOOKUP(A129,'DB Country PMI'!$A:$W,MATCH($A$1,'DB Country PMI'!$A$1:$W$1,),))</f>
        <v>55.1</v>
      </c>
      <c r="C129" s="14">
        <f>Table1346811345[[#This Row],[PMI]]-B128</f>
        <v>-0.19999999999999574</v>
      </c>
    </row>
    <row r="130" spans="1:3" x14ac:dyDescent="0.35">
      <c r="A130" s="8">
        <v>43435</v>
      </c>
      <c r="B130" s="11">
        <f>IF(VLOOKUP(A130,'DB Country PMI'!$A:$W,MATCH($A$1,'DB Country PMI'!$A$1:$W$1,),)=0,#N/A,VLOOKUP(A130,'DB Country PMI'!$A:$W,MATCH($A$1,'DB Country PMI'!$A$1:$W$1,),))</f>
        <v>49</v>
      </c>
      <c r="C130" s="14">
        <f>Table1346811345[[#This Row],[PMI]]-B129</f>
        <v>-6.1000000000000014</v>
      </c>
    </row>
    <row r="131" spans="1:3" x14ac:dyDescent="0.35">
      <c r="A131" s="8">
        <v>43466</v>
      </c>
      <c r="B131" s="11">
        <f>IF(VLOOKUP(A131,'DB Country PMI'!$A:$W,MATCH($A$1,'DB Country PMI'!$A$1:$W$1,),)=0,#N/A,VLOOKUP(A131,'DB Country PMI'!$A:$W,MATCH($A$1,'DB Country PMI'!$A$1:$W$1,),))</f>
        <v>47.8</v>
      </c>
      <c r="C131" s="14">
        <f>Table1346811345[[#This Row],[PMI]]-B130</f>
        <v>-1.2000000000000028</v>
      </c>
    </row>
    <row r="132" spans="1:3" x14ac:dyDescent="0.35">
      <c r="A132" s="8">
        <v>43497</v>
      </c>
      <c r="B132" s="11">
        <f>IF(VLOOKUP(A132,'DB Country PMI'!$A:$W,MATCH($A$1,'DB Country PMI'!$A$1:$W$1,),)=0,#N/A,VLOOKUP(A132,'DB Country PMI'!$A:$W,MATCH($A$1,'DB Country PMI'!$A$1:$W$1,),))</f>
        <v>50.2</v>
      </c>
      <c r="C132" s="14">
        <f>Table1346811345[[#This Row],[PMI]]-B131</f>
        <v>2.4000000000000057</v>
      </c>
    </row>
    <row r="133" spans="1:3" x14ac:dyDescent="0.35">
      <c r="A133" s="8">
        <v>43525</v>
      </c>
      <c r="B133" s="11">
        <f>IF(VLOOKUP(A133,'DB Country PMI'!$A:$W,MATCH($A$1,'DB Country PMI'!$A$1:$W$1,),)=0,#N/A,VLOOKUP(A133,'DB Country PMI'!$A:$W,MATCH($A$1,'DB Country PMI'!$A$1:$W$1,),))</f>
        <v>49.1</v>
      </c>
      <c r="C133" s="14">
        <f>Table1346811345[[#This Row],[PMI]]-B132</f>
        <v>-1.1000000000000014</v>
      </c>
    </row>
    <row r="134" spans="1:3" x14ac:dyDescent="0.35">
      <c r="A134" s="8">
        <v>43556</v>
      </c>
      <c r="B134" s="11">
        <f>IF(VLOOKUP(A134,'DB Country PMI'!$A:$W,MATCH($A$1,'DB Country PMI'!$A$1:$W$1,),)=0,#N/A,VLOOKUP(A134,'DB Country PMI'!$A:$W,MATCH($A$1,'DB Country PMI'!$A$1:$W$1,),))</f>
        <v>50.5</v>
      </c>
      <c r="C134" s="14">
        <f>Table1346811345[[#This Row],[PMI]]-B133</f>
        <v>1.3999999999999986</v>
      </c>
    </row>
    <row r="135" spans="1:3" x14ac:dyDescent="0.35">
      <c r="A135" s="8">
        <v>43586</v>
      </c>
      <c r="B135" s="11">
        <f>IF(VLOOKUP(A135,'DB Country PMI'!$A:$W,MATCH($A$1,'DB Country PMI'!$A$1:$W$1,),)=0,#N/A,VLOOKUP(A135,'DB Country PMI'!$A:$W,MATCH($A$1,'DB Country PMI'!$A$1:$W$1,),))</f>
        <v>51.5</v>
      </c>
      <c r="C135" s="14">
        <f>Table1346811345[[#This Row],[PMI]]-B134</f>
        <v>1</v>
      </c>
    </row>
    <row r="136" spans="1:3" x14ac:dyDescent="0.35">
      <c r="A136" s="8">
        <v>43617</v>
      </c>
      <c r="B136" s="11">
        <f>IF(VLOOKUP(A136,'DB Country PMI'!$A:$W,MATCH($A$1,'DB Country PMI'!$A$1:$W$1,),)=0,#N/A,VLOOKUP(A136,'DB Country PMI'!$A:$W,MATCH($A$1,'DB Country PMI'!$A$1:$W$1,),))</f>
        <v>52.9</v>
      </c>
      <c r="C136" s="14">
        <f>Table1346811345[[#This Row],[PMI]]-B135</f>
        <v>1.3999999999999986</v>
      </c>
    </row>
    <row r="137" spans="1:3" x14ac:dyDescent="0.35">
      <c r="A137" s="8">
        <v>43647</v>
      </c>
      <c r="B137" s="11">
        <f>IF(VLOOKUP(A137,'DB Country PMI'!$A:$W,MATCH($A$1,'DB Country PMI'!$A$1:$W$1,),)=0,#N/A,VLOOKUP(A137,'DB Country PMI'!$A:$W,MATCH($A$1,'DB Country PMI'!$A$1:$W$1,),))</f>
        <v>52.6</v>
      </c>
      <c r="C137" s="14">
        <f>Table1346811345[[#This Row],[PMI]]-B136</f>
        <v>-0.29999999999999716</v>
      </c>
    </row>
    <row r="138" spans="1:3" x14ac:dyDescent="0.35">
      <c r="A138" s="8">
        <v>43678</v>
      </c>
      <c r="B138" s="11">
        <f>IF(VLOOKUP(A138,'DB Country PMI'!$A:$W,MATCH($A$1,'DB Country PMI'!$A$1:$W$1,),)=0,#N/A,VLOOKUP(A138,'DB Country PMI'!$A:$W,MATCH($A$1,'DB Country PMI'!$A$1:$W$1,),))</f>
        <v>53.4</v>
      </c>
      <c r="C138" s="14">
        <f>Table1346811345[[#This Row],[PMI]]-B137</f>
        <v>0.79999999999999716</v>
      </c>
    </row>
    <row r="139" spans="1:3" x14ac:dyDescent="0.35">
      <c r="A139" s="8">
        <v>43709</v>
      </c>
      <c r="B139" s="11">
        <f>IF(VLOOKUP(A139,'DB Country PMI'!$A:$W,MATCH($A$1,'DB Country PMI'!$A$1:$W$1,),)=0,#N/A,VLOOKUP(A139,'DB Country PMI'!$A:$W,MATCH($A$1,'DB Country PMI'!$A$1:$W$1,),))</f>
        <v>51.1</v>
      </c>
      <c r="C139" s="14">
        <f>Table1346811345[[#This Row],[PMI]]-B138</f>
        <v>-2.2999999999999972</v>
      </c>
    </row>
    <row r="140" spans="1:3" x14ac:dyDescent="0.35">
      <c r="A140" s="8">
        <v>43739</v>
      </c>
      <c r="B140" s="11">
        <f>IF(VLOOKUP(A140,'DB Country PMI'!$A:$W,MATCH($A$1,'DB Country PMI'!$A$1:$W$1,),)=0,#N/A,VLOOKUP(A140,'DB Country PMI'!$A:$W,MATCH($A$1,'DB Country PMI'!$A$1:$W$1,),))</f>
        <v>52.9</v>
      </c>
      <c r="C140" s="14">
        <f>Table1346811345[[#This Row],[PMI]]-B139</f>
        <v>1.7999999999999972</v>
      </c>
    </row>
    <row r="141" spans="1:3" x14ac:dyDescent="0.35">
      <c r="A141" s="8">
        <v>43770</v>
      </c>
      <c r="B141" s="11">
        <f>IF(VLOOKUP(A141,'DB Country PMI'!$A:$W,MATCH($A$1,'DB Country PMI'!$A$1:$W$1,),)=0,#N/A,VLOOKUP(A141,'DB Country PMI'!$A:$W,MATCH($A$1,'DB Country PMI'!$A$1:$W$1,),))</f>
        <v>52.2</v>
      </c>
      <c r="C141" s="14">
        <f>Table1346811345[[#This Row],[PMI]]-B140</f>
        <v>-0.69999999999999574</v>
      </c>
    </row>
    <row r="142" spans="1:3" x14ac:dyDescent="0.35">
      <c r="A142" s="8">
        <v>43800</v>
      </c>
      <c r="B142" s="11">
        <f>IF(VLOOKUP(A142,'DB Country PMI'!$A:$W,MATCH($A$1,'DB Country PMI'!$A$1:$W$1,),)=0,#N/A,VLOOKUP(A142,'DB Country PMI'!$A:$W,MATCH($A$1,'DB Country PMI'!$A$1:$W$1,),))</f>
        <v>52.4</v>
      </c>
      <c r="C142" s="14">
        <f>Table1346811345[[#This Row],[PMI]]-B141</f>
        <v>0.19999999999999574</v>
      </c>
    </row>
    <row r="143" spans="1:3" x14ac:dyDescent="0.35">
      <c r="A143" s="8">
        <v>43831</v>
      </c>
      <c r="B143" s="11">
        <f>IF(VLOOKUP(A143,'DB Country PMI'!$A:$W,MATCH($A$1,'DB Country PMI'!$A$1:$W$1,),)=0,#N/A,VLOOKUP(A143,'DB Country PMI'!$A:$W,MATCH($A$1,'DB Country PMI'!$A$1:$W$1,),))</f>
        <v>51</v>
      </c>
      <c r="C143" s="14">
        <f>Table1346811345[[#This Row],[PMI]]-B142</f>
        <v>-1.3999999999999986</v>
      </c>
    </row>
    <row r="144" spans="1:3" x14ac:dyDescent="0.35">
      <c r="A144" s="8">
        <v>43862</v>
      </c>
      <c r="B144" s="11">
        <f>IF(VLOOKUP(A144,'DB Country PMI'!$A:$W,MATCH($A$1,'DB Country PMI'!$A$1:$W$1,),)=0,#N/A,VLOOKUP(A144,'DB Country PMI'!$A:$W,MATCH($A$1,'DB Country PMI'!$A$1:$W$1,),))</f>
        <v>52.5</v>
      </c>
      <c r="C144" s="14">
        <f>Table1346811345[[#This Row],[PMI]]-B143</f>
        <v>1.5</v>
      </c>
    </row>
    <row r="145" spans="1:3" x14ac:dyDescent="0.35">
      <c r="A145" s="8">
        <v>43891</v>
      </c>
      <c r="B145" s="11">
        <f>IF(VLOOKUP(A145,'DB Country PMI'!$A:$W,MATCH($A$1,'DB Country PMI'!$A$1:$W$1,),)=0,#N/A,VLOOKUP(A145,'DB Country PMI'!$A:$W,MATCH($A$1,'DB Country PMI'!$A$1:$W$1,),))</f>
        <v>27.4</v>
      </c>
      <c r="C145" s="14">
        <f>Table1346811345[[#This Row],[PMI]]-B144</f>
        <v>-25.1</v>
      </c>
    </row>
    <row r="146" spans="1:3" x14ac:dyDescent="0.35">
      <c r="A146" s="8">
        <v>43922</v>
      </c>
      <c r="B146" s="11">
        <f>IF(VLOOKUP(A146,'DB Country PMI'!$A:$W,MATCH($A$1,'DB Country PMI'!$A$1:$W$1,),)=0,#N/A,VLOOKUP(A146,'DB Country PMI'!$A:$W,MATCH($A$1,'DB Country PMI'!$A$1:$W$1,),))</f>
        <v>10.199999999999999</v>
      </c>
      <c r="C146" s="14">
        <f>Table1346811345[[#This Row],[PMI]]-B145</f>
        <v>-17.2</v>
      </c>
    </row>
    <row r="147" spans="1:3" x14ac:dyDescent="0.35">
      <c r="A147" s="8">
        <v>43952</v>
      </c>
      <c r="B147" s="11">
        <f>IF(VLOOKUP(A147,'DB Country PMI'!$A:$W,MATCH($A$1,'DB Country PMI'!$A$1:$W$1,),)=0,#N/A,VLOOKUP(A147,'DB Country PMI'!$A:$W,MATCH($A$1,'DB Country PMI'!$A$1:$W$1,),))</f>
        <v>31.1</v>
      </c>
      <c r="C147" s="14">
        <f>Table1346811345[[#This Row],[PMI]]-B146</f>
        <v>20.900000000000002</v>
      </c>
    </row>
    <row r="148" spans="1:3" x14ac:dyDescent="0.35">
      <c r="A148" s="8">
        <v>43983</v>
      </c>
      <c r="B148" s="11">
        <f>IF(VLOOKUP(A148,'DB Country PMI'!$A:$W,MATCH($A$1,'DB Country PMI'!$A$1:$W$1,),)=0,#N/A,VLOOKUP(A148,'DB Country PMI'!$A:$W,MATCH($A$1,'DB Country PMI'!$A$1:$W$1,),))</f>
        <v>50.7</v>
      </c>
      <c r="C148" s="14">
        <f>Table1346811345[[#This Row],[PMI]]-B147</f>
        <v>19.600000000000001</v>
      </c>
    </row>
    <row r="149" spans="1:3" x14ac:dyDescent="0.35">
      <c r="A149" s="8">
        <v>44013</v>
      </c>
      <c r="B149" s="11">
        <f>IF(VLOOKUP(A149,'DB Country PMI'!$A:$W,MATCH($A$1,'DB Country PMI'!$A$1:$W$1,),)=0,#N/A,VLOOKUP(A149,'DB Country PMI'!$A:$W,MATCH($A$1,'DB Country PMI'!$A$1:$W$1,),))</f>
        <v>57.3</v>
      </c>
      <c r="C149" s="14">
        <f>Table1346811345[[#This Row],[PMI]]-B148</f>
        <v>6.5999999999999943</v>
      </c>
    </row>
    <row r="150" spans="1:3" x14ac:dyDescent="0.35">
      <c r="A150" s="8">
        <v>44044</v>
      </c>
      <c r="B150" s="11">
        <f>IF(VLOOKUP(A150,'DB Country PMI'!$A:$W,MATCH($A$1,'DB Country PMI'!$A$1:$W$1,),)=0,#N/A,VLOOKUP(A150,'DB Country PMI'!$A:$W,MATCH($A$1,'DB Country PMI'!$A$1:$W$1,),))</f>
        <v>51.5</v>
      </c>
      <c r="C150" s="14">
        <f>Table1346811345[[#This Row],[PMI]]-B149</f>
        <v>-5.7999999999999972</v>
      </c>
    </row>
    <row r="151" spans="1:3" x14ac:dyDescent="0.35">
      <c r="A151" s="8">
        <v>44075</v>
      </c>
      <c r="B151" s="11">
        <f>IF(VLOOKUP(A151,'DB Country PMI'!$A:$W,MATCH($A$1,'DB Country PMI'!$A$1:$W$1,),)=0,#N/A,VLOOKUP(A151,'DB Country PMI'!$A:$W,MATCH($A$1,'DB Country PMI'!$A$1:$W$1,),))</f>
        <v>47.5</v>
      </c>
      <c r="C151" s="14">
        <f>Table1346811345[[#This Row],[PMI]]-B150</f>
        <v>-4</v>
      </c>
    </row>
    <row r="152" spans="1:3" x14ac:dyDescent="0.35">
      <c r="A152" s="8">
        <v>44105</v>
      </c>
      <c r="B152" s="11">
        <f>IF(VLOOKUP(A152,'DB Country PMI'!$A:$W,MATCH($A$1,'DB Country PMI'!$A$1:$W$1,),)=0,#N/A,VLOOKUP(A152,'DB Country PMI'!$A:$W,MATCH($A$1,'DB Country PMI'!$A$1:$W$1,),))</f>
        <v>46.5</v>
      </c>
      <c r="C152" s="14">
        <f>Table1346811345[[#This Row],[PMI]]-B151</f>
        <v>-1</v>
      </c>
    </row>
    <row r="153" spans="1:3" x14ac:dyDescent="0.35">
      <c r="A153" s="8">
        <v>44136</v>
      </c>
      <c r="B153" s="11">
        <f>IF(VLOOKUP(A153,'DB Country PMI'!$A:$W,MATCH($A$1,'DB Country PMI'!$A$1:$W$1,),)=0,#N/A,VLOOKUP(A153,'DB Country PMI'!$A:$W,MATCH($A$1,'DB Country PMI'!$A$1:$W$1,),))</f>
        <v>38.799999999999997</v>
      </c>
      <c r="C153" s="14">
        <f>Table1346811345[[#This Row],[PMI]]-B152</f>
        <v>-7.7000000000000028</v>
      </c>
    </row>
    <row r="154" spans="1:3" x14ac:dyDescent="0.35">
      <c r="A154" s="8">
        <v>44166</v>
      </c>
      <c r="B154" s="11">
        <f>IF(VLOOKUP(A154,'DB Country PMI'!$A:$W,MATCH($A$1,'DB Country PMI'!$A$1:$W$1,),)=0,#N/A,VLOOKUP(A154,'DB Country PMI'!$A:$W,MATCH($A$1,'DB Country PMI'!$A$1:$W$1,),))</f>
        <v>49.1</v>
      </c>
      <c r="C154" s="14">
        <f>Table1346811345[[#This Row],[PMI]]-B153</f>
        <v>10.300000000000004</v>
      </c>
    </row>
    <row r="155" spans="1:3" x14ac:dyDescent="0.35">
      <c r="A155" s="8">
        <v>44197</v>
      </c>
      <c r="B155" s="11">
        <f>IF(VLOOKUP(A155,'DB Country PMI'!$A:$W,MATCH($A$1,'DB Country PMI'!$A$1:$W$1,),)=0,#N/A,VLOOKUP(A155,'DB Country PMI'!$A:$W,MATCH($A$1,'DB Country PMI'!$A$1:$W$1,),))</f>
        <v>47.3</v>
      </c>
      <c r="C155" s="14">
        <f>Table1346811345[[#This Row],[PMI]]-B154</f>
        <v>-1.8000000000000043</v>
      </c>
    </row>
    <row r="156" spans="1:3" x14ac:dyDescent="0.35">
      <c r="A156" s="8">
        <v>44228</v>
      </c>
      <c r="B156" s="11">
        <f>IF(VLOOKUP(A156,'DB Country PMI'!$A:$W,MATCH($A$1,'DB Country PMI'!$A$1:$W$1,),)=0,#N/A,VLOOKUP(A156,'DB Country PMI'!$A:$W,MATCH($A$1,'DB Country PMI'!$A$1:$W$1,),))</f>
        <v>45.6</v>
      </c>
      <c r="C156" s="14">
        <f>Table1346811345[[#This Row],[PMI]]-B155</f>
        <v>-1.6999999999999957</v>
      </c>
    </row>
    <row r="157" spans="1:3" x14ac:dyDescent="0.35">
      <c r="A157" s="8">
        <v>44256</v>
      </c>
      <c r="B157" s="11">
        <f>IF(VLOOKUP(A157,'DB Country PMI'!$A:$W,MATCH($A$1,'DB Country PMI'!$A$1:$W$1,),)=0,#N/A,VLOOKUP(A157,'DB Country PMI'!$A:$W,MATCH($A$1,'DB Country PMI'!$A$1:$W$1,),))</f>
        <v>48.2</v>
      </c>
      <c r="C157" s="14">
        <f>Table1346811345[[#This Row],[PMI]]-B156</f>
        <v>2.6000000000000014</v>
      </c>
    </row>
    <row r="158" spans="1:3" x14ac:dyDescent="0.35">
      <c r="A158" s="8">
        <v>44287</v>
      </c>
      <c r="B158" s="11">
        <f>IF(VLOOKUP(A158,'DB Country PMI'!$A:$W,MATCH($A$1,'DB Country PMI'!$A$1:$W$1,),)=0,#N/A,VLOOKUP(A158,'DB Country PMI'!$A:$W,MATCH($A$1,'DB Country PMI'!$A$1:$W$1,),))</f>
        <v>50.3</v>
      </c>
      <c r="C158" s="14">
        <f>Table1346811345[[#This Row],[PMI]]-B157</f>
        <v>2.0999999999999943</v>
      </c>
    </row>
    <row r="159" spans="1:3" x14ac:dyDescent="0.35">
      <c r="A159" s="8">
        <v>44317</v>
      </c>
      <c r="B159" s="11">
        <f>IF(VLOOKUP(A159,'DB Country PMI'!$A:$W,MATCH($A$1,'DB Country PMI'!$A$1:$W$1,),)=0,#N/A,VLOOKUP(A159,'DB Country PMI'!$A:$W,MATCH($A$1,'DB Country PMI'!$A$1:$W$1,),))</f>
        <v>56.6</v>
      </c>
      <c r="C159" s="14">
        <f>Table1346811345[[#This Row],[PMI]]-B158</f>
        <v>6.3000000000000043</v>
      </c>
    </row>
    <row r="160" spans="1:3" x14ac:dyDescent="0.35">
      <c r="A160" s="8">
        <v>44348</v>
      </c>
      <c r="B160" s="11">
        <f>IF(VLOOKUP(A160,'DB Country PMI'!$A:$W,MATCH($A$1,'DB Country PMI'!$A$1:$W$1,),)=0,#N/A,VLOOKUP(A160,'DB Country PMI'!$A:$W,MATCH($A$1,'DB Country PMI'!$A$1:$W$1,),))</f>
        <v>57.8</v>
      </c>
      <c r="C160" s="14">
        <f>Table1346811345[[#This Row],[PMI]]-B159</f>
        <v>1.1999999999999957</v>
      </c>
    </row>
    <row r="161" spans="1:3" x14ac:dyDescent="0.35">
      <c r="A161" s="8">
        <v>44378</v>
      </c>
      <c r="B161" s="11">
        <f>IF(VLOOKUP(A161,'DB Country PMI'!$A:$W,MATCH($A$1,'DB Country PMI'!$A$1:$W$1,),)=0,#N/A,VLOOKUP(A161,'DB Country PMI'!$A:$W,MATCH($A$1,'DB Country PMI'!$A$1:$W$1,),))</f>
        <v>56.8</v>
      </c>
      <c r="C161" s="14">
        <f>Table1346811345[[#This Row],[PMI]]-B160</f>
        <v>-1</v>
      </c>
    </row>
    <row r="162" spans="1:3" x14ac:dyDescent="0.35">
      <c r="A162" s="8">
        <v>44409</v>
      </c>
      <c r="B162" s="11">
        <f>IF(VLOOKUP(A162,'DB Country PMI'!$A:$W,MATCH($A$1,'DB Country PMI'!$A$1:$W$1,),)=0,#N/A,VLOOKUP(A162,'DB Country PMI'!$A:$W,MATCH($A$1,'DB Country PMI'!$A$1:$W$1,),))</f>
        <v>56.3</v>
      </c>
      <c r="C162" s="14">
        <f>Table1346811345[[#This Row],[PMI]]-B161</f>
        <v>-0.5</v>
      </c>
    </row>
    <row r="163" spans="1:3" x14ac:dyDescent="0.35">
      <c r="A163" s="8">
        <v>44440</v>
      </c>
      <c r="B163" s="11">
        <f>IF(VLOOKUP(A163,'DB Country PMI'!$A:$W,MATCH($A$1,'DB Country PMI'!$A$1:$W$1,),)=0,#N/A,VLOOKUP(A163,'DB Country PMI'!$A:$W,MATCH($A$1,'DB Country PMI'!$A$1:$W$1,),))</f>
        <v>56.2</v>
      </c>
      <c r="C163" s="14">
        <f>Table1346811345[[#This Row],[PMI]]-B162</f>
        <v>-9.9999999999994316E-2</v>
      </c>
    </row>
    <row r="164" spans="1:3" x14ac:dyDescent="0.35">
      <c r="A164" s="8">
        <v>44470</v>
      </c>
      <c r="B164" s="11">
        <f>IF(VLOOKUP(A164,'DB Country PMI'!$A:$W,MATCH($A$1,'DB Country PMI'!$A$1:$W$1,),)=0,#N/A,VLOOKUP(A164,'DB Country PMI'!$A:$W,MATCH($A$1,'DB Country PMI'!$A$1:$W$1,),))</f>
        <v>56.6</v>
      </c>
      <c r="C164" s="14">
        <f>Table1346811345[[#This Row],[PMI]]-B163</f>
        <v>0.39999999999999858</v>
      </c>
    </row>
    <row r="165" spans="1:3" x14ac:dyDescent="0.35">
      <c r="A165" s="8">
        <v>44501</v>
      </c>
      <c r="B165" s="11">
        <f>IF(VLOOKUP(A165,'DB Country PMI'!$A:$W,MATCH($A$1,'DB Country PMI'!$A$1:$W$1,),)=0,#N/A,VLOOKUP(A165,'DB Country PMI'!$A:$W,MATCH($A$1,'DB Country PMI'!$A$1:$W$1,),))</f>
        <v>57.4</v>
      </c>
      <c r="C165" s="14">
        <f>Table1346811345[[#This Row],[PMI]]-B164</f>
        <v>0.79999999999999716</v>
      </c>
    </row>
    <row r="166" spans="1:3" x14ac:dyDescent="0.35">
      <c r="A166" s="8">
        <v>44531</v>
      </c>
      <c r="B166" s="11">
        <f>IF(VLOOKUP(A166,'DB Country PMI'!$A:$W,MATCH($A$1,'DB Country PMI'!$A$1:$W$1,),)=0,#N/A,VLOOKUP(A166,'DB Country PMI'!$A:$W,MATCH($A$1,'DB Country PMI'!$A$1:$W$1,),))</f>
        <v>57</v>
      </c>
      <c r="C166" s="14">
        <f>Table1346811345[[#This Row],[PMI]]-B165</f>
        <v>-0.39999999999999858</v>
      </c>
    </row>
    <row r="167" spans="1:3" x14ac:dyDescent="0.35">
      <c r="A167" s="8">
        <v>44562</v>
      </c>
      <c r="B167" s="11">
        <f>IF(VLOOKUP(A167,'DB Country PMI'!$A:$W,MATCH($A$1,'DB Country PMI'!$A$1:$W$1,),)=0,#N/A,VLOOKUP(A167,'DB Country PMI'!$A:$W,MATCH($A$1,'DB Country PMI'!$A$1:$W$1,),))</f>
        <v>53.1</v>
      </c>
      <c r="C167" s="14">
        <f>Table1346811345[[#This Row],[PMI]]-B166</f>
        <v>-3.8999999999999986</v>
      </c>
    </row>
    <row r="168" spans="1:3" x14ac:dyDescent="0.35">
      <c r="A168" s="8">
        <v>44593</v>
      </c>
      <c r="B168" s="11">
        <f>IF(VLOOKUP(A168,'DB Country PMI'!$A:$W,MATCH($A$1,'DB Country PMI'!$A$1:$W$1,),)=0,#N/A,VLOOKUP(A168,'DB Country PMI'!$A:$W,MATCH($A$1,'DB Country PMI'!$A$1:$W$1,),))</f>
        <v>57.9</v>
      </c>
      <c r="C168" s="14">
        <f>Table1346811345[[#This Row],[PMI]]-B167</f>
        <v>4.7999999999999972</v>
      </c>
    </row>
    <row r="169" spans="1:3" x14ac:dyDescent="0.35">
      <c r="A169" s="8">
        <v>44621</v>
      </c>
      <c r="B169" s="11">
        <f>IF(VLOOKUP(A169,'DB Country PMI'!$A:$W,MATCH($A$1,'DB Country PMI'!$A$1:$W$1,),)=0,#N/A,VLOOKUP(A169,'DB Country PMI'!$A:$W,MATCH($A$1,'DB Country PMI'!$A$1:$W$1,),))</f>
        <v>57.4</v>
      </c>
      <c r="C169" s="14">
        <f>Table1346811345[[#This Row],[PMI]]-B168</f>
        <v>-0.5</v>
      </c>
    </row>
    <row r="170" spans="1:3" x14ac:dyDescent="0.35">
      <c r="A170" s="8">
        <v>44652</v>
      </c>
      <c r="B170" s="11">
        <f>IF(VLOOKUP(A170,'DB Country PMI'!$A:$W,MATCH($A$1,'DB Country PMI'!$A$1:$W$1,),)=0,#N/A,VLOOKUP(A170,'DB Country PMI'!$A:$W,MATCH($A$1,'DB Country PMI'!$A$1:$W$1,),))</f>
        <v>58.8</v>
      </c>
      <c r="C170" s="14">
        <f>Table1346811345[[#This Row],[PMI]]-B169</f>
        <v>1.3999999999999986</v>
      </c>
    </row>
    <row r="171" spans="1:3" x14ac:dyDescent="0.35">
      <c r="A171" s="8">
        <v>44682</v>
      </c>
      <c r="B171" s="11">
        <f>IF(VLOOKUP(A171,'DB Country PMI'!$A:$W,MATCH($A$1,'DB Country PMI'!$A$1:$W$1,),)=0,#N/A,VLOOKUP(A171,'DB Country PMI'!$A:$W,MATCH($A$1,'DB Country PMI'!$A$1:$W$1,),))</f>
        <v>58.4</v>
      </c>
      <c r="C171" s="14">
        <f>Table1346811345[[#This Row],[PMI]]-B170</f>
        <v>-0.39999999999999858</v>
      </c>
    </row>
    <row r="172" spans="1:3" x14ac:dyDescent="0.35">
      <c r="A172" s="8">
        <v>44713</v>
      </c>
      <c r="B172" s="11">
        <f>IF(VLOOKUP(A172,'DB Country PMI'!$A:$W,MATCH($A$1,'DB Country PMI'!$A$1:$W$1,),)=0,#N/A,VLOOKUP(A172,'DB Country PMI'!$A:$W,MATCH($A$1,'DB Country PMI'!$A$1:$W$1,),))</f>
        <v>54.4</v>
      </c>
      <c r="C172" s="14">
        <f>Table1346811345[[#This Row],[PMI]]-B171</f>
        <v>-4</v>
      </c>
    </row>
    <row r="173" spans="1:3" x14ac:dyDescent="0.35">
      <c r="A173" s="8">
        <v>44743</v>
      </c>
      <c r="B173" s="11">
        <f>IF(VLOOKUP(A173,'DB Country PMI'!$A:$W,MATCH($A$1,'DB Country PMI'!$A$1:$W$1,),)=0,#N/A,VLOOKUP(A173,'DB Country PMI'!$A:$W,MATCH($A$1,'DB Country PMI'!$A$1:$W$1,),))</f>
        <v>53.2</v>
      </c>
      <c r="C173" s="14">
        <f>Table1346811345[[#This Row],[PMI]]-B172</f>
        <v>-1.1999999999999957</v>
      </c>
    </row>
    <row r="174" spans="1:3" x14ac:dyDescent="0.35">
      <c r="A174" s="8">
        <v>44774</v>
      </c>
      <c r="B174" s="11">
        <f>IF(VLOOKUP(A174,'DB Country PMI'!$A:$W,MATCH($A$1,'DB Country PMI'!$A$1:$W$1,),)=0,#N/A,VLOOKUP(A174,'DB Country PMI'!$A:$W,MATCH($A$1,'DB Country PMI'!$A$1:$W$1,),))</f>
        <v>51.2</v>
      </c>
      <c r="C174" s="14">
        <f>Table1346811345[[#This Row],[PMI]]-B173</f>
        <v>-2</v>
      </c>
    </row>
    <row r="175" spans="1:3" x14ac:dyDescent="0.35">
      <c r="A175" s="8">
        <v>44805</v>
      </c>
      <c r="B175" s="11">
        <f>IF(VLOOKUP(A175,'DB Country PMI'!$A:$W,MATCH($A$1,'DB Country PMI'!$A$1:$W$1,),)=0,#N/A,VLOOKUP(A175,'DB Country PMI'!$A:$W,MATCH($A$1,'DB Country PMI'!$A$1:$W$1,),))</f>
        <v>52.9</v>
      </c>
      <c r="C175" s="14">
        <f>Table1346811345[[#This Row],[PMI]]-B174</f>
        <v>1.6999999999999957</v>
      </c>
    </row>
    <row r="176" spans="1:3" x14ac:dyDescent="0.35">
      <c r="A176" s="8">
        <v>44835</v>
      </c>
      <c r="B176" s="11">
        <f>IF(VLOOKUP(A176,'DB Country PMI'!$A:$W,MATCH($A$1,'DB Country PMI'!$A$1:$W$1,),)=0,#N/A,VLOOKUP(A176,'DB Country PMI'!$A:$W,MATCH($A$1,'DB Country PMI'!$A$1:$W$1,),))</f>
        <v>51.7</v>
      </c>
      <c r="C176" s="14">
        <f>Table1346811345[[#This Row],[PMI]]-B175</f>
        <v>-1.1999999999999957</v>
      </c>
    </row>
    <row r="177" spans="1:3" x14ac:dyDescent="0.35">
      <c r="A177" s="8">
        <v>44866</v>
      </c>
      <c r="B177" s="11">
        <f>IF(VLOOKUP(A177,'DB Country PMI'!$A:$W,MATCH($A$1,'DB Country PMI'!$A$1:$W$1,),)=0,#N/A,VLOOKUP(A177,'DB Country PMI'!$A:$W,MATCH($A$1,'DB Country PMI'!$A$1:$W$1,),))</f>
        <v>49.3</v>
      </c>
      <c r="C177" s="14">
        <f>Table1346811345[[#This Row],[PMI]]-B176</f>
        <v>-2.4000000000000057</v>
      </c>
    </row>
  </sheetData>
  <conditionalFormatting sqref="C7:C177">
    <cfRule type="colorScale" priority="1">
      <colorScale>
        <cfvo type="min"/>
        <cfvo type="percentile" val="50"/>
        <cfvo type="max"/>
        <color rgb="FFF8696B"/>
        <color rgb="FFFCFCFF"/>
        <color rgb="FF5A8AC6"/>
      </colorScale>
    </cfRule>
  </conditionalFormatting>
  <conditionalFormatting sqref="B6:B17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90"/>
  <sheetViews>
    <sheetView zoomScale="150" zoomScaleNormal="150" workbookViewId="0">
      <pane ySplit="5" topLeftCell="A169" activePane="bottomLeft" state="frozen"/>
      <selection pane="bottomLeft" activeCell="A178" sqref="A178:C190"/>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23</v>
      </c>
      <c r="J1" s="47" t="s">
        <v>62</v>
      </c>
    </row>
    <row r="2" spans="1:10" x14ac:dyDescent="0.35">
      <c r="J2" s="47" t="s">
        <v>67</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PMI'!$A:$W,MATCH($A$1,'DB Country PMI'!$A$1:$W$1,),)=0,#N/A,VLOOKUP(A6,'DB Country PMI'!$A:$W,MATCH($A$1,'DB Country PMI'!$A$1:$W$1,),))</f>
        <v>58.9</v>
      </c>
      <c r="C6" s="11"/>
    </row>
    <row r="7" spans="1:10" x14ac:dyDescent="0.35">
      <c r="A7" s="8">
        <v>39295</v>
      </c>
      <c r="B7" s="11">
        <f>IF(VLOOKUP(A7,'DB Country PMI'!$A:$W,MATCH($A$1,'DB Country PMI'!$A$1:$W$1,),)=0,#N/A,VLOOKUP(A7,'DB Country PMI'!$A:$W,MATCH($A$1,'DB Country PMI'!$A$1:$W$1,),))</f>
        <v>59.8</v>
      </c>
      <c r="C7" s="14">
        <f>Table13468113456[[#This Row],[PMI]]-B6</f>
        <v>0.89999999999999858</v>
      </c>
    </row>
    <row r="8" spans="1:10" x14ac:dyDescent="0.35">
      <c r="A8" s="8">
        <v>39326</v>
      </c>
      <c r="B8" s="11">
        <f>IF(VLOOKUP(A8,'DB Country PMI'!$A:$W,MATCH($A$1,'DB Country PMI'!$A$1:$W$1,),)=0,#N/A,VLOOKUP(A8,'DB Country PMI'!$A:$W,MATCH($A$1,'DB Country PMI'!$A$1:$W$1,),))</f>
        <v>53.1</v>
      </c>
      <c r="C8" s="14">
        <f>Table13468113456[[#This Row],[PMI]]-B7</f>
        <v>-6.6999999999999957</v>
      </c>
    </row>
    <row r="9" spans="1:10" x14ac:dyDescent="0.35">
      <c r="A9" s="8">
        <v>39356</v>
      </c>
      <c r="B9" s="11">
        <f>IF(VLOOKUP(A9,'DB Country PMI'!$A:$W,MATCH($A$1,'DB Country PMI'!$A$1:$W$1,),)=0,#N/A,VLOOKUP(A9,'DB Country PMI'!$A:$W,MATCH($A$1,'DB Country PMI'!$A$1:$W$1,),))</f>
        <v>55.1</v>
      </c>
      <c r="C9" s="14">
        <f>Table13468113456[[#This Row],[PMI]]-B8</f>
        <v>2</v>
      </c>
    </row>
    <row r="10" spans="1:10" x14ac:dyDescent="0.35">
      <c r="A10" s="8">
        <v>39387</v>
      </c>
      <c r="B10" s="11">
        <f>IF(VLOOKUP(A10,'DB Country PMI'!$A:$W,MATCH($A$1,'DB Country PMI'!$A$1:$W$1,),)=0,#N/A,VLOOKUP(A10,'DB Country PMI'!$A:$W,MATCH($A$1,'DB Country PMI'!$A$1:$W$1,),))</f>
        <v>53.1</v>
      </c>
      <c r="C10" s="14">
        <f>Table13468113456[[#This Row],[PMI]]-B9</f>
        <v>-2</v>
      </c>
    </row>
    <row r="11" spans="1:10" x14ac:dyDescent="0.35">
      <c r="A11" s="8">
        <v>39417</v>
      </c>
      <c r="B11" s="11">
        <f>IF(VLOOKUP(A11,'DB Country PMI'!$A:$W,MATCH($A$1,'DB Country PMI'!$A$1:$W$1,),)=0,#N/A,VLOOKUP(A11,'DB Country PMI'!$A:$W,MATCH($A$1,'DB Country PMI'!$A$1:$W$1,),))</f>
        <v>51.5</v>
      </c>
      <c r="C11" s="14">
        <f>Table13468113456[[#This Row],[PMI]]-B10</f>
        <v>-1.6000000000000014</v>
      </c>
    </row>
    <row r="12" spans="1:10" x14ac:dyDescent="0.35">
      <c r="A12" s="8">
        <v>39448</v>
      </c>
      <c r="B12" s="11">
        <f>IF(VLOOKUP(A12,'DB Country PMI'!$A:$W,MATCH($A$1,'DB Country PMI'!$A$1:$W$1,),)=0,#N/A,VLOOKUP(A12,'DB Country PMI'!$A:$W,MATCH($A$1,'DB Country PMI'!$A$1:$W$1,),))</f>
        <v>49.2</v>
      </c>
      <c r="C12" s="14">
        <f>Table13468113456[[#This Row],[PMI]]-B11</f>
        <v>-2.2999999999999972</v>
      </c>
    </row>
    <row r="13" spans="1:10" x14ac:dyDescent="0.35">
      <c r="A13" s="8">
        <v>39479</v>
      </c>
      <c r="B13" s="11">
        <f>IF(VLOOKUP(A13,'DB Country PMI'!$A:$W,MATCH($A$1,'DB Country PMI'!$A$1:$W$1,),)=0,#N/A,VLOOKUP(A13,'DB Country PMI'!$A:$W,MATCH($A$1,'DB Country PMI'!$A$1:$W$1,),))</f>
        <v>52.2</v>
      </c>
      <c r="C13" s="14">
        <f>Table13468113456[[#This Row],[PMI]]-B12</f>
        <v>3</v>
      </c>
    </row>
    <row r="14" spans="1:10" x14ac:dyDescent="0.35">
      <c r="A14" s="8">
        <v>39508</v>
      </c>
      <c r="B14" s="11">
        <f>IF(VLOOKUP(A14,'DB Country PMI'!$A:$W,MATCH($A$1,'DB Country PMI'!$A$1:$W$1,),)=0,#N/A,VLOOKUP(A14,'DB Country PMI'!$A:$W,MATCH($A$1,'DB Country PMI'!$A$1:$W$1,),))</f>
        <v>51.8</v>
      </c>
      <c r="C14" s="14">
        <f>Table13468113456[[#This Row],[PMI]]-B13</f>
        <v>-0.40000000000000568</v>
      </c>
    </row>
    <row r="15" spans="1:10" x14ac:dyDescent="0.35">
      <c r="A15" s="8">
        <v>39539</v>
      </c>
      <c r="B15" s="11">
        <f>IF(VLOOKUP(A15,'DB Country PMI'!$A:$W,MATCH($A$1,'DB Country PMI'!$A$1:$W$1,),)=0,#N/A,VLOOKUP(A15,'DB Country PMI'!$A:$W,MATCH($A$1,'DB Country PMI'!$A$1:$W$1,),))</f>
        <v>54.9</v>
      </c>
      <c r="C15" s="14">
        <f>Table13468113456[[#This Row],[PMI]]-B14</f>
        <v>3.1000000000000014</v>
      </c>
    </row>
    <row r="16" spans="1:10" x14ac:dyDescent="0.35">
      <c r="A16" s="8">
        <v>39569</v>
      </c>
      <c r="B16" s="11">
        <f>IF(VLOOKUP(A16,'DB Country PMI'!$A:$W,MATCH($A$1,'DB Country PMI'!$A$1:$W$1,),)=0,#N/A,VLOOKUP(A16,'DB Country PMI'!$A:$W,MATCH($A$1,'DB Country PMI'!$A$1:$W$1,),))</f>
        <v>53.8</v>
      </c>
      <c r="C16" s="14">
        <f>Table13468113456[[#This Row],[PMI]]-B15</f>
        <v>-1.1000000000000014</v>
      </c>
    </row>
    <row r="17" spans="1:3" x14ac:dyDescent="0.35">
      <c r="A17" s="8">
        <v>39600</v>
      </c>
      <c r="B17" s="11">
        <f>IF(VLOOKUP(A17,'DB Country PMI'!$A:$W,MATCH($A$1,'DB Country PMI'!$A$1:$W$1,),)=0,#N/A,VLOOKUP(A17,'DB Country PMI'!$A:$W,MATCH($A$1,'DB Country PMI'!$A$1:$W$1,),))</f>
        <v>52.1</v>
      </c>
      <c r="C17" s="14">
        <f>Table13468113456[[#This Row],[PMI]]-B16</f>
        <v>-1.6999999999999957</v>
      </c>
    </row>
    <row r="18" spans="1:3" x14ac:dyDescent="0.35">
      <c r="A18" s="8">
        <v>39630</v>
      </c>
      <c r="B18" s="11">
        <f>IF(VLOOKUP(A18,'DB Country PMI'!$A:$W,MATCH($A$1,'DB Country PMI'!$A$1:$W$1,),)=0,#N/A,VLOOKUP(A18,'DB Country PMI'!$A:$W,MATCH($A$1,'DB Country PMI'!$A$1:$W$1,),))</f>
        <v>53.1</v>
      </c>
      <c r="C18" s="14">
        <f>Table13468113456[[#This Row],[PMI]]-B17</f>
        <v>1</v>
      </c>
    </row>
    <row r="19" spans="1:3" x14ac:dyDescent="0.35">
      <c r="A19" s="8">
        <v>39661</v>
      </c>
      <c r="B19" s="11">
        <f>IF(VLOOKUP(A19,'DB Country PMI'!$A:$W,MATCH($A$1,'DB Country PMI'!$A$1:$W$1,),)=0,#N/A,VLOOKUP(A19,'DB Country PMI'!$A:$W,MATCH($A$1,'DB Country PMI'!$A$1:$W$1,),))</f>
        <v>51.4</v>
      </c>
      <c r="C19" s="14">
        <f>Table13468113456[[#This Row],[PMI]]-B18</f>
        <v>-1.7000000000000028</v>
      </c>
    </row>
    <row r="20" spans="1:3" x14ac:dyDescent="0.35">
      <c r="A20" s="8">
        <v>39692</v>
      </c>
      <c r="B20" s="11">
        <f>IF(VLOOKUP(A20,'DB Country PMI'!$A:$W,MATCH($A$1,'DB Country PMI'!$A$1:$W$1,),)=0,#N/A,VLOOKUP(A20,'DB Country PMI'!$A:$W,MATCH($A$1,'DB Country PMI'!$A$1:$W$1,),))</f>
        <v>50.2</v>
      </c>
      <c r="C20" s="14">
        <f>Table13468113456[[#This Row],[PMI]]-B19</f>
        <v>-1.1999999999999957</v>
      </c>
    </row>
    <row r="21" spans="1:3" x14ac:dyDescent="0.35">
      <c r="A21" s="8">
        <v>39722</v>
      </c>
      <c r="B21" s="11">
        <f>IF(VLOOKUP(A21,'DB Country PMI'!$A:$W,MATCH($A$1,'DB Country PMI'!$A$1:$W$1,),)=0,#N/A,VLOOKUP(A21,'DB Country PMI'!$A:$W,MATCH($A$1,'DB Country PMI'!$A$1:$W$1,),))</f>
        <v>48.3</v>
      </c>
      <c r="C21" s="14">
        <f>Table13468113456[[#This Row],[PMI]]-B20</f>
        <v>-1.9000000000000057</v>
      </c>
    </row>
    <row r="22" spans="1:3" x14ac:dyDescent="0.35">
      <c r="A22" s="8">
        <v>39753</v>
      </c>
      <c r="B22" s="11">
        <f>IF(VLOOKUP(A22,'DB Country PMI'!$A:$W,MATCH($A$1,'DB Country PMI'!$A$1:$W$1,),)=0,#N/A,VLOOKUP(A22,'DB Country PMI'!$A:$W,MATCH($A$1,'DB Country PMI'!$A$1:$W$1,),))</f>
        <v>45.1</v>
      </c>
      <c r="C22" s="14">
        <f>Table13468113456[[#This Row],[PMI]]-B21</f>
        <v>-3.1999999999999957</v>
      </c>
    </row>
    <row r="23" spans="1:3" x14ac:dyDescent="0.35">
      <c r="A23" s="8">
        <v>39783</v>
      </c>
      <c r="B23" s="11">
        <f>IF(VLOOKUP(A23,'DB Country PMI'!$A:$W,MATCH($A$1,'DB Country PMI'!$A$1:$W$1,),)=0,#N/A,VLOOKUP(A23,'DB Country PMI'!$A:$W,MATCH($A$1,'DB Country PMI'!$A$1:$W$1,),))</f>
        <v>43.1</v>
      </c>
      <c r="C23" s="14">
        <f>Table13468113456[[#This Row],[PMI]]-B22</f>
        <v>-2</v>
      </c>
    </row>
    <row r="24" spans="1:3" x14ac:dyDescent="0.35">
      <c r="A24" s="8">
        <v>39814</v>
      </c>
      <c r="B24" s="11">
        <f>IF(VLOOKUP(A24,'DB Country PMI'!$A:$W,MATCH($A$1,'DB Country PMI'!$A$1:$W$1,),)=0,#N/A,VLOOKUP(A24,'DB Country PMI'!$A:$W,MATCH($A$1,'DB Country PMI'!$A$1:$W$1,),))</f>
        <v>45.2</v>
      </c>
      <c r="C24" s="14">
        <f>Table13468113456[[#This Row],[PMI]]-B23</f>
        <v>2.1000000000000014</v>
      </c>
    </row>
    <row r="25" spans="1:3" x14ac:dyDescent="0.35">
      <c r="A25" s="8">
        <v>39845</v>
      </c>
      <c r="B25" s="11">
        <f>IF(VLOOKUP(A25,'DB Country PMI'!$A:$W,MATCH($A$1,'DB Country PMI'!$A$1:$W$1,),)=0,#N/A,VLOOKUP(A25,'DB Country PMI'!$A:$W,MATCH($A$1,'DB Country PMI'!$A$1:$W$1,),))</f>
        <v>41.3</v>
      </c>
      <c r="C25" s="14">
        <f>Table13468113456[[#This Row],[PMI]]-B24</f>
        <v>-3.9000000000000057</v>
      </c>
    </row>
    <row r="26" spans="1:3" x14ac:dyDescent="0.35">
      <c r="A26" s="8">
        <v>39873</v>
      </c>
      <c r="B26" s="11">
        <f>IF(VLOOKUP(A26,'DB Country PMI'!$A:$W,MATCH($A$1,'DB Country PMI'!$A$1:$W$1,),)=0,#N/A,VLOOKUP(A26,'DB Country PMI'!$A:$W,MATCH($A$1,'DB Country PMI'!$A$1:$W$1,),))</f>
        <v>42.3</v>
      </c>
      <c r="C26" s="14">
        <f>Table13468113456[[#This Row],[PMI]]-B25</f>
        <v>1</v>
      </c>
    </row>
    <row r="27" spans="1:3" x14ac:dyDescent="0.35">
      <c r="A27" s="8">
        <v>39904</v>
      </c>
      <c r="B27" s="11">
        <f>IF(VLOOKUP(A27,'DB Country PMI'!$A:$W,MATCH($A$1,'DB Country PMI'!$A$1:$W$1,),)=0,#N/A,VLOOKUP(A27,'DB Country PMI'!$A:$W,MATCH($A$1,'DB Country PMI'!$A$1:$W$1,),))</f>
        <v>43.8</v>
      </c>
      <c r="C27" s="14">
        <f>Table13468113456[[#This Row],[PMI]]-B26</f>
        <v>1.5</v>
      </c>
    </row>
    <row r="28" spans="1:3" x14ac:dyDescent="0.35">
      <c r="A28" s="8">
        <v>39934</v>
      </c>
      <c r="B28" s="11">
        <f>IF(VLOOKUP(A28,'DB Country PMI'!$A:$W,MATCH($A$1,'DB Country PMI'!$A$1:$W$1,),)=0,#N/A,VLOOKUP(A28,'DB Country PMI'!$A:$W,MATCH($A$1,'DB Country PMI'!$A$1:$W$1,),))</f>
        <v>45.2</v>
      </c>
      <c r="C28" s="14">
        <f>Table13468113456[[#This Row],[PMI]]-B27</f>
        <v>1.4000000000000057</v>
      </c>
    </row>
    <row r="29" spans="1:3" x14ac:dyDescent="0.35">
      <c r="A29" s="8">
        <v>39965</v>
      </c>
      <c r="B29" s="11">
        <f>IF(VLOOKUP(A29,'DB Country PMI'!$A:$W,MATCH($A$1,'DB Country PMI'!$A$1:$W$1,),)=0,#N/A,VLOOKUP(A29,'DB Country PMI'!$A:$W,MATCH($A$1,'DB Country PMI'!$A$1:$W$1,),))</f>
        <v>45.2</v>
      </c>
      <c r="C29" s="14">
        <f>Table13468113456[[#This Row],[PMI]]-B28</f>
        <v>0</v>
      </c>
    </row>
    <row r="30" spans="1:3" x14ac:dyDescent="0.35">
      <c r="A30" s="8">
        <v>39995</v>
      </c>
      <c r="B30" s="11">
        <f>IF(VLOOKUP(A30,'DB Country PMI'!$A:$W,MATCH($A$1,'DB Country PMI'!$A$1:$W$1,),)=0,#N/A,VLOOKUP(A30,'DB Country PMI'!$A:$W,MATCH($A$1,'DB Country PMI'!$A$1:$W$1,),))</f>
        <v>48.1</v>
      </c>
      <c r="C30" s="14">
        <f>Table13468113456[[#This Row],[PMI]]-B29</f>
        <v>2.8999999999999986</v>
      </c>
    </row>
    <row r="31" spans="1:3" x14ac:dyDescent="0.35">
      <c r="A31" s="8">
        <v>40026</v>
      </c>
      <c r="B31" s="11">
        <f>IF(VLOOKUP(A31,'DB Country PMI'!$A:$W,MATCH($A$1,'DB Country PMI'!$A$1:$W$1,),)=0,#N/A,VLOOKUP(A31,'DB Country PMI'!$A:$W,MATCH($A$1,'DB Country PMI'!$A$1:$W$1,),))</f>
        <v>53.8</v>
      </c>
      <c r="C31" s="14">
        <f>Table13468113456[[#This Row],[PMI]]-B30</f>
        <v>5.6999999999999957</v>
      </c>
    </row>
    <row r="32" spans="1:3" x14ac:dyDescent="0.35">
      <c r="A32" s="8">
        <v>40057</v>
      </c>
      <c r="B32" s="11">
        <f>IF(VLOOKUP(A32,'DB Country PMI'!$A:$W,MATCH($A$1,'DB Country PMI'!$A$1:$W$1,),)=0,#N/A,VLOOKUP(A32,'DB Country PMI'!$A:$W,MATCH($A$1,'DB Country PMI'!$A$1:$W$1,),))</f>
        <v>52.2</v>
      </c>
      <c r="C32" s="14">
        <f>Table13468113456[[#This Row],[PMI]]-B31</f>
        <v>-1.5999999999999943</v>
      </c>
    </row>
    <row r="33" spans="1:3" x14ac:dyDescent="0.35">
      <c r="A33" s="8">
        <v>40087</v>
      </c>
      <c r="B33" s="11">
        <f>IF(VLOOKUP(A33,'DB Country PMI'!$A:$W,MATCH($A$1,'DB Country PMI'!$A$1:$W$1,),)=0,#N/A,VLOOKUP(A33,'DB Country PMI'!$A:$W,MATCH($A$1,'DB Country PMI'!$A$1:$W$1,),))</f>
        <v>50.7</v>
      </c>
      <c r="C33" s="14">
        <f>Table13468113456[[#This Row],[PMI]]-B32</f>
        <v>-1.5</v>
      </c>
    </row>
    <row r="34" spans="1:3" x14ac:dyDescent="0.35">
      <c r="A34" s="8">
        <v>40118</v>
      </c>
      <c r="B34" s="11">
        <f>IF(VLOOKUP(A34,'DB Country PMI'!$A:$W,MATCH($A$1,'DB Country PMI'!$A$1:$W$1,),)=0,#N/A,VLOOKUP(A34,'DB Country PMI'!$A:$W,MATCH($A$1,'DB Country PMI'!$A$1:$W$1,),))</f>
        <v>51.4</v>
      </c>
      <c r="C34" s="14">
        <f>Table13468113456[[#This Row],[PMI]]-B33</f>
        <v>0.69999999999999574</v>
      </c>
    </row>
    <row r="35" spans="1:3" x14ac:dyDescent="0.35">
      <c r="A35" s="8">
        <v>40148</v>
      </c>
      <c r="B35" s="11">
        <f>IF(VLOOKUP(A35,'DB Country PMI'!$A:$W,MATCH($A$1,'DB Country PMI'!$A$1:$W$1,),)=0,#N/A,VLOOKUP(A35,'DB Country PMI'!$A:$W,MATCH($A$1,'DB Country PMI'!$A$1:$W$1,),))</f>
        <v>52.1</v>
      </c>
      <c r="C35" s="14">
        <f>Table13468113456[[#This Row],[PMI]]-B34</f>
        <v>0.70000000000000284</v>
      </c>
    </row>
    <row r="36" spans="1:3" x14ac:dyDescent="0.35">
      <c r="A36" s="8">
        <v>40179</v>
      </c>
      <c r="B36" s="11">
        <f>IF(VLOOKUP(A36,'DB Country PMI'!$A:$W,MATCH($A$1,'DB Country PMI'!$A$1:$W$1,),)=0,#N/A,VLOOKUP(A36,'DB Country PMI'!$A:$W,MATCH($A$1,'DB Country PMI'!$A$1:$W$1,),))</f>
        <v>52.2</v>
      </c>
      <c r="C36" s="14">
        <f>Table13468113456[[#This Row],[PMI]]-B35</f>
        <v>0.10000000000000142</v>
      </c>
    </row>
    <row r="37" spans="1:3" x14ac:dyDescent="0.35">
      <c r="A37" s="8">
        <v>40210</v>
      </c>
      <c r="B37" s="11">
        <f>IF(VLOOKUP(A37,'DB Country PMI'!$A:$W,MATCH($A$1,'DB Country PMI'!$A$1:$W$1,),)=0,#N/A,VLOOKUP(A37,'DB Country PMI'!$A:$W,MATCH($A$1,'DB Country PMI'!$A$1:$W$1,),))</f>
        <v>51.9</v>
      </c>
      <c r="C37" s="14">
        <f>Table13468113456[[#This Row],[PMI]]-B36</f>
        <v>-0.30000000000000426</v>
      </c>
    </row>
    <row r="38" spans="1:3" x14ac:dyDescent="0.35">
      <c r="A38" s="8">
        <v>40238</v>
      </c>
      <c r="B38" s="11">
        <f>IF(VLOOKUP(A38,'DB Country PMI'!$A:$W,MATCH($A$1,'DB Country PMI'!$A$1:$W$1,),)=0,#N/A,VLOOKUP(A38,'DB Country PMI'!$A:$W,MATCH($A$1,'DB Country PMI'!$A$1:$W$1,),))</f>
        <v>54.9</v>
      </c>
      <c r="C38" s="14">
        <f>Table13468113456[[#This Row],[PMI]]-B37</f>
        <v>3</v>
      </c>
    </row>
    <row r="39" spans="1:3" x14ac:dyDescent="0.35">
      <c r="A39" s="8">
        <v>40269</v>
      </c>
      <c r="B39" s="11">
        <f>IF(VLOOKUP(A39,'DB Country PMI'!$A:$W,MATCH($A$1,'DB Country PMI'!$A$1:$W$1,),)=0,#N/A,VLOOKUP(A39,'DB Country PMI'!$A:$W,MATCH($A$1,'DB Country PMI'!$A$1:$W$1,),))</f>
        <v>53.7</v>
      </c>
      <c r="C39" s="14">
        <f>Table13468113456[[#This Row],[PMI]]-B38</f>
        <v>-1.1999999999999957</v>
      </c>
    </row>
    <row r="40" spans="1:3" x14ac:dyDescent="0.35">
      <c r="A40" s="8">
        <v>40299</v>
      </c>
      <c r="B40" s="11">
        <f>IF(VLOOKUP(A40,'DB Country PMI'!$A:$W,MATCH($A$1,'DB Country PMI'!$A$1:$W$1,),)=0,#N/A,VLOOKUP(A40,'DB Country PMI'!$A:$W,MATCH($A$1,'DB Country PMI'!$A$1:$W$1,),))</f>
        <v>54.8</v>
      </c>
      <c r="C40" s="14">
        <f>Table13468113456[[#This Row],[PMI]]-B39</f>
        <v>1.0999999999999943</v>
      </c>
    </row>
    <row r="41" spans="1:3" x14ac:dyDescent="0.35">
      <c r="A41" s="8">
        <v>40330</v>
      </c>
      <c r="B41" s="11">
        <f>IF(VLOOKUP(A41,'DB Country PMI'!$A:$W,MATCH($A$1,'DB Country PMI'!$A$1:$W$1,),)=0,#N/A,VLOOKUP(A41,'DB Country PMI'!$A:$W,MATCH($A$1,'DB Country PMI'!$A$1:$W$1,),))</f>
        <v>54.8</v>
      </c>
      <c r="C41" s="14">
        <f>Table13468113456[[#This Row],[PMI]]-B40</f>
        <v>0</v>
      </c>
    </row>
    <row r="42" spans="1:3" x14ac:dyDescent="0.35">
      <c r="A42" s="8">
        <v>40360</v>
      </c>
      <c r="B42" s="11">
        <f>IF(VLOOKUP(A42,'DB Country PMI'!$A:$W,MATCH($A$1,'DB Country PMI'!$A$1:$W$1,),)=0,#N/A,VLOOKUP(A42,'DB Country PMI'!$A:$W,MATCH($A$1,'DB Country PMI'!$A$1:$W$1,),))</f>
        <v>56.5</v>
      </c>
      <c r="C42" s="14">
        <f>Table13468113456[[#This Row],[PMI]]-B41</f>
        <v>1.7000000000000028</v>
      </c>
    </row>
    <row r="43" spans="1:3" x14ac:dyDescent="0.35">
      <c r="A43" s="8">
        <v>40391</v>
      </c>
      <c r="B43" s="11">
        <f>IF(VLOOKUP(A43,'DB Country PMI'!$A:$W,MATCH($A$1,'DB Country PMI'!$A$1:$W$1,),)=0,#N/A,VLOOKUP(A43,'DB Country PMI'!$A:$W,MATCH($A$1,'DB Country PMI'!$A$1:$W$1,),))</f>
        <v>57.2</v>
      </c>
      <c r="C43" s="14">
        <f>Table13468113456[[#This Row],[PMI]]-B42</f>
        <v>0.70000000000000284</v>
      </c>
    </row>
    <row r="44" spans="1:3" x14ac:dyDescent="0.35">
      <c r="A44" s="8">
        <v>40422</v>
      </c>
      <c r="B44" s="11">
        <f>IF(VLOOKUP(A44,'DB Country PMI'!$A:$W,MATCH($A$1,'DB Country PMI'!$A$1:$W$1,),)=0,#N/A,VLOOKUP(A44,'DB Country PMI'!$A:$W,MATCH($A$1,'DB Country PMI'!$A$1:$W$1,),))</f>
        <v>54.9</v>
      </c>
      <c r="C44" s="14">
        <f>Table13468113456[[#This Row],[PMI]]-B43</f>
        <v>-2.3000000000000043</v>
      </c>
    </row>
    <row r="45" spans="1:3" x14ac:dyDescent="0.35">
      <c r="A45" s="8">
        <v>40452</v>
      </c>
      <c r="B45" s="11">
        <f>IF(VLOOKUP(A45,'DB Country PMI'!$A:$W,MATCH($A$1,'DB Country PMI'!$A$1:$W$1,),)=0,#N/A,VLOOKUP(A45,'DB Country PMI'!$A:$W,MATCH($A$1,'DB Country PMI'!$A$1:$W$1,),))</f>
        <v>56</v>
      </c>
      <c r="C45" s="14">
        <f>Table13468113456[[#This Row],[PMI]]-B44</f>
        <v>1.1000000000000014</v>
      </c>
    </row>
    <row r="46" spans="1:3" x14ac:dyDescent="0.35">
      <c r="A46" s="8">
        <v>40483</v>
      </c>
      <c r="B46" s="11">
        <f>IF(VLOOKUP(A46,'DB Country PMI'!$A:$W,MATCH($A$1,'DB Country PMI'!$A$1:$W$1,),)=0,#N/A,VLOOKUP(A46,'DB Country PMI'!$A:$W,MATCH($A$1,'DB Country PMI'!$A$1:$W$1,),))</f>
        <v>59.2</v>
      </c>
      <c r="C46" s="14">
        <f>Table13468113456[[#This Row],[PMI]]-B45</f>
        <v>3.2000000000000028</v>
      </c>
    </row>
    <row r="47" spans="1:3" x14ac:dyDescent="0.35">
      <c r="A47" s="8">
        <v>40513</v>
      </c>
      <c r="B47" s="11">
        <f>IF(VLOOKUP(A47,'DB Country PMI'!$A:$W,MATCH($A$1,'DB Country PMI'!$A$1:$W$1,),)=0,#N/A,VLOOKUP(A47,'DB Country PMI'!$A:$W,MATCH($A$1,'DB Country PMI'!$A$1:$W$1,),))</f>
        <v>59.5</v>
      </c>
      <c r="C47" s="14">
        <f>Table13468113456[[#This Row],[PMI]]-B46</f>
        <v>0.29999999999999716</v>
      </c>
    </row>
    <row r="48" spans="1:3" x14ac:dyDescent="0.35">
      <c r="A48" s="8">
        <v>40544</v>
      </c>
      <c r="B48" s="11">
        <f>IF(VLOOKUP(A48,'DB Country PMI'!$A:$W,MATCH($A$1,'DB Country PMI'!$A$1:$W$1,),)=0,#N/A,VLOOKUP(A48,'DB Country PMI'!$A:$W,MATCH($A$1,'DB Country PMI'!$A$1:$W$1,),))</f>
        <v>60.3</v>
      </c>
      <c r="C48" s="14">
        <f>Table13468113456[[#This Row],[PMI]]-B47</f>
        <v>0.79999999999999716</v>
      </c>
    </row>
    <row r="49" spans="1:3" x14ac:dyDescent="0.35">
      <c r="A49" s="8">
        <v>40575</v>
      </c>
      <c r="B49" s="11">
        <f>IF(VLOOKUP(A49,'DB Country PMI'!$A:$W,MATCH($A$1,'DB Country PMI'!$A$1:$W$1,),)=0,#N/A,VLOOKUP(A49,'DB Country PMI'!$A:$W,MATCH($A$1,'DB Country PMI'!$A$1:$W$1,),))</f>
        <v>58.6</v>
      </c>
      <c r="C49" s="14">
        <f>Table13468113456[[#This Row],[PMI]]-B48</f>
        <v>-1.6999999999999957</v>
      </c>
    </row>
    <row r="50" spans="1:3" x14ac:dyDescent="0.35">
      <c r="A50" s="8">
        <v>40603</v>
      </c>
      <c r="B50" s="11">
        <f>IF(VLOOKUP(A50,'DB Country PMI'!$A:$W,MATCH($A$1,'DB Country PMI'!$A$1:$W$1,),)=0,#N/A,VLOOKUP(A50,'DB Country PMI'!$A:$W,MATCH($A$1,'DB Country PMI'!$A$1:$W$1,),))</f>
        <v>60.1</v>
      </c>
      <c r="C50" s="14">
        <f>Table13468113456[[#This Row],[PMI]]-B49</f>
        <v>1.5</v>
      </c>
    </row>
    <row r="51" spans="1:3" x14ac:dyDescent="0.35">
      <c r="A51" s="8">
        <v>40634</v>
      </c>
      <c r="B51" s="11">
        <f>IF(VLOOKUP(A51,'DB Country PMI'!$A:$W,MATCH($A$1,'DB Country PMI'!$A$1:$W$1,),)=0,#N/A,VLOOKUP(A51,'DB Country PMI'!$A:$W,MATCH($A$1,'DB Country PMI'!$A$1:$W$1,),))</f>
        <v>56.8</v>
      </c>
      <c r="C51" s="14">
        <f>Table13468113456[[#This Row],[PMI]]-B50</f>
        <v>-3.3000000000000043</v>
      </c>
    </row>
    <row r="52" spans="1:3" x14ac:dyDescent="0.35">
      <c r="A52" s="8">
        <v>40664</v>
      </c>
      <c r="B52" s="11">
        <f>IF(VLOOKUP(A52,'DB Country PMI'!$A:$W,MATCH($A$1,'DB Country PMI'!$A$1:$W$1,),)=0,#N/A,VLOOKUP(A52,'DB Country PMI'!$A:$W,MATCH($A$1,'DB Country PMI'!$A$1:$W$1,),))</f>
        <v>56.1</v>
      </c>
      <c r="C52" s="14">
        <f>Table13468113456[[#This Row],[PMI]]-B51</f>
        <v>-0.69999999999999574</v>
      </c>
    </row>
    <row r="53" spans="1:3" x14ac:dyDescent="0.35">
      <c r="A53" s="8">
        <v>40695</v>
      </c>
      <c r="B53" s="11">
        <f>IF(VLOOKUP(A53,'DB Country PMI'!$A:$W,MATCH($A$1,'DB Country PMI'!$A$1:$W$1,),)=0,#N/A,VLOOKUP(A53,'DB Country PMI'!$A:$W,MATCH($A$1,'DB Country PMI'!$A$1:$W$1,),))</f>
        <v>56.7</v>
      </c>
      <c r="C53" s="14">
        <f>Table13468113456[[#This Row],[PMI]]-B52</f>
        <v>0.60000000000000142</v>
      </c>
    </row>
    <row r="54" spans="1:3" x14ac:dyDescent="0.35">
      <c r="A54" s="8">
        <v>40725</v>
      </c>
      <c r="B54" s="11">
        <f>IF(VLOOKUP(A54,'DB Country PMI'!$A:$W,MATCH($A$1,'DB Country PMI'!$A$1:$W$1,),)=0,#N/A,VLOOKUP(A54,'DB Country PMI'!$A:$W,MATCH($A$1,'DB Country PMI'!$A$1:$W$1,),))</f>
        <v>52.9</v>
      </c>
      <c r="C54" s="14">
        <f>Table13468113456[[#This Row],[PMI]]-B53</f>
        <v>-3.8000000000000043</v>
      </c>
    </row>
    <row r="55" spans="1:3" x14ac:dyDescent="0.35">
      <c r="A55" s="8">
        <v>40756</v>
      </c>
      <c r="B55" s="11">
        <f>IF(VLOOKUP(A55,'DB Country PMI'!$A:$W,MATCH($A$1,'DB Country PMI'!$A$1:$W$1,),)=0,#N/A,VLOOKUP(A55,'DB Country PMI'!$A:$W,MATCH($A$1,'DB Country PMI'!$A$1:$W$1,),))</f>
        <v>51.1</v>
      </c>
      <c r="C55" s="14">
        <f>Table13468113456[[#This Row],[PMI]]-B54</f>
        <v>-1.7999999999999972</v>
      </c>
    </row>
    <row r="56" spans="1:3" x14ac:dyDescent="0.35">
      <c r="A56" s="8">
        <v>40787</v>
      </c>
      <c r="B56" s="11">
        <f>IF(VLOOKUP(A56,'DB Country PMI'!$A:$W,MATCH($A$1,'DB Country PMI'!$A$1:$W$1,),)=0,#N/A,VLOOKUP(A56,'DB Country PMI'!$A:$W,MATCH($A$1,'DB Country PMI'!$A$1:$W$1,),))</f>
        <v>49.7</v>
      </c>
      <c r="C56" s="14">
        <f>Table13468113456[[#This Row],[PMI]]-B55</f>
        <v>-1.3999999999999986</v>
      </c>
    </row>
    <row r="57" spans="1:3" x14ac:dyDescent="0.35">
      <c r="A57" s="8">
        <v>40817</v>
      </c>
      <c r="B57" s="11">
        <f>IF(VLOOKUP(A57,'DB Country PMI'!$A:$W,MATCH($A$1,'DB Country PMI'!$A$1:$W$1,),)=0,#N/A,VLOOKUP(A57,'DB Country PMI'!$A:$W,MATCH($A$1,'DB Country PMI'!$A$1:$W$1,),))</f>
        <v>50.6</v>
      </c>
      <c r="C57" s="14">
        <f>Table13468113456[[#This Row],[PMI]]-B56</f>
        <v>0.89999999999999858</v>
      </c>
    </row>
    <row r="58" spans="1:3" x14ac:dyDescent="0.35">
      <c r="A58" s="8">
        <v>40848</v>
      </c>
      <c r="B58" s="11">
        <f>IF(VLOOKUP(A58,'DB Country PMI'!$A:$W,MATCH($A$1,'DB Country PMI'!$A$1:$W$1,),)=0,#N/A,VLOOKUP(A58,'DB Country PMI'!$A:$W,MATCH($A$1,'DB Country PMI'!$A$1:$W$1,),))</f>
        <v>50.3</v>
      </c>
      <c r="C58" s="14">
        <f>Table13468113456[[#This Row],[PMI]]-B57</f>
        <v>-0.30000000000000426</v>
      </c>
    </row>
    <row r="59" spans="1:3" x14ac:dyDescent="0.35">
      <c r="A59" s="8">
        <v>40878</v>
      </c>
      <c r="B59" s="11">
        <f>IF(VLOOKUP(A59,'DB Country PMI'!$A:$W,MATCH($A$1,'DB Country PMI'!$A$1:$W$1,),)=0,#N/A,VLOOKUP(A59,'DB Country PMI'!$A:$W,MATCH($A$1,'DB Country PMI'!$A$1:$W$1,),))</f>
        <v>52.4</v>
      </c>
      <c r="C59" s="14">
        <f>Table13468113456[[#This Row],[PMI]]-B58</f>
        <v>2.1000000000000014</v>
      </c>
    </row>
    <row r="60" spans="1:3" x14ac:dyDescent="0.35">
      <c r="A60" s="8">
        <v>40909</v>
      </c>
      <c r="B60" s="11">
        <f>IF(VLOOKUP(A60,'DB Country PMI'!$A:$W,MATCH($A$1,'DB Country PMI'!$A$1:$W$1,),)=0,#N/A,VLOOKUP(A60,'DB Country PMI'!$A:$W,MATCH($A$1,'DB Country PMI'!$A$1:$W$1,),))</f>
        <v>53.7</v>
      </c>
      <c r="C60" s="14">
        <f>Table13468113456[[#This Row],[PMI]]-B59</f>
        <v>1.3000000000000043</v>
      </c>
    </row>
    <row r="61" spans="1:3" x14ac:dyDescent="0.35">
      <c r="A61" s="8">
        <v>40940</v>
      </c>
      <c r="B61" s="11">
        <f>IF(VLOOKUP(A61,'DB Country PMI'!$A:$W,MATCH($A$1,'DB Country PMI'!$A$1:$W$1,),)=0,#N/A,VLOOKUP(A61,'DB Country PMI'!$A:$W,MATCH($A$1,'DB Country PMI'!$A$1:$W$1,),))</f>
        <v>52.8</v>
      </c>
      <c r="C61" s="14">
        <f>Table13468113456[[#This Row],[PMI]]-B60</f>
        <v>-0.90000000000000568</v>
      </c>
    </row>
    <row r="62" spans="1:3" x14ac:dyDescent="0.35">
      <c r="A62" s="8">
        <v>40969</v>
      </c>
      <c r="B62" s="11">
        <f>IF(VLOOKUP(A62,'DB Country PMI'!$A:$W,MATCH($A$1,'DB Country PMI'!$A$1:$W$1,),)=0,#N/A,VLOOKUP(A62,'DB Country PMI'!$A:$W,MATCH($A$1,'DB Country PMI'!$A$1:$W$1,),))</f>
        <v>52.1</v>
      </c>
      <c r="C62" s="14">
        <f>Table13468113456[[#This Row],[PMI]]-B61</f>
        <v>-0.69999999999999574</v>
      </c>
    </row>
    <row r="63" spans="1:3" x14ac:dyDescent="0.35">
      <c r="A63" s="8">
        <v>41000</v>
      </c>
      <c r="B63" s="11">
        <f>IF(VLOOKUP(A63,'DB Country PMI'!$A:$W,MATCH($A$1,'DB Country PMI'!$A$1:$W$1,),)=0,#N/A,VLOOKUP(A63,'DB Country PMI'!$A:$W,MATCH($A$1,'DB Country PMI'!$A$1:$W$1,),))</f>
        <v>52.2</v>
      </c>
      <c r="C63" s="14">
        <f>Table13468113456[[#This Row],[PMI]]-B62</f>
        <v>0.10000000000000142</v>
      </c>
    </row>
    <row r="64" spans="1:3" x14ac:dyDescent="0.35">
      <c r="A64" s="8">
        <v>41030</v>
      </c>
      <c r="B64" s="11">
        <f>IF(VLOOKUP(A64,'DB Country PMI'!$A:$W,MATCH($A$1,'DB Country PMI'!$A$1:$W$1,),)=0,#N/A,VLOOKUP(A64,'DB Country PMI'!$A:$W,MATCH($A$1,'DB Country PMI'!$A$1:$W$1,),))</f>
        <v>51.8</v>
      </c>
      <c r="C64" s="14">
        <f>Table13468113456[[#This Row],[PMI]]-B63</f>
        <v>-0.40000000000000568</v>
      </c>
    </row>
    <row r="65" spans="1:3" x14ac:dyDescent="0.35">
      <c r="A65" s="8">
        <v>41061</v>
      </c>
      <c r="B65" s="11">
        <f>IF(VLOOKUP(A65,'DB Country PMI'!$A:$W,MATCH($A$1,'DB Country PMI'!$A$1:$W$1,),)=0,#N/A,VLOOKUP(A65,'DB Country PMI'!$A:$W,MATCH($A$1,'DB Country PMI'!$A$1:$W$1,),))</f>
        <v>49.9</v>
      </c>
      <c r="C65" s="14">
        <f>Table13468113456[[#This Row],[PMI]]-B64</f>
        <v>-1.8999999999999986</v>
      </c>
    </row>
    <row r="66" spans="1:3" x14ac:dyDescent="0.35">
      <c r="A66" s="8">
        <v>41091</v>
      </c>
      <c r="B66" s="11">
        <f>IF(VLOOKUP(A66,'DB Country PMI'!$A:$W,MATCH($A$1,'DB Country PMI'!$A$1:$W$1,),)=0,#N/A,VLOOKUP(A66,'DB Country PMI'!$A:$W,MATCH($A$1,'DB Country PMI'!$A$1:$W$1,),))</f>
        <v>50.3</v>
      </c>
      <c r="C66" s="14">
        <f>Table13468113456[[#This Row],[PMI]]-B65</f>
        <v>0.39999999999999858</v>
      </c>
    </row>
    <row r="67" spans="1:3" x14ac:dyDescent="0.35">
      <c r="A67" s="8">
        <v>41122</v>
      </c>
      <c r="B67" s="11">
        <f>IF(VLOOKUP(A67,'DB Country PMI'!$A:$W,MATCH($A$1,'DB Country PMI'!$A$1:$W$1,),)=0,#N/A,VLOOKUP(A67,'DB Country PMI'!$A:$W,MATCH($A$1,'DB Country PMI'!$A$1:$W$1,),))</f>
        <v>48.3</v>
      </c>
      <c r="C67" s="14">
        <f>Table13468113456[[#This Row],[PMI]]-B66</f>
        <v>-2</v>
      </c>
    </row>
    <row r="68" spans="1:3" x14ac:dyDescent="0.35">
      <c r="A68" s="8">
        <v>41153</v>
      </c>
      <c r="B68" s="11">
        <f>IF(VLOOKUP(A68,'DB Country PMI'!$A:$W,MATCH($A$1,'DB Country PMI'!$A$1:$W$1,),)=0,#N/A,VLOOKUP(A68,'DB Country PMI'!$A:$W,MATCH($A$1,'DB Country PMI'!$A$1:$W$1,),))</f>
        <v>49.7</v>
      </c>
      <c r="C68" s="14">
        <f>Table13468113456[[#This Row],[PMI]]-B67</f>
        <v>1.4000000000000057</v>
      </c>
    </row>
    <row r="69" spans="1:3" x14ac:dyDescent="0.35">
      <c r="A69" s="8">
        <v>41183</v>
      </c>
      <c r="B69" s="11">
        <f>IF(VLOOKUP(A69,'DB Country PMI'!$A:$W,MATCH($A$1,'DB Country PMI'!$A$1:$W$1,),)=0,#N/A,VLOOKUP(A69,'DB Country PMI'!$A:$W,MATCH($A$1,'DB Country PMI'!$A$1:$W$1,),))</f>
        <v>48.4</v>
      </c>
      <c r="C69" s="14">
        <f>Table13468113456[[#This Row],[PMI]]-B68</f>
        <v>-1.3000000000000043</v>
      </c>
    </row>
    <row r="70" spans="1:3" x14ac:dyDescent="0.35">
      <c r="A70" s="8">
        <v>41214</v>
      </c>
      <c r="B70" s="11">
        <f>IF(VLOOKUP(A70,'DB Country PMI'!$A:$W,MATCH($A$1,'DB Country PMI'!$A$1:$W$1,),)=0,#N/A,VLOOKUP(A70,'DB Country PMI'!$A:$W,MATCH($A$1,'DB Country PMI'!$A$1:$W$1,),))</f>
        <v>49.7</v>
      </c>
      <c r="C70" s="14">
        <f>Table13468113456[[#This Row],[PMI]]-B69</f>
        <v>1.3000000000000043</v>
      </c>
    </row>
    <row r="71" spans="1:3" x14ac:dyDescent="0.35">
      <c r="A71" s="8">
        <v>41244</v>
      </c>
      <c r="B71" s="11">
        <f>IF(VLOOKUP(A71,'DB Country PMI'!$A:$W,MATCH($A$1,'DB Country PMI'!$A$1:$W$1,),)=0,#N/A,VLOOKUP(A71,'DB Country PMI'!$A:$W,MATCH($A$1,'DB Country PMI'!$A$1:$W$1,),))</f>
        <v>55.7</v>
      </c>
      <c r="C71" s="14">
        <f>Table13468113456[[#This Row],[PMI]]-B70</f>
        <v>6</v>
      </c>
    </row>
    <row r="72" spans="1:3" x14ac:dyDescent="0.35">
      <c r="A72" s="8">
        <v>41275</v>
      </c>
      <c r="B72" s="11">
        <f>IF(VLOOKUP(A72,'DB Country PMI'!$A:$W,MATCH($A$1,'DB Country PMI'!$A$1:$W$1,),)=0,#N/A,VLOOKUP(A72,'DB Country PMI'!$A:$W,MATCH($A$1,'DB Country PMI'!$A$1:$W$1,),))</f>
        <v>54.7</v>
      </c>
      <c r="C72" s="14">
        <f>Table13468113456[[#This Row],[PMI]]-B71</f>
        <v>-1</v>
      </c>
    </row>
    <row r="73" spans="1:3" x14ac:dyDescent="0.35">
      <c r="A73" s="8">
        <v>41306</v>
      </c>
      <c r="B73" s="11">
        <f>IF(VLOOKUP(A73,'DB Country PMI'!$A:$W,MATCH($A$1,'DB Country PMI'!$A$1:$W$1,),)=0,#N/A,VLOOKUP(A73,'DB Country PMI'!$A:$W,MATCH($A$1,'DB Country PMI'!$A$1:$W$1,),))</f>
        <v>50.9</v>
      </c>
      <c r="C73" s="14">
        <f>Table13468113456[[#This Row],[PMI]]-B72</f>
        <v>-3.8000000000000043</v>
      </c>
    </row>
    <row r="74" spans="1:3" x14ac:dyDescent="0.35">
      <c r="A74" s="8">
        <v>41334</v>
      </c>
      <c r="B74" s="11">
        <f>IF(VLOOKUP(A74,'DB Country PMI'!$A:$W,MATCH($A$1,'DB Country PMI'!$A$1:$W$1,),)=0,#N/A,VLOOKUP(A74,'DB Country PMI'!$A:$W,MATCH($A$1,'DB Country PMI'!$A$1:$W$1,),))</f>
        <v>49.6</v>
      </c>
      <c r="C74" s="14">
        <f>Table13468113456[[#This Row],[PMI]]-B73</f>
        <v>-1.2999999999999972</v>
      </c>
    </row>
    <row r="75" spans="1:3" x14ac:dyDescent="0.35">
      <c r="A75" s="8">
        <v>41365</v>
      </c>
      <c r="B75" s="11">
        <f>IF(VLOOKUP(A75,'DB Country PMI'!$A:$W,MATCH($A$1,'DB Country PMI'!$A$1:$W$1,),)=0,#N/A,VLOOKUP(A75,'DB Country PMI'!$A:$W,MATCH($A$1,'DB Country PMI'!$A$1:$W$1,),))</f>
        <v>49.7</v>
      </c>
      <c r="C75" s="14">
        <f>Table13468113456[[#This Row],[PMI]]-B74</f>
        <v>0.10000000000000142</v>
      </c>
    </row>
    <row r="76" spans="1:3" x14ac:dyDescent="0.35">
      <c r="A76" s="8">
        <v>41395</v>
      </c>
      <c r="B76" s="11">
        <f>IF(VLOOKUP(A76,'DB Country PMI'!$A:$W,MATCH($A$1,'DB Country PMI'!$A$1:$W$1,),)=0,#N/A,VLOOKUP(A76,'DB Country PMI'!$A:$W,MATCH($A$1,'DB Country PMI'!$A$1:$W$1,),))</f>
        <v>50.4</v>
      </c>
      <c r="C76" s="14">
        <f>Table13468113456[[#This Row],[PMI]]-B75</f>
        <v>0.69999999999999574</v>
      </c>
    </row>
    <row r="77" spans="1:3" x14ac:dyDescent="0.35">
      <c r="A77" s="8">
        <v>41426</v>
      </c>
      <c r="B77" s="11">
        <f>IF(VLOOKUP(A77,'DB Country PMI'!$A:$W,MATCH($A$1,'DB Country PMI'!$A$1:$W$1,),)=0,#N/A,VLOOKUP(A77,'DB Country PMI'!$A:$W,MATCH($A$1,'DB Country PMI'!$A$1:$W$1,),))</f>
        <v>51.3</v>
      </c>
      <c r="C77" s="14">
        <f>Table13468113456[[#This Row],[PMI]]-B76</f>
        <v>0.89999999999999858</v>
      </c>
    </row>
    <row r="78" spans="1:3" x14ac:dyDescent="0.35">
      <c r="A78" s="8">
        <v>41456</v>
      </c>
      <c r="B78" s="11">
        <f>IF(VLOOKUP(A78,'DB Country PMI'!$A:$W,MATCH($A$1,'DB Country PMI'!$A$1:$W$1,),)=0,#N/A,VLOOKUP(A78,'DB Country PMI'!$A:$W,MATCH($A$1,'DB Country PMI'!$A$1:$W$1,),))</f>
        <v>52.8</v>
      </c>
      <c r="C78" s="14">
        <f>Table13468113456[[#This Row],[PMI]]-B77</f>
        <v>1.5</v>
      </c>
    </row>
    <row r="79" spans="1:3" x14ac:dyDescent="0.35">
      <c r="A79" s="8">
        <v>41487</v>
      </c>
      <c r="B79" s="11">
        <f>IF(VLOOKUP(A79,'DB Country PMI'!$A:$W,MATCH($A$1,'DB Country PMI'!$A$1:$W$1,),)=0,#N/A,VLOOKUP(A79,'DB Country PMI'!$A:$W,MATCH($A$1,'DB Country PMI'!$A$1:$W$1,),))</f>
        <v>53.7</v>
      </c>
      <c r="C79" s="14">
        <f>Table13468113456[[#This Row],[PMI]]-B78</f>
        <v>0.90000000000000568</v>
      </c>
    </row>
    <row r="80" spans="1:3" x14ac:dyDescent="0.35">
      <c r="A80" s="8">
        <v>41518</v>
      </c>
      <c r="B80" s="11">
        <f>IF(VLOOKUP(A80,'DB Country PMI'!$A:$W,MATCH($A$1,'DB Country PMI'!$A$1:$W$1,),)=0,#N/A,VLOOKUP(A80,'DB Country PMI'!$A:$W,MATCH($A$1,'DB Country PMI'!$A$1:$W$1,),))</f>
        <v>52.9</v>
      </c>
      <c r="C80" s="14">
        <f>Table13468113456[[#This Row],[PMI]]-B79</f>
        <v>-0.80000000000000426</v>
      </c>
    </row>
    <row r="81" spans="1:3" x14ac:dyDescent="0.35">
      <c r="A81" s="8">
        <v>41548</v>
      </c>
      <c r="B81" s="11">
        <f>IF(VLOOKUP(A81,'DB Country PMI'!$A:$W,MATCH($A$1,'DB Country PMI'!$A$1:$W$1,),)=0,#N/A,VLOOKUP(A81,'DB Country PMI'!$A:$W,MATCH($A$1,'DB Country PMI'!$A$1:$W$1,),))</f>
        <v>55.7</v>
      </c>
      <c r="C81" s="14">
        <f>Table13468113456[[#This Row],[PMI]]-B80</f>
        <v>2.8000000000000043</v>
      </c>
    </row>
    <row r="82" spans="1:3" x14ac:dyDescent="0.35">
      <c r="A82" s="8">
        <v>41579</v>
      </c>
      <c r="B82" s="11">
        <f>IF(VLOOKUP(A82,'DB Country PMI'!$A:$W,MATCH($A$1,'DB Country PMI'!$A$1:$W$1,),)=0,#N/A,VLOOKUP(A82,'DB Country PMI'!$A:$W,MATCH($A$1,'DB Country PMI'!$A$1:$W$1,),))</f>
        <v>53.5</v>
      </c>
      <c r="C82" s="14">
        <f>Table13468113456[[#This Row],[PMI]]-B81</f>
        <v>-2.2000000000000028</v>
      </c>
    </row>
    <row r="83" spans="1:3" x14ac:dyDescent="0.35">
      <c r="A83" s="8">
        <v>41609</v>
      </c>
      <c r="B83" s="11">
        <f>IF(VLOOKUP(A83,'DB Country PMI'!$A:$W,MATCH($A$1,'DB Country PMI'!$A$1:$W$1,),)=0,#N/A,VLOOKUP(A83,'DB Country PMI'!$A:$W,MATCH($A$1,'DB Country PMI'!$A$1:$W$1,),))</f>
        <v>53.1</v>
      </c>
      <c r="C83" s="14">
        <f>Table13468113456[[#This Row],[PMI]]-B82</f>
        <v>-0.39999999999999858</v>
      </c>
    </row>
    <row r="84" spans="1:3" x14ac:dyDescent="0.35">
      <c r="A84" s="8">
        <v>41640</v>
      </c>
      <c r="B84" s="11">
        <f>IF(VLOOKUP(A84,'DB Country PMI'!$A:$W,MATCH($A$1,'DB Country PMI'!$A$1:$W$1,),)=0,#N/A,VLOOKUP(A84,'DB Country PMI'!$A:$W,MATCH($A$1,'DB Country PMI'!$A$1:$W$1,),))</f>
        <v>55.9</v>
      </c>
      <c r="C84" s="14">
        <f>Table13468113456[[#This Row],[PMI]]-B83</f>
        <v>2.7999999999999972</v>
      </c>
    </row>
    <row r="85" spans="1:3" x14ac:dyDescent="0.35">
      <c r="A85" s="8">
        <v>41671</v>
      </c>
      <c r="B85" s="11">
        <f>IF(VLOOKUP(A85,'DB Country PMI'!$A:$W,MATCH($A$1,'DB Country PMI'!$A$1:$W$1,),)=0,#N/A,VLOOKUP(A85,'DB Country PMI'!$A:$W,MATCH($A$1,'DB Country PMI'!$A$1:$W$1,),))</f>
        <v>53</v>
      </c>
      <c r="C85" s="14">
        <f>Table13468113456[[#This Row],[PMI]]-B84</f>
        <v>-2.8999999999999986</v>
      </c>
    </row>
    <row r="86" spans="1:3" x14ac:dyDescent="0.35">
      <c r="A86" s="8">
        <v>41699</v>
      </c>
      <c r="B86" s="11">
        <f>IF(VLOOKUP(A86,'DB Country PMI'!$A:$W,MATCH($A$1,'DB Country PMI'!$A$1:$W$1,),)=0,#N/A,VLOOKUP(A86,'DB Country PMI'!$A:$W,MATCH($A$1,'DB Country PMI'!$A$1:$W$1,),))</f>
        <v>54.7</v>
      </c>
      <c r="C86" s="14">
        <f>Table13468113456[[#This Row],[PMI]]-B85</f>
        <v>1.7000000000000028</v>
      </c>
    </row>
    <row r="87" spans="1:3" x14ac:dyDescent="0.35">
      <c r="A87" s="8">
        <v>41730</v>
      </c>
      <c r="B87" s="11">
        <f>IF(VLOOKUP(A87,'DB Country PMI'!$A:$W,MATCH($A$1,'DB Country PMI'!$A$1:$W$1,),)=0,#N/A,VLOOKUP(A87,'DB Country PMI'!$A:$W,MATCH($A$1,'DB Country PMI'!$A$1:$W$1,),))</f>
        <v>56.4</v>
      </c>
      <c r="C87" s="14">
        <f>Table13468113456[[#This Row],[PMI]]-B86</f>
        <v>1.6999999999999957</v>
      </c>
    </row>
    <row r="88" spans="1:3" x14ac:dyDescent="0.35">
      <c r="A88" s="8">
        <v>41760</v>
      </c>
      <c r="B88" s="11">
        <f>IF(VLOOKUP(A88,'DB Country PMI'!$A:$W,MATCH($A$1,'DB Country PMI'!$A$1:$W$1,),)=0,#N/A,VLOOKUP(A88,'DB Country PMI'!$A:$W,MATCH($A$1,'DB Country PMI'!$A$1:$W$1,),))</f>
        <v>56</v>
      </c>
      <c r="C88" s="14">
        <f>Table13468113456[[#This Row],[PMI]]-B87</f>
        <v>-0.39999999999999858</v>
      </c>
    </row>
    <row r="89" spans="1:3" x14ac:dyDescent="0.35">
      <c r="A89" s="8">
        <v>41791</v>
      </c>
      <c r="B89" s="11">
        <f>IF(VLOOKUP(A89,'DB Country PMI'!$A:$W,MATCH($A$1,'DB Country PMI'!$A$1:$W$1,),)=0,#N/A,VLOOKUP(A89,'DB Country PMI'!$A:$W,MATCH($A$1,'DB Country PMI'!$A$1:$W$1,),))</f>
        <v>54.6</v>
      </c>
      <c r="C89" s="14">
        <f>Table13468113456[[#This Row],[PMI]]-B88</f>
        <v>-1.3999999999999986</v>
      </c>
    </row>
    <row r="90" spans="1:3" x14ac:dyDescent="0.35">
      <c r="A90" s="8">
        <v>41821</v>
      </c>
      <c r="B90" s="11">
        <f>IF(VLOOKUP(A90,'DB Country PMI'!$A:$W,MATCH($A$1,'DB Country PMI'!$A$1:$W$1,),)=0,#N/A,VLOOKUP(A90,'DB Country PMI'!$A:$W,MATCH($A$1,'DB Country PMI'!$A$1:$W$1,),))</f>
        <v>56.7</v>
      </c>
      <c r="C90" s="14">
        <f>Table13468113456[[#This Row],[PMI]]-B89</f>
        <v>2.1000000000000014</v>
      </c>
    </row>
    <row r="91" spans="1:3" x14ac:dyDescent="0.35">
      <c r="A91" s="8">
        <v>41852</v>
      </c>
      <c r="B91" s="11">
        <f>IF(VLOOKUP(A91,'DB Country PMI'!$A:$W,MATCH($A$1,'DB Country PMI'!$A$1:$W$1,),)=0,#N/A,VLOOKUP(A91,'DB Country PMI'!$A:$W,MATCH($A$1,'DB Country PMI'!$A$1:$W$1,),))</f>
        <v>54.9</v>
      </c>
      <c r="C91" s="14">
        <f>Table13468113456[[#This Row],[PMI]]-B90</f>
        <v>-1.8000000000000043</v>
      </c>
    </row>
    <row r="92" spans="1:3" x14ac:dyDescent="0.35">
      <c r="A92" s="8">
        <v>41883</v>
      </c>
      <c r="B92" s="11">
        <f>IF(VLOOKUP(A92,'DB Country PMI'!$A:$W,MATCH($A$1,'DB Country PMI'!$A$1:$W$1,),)=0,#N/A,VLOOKUP(A92,'DB Country PMI'!$A:$W,MATCH($A$1,'DB Country PMI'!$A$1:$W$1,),))</f>
        <v>55.7</v>
      </c>
      <c r="C92" s="14">
        <f>Table13468113456[[#This Row],[PMI]]-B91</f>
        <v>0.80000000000000426</v>
      </c>
    </row>
    <row r="93" spans="1:3" x14ac:dyDescent="0.35">
      <c r="A93" s="8">
        <v>41913</v>
      </c>
      <c r="B93" s="11">
        <f>IF(VLOOKUP(A93,'DB Country PMI'!$A:$W,MATCH($A$1,'DB Country PMI'!$A$1:$W$1,),)=0,#N/A,VLOOKUP(A93,'DB Country PMI'!$A:$W,MATCH($A$1,'DB Country PMI'!$A$1:$W$1,),))</f>
        <v>54.4</v>
      </c>
      <c r="C93" s="14">
        <f>Table13468113456[[#This Row],[PMI]]-B92</f>
        <v>-1.3000000000000043</v>
      </c>
    </row>
    <row r="94" spans="1:3" x14ac:dyDescent="0.35">
      <c r="A94" s="8">
        <v>41944</v>
      </c>
      <c r="B94" s="11">
        <f>IF(VLOOKUP(A94,'DB Country PMI'!$A:$W,MATCH($A$1,'DB Country PMI'!$A$1:$W$1,),)=0,#N/A,VLOOKUP(A94,'DB Country PMI'!$A:$W,MATCH($A$1,'DB Country PMI'!$A$1:$W$1,),))</f>
        <v>52.1</v>
      </c>
      <c r="C94" s="14">
        <f>Table13468113456[[#This Row],[PMI]]-B93</f>
        <v>-2.2999999999999972</v>
      </c>
    </row>
    <row r="95" spans="1:3" x14ac:dyDescent="0.35">
      <c r="A95" s="8">
        <v>41974</v>
      </c>
      <c r="B95" s="11">
        <f>IF(VLOOKUP(A95,'DB Country PMI'!$A:$W,MATCH($A$1,'DB Country PMI'!$A$1:$W$1,),)=0,#N/A,VLOOKUP(A95,'DB Country PMI'!$A:$W,MATCH($A$1,'DB Country PMI'!$A$1:$W$1,),))</f>
        <v>52.1</v>
      </c>
      <c r="C95" s="14">
        <f>Table13468113456[[#This Row],[PMI]]-B94</f>
        <v>0</v>
      </c>
    </row>
    <row r="96" spans="1:3" x14ac:dyDescent="0.35">
      <c r="A96" s="8">
        <v>42005</v>
      </c>
      <c r="B96" s="11">
        <f>IF(VLOOKUP(A96,'DB Country PMI'!$A:$W,MATCH($A$1,'DB Country PMI'!$A$1:$W$1,),)=0,#N/A,VLOOKUP(A96,'DB Country PMI'!$A:$W,MATCH($A$1,'DB Country PMI'!$A$1:$W$1,),))</f>
        <v>54</v>
      </c>
      <c r="C96" s="14">
        <f>Table13468113456[[#This Row],[PMI]]-B95</f>
        <v>1.8999999999999986</v>
      </c>
    </row>
    <row r="97" spans="1:3" x14ac:dyDescent="0.35">
      <c r="A97" s="8">
        <v>42036</v>
      </c>
      <c r="B97" s="11">
        <f>IF(VLOOKUP(A97,'DB Country PMI'!$A:$W,MATCH($A$1,'DB Country PMI'!$A$1:$W$1,),)=0,#N/A,VLOOKUP(A97,'DB Country PMI'!$A:$W,MATCH($A$1,'DB Country PMI'!$A$1:$W$1,),))</f>
        <v>54.7</v>
      </c>
      <c r="C97" s="14">
        <f>Table13468113456[[#This Row],[PMI]]-B96</f>
        <v>0.70000000000000284</v>
      </c>
    </row>
    <row r="98" spans="1:3" x14ac:dyDescent="0.35">
      <c r="A98" s="8">
        <v>42064</v>
      </c>
      <c r="B98" s="11">
        <f>IF(VLOOKUP(A98,'DB Country PMI'!$A:$W,MATCH($A$1,'DB Country PMI'!$A$1:$W$1,),)=0,#N/A,VLOOKUP(A98,'DB Country PMI'!$A:$W,MATCH($A$1,'DB Country PMI'!$A$1:$W$1,),))</f>
        <v>55.4</v>
      </c>
      <c r="C98" s="14">
        <f>Table13468113456[[#This Row],[PMI]]-B97</f>
        <v>0.69999999999999574</v>
      </c>
    </row>
    <row r="99" spans="1:3" x14ac:dyDescent="0.35">
      <c r="A99" s="8">
        <v>42095</v>
      </c>
      <c r="B99" s="11">
        <f>IF(VLOOKUP(A99,'DB Country PMI'!$A:$W,MATCH($A$1,'DB Country PMI'!$A$1:$W$1,),)=0,#N/A,VLOOKUP(A99,'DB Country PMI'!$A:$W,MATCH($A$1,'DB Country PMI'!$A$1:$W$1,),))</f>
        <v>54</v>
      </c>
      <c r="C99" s="14">
        <f>Table13468113456[[#This Row],[PMI]]-B98</f>
        <v>-1.3999999999999986</v>
      </c>
    </row>
    <row r="100" spans="1:3" x14ac:dyDescent="0.35">
      <c r="A100" s="8">
        <v>42125</v>
      </c>
      <c r="B100" s="11">
        <f>IF(VLOOKUP(A100,'DB Country PMI'!$A:$W,MATCH($A$1,'DB Country PMI'!$A$1:$W$1,),)=0,#N/A,VLOOKUP(A100,'DB Country PMI'!$A:$W,MATCH($A$1,'DB Country PMI'!$A$1:$W$1,),))</f>
        <v>53</v>
      </c>
      <c r="C100" s="14">
        <f>Table13468113456[[#This Row],[PMI]]-B99</f>
        <v>-1</v>
      </c>
    </row>
    <row r="101" spans="1:3" x14ac:dyDescent="0.35">
      <c r="A101" s="8">
        <v>42156</v>
      </c>
      <c r="B101" s="11">
        <f>IF(VLOOKUP(A101,'DB Country PMI'!$A:$W,MATCH($A$1,'DB Country PMI'!$A$1:$W$1,),)=0,#N/A,VLOOKUP(A101,'DB Country PMI'!$A:$W,MATCH($A$1,'DB Country PMI'!$A$1:$W$1,),))</f>
        <v>53.8</v>
      </c>
      <c r="C101" s="14">
        <f>Table13468113456[[#This Row],[PMI]]-B100</f>
        <v>0.79999999999999716</v>
      </c>
    </row>
    <row r="102" spans="1:3" x14ac:dyDescent="0.35">
      <c r="A102" s="8">
        <v>42186</v>
      </c>
      <c r="B102" s="11">
        <f>IF(VLOOKUP(A102,'DB Country PMI'!$A:$W,MATCH($A$1,'DB Country PMI'!$A$1:$W$1,),)=0,#N/A,VLOOKUP(A102,'DB Country PMI'!$A:$W,MATCH($A$1,'DB Country PMI'!$A$1:$W$1,),))</f>
        <v>53.8</v>
      </c>
      <c r="C102" s="14">
        <f>Table13468113456[[#This Row],[PMI]]-B101</f>
        <v>0</v>
      </c>
    </row>
    <row r="103" spans="1:3" x14ac:dyDescent="0.35">
      <c r="A103" s="8">
        <v>42217</v>
      </c>
      <c r="B103" s="11">
        <f>IF(VLOOKUP(A103,'DB Country PMI'!$A:$W,MATCH($A$1,'DB Country PMI'!$A$1:$W$1,),)=0,#N/A,VLOOKUP(A103,'DB Country PMI'!$A:$W,MATCH($A$1,'DB Country PMI'!$A$1:$W$1,),))</f>
        <v>54.9</v>
      </c>
      <c r="C103" s="14">
        <f>Table13468113456[[#This Row],[PMI]]-B102</f>
        <v>1.1000000000000014</v>
      </c>
    </row>
    <row r="104" spans="1:3" x14ac:dyDescent="0.35">
      <c r="A104" s="8">
        <v>42248</v>
      </c>
      <c r="B104" s="11">
        <f>IF(VLOOKUP(A104,'DB Country PMI'!$A:$W,MATCH($A$1,'DB Country PMI'!$A$1:$W$1,),)=0,#N/A,VLOOKUP(A104,'DB Country PMI'!$A:$W,MATCH($A$1,'DB Country PMI'!$A$1:$W$1,),))</f>
        <v>54.1</v>
      </c>
      <c r="C104" s="14">
        <f>Table13468113456[[#This Row],[PMI]]-B103</f>
        <v>-0.79999999999999716</v>
      </c>
    </row>
    <row r="105" spans="1:3" x14ac:dyDescent="0.35">
      <c r="A105" s="8">
        <v>42278</v>
      </c>
      <c r="B105" s="11">
        <f>IF(VLOOKUP(A105,'DB Country PMI'!$A:$W,MATCH($A$1,'DB Country PMI'!$A$1:$W$1,),)=0,#N/A,VLOOKUP(A105,'DB Country PMI'!$A:$W,MATCH($A$1,'DB Country PMI'!$A$1:$W$1,),))</f>
        <v>54.5</v>
      </c>
      <c r="C105" s="14">
        <f>Table13468113456[[#This Row],[PMI]]-B104</f>
        <v>0.39999999999999858</v>
      </c>
    </row>
    <row r="106" spans="1:3" x14ac:dyDescent="0.35">
      <c r="A106" s="8">
        <v>42309</v>
      </c>
      <c r="B106" s="11">
        <f>IF(VLOOKUP(A106,'DB Country PMI'!$A:$W,MATCH($A$1,'DB Country PMI'!$A$1:$W$1,),)=0,#N/A,VLOOKUP(A106,'DB Country PMI'!$A:$W,MATCH($A$1,'DB Country PMI'!$A$1:$W$1,),))</f>
        <v>55.6</v>
      </c>
      <c r="C106" s="14">
        <f>Table13468113456[[#This Row],[PMI]]-B105</f>
        <v>1.1000000000000014</v>
      </c>
    </row>
    <row r="107" spans="1:3" x14ac:dyDescent="0.35">
      <c r="A107" s="8">
        <v>42339</v>
      </c>
      <c r="B107" s="11">
        <f>IF(VLOOKUP(A107,'DB Country PMI'!$A:$W,MATCH($A$1,'DB Country PMI'!$A$1:$W$1,),)=0,#N/A,VLOOKUP(A107,'DB Country PMI'!$A:$W,MATCH($A$1,'DB Country PMI'!$A$1:$W$1,),))</f>
        <v>56</v>
      </c>
      <c r="C107" s="14">
        <f>Table13468113456[[#This Row],[PMI]]-B106</f>
        <v>0.39999999999999858</v>
      </c>
    </row>
    <row r="108" spans="1:3" x14ac:dyDescent="0.35">
      <c r="A108" s="8">
        <v>42370</v>
      </c>
      <c r="B108" s="11">
        <f>IF(VLOOKUP(A108,'DB Country PMI'!$A:$W,MATCH($A$1,'DB Country PMI'!$A$1:$W$1,),)=0,#N/A,VLOOKUP(A108,'DB Country PMI'!$A:$W,MATCH($A$1,'DB Country PMI'!$A$1:$W$1,),))</f>
        <v>55</v>
      </c>
      <c r="C108" s="14">
        <f>Table13468113456[[#This Row],[PMI]]-B107</f>
        <v>-1</v>
      </c>
    </row>
    <row r="109" spans="1:3" x14ac:dyDescent="0.35">
      <c r="A109" s="8">
        <v>42401</v>
      </c>
      <c r="B109" s="11">
        <f>IF(VLOOKUP(A109,'DB Country PMI'!$A:$W,MATCH($A$1,'DB Country PMI'!$A$1:$W$1,),)=0,#N/A,VLOOKUP(A109,'DB Country PMI'!$A:$W,MATCH($A$1,'DB Country PMI'!$A$1:$W$1,),))</f>
        <v>55.3</v>
      </c>
      <c r="C109" s="14">
        <f>Table13468113456[[#This Row],[PMI]]-B108</f>
        <v>0.29999999999999716</v>
      </c>
    </row>
    <row r="110" spans="1:3" x14ac:dyDescent="0.35">
      <c r="A110" s="8">
        <v>42430</v>
      </c>
      <c r="B110" s="11">
        <f>IF(VLOOKUP(A110,'DB Country PMI'!$A:$W,MATCH($A$1,'DB Country PMI'!$A$1:$W$1,),)=0,#N/A,VLOOKUP(A110,'DB Country PMI'!$A:$W,MATCH($A$1,'DB Country PMI'!$A$1:$W$1,),))</f>
        <v>55.1</v>
      </c>
      <c r="C110" s="14">
        <f>Table13468113456[[#This Row],[PMI]]-B109</f>
        <v>-0.19999999999999574</v>
      </c>
    </row>
    <row r="111" spans="1:3" x14ac:dyDescent="0.35">
      <c r="A111" s="8">
        <v>42461</v>
      </c>
      <c r="B111" s="11">
        <f>IF(VLOOKUP(A111,'DB Country PMI'!$A:$W,MATCH($A$1,'DB Country PMI'!$A$1:$W$1,),)=0,#N/A,VLOOKUP(A111,'DB Country PMI'!$A:$W,MATCH($A$1,'DB Country PMI'!$A$1:$W$1,),))</f>
        <v>54.5</v>
      </c>
      <c r="C111" s="14">
        <f>Table13468113456[[#This Row],[PMI]]-B110</f>
        <v>-0.60000000000000142</v>
      </c>
    </row>
    <row r="112" spans="1:3" x14ac:dyDescent="0.35">
      <c r="A112" s="8">
        <v>42491</v>
      </c>
      <c r="B112" s="11">
        <f>IF(VLOOKUP(A112,'DB Country PMI'!$A:$W,MATCH($A$1,'DB Country PMI'!$A$1:$W$1,),)=0,#N/A,VLOOKUP(A112,'DB Country PMI'!$A:$W,MATCH($A$1,'DB Country PMI'!$A$1:$W$1,),))</f>
        <v>55.2</v>
      </c>
      <c r="C112" s="14">
        <f>Table13468113456[[#This Row],[PMI]]-B111</f>
        <v>0.70000000000000284</v>
      </c>
    </row>
    <row r="113" spans="1:3" x14ac:dyDescent="0.35">
      <c r="A113" s="8">
        <v>42522</v>
      </c>
      <c r="B113" s="11">
        <f>IF(VLOOKUP(A113,'DB Country PMI'!$A:$W,MATCH($A$1,'DB Country PMI'!$A$1:$W$1,),)=0,#N/A,VLOOKUP(A113,'DB Country PMI'!$A:$W,MATCH($A$1,'DB Country PMI'!$A$1:$W$1,),))</f>
        <v>53.7</v>
      </c>
      <c r="C113" s="14">
        <f>Table13468113456[[#This Row],[PMI]]-B112</f>
        <v>-1.5</v>
      </c>
    </row>
    <row r="114" spans="1:3" x14ac:dyDescent="0.35">
      <c r="A114" s="8">
        <v>42552</v>
      </c>
      <c r="B114" s="11">
        <f>IF(VLOOKUP(A114,'DB Country PMI'!$A:$W,MATCH($A$1,'DB Country PMI'!$A$1:$W$1,),)=0,#N/A,VLOOKUP(A114,'DB Country PMI'!$A:$W,MATCH($A$1,'DB Country PMI'!$A$1:$W$1,),))</f>
        <v>54.4</v>
      </c>
      <c r="C114" s="14">
        <f>Table13468113456[[#This Row],[PMI]]-B113</f>
        <v>0.69999999999999574</v>
      </c>
    </row>
    <row r="115" spans="1:3" x14ac:dyDescent="0.35">
      <c r="A115" s="8">
        <v>42583</v>
      </c>
      <c r="B115" s="11">
        <f>IF(VLOOKUP(A115,'DB Country PMI'!$A:$W,MATCH($A$1,'DB Country PMI'!$A$1:$W$1,),)=0,#N/A,VLOOKUP(A115,'DB Country PMI'!$A:$W,MATCH($A$1,'DB Country PMI'!$A$1:$W$1,),))</f>
        <v>51.7</v>
      </c>
      <c r="C115" s="14">
        <f>Table13468113456[[#This Row],[PMI]]-B114</f>
        <v>-2.6999999999999957</v>
      </c>
    </row>
    <row r="116" spans="1:3" x14ac:dyDescent="0.35">
      <c r="A116" s="8">
        <v>42614</v>
      </c>
      <c r="B116" s="11">
        <f>IF(VLOOKUP(A116,'DB Country PMI'!$A:$W,MATCH($A$1,'DB Country PMI'!$A$1:$W$1,),)=0,#N/A,VLOOKUP(A116,'DB Country PMI'!$A:$W,MATCH($A$1,'DB Country PMI'!$A$1:$W$1,),))</f>
        <v>50.9</v>
      </c>
      <c r="C116" s="14">
        <f>Table13468113456[[#This Row],[PMI]]-B115</f>
        <v>-0.80000000000000426</v>
      </c>
    </row>
    <row r="117" spans="1:3" x14ac:dyDescent="0.35">
      <c r="A117" s="8">
        <v>42644</v>
      </c>
      <c r="B117" s="11">
        <f>IF(VLOOKUP(A117,'DB Country PMI'!$A:$W,MATCH($A$1,'DB Country PMI'!$A$1:$W$1,),)=0,#N/A,VLOOKUP(A117,'DB Country PMI'!$A:$W,MATCH($A$1,'DB Country PMI'!$A$1:$W$1,),))</f>
        <v>54.2</v>
      </c>
      <c r="C117" s="14">
        <f>Table13468113456[[#This Row],[PMI]]-B116</f>
        <v>3.3000000000000043</v>
      </c>
    </row>
    <row r="118" spans="1:3" x14ac:dyDescent="0.35">
      <c r="A118" s="8">
        <v>42675</v>
      </c>
      <c r="B118" s="11">
        <f>IF(VLOOKUP(A118,'DB Country PMI'!$A:$W,MATCH($A$1,'DB Country PMI'!$A$1:$W$1,),)=0,#N/A,VLOOKUP(A118,'DB Country PMI'!$A:$W,MATCH($A$1,'DB Country PMI'!$A$1:$W$1,),))</f>
        <v>55.1</v>
      </c>
      <c r="C118" s="14">
        <f>Table13468113456[[#This Row],[PMI]]-B117</f>
        <v>0.89999999999999858</v>
      </c>
    </row>
    <row r="119" spans="1:3" x14ac:dyDescent="0.35">
      <c r="A119" s="8">
        <v>42705</v>
      </c>
      <c r="B119" s="11">
        <f>IF(VLOOKUP(A119,'DB Country PMI'!$A:$W,MATCH($A$1,'DB Country PMI'!$A$1:$W$1,),)=0,#N/A,VLOOKUP(A119,'DB Country PMI'!$A:$W,MATCH($A$1,'DB Country PMI'!$A$1:$W$1,),))</f>
        <v>54.3</v>
      </c>
      <c r="C119" s="14">
        <f>Table13468113456[[#This Row],[PMI]]-B118</f>
        <v>-0.80000000000000426</v>
      </c>
    </row>
    <row r="120" spans="1:3" x14ac:dyDescent="0.35">
      <c r="A120" s="8">
        <v>42736</v>
      </c>
      <c r="B120" s="11">
        <f>IF(VLOOKUP(A120,'DB Country PMI'!$A:$W,MATCH($A$1,'DB Country PMI'!$A$1:$W$1,),)=0,#N/A,VLOOKUP(A120,'DB Country PMI'!$A:$W,MATCH($A$1,'DB Country PMI'!$A$1:$W$1,),))</f>
        <v>53.4</v>
      </c>
      <c r="C120" s="14">
        <f>Table13468113456[[#This Row],[PMI]]-B119</f>
        <v>-0.89999999999999858</v>
      </c>
    </row>
    <row r="121" spans="1:3" x14ac:dyDescent="0.35">
      <c r="A121" s="8">
        <v>42767</v>
      </c>
      <c r="B121" s="11">
        <f>IF(VLOOKUP(A121,'DB Country PMI'!$A:$W,MATCH($A$1,'DB Country PMI'!$A$1:$W$1,),)=0,#N/A,VLOOKUP(A121,'DB Country PMI'!$A:$W,MATCH($A$1,'DB Country PMI'!$A$1:$W$1,),))</f>
        <v>54.4</v>
      </c>
      <c r="C121" s="14">
        <f>Table13468113456[[#This Row],[PMI]]-B120</f>
        <v>1</v>
      </c>
    </row>
    <row r="122" spans="1:3" x14ac:dyDescent="0.35">
      <c r="A122" s="8">
        <v>42795</v>
      </c>
      <c r="B122" s="11">
        <f>IF(VLOOKUP(A122,'DB Country PMI'!$A:$W,MATCH($A$1,'DB Country PMI'!$A$1:$W$1,),)=0,#N/A,VLOOKUP(A122,'DB Country PMI'!$A:$W,MATCH($A$1,'DB Country PMI'!$A$1:$W$1,),))</f>
        <v>55.6</v>
      </c>
      <c r="C122" s="14">
        <f>Table13468113456[[#This Row],[PMI]]-B121</f>
        <v>1.2000000000000028</v>
      </c>
    </row>
    <row r="123" spans="1:3" x14ac:dyDescent="0.35">
      <c r="A123" s="8">
        <v>42826</v>
      </c>
      <c r="B123" s="11">
        <f>IF(VLOOKUP(A123,'DB Country PMI'!$A:$W,MATCH($A$1,'DB Country PMI'!$A$1:$W$1,),)=0,#N/A,VLOOKUP(A123,'DB Country PMI'!$A:$W,MATCH($A$1,'DB Country PMI'!$A$1:$W$1,),))</f>
        <v>55.4</v>
      </c>
      <c r="C123" s="14">
        <f>Table13468113456[[#This Row],[PMI]]-B122</f>
        <v>-0.20000000000000284</v>
      </c>
    </row>
    <row r="124" spans="1:3" x14ac:dyDescent="0.35">
      <c r="A124" s="8">
        <v>42856</v>
      </c>
      <c r="B124" s="11">
        <f>IF(VLOOKUP(A124,'DB Country PMI'!$A:$W,MATCH($A$1,'DB Country PMI'!$A$1:$W$1,),)=0,#N/A,VLOOKUP(A124,'DB Country PMI'!$A:$W,MATCH($A$1,'DB Country PMI'!$A$1:$W$1,),))</f>
        <v>55.4</v>
      </c>
      <c r="C124" s="14">
        <f>Table13468113456[[#This Row],[PMI]]-B123</f>
        <v>0</v>
      </c>
    </row>
    <row r="125" spans="1:3" x14ac:dyDescent="0.35">
      <c r="A125" s="8">
        <v>42887</v>
      </c>
      <c r="B125" s="11">
        <f>IF(VLOOKUP(A125,'DB Country PMI'!$A:$W,MATCH($A$1,'DB Country PMI'!$A$1:$W$1,),)=0,#N/A,VLOOKUP(A125,'DB Country PMI'!$A:$W,MATCH($A$1,'DB Country PMI'!$A$1:$W$1,),))</f>
        <v>54</v>
      </c>
      <c r="C125" s="14">
        <f>Table13468113456[[#This Row],[PMI]]-B124</f>
        <v>-1.3999999999999986</v>
      </c>
    </row>
    <row r="126" spans="1:3" x14ac:dyDescent="0.35">
      <c r="A126" s="8">
        <v>42917</v>
      </c>
      <c r="B126" s="11">
        <f>IF(VLOOKUP(A126,'DB Country PMI'!$A:$W,MATCH($A$1,'DB Country PMI'!$A$1:$W$1,),)=0,#N/A,VLOOKUP(A126,'DB Country PMI'!$A:$W,MATCH($A$1,'DB Country PMI'!$A$1:$W$1,),))</f>
        <v>53.1</v>
      </c>
      <c r="C126" s="14">
        <f>Table13468113456[[#This Row],[PMI]]-B125</f>
        <v>-0.89999999999999858</v>
      </c>
    </row>
    <row r="127" spans="1:3" x14ac:dyDescent="0.35">
      <c r="A127" s="8">
        <v>42948</v>
      </c>
      <c r="B127" s="11">
        <f>IF(VLOOKUP(A127,'DB Country PMI'!$A:$W,MATCH($A$1,'DB Country PMI'!$A$1:$W$1,),)=0,#N/A,VLOOKUP(A127,'DB Country PMI'!$A:$W,MATCH($A$1,'DB Country PMI'!$A$1:$W$1,),))</f>
        <v>53.5</v>
      </c>
      <c r="C127" s="14">
        <f>Table13468113456[[#This Row],[PMI]]-B126</f>
        <v>0.39999999999999858</v>
      </c>
    </row>
    <row r="128" spans="1:3" x14ac:dyDescent="0.35">
      <c r="A128" s="8">
        <v>42979</v>
      </c>
      <c r="B128" s="11">
        <f>IF(VLOOKUP(A128,'DB Country PMI'!$A:$W,MATCH($A$1,'DB Country PMI'!$A$1:$W$1,),)=0,#N/A,VLOOKUP(A128,'DB Country PMI'!$A:$W,MATCH($A$1,'DB Country PMI'!$A$1:$W$1,),))</f>
        <v>55.6</v>
      </c>
      <c r="C128" s="14">
        <f>Table13468113456[[#This Row],[PMI]]-B127</f>
        <v>2.1000000000000014</v>
      </c>
    </row>
    <row r="129" spans="1:3" x14ac:dyDescent="0.35">
      <c r="A129" s="8">
        <v>43009</v>
      </c>
      <c r="B129" s="11">
        <f>IF(VLOOKUP(A129,'DB Country PMI'!$A:$W,MATCH($A$1,'DB Country PMI'!$A$1:$W$1,),)=0,#N/A,VLOOKUP(A129,'DB Country PMI'!$A:$W,MATCH($A$1,'DB Country PMI'!$A$1:$W$1,),))</f>
        <v>54.7</v>
      </c>
      <c r="C129" s="14">
        <f>Table13468113456[[#This Row],[PMI]]-B128</f>
        <v>-0.89999999999999858</v>
      </c>
    </row>
    <row r="130" spans="1:3" x14ac:dyDescent="0.35">
      <c r="A130" s="8">
        <v>43040</v>
      </c>
      <c r="B130" s="11">
        <f>IF(VLOOKUP(A130,'DB Country PMI'!$A:$W,MATCH($A$1,'DB Country PMI'!$A$1:$W$1,),)=0,#N/A,VLOOKUP(A130,'DB Country PMI'!$A:$W,MATCH($A$1,'DB Country PMI'!$A$1:$W$1,),))</f>
        <v>54.3</v>
      </c>
      <c r="C130" s="14">
        <f>Table13468113456[[#This Row],[PMI]]-B129</f>
        <v>-0.40000000000000568</v>
      </c>
    </row>
    <row r="131" spans="1:3" x14ac:dyDescent="0.35">
      <c r="A131" s="8">
        <v>43070</v>
      </c>
      <c r="B131" s="11">
        <f>IF(VLOOKUP(A131,'DB Country PMI'!$A:$W,MATCH($A$1,'DB Country PMI'!$A$1:$W$1,),)=0,#N/A,VLOOKUP(A131,'DB Country PMI'!$A:$W,MATCH($A$1,'DB Country PMI'!$A$1:$W$1,),))</f>
        <v>55.8</v>
      </c>
      <c r="C131" s="14">
        <f>Table13468113456[[#This Row],[PMI]]-B130</f>
        <v>1.5</v>
      </c>
    </row>
    <row r="132" spans="1:3" x14ac:dyDescent="0.35">
      <c r="A132" s="8">
        <v>43101</v>
      </c>
      <c r="B132" s="11">
        <f>IF(VLOOKUP(A132,'DB Country PMI'!$A:$W,MATCH($A$1,'DB Country PMI'!$A$1:$W$1,),)=0,#N/A,VLOOKUP(A132,'DB Country PMI'!$A:$W,MATCH($A$1,'DB Country PMI'!$A$1:$W$1,),))</f>
        <v>57.3</v>
      </c>
      <c r="C132" s="14">
        <f>Table13468113456[[#This Row],[PMI]]-B131</f>
        <v>1.5</v>
      </c>
    </row>
    <row r="133" spans="1:3" x14ac:dyDescent="0.35">
      <c r="A133" s="8">
        <v>43132</v>
      </c>
      <c r="B133" s="11">
        <f>IF(VLOOKUP(A133,'DB Country PMI'!$A:$W,MATCH($A$1,'DB Country PMI'!$A$1:$W$1,),)=0,#N/A,VLOOKUP(A133,'DB Country PMI'!$A:$W,MATCH($A$1,'DB Country PMI'!$A$1:$W$1,),))</f>
        <v>55.3</v>
      </c>
      <c r="C133" s="14">
        <f>Table13468113456[[#This Row],[PMI]]-B132</f>
        <v>-2</v>
      </c>
    </row>
    <row r="134" spans="1:3" x14ac:dyDescent="0.35">
      <c r="A134" s="8">
        <v>43160</v>
      </c>
      <c r="B134" s="11">
        <f>IF(VLOOKUP(A134,'DB Country PMI'!$A:$W,MATCH($A$1,'DB Country PMI'!$A$1:$W$1,),)=0,#N/A,VLOOKUP(A134,'DB Country PMI'!$A:$W,MATCH($A$1,'DB Country PMI'!$A$1:$W$1,),))</f>
        <v>53.9</v>
      </c>
      <c r="C134" s="14">
        <f>Table13468113456[[#This Row],[PMI]]-B133</f>
        <v>-1.3999999999999986</v>
      </c>
    </row>
    <row r="135" spans="1:3" x14ac:dyDescent="0.35">
      <c r="A135" s="8">
        <v>43191</v>
      </c>
      <c r="B135" s="11">
        <f>IF(VLOOKUP(A135,'DB Country PMI'!$A:$W,MATCH($A$1,'DB Country PMI'!$A$1:$W$1,),)=0,#N/A,VLOOKUP(A135,'DB Country PMI'!$A:$W,MATCH($A$1,'DB Country PMI'!$A$1:$W$1,),))</f>
        <v>53</v>
      </c>
      <c r="C135" s="14">
        <f>Table13468113456[[#This Row],[PMI]]-B134</f>
        <v>-0.89999999999999858</v>
      </c>
    </row>
    <row r="136" spans="1:3" x14ac:dyDescent="0.35">
      <c r="A136" s="8">
        <v>43221</v>
      </c>
      <c r="B136" s="11">
        <f>IF(VLOOKUP(A136,'DB Country PMI'!$A:$W,MATCH($A$1,'DB Country PMI'!$A$1:$W$1,),)=0,#N/A,VLOOKUP(A136,'DB Country PMI'!$A:$W,MATCH($A$1,'DB Country PMI'!$A$1:$W$1,),))</f>
        <v>52.1</v>
      </c>
      <c r="C136" s="14">
        <f>Table13468113456[[#This Row],[PMI]]-B135</f>
        <v>-0.89999999999999858</v>
      </c>
    </row>
    <row r="137" spans="1:3" x14ac:dyDescent="0.35">
      <c r="A137" s="8">
        <v>43252</v>
      </c>
      <c r="B137" s="11">
        <f>IF(VLOOKUP(A137,'DB Country PMI'!$A:$W,MATCH($A$1,'DB Country PMI'!$A$1:$W$1,),)=0,#N/A,VLOOKUP(A137,'DB Country PMI'!$A:$W,MATCH($A$1,'DB Country PMI'!$A$1:$W$1,),))</f>
        <v>54.5</v>
      </c>
      <c r="C137" s="14">
        <f>Table13468113456[[#This Row],[PMI]]-B136</f>
        <v>2.3999999999999986</v>
      </c>
    </row>
    <row r="138" spans="1:3" x14ac:dyDescent="0.35">
      <c r="A138" s="8">
        <v>43282</v>
      </c>
      <c r="B138" s="11">
        <f>IF(VLOOKUP(A138,'DB Country PMI'!$A:$W,MATCH($A$1,'DB Country PMI'!$A$1:$W$1,),)=0,#N/A,VLOOKUP(A138,'DB Country PMI'!$A:$W,MATCH($A$1,'DB Country PMI'!$A$1:$W$1,),))</f>
        <v>54.1</v>
      </c>
      <c r="C138" s="14">
        <f>Table13468113456[[#This Row],[PMI]]-B137</f>
        <v>-0.39999999999999858</v>
      </c>
    </row>
    <row r="139" spans="1:3" x14ac:dyDescent="0.35">
      <c r="A139" s="8">
        <v>43313</v>
      </c>
      <c r="B139" s="11">
        <f>IF(VLOOKUP(A139,'DB Country PMI'!$A:$W,MATCH($A$1,'DB Country PMI'!$A$1:$W$1,),)=0,#N/A,VLOOKUP(A139,'DB Country PMI'!$A:$W,MATCH($A$1,'DB Country PMI'!$A$1:$W$1,),))</f>
        <v>55</v>
      </c>
      <c r="C139" s="14">
        <f>Table13468113456[[#This Row],[PMI]]-B138</f>
        <v>0.89999999999999858</v>
      </c>
    </row>
    <row r="140" spans="1:3" x14ac:dyDescent="0.35">
      <c r="A140" s="8">
        <v>43344</v>
      </c>
      <c r="B140" s="11">
        <f>IF(VLOOKUP(A140,'DB Country PMI'!$A:$W,MATCH($A$1,'DB Country PMI'!$A$1:$W$1,),)=0,#N/A,VLOOKUP(A140,'DB Country PMI'!$A:$W,MATCH($A$1,'DB Country PMI'!$A$1:$W$1,),))</f>
        <v>55.9</v>
      </c>
      <c r="C140" s="14">
        <f>Table13468113456[[#This Row],[PMI]]-B139</f>
        <v>0.89999999999999858</v>
      </c>
    </row>
    <row r="141" spans="1:3" x14ac:dyDescent="0.35">
      <c r="A141" s="8">
        <v>43374</v>
      </c>
      <c r="B141" s="11">
        <f>IF(VLOOKUP(A141,'DB Country PMI'!$A:$W,MATCH($A$1,'DB Country PMI'!$A$1:$W$1,),)=0,#N/A,VLOOKUP(A141,'DB Country PMI'!$A:$W,MATCH($A$1,'DB Country PMI'!$A$1:$W$1,),))</f>
        <v>54.7</v>
      </c>
      <c r="C141" s="14">
        <f>Table13468113456[[#This Row],[PMI]]-B140</f>
        <v>-1.1999999999999957</v>
      </c>
    </row>
    <row r="142" spans="1:3" x14ac:dyDescent="0.35">
      <c r="A142" s="8">
        <v>43405</v>
      </c>
      <c r="B142" s="11">
        <f>IF(VLOOKUP(A142,'DB Country PMI'!$A:$W,MATCH($A$1,'DB Country PMI'!$A$1:$W$1,),)=0,#N/A,VLOOKUP(A142,'DB Country PMI'!$A:$W,MATCH($A$1,'DB Country PMI'!$A$1:$W$1,),))</f>
        <v>53.3</v>
      </c>
      <c r="C142" s="14">
        <f>Table13468113456[[#This Row],[PMI]]-B141</f>
        <v>-1.4000000000000057</v>
      </c>
    </row>
    <row r="143" spans="1:3" x14ac:dyDescent="0.35">
      <c r="A143" s="8">
        <v>43435</v>
      </c>
      <c r="B143" s="11">
        <f>IF(VLOOKUP(A143,'DB Country PMI'!$A:$W,MATCH($A$1,'DB Country PMI'!$A$1:$W$1,),)=0,#N/A,VLOOKUP(A143,'DB Country PMI'!$A:$W,MATCH($A$1,'DB Country PMI'!$A$1:$W$1,),))</f>
        <v>51.8</v>
      </c>
      <c r="C143" s="14">
        <f>Table13468113456[[#This Row],[PMI]]-B142</f>
        <v>-1.5</v>
      </c>
    </row>
    <row r="144" spans="1:3" x14ac:dyDescent="0.35">
      <c r="A144" s="8">
        <v>43466</v>
      </c>
      <c r="B144" s="11">
        <f>IF(VLOOKUP(A144,'DB Country PMI'!$A:$W,MATCH($A$1,'DB Country PMI'!$A$1:$W$1,),)=0,#N/A,VLOOKUP(A144,'DB Country PMI'!$A:$W,MATCH($A$1,'DB Country PMI'!$A$1:$W$1,),))</f>
        <v>53</v>
      </c>
      <c r="C144" s="14">
        <f>Table13468113456[[#This Row],[PMI]]-B143</f>
        <v>1.2000000000000028</v>
      </c>
    </row>
    <row r="145" spans="1:3" x14ac:dyDescent="0.35">
      <c r="A145" s="8">
        <v>43497</v>
      </c>
      <c r="B145" s="11">
        <f>IF(VLOOKUP(A145,'DB Country PMI'!$A:$W,MATCH($A$1,'DB Country PMI'!$A$1:$W$1,),)=0,#N/A,VLOOKUP(A145,'DB Country PMI'!$A:$W,MATCH($A$1,'DB Country PMI'!$A$1:$W$1,),))</f>
        <v>55.3</v>
      </c>
      <c r="C145" s="14">
        <f>Table13468113456[[#This Row],[PMI]]-B144</f>
        <v>2.2999999999999972</v>
      </c>
    </row>
    <row r="146" spans="1:3" x14ac:dyDescent="0.35">
      <c r="A146" s="8">
        <v>43525</v>
      </c>
      <c r="B146" s="11">
        <f>IF(VLOOKUP(A146,'DB Country PMI'!$A:$W,MATCH($A$1,'DB Country PMI'!$A$1:$W$1,),)=0,#N/A,VLOOKUP(A146,'DB Country PMI'!$A:$W,MATCH($A$1,'DB Country PMI'!$A$1:$W$1,),))</f>
        <v>55.4</v>
      </c>
      <c r="C146" s="14">
        <f>Table13468113456[[#This Row],[PMI]]-B145</f>
        <v>0.10000000000000142</v>
      </c>
    </row>
    <row r="147" spans="1:3" x14ac:dyDescent="0.35">
      <c r="A147" s="8">
        <v>43556</v>
      </c>
      <c r="B147" s="11">
        <f>IF(VLOOKUP(A147,'DB Country PMI'!$A:$W,MATCH($A$1,'DB Country PMI'!$A$1:$W$1,),)=0,#N/A,VLOOKUP(A147,'DB Country PMI'!$A:$W,MATCH($A$1,'DB Country PMI'!$A$1:$W$1,),))</f>
        <v>55.7</v>
      </c>
      <c r="C147" s="14">
        <f>Table13468113456[[#This Row],[PMI]]-B146</f>
        <v>0.30000000000000426</v>
      </c>
    </row>
    <row r="148" spans="1:3" x14ac:dyDescent="0.35">
      <c r="A148" s="8">
        <v>43586</v>
      </c>
      <c r="B148" s="11">
        <f>IF(VLOOKUP(A148,'DB Country PMI'!$A:$W,MATCH($A$1,'DB Country PMI'!$A$1:$W$1,),)=0,#N/A,VLOOKUP(A148,'DB Country PMI'!$A:$W,MATCH($A$1,'DB Country PMI'!$A$1:$W$1,),))</f>
        <v>55.4</v>
      </c>
      <c r="C148" s="14">
        <f>Table13468113456[[#This Row],[PMI]]-B147</f>
        <v>-0.30000000000000426</v>
      </c>
    </row>
    <row r="149" spans="1:3" x14ac:dyDescent="0.35">
      <c r="A149" s="8">
        <v>43617</v>
      </c>
      <c r="B149" s="11">
        <f>IF(VLOOKUP(A149,'DB Country PMI'!$A:$W,MATCH($A$1,'DB Country PMI'!$A$1:$W$1,),)=0,#N/A,VLOOKUP(A149,'DB Country PMI'!$A:$W,MATCH($A$1,'DB Country PMI'!$A$1:$W$1,),))</f>
        <v>55.8</v>
      </c>
      <c r="C149" s="14">
        <f>Table13468113456[[#This Row],[PMI]]-B148</f>
        <v>0.39999999999999858</v>
      </c>
    </row>
    <row r="150" spans="1:3" x14ac:dyDescent="0.35">
      <c r="A150" s="8">
        <v>43647</v>
      </c>
      <c r="B150" s="11">
        <f>IF(VLOOKUP(A150,'DB Country PMI'!$A:$W,MATCH($A$1,'DB Country PMI'!$A$1:$W$1,),)=0,#N/A,VLOOKUP(A150,'DB Country PMI'!$A:$W,MATCH($A$1,'DB Country PMI'!$A$1:$W$1,),))</f>
        <v>54.5</v>
      </c>
      <c r="C150" s="14">
        <f>Table13468113456[[#This Row],[PMI]]-B149</f>
        <v>-1.2999999999999972</v>
      </c>
    </row>
    <row r="151" spans="1:3" x14ac:dyDescent="0.35">
      <c r="A151" s="8">
        <v>43678</v>
      </c>
      <c r="B151" s="11">
        <f>IF(VLOOKUP(A151,'DB Country PMI'!$A:$W,MATCH($A$1,'DB Country PMI'!$A$1:$W$1,),)=0,#N/A,VLOOKUP(A151,'DB Country PMI'!$A:$W,MATCH($A$1,'DB Country PMI'!$A$1:$W$1,),))</f>
        <v>54.8</v>
      </c>
      <c r="C151" s="14">
        <f>Table13468113456[[#This Row],[PMI]]-B150</f>
        <v>0.29999999999999716</v>
      </c>
    </row>
    <row r="152" spans="1:3" x14ac:dyDescent="0.35">
      <c r="A152" s="8">
        <v>43709</v>
      </c>
      <c r="B152" s="11">
        <f>IF(VLOOKUP(A152,'DB Country PMI'!$A:$W,MATCH($A$1,'DB Country PMI'!$A$1:$W$1,),)=0,#N/A,VLOOKUP(A152,'DB Country PMI'!$A:$W,MATCH($A$1,'DB Country PMI'!$A$1:$W$1,),))</f>
        <v>51.4</v>
      </c>
      <c r="C152" s="14">
        <f>Table13468113456[[#This Row],[PMI]]-B151</f>
        <v>-3.3999999999999986</v>
      </c>
    </row>
    <row r="153" spans="1:3" x14ac:dyDescent="0.35">
      <c r="A153" s="8">
        <v>43739</v>
      </c>
      <c r="B153" s="11">
        <f>IF(VLOOKUP(A153,'DB Country PMI'!$A:$W,MATCH($A$1,'DB Country PMI'!$A$1:$W$1,),)=0,#N/A,VLOOKUP(A153,'DB Country PMI'!$A:$W,MATCH($A$1,'DB Country PMI'!$A$1:$W$1,),))</f>
        <v>51.6</v>
      </c>
      <c r="C153" s="14">
        <f>Table13468113456[[#This Row],[PMI]]-B152</f>
        <v>0.20000000000000284</v>
      </c>
    </row>
    <row r="154" spans="1:3" x14ac:dyDescent="0.35">
      <c r="A154" s="8">
        <v>43770</v>
      </c>
      <c r="B154" s="11">
        <f>IF(VLOOKUP(A154,'DB Country PMI'!$A:$W,MATCH($A$1,'DB Country PMI'!$A$1:$W$1,),)=0,#N/A,VLOOKUP(A154,'DB Country PMI'!$A:$W,MATCH($A$1,'DB Country PMI'!$A$1:$W$1,),))</f>
        <v>51.7</v>
      </c>
      <c r="C154" s="14">
        <f>Table13468113456[[#This Row],[PMI]]-B153</f>
        <v>0.10000000000000142</v>
      </c>
    </row>
    <row r="155" spans="1:3" x14ac:dyDescent="0.35">
      <c r="A155" s="8">
        <v>43800</v>
      </c>
      <c r="B155" s="11">
        <f>IF(VLOOKUP(A155,'DB Country PMI'!$A:$W,MATCH($A$1,'DB Country PMI'!$A$1:$W$1,),)=0,#N/A,VLOOKUP(A155,'DB Country PMI'!$A:$W,MATCH($A$1,'DB Country PMI'!$A$1:$W$1,),))</f>
        <v>52.9</v>
      </c>
      <c r="C155" s="14">
        <f>Table13468113456[[#This Row],[PMI]]-B154</f>
        <v>1.1999999999999957</v>
      </c>
    </row>
    <row r="156" spans="1:3" x14ac:dyDescent="0.35">
      <c r="A156" s="8">
        <v>43831</v>
      </c>
      <c r="B156" s="11">
        <f>IF(VLOOKUP(A156,'DB Country PMI'!$A:$W,MATCH($A$1,'DB Country PMI'!$A$1:$W$1,),)=0,#N/A,VLOOKUP(A156,'DB Country PMI'!$A:$W,MATCH($A$1,'DB Country PMI'!$A$1:$W$1,),))</f>
        <v>54.2</v>
      </c>
      <c r="C156" s="14">
        <f>Table13468113456[[#This Row],[PMI]]-B155</f>
        <v>1.3000000000000043</v>
      </c>
    </row>
    <row r="157" spans="1:3" x14ac:dyDescent="0.35">
      <c r="A157" s="8">
        <v>43862</v>
      </c>
      <c r="B157" s="11">
        <f>IF(VLOOKUP(A157,'DB Country PMI'!$A:$W,MATCH($A$1,'DB Country PMI'!$A$1:$W$1,),)=0,#N/A,VLOOKUP(A157,'DB Country PMI'!$A:$W,MATCH($A$1,'DB Country PMI'!$A$1:$W$1,),))</f>
        <v>52.5</v>
      </c>
      <c r="C157" s="14">
        <f>Table13468113456[[#This Row],[PMI]]-B156</f>
        <v>-1.7000000000000028</v>
      </c>
    </row>
    <row r="158" spans="1:3" x14ac:dyDescent="0.35">
      <c r="A158" s="8">
        <v>43891</v>
      </c>
      <c r="B158" s="11">
        <f>IF(VLOOKUP(A158,'DB Country PMI'!$A:$W,MATCH($A$1,'DB Country PMI'!$A$1:$W$1,),)=0,#N/A,VLOOKUP(A158,'DB Country PMI'!$A:$W,MATCH($A$1,'DB Country PMI'!$A$1:$W$1,),))</f>
        <v>31.7</v>
      </c>
      <c r="C158" s="14">
        <f>Table13468113456[[#This Row],[PMI]]-B157</f>
        <v>-20.8</v>
      </c>
    </row>
    <row r="159" spans="1:3" x14ac:dyDescent="0.35">
      <c r="A159" s="8">
        <v>43922</v>
      </c>
      <c r="B159" s="11">
        <f>IF(VLOOKUP(A159,'DB Country PMI'!$A:$W,MATCH($A$1,'DB Country PMI'!$A$1:$W$1,),)=0,#N/A,VLOOKUP(A159,'DB Country PMI'!$A:$W,MATCH($A$1,'DB Country PMI'!$A$1:$W$1,),))</f>
        <v>16.2</v>
      </c>
      <c r="C159" s="14">
        <f>Table13468113456[[#This Row],[PMI]]-B158</f>
        <v>-15.5</v>
      </c>
    </row>
    <row r="160" spans="1:3" x14ac:dyDescent="0.35">
      <c r="A160" s="8">
        <v>43952</v>
      </c>
      <c r="B160" s="11">
        <f>IF(VLOOKUP(A160,'DB Country PMI'!$A:$W,MATCH($A$1,'DB Country PMI'!$A$1:$W$1,),)=0,#N/A,VLOOKUP(A160,'DB Country PMI'!$A:$W,MATCH($A$1,'DB Country PMI'!$A$1:$W$1,),))</f>
        <v>32.6</v>
      </c>
      <c r="C160" s="14">
        <f>Table13468113456[[#This Row],[PMI]]-B159</f>
        <v>16.400000000000002</v>
      </c>
    </row>
    <row r="161" spans="1:3" x14ac:dyDescent="0.35">
      <c r="A161" s="8">
        <v>43983</v>
      </c>
      <c r="B161" s="11">
        <f>IF(VLOOKUP(A161,'DB Country PMI'!$A:$W,MATCH($A$1,'DB Country PMI'!$A$1:$W$1,),)=0,#N/A,VLOOKUP(A161,'DB Country PMI'!$A:$W,MATCH($A$1,'DB Country PMI'!$A$1:$W$1,),))</f>
        <v>47.3</v>
      </c>
      <c r="C161" s="14">
        <f>Table13468113456[[#This Row],[PMI]]-B160</f>
        <v>14.699999999999996</v>
      </c>
    </row>
    <row r="162" spans="1:3" x14ac:dyDescent="0.35">
      <c r="A162" s="8">
        <v>44013</v>
      </c>
      <c r="B162" s="11">
        <f>IF(VLOOKUP(A162,'DB Country PMI'!$A:$W,MATCH($A$1,'DB Country PMI'!$A$1:$W$1,),)=0,#N/A,VLOOKUP(A162,'DB Country PMI'!$A:$W,MATCH($A$1,'DB Country PMI'!$A$1:$W$1,),))</f>
        <v>55.6</v>
      </c>
      <c r="C162" s="14">
        <f>Table13468113456[[#This Row],[PMI]]-B161</f>
        <v>8.3000000000000043</v>
      </c>
    </row>
    <row r="163" spans="1:3" x14ac:dyDescent="0.35">
      <c r="A163" s="8">
        <v>44044</v>
      </c>
      <c r="B163" s="11">
        <f>IF(VLOOKUP(A163,'DB Country PMI'!$A:$W,MATCH($A$1,'DB Country PMI'!$A$1:$W$1,),)=0,#N/A,VLOOKUP(A163,'DB Country PMI'!$A:$W,MATCH($A$1,'DB Country PMI'!$A$1:$W$1,),))</f>
        <v>52.5</v>
      </c>
      <c r="C163" s="14">
        <f>Table13468113456[[#This Row],[PMI]]-B162</f>
        <v>-3.1000000000000014</v>
      </c>
    </row>
    <row r="164" spans="1:3" x14ac:dyDescent="0.35">
      <c r="A164" s="8">
        <v>44075</v>
      </c>
      <c r="B164" s="11">
        <f>IF(VLOOKUP(A164,'DB Country PMI'!$A:$W,MATCH($A$1,'DB Country PMI'!$A$1:$W$1,),)=0,#N/A,VLOOKUP(A164,'DB Country PMI'!$A:$W,MATCH($A$1,'DB Country PMI'!$A$1:$W$1,),))</f>
        <v>50.6</v>
      </c>
      <c r="C164" s="14">
        <f>Table13468113456[[#This Row],[PMI]]-B163</f>
        <v>-1.8999999999999986</v>
      </c>
    </row>
    <row r="165" spans="1:3" x14ac:dyDescent="0.35">
      <c r="A165" s="8">
        <v>44105</v>
      </c>
      <c r="B165" s="11">
        <f>IF(VLOOKUP(A165,'DB Country PMI'!$A:$W,MATCH($A$1,'DB Country PMI'!$A$1:$W$1,),)=0,#N/A,VLOOKUP(A165,'DB Country PMI'!$A:$W,MATCH($A$1,'DB Country PMI'!$A$1:$W$1,),))</f>
        <v>49.5</v>
      </c>
      <c r="C165" s="14">
        <f>Table13468113456[[#This Row],[PMI]]-B164</f>
        <v>-1.1000000000000014</v>
      </c>
    </row>
    <row r="166" spans="1:3" x14ac:dyDescent="0.35">
      <c r="A166" s="8">
        <v>44136</v>
      </c>
      <c r="B166" s="11">
        <f>IF(VLOOKUP(A166,'DB Country PMI'!$A:$W,MATCH($A$1,'DB Country PMI'!$A$1:$W$1,),)=0,#N/A,VLOOKUP(A166,'DB Country PMI'!$A:$W,MATCH($A$1,'DB Country PMI'!$A$1:$W$1,),))</f>
        <v>46</v>
      </c>
      <c r="C166" s="14">
        <f>Table13468113456[[#This Row],[PMI]]-B165</f>
        <v>-3.5</v>
      </c>
    </row>
    <row r="167" spans="1:3" x14ac:dyDescent="0.35">
      <c r="A167" s="8">
        <v>44166</v>
      </c>
      <c r="B167" s="11">
        <f>IF(VLOOKUP(A167,'DB Country PMI'!$A:$W,MATCH($A$1,'DB Country PMI'!$A$1:$W$1,),)=0,#N/A,VLOOKUP(A167,'DB Country PMI'!$A:$W,MATCH($A$1,'DB Country PMI'!$A$1:$W$1,),))</f>
        <v>47</v>
      </c>
      <c r="C167" s="14">
        <f>Table13468113456[[#This Row],[PMI]]-B166</f>
        <v>1</v>
      </c>
    </row>
    <row r="168" spans="1:3" x14ac:dyDescent="0.35">
      <c r="A168" s="8">
        <v>44197</v>
      </c>
      <c r="B168" s="11">
        <f>IF(VLOOKUP(A168,'DB Country PMI'!$A:$W,MATCH($A$1,'DB Country PMI'!$A$1:$W$1,),)=0,#N/A,VLOOKUP(A168,'DB Country PMI'!$A:$W,MATCH($A$1,'DB Country PMI'!$A$1:$W$1,),))</f>
        <v>46.7</v>
      </c>
      <c r="C168" s="14">
        <f>Table13468113456[[#This Row],[PMI]]-B167</f>
        <v>-0.29999999999999716</v>
      </c>
    </row>
    <row r="169" spans="1:3" x14ac:dyDescent="0.35">
      <c r="A169" s="8">
        <v>44228</v>
      </c>
      <c r="B169" s="11">
        <f>IF(VLOOKUP(A169,'DB Country PMI'!$A:$W,MATCH($A$1,'DB Country PMI'!$A$1:$W$1,),)=0,#N/A,VLOOKUP(A169,'DB Country PMI'!$A:$W,MATCH($A$1,'DB Country PMI'!$A$1:$W$1,),))</f>
        <v>45.7</v>
      </c>
      <c r="C169" s="14">
        <f>Table13468113456[[#This Row],[PMI]]-B168</f>
        <v>-1</v>
      </c>
    </row>
    <row r="170" spans="1:3" x14ac:dyDescent="0.35">
      <c r="A170" s="8">
        <v>44256</v>
      </c>
      <c r="B170" s="11">
        <f>IF(VLOOKUP(A170,'DB Country PMI'!$A:$W,MATCH($A$1,'DB Country PMI'!$A$1:$W$1,),)=0,#N/A,VLOOKUP(A170,'DB Country PMI'!$A:$W,MATCH($A$1,'DB Country PMI'!$A$1:$W$1,),))</f>
        <v>51.5</v>
      </c>
      <c r="C170" s="14">
        <f>Table13468113456[[#This Row],[PMI]]-B169</f>
        <v>5.7999999999999972</v>
      </c>
    </row>
    <row r="171" spans="1:3" x14ac:dyDescent="0.35">
      <c r="A171" s="8">
        <v>44287</v>
      </c>
      <c r="B171" s="11">
        <f>IF(VLOOKUP(A171,'DB Country PMI'!$A:$W,MATCH($A$1,'DB Country PMI'!$A$1:$W$1,),)=0,#N/A,VLOOKUP(A171,'DB Country PMI'!$A:$W,MATCH($A$1,'DB Country PMI'!$A$1:$W$1,),))</f>
        <v>49.9</v>
      </c>
      <c r="C171" s="14">
        <f>Table13468113456[[#This Row],[PMI]]-B170</f>
        <v>-1.6000000000000014</v>
      </c>
    </row>
    <row r="172" spans="1:3" x14ac:dyDescent="0.35">
      <c r="A172" s="8">
        <v>44317</v>
      </c>
      <c r="B172" s="11">
        <f>IF(VLOOKUP(A172,'DB Country PMI'!$A:$W,MATCH($A$1,'DB Country PMI'!$A$1:$W$1,),)=0,#N/A,VLOOKUP(A172,'DB Country PMI'!$A:$W,MATCH($A$1,'DB Country PMI'!$A$1:$W$1,),))</f>
        <v>52.8</v>
      </c>
      <c r="C172" s="14">
        <f>Table13468113456[[#This Row],[PMI]]-B171</f>
        <v>2.8999999999999986</v>
      </c>
    </row>
    <row r="173" spans="1:3" x14ac:dyDescent="0.35">
      <c r="A173" s="8">
        <v>44348</v>
      </c>
      <c r="B173" s="11">
        <f>IF(VLOOKUP(A173,'DB Country PMI'!$A:$W,MATCH($A$1,'DB Country PMI'!$A$1:$W$1,),)=0,#N/A,VLOOKUP(A173,'DB Country PMI'!$A:$W,MATCH($A$1,'DB Country PMI'!$A$1:$W$1,),))</f>
        <v>57.5</v>
      </c>
      <c r="C173" s="14">
        <f>Table13468113456[[#This Row],[PMI]]-B172</f>
        <v>4.7000000000000028</v>
      </c>
    </row>
    <row r="174" spans="1:3" x14ac:dyDescent="0.35">
      <c r="A174" s="8">
        <v>44378</v>
      </c>
      <c r="B174" s="11">
        <f>IF(VLOOKUP(A174,'DB Country PMI'!$A:$W,MATCH($A$1,'DB Country PMI'!$A$1:$W$1,),)=0,#N/A,VLOOKUP(A174,'DB Country PMI'!$A:$W,MATCH($A$1,'DB Country PMI'!$A$1:$W$1,),))</f>
        <v>61.8</v>
      </c>
      <c r="C174" s="14">
        <f>Table13468113456[[#This Row],[PMI]]-B173</f>
        <v>4.2999999999999972</v>
      </c>
    </row>
    <row r="175" spans="1:3" x14ac:dyDescent="0.35">
      <c r="A175" s="8">
        <v>44409</v>
      </c>
      <c r="B175" s="11">
        <f>IF(VLOOKUP(A175,'DB Country PMI'!$A:$W,MATCH($A$1,'DB Country PMI'!$A$1:$W$1,),)=0,#N/A,VLOOKUP(A175,'DB Country PMI'!$A:$W,MATCH($A$1,'DB Country PMI'!$A$1:$W$1,),))</f>
        <v>60.8</v>
      </c>
      <c r="C175" s="14">
        <f>Table13468113456[[#This Row],[PMI]]-B174</f>
        <v>-1</v>
      </c>
    </row>
    <row r="176" spans="1:3" x14ac:dyDescent="0.35">
      <c r="A176" s="8">
        <v>44440</v>
      </c>
      <c r="B176" s="11">
        <f>IF(VLOOKUP(A176,'DB Country PMI'!$A:$W,MATCH($A$1,'DB Country PMI'!$A$1:$W$1,),)=0,#N/A,VLOOKUP(A176,'DB Country PMI'!$A:$W,MATCH($A$1,'DB Country PMI'!$A$1:$W$1,),))</f>
        <v>56.2</v>
      </c>
      <c r="C176" s="14">
        <f>Table13468113456[[#This Row],[PMI]]-B175</f>
        <v>-4.5999999999999943</v>
      </c>
    </row>
    <row r="177" spans="1:3" x14ac:dyDescent="0.35">
      <c r="A177" s="8">
        <v>44470</v>
      </c>
      <c r="B177" s="11">
        <f>IF(VLOOKUP(A177,'DB Country PMI'!$A:$W,MATCH($A$1,'DB Country PMI'!$A$1:$W$1,),)=0,#N/A,VLOOKUP(A177,'DB Country PMI'!$A:$W,MATCH($A$1,'DB Country PMI'!$A$1:$W$1,),))</f>
        <v>52.4</v>
      </c>
      <c r="C177" s="14">
        <f>Table13468113456[[#This Row],[PMI]]-B176</f>
        <v>-3.8000000000000043</v>
      </c>
    </row>
    <row r="178" spans="1:3" x14ac:dyDescent="0.35">
      <c r="A178" s="8">
        <v>44501</v>
      </c>
      <c r="B178" s="11">
        <f>IF(VLOOKUP(A178,'DB Country PMI'!$A:$W,MATCH($A$1,'DB Country PMI'!$A$1:$W$1,),)=0,#N/A,VLOOKUP(A178,'DB Country PMI'!$A:$W,MATCH($A$1,'DB Country PMI'!$A$1:$W$1,),))</f>
        <v>52.7</v>
      </c>
      <c r="C178" s="14">
        <f>Table13468113456[[#This Row],[PMI]]-B177</f>
        <v>0.30000000000000426</v>
      </c>
    </row>
    <row r="179" spans="1:3" x14ac:dyDescent="0.35">
      <c r="A179" s="8">
        <v>44531</v>
      </c>
      <c r="B179" s="11">
        <f>IF(VLOOKUP(A179,'DB Country PMI'!$A:$W,MATCH($A$1,'DB Country PMI'!$A$1:$W$1,),)=0,#N/A,VLOOKUP(A179,'DB Country PMI'!$A:$W,MATCH($A$1,'DB Country PMI'!$A$1:$W$1,),))</f>
        <v>48.7</v>
      </c>
      <c r="C179" s="14">
        <f>Table13468113456[[#This Row],[PMI]]-B178</f>
        <v>-4</v>
      </c>
    </row>
    <row r="180" spans="1:3" x14ac:dyDescent="0.35">
      <c r="A180" s="8">
        <v>44562</v>
      </c>
      <c r="B180" s="11">
        <f>IF(VLOOKUP(A180,'DB Country PMI'!$A:$W,MATCH($A$1,'DB Country PMI'!$A$1:$W$1,),)=0,#N/A,VLOOKUP(A180,'DB Country PMI'!$A:$W,MATCH($A$1,'DB Country PMI'!$A$1:$W$1,),))</f>
        <v>52.2</v>
      </c>
      <c r="C180" s="14">
        <f>Table13468113456[[#This Row],[PMI]]-B179</f>
        <v>3.5</v>
      </c>
    </row>
    <row r="181" spans="1:3" x14ac:dyDescent="0.35">
      <c r="A181" s="8">
        <v>44593</v>
      </c>
      <c r="B181" s="11">
        <f>IF(VLOOKUP(A181,'DB Country PMI'!$A:$W,MATCH($A$1,'DB Country PMI'!$A$1:$W$1,),)=0,#N/A,VLOOKUP(A181,'DB Country PMI'!$A:$W,MATCH($A$1,'DB Country PMI'!$A$1:$W$1,),))</f>
        <v>56.6</v>
      </c>
      <c r="C181" s="14">
        <f>Table13468113456[[#This Row],[PMI]]-B180</f>
        <v>4.3999999999999986</v>
      </c>
    </row>
    <row r="182" spans="1:3" x14ac:dyDescent="0.35">
      <c r="A182" s="8">
        <v>44621</v>
      </c>
      <c r="B182" s="11">
        <f>IF(VLOOKUP(A182,'DB Country PMI'!$A:$W,MATCH($A$1,'DB Country PMI'!$A$1:$W$1,),)=0,#N/A,VLOOKUP(A182,'DB Country PMI'!$A:$W,MATCH($A$1,'DB Country PMI'!$A$1:$W$1,),))</f>
        <v>55</v>
      </c>
      <c r="C182" s="14">
        <f>Table13468113456[[#This Row],[PMI]]-B181</f>
        <v>-1.6000000000000014</v>
      </c>
    </row>
    <row r="183" spans="1:3" x14ac:dyDescent="0.35">
      <c r="A183" s="8">
        <v>44652</v>
      </c>
      <c r="B183" s="11">
        <f>IF(VLOOKUP(A183,'DB Country PMI'!$A:$W,MATCH($A$1,'DB Country PMI'!$A$1:$W$1,),)=0,#N/A,VLOOKUP(A183,'DB Country PMI'!$A:$W,MATCH($A$1,'DB Country PMI'!$A$1:$W$1,),))</f>
        <v>57.9</v>
      </c>
      <c r="C183" s="14">
        <f>Table13468113456[[#This Row],[PMI]]-B182</f>
        <v>2.8999999999999986</v>
      </c>
    </row>
    <row r="184" spans="1:3" x14ac:dyDescent="0.35">
      <c r="A184" s="8">
        <v>44682</v>
      </c>
      <c r="B184" s="11">
        <f>IF(VLOOKUP(A184,'DB Country PMI'!$A:$W,MATCH($A$1,'DB Country PMI'!$A$1:$W$1,),)=0,#N/A,VLOOKUP(A184,'DB Country PMI'!$A:$W,MATCH($A$1,'DB Country PMI'!$A$1:$W$1,),))</f>
        <v>56.3</v>
      </c>
      <c r="C184" s="14">
        <f>Table13468113456[[#This Row],[PMI]]-B183</f>
        <v>-1.6000000000000014</v>
      </c>
    </row>
    <row r="185" spans="1:3" x14ac:dyDescent="0.35">
      <c r="A185" s="8">
        <v>44713</v>
      </c>
      <c r="B185" s="11">
        <f>IF(VLOOKUP(A185,'DB Country PMI'!$A:$W,MATCH($A$1,'DB Country PMI'!$A$1:$W$1,),)=0,#N/A,VLOOKUP(A185,'DB Country PMI'!$A:$W,MATCH($A$1,'DB Country PMI'!$A$1:$W$1,),))</f>
        <v>52.4</v>
      </c>
      <c r="C185" s="14">
        <f>Table13468113456[[#This Row],[PMI]]-B184</f>
        <v>-3.8999999999999986</v>
      </c>
    </row>
    <row r="186" spans="1:3" x14ac:dyDescent="0.35">
      <c r="A186" s="8">
        <v>44743</v>
      </c>
      <c r="B186" s="11">
        <f>IF(VLOOKUP(A186,'DB Country PMI'!$A:$W,MATCH($A$1,'DB Country PMI'!$A$1:$W$1,),)=0,#N/A,VLOOKUP(A186,'DB Country PMI'!$A:$W,MATCH($A$1,'DB Country PMI'!$A$1:$W$1,),))</f>
        <v>49.7</v>
      </c>
      <c r="C186" s="14">
        <f>Table13468113456[[#This Row],[PMI]]-B185</f>
        <v>-2.6999999999999957</v>
      </c>
    </row>
    <row r="187" spans="1:3" x14ac:dyDescent="0.35">
      <c r="A187" s="8">
        <v>44774</v>
      </c>
      <c r="B187" s="11">
        <f>IF(VLOOKUP(A187,'DB Country PMI'!$A:$W,MATCH($A$1,'DB Country PMI'!$A$1:$W$1,),)=0,#N/A,VLOOKUP(A187,'DB Country PMI'!$A:$W,MATCH($A$1,'DB Country PMI'!$A$1:$W$1,),))</f>
        <v>47.7</v>
      </c>
      <c r="C187" s="14">
        <f>Table13468113456[[#This Row],[PMI]]-B186</f>
        <v>-2</v>
      </c>
    </row>
    <row r="188" spans="1:3" x14ac:dyDescent="0.35">
      <c r="A188" s="8">
        <v>44805</v>
      </c>
      <c r="B188" s="11">
        <f>IF(VLOOKUP(A188,'DB Country PMI'!$A:$W,MATCH($A$1,'DB Country PMI'!$A$1:$W$1,),)=0,#N/A,VLOOKUP(A188,'DB Country PMI'!$A:$W,MATCH($A$1,'DB Country PMI'!$A$1:$W$1,),))</f>
        <v>45</v>
      </c>
      <c r="C188" s="14">
        <f>Table13468113456[[#This Row],[PMI]]-B187</f>
        <v>-2.7000000000000028</v>
      </c>
    </row>
    <row r="189" spans="1:3" x14ac:dyDescent="0.35">
      <c r="A189" s="8">
        <v>44835</v>
      </c>
      <c r="B189" s="11">
        <f>IF(VLOOKUP(A189,'DB Country PMI'!$A:$W,MATCH($A$1,'DB Country PMI'!$A$1:$W$1,),)=0,#N/A,VLOOKUP(A189,'DB Country PMI'!$A:$W,MATCH($A$1,'DB Country PMI'!$A$1:$W$1,),))</f>
        <v>46.5</v>
      </c>
      <c r="C189" s="14">
        <f>Table13468113456[[#This Row],[PMI]]-B188</f>
        <v>1.5</v>
      </c>
    </row>
    <row r="190" spans="1:3" x14ac:dyDescent="0.35">
      <c r="A190" s="8">
        <v>44866</v>
      </c>
      <c r="B190" s="11">
        <f>IF(VLOOKUP(A190,'DB Country PMI'!$A:$W,MATCH($A$1,'DB Country PMI'!$A$1:$W$1,),)=0,#N/A,VLOOKUP(A190,'DB Country PMI'!$A:$W,MATCH($A$1,'DB Country PMI'!$A$1:$W$1,),))</f>
        <v>46.1</v>
      </c>
      <c r="C190" s="14">
        <f>Table13468113456[[#This Row],[PMI]]-B189</f>
        <v>-0.39999999999999858</v>
      </c>
    </row>
  </sheetData>
  <conditionalFormatting sqref="C7:C190">
    <cfRule type="colorScale" priority="1">
      <colorScale>
        <cfvo type="min"/>
        <cfvo type="percentile" val="50"/>
        <cfvo type="max"/>
        <color rgb="FFF8696B"/>
        <color rgb="FFFCFCFF"/>
        <color rgb="FF5A8AC6"/>
      </colorScale>
    </cfRule>
  </conditionalFormatting>
  <conditionalFormatting sqref="B6:B19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1"/>
  <sheetViews>
    <sheetView zoomScale="150" zoomScaleNormal="150" workbookViewId="0">
      <pane ySplit="5" topLeftCell="A131" activePane="bottomLeft" state="frozen"/>
      <selection pane="bottomLeft" activeCell="A139" sqref="A139: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44</v>
      </c>
      <c r="J1" s="47" t="s">
        <v>62</v>
      </c>
    </row>
    <row r="2" spans="1:10" x14ac:dyDescent="0.35">
      <c r="J2" s="47" t="s">
        <v>68</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53.2</v>
      </c>
      <c r="C6" s="11"/>
    </row>
    <row r="7" spans="1:10" x14ac:dyDescent="0.35">
      <c r="A7" s="8">
        <v>40483</v>
      </c>
      <c r="B7" s="11">
        <f>IF(VLOOKUP(A7,'DB Country PMI'!$A:$W,MATCH($A$1,'DB Country PMI'!$A$1:$W$1,),)=0,#N/A,VLOOKUP(A7,'DB Country PMI'!$A:$W,MATCH($A$1,'DB Country PMI'!$A$1:$W$1,),))</f>
        <v>53</v>
      </c>
      <c r="C7" s="14">
        <f>Table1346811345671012131415[[#This Row],[PMI]]-B6</f>
        <v>-0.20000000000000284</v>
      </c>
    </row>
    <row r="8" spans="1:10" x14ac:dyDescent="0.35">
      <c r="A8" s="8">
        <v>40513</v>
      </c>
      <c r="B8" s="11">
        <f>IF(VLOOKUP(A8,'DB Country PMI'!$A:$W,MATCH($A$1,'DB Country PMI'!$A$1:$W$1,),)=0,#N/A,VLOOKUP(A8,'DB Country PMI'!$A:$W,MATCH($A$1,'DB Country PMI'!$A$1:$W$1,),))</f>
        <v>53.9</v>
      </c>
      <c r="C8" s="14">
        <f>Table1346811345671012131415[[#This Row],[PMI]]-B7</f>
        <v>0.89999999999999858</v>
      </c>
    </row>
    <row r="9" spans="1:10" x14ac:dyDescent="0.35">
      <c r="A9" s="8">
        <v>40544</v>
      </c>
      <c r="B9" s="11">
        <f>IF(VLOOKUP(A9,'DB Country PMI'!$A:$W,MATCH($A$1,'DB Country PMI'!$A$1:$W$1,),)=0,#N/A,VLOOKUP(A9,'DB Country PMI'!$A:$W,MATCH($A$1,'DB Country PMI'!$A$1:$W$1,),))</f>
        <v>54.5</v>
      </c>
      <c r="C9" s="14">
        <f>Table1346811345671012131415[[#This Row],[PMI]]-B8</f>
        <v>0.60000000000000142</v>
      </c>
    </row>
    <row r="10" spans="1:10" x14ac:dyDescent="0.35">
      <c r="A10" s="8">
        <v>40575</v>
      </c>
      <c r="B10" s="11">
        <f>IF(VLOOKUP(A10,'DB Country PMI'!$A:$W,MATCH($A$1,'DB Country PMI'!$A$1:$W$1,),)=0,#N/A,VLOOKUP(A10,'DB Country PMI'!$A:$W,MATCH($A$1,'DB Country PMI'!$A$1:$W$1,),))</f>
        <v>52.6</v>
      </c>
      <c r="C10" s="14">
        <f>Table1346811345671012131415[[#This Row],[PMI]]-B9</f>
        <v>-1.8999999999999986</v>
      </c>
    </row>
    <row r="11" spans="1:10" x14ac:dyDescent="0.35">
      <c r="A11" s="8">
        <v>40603</v>
      </c>
      <c r="B11" s="11">
        <f>IF(VLOOKUP(A11,'DB Country PMI'!$A:$W,MATCH($A$1,'DB Country PMI'!$A$1:$W$1,),)=0,#N/A,VLOOKUP(A11,'DB Country PMI'!$A:$W,MATCH($A$1,'DB Country PMI'!$A$1:$W$1,),))</f>
        <v>57.1</v>
      </c>
      <c r="C11" s="14">
        <f>Table1346811345671012131415[[#This Row],[PMI]]-B10</f>
        <v>4.5</v>
      </c>
    </row>
    <row r="12" spans="1:10" x14ac:dyDescent="0.35">
      <c r="A12" s="8">
        <v>40634</v>
      </c>
      <c r="B12" s="11">
        <f>IF(VLOOKUP(A12,'DB Country PMI'!$A:$W,MATCH($A$1,'DB Country PMI'!$A$1:$W$1,),)=0,#N/A,VLOOKUP(A12,'DB Country PMI'!$A:$W,MATCH($A$1,'DB Country PMI'!$A$1:$W$1,),))</f>
        <v>54.3</v>
      </c>
      <c r="C12" s="14">
        <f>Table1346811345671012131415[[#This Row],[PMI]]-B11</f>
        <v>-2.8000000000000043</v>
      </c>
    </row>
    <row r="13" spans="1:10" x14ac:dyDescent="0.35">
      <c r="A13" s="8">
        <v>40664</v>
      </c>
      <c r="B13" s="11">
        <f>IF(VLOOKUP(A13,'DB Country PMI'!$A:$W,MATCH($A$1,'DB Country PMI'!$A$1:$W$1,),)=0,#N/A,VLOOKUP(A13,'DB Country PMI'!$A:$W,MATCH($A$1,'DB Country PMI'!$A$1:$W$1,),))</f>
        <v>53.8</v>
      </c>
      <c r="C13" s="14">
        <f>Table1346811345671012131415[[#This Row],[PMI]]-B12</f>
        <v>-0.5</v>
      </c>
    </row>
    <row r="14" spans="1:10" x14ac:dyDescent="0.35">
      <c r="A14" s="8">
        <v>40695</v>
      </c>
      <c r="B14" s="11">
        <f>IF(VLOOKUP(A14,'DB Country PMI'!$A:$W,MATCH($A$1,'DB Country PMI'!$A$1:$W$1,),)=0,#N/A,VLOOKUP(A14,'DB Country PMI'!$A:$W,MATCH($A$1,'DB Country PMI'!$A$1:$W$1,),))</f>
        <v>53.9</v>
      </c>
      <c r="C14" s="14">
        <f>Table1346811345671012131415[[#This Row],[PMI]]-B13</f>
        <v>0.10000000000000142</v>
      </c>
    </row>
    <row r="15" spans="1:10" x14ac:dyDescent="0.35">
      <c r="A15" s="8">
        <v>40725</v>
      </c>
      <c r="B15" s="11">
        <f>IF(VLOOKUP(A15,'DB Country PMI'!$A:$W,MATCH($A$1,'DB Country PMI'!$A$1:$W$1,),)=0,#N/A,VLOOKUP(A15,'DB Country PMI'!$A:$W,MATCH($A$1,'DB Country PMI'!$A$1:$W$1,),))</f>
        <v>55.4</v>
      </c>
      <c r="C15" s="14">
        <f>Table1346811345671012131415[[#This Row],[PMI]]-B14</f>
        <v>1.5</v>
      </c>
    </row>
    <row r="16" spans="1:10" x14ac:dyDescent="0.35">
      <c r="A16" s="8">
        <v>40756</v>
      </c>
      <c r="B16" s="11">
        <f>IF(VLOOKUP(A16,'DB Country PMI'!$A:$W,MATCH($A$1,'DB Country PMI'!$A$1:$W$1,),)=0,#N/A,VLOOKUP(A16,'DB Country PMI'!$A:$W,MATCH($A$1,'DB Country PMI'!$A$1:$W$1,),))</f>
        <v>51.1</v>
      </c>
      <c r="C16" s="14">
        <f>Table1346811345671012131415[[#This Row],[PMI]]-B15</f>
        <v>-4.2999999999999972</v>
      </c>
    </row>
    <row r="17" spans="1:3" x14ac:dyDescent="0.35">
      <c r="A17" s="8">
        <v>40787</v>
      </c>
      <c r="B17" s="11">
        <f>IF(VLOOKUP(A17,'DB Country PMI'!$A:$W,MATCH($A$1,'DB Country PMI'!$A$1:$W$1,),)=0,#N/A,VLOOKUP(A17,'DB Country PMI'!$A:$W,MATCH($A$1,'DB Country PMI'!$A$1:$W$1,),))</f>
        <v>52.9</v>
      </c>
      <c r="C17" s="14">
        <f>Table1346811345671012131415[[#This Row],[PMI]]-B16</f>
        <v>1.7999999999999972</v>
      </c>
    </row>
    <row r="18" spans="1:3" x14ac:dyDescent="0.35">
      <c r="A18" s="8">
        <v>40817</v>
      </c>
      <c r="B18" s="11">
        <f>IF(VLOOKUP(A18,'DB Country PMI'!$A:$W,MATCH($A$1,'DB Country PMI'!$A$1:$W$1,),)=0,#N/A,VLOOKUP(A18,'DB Country PMI'!$A:$W,MATCH($A$1,'DB Country PMI'!$A$1:$W$1,),))</f>
        <v>51.3</v>
      </c>
      <c r="C18" s="14">
        <f>Table1346811345671012131415[[#This Row],[PMI]]-B17</f>
        <v>-1.6000000000000014</v>
      </c>
    </row>
    <row r="19" spans="1:3" x14ac:dyDescent="0.35">
      <c r="A19" s="8">
        <v>40848</v>
      </c>
      <c r="B19" s="11">
        <f>IF(VLOOKUP(A19,'DB Country PMI'!$A:$W,MATCH($A$1,'DB Country PMI'!$A$1:$W$1,),)=0,#N/A,VLOOKUP(A19,'DB Country PMI'!$A:$W,MATCH($A$1,'DB Country PMI'!$A$1:$W$1,),))</f>
        <v>52.1</v>
      </c>
      <c r="C19" s="14">
        <f>Table1346811345671012131415[[#This Row],[PMI]]-B18</f>
        <v>0.80000000000000426</v>
      </c>
    </row>
    <row r="20" spans="1:3" x14ac:dyDescent="0.35">
      <c r="A20" s="8">
        <v>40878</v>
      </c>
      <c r="B20" s="11">
        <f>IF(VLOOKUP(A20,'DB Country PMI'!$A:$W,MATCH($A$1,'DB Country PMI'!$A$1:$W$1,),)=0,#N/A,VLOOKUP(A20,'DB Country PMI'!$A:$W,MATCH($A$1,'DB Country PMI'!$A$1:$W$1,),))</f>
        <v>54</v>
      </c>
      <c r="C20" s="14">
        <f>Table1346811345671012131415[[#This Row],[PMI]]-B19</f>
        <v>1.8999999999999986</v>
      </c>
    </row>
    <row r="21" spans="1:3" x14ac:dyDescent="0.35">
      <c r="A21" s="8">
        <v>40909</v>
      </c>
      <c r="B21" s="11">
        <f>IF(VLOOKUP(A21,'DB Country PMI'!$A:$W,MATCH($A$1,'DB Country PMI'!$A$1:$W$1,),)=0,#N/A,VLOOKUP(A21,'DB Country PMI'!$A:$W,MATCH($A$1,'DB Country PMI'!$A$1:$W$1,),))</f>
        <v>56</v>
      </c>
      <c r="C21" s="14">
        <f>Table1346811345671012131415[[#This Row],[PMI]]-B20</f>
        <v>2</v>
      </c>
    </row>
    <row r="22" spans="1:3" x14ac:dyDescent="0.35">
      <c r="A22" s="8">
        <v>40940</v>
      </c>
      <c r="B22" s="11">
        <f>IF(VLOOKUP(A22,'DB Country PMI'!$A:$W,MATCH($A$1,'DB Country PMI'!$A$1:$W$1,),)=0,#N/A,VLOOKUP(A22,'DB Country PMI'!$A:$W,MATCH($A$1,'DB Country PMI'!$A$1:$W$1,),))</f>
        <v>53.8</v>
      </c>
      <c r="C22" s="14">
        <f>Table1346811345671012131415[[#This Row],[PMI]]-B21</f>
        <v>-2.2000000000000028</v>
      </c>
    </row>
    <row r="23" spans="1:3" x14ac:dyDescent="0.35">
      <c r="A23" s="8">
        <v>40969</v>
      </c>
      <c r="B23" s="11">
        <f>IF(VLOOKUP(A23,'DB Country PMI'!$A:$W,MATCH($A$1,'DB Country PMI'!$A$1:$W$1,),)=0,#N/A,VLOOKUP(A23,'DB Country PMI'!$A:$W,MATCH($A$1,'DB Country PMI'!$A$1:$W$1,),))</f>
        <v>55.3</v>
      </c>
      <c r="C23" s="14">
        <f>Table1346811345671012131415[[#This Row],[PMI]]-B22</f>
        <v>1.5</v>
      </c>
    </row>
    <row r="24" spans="1:3" x14ac:dyDescent="0.35">
      <c r="A24" s="8">
        <v>41000</v>
      </c>
      <c r="B24" s="11">
        <f>IF(VLOOKUP(A24,'DB Country PMI'!$A:$W,MATCH($A$1,'DB Country PMI'!$A$1:$W$1,),)=0,#N/A,VLOOKUP(A24,'DB Country PMI'!$A:$W,MATCH($A$1,'DB Country PMI'!$A$1:$W$1,),))</f>
        <v>53.3</v>
      </c>
      <c r="C24" s="14">
        <f>Table1346811345671012131415[[#This Row],[PMI]]-B23</f>
        <v>-2</v>
      </c>
    </row>
    <row r="25" spans="1:3" x14ac:dyDescent="0.35">
      <c r="A25" s="8">
        <v>41030</v>
      </c>
      <c r="B25" s="11">
        <f>IF(VLOOKUP(A25,'DB Country PMI'!$A:$W,MATCH($A$1,'DB Country PMI'!$A$1:$W$1,),)=0,#N/A,VLOOKUP(A25,'DB Country PMI'!$A:$W,MATCH($A$1,'DB Country PMI'!$A$1:$W$1,),))</f>
        <v>53.3</v>
      </c>
      <c r="C25" s="14">
        <f>Table1346811345671012131415[[#This Row],[PMI]]-B24</f>
        <v>0</v>
      </c>
    </row>
    <row r="26" spans="1:3" x14ac:dyDescent="0.35">
      <c r="A26" s="8">
        <v>41061</v>
      </c>
      <c r="B26" s="11">
        <f>IF(VLOOKUP(A26,'DB Country PMI'!$A:$W,MATCH($A$1,'DB Country PMI'!$A$1:$W$1,),)=0,#N/A,VLOOKUP(A26,'DB Country PMI'!$A:$W,MATCH($A$1,'DB Country PMI'!$A$1:$W$1,),))</f>
        <v>51.3</v>
      </c>
      <c r="C26" s="14">
        <f>Table1346811345671012131415[[#This Row],[PMI]]-B25</f>
        <v>-2</v>
      </c>
    </row>
    <row r="27" spans="1:3" x14ac:dyDescent="0.35">
      <c r="A27" s="8">
        <v>41091</v>
      </c>
      <c r="B27" s="11">
        <f>IF(VLOOKUP(A27,'DB Country PMI'!$A:$W,MATCH($A$1,'DB Country PMI'!$A$1:$W$1,),)=0,#N/A,VLOOKUP(A27,'DB Country PMI'!$A:$W,MATCH($A$1,'DB Country PMI'!$A$1:$W$1,),))</f>
        <v>51.3</v>
      </c>
      <c r="C27" s="14">
        <f>Table1346811345671012131415[[#This Row],[PMI]]-B26</f>
        <v>0</v>
      </c>
    </row>
    <row r="28" spans="1:3" x14ac:dyDescent="0.35">
      <c r="A28" s="8">
        <v>41122</v>
      </c>
      <c r="B28" s="11">
        <f>IF(VLOOKUP(A28,'DB Country PMI'!$A:$W,MATCH($A$1,'DB Country PMI'!$A$1:$W$1,),)=0,#N/A,VLOOKUP(A28,'DB Country PMI'!$A:$W,MATCH($A$1,'DB Country PMI'!$A$1:$W$1,),))</f>
        <v>51</v>
      </c>
      <c r="C28" s="14">
        <f>Table1346811345671012131415[[#This Row],[PMI]]-B27</f>
        <v>-0.29999999999999716</v>
      </c>
    </row>
    <row r="29" spans="1:3" x14ac:dyDescent="0.35">
      <c r="A29" s="8">
        <v>41153</v>
      </c>
      <c r="B29" s="11">
        <f>IF(VLOOKUP(A29,'DB Country PMI'!$A:$W,MATCH($A$1,'DB Country PMI'!$A$1:$W$1,),)=0,#N/A,VLOOKUP(A29,'DB Country PMI'!$A:$W,MATCH($A$1,'DB Country PMI'!$A$1:$W$1,),))</f>
        <v>53.7</v>
      </c>
      <c r="C29" s="14">
        <f>Table1346811345671012131415[[#This Row],[PMI]]-B28</f>
        <v>2.7000000000000028</v>
      </c>
    </row>
    <row r="30" spans="1:3" x14ac:dyDescent="0.35">
      <c r="A30" s="8">
        <v>41183</v>
      </c>
      <c r="B30" s="11">
        <f>IF(VLOOKUP(A30,'DB Country PMI'!$A:$W,MATCH($A$1,'DB Country PMI'!$A$1:$W$1,),)=0,#N/A,VLOOKUP(A30,'DB Country PMI'!$A:$W,MATCH($A$1,'DB Country PMI'!$A$1:$W$1,),))</f>
        <v>52.2</v>
      </c>
      <c r="C30" s="14">
        <f>Table1346811345671012131415[[#This Row],[PMI]]-B29</f>
        <v>-1.5</v>
      </c>
    </row>
    <row r="31" spans="1:3" x14ac:dyDescent="0.35">
      <c r="A31" s="8">
        <v>41214</v>
      </c>
      <c r="B31" s="11">
        <f>IF(VLOOKUP(A31,'DB Country PMI'!$A:$W,MATCH($A$1,'DB Country PMI'!$A$1:$W$1,),)=0,#N/A,VLOOKUP(A31,'DB Country PMI'!$A:$W,MATCH($A$1,'DB Country PMI'!$A$1:$W$1,),))</f>
        <v>50.6</v>
      </c>
      <c r="C31" s="14">
        <f>Table1346811345671012131415[[#This Row],[PMI]]-B30</f>
        <v>-1.6000000000000014</v>
      </c>
    </row>
    <row r="32" spans="1:3" x14ac:dyDescent="0.35">
      <c r="A32" s="8">
        <v>41244</v>
      </c>
      <c r="B32" s="11">
        <f>IF(VLOOKUP(A32,'DB Country PMI'!$A:$W,MATCH($A$1,'DB Country PMI'!$A$1:$W$1,),)=0,#N/A,VLOOKUP(A32,'DB Country PMI'!$A:$W,MATCH($A$1,'DB Country PMI'!$A$1:$W$1,),))</f>
        <v>50.2</v>
      </c>
      <c r="C32" s="14">
        <f>Table1346811345671012131415[[#This Row],[PMI]]-B31</f>
        <v>-0.39999999999999858</v>
      </c>
    </row>
    <row r="33" spans="1:3" x14ac:dyDescent="0.35">
      <c r="A33" s="8">
        <v>41275</v>
      </c>
      <c r="B33" s="11">
        <f>IF(VLOOKUP(A33,'DB Country PMI'!$A:$W,MATCH($A$1,'DB Country PMI'!$A$1:$W$1,),)=0,#N/A,VLOOKUP(A33,'DB Country PMI'!$A:$W,MATCH($A$1,'DB Country PMI'!$A$1:$W$1,),))</f>
        <v>51.5</v>
      </c>
      <c r="C33" s="14">
        <f>Table1346811345671012131415[[#This Row],[PMI]]-B32</f>
        <v>1.2999999999999972</v>
      </c>
    </row>
    <row r="34" spans="1:3" x14ac:dyDescent="0.35">
      <c r="A34" s="8">
        <v>41306</v>
      </c>
      <c r="B34" s="11">
        <f>IF(VLOOKUP(A34,'DB Country PMI'!$A:$W,MATCH($A$1,'DB Country PMI'!$A$1:$W$1,),)=0,#N/A,VLOOKUP(A34,'DB Country PMI'!$A:$W,MATCH($A$1,'DB Country PMI'!$A$1:$W$1,),))</f>
        <v>51.8</v>
      </c>
      <c r="C34" s="14">
        <f>Table1346811345671012131415[[#This Row],[PMI]]-B33</f>
        <v>0.29999999999999716</v>
      </c>
    </row>
    <row r="35" spans="1:3" x14ac:dyDescent="0.35">
      <c r="A35" s="8">
        <v>41334</v>
      </c>
      <c r="B35" s="11">
        <f>IF(VLOOKUP(A35,'DB Country PMI'!$A:$W,MATCH($A$1,'DB Country PMI'!$A$1:$W$1,),)=0,#N/A,VLOOKUP(A35,'DB Country PMI'!$A:$W,MATCH($A$1,'DB Country PMI'!$A$1:$W$1,),))</f>
        <v>52.4</v>
      </c>
      <c r="C35" s="14">
        <f>Table1346811345671012131415[[#This Row],[PMI]]-B34</f>
        <v>0.60000000000000142</v>
      </c>
    </row>
    <row r="36" spans="1:3" x14ac:dyDescent="0.35">
      <c r="A36" s="8">
        <v>41365</v>
      </c>
      <c r="B36" s="11">
        <f>IF(VLOOKUP(A36,'DB Country PMI'!$A:$W,MATCH($A$1,'DB Country PMI'!$A$1:$W$1,),)=0,#N/A,VLOOKUP(A36,'DB Country PMI'!$A:$W,MATCH($A$1,'DB Country PMI'!$A$1:$W$1,),))</f>
        <v>52.9</v>
      </c>
      <c r="C36" s="14">
        <f>Table1346811345671012131415[[#This Row],[PMI]]-B35</f>
        <v>0.5</v>
      </c>
    </row>
    <row r="37" spans="1:3" x14ac:dyDescent="0.35">
      <c r="A37" s="8">
        <v>41395</v>
      </c>
      <c r="B37" s="11">
        <f>IF(VLOOKUP(A37,'DB Country PMI'!$A:$W,MATCH($A$1,'DB Country PMI'!$A$1:$W$1,),)=0,#N/A,VLOOKUP(A37,'DB Country PMI'!$A:$W,MATCH($A$1,'DB Country PMI'!$A$1:$W$1,),))</f>
        <v>54.9</v>
      </c>
      <c r="C37" s="14">
        <f>Table1346811345671012131415[[#This Row],[PMI]]-B36</f>
        <v>2</v>
      </c>
    </row>
    <row r="38" spans="1:3" x14ac:dyDescent="0.35">
      <c r="A38" s="8">
        <v>41426</v>
      </c>
      <c r="B38" s="11">
        <f>IF(VLOOKUP(A38,'DB Country PMI'!$A:$W,MATCH($A$1,'DB Country PMI'!$A$1:$W$1,),)=0,#N/A,VLOOKUP(A38,'DB Country PMI'!$A:$W,MATCH($A$1,'DB Country PMI'!$A$1:$W$1,),))</f>
        <v>56.9</v>
      </c>
      <c r="C38" s="14">
        <f>Table1346811345671012131415[[#This Row],[PMI]]-B37</f>
        <v>2</v>
      </c>
    </row>
    <row r="39" spans="1:3" x14ac:dyDescent="0.35">
      <c r="A39" s="8">
        <v>41456</v>
      </c>
      <c r="B39" s="11">
        <f>IF(VLOOKUP(A39,'DB Country PMI'!$A:$W,MATCH($A$1,'DB Country PMI'!$A$1:$W$1,),)=0,#N/A,VLOOKUP(A39,'DB Country PMI'!$A:$W,MATCH($A$1,'DB Country PMI'!$A$1:$W$1,),))</f>
        <v>60.2</v>
      </c>
      <c r="C39" s="14">
        <f>Table1346811345671012131415[[#This Row],[PMI]]-B38</f>
        <v>3.3000000000000043</v>
      </c>
    </row>
    <row r="40" spans="1:3" x14ac:dyDescent="0.35">
      <c r="A40" s="8">
        <v>41487</v>
      </c>
      <c r="B40" s="11">
        <f>IF(VLOOKUP(A40,'DB Country PMI'!$A:$W,MATCH($A$1,'DB Country PMI'!$A$1:$W$1,),)=0,#N/A,VLOOKUP(A40,'DB Country PMI'!$A:$W,MATCH($A$1,'DB Country PMI'!$A$1:$W$1,),))</f>
        <v>60.5</v>
      </c>
      <c r="C40" s="14">
        <f>Table1346811345671012131415[[#This Row],[PMI]]-B39</f>
        <v>0.29999999999999716</v>
      </c>
    </row>
    <row r="41" spans="1:3" x14ac:dyDescent="0.35">
      <c r="A41" s="8">
        <v>41518</v>
      </c>
      <c r="B41" s="11">
        <f>IF(VLOOKUP(A41,'DB Country PMI'!$A:$W,MATCH($A$1,'DB Country PMI'!$A$1:$W$1,),)=0,#N/A,VLOOKUP(A41,'DB Country PMI'!$A:$W,MATCH($A$1,'DB Country PMI'!$A$1:$W$1,),))</f>
        <v>60.3</v>
      </c>
      <c r="C41" s="14">
        <f>Table1346811345671012131415[[#This Row],[PMI]]-B40</f>
        <v>-0.20000000000000284</v>
      </c>
    </row>
    <row r="42" spans="1:3" x14ac:dyDescent="0.35">
      <c r="A42" s="8">
        <v>41548</v>
      </c>
      <c r="B42" s="11">
        <f>IF(VLOOKUP(A42,'DB Country PMI'!$A:$W,MATCH($A$1,'DB Country PMI'!$A$1:$W$1,),)=0,#N/A,VLOOKUP(A42,'DB Country PMI'!$A:$W,MATCH($A$1,'DB Country PMI'!$A$1:$W$1,),))</f>
        <v>62.5</v>
      </c>
      <c r="C42" s="14">
        <f>Table1346811345671012131415[[#This Row],[PMI]]-B41</f>
        <v>2.2000000000000028</v>
      </c>
    </row>
    <row r="43" spans="1:3" x14ac:dyDescent="0.35">
      <c r="A43" s="8">
        <v>41579</v>
      </c>
      <c r="B43" s="11">
        <f>IF(VLOOKUP(A43,'DB Country PMI'!$A:$W,MATCH($A$1,'DB Country PMI'!$A$1:$W$1,),)=0,#N/A,VLOOKUP(A43,'DB Country PMI'!$A:$W,MATCH($A$1,'DB Country PMI'!$A$1:$W$1,),))</f>
        <v>60</v>
      </c>
      <c r="C43" s="14">
        <f>Table1346811345671012131415[[#This Row],[PMI]]-B42</f>
        <v>-2.5</v>
      </c>
    </row>
    <row r="44" spans="1:3" x14ac:dyDescent="0.35">
      <c r="A44" s="8">
        <v>41609</v>
      </c>
      <c r="B44" s="11">
        <f>IF(VLOOKUP(A44,'DB Country PMI'!$A:$W,MATCH($A$1,'DB Country PMI'!$A$1:$W$1,),)=0,#N/A,VLOOKUP(A44,'DB Country PMI'!$A:$W,MATCH($A$1,'DB Country PMI'!$A$1:$W$1,),))</f>
        <v>58.8</v>
      </c>
      <c r="C44" s="14">
        <f>Table1346811345671012131415[[#This Row],[PMI]]-B43</f>
        <v>-1.2000000000000028</v>
      </c>
    </row>
    <row r="45" spans="1:3" x14ac:dyDescent="0.35">
      <c r="A45" s="8">
        <v>41640</v>
      </c>
      <c r="B45" s="11">
        <f>IF(VLOOKUP(A45,'DB Country PMI'!$A:$W,MATCH($A$1,'DB Country PMI'!$A$1:$W$1,),)=0,#N/A,VLOOKUP(A45,'DB Country PMI'!$A:$W,MATCH($A$1,'DB Country PMI'!$A$1:$W$1,),))</f>
        <v>58.3</v>
      </c>
      <c r="C45" s="14">
        <f>Table1346811345671012131415[[#This Row],[PMI]]-B44</f>
        <v>-0.5</v>
      </c>
    </row>
    <row r="46" spans="1:3" x14ac:dyDescent="0.35">
      <c r="A46" s="8">
        <v>41671</v>
      </c>
      <c r="B46" s="11">
        <f>IF(VLOOKUP(A46,'DB Country PMI'!$A:$W,MATCH($A$1,'DB Country PMI'!$A$1:$W$1,),)=0,#N/A,VLOOKUP(A46,'DB Country PMI'!$A:$W,MATCH($A$1,'DB Country PMI'!$A$1:$W$1,),))</f>
        <v>58.2</v>
      </c>
      <c r="C46" s="14">
        <f>Table1346811345671012131415[[#This Row],[PMI]]-B45</f>
        <v>-9.9999999999994316E-2</v>
      </c>
    </row>
    <row r="47" spans="1:3" x14ac:dyDescent="0.35">
      <c r="A47" s="8">
        <v>41699</v>
      </c>
      <c r="B47" s="11">
        <f>IF(VLOOKUP(A47,'DB Country PMI'!$A:$W,MATCH($A$1,'DB Country PMI'!$A$1:$W$1,),)=0,#N/A,VLOOKUP(A47,'DB Country PMI'!$A:$W,MATCH($A$1,'DB Country PMI'!$A$1:$W$1,),))</f>
        <v>57.6</v>
      </c>
      <c r="C47" s="14">
        <f>Table1346811345671012131415[[#This Row],[PMI]]-B46</f>
        <v>-0.60000000000000142</v>
      </c>
    </row>
    <row r="48" spans="1:3" x14ac:dyDescent="0.35">
      <c r="A48" s="8">
        <v>41730</v>
      </c>
      <c r="B48" s="11">
        <f>IF(VLOOKUP(A48,'DB Country PMI'!$A:$W,MATCH($A$1,'DB Country PMI'!$A$1:$W$1,),)=0,#N/A,VLOOKUP(A48,'DB Country PMI'!$A:$W,MATCH($A$1,'DB Country PMI'!$A$1:$W$1,),))</f>
        <v>58.7</v>
      </c>
      <c r="C48" s="14">
        <f>Table1346811345671012131415[[#This Row],[PMI]]-B47</f>
        <v>1.1000000000000014</v>
      </c>
    </row>
    <row r="49" spans="1:3" x14ac:dyDescent="0.35">
      <c r="A49" s="8">
        <v>41760</v>
      </c>
      <c r="B49" s="11">
        <f>IF(VLOOKUP(A49,'DB Country PMI'!$A:$W,MATCH($A$1,'DB Country PMI'!$A$1:$W$1,),)=0,#N/A,VLOOKUP(A49,'DB Country PMI'!$A:$W,MATCH($A$1,'DB Country PMI'!$A$1:$W$1,),))</f>
        <v>58.6</v>
      </c>
      <c r="C49" s="14">
        <f>Table1346811345671012131415[[#This Row],[PMI]]-B48</f>
        <v>-0.10000000000000142</v>
      </c>
    </row>
    <row r="50" spans="1:3" x14ac:dyDescent="0.35">
      <c r="A50" s="8">
        <v>41791</v>
      </c>
      <c r="B50" s="11">
        <f>IF(VLOOKUP(A50,'DB Country PMI'!$A:$W,MATCH($A$1,'DB Country PMI'!$A$1:$W$1,),)=0,#N/A,VLOOKUP(A50,'DB Country PMI'!$A:$W,MATCH($A$1,'DB Country PMI'!$A$1:$W$1,),))</f>
        <v>57.7</v>
      </c>
      <c r="C50" s="14">
        <f>Table1346811345671012131415[[#This Row],[PMI]]-B49</f>
        <v>-0.89999999999999858</v>
      </c>
    </row>
    <row r="51" spans="1:3" x14ac:dyDescent="0.35">
      <c r="A51" s="8">
        <v>41821</v>
      </c>
      <c r="B51" s="11">
        <f>IF(VLOOKUP(A51,'DB Country PMI'!$A:$W,MATCH($A$1,'DB Country PMI'!$A$1:$W$1,),)=0,#N/A,VLOOKUP(A51,'DB Country PMI'!$A:$W,MATCH($A$1,'DB Country PMI'!$A$1:$W$1,),))</f>
        <v>59.1</v>
      </c>
      <c r="C51" s="14">
        <f>Table1346811345671012131415[[#This Row],[PMI]]-B50</f>
        <v>1.3999999999999986</v>
      </c>
    </row>
    <row r="52" spans="1:3" x14ac:dyDescent="0.35">
      <c r="A52" s="8">
        <v>41852</v>
      </c>
      <c r="B52" s="11">
        <f>IF(VLOOKUP(A52,'DB Country PMI'!$A:$W,MATCH($A$1,'DB Country PMI'!$A$1:$W$1,),)=0,#N/A,VLOOKUP(A52,'DB Country PMI'!$A:$W,MATCH($A$1,'DB Country PMI'!$A$1:$W$1,),))</f>
        <v>60.5</v>
      </c>
      <c r="C52" s="14">
        <f>Table1346811345671012131415[[#This Row],[PMI]]-B51</f>
        <v>1.3999999999999986</v>
      </c>
    </row>
    <row r="53" spans="1:3" x14ac:dyDescent="0.35">
      <c r="A53" s="8">
        <v>41883</v>
      </c>
      <c r="B53" s="11">
        <f>IF(VLOOKUP(A53,'DB Country PMI'!$A:$W,MATCH($A$1,'DB Country PMI'!$A$1:$W$1,),)=0,#N/A,VLOOKUP(A53,'DB Country PMI'!$A:$W,MATCH($A$1,'DB Country PMI'!$A$1:$W$1,),))</f>
        <v>58.7</v>
      </c>
      <c r="C53" s="14">
        <f>Table1346811345671012131415[[#This Row],[PMI]]-B52</f>
        <v>-1.7999999999999972</v>
      </c>
    </row>
    <row r="54" spans="1:3" x14ac:dyDescent="0.35">
      <c r="A54" s="8">
        <v>41913</v>
      </c>
      <c r="B54" s="11">
        <f>IF(VLOOKUP(A54,'DB Country PMI'!$A:$W,MATCH($A$1,'DB Country PMI'!$A$1:$W$1,),)=0,#N/A,VLOOKUP(A54,'DB Country PMI'!$A:$W,MATCH($A$1,'DB Country PMI'!$A$1:$W$1,),))</f>
        <v>56.2</v>
      </c>
      <c r="C54" s="14">
        <f>Table1346811345671012131415[[#This Row],[PMI]]-B53</f>
        <v>-2.5</v>
      </c>
    </row>
    <row r="55" spans="1:3" x14ac:dyDescent="0.35">
      <c r="A55" s="8">
        <v>41944</v>
      </c>
      <c r="B55" s="11">
        <f>IF(VLOOKUP(A55,'DB Country PMI'!$A:$W,MATCH($A$1,'DB Country PMI'!$A$1:$W$1,),)=0,#N/A,VLOOKUP(A55,'DB Country PMI'!$A:$W,MATCH($A$1,'DB Country PMI'!$A$1:$W$1,),))</f>
        <v>58.6</v>
      </c>
      <c r="C55" s="14">
        <f>Table1346811345671012131415[[#This Row],[PMI]]-B54</f>
        <v>2.3999999999999986</v>
      </c>
    </row>
    <row r="56" spans="1:3" x14ac:dyDescent="0.35">
      <c r="A56" s="8">
        <v>41974</v>
      </c>
      <c r="B56" s="11">
        <f>IF(VLOOKUP(A56,'DB Country PMI'!$A:$W,MATCH($A$1,'DB Country PMI'!$A$1:$W$1,),)=0,#N/A,VLOOKUP(A56,'DB Country PMI'!$A:$W,MATCH($A$1,'DB Country PMI'!$A$1:$W$1,),))</f>
        <v>55.8</v>
      </c>
      <c r="C56" s="14">
        <f>Table1346811345671012131415[[#This Row],[PMI]]-B55</f>
        <v>-2.8000000000000043</v>
      </c>
    </row>
    <row r="57" spans="1:3" x14ac:dyDescent="0.35">
      <c r="A57" s="8">
        <v>42005</v>
      </c>
      <c r="B57" s="11">
        <f>IF(VLOOKUP(A57,'DB Country PMI'!$A:$W,MATCH($A$1,'DB Country PMI'!$A$1:$W$1,),)=0,#N/A,VLOOKUP(A57,'DB Country PMI'!$A:$W,MATCH($A$1,'DB Country PMI'!$A$1:$W$1,),))</f>
        <v>57.2</v>
      </c>
      <c r="C57" s="14">
        <f>Table1346811345671012131415[[#This Row],[PMI]]-B56</f>
        <v>1.4000000000000057</v>
      </c>
    </row>
    <row r="58" spans="1:3" x14ac:dyDescent="0.35">
      <c r="A58" s="8">
        <v>42036</v>
      </c>
      <c r="B58" s="11">
        <f>IF(VLOOKUP(A58,'DB Country PMI'!$A:$W,MATCH($A$1,'DB Country PMI'!$A$1:$W$1,),)=0,#N/A,VLOOKUP(A58,'DB Country PMI'!$A:$W,MATCH($A$1,'DB Country PMI'!$A$1:$W$1,),))</f>
        <v>56.7</v>
      </c>
      <c r="C58" s="14">
        <f>Table1346811345671012131415[[#This Row],[PMI]]-B57</f>
        <v>-0.5</v>
      </c>
    </row>
    <row r="59" spans="1:3" x14ac:dyDescent="0.35">
      <c r="A59" s="8">
        <v>42064</v>
      </c>
      <c r="B59" s="11">
        <f>IF(VLOOKUP(A59,'DB Country PMI'!$A:$W,MATCH($A$1,'DB Country PMI'!$A$1:$W$1,),)=0,#N/A,VLOOKUP(A59,'DB Country PMI'!$A:$W,MATCH($A$1,'DB Country PMI'!$A$1:$W$1,),))</f>
        <v>58.9</v>
      </c>
      <c r="C59" s="14">
        <f>Table1346811345671012131415[[#This Row],[PMI]]-B58</f>
        <v>2.1999999999999957</v>
      </c>
    </row>
    <row r="60" spans="1:3" x14ac:dyDescent="0.35">
      <c r="A60" s="8">
        <v>42095</v>
      </c>
      <c r="B60" s="11">
        <f>IF(VLOOKUP(A60,'DB Country PMI'!$A:$W,MATCH($A$1,'DB Country PMI'!$A$1:$W$1,),)=0,#N/A,VLOOKUP(A60,'DB Country PMI'!$A:$W,MATCH($A$1,'DB Country PMI'!$A$1:$W$1,),))</f>
        <v>59.5</v>
      </c>
      <c r="C60" s="14">
        <f>Table1346811345671012131415[[#This Row],[PMI]]-B59</f>
        <v>0.60000000000000142</v>
      </c>
    </row>
    <row r="61" spans="1:3" x14ac:dyDescent="0.35">
      <c r="A61" s="8">
        <v>42125</v>
      </c>
      <c r="B61" s="11">
        <f>IF(VLOOKUP(A61,'DB Country PMI'!$A:$W,MATCH($A$1,'DB Country PMI'!$A$1:$W$1,),)=0,#N/A,VLOOKUP(A61,'DB Country PMI'!$A:$W,MATCH($A$1,'DB Country PMI'!$A$1:$W$1,),))</f>
        <v>56.5</v>
      </c>
      <c r="C61" s="14">
        <f>Table1346811345671012131415[[#This Row],[PMI]]-B60</f>
        <v>-3</v>
      </c>
    </row>
    <row r="62" spans="1:3" x14ac:dyDescent="0.35">
      <c r="A62" s="8">
        <v>42156</v>
      </c>
      <c r="B62" s="11">
        <f>IF(VLOOKUP(A62,'DB Country PMI'!$A:$W,MATCH($A$1,'DB Country PMI'!$A$1:$W$1,),)=0,#N/A,VLOOKUP(A62,'DB Country PMI'!$A:$W,MATCH($A$1,'DB Country PMI'!$A$1:$W$1,),))</f>
        <v>58.5</v>
      </c>
      <c r="C62" s="14">
        <f>Table1346811345671012131415[[#This Row],[PMI]]-B61</f>
        <v>2</v>
      </c>
    </row>
    <row r="63" spans="1:3" x14ac:dyDescent="0.35">
      <c r="A63" s="8">
        <v>42186</v>
      </c>
      <c r="B63" s="11">
        <f>IF(VLOOKUP(A63,'DB Country PMI'!$A:$W,MATCH($A$1,'DB Country PMI'!$A$1:$W$1,),)=0,#N/A,VLOOKUP(A63,'DB Country PMI'!$A:$W,MATCH($A$1,'DB Country PMI'!$A$1:$W$1,),))</f>
        <v>57.4</v>
      </c>
      <c r="C63" s="14">
        <f>Table1346811345671012131415[[#This Row],[PMI]]-B62</f>
        <v>-1.1000000000000014</v>
      </c>
    </row>
    <row r="64" spans="1:3" x14ac:dyDescent="0.35">
      <c r="A64" s="8">
        <v>42217</v>
      </c>
      <c r="B64" s="11">
        <f>IF(VLOOKUP(A64,'DB Country PMI'!$A:$W,MATCH($A$1,'DB Country PMI'!$A$1:$W$1,),)=0,#N/A,VLOOKUP(A64,'DB Country PMI'!$A:$W,MATCH($A$1,'DB Country PMI'!$A$1:$W$1,),))</f>
        <v>55.6</v>
      </c>
      <c r="C64" s="14">
        <f>Table1346811345671012131415[[#This Row],[PMI]]-B63</f>
        <v>-1.7999999999999972</v>
      </c>
    </row>
    <row r="65" spans="1:3" x14ac:dyDescent="0.35">
      <c r="A65" s="8">
        <v>42248</v>
      </c>
      <c r="B65" s="11">
        <f>IF(VLOOKUP(A65,'DB Country PMI'!$A:$W,MATCH($A$1,'DB Country PMI'!$A$1:$W$1,),)=0,#N/A,VLOOKUP(A65,'DB Country PMI'!$A:$W,MATCH($A$1,'DB Country PMI'!$A$1:$W$1,),))</f>
        <v>53.3</v>
      </c>
      <c r="C65" s="14">
        <f>Table1346811345671012131415[[#This Row],[PMI]]-B64</f>
        <v>-2.3000000000000043</v>
      </c>
    </row>
    <row r="66" spans="1:3" x14ac:dyDescent="0.35">
      <c r="A66" s="8">
        <v>42278</v>
      </c>
      <c r="B66" s="11">
        <f>IF(VLOOKUP(A66,'DB Country PMI'!$A:$W,MATCH($A$1,'DB Country PMI'!$A$1:$W$1,),)=0,#N/A,VLOOKUP(A66,'DB Country PMI'!$A:$W,MATCH($A$1,'DB Country PMI'!$A$1:$W$1,),))</f>
        <v>54.9</v>
      </c>
      <c r="C66" s="14">
        <f>Table1346811345671012131415[[#This Row],[PMI]]-B65</f>
        <v>1.6000000000000014</v>
      </c>
    </row>
    <row r="67" spans="1:3" x14ac:dyDescent="0.35">
      <c r="A67" s="8">
        <v>42309</v>
      </c>
      <c r="B67" s="11">
        <f>IF(VLOOKUP(A67,'DB Country PMI'!$A:$W,MATCH($A$1,'DB Country PMI'!$A$1:$W$1,),)=0,#N/A,VLOOKUP(A67,'DB Country PMI'!$A:$W,MATCH($A$1,'DB Country PMI'!$A$1:$W$1,),))</f>
        <v>55.9</v>
      </c>
      <c r="C67" s="14">
        <f>Table1346811345671012131415[[#This Row],[PMI]]-B66</f>
        <v>1</v>
      </c>
    </row>
    <row r="68" spans="1:3" x14ac:dyDescent="0.35">
      <c r="A68" s="8">
        <v>42339</v>
      </c>
      <c r="B68" s="11">
        <f>IF(VLOOKUP(A68,'DB Country PMI'!$A:$W,MATCH($A$1,'DB Country PMI'!$A$1:$W$1,),)=0,#N/A,VLOOKUP(A68,'DB Country PMI'!$A:$W,MATCH($A$1,'DB Country PMI'!$A$1:$W$1,),))</f>
        <v>55.5</v>
      </c>
      <c r="C68" s="14">
        <f>Table1346811345671012131415[[#This Row],[PMI]]-B67</f>
        <v>-0.39999999999999858</v>
      </c>
    </row>
    <row r="69" spans="1:3" x14ac:dyDescent="0.35">
      <c r="A69" s="8">
        <v>42370</v>
      </c>
      <c r="B69" s="11">
        <f>IF(VLOOKUP(A69,'DB Country PMI'!$A:$W,MATCH($A$1,'DB Country PMI'!$A$1:$W$1,),)=0,#N/A,VLOOKUP(A69,'DB Country PMI'!$A:$W,MATCH($A$1,'DB Country PMI'!$A$1:$W$1,),))</f>
        <v>55.6</v>
      </c>
      <c r="C69" s="14">
        <f>Table1346811345671012131415[[#This Row],[PMI]]-B68</f>
        <v>0.10000000000000142</v>
      </c>
    </row>
    <row r="70" spans="1:3" x14ac:dyDescent="0.35">
      <c r="A70" s="8">
        <v>42401</v>
      </c>
      <c r="B70" s="11">
        <f>IF(VLOOKUP(A70,'DB Country PMI'!$A:$W,MATCH($A$1,'DB Country PMI'!$A$1:$W$1,),)=0,#N/A,VLOOKUP(A70,'DB Country PMI'!$A:$W,MATCH($A$1,'DB Country PMI'!$A$1:$W$1,),))</f>
        <v>52.7</v>
      </c>
      <c r="C70" s="14">
        <f>Table1346811345671012131415[[#This Row],[PMI]]-B69</f>
        <v>-2.8999999999999986</v>
      </c>
    </row>
    <row r="71" spans="1:3" x14ac:dyDescent="0.35">
      <c r="A71" s="8">
        <v>42430</v>
      </c>
      <c r="B71" s="11">
        <f>IF(VLOOKUP(A71,'DB Country PMI'!$A:$W,MATCH($A$1,'DB Country PMI'!$A$1:$W$1,),)=0,#N/A,VLOOKUP(A71,'DB Country PMI'!$A:$W,MATCH($A$1,'DB Country PMI'!$A$1:$W$1,),))</f>
        <v>53.7</v>
      </c>
      <c r="C71" s="14">
        <f>Table1346811345671012131415[[#This Row],[PMI]]-B70</f>
        <v>1</v>
      </c>
    </row>
    <row r="72" spans="1:3" x14ac:dyDescent="0.35">
      <c r="A72" s="8">
        <v>42461</v>
      </c>
      <c r="B72" s="11">
        <f>IF(VLOOKUP(A72,'DB Country PMI'!$A:$W,MATCH($A$1,'DB Country PMI'!$A$1:$W$1,),)=0,#N/A,VLOOKUP(A72,'DB Country PMI'!$A:$W,MATCH($A$1,'DB Country PMI'!$A$1:$W$1,),))</f>
        <v>52.3</v>
      </c>
      <c r="C72" s="14">
        <f>Table1346811345671012131415[[#This Row],[PMI]]-B71</f>
        <v>-1.4000000000000057</v>
      </c>
    </row>
    <row r="73" spans="1:3" x14ac:dyDescent="0.35">
      <c r="A73" s="8">
        <v>42491</v>
      </c>
      <c r="B73" s="11">
        <f>IF(VLOOKUP(A73,'DB Country PMI'!$A:$W,MATCH($A$1,'DB Country PMI'!$A$1:$W$1,),)=0,#N/A,VLOOKUP(A73,'DB Country PMI'!$A:$W,MATCH($A$1,'DB Country PMI'!$A$1:$W$1,),))</f>
        <v>53.5</v>
      </c>
      <c r="C73" s="14">
        <f>Table1346811345671012131415[[#This Row],[PMI]]-B72</f>
        <v>1.2000000000000028</v>
      </c>
    </row>
    <row r="74" spans="1:3" x14ac:dyDescent="0.35">
      <c r="A74" s="8">
        <v>42522</v>
      </c>
      <c r="B74" s="11">
        <f>IF(VLOOKUP(A74,'DB Country PMI'!$A:$W,MATCH($A$1,'DB Country PMI'!$A$1:$W$1,),)=0,#N/A,VLOOKUP(A74,'DB Country PMI'!$A:$W,MATCH($A$1,'DB Country PMI'!$A$1:$W$1,),))</f>
        <v>52.3</v>
      </c>
      <c r="C74" s="14">
        <f>Table1346811345671012131415[[#This Row],[PMI]]-B73</f>
        <v>-1.2000000000000028</v>
      </c>
    </row>
    <row r="75" spans="1:3" x14ac:dyDescent="0.35">
      <c r="A75" s="8">
        <v>42552</v>
      </c>
      <c r="B75" s="11">
        <f>IF(VLOOKUP(A75,'DB Country PMI'!$A:$W,MATCH($A$1,'DB Country PMI'!$A$1:$W$1,),)=0,#N/A,VLOOKUP(A75,'DB Country PMI'!$A:$W,MATCH($A$1,'DB Country PMI'!$A$1:$W$1,),))</f>
        <v>47.4</v>
      </c>
      <c r="C75" s="14">
        <f>Table1346811345671012131415[[#This Row],[PMI]]-B74</f>
        <v>-4.8999999999999986</v>
      </c>
    </row>
    <row r="76" spans="1:3" x14ac:dyDescent="0.35">
      <c r="A76" s="8">
        <v>42583</v>
      </c>
      <c r="B76" s="11">
        <f>IF(VLOOKUP(A76,'DB Country PMI'!$A:$W,MATCH($A$1,'DB Country PMI'!$A$1:$W$1,),)=0,#N/A,VLOOKUP(A76,'DB Country PMI'!$A:$W,MATCH($A$1,'DB Country PMI'!$A$1:$W$1,),))</f>
        <v>52.9</v>
      </c>
      <c r="C76" s="14">
        <f>Table1346811345671012131415[[#This Row],[PMI]]-B75</f>
        <v>5.5</v>
      </c>
    </row>
    <row r="77" spans="1:3" x14ac:dyDescent="0.35">
      <c r="A77" s="8">
        <v>42614</v>
      </c>
      <c r="B77" s="11">
        <f>IF(VLOOKUP(A77,'DB Country PMI'!$A:$W,MATCH($A$1,'DB Country PMI'!$A$1:$W$1,),)=0,#N/A,VLOOKUP(A77,'DB Country PMI'!$A:$W,MATCH($A$1,'DB Country PMI'!$A$1:$W$1,),))</f>
        <v>52.6</v>
      </c>
      <c r="C77" s="14">
        <f>Table1346811345671012131415[[#This Row],[PMI]]-B76</f>
        <v>-0.29999999999999716</v>
      </c>
    </row>
    <row r="78" spans="1:3" x14ac:dyDescent="0.35">
      <c r="A78" s="8">
        <v>42644</v>
      </c>
      <c r="B78" s="11">
        <f>IF(VLOOKUP(A78,'DB Country PMI'!$A:$W,MATCH($A$1,'DB Country PMI'!$A$1:$W$1,),)=0,#N/A,VLOOKUP(A78,'DB Country PMI'!$A:$W,MATCH($A$1,'DB Country PMI'!$A$1:$W$1,),))</f>
        <v>54.5</v>
      </c>
      <c r="C78" s="14">
        <f>Table1346811345671012131415[[#This Row],[PMI]]-B77</f>
        <v>1.8999999999999986</v>
      </c>
    </row>
    <row r="79" spans="1:3" x14ac:dyDescent="0.35">
      <c r="A79" s="8">
        <v>42675</v>
      </c>
      <c r="B79" s="11">
        <f>IF(VLOOKUP(A79,'DB Country PMI'!$A:$W,MATCH($A$1,'DB Country PMI'!$A$1:$W$1,),)=0,#N/A,VLOOKUP(A79,'DB Country PMI'!$A:$W,MATCH($A$1,'DB Country PMI'!$A$1:$W$1,),))</f>
        <v>55.2</v>
      </c>
      <c r="C79" s="14">
        <f>Table1346811345671012131415[[#This Row],[PMI]]-B78</f>
        <v>0.70000000000000284</v>
      </c>
    </row>
    <row r="80" spans="1:3" x14ac:dyDescent="0.35">
      <c r="A80" s="8">
        <v>42705</v>
      </c>
      <c r="B80" s="11">
        <f>IF(VLOOKUP(A80,'DB Country PMI'!$A:$W,MATCH($A$1,'DB Country PMI'!$A$1:$W$1,),)=0,#N/A,VLOOKUP(A80,'DB Country PMI'!$A:$W,MATCH($A$1,'DB Country PMI'!$A$1:$W$1,),))</f>
        <v>56.2</v>
      </c>
      <c r="C80" s="14">
        <f>Table1346811345671012131415[[#This Row],[PMI]]-B79</f>
        <v>1</v>
      </c>
    </row>
    <row r="81" spans="1:3" x14ac:dyDescent="0.35">
      <c r="A81" s="8">
        <v>42736</v>
      </c>
      <c r="B81" s="11">
        <f>IF(VLOOKUP(A81,'DB Country PMI'!$A:$W,MATCH($A$1,'DB Country PMI'!$A$1:$W$1,),)=0,#N/A,VLOOKUP(A81,'DB Country PMI'!$A:$W,MATCH($A$1,'DB Country PMI'!$A$1:$W$1,),))</f>
        <v>54.5</v>
      </c>
      <c r="C81" s="14">
        <f>Table1346811345671012131415[[#This Row],[PMI]]-B80</f>
        <v>-1.7000000000000028</v>
      </c>
    </row>
    <row r="82" spans="1:3" x14ac:dyDescent="0.35">
      <c r="A82" s="8">
        <v>42767</v>
      </c>
      <c r="B82" s="11">
        <f>IF(VLOOKUP(A82,'DB Country PMI'!$A:$W,MATCH($A$1,'DB Country PMI'!$A$1:$W$1,),)=0,#N/A,VLOOKUP(A82,'DB Country PMI'!$A:$W,MATCH($A$1,'DB Country PMI'!$A$1:$W$1,),))</f>
        <v>53.3</v>
      </c>
      <c r="C82" s="14">
        <f>Table1346811345671012131415[[#This Row],[PMI]]-B81</f>
        <v>-1.2000000000000028</v>
      </c>
    </row>
    <row r="83" spans="1:3" x14ac:dyDescent="0.35">
      <c r="A83" s="8">
        <v>42795</v>
      </c>
      <c r="B83" s="11">
        <f>IF(VLOOKUP(A83,'DB Country PMI'!$A:$W,MATCH($A$1,'DB Country PMI'!$A$1:$W$1,),)=0,#N/A,VLOOKUP(A83,'DB Country PMI'!$A:$W,MATCH($A$1,'DB Country PMI'!$A$1:$W$1,),))</f>
        <v>55</v>
      </c>
      <c r="C83" s="14">
        <f>Table1346811345671012131415[[#This Row],[PMI]]-B82</f>
        <v>1.7000000000000028</v>
      </c>
    </row>
    <row r="84" spans="1:3" x14ac:dyDescent="0.35">
      <c r="A84" s="8">
        <v>42826</v>
      </c>
      <c r="B84" s="11">
        <f>IF(VLOOKUP(A84,'DB Country PMI'!$A:$W,MATCH($A$1,'DB Country PMI'!$A$1:$W$1,),)=0,#N/A,VLOOKUP(A84,'DB Country PMI'!$A:$W,MATCH($A$1,'DB Country PMI'!$A$1:$W$1,),))</f>
        <v>55.8</v>
      </c>
      <c r="C84" s="14">
        <f>Table1346811345671012131415[[#This Row],[PMI]]-B83</f>
        <v>0.79999999999999716</v>
      </c>
    </row>
    <row r="85" spans="1:3" x14ac:dyDescent="0.35">
      <c r="A85" s="8">
        <v>42856</v>
      </c>
      <c r="B85" s="11">
        <f>IF(VLOOKUP(A85,'DB Country PMI'!$A:$W,MATCH($A$1,'DB Country PMI'!$A$1:$W$1,),)=0,#N/A,VLOOKUP(A85,'DB Country PMI'!$A:$W,MATCH($A$1,'DB Country PMI'!$A$1:$W$1,),))</f>
        <v>53.8</v>
      </c>
      <c r="C85" s="14">
        <f>Table1346811345671012131415[[#This Row],[PMI]]-B84</f>
        <v>-2</v>
      </c>
    </row>
    <row r="86" spans="1:3" x14ac:dyDescent="0.35">
      <c r="A86" s="8">
        <v>42887</v>
      </c>
      <c r="B86" s="11">
        <f>IF(VLOOKUP(A86,'DB Country PMI'!$A:$W,MATCH($A$1,'DB Country PMI'!$A$1:$W$1,),)=0,#N/A,VLOOKUP(A86,'DB Country PMI'!$A:$W,MATCH($A$1,'DB Country PMI'!$A$1:$W$1,),))</f>
        <v>53.4</v>
      </c>
      <c r="C86" s="14">
        <f>Table1346811345671012131415[[#This Row],[PMI]]-B85</f>
        <v>-0.39999999999999858</v>
      </c>
    </row>
    <row r="87" spans="1:3" x14ac:dyDescent="0.35">
      <c r="A87" s="8">
        <v>42917</v>
      </c>
      <c r="B87" s="11">
        <f>IF(VLOOKUP(A87,'DB Country PMI'!$A:$W,MATCH($A$1,'DB Country PMI'!$A$1:$W$1,),)=0,#N/A,VLOOKUP(A87,'DB Country PMI'!$A:$W,MATCH($A$1,'DB Country PMI'!$A$1:$W$1,),))</f>
        <v>53.8</v>
      </c>
      <c r="C87" s="14">
        <f>Table1346811345671012131415[[#This Row],[PMI]]-B86</f>
        <v>0.39999999999999858</v>
      </c>
    </row>
    <row r="88" spans="1:3" x14ac:dyDescent="0.35">
      <c r="A88" s="8">
        <v>42948</v>
      </c>
      <c r="B88" s="11">
        <f>IF(VLOOKUP(A88,'DB Country PMI'!$A:$W,MATCH($A$1,'DB Country PMI'!$A$1:$W$1,),)=0,#N/A,VLOOKUP(A88,'DB Country PMI'!$A:$W,MATCH($A$1,'DB Country PMI'!$A$1:$W$1,),))</f>
        <v>53.2</v>
      </c>
      <c r="C88" s="14">
        <f>Table1346811345671012131415[[#This Row],[PMI]]-B87</f>
        <v>-0.59999999999999432</v>
      </c>
    </row>
    <row r="89" spans="1:3" x14ac:dyDescent="0.35">
      <c r="A89" s="8">
        <v>42979</v>
      </c>
      <c r="B89" s="11">
        <f>IF(VLOOKUP(A89,'DB Country PMI'!$A:$W,MATCH($A$1,'DB Country PMI'!$A$1:$W$1,),)=0,#N/A,VLOOKUP(A89,'DB Country PMI'!$A:$W,MATCH($A$1,'DB Country PMI'!$A$1:$W$1,),))</f>
        <v>53.6</v>
      </c>
      <c r="C89" s="14">
        <f>Table1346811345671012131415[[#This Row],[PMI]]-B88</f>
        <v>0.39999999999999858</v>
      </c>
    </row>
    <row r="90" spans="1:3" x14ac:dyDescent="0.35">
      <c r="A90" s="8">
        <v>43009</v>
      </c>
      <c r="B90" s="11">
        <f>IF(VLOOKUP(A90,'DB Country PMI'!$A:$W,MATCH($A$1,'DB Country PMI'!$A$1:$W$1,),)=0,#N/A,VLOOKUP(A90,'DB Country PMI'!$A:$W,MATCH($A$1,'DB Country PMI'!$A$1:$W$1,),))</f>
        <v>55.6</v>
      </c>
      <c r="C90" s="14">
        <f>Table1346811345671012131415[[#This Row],[PMI]]-B89</f>
        <v>2</v>
      </c>
    </row>
    <row r="91" spans="1:3" x14ac:dyDescent="0.35">
      <c r="A91" s="8">
        <v>43040</v>
      </c>
      <c r="B91" s="11">
        <f>IF(VLOOKUP(A91,'DB Country PMI'!$A:$W,MATCH($A$1,'DB Country PMI'!$A$1:$W$1,),)=0,#N/A,VLOOKUP(A91,'DB Country PMI'!$A:$W,MATCH($A$1,'DB Country PMI'!$A$1:$W$1,),))</f>
        <v>53.8</v>
      </c>
      <c r="C91" s="14">
        <f>Table1346811345671012131415[[#This Row],[PMI]]-B90</f>
        <v>-1.8000000000000043</v>
      </c>
    </row>
    <row r="92" spans="1:3" x14ac:dyDescent="0.35">
      <c r="A92" s="8">
        <v>43070</v>
      </c>
      <c r="B92" s="11">
        <f>IF(VLOOKUP(A92,'DB Country PMI'!$A:$W,MATCH($A$1,'DB Country PMI'!$A$1:$W$1,),)=0,#N/A,VLOOKUP(A92,'DB Country PMI'!$A:$W,MATCH($A$1,'DB Country PMI'!$A$1:$W$1,),))</f>
        <v>54.2</v>
      </c>
      <c r="C92" s="14">
        <f>Table1346811345671012131415[[#This Row],[PMI]]-B91</f>
        <v>0.40000000000000568</v>
      </c>
    </row>
    <row r="93" spans="1:3" x14ac:dyDescent="0.35">
      <c r="A93" s="8">
        <v>43101</v>
      </c>
      <c r="B93" s="11">
        <f>IF(VLOOKUP(A93,'DB Country PMI'!$A:$W,MATCH($A$1,'DB Country PMI'!$A$1:$W$1,),)=0,#N/A,VLOOKUP(A93,'DB Country PMI'!$A:$W,MATCH($A$1,'DB Country PMI'!$A$1:$W$1,),))</f>
        <v>53</v>
      </c>
      <c r="C93" s="14">
        <f>Table1346811345671012131415[[#This Row],[PMI]]-B92</f>
        <v>-1.2000000000000028</v>
      </c>
    </row>
    <row r="94" spans="1:3" x14ac:dyDescent="0.35">
      <c r="A94" s="8">
        <v>43132</v>
      </c>
      <c r="B94" s="11">
        <f>IF(VLOOKUP(A94,'DB Country PMI'!$A:$W,MATCH($A$1,'DB Country PMI'!$A$1:$W$1,),)=0,#N/A,VLOOKUP(A94,'DB Country PMI'!$A:$W,MATCH($A$1,'DB Country PMI'!$A$1:$W$1,),))</f>
        <v>54.5</v>
      </c>
      <c r="C94" s="14">
        <f>Table1346811345671012131415[[#This Row],[PMI]]-B93</f>
        <v>1.5</v>
      </c>
    </row>
    <row r="95" spans="1:3" x14ac:dyDescent="0.35">
      <c r="A95" s="8">
        <v>43160</v>
      </c>
      <c r="B95" s="11">
        <f>IF(VLOOKUP(A95,'DB Country PMI'!$A:$W,MATCH($A$1,'DB Country PMI'!$A$1:$W$1,),)=0,#N/A,VLOOKUP(A95,'DB Country PMI'!$A:$W,MATCH($A$1,'DB Country PMI'!$A$1:$W$1,),))</f>
        <v>51.7</v>
      </c>
      <c r="C95" s="14">
        <f>Table1346811345671012131415[[#This Row],[PMI]]-B94</f>
        <v>-2.7999999999999972</v>
      </c>
    </row>
    <row r="96" spans="1:3" x14ac:dyDescent="0.35">
      <c r="A96" s="8">
        <v>43191</v>
      </c>
      <c r="B96" s="11">
        <f>IF(VLOOKUP(A96,'DB Country PMI'!$A:$W,MATCH($A$1,'DB Country PMI'!$A$1:$W$1,),)=0,#N/A,VLOOKUP(A96,'DB Country PMI'!$A:$W,MATCH($A$1,'DB Country PMI'!$A$1:$W$1,),))</f>
        <v>52.8</v>
      </c>
      <c r="C96" s="14">
        <f>Table1346811345671012131415[[#This Row],[PMI]]-B95</f>
        <v>1.0999999999999943</v>
      </c>
    </row>
    <row r="97" spans="1:3" x14ac:dyDescent="0.35">
      <c r="A97" s="8">
        <v>43221</v>
      </c>
      <c r="B97" s="11">
        <f>IF(VLOOKUP(A97,'DB Country PMI'!$A:$W,MATCH($A$1,'DB Country PMI'!$A$1:$W$1,),)=0,#N/A,VLOOKUP(A97,'DB Country PMI'!$A:$W,MATCH($A$1,'DB Country PMI'!$A$1:$W$1,),))</f>
        <v>54</v>
      </c>
      <c r="C97" s="14">
        <f>Table1346811345671012131415[[#This Row],[PMI]]-B96</f>
        <v>1.2000000000000028</v>
      </c>
    </row>
    <row r="98" spans="1:3" x14ac:dyDescent="0.35">
      <c r="A98" s="8">
        <v>43252</v>
      </c>
      <c r="B98" s="11">
        <f>IF(VLOOKUP(A98,'DB Country PMI'!$A:$W,MATCH($A$1,'DB Country PMI'!$A$1:$W$1,),)=0,#N/A,VLOOKUP(A98,'DB Country PMI'!$A:$W,MATCH($A$1,'DB Country PMI'!$A$1:$W$1,),))</f>
        <v>55.1</v>
      </c>
      <c r="C98" s="14">
        <f>Table1346811345671012131415[[#This Row],[PMI]]-B97</f>
        <v>1.1000000000000014</v>
      </c>
    </row>
    <row r="99" spans="1:3" x14ac:dyDescent="0.35">
      <c r="A99" s="8">
        <v>43282</v>
      </c>
      <c r="B99" s="11">
        <f>IF(VLOOKUP(A99,'DB Country PMI'!$A:$W,MATCH($A$1,'DB Country PMI'!$A$1:$W$1,),)=0,#N/A,VLOOKUP(A99,'DB Country PMI'!$A:$W,MATCH($A$1,'DB Country PMI'!$A$1:$W$1,),))</f>
        <v>53.5</v>
      </c>
      <c r="C99" s="14">
        <f>Table1346811345671012131415[[#This Row],[PMI]]-B98</f>
        <v>-1.6000000000000014</v>
      </c>
    </row>
    <row r="100" spans="1:3" x14ac:dyDescent="0.35">
      <c r="A100" s="8">
        <v>43313</v>
      </c>
      <c r="B100" s="11">
        <f>IF(VLOOKUP(A100,'DB Country PMI'!$A:$W,MATCH($A$1,'DB Country PMI'!$A$1:$W$1,),)=0,#N/A,VLOOKUP(A100,'DB Country PMI'!$A:$W,MATCH($A$1,'DB Country PMI'!$A$1:$W$1,),))</f>
        <v>54.3</v>
      </c>
      <c r="C100" s="14">
        <f>Table1346811345671012131415[[#This Row],[PMI]]-B99</f>
        <v>0.79999999999999716</v>
      </c>
    </row>
    <row r="101" spans="1:3" x14ac:dyDescent="0.35">
      <c r="A101" s="8">
        <v>43344</v>
      </c>
      <c r="B101" s="11">
        <f>IF(VLOOKUP(A101,'DB Country PMI'!$A:$W,MATCH($A$1,'DB Country PMI'!$A$1:$W$1,),)=0,#N/A,VLOOKUP(A101,'DB Country PMI'!$A:$W,MATCH($A$1,'DB Country PMI'!$A$1:$W$1,),))</f>
        <v>53.9</v>
      </c>
      <c r="C101" s="14">
        <f>Table1346811345671012131415[[#This Row],[PMI]]-B100</f>
        <v>-0.39999999999999858</v>
      </c>
    </row>
    <row r="102" spans="1:3" x14ac:dyDescent="0.35">
      <c r="A102" s="8">
        <v>43374</v>
      </c>
      <c r="B102" s="11">
        <f>IF(VLOOKUP(A102,'DB Country PMI'!$A:$W,MATCH($A$1,'DB Country PMI'!$A$1:$W$1,),)=0,#N/A,VLOOKUP(A102,'DB Country PMI'!$A:$W,MATCH($A$1,'DB Country PMI'!$A$1:$W$1,),))</f>
        <v>52.2</v>
      </c>
      <c r="C102" s="14">
        <f>Table1346811345671012131415[[#This Row],[PMI]]-B101</f>
        <v>-1.6999999999999957</v>
      </c>
    </row>
    <row r="103" spans="1:3" x14ac:dyDescent="0.35">
      <c r="A103" s="8">
        <v>43405</v>
      </c>
      <c r="B103" s="11">
        <f>IF(VLOOKUP(A103,'DB Country PMI'!$A:$W,MATCH($A$1,'DB Country PMI'!$A$1:$W$1,),)=0,#N/A,VLOOKUP(A103,'DB Country PMI'!$A:$W,MATCH($A$1,'DB Country PMI'!$A$1:$W$1,),))</f>
        <v>50.4</v>
      </c>
      <c r="C103" s="14">
        <f>Table1346811345671012131415[[#This Row],[PMI]]-B102</f>
        <v>-1.8000000000000043</v>
      </c>
    </row>
    <row r="104" spans="1:3" x14ac:dyDescent="0.35">
      <c r="A104" s="8">
        <v>43435</v>
      </c>
      <c r="B104" s="11">
        <f>IF(VLOOKUP(A104,'DB Country PMI'!$A:$W,MATCH($A$1,'DB Country PMI'!$A$1:$W$1,),)=0,#N/A,VLOOKUP(A104,'DB Country PMI'!$A:$W,MATCH($A$1,'DB Country PMI'!$A$1:$W$1,),))</f>
        <v>51.2</v>
      </c>
      <c r="C104" s="14">
        <f>Table1346811345671012131415[[#This Row],[PMI]]-B103</f>
        <v>0.80000000000000426</v>
      </c>
    </row>
    <row r="105" spans="1:3" x14ac:dyDescent="0.35">
      <c r="A105" s="8">
        <v>43466</v>
      </c>
      <c r="B105" s="11">
        <f>IF(VLOOKUP(A105,'DB Country PMI'!$A:$W,MATCH($A$1,'DB Country PMI'!$A$1:$W$1,),)=0,#N/A,VLOOKUP(A105,'DB Country PMI'!$A:$W,MATCH($A$1,'DB Country PMI'!$A$1:$W$1,),))</f>
        <v>50.1</v>
      </c>
      <c r="C105" s="14">
        <f>Table1346811345671012131415[[#This Row],[PMI]]-B104</f>
        <v>-1.1000000000000014</v>
      </c>
    </row>
    <row r="106" spans="1:3" x14ac:dyDescent="0.35">
      <c r="A106" s="8">
        <v>43497</v>
      </c>
      <c r="B106" s="11">
        <f>IF(VLOOKUP(A106,'DB Country PMI'!$A:$W,MATCH($A$1,'DB Country PMI'!$A$1:$W$1,),)=0,#N/A,VLOOKUP(A106,'DB Country PMI'!$A:$W,MATCH($A$1,'DB Country PMI'!$A$1:$W$1,),))</f>
        <v>51.3</v>
      </c>
      <c r="C106" s="14">
        <f>Table1346811345671012131415[[#This Row],[PMI]]-B105</f>
        <v>1.1999999999999957</v>
      </c>
    </row>
    <row r="107" spans="1:3" x14ac:dyDescent="0.35">
      <c r="A107" s="8">
        <v>43525</v>
      </c>
      <c r="B107" s="11">
        <f>IF(VLOOKUP(A107,'DB Country PMI'!$A:$W,MATCH($A$1,'DB Country PMI'!$A$1:$W$1,),)=0,#N/A,VLOOKUP(A107,'DB Country PMI'!$A:$W,MATCH($A$1,'DB Country PMI'!$A$1:$W$1,),))</f>
        <v>48.9</v>
      </c>
      <c r="C107" s="14">
        <f>Table1346811345671012131415[[#This Row],[PMI]]-B106</f>
        <v>-2.3999999999999986</v>
      </c>
    </row>
    <row r="108" spans="1:3" x14ac:dyDescent="0.35">
      <c r="A108" s="8">
        <v>43556</v>
      </c>
      <c r="B108" s="11">
        <f>IF(VLOOKUP(A108,'DB Country PMI'!$A:$W,MATCH($A$1,'DB Country PMI'!$A$1:$W$1,),)=0,#N/A,VLOOKUP(A108,'DB Country PMI'!$A:$W,MATCH($A$1,'DB Country PMI'!$A$1:$W$1,),))</f>
        <v>50.4</v>
      </c>
      <c r="C108" s="14">
        <f>Table1346811345671012131415[[#This Row],[PMI]]-B107</f>
        <v>1.5</v>
      </c>
    </row>
    <row r="109" spans="1:3" x14ac:dyDescent="0.35">
      <c r="A109" s="8">
        <v>43586</v>
      </c>
      <c r="B109" s="11">
        <f>IF(VLOOKUP(A109,'DB Country PMI'!$A:$W,MATCH($A$1,'DB Country PMI'!$A$1:$W$1,),)=0,#N/A,VLOOKUP(A109,'DB Country PMI'!$A:$W,MATCH($A$1,'DB Country PMI'!$A$1:$W$1,),))</f>
        <v>51</v>
      </c>
      <c r="C109" s="14">
        <f>Table1346811345671012131415[[#This Row],[PMI]]-B108</f>
        <v>0.60000000000000142</v>
      </c>
    </row>
    <row r="110" spans="1:3" x14ac:dyDescent="0.35">
      <c r="A110" s="8">
        <v>43617</v>
      </c>
      <c r="B110" s="11">
        <f>IF(VLOOKUP(A110,'DB Country PMI'!$A:$W,MATCH($A$1,'DB Country PMI'!$A$1:$W$1,),)=0,#N/A,VLOOKUP(A110,'DB Country PMI'!$A:$W,MATCH($A$1,'DB Country PMI'!$A$1:$W$1,),))</f>
        <v>50.2</v>
      </c>
      <c r="C110" s="14">
        <f>Table1346811345671012131415[[#This Row],[PMI]]-B109</f>
        <v>-0.79999999999999716</v>
      </c>
    </row>
    <row r="111" spans="1:3" x14ac:dyDescent="0.35">
      <c r="A111" s="8">
        <v>43647</v>
      </c>
      <c r="B111" s="11">
        <f>IF(VLOOKUP(A111,'DB Country PMI'!$A:$W,MATCH($A$1,'DB Country PMI'!$A$1:$W$1,),)=0,#N/A,VLOOKUP(A111,'DB Country PMI'!$A:$W,MATCH($A$1,'DB Country PMI'!$A$1:$W$1,),))</f>
        <v>51.4</v>
      </c>
      <c r="C111" s="14">
        <f>Table1346811345671012131415[[#This Row],[PMI]]-B110</f>
        <v>1.1999999999999957</v>
      </c>
    </row>
    <row r="112" spans="1:3" x14ac:dyDescent="0.35">
      <c r="A112" s="8">
        <v>43678</v>
      </c>
      <c r="B112" s="11">
        <f>IF(VLOOKUP(A112,'DB Country PMI'!$A:$W,MATCH($A$1,'DB Country PMI'!$A$1:$W$1,),)=0,#N/A,VLOOKUP(A112,'DB Country PMI'!$A:$W,MATCH($A$1,'DB Country PMI'!$A$1:$W$1,),))</f>
        <v>50.6</v>
      </c>
      <c r="C112" s="14">
        <f>Table1346811345671012131415[[#This Row],[PMI]]-B111</f>
        <v>-0.79999999999999716</v>
      </c>
    </row>
    <row r="113" spans="1:3" x14ac:dyDescent="0.35">
      <c r="A113" s="8">
        <v>43709</v>
      </c>
      <c r="B113" s="11">
        <f>IF(VLOOKUP(A113,'DB Country PMI'!$A:$W,MATCH($A$1,'DB Country PMI'!$A$1:$W$1,),)=0,#N/A,VLOOKUP(A113,'DB Country PMI'!$A:$W,MATCH($A$1,'DB Country PMI'!$A$1:$W$1,),))</f>
        <v>49.5</v>
      </c>
      <c r="C113" s="14">
        <f>Table1346811345671012131415[[#This Row],[PMI]]-B112</f>
        <v>-1.1000000000000014</v>
      </c>
    </row>
    <row r="114" spans="1:3" x14ac:dyDescent="0.35">
      <c r="A114" s="8">
        <v>43739</v>
      </c>
      <c r="B114" s="11">
        <f>IF(VLOOKUP(A114,'DB Country PMI'!$A:$W,MATCH($A$1,'DB Country PMI'!$A$1:$W$1,),)=0,#N/A,VLOOKUP(A114,'DB Country PMI'!$A:$W,MATCH($A$1,'DB Country PMI'!$A$1:$W$1,),))</f>
        <v>50</v>
      </c>
      <c r="C114" s="14">
        <f>Table1346811345671012131415[[#This Row],[PMI]]-B113</f>
        <v>0.5</v>
      </c>
    </row>
    <row r="115" spans="1:3" x14ac:dyDescent="0.35">
      <c r="A115" s="8">
        <v>43770</v>
      </c>
      <c r="B115" s="11">
        <f>IF(VLOOKUP(A115,'DB Country PMI'!$A:$W,MATCH($A$1,'DB Country PMI'!$A$1:$W$1,),)=0,#N/A,VLOOKUP(A115,'DB Country PMI'!$A:$W,MATCH($A$1,'DB Country PMI'!$A$1:$W$1,),))</f>
        <v>49.3</v>
      </c>
      <c r="C115" s="14">
        <f>Table1346811345671012131415[[#This Row],[PMI]]-B114</f>
        <v>-0.70000000000000284</v>
      </c>
    </row>
    <row r="116" spans="1:3" x14ac:dyDescent="0.35">
      <c r="A116" s="8">
        <v>43800</v>
      </c>
      <c r="B116" s="11">
        <f>IF(VLOOKUP(A116,'DB Country PMI'!$A:$W,MATCH($A$1,'DB Country PMI'!$A$1:$W$1,),)=0,#N/A,VLOOKUP(A116,'DB Country PMI'!$A:$W,MATCH($A$1,'DB Country PMI'!$A$1:$W$1,),))</f>
        <v>50</v>
      </c>
      <c r="C116" s="14">
        <f>Table1346811345671012131415[[#This Row],[PMI]]-B115</f>
        <v>0.70000000000000284</v>
      </c>
    </row>
    <row r="117" spans="1:3" x14ac:dyDescent="0.35">
      <c r="A117" s="8">
        <v>43831</v>
      </c>
      <c r="B117" s="11">
        <f>IF(VLOOKUP(A117,'DB Country PMI'!$A:$W,MATCH($A$1,'DB Country PMI'!$A$1:$W$1,),)=0,#N/A,VLOOKUP(A117,'DB Country PMI'!$A:$W,MATCH($A$1,'DB Country PMI'!$A$1:$W$1,),))</f>
        <v>53.9</v>
      </c>
      <c r="C117" s="14">
        <f>Table1346811345671012131415[[#This Row],[PMI]]-B116</f>
        <v>3.8999999999999986</v>
      </c>
    </row>
    <row r="118" spans="1:3" x14ac:dyDescent="0.35">
      <c r="A118" s="8">
        <v>43862</v>
      </c>
      <c r="B118" s="11">
        <f>IF(VLOOKUP(A118,'DB Country PMI'!$A:$W,MATCH($A$1,'DB Country PMI'!$A$1:$W$1,),)=0,#N/A,VLOOKUP(A118,'DB Country PMI'!$A:$W,MATCH($A$1,'DB Country PMI'!$A$1:$W$1,),))</f>
        <v>53.2</v>
      </c>
      <c r="C118" s="14">
        <f>Table1346811345671012131415[[#This Row],[PMI]]-B117</f>
        <v>-0.69999999999999574</v>
      </c>
    </row>
    <row r="119" spans="1:3" x14ac:dyDescent="0.35">
      <c r="A119" s="8">
        <v>43891</v>
      </c>
      <c r="B119" s="11">
        <f>IF(VLOOKUP(A119,'DB Country PMI'!$A:$W,MATCH($A$1,'DB Country PMI'!$A$1:$W$1,),)=0,#N/A,VLOOKUP(A119,'DB Country PMI'!$A:$W,MATCH($A$1,'DB Country PMI'!$A$1:$W$1,),))</f>
        <v>34.5</v>
      </c>
      <c r="C119" s="14">
        <f>Table1346811345671012131415[[#This Row],[PMI]]-B118</f>
        <v>-18.700000000000003</v>
      </c>
    </row>
    <row r="120" spans="1:3" x14ac:dyDescent="0.35">
      <c r="A120" s="8">
        <v>43922</v>
      </c>
      <c r="B120" s="11">
        <f>IF(VLOOKUP(A120,'DB Country PMI'!$A:$W,MATCH($A$1,'DB Country PMI'!$A$1:$W$1,),)=0,#N/A,VLOOKUP(A120,'DB Country PMI'!$A:$W,MATCH($A$1,'DB Country PMI'!$A$1:$W$1,),))</f>
        <v>13.4</v>
      </c>
      <c r="C120" s="14">
        <f>Table1346811345671012131415[[#This Row],[PMI]]-B119</f>
        <v>-21.1</v>
      </c>
    </row>
    <row r="121" spans="1:3" x14ac:dyDescent="0.35">
      <c r="A121" s="8">
        <v>43952</v>
      </c>
      <c r="B121" s="11">
        <f>IF(VLOOKUP(A121,'DB Country PMI'!$A:$W,MATCH($A$1,'DB Country PMI'!$A$1:$W$1,),)=0,#N/A,VLOOKUP(A121,'DB Country PMI'!$A:$W,MATCH($A$1,'DB Country PMI'!$A$1:$W$1,),))</f>
        <v>29</v>
      </c>
      <c r="C121" s="14">
        <f>Table1346811345671012131415[[#This Row],[PMI]]-B120</f>
        <v>15.6</v>
      </c>
    </row>
    <row r="122" spans="1:3" x14ac:dyDescent="0.35">
      <c r="A122" s="8">
        <v>43983</v>
      </c>
      <c r="B122" s="11">
        <f>IF(VLOOKUP(A122,'DB Country PMI'!$A:$W,MATCH($A$1,'DB Country PMI'!$A$1:$W$1,),)=0,#N/A,VLOOKUP(A122,'DB Country PMI'!$A:$W,MATCH($A$1,'DB Country PMI'!$A$1:$W$1,),))</f>
        <v>47.1</v>
      </c>
      <c r="C122" s="14">
        <f>Table1346811345671012131415[[#This Row],[PMI]]-B121</f>
        <v>18.100000000000001</v>
      </c>
    </row>
    <row r="123" spans="1:3" x14ac:dyDescent="0.35">
      <c r="A123" s="8">
        <v>44013</v>
      </c>
      <c r="B123" s="11">
        <f>IF(VLOOKUP(A123,'DB Country PMI'!$A:$W,MATCH($A$1,'DB Country PMI'!$A$1:$W$1,),)=0,#N/A,VLOOKUP(A123,'DB Country PMI'!$A:$W,MATCH($A$1,'DB Country PMI'!$A$1:$W$1,),))</f>
        <v>56.5</v>
      </c>
      <c r="C123" s="14">
        <f>Table1346811345671012131415[[#This Row],[PMI]]-B122</f>
        <v>9.3999999999999986</v>
      </c>
    </row>
    <row r="124" spans="1:3" x14ac:dyDescent="0.35">
      <c r="A124" s="8">
        <v>44044</v>
      </c>
      <c r="B124" s="11">
        <f>IF(VLOOKUP(A124,'DB Country PMI'!$A:$W,MATCH($A$1,'DB Country PMI'!$A$1:$W$1,),)=0,#N/A,VLOOKUP(A124,'DB Country PMI'!$A:$W,MATCH($A$1,'DB Country PMI'!$A$1:$W$1,),))</f>
        <v>58.8</v>
      </c>
      <c r="C124" s="14">
        <f>Table1346811345671012131415[[#This Row],[PMI]]-B123</f>
        <v>2.2999999999999972</v>
      </c>
    </row>
    <row r="125" spans="1:3" x14ac:dyDescent="0.35">
      <c r="A125" s="8">
        <v>44075</v>
      </c>
      <c r="B125" s="11">
        <f>IF(VLOOKUP(A125,'DB Country PMI'!$A:$W,MATCH($A$1,'DB Country PMI'!$A$1:$W$1,),)=0,#N/A,VLOOKUP(A125,'DB Country PMI'!$A:$W,MATCH($A$1,'DB Country PMI'!$A$1:$W$1,),))</f>
        <v>56.1</v>
      </c>
      <c r="C125" s="14">
        <f>Table1346811345671012131415[[#This Row],[PMI]]-B124</f>
        <v>-2.6999999999999957</v>
      </c>
    </row>
    <row r="126" spans="1:3" x14ac:dyDescent="0.35">
      <c r="A126" s="8">
        <v>44105</v>
      </c>
      <c r="B126" s="11">
        <f>IF(VLOOKUP(A126,'DB Country PMI'!$A:$W,MATCH($A$1,'DB Country PMI'!$A$1:$W$1,),)=0,#N/A,VLOOKUP(A126,'DB Country PMI'!$A:$W,MATCH($A$1,'DB Country PMI'!$A$1:$W$1,),))</f>
        <v>51.4</v>
      </c>
      <c r="C126" s="14">
        <f>Table1346811345671012131415[[#This Row],[PMI]]-B125</f>
        <v>-4.7000000000000028</v>
      </c>
    </row>
    <row r="127" spans="1:3" x14ac:dyDescent="0.35">
      <c r="A127" s="8">
        <v>44136</v>
      </c>
      <c r="B127" s="11">
        <f>IF(VLOOKUP(A127,'DB Country PMI'!$A:$W,MATCH($A$1,'DB Country PMI'!$A$1:$W$1,),)=0,#N/A,VLOOKUP(A127,'DB Country PMI'!$A:$W,MATCH($A$1,'DB Country PMI'!$A$1:$W$1,),))</f>
        <v>47.6</v>
      </c>
      <c r="C127" s="14">
        <f>Table1346811345671012131415[[#This Row],[PMI]]-B126</f>
        <v>-3.7999999999999972</v>
      </c>
    </row>
    <row r="128" spans="1:3" x14ac:dyDescent="0.35">
      <c r="A128" s="8">
        <v>44166</v>
      </c>
      <c r="B128" s="11">
        <f>IF(VLOOKUP(A128,'DB Country PMI'!$A:$W,MATCH($A$1,'DB Country PMI'!$A$1:$W$1,),)=0,#N/A,VLOOKUP(A128,'DB Country PMI'!$A:$W,MATCH($A$1,'DB Country PMI'!$A$1:$W$1,),))</f>
        <v>49.4</v>
      </c>
      <c r="C128" s="14">
        <f>Table1346811345671012131415[[#This Row],[PMI]]-B127</f>
        <v>1.7999999999999972</v>
      </c>
    </row>
    <row r="129" spans="1:3" x14ac:dyDescent="0.35">
      <c r="A129" s="8">
        <v>44197</v>
      </c>
      <c r="B129" s="11">
        <f>IF(VLOOKUP(A129,'DB Country PMI'!$A:$W,MATCH($A$1,'DB Country PMI'!$A$1:$W$1,),)=0,#N/A,VLOOKUP(A129,'DB Country PMI'!$A:$W,MATCH($A$1,'DB Country PMI'!$A$1:$W$1,),))</f>
        <v>39.5</v>
      </c>
      <c r="C129" s="14">
        <f>Table1346811345671012131415[[#This Row],[PMI]]-B128</f>
        <v>-9.8999999999999986</v>
      </c>
    </row>
    <row r="130" spans="1:3" x14ac:dyDescent="0.35">
      <c r="A130" s="8">
        <v>44228</v>
      </c>
      <c r="B130" s="11">
        <f>IF(VLOOKUP(A130,'DB Country PMI'!$A:$W,MATCH($A$1,'DB Country PMI'!$A$1:$W$1,),)=0,#N/A,VLOOKUP(A130,'DB Country PMI'!$A:$W,MATCH($A$1,'DB Country PMI'!$A$1:$W$1,),))</f>
        <v>49.5</v>
      </c>
      <c r="C130" s="14">
        <f>Table1346811345671012131415[[#This Row],[PMI]]-B129</f>
        <v>10</v>
      </c>
    </row>
    <row r="131" spans="1:3" x14ac:dyDescent="0.35">
      <c r="A131" s="8">
        <v>44256</v>
      </c>
      <c r="B131" s="11">
        <f>IF(VLOOKUP(A131,'DB Country PMI'!$A:$W,MATCH($A$1,'DB Country PMI'!$A$1:$W$1,),)=0,#N/A,VLOOKUP(A131,'DB Country PMI'!$A:$W,MATCH($A$1,'DB Country PMI'!$A$1:$W$1,),))</f>
        <v>56.3</v>
      </c>
      <c r="C131" s="14">
        <f>Table1346811345671012131415[[#This Row],[PMI]]-B130</f>
        <v>6.7999999999999972</v>
      </c>
    </row>
    <row r="132" spans="1:3" x14ac:dyDescent="0.35">
      <c r="A132" s="8">
        <v>44287</v>
      </c>
      <c r="B132" s="11">
        <f>IF(VLOOKUP(A132,'DB Country PMI'!$A:$W,MATCH($A$1,'DB Country PMI'!$A$1:$W$1,),)=0,#N/A,VLOOKUP(A132,'DB Country PMI'!$A:$W,MATCH($A$1,'DB Country PMI'!$A$1:$W$1,),))</f>
        <v>60.1</v>
      </c>
      <c r="C132" s="14">
        <f>Table1346811345671012131415[[#This Row],[PMI]]-B131</f>
        <v>3.8000000000000043</v>
      </c>
    </row>
    <row r="133" spans="1:3" x14ac:dyDescent="0.35">
      <c r="A133" s="8">
        <v>44317</v>
      </c>
      <c r="B133" s="11">
        <f>IF(VLOOKUP(A133,'DB Country PMI'!$A:$W,MATCH($A$1,'DB Country PMI'!$A$1:$W$1,),)=0,#N/A,VLOOKUP(A133,'DB Country PMI'!$A:$W,MATCH($A$1,'DB Country PMI'!$A$1:$W$1,),))</f>
        <v>62.9</v>
      </c>
      <c r="C133" s="14">
        <f>Table1346811345671012131415[[#This Row],[PMI]]-B132</f>
        <v>2.7999999999999972</v>
      </c>
    </row>
    <row r="134" spans="1:3" x14ac:dyDescent="0.35">
      <c r="A134" s="8">
        <v>44348</v>
      </c>
      <c r="B134" s="11">
        <f>IF(VLOOKUP(A134,'DB Country PMI'!$A:$W,MATCH($A$1,'DB Country PMI'!$A$1:$W$1,),)=0,#N/A,VLOOKUP(A134,'DB Country PMI'!$A:$W,MATCH($A$1,'DB Country PMI'!$A$1:$W$1,),))</f>
        <v>62.4</v>
      </c>
      <c r="C134" s="14">
        <f>Table1346811345671012131415[[#This Row],[PMI]]-B133</f>
        <v>-0.5</v>
      </c>
    </row>
    <row r="135" spans="1:3" x14ac:dyDescent="0.35">
      <c r="A135" s="8">
        <v>44378</v>
      </c>
      <c r="B135" s="11">
        <f>IF(VLOOKUP(A135,'DB Country PMI'!$A:$W,MATCH($A$1,'DB Country PMI'!$A$1:$W$1,),)=0,#N/A,VLOOKUP(A135,'DB Country PMI'!$A:$W,MATCH($A$1,'DB Country PMI'!$A$1:$W$1,),))</f>
        <v>59.6</v>
      </c>
      <c r="C135" s="14">
        <f>Table1346811345671012131415[[#This Row],[PMI]]-B134</f>
        <v>-2.7999999999999972</v>
      </c>
    </row>
    <row r="136" spans="1:3" x14ac:dyDescent="0.35">
      <c r="A136" s="8">
        <v>44409</v>
      </c>
      <c r="B136" s="11">
        <f>IF(VLOOKUP(A136,'DB Country PMI'!$A:$W,MATCH($A$1,'DB Country PMI'!$A$1:$W$1,),)=0,#N/A,VLOOKUP(A136,'DB Country PMI'!$A:$W,MATCH($A$1,'DB Country PMI'!$A$1:$W$1,),))</f>
        <v>55</v>
      </c>
      <c r="C136" s="14">
        <f>Table1346811345671012131415[[#This Row],[PMI]]-B135</f>
        <v>-4.6000000000000014</v>
      </c>
    </row>
    <row r="137" spans="1:3" x14ac:dyDescent="0.35">
      <c r="A137" s="8">
        <v>44440</v>
      </c>
      <c r="B137" s="11">
        <f>IF(VLOOKUP(A137,'DB Country PMI'!$A:$W,MATCH($A$1,'DB Country PMI'!$A$1:$W$1,),)=0,#N/A,VLOOKUP(A137,'DB Country PMI'!$A:$W,MATCH($A$1,'DB Country PMI'!$A$1:$W$1,),))</f>
        <v>55.4</v>
      </c>
      <c r="C137" s="14">
        <f>Table1346811345671012131415[[#This Row],[PMI]]-B136</f>
        <v>0.39999999999999858</v>
      </c>
    </row>
    <row r="138" spans="1:3" x14ac:dyDescent="0.35">
      <c r="A138" s="8">
        <v>44470</v>
      </c>
      <c r="B138" s="11">
        <f>IF(VLOOKUP(A138,'DB Country PMI'!$A:$W,MATCH($A$1,'DB Country PMI'!$A$1:$W$1,),)=0,#N/A,VLOOKUP(A138,'DB Country PMI'!$A:$W,MATCH($A$1,'DB Country PMI'!$A$1:$W$1,),))</f>
        <v>59.1</v>
      </c>
      <c r="C138" s="14">
        <f>Table1346811345671012131415[[#This Row],[PMI]]-B137</f>
        <v>3.7000000000000028</v>
      </c>
    </row>
    <row r="139" spans="1:3" x14ac:dyDescent="0.35">
      <c r="A139" s="8">
        <v>44501</v>
      </c>
      <c r="B139" s="11">
        <f>IF(VLOOKUP(A139,'DB Country PMI'!$A:$W,MATCH($A$1,'DB Country PMI'!$A$1:$W$1,),)=0,#N/A,VLOOKUP(A139,'DB Country PMI'!$A:$W,MATCH($A$1,'DB Country PMI'!$A$1:$W$1,),))</f>
        <v>58.5</v>
      </c>
      <c r="C139" s="14">
        <f>Table1346811345671012131415[[#This Row],[PMI]]-B138</f>
        <v>-0.60000000000000142</v>
      </c>
    </row>
    <row r="140" spans="1:3" x14ac:dyDescent="0.35">
      <c r="A140" s="8">
        <v>44531</v>
      </c>
      <c r="B140" s="11">
        <f>IF(VLOOKUP(A140,'DB Country PMI'!$A:$W,MATCH($A$1,'DB Country PMI'!$A$1:$W$1,),)=0,#N/A,VLOOKUP(A140,'DB Country PMI'!$A:$W,MATCH($A$1,'DB Country PMI'!$A$1:$W$1,),))</f>
        <v>53.6</v>
      </c>
      <c r="C140" s="14">
        <f>Table1346811345671012131415[[#This Row],[PMI]]-B139</f>
        <v>-4.8999999999999986</v>
      </c>
    </row>
    <row r="141" spans="1:3" x14ac:dyDescent="0.35">
      <c r="A141" s="8">
        <v>44562</v>
      </c>
      <c r="B141" s="11">
        <f>IF(VLOOKUP(A141,'DB Country PMI'!$A:$W,MATCH($A$1,'DB Country PMI'!$A$1:$W$1,),)=0,#N/A,VLOOKUP(A141,'DB Country PMI'!$A:$W,MATCH($A$1,'DB Country PMI'!$A$1:$W$1,),))</f>
        <v>54.1</v>
      </c>
      <c r="C141" s="14">
        <f>Table1346811345671012131415[[#This Row],[PMI]]-B140</f>
        <v>0.5</v>
      </c>
    </row>
    <row r="142" spans="1:3" x14ac:dyDescent="0.35">
      <c r="A142" s="8">
        <v>44593</v>
      </c>
      <c r="B142" s="11">
        <f>IF(VLOOKUP(A142,'DB Country PMI'!$A:$W,MATCH($A$1,'DB Country PMI'!$A$1:$W$1,),)=0,#N/A,VLOOKUP(A142,'DB Country PMI'!$A:$W,MATCH($A$1,'DB Country PMI'!$A$1:$W$1,),))</f>
        <v>60.8</v>
      </c>
      <c r="C142" s="14">
        <f>Table1346811345671012131415[[#This Row],[PMI]]-B141</f>
        <v>6.6999999999999957</v>
      </c>
    </row>
    <row r="143" spans="1:3" x14ac:dyDescent="0.35">
      <c r="A143" s="8">
        <v>44621</v>
      </c>
      <c r="B143" s="11">
        <f>IF(VLOOKUP(A143,'DB Country PMI'!$A:$W,MATCH($A$1,'DB Country PMI'!$A$1:$W$1,),)=0,#N/A,VLOOKUP(A143,'DB Country PMI'!$A:$W,MATCH($A$1,'DB Country PMI'!$A$1:$W$1,),))</f>
        <v>61</v>
      </c>
      <c r="C143" s="14">
        <f>Table1346811345671012131415[[#This Row],[PMI]]-B142</f>
        <v>0.20000000000000284</v>
      </c>
    </row>
    <row r="144" spans="1:3" x14ac:dyDescent="0.35">
      <c r="A144" s="8">
        <v>44652</v>
      </c>
      <c r="B144" s="11">
        <f>IF(VLOOKUP(A144,'DB Country PMI'!$A:$W,MATCH($A$1,'DB Country PMI'!$A$1:$W$1,),)=0,#N/A,VLOOKUP(A144,'DB Country PMI'!$A:$W,MATCH($A$1,'DB Country PMI'!$A$1:$W$1,),))</f>
        <v>58.3</v>
      </c>
      <c r="C144" s="14">
        <f>Table1346811345671012131415[[#This Row],[PMI]]-B143</f>
        <v>-2.7000000000000028</v>
      </c>
    </row>
    <row r="145" spans="1:3" x14ac:dyDescent="0.35">
      <c r="A145" s="8">
        <v>44682</v>
      </c>
      <c r="B145" s="11">
        <f>IF(VLOOKUP(A145,'DB Country PMI'!$A:$W,MATCH($A$1,'DB Country PMI'!$A$1:$W$1,),)=0,#N/A,VLOOKUP(A145,'DB Country PMI'!$A:$W,MATCH($A$1,'DB Country PMI'!$A$1:$W$1,),))</f>
        <v>51.8</v>
      </c>
      <c r="C145" s="14">
        <f>Table1346811345671012131415[[#This Row],[PMI]]-B144</f>
        <v>-6.5</v>
      </c>
    </row>
    <row r="146" spans="1:3" x14ac:dyDescent="0.35">
      <c r="A146" s="8">
        <v>44713</v>
      </c>
      <c r="B146" s="11">
        <f>IF(VLOOKUP(A146,'DB Country PMI'!$A:$W,MATCH($A$1,'DB Country PMI'!$A$1:$W$1,),)=0,#N/A,VLOOKUP(A146,'DB Country PMI'!$A:$W,MATCH($A$1,'DB Country PMI'!$A$1:$W$1,),))</f>
        <v>53.4</v>
      </c>
      <c r="C146" s="14">
        <f>Table1346811345671012131415[[#This Row],[PMI]]-B145</f>
        <v>1.6000000000000014</v>
      </c>
    </row>
    <row r="147" spans="1:3" x14ac:dyDescent="0.35">
      <c r="A147" s="8">
        <v>44743</v>
      </c>
      <c r="B147" s="11">
        <f>IF(VLOOKUP(A147,'DB Country PMI'!$A:$W,MATCH($A$1,'DB Country PMI'!$A$1:$W$1,),)=0,#N/A,VLOOKUP(A147,'DB Country PMI'!$A:$W,MATCH($A$1,'DB Country PMI'!$A$1:$W$1,),))</f>
        <v>52.6</v>
      </c>
      <c r="C147" s="14">
        <f>Table1346811345671012131415[[#This Row],[PMI]]-B146</f>
        <v>-0.79999999999999716</v>
      </c>
    </row>
    <row r="148" spans="1:3" x14ac:dyDescent="0.35">
      <c r="A148" s="8">
        <v>44774</v>
      </c>
      <c r="B148" s="11">
        <f>IF(VLOOKUP(A148,'DB Country PMI'!$A:$W,MATCH($A$1,'DB Country PMI'!$A$1:$W$1,),)=0,#N/A,VLOOKUP(A148,'DB Country PMI'!$A:$W,MATCH($A$1,'DB Country PMI'!$A$1:$W$1,),))</f>
        <v>50.9</v>
      </c>
      <c r="C148" s="14">
        <f>Table1346811345671012131415[[#This Row],[PMI]]-B147</f>
        <v>-1.7000000000000028</v>
      </c>
    </row>
    <row r="149" spans="1:3" x14ac:dyDescent="0.35">
      <c r="A149" s="8">
        <v>44805</v>
      </c>
      <c r="B149" s="11">
        <f>IF(VLOOKUP(A149,'DB Country PMI'!$A:$W,MATCH($A$1,'DB Country PMI'!$A$1:$W$1,),)=0,#N/A,VLOOKUP(A149,'DB Country PMI'!$A:$W,MATCH($A$1,'DB Country PMI'!$A$1:$W$1,),))</f>
        <v>50</v>
      </c>
      <c r="C149" s="14">
        <f>Table1346811345671012131415[[#This Row],[PMI]]-B148</f>
        <v>-0.89999999999999858</v>
      </c>
    </row>
    <row r="150" spans="1:3" x14ac:dyDescent="0.35">
      <c r="A150" s="8">
        <v>44835</v>
      </c>
      <c r="B150" s="11">
        <f>IF(VLOOKUP(A150,'DB Country PMI'!$A:$W,MATCH($A$1,'DB Country PMI'!$A$1:$W$1,),)=0,#N/A,VLOOKUP(A150,'DB Country PMI'!$A:$W,MATCH($A$1,'DB Country PMI'!$A$1:$W$1,),))</f>
        <v>48.8</v>
      </c>
      <c r="C150" s="14">
        <f>Table1346811345671012131415[[#This Row],[PMI]]-B149</f>
        <v>-1.2000000000000028</v>
      </c>
    </row>
    <row r="151" spans="1:3" x14ac:dyDescent="0.35">
      <c r="A151" s="8">
        <v>44866</v>
      </c>
      <c r="B151" s="11">
        <f>IF(VLOOKUP(A151,'DB Country PMI'!$A:$W,MATCH($A$1,'DB Country PMI'!$A$1:$W$1,),)=0,#N/A,VLOOKUP(A151,'DB Country PMI'!$A:$W,MATCH($A$1,'DB Country PMI'!$A$1:$W$1,),))</f>
        <v>48.8</v>
      </c>
      <c r="C151" s="14">
        <f>Table1346811345671012131415[[#This Row],[PMI]]-B150</f>
        <v>0</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1"/>
  <sheetViews>
    <sheetView zoomScale="160" zoomScaleNormal="160" workbookViewId="0">
      <pane ySplit="5" topLeftCell="A141" activePane="bottomLeft" state="frozen"/>
      <selection pane="bottomLeft" activeCell="A135" sqref="A135: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30</v>
      </c>
      <c r="J1" s="47" t="s">
        <v>62</v>
      </c>
    </row>
    <row r="2" spans="1:10" x14ac:dyDescent="0.35">
      <c r="J2" s="47" t="s">
        <v>69</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58.4</v>
      </c>
      <c r="C6" s="11"/>
    </row>
    <row r="7" spans="1:10" x14ac:dyDescent="0.35">
      <c r="A7" s="8">
        <v>40483</v>
      </c>
      <c r="B7" s="11">
        <f>IF(VLOOKUP(A7,'DB Country PMI'!$A:$W,MATCH($A$1,'DB Country PMI'!$A$1:$W$1,),)=0,#N/A,VLOOKUP(A7,'DB Country PMI'!$A:$W,MATCH($A$1,'DB Country PMI'!$A$1:$W$1,),))</f>
        <v>61.3</v>
      </c>
      <c r="C7" s="14">
        <f>Table134681134567[[#This Row],[PMI]]-B6</f>
        <v>2.8999999999999986</v>
      </c>
    </row>
    <row r="8" spans="1:10" x14ac:dyDescent="0.35">
      <c r="A8" s="8">
        <v>40513</v>
      </c>
      <c r="B8" s="11">
        <f>IF(VLOOKUP(A8,'DB Country PMI'!$A:$W,MATCH($A$1,'DB Country PMI'!$A$1:$W$1,),)=0,#N/A,VLOOKUP(A8,'DB Country PMI'!$A:$W,MATCH($A$1,'DB Country PMI'!$A$1:$W$1,),))</f>
        <v>62.1</v>
      </c>
      <c r="C8" s="14">
        <f>Table134681134567[[#This Row],[PMI]]-B7</f>
        <v>0.80000000000000426</v>
      </c>
    </row>
    <row r="9" spans="1:10" x14ac:dyDescent="0.35">
      <c r="A9" s="8">
        <v>40544</v>
      </c>
      <c r="B9" s="11">
        <f>IF(VLOOKUP(A9,'DB Country PMI'!$A:$W,MATCH($A$1,'DB Country PMI'!$A$1:$W$1,),)=0,#N/A,VLOOKUP(A9,'DB Country PMI'!$A:$W,MATCH($A$1,'DB Country PMI'!$A$1:$W$1,),))</f>
        <v>59.4</v>
      </c>
      <c r="C9" s="14">
        <f>Table134681134567[[#This Row],[PMI]]-B8</f>
        <v>-2.7000000000000028</v>
      </c>
    </row>
    <row r="10" spans="1:10" x14ac:dyDescent="0.35">
      <c r="A10" s="8">
        <v>40575</v>
      </c>
      <c r="B10" s="11">
        <f>IF(VLOOKUP(A10,'DB Country PMI'!$A:$W,MATCH($A$1,'DB Country PMI'!$A$1:$W$1,),)=0,#N/A,VLOOKUP(A10,'DB Country PMI'!$A:$W,MATCH($A$1,'DB Country PMI'!$A$1:$W$1,),))</f>
        <v>61</v>
      </c>
      <c r="C10" s="14">
        <f>Table134681134567[[#This Row],[PMI]]-B9</f>
        <v>1.6000000000000014</v>
      </c>
    </row>
    <row r="11" spans="1:10" x14ac:dyDescent="0.35">
      <c r="A11" s="8">
        <v>40603</v>
      </c>
      <c r="B11" s="11">
        <f>IF(VLOOKUP(A11,'DB Country PMI'!$A:$W,MATCH($A$1,'DB Country PMI'!$A$1:$W$1,),)=0,#N/A,VLOOKUP(A11,'DB Country PMI'!$A:$W,MATCH($A$1,'DB Country PMI'!$A$1:$W$1,),))</f>
        <v>60</v>
      </c>
      <c r="C11" s="14">
        <f>Table134681134567[[#This Row],[PMI]]-B10</f>
        <v>-1</v>
      </c>
    </row>
    <row r="12" spans="1:10" x14ac:dyDescent="0.35">
      <c r="A12" s="8">
        <v>40634</v>
      </c>
      <c r="B12" s="11">
        <f>IF(VLOOKUP(A12,'DB Country PMI'!$A:$W,MATCH($A$1,'DB Country PMI'!$A$1:$W$1,),)=0,#N/A,VLOOKUP(A12,'DB Country PMI'!$A:$W,MATCH($A$1,'DB Country PMI'!$A$1:$W$1,),))</f>
        <v>59.2</v>
      </c>
      <c r="C12" s="14">
        <f>Table134681134567[[#This Row],[PMI]]-B11</f>
        <v>-0.79999999999999716</v>
      </c>
    </row>
    <row r="13" spans="1:10" x14ac:dyDescent="0.35">
      <c r="A13" s="8">
        <v>40664</v>
      </c>
      <c r="B13" s="11">
        <f>IF(VLOOKUP(A13,'DB Country PMI'!$A:$W,MATCH($A$1,'DB Country PMI'!$A$1:$W$1,),)=0,#N/A,VLOOKUP(A13,'DB Country PMI'!$A:$W,MATCH($A$1,'DB Country PMI'!$A$1:$W$1,),))</f>
        <v>57.7</v>
      </c>
      <c r="C13" s="14">
        <f>Table134681134567[[#This Row],[PMI]]-B12</f>
        <v>-1.5</v>
      </c>
    </row>
    <row r="14" spans="1:10" x14ac:dyDescent="0.35">
      <c r="A14" s="8">
        <v>40695</v>
      </c>
      <c r="B14" s="11">
        <f>IF(VLOOKUP(A14,'DB Country PMI'!$A:$W,MATCH($A$1,'DB Country PMI'!$A$1:$W$1,),)=0,#N/A,VLOOKUP(A14,'DB Country PMI'!$A:$W,MATCH($A$1,'DB Country PMI'!$A$1:$W$1,),))</f>
        <v>56.1</v>
      </c>
      <c r="C14" s="14">
        <f>Table134681134567[[#This Row],[PMI]]-B13</f>
        <v>-1.6000000000000014</v>
      </c>
    </row>
    <row r="15" spans="1:10" x14ac:dyDescent="0.35">
      <c r="A15" s="8">
        <v>40725</v>
      </c>
      <c r="B15" s="11">
        <f>IF(VLOOKUP(A15,'DB Country PMI'!$A:$W,MATCH($A$1,'DB Country PMI'!$A$1:$W$1,),)=0,#N/A,VLOOKUP(A15,'DB Country PMI'!$A:$W,MATCH($A$1,'DB Country PMI'!$A$1:$W$1,),))</f>
        <v>58.2</v>
      </c>
      <c r="C15" s="14">
        <f>Table134681134567[[#This Row],[PMI]]-B14</f>
        <v>2.1000000000000014</v>
      </c>
    </row>
    <row r="16" spans="1:10" x14ac:dyDescent="0.35">
      <c r="A16" s="8">
        <v>40756</v>
      </c>
      <c r="B16" s="11">
        <f>IF(VLOOKUP(A16,'DB Country PMI'!$A:$W,MATCH($A$1,'DB Country PMI'!$A$1:$W$1,),)=0,#N/A,VLOOKUP(A16,'DB Country PMI'!$A:$W,MATCH($A$1,'DB Country PMI'!$A$1:$W$1,),))</f>
        <v>56.7</v>
      </c>
      <c r="C16" s="14">
        <f>Table134681134567[[#This Row],[PMI]]-B15</f>
        <v>-1.5</v>
      </c>
    </row>
    <row r="17" spans="1:3" x14ac:dyDescent="0.35">
      <c r="A17" s="8">
        <v>40787</v>
      </c>
      <c r="B17" s="11">
        <f>IF(VLOOKUP(A17,'DB Country PMI'!$A:$W,MATCH($A$1,'DB Country PMI'!$A$1:$W$1,),)=0,#N/A,VLOOKUP(A17,'DB Country PMI'!$A:$W,MATCH($A$1,'DB Country PMI'!$A$1:$W$1,),))</f>
        <v>49.8</v>
      </c>
      <c r="C17" s="14">
        <f>Table134681134567[[#This Row],[PMI]]-B16</f>
        <v>-6.9000000000000057</v>
      </c>
    </row>
    <row r="18" spans="1:3" x14ac:dyDescent="0.35">
      <c r="A18" s="8">
        <v>40817</v>
      </c>
      <c r="B18" s="11">
        <f>IF(VLOOKUP(A18,'DB Country PMI'!$A:$W,MATCH($A$1,'DB Country PMI'!$A$1:$W$1,),)=0,#N/A,VLOOKUP(A18,'DB Country PMI'!$A:$W,MATCH($A$1,'DB Country PMI'!$A$1:$W$1,),))</f>
        <v>49.1</v>
      </c>
      <c r="C18" s="14">
        <f>Table134681134567[[#This Row],[PMI]]-B17</f>
        <v>-0.69999999999999574</v>
      </c>
    </row>
    <row r="19" spans="1:3" x14ac:dyDescent="0.35">
      <c r="A19" s="8">
        <v>40848</v>
      </c>
      <c r="B19" s="11">
        <f>IF(VLOOKUP(A19,'DB Country PMI'!$A:$W,MATCH($A$1,'DB Country PMI'!$A$1:$W$1,),)=0,#N/A,VLOOKUP(A19,'DB Country PMI'!$A:$W,MATCH($A$1,'DB Country PMI'!$A$1:$W$1,),))</f>
        <v>53.2</v>
      </c>
      <c r="C19" s="14">
        <f>Table134681134567[[#This Row],[PMI]]-B18</f>
        <v>4.1000000000000014</v>
      </c>
    </row>
    <row r="20" spans="1:3" x14ac:dyDescent="0.35">
      <c r="A20" s="8">
        <v>40878</v>
      </c>
      <c r="B20" s="11">
        <f>IF(VLOOKUP(A20,'DB Country PMI'!$A:$W,MATCH($A$1,'DB Country PMI'!$A$1:$W$1,),)=0,#N/A,VLOOKUP(A20,'DB Country PMI'!$A:$W,MATCH($A$1,'DB Country PMI'!$A$1:$W$1,),))</f>
        <v>54.2</v>
      </c>
      <c r="C20" s="14">
        <f>Table134681134567[[#This Row],[PMI]]-B19</f>
        <v>1</v>
      </c>
    </row>
    <row r="21" spans="1:3" x14ac:dyDescent="0.35">
      <c r="A21" s="8">
        <v>40909</v>
      </c>
      <c r="B21" s="11">
        <f>IF(VLOOKUP(A21,'DB Country PMI'!$A:$W,MATCH($A$1,'DB Country PMI'!$A$1:$W$1,),)=0,#N/A,VLOOKUP(A21,'DB Country PMI'!$A:$W,MATCH($A$1,'DB Country PMI'!$A$1:$W$1,),))</f>
        <v>55.1</v>
      </c>
      <c r="C21" s="14">
        <f>Table134681134567[[#This Row],[PMI]]-B20</f>
        <v>0.89999999999999858</v>
      </c>
    </row>
    <row r="22" spans="1:3" x14ac:dyDescent="0.35">
      <c r="A22" s="8">
        <v>40940</v>
      </c>
      <c r="B22" s="11">
        <f>IF(VLOOKUP(A22,'DB Country PMI'!$A:$W,MATCH($A$1,'DB Country PMI'!$A$1:$W$1,),)=0,#N/A,VLOOKUP(A22,'DB Country PMI'!$A:$W,MATCH($A$1,'DB Country PMI'!$A$1:$W$1,),))</f>
        <v>53.4</v>
      </c>
      <c r="C22" s="14">
        <f>Table134681134567[[#This Row],[PMI]]-B21</f>
        <v>-1.7000000000000028</v>
      </c>
    </row>
    <row r="23" spans="1:3" x14ac:dyDescent="0.35">
      <c r="A23" s="8">
        <v>40969</v>
      </c>
      <c r="B23" s="11">
        <f>IF(VLOOKUP(A23,'DB Country PMI'!$A:$W,MATCH($A$1,'DB Country PMI'!$A$1:$W$1,),)=0,#N/A,VLOOKUP(A23,'DB Country PMI'!$A:$W,MATCH($A$1,'DB Country PMI'!$A$1:$W$1,),))</f>
        <v>54.1</v>
      </c>
      <c r="C23" s="14">
        <f>Table134681134567[[#This Row],[PMI]]-B22</f>
        <v>0.70000000000000284</v>
      </c>
    </row>
    <row r="24" spans="1:3" x14ac:dyDescent="0.35">
      <c r="A24" s="8">
        <v>41000</v>
      </c>
      <c r="B24" s="11">
        <f>IF(VLOOKUP(A24,'DB Country PMI'!$A:$W,MATCH($A$1,'DB Country PMI'!$A$1:$W$1,),)=0,#N/A,VLOOKUP(A24,'DB Country PMI'!$A:$W,MATCH($A$1,'DB Country PMI'!$A$1:$W$1,),))</f>
        <v>52.3</v>
      </c>
      <c r="C24" s="14">
        <f>Table134681134567[[#This Row],[PMI]]-B23</f>
        <v>-1.8000000000000043</v>
      </c>
    </row>
    <row r="25" spans="1:3" x14ac:dyDescent="0.35">
      <c r="A25" s="8">
        <v>41030</v>
      </c>
      <c r="B25" s="11">
        <f>IF(VLOOKUP(A25,'DB Country PMI'!$A:$W,MATCH($A$1,'DB Country PMI'!$A$1:$W$1,),)=0,#N/A,VLOOKUP(A25,'DB Country PMI'!$A:$W,MATCH($A$1,'DB Country PMI'!$A$1:$W$1,),))</f>
        <v>52.8</v>
      </c>
      <c r="C25" s="14">
        <f>Table134681134567[[#This Row],[PMI]]-B24</f>
        <v>0.5</v>
      </c>
    </row>
    <row r="26" spans="1:3" x14ac:dyDescent="0.35">
      <c r="A26" s="8">
        <v>41061</v>
      </c>
      <c r="B26" s="11">
        <f>IF(VLOOKUP(A26,'DB Country PMI'!$A:$W,MATCH($A$1,'DB Country PMI'!$A$1:$W$1,),)=0,#N/A,VLOOKUP(A26,'DB Country PMI'!$A:$W,MATCH($A$1,'DB Country PMI'!$A$1:$W$1,),))</f>
        <v>54.7</v>
      </c>
      <c r="C26" s="14">
        <f>Table134681134567[[#This Row],[PMI]]-B25</f>
        <v>1.9000000000000057</v>
      </c>
    </row>
    <row r="27" spans="1:3" x14ac:dyDescent="0.35">
      <c r="A27" s="8">
        <v>41091</v>
      </c>
      <c r="B27" s="11">
        <f>IF(VLOOKUP(A27,'DB Country PMI'!$A:$W,MATCH($A$1,'DB Country PMI'!$A$1:$W$1,),)=0,#N/A,VLOOKUP(A27,'DB Country PMI'!$A:$W,MATCH($A$1,'DB Country PMI'!$A$1:$W$1,),))</f>
        <v>54.3</v>
      </c>
      <c r="C27" s="14">
        <f>Table134681134567[[#This Row],[PMI]]-B26</f>
        <v>-0.40000000000000568</v>
      </c>
    </row>
    <row r="28" spans="1:3" x14ac:dyDescent="0.35">
      <c r="A28" s="8">
        <v>41122</v>
      </c>
      <c r="B28" s="11">
        <f>IF(VLOOKUP(A28,'DB Country PMI'!$A:$W,MATCH($A$1,'DB Country PMI'!$A$1:$W$1,),)=0,#N/A,VLOOKUP(A28,'DB Country PMI'!$A:$W,MATCH($A$1,'DB Country PMI'!$A$1:$W$1,),))</f>
        <v>54.2</v>
      </c>
      <c r="C28" s="14">
        <f>Table134681134567[[#This Row],[PMI]]-B27</f>
        <v>-9.9999999999994316E-2</v>
      </c>
    </row>
    <row r="29" spans="1:3" x14ac:dyDescent="0.35">
      <c r="A29" s="8">
        <v>41153</v>
      </c>
      <c r="B29" s="11">
        <f>IF(VLOOKUP(A29,'DB Country PMI'!$A:$W,MATCH($A$1,'DB Country PMI'!$A$1:$W$1,),)=0,#N/A,VLOOKUP(A29,'DB Country PMI'!$A:$W,MATCH($A$1,'DB Country PMI'!$A$1:$W$1,),))</f>
        <v>55</v>
      </c>
      <c r="C29" s="14">
        <f>Table134681134567[[#This Row],[PMI]]-B28</f>
        <v>0.79999999999999716</v>
      </c>
    </row>
    <row r="30" spans="1:3" x14ac:dyDescent="0.35">
      <c r="A30" s="8">
        <v>41183</v>
      </c>
      <c r="B30" s="11">
        <f>IF(VLOOKUP(A30,'DB Country PMI'!$A:$W,MATCH($A$1,'DB Country PMI'!$A$1:$W$1,),)=0,#N/A,VLOOKUP(A30,'DB Country PMI'!$A:$W,MATCH($A$1,'DB Country PMI'!$A$1:$W$1,),))</f>
        <v>55.8</v>
      </c>
      <c r="C30" s="14">
        <f>Table134681134567[[#This Row],[PMI]]-B29</f>
        <v>0.79999999999999716</v>
      </c>
    </row>
    <row r="31" spans="1:3" x14ac:dyDescent="0.35">
      <c r="A31" s="8">
        <v>41214</v>
      </c>
      <c r="B31" s="11">
        <f>IF(VLOOKUP(A31,'DB Country PMI'!$A:$W,MATCH($A$1,'DB Country PMI'!$A$1:$W$1,),)=0,#N/A,VLOOKUP(A31,'DB Country PMI'!$A:$W,MATCH($A$1,'DB Country PMI'!$A$1:$W$1,),))</f>
        <v>53.8</v>
      </c>
      <c r="C31" s="14">
        <f>Table134681134567[[#This Row],[PMI]]-B30</f>
        <v>-2</v>
      </c>
    </row>
    <row r="32" spans="1:3" x14ac:dyDescent="0.35">
      <c r="A32" s="8">
        <v>41244</v>
      </c>
      <c r="B32" s="11">
        <f>IF(VLOOKUP(A32,'DB Country PMI'!$A:$W,MATCH($A$1,'DB Country PMI'!$A$1:$W$1,),)=0,#N/A,VLOOKUP(A32,'DB Country PMI'!$A:$W,MATCH($A$1,'DB Country PMI'!$A$1:$W$1,),))</f>
        <v>52.1</v>
      </c>
      <c r="C32" s="14">
        <f>Table134681134567[[#This Row],[PMI]]-B31</f>
        <v>-1.6999999999999957</v>
      </c>
    </row>
    <row r="33" spans="1:3" x14ac:dyDescent="0.35">
      <c r="A33" s="8">
        <v>41275</v>
      </c>
      <c r="B33" s="11">
        <f>IF(VLOOKUP(A33,'DB Country PMI'!$A:$W,MATCH($A$1,'DB Country PMI'!$A$1:$W$1,),)=0,#N/A,VLOOKUP(A33,'DB Country PMI'!$A:$W,MATCH($A$1,'DB Country PMI'!$A$1:$W$1,),))</f>
        <v>57.5</v>
      </c>
      <c r="C33" s="14">
        <f>Table134681134567[[#This Row],[PMI]]-B32</f>
        <v>5.3999999999999986</v>
      </c>
    </row>
    <row r="34" spans="1:3" x14ac:dyDescent="0.35">
      <c r="A34" s="8">
        <v>41306</v>
      </c>
      <c r="B34" s="11">
        <f>IF(VLOOKUP(A34,'DB Country PMI'!$A:$W,MATCH($A$1,'DB Country PMI'!$A$1:$W$1,),)=0,#N/A,VLOOKUP(A34,'DB Country PMI'!$A:$W,MATCH($A$1,'DB Country PMI'!$A$1:$W$1,),))</f>
        <v>54.2</v>
      </c>
      <c r="C34" s="14">
        <f>Table134681134567[[#This Row],[PMI]]-B33</f>
        <v>-3.2999999999999972</v>
      </c>
    </row>
    <row r="35" spans="1:3" x14ac:dyDescent="0.35">
      <c r="A35" s="8">
        <v>41334</v>
      </c>
      <c r="B35" s="11">
        <f>IF(VLOOKUP(A35,'DB Country PMI'!$A:$W,MATCH($A$1,'DB Country PMI'!$A$1:$W$1,),)=0,#N/A,VLOOKUP(A35,'DB Country PMI'!$A:$W,MATCH($A$1,'DB Country PMI'!$A$1:$W$1,),))</f>
        <v>51.4</v>
      </c>
      <c r="C35" s="14">
        <f>Table134681134567[[#This Row],[PMI]]-B34</f>
        <v>-2.8000000000000043</v>
      </c>
    </row>
    <row r="36" spans="1:3" x14ac:dyDescent="0.35">
      <c r="A36" s="8">
        <v>41365</v>
      </c>
      <c r="B36" s="11">
        <f>IF(VLOOKUP(A36,'DB Country PMI'!$A:$W,MATCH($A$1,'DB Country PMI'!$A$1:$W$1,),)=0,#N/A,VLOOKUP(A36,'DB Country PMI'!$A:$W,MATCH($A$1,'DB Country PMI'!$A$1:$W$1,),))</f>
        <v>50.7</v>
      </c>
      <c r="C36" s="14">
        <f>Table134681134567[[#This Row],[PMI]]-B35</f>
        <v>-0.69999999999999574</v>
      </c>
    </row>
    <row r="37" spans="1:3" x14ac:dyDescent="0.35">
      <c r="A37" s="8">
        <v>41395</v>
      </c>
      <c r="B37" s="11">
        <f>IF(VLOOKUP(A37,'DB Country PMI'!$A:$W,MATCH($A$1,'DB Country PMI'!$A$1:$W$1,),)=0,#N/A,VLOOKUP(A37,'DB Country PMI'!$A:$W,MATCH($A$1,'DB Country PMI'!$A$1:$W$1,),))</f>
        <v>53.6</v>
      </c>
      <c r="C37" s="14">
        <f>Table134681134567[[#This Row],[PMI]]-B36</f>
        <v>2.8999999999999986</v>
      </c>
    </row>
    <row r="38" spans="1:3" x14ac:dyDescent="0.35">
      <c r="A38" s="8">
        <v>41426</v>
      </c>
      <c r="B38" s="11">
        <f>IF(VLOOKUP(A38,'DB Country PMI'!$A:$W,MATCH($A$1,'DB Country PMI'!$A$1:$W$1,),)=0,#N/A,VLOOKUP(A38,'DB Country PMI'!$A:$W,MATCH($A$1,'DB Country PMI'!$A$1:$W$1,),))</f>
        <v>51.7</v>
      </c>
      <c r="C38" s="14">
        <f>Table134681134567[[#This Row],[PMI]]-B37</f>
        <v>-1.8999999999999986</v>
      </c>
    </row>
    <row r="39" spans="1:3" x14ac:dyDescent="0.35">
      <c r="A39" s="8">
        <v>41456</v>
      </c>
      <c r="B39" s="11">
        <f>IF(VLOOKUP(A39,'DB Country PMI'!$A:$W,MATCH($A$1,'DB Country PMI'!$A$1:$W$1,),)=0,#N/A,VLOOKUP(A39,'DB Country PMI'!$A:$W,MATCH($A$1,'DB Country PMI'!$A$1:$W$1,),))</f>
        <v>47.9</v>
      </c>
      <c r="C39" s="14">
        <f>Table134681134567[[#This Row],[PMI]]-B38</f>
        <v>-3.8000000000000043</v>
      </c>
    </row>
    <row r="40" spans="1:3" x14ac:dyDescent="0.35">
      <c r="A40" s="8">
        <v>41487</v>
      </c>
      <c r="B40" s="11">
        <f>IF(VLOOKUP(A40,'DB Country PMI'!$A:$W,MATCH($A$1,'DB Country PMI'!$A$1:$W$1,),)=0,#N/A,VLOOKUP(A40,'DB Country PMI'!$A:$W,MATCH($A$1,'DB Country PMI'!$A$1:$W$1,),))</f>
        <v>47.6</v>
      </c>
      <c r="C40" s="14">
        <f>Table134681134567[[#This Row],[PMI]]-B39</f>
        <v>-0.29999999999999716</v>
      </c>
    </row>
    <row r="41" spans="1:3" x14ac:dyDescent="0.35">
      <c r="A41" s="8">
        <v>41518</v>
      </c>
      <c r="B41" s="11">
        <f>IF(VLOOKUP(A41,'DB Country PMI'!$A:$W,MATCH($A$1,'DB Country PMI'!$A$1:$W$1,),)=0,#N/A,VLOOKUP(A41,'DB Country PMI'!$A:$W,MATCH($A$1,'DB Country PMI'!$A$1:$W$1,),))</f>
        <v>44.6</v>
      </c>
      <c r="C41" s="14">
        <f>Table134681134567[[#This Row],[PMI]]-B40</f>
        <v>-3</v>
      </c>
    </row>
    <row r="42" spans="1:3" x14ac:dyDescent="0.35">
      <c r="A42" s="8">
        <v>41548</v>
      </c>
      <c r="B42" s="11">
        <f>IF(VLOOKUP(A42,'DB Country PMI'!$A:$W,MATCH($A$1,'DB Country PMI'!$A$1:$W$1,),)=0,#N/A,VLOOKUP(A42,'DB Country PMI'!$A:$W,MATCH($A$1,'DB Country PMI'!$A$1:$W$1,),))</f>
        <v>47.1</v>
      </c>
      <c r="C42" s="14">
        <f>Table134681134567[[#This Row],[PMI]]-B41</f>
        <v>2.5</v>
      </c>
    </row>
    <row r="43" spans="1:3" x14ac:dyDescent="0.35">
      <c r="A43" s="8">
        <v>41579</v>
      </c>
      <c r="B43" s="11">
        <f>IF(VLOOKUP(A43,'DB Country PMI'!$A:$W,MATCH($A$1,'DB Country PMI'!$A$1:$W$1,),)=0,#N/A,VLOOKUP(A43,'DB Country PMI'!$A:$W,MATCH($A$1,'DB Country PMI'!$A$1:$W$1,),))</f>
        <v>47.2</v>
      </c>
      <c r="C43" s="14">
        <f>Table134681134567[[#This Row],[PMI]]-B42</f>
        <v>0.10000000000000142</v>
      </c>
    </row>
    <row r="44" spans="1:3" x14ac:dyDescent="0.35">
      <c r="A44" s="8">
        <v>41609</v>
      </c>
      <c r="B44" s="11">
        <f>IF(VLOOKUP(A44,'DB Country PMI'!$A:$W,MATCH($A$1,'DB Country PMI'!$A$1:$W$1,),)=0,#N/A,VLOOKUP(A44,'DB Country PMI'!$A:$W,MATCH($A$1,'DB Country PMI'!$A$1:$W$1,),))</f>
        <v>47.9</v>
      </c>
      <c r="C44" s="14">
        <f>Table134681134567[[#This Row],[PMI]]-B43</f>
        <v>0.69999999999999574</v>
      </c>
    </row>
    <row r="45" spans="1:3" x14ac:dyDescent="0.35">
      <c r="A45" s="8">
        <v>41640</v>
      </c>
      <c r="B45" s="11">
        <f>IF(VLOOKUP(A45,'DB Country PMI'!$A:$W,MATCH($A$1,'DB Country PMI'!$A$1:$W$1,),)=0,#N/A,VLOOKUP(A45,'DB Country PMI'!$A:$W,MATCH($A$1,'DB Country PMI'!$A$1:$W$1,),))</f>
        <v>48.3</v>
      </c>
      <c r="C45" s="14">
        <f>Table134681134567[[#This Row],[PMI]]-B44</f>
        <v>0.39999999999999858</v>
      </c>
    </row>
    <row r="46" spans="1:3" x14ac:dyDescent="0.35">
      <c r="A46" s="8">
        <v>41671</v>
      </c>
      <c r="B46" s="11">
        <f>IF(VLOOKUP(A46,'DB Country PMI'!$A:$W,MATCH($A$1,'DB Country PMI'!$A$1:$W$1,),)=0,#N/A,VLOOKUP(A46,'DB Country PMI'!$A:$W,MATCH($A$1,'DB Country PMI'!$A$1:$W$1,),))</f>
        <v>48.8</v>
      </c>
      <c r="C46" s="14">
        <f>Table134681134567[[#This Row],[PMI]]-B45</f>
        <v>0.5</v>
      </c>
    </row>
    <row r="47" spans="1:3" x14ac:dyDescent="0.35">
      <c r="A47" s="8">
        <v>41699</v>
      </c>
      <c r="B47" s="11">
        <f>IF(VLOOKUP(A47,'DB Country PMI'!$A:$W,MATCH($A$1,'DB Country PMI'!$A$1:$W$1,),)=0,#N/A,VLOOKUP(A47,'DB Country PMI'!$A:$W,MATCH($A$1,'DB Country PMI'!$A$1:$W$1,),))</f>
        <v>47.5</v>
      </c>
      <c r="C47" s="14">
        <f>Table134681134567[[#This Row],[PMI]]-B46</f>
        <v>-1.2999999999999972</v>
      </c>
    </row>
    <row r="48" spans="1:3" x14ac:dyDescent="0.35">
      <c r="A48" s="8">
        <v>41730</v>
      </c>
      <c r="B48" s="11">
        <f>IF(VLOOKUP(A48,'DB Country PMI'!$A:$W,MATCH($A$1,'DB Country PMI'!$A$1:$W$1,),)=0,#N/A,VLOOKUP(A48,'DB Country PMI'!$A:$W,MATCH($A$1,'DB Country PMI'!$A$1:$W$1,),))</f>
        <v>48.5</v>
      </c>
      <c r="C48" s="14">
        <f>Table134681134567[[#This Row],[PMI]]-B47</f>
        <v>1</v>
      </c>
    </row>
    <row r="49" spans="1:3" x14ac:dyDescent="0.35">
      <c r="A49" s="8">
        <v>41760</v>
      </c>
      <c r="B49" s="11">
        <f>IF(VLOOKUP(A49,'DB Country PMI'!$A:$W,MATCH($A$1,'DB Country PMI'!$A$1:$W$1,),)=0,#N/A,VLOOKUP(A49,'DB Country PMI'!$A:$W,MATCH($A$1,'DB Country PMI'!$A$1:$W$1,),))</f>
        <v>50.7</v>
      </c>
      <c r="C49" s="14">
        <f>Table134681134567[[#This Row],[PMI]]-B48</f>
        <v>2.2000000000000028</v>
      </c>
    </row>
    <row r="50" spans="1:3" x14ac:dyDescent="0.35">
      <c r="A50" s="8">
        <v>41791</v>
      </c>
      <c r="B50" s="11">
        <f>IF(VLOOKUP(A50,'DB Country PMI'!$A:$W,MATCH($A$1,'DB Country PMI'!$A$1:$W$1,),)=0,#N/A,VLOOKUP(A50,'DB Country PMI'!$A:$W,MATCH($A$1,'DB Country PMI'!$A$1:$W$1,),))</f>
        <v>54.4</v>
      </c>
      <c r="C50" s="14">
        <f>Table134681134567[[#This Row],[PMI]]-B49</f>
        <v>3.6999999999999957</v>
      </c>
    </row>
    <row r="51" spans="1:3" x14ac:dyDescent="0.35">
      <c r="A51" s="8">
        <v>41821</v>
      </c>
      <c r="B51" s="11">
        <f>IF(VLOOKUP(A51,'DB Country PMI'!$A:$W,MATCH($A$1,'DB Country PMI'!$A$1:$W$1,),)=0,#N/A,VLOOKUP(A51,'DB Country PMI'!$A:$W,MATCH($A$1,'DB Country PMI'!$A$1:$W$1,),))</f>
        <v>52.2</v>
      </c>
      <c r="C51" s="14">
        <f>Table134681134567[[#This Row],[PMI]]-B50</f>
        <v>-2.1999999999999957</v>
      </c>
    </row>
    <row r="52" spans="1:3" x14ac:dyDescent="0.35">
      <c r="A52" s="8">
        <v>41852</v>
      </c>
      <c r="B52" s="11">
        <f>IF(VLOOKUP(A52,'DB Country PMI'!$A:$W,MATCH($A$1,'DB Country PMI'!$A$1:$W$1,),)=0,#N/A,VLOOKUP(A52,'DB Country PMI'!$A:$W,MATCH($A$1,'DB Country PMI'!$A$1:$W$1,),))</f>
        <v>50.6</v>
      </c>
      <c r="C52" s="14">
        <f>Table134681134567[[#This Row],[PMI]]-B51</f>
        <v>-1.6000000000000014</v>
      </c>
    </row>
    <row r="53" spans="1:3" x14ac:dyDescent="0.35">
      <c r="A53" s="8">
        <v>41883</v>
      </c>
      <c r="B53" s="11">
        <f>IF(VLOOKUP(A53,'DB Country PMI'!$A:$W,MATCH($A$1,'DB Country PMI'!$A$1:$W$1,),)=0,#N/A,VLOOKUP(A53,'DB Country PMI'!$A:$W,MATCH($A$1,'DB Country PMI'!$A$1:$W$1,),))</f>
        <v>51.6</v>
      </c>
      <c r="C53" s="14">
        <f>Table134681134567[[#This Row],[PMI]]-B52</f>
        <v>1</v>
      </c>
    </row>
    <row r="54" spans="1:3" x14ac:dyDescent="0.35">
      <c r="A54" s="8">
        <v>41913</v>
      </c>
      <c r="B54" s="11">
        <f>IF(VLOOKUP(A54,'DB Country PMI'!$A:$W,MATCH($A$1,'DB Country PMI'!$A$1:$W$1,),)=0,#N/A,VLOOKUP(A54,'DB Country PMI'!$A:$W,MATCH($A$1,'DB Country PMI'!$A$1:$W$1,),))</f>
        <v>50</v>
      </c>
      <c r="C54" s="14">
        <f>Table134681134567[[#This Row],[PMI]]-B53</f>
        <v>-1.6000000000000014</v>
      </c>
    </row>
    <row r="55" spans="1:3" x14ac:dyDescent="0.35">
      <c r="A55" s="8">
        <v>41944</v>
      </c>
      <c r="B55" s="11">
        <f>IF(VLOOKUP(A55,'DB Country PMI'!$A:$W,MATCH($A$1,'DB Country PMI'!$A$1:$W$1,),)=0,#N/A,VLOOKUP(A55,'DB Country PMI'!$A:$W,MATCH($A$1,'DB Country PMI'!$A$1:$W$1,),))</f>
        <v>52.6</v>
      </c>
      <c r="C55" s="14">
        <f>Table134681134567[[#This Row],[PMI]]-B54</f>
        <v>2.6000000000000014</v>
      </c>
    </row>
    <row r="56" spans="1:3" x14ac:dyDescent="0.35">
      <c r="A56" s="8">
        <v>41974</v>
      </c>
      <c r="B56" s="11">
        <f>IF(VLOOKUP(A56,'DB Country PMI'!$A:$W,MATCH($A$1,'DB Country PMI'!$A$1:$W$1,),)=0,#N/A,VLOOKUP(A56,'DB Country PMI'!$A:$W,MATCH($A$1,'DB Country PMI'!$A$1:$W$1,),))</f>
        <v>51.1</v>
      </c>
      <c r="C56" s="14">
        <f>Table134681134567[[#This Row],[PMI]]-B55</f>
        <v>-1.5</v>
      </c>
    </row>
    <row r="57" spans="1:3" x14ac:dyDescent="0.35">
      <c r="A57" s="8">
        <v>42005</v>
      </c>
      <c r="B57" s="11">
        <f>IF(VLOOKUP(A57,'DB Country PMI'!$A:$W,MATCH($A$1,'DB Country PMI'!$A$1:$W$1,),)=0,#N/A,VLOOKUP(A57,'DB Country PMI'!$A:$W,MATCH($A$1,'DB Country PMI'!$A$1:$W$1,),))</f>
        <v>52.4</v>
      </c>
      <c r="C57" s="14">
        <f>Table134681134567[[#This Row],[PMI]]-B56</f>
        <v>1.2999999999999972</v>
      </c>
    </row>
    <row r="58" spans="1:3" x14ac:dyDescent="0.35">
      <c r="A58" s="8">
        <v>42036</v>
      </c>
      <c r="B58" s="11">
        <f>IF(VLOOKUP(A58,'DB Country PMI'!$A:$W,MATCH($A$1,'DB Country PMI'!$A$1:$W$1,),)=0,#N/A,VLOOKUP(A58,'DB Country PMI'!$A:$W,MATCH($A$1,'DB Country PMI'!$A$1:$W$1,),))</f>
        <v>53.9</v>
      </c>
      <c r="C58" s="14">
        <f>Table134681134567[[#This Row],[PMI]]-B57</f>
        <v>1.5</v>
      </c>
    </row>
    <row r="59" spans="1:3" x14ac:dyDescent="0.35">
      <c r="A59" s="8">
        <v>42064</v>
      </c>
      <c r="B59" s="11">
        <f>IF(VLOOKUP(A59,'DB Country PMI'!$A:$W,MATCH($A$1,'DB Country PMI'!$A$1:$W$1,),)=0,#N/A,VLOOKUP(A59,'DB Country PMI'!$A:$W,MATCH($A$1,'DB Country PMI'!$A$1:$W$1,),))</f>
        <v>53</v>
      </c>
      <c r="C59" s="14">
        <f>Table134681134567[[#This Row],[PMI]]-B58</f>
        <v>-0.89999999999999858</v>
      </c>
    </row>
    <row r="60" spans="1:3" x14ac:dyDescent="0.35">
      <c r="A60" s="8">
        <v>42095</v>
      </c>
      <c r="B60" s="11">
        <f>IF(VLOOKUP(A60,'DB Country PMI'!$A:$W,MATCH($A$1,'DB Country PMI'!$A$1:$W$1,),)=0,#N/A,VLOOKUP(A60,'DB Country PMI'!$A:$W,MATCH($A$1,'DB Country PMI'!$A$1:$W$1,),))</f>
        <v>52.4</v>
      </c>
      <c r="C60" s="14">
        <f>Table134681134567[[#This Row],[PMI]]-B59</f>
        <v>-0.60000000000000142</v>
      </c>
    </row>
    <row r="61" spans="1:3" x14ac:dyDescent="0.35">
      <c r="A61" s="8">
        <v>42125</v>
      </c>
      <c r="B61" s="11">
        <f>IF(VLOOKUP(A61,'DB Country PMI'!$A:$W,MATCH($A$1,'DB Country PMI'!$A$1:$W$1,),)=0,#N/A,VLOOKUP(A61,'DB Country PMI'!$A:$W,MATCH($A$1,'DB Country PMI'!$A$1:$W$1,),))</f>
        <v>49.6</v>
      </c>
      <c r="C61" s="14">
        <f>Table134681134567[[#This Row],[PMI]]-B60</f>
        <v>-2.7999999999999972</v>
      </c>
    </row>
    <row r="62" spans="1:3" x14ac:dyDescent="0.35">
      <c r="A62" s="8">
        <v>42156</v>
      </c>
      <c r="B62" s="11">
        <f>IF(VLOOKUP(A62,'DB Country PMI'!$A:$W,MATCH($A$1,'DB Country PMI'!$A$1:$W$1,),)=0,#N/A,VLOOKUP(A62,'DB Country PMI'!$A:$W,MATCH($A$1,'DB Country PMI'!$A$1:$W$1,),))</f>
        <v>47.7</v>
      </c>
      <c r="C62" s="14">
        <f>Table134681134567[[#This Row],[PMI]]-B61</f>
        <v>-1.8999999999999986</v>
      </c>
    </row>
    <row r="63" spans="1:3" x14ac:dyDescent="0.35">
      <c r="A63" s="8">
        <v>42186</v>
      </c>
      <c r="B63" s="11">
        <f>IF(VLOOKUP(A63,'DB Country PMI'!$A:$W,MATCH($A$1,'DB Country PMI'!$A$1:$W$1,),)=0,#N/A,VLOOKUP(A63,'DB Country PMI'!$A:$W,MATCH($A$1,'DB Country PMI'!$A$1:$W$1,),))</f>
        <v>50.8</v>
      </c>
      <c r="C63" s="14">
        <f>Table134681134567[[#This Row],[PMI]]-B62</f>
        <v>3.0999999999999943</v>
      </c>
    </row>
    <row r="64" spans="1:3" x14ac:dyDescent="0.35">
      <c r="A64" s="8">
        <v>42217</v>
      </c>
      <c r="B64" s="11">
        <f>IF(VLOOKUP(A64,'DB Country PMI'!$A:$W,MATCH($A$1,'DB Country PMI'!$A$1:$W$1,),)=0,#N/A,VLOOKUP(A64,'DB Country PMI'!$A:$W,MATCH($A$1,'DB Country PMI'!$A$1:$W$1,),))</f>
        <v>51.8</v>
      </c>
      <c r="C64" s="14">
        <f>Table134681134567[[#This Row],[PMI]]-B63</f>
        <v>1</v>
      </c>
    </row>
    <row r="65" spans="1:3" x14ac:dyDescent="0.35">
      <c r="A65" s="8">
        <v>42248</v>
      </c>
      <c r="B65" s="11">
        <f>IF(VLOOKUP(A65,'DB Country PMI'!$A:$W,MATCH($A$1,'DB Country PMI'!$A$1:$W$1,),)=0,#N/A,VLOOKUP(A65,'DB Country PMI'!$A:$W,MATCH($A$1,'DB Country PMI'!$A$1:$W$1,),))</f>
        <v>51.3</v>
      </c>
      <c r="C65" s="14">
        <f>Table134681134567[[#This Row],[PMI]]-B64</f>
        <v>-0.5</v>
      </c>
    </row>
    <row r="66" spans="1:3" x14ac:dyDescent="0.35">
      <c r="A66" s="8">
        <v>42278</v>
      </c>
      <c r="B66" s="11">
        <f>IF(VLOOKUP(A66,'DB Country PMI'!$A:$W,MATCH($A$1,'DB Country PMI'!$A$1:$W$1,),)=0,#N/A,VLOOKUP(A66,'DB Country PMI'!$A:$W,MATCH($A$1,'DB Country PMI'!$A$1:$W$1,),))</f>
        <v>53.2</v>
      </c>
      <c r="C66" s="14">
        <f>Table134681134567[[#This Row],[PMI]]-B65</f>
        <v>1.9000000000000057</v>
      </c>
    </row>
    <row r="67" spans="1:3" x14ac:dyDescent="0.35">
      <c r="A67" s="8">
        <v>42309</v>
      </c>
      <c r="B67" s="11">
        <f>IF(VLOOKUP(A67,'DB Country PMI'!$A:$W,MATCH($A$1,'DB Country PMI'!$A$1:$W$1,),)=0,#N/A,VLOOKUP(A67,'DB Country PMI'!$A:$W,MATCH($A$1,'DB Country PMI'!$A$1:$W$1,),))</f>
        <v>50.1</v>
      </c>
      <c r="C67" s="14">
        <f>Table134681134567[[#This Row],[PMI]]-B66</f>
        <v>-3.1000000000000014</v>
      </c>
    </row>
    <row r="68" spans="1:3" x14ac:dyDescent="0.35">
      <c r="A68" s="8">
        <v>42339</v>
      </c>
      <c r="B68" s="11">
        <f>IF(VLOOKUP(A68,'DB Country PMI'!$A:$W,MATCH($A$1,'DB Country PMI'!$A$1:$W$1,),)=0,#N/A,VLOOKUP(A68,'DB Country PMI'!$A:$W,MATCH($A$1,'DB Country PMI'!$A$1:$W$1,),))</f>
        <v>53.6</v>
      </c>
      <c r="C68" s="14">
        <f>Table134681134567[[#This Row],[PMI]]-B67</f>
        <v>3.5</v>
      </c>
    </row>
    <row r="69" spans="1:3" x14ac:dyDescent="0.35">
      <c r="A69" s="8">
        <v>42370</v>
      </c>
      <c r="B69" s="11">
        <f>IF(VLOOKUP(A69,'DB Country PMI'!$A:$W,MATCH($A$1,'DB Country PMI'!$A$1:$W$1,),)=0,#N/A,VLOOKUP(A69,'DB Country PMI'!$A:$W,MATCH($A$1,'DB Country PMI'!$A$1:$W$1,),))</f>
        <v>54.3</v>
      </c>
      <c r="C69" s="14">
        <f>Table134681134567[[#This Row],[PMI]]-B68</f>
        <v>0.69999999999999574</v>
      </c>
    </row>
    <row r="70" spans="1:3" x14ac:dyDescent="0.35">
      <c r="A70" s="8">
        <v>42401</v>
      </c>
      <c r="B70" s="11">
        <f>IF(VLOOKUP(A70,'DB Country PMI'!$A:$W,MATCH($A$1,'DB Country PMI'!$A$1:$W$1,),)=0,#N/A,VLOOKUP(A70,'DB Country PMI'!$A:$W,MATCH($A$1,'DB Country PMI'!$A$1:$W$1,),))</f>
        <v>51.4</v>
      </c>
      <c r="C70" s="14">
        <f>Table134681134567[[#This Row],[PMI]]-B69</f>
        <v>-2.8999999999999986</v>
      </c>
    </row>
    <row r="71" spans="1:3" x14ac:dyDescent="0.35">
      <c r="A71" s="8">
        <v>42430</v>
      </c>
      <c r="B71" s="11">
        <f>IF(VLOOKUP(A71,'DB Country PMI'!$A:$W,MATCH($A$1,'DB Country PMI'!$A$1:$W$1,),)=0,#N/A,VLOOKUP(A71,'DB Country PMI'!$A:$W,MATCH($A$1,'DB Country PMI'!$A$1:$W$1,),))</f>
        <v>54.3</v>
      </c>
      <c r="C71" s="14">
        <f>Table134681134567[[#This Row],[PMI]]-B70</f>
        <v>2.8999999999999986</v>
      </c>
    </row>
    <row r="72" spans="1:3" x14ac:dyDescent="0.35">
      <c r="A72" s="8">
        <v>42461</v>
      </c>
      <c r="B72" s="11">
        <f>IF(VLOOKUP(A72,'DB Country PMI'!$A:$W,MATCH($A$1,'DB Country PMI'!$A$1:$W$1,),)=0,#N/A,VLOOKUP(A72,'DB Country PMI'!$A:$W,MATCH($A$1,'DB Country PMI'!$A$1:$W$1,),))</f>
        <v>53.7</v>
      </c>
      <c r="C72" s="14">
        <f>Table134681134567[[#This Row],[PMI]]-B71</f>
        <v>-0.59999999999999432</v>
      </c>
    </row>
    <row r="73" spans="1:3" x14ac:dyDescent="0.35">
      <c r="A73" s="8">
        <v>42491</v>
      </c>
      <c r="B73" s="11">
        <f>IF(VLOOKUP(A73,'DB Country PMI'!$A:$W,MATCH($A$1,'DB Country PMI'!$A$1:$W$1,),)=0,#N/A,VLOOKUP(A73,'DB Country PMI'!$A:$W,MATCH($A$1,'DB Country PMI'!$A$1:$W$1,),))</f>
        <v>51</v>
      </c>
      <c r="C73" s="14">
        <f>Table134681134567[[#This Row],[PMI]]-B72</f>
        <v>-2.7000000000000028</v>
      </c>
    </row>
    <row r="74" spans="1:3" x14ac:dyDescent="0.35">
      <c r="A74" s="8">
        <v>42522</v>
      </c>
      <c r="B74" s="11">
        <f>IF(VLOOKUP(A74,'DB Country PMI'!$A:$W,MATCH($A$1,'DB Country PMI'!$A$1:$W$1,),)=0,#N/A,VLOOKUP(A74,'DB Country PMI'!$A:$W,MATCH($A$1,'DB Country PMI'!$A$1:$W$1,),))</f>
        <v>50.3</v>
      </c>
      <c r="C74" s="14">
        <f>Table134681134567[[#This Row],[PMI]]-B73</f>
        <v>-0.70000000000000284</v>
      </c>
    </row>
    <row r="75" spans="1:3" x14ac:dyDescent="0.35">
      <c r="A75" s="8">
        <v>42552</v>
      </c>
      <c r="B75" s="11">
        <f>IF(VLOOKUP(A75,'DB Country PMI'!$A:$W,MATCH($A$1,'DB Country PMI'!$A$1:$W$1,),)=0,#N/A,VLOOKUP(A75,'DB Country PMI'!$A:$W,MATCH($A$1,'DB Country PMI'!$A$1:$W$1,),))</f>
        <v>51.9</v>
      </c>
      <c r="C75" s="14">
        <f>Table134681134567[[#This Row],[PMI]]-B74</f>
        <v>1.6000000000000014</v>
      </c>
    </row>
    <row r="76" spans="1:3" x14ac:dyDescent="0.35">
      <c r="A76" s="8">
        <v>42583</v>
      </c>
      <c r="B76" s="11">
        <f>IF(VLOOKUP(A76,'DB Country PMI'!$A:$W,MATCH($A$1,'DB Country PMI'!$A$1:$W$1,),)=0,#N/A,VLOOKUP(A76,'DB Country PMI'!$A:$W,MATCH($A$1,'DB Country PMI'!$A$1:$W$1,),))</f>
        <v>54.7</v>
      </c>
      <c r="C76" s="14">
        <f>Table134681134567[[#This Row],[PMI]]-B75</f>
        <v>2.8000000000000043</v>
      </c>
    </row>
    <row r="77" spans="1:3" x14ac:dyDescent="0.35">
      <c r="A77" s="8">
        <v>42614</v>
      </c>
      <c r="B77" s="11">
        <f>IF(VLOOKUP(A77,'DB Country PMI'!$A:$W,MATCH($A$1,'DB Country PMI'!$A$1:$W$1,),)=0,#N/A,VLOOKUP(A77,'DB Country PMI'!$A:$W,MATCH($A$1,'DB Country PMI'!$A$1:$W$1,),))</f>
        <v>52</v>
      </c>
      <c r="C77" s="14">
        <f>Table134681134567[[#This Row],[PMI]]-B76</f>
        <v>-2.7000000000000028</v>
      </c>
    </row>
    <row r="78" spans="1:3" x14ac:dyDescent="0.35">
      <c r="A78" s="8">
        <v>42644</v>
      </c>
      <c r="B78" s="11">
        <f>IF(VLOOKUP(A78,'DB Country PMI'!$A:$W,MATCH($A$1,'DB Country PMI'!$A$1:$W$1,),)=0,#N/A,VLOOKUP(A78,'DB Country PMI'!$A:$W,MATCH($A$1,'DB Country PMI'!$A$1:$W$1,),))</f>
        <v>54.5</v>
      </c>
      <c r="C78" s="14">
        <f>Table134681134567[[#This Row],[PMI]]-B77</f>
        <v>2.5</v>
      </c>
    </row>
    <row r="79" spans="1:3" x14ac:dyDescent="0.35">
      <c r="A79" s="8">
        <v>42675</v>
      </c>
      <c r="B79" s="11">
        <f>IF(VLOOKUP(A79,'DB Country PMI'!$A:$W,MATCH($A$1,'DB Country PMI'!$A$1:$W$1,),)=0,#N/A,VLOOKUP(A79,'DB Country PMI'!$A:$W,MATCH($A$1,'DB Country PMI'!$A$1:$W$1,),))</f>
        <v>46.7</v>
      </c>
      <c r="C79" s="14">
        <f>Table134681134567[[#This Row],[PMI]]-B78</f>
        <v>-7.7999999999999972</v>
      </c>
    </row>
    <row r="80" spans="1:3" x14ac:dyDescent="0.35">
      <c r="A80" s="8">
        <v>42705</v>
      </c>
      <c r="B80" s="11">
        <f>IF(VLOOKUP(A80,'DB Country PMI'!$A:$W,MATCH($A$1,'DB Country PMI'!$A$1:$W$1,),)=0,#N/A,VLOOKUP(A80,'DB Country PMI'!$A:$W,MATCH($A$1,'DB Country PMI'!$A$1:$W$1,),))</f>
        <v>46.8</v>
      </c>
      <c r="C80" s="14">
        <f>Table134681134567[[#This Row],[PMI]]-B79</f>
        <v>9.9999999999994316E-2</v>
      </c>
    </row>
    <row r="81" spans="1:3" x14ac:dyDescent="0.35">
      <c r="A81" s="8">
        <v>42736</v>
      </c>
      <c r="B81" s="11">
        <f>IF(VLOOKUP(A81,'DB Country PMI'!$A:$W,MATCH($A$1,'DB Country PMI'!$A$1:$W$1,),)=0,#N/A,VLOOKUP(A81,'DB Country PMI'!$A:$W,MATCH($A$1,'DB Country PMI'!$A$1:$W$1,),))</f>
        <v>48.7</v>
      </c>
      <c r="C81" s="14">
        <f>Table134681134567[[#This Row],[PMI]]-B80</f>
        <v>1.9000000000000057</v>
      </c>
    </row>
    <row r="82" spans="1:3" x14ac:dyDescent="0.35">
      <c r="A82" s="8">
        <v>42767</v>
      </c>
      <c r="B82" s="11">
        <f>IF(VLOOKUP(A82,'DB Country PMI'!$A:$W,MATCH($A$1,'DB Country PMI'!$A$1:$W$1,),)=0,#N/A,VLOOKUP(A82,'DB Country PMI'!$A:$W,MATCH($A$1,'DB Country PMI'!$A$1:$W$1,),))</f>
        <v>50.3</v>
      </c>
      <c r="C82" s="14">
        <f>Table134681134567[[#This Row],[PMI]]-B81</f>
        <v>1.5999999999999943</v>
      </c>
    </row>
    <row r="83" spans="1:3" x14ac:dyDescent="0.35">
      <c r="A83" s="8">
        <v>42795</v>
      </c>
      <c r="B83" s="11">
        <f>IF(VLOOKUP(A83,'DB Country PMI'!$A:$W,MATCH($A$1,'DB Country PMI'!$A$1:$W$1,),)=0,#N/A,VLOOKUP(A83,'DB Country PMI'!$A:$W,MATCH($A$1,'DB Country PMI'!$A$1:$W$1,),))</f>
        <v>51.5</v>
      </c>
      <c r="C83" s="14">
        <f>Table134681134567[[#This Row],[PMI]]-B82</f>
        <v>1.2000000000000028</v>
      </c>
    </row>
    <row r="84" spans="1:3" x14ac:dyDescent="0.35">
      <c r="A84" s="8">
        <v>42826</v>
      </c>
      <c r="B84" s="11">
        <f>IF(VLOOKUP(A84,'DB Country PMI'!$A:$W,MATCH($A$1,'DB Country PMI'!$A$1:$W$1,),)=0,#N/A,VLOOKUP(A84,'DB Country PMI'!$A:$W,MATCH($A$1,'DB Country PMI'!$A$1:$W$1,),))</f>
        <v>50.2</v>
      </c>
      <c r="C84" s="14">
        <f>Table134681134567[[#This Row],[PMI]]-B83</f>
        <v>-1.2999999999999972</v>
      </c>
    </row>
    <row r="85" spans="1:3" x14ac:dyDescent="0.35">
      <c r="A85" s="8">
        <v>42856</v>
      </c>
      <c r="B85" s="11">
        <f>IF(VLOOKUP(A85,'DB Country PMI'!$A:$W,MATCH($A$1,'DB Country PMI'!$A$1:$W$1,),)=0,#N/A,VLOOKUP(A85,'DB Country PMI'!$A:$W,MATCH($A$1,'DB Country PMI'!$A$1:$W$1,),))</f>
        <v>52.2</v>
      </c>
      <c r="C85" s="14">
        <f>Table134681134567[[#This Row],[PMI]]-B84</f>
        <v>2</v>
      </c>
    </row>
    <row r="86" spans="1:3" x14ac:dyDescent="0.35">
      <c r="A86" s="8">
        <v>42887</v>
      </c>
      <c r="B86" s="11">
        <f>IF(VLOOKUP(A86,'DB Country PMI'!$A:$W,MATCH($A$1,'DB Country PMI'!$A$1:$W$1,),)=0,#N/A,VLOOKUP(A86,'DB Country PMI'!$A:$W,MATCH($A$1,'DB Country PMI'!$A$1:$W$1,),))</f>
        <v>53.1</v>
      </c>
      <c r="C86" s="14">
        <f>Table134681134567[[#This Row],[PMI]]-B85</f>
        <v>0.89999999999999858</v>
      </c>
    </row>
    <row r="87" spans="1:3" x14ac:dyDescent="0.35">
      <c r="A87" s="8">
        <v>42917</v>
      </c>
      <c r="B87" s="11">
        <f>IF(VLOOKUP(A87,'DB Country PMI'!$A:$W,MATCH($A$1,'DB Country PMI'!$A$1:$W$1,),)=0,#N/A,VLOOKUP(A87,'DB Country PMI'!$A:$W,MATCH($A$1,'DB Country PMI'!$A$1:$W$1,),))</f>
        <v>45.9</v>
      </c>
      <c r="C87" s="14">
        <f>Table134681134567[[#This Row],[PMI]]-B86</f>
        <v>-7.2000000000000028</v>
      </c>
    </row>
    <row r="88" spans="1:3" x14ac:dyDescent="0.35">
      <c r="A88" s="8">
        <v>42948</v>
      </c>
      <c r="B88" s="11">
        <f>IF(VLOOKUP(A88,'DB Country PMI'!$A:$W,MATCH($A$1,'DB Country PMI'!$A$1:$W$1,),)=0,#N/A,VLOOKUP(A88,'DB Country PMI'!$A:$W,MATCH($A$1,'DB Country PMI'!$A$1:$W$1,),))</f>
        <v>47.5</v>
      </c>
      <c r="C88" s="14">
        <f>Table134681134567[[#This Row],[PMI]]-B87</f>
        <v>1.6000000000000014</v>
      </c>
    </row>
    <row r="89" spans="1:3" x14ac:dyDescent="0.35">
      <c r="A89" s="8">
        <v>42979</v>
      </c>
      <c r="B89" s="11">
        <f>IF(VLOOKUP(A89,'DB Country PMI'!$A:$W,MATCH($A$1,'DB Country PMI'!$A$1:$W$1,),)=0,#N/A,VLOOKUP(A89,'DB Country PMI'!$A:$W,MATCH($A$1,'DB Country PMI'!$A$1:$W$1,),))</f>
        <v>50.7</v>
      </c>
      <c r="C89" s="14">
        <f>Table134681134567[[#This Row],[PMI]]-B88</f>
        <v>3.2000000000000028</v>
      </c>
    </row>
    <row r="90" spans="1:3" x14ac:dyDescent="0.35">
      <c r="A90" s="8">
        <v>43009</v>
      </c>
      <c r="B90" s="11">
        <f>IF(VLOOKUP(A90,'DB Country PMI'!$A:$W,MATCH($A$1,'DB Country PMI'!$A$1:$W$1,),)=0,#N/A,VLOOKUP(A90,'DB Country PMI'!$A:$W,MATCH($A$1,'DB Country PMI'!$A$1:$W$1,),))</f>
        <v>51.7</v>
      </c>
      <c r="C90" s="14">
        <f>Table134681134567[[#This Row],[PMI]]-B89</f>
        <v>1</v>
      </c>
    </row>
    <row r="91" spans="1:3" x14ac:dyDescent="0.35">
      <c r="A91" s="8">
        <v>43040</v>
      </c>
      <c r="B91" s="11">
        <f>IF(VLOOKUP(A91,'DB Country PMI'!$A:$W,MATCH($A$1,'DB Country PMI'!$A$1:$W$1,),)=0,#N/A,VLOOKUP(A91,'DB Country PMI'!$A:$W,MATCH($A$1,'DB Country PMI'!$A$1:$W$1,),))</f>
        <v>48.5</v>
      </c>
      <c r="C91" s="14">
        <f>Table134681134567[[#This Row],[PMI]]-B90</f>
        <v>-3.2000000000000028</v>
      </c>
    </row>
    <row r="92" spans="1:3" x14ac:dyDescent="0.35">
      <c r="A92" s="8">
        <v>43070</v>
      </c>
      <c r="B92" s="11">
        <f>IF(VLOOKUP(A92,'DB Country PMI'!$A:$W,MATCH($A$1,'DB Country PMI'!$A$1:$W$1,),)=0,#N/A,VLOOKUP(A92,'DB Country PMI'!$A:$W,MATCH($A$1,'DB Country PMI'!$A$1:$W$1,),))</f>
        <v>50.9</v>
      </c>
      <c r="C92" s="14">
        <f>Table134681134567[[#This Row],[PMI]]-B91</f>
        <v>2.3999999999999986</v>
      </c>
    </row>
    <row r="93" spans="1:3" x14ac:dyDescent="0.35">
      <c r="A93" s="8">
        <v>43101</v>
      </c>
      <c r="B93" s="11">
        <f>IF(VLOOKUP(A93,'DB Country PMI'!$A:$W,MATCH($A$1,'DB Country PMI'!$A$1:$W$1,),)=0,#N/A,VLOOKUP(A93,'DB Country PMI'!$A:$W,MATCH($A$1,'DB Country PMI'!$A$1:$W$1,),))</f>
        <v>51.7</v>
      </c>
      <c r="C93" s="14">
        <f>Table134681134567[[#This Row],[PMI]]-B92</f>
        <v>0.80000000000000426</v>
      </c>
    </row>
    <row r="94" spans="1:3" x14ac:dyDescent="0.35">
      <c r="A94" s="8">
        <v>43132</v>
      </c>
      <c r="B94" s="11">
        <f>IF(VLOOKUP(A94,'DB Country PMI'!$A:$W,MATCH($A$1,'DB Country PMI'!$A$1:$W$1,),)=0,#N/A,VLOOKUP(A94,'DB Country PMI'!$A:$W,MATCH($A$1,'DB Country PMI'!$A$1:$W$1,),))</f>
        <v>47.8</v>
      </c>
      <c r="C94" s="14">
        <f>Table134681134567[[#This Row],[PMI]]-B93</f>
        <v>-3.9000000000000057</v>
      </c>
    </row>
    <row r="95" spans="1:3" x14ac:dyDescent="0.35">
      <c r="A95" s="8">
        <v>43160</v>
      </c>
      <c r="B95" s="11">
        <f>IF(VLOOKUP(A95,'DB Country PMI'!$A:$W,MATCH($A$1,'DB Country PMI'!$A$1:$W$1,),)=0,#N/A,VLOOKUP(A95,'DB Country PMI'!$A:$W,MATCH($A$1,'DB Country PMI'!$A$1:$W$1,),))</f>
        <v>50.3</v>
      </c>
      <c r="C95" s="14">
        <f>Table134681134567[[#This Row],[PMI]]-B94</f>
        <v>2.5</v>
      </c>
    </row>
    <row r="96" spans="1:3" x14ac:dyDescent="0.35">
      <c r="A96" s="8">
        <v>43191</v>
      </c>
      <c r="B96" s="11">
        <f>IF(VLOOKUP(A96,'DB Country PMI'!$A:$W,MATCH($A$1,'DB Country PMI'!$A$1:$W$1,),)=0,#N/A,VLOOKUP(A96,'DB Country PMI'!$A:$W,MATCH($A$1,'DB Country PMI'!$A$1:$W$1,),))</f>
        <v>51.4</v>
      </c>
      <c r="C96" s="14">
        <f>Table134681134567[[#This Row],[PMI]]-B95</f>
        <v>1.1000000000000014</v>
      </c>
    </row>
    <row r="97" spans="1:3" x14ac:dyDescent="0.35">
      <c r="A97" s="8">
        <v>43221</v>
      </c>
      <c r="B97" s="11">
        <f>IF(VLOOKUP(A97,'DB Country PMI'!$A:$W,MATCH($A$1,'DB Country PMI'!$A$1:$W$1,),)=0,#N/A,VLOOKUP(A97,'DB Country PMI'!$A:$W,MATCH($A$1,'DB Country PMI'!$A$1:$W$1,),))</f>
        <v>49.6</v>
      </c>
      <c r="C97" s="14">
        <f>Table134681134567[[#This Row],[PMI]]-B96</f>
        <v>-1.7999999999999972</v>
      </c>
    </row>
    <row r="98" spans="1:3" x14ac:dyDescent="0.35">
      <c r="A98" s="8">
        <v>43252</v>
      </c>
      <c r="B98" s="11">
        <f>IF(VLOOKUP(A98,'DB Country PMI'!$A:$W,MATCH($A$1,'DB Country PMI'!$A$1:$W$1,),)=0,#N/A,VLOOKUP(A98,'DB Country PMI'!$A:$W,MATCH($A$1,'DB Country PMI'!$A$1:$W$1,),))</f>
        <v>52.6</v>
      </c>
      <c r="C98" s="14">
        <f>Table134681134567[[#This Row],[PMI]]-B97</f>
        <v>3</v>
      </c>
    </row>
    <row r="99" spans="1:3" x14ac:dyDescent="0.35">
      <c r="A99" s="8">
        <v>43282</v>
      </c>
      <c r="B99" s="11">
        <f>IF(VLOOKUP(A99,'DB Country PMI'!$A:$W,MATCH($A$1,'DB Country PMI'!$A$1:$W$1,),)=0,#N/A,VLOOKUP(A99,'DB Country PMI'!$A:$W,MATCH($A$1,'DB Country PMI'!$A$1:$W$1,),))</f>
        <v>54.2</v>
      </c>
      <c r="C99" s="14">
        <f>Table134681134567[[#This Row],[PMI]]-B98</f>
        <v>1.6000000000000014</v>
      </c>
    </row>
    <row r="100" spans="1:3" x14ac:dyDescent="0.35">
      <c r="A100" s="8">
        <v>43313</v>
      </c>
      <c r="B100" s="11">
        <f>IF(VLOOKUP(A100,'DB Country PMI'!$A:$W,MATCH($A$1,'DB Country PMI'!$A$1:$W$1,),)=0,#N/A,VLOOKUP(A100,'DB Country PMI'!$A:$W,MATCH($A$1,'DB Country PMI'!$A$1:$W$1,),))</f>
        <v>51.5</v>
      </c>
      <c r="C100" s="14">
        <f>Table134681134567[[#This Row],[PMI]]-B99</f>
        <v>-2.7000000000000028</v>
      </c>
    </row>
    <row r="101" spans="1:3" x14ac:dyDescent="0.35">
      <c r="A101" s="8">
        <v>43344</v>
      </c>
      <c r="B101" s="11">
        <f>IF(VLOOKUP(A101,'DB Country PMI'!$A:$W,MATCH($A$1,'DB Country PMI'!$A$1:$W$1,),)=0,#N/A,VLOOKUP(A101,'DB Country PMI'!$A:$W,MATCH($A$1,'DB Country PMI'!$A$1:$W$1,),))</f>
        <v>50.9</v>
      </c>
      <c r="C101" s="14">
        <f>Table134681134567[[#This Row],[PMI]]-B100</f>
        <v>-0.60000000000000142</v>
      </c>
    </row>
    <row r="102" spans="1:3" x14ac:dyDescent="0.35">
      <c r="A102" s="8">
        <v>43374</v>
      </c>
      <c r="B102" s="11">
        <f>IF(VLOOKUP(A102,'DB Country PMI'!$A:$W,MATCH($A$1,'DB Country PMI'!$A$1:$W$1,),)=0,#N/A,VLOOKUP(A102,'DB Country PMI'!$A:$W,MATCH($A$1,'DB Country PMI'!$A$1:$W$1,),))</f>
        <v>52.2</v>
      </c>
      <c r="C102" s="14">
        <f>Table134681134567[[#This Row],[PMI]]-B101</f>
        <v>1.3000000000000043</v>
      </c>
    </row>
    <row r="103" spans="1:3" x14ac:dyDescent="0.35">
      <c r="A103" s="8">
        <v>43405</v>
      </c>
      <c r="B103" s="11">
        <f>IF(VLOOKUP(A103,'DB Country PMI'!$A:$W,MATCH($A$1,'DB Country PMI'!$A$1:$W$1,),)=0,#N/A,VLOOKUP(A103,'DB Country PMI'!$A:$W,MATCH($A$1,'DB Country PMI'!$A$1:$W$1,),))</f>
        <v>53.7</v>
      </c>
      <c r="C103" s="14">
        <f>Table134681134567[[#This Row],[PMI]]-B102</f>
        <v>1.5</v>
      </c>
    </row>
    <row r="104" spans="1:3" x14ac:dyDescent="0.35">
      <c r="A104" s="8">
        <v>43435</v>
      </c>
      <c r="B104" s="11">
        <f>IF(VLOOKUP(A104,'DB Country PMI'!$A:$W,MATCH($A$1,'DB Country PMI'!$A$1:$W$1,),)=0,#N/A,VLOOKUP(A104,'DB Country PMI'!$A:$W,MATCH($A$1,'DB Country PMI'!$A$1:$W$1,),))</f>
        <v>53.2</v>
      </c>
      <c r="C104" s="14">
        <f>Table134681134567[[#This Row],[PMI]]-B103</f>
        <v>-0.5</v>
      </c>
    </row>
    <row r="105" spans="1:3" x14ac:dyDescent="0.35">
      <c r="A105" s="8">
        <v>43466</v>
      </c>
      <c r="B105" s="11">
        <f>IF(VLOOKUP(A105,'DB Country PMI'!$A:$W,MATCH($A$1,'DB Country PMI'!$A$1:$W$1,),)=0,#N/A,VLOOKUP(A105,'DB Country PMI'!$A:$W,MATCH($A$1,'DB Country PMI'!$A$1:$W$1,),))</f>
        <v>52.2</v>
      </c>
      <c r="C105" s="14">
        <f>Table134681134567[[#This Row],[PMI]]-B104</f>
        <v>-1</v>
      </c>
    </row>
    <row r="106" spans="1:3" x14ac:dyDescent="0.35">
      <c r="A106" s="8">
        <v>43497</v>
      </c>
      <c r="B106" s="11">
        <f>IF(VLOOKUP(A106,'DB Country PMI'!$A:$W,MATCH($A$1,'DB Country PMI'!$A$1:$W$1,),)=0,#N/A,VLOOKUP(A106,'DB Country PMI'!$A:$W,MATCH($A$1,'DB Country PMI'!$A$1:$W$1,),))</f>
        <v>52.5</v>
      </c>
      <c r="C106" s="14">
        <f>Table134681134567[[#This Row],[PMI]]-B105</f>
        <v>0.29999999999999716</v>
      </c>
    </row>
    <row r="107" spans="1:3" x14ac:dyDescent="0.35">
      <c r="A107" s="8">
        <v>43525</v>
      </c>
      <c r="B107" s="11">
        <f>IF(VLOOKUP(A107,'DB Country PMI'!$A:$W,MATCH($A$1,'DB Country PMI'!$A$1:$W$1,),)=0,#N/A,VLOOKUP(A107,'DB Country PMI'!$A:$W,MATCH($A$1,'DB Country PMI'!$A$1:$W$1,),))</f>
        <v>52</v>
      </c>
      <c r="C107" s="14">
        <f>Table134681134567[[#This Row],[PMI]]-B106</f>
        <v>-0.5</v>
      </c>
    </row>
    <row r="108" spans="1:3" x14ac:dyDescent="0.35">
      <c r="A108" s="8">
        <v>43556</v>
      </c>
      <c r="B108" s="11">
        <f>IF(VLOOKUP(A108,'DB Country PMI'!$A:$W,MATCH($A$1,'DB Country PMI'!$A$1:$W$1,),)=0,#N/A,VLOOKUP(A108,'DB Country PMI'!$A:$W,MATCH($A$1,'DB Country PMI'!$A$1:$W$1,),))</f>
        <v>51</v>
      </c>
      <c r="C108" s="14">
        <f>Table134681134567[[#This Row],[PMI]]-B107</f>
        <v>-1</v>
      </c>
    </row>
    <row r="109" spans="1:3" x14ac:dyDescent="0.35">
      <c r="A109" s="8">
        <v>43586</v>
      </c>
      <c r="B109" s="11">
        <f>IF(VLOOKUP(A109,'DB Country PMI'!$A:$W,MATCH($A$1,'DB Country PMI'!$A$1:$W$1,),)=0,#N/A,VLOOKUP(A109,'DB Country PMI'!$A:$W,MATCH($A$1,'DB Country PMI'!$A$1:$W$1,),))</f>
        <v>50.2</v>
      </c>
      <c r="C109" s="14">
        <f>Table134681134567[[#This Row],[PMI]]-B108</f>
        <v>-0.79999999999999716</v>
      </c>
    </row>
    <row r="110" spans="1:3" x14ac:dyDescent="0.35">
      <c r="A110" s="8">
        <v>43617</v>
      </c>
      <c r="B110" s="11">
        <f>IF(VLOOKUP(A110,'DB Country PMI'!$A:$W,MATCH($A$1,'DB Country PMI'!$A$1:$W$1,),)=0,#N/A,VLOOKUP(A110,'DB Country PMI'!$A:$W,MATCH($A$1,'DB Country PMI'!$A$1:$W$1,),))</f>
        <v>49.6</v>
      </c>
      <c r="C110" s="14">
        <f>Table134681134567[[#This Row],[PMI]]-B109</f>
        <v>-0.60000000000000142</v>
      </c>
    </row>
    <row r="111" spans="1:3" x14ac:dyDescent="0.35">
      <c r="A111" s="8">
        <v>43647</v>
      </c>
      <c r="B111" s="11">
        <f>IF(VLOOKUP(A111,'DB Country PMI'!$A:$W,MATCH($A$1,'DB Country PMI'!$A$1:$W$1,),)=0,#N/A,VLOOKUP(A111,'DB Country PMI'!$A:$W,MATCH($A$1,'DB Country PMI'!$A$1:$W$1,),))</f>
        <v>53.8</v>
      </c>
      <c r="C111" s="14">
        <f>Table134681134567[[#This Row],[PMI]]-B110</f>
        <v>4.1999999999999957</v>
      </c>
    </row>
    <row r="112" spans="1:3" x14ac:dyDescent="0.35">
      <c r="A112" s="8">
        <v>43678</v>
      </c>
      <c r="B112" s="11">
        <f>IF(VLOOKUP(A112,'DB Country PMI'!$A:$W,MATCH($A$1,'DB Country PMI'!$A$1:$W$1,),)=0,#N/A,VLOOKUP(A112,'DB Country PMI'!$A:$W,MATCH($A$1,'DB Country PMI'!$A$1:$W$1,),))</f>
        <v>52.4</v>
      </c>
      <c r="C112" s="14">
        <f>Table134681134567[[#This Row],[PMI]]-B111</f>
        <v>-1.3999999999999986</v>
      </c>
    </row>
    <row r="113" spans="1:3" x14ac:dyDescent="0.35">
      <c r="A113" s="8">
        <v>43709</v>
      </c>
      <c r="B113" s="11">
        <f>IF(VLOOKUP(A113,'DB Country PMI'!$A:$W,MATCH($A$1,'DB Country PMI'!$A$1:$W$1,),)=0,#N/A,VLOOKUP(A113,'DB Country PMI'!$A:$W,MATCH($A$1,'DB Country PMI'!$A$1:$W$1,),))</f>
        <v>48.7</v>
      </c>
      <c r="C113" s="14">
        <f>Table134681134567[[#This Row],[PMI]]-B112</f>
        <v>-3.6999999999999957</v>
      </c>
    </row>
    <row r="114" spans="1:3" x14ac:dyDescent="0.35">
      <c r="A114" s="8">
        <v>43739</v>
      </c>
      <c r="B114" s="11">
        <f>IF(VLOOKUP(A114,'DB Country PMI'!$A:$W,MATCH($A$1,'DB Country PMI'!$A$1:$W$1,),)=0,#N/A,VLOOKUP(A114,'DB Country PMI'!$A:$W,MATCH($A$1,'DB Country PMI'!$A$1:$W$1,),))</f>
        <v>49.2</v>
      </c>
      <c r="C114" s="14">
        <f>Table134681134567[[#This Row],[PMI]]-B113</f>
        <v>0.5</v>
      </c>
    </row>
    <row r="115" spans="1:3" x14ac:dyDescent="0.35">
      <c r="A115" s="8">
        <v>43770</v>
      </c>
      <c r="B115" s="11">
        <f>IF(VLOOKUP(A115,'DB Country PMI'!$A:$W,MATCH($A$1,'DB Country PMI'!$A$1:$W$1,),)=0,#N/A,VLOOKUP(A115,'DB Country PMI'!$A:$W,MATCH($A$1,'DB Country PMI'!$A$1:$W$1,),))</f>
        <v>52.7</v>
      </c>
      <c r="C115" s="14">
        <f>Table134681134567[[#This Row],[PMI]]-B114</f>
        <v>3.5</v>
      </c>
    </row>
    <row r="116" spans="1:3" x14ac:dyDescent="0.35">
      <c r="A116" s="8">
        <v>43800</v>
      </c>
      <c r="B116" s="11">
        <f>IF(VLOOKUP(A116,'DB Country PMI'!$A:$W,MATCH($A$1,'DB Country PMI'!$A$1:$W$1,),)=0,#N/A,VLOOKUP(A116,'DB Country PMI'!$A:$W,MATCH($A$1,'DB Country PMI'!$A$1:$W$1,),))</f>
        <v>53.3</v>
      </c>
      <c r="C116" s="14">
        <f>Table134681134567[[#This Row],[PMI]]-B115</f>
        <v>0.59999999999999432</v>
      </c>
    </row>
    <row r="117" spans="1:3" x14ac:dyDescent="0.35">
      <c r="A117" s="8">
        <v>43831</v>
      </c>
      <c r="B117" s="11">
        <f>IF(VLOOKUP(A117,'DB Country PMI'!$A:$W,MATCH($A$1,'DB Country PMI'!$A$1:$W$1,),)=0,#N/A,VLOOKUP(A117,'DB Country PMI'!$A:$W,MATCH($A$1,'DB Country PMI'!$A$1:$W$1,),))</f>
        <v>55.5</v>
      </c>
      <c r="C117" s="14">
        <f>Table134681134567[[#This Row],[PMI]]-B116</f>
        <v>2.2000000000000028</v>
      </c>
    </row>
    <row r="118" spans="1:3" x14ac:dyDescent="0.35">
      <c r="A118" s="8">
        <v>43862</v>
      </c>
      <c r="B118" s="11">
        <f>IF(VLOOKUP(A118,'DB Country PMI'!$A:$W,MATCH($A$1,'DB Country PMI'!$A$1:$W$1,),)=0,#N/A,VLOOKUP(A118,'DB Country PMI'!$A:$W,MATCH($A$1,'DB Country PMI'!$A$1:$W$1,),))</f>
        <v>57.5</v>
      </c>
      <c r="C118" s="14">
        <f>Table134681134567[[#This Row],[PMI]]-B117</f>
        <v>2</v>
      </c>
    </row>
    <row r="119" spans="1:3" x14ac:dyDescent="0.35">
      <c r="A119" s="8">
        <v>43891</v>
      </c>
      <c r="B119" s="11">
        <f>IF(VLOOKUP(A119,'DB Country PMI'!$A:$W,MATCH($A$1,'DB Country PMI'!$A$1:$W$1,),)=0,#N/A,VLOOKUP(A119,'DB Country PMI'!$A:$W,MATCH($A$1,'DB Country PMI'!$A$1:$W$1,),))</f>
        <v>49.3</v>
      </c>
      <c r="C119" s="14">
        <f>Table134681134567[[#This Row],[PMI]]-B118</f>
        <v>-8.2000000000000028</v>
      </c>
    </row>
    <row r="120" spans="1:3" x14ac:dyDescent="0.35">
      <c r="A120" s="8">
        <v>43922</v>
      </c>
      <c r="B120" s="11">
        <f>IF(VLOOKUP(A120,'DB Country PMI'!$A:$W,MATCH($A$1,'DB Country PMI'!$A$1:$W$1,),)=0,#N/A,VLOOKUP(A120,'DB Country PMI'!$A:$W,MATCH($A$1,'DB Country PMI'!$A$1:$W$1,),))</f>
        <v>49.3</v>
      </c>
      <c r="C120" s="14">
        <f>Table134681134567[[#This Row],[PMI]]-B119</f>
        <v>0</v>
      </c>
    </row>
    <row r="121" spans="1:3" x14ac:dyDescent="0.35">
      <c r="A121" s="8">
        <v>43952</v>
      </c>
      <c r="B121" s="11">
        <f>IF(VLOOKUP(A121,'DB Country PMI'!$A:$W,MATCH($A$1,'DB Country PMI'!$A$1:$W$1,),)=0,#N/A,VLOOKUP(A121,'DB Country PMI'!$A:$W,MATCH($A$1,'DB Country PMI'!$A$1:$W$1,),))</f>
        <v>12.6</v>
      </c>
      <c r="C121" s="14">
        <f>Table134681134567[[#This Row],[PMI]]-B120</f>
        <v>-36.699999999999996</v>
      </c>
    </row>
    <row r="122" spans="1:3" x14ac:dyDescent="0.35">
      <c r="A122" s="8">
        <v>43983</v>
      </c>
      <c r="B122" s="11">
        <f>IF(VLOOKUP(A122,'DB Country PMI'!$A:$W,MATCH($A$1,'DB Country PMI'!$A$1:$W$1,),)=0,#N/A,VLOOKUP(A122,'DB Country PMI'!$A:$W,MATCH($A$1,'DB Country PMI'!$A$1:$W$1,),))</f>
        <v>33.700000000000003</v>
      </c>
      <c r="C122" s="14">
        <f>Table134681134567[[#This Row],[PMI]]-B121</f>
        <v>21.1</v>
      </c>
    </row>
    <row r="123" spans="1:3" x14ac:dyDescent="0.35">
      <c r="A123" s="8">
        <v>44013</v>
      </c>
      <c r="B123" s="11">
        <f>IF(VLOOKUP(A123,'DB Country PMI'!$A:$W,MATCH($A$1,'DB Country PMI'!$A$1:$W$1,),)=0,#N/A,VLOOKUP(A123,'DB Country PMI'!$A:$W,MATCH($A$1,'DB Country PMI'!$A$1:$W$1,),))</f>
        <v>34.200000000000003</v>
      </c>
      <c r="C123" s="14">
        <f>Table134681134567[[#This Row],[PMI]]-B122</f>
        <v>0.5</v>
      </c>
    </row>
    <row r="124" spans="1:3" x14ac:dyDescent="0.35">
      <c r="A124" s="8">
        <v>44044</v>
      </c>
      <c r="B124" s="11">
        <f>IF(VLOOKUP(A124,'DB Country PMI'!$A:$W,MATCH($A$1,'DB Country PMI'!$A$1:$W$1,),)=0,#N/A,VLOOKUP(A124,'DB Country PMI'!$A:$W,MATCH($A$1,'DB Country PMI'!$A$1:$W$1,),))</f>
        <v>41.8</v>
      </c>
      <c r="C124" s="14">
        <f>Table134681134567[[#This Row],[PMI]]-B123</f>
        <v>7.5999999999999943</v>
      </c>
    </row>
    <row r="125" spans="1:3" x14ac:dyDescent="0.35">
      <c r="A125" s="8">
        <v>44075</v>
      </c>
      <c r="B125" s="11">
        <f>IF(VLOOKUP(A125,'DB Country PMI'!$A:$W,MATCH($A$1,'DB Country PMI'!$A$1:$W$1,),)=0,#N/A,VLOOKUP(A125,'DB Country PMI'!$A:$W,MATCH($A$1,'DB Country PMI'!$A$1:$W$1,),))</f>
        <v>49.8</v>
      </c>
      <c r="C125" s="14">
        <f>Table134681134567[[#This Row],[PMI]]-B124</f>
        <v>8</v>
      </c>
    </row>
    <row r="126" spans="1:3" x14ac:dyDescent="0.35">
      <c r="A126" s="8">
        <v>44105</v>
      </c>
      <c r="B126" s="11">
        <f>IF(VLOOKUP(A126,'DB Country PMI'!$A:$W,MATCH($A$1,'DB Country PMI'!$A$1:$W$1,),)=0,#N/A,VLOOKUP(A126,'DB Country PMI'!$A:$W,MATCH($A$1,'DB Country PMI'!$A$1:$W$1,),))</f>
        <v>54.1</v>
      </c>
      <c r="C126" s="14">
        <f>Table134681134567[[#This Row],[PMI]]-B125</f>
        <v>4.3000000000000043</v>
      </c>
    </row>
    <row r="127" spans="1:3" x14ac:dyDescent="0.35">
      <c r="A127" s="8">
        <v>44136</v>
      </c>
      <c r="B127" s="11">
        <f>IF(VLOOKUP(A127,'DB Country PMI'!$A:$W,MATCH($A$1,'DB Country PMI'!$A$1:$W$1,),)=0,#N/A,VLOOKUP(A127,'DB Country PMI'!$A:$W,MATCH($A$1,'DB Country PMI'!$A$1:$W$1,),))</f>
        <v>53.7</v>
      </c>
      <c r="C127" s="14">
        <f>Table134681134567[[#This Row],[PMI]]-B126</f>
        <v>-0.39999999999999858</v>
      </c>
    </row>
    <row r="128" spans="1:3" x14ac:dyDescent="0.35">
      <c r="A128" s="8">
        <v>44166</v>
      </c>
      <c r="B128" s="11">
        <f>IF(VLOOKUP(A128,'DB Country PMI'!$A:$W,MATCH($A$1,'DB Country PMI'!$A$1:$W$1,),)=0,#N/A,VLOOKUP(A128,'DB Country PMI'!$A:$W,MATCH($A$1,'DB Country PMI'!$A$1:$W$1,),))</f>
        <v>52.3</v>
      </c>
      <c r="C128" s="14">
        <f>Table134681134567[[#This Row],[PMI]]-B127</f>
        <v>-1.4000000000000057</v>
      </c>
    </row>
    <row r="129" spans="1:3" x14ac:dyDescent="0.35">
      <c r="A129" s="8">
        <v>44197</v>
      </c>
      <c r="B129" s="11">
        <f>IF(VLOOKUP(A129,'DB Country PMI'!$A:$W,MATCH($A$1,'DB Country PMI'!$A$1:$W$1,),)=0,#N/A,VLOOKUP(A129,'DB Country PMI'!$A:$W,MATCH($A$1,'DB Country PMI'!$A$1:$W$1,),))</f>
        <v>52.8</v>
      </c>
      <c r="C129" s="14">
        <f>Table134681134567[[#This Row],[PMI]]-B128</f>
        <v>0.5</v>
      </c>
    </row>
    <row r="130" spans="1:3" x14ac:dyDescent="0.35">
      <c r="A130" s="8">
        <v>44228</v>
      </c>
      <c r="B130" s="11">
        <f>IF(VLOOKUP(A130,'DB Country PMI'!$A:$W,MATCH($A$1,'DB Country PMI'!$A$1:$W$1,),)=0,#N/A,VLOOKUP(A130,'DB Country PMI'!$A:$W,MATCH($A$1,'DB Country PMI'!$A$1:$W$1,),))</f>
        <v>55.3</v>
      </c>
      <c r="C130" s="14">
        <f>Table134681134567[[#This Row],[PMI]]-B129</f>
        <v>2.5</v>
      </c>
    </row>
    <row r="131" spans="1:3" x14ac:dyDescent="0.35">
      <c r="A131" s="8">
        <v>44256</v>
      </c>
      <c r="B131" s="11">
        <f>IF(VLOOKUP(A131,'DB Country PMI'!$A:$W,MATCH($A$1,'DB Country PMI'!$A$1:$W$1,),)=0,#N/A,VLOOKUP(A131,'DB Country PMI'!$A:$W,MATCH($A$1,'DB Country PMI'!$A$1:$W$1,),))</f>
        <v>54.6</v>
      </c>
      <c r="C131" s="14">
        <f>Table134681134567[[#This Row],[PMI]]-B130</f>
        <v>-0.69999999999999574</v>
      </c>
    </row>
    <row r="132" spans="1:3" x14ac:dyDescent="0.35">
      <c r="A132" s="8">
        <v>44287</v>
      </c>
      <c r="B132" s="11">
        <f>IF(VLOOKUP(A132,'DB Country PMI'!$A:$W,MATCH($A$1,'DB Country PMI'!$A$1:$W$1,),)=0,#N/A,VLOOKUP(A132,'DB Country PMI'!$A:$W,MATCH($A$1,'DB Country PMI'!$A$1:$W$1,),))</f>
        <v>54</v>
      </c>
      <c r="C132" s="14">
        <f>Table134681134567[[#This Row],[PMI]]-B131</f>
        <v>-0.60000000000000142</v>
      </c>
    </row>
    <row r="133" spans="1:3" x14ac:dyDescent="0.35">
      <c r="A133" s="8">
        <v>44317</v>
      </c>
      <c r="B133" s="11">
        <f>IF(VLOOKUP(A133,'DB Country PMI'!$A:$W,MATCH($A$1,'DB Country PMI'!$A$1:$W$1,),)=0,#N/A,VLOOKUP(A133,'DB Country PMI'!$A:$W,MATCH($A$1,'DB Country PMI'!$A$1:$W$1,),))</f>
        <v>46.4</v>
      </c>
      <c r="C133" s="14">
        <f>Table134681134567[[#This Row],[PMI]]-B132</f>
        <v>-7.6000000000000014</v>
      </c>
    </row>
    <row r="134" spans="1:3" x14ac:dyDescent="0.35">
      <c r="A134" s="8">
        <v>44348</v>
      </c>
      <c r="B134" s="11">
        <f>IF(VLOOKUP(A134,'DB Country PMI'!$A:$W,MATCH($A$1,'DB Country PMI'!$A$1:$W$1,),)=0,#N/A,VLOOKUP(A134,'DB Country PMI'!$A:$W,MATCH($A$1,'DB Country PMI'!$A$1:$W$1,),))</f>
        <v>41.2</v>
      </c>
      <c r="C134" s="14">
        <f>Table134681134567[[#This Row],[PMI]]-B133</f>
        <v>-5.1999999999999957</v>
      </c>
    </row>
    <row r="135" spans="1:3" x14ac:dyDescent="0.35">
      <c r="A135" s="8">
        <v>44378</v>
      </c>
      <c r="B135" s="11">
        <f>IF(VLOOKUP(A135,'DB Country PMI'!$A:$W,MATCH($A$1,'DB Country PMI'!$A$1:$W$1,),)=0,#N/A,VLOOKUP(A135,'DB Country PMI'!$A:$W,MATCH($A$1,'DB Country PMI'!$A$1:$W$1,),))</f>
        <v>45.4</v>
      </c>
      <c r="C135" s="14">
        <f>Table134681134567[[#This Row],[PMI]]-B134</f>
        <v>4.1999999999999957</v>
      </c>
    </row>
    <row r="136" spans="1:3" x14ac:dyDescent="0.35">
      <c r="A136" s="8">
        <v>44409</v>
      </c>
      <c r="B136" s="11">
        <f>IF(VLOOKUP(A136,'DB Country PMI'!$A:$W,MATCH($A$1,'DB Country PMI'!$A$1:$W$1,),)=0,#N/A,VLOOKUP(A136,'DB Country PMI'!$A:$W,MATCH($A$1,'DB Country PMI'!$A$1:$W$1,),))</f>
        <v>56.7</v>
      </c>
      <c r="C136" s="14">
        <f>Table134681134567[[#This Row],[PMI]]-B135</f>
        <v>11.300000000000004</v>
      </c>
    </row>
    <row r="137" spans="1:3" x14ac:dyDescent="0.35">
      <c r="A137" s="8">
        <v>44440</v>
      </c>
      <c r="B137" s="11">
        <f>IF(VLOOKUP(A137,'DB Country PMI'!$A:$W,MATCH($A$1,'DB Country PMI'!$A$1:$W$1,),)=0,#N/A,VLOOKUP(A137,'DB Country PMI'!$A:$W,MATCH($A$1,'DB Country PMI'!$A$1:$W$1,),))</f>
        <v>55.2</v>
      </c>
      <c r="C137" s="14">
        <f>Table134681134567[[#This Row],[PMI]]-B136</f>
        <v>-1.5</v>
      </c>
    </row>
    <row r="138" spans="1:3" x14ac:dyDescent="0.35">
      <c r="A138" s="8">
        <v>44470</v>
      </c>
      <c r="B138" s="11">
        <f>IF(VLOOKUP(A138,'DB Country PMI'!$A:$W,MATCH($A$1,'DB Country PMI'!$A$1:$W$1,),)=0,#N/A,VLOOKUP(A138,'DB Country PMI'!$A:$W,MATCH($A$1,'DB Country PMI'!$A$1:$W$1,),))</f>
        <v>58.4</v>
      </c>
      <c r="C138" s="14">
        <f>Table134681134567[[#This Row],[PMI]]-B137</f>
        <v>3.1999999999999957</v>
      </c>
    </row>
    <row r="139" spans="1:3" x14ac:dyDescent="0.35">
      <c r="A139" s="8">
        <v>44501</v>
      </c>
      <c r="B139" s="11">
        <f>IF(VLOOKUP(A139,'DB Country PMI'!$A:$W,MATCH($A$1,'DB Country PMI'!$A$1:$W$1,),)=0,#N/A,VLOOKUP(A139,'DB Country PMI'!$A:$W,MATCH($A$1,'DB Country PMI'!$A$1:$W$1,),))</f>
        <v>58.1</v>
      </c>
      <c r="C139" s="14">
        <f>Table134681134567[[#This Row],[PMI]]-B138</f>
        <v>-0.29999999999999716</v>
      </c>
    </row>
    <row r="140" spans="1:3" x14ac:dyDescent="0.35">
      <c r="A140" s="8">
        <v>44531</v>
      </c>
      <c r="B140" s="11">
        <f>IF(VLOOKUP(A140,'DB Country PMI'!$A:$W,MATCH($A$1,'DB Country PMI'!$A$1:$W$1,),)=0,#N/A,VLOOKUP(A140,'DB Country PMI'!$A:$W,MATCH($A$1,'DB Country PMI'!$A$1:$W$1,),))</f>
        <v>55.5</v>
      </c>
      <c r="C140" s="14">
        <f>Table134681134567[[#This Row],[PMI]]-B139</f>
        <v>-2.6000000000000014</v>
      </c>
    </row>
    <row r="141" spans="1:3" x14ac:dyDescent="0.35">
      <c r="A141" s="8">
        <v>44562</v>
      </c>
      <c r="B141" s="11">
        <f>IF(VLOOKUP(A141,'DB Country PMI'!$A:$W,MATCH($A$1,'DB Country PMI'!$A$1:$W$1,),)=0,#N/A,VLOOKUP(A141,'DB Country PMI'!$A:$W,MATCH($A$1,'DB Country PMI'!$A$1:$W$1,),))</f>
        <v>51.5</v>
      </c>
      <c r="C141" s="14">
        <f>Table134681134567[[#This Row],[PMI]]-B140</f>
        <v>-4</v>
      </c>
    </row>
    <row r="142" spans="1:3" x14ac:dyDescent="0.35">
      <c r="A142" s="8">
        <v>44593</v>
      </c>
      <c r="B142" s="11">
        <f>IF(VLOOKUP(A142,'DB Country PMI'!$A:$W,MATCH($A$1,'DB Country PMI'!$A$1:$W$1,),)=0,#N/A,VLOOKUP(A142,'DB Country PMI'!$A:$W,MATCH($A$1,'DB Country PMI'!$A$1:$W$1,),))</f>
        <v>51.8</v>
      </c>
      <c r="C142" s="14">
        <f>Table134681134567[[#This Row],[PMI]]-B141</f>
        <v>0.29999999999999716</v>
      </c>
    </row>
    <row r="143" spans="1:3" x14ac:dyDescent="0.35">
      <c r="A143" s="8">
        <v>44621</v>
      </c>
      <c r="B143" s="11">
        <f>IF(VLOOKUP(A143,'DB Country PMI'!$A:$W,MATCH($A$1,'DB Country PMI'!$A$1:$W$1,),)=0,#N/A,VLOOKUP(A143,'DB Country PMI'!$A:$W,MATCH($A$1,'DB Country PMI'!$A$1:$W$1,),))</f>
        <v>53.6</v>
      </c>
      <c r="C143" s="14">
        <f>Table134681134567[[#This Row],[PMI]]-B142</f>
        <v>1.8000000000000043</v>
      </c>
    </row>
    <row r="144" spans="1:3" x14ac:dyDescent="0.35">
      <c r="A144" s="8">
        <v>44652</v>
      </c>
      <c r="B144" s="11">
        <f>IF(VLOOKUP(A144,'DB Country PMI'!$A:$W,MATCH($A$1,'DB Country PMI'!$A$1:$W$1,),)=0,#N/A,VLOOKUP(A144,'DB Country PMI'!$A:$W,MATCH($A$1,'DB Country PMI'!$A$1:$W$1,),))</f>
        <v>57.9</v>
      </c>
      <c r="C144" s="14">
        <f>Table134681134567[[#This Row],[PMI]]-B143</f>
        <v>4.2999999999999972</v>
      </c>
    </row>
    <row r="145" spans="1:3" x14ac:dyDescent="0.35">
      <c r="A145" s="8">
        <v>44682</v>
      </c>
      <c r="B145" s="11">
        <f>IF(VLOOKUP(A145,'DB Country PMI'!$A:$W,MATCH($A$1,'DB Country PMI'!$A$1:$W$1,),)=0,#N/A,VLOOKUP(A145,'DB Country PMI'!$A:$W,MATCH($A$1,'DB Country PMI'!$A$1:$W$1,),))</f>
        <v>58.9</v>
      </c>
      <c r="C145" s="14">
        <f>Table134681134567[[#This Row],[PMI]]-B144</f>
        <v>1</v>
      </c>
    </row>
    <row r="146" spans="1:3" x14ac:dyDescent="0.35">
      <c r="A146" s="8">
        <v>44713</v>
      </c>
      <c r="B146" s="11">
        <f>IF(VLOOKUP(A146,'DB Country PMI'!$A:$W,MATCH($A$1,'DB Country PMI'!$A$1:$W$1,),)=0,#N/A,VLOOKUP(A146,'DB Country PMI'!$A:$W,MATCH($A$1,'DB Country PMI'!$A$1:$W$1,),))</f>
        <v>59.2</v>
      </c>
      <c r="C146" s="14">
        <f>Table134681134567[[#This Row],[PMI]]-B145</f>
        <v>0.30000000000000426</v>
      </c>
    </row>
    <row r="147" spans="1:3" x14ac:dyDescent="0.35">
      <c r="A147" s="8">
        <v>44743</v>
      </c>
      <c r="B147" s="11">
        <f>IF(VLOOKUP(A147,'DB Country PMI'!$A:$W,MATCH($A$1,'DB Country PMI'!$A$1:$W$1,),)=0,#N/A,VLOOKUP(A147,'DB Country PMI'!$A:$W,MATCH($A$1,'DB Country PMI'!$A$1:$W$1,),))</f>
        <v>55.5</v>
      </c>
      <c r="C147" s="14">
        <f>Table134681134567[[#This Row],[PMI]]-B146</f>
        <v>-3.7000000000000028</v>
      </c>
    </row>
    <row r="148" spans="1:3" x14ac:dyDescent="0.35">
      <c r="A148" s="8">
        <v>44774</v>
      </c>
      <c r="B148" s="11">
        <f>IF(VLOOKUP(A148,'DB Country PMI'!$A:$W,MATCH($A$1,'DB Country PMI'!$A$1:$W$1,),)=0,#N/A,VLOOKUP(A148,'DB Country PMI'!$A:$W,MATCH($A$1,'DB Country PMI'!$A$1:$W$1,),))</f>
        <v>57.2</v>
      </c>
      <c r="C148" s="14">
        <f>Table134681134567[[#This Row],[PMI]]-B147</f>
        <v>1.7000000000000028</v>
      </c>
    </row>
    <row r="149" spans="1:3" x14ac:dyDescent="0.35">
      <c r="A149" s="8">
        <v>44805</v>
      </c>
      <c r="B149" s="11">
        <f>IF(VLOOKUP(A149,'DB Country PMI'!$A:$W,MATCH($A$1,'DB Country PMI'!$A$1:$W$1,),)=0,#N/A,VLOOKUP(A149,'DB Country PMI'!$A:$W,MATCH($A$1,'DB Country PMI'!$A$1:$W$1,),))</f>
        <v>54.3</v>
      </c>
      <c r="C149" s="14">
        <f>Table134681134567[[#This Row],[PMI]]-B148</f>
        <v>-2.9000000000000057</v>
      </c>
    </row>
    <row r="150" spans="1:3" x14ac:dyDescent="0.35">
      <c r="A150" s="8">
        <v>44835</v>
      </c>
      <c r="B150" s="11">
        <f>IF(VLOOKUP(A150,'DB Country PMI'!$A:$W,MATCH($A$1,'DB Country PMI'!$A$1:$W$1,),)=0,#N/A,VLOOKUP(A150,'DB Country PMI'!$A:$W,MATCH($A$1,'DB Country PMI'!$A$1:$W$1,),))</f>
        <v>55.1</v>
      </c>
      <c r="C150" s="14">
        <f>Table134681134567[[#This Row],[PMI]]-B149</f>
        <v>0.80000000000000426</v>
      </c>
    </row>
    <row r="151" spans="1:3" x14ac:dyDescent="0.35">
      <c r="A151" s="8">
        <v>44866</v>
      </c>
      <c r="B151" s="11">
        <f>IF(VLOOKUP(A151,'DB Country PMI'!$A:$W,MATCH($A$1,'DB Country PMI'!$A$1:$W$1,),)=0,#N/A,VLOOKUP(A151,'DB Country PMI'!$A:$W,MATCH($A$1,'DB Country PMI'!$A$1:$W$1,),))</f>
        <v>56.4</v>
      </c>
      <c r="C151" s="14">
        <f>Table134681134567[[#This Row],[PMI]]-B150</f>
        <v>1.2999999999999972</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1"/>
  <sheetViews>
    <sheetView zoomScale="150" zoomScaleNormal="150" workbookViewId="0">
      <pane ySplit="5" topLeftCell="A132" activePane="bottomLeft" state="frozen"/>
      <selection pane="bottomLeft" activeCell="A139" sqref="A139: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31</v>
      </c>
      <c r="J1" s="47" t="s">
        <v>62</v>
      </c>
    </row>
    <row r="2" spans="1:10" x14ac:dyDescent="0.35">
      <c r="J2" s="47" t="s">
        <v>70</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50.7</v>
      </c>
      <c r="C6" s="11"/>
    </row>
    <row r="7" spans="1:10" x14ac:dyDescent="0.35">
      <c r="A7" s="8">
        <v>40483</v>
      </c>
      <c r="B7" s="11">
        <f>IF(VLOOKUP(A7,'DB Country PMI'!$A:$W,MATCH($A$1,'DB Country PMI'!$A$1:$W$1,),)=0,#N/A,VLOOKUP(A7,'DB Country PMI'!$A:$W,MATCH($A$1,'DB Country PMI'!$A$1:$W$1,),))</f>
        <v>46.2</v>
      </c>
      <c r="C7" s="14">
        <f>Table13468113456716[[#This Row],[PMI]]-B6</f>
        <v>-4.5</v>
      </c>
    </row>
    <row r="8" spans="1:10" x14ac:dyDescent="0.35">
      <c r="A8" s="8">
        <v>40513</v>
      </c>
      <c r="B8" s="11">
        <f>IF(VLOOKUP(A8,'DB Country PMI'!$A:$W,MATCH($A$1,'DB Country PMI'!$A$1:$W$1,),)=0,#N/A,VLOOKUP(A8,'DB Country PMI'!$A:$W,MATCH($A$1,'DB Country PMI'!$A$1:$W$1,),))</f>
        <v>47.1</v>
      </c>
      <c r="C8" s="14">
        <f>Table13468113456716[[#This Row],[PMI]]-B7</f>
        <v>0.89999999999999858</v>
      </c>
    </row>
    <row r="9" spans="1:10" x14ac:dyDescent="0.35">
      <c r="A9" s="8">
        <v>40544</v>
      </c>
      <c r="B9" s="11">
        <f>IF(VLOOKUP(A9,'DB Country PMI'!$A:$W,MATCH($A$1,'DB Country PMI'!$A$1:$W$1,),)=0,#N/A,VLOOKUP(A9,'DB Country PMI'!$A:$W,MATCH($A$1,'DB Country PMI'!$A$1:$W$1,),))</f>
        <v>45.5</v>
      </c>
      <c r="C9" s="14">
        <f>Table13468113456716[[#This Row],[PMI]]-B8</f>
        <v>-1.6000000000000014</v>
      </c>
    </row>
    <row r="10" spans="1:10" x14ac:dyDescent="0.35">
      <c r="A10" s="8">
        <v>40575</v>
      </c>
      <c r="B10" s="11">
        <f>IF(VLOOKUP(A10,'DB Country PMI'!$A:$W,MATCH($A$1,'DB Country PMI'!$A$1:$W$1,),)=0,#N/A,VLOOKUP(A10,'DB Country PMI'!$A:$W,MATCH($A$1,'DB Country PMI'!$A$1:$W$1,),))</f>
        <v>48.7</v>
      </c>
      <c r="C10" s="14">
        <f>Table13468113456716[[#This Row],[PMI]]-B9</f>
        <v>3.2000000000000028</v>
      </c>
    </row>
    <row r="11" spans="1:10" x14ac:dyDescent="0.35">
      <c r="A11" s="8">
        <v>40603</v>
      </c>
      <c r="B11" s="11">
        <f>IF(VLOOKUP(A11,'DB Country PMI'!$A:$W,MATCH($A$1,'DB Country PMI'!$A$1:$W$1,),)=0,#N/A,VLOOKUP(A11,'DB Country PMI'!$A:$W,MATCH($A$1,'DB Country PMI'!$A$1:$W$1,),))</f>
        <v>46.5</v>
      </c>
      <c r="C11" s="14">
        <f>Table13468113456716[[#This Row],[PMI]]-B10</f>
        <v>-2.2000000000000028</v>
      </c>
    </row>
    <row r="12" spans="1:10" x14ac:dyDescent="0.35">
      <c r="A12" s="8">
        <v>40634</v>
      </c>
      <c r="B12" s="11">
        <f>IF(VLOOKUP(A12,'DB Country PMI'!$A:$W,MATCH($A$1,'DB Country PMI'!$A$1:$W$1,),)=0,#N/A,VLOOKUP(A12,'DB Country PMI'!$A:$W,MATCH($A$1,'DB Country PMI'!$A$1:$W$1,),))</f>
        <v>51.5</v>
      </c>
      <c r="C12" s="14">
        <f>Table13468113456716[[#This Row],[PMI]]-B11</f>
        <v>5</v>
      </c>
    </row>
    <row r="13" spans="1:10" x14ac:dyDescent="0.35">
      <c r="A13" s="8">
        <v>40664</v>
      </c>
      <c r="B13" s="11">
        <f>IF(VLOOKUP(A13,'DB Country PMI'!$A:$W,MATCH($A$1,'DB Country PMI'!$A$1:$W$1,),)=0,#N/A,VLOOKUP(A13,'DB Country PMI'!$A:$W,MATCH($A$1,'DB Country PMI'!$A$1:$W$1,),))</f>
        <v>49.9</v>
      </c>
      <c r="C13" s="14">
        <f>Table13468113456716[[#This Row],[PMI]]-B12</f>
        <v>-1.6000000000000014</v>
      </c>
    </row>
    <row r="14" spans="1:10" x14ac:dyDescent="0.35">
      <c r="A14" s="8">
        <v>40695</v>
      </c>
      <c r="B14" s="11">
        <f>IF(VLOOKUP(A14,'DB Country PMI'!$A:$W,MATCH($A$1,'DB Country PMI'!$A$1:$W$1,),)=0,#N/A,VLOOKUP(A14,'DB Country PMI'!$A:$W,MATCH($A$1,'DB Country PMI'!$A$1:$W$1,),))</f>
        <v>48.5</v>
      </c>
      <c r="C14" s="14">
        <f>Table13468113456716[[#This Row],[PMI]]-B13</f>
        <v>-1.3999999999999986</v>
      </c>
    </row>
    <row r="15" spans="1:10" x14ac:dyDescent="0.35">
      <c r="A15" s="8">
        <v>40725</v>
      </c>
      <c r="B15" s="11">
        <f>IF(VLOOKUP(A15,'DB Country PMI'!$A:$W,MATCH($A$1,'DB Country PMI'!$A$1:$W$1,),)=0,#N/A,VLOOKUP(A15,'DB Country PMI'!$A:$W,MATCH($A$1,'DB Country PMI'!$A$1:$W$1,),))</f>
        <v>48.8</v>
      </c>
      <c r="C15" s="14">
        <f>Table13468113456716[[#This Row],[PMI]]-B14</f>
        <v>0.29999999999999716</v>
      </c>
    </row>
    <row r="16" spans="1:10" x14ac:dyDescent="0.35">
      <c r="A16" s="8">
        <v>40756</v>
      </c>
      <c r="B16" s="11">
        <f>IF(VLOOKUP(A16,'DB Country PMI'!$A:$W,MATCH($A$1,'DB Country PMI'!$A$1:$W$1,),)=0,#N/A,VLOOKUP(A16,'DB Country PMI'!$A:$W,MATCH($A$1,'DB Country PMI'!$A$1:$W$1,),))</f>
        <v>52.1</v>
      </c>
      <c r="C16" s="14">
        <f>Table13468113456716[[#This Row],[PMI]]-B15</f>
        <v>3.3000000000000043</v>
      </c>
    </row>
    <row r="17" spans="1:3" x14ac:dyDescent="0.35">
      <c r="A17" s="8">
        <v>40787</v>
      </c>
      <c r="B17" s="11">
        <f>IF(VLOOKUP(A17,'DB Country PMI'!$A:$W,MATCH($A$1,'DB Country PMI'!$A$1:$W$1,),)=0,#N/A,VLOOKUP(A17,'DB Country PMI'!$A:$W,MATCH($A$1,'DB Country PMI'!$A$1:$W$1,),))</f>
        <v>50.3</v>
      </c>
      <c r="C17" s="14">
        <f>Table13468113456716[[#This Row],[PMI]]-B16</f>
        <v>-1.8000000000000043</v>
      </c>
    </row>
    <row r="18" spans="1:3" x14ac:dyDescent="0.35">
      <c r="A18" s="8">
        <v>40817</v>
      </c>
      <c r="B18" s="11">
        <f>IF(VLOOKUP(A18,'DB Country PMI'!$A:$W,MATCH($A$1,'DB Country PMI'!$A$1:$W$1,),)=0,#N/A,VLOOKUP(A18,'DB Country PMI'!$A:$W,MATCH($A$1,'DB Country PMI'!$A$1:$W$1,),))</f>
        <v>48.8</v>
      </c>
      <c r="C18" s="14">
        <f>Table13468113456716[[#This Row],[PMI]]-B17</f>
        <v>-1.5</v>
      </c>
    </row>
    <row r="19" spans="1:3" x14ac:dyDescent="0.35">
      <c r="A19" s="8">
        <v>40848</v>
      </c>
      <c r="B19" s="11">
        <f>IF(VLOOKUP(A19,'DB Country PMI'!$A:$W,MATCH($A$1,'DB Country PMI'!$A$1:$W$1,),)=0,#N/A,VLOOKUP(A19,'DB Country PMI'!$A:$W,MATCH($A$1,'DB Country PMI'!$A$1:$W$1,),))</f>
        <v>47.7</v>
      </c>
      <c r="C19" s="14">
        <f>Table13468113456716[[#This Row],[PMI]]-B18</f>
        <v>-1.0999999999999943</v>
      </c>
    </row>
    <row r="20" spans="1:3" x14ac:dyDescent="0.35">
      <c r="A20" s="8">
        <v>40878</v>
      </c>
      <c r="B20" s="11">
        <f>IF(VLOOKUP(A20,'DB Country PMI'!$A:$W,MATCH($A$1,'DB Country PMI'!$A$1:$W$1,),)=0,#N/A,VLOOKUP(A20,'DB Country PMI'!$A:$W,MATCH($A$1,'DB Country PMI'!$A$1:$W$1,),))</f>
        <v>49</v>
      </c>
      <c r="C20" s="14">
        <f>Table13468113456716[[#This Row],[PMI]]-B19</f>
        <v>1.2999999999999972</v>
      </c>
    </row>
    <row r="21" spans="1:3" x14ac:dyDescent="0.35">
      <c r="A21" s="8">
        <v>40909</v>
      </c>
      <c r="B21" s="11">
        <f>IF(VLOOKUP(A21,'DB Country PMI'!$A:$W,MATCH($A$1,'DB Country PMI'!$A$1:$W$1,),)=0,#N/A,VLOOKUP(A21,'DB Country PMI'!$A:$W,MATCH($A$1,'DB Country PMI'!$A$1:$W$1,),))</f>
        <v>51.9</v>
      </c>
      <c r="C21" s="14">
        <f>Table13468113456716[[#This Row],[PMI]]-B20</f>
        <v>2.8999999999999986</v>
      </c>
    </row>
    <row r="22" spans="1:3" x14ac:dyDescent="0.35">
      <c r="A22" s="8">
        <v>40940</v>
      </c>
      <c r="B22" s="11">
        <f>IF(VLOOKUP(A22,'DB Country PMI'!$A:$W,MATCH($A$1,'DB Country PMI'!$A$1:$W$1,),)=0,#N/A,VLOOKUP(A22,'DB Country PMI'!$A:$W,MATCH($A$1,'DB Country PMI'!$A$1:$W$1,),))</f>
        <v>46.7</v>
      </c>
      <c r="C22" s="14">
        <f>Table13468113456716[[#This Row],[PMI]]-B21</f>
        <v>-5.1999999999999957</v>
      </c>
    </row>
    <row r="23" spans="1:3" x14ac:dyDescent="0.35">
      <c r="A23" s="8">
        <v>40969</v>
      </c>
      <c r="B23" s="11">
        <f>IF(VLOOKUP(A23,'DB Country PMI'!$A:$W,MATCH($A$1,'DB Country PMI'!$A$1:$W$1,),)=0,#N/A,VLOOKUP(A23,'DB Country PMI'!$A:$W,MATCH($A$1,'DB Country PMI'!$A$1:$W$1,),))</f>
        <v>47</v>
      </c>
      <c r="C23" s="14">
        <f>Table13468113456716[[#This Row],[PMI]]-B22</f>
        <v>0.29999999999999716</v>
      </c>
    </row>
    <row r="24" spans="1:3" x14ac:dyDescent="0.35">
      <c r="A24" s="8">
        <v>41000</v>
      </c>
      <c r="B24" s="11">
        <f>IF(VLOOKUP(A24,'DB Country PMI'!$A:$W,MATCH($A$1,'DB Country PMI'!$A$1:$W$1,),)=0,#N/A,VLOOKUP(A24,'DB Country PMI'!$A:$W,MATCH($A$1,'DB Country PMI'!$A$1:$W$1,),))</f>
        <v>39.6</v>
      </c>
      <c r="C24" s="14">
        <f>Table13468113456716[[#This Row],[PMI]]-B23</f>
        <v>-7.3999999999999986</v>
      </c>
    </row>
    <row r="25" spans="1:3" x14ac:dyDescent="0.35">
      <c r="A25" s="8">
        <v>41030</v>
      </c>
      <c r="B25" s="11">
        <f>IF(VLOOKUP(A25,'DB Country PMI'!$A:$W,MATCH($A$1,'DB Country PMI'!$A$1:$W$1,),)=0,#N/A,VLOOKUP(A25,'DB Country PMI'!$A:$W,MATCH($A$1,'DB Country PMI'!$A$1:$W$1,),))</f>
        <v>43.5</v>
      </c>
      <c r="C25" s="14">
        <f>Table13468113456716[[#This Row],[PMI]]-B24</f>
        <v>3.8999999999999986</v>
      </c>
    </row>
    <row r="26" spans="1:3" x14ac:dyDescent="0.35">
      <c r="A26" s="8">
        <v>41061</v>
      </c>
      <c r="B26" s="11">
        <f>IF(VLOOKUP(A26,'DB Country PMI'!$A:$W,MATCH($A$1,'DB Country PMI'!$A$1:$W$1,),)=0,#N/A,VLOOKUP(A26,'DB Country PMI'!$A:$W,MATCH($A$1,'DB Country PMI'!$A$1:$W$1,),))</f>
        <v>48.8</v>
      </c>
      <c r="C26" s="14">
        <f>Table13468113456716[[#This Row],[PMI]]-B25</f>
        <v>5.2999999999999972</v>
      </c>
    </row>
    <row r="27" spans="1:3" x14ac:dyDescent="0.35">
      <c r="A27" s="8">
        <v>41091</v>
      </c>
      <c r="B27" s="11">
        <f>IF(VLOOKUP(A27,'DB Country PMI'!$A:$W,MATCH($A$1,'DB Country PMI'!$A$1:$W$1,),)=0,#N/A,VLOOKUP(A27,'DB Country PMI'!$A:$W,MATCH($A$1,'DB Country PMI'!$A$1:$W$1,),))</f>
        <v>46.5</v>
      </c>
      <c r="C27" s="14">
        <f>Table13468113456716[[#This Row],[PMI]]-B26</f>
        <v>-2.2999999999999972</v>
      </c>
    </row>
    <row r="28" spans="1:3" x14ac:dyDescent="0.35">
      <c r="A28" s="8">
        <v>41122</v>
      </c>
      <c r="B28" s="11">
        <f>IF(VLOOKUP(A28,'DB Country PMI'!$A:$W,MATCH($A$1,'DB Country PMI'!$A$1:$W$1,),)=0,#N/A,VLOOKUP(A28,'DB Country PMI'!$A:$W,MATCH($A$1,'DB Country PMI'!$A$1:$W$1,),))</f>
        <v>42.4</v>
      </c>
      <c r="C28" s="14">
        <f>Table13468113456716[[#This Row],[PMI]]-B27</f>
        <v>-4.1000000000000014</v>
      </c>
    </row>
    <row r="29" spans="1:3" x14ac:dyDescent="0.35">
      <c r="A29" s="8">
        <v>41153</v>
      </c>
      <c r="B29" s="11">
        <f>IF(VLOOKUP(A29,'DB Country PMI'!$A:$W,MATCH($A$1,'DB Country PMI'!$A$1:$W$1,),)=0,#N/A,VLOOKUP(A29,'DB Country PMI'!$A:$W,MATCH($A$1,'DB Country PMI'!$A$1:$W$1,),))</f>
        <v>41.9</v>
      </c>
      <c r="C29" s="14">
        <f>Table13468113456716[[#This Row],[PMI]]-B28</f>
        <v>-0.5</v>
      </c>
    </row>
    <row r="30" spans="1:3" x14ac:dyDescent="0.35">
      <c r="A30" s="8">
        <v>41183</v>
      </c>
      <c r="B30" s="11">
        <f>IF(VLOOKUP(A30,'DB Country PMI'!$A:$W,MATCH($A$1,'DB Country PMI'!$A$1:$W$1,),)=0,#N/A,VLOOKUP(A30,'DB Country PMI'!$A:$W,MATCH($A$1,'DB Country PMI'!$A$1:$W$1,),))</f>
        <v>42.8</v>
      </c>
      <c r="C30" s="14">
        <f>Table13468113456716[[#This Row],[PMI]]-B29</f>
        <v>0.89999999999999858</v>
      </c>
    </row>
    <row r="31" spans="1:3" x14ac:dyDescent="0.35">
      <c r="A31" s="8">
        <v>41214</v>
      </c>
      <c r="B31" s="11">
        <f>IF(VLOOKUP(A31,'DB Country PMI'!$A:$W,MATCH($A$1,'DB Country PMI'!$A$1:$W$1,),)=0,#N/A,VLOOKUP(A31,'DB Country PMI'!$A:$W,MATCH($A$1,'DB Country PMI'!$A$1:$W$1,),))</f>
        <v>47.1</v>
      </c>
      <c r="C31" s="14">
        <f>Table13468113456716[[#This Row],[PMI]]-B30</f>
        <v>4.3000000000000043</v>
      </c>
    </row>
    <row r="32" spans="1:3" x14ac:dyDescent="0.35">
      <c r="A32" s="8">
        <v>41244</v>
      </c>
      <c r="B32" s="11">
        <f>IF(VLOOKUP(A32,'DB Country PMI'!$A:$W,MATCH($A$1,'DB Country PMI'!$A$1:$W$1,),)=0,#N/A,VLOOKUP(A32,'DB Country PMI'!$A:$W,MATCH($A$1,'DB Country PMI'!$A$1:$W$1,),))</f>
        <v>46.3</v>
      </c>
      <c r="C32" s="14">
        <f>Table13468113456716[[#This Row],[PMI]]-B31</f>
        <v>-0.80000000000000426</v>
      </c>
    </row>
    <row r="33" spans="1:3" x14ac:dyDescent="0.35">
      <c r="A33" s="8">
        <v>41275</v>
      </c>
      <c r="B33" s="11">
        <f>IF(VLOOKUP(A33,'DB Country PMI'!$A:$W,MATCH($A$1,'DB Country PMI'!$A$1:$W$1,),)=0,#N/A,VLOOKUP(A33,'DB Country PMI'!$A:$W,MATCH($A$1,'DB Country PMI'!$A$1:$W$1,),))</f>
        <v>45.4</v>
      </c>
      <c r="C33" s="14">
        <f>Table13468113456716[[#This Row],[PMI]]-B32</f>
        <v>-0.89999999999999858</v>
      </c>
    </row>
    <row r="34" spans="1:3" x14ac:dyDescent="0.35">
      <c r="A34" s="8">
        <v>41306</v>
      </c>
      <c r="B34" s="11">
        <f>IF(VLOOKUP(A34,'DB Country PMI'!$A:$W,MATCH($A$1,'DB Country PMI'!$A$1:$W$1,),)=0,#N/A,VLOOKUP(A34,'DB Country PMI'!$A:$W,MATCH($A$1,'DB Country PMI'!$A$1:$W$1,),))</f>
        <v>48.5</v>
      </c>
      <c r="C34" s="14">
        <f>Table13468113456716[[#This Row],[PMI]]-B33</f>
        <v>3.1000000000000014</v>
      </c>
    </row>
    <row r="35" spans="1:3" x14ac:dyDescent="0.35">
      <c r="A35" s="8">
        <v>41334</v>
      </c>
      <c r="B35" s="11">
        <f>IF(VLOOKUP(A35,'DB Country PMI'!$A:$W,MATCH($A$1,'DB Country PMI'!$A$1:$W$1,),)=0,#N/A,VLOOKUP(A35,'DB Country PMI'!$A:$W,MATCH($A$1,'DB Country PMI'!$A$1:$W$1,),))</f>
        <v>49.6</v>
      </c>
      <c r="C35" s="14">
        <f>Table13468113456716[[#This Row],[PMI]]-B34</f>
        <v>1.1000000000000014</v>
      </c>
    </row>
    <row r="36" spans="1:3" x14ac:dyDescent="0.35">
      <c r="A36" s="8">
        <v>41365</v>
      </c>
      <c r="B36" s="11">
        <f>IF(VLOOKUP(A36,'DB Country PMI'!$A:$W,MATCH($A$1,'DB Country PMI'!$A$1:$W$1,),)=0,#N/A,VLOOKUP(A36,'DB Country PMI'!$A:$W,MATCH($A$1,'DB Country PMI'!$A$1:$W$1,),))</f>
        <v>44.1</v>
      </c>
      <c r="C36" s="14">
        <f>Table13468113456716[[#This Row],[PMI]]-B35</f>
        <v>-5.5</v>
      </c>
    </row>
    <row r="37" spans="1:3" x14ac:dyDescent="0.35">
      <c r="A37" s="8">
        <v>41395</v>
      </c>
      <c r="B37" s="11">
        <f>IF(VLOOKUP(A37,'DB Country PMI'!$A:$W,MATCH($A$1,'DB Country PMI'!$A$1:$W$1,),)=0,#N/A,VLOOKUP(A37,'DB Country PMI'!$A:$W,MATCH($A$1,'DB Country PMI'!$A$1:$W$1,),))</f>
        <v>40.6</v>
      </c>
      <c r="C37" s="14">
        <f>Table13468113456716[[#This Row],[PMI]]-B36</f>
        <v>-3.5</v>
      </c>
    </row>
    <row r="38" spans="1:3" x14ac:dyDescent="0.35">
      <c r="A38" s="8">
        <v>41426</v>
      </c>
      <c r="B38" s="11">
        <f>IF(VLOOKUP(A38,'DB Country PMI'!$A:$W,MATCH($A$1,'DB Country PMI'!$A$1:$W$1,),)=0,#N/A,VLOOKUP(A38,'DB Country PMI'!$A:$W,MATCH($A$1,'DB Country PMI'!$A$1:$W$1,),))</f>
        <v>41.5</v>
      </c>
      <c r="C38" s="14">
        <f>Table13468113456716[[#This Row],[PMI]]-B37</f>
        <v>0.89999999999999858</v>
      </c>
    </row>
    <row r="39" spans="1:3" x14ac:dyDescent="0.35">
      <c r="A39" s="8">
        <v>41456</v>
      </c>
      <c r="B39" s="11">
        <f>IF(VLOOKUP(A39,'DB Country PMI'!$A:$W,MATCH($A$1,'DB Country PMI'!$A$1:$W$1,),)=0,#N/A,VLOOKUP(A39,'DB Country PMI'!$A:$W,MATCH($A$1,'DB Country PMI'!$A$1:$W$1,),))</f>
        <v>39.4</v>
      </c>
      <c r="C39" s="14">
        <f>Table13468113456716[[#This Row],[PMI]]-B38</f>
        <v>-2.1000000000000014</v>
      </c>
    </row>
    <row r="40" spans="1:3" x14ac:dyDescent="0.35">
      <c r="A40" s="8">
        <v>41487</v>
      </c>
      <c r="B40" s="11">
        <f>IF(VLOOKUP(A40,'DB Country PMI'!$A:$W,MATCH($A$1,'DB Country PMI'!$A$1:$W$1,),)=0,#N/A,VLOOKUP(A40,'DB Country PMI'!$A:$W,MATCH($A$1,'DB Country PMI'!$A$1:$W$1,),))</f>
        <v>39</v>
      </c>
      <c r="C40" s="14">
        <f>Table13468113456716[[#This Row],[PMI]]-B39</f>
        <v>-0.39999999999999858</v>
      </c>
    </row>
    <row r="41" spans="1:3" x14ac:dyDescent="0.35">
      <c r="A41" s="8">
        <v>41518</v>
      </c>
      <c r="B41" s="11">
        <f>IF(VLOOKUP(A41,'DB Country PMI'!$A:$W,MATCH($A$1,'DB Country PMI'!$A$1:$W$1,),)=0,#N/A,VLOOKUP(A41,'DB Country PMI'!$A:$W,MATCH($A$1,'DB Country PMI'!$A$1:$W$1,),))</f>
        <v>47.1</v>
      </c>
      <c r="C41" s="14">
        <f>Table13468113456716[[#This Row],[PMI]]-B40</f>
        <v>8.1000000000000014</v>
      </c>
    </row>
    <row r="42" spans="1:3" x14ac:dyDescent="0.35">
      <c r="A42" s="8">
        <v>41548</v>
      </c>
      <c r="B42" s="11">
        <f>IF(VLOOKUP(A42,'DB Country PMI'!$A:$W,MATCH($A$1,'DB Country PMI'!$A$1:$W$1,),)=0,#N/A,VLOOKUP(A42,'DB Country PMI'!$A:$W,MATCH($A$1,'DB Country PMI'!$A$1:$W$1,),))</f>
        <v>47.9</v>
      </c>
      <c r="C42" s="14">
        <f>Table13468113456716[[#This Row],[PMI]]-B41</f>
        <v>0.79999999999999716</v>
      </c>
    </row>
    <row r="43" spans="1:3" x14ac:dyDescent="0.35">
      <c r="A43" s="8">
        <v>41579</v>
      </c>
      <c r="B43" s="11">
        <f>IF(VLOOKUP(A43,'DB Country PMI'!$A:$W,MATCH($A$1,'DB Country PMI'!$A$1:$W$1,),)=0,#N/A,VLOOKUP(A43,'DB Country PMI'!$A:$W,MATCH($A$1,'DB Country PMI'!$A$1:$W$1,),))</f>
        <v>48.9</v>
      </c>
      <c r="C43" s="14">
        <f>Table13468113456716[[#This Row],[PMI]]-B42</f>
        <v>1</v>
      </c>
    </row>
    <row r="44" spans="1:3" x14ac:dyDescent="0.35">
      <c r="A44" s="8">
        <v>41609</v>
      </c>
      <c r="B44" s="11">
        <f>IF(VLOOKUP(A44,'DB Country PMI'!$A:$W,MATCH($A$1,'DB Country PMI'!$A$1:$W$1,),)=0,#N/A,VLOOKUP(A44,'DB Country PMI'!$A:$W,MATCH($A$1,'DB Country PMI'!$A$1:$W$1,),))</f>
        <v>46.1</v>
      </c>
      <c r="C44" s="14">
        <f>Table13468113456716[[#This Row],[PMI]]-B43</f>
        <v>-2.7999999999999972</v>
      </c>
    </row>
    <row r="45" spans="1:3" x14ac:dyDescent="0.35">
      <c r="A45" s="8">
        <v>41640</v>
      </c>
      <c r="B45" s="11">
        <f>IF(VLOOKUP(A45,'DB Country PMI'!$A:$W,MATCH($A$1,'DB Country PMI'!$A$1:$W$1,),)=0,#N/A,VLOOKUP(A45,'DB Country PMI'!$A:$W,MATCH($A$1,'DB Country PMI'!$A$1:$W$1,),))</f>
        <v>49.3</v>
      </c>
      <c r="C45" s="14">
        <f>Table13468113456716[[#This Row],[PMI]]-B44</f>
        <v>3.1999999999999957</v>
      </c>
    </row>
    <row r="46" spans="1:3" x14ac:dyDescent="0.35">
      <c r="A46" s="8">
        <v>41671</v>
      </c>
      <c r="B46" s="11">
        <f>IF(VLOOKUP(A46,'DB Country PMI'!$A:$W,MATCH($A$1,'DB Country PMI'!$A$1:$W$1,),)=0,#N/A,VLOOKUP(A46,'DB Country PMI'!$A:$W,MATCH($A$1,'DB Country PMI'!$A$1:$W$1,),))</f>
        <v>55.2</v>
      </c>
      <c r="C46" s="14">
        <f>Table13468113456716[[#This Row],[PMI]]-B45</f>
        <v>5.9000000000000057</v>
      </c>
    </row>
    <row r="47" spans="1:3" x14ac:dyDescent="0.35">
      <c r="A47" s="8">
        <v>41699</v>
      </c>
      <c r="B47" s="11">
        <f>IF(VLOOKUP(A47,'DB Country PMI'!$A:$W,MATCH($A$1,'DB Country PMI'!$A$1:$W$1,),)=0,#N/A,VLOOKUP(A47,'DB Country PMI'!$A:$W,MATCH($A$1,'DB Country PMI'!$A$1:$W$1,),))</f>
        <v>48.9</v>
      </c>
      <c r="C47" s="14">
        <f>Table13468113456716[[#This Row],[PMI]]-B46</f>
        <v>-6.3000000000000043</v>
      </c>
    </row>
    <row r="48" spans="1:3" x14ac:dyDescent="0.35">
      <c r="A48" s="8">
        <v>41730</v>
      </c>
      <c r="B48" s="11">
        <f>IF(VLOOKUP(A48,'DB Country PMI'!$A:$W,MATCH($A$1,'DB Country PMI'!$A$1:$W$1,),)=0,#N/A,VLOOKUP(A48,'DB Country PMI'!$A:$W,MATCH($A$1,'DB Country PMI'!$A$1:$W$1,),))</f>
        <v>48.6</v>
      </c>
      <c r="C48" s="14">
        <f>Table13468113456716[[#This Row],[PMI]]-B47</f>
        <v>-0.29999999999999716</v>
      </c>
    </row>
    <row r="49" spans="1:3" x14ac:dyDescent="0.35">
      <c r="A49" s="8">
        <v>41760</v>
      </c>
      <c r="B49" s="11">
        <f>IF(VLOOKUP(A49,'DB Country PMI'!$A:$W,MATCH($A$1,'DB Country PMI'!$A$1:$W$1,),)=0,#N/A,VLOOKUP(A49,'DB Country PMI'!$A:$W,MATCH($A$1,'DB Country PMI'!$A$1:$W$1,),))</f>
        <v>49.9</v>
      </c>
      <c r="C49" s="14">
        <f>Table13468113456716[[#This Row],[PMI]]-B48</f>
        <v>1.2999999999999972</v>
      </c>
    </row>
    <row r="50" spans="1:3" x14ac:dyDescent="0.35">
      <c r="A50" s="8">
        <v>41791</v>
      </c>
      <c r="B50" s="11">
        <f>IF(VLOOKUP(A50,'DB Country PMI'!$A:$W,MATCH($A$1,'DB Country PMI'!$A$1:$W$1,),)=0,#N/A,VLOOKUP(A50,'DB Country PMI'!$A:$W,MATCH($A$1,'DB Country PMI'!$A$1:$W$1,),))</f>
        <v>47.6</v>
      </c>
      <c r="C50" s="14">
        <f>Table13468113456716[[#This Row],[PMI]]-B49</f>
        <v>-2.2999999999999972</v>
      </c>
    </row>
    <row r="51" spans="1:3" x14ac:dyDescent="0.35">
      <c r="A51" s="8">
        <v>41821</v>
      </c>
      <c r="B51" s="11">
        <f>IF(VLOOKUP(A51,'DB Country PMI'!$A:$W,MATCH($A$1,'DB Country PMI'!$A$1:$W$1,),)=0,#N/A,VLOOKUP(A51,'DB Country PMI'!$A:$W,MATCH($A$1,'DB Country PMI'!$A$1:$W$1,),))</f>
        <v>49.3</v>
      </c>
      <c r="C51" s="14">
        <f>Table13468113456716[[#This Row],[PMI]]-B50</f>
        <v>1.6999999999999957</v>
      </c>
    </row>
    <row r="52" spans="1:3" x14ac:dyDescent="0.35">
      <c r="A52" s="8">
        <v>41852</v>
      </c>
      <c r="B52" s="11">
        <f>IF(VLOOKUP(A52,'DB Country PMI'!$A:$W,MATCH($A$1,'DB Country PMI'!$A$1:$W$1,),)=0,#N/A,VLOOKUP(A52,'DB Country PMI'!$A:$W,MATCH($A$1,'DB Country PMI'!$A$1:$W$1,),))</f>
        <v>49.4</v>
      </c>
      <c r="C52" s="14">
        <f>Table13468113456716[[#This Row],[PMI]]-B51</f>
        <v>0.10000000000000142</v>
      </c>
    </row>
    <row r="53" spans="1:3" x14ac:dyDescent="0.35">
      <c r="A53" s="8">
        <v>41883</v>
      </c>
      <c r="B53" s="11">
        <f>IF(VLOOKUP(A53,'DB Country PMI'!$A:$W,MATCH($A$1,'DB Country PMI'!$A$1:$W$1,),)=0,#N/A,VLOOKUP(A53,'DB Country PMI'!$A:$W,MATCH($A$1,'DB Country PMI'!$A$1:$W$1,),))</f>
        <v>45.5</v>
      </c>
      <c r="C53" s="14">
        <f>Table13468113456716[[#This Row],[PMI]]-B52</f>
        <v>-3.8999999999999986</v>
      </c>
    </row>
    <row r="54" spans="1:3" x14ac:dyDescent="0.35">
      <c r="A54" s="8">
        <v>41913</v>
      </c>
      <c r="B54" s="11">
        <f>IF(VLOOKUP(A54,'DB Country PMI'!$A:$W,MATCH($A$1,'DB Country PMI'!$A$1:$W$1,),)=0,#N/A,VLOOKUP(A54,'DB Country PMI'!$A:$W,MATCH($A$1,'DB Country PMI'!$A$1:$W$1,),))</f>
        <v>43.6</v>
      </c>
      <c r="C54" s="14">
        <f>Table13468113456716[[#This Row],[PMI]]-B53</f>
        <v>-1.8999999999999986</v>
      </c>
    </row>
    <row r="55" spans="1:3" x14ac:dyDescent="0.35">
      <c r="A55" s="8">
        <v>41944</v>
      </c>
      <c r="B55" s="11">
        <f>IF(VLOOKUP(A55,'DB Country PMI'!$A:$W,MATCH($A$1,'DB Country PMI'!$A$1:$W$1,),)=0,#N/A,VLOOKUP(A55,'DB Country PMI'!$A:$W,MATCH($A$1,'DB Country PMI'!$A$1:$W$1,),))</f>
        <v>43.8</v>
      </c>
      <c r="C55" s="14">
        <f>Table13468113456716[[#This Row],[PMI]]-B54</f>
        <v>0.19999999999999574</v>
      </c>
    </row>
    <row r="56" spans="1:3" x14ac:dyDescent="0.35">
      <c r="A56" s="8">
        <v>41974</v>
      </c>
      <c r="B56" s="11">
        <f>IF(VLOOKUP(A56,'DB Country PMI'!$A:$W,MATCH($A$1,'DB Country PMI'!$A$1:$W$1,),)=0,#N/A,VLOOKUP(A56,'DB Country PMI'!$A:$W,MATCH($A$1,'DB Country PMI'!$A$1:$W$1,),))</f>
        <v>47.5</v>
      </c>
      <c r="C56" s="14">
        <f>Table13468113456716[[#This Row],[PMI]]-B55</f>
        <v>3.7000000000000028</v>
      </c>
    </row>
    <row r="57" spans="1:3" x14ac:dyDescent="0.35">
      <c r="A57" s="8">
        <v>42005</v>
      </c>
      <c r="B57" s="11">
        <f>IF(VLOOKUP(A57,'DB Country PMI'!$A:$W,MATCH($A$1,'DB Country PMI'!$A$1:$W$1,),)=0,#N/A,VLOOKUP(A57,'DB Country PMI'!$A:$W,MATCH($A$1,'DB Country PMI'!$A$1:$W$1,),))</f>
        <v>49.5</v>
      </c>
      <c r="C57" s="14">
        <f>Table13468113456716[[#This Row],[PMI]]-B56</f>
        <v>2</v>
      </c>
    </row>
    <row r="58" spans="1:3" x14ac:dyDescent="0.35">
      <c r="A58" s="8">
        <v>42036</v>
      </c>
      <c r="B58" s="11">
        <f>IF(VLOOKUP(A58,'DB Country PMI'!$A:$W,MATCH($A$1,'DB Country PMI'!$A$1:$W$1,),)=0,#N/A,VLOOKUP(A58,'DB Country PMI'!$A:$W,MATCH($A$1,'DB Country PMI'!$A$1:$W$1,),))</f>
        <v>51.7</v>
      </c>
      <c r="C58" s="14">
        <f>Table13468113456716[[#This Row],[PMI]]-B57</f>
        <v>2.2000000000000028</v>
      </c>
    </row>
    <row r="59" spans="1:3" x14ac:dyDescent="0.35">
      <c r="A59" s="8">
        <v>42064</v>
      </c>
      <c r="B59" s="11">
        <f>IF(VLOOKUP(A59,'DB Country PMI'!$A:$W,MATCH($A$1,'DB Country PMI'!$A$1:$W$1,),)=0,#N/A,VLOOKUP(A59,'DB Country PMI'!$A:$W,MATCH($A$1,'DB Country PMI'!$A$1:$W$1,),))</f>
        <v>50.2</v>
      </c>
      <c r="C59" s="14">
        <f>Table13468113456716[[#This Row],[PMI]]-B58</f>
        <v>-1.5</v>
      </c>
    </row>
    <row r="60" spans="1:3" x14ac:dyDescent="0.35">
      <c r="A60" s="8">
        <v>42095</v>
      </c>
      <c r="B60" s="11">
        <f>IF(VLOOKUP(A60,'DB Country PMI'!$A:$W,MATCH($A$1,'DB Country PMI'!$A$1:$W$1,),)=0,#N/A,VLOOKUP(A60,'DB Country PMI'!$A:$W,MATCH($A$1,'DB Country PMI'!$A$1:$W$1,),))</f>
        <v>49.7</v>
      </c>
      <c r="C60" s="14">
        <f>Table13468113456716[[#This Row],[PMI]]-B59</f>
        <v>-0.5</v>
      </c>
    </row>
    <row r="61" spans="1:3" x14ac:dyDescent="0.35">
      <c r="A61" s="8">
        <v>42125</v>
      </c>
      <c r="B61" s="11">
        <f>IF(VLOOKUP(A61,'DB Country PMI'!$A:$W,MATCH($A$1,'DB Country PMI'!$A$1:$W$1,),)=0,#N/A,VLOOKUP(A61,'DB Country PMI'!$A:$W,MATCH($A$1,'DB Country PMI'!$A$1:$W$1,),))</f>
        <v>49.6</v>
      </c>
      <c r="C61" s="14">
        <f>Table13468113456716[[#This Row],[PMI]]-B60</f>
        <v>-0.10000000000000142</v>
      </c>
    </row>
    <row r="62" spans="1:3" x14ac:dyDescent="0.35">
      <c r="A62" s="8">
        <v>42156</v>
      </c>
      <c r="B62" s="11">
        <f>IF(VLOOKUP(A62,'DB Country PMI'!$A:$W,MATCH($A$1,'DB Country PMI'!$A$1:$W$1,),)=0,#N/A,VLOOKUP(A62,'DB Country PMI'!$A:$W,MATCH($A$1,'DB Country PMI'!$A$1:$W$1,),))</f>
        <v>51.2</v>
      </c>
      <c r="C62" s="14">
        <f>Table13468113456716[[#This Row],[PMI]]-B61</f>
        <v>1.6000000000000014</v>
      </c>
    </row>
    <row r="63" spans="1:3" x14ac:dyDescent="0.35">
      <c r="A63" s="8">
        <v>42186</v>
      </c>
      <c r="B63" s="11">
        <f>IF(VLOOKUP(A63,'DB Country PMI'!$A:$W,MATCH($A$1,'DB Country PMI'!$A$1:$W$1,),)=0,#N/A,VLOOKUP(A63,'DB Country PMI'!$A:$W,MATCH($A$1,'DB Country PMI'!$A$1:$W$1,),))</f>
        <v>54.1</v>
      </c>
      <c r="C63" s="14">
        <f>Table13468113456716[[#This Row],[PMI]]-B62</f>
        <v>2.8999999999999986</v>
      </c>
    </row>
    <row r="64" spans="1:3" x14ac:dyDescent="0.35">
      <c r="A64" s="8">
        <v>42217</v>
      </c>
      <c r="B64" s="11">
        <f>IF(VLOOKUP(A64,'DB Country PMI'!$A:$W,MATCH($A$1,'DB Country PMI'!$A$1:$W$1,),)=0,#N/A,VLOOKUP(A64,'DB Country PMI'!$A:$W,MATCH($A$1,'DB Country PMI'!$A$1:$W$1,),))</f>
        <v>55.6</v>
      </c>
      <c r="C64" s="14">
        <f>Table13468113456716[[#This Row],[PMI]]-B63</f>
        <v>1.5</v>
      </c>
    </row>
    <row r="65" spans="1:3" x14ac:dyDescent="0.35">
      <c r="A65" s="8">
        <v>42248</v>
      </c>
      <c r="B65" s="11">
        <f>IF(VLOOKUP(A65,'DB Country PMI'!$A:$W,MATCH($A$1,'DB Country PMI'!$A$1:$W$1,),)=0,#N/A,VLOOKUP(A65,'DB Country PMI'!$A:$W,MATCH($A$1,'DB Country PMI'!$A$1:$W$1,),))</f>
        <v>52.3</v>
      </c>
      <c r="C65" s="14">
        <f>Table13468113456716[[#This Row],[PMI]]-B64</f>
        <v>-3.3000000000000043</v>
      </c>
    </row>
    <row r="66" spans="1:3" x14ac:dyDescent="0.35">
      <c r="A66" s="8">
        <v>42278</v>
      </c>
      <c r="B66" s="11">
        <f>IF(VLOOKUP(A66,'DB Country PMI'!$A:$W,MATCH($A$1,'DB Country PMI'!$A$1:$W$1,),)=0,#N/A,VLOOKUP(A66,'DB Country PMI'!$A:$W,MATCH($A$1,'DB Country PMI'!$A$1:$W$1,),))</f>
        <v>48.9</v>
      </c>
      <c r="C66" s="14">
        <f>Table13468113456716[[#This Row],[PMI]]-B65</f>
        <v>-3.3999999999999986</v>
      </c>
    </row>
    <row r="67" spans="1:3" x14ac:dyDescent="0.35">
      <c r="A67" s="8">
        <v>42309</v>
      </c>
      <c r="B67" s="11">
        <f>IF(VLOOKUP(A67,'DB Country PMI'!$A:$W,MATCH($A$1,'DB Country PMI'!$A$1:$W$1,),)=0,#N/A,VLOOKUP(A67,'DB Country PMI'!$A:$W,MATCH($A$1,'DB Country PMI'!$A$1:$W$1,),))</f>
        <v>48.2</v>
      </c>
      <c r="C67" s="14">
        <f>Table13468113456716[[#This Row],[PMI]]-B66</f>
        <v>-0.69999999999999574</v>
      </c>
    </row>
    <row r="68" spans="1:3" x14ac:dyDescent="0.35">
      <c r="A68" s="8">
        <v>42339</v>
      </c>
      <c r="B68" s="11">
        <f>IF(VLOOKUP(A68,'DB Country PMI'!$A:$W,MATCH($A$1,'DB Country PMI'!$A$1:$W$1,),)=0,#N/A,VLOOKUP(A68,'DB Country PMI'!$A:$W,MATCH($A$1,'DB Country PMI'!$A$1:$W$1,),))</f>
        <v>46.3</v>
      </c>
      <c r="C68" s="14">
        <f>Table13468113456716[[#This Row],[PMI]]-B67</f>
        <v>-1.9000000000000057</v>
      </c>
    </row>
    <row r="69" spans="1:3" x14ac:dyDescent="0.35">
      <c r="A69" s="8">
        <v>42370</v>
      </c>
      <c r="B69" s="11">
        <f>IF(VLOOKUP(A69,'DB Country PMI'!$A:$W,MATCH($A$1,'DB Country PMI'!$A$1:$W$1,),)=0,#N/A,VLOOKUP(A69,'DB Country PMI'!$A:$W,MATCH($A$1,'DB Country PMI'!$A$1:$W$1,),))</f>
        <v>48.4</v>
      </c>
      <c r="C69" s="14">
        <f>Table13468113456716[[#This Row],[PMI]]-B68</f>
        <v>2.1000000000000014</v>
      </c>
    </row>
    <row r="70" spans="1:3" x14ac:dyDescent="0.35">
      <c r="A70" s="8">
        <v>42401</v>
      </c>
      <c r="B70" s="11">
        <f>IF(VLOOKUP(A70,'DB Country PMI'!$A:$W,MATCH($A$1,'DB Country PMI'!$A$1:$W$1,),)=0,#N/A,VLOOKUP(A70,'DB Country PMI'!$A:$W,MATCH($A$1,'DB Country PMI'!$A$1:$W$1,),))</f>
        <v>51.8</v>
      </c>
      <c r="C70" s="14">
        <f>Table13468113456716[[#This Row],[PMI]]-B69</f>
        <v>3.3999999999999986</v>
      </c>
    </row>
    <row r="71" spans="1:3" x14ac:dyDescent="0.35">
      <c r="A71" s="8">
        <v>42430</v>
      </c>
      <c r="B71" s="11">
        <f>IF(VLOOKUP(A71,'DB Country PMI'!$A:$W,MATCH($A$1,'DB Country PMI'!$A$1:$W$1,),)=0,#N/A,VLOOKUP(A71,'DB Country PMI'!$A:$W,MATCH($A$1,'DB Country PMI'!$A$1:$W$1,),))</f>
        <v>49.5</v>
      </c>
      <c r="C71" s="14">
        <f>Table13468113456716[[#This Row],[PMI]]-B70</f>
        <v>-2.2999999999999972</v>
      </c>
    </row>
    <row r="72" spans="1:3" x14ac:dyDescent="0.35">
      <c r="A72" s="8">
        <v>42461</v>
      </c>
      <c r="B72" s="11">
        <f>IF(VLOOKUP(A72,'DB Country PMI'!$A:$W,MATCH($A$1,'DB Country PMI'!$A$1:$W$1,),)=0,#N/A,VLOOKUP(A72,'DB Country PMI'!$A:$W,MATCH($A$1,'DB Country PMI'!$A$1:$W$1,),))</f>
        <v>49.7</v>
      </c>
      <c r="C72" s="14">
        <f>Table13468113456716[[#This Row],[PMI]]-B71</f>
        <v>0.20000000000000284</v>
      </c>
    </row>
    <row r="73" spans="1:3" x14ac:dyDescent="0.35">
      <c r="A73" s="8">
        <v>42491</v>
      </c>
      <c r="B73" s="11">
        <f>IF(VLOOKUP(A73,'DB Country PMI'!$A:$W,MATCH($A$1,'DB Country PMI'!$A$1:$W$1,),)=0,#N/A,VLOOKUP(A73,'DB Country PMI'!$A:$W,MATCH($A$1,'DB Country PMI'!$A$1:$W$1,),))</f>
        <v>51.5</v>
      </c>
      <c r="C73" s="14">
        <f>Table13468113456716[[#This Row],[PMI]]-B72</f>
        <v>1.7999999999999972</v>
      </c>
    </row>
    <row r="74" spans="1:3" x14ac:dyDescent="0.35">
      <c r="A74" s="8">
        <v>42522</v>
      </c>
      <c r="B74" s="11">
        <f>IF(VLOOKUP(A74,'DB Country PMI'!$A:$W,MATCH($A$1,'DB Country PMI'!$A$1:$W$1,),)=0,#N/A,VLOOKUP(A74,'DB Country PMI'!$A:$W,MATCH($A$1,'DB Country PMI'!$A$1:$W$1,),))</f>
        <v>51.3</v>
      </c>
      <c r="C74" s="14">
        <f>Table13468113456716[[#This Row],[PMI]]-B73</f>
        <v>-0.20000000000000284</v>
      </c>
    </row>
    <row r="75" spans="1:3" x14ac:dyDescent="0.35">
      <c r="A75" s="8">
        <v>42552</v>
      </c>
      <c r="B75" s="11">
        <f>IF(VLOOKUP(A75,'DB Country PMI'!$A:$W,MATCH($A$1,'DB Country PMI'!$A$1:$W$1,),)=0,#N/A,VLOOKUP(A75,'DB Country PMI'!$A:$W,MATCH($A$1,'DB Country PMI'!$A$1:$W$1,),))</f>
        <v>53.9</v>
      </c>
      <c r="C75" s="14">
        <f>Table13468113456716[[#This Row],[PMI]]-B74</f>
        <v>2.6000000000000014</v>
      </c>
    </row>
    <row r="76" spans="1:3" x14ac:dyDescent="0.35">
      <c r="A76" s="8">
        <v>42583</v>
      </c>
      <c r="B76" s="11">
        <f>IF(VLOOKUP(A76,'DB Country PMI'!$A:$W,MATCH($A$1,'DB Country PMI'!$A$1:$W$1,),)=0,#N/A,VLOOKUP(A76,'DB Country PMI'!$A:$W,MATCH($A$1,'DB Country PMI'!$A$1:$W$1,),))</f>
        <v>45</v>
      </c>
      <c r="C76" s="14">
        <f>Table13468113456716[[#This Row],[PMI]]-B75</f>
        <v>-8.8999999999999986</v>
      </c>
    </row>
    <row r="77" spans="1:3" x14ac:dyDescent="0.35">
      <c r="A77" s="8">
        <v>42614</v>
      </c>
      <c r="B77" s="11">
        <f>IF(VLOOKUP(A77,'DB Country PMI'!$A:$W,MATCH($A$1,'DB Country PMI'!$A$1:$W$1,),)=0,#N/A,VLOOKUP(A77,'DB Country PMI'!$A:$W,MATCH($A$1,'DB Country PMI'!$A$1:$W$1,),))</f>
        <v>48.9</v>
      </c>
      <c r="C77" s="14">
        <f>Table13468113456716[[#This Row],[PMI]]-B76</f>
        <v>3.8999999999999986</v>
      </c>
    </row>
    <row r="78" spans="1:3" x14ac:dyDescent="0.35">
      <c r="A78" s="8">
        <v>42644</v>
      </c>
      <c r="B78" s="11">
        <f>IF(VLOOKUP(A78,'DB Country PMI'!$A:$W,MATCH($A$1,'DB Country PMI'!$A$1:$W$1,),)=0,#N/A,VLOOKUP(A78,'DB Country PMI'!$A:$W,MATCH($A$1,'DB Country PMI'!$A$1:$W$1,),))</f>
        <v>50.5</v>
      </c>
      <c r="C78" s="14">
        <f>Table13468113456716[[#This Row],[PMI]]-B77</f>
        <v>1.6000000000000014</v>
      </c>
    </row>
    <row r="79" spans="1:3" x14ac:dyDescent="0.35">
      <c r="A79" s="8">
        <v>42675</v>
      </c>
      <c r="B79" s="11">
        <f>IF(VLOOKUP(A79,'DB Country PMI'!$A:$W,MATCH($A$1,'DB Country PMI'!$A$1:$W$1,),)=0,#N/A,VLOOKUP(A79,'DB Country PMI'!$A:$W,MATCH($A$1,'DB Country PMI'!$A$1:$W$1,),))</f>
        <v>51.1</v>
      </c>
      <c r="C79" s="14">
        <f>Table13468113456716[[#This Row],[PMI]]-B78</f>
        <v>0.60000000000000142</v>
      </c>
    </row>
    <row r="80" spans="1:3" x14ac:dyDescent="0.35">
      <c r="A80" s="8">
        <v>42705</v>
      </c>
      <c r="B80" s="11">
        <f>IF(VLOOKUP(A80,'DB Country PMI'!$A:$W,MATCH($A$1,'DB Country PMI'!$A$1:$W$1,),)=0,#N/A,VLOOKUP(A80,'DB Country PMI'!$A:$W,MATCH($A$1,'DB Country PMI'!$A$1:$W$1,),))</f>
        <v>57.7</v>
      </c>
      <c r="C80" s="14">
        <f>Table13468113456716[[#This Row],[PMI]]-B79</f>
        <v>6.6000000000000014</v>
      </c>
    </row>
    <row r="81" spans="1:3" x14ac:dyDescent="0.35">
      <c r="A81" s="8">
        <v>42736</v>
      </c>
      <c r="B81" s="11">
        <f>IF(VLOOKUP(A81,'DB Country PMI'!$A:$W,MATCH($A$1,'DB Country PMI'!$A$1:$W$1,),)=0,#N/A,VLOOKUP(A81,'DB Country PMI'!$A:$W,MATCH($A$1,'DB Country PMI'!$A$1:$W$1,),))</f>
        <v>54.5</v>
      </c>
      <c r="C81" s="14">
        <f>Table13468113456716[[#This Row],[PMI]]-B80</f>
        <v>-3.2000000000000028</v>
      </c>
    </row>
    <row r="82" spans="1:3" x14ac:dyDescent="0.35">
      <c r="A82" s="8">
        <v>42767</v>
      </c>
      <c r="B82" s="11">
        <f>IF(VLOOKUP(A82,'DB Country PMI'!$A:$W,MATCH($A$1,'DB Country PMI'!$A$1:$W$1,),)=0,#N/A,VLOOKUP(A82,'DB Country PMI'!$A:$W,MATCH($A$1,'DB Country PMI'!$A$1:$W$1,),))</f>
        <v>49</v>
      </c>
      <c r="C82" s="14">
        <f>Table13468113456716[[#This Row],[PMI]]-B81</f>
        <v>-5.5</v>
      </c>
    </row>
    <row r="83" spans="1:3" x14ac:dyDescent="0.35">
      <c r="A83" s="8">
        <v>42795</v>
      </c>
      <c r="B83" s="11">
        <f>IF(VLOOKUP(A83,'DB Country PMI'!$A:$W,MATCH($A$1,'DB Country PMI'!$A$1:$W$1,),)=0,#N/A,VLOOKUP(A83,'DB Country PMI'!$A:$W,MATCH($A$1,'DB Country PMI'!$A$1:$W$1,),))</f>
        <v>51.7</v>
      </c>
      <c r="C83" s="14">
        <f>Table13468113456716[[#This Row],[PMI]]-B82</f>
        <v>2.7000000000000028</v>
      </c>
    </row>
    <row r="84" spans="1:3" x14ac:dyDescent="0.35">
      <c r="A84" s="8">
        <v>42826</v>
      </c>
      <c r="B84" s="11">
        <f>IF(VLOOKUP(A84,'DB Country PMI'!$A:$W,MATCH($A$1,'DB Country PMI'!$A$1:$W$1,),)=0,#N/A,VLOOKUP(A84,'DB Country PMI'!$A:$W,MATCH($A$1,'DB Country PMI'!$A$1:$W$1,),))</f>
        <v>53</v>
      </c>
      <c r="C84" s="14">
        <f>Table13468113456716[[#This Row],[PMI]]-B83</f>
        <v>1.2999999999999972</v>
      </c>
    </row>
    <row r="85" spans="1:3" x14ac:dyDescent="0.35">
      <c r="A85" s="8">
        <v>42856</v>
      </c>
      <c r="B85" s="11">
        <f>IF(VLOOKUP(A85,'DB Country PMI'!$A:$W,MATCH($A$1,'DB Country PMI'!$A$1:$W$1,),)=0,#N/A,VLOOKUP(A85,'DB Country PMI'!$A:$W,MATCH($A$1,'DB Country PMI'!$A$1:$W$1,),))</f>
        <v>51.5</v>
      </c>
      <c r="C85" s="14">
        <f>Table13468113456716[[#This Row],[PMI]]-B84</f>
        <v>-1.5</v>
      </c>
    </row>
    <row r="86" spans="1:3" x14ac:dyDescent="0.35">
      <c r="A86" s="8">
        <v>42887</v>
      </c>
      <c r="B86" s="11">
        <f>IF(VLOOKUP(A86,'DB Country PMI'!$A:$W,MATCH($A$1,'DB Country PMI'!$A$1:$W$1,),)=0,#N/A,VLOOKUP(A86,'DB Country PMI'!$A:$W,MATCH($A$1,'DB Country PMI'!$A$1:$W$1,),))</f>
        <v>54.8</v>
      </c>
      <c r="C86" s="14">
        <f>Table13468113456716[[#This Row],[PMI]]-B85</f>
        <v>3.2999999999999972</v>
      </c>
    </row>
    <row r="87" spans="1:3" x14ac:dyDescent="0.35">
      <c r="A87" s="8">
        <v>42917</v>
      </c>
      <c r="B87" s="11">
        <f>IF(VLOOKUP(A87,'DB Country PMI'!$A:$W,MATCH($A$1,'DB Country PMI'!$A$1:$W$1,),)=0,#N/A,VLOOKUP(A87,'DB Country PMI'!$A:$W,MATCH($A$1,'DB Country PMI'!$A$1:$W$1,),))</f>
        <v>56.4</v>
      </c>
      <c r="C87" s="14">
        <f>Table13468113456716[[#This Row],[PMI]]-B86</f>
        <v>1.6000000000000014</v>
      </c>
    </row>
    <row r="88" spans="1:3" x14ac:dyDescent="0.35">
      <c r="A88" s="8">
        <v>42948</v>
      </c>
      <c r="B88" s="11">
        <f>IF(VLOOKUP(A88,'DB Country PMI'!$A:$W,MATCH($A$1,'DB Country PMI'!$A$1:$W$1,),)=0,#N/A,VLOOKUP(A88,'DB Country PMI'!$A:$W,MATCH($A$1,'DB Country PMI'!$A$1:$W$1,),))</f>
        <v>53</v>
      </c>
      <c r="C88" s="14">
        <f>Table13468113456716[[#This Row],[PMI]]-B87</f>
        <v>-3.3999999999999986</v>
      </c>
    </row>
    <row r="89" spans="1:3" x14ac:dyDescent="0.35">
      <c r="A89" s="8">
        <v>42979</v>
      </c>
      <c r="B89" s="11">
        <f>IF(VLOOKUP(A89,'DB Country PMI'!$A:$W,MATCH($A$1,'DB Country PMI'!$A$1:$W$1,),)=0,#N/A,VLOOKUP(A89,'DB Country PMI'!$A:$W,MATCH($A$1,'DB Country PMI'!$A$1:$W$1,),))</f>
        <v>52.1</v>
      </c>
      <c r="C89" s="14">
        <f>Table13468113456716[[#This Row],[PMI]]-B88</f>
        <v>-0.89999999999999858</v>
      </c>
    </row>
    <row r="90" spans="1:3" x14ac:dyDescent="0.35">
      <c r="A90" s="8">
        <v>43009</v>
      </c>
      <c r="B90" s="11">
        <f>IF(VLOOKUP(A90,'DB Country PMI'!$A:$W,MATCH($A$1,'DB Country PMI'!$A$1:$W$1,),)=0,#N/A,VLOOKUP(A90,'DB Country PMI'!$A:$W,MATCH($A$1,'DB Country PMI'!$A$1:$W$1,),))</f>
        <v>51.4</v>
      </c>
      <c r="C90" s="14">
        <f>Table13468113456716[[#This Row],[PMI]]-B89</f>
        <v>-0.70000000000000284</v>
      </c>
    </row>
    <row r="91" spans="1:3" x14ac:dyDescent="0.35">
      <c r="A91" s="8">
        <v>43040</v>
      </c>
      <c r="B91" s="11">
        <f>IF(VLOOKUP(A91,'DB Country PMI'!$A:$W,MATCH($A$1,'DB Country PMI'!$A$1:$W$1,),)=0,#N/A,VLOOKUP(A91,'DB Country PMI'!$A:$W,MATCH($A$1,'DB Country PMI'!$A$1:$W$1,),))</f>
        <v>51.7</v>
      </c>
      <c r="C91" s="14">
        <f>Table13468113456716[[#This Row],[PMI]]-B90</f>
        <v>0.30000000000000426</v>
      </c>
    </row>
    <row r="92" spans="1:3" x14ac:dyDescent="0.35">
      <c r="A92" s="8">
        <v>43070</v>
      </c>
      <c r="B92" s="11">
        <f>IF(VLOOKUP(A92,'DB Country PMI'!$A:$W,MATCH($A$1,'DB Country PMI'!$A$1:$W$1,),)=0,#N/A,VLOOKUP(A92,'DB Country PMI'!$A:$W,MATCH($A$1,'DB Country PMI'!$A$1:$W$1,),))</f>
        <v>52</v>
      </c>
      <c r="C92" s="14">
        <f>Table13468113456716[[#This Row],[PMI]]-B91</f>
        <v>0.29999999999999716</v>
      </c>
    </row>
    <row r="93" spans="1:3" x14ac:dyDescent="0.35">
      <c r="A93" s="8">
        <v>43101</v>
      </c>
      <c r="B93" s="11">
        <f>IF(VLOOKUP(A93,'DB Country PMI'!$A:$W,MATCH($A$1,'DB Country PMI'!$A$1:$W$1,),)=0,#N/A,VLOOKUP(A93,'DB Country PMI'!$A:$W,MATCH($A$1,'DB Country PMI'!$A$1:$W$1,),))</f>
        <v>54.9</v>
      </c>
      <c r="C93" s="14">
        <f>Table13468113456716[[#This Row],[PMI]]-B92</f>
        <v>2.8999999999999986</v>
      </c>
    </row>
    <row r="94" spans="1:3" x14ac:dyDescent="0.35">
      <c r="A94" s="8">
        <v>43132</v>
      </c>
      <c r="B94" s="11">
        <f>IF(VLOOKUP(A94,'DB Country PMI'!$A:$W,MATCH($A$1,'DB Country PMI'!$A$1:$W$1,),)=0,#N/A,VLOOKUP(A94,'DB Country PMI'!$A:$W,MATCH($A$1,'DB Country PMI'!$A$1:$W$1,),))</f>
        <v>54</v>
      </c>
      <c r="C94" s="14">
        <f>Table13468113456716[[#This Row],[PMI]]-B93</f>
        <v>-0.89999999999999858</v>
      </c>
    </row>
    <row r="95" spans="1:3" x14ac:dyDescent="0.35">
      <c r="A95" s="8">
        <v>43160</v>
      </c>
      <c r="B95" s="11">
        <f>IF(VLOOKUP(A95,'DB Country PMI'!$A:$W,MATCH($A$1,'DB Country PMI'!$A$1:$W$1,),)=0,#N/A,VLOOKUP(A95,'DB Country PMI'!$A:$W,MATCH($A$1,'DB Country PMI'!$A$1:$W$1,),))</f>
        <v>56.9</v>
      </c>
      <c r="C95" s="14">
        <f>Table13468113456716[[#This Row],[PMI]]-B94</f>
        <v>2.8999999999999986</v>
      </c>
    </row>
    <row r="96" spans="1:3" x14ac:dyDescent="0.35">
      <c r="A96" s="8">
        <v>43191</v>
      </c>
      <c r="B96" s="11">
        <f>IF(VLOOKUP(A96,'DB Country PMI'!$A:$W,MATCH($A$1,'DB Country PMI'!$A$1:$W$1,),)=0,#N/A,VLOOKUP(A96,'DB Country PMI'!$A:$W,MATCH($A$1,'DB Country PMI'!$A$1:$W$1,),))</f>
        <v>55.2</v>
      </c>
      <c r="C96" s="14">
        <f>Table13468113456716[[#This Row],[PMI]]-B95</f>
        <v>-1.6999999999999957</v>
      </c>
    </row>
    <row r="97" spans="1:3" x14ac:dyDescent="0.35">
      <c r="A97" s="8">
        <v>43221</v>
      </c>
      <c r="B97" s="11">
        <f>IF(VLOOKUP(A97,'DB Country PMI'!$A:$W,MATCH($A$1,'DB Country PMI'!$A$1:$W$1,),)=0,#N/A,VLOOKUP(A97,'DB Country PMI'!$A:$W,MATCH($A$1,'DB Country PMI'!$A$1:$W$1,),))</f>
        <v>59</v>
      </c>
      <c r="C97" s="14">
        <f>Table13468113456716[[#This Row],[PMI]]-B96</f>
        <v>3.7999999999999972</v>
      </c>
    </row>
    <row r="98" spans="1:3" x14ac:dyDescent="0.35">
      <c r="A98" s="8">
        <v>43252</v>
      </c>
      <c r="B98" s="11">
        <f>IF(VLOOKUP(A98,'DB Country PMI'!$A:$W,MATCH($A$1,'DB Country PMI'!$A$1:$W$1,),)=0,#N/A,VLOOKUP(A98,'DB Country PMI'!$A:$W,MATCH($A$1,'DB Country PMI'!$A$1:$W$1,),))</f>
        <v>63</v>
      </c>
      <c r="C98" s="14">
        <f>Table13468113456716[[#This Row],[PMI]]-B97</f>
        <v>4</v>
      </c>
    </row>
    <row r="99" spans="1:3" x14ac:dyDescent="0.35">
      <c r="A99" s="8">
        <v>43282</v>
      </c>
      <c r="B99" s="11">
        <f>IF(VLOOKUP(A99,'DB Country PMI'!$A:$W,MATCH($A$1,'DB Country PMI'!$A$1:$W$1,),)=0,#N/A,VLOOKUP(A99,'DB Country PMI'!$A:$W,MATCH($A$1,'DB Country PMI'!$A$1:$W$1,),))</f>
        <v>53.6</v>
      </c>
      <c r="C99" s="14">
        <f>Table13468113456716[[#This Row],[PMI]]-B98</f>
        <v>-9.3999999999999986</v>
      </c>
    </row>
    <row r="100" spans="1:3" x14ac:dyDescent="0.35">
      <c r="A100" s="8">
        <v>43313</v>
      </c>
      <c r="B100" s="11">
        <f>IF(VLOOKUP(A100,'DB Country PMI'!$A:$W,MATCH($A$1,'DB Country PMI'!$A$1:$W$1,),)=0,#N/A,VLOOKUP(A100,'DB Country PMI'!$A:$W,MATCH($A$1,'DB Country PMI'!$A$1:$W$1,),))</f>
        <v>52.2</v>
      </c>
      <c r="C100" s="14">
        <f>Table13468113456716[[#This Row],[PMI]]-B99</f>
        <v>-1.3999999999999986</v>
      </c>
    </row>
    <row r="101" spans="1:3" x14ac:dyDescent="0.35">
      <c r="A101" s="8">
        <v>43344</v>
      </c>
      <c r="B101" s="11">
        <f>IF(VLOOKUP(A101,'DB Country PMI'!$A:$W,MATCH($A$1,'DB Country PMI'!$A$1:$W$1,),)=0,#N/A,VLOOKUP(A101,'DB Country PMI'!$A:$W,MATCH($A$1,'DB Country PMI'!$A$1:$W$1,),))</f>
        <v>52.5</v>
      </c>
      <c r="C101" s="14">
        <f>Table13468113456716[[#This Row],[PMI]]-B100</f>
        <v>0.29999999999999716</v>
      </c>
    </row>
    <row r="102" spans="1:3" x14ac:dyDescent="0.35">
      <c r="A102" s="8">
        <v>43374</v>
      </c>
      <c r="B102" s="11">
        <f>IF(VLOOKUP(A102,'DB Country PMI'!$A:$W,MATCH($A$1,'DB Country PMI'!$A$1:$W$1,),)=0,#N/A,VLOOKUP(A102,'DB Country PMI'!$A:$W,MATCH($A$1,'DB Country PMI'!$A$1:$W$1,),))</f>
        <v>51.1</v>
      </c>
      <c r="C102" s="14">
        <f>Table13468113456716[[#This Row],[PMI]]-B101</f>
        <v>-1.3999999999999986</v>
      </c>
    </row>
    <row r="103" spans="1:3" x14ac:dyDescent="0.35">
      <c r="A103" s="8">
        <v>43405</v>
      </c>
      <c r="B103" s="11">
        <f>IF(VLOOKUP(A103,'DB Country PMI'!$A:$W,MATCH($A$1,'DB Country PMI'!$A$1:$W$1,),)=0,#N/A,VLOOKUP(A103,'DB Country PMI'!$A:$W,MATCH($A$1,'DB Country PMI'!$A$1:$W$1,),))</f>
        <v>55.1</v>
      </c>
      <c r="C103" s="14">
        <f>Table13468113456716[[#This Row],[PMI]]-B102</f>
        <v>4</v>
      </c>
    </row>
    <row r="104" spans="1:3" x14ac:dyDescent="0.35">
      <c r="A104" s="8">
        <v>43435</v>
      </c>
      <c r="B104" s="11">
        <f>IF(VLOOKUP(A104,'DB Country PMI'!$A:$W,MATCH($A$1,'DB Country PMI'!$A$1:$W$1,),)=0,#N/A,VLOOKUP(A104,'DB Country PMI'!$A:$W,MATCH($A$1,'DB Country PMI'!$A$1:$W$1,),))</f>
        <v>52.1</v>
      </c>
      <c r="C104" s="14">
        <f>Table13468113456716[[#This Row],[PMI]]-B103</f>
        <v>-3</v>
      </c>
    </row>
    <row r="105" spans="1:3" x14ac:dyDescent="0.35">
      <c r="A105" s="8">
        <v>43466</v>
      </c>
      <c r="B105" s="11">
        <f>IF(VLOOKUP(A105,'DB Country PMI'!$A:$W,MATCH($A$1,'DB Country PMI'!$A$1:$W$1,),)=0,#N/A,VLOOKUP(A105,'DB Country PMI'!$A:$W,MATCH($A$1,'DB Country PMI'!$A$1:$W$1,),))</f>
        <v>44.3</v>
      </c>
      <c r="C105" s="14">
        <f>Table13468113456716[[#This Row],[PMI]]-B104</f>
        <v>-7.8000000000000043</v>
      </c>
    </row>
    <row r="106" spans="1:3" x14ac:dyDescent="0.35">
      <c r="A106" s="8">
        <v>43497</v>
      </c>
      <c r="B106" s="11">
        <f>IF(VLOOKUP(A106,'DB Country PMI'!$A:$W,MATCH($A$1,'DB Country PMI'!$A$1:$W$1,),)=0,#N/A,VLOOKUP(A106,'DB Country PMI'!$A:$W,MATCH($A$1,'DB Country PMI'!$A$1:$W$1,),))</f>
        <v>44.5</v>
      </c>
      <c r="C106" s="14">
        <f>Table13468113456716[[#This Row],[PMI]]-B105</f>
        <v>0.20000000000000284</v>
      </c>
    </row>
    <row r="107" spans="1:3" x14ac:dyDescent="0.35">
      <c r="A107" s="8">
        <v>43525</v>
      </c>
      <c r="B107" s="11">
        <f>IF(VLOOKUP(A107,'DB Country PMI'!$A:$W,MATCH($A$1,'DB Country PMI'!$A$1:$W$1,),)=0,#N/A,VLOOKUP(A107,'DB Country PMI'!$A:$W,MATCH($A$1,'DB Country PMI'!$A$1:$W$1,),))</f>
        <v>44.8</v>
      </c>
      <c r="C107" s="14">
        <f>Table13468113456716[[#This Row],[PMI]]-B106</f>
        <v>0.29999999999999716</v>
      </c>
    </row>
    <row r="108" spans="1:3" x14ac:dyDescent="0.35">
      <c r="A108" s="8">
        <v>43556</v>
      </c>
      <c r="B108" s="11">
        <f>IF(VLOOKUP(A108,'DB Country PMI'!$A:$W,MATCH($A$1,'DB Country PMI'!$A$1:$W$1,),)=0,#N/A,VLOOKUP(A108,'DB Country PMI'!$A:$W,MATCH($A$1,'DB Country PMI'!$A$1:$W$1,),))</f>
        <v>46.5</v>
      </c>
      <c r="C108" s="14">
        <f>Table13468113456716[[#This Row],[PMI]]-B107</f>
        <v>1.7000000000000028</v>
      </c>
    </row>
    <row r="109" spans="1:3" x14ac:dyDescent="0.35">
      <c r="A109" s="8">
        <v>43586</v>
      </c>
      <c r="B109" s="11">
        <f>IF(VLOOKUP(A109,'DB Country PMI'!$A:$W,MATCH($A$1,'DB Country PMI'!$A$1:$W$1,),)=0,#N/A,VLOOKUP(A109,'DB Country PMI'!$A:$W,MATCH($A$1,'DB Country PMI'!$A$1:$W$1,),))</f>
        <v>52.5</v>
      </c>
      <c r="C109" s="14">
        <f>Table13468113456716[[#This Row],[PMI]]-B108</f>
        <v>6</v>
      </c>
    </row>
    <row r="110" spans="1:3" x14ac:dyDescent="0.35">
      <c r="A110" s="8">
        <v>43617</v>
      </c>
      <c r="B110" s="11">
        <f>IF(VLOOKUP(A110,'DB Country PMI'!$A:$W,MATCH($A$1,'DB Country PMI'!$A$1:$W$1,),)=0,#N/A,VLOOKUP(A110,'DB Country PMI'!$A:$W,MATCH($A$1,'DB Country PMI'!$A$1:$W$1,),))</f>
        <v>52.2</v>
      </c>
      <c r="C110" s="14">
        <f>Table13468113456716[[#This Row],[PMI]]-B109</f>
        <v>-0.29999999999999716</v>
      </c>
    </row>
    <row r="111" spans="1:3" x14ac:dyDescent="0.35">
      <c r="A111" s="8">
        <v>43647</v>
      </c>
      <c r="B111" s="11">
        <f>IF(VLOOKUP(A111,'DB Country PMI'!$A:$W,MATCH($A$1,'DB Country PMI'!$A$1:$W$1,),)=0,#N/A,VLOOKUP(A111,'DB Country PMI'!$A:$W,MATCH($A$1,'DB Country PMI'!$A$1:$W$1,),))</f>
        <v>43.9</v>
      </c>
      <c r="C111" s="14">
        <f>Table13468113456716[[#This Row],[PMI]]-B110</f>
        <v>-8.3000000000000043</v>
      </c>
    </row>
    <row r="112" spans="1:3" x14ac:dyDescent="0.35">
      <c r="A112" s="8">
        <v>43678</v>
      </c>
      <c r="B112" s="11">
        <f>IF(VLOOKUP(A112,'DB Country PMI'!$A:$W,MATCH($A$1,'DB Country PMI'!$A$1:$W$1,),)=0,#N/A,VLOOKUP(A112,'DB Country PMI'!$A:$W,MATCH($A$1,'DB Country PMI'!$A$1:$W$1,),))</f>
        <v>51.4</v>
      </c>
      <c r="C112" s="14">
        <f>Table13468113456716[[#This Row],[PMI]]-B111</f>
        <v>7.5</v>
      </c>
    </row>
    <row r="113" spans="1:3" x14ac:dyDescent="0.35">
      <c r="A113" s="8">
        <v>43709</v>
      </c>
      <c r="B113" s="11">
        <f>IF(VLOOKUP(A113,'DB Country PMI'!$A:$W,MATCH($A$1,'DB Country PMI'!$A$1:$W$1,),)=0,#N/A,VLOOKUP(A113,'DB Country PMI'!$A:$W,MATCH($A$1,'DB Country PMI'!$A$1:$W$1,),))</f>
        <v>51.5</v>
      </c>
      <c r="C113" s="14">
        <f>Table13468113456716[[#This Row],[PMI]]-B112</f>
        <v>0.10000000000000142</v>
      </c>
    </row>
    <row r="114" spans="1:3" x14ac:dyDescent="0.35">
      <c r="A114" s="8">
        <v>43739</v>
      </c>
      <c r="B114" s="11">
        <f>IF(VLOOKUP(A114,'DB Country PMI'!$A:$W,MATCH($A$1,'DB Country PMI'!$A$1:$W$1,),)=0,#N/A,VLOOKUP(A114,'DB Country PMI'!$A:$W,MATCH($A$1,'DB Country PMI'!$A$1:$W$1,),))</f>
        <v>54.2</v>
      </c>
      <c r="C114" s="14">
        <f>Table13468113456716[[#This Row],[PMI]]-B113</f>
        <v>2.7000000000000028</v>
      </c>
    </row>
    <row r="115" spans="1:3" x14ac:dyDescent="0.35">
      <c r="A115" s="8">
        <v>43770</v>
      </c>
      <c r="B115" s="11">
        <f>IF(VLOOKUP(A115,'DB Country PMI'!$A:$W,MATCH($A$1,'DB Country PMI'!$A$1:$W$1,),)=0,#N/A,VLOOKUP(A115,'DB Country PMI'!$A:$W,MATCH($A$1,'DB Country PMI'!$A$1:$W$1,),))</f>
        <v>53.7</v>
      </c>
      <c r="C115" s="14">
        <f>Table13468113456716[[#This Row],[PMI]]-B114</f>
        <v>-0.5</v>
      </c>
    </row>
    <row r="116" spans="1:3" x14ac:dyDescent="0.35">
      <c r="A116" s="8">
        <v>43800</v>
      </c>
      <c r="B116" s="11">
        <f>IF(VLOOKUP(A116,'DB Country PMI'!$A:$W,MATCH($A$1,'DB Country PMI'!$A$1:$W$1,),)=0,#N/A,VLOOKUP(A116,'DB Country PMI'!$A:$W,MATCH($A$1,'DB Country PMI'!$A$1:$W$1,),))</f>
        <v>48.7</v>
      </c>
      <c r="C116" s="14">
        <f>Table13468113456716[[#This Row],[PMI]]-B115</f>
        <v>-5</v>
      </c>
    </row>
    <row r="117" spans="1:3" x14ac:dyDescent="0.35">
      <c r="A117" s="8">
        <v>43831</v>
      </c>
      <c r="B117" s="11">
        <f>IF(VLOOKUP(A117,'DB Country PMI'!$A:$W,MATCH($A$1,'DB Country PMI'!$A$1:$W$1,),)=0,#N/A,VLOOKUP(A117,'DB Country PMI'!$A:$W,MATCH($A$1,'DB Country PMI'!$A$1:$W$1,),))</f>
        <v>46.6</v>
      </c>
      <c r="C117" s="14">
        <f>Table13468113456716[[#This Row],[PMI]]-B116</f>
        <v>-2.1000000000000014</v>
      </c>
    </row>
    <row r="118" spans="1:3" x14ac:dyDescent="0.35">
      <c r="A118" s="8">
        <v>43862</v>
      </c>
      <c r="B118" s="11">
        <f>IF(VLOOKUP(A118,'DB Country PMI'!$A:$W,MATCH($A$1,'DB Country PMI'!$A$1:$W$1,),)=0,#N/A,VLOOKUP(A118,'DB Country PMI'!$A:$W,MATCH($A$1,'DB Country PMI'!$A$1:$W$1,),))</f>
        <v>47</v>
      </c>
      <c r="C118" s="14">
        <f>Table13468113456716[[#This Row],[PMI]]-B117</f>
        <v>0.39999999999999858</v>
      </c>
    </row>
    <row r="119" spans="1:3" x14ac:dyDescent="0.35">
      <c r="A119" s="8">
        <v>43891</v>
      </c>
      <c r="B119" s="11">
        <f>IF(VLOOKUP(A119,'DB Country PMI'!$A:$W,MATCH($A$1,'DB Country PMI'!$A$1:$W$1,),)=0,#N/A,VLOOKUP(A119,'DB Country PMI'!$A:$W,MATCH($A$1,'DB Country PMI'!$A$1:$W$1,),))</f>
        <v>38.700000000000003</v>
      </c>
      <c r="C119" s="14">
        <f>Table13468113456716[[#This Row],[PMI]]-B118</f>
        <v>-8.2999999999999972</v>
      </c>
    </row>
    <row r="120" spans="1:3" x14ac:dyDescent="0.35">
      <c r="A120" s="8">
        <v>43922</v>
      </c>
      <c r="B120" s="11">
        <f>IF(VLOOKUP(A120,'DB Country PMI'!$A:$W,MATCH($A$1,'DB Country PMI'!$A$1:$W$1,),)=0,#N/A,VLOOKUP(A120,'DB Country PMI'!$A:$W,MATCH($A$1,'DB Country PMI'!$A$1:$W$1,),))</f>
        <v>27.1</v>
      </c>
      <c r="C120" s="14">
        <f>Table13468113456716[[#This Row],[PMI]]-B119</f>
        <v>-11.600000000000001</v>
      </c>
    </row>
    <row r="121" spans="1:3" x14ac:dyDescent="0.35">
      <c r="A121" s="8">
        <v>43952</v>
      </c>
      <c r="B121" s="11">
        <f>IF(VLOOKUP(A121,'DB Country PMI'!$A:$W,MATCH($A$1,'DB Country PMI'!$A$1:$W$1,),)=0,#N/A,VLOOKUP(A121,'DB Country PMI'!$A:$W,MATCH($A$1,'DB Country PMI'!$A$1:$W$1,),))</f>
        <v>31.6</v>
      </c>
      <c r="C121" s="14">
        <f>Table13468113456716[[#This Row],[PMI]]-B120</f>
        <v>4.5</v>
      </c>
    </row>
    <row r="122" spans="1:3" x14ac:dyDescent="0.35">
      <c r="A122" s="8">
        <v>43983</v>
      </c>
      <c r="B122" s="11">
        <f>IF(VLOOKUP(A122,'DB Country PMI'!$A:$W,MATCH($A$1,'DB Country PMI'!$A$1:$W$1,),)=0,#N/A,VLOOKUP(A122,'DB Country PMI'!$A:$W,MATCH($A$1,'DB Country PMI'!$A$1:$W$1,),))</f>
        <v>31.5</v>
      </c>
      <c r="C122" s="14">
        <f>Table13468113456716[[#This Row],[PMI]]-B121</f>
        <v>-0.10000000000000142</v>
      </c>
    </row>
    <row r="123" spans="1:3" x14ac:dyDescent="0.35">
      <c r="A123" s="8">
        <v>44013</v>
      </c>
      <c r="B123" s="11">
        <f>IF(VLOOKUP(A123,'DB Country PMI'!$A:$W,MATCH($A$1,'DB Country PMI'!$A$1:$W$1,),)=0,#N/A,VLOOKUP(A123,'DB Country PMI'!$A:$W,MATCH($A$1,'DB Country PMI'!$A$1:$W$1,),))</f>
        <v>44</v>
      </c>
      <c r="C123" s="14">
        <f>Table13468113456716[[#This Row],[PMI]]-B122</f>
        <v>12.5</v>
      </c>
    </row>
    <row r="124" spans="1:3" x14ac:dyDescent="0.35">
      <c r="A124" s="8">
        <v>44044</v>
      </c>
      <c r="B124" s="11">
        <f>IF(VLOOKUP(A124,'DB Country PMI'!$A:$W,MATCH($A$1,'DB Country PMI'!$A$1:$W$1,),)=0,#N/A,VLOOKUP(A124,'DB Country PMI'!$A:$W,MATCH($A$1,'DB Country PMI'!$A$1:$W$1,),))</f>
        <v>43.5</v>
      </c>
      <c r="C124" s="14">
        <f>Table13468113456716[[#This Row],[PMI]]-B123</f>
        <v>-0.5</v>
      </c>
    </row>
    <row r="125" spans="1:3" x14ac:dyDescent="0.35">
      <c r="A125" s="8">
        <v>44075</v>
      </c>
      <c r="B125" s="11">
        <f>IF(VLOOKUP(A125,'DB Country PMI'!$A:$W,MATCH($A$1,'DB Country PMI'!$A$1:$W$1,),)=0,#N/A,VLOOKUP(A125,'DB Country PMI'!$A:$W,MATCH($A$1,'DB Country PMI'!$A$1:$W$1,),))</f>
        <v>36.200000000000003</v>
      </c>
      <c r="C125" s="14">
        <f>Table13468113456716[[#This Row],[PMI]]-B124</f>
        <v>-7.2999999999999972</v>
      </c>
    </row>
    <row r="126" spans="1:3" x14ac:dyDescent="0.35">
      <c r="A126" s="8">
        <v>44105</v>
      </c>
      <c r="B126" s="11">
        <f>IF(VLOOKUP(A126,'DB Country PMI'!$A:$W,MATCH($A$1,'DB Country PMI'!$A$1:$W$1,),)=0,#N/A,VLOOKUP(A126,'DB Country PMI'!$A:$W,MATCH($A$1,'DB Country PMI'!$A$1:$W$1,),))</f>
        <v>51.4</v>
      </c>
      <c r="C126" s="14">
        <f>Table13468113456716[[#This Row],[PMI]]-B125</f>
        <v>15.199999999999996</v>
      </c>
    </row>
    <row r="127" spans="1:3" x14ac:dyDescent="0.35">
      <c r="A127" s="8">
        <v>44136</v>
      </c>
      <c r="B127" s="11">
        <f>IF(VLOOKUP(A127,'DB Country PMI'!$A:$W,MATCH($A$1,'DB Country PMI'!$A$1:$W$1,),)=0,#N/A,VLOOKUP(A127,'DB Country PMI'!$A:$W,MATCH($A$1,'DB Country PMI'!$A$1:$W$1,),))</f>
        <v>52.9</v>
      </c>
      <c r="C127" s="14">
        <f>Table13468113456716[[#This Row],[PMI]]-B126</f>
        <v>1.5</v>
      </c>
    </row>
    <row r="128" spans="1:3" x14ac:dyDescent="0.35">
      <c r="A128" s="8">
        <v>44166</v>
      </c>
      <c r="B128" s="11">
        <f>IF(VLOOKUP(A128,'DB Country PMI'!$A:$W,MATCH($A$1,'DB Country PMI'!$A$1:$W$1,),)=0,#N/A,VLOOKUP(A128,'DB Country PMI'!$A:$W,MATCH($A$1,'DB Country PMI'!$A$1:$W$1,),))</f>
        <v>54.3</v>
      </c>
      <c r="C128" s="14">
        <f>Table13468113456716[[#This Row],[PMI]]-B127</f>
        <v>1.3999999999999986</v>
      </c>
    </row>
    <row r="129" spans="1:3" x14ac:dyDescent="0.35">
      <c r="A129" s="8">
        <v>44197</v>
      </c>
      <c r="B129" s="11">
        <f>IF(VLOOKUP(A129,'DB Country PMI'!$A:$W,MATCH($A$1,'DB Country PMI'!$A$1:$W$1,),)=0,#N/A,VLOOKUP(A129,'DB Country PMI'!$A:$W,MATCH($A$1,'DB Country PMI'!$A$1:$W$1,),))</f>
        <v>54.3</v>
      </c>
      <c r="C129" s="14">
        <f>Table13468113456716[[#This Row],[PMI]]-B128</f>
        <v>0</v>
      </c>
    </row>
    <row r="130" spans="1:3" x14ac:dyDescent="0.35">
      <c r="A130" s="8">
        <v>44228</v>
      </c>
      <c r="B130" s="11">
        <f>IF(VLOOKUP(A130,'DB Country PMI'!$A:$W,MATCH($A$1,'DB Country PMI'!$A$1:$W$1,),)=0,#N/A,VLOOKUP(A130,'DB Country PMI'!$A:$W,MATCH($A$1,'DB Country PMI'!$A$1:$W$1,),))</f>
        <v>55.8</v>
      </c>
      <c r="C130" s="14">
        <f>Table13468113456716[[#This Row],[PMI]]-B129</f>
        <v>1.5</v>
      </c>
    </row>
    <row r="131" spans="1:3" x14ac:dyDescent="0.35">
      <c r="A131" s="8">
        <v>44256</v>
      </c>
      <c r="B131" s="11">
        <f>IF(VLOOKUP(A131,'DB Country PMI'!$A:$W,MATCH($A$1,'DB Country PMI'!$A$1:$W$1,),)=0,#N/A,VLOOKUP(A131,'DB Country PMI'!$A:$W,MATCH($A$1,'DB Country PMI'!$A$1:$W$1,),))</f>
        <v>58.7</v>
      </c>
      <c r="C131" s="14">
        <f>Table13468113456716[[#This Row],[PMI]]-B130</f>
        <v>2.9000000000000057</v>
      </c>
    </row>
    <row r="132" spans="1:3" x14ac:dyDescent="0.35">
      <c r="A132" s="8">
        <v>44287</v>
      </c>
      <c r="B132" s="11">
        <f>IF(VLOOKUP(A132,'DB Country PMI'!$A:$W,MATCH($A$1,'DB Country PMI'!$A$1:$W$1,),)=0,#N/A,VLOOKUP(A132,'DB Country PMI'!$A:$W,MATCH($A$1,'DB Country PMI'!$A$1:$W$1,),))</f>
        <v>61</v>
      </c>
      <c r="C132" s="14">
        <f>Table13468113456716[[#This Row],[PMI]]-B131</f>
        <v>2.2999999999999972</v>
      </c>
    </row>
    <row r="133" spans="1:3" x14ac:dyDescent="0.35">
      <c r="A133" s="8">
        <v>44317</v>
      </c>
      <c r="B133" s="11">
        <f>IF(VLOOKUP(A133,'DB Country PMI'!$A:$W,MATCH($A$1,'DB Country PMI'!$A$1:$W$1,),)=0,#N/A,VLOOKUP(A133,'DB Country PMI'!$A:$W,MATCH($A$1,'DB Country PMI'!$A$1:$W$1,),))</f>
        <v>61.2</v>
      </c>
      <c r="C133" s="14">
        <f>Table13468113456716[[#This Row],[PMI]]-B132</f>
        <v>0.20000000000000284</v>
      </c>
    </row>
    <row r="134" spans="1:3" x14ac:dyDescent="0.35">
      <c r="A134" s="8">
        <v>44348</v>
      </c>
      <c r="B134" s="11">
        <f>IF(VLOOKUP(A134,'DB Country PMI'!$A:$W,MATCH($A$1,'DB Country PMI'!$A$1:$W$1,),)=0,#N/A,VLOOKUP(A134,'DB Country PMI'!$A:$W,MATCH($A$1,'DB Country PMI'!$A$1:$W$1,),))</f>
        <v>57.8</v>
      </c>
      <c r="C134" s="14">
        <f>Table13468113456716[[#This Row],[PMI]]-B133</f>
        <v>-3.4000000000000057</v>
      </c>
    </row>
    <row r="135" spans="1:3" x14ac:dyDescent="0.35">
      <c r="A135" s="8">
        <v>44378</v>
      </c>
      <c r="B135" s="11">
        <f>IF(VLOOKUP(A135,'DB Country PMI'!$A:$W,MATCH($A$1,'DB Country PMI'!$A$1:$W$1,),)=0,#N/A,VLOOKUP(A135,'DB Country PMI'!$A:$W,MATCH($A$1,'DB Country PMI'!$A$1:$W$1,),))</f>
        <v>51.7</v>
      </c>
      <c r="C135" s="14">
        <f>Table13468113456716[[#This Row],[PMI]]-B134</f>
        <v>-6.0999999999999943</v>
      </c>
    </row>
    <row r="136" spans="1:3" x14ac:dyDescent="0.35">
      <c r="A136" s="8">
        <v>44409</v>
      </c>
      <c r="B136" s="11">
        <f>IF(VLOOKUP(A136,'DB Country PMI'!$A:$W,MATCH($A$1,'DB Country PMI'!$A$1:$W$1,),)=0,#N/A,VLOOKUP(A136,'DB Country PMI'!$A:$W,MATCH($A$1,'DB Country PMI'!$A$1:$W$1,),))</f>
        <v>45.6</v>
      </c>
      <c r="C136" s="14">
        <f>Table13468113456716[[#This Row],[PMI]]-B135</f>
        <v>-6.1000000000000014</v>
      </c>
    </row>
    <row r="137" spans="1:3" x14ac:dyDescent="0.35">
      <c r="A137" s="8">
        <v>44440</v>
      </c>
      <c r="B137" s="11">
        <f>IF(VLOOKUP(A137,'DB Country PMI'!$A:$W,MATCH($A$1,'DB Country PMI'!$A$1:$W$1,),)=0,#N/A,VLOOKUP(A137,'DB Country PMI'!$A:$W,MATCH($A$1,'DB Country PMI'!$A$1:$W$1,),))</f>
        <v>45.7</v>
      </c>
      <c r="C137" s="14">
        <f>Table13468113456716[[#This Row],[PMI]]-B136</f>
        <v>0.10000000000000142</v>
      </c>
    </row>
    <row r="138" spans="1:3" x14ac:dyDescent="0.35">
      <c r="A138" s="8">
        <v>44470</v>
      </c>
      <c r="B138" s="11">
        <f>IF(VLOOKUP(A138,'DB Country PMI'!$A:$W,MATCH($A$1,'DB Country PMI'!$A$1:$W$1,),)=0,#N/A,VLOOKUP(A138,'DB Country PMI'!$A:$W,MATCH($A$1,'DB Country PMI'!$A$1:$W$1,),))</f>
        <v>47.6</v>
      </c>
      <c r="C138" s="14">
        <f>Table13468113456716[[#This Row],[PMI]]-B137</f>
        <v>1.8999999999999986</v>
      </c>
    </row>
    <row r="139" spans="1:3" x14ac:dyDescent="0.35">
      <c r="A139" s="8">
        <v>44501</v>
      </c>
      <c r="B139" s="11">
        <f>IF(VLOOKUP(A139,'DB Country PMI'!$A:$W,MATCH($A$1,'DB Country PMI'!$A$1:$W$1,),)=0,#N/A,VLOOKUP(A139,'DB Country PMI'!$A:$W,MATCH($A$1,'DB Country PMI'!$A$1:$W$1,),))</f>
        <v>47.6</v>
      </c>
      <c r="C139" s="14">
        <f>Table13468113456716[[#This Row],[PMI]]-B138</f>
        <v>0</v>
      </c>
    </row>
    <row r="140" spans="1:3" x14ac:dyDescent="0.35">
      <c r="A140" s="8">
        <v>44531</v>
      </c>
      <c r="B140" s="11">
        <f>IF(VLOOKUP(A140,'DB Country PMI'!$A:$W,MATCH($A$1,'DB Country PMI'!$A$1:$W$1,),)=0,#N/A,VLOOKUP(A140,'DB Country PMI'!$A:$W,MATCH($A$1,'DB Country PMI'!$A$1:$W$1,),))</f>
        <v>49.6</v>
      </c>
      <c r="C140" s="14">
        <f>Table13468113456716[[#This Row],[PMI]]-B139</f>
        <v>2</v>
      </c>
    </row>
    <row r="141" spans="1:3" x14ac:dyDescent="0.35">
      <c r="A141" s="8">
        <v>44562</v>
      </c>
      <c r="B141" s="11">
        <f>IF(VLOOKUP(A141,'DB Country PMI'!$A:$W,MATCH($A$1,'DB Country PMI'!$A$1:$W$1,),)=0,#N/A,VLOOKUP(A141,'DB Country PMI'!$A:$W,MATCH($A$1,'DB Country PMI'!$A$1:$W$1,),))</f>
        <v>56.2</v>
      </c>
      <c r="C141" s="14">
        <f>Table13468113456716[[#This Row],[PMI]]-B140</f>
        <v>6.6000000000000014</v>
      </c>
    </row>
    <row r="142" spans="1:3" x14ac:dyDescent="0.35">
      <c r="A142" s="8">
        <v>44593</v>
      </c>
      <c r="B142" s="11">
        <f>IF(VLOOKUP(A142,'DB Country PMI'!$A:$W,MATCH($A$1,'DB Country PMI'!$A$1:$W$1,),)=0,#N/A,VLOOKUP(A142,'DB Country PMI'!$A:$W,MATCH($A$1,'DB Country PMI'!$A$1:$W$1,),))</f>
        <v>60</v>
      </c>
      <c r="C142" s="14">
        <f>Table13468113456716[[#This Row],[PMI]]-B141</f>
        <v>3.7999999999999972</v>
      </c>
    </row>
    <row r="143" spans="1:3" x14ac:dyDescent="0.35">
      <c r="A143" s="8">
        <v>44621</v>
      </c>
      <c r="B143" s="11">
        <f>IF(VLOOKUP(A143,'DB Country PMI'!$A:$W,MATCH($A$1,'DB Country PMI'!$A$1:$W$1,),)=0,#N/A,VLOOKUP(A143,'DB Country PMI'!$A:$W,MATCH($A$1,'DB Country PMI'!$A$1:$W$1,),))</f>
        <v>56.2</v>
      </c>
      <c r="C143" s="14">
        <f>Table13468113456716[[#This Row],[PMI]]-B142</f>
        <v>-3.7999999999999972</v>
      </c>
    </row>
    <row r="144" spans="1:3" x14ac:dyDescent="0.35">
      <c r="A144" s="8">
        <v>44652</v>
      </c>
      <c r="B144" s="11">
        <f>IF(VLOOKUP(A144,'DB Country PMI'!$A:$W,MATCH($A$1,'DB Country PMI'!$A$1:$W$1,),)=0,#N/A,VLOOKUP(A144,'DB Country PMI'!$A:$W,MATCH($A$1,'DB Country PMI'!$A$1:$W$1,),))</f>
        <v>57.8</v>
      </c>
      <c r="C144" s="14">
        <f>Table13468113456716[[#This Row],[PMI]]-B143</f>
        <v>1.5999999999999943</v>
      </c>
    </row>
    <row r="145" spans="1:3" x14ac:dyDescent="0.35">
      <c r="A145" s="8">
        <v>44682</v>
      </c>
      <c r="B145" s="11">
        <f>IF(VLOOKUP(A145,'DB Country PMI'!$A:$W,MATCH($A$1,'DB Country PMI'!$A$1:$W$1,),)=0,#N/A,VLOOKUP(A145,'DB Country PMI'!$A:$W,MATCH($A$1,'DB Country PMI'!$A$1:$W$1,),))</f>
        <v>49.2</v>
      </c>
      <c r="C145" s="14">
        <f>Table13468113456716[[#This Row],[PMI]]-B144</f>
        <v>-8.5999999999999943</v>
      </c>
    </row>
    <row r="146" spans="1:3" x14ac:dyDescent="0.35">
      <c r="A146" s="8">
        <v>44713</v>
      </c>
      <c r="B146" s="11">
        <f>IF(VLOOKUP(A146,'DB Country PMI'!$A:$W,MATCH($A$1,'DB Country PMI'!$A$1:$W$1,),)=0,#N/A,VLOOKUP(A146,'DB Country PMI'!$A:$W,MATCH($A$1,'DB Country PMI'!$A$1:$W$1,),))</f>
        <v>48.8</v>
      </c>
      <c r="C146" s="14">
        <f>Table13468113456716[[#This Row],[PMI]]-B145</f>
        <v>-0.40000000000000568</v>
      </c>
    </row>
    <row r="147" spans="1:3" x14ac:dyDescent="0.35">
      <c r="A147" s="8">
        <v>44743</v>
      </c>
      <c r="B147" s="11">
        <f>IF(VLOOKUP(A147,'DB Country PMI'!$A:$W,MATCH($A$1,'DB Country PMI'!$A$1:$W$1,),)=0,#N/A,VLOOKUP(A147,'DB Country PMI'!$A:$W,MATCH($A$1,'DB Country PMI'!$A$1:$W$1,),))</f>
        <v>51.7</v>
      </c>
      <c r="C147" s="14">
        <f>Table13468113456716[[#This Row],[PMI]]-B146</f>
        <v>2.9000000000000057</v>
      </c>
    </row>
    <row r="148" spans="1:3" x14ac:dyDescent="0.35">
      <c r="A148" s="8">
        <v>44774</v>
      </c>
      <c r="B148" s="11">
        <f>IF(VLOOKUP(A148,'DB Country PMI'!$A:$W,MATCH($A$1,'DB Country PMI'!$A$1:$W$1,),)=0,#N/A,VLOOKUP(A148,'DB Country PMI'!$A:$W,MATCH($A$1,'DB Country PMI'!$A$1:$W$1,),))</f>
        <v>53.3</v>
      </c>
      <c r="C148" s="14">
        <f>Table13468113456716[[#This Row],[PMI]]-B147</f>
        <v>1.5999999999999943</v>
      </c>
    </row>
    <row r="149" spans="1:3" x14ac:dyDescent="0.35">
      <c r="A149" s="8">
        <v>44805</v>
      </c>
      <c r="B149" s="11">
        <f>IF(VLOOKUP(A149,'DB Country PMI'!$A:$W,MATCH($A$1,'DB Country PMI'!$A$1:$W$1,),)=0,#N/A,VLOOKUP(A149,'DB Country PMI'!$A:$W,MATCH($A$1,'DB Country PMI'!$A$1:$W$1,),))</f>
        <v>48</v>
      </c>
      <c r="C149" s="14">
        <f>Table13468113456716[[#This Row],[PMI]]-B148</f>
        <v>-5.2999999999999972</v>
      </c>
    </row>
    <row r="150" spans="1:3" x14ac:dyDescent="0.35">
      <c r="A150" s="8">
        <v>44835</v>
      </c>
      <c r="B150" s="11">
        <f>IF(VLOOKUP(A150,'DB Country PMI'!$A:$W,MATCH($A$1,'DB Country PMI'!$A$1:$W$1,),)=0,#N/A,VLOOKUP(A150,'DB Country PMI'!$A:$W,MATCH($A$1,'DB Country PMI'!$A$1:$W$1,),))</f>
        <v>47.7</v>
      </c>
      <c r="C150" s="14">
        <f>Table13468113456716[[#This Row],[PMI]]-B149</f>
        <v>-0.29999999999999716</v>
      </c>
    </row>
    <row r="151" spans="1:3" x14ac:dyDescent="0.35">
      <c r="A151" s="8">
        <v>44866</v>
      </c>
      <c r="B151" s="11">
        <f>IF(VLOOKUP(A151,'DB Country PMI'!$A:$W,MATCH($A$1,'DB Country PMI'!$A$1:$W$1,),)=0,#N/A,VLOOKUP(A151,'DB Country PMI'!$A:$W,MATCH($A$1,'DB Country PMI'!$A$1:$W$1,),))</f>
        <v>45.6</v>
      </c>
      <c r="C151" s="14">
        <f>Table13468113456716[[#This Row],[PMI]]-B150</f>
        <v>-2.1000000000000014</v>
      </c>
    </row>
  </sheetData>
  <conditionalFormatting sqref="C7:C151">
    <cfRule type="colorScale" priority="207">
      <colorScale>
        <cfvo type="min"/>
        <cfvo type="percentile" val="50"/>
        <cfvo type="max"/>
        <color rgb="FFF8696B"/>
        <color rgb="FFFCFCFF"/>
        <color rgb="FF5A8AC6"/>
      </colorScale>
    </cfRule>
  </conditionalFormatting>
  <conditionalFormatting sqref="B6:B151">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1"/>
  <sheetViews>
    <sheetView zoomScale="160" zoomScaleNormal="160" workbookViewId="0">
      <pane ySplit="5" topLeftCell="A139" activePane="bottomLeft" state="frozen"/>
      <selection pane="bottomLeft" activeCell="A138" sqref="A138: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32</v>
      </c>
      <c r="J1" s="47" t="s">
        <v>62</v>
      </c>
    </row>
    <row r="2" spans="1:10" x14ac:dyDescent="0.35">
      <c r="J2" s="47" t="s">
        <v>71</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50.9</v>
      </c>
      <c r="C6" s="11"/>
    </row>
    <row r="7" spans="1:10" x14ac:dyDescent="0.35">
      <c r="A7" s="8">
        <v>40483</v>
      </c>
      <c r="B7" s="11">
        <f>IF(VLOOKUP(A7,'DB Country PMI'!$A:$W,MATCH($A$1,'DB Country PMI'!$A$1:$W$1,),)=0,#N/A,VLOOKUP(A7,'DB Country PMI'!$A:$W,MATCH($A$1,'DB Country PMI'!$A$1:$W$1,),))</f>
        <v>50.8</v>
      </c>
      <c r="C7" s="14">
        <f>Table1346811345678[[#This Row],[PMI]]-B6</f>
        <v>-0.10000000000000142</v>
      </c>
    </row>
    <row r="8" spans="1:10" x14ac:dyDescent="0.35">
      <c r="A8" s="8">
        <v>40513</v>
      </c>
      <c r="B8" s="11">
        <f>IF(VLOOKUP(A8,'DB Country PMI'!$A:$W,MATCH($A$1,'DB Country PMI'!$A$1:$W$1,),)=0,#N/A,VLOOKUP(A8,'DB Country PMI'!$A:$W,MATCH($A$1,'DB Country PMI'!$A$1:$W$1,),))</f>
        <v>52.1</v>
      </c>
      <c r="C8" s="14">
        <f>Table1346811345678[[#This Row],[PMI]]-B7</f>
        <v>1.3000000000000043</v>
      </c>
    </row>
    <row r="9" spans="1:10" x14ac:dyDescent="0.35">
      <c r="A9" s="8">
        <v>40544</v>
      </c>
      <c r="B9" s="11">
        <f>IF(VLOOKUP(A9,'DB Country PMI'!$A:$W,MATCH($A$1,'DB Country PMI'!$A$1:$W$1,),)=0,#N/A,VLOOKUP(A9,'DB Country PMI'!$A:$W,MATCH($A$1,'DB Country PMI'!$A$1:$W$1,),))</f>
        <v>53.6</v>
      </c>
      <c r="C9" s="14">
        <f>Table1346811345678[[#This Row],[PMI]]-B8</f>
        <v>1.5</v>
      </c>
    </row>
    <row r="10" spans="1:10" x14ac:dyDescent="0.35">
      <c r="A10" s="8">
        <v>40575</v>
      </c>
      <c r="B10" s="11">
        <f>IF(VLOOKUP(A10,'DB Country PMI'!$A:$W,MATCH($A$1,'DB Country PMI'!$A$1:$W$1,),)=0,#N/A,VLOOKUP(A10,'DB Country PMI'!$A:$W,MATCH($A$1,'DB Country PMI'!$A$1:$W$1,),))</f>
        <v>55.1</v>
      </c>
      <c r="C10" s="14">
        <f>Table1346811345678[[#This Row],[PMI]]-B9</f>
        <v>1.5</v>
      </c>
    </row>
    <row r="11" spans="1:10" x14ac:dyDescent="0.35">
      <c r="A11" s="8">
        <v>40603</v>
      </c>
      <c r="B11" s="11">
        <f>IF(VLOOKUP(A11,'DB Country PMI'!$A:$W,MATCH($A$1,'DB Country PMI'!$A$1:$W$1,),)=0,#N/A,VLOOKUP(A11,'DB Country PMI'!$A:$W,MATCH($A$1,'DB Country PMI'!$A$1:$W$1,),))</f>
        <v>51.1</v>
      </c>
      <c r="C11" s="14">
        <f>Table1346811345678[[#This Row],[PMI]]-B10</f>
        <v>-4</v>
      </c>
    </row>
    <row r="12" spans="1:10" x14ac:dyDescent="0.35">
      <c r="A12" s="8">
        <v>40634</v>
      </c>
      <c r="B12" s="11">
        <f>IF(VLOOKUP(A12,'DB Country PMI'!$A:$W,MATCH($A$1,'DB Country PMI'!$A$1:$W$1,),)=0,#N/A,VLOOKUP(A12,'DB Country PMI'!$A:$W,MATCH($A$1,'DB Country PMI'!$A$1:$W$1,),))</f>
        <v>50.2</v>
      </c>
      <c r="C12" s="14">
        <f>Table1346811345678[[#This Row],[PMI]]-B11</f>
        <v>-0.89999999999999858</v>
      </c>
    </row>
    <row r="13" spans="1:10" x14ac:dyDescent="0.35">
      <c r="A13" s="8">
        <v>40664</v>
      </c>
      <c r="B13" s="11">
        <f>IF(VLOOKUP(A13,'DB Country PMI'!$A:$W,MATCH($A$1,'DB Country PMI'!$A$1:$W$1,),)=0,#N/A,VLOOKUP(A13,'DB Country PMI'!$A:$W,MATCH($A$1,'DB Country PMI'!$A$1:$W$1,),))</f>
        <v>50.5</v>
      </c>
      <c r="C13" s="14">
        <f>Table1346811345678[[#This Row],[PMI]]-B12</f>
        <v>0.29999999999999716</v>
      </c>
    </row>
    <row r="14" spans="1:10" x14ac:dyDescent="0.35">
      <c r="A14" s="8">
        <v>40695</v>
      </c>
      <c r="B14" s="11">
        <f>IF(VLOOKUP(A14,'DB Country PMI'!$A:$W,MATCH($A$1,'DB Country PMI'!$A$1:$W$1,),)=0,#N/A,VLOOKUP(A14,'DB Country PMI'!$A:$W,MATCH($A$1,'DB Country PMI'!$A$1:$W$1,),))</f>
        <v>52.4</v>
      </c>
      <c r="C14" s="14">
        <f>Table1346811345678[[#This Row],[PMI]]-B13</f>
        <v>1.8999999999999986</v>
      </c>
    </row>
    <row r="15" spans="1:10" x14ac:dyDescent="0.35">
      <c r="A15" s="8">
        <v>40725</v>
      </c>
      <c r="B15" s="11">
        <f>IF(VLOOKUP(A15,'DB Country PMI'!$A:$W,MATCH($A$1,'DB Country PMI'!$A$1:$W$1,),)=0,#N/A,VLOOKUP(A15,'DB Country PMI'!$A:$W,MATCH($A$1,'DB Country PMI'!$A$1:$W$1,),))</f>
        <v>51.7</v>
      </c>
      <c r="C15" s="14">
        <f>Table1346811345678[[#This Row],[PMI]]-B14</f>
        <v>-0.69999999999999574</v>
      </c>
    </row>
    <row r="16" spans="1:10" x14ac:dyDescent="0.35">
      <c r="A16" s="8">
        <v>40756</v>
      </c>
      <c r="B16" s="11">
        <f>IF(VLOOKUP(A16,'DB Country PMI'!$A:$W,MATCH($A$1,'DB Country PMI'!$A$1:$W$1,),)=0,#N/A,VLOOKUP(A16,'DB Country PMI'!$A:$W,MATCH($A$1,'DB Country PMI'!$A$1:$W$1,),))</f>
        <v>51.1</v>
      </c>
      <c r="C16" s="14">
        <f>Table1346811345678[[#This Row],[PMI]]-B15</f>
        <v>-0.60000000000000142</v>
      </c>
    </row>
    <row r="17" spans="1:3" x14ac:dyDescent="0.35">
      <c r="A17" s="8">
        <v>40787</v>
      </c>
      <c r="B17" s="11">
        <f>IF(VLOOKUP(A17,'DB Country PMI'!$A:$W,MATCH($A$1,'DB Country PMI'!$A$1:$W$1,),)=0,#N/A,VLOOKUP(A17,'DB Country PMI'!$A:$W,MATCH($A$1,'DB Country PMI'!$A$1:$W$1,),))</f>
        <v>51.3</v>
      </c>
      <c r="C17" s="14">
        <f>Table1346811345678[[#This Row],[PMI]]-B16</f>
        <v>0.19999999999999574</v>
      </c>
    </row>
    <row r="18" spans="1:3" x14ac:dyDescent="0.35">
      <c r="A18" s="8">
        <v>40817</v>
      </c>
      <c r="B18" s="11">
        <f>IF(VLOOKUP(A18,'DB Country PMI'!$A:$W,MATCH($A$1,'DB Country PMI'!$A$1:$W$1,),)=0,#N/A,VLOOKUP(A18,'DB Country PMI'!$A:$W,MATCH($A$1,'DB Country PMI'!$A$1:$W$1,),))</f>
        <v>51.5</v>
      </c>
      <c r="C18" s="14">
        <f>Table1346811345678[[#This Row],[PMI]]-B17</f>
        <v>0.20000000000000284</v>
      </c>
    </row>
    <row r="19" spans="1:3" x14ac:dyDescent="0.35">
      <c r="A19" s="8">
        <v>40848</v>
      </c>
      <c r="B19" s="11">
        <f>IF(VLOOKUP(A19,'DB Country PMI'!$A:$W,MATCH($A$1,'DB Country PMI'!$A$1:$W$1,),)=0,#N/A,VLOOKUP(A19,'DB Country PMI'!$A:$W,MATCH($A$1,'DB Country PMI'!$A$1:$W$1,),))</f>
        <v>52.7</v>
      </c>
      <c r="C19" s="14">
        <f>Table1346811345678[[#This Row],[PMI]]-B18</f>
        <v>1.2000000000000028</v>
      </c>
    </row>
    <row r="20" spans="1:3" x14ac:dyDescent="0.35">
      <c r="A20" s="8">
        <v>40878</v>
      </c>
      <c r="B20" s="11">
        <f>IF(VLOOKUP(A20,'DB Country PMI'!$A:$W,MATCH($A$1,'DB Country PMI'!$A$1:$W$1,),)=0,#N/A,VLOOKUP(A20,'DB Country PMI'!$A:$W,MATCH($A$1,'DB Country PMI'!$A$1:$W$1,),))</f>
        <v>48.4</v>
      </c>
      <c r="C20" s="14">
        <f>Table1346811345678[[#This Row],[PMI]]-B19</f>
        <v>-4.3000000000000043</v>
      </c>
    </row>
    <row r="21" spans="1:3" x14ac:dyDescent="0.35">
      <c r="A21" s="8">
        <v>40909</v>
      </c>
      <c r="B21" s="11">
        <f>IF(VLOOKUP(A21,'DB Country PMI'!$A:$W,MATCH($A$1,'DB Country PMI'!$A$1:$W$1,),)=0,#N/A,VLOOKUP(A21,'DB Country PMI'!$A:$W,MATCH($A$1,'DB Country PMI'!$A$1:$W$1,),))</f>
        <v>48.3</v>
      </c>
      <c r="C21" s="14">
        <f>Table1346811345678[[#This Row],[PMI]]-B20</f>
        <v>-0.10000000000000142</v>
      </c>
    </row>
    <row r="22" spans="1:3" x14ac:dyDescent="0.35">
      <c r="A22" s="8">
        <v>40940</v>
      </c>
      <c r="B22" s="11">
        <f>IF(VLOOKUP(A22,'DB Country PMI'!$A:$W,MATCH($A$1,'DB Country PMI'!$A$1:$W$1,),)=0,#N/A,VLOOKUP(A22,'DB Country PMI'!$A:$W,MATCH($A$1,'DB Country PMI'!$A$1:$W$1,),))</f>
        <v>53.3</v>
      </c>
      <c r="C22" s="14">
        <f>Table1346811345678[[#This Row],[PMI]]-B21</f>
        <v>5</v>
      </c>
    </row>
    <row r="23" spans="1:3" x14ac:dyDescent="0.35">
      <c r="A23" s="8">
        <v>40969</v>
      </c>
      <c r="B23" s="11">
        <f>IF(VLOOKUP(A23,'DB Country PMI'!$A:$W,MATCH($A$1,'DB Country PMI'!$A$1:$W$1,),)=0,#N/A,VLOOKUP(A23,'DB Country PMI'!$A:$W,MATCH($A$1,'DB Country PMI'!$A$1:$W$1,),))</f>
        <v>52.1</v>
      </c>
      <c r="C23" s="14">
        <f>Table1346811345678[[#This Row],[PMI]]-B22</f>
        <v>-1.1999999999999957</v>
      </c>
    </row>
    <row r="24" spans="1:3" x14ac:dyDescent="0.35">
      <c r="A24" s="8">
        <v>41000</v>
      </c>
      <c r="B24" s="11">
        <f>IF(VLOOKUP(A24,'DB Country PMI'!$A:$W,MATCH($A$1,'DB Country PMI'!$A$1:$W$1,),)=0,#N/A,VLOOKUP(A24,'DB Country PMI'!$A:$W,MATCH($A$1,'DB Country PMI'!$A$1:$W$1,),))</f>
        <v>52.2</v>
      </c>
      <c r="C24" s="14">
        <f>Table1346811345678[[#This Row],[PMI]]-B23</f>
        <v>0.10000000000000142</v>
      </c>
    </row>
    <row r="25" spans="1:3" x14ac:dyDescent="0.35">
      <c r="A25" s="8">
        <v>41030</v>
      </c>
      <c r="B25" s="11">
        <f>IF(VLOOKUP(A25,'DB Country PMI'!$A:$W,MATCH($A$1,'DB Country PMI'!$A$1:$W$1,),)=0,#N/A,VLOOKUP(A25,'DB Country PMI'!$A:$W,MATCH($A$1,'DB Country PMI'!$A$1:$W$1,),))</f>
        <v>48.9</v>
      </c>
      <c r="C25" s="14">
        <f>Table1346811345678[[#This Row],[PMI]]-B24</f>
        <v>-3.3000000000000043</v>
      </c>
    </row>
    <row r="26" spans="1:3" x14ac:dyDescent="0.35">
      <c r="A26" s="8">
        <v>41061</v>
      </c>
      <c r="B26" s="11">
        <f>IF(VLOOKUP(A26,'DB Country PMI'!$A:$W,MATCH($A$1,'DB Country PMI'!$A$1:$W$1,),)=0,#N/A,VLOOKUP(A26,'DB Country PMI'!$A:$W,MATCH($A$1,'DB Country PMI'!$A$1:$W$1,),))</f>
        <v>49.7</v>
      </c>
      <c r="C26" s="14">
        <f>Table1346811345678[[#This Row],[PMI]]-B25</f>
        <v>0.80000000000000426</v>
      </c>
    </row>
    <row r="27" spans="1:3" x14ac:dyDescent="0.35">
      <c r="A27" s="8">
        <v>41091</v>
      </c>
      <c r="B27" s="11">
        <f>IF(VLOOKUP(A27,'DB Country PMI'!$A:$W,MATCH($A$1,'DB Country PMI'!$A$1:$W$1,),)=0,#N/A,VLOOKUP(A27,'DB Country PMI'!$A:$W,MATCH($A$1,'DB Country PMI'!$A$1:$W$1,),))</f>
        <v>49.1</v>
      </c>
      <c r="C27" s="14">
        <f>Table1346811345678[[#This Row],[PMI]]-B26</f>
        <v>-0.60000000000000142</v>
      </c>
    </row>
    <row r="28" spans="1:3" x14ac:dyDescent="0.35">
      <c r="A28" s="8">
        <v>41122</v>
      </c>
      <c r="B28" s="11">
        <f>IF(VLOOKUP(A28,'DB Country PMI'!$A:$W,MATCH($A$1,'DB Country PMI'!$A$1:$W$1,),)=0,#N/A,VLOOKUP(A28,'DB Country PMI'!$A:$W,MATCH($A$1,'DB Country PMI'!$A$1:$W$1,),))</f>
        <v>51.7</v>
      </c>
      <c r="C28" s="14">
        <f>Table1346811345678[[#This Row],[PMI]]-B27</f>
        <v>2.6000000000000014</v>
      </c>
    </row>
    <row r="29" spans="1:3" x14ac:dyDescent="0.35">
      <c r="A29" s="8">
        <v>41153</v>
      </c>
      <c r="B29" s="11">
        <f>IF(VLOOKUP(A29,'DB Country PMI'!$A:$W,MATCH($A$1,'DB Country PMI'!$A$1:$W$1,),)=0,#N/A,VLOOKUP(A29,'DB Country PMI'!$A:$W,MATCH($A$1,'DB Country PMI'!$A$1:$W$1,),))</f>
        <v>53.9</v>
      </c>
      <c r="C29" s="14">
        <f>Table1346811345678[[#This Row],[PMI]]-B28</f>
        <v>2.1999999999999957</v>
      </c>
    </row>
    <row r="30" spans="1:3" x14ac:dyDescent="0.35">
      <c r="A30" s="8">
        <v>41183</v>
      </c>
      <c r="B30" s="11">
        <f>IF(VLOOKUP(A30,'DB Country PMI'!$A:$W,MATCH($A$1,'DB Country PMI'!$A$1:$W$1,),)=0,#N/A,VLOOKUP(A30,'DB Country PMI'!$A:$W,MATCH($A$1,'DB Country PMI'!$A$1:$W$1,),))</f>
        <v>56.1</v>
      </c>
      <c r="C30" s="14">
        <f>Table1346811345678[[#This Row],[PMI]]-B29</f>
        <v>2.2000000000000028</v>
      </c>
    </row>
    <row r="31" spans="1:3" x14ac:dyDescent="0.35">
      <c r="A31" s="8">
        <v>41214</v>
      </c>
      <c r="B31" s="11">
        <f>IF(VLOOKUP(A31,'DB Country PMI'!$A:$W,MATCH($A$1,'DB Country PMI'!$A$1:$W$1,),)=0,#N/A,VLOOKUP(A31,'DB Country PMI'!$A:$W,MATCH($A$1,'DB Country PMI'!$A$1:$W$1,),))</f>
        <v>56.1</v>
      </c>
      <c r="C31" s="14">
        <f>Table1346811345678[[#This Row],[PMI]]-B30</f>
        <v>0</v>
      </c>
    </row>
    <row r="32" spans="1:3" x14ac:dyDescent="0.35">
      <c r="A32" s="8">
        <v>41244</v>
      </c>
      <c r="B32" s="11">
        <f>IF(VLOOKUP(A32,'DB Country PMI'!$A:$W,MATCH($A$1,'DB Country PMI'!$A$1:$W$1,),)=0,#N/A,VLOOKUP(A32,'DB Country PMI'!$A:$W,MATCH($A$1,'DB Country PMI'!$A$1:$W$1,),))</f>
        <v>56.5</v>
      </c>
      <c r="C32" s="14">
        <f>Table1346811345678[[#This Row],[PMI]]-B31</f>
        <v>0.39999999999999858</v>
      </c>
    </row>
    <row r="33" spans="1:3" x14ac:dyDescent="0.35">
      <c r="A33" s="8">
        <v>41275</v>
      </c>
      <c r="B33" s="11">
        <f>IF(VLOOKUP(A33,'DB Country PMI'!$A:$W,MATCH($A$1,'DB Country PMI'!$A$1:$W$1,),)=0,#N/A,VLOOKUP(A33,'DB Country PMI'!$A:$W,MATCH($A$1,'DB Country PMI'!$A$1:$W$1,),))</f>
        <v>56.8</v>
      </c>
      <c r="C33" s="14">
        <f>Table1346811345678[[#This Row],[PMI]]-B32</f>
        <v>0.29999999999999716</v>
      </c>
    </row>
    <row r="34" spans="1:3" x14ac:dyDescent="0.35">
      <c r="A34" s="8">
        <v>41306</v>
      </c>
      <c r="B34" s="11">
        <f>IF(VLOOKUP(A34,'DB Country PMI'!$A:$W,MATCH($A$1,'DB Country PMI'!$A$1:$W$1,),)=0,#N/A,VLOOKUP(A34,'DB Country PMI'!$A:$W,MATCH($A$1,'DB Country PMI'!$A$1:$W$1,),))</f>
        <v>53.6</v>
      </c>
      <c r="C34" s="14">
        <f>Table1346811345678[[#This Row],[PMI]]-B33</f>
        <v>-3.1999999999999957</v>
      </c>
    </row>
    <row r="35" spans="1:3" x14ac:dyDescent="0.35">
      <c r="A35" s="8">
        <v>41334</v>
      </c>
      <c r="B35" s="11">
        <f>IF(VLOOKUP(A35,'DB Country PMI'!$A:$W,MATCH($A$1,'DB Country PMI'!$A$1:$W$1,),)=0,#N/A,VLOOKUP(A35,'DB Country PMI'!$A:$W,MATCH($A$1,'DB Country PMI'!$A$1:$W$1,),))</f>
        <v>52.3</v>
      </c>
      <c r="C35" s="14">
        <f>Table1346811345678[[#This Row],[PMI]]-B34</f>
        <v>-1.3000000000000043</v>
      </c>
    </row>
    <row r="36" spans="1:3" x14ac:dyDescent="0.35">
      <c r="A36" s="8">
        <v>41365</v>
      </c>
      <c r="B36" s="11">
        <f>IF(VLOOKUP(A36,'DB Country PMI'!$A:$W,MATCH($A$1,'DB Country PMI'!$A$1:$W$1,),)=0,#N/A,VLOOKUP(A36,'DB Country PMI'!$A:$W,MATCH($A$1,'DB Country PMI'!$A$1:$W$1,),))</f>
        <v>55.2</v>
      </c>
      <c r="C36" s="14">
        <f>Table1346811345678[[#This Row],[PMI]]-B35</f>
        <v>2.9000000000000057</v>
      </c>
    </row>
    <row r="37" spans="1:3" x14ac:dyDescent="0.35">
      <c r="A37" s="8">
        <v>41395</v>
      </c>
      <c r="B37" s="11">
        <f>IF(VLOOKUP(A37,'DB Country PMI'!$A:$W,MATCH($A$1,'DB Country PMI'!$A$1:$W$1,),)=0,#N/A,VLOOKUP(A37,'DB Country PMI'!$A:$W,MATCH($A$1,'DB Country PMI'!$A$1:$W$1,),))</f>
        <v>52.7</v>
      </c>
      <c r="C37" s="14">
        <f>Table1346811345678[[#This Row],[PMI]]-B36</f>
        <v>-2.5</v>
      </c>
    </row>
    <row r="38" spans="1:3" x14ac:dyDescent="0.35">
      <c r="A38" s="8">
        <v>41426</v>
      </c>
      <c r="B38" s="11">
        <f>IF(VLOOKUP(A38,'DB Country PMI'!$A:$W,MATCH($A$1,'DB Country PMI'!$A$1:$W$1,),)=0,#N/A,VLOOKUP(A38,'DB Country PMI'!$A:$W,MATCH($A$1,'DB Country PMI'!$A$1:$W$1,),))</f>
        <v>61.6</v>
      </c>
      <c r="C38" s="14">
        <f>Table1346811345678[[#This Row],[PMI]]-B37</f>
        <v>8.8999999999999986</v>
      </c>
    </row>
    <row r="39" spans="1:3" x14ac:dyDescent="0.35">
      <c r="A39" s="8">
        <v>41456</v>
      </c>
      <c r="B39" s="11">
        <f>IF(VLOOKUP(A39,'DB Country PMI'!$A:$W,MATCH($A$1,'DB Country PMI'!$A$1:$W$1,),)=0,#N/A,VLOOKUP(A39,'DB Country PMI'!$A:$W,MATCH($A$1,'DB Country PMI'!$A$1:$W$1,),))</f>
        <v>59.6</v>
      </c>
      <c r="C39" s="14">
        <f>Table1346811345678[[#This Row],[PMI]]-B38</f>
        <v>-2</v>
      </c>
    </row>
    <row r="40" spans="1:3" x14ac:dyDescent="0.35">
      <c r="A40" s="8">
        <v>41487</v>
      </c>
      <c r="B40" s="11">
        <f>IF(VLOOKUP(A40,'DB Country PMI'!$A:$W,MATCH($A$1,'DB Country PMI'!$A$1:$W$1,),)=0,#N/A,VLOOKUP(A40,'DB Country PMI'!$A:$W,MATCH($A$1,'DB Country PMI'!$A$1:$W$1,),))</f>
        <v>57.2</v>
      </c>
      <c r="C40" s="14">
        <f>Table1346811345678[[#This Row],[PMI]]-B39</f>
        <v>-2.3999999999999986</v>
      </c>
    </row>
    <row r="41" spans="1:3" x14ac:dyDescent="0.35">
      <c r="A41" s="8">
        <v>41518</v>
      </c>
      <c r="B41" s="11">
        <f>IF(VLOOKUP(A41,'DB Country PMI'!$A:$W,MATCH($A$1,'DB Country PMI'!$A$1:$W$1,),)=0,#N/A,VLOOKUP(A41,'DB Country PMI'!$A:$W,MATCH($A$1,'DB Country PMI'!$A$1:$W$1,),))</f>
        <v>56.8</v>
      </c>
      <c r="C41" s="14">
        <f>Table1346811345678[[#This Row],[PMI]]-B40</f>
        <v>-0.40000000000000568</v>
      </c>
    </row>
    <row r="42" spans="1:3" x14ac:dyDescent="0.35">
      <c r="A42" s="8">
        <v>41548</v>
      </c>
      <c r="B42" s="11">
        <f>IF(VLOOKUP(A42,'DB Country PMI'!$A:$W,MATCH($A$1,'DB Country PMI'!$A$1:$W$1,),)=0,#N/A,VLOOKUP(A42,'DB Country PMI'!$A:$W,MATCH($A$1,'DB Country PMI'!$A$1:$W$1,),))</f>
        <v>60.1</v>
      </c>
      <c r="C42" s="14">
        <f>Table1346811345678[[#This Row],[PMI]]-B41</f>
        <v>3.3000000000000043</v>
      </c>
    </row>
    <row r="43" spans="1:3" x14ac:dyDescent="0.35">
      <c r="A43" s="8">
        <v>41579</v>
      </c>
      <c r="B43" s="11">
        <f>IF(VLOOKUP(A43,'DB Country PMI'!$A:$W,MATCH($A$1,'DB Country PMI'!$A$1:$W$1,),)=0,#N/A,VLOOKUP(A43,'DB Country PMI'!$A:$W,MATCH($A$1,'DB Country PMI'!$A$1:$W$1,),))</f>
        <v>57.1</v>
      </c>
      <c r="C43" s="14">
        <f>Table1346811345678[[#This Row],[PMI]]-B42</f>
        <v>-3</v>
      </c>
    </row>
    <row r="44" spans="1:3" x14ac:dyDescent="0.35">
      <c r="A44" s="8">
        <v>41609</v>
      </c>
      <c r="B44" s="11">
        <f>IF(VLOOKUP(A44,'DB Country PMI'!$A:$W,MATCH($A$1,'DB Country PMI'!$A$1:$W$1,),)=0,#N/A,VLOOKUP(A44,'DB Country PMI'!$A:$W,MATCH($A$1,'DB Country PMI'!$A$1:$W$1,),))</f>
        <v>59.3</v>
      </c>
      <c r="C44" s="14">
        <f>Table1346811345678[[#This Row],[PMI]]-B43</f>
        <v>2.1999999999999957</v>
      </c>
    </row>
    <row r="45" spans="1:3" x14ac:dyDescent="0.35">
      <c r="A45" s="8">
        <v>41640</v>
      </c>
      <c r="B45" s="11">
        <f>IF(VLOOKUP(A45,'DB Country PMI'!$A:$W,MATCH($A$1,'DB Country PMI'!$A$1:$W$1,),)=0,#N/A,VLOOKUP(A45,'DB Country PMI'!$A:$W,MATCH($A$1,'DB Country PMI'!$A$1:$W$1,),))</f>
        <v>61.5</v>
      </c>
      <c r="C45" s="14">
        <f>Table1346811345678[[#This Row],[PMI]]-B44</f>
        <v>2.2000000000000028</v>
      </c>
    </row>
    <row r="46" spans="1:3" x14ac:dyDescent="0.35">
      <c r="A46" s="8">
        <v>41671</v>
      </c>
      <c r="B46" s="11">
        <f>IF(VLOOKUP(A46,'DB Country PMI'!$A:$W,MATCH($A$1,'DB Country PMI'!$A$1:$W$1,),)=0,#N/A,VLOOKUP(A46,'DB Country PMI'!$A:$W,MATCH($A$1,'DB Country PMI'!$A$1:$W$1,),))</f>
        <v>57.5</v>
      </c>
      <c r="C46" s="14">
        <f>Table1346811345678[[#This Row],[PMI]]-B45</f>
        <v>-4</v>
      </c>
    </row>
    <row r="47" spans="1:3" x14ac:dyDescent="0.35">
      <c r="A47" s="8">
        <v>41699</v>
      </c>
      <c r="B47" s="11">
        <f>IF(VLOOKUP(A47,'DB Country PMI'!$A:$W,MATCH($A$1,'DB Country PMI'!$A$1:$W$1,),)=0,#N/A,VLOOKUP(A47,'DB Country PMI'!$A:$W,MATCH($A$1,'DB Country PMI'!$A$1:$W$1,),))</f>
        <v>60.7</v>
      </c>
      <c r="C47" s="14">
        <f>Table1346811345678[[#This Row],[PMI]]-B46</f>
        <v>3.2000000000000028</v>
      </c>
    </row>
    <row r="48" spans="1:3" x14ac:dyDescent="0.35">
      <c r="A48" s="8">
        <v>41730</v>
      </c>
      <c r="B48" s="11">
        <f>IF(VLOOKUP(A48,'DB Country PMI'!$A:$W,MATCH($A$1,'DB Country PMI'!$A$1:$W$1,),)=0,#N/A,VLOOKUP(A48,'DB Country PMI'!$A:$W,MATCH($A$1,'DB Country PMI'!$A$1:$W$1,),))</f>
        <v>61.9</v>
      </c>
      <c r="C48" s="14">
        <f>Table1346811345678[[#This Row],[PMI]]-B47</f>
        <v>1.1999999999999957</v>
      </c>
    </row>
    <row r="49" spans="1:3" x14ac:dyDescent="0.35">
      <c r="A49" s="8">
        <v>41760</v>
      </c>
      <c r="B49" s="11">
        <f>IF(VLOOKUP(A49,'DB Country PMI'!$A:$W,MATCH($A$1,'DB Country PMI'!$A$1:$W$1,),)=0,#N/A,VLOOKUP(A49,'DB Country PMI'!$A:$W,MATCH($A$1,'DB Country PMI'!$A$1:$W$1,),))</f>
        <v>61.7</v>
      </c>
      <c r="C49" s="14">
        <f>Table1346811345678[[#This Row],[PMI]]-B48</f>
        <v>-0.19999999999999574</v>
      </c>
    </row>
    <row r="50" spans="1:3" x14ac:dyDescent="0.35">
      <c r="A50" s="8">
        <v>41791</v>
      </c>
      <c r="B50" s="11">
        <f>IF(VLOOKUP(A50,'DB Country PMI'!$A:$W,MATCH($A$1,'DB Country PMI'!$A$1:$W$1,),)=0,#N/A,VLOOKUP(A50,'DB Country PMI'!$A:$W,MATCH($A$1,'DB Country PMI'!$A$1:$W$1,),))</f>
        <v>62.6</v>
      </c>
      <c r="C50" s="14">
        <f>Table1346811345678[[#This Row],[PMI]]-B49</f>
        <v>0.89999999999999858</v>
      </c>
    </row>
    <row r="51" spans="1:3" x14ac:dyDescent="0.35">
      <c r="A51" s="8">
        <v>41821</v>
      </c>
      <c r="B51" s="11">
        <f>IF(VLOOKUP(A51,'DB Country PMI'!$A:$W,MATCH($A$1,'DB Country PMI'!$A$1:$W$1,),)=0,#N/A,VLOOKUP(A51,'DB Country PMI'!$A:$W,MATCH($A$1,'DB Country PMI'!$A$1:$W$1,),))</f>
        <v>61.3</v>
      </c>
      <c r="C51" s="14">
        <f>Table1346811345678[[#This Row],[PMI]]-B50</f>
        <v>-1.3000000000000043</v>
      </c>
    </row>
    <row r="52" spans="1:3" x14ac:dyDescent="0.35">
      <c r="A52" s="8">
        <v>41852</v>
      </c>
      <c r="B52" s="11">
        <f>IF(VLOOKUP(A52,'DB Country PMI'!$A:$W,MATCH($A$1,'DB Country PMI'!$A$1:$W$1,),)=0,#N/A,VLOOKUP(A52,'DB Country PMI'!$A:$W,MATCH($A$1,'DB Country PMI'!$A$1:$W$1,),))</f>
        <v>62.4</v>
      </c>
      <c r="C52" s="14">
        <f>Table1346811345678[[#This Row],[PMI]]-B51</f>
        <v>1.1000000000000014</v>
      </c>
    </row>
    <row r="53" spans="1:3" x14ac:dyDescent="0.35">
      <c r="A53" s="8">
        <v>41883</v>
      </c>
      <c r="B53" s="11">
        <f>IF(VLOOKUP(A53,'DB Country PMI'!$A:$W,MATCH($A$1,'DB Country PMI'!$A$1:$W$1,),)=0,#N/A,VLOOKUP(A53,'DB Country PMI'!$A:$W,MATCH($A$1,'DB Country PMI'!$A$1:$W$1,),))</f>
        <v>62.5</v>
      </c>
      <c r="C53" s="14">
        <f>Table1346811345678[[#This Row],[PMI]]-B52</f>
        <v>0.10000000000000142</v>
      </c>
    </row>
    <row r="54" spans="1:3" x14ac:dyDescent="0.35">
      <c r="A54" s="8">
        <v>41913</v>
      </c>
      <c r="B54" s="11">
        <f>IF(VLOOKUP(A54,'DB Country PMI'!$A:$W,MATCH($A$1,'DB Country PMI'!$A$1:$W$1,),)=0,#N/A,VLOOKUP(A54,'DB Country PMI'!$A:$W,MATCH($A$1,'DB Country PMI'!$A$1:$W$1,),))</f>
        <v>61.5</v>
      </c>
      <c r="C54" s="14">
        <f>Table1346811345678[[#This Row],[PMI]]-B53</f>
        <v>-1</v>
      </c>
    </row>
    <row r="55" spans="1:3" x14ac:dyDescent="0.35">
      <c r="A55" s="8">
        <v>41944</v>
      </c>
      <c r="B55" s="11">
        <f>IF(VLOOKUP(A55,'DB Country PMI'!$A:$W,MATCH($A$1,'DB Country PMI'!$A$1:$W$1,),)=0,#N/A,VLOOKUP(A55,'DB Country PMI'!$A:$W,MATCH($A$1,'DB Country PMI'!$A$1:$W$1,),))</f>
        <v>61.6</v>
      </c>
      <c r="C55" s="14">
        <f>Table1346811345678[[#This Row],[PMI]]-B54</f>
        <v>0.10000000000000142</v>
      </c>
    </row>
    <row r="56" spans="1:3" x14ac:dyDescent="0.35">
      <c r="A56" s="8">
        <v>41974</v>
      </c>
      <c r="B56" s="11">
        <f>IF(VLOOKUP(A56,'DB Country PMI'!$A:$W,MATCH($A$1,'DB Country PMI'!$A$1:$W$1,),)=0,#N/A,VLOOKUP(A56,'DB Country PMI'!$A:$W,MATCH($A$1,'DB Country PMI'!$A$1:$W$1,),))</f>
        <v>62.6</v>
      </c>
      <c r="C56" s="14">
        <f>Table1346811345678[[#This Row],[PMI]]-B55</f>
        <v>1</v>
      </c>
    </row>
    <row r="57" spans="1:3" x14ac:dyDescent="0.35">
      <c r="A57" s="8">
        <v>42005</v>
      </c>
      <c r="B57" s="11">
        <f>IF(VLOOKUP(A57,'DB Country PMI'!$A:$W,MATCH($A$1,'DB Country PMI'!$A$1:$W$1,),)=0,#N/A,VLOOKUP(A57,'DB Country PMI'!$A:$W,MATCH($A$1,'DB Country PMI'!$A$1:$W$1,),))</f>
        <v>62.5</v>
      </c>
      <c r="C57" s="14">
        <f>Table1346811345678[[#This Row],[PMI]]-B56</f>
        <v>-0.10000000000000142</v>
      </c>
    </row>
    <row r="58" spans="1:3" x14ac:dyDescent="0.35">
      <c r="A58" s="8">
        <v>42036</v>
      </c>
      <c r="B58" s="11">
        <f>IF(VLOOKUP(A58,'DB Country PMI'!$A:$W,MATCH($A$1,'DB Country PMI'!$A$1:$W$1,),)=0,#N/A,VLOOKUP(A58,'DB Country PMI'!$A:$W,MATCH($A$1,'DB Country PMI'!$A$1:$W$1,),))</f>
        <v>61.4</v>
      </c>
      <c r="C58" s="14">
        <f>Table1346811345678[[#This Row],[PMI]]-B57</f>
        <v>-1.1000000000000014</v>
      </c>
    </row>
    <row r="59" spans="1:3" x14ac:dyDescent="0.35">
      <c r="A59" s="8">
        <v>42064</v>
      </c>
      <c r="B59" s="11">
        <f>IF(VLOOKUP(A59,'DB Country PMI'!$A:$W,MATCH($A$1,'DB Country PMI'!$A$1:$W$1,),)=0,#N/A,VLOOKUP(A59,'DB Country PMI'!$A:$W,MATCH($A$1,'DB Country PMI'!$A$1:$W$1,),))</f>
        <v>60.9</v>
      </c>
      <c r="C59" s="14">
        <f>Table1346811345678[[#This Row],[PMI]]-B58</f>
        <v>-0.5</v>
      </c>
    </row>
    <row r="60" spans="1:3" x14ac:dyDescent="0.35">
      <c r="A60" s="8">
        <v>42095</v>
      </c>
      <c r="B60" s="11">
        <f>IF(VLOOKUP(A60,'DB Country PMI'!$A:$W,MATCH($A$1,'DB Country PMI'!$A$1:$W$1,),)=0,#N/A,VLOOKUP(A60,'DB Country PMI'!$A:$W,MATCH($A$1,'DB Country PMI'!$A$1:$W$1,),))</f>
        <v>60.6</v>
      </c>
      <c r="C60" s="14">
        <f>Table1346811345678[[#This Row],[PMI]]-B59</f>
        <v>-0.29999999999999716</v>
      </c>
    </row>
    <row r="61" spans="1:3" x14ac:dyDescent="0.35">
      <c r="A61" s="8">
        <v>42125</v>
      </c>
      <c r="B61" s="11">
        <f>IF(VLOOKUP(A61,'DB Country PMI'!$A:$W,MATCH($A$1,'DB Country PMI'!$A$1:$W$1,),)=0,#N/A,VLOOKUP(A61,'DB Country PMI'!$A:$W,MATCH($A$1,'DB Country PMI'!$A$1:$W$1,),))</f>
        <v>61.4</v>
      </c>
      <c r="C61" s="14">
        <f>Table1346811345678[[#This Row],[PMI]]-B60</f>
        <v>0.79999999999999716</v>
      </c>
    </row>
    <row r="62" spans="1:3" x14ac:dyDescent="0.35">
      <c r="A62" s="8">
        <v>42156</v>
      </c>
      <c r="B62" s="11">
        <f>IF(VLOOKUP(A62,'DB Country PMI'!$A:$W,MATCH($A$1,'DB Country PMI'!$A$1:$W$1,),)=0,#N/A,VLOOKUP(A62,'DB Country PMI'!$A:$W,MATCH($A$1,'DB Country PMI'!$A$1:$W$1,),))</f>
        <v>63.3</v>
      </c>
      <c r="C62" s="14">
        <f>Table1346811345678[[#This Row],[PMI]]-B61</f>
        <v>1.8999999999999986</v>
      </c>
    </row>
    <row r="63" spans="1:3" x14ac:dyDescent="0.35">
      <c r="A63" s="8">
        <v>42186</v>
      </c>
      <c r="B63" s="11">
        <f>IF(VLOOKUP(A63,'DB Country PMI'!$A:$W,MATCH($A$1,'DB Country PMI'!$A$1:$W$1,),)=0,#N/A,VLOOKUP(A63,'DB Country PMI'!$A:$W,MATCH($A$1,'DB Country PMI'!$A$1:$W$1,),))</f>
        <v>63.4</v>
      </c>
      <c r="C63" s="14">
        <f>Table1346811345678[[#This Row],[PMI]]-B62</f>
        <v>0.10000000000000142</v>
      </c>
    </row>
    <row r="64" spans="1:3" x14ac:dyDescent="0.35">
      <c r="A64" s="8">
        <v>42217</v>
      </c>
      <c r="B64" s="11">
        <f>IF(VLOOKUP(A64,'DB Country PMI'!$A:$W,MATCH($A$1,'DB Country PMI'!$A$1:$W$1,),)=0,#N/A,VLOOKUP(A64,'DB Country PMI'!$A:$W,MATCH($A$1,'DB Country PMI'!$A$1:$W$1,),))</f>
        <v>62.1</v>
      </c>
      <c r="C64" s="14">
        <f>Table1346811345678[[#This Row],[PMI]]-B63</f>
        <v>-1.2999999999999972</v>
      </c>
    </row>
    <row r="65" spans="1:3" x14ac:dyDescent="0.35">
      <c r="A65" s="8">
        <v>42248</v>
      </c>
      <c r="B65" s="11">
        <f>IF(VLOOKUP(A65,'DB Country PMI'!$A:$W,MATCH($A$1,'DB Country PMI'!$A$1:$W$1,),)=0,#N/A,VLOOKUP(A65,'DB Country PMI'!$A:$W,MATCH($A$1,'DB Country PMI'!$A$1:$W$1,),))</f>
        <v>62.4</v>
      </c>
      <c r="C65" s="14">
        <f>Table1346811345678[[#This Row],[PMI]]-B64</f>
        <v>0.29999999999999716</v>
      </c>
    </row>
    <row r="66" spans="1:3" x14ac:dyDescent="0.35">
      <c r="A66" s="8">
        <v>42278</v>
      </c>
      <c r="B66" s="11">
        <f>IF(VLOOKUP(A66,'DB Country PMI'!$A:$W,MATCH($A$1,'DB Country PMI'!$A$1:$W$1,),)=0,#N/A,VLOOKUP(A66,'DB Country PMI'!$A:$W,MATCH($A$1,'DB Country PMI'!$A$1:$W$1,),))</f>
        <v>60.1</v>
      </c>
      <c r="C66" s="14">
        <f>Table1346811345678[[#This Row],[PMI]]-B65</f>
        <v>-2.2999999999999972</v>
      </c>
    </row>
    <row r="67" spans="1:3" x14ac:dyDescent="0.35">
      <c r="A67" s="8">
        <v>42309</v>
      </c>
      <c r="B67" s="11">
        <f>IF(VLOOKUP(A67,'DB Country PMI'!$A:$W,MATCH($A$1,'DB Country PMI'!$A$1:$W$1,),)=0,#N/A,VLOOKUP(A67,'DB Country PMI'!$A:$W,MATCH($A$1,'DB Country PMI'!$A$1:$W$1,),))</f>
        <v>63.6</v>
      </c>
      <c r="C67" s="14">
        <f>Table1346811345678[[#This Row],[PMI]]-B66</f>
        <v>3.5</v>
      </c>
    </row>
    <row r="68" spans="1:3" x14ac:dyDescent="0.35">
      <c r="A68" s="8">
        <v>42339</v>
      </c>
      <c r="B68" s="11">
        <f>IF(VLOOKUP(A68,'DB Country PMI'!$A:$W,MATCH($A$1,'DB Country PMI'!$A$1:$W$1,),)=0,#N/A,VLOOKUP(A68,'DB Country PMI'!$A:$W,MATCH($A$1,'DB Country PMI'!$A$1:$W$1,),))</f>
        <v>61.8</v>
      </c>
      <c r="C68" s="14">
        <f>Table1346811345678[[#This Row],[PMI]]-B67</f>
        <v>-1.8000000000000043</v>
      </c>
    </row>
    <row r="69" spans="1:3" x14ac:dyDescent="0.35">
      <c r="A69" s="8">
        <v>42370</v>
      </c>
      <c r="B69" s="11">
        <f>IF(VLOOKUP(A69,'DB Country PMI'!$A:$W,MATCH($A$1,'DB Country PMI'!$A$1:$W$1,),)=0,#N/A,VLOOKUP(A69,'DB Country PMI'!$A:$W,MATCH($A$1,'DB Country PMI'!$A$1:$W$1,),))</f>
        <v>64</v>
      </c>
      <c r="C69" s="14">
        <f>Table1346811345678[[#This Row],[PMI]]-B68</f>
        <v>2.2000000000000028</v>
      </c>
    </row>
    <row r="70" spans="1:3" x14ac:dyDescent="0.35">
      <c r="A70" s="8">
        <v>42401</v>
      </c>
      <c r="B70" s="11">
        <f>IF(VLOOKUP(A70,'DB Country PMI'!$A:$W,MATCH($A$1,'DB Country PMI'!$A$1:$W$1,),)=0,#N/A,VLOOKUP(A70,'DB Country PMI'!$A:$W,MATCH($A$1,'DB Country PMI'!$A$1:$W$1,),))</f>
        <v>62.1</v>
      </c>
      <c r="C70" s="14">
        <f>Table1346811345678[[#This Row],[PMI]]-B69</f>
        <v>-1.8999999999999986</v>
      </c>
    </row>
    <row r="71" spans="1:3" x14ac:dyDescent="0.35">
      <c r="A71" s="8">
        <v>42430</v>
      </c>
      <c r="B71" s="11">
        <f>IF(VLOOKUP(A71,'DB Country PMI'!$A:$W,MATCH($A$1,'DB Country PMI'!$A$1:$W$1,),)=0,#N/A,VLOOKUP(A71,'DB Country PMI'!$A:$W,MATCH($A$1,'DB Country PMI'!$A$1:$W$1,),))</f>
        <v>62.8</v>
      </c>
      <c r="C71" s="14">
        <f>Table1346811345678[[#This Row],[PMI]]-B70</f>
        <v>0.69999999999999574</v>
      </c>
    </row>
    <row r="72" spans="1:3" x14ac:dyDescent="0.35">
      <c r="A72" s="8">
        <v>42461</v>
      </c>
      <c r="B72" s="11">
        <f>IF(VLOOKUP(A72,'DB Country PMI'!$A:$W,MATCH($A$1,'DB Country PMI'!$A$1:$W$1,),)=0,#N/A,VLOOKUP(A72,'DB Country PMI'!$A:$W,MATCH($A$1,'DB Country PMI'!$A$1:$W$1,),))</f>
        <v>59.8</v>
      </c>
      <c r="C72" s="14">
        <f>Table1346811345678[[#This Row],[PMI]]-B71</f>
        <v>-3</v>
      </c>
    </row>
    <row r="73" spans="1:3" x14ac:dyDescent="0.35">
      <c r="A73" s="8">
        <v>42491</v>
      </c>
      <c r="B73" s="11">
        <f>IF(VLOOKUP(A73,'DB Country PMI'!$A:$W,MATCH($A$1,'DB Country PMI'!$A$1:$W$1,),)=0,#N/A,VLOOKUP(A73,'DB Country PMI'!$A:$W,MATCH($A$1,'DB Country PMI'!$A$1:$W$1,),))</f>
        <v>61.7</v>
      </c>
      <c r="C73" s="14">
        <f>Table1346811345678[[#This Row],[PMI]]-B72</f>
        <v>1.9000000000000057</v>
      </c>
    </row>
    <row r="74" spans="1:3" x14ac:dyDescent="0.35">
      <c r="A74" s="8">
        <v>42522</v>
      </c>
      <c r="B74" s="11">
        <f>IF(VLOOKUP(A74,'DB Country PMI'!$A:$W,MATCH($A$1,'DB Country PMI'!$A$1:$W$1,),)=0,#N/A,VLOOKUP(A74,'DB Country PMI'!$A:$W,MATCH($A$1,'DB Country PMI'!$A$1:$W$1,),))</f>
        <v>61.2</v>
      </c>
      <c r="C74" s="14">
        <f>Table1346811345678[[#This Row],[PMI]]-B73</f>
        <v>-0.5</v>
      </c>
    </row>
    <row r="75" spans="1:3" x14ac:dyDescent="0.35">
      <c r="A75" s="8">
        <v>42552</v>
      </c>
      <c r="B75" s="11">
        <f>IF(VLOOKUP(A75,'DB Country PMI'!$A:$W,MATCH($A$1,'DB Country PMI'!$A$1:$W$1,),)=0,#N/A,VLOOKUP(A75,'DB Country PMI'!$A:$W,MATCH($A$1,'DB Country PMI'!$A$1:$W$1,),))</f>
        <v>59.5</v>
      </c>
      <c r="C75" s="14">
        <f>Table1346811345678[[#This Row],[PMI]]-B74</f>
        <v>-1.7000000000000028</v>
      </c>
    </row>
    <row r="76" spans="1:3" x14ac:dyDescent="0.35">
      <c r="A76" s="8">
        <v>42583</v>
      </c>
      <c r="B76" s="11">
        <f>IF(VLOOKUP(A76,'DB Country PMI'!$A:$W,MATCH($A$1,'DB Country PMI'!$A$1:$W$1,),)=0,#N/A,VLOOKUP(A76,'DB Country PMI'!$A:$W,MATCH($A$1,'DB Country PMI'!$A$1:$W$1,),))</f>
        <v>59.7</v>
      </c>
      <c r="C76" s="14">
        <f>Table1346811345678[[#This Row],[PMI]]-B75</f>
        <v>0.20000000000000284</v>
      </c>
    </row>
    <row r="77" spans="1:3" x14ac:dyDescent="0.35">
      <c r="A77" s="8">
        <v>42614</v>
      </c>
      <c r="B77" s="11">
        <f>IF(VLOOKUP(A77,'DB Country PMI'!$A:$W,MATCH($A$1,'DB Country PMI'!$A$1:$W$1,),)=0,#N/A,VLOOKUP(A77,'DB Country PMI'!$A:$W,MATCH($A$1,'DB Country PMI'!$A$1:$W$1,),))</f>
        <v>56.2</v>
      </c>
      <c r="C77" s="14">
        <f>Table1346811345678[[#This Row],[PMI]]-B76</f>
        <v>-3.5</v>
      </c>
    </row>
    <row r="78" spans="1:3" x14ac:dyDescent="0.35">
      <c r="A78" s="8">
        <v>42644</v>
      </c>
      <c r="B78" s="11">
        <f>IF(VLOOKUP(A78,'DB Country PMI'!$A:$W,MATCH($A$1,'DB Country PMI'!$A$1:$W$1,),)=0,#N/A,VLOOKUP(A78,'DB Country PMI'!$A:$W,MATCH($A$1,'DB Country PMI'!$A$1:$W$1,),))</f>
        <v>54.6</v>
      </c>
      <c r="C78" s="14">
        <f>Table1346811345678[[#This Row],[PMI]]-B77</f>
        <v>-1.6000000000000014</v>
      </c>
    </row>
    <row r="79" spans="1:3" x14ac:dyDescent="0.35">
      <c r="A79" s="8">
        <v>42675</v>
      </c>
      <c r="B79" s="11">
        <f>IF(VLOOKUP(A79,'DB Country PMI'!$A:$W,MATCH($A$1,'DB Country PMI'!$A$1:$W$1,),)=0,#N/A,VLOOKUP(A79,'DB Country PMI'!$A:$W,MATCH($A$1,'DB Country PMI'!$A$1:$W$1,),))</f>
        <v>56</v>
      </c>
      <c r="C79" s="14">
        <f>Table1346811345678[[#This Row],[PMI]]-B78</f>
        <v>1.3999999999999986</v>
      </c>
    </row>
    <row r="80" spans="1:3" x14ac:dyDescent="0.35">
      <c r="A80" s="8">
        <v>42705</v>
      </c>
      <c r="B80" s="11">
        <f>IF(VLOOKUP(A80,'DB Country PMI'!$A:$W,MATCH($A$1,'DB Country PMI'!$A$1:$W$1,),)=0,#N/A,VLOOKUP(A80,'DB Country PMI'!$A:$W,MATCH($A$1,'DB Country PMI'!$A$1:$W$1,),))</f>
        <v>59.1</v>
      </c>
      <c r="C80" s="14">
        <f>Table1346811345678[[#This Row],[PMI]]-B79</f>
        <v>3.1000000000000014</v>
      </c>
    </row>
    <row r="81" spans="1:3" x14ac:dyDescent="0.35">
      <c r="A81" s="8">
        <v>42736</v>
      </c>
      <c r="B81" s="11">
        <f>IF(VLOOKUP(A81,'DB Country PMI'!$A:$W,MATCH($A$1,'DB Country PMI'!$A$1:$W$1,),)=0,#N/A,VLOOKUP(A81,'DB Country PMI'!$A:$W,MATCH($A$1,'DB Country PMI'!$A$1:$W$1,),))</f>
        <v>61</v>
      </c>
      <c r="C81" s="14">
        <f>Table1346811345678[[#This Row],[PMI]]-B80</f>
        <v>1.8999999999999986</v>
      </c>
    </row>
    <row r="82" spans="1:3" x14ac:dyDescent="0.35">
      <c r="A82" s="8">
        <v>42767</v>
      </c>
      <c r="B82" s="11">
        <f>IF(VLOOKUP(A82,'DB Country PMI'!$A:$W,MATCH($A$1,'DB Country PMI'!$A$1:$W$1,),)=0,#N/A,VLOOKUP(A82,'DB Country PMI'!$A:$W,MATCH($A$1,'DB Country PMI'!$A$1:$W$1,),))</f>
        <v>60.6</v>
      </c>
      <c r="C82" s="14">
        <f>Table1346811345678[[#This Row],[PMI]]-B81</f>
        <v>-0.39999999999999858</v>
      </c>
    </row>
    <row r="83" spans="1:3" x14ac:dyDescent="0.35">
      <c r="A83" s="8">
        <v>42795</v>
      </c>
      <c r="B83" s="11">
        <f>IF(VLOOKUP(A83,'DB Country PMI'!$A:$W,MATCH($A$1,'DB Country PMI'!$A$1:$W$1,),)=0,#N/A,VLOOKUP(A83,'DB Country PMI'!$A:$W,MATCH($A$1,'DB Country PMI'!$A$1:$W$1,),))</f>
        <v>59.1</v>
      </c>
      <c r="C83" s="14">
        <f>Table1346811345678[[#This Row],[PMI]]-B82</f>
        <v>-1.5</v>
      </c>
    </row>
    <row r="84" spans="1:3" x14ac:dyDescent="0.35">
      <c r="A84" s="8">
        <v>42826</v>
      </c>
      <c r="B84" s="11">
        <f>IF(VLOOKUP(A84,'DB Country PMI'!$A:$W,MATCH($A$1,'DB Country PMI'!$A$1:$W$1,),)=0,#N/A,VLOOKUP(A84,'DB Country PMI'!$A:$W,MATCH($A$1,'DB Country PMI'!$A$1:$W$1,),))</f>
        <v>61.1</v>
      </c>
      <c r="C84" s="14">
        <f>Table1346811345678[[#This Row],[PMI]]-B83</f>
        <v>2</v>
      </c>
    </row>
    <row r="85" spans="1:3" x14ac:dyDescent="0.35">
      <c r="A85" s="8">
        <v>42856</v>
      </c>
      <c r="B85" s="11">
        <f>IF(VLOOKUP(A85,'DB Country PMI'!$A:$W,MATCH($A$1,'DB Country PMI'!$A$1:$W$1,),)=0,#N/A,VLOOKUP(A85,'DB Country PMI'!$A:$W,MATCH($A$1,'DB Country PMI'!$A$1:$W$1,),))</f>
        <v>59.5</v>
      </c>
      <c r="C85" s="14">
        <f>Table1346811345678[[#This Row],[PMI]]-B84</f>
        <v>-1.6000000000000014</v>
      </c>
    </row>
    <row r="86" spans="1:3" x14ac:dyDescent="0.35">
      <c r="A86" s="8">
        <v>42887</v>
      </c>
      <c r="B86" s="11">
        <f>IF(VLOOKUP(A86,'DB Country PMI'!$A:$W,MATCH($A$1,'DB Country PMI'!$A$1:$W$1,),)=0,#N/A,VLOOKUP(A86,'DB Country PMI'!$A:$W,MATCH($A$1,'DB Country PMI'!$A$1:$W$1,),))</f>
        <v>57.6</v>
      </c>
      <c r="C86" s="14">
        <f>Table1346811345678[[#This Row],[PMI]]-B85</f>
        <v>-1.8999999999999986</v>
      </c>
    </row>
    <row r="87" spans="1:3" x14ac:dyDescent="0.35">
      <c r="A87" s="8">
        <v>42917</v>
      </c>
      <c r="B87" s="11">
        <f>IF(VLOOKUP(A87,'DB Country PMI'!$A:$W,MATCH($A$1,'DB Country PMI'!$A$1:$W$1,),)=0,#N/A,VLOOKUP(A87,'DB Country PMI'!$A:$W,MATCH($A$1,'DB Country PMI'!$A$1:$W$1,),))</f>
        <v>58.3</v>
      </c>
      <c r="C87" s="14">
        <f>Table1346811345678[[#This Row],[PMI]]-B86</f>
        <v>0.69999999999999574</v>
      </c>
    </row>
    <row r="88" spans="1:3" x14ac:dyDescent="0.35">
      <c r="A88" s="8">
        <v>42948</v>
      </c>
      <c r="B88" s="11">
        <f>IF(VLOOKUP(A88,'DB Country PMI'!$A:$W,MATCH($A$1,'DB Country PMI'!$A$1:$W$1,),)=0,#N/A,VLOOKUP(A88,'DB Country PMI'!$A:$W,MATCH($A$1,'DB Country PMI'!$A$1:$W$1,),))</f>
        <v>58.4</v>
      </c>
      <c r="C88" s="14">
        <f>Table1346811345678[[#This Row],[PMI]]-B87</f>
        <v>0.10000000000000142</v>
      </c>
    </row>
    <row r="89" spans="1:3" x14ac:dyDescent="0.35">
      <c r="A89" s="8">
        <v>42979</v>
      </c>
      <c r="B89" s="11">
        <f>IF(VLOOKUP(A89,'DB Country PMI'!$A:$W,MATCH($A$1,'DB Country PMI'!$A$1:$W$1,),)=0,#N/A,VLOOKUP(A89,'DB Country PMI'!$A:$W,MATCH($A$1,'DB Country PMI'!$A$1:$W$1,),))</f>
        <v>58.7</v>
      </c>
      <c r="C89" s="14">
        <f>Table1346811345678[[#This Row],[PMI]]-B88</f>
        <v>0.30000000000000426</v>
      </c>
    </row>
    <row r="90" spans="1:3" x14ac:dyDescent="0.35">
      <c r="A90" s="8">
        <v>43009</v>
      </c>
      <c r="B90" s="11">
        <f>IF(VLOOKUP(A90,'DB Country PMI'!$A:$W,MATCH($A$1,'DB Country PMI'!$A$1:$W$1,),)=0,#N/A,VLOOKUP(A90,'DB Country PMI'!$A:$W,MATCH($A$1,'DB Country PMI'!$A$1:$W$1,),))</f>
        <v>57.5</v>
      </c>
      <c r="C90" s="14">
        <f>Table1346811345678[[#This Row],[PMI]]-B89</f>
        <v>-1.2000000000000028</v>
      </c>
    </row>
    <row r="91" spans="1:3" x14ac:dyDescent="0.35">
      <c r="A91" s="8">
        <v>43040</v>
      </c>
      <c r="B91" s="11">
        <f>IF(VLOOKUP(A91,'DB Country PMI'!$A:$W,MATCH($A$1,'DB Country PMI'!$A$1:$W$1,),)=0,#N/A,VLOOKUP(A91,'DB Country PMI'!$A:$W,MATCH($A$1,'DB Country PMI'!$A$1:$W$1,),))</f>
        <v>56</v>
      </c>
      <c r="C91" s="14">
        <f>Table1346811345678[[#This Row],[PMI]]-B90</f>
        <v>-1.5</v>
      </c>
    </row>
    <row r="92" spans="1:3" x14ac:dyDescent="0.35">
      <c r="A92" s="8">
        <v>43070</v>
      </c>
      <c r="B92" s="11">
        <f>IF(VLOOKUP(A92,'DB Country PMI'!$A:$W,MATCH($A$1,'DB Country PMI'!$A$1:$W$1,),)=0,#N/A,VLOOKUP(A92,'DB Country PMI'!$A:$W,MATCH($A$1,'DB Country PMI'!$A$1:$W$1,),))</f>
        <v>60.4</v>
      </c>
      <c r="C92" s="14">
        <f>Table1346811345678[[#This Row],[PMI]]-B91</f>
        <v>4.3999999999999986</v>
      </c>
    </row>
    <row r="93" spans="1:3" x14ac:dyDescent="0.35">
      <c r="A93" s="8">
        <v>43101</v>
      </c>
      <c r="B93" s="11">
        <f>IF(VLOOKUP(A93,'DB Country PMI'!$A:$W,MATCH($A$1,'DB Country PMI'!$A$1:$W$1,),)=0,#N/A,VLOOKUP(A93,'DB Country PMI'!$A:$W,MATCH($A$1,'DB Country PMI'!$A$1:$W$1,),))</f>
        <v>59.8</v>
      </c>
      <c r="C93" s="14">
        <f>Table1346811345678[[#This Row],[PMI]]-B92</f>
        <v>-0.60000000000000142</v>
      </c>
    </row>
    <row r="94" spans="1:3" x14ac:dyDescent="0.35">
      <c r="A94" s="8">
        <v>43132</v>
      </c>
      <c r="B94" s="11">
        <f>IF(VLOOKUP(A94,'DB Country PMI'!$A:$W,MATCH($A$1,'DB Country PMI'!$A$1:$W$1,),)=0,#N/A,VLOOKUP(A94,'DB Country PMI'!$A:$W,MATCH($A$1,'DB Country PMI'!$A$1:$W$1,),))</f>
        <v>57.2</v>
      </c>
      <c r="C94" s="14">
        <f>Table1346811345678[[#This Row],[PMI]]-B93</f>
        <v>-2.5999999999999943</v>
      </c>
    </row>
    <row r="95" spans="1:3" x14ac:dyDescent="0.35">
      <c r="A95" s="8">
        <v>43160</v>
      </c>
      <c r="B95" s="11">
        <f>IF(VLOOKUP(A95,'DB Country PMI'!$A:$W,MATCH($A$1,'DB Country PMI'!$A$1:$W$1,),)=0,#N/A,VLOOKUP(A95,'DB Country PMI'!$A:$W,MATCH($A$1,'DB Country PMI'!$A$1:$W$1,),))</f>
        <v>56.5</v>
      </c>
      <c r="C95" s="14">
        <f>Table1346811345678[[#This Row],[PMI]]-B94</f>
        <v>-0.70000000000000284</v>
      </c>
    </row>
    <row r="96" spans="1:3" x14ac:dyDescent="0.35">
      <c r="A96" s="8">
        <v>43191</v>
      </c>
      <c r="B96" s="11">
        <f>IF(VLOOKUP(A96,'DB Country PMI'!$A:$W,MATCH($A$1,'DB Country PMI'!$A$1:$W$1,),)=0,#N/A,VLOOKUP(A96,'DB Country PMI'!$A:$W,MATCH($A$1,'DB Country PMI'!$A$1:$W$1,),))</f>
        <v>58.3</v>
      </c>
      <c r="C96" s="14">
        <f>Table1346811345678[[#This Row],[PMI]]-B95</f>
        <v>1.7999999999999972</v>
      </c>
    </row>
    <row r="97" spans="1:3" x14ac:dyDescent="0.35">
      <c r="A97" s="8">
        <v>43221</v>
      </c>
      <c r="B97" s="11">
        <f>IF(VLOOKUP(A97,'DB Country PMI'!$A:$W,MATCH($A$1,'DB Country PMI'!$A$1:$W$1,),)=0,#N/A,VLOOKUP(A97,'DB Country PMI'!$A:$W,MATCH($A$1,'DB Country PMI'!$A$1:$W$1,),))</f>
        <v>59.3</v>
      </c>
      <c r="C97" s="14">
        <f>Table1346811345678[[#This Row],[PMI]]-B96</f>
        <v>1</v>
      </c>
    </row>
    <row r="98" spans="1:3" x14ac:dyDescent="0.35">
      <c r="A98" s="8">
        <v>43252</v>
      </c>
      <c r="B98" s="11">
        <f>IF(VLOOKUP(A98,'DB Country PMI'!$A:$W,MATCH($A$1,'DB Country PMI'!$A$1:$W$1,),)=0,#N/A,VLOOKUP(A98,'DB Country PMI'!$A:$W,MATCH($A$1,'DB Country PMI'!$A$1:$W$1,),))</f>
        <v>59.5</v>
      </c>
      <c r="C98" s="14">
        <f>Table1346811345678[[#This Row],[PMI]]-B97</f>
        <v>0.20000000000000284</v>
      </c>
    </row>
    <row r="99" spans="1:3" x14ac:dyDescent="0.35">
      <c r="A99" s="8">
        <v>43282</v>
      </c>
      <c r="B99" s="11">
        <f>IF(VLOOKUP(A99,'DB Country PMI'!$A:$W,MATCH($A$1,'DB Country PMI'!$A$1:$W$1,),)=0,#N/A,VLOOKUP(A99,'DB Country PMI'!$A:$W,MATCH($A$1,'DB Country PMI'!$A$1:$W$1,),))</f>
        <v>57.4</v>
      </c>
      <c r="C99" s="14">
        <f>Table1346811345678[[#This Row],[PMI]]-B98</f>
        <v>-2.1000000000000014</v>
      </c>
    </row>
    <row r="100" spans="1:3" x14ac:dyDescent="0.35">
      <c r="A100" s="8">
        <v>43313</v>
      </c>
      <c r="B100" s="11">
        <f>IF(VLOOKUP(A100,'DB Country PMI'!$A:$W,MATCH($A$1,'DB Country PMI'!$A$1:$W$1,),)=0,#N/A,VLOOKUP(A100,'DB Country PMI'!$A:$W,MATCH($A$1,'DB Country PMI'!$A$1:$W$1,),))</f>
        <v>58</v>
      </c>
      <c r="C100" s="14">
        <f>Table1346811345678[[#This Row],[PMI]]-B99</f>
        <v>0.60000000000000142</v>
      </c>
    </row>
    <row r="101" spans="1:3" x14ac:dyDescent="0.35">
      <c r="A101" s="8">
        <v>43344</v>
      </c>
      <c r="B101" s="11">
        <f>IF(VLOOKUP(A101,'DB Country PMI'!$A:$W,MATCH($A$1,'DB Country PMI'!$A$1:$W$1,),)=0,#N/A,VLOOKUP(A101,'DB Country PMI'!$A:$W,MATCH($A$1,'DB Country PMI'!$A$1:$W$1,),))</f>
        <v>58.7</v>
      </c>
      <c r="C101" s="14">
        <f>Table1346811345678[[#This Row],[PMI]]-B100</f>
        <v>0.70000000000000284</v>
      </c>
    </row>
    <row r="102" spans="1:3" x14ac:dyDescent="0.35">
      <c r="A102" s="8">
        <v>43374</v>
      </c>
      <c r="B102" s="11">
        <f>IF(VLOOKUP(A102,'DB Country PMI'!$A:$W,MATCH($A$1,'DB Country PMI'!$A$1:$W$1,),)=0,#N/A,VLOOKUP(A102,'DB Country PMI'!$A:$W,MATCH($A$1,'DB Country PMI'!$A$1:$W$1,),))</f>
        <v>57.2</v>
      </c>
      <c r="C102" s="14">
        <f>Table1346811345678[[#This Row],[PMI]]-B101</f>
        <v>-1.5</v>
      </c>
    </row>
    <row r="103" spans="1:3" x14ac:dyDescent="0.35">
      <c r="A103" s="8">
        <v>43405</v>
      </c>
      <c r="B103" s="11">
        <f>IF(VLOOKUP(A103,'DB Country PMI'!$A:$W,MATCH($A$1,'DB Country PMI'!$A$1:$W$1,),)=0,#N/A,VLOOKUP(A103,'DB Country PMI'!$A:$W,MATCH($A$1,'DB Country PMI'!$A$1:$W$1,),))</f>
        <v>57.1</v>
      </c>
      <c r="C103" s="14">
        <f>Table1346811345678[[#This Row],[PMI]]-B102</f>
        <v>-0.10000000000000142</v>
      </c>
    </row>
    <row r="104" spans="1:3" x14ac:dyDescent="0.35">
      <c r="A104" s="8">
        <v>43435</v>
      </c>
      <c r="B104" s="11">
        <f>IF(VLOOKUP(A104,'DB Country PMI'!$A:$W,MATCH($A$1,'DB Country PMI'!$A$1:$W$1,),)=0,#N/A,VLOOKUP(A104,'DB Country PMI'!$A:$W,MATCH($A$1,'DB Country PMI'!$A$1:$W$1,),))</f>
        <v>56.3</v>
      </c>
      <c r="C104" s="14">
        <f>Table1346811345678[[#This Row],[PMI]]-B103</f>
        <v>-0.80000000000000426</v>
      </c>
    </row>
    <row r="105" spans="1:3" x14ac:dyDescent="0.35">
      <c r="A105" s="8">
        <v>43466</v>
      </c>
      <c r="B105" s="11">
        <f>IF(VLOOKUP(A105,'DB Country PMI'!$A:$W,MATCH($A$1,'DB Country PMI'!$A$1:$W$1,),)=0,#N/A,VLOOKUP(A105,'DB Country PMI'!$A:$W,MATCH($A$1,'DB Country PMI'!$A$1:$W$1,),))</f>
        <v>54.2</v>
      </c>
      <c r="C105" s="14">
        <f>Table1346811345678[[#This Row],[PMI]]-B104</f>
        <v>-2.0999999999999943</v>
      </c>
    </row>
    <row r="106" spans="1:3" x14ac:dyDescent="0.35">
      <c r="A106" s="8">
        <v>43497</v>
      </c>
      <c r="B106" s="11">
        <f>IF(VLOOKUP(A106,'DB Country PMI'!$A:$W,MATCH($A$1,'DB Country PMI'!$A$1:$W$1,),)=0,#N/A,VLOOKUP(A106,'DB Country PMI'!$A:$W,MATCH($A$1,'DB Country PMI'!$A$1:$W$1,),))</f>
        <v>55.9</v>
      </c>
      <c r="C106" s="14">
        <f>Table1346811345678[[#This Row],[PMI]]-B105</f>
        <v>1.6999999999999957</v>
      </c>
    </row>
    <row r="107" spans="1:3" x14ac:dyDescent="0.35">
      <c r="A107" s="8">
        <v>43525</v>
      </c>
      <c r="B107" s="11">
        <f>IF(VLOOKUP(A107,'DB Country PMI'!$A:$W,MATCH($A$1,'DB Country PMI'!$A$1:$W$1,),)=0,#N/A,VLOOKUP(A107,'DB Country PMI'!$A:$W,MATCH($A$1,'DB Country PMI'!$A$1:$W$1,),))</f>
        <v>55.3</v>
      </c>
      <c r="C107" s="14">
        <f>Table1346811345678[[#This Row],[PMI]]-B106</f>
        <v>-0.60000000000000142</v>
      </c>
    </row>
    <row r="108" spans="1:3" x14ac:dyDescent="0.35">
      <c r="A108" s="8">
        <v>43556</v>
      </c>
      <c r="B108" s="11">
        <f>IF(VLOOKUP(A108,'DB Country PMI'!$A:$W,MATCH($A$1,'DB Country PMI'!$A$1:$W$1,),)=0,#N/A,VLOOKUP(A108,'DB Country PMI'!$A:$W,MATCH($A$1,'DB Country PMI'!$A$1:$W$1,),))</f>
        <v>54.7</v>
      </c>
      <c r="C108" s="14">
        <f>Table1346811345678[[#This Row],[PMI]]-B107</f>
        <v>-0.59999999999999432</v>
      </c>
    </row>
    <row r="109" spans="1:3" x14ac:dyDescent="0.35">
      <c r="A109" s="8">
        <v>43586</v>
      </c>
      <c r="B109" s="11">
        <f>IF(VLOOKUP(A109,'DB Country PMI'!$A:$W,MATCH($A$1,'DB Country PMI'!$A$1:$W$1,),)=0,#N/A,VLOOKUP(A109,'DB Country PMI'!$A:$W,MATCH($A$1,'DB Country PMI'!$A$1:$W$1,),))</f>
        <v>57</v>
      </c>
      <c r="C109" s="14">
        <f>Table1346811345678[[#This Row],[PMI]]-B108</f>
        <v>2.2999999999999972</v>
      </c>
    </row>
    <row r="110" spans="1:3" x14ac:dyDescent="0.35">
      <c r="A110" s="8">
        <v>43617</v>
      </c>
      <c r="B110" s="11">
        <f>IF(VLOOKUP(A110,'DB Country PMI'!$A:$W,MATCH($A$1,'DB Country PMI'!$A$1:$W$1,),)=0,#N/A,VLOOKUP(A110,'DB Country PMI'!$A:$W,MATCH($A$1,'DB Country PMI'!$A$1:$W$1,),))</f>
        <v>56.9</v>
      </c>
      <c r="C110" s="14">
        <f>Table1346811345678[[#This Row],[PMI]]-B109</f>
        <v>-0.10000000000000142</v>
      </c>
    </row>
    <row r="111" spans="1:3" x14ac:dyDescent="0.35">
      <c r="A111" s="8">
        <v>43647</v>
      </c>
      <c r="B111" s="11">
        <f>IF(VLOOKUP(A111,'DB Country PMI'!$A:$W,MATCH($A$1,'DB Country PMI'!$A$1:$W$1,),)=0,#N/A,VLOOKUP(A111,'DB Country PMI'!$A:$W,MATCH($A$1,'DB Country PMI'!$A$1:$W$1,),))</f>
        <v>55</v>
      </c>
      <c r="C111" s="14">
        <f>Table1346811345678[[#This Row],[PMI]]-B110</f>
        <v>-1.8999999999999986</v>
      </c>
    </row>
    <row r="112" spans="1:3" x14ac:dyDescent="0.35">
      <c r="A112" s="8">
        <v>43678</v>
      </c>
      <c r="B112" s="11">
        <f>IF(VLOOKUP(A112,'DB Country PMI'!$A:$W,MATCH($A$1,'DB Country PMI'!$A$1:$W$1,),)=0,#N/A,VLOOKUP(A112,'DB Country PMI'!$A:$W,MATCH($A$1,'DB Country PMI'!$A$1:$W$1,),))</f>
        <v>54.6</v>
      </c>
      <c r="C112" s="14">
        <f>Table1346811345678[[#This Row],[PMI]]-B111</f>
        <v>-0.39999999999999858</v>
      </c>
    </row>
    <row r="113" spans="1:3" x14ac:dyDescent="0.35">
      <c r="A113" s="8">
        <v>43709</v>
      </c>
      <c r="B113" s="11">
        <f>IF(VLOOKUP(A113,'DB Country PMI'!$A:$W,MATCH($A$1,'DB Country PMI'!$A$1:$W$1,),)=0,#N/A,VLOOKUP(A113,'DB Country PMI'!$A:$W,MATCH($A$1,'DB Country PMI'!$A$1:$W$1,),))</f>
        <v>53.1</v>
      </c>
      <c r="C113" s="14">
        <f>Table1346811345678[[#This Row],[PMI]]-B112</f>
        <v>-1.5</v>
      </c>
    </row>
    <row r="114" spans="1:3" x14ac:dyDescent="0.35">
      <c r="A114" s="8">
        <v>43739</v>
      </c>
      <c r="B114" s="11">
        <f>IF(VLOOKUP(A114,'DB Country PMI'!$A:$W,MATCH($A$1,'DB Country PMI'!$A$1:$W$1,),)=0,#N/A,VLOOKUP(A114,'DB Country PMI'!$A:$W,MATCH($A$1,'DB Country PMI'!$A$1:$W$1,),))</f>
        <v>50.6</v>
      </c>
      <c r="C114" s="14">
        <f>Table1346811345678[[#This Row],[PMI]]-B113</f>
        <v>-2.5</v>
      </c>
    </row>
    <row r="115" spans="1:3" x14ac:dyDescent="0.35">
      <c r="A115" s="8">
        <v>43770</v>
      </c>
      <c r="B115" s="11">
        <f>IF(VLOOKUP(A115,'DB Country PMI'!$A:$W,MATCH($A$1,'DB Country PMI'!$A$1:$W$1,),)=0,#N/A,VLOOKUP(A115,'DB Country PMI'!$A:$W,MATCH($A$1,'DB Country PMI'!$A$1:$W$1,),))</f>
        <v>52</v>
      </c>
      <c r="C115" s="14">
        <f>Table1346811345678[[#This Row],[PMI]]-B114</f>
        <v>1.3999999999999986</v>
      </c>
    </row>
    <row r="116" spans="1:3" x14ac:dyDescent="0.35">
      <c r="A116" s="8">
        <v>43800</v>
      </c>
      <c r="B116" s="11">
        <f>IF(VLOOKUP(A116,'DB Country PMI'!$A:$W,MATCH($A$1,'DB Country PMI'!$A$1:$W$1,),)=0,#N/A,VLOOKUP(A116,'DB Country PMI'!$A:$W,MATCH($A$1,'DB Country PMI'!$A$1:$W$1,),))</f>
        <v>55.9</v>
      </c>
      <c r="C116" s="14">
        <f>Table1346811345678[[#This Row],[PMI]]-B115</f>
        <v>3.8999999999999986</v>
      </c>
    </row>
    <row r="117" spans="1:3" x14ac:dyDescent="0.35">
      <c r="A117" s="8">
        <v>43831</v>
      </c>
      <c r="B117" s="11">
        <f>IF(VLOOKUP(A117,'DB Country PMI'!$A:$W,MATCH($A$1,'DB Country PMI'!$A$1:$W$1,),)=0,#N/A,VLOOKUP(A117,'DB Country PMI'!$A:$W,MATCH($A$1,'DB Country PMI'!$A$1:$W$1,),))</f>
        <v>56.9</v>
      </c>
      <c r="C117" s="14">
        <f>Table1346811345678[[#This Row],[PMI]]-B116</f>
        <v>1</v>
      </c>
    </row>
    <row r="118" spans="1:3" x14ac:dyDescent="0.35">
      <c r="A118" s="8">
        <v>43862</v>
      </c>
      <c r="B118" s="11">
        <f>IF(VLOOKUP(A118,'DB Country PMI'!$A:$W,MATCH($A$1,'DB Country PMI'!$A$1:$W$1,),)=0,#N/A,VLOOKUP(A118,'DB Country PMI'!$A:$W,MATCH($A$1,'DB Country PMI'!$A$1:$W$1,),))</f>
        <v>59.9</v>
      </c>
      <c r="C118" s="14">
        <f>Table1346811345678[[#This Row],[PMI]]-B117</f>
        <v>3</v>
      </c>
    </row>
    <row r="119" spans="1:3" x14ac:dyDescent="0.35">
      <c r="A119" s="8">
        <v>43891</v>
      </c>
      <c r="B119" s="11">
        <f>IF(VLOOKUP(A119,'DB Country PMI'!$A:$W,MATCH($A$1,'DB Country PMI'!$A$1:$W$1,),)=0,#N/A,VLOOKUP(A119,'DB Country PMI'!$A:$W,MATCH($A$1,'DB Country PMI'!$A$1:$W$1,),))</f>
        <v>32.5</v>
      </c>
      <c r="C119" s="14">
        <f>Table1346811345678[[#This Row],[PMI]]-B118</f>
        <v>-27.4</v>
      </c>
    </row>
    <row r="120" spans="1:3" x14ac:dyDescent="0.35">
      <c r="A120" s="8">
        <v>43922</v>
      </c>
      <c r="B120" s="11">
        <f>IF(VLOOKUP(A120,'DB Country PMI'!$A:$W,MATCH($A$1,'DB Country PMI'!$A$1:$W$1,),)=0,#N/A,VLOOKUP(A120,'DB Country PMI'!$A:$W,MATCH($A$1,'DB Country PMI'!$A$1:$W$1,),))</f>
        <v>13.9</v>
      </c>
      <c r="C120" s="14">
        <f>Table1346811345678[[#This Row],[PMI]]-B119</f>
        <v>-18.600000000000001</v>
      </c>
    </row>
    <row r="121" spans="1:3" x14ac:dyDescent="0.35">
      <c r="A121" s="8">
        <v>43952</v>
      </c>
      <c r="B121" s="11">
        <f>IF(VLOOKUP(A121,'DB Country PMI'!$A:$W,MATCH($A$1,'DB Country PMI'!$A$1:$W$1,),)=0,#N/A,VLOOKUP(A121,'DB Country PMI'!$A:$W,MATCH($A$1,'DB Country PMI'!$A$1:$W$1,),))</f>
        <v>23.4</v>
      </c>
      <c r="C121" s="14">
        <f>Table1346811345678[[#This Row],[PMI]]-B120</f>
        <v>9.4999999999999982</v>
      </c>
    </row>
    <row r="122" spans="1:3" x14ac:dyDescent="0.35">
      <c r="A122" s="8">
        <v>43983</v>
      </c>
      <c r="B122" s="11">
        <f>IF(VLOOKUP(A122,'DB Country PMI'!$A:$W,MATCH($A$1,'DB Country PMI'!$A$1:$W$1,),)=0,#N/A,VLOOKUP(A122,'DB Country PMI'!$A:$W,MATCH($A$1,'DB Country PMI'!$A$1:$W$1,),))</f>
        <v>39.700000000000003</v>
      </c>
      <c r="C122" s="14">
        <f>Table1346811345678[[#This Row],[PMI]]-B121</f>
        <v>16.300000000000004</v>
      </c>
    </row>
    <row r="123" spans="1:3" x14ac:dyDescent="0.35">
      <c r="A123" s="8">
        <v>44013</v>
      </c>
      <c r="B123" s="11">
        <f>IF(VLOOKUP(A123,'DB Country PMI'!$A:$W,MATCH($A$1,'DB Country PMI'!$A$1:$W$1,),)=0,#N/A,VLOOKUP(A123,'DB Country PMI'!$A:$W,MATCH($A$1,'DB Country PMI'!$A$1:$W$1,),))</f>
        <v>51.9</v>
      </c>
      <c r="C123" s="14">
        <f>Table1346811345678[[#This Row],[PMI]]-B122</f>
        <v>12.199999999999996</v>
      </c>
    </row>
    <row r="124" spans="1:3" x14ac:dyDescent="0.35">
      <c r="A124" s="8">
        <v>44044</v>
      </c>
      <c r="B124" s="11">
        <f>IF(VLOOKUP(A124,'DB Country PMI'!$A:$W,MATCH($A$1,'DB Country PMI'!$A$1:$W$1,),)=0,#N/A,VLOOKUP(A124,'DB Country PMI'!$A:$W,MATCH($A$1,'DB Country PMI'!$A$1:$W$1,),))</f>
        <v>52.4</v>
      </c>
      <c r="C124" s="14">
        <f>Table1346811345678[[#This Row],[PMI]]-B123</f>
        <v>0.5</v>
      </c>
    </row>
    <row r="125" spans="1:3" x14ac:dyDescent="0.35">
      <c r="A125" s="8">
        <v>44075</v>
      </c>
      <c r="B125" s="11">
        <f>IF(VLOOKUP(A125,'DB Country PMI'!$A:$W,MATCH($A$1,'DB Country PMI'!$A$1:$W$1,),)=0,#N/A,VLOOKUP(A125,'DB Country PMI'!$A:$W,MATCH($A$1,'DB Country PMI'!$A$1:$W$1,),))</f>
        <v>45.8</v>
      </c>
      <c r="C125" s="14">
        <f>Table1346811345678[[#This Row],[PMI]]-B124</f>
        <v>-6.6000000000000014</v>
      </c>
    </row>
    <row r="126" spans="1:3" x14ac:dyDescent="0.35">
      <c r="A126" s="8">
        <v>44105</v>
      </c>
      <c r="B126" s="11">
        <f>IF(VLOOKUP(A126,'DB Country PMI'!$A:$W,MATCH($A$1,'DB Country PMI'!$A$1:$W$1,),)=0,#N/A,VLOOKUP(A126,'DB Country PMI'!$A:$W,MATCH($A$1,'DB Country PMI'!$A$1:$W$1,),))</f>
        <v>48.3</v>
      </c>
      <c r="C126" s="14">
        <f>Table1346811345678[[#This Row],[PMI]]-B125</f>
        <v>2.5</v>
      </c>
    </row>
    <row r="127" spans="1:3" x14ac:dyDescent="0.35">
      <c r="A127" s="8">
        <v>44136</v>
      </c>
      <c r="B127" s="11">
        <f>IF(VLOOKUP(A127,'DB Country PMI'!$A:$W,MATCH($A$1,'DB Country PMI'!$A$1:$W$1,),)=0,#N/A,VLOOKUP(A127,'DB Country PMI'!$A:$W,MATCH($A$1,'DB Country PMI'!$A$1:$W$1,),))</f>
        <v>45.4</v>
      </c>
      <c r="C127" s="14">
        <f>Table1346811345678[[#This Row],[PMI]]-B126</f>
        <v>-2.8999999999999986</v>
      </c>
    </row>
    <row r="128" spans="1:3" x14ac:dyDescent="0.35">
      <c r="A128" s="8">
        <v>44166</v>
      </c>
      <c r="B128" s="11">
        <f>IF(VLOOKUP(A128,'DB Country PMI'!$A:$W,MATCH($A$1,'DB Country PMI'!$A$1:$W$1,),)=0,#N/A,VLOOKUP(A128,'DB Country PMI'!$A:$W,MATCH($A$1,'DB Country PMI'!$A$1:$W$1,),))</f>
        <v>50.1</v>
      </c>
      <c r="C128" s="14">
        <f>Table1346811345678[[#This Row],[PMI]]-B127</f>
        <v>4.7000000000000028</v>
      </c>
    </row>
    <row r="129" spans="1:3" x14ac:dyDescent="0.35">
      <c r="A129" s="8">
        <v>44197</v>
      </c>
      <c r="B129" s="11">
        <f>IF(VLOOKUP(A129,'DB Country PMI'!$A:$W,MATCH($A$1,'DB Country PMI'!$A$1:$W$1,),)=0,#N/A,VLOOKUP(A129,'DB Country PMI'!$A:$W,MATCH($A$1,'DB Country PMI'!$A$1:$W$1,),))</f>
        <v>36.200000000000003</v>
      </c>
      <c r="C129" s="14">
        <f>Table1346811345678[[#This Row],[PMI]]-B128</f>
        <v>-13.899999999999999</v>
      </c>
    </row>
    <row r="130" spans="1:3" x14ac:dyDescent="0.35">
      <c r="A130" s="8">
        <v>44228</v>
      </c>
      <c r="B130" s="11">
        <f>IF(VLOOKUP(A130,'DB Country PMI'!$A:$W,MATCH($A$1,'DB Country PMI'!$A$1:$W$1,),)=0,#N/A,VLOOKUP(A130,'DB Country PMI'!$A:$W,MATCH($A$1,'DB Country PMI'!$A$1:$W$1,),))</f>
        <v>41.2</v>
      </c>
      <c r="C130" s="14">
        <f>Table1346811345678[[#This Row],[PMI]]-B129</f>
        <v>5</v>
      </c>
    </row>
    <row r="131" spans="1:3" x14ac:dyDescent="0.35">
      <c r="A131" s="8">
        <v>44256</v>
      </c>
      <c r="B131" s="11">
        <f>IF(VLOOKUP(A131,'DB Country PMI'!$A:$W,MATCH($A$1,'DB Country PMI'!$A$1:$W$1,),)=0,#N/A,VLOOKUP(A131,'DB Country PMI'!$A:$W,MATCH($A$1,'DB Country PMI'!$A$1:$W$1,),))</f>
        <v>54.6</v>
      </c>
      <c r="C131" s="14">
        <f>Table1346811345678[[#This Row],[PMI]]-B130</f>
        <v>13.399999999999999</v>
      </c>
    </row>
    <row r="132" spans="1:3" x14ac:dyDescent="0.35">
      <c r="A132" s="8">
        <v>44287</v>
      </c>
      <c r="B132" s="11">
        <f>IF(VLOOKUP(A132,'DB Country PMI'!$A:$W,MATCH($A$1,'DB Country PMI'!$A$1:$W$1,),)=0,#N/A,VLOOKUP(A132,'DB Country PMI'!$A:$W,MATCH($A$1,'DB Country PMI'!$A$1:$W$1,),))</f>
        <v>57.7</v>
      </c>
      <c r="C132" s="14">
        <f>Table1346811345678[[#This Row],[PMI]]-B131</f>
        <v>3.1000000000000014</v>
      </c>
    </row>
    <row r="133" spans="1:3" x14ac:dyDescent="0.35">
      <c r="A133" s="8">
        <v>44317</v>
      </c>
      <c r="B133" s="11">
        <f>IF(VLOOKUP(A133,'DB Country PMI'!$A:$W,MATCH($A$1,'DB Country PMI'!$A$1:$W$1,),)=0,#N/A,VLOOKUP(A133,'DB Country PMI'!$A:$W,MATCH($A$1,'DB Country PMI'!$A$1:$W$1,),))</f>
        <v>62.1</v>
      </c>
      <c r="C133" s="14">
        <f>Table1346811345678[[#This Row],[PMI]]-B132</f>
        <v>4.3999999999999986</v>
      </c>
    </row>
    <row r="134" spans="1:3" x14ac:dyDescent="0.35">
      <c r="A134" s="8">
        <v>44348</v>
      </c>
      <c r="B134" s="11">
        <f>IF(VLOOKUP(A134,'DB Country PMI'!$A:$W,MATCH($A$1,'DB Country PMI'!$A$1:$W$1,),)=0,#N/A,VLOOKUP(A134,'DB Country PMI'!$A:$W,MATCH($A$1,'DB Country PMI'!$A$1:$W$1,),))</f>
        <v>63.1</v>
      </c>
      <c r="C134" s="14">
        <f>Table1346811345678[[#This Row],[PMI]]-B133</f>
        <v>1</v>
      </c>
    </row>
    <row r="135" spans="1:3" x14ac:dyDescent="0.35">
      <c r="A135" s="8">
        <v>44378</v>
      </c>
      <c r="B135" s="11">
        <f>IF(VLOOKUP(A135,'DB Country PMI'!$A:$W,MATCH($A$1,'DB Country PMI'!$A$1:$W$1,),)=0,#N/A,VLOOKUP(A135,'DB Country PMI'!$A:$W,MATCH($A$1,'DB Country PMI'!$A$1:$W$1,),))</f>
        <v>66.599999999999994</v>
      </c>
      <c r="C135" s="14">
        <f>Table1346811345678[[#This Row],[PMI]]-B134</f>
        <v>3.4999999999999929</v>
      </c>
    </row>
    <row r="136" spans="1:3" x14ac:dyDescent="0.35">
      <c r="A136" s="8">
        <v>44409</v>
      </c>
      <c r="B136" s="11">
        <f>IF(VLOOKUP(A136,'DB Country PMI'!$A:$W,MATCH($A$1,'DB Country PMI'!$A$1:$W$1,),)=0,#N/A,VLOOKUP(A136,'DB Country PMI'!$A:$W,MATCH($A$1,'DB Country PMI'!$A$1:$W$1,),))</f>
        <v>63.7</v>
      </c>
      <c r="C136" s="14">
        <f>Table1346811345678[[#This Row],[PMI]]-B135</f>
        <v>-2.8999999999999915</v>
      </c>
    </row>
    <row r="137" spans="1:3" x14ac:dyDescent="0.35">
      <c r="A137" s="8">
        <v>44440</v>
      </c>
      <c r="B137" s="11">
        <f>IF(VLOOKUP(A137,'DB Country PMI'!$A:$W,MATCH($A$1,'DB Country PMI'!$A$1:$W$1,),)=0,#N/A,VLOOKUP(A137,'DB Country PMI'!$A:$W,MATCH($A$1,'DB Country PMI'!$A$1:$W$1,),))</f>
        <v>63.7</v>
      </c>
      <c r="C137" s="14">
        <f>Table1346811345678[[#This Row],[PMI]]-B136</f>
        <v>0</v>
      </c>
    </row>
    <row r="138" spans="1:3" x14ac:dyDescent="0.35">
      <c r="A138" s="8">
        <v>44470</v>
      </c>
      <c r="B138" s="11">
        <f>IF(VLOOKUP(A138,'DB Country PMI'!$A:$W,MATCH($A$1,'DB Country PMI'!$A$1:$W$1,),)=0,#N/A,VLOOKUP(A138,'DB Country PMI'!$A:$W,MATCH($A$1,'DB Country PMI'!$A$1:$W$1,),))</f>
        <v>63.4</v>
      </c>
      <c r="C138" s="14">
        <f>Table1346811345678[[#This Row],[PMI]]-B137</f>
        <v>-0.30000000000000426</v>
      </c>
    </row>
    <row r="139" spans="1:3" x14ac:dyDescent="0.35">
      <c r="A139" s="8">
        <v>44501</v>
      </c>
      <c r="B139" s="11">
        <f>IF(VLOOKUP(A139,'DB Country PMI'!$A:$W,MATCH($A$1,'DB Country PMI'!$A$1:$W$1,),)=0,#N/A,VLOOKUP(A139,'DB Country PMI'!$A:$W,MATCH($A$1,'DB Country PMI'!$A$1:$W$1,),))</f>
        <v>59.3</v>
      </c>
      <c r="C139" s="14">
        <f>Table1346811345678[[#This Row],[PMI]]-B138</f>
        <v>-4.1000000000000014</v>
      </c>
    </row>
    <row r="140" spans="1:3" x14ac:dyDescent="0.35">
      <c r="A140" s="8">
        <v>44531</v>
      </c>
      <c r="B140" s="11">
        <f>IF(VLOOKUP(A140,'DB Country PMI'!$A:$W,MATCH($A$1,'DB Country PMI'!$A$1:$W$1,),)=0,#N/A,VLOOKUP(A140,'DB Country PMI'!$A:$W,MATCH($A$1,'DB Country PMI'!$A$1:$W$1,),))</f>
        <v>55.4</v>
      </c>
      <c r="C140" s="14">
        <f>Table1346811345678[[#This Row],[PMI]]-B139</f>
        <v>-3.8999999999999986</v>
      </c>
    </row>
    <row r="141" spans="1:3" x14ac:dyDescent="0.35">
      <c r="A141" s="8">
        <v>44562</v>
      </c>
      <c r="B141" s="11">
        <f>IF(VLOOKUP(A141,'DB Country PMI'!$A:$W,MATCH($A$1,'DB Country PMI'!$A$1:$W$1,),)=0,#N/A,VLOOKUP(A141,'DB Country PMI'!$A:$W,MATCH($A$1,'DB Country PMI'!$A$1:$W$1,),))</f>
        <v>56.2</v>
      </c>
      <c r="C141" s="14">
        <f>Table1346811345678[[#This Row],[PMI]]-B140</f>
        <v>0.80000000000000426</v>
      </c>
    </row>
    <row r="142" spans="1:3" x14ac:dyDescent="0.35">
      <c r="A142" s="8">
        <v>44593</v>
      </c>
      <c r="B142" s="11">
        <f>IF(VLOOKUP(A142,'DB Country PMI'!$A:$W,MATCH($A$1,'DB Country PMI'!$A$1:$W$1,),)=0,#N/A,VLOOKUP(A142,'DB Country PMI'!$A:$W,MATCH($A$1,'DB Country PMI'!$A$1:$W$1,),))</f>
        <v>61.8</v>
      </c>
      <c r="C142" s="14">
        <f>Table1346811345678[[#This Row],[PMI]]-B141</f>
        <v>5.5999999999999943</v>
      </c>
    </row>
    <row r="143" spans="1:3" x14ac:dyDescent="0.35">
      <c r="A143" s="8">
        <v>44621</v>
      </c>
      <c r="B143" s="11">
        <f>IF(VLOOKUP(A143,'DB Country PMI'!$A:$W,MATCH($A$1,'DB Country PMI'!$A$1:$W$1,),)=0,#N/A,VLOOKUP(A143,'DB Country PMI'!$A:$W,MATCH($A$1,'DB Country PMI'!$A$1:$W$1,),))</f>
        <v>63.4</v>
      </c>
      <c r="C143" s="14">
        <f>Table1346811345678[[#This Row],[PMI]]-B142</f>
        <v>1.6000000000000014</v>
      </c>
    </row>
    <row r="144" spans="1:3" x14ac:dyDescent="0.35">
      <c r="A144" s="8">
        <v>44652</v>
      </c>
      <c r="B144" s="11">
        <f>IF(VLOOKUP(A144,'DB Country PMI'!$A:$W,MATCH($A$1,'DB Country PMI'!$A$1:$W$1,),)=0,#N/A,VLOOKUP(A144,'DB Country PMI'!$A:$W,MATCH($A$1,'DB Country PMI'!$A$1:$W$1,),))</f>
        <v>61.7</v>
      </c>
      <c r="C144" s="14">
        <f>Table1346811345678[[#This Row],[PMI]]-B143</f>
        <v>-1.6999999999999957</v>
      </c>
    </row>
    <row r="145" spans="1:3" x14ac:dyDescent="0.35">
      <c r="A145" s="8">
        <v>44682</v>
      </c>
      <c r="B145" s="11">
        <f>IF(VLOOKUP(A145,'DB Country PMI'!$A:$W,MATCH($A$1,'DB Country PMI'!$A$1:$W$1,),)=0,#N/A,VLOOKUP(A145,'DB Country PMI'!$A:$W,MATCH($A$1,'DB Country PMI'!$A$1:$W$1,),))</f>
        <v>60.2</v>
      </c>
      <c r="C145" s="14">
        <f>Table1346811345678[[#This Row],[PMI]]-B144</f>
        <v>-1.5</v>
      </c>
    </row>
    <row r="146" spans="1:3" x14ac:dyDescent="0.35">
      <c r="A146" s="8">
        <v>44713</v>
      </c>
      <c r="B146" s="11">
        <f>IF(VLOOKUP(A146,'DB Country PMI'!$A:$W,MATCH($A$1,'DB Country PMI'!$A$1:$W$1,),)=0,#N/A,VLOOKUP(A146,'DB Country PMI'!$A:$W,MATCH($A$1,'DB Country PMI'!$A$1:$W$1,),))</f>
        <v>55.6</v>
      </c>
      <c r="C146" s="14">
        <f>Table1346811345678[[#This Row],[PMI]]-B145</f>
        <v>-4.6000000000000014</v>
      </c>
    </row>
    <row r="147" spans="1:3" x14ac:dyDescent="0.35">
      <c r="A147" s="8">
        <v>44743</v>
      </c>
      <c r="B147" s="11">
        <f>IF(VLOOKUP(A147,'DB Country PMI'!$A:$W,MATCH($A$1,'DB Country PMI'!$A$1:$W$1,),)=0,#N/A,VLOOKUP(A147,'DB Country PMI'!$A:$W,MATCH($A$1,'DB Country PMI'!$A$1:$W$1,),))</f>
        <v>56.3</v>
      </c>
      <c r="C147" s="14">
        <f>Table1346811345678[[#This Row],[PMI]]-B146</f>
        <v>0.69999999999999574</v>
      </c>
    </row>
    <row r="148" spans="1:3" x14ac:dyDescent="0.35">
      <c r="A148" s="8">
        <v>44774</v>
      </c>
      <c r="B148" s="11">
        <f>IF(VLOOKUP(A148,'DB Country PMI'!$A:$W,MATCH($A$1,'DB Country PMI'!$A$1:$W$1,),)=0,#N/A,VLOOKUP(A148,'DB Country PMI'!$A:$W,MATCH($A$1,'DB Country PMI'!$A$1:$W$1,),))</f>
        <v>54.7</v>
      </c>
      <c r="C148" s="14">
        <f>Table1346811345678[[#This Row],[PMI]]-B147</f>
        <v>-1.5999999999999943</v>
      </c>
    </row>
    <row r="149" spans="1:3" x14ac:dyDescent="0.35">
      <c r="A149" s="8">
        <v>44805</v>
      </c>
      <c r="B149" s="11">
        <f>IF(VLOOKUP(A149,'DB Country PMI'!$A:$W,MATCH($A$1,'DB Country PMI'!$A$1:$W$1,),)=0,#N/A,VLOOKUP(A149,'DB Country PMI'!$A:$W,MATCH($A$1,'DB Country PMI'!$A$1:$W$1,),))</f>
        <v>54.1</v>
      </c>
      <c r="C149" s="14">
        <f>Table1346811345678[[#This Row],[PMI]]-B148</f>
        <v>-0.60000000000000142</v>
      </c>
    </row>
    <row r="150" spans="1:3" x14ac:dyDescent="0.35">
      <c r="A150" s="8">
        <v>44835</v>
      </c>
      <c r="B150" s="11">
        <f>IF(VLOOKUP(A150,'DB Country PMI'!$A:$W,MATCH($A$1,'DB Country PMI'!$A$1:$W$1,),)=0,#N/A,VLOOKUP(A150,'DB Country PMI'!$A:$W,MATCH($A$1,'DB Country PMI'!$A$1:$W$1,),))</f>
        <v>53.2</v>
      </c>
      <c r="C150" s="14">
        <f>Table1346811345678[[#This Row],[PMI]]-B149</f>
        <v>-0.89999999999999858</v>
      </c>
    </row>
    <row r="151" spans="1:3" x14ac:dyDescent="0.35">
      <c r="A151" s="8">
        <v>44866</v>
      </c>
      <c r="B151" s="11">
        <f>IF(VLOOKUP(A151,'DB Country PMI'!$A:$W,MATCH($A$1,'DB Country PMI'!$A$1:$W$1,),)=0,#N/A,VLOOKUP(A151,'DB Country PMI'!$A:$W,MATCH($A$1,'DB Country PMI'!$A$1:$W$1,),))</f>
        <v>50.8</v>
      </c>
      <c r="C151" s="14">
        <f>Table1346811345678[[#This Row],[PMI]]-B150</f>
        <v>-2.4000000000000057</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1"/>
  <sheetViews>
    <sheetView zoomScale="160" zoomScaleNormal="160" workbookViewId="0">
      <pane ySplit="5" topLeftCell="A136" activePane="bottomLeft" state="frozen"/>
      <selection pane="bottomLeft" activeCell="A135" sqref="A135: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36</v>
      </c>
      <c r="J1" s="47" t="s">
        <v>62</v>
      </c>
    </row>
    <row r="2" spans="1:10" x14ac:dyDescent="0.35">
      <c r="J2" s="47" t="s">
        <v>72</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v>
      </c>
      <c r="C6" s="11"/>
    </row>
    <row r="7" spans="1:10" x14ac:dyDescent="0.35">
      <c r="A7" s="8">
        <v>40483</v>
      </c>
      <c r="B7" s="11">
        <f>IF(VLOOKUP(A7,'DB Country PMI'!$A:$W,MATCH($A$1,'DB Country PMI'!$A$1:$W$1,),)=0,#N/A,VLOOKUP(A7,'DB Country PMI'!$A:$W,MATCH($A$1,'DB Country PMI'!$A$1:$W$1,),))</f>
        <v>54.4</v>
      </c>
      <c r="C7" s="14">
        <f>Table13468113456789[[#This Row],[PMI]]-B6</f>
        <v>3.3999999999999986</v>
      </c>
    </row>
    <row r="8" spans="1:10" x14ac:dyDescent="0.35">
      <c r="A8" s="8">
        <v>40513</v>
      </c>
      <c r="B8" s="11">
        <f>IF(VLOOKUP(A8,'DB Country PMI'!$A:$W,MATCH($A$1,'DB Country PMI'!$A$1:$W$1,),)=0,#N/A,VLOOKUP(A8,'DB Country PMI'!$A:$W,MATCH($A$1,'DB Country PMI'!$A$1:$W$1,),))</f>
        <v>52.1</v>
      </c>
      <c r="C8" s="14">
        <f>Table13468113456789[[#This Row],[PMI]]-B7</f>
        <v>-2.2999999999999972</v>
      </c>
    </row>
    <row r="9" spans="1:10" x14ac:dyDescent="0.35">
      <c r="A9" s="8">
        <v>40544</v>
      </c>
      <c r="B9" s="11">
        <f>IF(VLOOKUP(A9,'DB Country PMI'!$A:$W,MATCH($A$1,'DB Country PMI'!$A$1:$W$1,),)=0,#N/A,VLOOKUP(A9,'DB Country PMI'!$A:$W,MATCH($A$1,'DB Country PMI'!$A$1:$W$1,),))</f>
        <v>53.5</v>
      </c>
      <c r="C9" s="14">
        <f>Table13468113456789[[#This Row],[PMI]]-B8</f>
        <v>1.3999999999999986</v>
      </c>
    </row>
    <row r="10" spans="1:10" x14ac:dyDescent="0.35">
      <c r="A10" s="8">
        <v>40575</v>
      </c>
      <c r="B10" s="11">
        <f>IF(VLOOKUP(A10,'DB Country PMI'!$A:$W,MATCH($A$1,'DB Country PMI'!$A$1:$W$1,),)=0,#N/A,VLOOKUP(A10,'DB Country PMI'!$A:$W,MATCH($A$1,'DB Country PMI'!$A$1:$W$1,),))</f>
        <v>53.1</v>
      </c>
      <c r="C10" s="14">
        <f>Table13468113456789[[#This Row],[PMI]]-B9</f>
        <v>-0.39999999999999858</v>
      </c>
    </row>
    <row r="11" spans="1:10" x14ac:dyDescent="0.35">
      <c r="A11" s="8">
        <v>40603</v>
      </c>
      <c r="B11" s="11">
        <f>IF(VLOOKUP(A11,'DB Country PMI'!$A:$W,MATCH($A$1,'DB Country PMI'!$A$1:$W$1,),)=0,#N/A,VLOOKUP(A11,'DB Country PMI'!$A:$W,MATCH($A$1,'DB Country PMI'!$A$1:$W$1,),))</f>
        <v>53.3</v>
      </c>
      <c r="C11" s="14">
        <f>Table13468113456789[[#This Row],[PMI]]-B10</f>
        <v>0.19999999999999574</v>
      </c>
    </row>
    <row r="12" spans="1:10" x14ac:dyDescent="0.35">
      <c r="A12" s="8">
        <v>40634</v>
      </c>
      <c r="B12" s="11">
        <f>IF(VLOOKUP(A12,'DB Country PMI'!$A:$W,MATCH($A$1,'DB Country PMI'!$A$1:$W$1,),)=0,#N/A,VLOOKUP(A12,'DB Country PMI'!$A:$W,MATCH($A$1,'DB Country PMI'!$A$1:$W$1,),))</f>
        <v>52.2</v>
      </c>
      <c r="C12" s="14">
        <f>Table13468113456789[[#This Row],[PMI]]-B11</f>
        <v>-1.0999999999999943</v>
      </c>
    </row>
    <row r="13" spans="1:10" x14ac:dyDescent="0.35">
      <c r="A13" s="8">
        <v>40664</v>
      </c>
      <c r="B13" s="11">
        <f>IF(VLOOKUP(A13,'DB Country PMI'!$A:$W,MATCH($A$1,'DB Country PMI'!$A$1:$W$1,),)=0,#N/A,VLOOKUP(A13,'DB Country PMI'!$A:$W,MATCH($A$1,'DB Country PMI'!$A$1:$W$1,),))</f>
        <v>50.1</v>
      </c>
      <c r="C13" s="14">
        <f>Table13468113456789[[#This Row],[PMI]]-B12</f>
        <v>-2.1000000000000014</v>
      </c>
    </row>
    <row r="14" spans="1:10" x14ac:dyDescent="0.35">
      <c r="A14" s="8">
        <v>40695</v>
      </c>
      <c r="B14" s="11">
        <f>IF(VLOOKUP(A14,'DB Country PMI'!$A:$W,MATCH($A$1,'DB Country PMI'!$A$1:$W$1,),)=0,#N/A,VLOOKUP(A14,'DB Country PMI'!$A:$W,MATCH($A$1,'DB Country PMI'!$A$1:$W$1,),))</f>
        <v>47.4</v>
      </c>
      <c r="C14" s="14">
        <f>Table13468113456789[[#This Row],[PMI]]-B13</f>
        <v>-2.7000000000000028</v>
      </c>
    </row>
    <row r="15" spans="1:10" x14ac:dyDescent="0.35">
      <c r="A15" s="8">
        <v>40725</v>
      </c>
      <c r="B15" s="11">
        <f>IF(VLOOKUP(A15,'DB Country PMI'!$A:$W,MATCH($A$1,'DB Country PMI'!$A$1:$W$1,),)=0,#N/A,VLOOKUP(A15,'DB Country PMI'!$A:$W,MATCH($A$1,'DB Country PMI'!$A$1:$W$1,),))</f>
        <v>48.6</v>
      </c>
      <c r="C15" s="14">
        <f>Table13468113456789[[#This Row],[PMI]]-B14</f>
        <v>1.2000000000000028</v>
      </c>
    </row>
    <row r="16" spans="1:10" x14ac:dyDescent="0.35">
      <c r="A16" s="8">
        <v>40756</v>
      </c>
      <c r="B16" s="11">
        <f>IF(VLOOKUP(A16,'DB Country PMI'!$A:$W,MATCH($A$1,'DB Country PMI'!$A$1:$W$1,),)=0,#N/A,VLOOKUP(A16,'DB Country PMI'!$A:$W,MATCH($A$1,'DB Country PMI'!$A$1:$W$1,),))</f>
        <v>48.4</v>
      </c>
      <c r="C16" s="14">
        <f>Table13468113456789[[#This Row],[PMI]]-B15</f>
        <v>-0.20000000000000284</v>
      </c>
    </row>
    <row r="17" spans="1:3" x14ac:dyDescent="0.35">
      <c r="A17" s="8">
        <v>40787</v>
      </c>
      <c r="B17" s="11">
        <f>IF(VLOOKUP(A17,'DB Country PMI'!$A:$W,MATCH($A$1,'DB Country PMI'!$A$1:$W$1,),)=0,#N/A,VLOOKUP(A17,'DB Country PMI'!$A:$W,MATCH($A$1,'DB Country PMI'!$A$1:$W$1,),))</f>
        <v>45.8</v>
      </c>
      <c r="C17" s="14">
        <f>Table13468113456789[[#This Row],[PMI]]-B16</f>
        <v>-2.6000000000000014</v>
      </c>
    </row>
    <row r="18" spans="1:3" x14ac:dyDescent="0.35">
      <c r="A18" s="8">
        <v>40817</v>
      </c>
      <c r="B18" s="11">
        <f>IF(VLOOKUP(A18,'DB Country PMI'!$A:$W,MATCH($A$1,'DB Country PMI'!$A$1:$W$1,),)=0,#N/A,VLOOKUP(A18,'DB Country PMI'!$A:$W,MATCH($A$1,'DB Country PMI'!$A$1:$W$1,),))</f>
        <v>43.9</v>
      </c>
      <c r="C18" s="14">
        <f>Table13468113456789[[#This Row],[PMI]]-B17</f>
        <v>-1.8999999999999986</v>
      </c>
    </row>
    <row r="19" spans="1:3" x14ac:dyDescent="0.35">
      <c r="A19" s="8">
        <v>40848</v>
      </c>
      <c r="B19" s="11">
        <f>IF(VLOOKUP(A19,'DB Country PMI'!$A:$W,MATCH($A$1,'DB Country PMI'!$A$1:$W$1,),)=0,#N/A,VLOOKUP(A19,'DB Country PMI'!$A:$W,MATCH($A$1,'DB Country PMI'!$A$1:$W$1,),))</f>
        <v>45.8</v>
      </c>
      <c r="C19" s="14">
        <f>Table13468113456789[[#This Row],[PMI]]-B18</f>
        <v>1.8999999999999986</v>
      </c>
    </row>
    <row r="20" spans="1:3" x14ac:dyDescent="0.35">
      <c r="A20" s="8">
        <v>40878</v>
      </c>
      <c r="B20" s="11">
        <f>IF(VLOOKUP(A20,'DB Country PMI'!$A:$W,MATCH($A$1,'DB Country PMI'!$A$1:$W$1,),)=0,#N/A,VLOOKUP(A20,'DB Country PMI'!$A:$W,MATCH($A$1,'DB Country PMI'!$A$1:$W$1,),))</f>
        <v>44.5</v>
      </c>
      <c r="C20" s="14">
        <f>Table13468113456789[[#This Row],[PMI]]-B19</f>
        <v>-1.2999999999999972</v>
      </c>
    </row>
    <row r="21" spans="1:3" x14ac:dyDescent="0.35">
      <c r="A21" s="8">
        <v>40909</v>
      </c>
      <c r="B21" s="11">
        <f>IF(VLOOKUP(A21,'DB Country PMI'!$A:$W,MATCH($A$1,'DB Country PMI'!$A$1:$W$1,),)=0,#N/A,VLOOKUP(A21,'DB Country PMI'!$A:$W,MATCH($A$1,'DB Country PMI'!$A$1:$W$1,),))</f>
        <v>44.8</v>
      </c>
      <c r="C21" s="14">
        <f>Table13468113456789[[#This Row],[PMI]]-B20</f>
        <v>0.29999999999999716</v>
      </c>
    </row>
    <row r="22" spans="1:3" x14ac:dyDescent="0.35">
      <c r="A22" s="8">
        <v>40940</v>
      </c>
      <c r="B22" s="11">
        <f>IF(VLOOKUP(A22,'DB Country PMI'!$A:$W,MATCH($A$1,'DB Country PMI'!$A$1:$W$1,),)=0,#N/A,VLOOKUP(A22,'DB Country PMI'!$A:$W,MATCH($A$1,'DB Country PMI'!$A$1:$W$1,),))</f>
        <v>44.1</v>
      </c>
      <c r="C22" s="14">
        <f>Table13468113456789[[#This Row],[PMI]]-B21</f>
        <v>-0.69999999999999574</v>
      </c>
    </row>
    <row r="23" spans="1:3" x14ac:dyDescent="0.35">
      <c r="A23" s="8">
        <v>40969</v>
      </c>
      <c r="B23" s="11">
        <f>IF(VLOOKUP(A23,'DB Country PMI'!$A:$W,MATCH($A$1,'DB Country PMI'!$A$1:$W$1,),)=0,#N/A,VLOOKUP(A23,'DB Country PMI'!$A:$W,MATCH($A$1,'DB Country PMI'!$A$1:$W$1,),))</f>
        <v>44.3</v>
      </c>
      <c r="C23" s="14">
        <f>Table13468113456789[[#This Row],[PMI]]-B22</f>
        <v>0.19999999999999574</v>
      </c>
    </row>
    <row r="24" spans="1:3" x14ac:dyDescent="0.35">
      <c r="A24" s="8">
        <v>41000</v>
      </c>
      <c r="B24" s="11">
        <f>IF(VLOOKUP(A24,'DB Country PMI'!$A:$W,MATCH($A$1,'DB Country PMI'!$A$1:$W$1,),)=0,#N/A,VLOOKUP(A24,'DB Country PMI'!$A:$W,MATCH($A$1,'DB Country PMI'!$A$1:$W$1,),))</f>
        <v>42.3</v>
      </c>
      <c r="C24" s="14">
        <f>Table13468113456789[[#This Row],[PMI]]-B23</f>
        <v>-2</v>
      </c>
    </row>
    <row r="25" spans="1:3" x14ac:dyDescent="0.35">
      <c r="A25" s="8">
        <v>41030</v>
      </c>
      <c r="B25" s="11">
        <f>IF(VLOOKUP(A25,'DB Country PMI'!$A:$W,MATCH($A$1,'DB Country PMI'!$A$1:$W$1,),)=0,#N/A,VLOOKUP(A25,'DB Country PMI'!$A:$W,MATCH($A$1,'DB Country PMI'!$A$1:$W$1,),))</f>
        <v>42.8</v>
      </c>
      <c r="C25" s="14">
        <f>Table13468113456789[[#This Row],[PMI]]-B24</f>
        <v>0.5</v>
      </c>
    </row>
    <row r="26" spans="1:3" x14ac:dyDescent="0.35">
      <c r="A26" s="8">
        <v>41061</v>
      </c>
      <c r="B26" s="11">
        <f>IF(VLOOKUP(A26,'DB Country PMI'!$A:$W,MATCH($A$1,'DB Country PMI'!$A$1:$W$1,),)=0,#N/A,VLOOKUP(A26,'DB Country PMI'!$A:$W,MATCH($A$1,'DB Country PMI'!$A$1:$W$1,),))</f>
        <v>43.1</v>
      </c>
      <c r="C26" s="14">
        <f>Table13468113456789[[#This Row],[PMI]]-B25</f>
        <v>0.30000000000000426</v>
      </c>
    </row>
    <row r="27" spans="1:3" x14ac:dyDescent="0.35">
      <c r="A27" s="8">
        <v>41091</v>
      </c>
      <c r="B27" s="11">
        <f>IF(VLOOKUP(A27,'DB Country PMI'!$A:$W,MATCH($A$1,'DB Country PMI'!$A$1:$W$1,),)=0,#N/A,VLOOKUP(A27,'DB Country PMI'!$A:$W,MATCH($A$1,'DB Country PMI'!$A$1:$W$1,),))</f>
        <v>43</v>
      </c>
      <c r="C27" s="14">
        <f>Table13468113456789[[#This Row],[PMI]]-B26</f>
        <v>-0.10000000000000142</v>
      </c>
    </row>
    <row r="28" spans="1:3" x14ac:dyDescent="0.35">
      <c r="A28" s="8">
        <v>41122</v>
      </c>
      <c r="B28" s="11">
        <f>IF(VLOOKUP(A28,'DB Country PMI'!$A:$W,MATCH($A$1,'DB Country PMI'!$A$1:$W$1,),)=0,#N/A,VLOOKUP(A28,'DB Country PMI'!$A:$W,MATCH($A$1,'DB Country PMI'!$A$1:$W$1,),))</f>
        <v>44</v>
      </c>
      <c r="C28" s="14">
        <f>Table13468113456789[[#This Row],[PMI]]-B27</f>
        <v>1</v>
      </c>
    </row>
    <row r="29" spans="1:3" x14ac:dyDescent="0.35">
      <c r="A29" s="8">
        <v>41153</v>
      </c>
      <c r="B29" s="11">
        <f>IF(VLOOKUP(A29,'DB Country PMI'!$A:$W,MATCH($A$1,'DB Country PMI'!$A$1:$W$1,),)=0,#N/A,VLOOKUP(A29,'DB Country PMI'!$A:$W,MATCH($A$1,'DB Country PMI'!$A$1:$W$1,),))</f>
        <v>44.5</v>
      </c>
      <c r="C29" s="14">
        <f>Table13468113456789[[#This Row],[PMI]]-B28</f>
        <v>0.5</v>
      </c>
    </row>
    <row r="30" spans="1:3" x14ac:dyDescent="0.35">
      <c r="A30" s="8">
        <v>41183</v>
      </c>
      <c r="B30" s="11">
        <f>IF(VLOOKUP(A30,'DB Country PMI'!$A:$W,MATCH($A$1,'DB Country PMI'!$A$1:$W$1,),)=0,#N/A,VLOOKUP(A30,'DB Country PMI'!$A:$W,MATCH($A$1,'DB Country PMI'!$A$1:$W$1,),))</f>
        <v>46</v>
      </c>
      <c r="C30" s="14">
        <f>Table13468113456789[[#This Row],[PMI]]-B29</f>
        <v>1.5</v>
      </c>
    </row>
    <row r="31" spans="1:3" x14ac:dyDescent="0.35">
      <c r="A31" s="8">
        <v>41214</v>
      </c>
      <c r="B31" s="11">
        <f>IF(VLOOKUP(A31,'DB Country PMI'!$A:$W,MATCH($A$1,'DB Country PMI'!$A$1:$W$1,),)=0,#N/A,VLOOKUP(A31,'DB Country PMI'!$A:$W,MATCH($A$1,'DB Country PMI'!$A$1:$W$1,),))</f>
        <v>44.6</v>
      </c>
      <c r="C31" s="14">
        <f>Table13468113456789[[#This Row],[PMI]]-B30</f>
        <v>-1.3999999999999986</v>
      </c>
    </row>
    <row r="32" spans="1:3" x14ac:dyDescent="0.35">
      <c r="A32" s="8">
        <v>41244</v>
      </c>
      <c r="B32" s="11">
        <f>IF(VLOOKUP(A32,'DB Country PMI'!$A:$W,MATCH($A$1,'DB Country PMI'!$A$1:$W$1,),)=0,#N/A,VLOOKUP(A32,'DB Country PMI'!$A:$W,MATCH($A$1,'DB Country PMI'!$A$1:$W$1,),))</f>
        <v>43.1</v>
      </c>
      <c r="C32" s="14">
        <f>Table13468113456789[[#This Row],[PMI]]-B31</f>
        <v>-1.5</v>
      </c>
    </row>
    <row r="33" spans="1:3" x14ac:dyDescent="0.35">
      <c r="A33" s="8">
        <v>41275</v>
      </c>
      <c r="B33" s="11">
        <f>IF(VLOOKUP(A33,'DB Country PMI'!$A:$W,MATCH($A$1,'DB Country PMI'!$A$1:$W$1,),)=0,#N/A,VLOOKUP(A33,'DB Country PMI'!$A:$W,MATCH($A$1,'DB Country PMI'!$A$1:$W$1,),))</f>
        <v>43.9</v>
      </c>
      <c r="C33" s="14">
        <f>Table13468113456789[[#This Row],[PMI]]-B32</f>
        <v>0.79999999999999716</v>
      </c>
    </row>
    <row r="34" spans="1:3" x14ac:dyDescent="0.35">
      <c r="A34" s="8">
        <v>41306</v>
      </c>
      <c r="B34" s="11">
        <f>IF(VLOOKUP(A34,'DB Country PMI'!$A:$W,MATCH($A$1,'DB Country PMI'!$A$1:$W$1,),)=0,#N/A,VLOOKUP(A34,'DB Country PMI'!$A:$W,MATCH($A$1,'DB Country PMI'!$A$1:$W$1,),))</f>
        <v>43.6</v>
      </c>
      <c r="C34" s="14">
        <f>Table13468113456789[[#This Row],[PMI]]-B33</f>
        <v>-0.29999999999999716</v>
      </c>
    </row>
    <row r="35" spans="1:3" x14ac:dyDescent="0.35">
      <c r="A35" s="8">
        <v>41334</v>
      </c>
      <c r="B35" s="11">
        <f>IF(VLOOKUP(A35,'DB Country PMI'!$A:$W,MATCH($A$1,'DB Country PMI'!$A$1:$W$1,),)=0,#N/A,VLOOKUP(A35,'DB Country PMI'!$A:$W,MATCH($A$1,'DB Country PMI'!$A$1:$W$1,),))</f>
        <v>45.5</v>
      </c>
      <c r="C35" s="14">
        <f>Table13468113456789[[#This Row],[PMI]]-B34</f>
        <v>1.8999999999999986</v>
      </c>
    </row>
    <row r="36" spans="1:3" x14ac:dyDescent="0.35">
      <c r="A36" s="8">
        <v>41365</v>
      </c>
      <c r="B36" s="11">
        <f>IF(VLOOKUP(A36,'DB Country PMI'!$A:$W,MATCH($A$1,'DB Country PMI'!$A$1:$W$1,),)=0,#N/A,VLOOKUP(A36,'DB Country PMI'!$A:$W,MATCH($A$1,'DB Country PMI'!$A$1:$W$1,),))</f>
        <v>47</v>
      </c>
      <c r="C36" s="14">
        <f>Table13468113456789[[#This Row],[PMI]]-B35</f>
        <v>1.5</v>
      </c>
    </row>
    <row r="37" spans="1:3" x14ac:dyDescent="0.35">
      <c r="A37" s="8">
        <v>41395</v>
      </c>
      <c r="B37" s="11">
        <f>IF(VLOOKUP(A37,'DB Country PMI'!$A:$W,MATCH($A$1,'DB Country PMI'!$A$1:$W$1,),)=0,#N/A,VLOOKUP(A37,'DB Country PMI'!$A:$W,MATCH($A$1,'DB Country PMI'!$A$1:$W$1,),))</f>
        <v>46.5</v>
      </c>
      <c r="C37" s="14">
        <f>Table13468113456789[[#This Row],[PMI]]-B36</f>
        <v>-0.5</v>
      </c>
    </row>
    <row r="38" spans="1:3" x14ac:dyDescent="0.35">
      <c r="A38" s="8">
        <v>41426</v>
      </c>
      <c r="B38" s="11">
        <f>IF(VLOOKUP(A38,'DB Country PMI'!$A:$W,MATCH($A$1,'DB Country PMI'!$A$1:$W$1,),)=0,#N/A,VLOOKUP(A38,'DB Country PMI'!$A:$W,MATCH($A$1,'DB Country PMI'!$A$1:$W$1,),))</f>
        <v>45.8</v>
      </c>
      <c r="C38" s="14">
        <f>Table13468113456789[[#This Row],[PMI]]-B37</f>
        <v>-0.70000000000000284</v>
      </c>
    </row>
    <row r="39" spans="1:3" x14ac:dyDescent="0.35">
      <c r="A39" s="8">
        <v>41456</v>
      </c>
      <c r="B39" s="11">
        <f>IF(VLOOKUP(A39,'DB Country PMI'!$A:$W,MATCH($A$1,'DB Country PMI'!$A$1:$W$1,),)=0,#N/A,VLOOKUP(A39,'DB Country PMI'!$A:$W,MATCH($A$1,'DB Country PMI'!$A$1:$W$1,),))</f>
        <v>48.7</v>
      </c>
      <c r="C39" s="14">
        <f>Table13468113456789[[#This Row],[PMI]]-B38</f>
        <v>2.9000000000000057</v>
      </c>
    </row>
    <row r="40" spans="1:3" x14ac:dyDescent="0.35">
      <c r="A40" s="8">
        <v>41487</v>
      </c>
      <c r="B40" s="11">
        <f>IF(VLOOKUP(A40,'DB Country PMI'!$A:$W,MATCH($A$1,'DB Country PMI'!$A$1:$W$1,),)=0,#N/A,VLOOKUP(A40,'DB Country PMI'!$A:$W,MATCH($A$1,'DB Country PMI'!$A$1:$W$1,),))</f>
        <v>48.8</v>
      </c>
      <c r="C40" s="14">
        <f>Table13468113456789[[#This Row],[PMI]]-B39</f>
        <v>9.9999999999994316E-2</v>
      </c>
    </row>
    <row r="41" spans="1:3" x14ac:dyDescent="0.35">
      <c r="A41" s="8">
        <v>41518</v>
      </c>
      <c r="B41" s="11">
        <f>IF(VLOOKUP(A41,'DB Country PMI'!$A:$W,MATCH($A$1,'DB Country PMI'!$A$1:$W$1,),)=0,#N/A,VLOOKUP(A41,'DB Country PMI'!$A:$W,MATCH($A$1,'DB Country PMI'!$A$1:$W$1,),))</f>
        <v>52.7</v>
      </c>
      <c r="C41" s="14">
        <f>Table13468113456789[[#This Row],[PMI]]-B40</f>
        <v>3.9000000000000057</v>
      </c>
    </row>
    <row r="42" spans="1:3" x14ac:dyDescent="0.35">
      <c r="A42" s="8">
        <v>41548</v>
      </c>
      <c r="B42" s="11">
        <f>IF(VLOOKUP(A42,'DB Country PMI'!$A:$W,MATCH($A$1,'DB Country PMI'!$A$1:$W$1,),)=0,#N/A,VLOOKUP(A42,'DB Country PMI'!$A:$W,MATCH($A$1,'DB Country PMI'!$A$1:$W$1,),))</f>
        <v>50.5</v>
      </c>
      <c r="C42" s="14">
        <f>Table13468113456789[[#This Row],[PMI]]-B41</f>
        <v>-2.2000000000000028</v>
      </c>
    </row>
    <row r="43" spans="1:3" x14ac:dyDescent="0.35">
      <c r="A43" s="8">
        <v>41579</v>
      </c>
      <c r="B43" s="11">
        <f>IF(VLOOKUP(A43,'DB Country PMI'!$A:$W,MATCH($A$1,'DB Country PMI'!$A$1:$W$1,),)=0,#N/A,VLOOKUP(A43,'DB Country PMI'!$A:$W,MATCH($A$1,'DB Country PMI'!$A$1:$W$1,),))</f>
        <v>47.2</v>
      </c>
      <c r="C43" s="14">
        <f>Table13468113456789[[#This Row],[PMI]]-B42</f>
        <v>-3.2999999999999972</v>
      </c>
    </row>
    <row r="44" spans="1:3" x14ac:dyDescent="0.35">
      <c r="A44" s="8">
        <v>41609</v>
      </c>
      <c r="B44" s="11">
        <f>IF(VLOOKUP(A44,'DB Country PMI'!$A:$W,MATCH($A$1,'DB Country PMI'!$A$1:$W$1,),)=0,#N/A,VLOOKUP(A44,'DB Country PMI'!$A:$W,MATCH($A$1,'DB Country PMI'!$A$1:$W$1,),))</f>
        <v>48.6</v>
      </c>
      <c r="C44" s="14">
        <f>Table13468113456789[[#This Row],[PMI]]-B43</f>
        <v>1.3999999999999986</v>
      </c>
    </row>
    <row r="45" spans="1:3" x14ac:dyDescent="0.35">
      <c r="A45" s="8">
        <v>41640</v>
      </c>
      <c r="B45" s="11">
        <f>IF(VLOOKUP(A45,'DB Country PMI'!$A:$W,MATCH($A$1,'DB Country PMI'!$A$1:$W$1,),)=0,#N/A,VLOOKUP(A45,'DB Country PMI'!$A:$W,MATCH($A$1,'DB Country PMI'!$A$1:$W$1,),))</f>
        <v>49.4</v>
      </c>
      <c r="C45" s="14">
        <f>Table13468113456789[[#This Row],[PMI]]-B44</f>
        <v>0.79999999999999716</v>
      </c>
    </row>
    <row r="46" spans="1:3" x14ac:dyDescent="0.35">
      <c r="A46" s="8">
        <v>41671</v>
      </c>
      <c r="B46" s="11">
        <f>IF(VLOOKUP(A46,'DB Country PMI'!$A:$W,MATCH($A$1,'DB Country PMI'!$A$1:$W$1,),)=0,#N/A,VLOOKUP(A46,'DB Country PMI'!$A:$W,MATCH($A$1,'DB Country PMI'!$A$1:$W$1,),))</f>
        <v>52.9</v>
      </c>
      <c r="C46" s="14">
        <f>Table13468113456789[[#This Row],[PMI]]-B45</f>
        <v>3.5</v>
      </c>
    </row>
    <row r="47" spans="1:3" x14ac:dyDescent="0.35">
      <c r="A47" s="8">
        <v>41699</v>
      </c>
      <c r="B47" s="11">
        <f>IF(VLOOKUP(A47,'DB Country PMI'!$A:$W,MATCH($A$1,'DB Country PMI'!$A$1:$W$1,),)=0,#N/A,VLOOKUP(A47,'DB Country PMI'!$A:$W,MATCH($A$1,'DB Country PMI'!$A$1:$W$1,),))</f>
        <v>49.5</v>
      </c>
      <c r="C47" s="14">
        <f>Table13468113456789[[#This Row],[PMI]]-B46</f>
        <v>-3.3999999999999986</v>
      </c>
    </row>
    <row r="48" spans="1:3" x14ac:dyDescent="0.35">
      <c r="A48" s="8">
        <v>41730</v>
      </c>
      <c r="B48" s="11">
        <f>IF(VLOOKUP(A48,'DB Country PMI'!$A:$W,MATCH($A$1,'DB Country PMI'!$A$1:$W$1,),)=0,#N/A,VLOOKUP(A48,'DB Country PMI'!$A:$W,MATCH($A$1,'DB Country PMI'!$A$1:$W$1,),))</f>
        <v>51.1</v>
      </c>
      <c r="C48" s="14">
        <f>Table13468113456789[[#This Row],[PMI]]-B47</f>
        <v>1.6000000000000014</v>
      </c>
    </row>
    <row r="49" spans="1:3" x14ac:dyDescent="0.35">
      <c r="A49" s="8">
        <v>41760</v>
      </c>
      <c r="B49" s="11">
        <f>IF(VLOOKUP(A49,'DB Country PMI'!$A:$W,MATCH($A$1,'DB Country PMI'!$A$1:$W$1,),)=0,#N/A,VLOOKUP(A49,'DB Country PMI'!$A:$W,MATCH($A$1,'DB Country PMI'!$A$1:$W$1,),))</f>
        <v>51.6</v>
      </c>
      <c r="C49" s="14">
        <f>Table13468113456789[[#This Row],[PMI]]-B48</f>
        <v>0.5</v>
      </c>
    </row>
    <row r="50" spans="1:3" x14ac:dyDescent="0.35">
      <c r="A50" s="8">
        <v>41791</v>
      </c>
      <c r="B50" s="11">
        <f>IF(VLOOKUP(A50,'DB Country PMI'!$A:$W,MATCH($A$1,'DB Country PMI'!$A$1:$W$1,),)=0,#N/A,VLOOKUP(A50,'DB Country PMI'!$A:$W,MATCH($A$1,'DB Country PMI'!$A$1:$W$1,),))</f>
        <v>53.6</v>
      </c>
      <c r="C50" s="14">
        <f>Table13468113456789[[#This Row],[PMI]]-B49</f>
        <v>2</v>
      </c>
    </row>
    <row r="51" spans="1:3" x14ac:dyDescent="0.35">
      <c r="A51" s="8">
        <v>41821</v>
      </c>
      <c r="B51" s="11">
        <f>IF(VLOOKUP(A51,'DB Country PMI'!$A:$W,MATCH($A$1,'DB Country PMI'!$A$1:$W$1,),)=0,#N/A,VLOOKUP(A51,'DB Country PMI'!$A:$W,MATCH($A$1,'DB Country PMI'!$A$1:$W$1,),))</f>
        <v>52.8</v>
      </c>
      <c r="C51" s="14">
        <f>Table13468113456789[[#This Row],[PMI]]-B50</f>
        <v>-0.80000000000000426</v>
      </c>
    </row>
    <row r="52" spans="1:3" x14ac:dyDescent="0.35">
      <c r="A52" s="8">
        <v>41852</v>
      </c>
      <c r="B52" s="11">
        <f>IF(VLOOKUP(A52,'DB Country PMI'!$A:$W,MATCH($A$1,'DB Country PMI'!$A$1:$W$1,),)=0,#N/A,VLOOKUP(A52,'DB Country PMI'!$A:$W,MATCH($A$1,'DB Country PMI'!$A$1:$W$1,),))</f>
        <v>49.8</v>
      </c>
      <c r="C52" s="14">
        <f>Table13468113456789[[#This Row],[PMI]]-B51</f>
        <v>-3</v>
      </c>
    </row>
    <row r="53" spans="1:3" x14ac:dyDescent="0.35">
      <c r="A53" s="8">
        <v>41883</v>
      </c>
      <c r="B53" s="11">
        <f>IF(VLOOKUP(A53,'DB Country PMI'!$A:$W,MATCH($A$1,'DB Country PMI'!$A$1:$W$1,),)=0,#N/A,VLOOKUP(A53,'DB Country PMI'!$A:$W,MATCH($A$1,'DB Country PMI'!$A$1:$W$1,),))</f>
        <v>48.8</v>
      </c>
      <c r="C53" s="14">
        <f>Table13468113456789[[#This Row],[PMI]]-B52</f>
        <v>-1</v>
      </c>
    </row>
    <row r="54" spans="1:3" x14ac:dyDescent="0.35">
      <c r="A54" s="8">
        <v>41913</v>
      </c>
      <c r="B54" s="11">
        <f>IF(VLOOKUP(A54,'DB Country PMI'!$A:$W,MATCH($A$1,'DB Country PMI'!$A$1:$W$1,),)=0,#N/A,VLOOKUP(A54,'DB Country PMI'!$A:$W,MATCH($A$1,'DB Country PMI'!$A$1:$W$1,),))</f>
        <v>50.8</v>
      </c>
      <c r="C54" s="14">
        <f>Table13468113456789[[#This Row],[PMI]]-B53</f>
        <v>2</v>
      </c>
    </row>
    <row r="55" spans="1:3" x14ac:dyDescent="0.35">
      <c r="A55" s="8">
        <v>41944</v>
      </c>
      <c r="B55" s="11">
        <f>IF(VLOOKUP(A55,'DB Country PMI'!$A:$W,MATCH($A$1,'DB Country PMI'!$A$1:$W$1,),)=0,#N/A,VLOOKUP(A55,'DB Country PMI'!$A:$W,MATCH($A$1,'DB Country PMI'!$A$1:$W$1,),))</f>
        <v>51.8</v>
      </c>
      <c r="C55" s="14">
        <f>Table13468113456789[[#This Row],[PMI]]-B54</f>
        <v>1</v>
      </c>
    </row>
    <row r="56" spans="1:3" x14ac:dyDescent="0.35">
      <c r="A56" s="8">
        <v>41974</v>
      </c>
      <c r="B56" s="11">
        <f>IF(VLOOKUP(A56,'DB Country PMI'!$A:$W,MATCH($A$1,'DB Country PMI'!$A$1:$W$1,),)=0,#N/A,VLOOKUP(A56,'DB Country PMI'!$A:$W,MATCH($A$1,'DB Country PMI'!$A$1:$W$1,),))</f>
        <v>49.4</v>
      </c>
      <c r="C56" s="14">
        <f>Table13468113456789[[#This Row],[PMI]]-B55</f>
        <v>-2.3999999999999986</v>
      </c>
    </row>
    <row r="57" spans="1:3" x14ac:dyDescent="0.35">
      <c r="A57" s="8">
        <v>42005</v>
      </c>
      <c r="B57" s="11">
        <f>IF(VLOOKUP(A57,'DB Country PMI'!$A:$W,MATCH($A$1,'DB Country PMI'!$A$1:$W$1,),)=0,#N/A,VLOOKUP(A57,'DB Country PMI'!$A:$W,MATCH($A$1,'DB Country PMI'!$A$1:$W$1,),))</f>
        <v>51.2</v>
      </c>
      <c r="C57" s="14">
        <f>Table13468113456789[[#This Row],[PMI]]-B56</f>
        <v>1.8000000000000043</v>
      </c>
    </row>
    <row r="58" spans="1:3" x14ac:dyDescent="0.35">
      <c r="A58" s="8">
        <v>42036</v>
      </c>
      <c r="B58" s="11">
        <f>IF(VLOOKUP(A58,'DB Country PMI'!$A:$W,MATCH($A$1,'DB Country PMI'!$A$1:$W$1,),)=0,#N/A,VLOOKUP(A58,'DB Country PMI'!$A:$W,MATCH($A$1,'DB Country PMI'!$A$1:$W$1,),))</f>
        <v>50</v>
      </c>
      <c r="C58" s="14">
        <f>Table13468113456789[[#This Row],[PMI]]-B57</f>
        <v>-1.2000000000000028</v>
      </c>
    </row>
    <row r="59" spans="1:3" x14ac:dyDescent="0.35">
      <c r="A59" s="8">
        <v>42064</v>
      </c>
      <c r="B59" s="11">
        <f>IF(VLOOKUP(A59,'DB Country PMI'!$A:$W,MATCH($A$1,'DB Country PMI'!$A$1:$W$1,),)=0,#N/A,VLOOKUP(A59,'DB Country PMI'!$A:$W,MATCH($A$1,'DB Country PMI'!$A$1:$W$1,),))</f>
        <v>51.6</v>
      </c>
      <c r="C59" s="14">
        <f>Table13468113456789[[#This Row],[PMI]]-B58</f>
        <v>1.6000000000000014</v>
      </c>
    </row>
    <row r="60" spans="1:3" x14ac:dyDescent="0.35">
      <c r="A60" s="8">
        <v>42095</v>
      </c>
      <c r="B60" s="11">
        <f>IF(VLOOKUP(A60,'DB Country PMI'!$A:$W,MATCH($A$1,'DB Country PMI'!$A$1:$W$1,),)=0,#N/A,VLOOKUP(A60,'DB Country PMI'!$A:$W,MATCH($A$1,'DB Country PMI'!$A$1:$W$1,),))</f>
        <v>53.1</v>
      </c>
      <c r="C60" s="14">
        <f>Table13468113456789[[#This Row],[PMI]]-B59</f>
        <v>1.5</v>
      </c>
    </row>
    <row r="61" spans="1:3" x14ac:dyDescent="0.35">
      <c r="A61" s="8">
        <v>42125</v>
      </c>
      <c r="B61" s="11">
        <f>IF(VLOOKUP(A61,'DB Country PMI'!$A:$W,MATCH($A$1,'DB Country PMI'!$A$1:$W$1,),)=0,#N/A,VLOOKUP(A61,'DB Country PMI'!$A:$W,MATCH($A$1,'DB Country PMI'!$A$1:$W$1,),))</f>
        <v>52.5</v>
      </c>
      <c r="C61" s="14">
        <f>Table13468113456789[[#This Row],[PMI]]-B60</f>
        <v>-0.60000000000000142</v>
      </c>
    </row>
    <row r="62" spans="1:3" x14ac:dyDescent="0.35">
      <c r="A62" s="8">
        <v>42156</v>
      </c>
      <c r="B62" s="11">
        <f>IF(VLOOKUP(A62,'DB Country PMI'!$A:$W,MATCH($A$1,'DB Country PMI'!$A$1:$W$1,),)=0,#N/A,VLOOKUP(A62,'DB Country PMI'!$A:$W,MATCH($A$1,'DB Country PMI'!$A$1:$W$1,),))</f>
        <v>53.4</v>
      </c>
      <c r="C62" s="14">
        <f>Table13468113456789[[#This Row],[PMI]]-B61</f>
        <v>0.89999999999999858</v>
      </c>
    </row>
    <row r="63" spans="1:3" x14ac:dyDescent="0.35">
      <c r="A63" s="8">
        <v>42186</v>
      </c>
      <c r="B63" s="11">
        <f>IF(VLOOKUP(A63,'DB Country PMI'!$A:$W,MATCH($A$1,'DB Country PMI'!$A$1:$W$1,),)=0,#N/A,VLOOKUP(A63,'DB Country PMI'!$A:$W,MATCH($A$1,'DB Country PMI'!$A$1:$W$1,),))</f>
        <v>52</v>
      </c>
      <c r="C63" s="14">
        <f>Table13468113456789[[#This Row],[PMI]]-B62</f>
        <v>-1.3999999999999986</v>
      </c>
    </row>
    <row r="64" spans="1:3" x14ac:dyDescent="0.35">
      <c r="A64" s="8">
        <v>42217</v>
      </c>
      <c r="B64" s="11">
        <f>IF(VLOOKUP(A64,'DB Country PMI'!$A:$W,MATCH($A$1,'DB Country PMI'!$A$1:$W$1,),)=0,#N/A,VLOOKUP(A64,'DB Country PMI'!$A:$W,MATCH($A$1,'DB Country PMI'!$A$1:$W$1,),))</f>
        <v>54.6</v>
      </c>
      <c r="C64" s="14">
        <f>Table13468113456789[[#This Row],[PMI]]-B63</f>
        <v>2.6000000000000014</v>
      </c>
    </row>
    <row r="65" spans="1:3" x14ac:dyDescent="0.35">
      <c r="A65" s="8">
        <v>42248</v>
      </c>
      <c r="B65" s="11">
        <f>IF(VLOOKUP(A65,'DB Country PMI'!$A:$W,MATCH($A$1,'DB Country PMI'!$A$1:$W$1,),)=0,#N/A,VLOOKUP(A65,'DB Country PMI'!$A:$W,MATCH($A$1,'DB Country PMI'!$A$1:$W$1,),))</f>
        <v>53.3</v>
      </c>
      <c r="C65" s="14">
        <f>Table13468113456789[[#This Row],[PMI]]-B64</f>
        <v>-1.3000000000000043</v>
      </c>
    </row>
    <row r="66" spans="1:3" x14ac:dyDescent="0.35">
      <c r="A66" s="8">
        <v>42278</v>
      </c>
      <c r="B66" s="11">
        <f>IF(VLOOKUP(A66,'DB Country PMI'!$A:$W,MATCH($A$1,'DB Country PMI'!$A$1:$W$1,),)=0,#N/A,VLOOKUP(A66,'DB Country PMI'!$A:$W,MATCH($A$1,'DB Country PMI'!$A$1:$W$1,),))</f>
        <v>53.4</v>
      </c>
      <c r="C66" s="14">
        <f>Table13468113456789[[#This Row],[PMI]]-B65</f>
        <v>0.10000000000000142</v>
      </c>
    </row>
    <row r="67" spans="1:3" x14ac:dyDescent="0.35">
      <c r="A67" s="8">
        <v>42309</v>
      </c>
      <c r="B67" s="11">
        <f>IF(VLOOKUP(A67,'DB Country PMI'!$A:$W,MATCH($A$1,'DB Country PMI'!$A$1:$W$1,),)=0,#N/A,VLOOKUP(A67,'DB Country PMI'!$A:$W,MATCH($A$1,'DB Country PMI'!$A$1:$W$1,),))</f>
        <v>53.4</v>
      </c>
      <c r="C67" s="14">
        <f>Table13468113456789[[#This Row],[PMI]]-B66</f>
        <v>0</v>
      </c>
    </row>
    <row r="68" spans="1:3" x14ac:dyDescent="0.35">
      <c r="A68" s="8">
        <v>42339</v>
      </c>
      <c r="B68" s="11">
        <f>IF(VLOOKUP(A68,'DB Country PMI'!$A:$W,MATCH($A$1,'DB Country PMI'!$A$1:$W$1,),)=0,#N/A,VLOOKUP(A68,'DB Country PMI'!$A:$W,MATCH($A$1,'DB Country PMI'!$A$1:$W$1,),))</f>
        <v>55.3</v>
      </c>
      <c r="C68" s="14">
        <f>Table13468113456789[[#This Row],[PMI]]-B67</f>
        <v>1.8999999999999986</v>
      </c>
    </row>
    <row r="69" spans="1:3" x14ac:dyDescent="0.35">
      <c r="A69" s="8">
        <v>42370</v>
      </c>
      <c r="B69" s="11">
        <f>IF(VLOOKUP(A69,'DB Country PMI'!$A:$W,MATCH($A$1,'DB Country PMI'!$A$1:$W$1,),)=0,#N/A,VLOOKUP(A69,'DB Country PMI'!$A:$W,MATCH($A$1,'DB Country PMI'!$A$1:$W$1,),))</f>
        <v>53.6</v>
      </c>
      <c r="C69" s="14">
        <f>Table13468113456789[[#This Row],[PMI]]-B68</f>
        <v>-1.6999999999999957</v>
      </c>
    </row>
    <row r="70" spans="1:3" x14ac:dyDescent="0.35">
      <c r="A70" s="8">
        <v>42401</v>
      </c>
      <c r="B70" s="11">
        <f>IF(VLOOKUP(A70,'DB Country PMI'!$A:$W,MATCH($A$1,'DB Country PMI'!$A$1:$W$1,),)=0,#N/A,VLOOKUP(A70,'DB Country PMI'!$A:$W,MATCH($A$1,'DB Country PMI'!$A$1:$W$1,),))</f>
        <v>53.8</v>
      </c>
      <c r="C70" s="14">
        <f>Table13468113456789[[#This Row],[PMI]]-B69</f>
        <v>0.19999999999999574</v>
      </c>
    </row>
    <row r="71" spans="1:3" x14ac:dyDescent="0.35">
      <c r="A71" s="8">
        <v>42430</v>
      </c>
      <c r="B71" s="11">
        <f>IF(VLOOKUP(A71,'DB Country PMI'!$A:$W,MATCH($A$1,'DB Country PMI'!$A$1:$W$1,),)=0,#N/A,VLOOKUP(A71,'DB Country PMI'!$A:$W,MATCH($A$1,'DB Country PMI'!$A$1:$W$1,),))</f>
        <v>51.2</v>
      </c>
      <c r="C71" s="14">
        <f>Table13468113456789[[#This Row],[PMI]]-B70</f>
        <v>-2.5999999999999943</v>
      </c>
    </row>
    <row r="72" spans="1:3" x14ac:dyDescent="0.35">
      <c r="A72" s="8">
        <v>42461</v>
      </c>
      <c r="B72" s="11">
        <f>IF(VLOOKUP(A72,'DB Country PMI'!$A:$W,MATCH($A$1,'DB Country PMI'!$A$1:$W$1,),)=0,#N/A,VLOOKUP(A72,'DB Country PMI'!$A:$W,MATCH($A$1,'DB Country PMI'!$A$1:$W$1,),))</f>
        <v>52.1</v>
      </c>
      <c r="C72" s="14">
        <f>Table13468113456789[[#This Row],[PMI]]-B71</f>
        <v>0.89999999999999858</v>
      </c>
    </row>
    <row r="73" spans="1:3" x14ac:dyDescent="0.35">
      <c r="A73" s="8">
        <v>42491</v>
      </c>
      <c r="B73" s="11">
        <f>IF(VLOOKUP(A73,'DB Country PMI'!$A:$W,MATCH($A$1,'DB Country PMI'!$A$1:$W$1,),)=0,#N/A,VLOOKUP(A73,'DB Country PMI'!$A:$W,MATCH($A$1,'DB Country PMI'!$A$1:$W$1,),))</f>
        <v>49.8</v>
      </c>
      <c r="C73" s="14">
        <f>Table13468113456789[[#This Row],[PMI]]-B72</f>
        <v>-2.3000000000000043</v>
      </c>
    </row>
    <row r="74" spans="1:3" x14ac:dyDescent="0.35">
      <c r="A74" s="8">
        <v>42522</v>
      </c>
      <c r="B74" s="11">
        <f>IF(VLOOKUP(A74,'DB Country PMI'!$A:$W,MATCH($A$1,'DB Country PMI'!$A$1:$W$1,),)=0,#N/A,VLOOKUP(A74,'DB Country PMI'!$A:$W,MATCH($A$1,'DB Country PMI'!$A$1:$W$1,),))</f>
        <v>51.9</v>
      </c>
      <c r="C74" s="14">
        <f>Table13468113456789[[#This Row],[PMI]]-B73</f>
        <v>2.1000000000000014</v>
      </c>
    </row>
    <row r="75" spans="1:3" x14ac:dyDescent="0.35">
      <c r="A75" s="8">
        <v>42552</v>
      </c>
      <c r="B75" s="11">
        <f>IF(VLOOKUP(A75,'DB Country PMI'!$A:$W,MATCH($A$1,'DB Country PMI'!$A$1:$W$1,),)=0,#N/A,VLOOKUP(A75,'DB Country PMI'!$A:$W,MATCH($A$1,'DB Country PMI'!$A$1:$W$1,),))</f>
        <v>52</v>
      </c>
      <c r="C75" s="14">
        <f>Table13468113456789[[#This Row],[PMI]]-B74</f>
        <v>0.10000000000000142</v>
      </c>
    </row>
    <row r="76" spans="1:3" x14ac:dyDescent="0.35">
      <c r="A76" s="8">
        <v>42583</v>
      </c>
      <c r="B76" s="11">
        <f>IF(VLOOKUP(A76,'DB Country PMI'!$A:$W,MATCH($A$1,'DB Country PMI'!$A$1:$W$1,),)=0,#N/A,VLOOKUP(A76,'DB Country PMI'!$A:$W,MATCH($A$1,'DB Country PMI'!$A$1:$W$1,),))</f>
        <v>52.3</v>
      </c>
      <c r="C76" s="14">
        <f>Table13468113456789[[#This Row],[PMI]]-B75</f>
        <v>0.29999999999999716</v>
      </c>
    </row>
    <row r="77" spans="1:3" x14ac:dyDescent="0.35">
      <c r="A77" s="8">
        <v>42614</v>
      </c>
      <c r="B77" s="11">
        <f>IF(VLOOKUP(A77,'DB Country PMI'!$A:$W,MATCH($A$1,'DB Country PMI'!$A$1:$W$1,),)=0,#N/A,VLOOKUP(A77,'DB Country PMI'!$A:$W,MATCH($A$1,'DB Country PMI'!$A$1:$W$1,),))</f>
        <v>50.7</v>
      </c>
      <c r="C77" s="14">
        <f>Table13468113456789[[#This Row],[PMI]]-B76</f>
        <v>-1.5999999999999943</v>
      </c>
    </row>
    <row r="78" spans="1:3" x14ac:dyDescent="0.35">
      <c r="A78" s="8">
        <v>42644</v>
      </c>
      <c r="B78" s="11">
        <f>IF(VLOOKUP(A78,'DB Country PMI'!$A:$W,MATCH($A$1,'DB Country PMI'!$A$1:$W$1,),)=0,#N/A,VLOOKUP(A78,'DB Country PMI'!$A:$W,MATCH($A$1,'DB Country PMI'!$A$1:$W$1,),))</f>
        <v>51</v>
      </c>
      <c r="C78" s="14">
        <f>Table13468113456789[[#This Row],[PMI]]-B77</f>
        <v>0.29999999999999716</v>
      </c>
    </row>
    <row r="79" spans="1:3" x14ac:dyDescent="0.35">
      <c r="A79" s="8">
        <v>42675</v>
      </c>
      <c r="B79" s="11">
        <f>IF(VLOOKUP(A79,'DB Country PMI'!$A:$W,MATCH($A$1,'DB Country PMI'!$A$1:$W$1,),)=0,#N/A,VLOOKUP(A79,'DB Country PMI'!$A:$W,MATCH($A$1,'DB Country PMI'!$A$1:$W$1,),))</f>
        <v>53.3</v>
      </c>
      <c r="C79" s="14">
        <f>Table13468113456789[[#This Row],[PMI]]-B78</f>
        <v>2.2999999999999972</v>
      </c>
    </row>
    <row r="80" spans="1:3" x14ac:dyDescent="0.35">
      <c r="A80" s="8">
        <v>42705</v>
      </c>
      <c r="B80" s="11">
        <f>IF(VLOOKUP(A80,'DB Country PMI'!$A:$W,MATCH($A$1,'DB Country PMI'!$A$1:$W$1,),)=0,#N/A,VLOOKUP(A80,'DB Country PMI'!$A:$W,MATCH($A$1,'DB Country PMI'!$A$1:$W$1,),))</f>
        <v>52.3</v>
      </c>
      <c r="C80" s="14">
        <f>Table13468113456789[[#This Row],[PMI]]-B79</f>
        <v>-1</v>
      </c>
    </row>
    <row r="81" spans="1:3" x14ac:dyDescent="0.35">
      <c r="A81" s="8">
        <v>42736</v>
      </c>
      <c r="B81" s="11">
        <f>IF(VLOOKUP(A81,'DB Country PMI'!$A:$W,MATCH($A$1,'DB Country PMI'!$A$1:$W$1,),)=0,#N/A,VLOOKUP(A81,'DB Country PMI'!$A:$W,MATCH($A$1,'DB Country PMI'!$A$1:$W$1,),))</f>
        <v>52.4</v>
      </c>
      <c r="C81" s="14">
        <f>Table13468113456789[[#This Row],[PMI]]-B80</f>
        <v>0.10000000000000142</v>
      </c>
    </row>
    <row r="82" spans="1:3" x14ac:dyDescent="0.35">
      <c r="A82" s="8">
        <v>42767</v>
      </c>
      <c r="B82" s="11">
        <f>IF(VLOOKUP(A82,'DB Country PMI'!$A:$W,MATCH($A$1,'DB Country PMI'!$A$1:$W$1,),)=0,#N/A,VLOOKUP(A82,'DB Country PMI'!$A:$W,MATCH($A$1,'DB Country PMI'!$A$1:$W$1,),))</f>
        <v>54.1</v>
      </c>
      <c r="C82" s="14">
        <f>Table13468113456789[[#This Row],[PMI]]-B81</f>
        <v>1.7000000000000028</v>
      </c>
    </row>
    <row r="83" spans="1:3" x14ac:dyDescent="0.35">
      <c r="A83" s="8">
        <v>42795</v>
      </c>
      <c r="B83" s="11">
        <f>IF(VLOOKUP(A83,'DB Country PMI'!$A:$W,MATCH($A$1,'DB Country PMI'!$A$1:$W$1,),)=0,#N/A,VLOOKUP(A83,'DB Country PMI'!$A:$W,MATCH($A$1,'DB Country PMI'!$A$1:$W$1,),))</f>
        <v>52.9</v>
      </c>
      <c r="C83" s="14">
        <f>Table13468113456789[[#This Row],[PMI]]-B82</f>
        <v>-1.2000000000000028</v>
      </c>
    </row>
    <row r="84" spans="1:3" x14ac:dyDescent="0.35">
      <c r="A84" s="8">
        <v>42826</v>
      </c>
      <c r="B84" s="11">
        <f>IF(VLOOKUP(A84,'DB Country PMI'!$A:$W,MATCH($A$1,'DB Country PMI'!$A$1:$W$1,),)=0,#N/A,VLOOKUP(A84,'DB Country PMI'!$A:$W,MATCH($A$1,'DB Country PMI'!$A$1:$W$1,),))</f>
        <v>56.2</v>
      </c>
      <c r="C84" s="14">
        <f>Table13468113456789[[#This Row],[PMI]]-B83</f>
        <v>3.3000000000000043</v>
      </c>
    </row>
    <row r="85" spans="1:3" x14ac:dyDescent="0.35">
      <c r="A85" s="8">
        <v>42856</v>
      </c>
      <c r="B85" s="11">
        <f>IF(VLOOKUP(A85,'DB Country PMI'!$A:$W,MATCH($A$1,'DB Country PMI'!$A$1:$W$1,),)=0,#N/A,VLOOKUP(A85,'DB Country PMI'!$A:$W,MATCH($A$1,'DB Country PMI'!$A$1:$W$1,),))</f>
        <v>55.1</v>
      </c>
      <c r="C85" s="14">
        <f>Table13468113456789[[#This Row],[PMI]]-B84</f>
        <v>-1.1000000000000014</v>
      </c>
    </row>
    <row r="86" spans="1:3" x14ac:dyDescent="0.35">
      <c r="A86" s="8">
        <v>42887</v>
      </c>
      <c r="B86" s="11">
        <f>IF(VLOOKUP(A86,'DB Country PMI'!$A:$W,MATCH($A$1,'DB Country PMI'!$A$1:$W$1,),)=0,#N/A,VLOOKUP(A86,'DB Country PMI'!$A:$W,MATCH($A$1,'DB Country PMI'!$A$1:$W$1,),))</f>
        <v>53.6</v>
      </c>
      <c r="C86" s="14">
        <f>Table13468113456789[[#This Row],[PMI]]-B85</f>
        <v>-1.5</v>
      </c>
    </row>
    <row r="87" spans="1:3" x14ac:dyDescent="0.35">
      <c r="A87" s="8">
        <v>42917</v>
      </c>
      <c r="B87" s="11">
        <f>IF(VLOOKUP(A87,'DB Country PMI'!$A:$W,MATCH($A$1,'DB Country PMI'!$A$1:$W$1,),)=0,#N/A,VLOOKUP(A87,'DB Country PMI'!$A:$W,MATCH($A$1,'DB Country PMI'!$A$1:$W$1,),))</f>
        <v>56.3</v>
      </c>
      <c r="C87" s="14">
        <f>Table13468113456789[[#This Row],[PMI]]-B86</f>
        <v>2.6999999999999957</v>
      </c>
    </row>
    <row r="88" spans="1:3" x14ac:dyDescent="0.35">
      <c r="A88" s="8">
        <v>42948</v>
      </c>
      <c r="B88" s="11">
        <f>IF(VLOOKUP(A88,'DB Country PMI'!$A:$W,MATCH($A$1,'DB Country PMI'!$A$1:$W$1,),)=0,#N/A,VLOOKUP(A88,'DB Country PMI'!$A:$W,MATCH($A$1,'DB Country PMI'!$A$1:$W$1,),))</f>
        <v>55.1</v>
      </c>
      <c r="C88" s="14">
        <f>Table13468113456789[[#This Row],[PMI]]-B87</f>
        <v>-1.1999999999999957</v>
      </c>
    </row>
    <row r="89" spans="1:3" x14ac:dyDescent="0.35">
      <c r="A89" s="8">
        <v>42979</v>
      </c>
      <c r="B89" s="11">
        <f>IF(VLOOKUP(A89,'DB Country PMI'!$A:$W,MATCH($A$1,'DB Country PMI'!$A$1:$W$1,),)=0,#N/A,VLOOKUP(A89,'DB Country PMI'!$A:$W,MATCH($A$1,'DB Country PMI'!$A$1:$W$1,),))</f>
        <v>53.2</v>
      </c>
      <c r="C89" s="14">
        <f>Table13468113456789[[#This Row],[PMI]]-B88</f>
        <v>-1.8999999999999986</v>
      </c>
    </row>
    <row r="90" spans="1:3" x14ac:dyDescent="0.35">
      <c r="A90" s="8">
        <v>43009</v>
      </c>
      <c r="B90" s="11">
        <f>IF(VLOOKUP(A90,'DB Country PMI'!$A:$W,MATCH($A$1,'DB Country PMI'!$A$1:$W$1,),)=0,#N/A,VLOOKUP(A90,'DB Country PMI'!$A:$W,MATCH($A$1,'DB Country PMI'!$A$1:$W$1,),))</f>
        <v>52.1</v>
      </c>
      <c r="C90" s="14">
        <f>Table13468113456789[[#This Row],[PMI]]-B89</f>
        <v>-1.1000000000000014</v>
      </c>
    </row>
    <row r="91" spans="1:3" x14ac:dyDescent="0.35">
      <c r="A91" s="8">
        <v>43040</v>
      </c>
      <c r="B91" s="11">
        <f>IF(VLOOKUP(A91,'DB Country PMI'!$A:$W,MATCH($A$1,'DB Country PMI'!$A$1:$W$1,),)=0,#N/A,VLOOKUP(A91,'DB Country PMI'!$A:$W,MATCH($A$1,'DB Country PMI'!$A$1:$W$1,),))</f>
        <v>54.7</v>
      </c>
      <c r="C91" s="14">
        <f>Table13468113456789[[#This Row],[PMI]]-B90</f>
        <v>2.6000000000000014</v>
      </c>
    </row>
    <row r="92" spans="1:3" x14ac:dyDescent="0.35">
      <c r="A92" s="8">
        <v>43070</v>
      </c>
      <c r="B92" s="11">
        <f>IF(VLOOKUP(A92,'DB Country PMI'!$A:$W,MATCH($A$1,'DB Country PMI'!$A$1:$W$1,),)=0,#N/A,VLOOKUP(A92,'DB Country PMI'!$A:$W,MATCH($A$1,'DB Country PMI'!$A$1:$W$1,),))</f>
        <v>55.4</v>
      </c>
      <c r="C92" s="14">
        <f>Table13468113456789[[#This Row],[PMI]]-B91</f>
        <v>0.69999999999999574</v>
      </c>
    </row>
    <row r="93" spans="1:3" x14ac:dyDescent="0.35">
      <c r="A93" s="8">
        <v>43101</v>
      </c>
      <c r="B93" s="11">
        <f>IF(VLOOKUP(A93,'DB Country PMI'!$A:$W,MATCH($A$1,'DB Country PMI'!$A$1:$W$1,),)=0,#N/A,VLOOKUP(A93,'DB Country PMI'!$A:$W,MATCH($A$1,'DB Country PMI'!$A$1:$W$1,),))</f>
        <v>57.7</v>
      </c>
      <c r="C93" s="14">
        <f>Table13468113456789[[#This Row],[PMI]]-B92</f>
        <v>2.3000000000000043</v>
      </c>
    </row>
    <row r="94" spans="1:3" x14ac:dyDescent="0.35">
      <c r="A94" s="8">
        <v>43132</v>
      </c>
      <c r="B94" s="11">
        <f>IF(VLOOKUP(A94,'DB Country PMI'!$A:$W,MATCH($A$1,'DB Country PMI'!$A$1:$W$1,),)=0,#N/A,VLOOKUP(A94,'DB Country PMI'!$A:$W,MATCH($A$1,'DB Country PMI'!$A$1:$W$1,),))</f>
        <v>55</v>
      </c>
      <c r="C94" s="14">
        <f>Table13468113456789[[#This Row],[PMI]]-B93</f>
        <v>-2.7000000000000028</v>
      </c>
    </row>
    <row r="95" spans="1:3" x14ac:dyDescent="0.35">
      <c r="A95" s="8">
        <v>43160</v>
      </c>
      <c r="B95" s="11">
        <f>IF(VLOOKUP(A95,'DB Country PMI'!$A:$W,MATCH($A$1,'DB Country PMI'!$A$1:$W$1,),)=0,#N/A,VLOOKUP(A95,'DB Country PMI'!$A:$W,MATCH($A$1,'DB Country PMI'!$A$1:$W$1,),))</f>
        <v>52.6</v>
      </c>
      <c r="C95" s="14">
        <f>Table13468113456789[[#This Row],[PMI]]-B94</f>
        <v>-2.3999999999999986</v>
      </c>
    </row>
    <row r="96" spans="1:3" x14ac:dyDescent="0.35">
      <c r="A96" s="8">
        <v>43191</v>
      </c>
      <c r="B96" s="11">
        <f>IF(VLOOKUP(A96,'DB Country PMI'!$A:$W,MATCH($A$1,'DB Country PMI'!$A$1:$W$1,),)=0,#N/A,VLOOKUP(A96,'DB Country PMI'!$A:$W,MATCH($A$1,'DB Country PMI'!$A$1:$W$1,),))</f>
        <v>52.6</v>
      </c>
      <c r="C96" s="14">
        <f>Table13468113456789[[#This Row],[PMI]]-B95</f>
        <v>0</v>
      </c>
    </row>
    <row r="97" spans="1:3" x14ac:dyDescent="0.35">
      <c r="A97" s="8">
        <v>43221</v>
      </c>
      <c r="B97" s="11">
        <f>IF(VLOOKUP(A97,'DB Country PMI'!$A:$W,MATCH($A$1,'DB Country PMI'!$A$1:$W$1,),)=0,#N/A,VLOOKUP(A97,'DB Country PMI'!$A:$W,MATCH($A$1,'DB Country PMI'!$A$1:$W$1,),))</f>
        <v>53.1</v>
      </c>
      <c r="C97" s="14">
        <f>Table13468113456789[[#This Row],[PMI]]-B96</f>
        <v>0.5</v>
      </c>
    </row>
    <row r="98" spans="1:3" x14ac:dyDescent="0.35">
      <c r="A98" s="8">
        <v>43252</v>
      </c>
      <c r="B98" s="11">
        <f>IF(VLOOKUP(A98,'DB Country PMI'!$A:$W,MATCH($A$1,'DB Country PMI'!$A$1:$W$1,),)=0,#N/A,VLOOKUP(A98,'DB Country PMI'!$A:$W,MATCH($A$1,'DB Country PMI'!$A$1:$W$1,),))</f>
        <v>54.3</v>
      </c>
      <c r="C98" s="14">
        <f>Table13468113456789[[#This Row],[PMI]]-B97</f>
        <v>1.1999999999999957</v>
      </c>
    </row>
    <row r="99" spans="1:3" x14ac:dyDescent="0.35">
      <c r="A99" s="8">
        <v>43282</v>
      </c>
      <c r="B99" s="11">
        <f>IF(VLOOKUP(A99,'DB Country PMI'!$A:$W,MATCH($A$1,'DB Country PMI'!$A$1:$W$1,),)=0,#N/A,VLOOKUP(A99,'DB Country PMI'!$A:$W,MATCH($A$1,'DB Country PMI'!$A$1:$W$1,),))</f>
        <v>54</v>
      </c>
      <c r="C99" s="14">
        <f>Table13468113456789[[#This Row],[PMI]]-B98</f>
        <v>-0.29999999999999716</v>
      </c>
    </row>
    <row r="100" spans="1:3" x14ac:dyDescent="0.35">
      <c r="A100" s="8">
        <v>43313</v>
      </c>
      <c r="B100" s="11">
        <f>IF(VLOOKUP(A100,'DB Country PMI'!$A:$W,MATCH($A$1,'DB Country PMI'!$A$1:$W$1,),)=0,#N/A,VLOOKUP(A100,'DB Country PMI'!$A:$W,MATCH($A$1,'DB Country PMI'!$A$1:$W$1,),))</f>
        <v>52.6</v>
      </c>
      <c r="C100" s="14">
        <f>Table13468113456789[[#This Row],[PMI]]-B99</f>
        <v>-1.3999999999999986</v>
      </c>
    </row>
    <row r="101" spans="1:3" x14ac:dyDescent="0.35">
      <c r="A101" s="8">
        <v>43344</v>
      </c>
      <c r="B101" s="11">
        <f>IF(VLOOKUP(A101,'DB Country PMI'!$A:$W,MATCH($A$1,'DB Country PMI'!$A$1:$W$1,),)=0,#N/A,VLOOKUP(A101,'DB Country PMI'!$A:$W,MATCH($A$1,'DB Country PMI'!$A$1:$W$1,),))</f>
        <v>53.3</v>
      </c>
      <c r="C101" s="14">
        <f>Table13468113456789[[#This Row],[PMI]]-B100</f>
        <v>0.69999999999999574</v>
      </c>
    </row>
    <row r="102" spans="1:3" x14ac:dyDescent="0.35">
      <c r="A102" s="8">
        <v>43374</v>
      </c>
      <c r="B102" s="11">
        <f>IF(VLOOKUP(A102,'DB Country PMI'!$A:$W,MATCH($A$1,'DB Country PMI'!$A$1:$W$1,),)=0,#N/A,VLOOKUP(A102,'DB Country PMI'!$A:$W,MATCH($A$1,'DB Country PMI'!$A$1:$W$1,),))</f>
        <v>49.2</v>
      </c>
      <c r="C102" s="14">
        <f>Table13468113456789[[#This Row],[PMI]]-B101</f>
        <v>-4.0999999999999943</v>
      </c>
    </row>
    <row r="103" spans="1:3" x14ac:dyDescent="0.35">
      <c r="A103" s="8">
        <v>43405</v>
      </c>
      <c r="B103" s="11">
        <f>IF(VLOOKUP(A103,'DB Country PMI'!$A:$W,MATCH($A$1,'DB Country PMI'!$A$1:$W$1,),)=0,#N/A,VLOOKUP(A103,'DB Country PMI'!$A:$W,MATCH($A$1,'DB Country PMI'!$A$1:$W$1,),))</f>
        <v>50.3</v>
      </c>
      <c r="C103" s="14">
        <f>Table13468113456789[[#This Row],[PMI]]-B102</f>
        <v>1.0999999999999943</v>
      </c>
    </row>
    <row r="104" spans="1:3" x14ac:dyDescent="0.35">
      <c r="A104" s="8">
        <v>43435</v>
      </c>
      <c r="B104" s="11">
        <f>IF(VLOOKUP(A104,'DB Country PMI'!$A:$W,MATCH($A$1,'DB Country PMI'!$A$1:$W$1,),)=0,#N/A,VLOOKUP(A104,'DB Country PMI'!$A:$W,MATCH($A$1,'DB Country PMI'!$A$1:$W$1,),))</f>
        <v>50.5</v>
      </c>
      <c r="C104" s="14">
        <f>Table13468113456789[[#This Row],[PMI]]-B103</f>
        <v>0.20000000000000284</v>
      </c>
    </row>
    <row r="105" spans="1:3" x14ac:dyDescent="0.35">
      <c r="A105" s="8">
        <v>43466</v>
      </c>
      <c r="B105" s="11">
        <f>IF(VLOOKUP(A105,'DB Country PMI'!$A:$W,MATCH($A$1,'DB Country PMI'!$A$1:$W$1,),)=0,#N/A,VLOOKUP(A105,'DB Country PMI'!$A:$W,MATCH($A$1,'DB Country PMI'!$A$1:$W$1,),))</f>
        <v>49.7</v>
      </c>
      <c r="C105" s="14">
        <f>Table13468113456789[[#This Row],[PMI]]-B104</f>
        <v>-0.79999999999999716</v>
      </c>
    </row>
    <row r="106" spans="1:3" x14ac:dyDescent="0.35">
      <c r="A106" s="8">
        <v>43497</v>
      </c>
      <c r="B106" s="11">
        <f>IF(VLOOKUP(A106,'DB Country PMI'!$A:$W,MATCH($A$1,'DB Country PMI'!$A$1:$W$1,),)=0,#N/A,VLOOKUP(A106,'DB Country PMI'!$A:$W,MATCH($A$1,'DB Country PMI'!$A$1:$W$1,),))</f>
        <v>50.4</v>
      </c>
      <c r="C106" s="14">
        <f>Table13468113456789[[#This Row],[PMI]]-B105</f>
        <v>0.69999999999999574</v>
      </c>
    </row>
    <row r="107" spans="1:3" x14ac:dyDescent="0.35">
      <c r="A107" s="8">
        <v>43525</v>
      </c>
      <c r="B107" s="11">
        <f>IF(VLOOKUP(A107,'DB Country PMI'!$A:$W,MATCH($A$1,'DB Country PMI'!$A$1:$W$1,),)=0,#N/A,VLOOKUP(A107,'DB Country PMI'!$A:$W,MATCH($A$1,'DB Country PMI'!$A$1:$W$1,),))</f>
        <v>53.1</v>
      </c>
      <c r="C107" s="14">
        <f>Table13468113456789[[#This Row],[PMI]]-B106</f>
        <v>2.7000000000000028</v>
      </c>
    </row>
    <row r="108" spans="1:3" x14ac:dyDescent="0.35">
      <c r="A108" s="8">
        <v>43556</v>
      </c>
      <c r="B108" s="11">
        <f>IF(VLOOKUP(A108,'DB Country PMI'!$A:$W,MATCH($A$1,'DB Country PMI'!$A$1:$W$1,),)=0,#N/A,VLOOKUP(A108,'DB Country PMI'!$A:$W,MATCH($A$1,'DB Country PMI'!$A$1:$W$1,),))</f>
        <v>50.4</v>
      </c>
      <c r="C108" s="14">
        <f>Table13468113456789[[#This Row],[PMI]]-B107</f>
        <v>-2.7000000000000028</v>
      </c>
    </row>
    <row r="109" spans="1:3" x14ac:dyDescent="0.35">
      <c r="A109" s="8">
        <v>43586</v>
      </c>
      <c r="B109" s="11">
        <f>IF(VLOOKUP(A109,'DB Country PMI'!$A:$W,MATCH($A$1,'DB Country PMI'!$A$1:$W$1,),)=0,#N/A,VLOOKUP(A109,'DB Country PMI'!$A:$W,MATCH($A$1,'DB Country PMI'!$A$1:$W$1,),))</f>
        <v>50</v>
      </c>
      <c r="C109" s="14">
        <f>Table13468113456789[[#This Row],[PMI]]-B108</f>
        <v>-0.39999999999999858</v>
      </c>
    </row>
    <row r="110" spans="1:3" x14ac:dyDescent="0.35">
      <c r="A110" s="8">
        <v>43617</v>
      </c>
      <c r="B110" s="11">
        <f>IF(VLOOKUP(A110,'DB Country PMI'!$A:$W,MATCH($A$1,'DB Country PMI'!$A$1:$W$1,),)=0,#N/A,VLOOKUP(A110,'DB Country PMI'!$A:$W,MATCH($A$1,'DB Country PMI'!$A$1:$W$1,),))</f>
        <v>50.5</v>
      </c>
      <c r="C110" s="14">
        <f>Table13468113456789[[#This Row],[PMI]]-B109</f>
        <v>0.5</v>
      </c>
    </row>
    <row r="111" spans="1:3" x14ac:dyDescent="0.35">
      <c r="A111" s="8">
        <v>43647</v>
      </c>
      <c r="B111" s="11">
        <f>IF(VLOOKUP(A111,'DB Country PMI'!$A:$W,MATCH($A$1,'DB Country PMI'!$A$1:$W$1,),)=0,#N/A,VLOOKUP(A111,'DB Country PMI'!$A:$W,MATCH($A$1,'DB Country PMI'!$A$1:$W$1,),))</f>
        <v>51.7</v>
      </c>
      <c r="C111" s="14">
        <f>Table13468113456789[[#This Row],[PMI]]-B110</f>
        <v>1.2000000000000028</v>
      </c>
    </row>
    <row r="112" spans="1:3" x14ac:dyDescent="0.35">
      <c r="A112" s="8">
        <v>43678</v>
      </c>
      <c r="B112" s="11">
        <f>IF(VLOOKUP(A112,'DB Country PMI'!$A:$W,MATCH($A$1,'DB Country PMI'!$A$1:$W$1,),)=0,#N/A,VLOOKUP(A112,'DB Country PMI'!$A:$W,MATCH($A$1,'DB Country PMI'!$A$1:$W$1,),))</f>
        <v>50.6</v>
      </c>
      <c r="C112" s="14">
        <f>Table13468113456789[[#This Row],[PMI]]-B111</f>
        <v>-1.1000000000000014</v>
      </c>
    </row>
    <row r="113" spans="1:3" x14ac:dyDescent="0.35">
      <c r="A113" s="8">
        <v>43709</v>
      </c>
      <c r="B113" s="11">
        <f>IF(VLOOKUP(A113,'DB Country PMI'!$A:$W,MATCH($A$1,'DB Country PMI'!$A$1:$W$1,),)=0,#N/A,VLOOKUP(A113,'DB Country PMI'!$A:$W,MATCH($A$1,'DB Country PMI'!$A$1:$W$1,),))</f>
        <v>51.4</v>
      </c>
      <c r="C113" s="14">
        <f>Table13468113456789[[#This Row],[PMI]]-B112</f>
        <v>0.79999999999999716</v>
      </c>
    </row>
    <row r="114" spans="1:3" x14ac:dyDescent="0.35">
      <c r="A114" s="8">
        <v>43739</v>
      </c>
      <c r="B114" s="11">
        <f>IF(VLOOKUP(A114,'DB Country PMI'!$A:$W,MATCH($A$1,'DB Country PMI'!$A$1:$W$1,),)=0,#N/A,VLOOKUP(A114,'DB Country PMI'!$A:$W,MATCH($A$1,'DB Country PMI'!$A$1:$W$1,),))</f>
        <v>52.2</v>
      </c>
      <c r="C114" s="14">
        <f>Table13468113456789[[#This Row],[PMI]]-B113</f>
        <v>0.80000000000000426</v>
      </c>
    </row>
    <row r="115" spans="1:3" x14ac:dyDescent="0.35">
      <c r="A115" s="8">
        <v>43770</v>
      </c>
      <c r="B115" s="11">
        <f>IF(VLOOKUP(A115,'DB Country PMI'!$A:$W,MATCH($A$1,'DB Country PMI'!$A$1:$W$1,),)=0,#N/A,VLOOKUP(A115,'DB Country PMI'!$A:$W,MATCH($A$1,'DB Country PMI'!$A$1:$W$1,),))</f>
        <v>50.4</v>
      </c>
      <c r="C115" s="14">
        <f>Table13468113456789[[#This Row],[PMI]]-B114</f>
        <v>-1.8000000000000043</v>
      </c>
    </row>
    <row r="116" spans="1:3" x14ac:dyDescent="0.35">
      <c r="A116" s="8">
        <v>43800</v>
      </c>
      <c r="B116" s="11">
        <f>IF(VLOOKUP(A116,'DB Country PMI'!$A:$W,MATCH($A$1,'DB Country PMI'!$A$1:$W$1,),)=0,#N/A,VLOOKUP(A116,'DB Country PMI'!$A:$W,MATCH($A$1,'DB Country PMI'!$A$1:$W$1,),))</f>
        <v>51.1</v>
      </c>
      <c r="C116" s="14">
        <f>Table13468113456789[[#This Row],[PMI]]-B115</f>
        <v>0.70000000000000284</v>
      </c>
    </row>
    <row r="117" spans="1:3" x14ac:dyDescent="0.35">
      <c r="A117" s="8">
        <v>43831</v>
      </c>
      <c r="B117" s="11">
        <f>IF(VLOOKUP(A117,'DB Country PMI'!$A:$W,MATCH($A$1,'DB Country PMI'!$A$1:$W$1,),)=0,#N/A,VLOOKUP(A117,'DB Country PMI'!$A:$W,MATCH($A$1,'DB Country PMI'!$A$1:$W$1,),))</f>
        <v>51.4</v>
      </c>
      <c r="C117" s="14">
        <f>Table13468113456789[[#This Row],[PMI]]-B116</f>
        <v>0.29999999999999716</v>
      </c>
    </row>
    <row r="118" spans="1:3" x14ac:dyDescent="0.35">
      <c r="A118" s="8">
        <v>43862</v>
      </c>
      <c r="B118" s="11">
        <f>IF(VLOOKUP(A118,'DB Country PMI'!$A:$W,MATCH($A$1,'DB Country PMI'!$A$1:$W$1,),)=0,#N/A,VLOOKUP(A118,'DB Country PMI'!$A:$W,MATCH($A$1,'DB Country PMI'!$A$1:$W$1,),))</f>
        <v>52.1</v>
      </c>
      <c r="C118" s="14">
        <f>Table13468113456789[[#This Row],[PMI]]-B117</f>
        <v>0.70000000000000284</v>
      </c>
    </row>
    <row r="119" spans="1:3" x14ac:dyDescent="0.35">
      <c r="A119" s="8">
        <v>43891</v>
      </c>
      <c r="B119" s="11">
        <f>IF(VLOOKUP(A119,'DB Country PMI'!$A:$W,MATCH($A$1,'DB Country PMI'!$A$1:$W$1,),)=0,#N/A,VLOOKUP(A119,'DB Country PMI'!$A:$W,MATCH($A$1,'DB Country PMI'!$A$1:$W$1,),))</f>
        <v>17.399999999999999</v>
      </c>
      <c r="C119" s="14">
        <f>Table13468113456789[[#This Row],[PMI]]-B118</f>
        <v>-34.700000000000003</v>
      </c>
    </row>
    <row r="120" spans="1:3" x14ac:dyDescent="0.35">
      <c r="A120" s="8">
        <v>43922</v>
      </c>
      <c r="B120" s="11">
        <f>IF(VLOOKUP(A120,'DB Country PMI'!$A:$W,MATCH($A$1,'DB Country PMI'!$A$1:$W$1,),)=0,#N/A,VLOOKUP(A120,'DB Country PMI'!$A:$W,MATCH($A$1,'DB Country PMI'!$A$1:$W$1,),))</f>
        <v>10.8</v>
      </c>
      <c r="C120" s="14">
        <f>Table13468113456789[[#This Row],[PMI]]-B119</f>
        <v>-6.5999999999999979</v>
      </c>
    </row>
    <row r="121" spans="1:3" x14ac:dyDescent="0.35">
      <c r="A121" s="8">
        <v>43952</v>
      </c>
      <c r="B121" s="11">
        <f>IF(VLOOKUP(A121,'DB Country PMI'!$A:$W,MATCH($A$1,'DB Country PMI'!$A$1:$W$1,),)=0,#N/A,VLOOKUP(A121,'DB Country PMI'!$A:$W,MATCH($A$1,'DB Country PMI'!$A$1:$W$1,),))</f>
        <v>28.9</v>
      </c>
      <c r="C121" s="14">
        <f>Table13468113456789[[#This Row],[PMI]]-B120</f>
        <v>18.099999999999998</v>
      </c>
    </row>
    <row r="122" spans="1:3" x14ac:dyDescent="0.35">
      <c r="A122" s="8">
        <v>43983</v>
      </c>
      <c r="B122" s="11">
        <f>IF(VLOOKUP(A122,'DB Country PMI'!$A:$W,MATCH($A$1,'DB Country PMI'!$A$1:$W$1,),)=0,#N/A,VLOOKUP(A122,'DB Country PMI'!$A:$W,MATCH($A$1,'DB Country PMI'!$A$1:$W$1,),))</f>
        <v>46.4</v>
      </c>
      <c r="C122" s="14">
        <f>Table13468113456789[[#This Row],[PMI]]-B121</f>
        <v>17.5</v>
      </c>
    </row>
    <row r="123" spans="1:3" x14ac:dyDescent="0.35">
      <c r="A123" s="8">
        <v>44013</v>
      </c>
      <c r="B123" s="11">
        <f>IF(VLOOKUP(A123,'DB Country PMI'!$A:$W,MATCH($A$1,'DB Country PMI'!$A$1:$W$1,),)=0,#N/A,VLOOKUP(A123,'DB Country PMI'!$A:$W,MATCH($A$1,'DB Country PMI'!$A$1:$W$1,),))</f>
        <v>51.6</v>
      </c>
      <c r="C123" s="14">
        <f>Table13468113456789[[#This Row],[PMI]]-B122</f>
        <v>5.2000000000000028</v>
      </c>
    </row>
    <row r="124" spans="1:3" x14ac:dyDescent="0.35">
      <c r="A124" s="8">
        <v>44044</v>
      </c>
      <c r="B124" s="11">
        <f>IF(VLOOKUP(A124,'DB Country PMI'!$A:$W,MATCH($A$1,'DB Country PMI'!$A$1:$W$1,),)=0,#N/A,VLOOKUP(A124,'DB Country PMI'!$A:$W,MATCH($A$1,'DB Country PMI'!$A$1:$W$1,),))</f>
        <v>47.1</v>
      </c>
      <c r="C124" s="14">
        <f>Table13468113456789[[#This Row],[PMI]]-B123</f>
        <v>-4.5</v>
      </c>
    </row>
    <row r="125" spans="1:3" x14ac:dyDescent="0.35">
      <c r="A125" s="8">
        <v>44075</v>
      </c>
      <c r="B125" s="11">
        <f>IF(VLOOKUP(A125,'DB Country PMI'!$A:$W,MATCH($A$1,'DB Country PMI'!$A$1:$W$1,),)=0,#N/A,VLOOKUP(A125,'DB Country PMI'!$A:$W,MATCH($A$1,'DB Country PMI'!$A$1:$W$1,),))</f>
        <v>48.8</v>
      </c>
      <c r="C125" s="14">
        <f>Table13468113456789[[#This Row],[PMI]]-B124</f>
        <v>1.6999999999999957</v>
      </c>
    </row>
    <row r="126" spans="1:3" x14ac:dyDescent="0.35">
      <c r="A126" s="8">
        <v>44105</v>
      </c>
      <c r="B126" s="11">
        <f>IF(VLOOKUP(A126,'DB Country PMI'!$A:$W,MATCH($A$1,'DB Country PMI'!$A$1:$W$1,),)=0,#N/A,VLOOKUP(A126,'DB Country PMI'!$A:$W,MATCH($A$1,'DB Country PMI'!$A$1:$W$1,),))</f>
        <v>46.7</v>
      </c>
      <c r="C126" s="14">
        <f>Table13468113456789[[#This Row],[PMI]]-B125</f>
        <v>-2.0999999999999943</v>
      </c>
    </row>
    <row r="127" spans="1:3" x14ac:dyDescent="0.35">
      <c r="A127" s="8">
        <v>44136</v>
      </c>
      <c r="B127" s="11">
        <f>IF(VLOOKUP(A127,'DB Country PMI'!$A:$W,MATCH($A$1,'DB Country PMI'!$A$1:$W$1,),)=0,#N/A,VLOOKUP(A127,'DB Country PMI'!$A:$W,MATCH($A$1,'DB Country PMI'!$A$1:$W$1,),))</f>
        <v>39.4</v>
      </c>
      <c r="C127" s="14">
        <f>Table13468113456789[[#This Row],[PMI]]-B126</f>
        <v>-7.3000000000000043</v>
      </c>
    </row>
    <row r="128" spans="1:3" x14ac:dyDescent="0.35">
      <c r="A128" s="8">
        <v>44166</v>
      </c>
      <c r="B128" s="11">
        <f>IF(VLOOKUP(A128,'DB Country PMI'!$A:$W,MATCH($A$1,'DB Country PMI'!$A$1:$W$1,),)=0,#N/A,VLOOKUP(A128,'DB Country PMI'!$A:$W,MATCH($A$1,'DB Country PMI'!$A$1:$W$1,),))</f>
        <v>39.700000000000003</v>
      </c>
      <c r="C128" s="14">
        <f>Table13468113456789[[#This Row],[PMI]]-B127</f>
        <v>0.30000000000000426</v>
      </c>
    </row>
    <row r="129" spans="1:3" x14ac:dyDescent="0.35">
      <c r="A129" s="8">
        <v>44197</v>
      </c>
      <c r="B129" s="11">
        <f>IF(VLOOKUP(A129,'DB Country PMI'!$A:$W,MATCH($A$1,'DB Country PMI'!$A$1:$W$1,),)=0,#N/A,VLOOKUP(A129,'DB Country PMI'!$A:$W,MATCH($A$1,'DB Country PMI'!$A$1:$W$1,),))</f>
        <v>44.7</v>
      </c>
      <c r="C129" s="14">
        <f>Table13468113456789[[#This Row],[PMI]]-B128</f>
        <v>5</v>
      </c>
    </row>
    <row r="130" spans="1:3" x14ac:dyDescent="0.35">
      <c r="A130" s="8">
        <v>44228</v>
      </c>
      <c r="B130" s="11">
        <f>IF(VLOOKUP(A130,'DB Country PMI'!$A:$W,MATCH($A$1,'DB Country PMI'!$A$1:$W$1,),)=0,#N/A,VLOOKUP(A130,'DB Country PMI'!$A:$W,MATCH($A$1,'DB Country PMI'!$A$1:$W$1,),))</f>
        <v>48.8</v>
      </c>
      <c r="C130" s="14">
        <f>Table13468113456789[[#This Row],[PMI]]-B129</f>
        <v>4.0999999999999943</v>
      </c>
    </row>
    <row r="131" spans="1:3" x14ac:dyDescent="0.35">
      <c r="A131" s="8">
        <v>44256</v>
      </c>
      <c r="B131" s="11">
        <f>IF(VLOOKUP(A131,'DB Country PMI'!$A:$W,MATCH($A$1,'DB Country PMI'!$A$1:$W$1,),)=0,#N/A,VLOOKUP(A131,'DB Country PMI'!$A:$W,MATCH($A$1,'DB Country PMI'!$A$1:$W$1,),))</f>
        <v>48.6</v>
      </c>
      <c r="C131" s="14">
        <f>Table13468113456789[[#This Row],[PMI]]-B130</f>
        <v>-0.19999999999999574</v>
      </c>
    </row>
    <row r="132" spans="1:3" x14ac:dyDescent="0.35">
      <c r="A132" s="8">
        <v>44287</v>
      </c>
      <c r="B132" s="11">
        <f>IF(VLOOKUP(A132,'DB Country PMI'!$A:$W,MATCH($A$1,'DB Country PMI'!$A$1:$W$1,),)=0,#N/A,VLOOKUP(A132,'DB Country PMI'!$A:$W,MATCH($A$1,'DB Country PMI'!$A$1:$W$1,),))</f>
        <v>47.3</v>
      </c>
      <c r="C132" s="14">
        <f>Table13468113456789[[#This Row],[PMI]]-B131</f>
        <v>-1.3000000000000043</v>
      </c>
    </row>
    <row r="133" spans="1:3" x14ac:dyDescent="0.35">
      <c r="A133" s="8">
        <v>44317</v>
      </c>
      <c r="B133" s="11">
        <f>IF(VLOOKUP(A133,'DB Country PMI'!$A:$W,MATCH($A$1,'DB Country PMI'!$A$1:$W$1,),)=0,#N/A,VLOOKUP(A133,'DB Country PMI'!$A:$W,MATCH($A$1,'DB Country PMI'!$A$1:$W$1,),))</f>
        <v>53.1</v>
      </c>
      <c r="C133" s="14">
        <f>Table13468113456789[[#This Row],[PMI]]-B132</f>
        <v>5.8000000000000043</v>
      </c>
    </row>
    <row r="134" spans="1:3" x14ac:dyDescent="0.35">
      <c r="A134" s="8">
        <v>44348</v>
      </c>
      <c r="B134" s="11">
        <f>IF(VLOOKUP(A134,'DB Country PMI'!$A:$W,MATCH($A$1,'DB Country PMI'!$A$1:$W$1,),)=0,#N/A,VLOOKUP(A134,'DB Country PMI'!$A:$W,MATCH($A$1,'DB Country PMI'!$A$1:$W$1,),))</f>
        <v>56.8</v>
      </c>
      <c r="C134" s="14">
        <f>Table13468113456789[[#This Row],[PMI]]-B133</f>
        <v>3.6999999999999957</v>
      </c>
    </row>
    <row r="135" spans="1:3" x14ac:dyDescent="0.35">
      <c r="A135" s="8">
        <v>44378</v>
      </c>
      <c r="B135" s="11">
        <f>IF(VLOOKUP(A135,'DB Country PMI'!$A:$W,MATCH($A$1,'DB Country PMI'!$A$1:$W$1,),)=0,#N/A,VLOOKUP(A135,'DB Country PMI'!$A:$W,MATCH($A$1,'DB Country PMI'!$A$1:$W$1,),))</f>
        <v>58</v>
      </c>
      <c r="C135" s="14">
        <f>Table13468113456789[[#This Row],[PMI]]-B134</f>
        <v>1.2000000000000028</v>
      </c>
    </row>
    <row r="136" spans="1:3" x14ac:dyDescent="0.35">
      <c r="A136" s="8">
        <v>44409</v>
      </c>
      <c r="B136" s="11">
        <f>IF(VLOOKUP(A136,'DB Country PMI'!$A:$W,MATCH($A$1,'DB Country PMI'!$A$1:$W$1,),)=0,#N/A,VLOOKUP(A136,'DB Country PMI'!$A:$W,MATCH($A$1,'DB Country PMI'!$A$1:$W$1,),))</f>
        <v>58</v>
      </c>
      <c r="C136" s="14">
        <f>Table13468113456789[[#This Row],[PMI]]-B135</f>
        <v>0</v>
      </c>
    </row>
    <row r="137" spans="1:3" x14ac:dyDescent="0.35">
      <c r="A137" s="8">
        <v>44440</v>
      </c>
      <c r="B137" s="11">
        <f>IF(VLOOKUP(A137,'DB Country PMI'!$A:$W,MATCH($A$1,'DB Country PMI'!$A$1:$W$1,),)=0,#N/A,VLOOKUP(A137,'DB Country PMI'!$A:$W,MATCH($A$1,'DB Country PMI'!$A$1:$W$1,),))</f>
        <v>55.5</v>
      </c>
      <c r="C137" s="14">
        <f>Table13468113456789[[#This Row],[PMI]]-B136</f>
        <v>-2.5</v>
      </c>
    </row>
    <row r="138" spans="1:3" x14ac:dyDescent="0.35">
      <c r="A138" s="8">
        <v>44470</v>
      </c>
      <c r="B138" s="11">
        <f>IF(VLOOKUP(A138,'DB Country PMI'!$A:$W,MATCH($A$1,'DB Country PMI'!$A$1:$W$1,),)=0,#N/A,VLOOKUP(A138,'DB Country PMI'!$A:$W,MATCH($A$1,'DB Country PMI'!$A$1:$W$1,),))</f>
        <v>52.4</v>
      </c>
      <c r="C138" s="14">
        <f>Table13468113456789[[#This Row],[PMI]]-B137</f>
        <v>-3.1000000000000014</v>
      </c>
    </row>
    <row r="139" spans="1:3" x14ac:dyDescent="0.35">
      <c r="A139" s="8">
        <v>44501</v>
      </c>
      <c r="B139" s="11">
        <f>IF(VLOOKUP(A139,'DB Country PMI'!$A:$W,MATCH($A$1,'DB Country PMI'!$A$1:$W$1,),)=0,#N/A,VLOOKUP(A139,'DB Country PMI'!$A:$W,MATCH($A$1,'DB Country PMI'!$A$1:$W$1,),))</f>
        <v>55.9</v>
      </c>
      <c r="C139" s="14">
        <f>Table13468113456789[[#This Row],[PMI]]-B138</f>
        <v>3.5</v>
      </c>
    </row>
    <row r="140" spans="1:3" x14ac:dyDescent="0.35">
      <c r="A140" s="8">
        <v>44531</v>
      </c>
      <c r="B140" s="11">
        <f>IF(VLOOKUP(A140,'DB Country PMI'!$A:$W,MATCH($A$1,'DB Country PMI'!$A$1:$W$1,),)=0,#N/A,VLOOKUP(A140,'DB Country PMI'!$A:$W,MATCH($A$1,'DB Country PMI'!$A$1:$W$1,),))</f>
        <v>53</v>
      </c>
      <c r="C140" s="14">
        <f>Table13468113456789[[#This Row],[PMI]]-B139</f>
        <v>-2.8999999999999986</v>
      </c>
    </row>
    <row r="141" spans="1:3" x14ac:dyDescent="0.35">
      <c r="A141" s="8">
        <v>44562</v>
      </c>
      <c r="B141" s="11">
        <f>IF(VLOOKUP(A141,'DB Country PMI'!$A:$W,MATCH($A$1,'DB Country PMI'!$A$1:$W$1,),)=0,#N/A,VLOOKUP(A141,'DB Country PMI'!$A:$W,MATCH($A$1,'DB Country PMI'!$A$1:$W$1,),))</f>
        <v>48.5</v>
      </c>
      <c r="C141" s="14">
        <f>Table13468113456789[[#This Row],[PMI]]-B140</f>
        <v>-4.5</v>
      </c>
    </row>
    <row r="142" spans="1:3" x14ac:dyDescent="0.35">
      <c r="A142" s="8">
        <v>44593</v>
      </c>
      <c r="B142" s="11">
        <f>IF(VLOOKUP(A142,'DB Country PMI'!$A:$W,MATCH($A$1,'DB Country PMI'!$A$1:$W$1,),)=0,#N/A,VLOOKUP(A142,'DB Country PMI'!$A:$W,MATCH($A$1,'DB Country PMI'!$A$1:$W$1,),))</f>
        <v>52.8</v>
      </c>
      <c r="C142" s="14">
        <f>Table13468113456789[[#This Row],[PMI]]-B141</f>
        <v>4.2999999999999972</v>
      </c>
    </row>
    <row r="143" spans="1:3" x14ac:dyDescent="0.35">
      <c r="A143" s="8">
        <v>44621</v>
      </c>
      <c r="B143" s="11">
        <f>IF(VLOOKUP(A143,'DB Country PMI'!$A:$W,MATCH($A$1,'DB Country PMI'!$A$1:$W$1,),)=0,#N/A,VLOOKUP(A143,'DB Country PMI'!$A:$W,MATCH($A$1,'DB Country PMI'!$A$1:$W$1,),))</f>
        <v>52.1</v>
      </c>
      <c r="C143" s="14">
        <f>Table13468113456789[[#This Row],[PMI]]-B142</f>
        <v>-0.69999999999999574</v>
      </c>
    </row>
    <row r="144" spans="1:3" x14ac:dyDescent="0.35">
      <c r="A144" s="8">
        <v>44652</v>
      </c>
      <c r="B144" s="11">
        <f>IF(VLOOKUP(A144,'DB Country PMI'!$A:$W,MATCH($A$1,'DB Country PMI'!$A$1:$W$1,),)=0,#N/A,VLOOKUP(A144,'DB Country PMI'!$A:$W,MATCH($A$1,'DB Country PMI'!$A$1:$W$1,),))</f>
        <v>55.7</v>
      </c>
      <c r="C144" s="14">
        <f>Table13468113456789[[#This Row],[PMI]]-B143</f>
        <v>3.6000000000000014</v>
      </c>
    </row>
    <row r="145" spans="1:3" x14ac:dyDescent="0.35">
      <c r="A145" s="8">
        <v>44682</v>
      </c>
      <c r="B145" s="11">
        <f>IF(VLOOKUP(A145,'DB Country PMI'!$A:$W,MATCH($A$1,'DB Country PMI'!$A$1:$W$1,),)=0,#N/A,VLOOKUP(A145,'DB Country PMI'!$A:$W,MATCH($A$1,'DB Country PMI'!$A$1:$W$1,),))</f>
        <v>53.7</v>
      </c>
      <c r="C145" s="14">
        <f>Table13468113456789[[#This Row],[PMI]]-B144</f>
        <v>-2</v>
      </c>
    </row>
    <row r="146" spans="1:3" x14ac:dyDescent="0.35">
      <c r="A146" s="8">
        <v>44713</v>
      </c>
      <c r="B146" s="11">
        <f>IF(VLOOKUP(A146,'DB Country PMI'!$A:$W,MATCH($A$1,'DB Country PMI'!$A$1:$W$1,),)=0,#N/A,VLOOKUP(A146,'DB Country PMI'!$A:$W,MATCH($A$1,'DB Country PMI'!$A$1:$W$1,),))</f>
        <v>51.6</v>
      </c>
      <c r="C146" s="14">
        <f>Table13468113456789[[#This Row],[PMI]]-B145</f>
        <v>-2.1000000000000014</v>
      </c>
    </row>
    <row r="147" spans="1:3" x14ac:dyDescent="0.35">
      <c r="A147" s="8">
        <v>44743</v>
      </c>
      <c r="B147" s="11">
        <f>IF(VLOOKUP(A147,'DB Country PMI'!$A:$W,MATCH($A$1,'DB Country PMI'!$A$1:$W$1,),)=0,#N/A,VLOOKUP(A147,'DB Country PMI'!$A:$W,MATCH($A$1,'DB Country PMI'!$A$1:$W$1,),))</f>
        <v>48.4</v>
      </c>
      <c r="C147" s="14">
        <f>Table13468113456789[[#This Row],[PMI]]-B146</f>
        <v>-3.2000000000000028</v>
      </c>
    </row>
    <row r="148" spans="1:3" x14ac:dyDescent="0.35">
      <c r="A148" s="8">
        <v>44774</v>
      </c>
      <c r="B148" s="11">
        <f>IF(VLOOKUP(A148,'DB Country PMI'!$A:$W,MATCH($A$1,'DB Country PMI'!$A$1:$W$1,),)=0,#N/A,VLOOKUP(A148,'DB Country PMI'!$A:$W,MATCH($A$1,'DB Country PMI'!$A$1:$W$1,),))</f>
        <v>50.5</v>
      </c>
      <c r="C148" s="14">
        <f>Table13468113456789[[#This Row],[PMI]]-B147</f>
        <v>2.1000000000000014</v>
      </c>
    </row>
    <row r="149" spans="1:3" x14ac:dyDescent="0.35">
      <c r="A149" s="8">
        <v>44805</v>
      </c>
      <c r="B149" s="11">
        <f>IF(VLOOKUP(A149,'DB Country PMI'!$A:$W,MATCH($A$1,'DB Country PMI'!$A$1:$W$1,),)=0,#N/A,VLOOKUP(A149,'DB Country PMI'!$A:$W,MATCH($A$1,'DB Country PMI'!$A$1:$W$1,),))</f>
        <v>48.8</v>
      </c>
      <c r="C149" s="14">
        <f>Table13468113456789[[#This Row],[PMI]]-B148</f>
        <v>-1.7000000000000028</v>
      </c>
    </row>
    <row r="150" spans="1:3" x14ac:dyDescent="0.35">
      <c r="A150" s="8">
        <v>44835</v>
      </c>
      <c r="B150" s="11">
        <f>IF(VLOOKUP(A150,'DB Country PMI'!$A:$W,MATCH($A$1,'DB Country PMI'!$A$1:$W$1,),)=0,#N/A,VLOOKUP(A150,'DB Country PMI'!$A:$W,MATCH($A$1,'DB Country PMI'!$A$1:$W$1,),))</f>
        <v>46.4</v>
      </c>
      <c r="C150" s="14">
        <f>Table13468113456789[[#This Row],[PMI]]-B149</f>
        <v>-2.3999999999999986</v>
      </c>
    </row>
    <row r="151" spans="1:3" x14ac:dyDescent="0.35">
      <c r="A151" s="8">
        <v>44866</v>
      </c>
      <c r="B151" s="11">
        <f>IF(VLOOKUP(A151,'DB Country PMI'!$A:$W,MATCH($A$1,'DB Country PMI'!$A$1:$W$1,),)=0,#N/A,VLOOKUP(A151,'DB Country PMI'!$A:$W,MATCH($A$1,'DB Country PMI'!$A$1:$W$1,),))</f>
        <v>49.5</v>
      </c>
      <c r="C151" s="14">
        <f>Table13468113456789[[#This Row],[PMI]]-B150</f>
        <v>3.1000000000000014</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1"/>
  <sheetViews>
    <sheetView zoomScale="150" zoomScaleNormal="150" workbookViewId="0">
      <pane ySplit="5" topLeftCell="A134" activePane="bottomLeft" state="frozen"/>
      <selection pane="bottomLeft" activeCell="A140" sqref="A140: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37</v>
      </c>
      <c r="J1" s="47" t="s">
        <v>62</v>
      </c>
    </row>
    <row r="2" spans="1:10" x14ac:dyDescent="0.35">
      <c r="J2" s="47" t="s">
        <v>73</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47.2</v>
      </c>
      <c r="C6" s="11"/>
    </row>
    <row r="7" spans="1:10" x14ac:dyDescent="0.35">
      <c r="A7" s="8">
        <v>40483</v>
      </c>
      <c r="B7" s="11">
        <f>IF(VLOOKUP(A7,'DB Country PMI'!$A:$W,MATCH($A$1,'DB Country PMI'!$A$1:$W$1,),)=0,#N/A,VLOOKUP(A7,'DB Country PMI'!$A:$W,MATCH($A$1,'DB Country PMI'!$A$1:$W$1,),))</f>
        <v>49.5</v>
      </c>
      <c r="C7" s="14">
        <f>Table13468113456710[[#This Row],[PMI]]-B6</f>
        <v>2.2999999999999972</v>
      </c>
    </row>
    <row r="8" spans="1:10" x14ac:dyDescent="0.35">
      <c r="A8" s="8">
        <v>40513</v>
      </c>
      <c r="B8" s="11">
        <f>IF(VLOOKUP(A8,'DB Country PMI'!$A:$W,MATCH($A$1,'DB Country PMI'!$A$1:$W$1,),)=0,#N/A,VLOOKUP(A8,'DB Country PMI'!$A:$W,MATCH($A$1,'DB Country PMI'!$A$1:$W$1,),))</f>
        <v>50.1</v>
      </c>
      <c r="C8" s="14">
        <f>Table13468113456710[[#This Row],[PMI]]-B7</f>
        <v>0.60000000000000142</v>
      </c>
    </row>
    <row r="9" spans="1:10" x14ac:dyDescent="0.35">
      <c r="A9" s="8">
        <v>40544</v>
      </c>
      <c r="B9" s="11">
        <f>IF(VLOOKUP(A9,'DB Country PMI'!$A:$W,MATCH($A$1,'DB Country PMI'!$A$1:$W$1,),)=0,#N/A,VLOOKUP(A9,'DB Country PMI'!$A:$W,MATCH($A$1,'DB Country PMI'!$A$1:$W$1,),))</f>
        <v>48.1</v>
      </c>
      <c r="C9" s="14">
        <f>Table13468113456710[[#This Row],[PMI]]-B8</f>
        <v>-2</v>
      </c>
    </row>
    <row r="10" spans="1:10" x14ac:dyDescent="0.35">
      <c r="A10" s="8">
        <v>40575</v>
      </c>
      <c r="B10" s="11">
        <f>IF(VLOOKUP(A10,'DB Country PMI'!$A:$W,MATCH($A$1,'DB Country PMI'!$A$1:$W$1,),)=0,#N/A,VLOOKUP(A10,'DB Country PMI'!$A:$W,MATCH($A$1,'DB Country PMI'!$A$1:$W$1,),))</f>
        <v>49.8</v>
      </c>
      <c r="C10" s="14">
        <f>Table13468113456710[[#This Row],[PMI]]-B9</f>
        <v>1.6999999999999957</v>
      </c>
    </row>
    <row r="11" spans="1:10" x14ac:dyDescent="0.35">
      <c r="A11" s="8">
        <v>40603</v>
      </c>
      <c r="B11" s="11">
        <f>IF(VLOOKUP(A11,'DB Country PMI'!$A:$W,MATCH($A$1,'DB Country PMI'!$A$1:$W$1,),)=0,#N/A,VLOOKUP(A11,'DB Country PMI'!$A:$W,MATCH($A$1,'DB Country PMI'!$A$1:$W$1,),))</f>
        <v>35.299999999999997</v>
      </c>
      <c r="C11" s="14">
        <f>Table13468113456710[[#This Row],[PMI]]-B10</f>
        <v>-14.5</v>
      </c>
    </row>
    <row r="12" spans="1:10" x14ac:dyDescent="0.35">
      <c r="A12" s="8">
        <v>40634</v>
      </c>
      <c r="B12" s="11">
        <f>IF(VLOOKUP(A12,'DB Country PMI'!$A:$W,MATCH($A$1,'DB Country PMI'!$A$1:$W$1,),)=0,#N/A,VLOOKUP(A12,'DB Country PMI'!$A:$W,MATCH($A$1,'DB Country PMI'!$A$1:$W$1,),))</f>
        <v>35</v>
      </c>
      <c r="C12" s="14">
        <f>Table13468113456710[[#This Row],[PMI]]-B11</f>
        <v>-0.29999999999999716</v>
      </c>
    </row>
    <row r="13" spans="1:10" x14ac:dyDescent="0.35">
      <c r="A13" s="8">
        <v>40664</v>
      </c>
      <c r="B13" s="11">
        <f>IF(VLOOKUP(A13,'DB Country PMI'!$A:$W,MATCH($A$1,'DB Country PMI'!$A$1:$W$1,),)=0,#N/A,VLOOKUP(A13,'DB Country PMI'!$A:$W,MATCH($A$1,'DB Country PMI'!$A$1:$W$1,),))</f>
        <v>43.8</v>
      </c>
      <c r="C13" s="14">
        <f>Table13468113456710[[#This Row],[PMI]]-B12</f>
        <v>8.7999999999999972</v>
      </c>
    </row>
    <row r="14" spans="1:10" x14ac:dyDescent="0.35">
      <c r="A14" s="8">
        <v>40695</v>
      </c>
      <c r="B14" s="11">
        <f>IF(VLOOKUP(A14,'DB Country PMI'!$A:$W,MATCH($A$1,'DB Country PMI'!$A$1:$W$1,),)=0,#N/A,VLOOKUP(A14,'DB Country PMI'!$A:$W,MATCH($A$1,'DB Country PMI'!$A$1:$W$1,),))</f>
        <v>45.4</v>
      </c>
      <c r="C14" s="14">
        <f>Table13468113456710[[#This Row],[PMI]]-B13</f>
        <v>1.6000000000000014</v>
      </c>
    </row>
    <row r="15" spans="1:10" x14ac:dyDescent="0.35">
      <c r="A15" s="8">
        <v>40725</v>
      </c>
      <c r="B15" s="11">
        <f>IF(VLOOKUP(A15,'DB Country PMI'!$A:$W,MATCH($A$1,'DB Country PMI'!$A$1:$W$1,),)=0,#N/A,VLOOKUP(A15,'DB Country PMI'!$A:$W,MATCH($A$1,'DB Country PMI'!$A$1:$W$1,),))</f>
        <v>45.3</v>
      </c>
      <c r="C15" s="14">
        <f>Table13468113456710[[#This Row],[PMI]]-B14</f>
        <v>-0.10000000000000142</v>
      </c>
    </row>
    <row r="16" spans="1:10" x14ac:dyDescent="0.35">
      <c r="A16" s="8">
        <v>40756</v>
      </c>
      <c r="B16" s="11">
        <f>IF(VLOOKUP(A16,'DB Country PMI'!$A:$W,MATCH($A$1,'DB Country PMI'!$A$1:$W$1,),)=0,#N/A,VLOOKUP(A16,'DB Country PMI'!$A:$W,MATCH($A$1,'DB Country PMI'!$A$1:$W$1,),))</f>
        <v>44.1</v>
      </c>
      <c r="C16" s="14">
        <f>Table13468113456710[[#This Row],[PMI]]-B15</f>
        <v>-1.1999999999999957</v>
      </c>
    </row>
    <row r="17" spans="1:3" x14ac:dyDescent="0.35">
      <c r="A17" s="8">
        <v>40787</v>
      </c>
      <c r="B17" s="11">
        <f>IF(VLOOKUP(A17,'DB Country PMI'!$A:$W,MATCH($A$1,'DB Country PMI'!$A$1:$W$1,),)=0,#N/A,VLOOKUP(A17,'DB Country PMI'!$A:$W,MATCH($A$1,'DB Country PMI'!$A$1:$W$1,),))</f>
        <v>46.4</v>
      </c>
      <c r="C17" s="14">
        <f>Table13468113456710[[#This Row],[PMI]]-B16</f>
        <v>2.2999999999999972</v>
      </c>
    </row>
    <row r="18" spans="1:3" x14ac:dyDescent="0.35">
      <c r="A18" s="8">
        <v>40817</v>
      </c>
      <c r="B18" s="11">
        <f>IF(VLOOKUP(A18,'DB Country PMI'!$A:$W,MATCH($A$1,'DB Country PMI'!$A$1:$W$1,),)=0,#N/A,VLOOKUP(A18,'DB Country PMI'!$A:$W,MATCH($A$1,'DB Country PMI'!$A$1:$W$1,),))</f>
        <v>52.3</v>
      </c>
      <c r="C18" s="14">
        <f>Table13468113456710[[#This Row],[PMI]]-B17</f>
        <v>5.8999999999999986</v>
      </c>
    </row>
    <row r="19" spans="1:3" x14ac:dyDescent="0.35">
      <c r="A19" s="8">
        <v>40848</v>
      </c>
      <c r="B19" s="11">
        <f>IF(VLOOKUP(A19,'DB Country PMI'!$A:$W,MATCH($A$1,'DB Country PMI'!$A$1:$W$1,),)=0,#N/A,VLOOKUP(A19,'DB Country PMI'!$A:$W,MATCH($A$1,'DB Country PMI'!$A$1:$W$1,),))</f>
        <v>49.5</v>
      </c>
      <c r="C19" s="14">
        <f>Table13468113456710[[#This Row],[PMI]]-B18</f>
        <v>-2.7999999999999972</v>
      </c>
    </row>
    <row r="20" spans="1:3" x14ac:dyDescent="0.35">
      <c r="A20" s="8">
        <v>40878</v>
      </c>
      <c r="B20" s="11">
        <f>IF(VLOOKUP(A20,'DB Country PMI'!$A:$W,MATCH($A$1,'DB Country PMI'!$A$1:$W$1,),)=0,#N/A,VLOOKUP(A20,'DB Country PMI'!$A:$W,MATCH($A$1,'DB Country PMI'!$A$1:$W$1,),))</f>
        <v>50.4</v>
      </c>
      <c r="C20" s="14">
        <f>Table13468113456710[[#This Row],[PMI]]-B19</f>
        <v>0.89999999999999858</v>
      </c>
    </row>
    <row r="21" spans="1:3" x14ac:dyDescent="0.35">
      <c r="A21" s="8">
        <v>40909</v>
      </c>
      <c r="B21" s="11">
        <f>IF(VLOOKUP(A21,'DB Country PMI'!$A:$W,MATCH($A$1,'DB Country PMI'!$A$1:$W$1,),)=0,#N/A,VLOOKUP(A21,'DB Country PMI'!$A:$W,MATCH($A$1,'DB Country PMI'!$A$1:$W$1,),))</f>
        <v>51</v>
      </c>
      <c r="C21" s="14">
        <f>Table13468113456710[[#This Row],[PMI]]-B20</f>
        <v>0.60000000000000142</v>
      </c>
    </row>
    <row r="22" spans="1:3" x14ac:dyDescent="0.35">
      <c r="A22" s="8">
        <v>40940</v>
      </c>
      <c r="B22" s="11">
        <f>IF(VLOOKUP(A22,'DB Country PMI'!$A:$W,MATCH($A$1,'DB Country PMI'!$A$1:$W$1,),)=0,#N/A,VLOOKUP(A22,'DB Country PMI'!$A:$W,MATCH($A$1,'DB Country PMI'!$A$1:$W$1,),))</f>
        <v>51.2</v>
      </c>
      <c r="C22" s="14">
        <f>Table13468113456710[[#This Row],[PMI]]-B21</f>
        <v>0.20000000000000284</v>
      </c>
    </row>
    <row r="23" spans="1:3" x14ac:dyDescent="0.35">
      <c r="A23" s="8">
        <v>40969</v>
      </c>
      <c r="B23" s="11">
        <f>IF(VLOOKUP(A23,'DB Country PMI'!$A:$W,MATCH($A$1,'DB Country PMI'!$A$1:$W$1,),)=0,#N/A,VLOOKUP(A23,'DB Country PMI'!$A:$W,MATCH($A$1,'DB Country PMI'!$A$1:$W$1,),))</f>
        <v>53.7</v>
      </c>
      <c r="C23" s="14">
        <f>Table13468113456710[[#This Row],[PMI]]-B22</f>
        <v>2.5</v>
      </c>
    </row>
    <row r="24" spans="1:3" x14ac:dyDescent="0.35">
      <c r="A24" s="8">
        <v>41000</v>
      </c>
      <c r="B24" s="11">
        <f>IF(VLOOKUP(A24,'DB Country PMI'!$A:$W,MATCH($A$1,'DB Country PMI'!$A$1:$W$1,),)=0,#N/A,VLOOKUP(A24,'DB Country PMI'!$A:$W,MATCH($A$1,'DB Country PMI'!$A$1:$W$1,),))</f>
        <v>51</v>
      </c>
      <c r="C24" s="14">
        <f>Table13468113456710[[#This Row],[PMI]]-B23</f>
        <v>-2.7000000000000028</v>
      </c>
    </row>
    <row r="25" spans="1:3" x14ac:dyDescent="0.35">
      <c r="A25" s="8">
        <v>41030</v>
      </c>
      <c r="B25" s="11">
        <f>IF(VLOOKUP(A25,'DB Country PMI'!$A:$W,MATCH($A$1,'DB Country PMI'!$A$1:$W$1,),)=0,#N/A,VLOOKUP(A25,'DB Country PMI'!$A:$W,MATCH($A$1,'DB Country PMI'!$A$1:$W$1,),))</f>
        <v>50.5</v>
      </c>
      <c r="C25" s="14">
        <f>Table13468113456710[[#This Row],[PMI]]-B24</f>
        <v>-0.5</v>
      </c>
    </row>
    <row r="26" spans="1:3" x14ac:dyDescent="0.35">
      <c r="A26" s="8">
        <v>41061</v>
      </c>
      <c r="B26" s="11">
        <f>IF(VLOOKUP(A26,'DB Country PMI'!$A:$W,MATCH($A$1,'DB Country PMI'!$A$1:$W$1,),)=0,#N/A,VLOOKUP(A26,'DB Country PMI'!$A:$W,MATCH($A$1,'DB Country PMI'!$A$1:$W$1,),))</f>
        <v>49.5</v>
      </c>
      <c r="C26" s="14">
        <f>Table13468113456710[[#This Row],[PMI]]-B25</f>
        <v>-1</v>
      </c>
    </row>
    <row r="27" spans="1:3" x14ac:dyDescent="0.35">
      <c r="A27" s="8">
        <v>41091</v>
      </c>
      <c r="B27" s="11">
        <f>IF(VLOOKUP(A27,'DB Country PMI'!$A:$W,MATCH($A$1,'DB Country PMI'!$A$1:$W$1,),)=0,#N/A,VLOOKUP(A27,'DB Country PMI'!$A:$W,MATCH($A$1,'DB Country PMI'!$A$1:$W$1,),))</f>
        <v>48.7</v>
      </c>
      <c r="C27" s="14">
        <f>Table13468113456710[[#This Row],[PMI]]-B26</f>
        <v>-0.79999999999999716</v>
      </c>
    </row>
    <row r="28" spans="1:3" x14ac:dyDescent="0.35">
      <c r="A28" s="8">
        <v>41122</v>
      </c>
      <c r="B28" s="11">
        <f>IF(VLOOKUP(A28,'DB Country PMI'!$A:$W,MATCH($A$1,'DB Country PMI'!$A$1:$W$1,),)=0,#N/A,VLOOKUP(A28,'DB Country PMI'!$A:$W,MATCH($A$1,'DB Country PMI'!$A$1:$W$1,),))</f>
        <v>47.5</v>
      </c>
      <c r="C28" s="14">
        <f>Table13468113456710[[#This Row],[PMI]]-B27</f>
        <v>-1.2000000000000028</v>
      </c>
    </row>
    <row r="29" spans="1:3" x14ac:dyDescent="0.35">
      <c r="A29" s="8">
        <v>41153</v>
      </c>
      <c r="B29" s="11">
        <f>IF(VLOOKUP(A29,'DB Country PMI'!$A:$W,MATCH($A$1,'DB Country PMI'!$A$1:$W$1,),)=0,#N/A,VLOOKUP(A29,'DB Country PMI'!$A:$W,MATCH($A$1,'DB Country PMI'!$A$1:$W$1,),))</f>
        <v>48.8</v>
      </c>
      <c r="C29" s="14">
        <f>Table13468113456710[[#This Row],[PMI]]-B28</f>
        <v>1.2999999999999972</v>
      </c>
    </row>
    <row r="30" spans="1:3" x14ac:dyDescent="0.35">
      <c r="A30" s="8">
        <v>41183</v>
      </c>
      <c r="B30" s="11">
        <f>IF(VLOOKUP(A30,'DB Country PMI'!$A:$W,MATCH($A$1,'DB Country PMI'!$A$1:$W$1,),)=0,#N/A,VLOOKUP(A30,'DB Country PMI'!$A:$W,MATCH($A$1,'DB Country PMI'!$A$1:$W$1,),))</f>
        <v>49.7</v>
      </c>
      <c r="C30" s="14">
        <f>Table13468113456710[[#This Row],[PMI]]-B29</f>
        <v>0.90000000000000568</v>
      </c>
    </row>
    <row r="31" spans="1:3" x14ac:dyDescent="0.35">
      <c r="A31" s="8">
        <v>41214</v>
      </c>
      <c r="B31" s="11">
        <f>IF(VLOOKUP(A31,'DB Country PMI'!$A:$W,MATCH($A$1,'DB Country PMI'!$A$1:$W$1,),)=0,#N/A,VLOOKUP(A31,'DB Country PMI'!$A:$W,MATCH($A$1,'DB Country PMI'!$A$1:$W$1,),))</f>
        <v>49.1</v>
      </c>
      <c r="C31" s="14">
        <f>Table13468113456710[[#This Row],[PMI]]-B30</f>
        <v>-0.60000000000000142</v>
      </c>
    </row>
    <row r="32" spans="1:3" x14ac:dyDescent="0.35">
      <c r="A32" s="8">
        <v>41244</v>
      </c>
      <c r="B32" s="11">
        <f>IF(VLOOKUP(A32,'DB Country PMI'!$A:$W,MATCH($A$1,'DB Country PMI'!$A$1:$W$1,),)=0,#N/A,VLOOKUP(A32,'DB Country PMI'!$A:$W,MATCH($A$1,'DB Country PMI'!$A$1:$W$1,),))</f>
        <v>50.1</v>
      </c>
      <c r="C32" s="14">
        <f>Table13468113456710[[#This Row],[PMI]]-B31</f>
        <v>1</v>
      </c>
    </row>
    <row r="33" spans="1:3" x14ac:dyDescent="0.35">
      <c r="A33" s="8">
        <v>41275</v>
      </c>
      <c r="B33" s="11">
        <f>IF(VLOOKUP(A33,'DB Country PMI'!$A:$W,MATCH($A$1,'DB Country PMI'!$A$1:$W$1,),)=0,#N/A,VLOOKUP(A33,'DB Country PMI'!$A:$W,MATCH($A$1,'DB Country PMI'!$A$1:$W$1,),))</f>
        <v>50.4</v>
      </c>
      <c r="C33" s="14">
        <f>Table13468113456710[[#This Row],[PMI]]-B32</f>
        <v>0.29999999999999716</v>
      </c>
    </row>
    <row r="34" spans="1:3" x14ac:dyDescent="0.35">
      <c r="A34" s="8">
        <v>41306</v>
      </c>
      <c r="B34" s="11">
        <f>IF(VLOOKUP(A34,'DB Country PMI'!$A:$W,MATCH($A$1,'DB Country PMI'!$A$1:$W$1,),)=0,#N/A,VLOOKUP(A34,'DB Country PMI'!$A:$W,MATCH($A$1,'DB Country PMI'!$A$1:$W$1,),))</f>
        <v>51.3</v>
      </c>
      <c r="C34" s="14">
        <f>Table13468113456710[[#This Row],[PMI]]-B33</f>
        <v>0.89999999999999858</v>
      </c>
    </row>
    <row r="35" spans="1:3" x14ac:dyDescent="0.35">
      <c r="A35" s="8">
        <v>41334</v>
      </c>
      <c r="B35" s="11">
        <f>IF(VLOOKUP(A35,'DB Country PMI'!$A:$W,MATCH($A$1,'DB Country PMI'!$A$1:$W$1,),)=0,#N/A,VLOOKUP(A35,'DB Country PMI'!$A:$W,MATCH($A$1,'DB Country PMI'!$A$1:$W$1,),))</f>
        <v>53.4</v>
      </c>
      <c r="C35" s="14">
        <f>Table13468113456710[[#This Row],[PMI]]-B34</f>
        <v>2.1000000000000014</v>
      </c>
    </row>
    <row r="36" spans="1:3" x14ac:dyDescent="0.35">
      <c r="A36" s="8">
        <v>41365</v>
      </c>
      <c r="B36" s="11">
        <f>IF(VLOOKUP(A36,'DB Country PMI'!$A:$W,MATCH($A$1,'DB Country PMI'!$A$1:$W$1,),)=0,#N/A,VLOOKUP(A36,'DB Country PMI'!$A:$W,MATCH($A$1,'DB Country PMI'!$A$1:$W$1,),))</f>
        <v>52.5</v>
      </c>
      <c r="C36" s="14">
        <f>Table13468113456710[[#This Row],[PMI]]-B35</f>
        <v>-0.89999999999999858</v>
      </c>
    </row>
    <row r="37" spans="1:3" x14ac:dyDescent="0.35">
      <c r="A37" s="8">
        <v>41395</v>
      </c>
      <c r="B37" s="11">
        <f>IF(VLOOKUP(A37,'DB Country PMI'!$A:$W,MATCH($A$1,'DB Country PMI'!$A$1:$W$1,),)=0,#N/A,VLOOKUP(A37,'DB Country PMI'!$A:$W,MATCH($A$1,'DB Country PMI'!$A$1:$W$1,),))</f>
        <v>54.8</v>
      </c>
      <c r="C37" s="14">
        <f>Table13468113456710[[#This Row],[PMI]]-B36</f>
        <v>2.2999999999999972</v>
      </c>
    </row>
    <row r="38" spans="1:3" x14ac:dyDescent="0.35">
      <c r="A38" s="8">
        <v>41426</v>
      </c>
      <c r="B38" s="11">
        <f>IF(VLOOKUP(A38,'DB Country PMI'!$A:$W,MATCH($A$1,'DB Country PMI'!$A$1:$W$1,),)=0,#N/A,VLOOKUP(A38,'DB Country PMI'!$A:$W,MATCH($A$1,'DB Country PMI'!$A$1:$W$1,),))</f>
        <v>52.1</v>
      </c>
      <c r="C38" s="14">
        <f>Table13468113456710[[#This Row],[PMI]]-B37</f>
        <v>-2.6999999999999957</v>
      </c>
    </row>
    <row r="39" spans="1:3" x14ac:dyDescent="0.35">
      <c r="A39" s="8">
        <v>41456</v>
      </c>
      <c r="B39" s="11">
        <f>IF(VLOOKUP(A39,'DB Country PMI'!$A:$W,MATCH($A$1,'DB Country PMI'!$A$1:$W$1,),)=0,#N/A,VLOOKUP(A39,'DB Country PMI'!$A:$W,MATCH($A$1,'DB Country PMI'!$A$1:$W$1,),))</f>
        <v>50.6</v>
      </c>
      <c r="C39" s="14">
        <f>Table13468113456710[[#This Row],[PMI]]-B38</f>
        <v>-1.5</v>
      </c>
    </row>
    <row r="40" spans="1:3" x14ac:dyDescent="0.35">
      <c r="A40" s="8">
        <v>41487</v>
      </c>
      <c r="B40" s="11">
        <f>IF(VLOOKUP(A40,'DB Country PMI'!$A:$W,MATCH($A$1,'DB Country PMI'!$A$1:$W$1,),)=0,#N/A,VLOOKUP(A40,'DB Country PMI'!$A:$W,MATCH($A$1,'DB Country PMI'!$A$1:$W$1,),))</f>
        <v>51.2</v>
      </c>
      <c r="C40" s="14">
        <f>Table13468113456710[[#This Row],[PMI]]-B39</f>
        <v>0.60000000000000142</v>
      </c>
    </row>
    <row r="41" spans="1:3" x14ac:dyDescent="0.35">
      <c r="A41" s="8">
        <v>41518</v>
      </c>
      <c r="B41" s="11">
        <f>IF(VLOOKUP(A41,'DB Country PMI'!$A:$W,MATCH($A$1,'DB Country PMI'!$A$1:$W$1,),)=0,#N/A,VLOOKUP(A41,'DB Country PMI'!$A:$W,MATCH($A$1,'DB Country PMI'!$A$1:$W$1,),))</f>
        <v>53</v>
      </c>
      <c r="C41" s="14">
        <f>Table13468113456710[[#This Row],[PMI]]-B40</f>
        <v>1.7999999999999972</v>
      </c>
    </row>
    <row r="42" spans="1:3" x14ac:dyDescent="0.35">
      <c r="A42" s="8">
        <v>41548</v>
      </c>
      <c r="B42" s="11">
        <f>IF(VLOOKUP(A42,'DB Country PMI'!$A:$W,MATCH($A$1,'DB Country PMI'!$A$1:$W$1,),)=0,#N/A,VLOOKUP(A42,'DB Country PMI'!$A:$W,MATCH($A$1,'DB Country PMI'!$A$1:$W$1,),))</f>
        <v>55.3</v>
      </c>
      <c r="C42" s="14">
        <f>Table13468113456710[[#This Row],[PMI]]-B41</f>
        <v>2.2999999999999972</v>
      </c>
    </row>
    <row r="43" spans="1:3" x14ac:dyDescent="0.35">
      <c r="A43" s="8">
        <v>41579</v>
      </c>
      <c r="B43" s="11">
        <f>IF(VLOOKUP(A43,'DB Country PMI'!$A:$W,MATCH($A$1,'DB Country PMI'!$A$1:$W$1,),)=0,#N/A,VLOOKUP(A43,'DB Country PMI'!$A:$W,MATCH($A$1,'DB Country PMI'!$A$1:$W$1,),))</f>
        <v>51.8</v>
      </c>
      <c r="C43" s="14">
        <f>Table13468113456710[[#This Row],[PMI]]-B42</f>
        <v>-3.5</v>
      </c>
    </row>
    <row r="44" spans="1:3" x14ac:dyDescent="0.35">
      <c r="A44" s="8">
        <v>41609</v>
      </c>
      <c r="B44" s="11">
        <f>IF(VLOOKUP(A44,'DB Country PMI'!$A:$W,MATCH($A$1,'DB Country PMI'!$A$1:$W$1,),)=0,#N/A,VLOOKUP(A44,'DB Country PMI'!$A:$W,MATCH($A$1,'DB Country PMI'!$A$1:$W$1,),))</f>
        <v>52.1</v>
      </c>
      <c r="C44" s="14">
        <f>Table13468113456710[[#This Row],[PMI]]-B43</f>
        <v>0.30000000000000426</v>
      </c>
    </row>
    <row r="45" spans="1:3" x14ac:dyDescent="0.35">
      <c r="A45" s="8">
        <v>41640</v>
      </c>
      <c r="B45" s="11">
        <f>IF(VLOOKUP(A45,'DB Country PMI'!$A:$W,MATCH($A$1,'DB Country PMI'!$A$1:$W$1,),)=0,#N/A,VLOOKUP(A45,'DB Country PMI'!$A:$W,MATCH($A$1,'DB Country PMI'!$A$1:$W$1,),))</f>
        <v>51.2</v>
      </c>
      <c r="C45" s="14">
        <f>Table13468113456710[[#This Row],[PMI]]-B44</f>
        <v>-0.89999999999999858</v>
      </c>
    </row>
    <row r="46" spans="1:3" x14ac:dyDescent="0.35">
      <c r="A46" s="8">
        <v>41671</v>
      </c>
      <c r="B46" s="11">
        <f>IF(VLOOKUP(A46,'DB Country PMI'!$A:$W,MATCH($A$1,'DB Country PMI'!$A$1:$W$1,),)=0,#N/A,VLOOKUP(A46,'DB Country PMI'!$A:$W,MATCH($A$1,'DB Country PMI'!$A$1:$W$1,),))</f>
        <v>49.3</v>
      </c>
      <c r="C46" s="14">
        <f>Table13468113456710[[#This Row],[PMI]]-B45</f>
        <v>-1.9000000000000057</v>
      </c>
    </row>
    <row r="47" spans="1:3" x14ac:dyDescent="0.35">
      <c r="A47" s="8">
        <v>41699</v>
      </c>
      <c r="B47" s="11">
        <f>IF(VLOOKUP(A47,'DB Country PMI'!$A:$W,MATCH($A$1,'DB Country PMI'!$A$1:$W$1,),)=0,#N/A,VLOOKUP(A47,'DB Country PMI'!$A:$W,MATCH($A$1,'DB Country PMI'!$A$1:$W$1,),))</f>
        <v>52.2</v>
      </c>
      <c r="C47" s="14">
        <f>Table13468113456710[[#This Row],[PMI]]-B46</f>
        <v>2.9000000000000057</v>
      </c>
    </row>
    <row r="48" spans="1:3" x14ac:dyDescent="0.35">
      <c r="A48" s="8">
        <v>41730</v>
      </c>
      <c r="B48" s="11">
        <f>IF(VLOOKUP(A48,'DB Country PMI'!$A:$W,MATCH($A$1,'DB Country PMI'!$A$1:$W$1,),)=0,#N/A,VLOOKUP(A48,'DB Country PMI'!$A:$W,MATCH($A$1,'DB Country PMI'!$A$1:$W$1,),))</f>
        <v>46.4</v>
      </c>
      <c r="C48" s="14">
        <f>Table13468113456710[[#This Row],[PMI]]-B47</f>
        <v>-5.8000000000000043</v>
      </c>
    </row>
    <row r="49" spans="1:3" x14ac:dyDescent="0.35">
      <c r="A49" s="8">
        <v>41760</v>
      </c>
      <c r="B49" s="11">
        <f>IF(VLOOKUP(A49,'DB Country PMI'!$A:$W,MATCH($A$1,'DB Country PMI'!$A$1:$W$1,),)=0,#N/A,VLOOKUP(A49,'DB Country PMI'!$A:$W,MATCH($A$1,'DB Country PMI'!$A$1:$W$1,),))</f>
        <v>49.3</v>
      </c>
      <c r="C49" s="14">
        <f>Table13468113456710[[#This Row],[PMI]]-B48</f>
        <v>2.8999999999999986</v>
      </c>
    </row>
    <row r="50" spans="1:3" x14ac:dyDescent="0.35">
      <c r="A50" s="8">
        <v>41791</v>
      </c>
      <c r="B50" s="11">
        <f>IF(VLOOKUP(A50,'DB Country PMI'!$A:$W,MATCH($A$1,'DB Country PMI'!$A$1:$W$1,),)=0,#N/A,VLOOKUP(A50,'DB Country PMI'!$A:$W,MATCH($A$1,'DB Country PMI'!$A$1:$W$1,),))</f>
        <v>49</v>
      </c>
      <c r="C50" s="14">
        <f>Table13468113456710[[#This Row],[PMI]]-B49</f>
        <v>-0.29999999999999716</v>
      </c>
    </row>
    <row r="51" spans="1:3" x14ac:dyDescent="0.35">
      <c r="A51" s="8">
        <v>41821</v>
      </c>
      <c r="B51" s="11">
        <f>IF(VLOOKUP(A51,'DB Country PMI'!$A:$W,MATCH($A$1,'DB Country PMI'!$A$1:$W$1,),)=0,#N/A,VLOOKUP(A51,'DB Country PMI'!$A:$W,MATCH($A$1,'DB Country PMI'!$A$1:$W$1,),))</f>
        <v>50.4</v>
      </c>
      <c r="C51" s="14">
        <f>Table13468113456710[[#This Row],[PMI]]-B50</f>
        <v>1.3999999999999986</v>
      </c>
    </row>
    <row r="52" spans="1:3" x14ac:dyDescent="0.35">
      <c r="A52" s="8">
        <v>41852</v>
      </c>
      <c r="B52" s="11">
        <f>IF(VLOOKUP(A52,'DB Country PMI'!$A:$W,MATCH($A$1,'DB Country PMI'!$A$1:$W$1,),)=0,#N/A,VLOOKUP(A52,'DB Country PMI'!$A:$W,MATCH($A$1,'DB Country PMI'!$A$1:$W$1,),))</f>
        <v>49.9</v>
      </c>
      <c r="C52" s="14">
        <f>Table13468113456710[[#This Row],[PMI]]-B51</f>
        <v>-0.5</v>
      </c>
    </row>
    <row r="53" spans="1:3" x14ac:dyDescent="0.35">
      <c r="A53" s="8">
        <v>41883</v>
      </c>
      <c r="B53" s="11">
        <f>IF(VLOOKUP(A53,'DB Country PMI'!$A:$W,MATCH($A$1,'DB Country PMI'!$A$1:$W$1,),)=0,#N/A,VLOOKUP(A53,'DB Country PMI'!$A:$W,MATCH($A$1,'DB Country PMI'!$A$1:$W$1,),))</f>
        <v>52.5</v>
      </c>
      <c r="C53" s="14">
        <f>Table13468113456710[[#This Row],[PMI]]-B52</f>
        <v>2.6000000000000014</v>
      </c>
    </row>
    <row r="54" spans="1:3" x14ac:dyDescent="0.35">
      <c r="A54" s="8">
        <v>41913</v>
      </c>
      <c r="B54" s="11">
        <f>IF(VLOOKUP(A54,'DB Country PMI'!$A:$W,MATCH($A$1,'DB Country PMI'!$A$1:$W$1,),)=0,#N/A,VLOOKUP(A54,'DB Country PMI'!$A:$W,MATCH($A$1,'DB Country PMI'!$A$1:$W$1,),))</f>
        <v>48.7</v>
      </c>
      <c r="C54" s="14">
        <f>Table13468113456710[[#This Row],[PMI]]-B53</f>
        <v>-3.7999999999999972</v>
      </c>
    </row>
    <row r="55" spans="1:3" x14ac:dyDescent="0.35">
      <c r="A55" s="8">
        <v>41944</v>
      </c>
      <c r="B55" s="11">
        <f>IF(VLOOKUP(A55,'DB Country PMI'!$A:$W,MATCH($A$1,'DB Country PMI'!$A$1:$W$1,),)=0,#N/A,VLOOKUP(A55,'DB Country PMI'!$A:$W,MATCH($A$1,'DB Country PMI'!$A$1:$W$1,),))</f>
        <v>50.6</v>
      </c>
      <c r="C55" s="14">
        <f>Table13468113456710[[#This Row],[PMI]]-B54</f>
        <v>1.8999999999999986</v>
      </c>
    </row>
    <row r="56" spans="1:3" x14ac:dyDescent="0.35">
      <c r="A56" s="8">
        <v>41974</v>
      </c>
      <c r="B56" s="11">
        <f>IF(VLOOKUP(A56,'DB Country PMI'!$A:$W,MATCH($A$1,'DB Country PMI'!$A$1:$W$1,),)=0,#N/A,VLOOKUP(A56,'DB Country PMI'!$A:$W,MATCH($A$1,'DB Country PMI'!$A$1:$W$1,),))</f>
        <v>51.7</v>
      </c>
      <c r="C56" s="14">
        <f>Table13468113456710[[#This Row],[PMI]]-B55</f>
        <v>1.1000000000000014</v>
      </c>
    </row>
    <row r="57" spans="1:3" x14ac:dyDescent="0.35">
      <c r="A57" s="8">
        <v>42005</v>
      </c>
      <c r="B57" s="11">
        <f>IF(VLOOKUP(A57,'DB Country PMI'!$A:$W,MATCH($A$1,'DB Country PMI'!$A$1:$W$1,),)=0,#N/A,VLOOKUP(A57,'DB Country PMI'!$A:$W,MATCH($A$1,'DB Country PMI'!$A$1:$W$1,),))</f>
        <v>51.3</v>
      </c>
      <c r="C57" s="14">
        <f>Table13468113456710[[#This Row],[PMI]]-B56</f>
        <v>-0.40000000000000568</v>
      </c>
    </row>
    <row r="58" spans="1:3" x14ac:dyDescent="0.35">
      <c r="A58" s="8">
        <v>42036</v>
      </c>
      <c r="B58" s="11">
        <f>IF(VLOOKUP(A58,'DB Country PMI'!$A:$W,MATCH($A$1,'DB Country PMI'!$A$1:$W$1,),)=0,#N/A,VLOOKUP(A58,'DB Country PMI'!$A:$W,MATCH($A$1,'DB Country PMI'!$A$1:$W$1,),))</f>
        <v>48.5</v>
      </c>
      <c r="C58" s="14">
        <f>Table13468113456710[[#This Row],[PMI]]-B57</f>
        <v>-2.7999999999999972</v>
      </c>
    </row>
    <row r="59" spans="1:3" x14ac:dyDescent="0.35">
      <c r="A59" s="8">
        <v>42064</v>
      </c>
      <c r="B59" s="11">
        <f>IF(VLOOKUP(A59,'DB Country PMI'!$A:$W,MATCH($A$1,'DB Country PMI'!$A$1:$W$1,),)=0,#N/A,VLOOKUP(A59,'DB Country PMI'!$A:$W,MATCH($A$1,'DB Country PMI'!$A$1:$W$1,),))</f>
        <v>48.4</v>
      </c>
      <c r="C59" s="14">
        <f>Table13468113456710[[#This Row],[PMI]]-B58</f>
        <v>-0.10000000000000142</v>
      </c>
    </row>
    <row r="60" spans="1:3" x14ac:dyDescent="0.35">
      <c r="A60" s="8">
        <v>42095</v>
      </c>
      <c r="B60" s="11">
        <f>IF(VLOOKUP(A60,'DB Country PMI'!$A:$W,MATCH($A$1,'DB Country PMI'!$A$1:$W$1,),)=0,#N/A,VLOOKUP(A60,'DB Country PMI'!$A:$W,MATCH($A$1,'DB Country PMI'!$A$1:$W$1,),))</f>
        <v>51.3</v>
      </c>
      <c r="C60" s="14">
        <f>Table13468113456710[[#This Row],[PMI]]-B59</f>
        <v>2.8999999999999986</v>
      </c>
    </row>
    <row r="61" spans="1:3" x14ac:dyDescent="0.35">
      <c r="A61" s="8">
        <v>42125</v>
      </c>
      <c r="B61" s="11">
        <f>IF(VLOOKUP(A61,'DB Country PMI'!$A:$W,MATCH($A$1,'DB Country PMI'!$A$1:$W$1,),)=0,#N/A,VLOOKUP(A61,'DB Country PMI'!$A:$W,MATCH($A$1,'DB Country PMI'!$A$1:$W$1,),))</f>
        <v>51.5</v>
      </c>
      <c r="C61" s="14">
        <f>Table13468113456710[[#This Row],[PMI]]-B60</f>
        <v>0.20000000000000284</v>
      </c>
    </row>
    <row r="62" spans="1:3" x14ac:dyDescent="0.35">
      <c r="A62" s="8">
        <v>42156</v>
      </c>
      <c r="B62" s="11">
        <f>IF(VLOOKUP(A62,'DB Country PMI'!$A:$W,MATCH($A$1,'DB Country PMI'!$A$1:$W$1,),)=0,#N/A,VLOOKUP(A62,'DB Country PMI'!$A:$W,MATCH($A$1,'DB Country PMI'!$A$1:$W$1,),))</f>
        <v>51.8</v>
      </c>
      <c r="C62" s="14">
        <f>Table13468113456710[[#This Row],[PMI]]-B61</f>
        <v>0.29999999999999716</v>
      </c>
    </row>
    <row r="63" spans="1:3" x14ac:dyDescent="0.35">
      <c r="A63" s="8">
        <v>42186</v>
      </c>
      <c r="B63" s="11">
        <f>IF(VLOOKUP(A63,'DB Country PMI'!$A:$W,MATCH($A$1,'DB Country PMI'!$A$1:$W$1,),)=0,#N/A,VLOOKUP(A63,'DB Country PMI'!$A:$W,MATCH($A$1,'DB Country PMI'!$A$1:$W$1,),))</f>
        <v>51.2</v>
      </c>
      <c r="C63" s="14">
        <f>Table13468113456710[[#This Row],[PMI]]-B62</f>
        <v>-0.59999999999999432</v>
      </c>
    </row>
    <row r="64" spans="1:3" x14ac:dyDescent="0.35">
      <c r="A64" s="8">
        <v>42217</v>
      </c>
      <c r="B64" s="11">
        <f>IF(VLOOKUP(A64,'DB Country PMI'!$A:$W,MATCH($A$1,'DB Country PMI'!$A$1:$W$1,),)=0,#N/A,VLOOKUP(A64,'DB Country PMI'!$A:$W,MATCH($A$1,'DB Country PMI'!$A$1:$W$1,),))</f>
        <v>53.7</v>
      </c>
      <c r="C64" s="14">
        <f>Table13468113456710[[#This Row],[PMI]]-B63</f>
        <v>2.5</v>
      </c>
    </row>
    <row r="65" spans="1:3" x14ac:dyDescent="0.35">
      <c r="A65" s="8">
        <v>42248</v>
      </c>
      <c r="B65" s="11">
        <f>IF(VLOOKUP(A65,'DB Country PMI'!$A:$W,MATCH($A$1,'DB Country PMI'!$A$1:$W$1,),)=0,#N/A,VLOOKUP(A65,'DB Country PMI'!$A:$W,MATCH($A$1,'DB Country PMI'!$A$1:$W$1,),))</f>
        <v>51.4</v>
      </c>
      <c r="C65" s="14">
        <f>Table13468113456710[[#This Row],[PMI]]-B64</f>
        <v>-2.3000000000000043</v>
      </c>
    </row>
    <row r="66" spans="1:3" x14ac:dyDescent="0.35">
      <c r="A66" s="8">
        <v>42278</v>
      </c>
      <c r="B66" s="11">
        <f>IF(VLOOKUP(A66,'DB Country PMI'!$A:$W,MATCH($A$1,'DB Country PMI'!$A$1:$W$1,),)=0,#N/A,VLOOKUP(A66,'DB Country PMI'!$A:$W,MATCH($A$1,'DB Country PMI'!$A$1:$W$1,),))</f>
        <v>52.2</v>
      </c>
      <c r="C66" s="14">
        <f>Table13468113456710[[#This Row],[PMI]]-B65</f>
        <v>0.80000000000000426</v>
      </c>
    </row>
    <row r="67" spans="1:3" x14ac:dyDescent="0.35">
      <c r="A67" s="8">
        <v>42309</v>
      </c>
      <c r="B67" s="11">
        <f>IF(VLOOKUP(A67,'DB Country PMI'!$A:$W,MATCH($A$1,'DB Country PMI'!$A$1:$W$1,),)=0,#N/A,VLOOKUP(A67,'DB Country PMI'!$A:$W,MATCH($A$1,'DB Country PMI'!$A$1:$W$1,),))</f>
        <v>51.6</v>
      </c>
      <c r="C67" s="14">
        <f>Table13468113456710[[#This Row],[PMI]]-B66</f>
        <v>-0.60000000000000142</v>
      </c>
    </row>
    <row r="68" spans="1:3" x14ac:dyDescent="0.35">
      <c r="A68" s="8">
        <v>42339</v>
      </c>
      <c r="B68" s="11">
        <f>IF(VLOOKUP(A68,'DB Country PMI'!$A:$W,MATCH($A$1,'DB Country PMI'!$A$1:$W$1,),)=0,#N/A,VLOOKUP(A68,'DB Country PMI'!$A:$W,MATCH($A$1,'DB Country PMI'!$A$1:$W$1,),))</f>
        <v>51.5</v>
      </c>
      <c r="C68" s="14">
        <f>Table13468113456710[[#This Row],[PMI]]-B67</f>
        <v>-0.10000000000000142</v>
      </c>
    </row>
    <row r="69" spans="1:3" x14ac:dyDescent="0.35">
      <c r="A69" s="8">
        <v>42370</v>
      </c>
      <c r="B69" s="11">
        <f>IF(VLOOKUP(A69,'DB Country PMI'!$A:$W,MATCH($A$1,'DB Country PMI'!$A$1:$W$1,),)=0,#N/A,VLOOKUP(A69,'DB Country PMI'!$A:$W,MATCH($A$1,'DB Country PMI'!$A$1:$W$1,),))</f>
        <v>52.4</v>
      </c>
      <c r="C69" s="14">
        <f>Table13468113456710[[#This Row],[PMI]]-B68</f>
        <v>0.89999999999999858</v>
      </c>
    </row>
    <row r="70" spans="1:3" x14ac:dyDescent="0.35">
      <c r="A70" s="8">
        <v>42401</v>
      </c>
      <c r="B70" s="11">
        <f>IF(VLOOKUP(A70,'DB Country PMI'!$A:$W,MATCH($A$1,'DB Country PMI'!$A$1:$W$1,),)=0,#N/A,VLOOKUP(A70,'DB Country PMI'!$A:$W,MATCH($A$1,'DB Country PMI'!$A$1:$W$1,),))</f>
        <v>51.2</v>
      </c>
      <c r="C70" s="14">
        <f>Table13468113456710[[#This Row],[PMI]]-B69</f>
        <v>-1.1999999999999957</v>
      </c>
    </row>
    <row r="71" spans="1:3" x14ac:dyDescent="0.35">
      <c r="A71" s="8">
        <v>42430</v>
      </c>
      <c r="B71" s="11">
        <f>IF(VLOOKUP(A71,'DB Country PMI'!$A:$W,MATCH($A$1,'DB Country PMI'!$A$1:$W$1,),)=0,#N/A,VLOOKUP(A71,'DB Country PMI'!$A:$W,MATCH($A$1,'DB Country PMI'!$A$1:$W$1,),))</f>
        <v>50</v>
      </c>
      <c r="C71" s="14">
        <f>Table13468113456710[[#This Row],[PMI]]-B70</f>
        <v>-1.2000000000000028</v>
      </c>
    </row>
    <row r="72" spans="1:3" x14ac:dyDescent="0.35">
      <c r="A72" s="8">
        <v>42461</v>
      </c>
      <c r="B72" s="11">
        <f>IF(VLOOKUP(A72,'DB Country PMI'!$A:$W,MATCH($A$1,'DB Country PMI'!$A$1:$W$1,),)=0,#N/A,VLOOKUP(A72,'DB Country PMI'!$A:$W,MATCH($A$1,'DB Country PMI'!$A$1:$W$1,),))</f>
        <v>49.3</v>
      </c>
      <c r="C72" s="14">
        <f>Table13468113456710[[#This Row],[PMI]]-B71</f>
        <v>-0.70000000000000284</v>
      </c>
    </row>
    <row r="73" spans="1:3" x14ac:dyDescent="0.35">
      <c r="A73" s="8">
        <v>42491</v>
      </c>
      <c r="B73" s="11">
        <f>IF(VLOOKUP(A73,'DB Country PMI'!$A:$W,MATCH($A$1,'DB Country PMI'!$A$1:$W$1,),)=0,#N/A,VLOOKUP(A73,'DB Country PMI'!$A:$W,MATCH($A$1,'DB Country PMI'!$A$1:$W$1,),))</f>
        <v>50.4</v>
      </c>
      <c r="C73" s="14">
        <f>Table13468113456710[[#This Row],[PMI]]-B72</f>
        <v>1.1000000000000014</v>
      </c>
    </row>
    <row r="74" spans="1:3" x14ac:dyDescent="0.35">
      <c r="A74" s="8">
        <v>42522</v>
      </c>
      <c r="B74" s="11">
        <f>IF(VLOOKUP(A74,'DB Country PMI'!$A:$W,MATCH($A$1,'DB Country PMI'!$A$1:$W$1,),)=0,#N/A,VLOOKUP(A74,'DB Country PMI'!$A:$W,MATCH($A$1,'DB Country PMI'!$A$1:$W$1,),))</f>
        <v>49.4</v>
      </c>
      <c r="C74" s="14">
        <f>Table13468113456710[[#This Row],[PMI]]-B73</f>
        <v>-1</v>
      </c>
    </row>
    <row r="75" spans="1:3" x14ac:dyDescent="0.35">
      <c r="A75" s="8">
        <v>42552</v>
      </c>
      <c r="B75" s="11">
        <f>IF(VLOOKUP(A75,'DB Country PMI'!$A:$W,MATCH($A$1,'DB Country PMI'!$A$1:$W$1,),)=0,#N/A,VLOOKUP(A75,'DB Country PMI'!$A:$W,MATCH($A$1,'DB Country PMI'!$A$1:$W$1,),))</f>
        <v>50.4</v>
      </c>
      <c r="C75" s="14">
        <f>Table13468113456710[[#This Row],[PMI]]-B74</f>
        <v>1</v>
      </c>
    </row>
    <row r="76" spans="1:3" x14ac:dyDescent="0.35">
      <c r="A76" s="8">
        <v>42583</v>
      </c>
      <c r="B76" s="11">
        <f>IF(VLOOKUP(A76,'DB Country PMI'!$A:$W,MATCH($A$1,'DB Country PMI'!$A$1:$W$1,),)=0,#N/A,VLOOKUP(A76,'DB Country PMI'!$A:$W,MATCH($A$1,'DB Country PMI'!$A$1:$W$1,),))</f>
        <v>49.6</v>
      </c>
      <c r="C76" s="14">
        <f>Table13468113456710[[#This Row],[PMI]]-B75</f>
        <v>-0.79999999999999716</v>
      </c>
    </row>
    <row r="77" spans="1:3" x14ac:dyDescent="0.35">
      <c r="A77" s="8">
        <v>42614</v>
      </c>
      <c r="B77" s="11">
        <f>IF(VLOOKUP(A77,'DB Country PMI'!$A:$W,MATCH($A$1,'DB Country PMI'!$A$1:$W$1,),)=0,#N/A,VLOOKUP(A77,'DB Country PMI'!$A:$W,MATCH($A$1,'DB Country PMI'!$A$1:$W$1,),))</f>
        <v>48.2</v>
      </c>
      <c r="C77" s="14">
        <f>Table13468113456710[[#This Row],[PMI]]-B76</f>
        <v>-1.3999999999999986</v>
      </c>
    </row>
    <row r="78" spans="1:3" x14ac:dyDescent="0.35">
      <c r="A78" s="8">
        <v>42644</v>
      </c>
      <c r="B78" s="11">
        <f>IF(VLOOKUP(A78,'DB Country PMI'!$A:$W,MATCH($A$1,'DB Country PMI'!$A$1:$W$1,),)=0,#N/A,VLOOKUP(A78,'DB Country PMI'!$A:$W,MATCH($A$1,'DB Country PMI'!$A$1:$W$1,),))</f>
        <v>50.5</v>
      </c>
      <c r="C78" s="14">
        <f>Table13468113456710[[#This Row],[PMI]]-B77</f>
        <v>2.2999999999999972</v>
      </c>
    </row>
    <row r="79" spans="1:3" x14ac:dyDescent="0.35">
      <c r="A79" s="8">
        <v>42675</v>
      </c>
      <c r="B79" s="11">
        <f>IF(VLOOKUP(A79,'DB Country PMI'!$A:$W,MATCH($A$1,'DB Country PMI'!$A$1:$W$1,),)=0,#N/A,VLOOKUP(A79,'DB Country PMI'!$A:$W,MATCH($A$1,'DB Country PMI'!$A$1:$W$1,),))</f>
        <v>51.8</v>
      </c>
      <c r="C79" s="14">
        <f>Table13468113456710[[#This Row],[PMI]]-B78</f>
        <v>1.2999999999999972</v>
      </c>
    </row>
    <row r="80" spans="1:3" x14ac:dyDescent="0.35">
      <c r="A80" s="8">
        <v>42705</v>
      </c>
      <c r="B80" s="11">
        <f>IF(VLOOKUP(A80,'DB Country PMI'!$A:$W,MATCH($A$1,'DB Country PMI'!$A$1:$W$1,),)=0,#N/A,VLOOKUP(A80,'DB Country PMI'!$A:$W,MATCH($A$1,'DB Country PMI'!$A$1:$W$1,),))</f>
        <v>52.3</v>
      </c>
      <c r="C80" s="14">
        <f>Table13468113456710[[#This Row],[PMI]]-B79</f>
        <v>0.5</v>
      </c>
    </row>
    <row r="81" spans="1:3" x14ac:dyDescent="0.35">
      <c r="A81" s="8">
        <v>42736</v>
      </c>
      <c r="B81" s="11">
        <f>IF(VLOOKUP(A81,'DB Country PMI'!$A:$W,MATCH($A$1,'DB Country PMI'!$A$1:$W$1,),)=0,#N/A,VLOOKUP(A81,'DB Country PMI'!$A:$W,MATCH($A$1,'DB Country PMI'!$A$1:$W$1,),))</f>
        <v>51.9</v>
      </c>
      <c r="C81" s="14">
        <f>Table13468113456710[[#This Row],[PMI]]-B80</f>
        <v>-0.39999999999999858</v>
      </c>
    </row>
    <row r="82" spans="1:3" x14ac:dyDescent="0.35">
      <c r="A82" s="8">
        <v>42767</v>
      </c>
      <c r="B82" s="11">
        <f>IF(VLOOKUP(A82,'DB Country PMI'!$A:$W,MATCH($A$1,'DB Country PMI'!$A$1:$W$1,),)=0,#N/A,VLOOKUP(A82,'DB Country PMI'!$A:$W,MATCH($A$1,'DB Country PMI'!$A$1:$W$1,),))</f>
        <v>51.3</v>
      </c>
      <c r="C82" s="14">
        <f>Table13468113456710[[#This Row],[PMI]]-B81</f>
        <v>-0.60000000000000142</v>
      </c>
    </row>
    <row r="83" spans="1:3" x14ac:dyDescent="0.35">
      <c r="A83" s="8">
        <v>42795</v>
      </c>
      <c r="B83" s="11">
        <f>IF(VLOOKUP(A83,'DB Country PMI'!$A:$W,MATCH($A$1,'DB Country PMI'!$A$1:$W$1,),)=0,#N/A,VLOOKUP(A83,'DB Country PMI'!$A:$W,MATCH($A$1,'DB Country PMI'!$A$1:$W$1,),))</f>
        <v>52.9</v>
      </c>
      <c r="C83" s="14">
        <f>Table13468113456710[[#This Row],[PMI]]-B82</f>
        <v>1.6000000000000014</v>
      </c>
    </row>
    <row r="84" spans="1:3" x14ac:dyDescent="0.35">
      <c r="A84" s="8">
        <v>42826</v>
      </c>
      <c r="B84" s="11">
        <f>IF(VLOOKUP(A84,'DB Country PMI'!$A:$W,MATCH($A$1,'DB Country PMI'!$A$1:$W$1,),)=0,#N/A,VLOOKUP(A84,'DB Country PMI'!$A:$W,MATCH($A$1,'DB Country PMI'!$A$1:$W$1,),))</f>
        <v>52.2</v>
      </c>
      <c r="C84" s="14">
        <f>Table13468113456710[[#This Row],[PMI]]-B83</f>
        <v>-0.69999999999999574</v>
      </c>
    </row>
    <row r="85" spans="1:3" x14ac:dyDescent="0.35">
      <c r="A85" s="8">
        <v>42856</v>
      </c>
      <c r="B85" s="11">
        <f>IF(VLOOKUP(A85,'DB Country PMI'!$A:$W,MATCH($A$1,'DB Country PMI'!$A$1:$W$1,),)=0,#N/A,VLOOKUP(A85,'DB Country PMI'!$A:$W,MATCH($A$1,'DB Country PMI'!$A$1:$W$1,),))</f>
        <v>53</v>
      </c>
      <c r="C85" s="14">
        <f>Table13468113456710[[#This Row],[PMI]]-B84</f>
        <v>0.79999999999999716</v>
      </c>
    </row>
    <row r="86" spans="1:3" x14ac:dyDescent="0.35">
      <c r="A86" s="8">
        <v>42887</v>
      </c>
      <c r="B86" s="11">
        <f>IF(VLOOKUP(A86,'DB Country PMI'!$A:$W,MATCH($A$1,'DB Country PMI'!$A$1:$W$1,),)=0,#N/A,VLOOKUP(A86,'DB Country PMI'!$A:$W,MATCH($A$1,'DB Country PMI'!$A$1:$W$1,),))</f>
        <v>53.3</v>
      </c>
      <c r="C86" s="14">
        <f>Table13468113456710[[#This Row],[PMI]]-B85</f>
        <v>0.29999999999999716</v>
      </c>
    </row>
    <row r="87" spans="1:3" x14ac:dyDescent="0.35">
      <c r="A87" s="8">
        <v>42917</v>
      </c>
      <c r="B87" s="11">
        <f>IF(VLOOKUP(A87,'DB Country PMI'!$A:$W,MATCH($A$1,'DB Country PMI'!$A$1:$W$1,),)=0,#N/A,VLOOKUP(A87,'DB Country PMI'!$A:$W,MATCH($A$1,'DB Country PMI'!$A$1:$W$1,),))</f>
        <v>52</v>
      </c>
      <c r="C87" s="14">
        <f>Table13468113456710[[#This Row],[PMI]]-B86</f>
        <v>-1.2999999999999972</v>
      </c>
    </row>
    <row r="88" spans="1:3" x14ac:dyDescent="0.35">
      <c r="A88" s="8">
        <v>42948</v>
      </c>
      <c r="B88" s="11">
        <f>IF(VLOOKUP(A88,'DB Country PMI'!$A:$W,MATCH($A$1,'DB Country PMI'!$A$1:$W$1,),)=0,#N/A,VLOOKUP(A88,'DB Country PMI'!$A:$W,MATCH($A$1,'DB Country PMI'!$A$1:$W$1,),))</f>
        <v>51.6</v>
      </c>
      <c r="C88" s="14">
        <f>Table13468113456710[[#This Row],[PMI]]-B87</f>
        <v>-0.39999999999999858</v>
      </c>
    </row>
    <row r="89" spans="1:3" x14ac:dyDescent="0.35">
      <c r="A89" s="8">
        <v>42979</v>
      </c>
      <c r="B89" s="11">
        <f>IF(VLOOKUP(A89,'DB Country PMI'!$A:$W,MATCH($A$1,'DB Country PMI'!$A$1:$W$1,),)=0,#N/A,VLOOKUP(A89,'DB Country PMI'!$A:$W,MATCH($A$1,'DB Country PMI'!$A$1:$W$1,),))</f>
        <v>51</v>
      </c>
      <c r="C89" s="14">
        <f>Table13468113456710[[#This Row],[PMI]]-B88</f>
        <v>-0.60000000000000142</v>
      </c>
    </row>
    <row r="90" spans="1:3" x14ac:dyDescent="0.35">
      <c r="A90" s="8">
        <v>43009</v>
      </c>
      <c r="B90" s="11">
        <f>IF(VLOOKUP(A90,'DB Country PMI'!$A:$W,MATCH($A$1,'DB Country PMI'!$A$1:$W$1,),)=0,#N/A,VLOOKUP(A90,'DB Country PMI'!$A:$W,MATCH($A$1,'DB Country PMI'!$A$1:$W$1,),))</f>
        <v>53.4</v>
      </c>
      <c r="C90" s="14">
        <f>Table13468113456710[[#This Row],[PMI]]-B89</f>
        <v>2.3999999999999986</v>
      </c>
    </row>
    <row r="91" spans="1:3" x14ac:dyDescent="0.35">
      <c r="A91" s="8">
        <v>43040</v>
      </c>
      <c r="B91" s="11">
        <f>IF(VLOOKUP(A91,'DB Country PMI'!$A:$W,MATCH($A$1,'DB Country PMI'!$A$1:$W$1,),)=0,#N/A,VLOOKUP(A91,'DB Country PMI'!$A:$W,MATCH($A$1,'DB Country PMI'!$A$1:$W$1,),))</f>
        <v>51.2</v>
      </c>
      <c r="C91" s="14">
        <f>Table13468113456710[[#This Row],[PMI]]-B90</f>
        <v>-2.1999999999999957</v>
      </c>
    </row>
    <row r="92" spans="1:3" x14ac:dyDescent="0.35">
      <c r="A92" s="8">
        <v>43070</v>
      </c>
      <c r="B92" s="11">
        <f>IF(VLOOKUP(A92,'DB Country PMI'!$A:$W,MATCH($A$1,'DB Country PMI'!$A$1:$W$1,),)=0,#N/A,VLOOKUP(A92,'DB Country PMI'!$A:$W,MATCH($A$1,'DB Country PMI'!$A$1:$W$1,),))</f>
        <v>51.1</v>
      </c>
      <c r="C92" s="14">
        <f>Table13468113456710[[#This Row],[PMI]]-B91</f>
        <v>-0.10000000000000142</v>
      </c>
    </row>
    <row r="93" spans="1:3" x14ac:dyDescent="0.35">
      <c r="A93" s="8">
        <v>43101</v>
      </c>
      <c r="B93" s="11">
        <f>IF(VLOOKUP(A93,'DB Country PMI'!$A:$W,MATCH($A$1,'DB Country PMI'!$A$1:$W$1,),)=0,#N/A,VLOOKUP(A93,'DB Country PMI'!$A:$W,MATCH($A$1,'DB Country PMI'!$A$1:$W$1,),))</f>
        <v>51.9</v>
      </c>
      <c r="C93" s="14">
        <f>Table13468113456710[[#This Row],[PMI]]-B92</f>
        <v>0.79999999999999716</v>
      </c>
    </row>
    <row r="94" spans="1:3" x14ac:dyDescent="0.35">
      <c r="A94" s="8">
        <v>43132</v>
      </c>
      <c r="B94" s="11">
        <f>IF(VLOOKUP(A94,'DB Country PMI'!$A:$W,MATCH($A$1,'DB Country PMI'!$A$1:$W$1,),)=0,#N/A,VLOOKUP(A94,'DB Country PMI'!$A:$W,MATCH($A$1,'DB Country PMI'!$A$1:$W$1,),))</f>
        <v>51.7</v>
      </c>
      <c r="C94" s="14">
        <f>Table13468113456710[[#This Row],[PMI]]-B93</f>
        <v>-0.19999999999999574</v>
      </c>
    </row>
    <row r="95" spans="1:3" x14ac:dyDescent="0.35">
      <c r="A95" s="8">
        <v>43160</v>
      </c>
      <c r="B95" s="11">
        <f>IF(VLOOKUP(A95,'DB Country PMI'!$A:$W,MATCH($A$1,'DB Country PMI'!$A$1:$W$1,),)=0,#N/A,VLOOKUP(A95,'DB Country PMI'!$A:$W,MATCH($A$1,'DB Country PMI'!$A$1:$W$1,),))</f>
        <v>50.9</v>
      </c>
      <c r="C95" s="14">
        <f>Table13468113456710[[#This Row],[PMI]]-B94</f>
        <v>-0.80000000000000426</v>
      </c>
    </row>
    <row r="96" spans="1:3" x14ac:dyDescent="0.35">
      <c r="A96" s="8">
        <v>43191</v>
      </c>
      <c r="B96" s="11">
        <f>IF(VLOOKUP(A96,'DB Country PMI'!$A:$W,MATCH($A$1,'DB Country PMI'!$A$1:$W$1,),)=0,#N/A,VLOOKUP(A96,'DB Country PMI'!$A:$W,MATCH($A$1,'DB Country PMI'!$A$1:$W$1,),))</f>
        <v>52.5</v>
      </c>
      <c r="C96" s="14">
        <f>Table13468113456710[[#This Row],[PMI]]-B95</f>
        <v>1.6000000000000014</v>
      </c>
    </row>
    <row r="97" spans="1:3" x14ac:dyDescent="0.35">
      <c r="A97" s="8">
        <v>43221</v>
      </c>
      <c r="B97" s="11">
        <f>IF(VLOOKUP(A97,'DB Country PMI'!$A:$W,MATCH($A$1,'DB Country PMI'!$A$1:$W$1,),)=0,#N/A,VLOOKUP(A97,'DB Country PMI'!$A:$W,MATCH($A$1,'DB Country PMI'!$A$1:$W$1,),))</f>
        <v>51</v>
      </c>
      <c r="C97" s="14">
        <f>Table13468113456710[[#This Row],[PMI]]-B96</f>
        <v>-1.5</v>
      </c>
    </row>
    <row r="98" spans="1:3" x14ac:dyDescent="0.35">
      <c r="A98" s="8">
        <v>43252</v>
      </c>
      <c r="B98" s="11">
        <f>IF(VLOOKUP(A98,'DB Country PMI'!$A:$W,MATCH($A$1,'DB Country PMI'!$A$1:$W$1,),)=0,#N/A,VLOOKUP(A98,'DB Country PMI'!$A:$W,MATCH($A$1,'DB Country PMI'!$A$1:$W$1,),))</f>
        <v>51.4</v>
      </c>
      <c r="C98" s="14">
        <f>Table13468113456710[[#This Row],[PMI]]-B97</f>
        <v>0.39999999999999858</v>
      </c>
    </row>
    <row r="99" spans="1:3" x14ac:dyDescent="0.35">
      <c r="A99" s="8">
        <v>43282</v>
      </c>
      <c r="B99" s="11">
        <f>IF(VLOOKUP(A99,'DB Country PMI'!$A:$W,MATCH($A$1,'DB Country PMI'!$A$1:$W$1,),)=0,#N/A,VLOOKUP(A99,'DB Country PMI'!$A:$W,MATCH($A$1,'DB Country PMI'!$A$1:$W$1,),))</f>
        <v>51.3</v>
      </c>
      <c r="C99" s="14">
        <f>Table13468113456710[[#This Row],[PMI]]-B98</f>
        <v>-0.10000000000000142</v>
      </c>
    </row>
    <row r="100" spans="1:3" x14ac:dyDescent="0.35">
      <c r="A100" s="8">
        <v>43313</v>
      </c>
      <c r="B100" s="11">
        <f>IF(VLOOKUP(A100,'DB Country PMI'!$A:$W,MATCH($A$1,'DB Country PMI'!$A$1:$W$1,),)=0,#N/A,VLOOKUP(A100,'DB Country PMI'!$A:$W,MATCH($A$1,'DB Country PMI'!$A$1:$W$1,),))</f>
        <v>51.5</v>
      </c>
      <c r="C100" s="14">
        <f>Table13468113456710[[#This Row],[PMI]]-B99</f>
        <v>0.20000000000000284</v>
      </c>
    </row>
    <row r="101" spans="1:3" x14ac:dyDescent="0.35">
      <c r="A101" s="8">
        <v>43344</v>
      </c>
      <c r="B101" s="11">
        <f>IF(VLOOKUP(A101,'DB Country PMI'!$A:$W,MATCH($A$1,'DB Country PMI'!$A$1:$W$1,),)=0,#N/A,VLOOKUP(A101,'DB Country PMI'!$A:$W,MATCH($A$1,'DB Country PMI'!$A$1:$W$1,),))</f>
        <v>50.2</v>
      </c>
      <c r="C101" s="14">
        <f>Table13468113456710[[#This Row],[PMI]]-B100</f>
        <v>-1.2999999999999972</v>
      </c>
    </row>
    <row r="102" spans="1:3" x14ac:dyDescent="0.35">
      <c r="A102" s="8">
        <v>43374</v>
      </c>
      <c r="B102" s="11">
        <f>IF(VLOOKUP(A102,'DB Country PMI'!$A:$W,MATCH($A$1,'DB Country PMI'!$A$1:$W$1,),)=0,#N/A,VLOOKUP(A102,'DB Country PMI'!$A:$W,MATCH($A$1,'DB Country PMI'!$A$1:$W$1,),))</f>
        <v>52.4</v>
      </c>
      <c r="C102" s="14">
        <f>Table13468113456710[[#This Row],[PMI]]-B101</f>
        <v>2.1999999999999957</v>
      </c>
    </row>
    <row r="103" spans="1:3" x14ac:dyDescent="0.35">
      <c r="A103" s="8">
        <v>43405</v>
      </c>
      <c r="B103" s="11">
        <f>IF(VLOOKUP(A103,'DB Country PMI'!$A:$W,MATCH($A$1,'DB Country PMI'!$A$1:$W$1,),)=0,#N/A,VLOOKUP(A103,'DB Country PMI'!$A:$W,MATCH($A$1,'DB Country PMI'!$A$1:$W$1,),))</f>
        <v>52.3</v>
      </c>
      <c r="C103" s="14">
        <f>Table13468113456710[[#This Row],[PMI]]-B102</f>
        <v>-0.10000000000000142</v>
      </c>
    </row>
    <row r="104" spans="1:3" x14ac:dyDescent="0.35">
      <c r="A104" s="8">
        <v>43435</v>
      </c>
      <c r="B104" s="11">
        <f>IF(VLOOKUP(A104,'DB Country PMI'!$A:$W,MATCH($A$1,'DB Country PMI'!$A$1:$W$1,),)=0,#N/A,VLOOKUP(A104,'DB Country PMI'!$A:$W,MATCH($A$1,'DB Country PMI'!$A$1:$W$1,),))</f>
        <v>51</v>
      </c>
      <c r="C104" s="14">
        <f>Table13468113456710[[#This Row],[PMI]]-B103</f>
        <v>-1.2999999999999972</v>
      </c>
    </row>
    <row r="105" spans="1:3" x14ac:dyDescent="0.35">
      <c r="A105" s="8">
        <v>43466</v>
      </c>
      <c r="B105" s="11">
        <f>IF(VLOOKUP(A105,'DB Country PMI'!$A:$W,MATCH($A$1,'DB Country PMI'!$A$1:$W$1,),)=0,#N/A,VLOOKUP(A105,'DB Country PMI'!$A:$W,MATCH($A$1,'DB Country PMI'!$A$1:$W$1,),))</f>
        <v>51.6</v>
      </c>
      <c r="C105" s="14">
        <f>Table13468113456710[[#This Row],[PMI]]-B104</f>
        <v>0.60000000000000142</v>
      </c>
    </row>
    <row r="106" spans="1:3" x14ac:dyDescent="0.35">
      <c r="A106" s="8">
        <v>43497</v>
      </c>
      <c r="B106" s="11">
        <f>IF(VLOOKUP(A106,'DB Country PMI'!$A:$W,MATCH($A$1,'DB Country PMI'!$A$1:$W$1,),)=0,#N/A,VLOOKUP(A106,'DB Country PMI'!$A:$W,MATCH($A$1,'DB Country PMI'!$A$1:$W$1,),))</f>
        <v>52.3</v>
      </c>
      <c r="C106" s="14">
        <f>Table13468113456710[[#This Row],[PMI]]-B105</f>
        <v>0.69999999999999574</v>
      </c>
    </row>
    <row r="107" spans="1:3" x14ac:dyDescent="0.35">
      <c r="A107" s="8">
        <v>43525</v>
      </c>
      <c r="B107" s="11">
        <f>IF(VLOOKUP(A107,'DB Country PMI'!$A:$W,MATCH($A$1,'DB Country PMI'!$A$1:$W$1,),)=0,#N/A,VLOOKUP(A107,'DB Country PMI'!$A:$W,MATCH($A$1,'DB Country PMI'!$A$1:$W$1,),))</f>
        <v>52</v>
      </c>
      <c r="C107" s="14">
        <f>Table13468113456710[[#This Row],[PMI]]-B106</f>
        <v>-0.29999999999999716</v>
      </c>
    </row>
    <row r="108" spans="1:3" x14ac:dyDescent="0.35">
      <c r="A108" s="8">
        <v>43556</v>
      </c>
      <c r="B108" s="11">
        <f>IF(VLOOKUP(A108,'DB Country PMI'!$A:$W,MATCH($A$1,'DB Country PMI'!$A$1:$W$1,),)=0,#N/A,VLOOKUP(A108,'DB Country PMI'!$A:$W,MATCH($A$1,'DB Country PMI'!$A$1:$W$1,),))</f>
        <v>51.8</v>
      </c>
      <c r="C108" s="14">
        <f>Table13468113456710[[#This Row],[PMI]]-B107</f>
        <v>-0.20000000000000284</v>
      </c>
    </row>
    <row r="109" spans="1:3" x14ac:dyDescent="0.35">
      <c r="A109" s="8">
        <v>43586</v>
      </c>
      <c r="B109" s="11">
        <f>IF(VLOOKUP(A109,'DB Country PMI'!$A:$W,MATCH($A$1,'DB Country PMI'!$A$1:$W$1,),)=0,#N/A,VLOOKUP(A109,'DB Country PMI'!$A:$W,MATCH($A$1,'DB Country PMI'!$A$1:$W$1,),))</f>
        <v>51.7</v>
      </c>
      <c r="C109" s="14">
        <f>Table13468113456710[[#This Row],[PMI]]-B108</f>
        <v>-9.9999999999994316E-2</v>
      </c>
    </row>
    <row r="110" spans="1:3" x14ac:dyDescent="0.35">
      <c r="A110" s="8">
        <v>43617</v>
      </c>
      <c r="B110" s="11">
        <f>IF(VLOOKUP(A110,'DB Country PMI'!$A:$W,MATCH($A$1,'DB Country PMI'!$A$1:$W$1,),)=0,#N/A,VLOOKUP(A110,'DB Country PMI'!$A:$W,MATCH($A$1,'DB Country PMI'!$A$1:$W$1,),))</f>
        <v>51.9</v>
      </c>
      <c r="C110" s="14">
        <f>Table13468113456710[[#This Row],[PMI]]-B109</f>
        <v>0.19999999999999574</v>
      </c>
    </row>
    <row r="111" spans="1:3" x14ac:dyDescent="0.35">
      <c r="A111" s="8">
        <v>43647</v>
      </c>
      <c r="B111" s="11">
        <f>IF(VLOOKUP(A111,'DB Country PMI'!$A:$W,MATCH($A$1,'DB Country PMI'!$A$1:$W$1,),)=0,#N/A,VLOOKUP(A111,'DB Country PMI'!$A:$W,MATCH($A$1,'DB Country PMI'!$A$1:$W$1,),))</f>
        <v>51.8</v>
      </c>
      <c r="C111" s="14">
        <f>Table13468113456710[[#This Row],[PMI]]-B110</f>
        <v>-0.10000000000000142</v>
      </c>
    </row>
    <row r="112" spans="1:3" x14ac:dyDescent="0.35">
      <c r="A112" s="8">
        <v>43678</v>
      </c>
      <c r="B112" s="11">
        <f>IF(VLOOKUP(A112,'DB Country PMI'!$A:$W,MATCH($A$1,'DB Country PMI'!$A$1:$W$1,),)=0,#N/A,VLOOKUP(A112,'DB Country PMI'!$A:$W,MATCH($A$1,'DB Country PMI'!$A$1:$W$1,),))</f>
        <v>53.3</v>
      </c>
      <c r="C112" s="14">
        <f>Table13468113456710[[#This Row],[PMI]]-B111</f>
        <v>1.5</v>
      </c>
    </row>
    <row r="113" spans="1:3" x14ac:dyDescent="0.35">
      <c r="A113" s="8">
        <v>43709</v>
      </c>
      <c r="B113" s="11">
        <f>IF(VLOOKUP(A113,'DB Country PMI'!$A:$W,MATCH($A$1,'DB Country PMI'!$A$1:$W$1,),)=0,#N/A,VLOOKUP(A113,'DB Country PMI'!$A:$W,MATCH($A$1,'DB Country PMI'!$A$1:$W$1,),))</f>
        <v>52.8</v>
      </c>
      <c r="C113" s="14">
        <f>Table13468113456710[[#This Row],[PMI]]-B112</f>
        <v>-0.5</v>
      </c>
    </row>
    <row r="114" spans="1:3" x14ac:dyDescent="0.35">
      <c r="A114" s="8">
        <v>43739</v>
      </c>
      <c r="B114" s="11">
        <f>IF(VLOOKUP(A114,'DB Country PMI'!$A:$W,MATCH($A$1,'DB Country PMI'!$A$1:$W$1,),)=0,#N/A,VLOOKUP(A114,'DB Country PMI'!$A:$W,MATCH($A$1,'DB Country PMI'!$A$1:$W$1,),))</f>
        <v>49.7</v>
      </c>
      <c r="C114" s="14">
        <f>Table13468113456710[[#This Row],[PMI]]-B113</f>
        <v>-3.0999999999999943</v>
      </c>
    </row>
    <row r="115" spans="1:3" x14ac:dyDescent="0.35">
      <c r="A115" s="8">
        <v>43770</v>
      </c>
      <c r="B115" s="11">
        <f>IF(VLOOKUP(A115,'DB Country PMI'!$A:$W,MATCH($A$1,'DB Country PMI'!$A$1:$W$1,),)=0,#N/A,VLOOKUP(A115,'DB Country PMI'!$A:$W,MATCH($A$1,'DB Country PMI'!$A$1:$W$1,),))</f>
        <v>50.3</v>
      </c>
      <c r="C115" s="14">
        <f>Table13468113456710[[#This Row],[PMI]]-B114</f>
        <v>0.59999999999999432</v>
      </c>
    </row>
    <row r="116" spans="1:3" x14ac:dyDescent="0.35">
      <c r="A116" s="8">
        <v>43800</v>
      </c>
      <c r="B116" s="11">
        <f>IF(VLOOKUP(A116,'DB Country PMI'!$A:$W,MATCH($A$1,'DB Country PMI'!$A$1:$W$1,),)=0,#N/A,VLOOKUP(A116,'DB Country PMI'!$A:$W,MATCH($A$1,'DB Country PMI'!$A$1:$W$1,),))</f>
        <v>49.4</v>
      </c>
      <c r="C116" s="14">
        <f>Table13468113456710[[#This Row],[PMI]]-B115</f>
        <v>-0.89999999999999858</v>
      </c>
    </row>
    <row r="117" spans="1:3" x14ac:dyDescent="0.35">
      <c r="A117" s="8">
        <v>43831</v>
      </c>
      <c r="B117" s="11">
        <f>IF(VLOOKUP(A117,'DB Country PMI'!$A:$W,MATCH($A$1,'DB Country PMI'!$A$1:$W$1,),)=0,#N/A,VLOOKUP(A117,'DB Country PMI'!$A:$W,MATCH($A$1,'DB Country PMI'!$A$1:$W$1,),))</f>
        <v>51</v>
      </c>
      <c r="C117" s="14">
        <f>Table13468113456710[[#This Row],[PMI]]-B116</f>
        <v>1.6000000000000014</v>
      </c>
    </row>
    <row r="118" spans="1:3" x14ac:dyDescent="0.35">
      <c r="A118" s="8">
        <v>43862</v>
      </c>
      <c r="B118" s="11">
        <f>IF(VLOOKUP(A118,'DB Country PMI'!$A:$W,MATCH($A$1,'DB Country PMI'!$A$1:$W$1,),)=0,#N/A,VLOOKUP(A118,'DB Country PMI'!$A:$W,MATCH($A$1,'DB Country PMI'!$A$1:$W$1,),))</f>
        <v>46.8</v>
      </c>
      <c r="C118" s="14">
        <f>Table13468113456710[[#This Row],[PMI]]-B117</f>
        <v>-4.2000000000000028</v>
      </c>
    </row>
    <row r="119" spans="1:3" x14ac:dyDescent="0.35">
      <c r="A119" s="8">
        <v>43891</v>
      </c>
      <c r="B119" s="11">
        <f>IF(VLOOKUP(A119,'DB Country PMI'!$A:$W,MATCH($A$1,'DB Country PMI'!$A$1:$W$1,),)=0,#N/A,VLOOKUP(A119,'DB Country PMI'!$A:$W,MATCH($A$1,'DB Country PMI'!$A$1:$W$1,),))</f>
        <v>33.799999999999997</v>
      </c>
      <c r="C119" s="14">
        <f>Table13468113456710[[#This Row],[PMI]]-B118</f>
        <v>-13</v>
      </c>
    </row>
    <row r="120" spans="1:3" x14ac:dyDescent="0.35">
      <c r="A120" s="8">
        <v>43922</v>
      </c>
      <c r="B120" s="11">
        <f>IF(VLOOKUP(A120,'DB Country PMI'!$A:$W,MATCH($A$1,'DB Country PMI'!$A$1:$W$1,),)=0,#N/A,VLOOKUP(A120,'DB Country PMI'!$A:$W,MATCH($A$1,'DB Country PMI'!$A$1:$W$1,),))</f>
        <v>22.8</v>
      </c>
      <c r="C120" s="14">
        <f>Table13468113456710[[#This Row],[PMI]]-B119</f>
        <v>-10.999999999999996</v>
      </c>
    </row>
    <row r="121" spans="1:3" x14ac:dyDescent="0.35">
      <c r="A121" s="8">
        <v>43952</v>
      </c>
      <c r="B121" s="11">
        <f>IF(VLOOKUP(A121,'DB Country PMI'!$A:$W,MATCH($A$1,'DB Country PMI'!$A$1:$W$1,),)=0,#N/A,VLOOKUP(A121,'DB Country PMI'!$A:$W,MATCH($A$1,'DB Country PMI'!$A$1:$W$1,),))</f>
        <v>26.5</v>
      </c>
      <c r="C121" s="14">
        <f>Table13468113456710[[#This Row],[PMI]]-B120</f>
        <v>3.6999999999999993</v>
      </c>
    </row>
    <row r="122" spans="1:3" x14ac:dyDescent="0.35">
      <c r="A122" s="8">
        <v>43983</v>
      </c>
      <c r="B122" s="11">
        <f>IF(VLOOKUP(A122,'DB Country PMI'!$A:$W,MATCH($A$1,'DB Country PMI'!$A$1:$W$1,),)=0,#N/A,VLOOKUP(A122,'DB Country PMI'!$A:$W,MATCH($A$1,'DB Country PMI'!$A$1:$W$1,),))</f>
        <v>45</v>
      </c>
      <c r="C122" s="14">
        <f>Table13468113456710[[#This Row],[PMI]]-B121</f>
        <v>18.5</v>
      </c>
    </row>
    <row r="123" spans="1:3" x14ac:dyDescent="0.35">
      <c r="A123" s="8">
        <v>44013</v>
      </c>
      <c r="B123" s="11">
        <f>IF(VLOOKUP(A123,'DB Country PMI'!$A:$W,MATCH($A$1,'DB Country PMI'!$A$1:$W$1,),)=0,#N/A,VLOOKUP(A123,'DB Country PMI'!$A:$W,MATCH($A$1,'DB Country PMI'!$A$1:$W$1,),))</f>
        <v>45.4</v>
      </c>
      <c r="C123" s="14">
        <f>Table13468113456710[[#This Row],[PMI]]-B122</f>
        <v>0.39999999999999858</v>
      </c>
    </row>
    <row r="124" spans="1:3" x14ac:dyDescent="0.35">
      <c r="A124" s="8">
        <v>44044</v>
      </c>
      <c r="B124" s="11">
        <f>IF(VLOOKUP(A124,'DB Country PMI'!$A:$W,MATCH($A$1,'DB Country PMI'!$A$1:$W$1,),)=0,#N/A,VLOOKUP(A124,'DB Country PMI'!$A:$W,MATCH($A$1,'DB Country PMI'!$A$1:$W$1,),))</f>
        <v>45</v>
      </c>
      <c r="C124" s="14">
        <f>Table13468113456710[[#This Row],[PMI]]-B123</f>
        <v>-0.39999999999999858</v>
      </c>
    </row>
    <row r="125" spans="1:3" x14ac:dyDescent="0.35">
      <c r="A125" s="8">
        <v>44075</v>
      </c>
      <c r="B125" s="11">
        <f>IF(VLOOKUP(A125,'DB Country PMI'!$A:$W,MATCH($A$1,'DB Country PMI'!$A$1:$W$1,),)=0,#N/A,VLOOKUP(A125,'DB Country PMI'!$A:$W,MATCH($A$1,'DB Country PMI'!$A$1:$W$1,),))</f>
        <v>46.9</v>
      </c>
      <c r="C125" s="14">
        <f>Table13468113456710[[#This Row],[PMI]]-B124</f>
        <v>1.8999999999999986</v>
      </c>
    </row>
    <row r="126" spans="1:3" x14ac:dyDescent="0.35">
      <c r="A126" s="8">
        <v>44105</v>
      </c>
      <c r="B126" s="11">
        <f>IF(VLOOKUP(A126,'DB Country PMI'!$A:$W,MATCH($A$1,'DB Country PMI'!$A$1:$W$1,),)=0,#N/A,VLOOKUP(A126,'DB Country PMI'!$A:$W,MATCH($A$1,'DB Country PMI'!$A$1:$W$1,),))</f>
        <v>47.7</v>
      </c>
      <c r="C126" s="14">
        <f>Table13468113456710[[#This Row],[PMI]]-B125</f>
        <v>0.80000000000000426</v>
      </c>
    </row>
    <row r="127" spans="1:3" x14ac:dyDescent="0.35">
      <c r="A127" s="8">
        <v>44136</v>
      </c>
      <c r="B127" s="11">
        <f>IF(VLOOKUP(A127,'DB Country PMI'!$A:$W,MATCH($A$1,'DB Country PMI'!$A$1:$W$1,),)=0,#N/A,VLOOKUP(A127,'DB Country PMI'!$A:$W,MATCH($A$1,'DB Country PMI'!$A$1:$W$1,),))</f>
        <v>47.8</v>
      </c>
      <c r="C127" s="14">
        <f>Table13468113456710[[#This Row],[PMI]]-B126</f>
        <v>9.9999999999994316E-2</v>
      </c>
    </row>
    <row r="128" spans="1:3" x14ac:dyDescent="0.35">
      <c r="A128" s="8">
        <v>44166</v>
      </c>
      <c r="B128" s="11">
        <f>IF(VLOOKUP(A128,'DB Country PMI'!$A:$W,MATCH($A$1,'DB Country PMI'!$A$1:$W$1,),)=0,#N/A,VLOOKUP(A128,'DB Country PMI'!$A:$W,MATCH($A$1,'DB Country PMI'!$A$1:$W$1,),))</f>
        <v>47.2</v>
      </c>
      <c r="C128" s="14">
        <f>Table13468113456710[[#This Row],[PMI]]-B127</f>
        <v>-0.59999999999999432</v>
      </c>
    </row>
    <row r="129" spans="1:3" x14ac:dyDescent="0.35">
      <c r="A129" s="8">
        <v>44197</v>
      </c>
      <c r="B129" s="11">
        <f>IF(VLOOKUP(A129,'DB Country PMI'!$A:$W,MATCH($A$1,'DB Country PMI'!$A$1:$W$1,),)=0,#N/A,VLOOKUP(A129,'DB Country PMI'!$A:$W,MATCH($A$1,'DB Country PMI'!$A$1:$W$1,),))</f>
        <v>46.1</v>
      </c>
      <c r="C129" s="14">
        <f>Table13468113456710[[#This Row],[PMI]]-B128</f>
        <v>-1.1000000000000014</v>
      </c>
    </row>
    <row r="130" spans="1:3" x14ac:dyDescent="0.35">
      <c r="A130" s="8">
        <v>44228</v>
      </c>
      <c r="B130" s="11">
        <f>IF(VLOOKUP(A130,'DB Country PMI'!$A:$W,MATCH($A$1,'DB Country PMI'!$A$1:$W$1,),)=0,#N/A,VLOOKUP(A130,'DB Country PMI'!$A:$W,MATCH($A$1,'DB Country PMI'!$A$1:$W$1,),))</f>
        <v>46.3</v>
      </c>
      <c r="C130" s="14">
        <f>Table13468113456710[[#This Row],[PMI]]-B129</f>
        <v>0.19999999999999574</v>
      </c>
    </row>
    <row r="131" spans="1:3" x14ac:dyDescent="0.35">
      <c r="A131" s="8">
        <v>44256</v>
      </c>
      <c r="B131" s="11">
        <f>IF(VLOOKUP(A131,'DB Country PMI'!$A:$W,MATCH($A$1,'DB Country PMI'!$A$1:$W$1,),)=0,#N/A,VLOOKUP(A131,'DB Country PMI'!$A:$W,MATCH($A$1,'DB Country PMI'!$A$1:$W$1,),))</f>
        <v>48.3</v>
      </c>
      <c r="C131" s="14">
        <f>Table13468113456710[[#This Row],[PMI]]-B130</f>
        <v>2</v>
      </c>
    </row>
    <row r="132" spans="1:3" x14ac:dyDescent="0.35">
      <c r="A132" s="8">
        <v>44287</v>
      </c>
      <c r="B132" s="11">
        <f>IF(VLOOKUP(A132,'DB Country PMI'!$A:$W,MATCH($A$1,'DB Country PMI'!$A$1:$W$1,),)=0,#N/A,VLOOKUP(A132,'DB Country PMI'!$A:$W,MATCH($A$1,'DB Country PMI'!$A$1:$W$1,),))</f>
        <v>49.5</v>
      </c>
      <c r="C132" s="14">
        <f>Table13468113456710[[#This Row],[PMI]]-B131</f>
        <v>1.2000000000000028</v>
      </c>
    </row>
    <row r="133" spans="1:3" x14ac:dyDescent="0.35">
      <c r="A133" s="8">
        <v>44317</v>
      </c>
      <c r="B133" s="11">
        <f>IF(VLOOKUP(A133,'DB Country PMI'!$A:$W,MATCH($A$1,'DB Country PMI'!$A$1:$W$1,),)=0,#N/A,VLOOKUP(A133,'DB Country PMI'!$A:$W,MATCH($A$1,'DB Country PMI'!$A$1:$W$1,),))</f>
        <v>46.5</v>
      </c>
      <c r="C133" s="14">
        <f>Table13468113456710[[#This Row],[PMI]]-B132</f>
        <v>-3</v>
      </c>
    </row>
    <row r="134" spans="1:3" x14ac:dyDescent="0.35">
      <c r="A134" s="8">
        <v>44348</v>
      </c>
      <c r="B134" s="11">
        <f>IF(VLOOKUP(A134,'DB Country PMI'!$A:$W,MATCH($A$1,'DB Country PMI'!$A$1:$W$1,),)=0,#N/A,VLOOKUP(A134,'DB Country PMI'!$A:$W,MATCH($A$1,'DB Country PMI'!$A$1:$W$1,),))</f>
        <v>48</v>
      </c>
      <c r="C134" s="14">
        <f>Table13468113456710[[#This Row],[PMI]]-B133</f>
        <v>1.5</v>
      </c>
    </row>
    <row r="135" spans="1:3" x14ac:dyDescent="0.35">
      <c r="A135" s="8">
        <v>44378</v>
      </c>
      <c r="B135" s="11">
        <f>IF(VLOOKUP(A135,'DB Country PMI'!$A:$W,MATCH($A$1,'DB Country PMI'!$A$1:$W$1,),)=0,#N/A,VLOOKUP(A135,'DB Country PMI'!$A:$W,MATCH($A$1,'DB Country PMI'!$A$1:$W$1,),))</f>
        <v>47.4</v>
      </c>
      <c r="C135" s="14">
        <f>Table13468113456710[[#This Row],[PMI]]-B134</f>
        <v>-0.60000000000000142</v>
      </c>
    </row>
    <row r="136" spans="1:3" x14ac:dyDescent="0.35">
      <c r="A136" s="8">
        <v>44409</v>
      </c>
      <c r="B136" s="11">
        <f>IF(VLOOKUP(A136,'DB Country PMI'!$A:$W,MATCH($A$1,'DB Country PMI'!$A$1:$W$1,),)=0,#N/A,VLOOKUP(A136,'DB Country PMI'!$A:$W,MATCH($A$1,'DB Country PMI'!$A$1:$W$1,),))</f>
        <v>42.9</v>
      </c>
      <c r="C136" s="14">
        <f>Table13468113456710[[#This Row],[PMI]]-B135</f>
        <v>-4.5</v>
      </c>
    </row>
    <row r="137" spans="1:3" x14ac:dyDescent="0.35">
      <c r="A137" s="8">
        <v>44440</v>
      </c>
      <c r="B137" s="11">
        <f>IF(VLOOKUP(A137,'DB Country PMI'!$A:$W,MATCH($A$1,'DB Country PMI'!$A$1:$W$1,),)=0,#N/A,VLOOKUP(A137,'DB Country PMI'!$A:$W,MATCH($A$1,'DB Country PMI'!$A$1:$W$1,),))</f>
        <v>47.8</v>
      </c>
      <c r="C137" s="14">
        <f>Table13468113456710[[#This Row],[PMI]]-B136</f>
        <v>4.8999999999999986</v>
      </c>
    </row>
    <row r="138" spans="1:3" x14ac:dyDescent="0.35">
      <c r="A138" s="8">
        <v>44470</v>
      </c>
      <c r="B138" s="11">
        <f>IF(VLOOKUP(A138,'DB Country PMI'!$A:$W,MATCH($A$1,'DB Country PMI'!$A$1:$W$1,),)=0,#N/A,VLOOKUP(A138,'DB Country PMI'!$A:$W,MATCH($A$1,'DB Country PMI'!$A$1:$W$1,),))</f>
        <v>50.7</v>
      </c>
      <c r="C138" s="14">
        <f>Table13468113456710[[#This Row],[PMI]]-B137</f>
        <v>2.9000000000000057</v>
      </c>
    </row>
    <row r="139" spans="1:3" x14ac:dyDescent="0.35">
      <c r="A139" s="8">
        <v>44501</v>
      </c>
      <c r="B139" s="11">
        <f>IF(VLOOKUP(A139,'DB Country PMI'!$A:$W,MATCH($A$1,'DB Country PMI'!$A$1:$W$1,),)=0,#N/A,VLOOKUP(A139,'DB Country PMI'!$A:$W,MATCH($A$1,'DB Country PMI'!$A$1:$W$1,),))</f>
        <v>53</v>
      </c>
      <c r="C139" s="14">
        <f>Table13468113456710[[#This Row],[PMI]]-B138</f>
        <v>2.2999999999999972</v>
      </c>
    </row>
    <row r="140" spans="1:3" x14ac:dyDescent="0.35">
      <c r="A140" s="8">
        <v>44531</v>
      </c>
      <c r="B140" s="11">
        <f>IF(VLOOKUP(A140,'DB Country PMI'!$A:$W,MATCH($A$1,'DB Country PMI'!$A$1:$W$1,),)=0,#N/A,VLOOKUP(A140,'DB Country PMI'!$A:$W,MATCH($A$1,'DB Country PMI'!$A$1:$W$1,),))</f>
        <v>52.1</v>
      </c>
      <c r="C140" s="14">
        <f>Table13468113456710[[#This Row],[PMI]]-B139</f>
        <v>-0.89999999999999858</v>
      </c>
    </row>
    <row r="141" spans="1:3" x14ac:dyDescent="0.35">
      <c r="A141" s="8">
        <v>44562</v>
      </c>
      <c r="B141" s="11">
        <f>IF(VLOOKUP(A141,'DB Country PMI'!$A:$W,MATCH($A$1,'DB Country PMI'!$A$1:$W$1,),)=0,#N/A,VLOOKUP(A141,'DB Country PMI'!$A:$W,MATCH($A$1,'DB Country PMI'!$A$1:$W$1,),))</f>
        <v>47.6</v>
      </c>
      <c r="C141" s="14">
        <f>Table13468113456710[[#This Row],[PMI]]-B140</f>
        <v>-4.5</v>
      </c>
    </row>
    <row r="142" spans="1:3" x14ac:dyDescent="0.35">
      <c r="A142" s="8">
        <v>44593</v>
      </c>
      <c r="B142" s="11">
        <f>IF(VLOOKUP(A142,'DB Country PMI'!$A:$W,MATCH($A$1,'DB Country PMI'!$A$1:$W$1,),)=0,#N/A,VLOOKUP(A142,'DB Country PMI'!$A:$W,MATCH($A$1,'DB Country PMI'!$A$1:$W$1,),))</f>
        <v>42.7</v>
      </c>
      <c r="C142" s="14">
        <f>Table13468113456710[[#This Row],[PMI]]-B141</f>
        <v>-4.8999999999999986</v>
      </c>
    </row>
    <row r="143" spans="1:3" x14ac:dyDescent="0.35">
      <c r="A143" s="8">
        <v>44621</v>
      </c>
      <c r="B143" s="11">
        <f>IF(VLOOKUP(A143,'DB Country PMI'!$A:$W,MATCH($A$1,'DB Country PMI'!$A$1:$W$1,),)=0,#N/A,VLOOKUP(A143,'DB Country PMI'!$A:$W,MATCH($A$1,'DB Country PMI'!$A$1:$W$1,),))</f>
        <v>48.7</v>
      </c>
      <c r="C143" s="14">
        <f>Table13468113456710[[#This Row],[PMI]]-B142</f>
        <v>6</v>
      </c>
    </row>
    <row r="144" spans="1:3" x14ac:dyDescent="0.35">
      <c r="A144" s="8">
        <v>44652</v>
      </c>
      <c r="B144" s="11">
        <f>IF(VLOOKUP(A144,'DB Country PMI'!$A:$W,MATCH($A$1,'DB Country PMI'!$A$1:$W$1,),)=0,#N/A,VLOOKUP(A144,'DB Country PMI'!$A:$W,MATCH($A$1,'DB Country PMI'!$A$1:$W$1,),))</f>
        <v>50.5</v>
      </c>
      <c r="C144" s="14">
        <f>Table13468113456710[[#This Row],[PMI]]-B143</f>
        <v>1.7999999999999972</v>
      </c>
    </row>
    <row r="145" spans="1:3" x14ac:dyDescent="0.35">
      <c r="A145" s="8">
        <v>44682</v>
      </c>
      <c r="B145" s="11">
        <f>IF(VLOOKUP(A145,'DB Country PMI'!$A:$W,MATCH($A$1,'DB Country PMI'!$A$1:$W$1,),)=0,#N/A,VLOOKUP(A145,'DB Country PMI'!$A:$W,MATCH($A$1,'DB Country PMI'!$A$1:$W$1,),))</f>
        <v>51.7</v>
      </c>
      <c r="C145" s="14">
        <f>Table13468113456710[[#This Row],[PMI]]-B144</f>
        <v>1.2000000000000028</v>
      </c>
    </row>
    <row r="146" spans="1:3" x14ac:dyDescent="0.35">
      <c r="A146" s="8">
        <v>44713</v>
      </c>
      <c r="B146" s="11">
        <f>IF(VLOOKUP(A146,'DB Country PMI'!$A:$W,MATCH($A$1,'DB Country PMI'!$A$1:$W$1,),)=0,#N/A,VLOOKUP(A146,'DB Country PMI'!$A:$W,MATCH($A$1,'DB Country PMI'!$A$1:$W$1,),))</f>
        <v>54.2</v>
      </c>
      <c r="C146" s="14">
        <f>Table13468113456710[[#This Row],[PMI]]-B145</f>
        <v>2.5</v>
      </c>
    </row>
    <row r="147" spans="1:3" x14ac:dyDescent="0.35">
      <c r="A147" s="8">
        <v>44743</v>
      </c>
      <c r="B147" s="11">
        <f>IF(VLOOKUP(A147,'DB Country PMI'!$A:$W,MATCH($A$1,'DB Country PMI'!$A$1:$W$1,),)=0,#N/A,VLOOKUP(A147,'DB Country PMI'!$A:$W,MATCH($A$1,'DB Country PMI'!$A$1:$W$1,),))</f>
        <v>50.3</v>
      </c>
      <c r="C147" s="14">
        <f>Table13468113456710[[#This Row],[PMI]]-B146</f>
        <v>-3.9000000000000057</v>
      </c>
    </row>
    <row r="148" spans="1:3" x14ac:dyDescent="0.35">
      <c r="A148" s="8">
        <v>44774</v>
      </c>
      <c r="B148" s="11">
        <f>IF(VLOOKUP(A148,'DB Country PMI'!$A:$W,MATCH($A$1,'DB Country PMI'!$A$1:$W$1,),)=0,#N/A,VLOOKUP(A148,'DB Country PMI'!$A:$W,MATCH($A$1,'DB Country PMI'!$A$1:$W$1,),))</f>
        <v>49.5</v>
      </c>
      <c r="C148" s="14">
        <f>Table13468113456710[[#This Row],[PMI]]-B147</f>
        <v>-0.79999999999999716</v>
      </c>
    </row>
    <row r="149" spans="1:3" x14ac:dyDescent="0.35">
      <c r="A149" s="8">
        <v>44805</v>
      </c>
      <c r="B149" s="11">
        <f>IF(VLOOKUP(A149,'DB Country PMI'!$A:$W,MATCH($A$1,'DB Country PMI'!$A$1:$W$1,),)=0,#N/A,VLOOKUP(A149,'DB Country PMI'!$A:$W,MATCH($A$1,'DB Country PMI'!$A$1:$W$1,),))</f>
        <v>52.2</v>
      </c>
      <c r="C149" s="14">
        <f>Table13468113456710[[#This Row],[PMI]]-B148</f>
        <v>2.7000000000000028</v>
      </c>
    </row>
    <row r="150" spans="1:3" x14ac:dyDescent="0.35">
      <c r="A150" s="8">
        <v>44835</v>
      </c>
      <c r="B150" s="11">
        <f>IF(VLOOKUP(A150,'DB Country PMI'!$A:$W,MATCH($A$1,'DB Country PMI'!$A$1:$W$1,),)=0,#N/A,VLOOKUP(A150,'DB Country PMI'!$A:$W,MATCH($A$1,'DB Country PMI'!$A$1:$W$1,),))</f>
        <v>53.2</v>
      </c>
      <c r="C150" s="14">
        <f>Table13468113456710[[#This Row],[PMI]]-B149</f>
        <v>1</v>
      </c>
    </row>
    <row r="151" spans="1:3" x14ac:dyDescent="0.35">
      <c r="A151" s="8">
        <v>44866</v>
      </c>
      <c r="B151" s="11">
        <f>IF(VLOOKUP(A151,'DB Country PMI'!$A:$W,MATCH($A$1,'DB Country PMI'!$A$1:$W$1,),)=0,#N/A,VLOOKUP(A151,'DB Country PMI'!$A:$W,MATCH($A$1,'DB Country PMI'!$A$1:$W$1,),))</f>
        <v>50.3</v>
      </c>
      <c r="C151" s="14">
        <f>Table13468113456710[[#This Row],[PMI]]-B150</f>
        <v>-2.9000000000000057</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1"/>
  <sheetViews>
    <sheetView zoomScale="160" zoomScaleNormal="160" workbookViewId="0">
      <pane ySplit="5" topLeftCell="A137" activePane="bottomLeft" state="frozen"/>
      <selection pane="bottomLeft" activeCell="A139" sqref="A139: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28</v>
      </c>
      <c r="J1" s="47" t="s">
        <v>62</v>
      </c>
    </row>
    <row r="2" spans="1:10" x14ac:dyDescent="0.35">
      <c r="J2" s="47" t="s">
        <v>74</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51.8</v>
      </c>
      <c r="C6" s="11"/>
    </row>
    <row r="7" spans="1:10" x14ac:dyDescent="0.35">
      <c r="A7" s="8">
        <v>40483</v>
      </c>
      <c r="B7" s="11">
        <f>IF(VLOOKUP(A7,'DB Country PMI'!$A:$W,MATCH($A$1,'DB Country PMI'!$A$1:$W$1,),)=0,#N/A,VLOOKUP(A7,'DB Country PMI'!$A:$W,MATCH($A$1,'DB Country PMI'!$A$1:$W$1,),))</f>
        <v>52.1</v>
      </c>
      <c r="C7" s="14">
        <f>Table1346811345671012[[#This Row],[PMI]]-B6</f>
        <v>0.30000000000000426</v>
      </c>
    </row>
    <row r="8" spans="1:10" x14ac:dyDescent="0.35">
      <c r="A8" s="8">
        <v>40513</v>
      </c>
      <c r="B8" s="11">
        <f>IF(VLOOKUP(A8,'DB Country PMI'!$A:$W,MATCH($A$1,'DB Country PMI'!$A$1:$W$1,),)=0,#N/A,VLOOKUP(A8,'DB Country PMI'!$A:$W,MATCH($A$1,'DB Country PMI'!$A$1:$W$1,),))</f>
        <v>50.2</v>
      </c>
      <c r="C8" s="14">
        <f>Table1346811345671012[[#This Row],[PMI]]-B7</f>
        <v>-1.8999999999999986</v>
      </c>
    </row>
    <row r="9" spans="1:10" x14ac:dyDescent="0.35">
      <c r="A9" s="8">
        <v>40544</v>
      </c>
      <c r="B9" s="11">
        <f>IF(VLOOKUP(A9,'DB Country PMI'!$A:$W,MATCH($A$1,'DB Country PMI'!$A$1:$W$1,),)=0,#N/A,VLOOKUP(A9,'DB Country PMI'!$A:$W,MATCH($A$1,'DB Country PMI'!$A$1:$W$1,),))</f>
        <v>51.2</v>
      </c>
      <c r="C9" s="14">
        <f>Table1346811345671012[[#This Row],[PMI]]-B8</f>
        <v>1</v>
      </c>
    </row>
    <row r="10" spans="1:10" x14ac:dyDescent="0.35">
      <c r="A10" s="8">
        <v>40575</v>
      </c>
      <c r="B10" s="11">
        <f>IF(VLOOKUP(A10,'DB Country PMI'!$A:$W,MATCH($A$1,'DB Country PMI'!$A$1:$W$1,),)=0,#N/A,VLOOKUP(A10,'DB Country PMI'!$A:$W,MATCH($A$1,'DB Country PMI'!$A$1:$W$1,),))</f>
        <v>52.7</v>
      </c>
      <c r="C10" s="14">
        <f>Table1346811345671012[[#This Row],[PMI]]-B9</f>
        <v>1.5</v>
      </c>
    </row>
    <row r="11" spans="1:10" x14ac:dyDescent="0.35">
      <c r="A11" s="8">
        <v>40603</v>
      </c>
      <c r="B11" s="11">
        <f>IF(VLOOKUP(A11,'DB Country PMI'!$A:$W,MATCH($A$1,'DB Country PMI'!$A$1:$W$1,),)=0,#N/A,VLOOKUP(A11,'DB Country PMI'!$A:$W,MATCH($A$1,'DB Country PMI'!$A$1:$W$1,),))</f>
        <v>53.5</v>
      </c>
      <c r="C11" s="14">
        <f>Table1346811345671012[[#This Row],[PMI]]-B10</f>
        <v>0.79999999999999716</v>
      </c>
    </row>
    <row r="12" spans="1:10" x14ac:dyDescent="0.35">
      <c r="A12" s="8">
        <v>40634</v>
      </c>
      <c r="B12" s="11">
        <f>IF(VLOOKUP(A12,'DB Country PMI'!$A:$W,MATCH($A$1,'DB Country PMI'!$A$1:$W$1,),)=0,#N/A,VLOOKUP(A12,'DB Country PMI'!$A:$W,MATCH($A$1,'DB Country PMI'!$A$1:$W$1,),))</f>
        <v>53.2</v>
      </c>
      <c r="C12" s="14">
        <f>Table1346811345671012[[#This Row],[PMI]]-B11</f>
        <v>-0.29999999999999716</v>
      </c>
    </row>
    <row r="13" spans="1:10" x14ac:dyDescent="0.35">
      <c r="A13" s="8">
        <v>40664</v>
      </c>
      <c r="B13" s="11">
        <f>IF(VLOOKUP(A13,'DB Country PMI'!$A:$W,MATCH($A$1,'DB Country PMI'!$A$1:$W$1,),)=0,#N/A,VLOOKUP(A13,'DB Country PMI'!$A:$W,MATCH($A$1,'DB Country PMI'!$A$1:$W$1,),))</f>
        <v>53.3</v>
      </c>
      <c r="C13" s="14">
        <f>Table1346811345671012[[#This Row],[PMI]]-B12</f>
        <v>9.9999999999994316E-2</v>
      </c>
    </row>
    <row r="14" spans="1:10" x14ac:dyDescent="0.35">
      <c r="A14" s="8">
        <v>40695</v>
      </c>
      <c r="B14" s="11">
        <f>IF(VLOOKUP(A14,'DB Country PMI'!$A:$W,MATCH($A$1,'DB Country PMI'!$A$1:$W$1,),)=0,#N/A,VLOOKUP(A14,'DB Country PMI'!$A:$W,MATCH($A$1,'DB Country PMI'!$A$1:$W$1,),))</f>
        <v>52.1</v>
      </c>
      <c r="C14" s="14">
        <f>Table1346811345671012[[#This Row],[PMI]]-B13</f>
        <v>-1.1999999999999957</v>
      </c>
    </row>
    <row r="15" spans="1:10" x14ac:dyDescent="0.35">
      <c r="A15" s="8">
        <v>40725</v>
      </c>
      <c r="B15" s="11">
        <f>IF(VLOOKUP(A15,'DB Country PMI'!$A:$W,MATCH($A$1,'DB Country PMI'!$A$1:$W$1,),)=0,#N/A,VLOOKUP(A15,'DB Country PMI'!$A:$W,MATCH($A$1,'DB Country PMI'!$A$1:$W$1,),))</f>
        <v>53.7</v>
      </c>
      <c r="C15" s="14">
        <f>Table1346811345671012[[#This Row],[PMI]]-B14</f>
        <v>1.6000000000000014</v>
      </c>
    </row>
    <row r="16" spans="1:10" x14ac:dyDescent="0.35">
      <c r="A16" s="8">
        <v>40756</v>
      </c>
      <c r="B16" s="11">
        <f>IF(VLOOKUP(A16,'DB Country PMI'!$A:$W,MATCH($A$1,'DB Country PMI'!$A$1:$W$1,),)=0,#N/A,VLOOKUP(A16,'DB Country PMI'!$A:$W,MATCH($A$1,'DB Country PMI'!$A$1:$W$1,),))</f>
        <v>52.1</v>
      </c>
      <c r="C16" s="14">
        <f>Table1346811345671012[[#This Row],[PMI]]-B15</f>
        <v>-1.6000000000000014</v>
      </c>
    </row>
    <row r="17" spans="1:3" x14ac:dyDescent="0.35">
      <c r="A17" s="8">
        <v>40787</v>
      </c>
      <c r="B17" s="11">
        <f>IF(VLOOKUP(A17,'DB Country PMI'!$A:$W,MATCH($A$1,'DB Country PMI'!$A$1:$W$1,),)=0,#N/A,VLOOKUP(A17,'DB Country PMI'!$A:$W,MATCH($A$1,'DB Country PMI'!$A$1:$W$1,),))</f>
        <v>50.5</v>
      </c>
      <c r="C17" s="14">
        <f>Table1346811345671012[[#This Row],[PMI]]-B16</f>
        <v>-1.6000000000000014</v>
      </c>
    </row>
    <row r="18" spans="1:3" x14ac:dyDescent="0.35">
      <c r="A18" s="8">
        <v>40817</v>
      </c>
      <c r="B18" s="11">
        <f>IF(VLOOKUP(A18,'DB Country PMI'!$A:$W,MATCH($A$1,'DB Country PMI'!$A$1:$W$1,),)=0,#N/A,VLOOKUP(A18,'DB Country PMI'!$A:$W,MATCH($A$1,'DB Country PMI'!$A$1:$W$1,),))</f>
        <v>53.6</v>
      </c>
      <c r="C18" s="14">
        <f>Table1346811345671012[[#This Row],[PMI]]-B17</f>
        <v>3.1000000000000014</v>
      </c>
    </row>
    <row r="19" spans="1:3" x14ac:dyDescent="0.35">
      <c r="A19" s="8">
        <v>40848</v>
      </c>
      <c r="B19" s="11">
        <f>IF(VLOOKUP(A19,'DB Country PMI'!$A:$W,MATCH($A$1,'DB Country PMI'!$A$1:$W$1,),)=0,#N/A,VLOOKUP(A19,'DB Country PMI'!$A:$W,MATCH($A$1,'DB Country PMI'!$A$1:$W$1,),))</f>
        <v>52.6</v>
      </c>
      <c r="C19" s="14">
        <f>Table1346811345671012[[#This Row],[PMI]]-B18</f>
        <v>-1</v>
      </c>
    </row>
    <row r="20" spans="1:3" x14ac:dyDescent="0.35">
      <c r="A20" s="8">
        <v>40878</v>
      </c>
      <c r="B20" s="11">
        <f>IF(VLOOKUP(A20,'DB Country PMI'!$A:$W,MATCH($A$1,'DB Country PMI'!$A$1:$W$1,),)=0,#N/A,VLOOKUP(A20,'DB Country PMI'!$A:$W,MATCH($A$1,'DB Country PMI'!$A$1:$W$1,),))</f>
        <v>54.8</v>
      </c>
      <c r="C20" s="14">
        <f>Table1346811345671012[[#This Row],[PMI]]-B19</f>
        <v>2.1999999999999957</v>
      </c>
    </row>
    <row r="21" spans="1:3" x14ac:dyDescent="0.35">
      <c r="A21" s="8">
        <v>40909</v>
      </c>
      <c r="B21" s="11">
        <f>IF(VLOOKUP(A21,'DB Country PMI'!$A:$W,MATCH($A$1,'DB Country PMI'!$A$1:$W$1,),)=0,#N/A,VLOOKUP(A21,'DB Country PMI'!$A:$W,MATCH($A$1,'DB Country PMI'!$A$1:$W$1,),))</f>
        <v>55</v>
      </c>
      <c r="C21" s="14">
        <f>Table1346811345671012[[#This Row],[PMI]]-B20</f>
        <v>0.20000000000000284</v>
      </c>
    </row>
    <row r="22" spans="1:3" x14ac:dyDescent="0.35">
      <c r="A22" s="8">
        <v>40940</v>
      </c>
      <c r="B22" s="11">
        <f>IF(VLOOKUP(A22,'DB Country PMI'!$A:$W,MATCH($A$1,'DB Country PMI'!$A$1:$W$1,),)=0,#N/A,VLOOKUP(A22,'DB Country PMI'!$A:$W,MATCH($A$1,'DB Country PMI'!$A$1:$W$1,),))</f>
        <v>57.1</v>
      </c>
      <c r="C22" s="14">
        <f>Table1346811345671012[[#This Row],[PMI]]-B21</f>
        <v>2.1000000000000014</v>
      </c>
    </row>
    <row r="23" spans="1:3" x14ac:dyDescent="0.35">
      <c r="A23" s="8">
        <v>40969</v>
      </c>
      <c r="B23" s="11">
        <f>IF(VLOOKUP(A23,'DB Country PMI'!$A:$W,MATCH($A$1,'DB Country PMI'!$A$1:$W$1,),)=0,#N/A,VLOOKUP(A23,'DB Country PMI'!$A:$W,MATCH($A$1,'DB Country PMI'!$A$1:$W$1,),))</f>
        <v>53.8</v>
      </c>
      <c r="C23" s="14">
        <f>Table1346811345671012[[#This Row],[PMI]]-B22</f>
        <v>-3.3000000000000043</v>
      </c>
    </row>
    <row r="24" spans="1:3" x14ac:dyDescent="0.35">
      <c r="A24" s="8">
        <v>41000</v>
      </c>
      <c r="B24" s="11">
        <f>IF(VLOOKUP(A24,'DB Country PMI'!$A:$W,MATCH($A$1,'DB Country PMI'!$A$1:$W$1,),)=0,#N/A,VLOOKUP(A24,'DB Country PMI'!$A:$W,MATCH($A$1,'DB Country PMI'!$A$1:$W$1,),))</f>
        <v>54.4</v>
      </c>
      <c r="C24" s="14">
        <f>Table1346811345671012[[#This Row],[PMI]]-B23</f>
        <v>0.60000000000000142</v>
      </c>
    </row>
    <row r="25" spans="1:3" x14ac:dyDescent="0.35">
      <c r="A25" s="8">
        <v>41030</v>
      </c>
      <c r="B25" s="11">
        <f>IF(VLOOKUP(A25,'DB Country PMI'!$A:$W,MATCH($A$1,'DB Country PMI'!$A$1:$W$1,),)=0,#N/A,VLOOKUP(A25,'DB Country PMI'!$A:$W,MATCH($A$1,'DB Country PMI'!$A$1:$W$1,),))</f>
        <v>49.7</v>
      </c>
      <c r="C25" s="14">
        <f>Table1346811345671012[[#This Row],[PMI]]-B24</f>
        <v>-4.6999999999999957</v>
      </c>
    </row>
    <row r="26" spans="1:3" x14ac:dyDescent="0.35">
      <c r="A26" s="8">
        <v>41061</v>
      </c>
      <c r="B26" s="11">
        <f>IF(VLOOKUP(A26,'DB Country PMI'!$A:$W,MATCH($A$1,'DB Country PMI'!$A$1:$W$1,),)=0,#N/A,VLOOKUP(A26,'DB Country PMI'!$A:$W,MATCH($A$1,'DB Country PMI'!$A$1:$W$1,),))</f>
        <v>53</v>
      </c>
      <c r="C26" s="14">
        <f>Table1346811345671012[[#This Row],[PMI]]-B25</f>
        <v>3.2999999999999972</v>
      </c>
    </row>
    <row r="27" spans="1:3" x14ac:dyDescent="0.35">
      <c r="A27" s="8">
        <v>41091</v>
      </c>
      <c r="B27" s="11">
        <f>IF(VLOOKUP(A27,'DB Country PMI'!$A:$W,MATCH($A$1,'DB Country PMI'!$A$1:$W$1,),)=0,#N/A,VLOOKUP(A27,'DB Country PMI'!$A:$W,MATCH($A$1,'DB Country PMI'!$A$1:$W$1,),))</f>
        <v>48.9</v>
      </c>
      <c r="C27" s="14">
        <f>Table1346811345671012[[#This Row],[PMI]]-B26</f>
        <v>-4.1000000000000014</v>
      </c>
    </row>
    <row r="28" spans="1:3" x14ac:dyDescent="0.35">
      <c r="A28" s="8">
        <v>41122</v>
      </c>
      <c r="B28" s="11">
        <f>IF(VLOOKUP(A28,'DB Country PMI'!$A:$W,MATCH($A$1,'DB Country PMI'!$A$1:$W$1,),)=0,#N/A,VLOOKUP(A28,'DB Country PMI'!$A:$W,MATCH($A$1,'DB Country PMI'!$A$1:$W$1,),))</f>
        <v>48.1</v>
      </c>
      <c r="C28" s="14">
        <f>Table1346811345671012[[#This Row],[PMI]]-B27</f>
        <v>-0.79999999999999716</v>
      </c>
    </row>
    <row r="29" spans="1:3" x14ac:dyDescent="0.35">
      <c r="A29" s="8">
        <v>41153</v>
      </c>
      <c r="B29" s="11">
        <f>IF(VLOOKUP(A29,'DB Country PMI'!$A:$W,MATCH($A$1,'DB Country PMI'!$A$1:$W$1,),)=0,#N/A,VLOOKUP(A29,'DB Country PMI'!$A:$W,MATCH($A$1,'DB Country PMI'!$A$1:$W$1,),))</f>
        <v>52.8</v>
      </c>
      <c r="C29" s="14">
        <f>Table1346811345671012[[#This Row],[PMI]]-B28</f>
        <v>4.6999999999999957</v>
      </c>
    </row>
    <row r="30" spans="1:3" x14ac:dyDescent="0.35">
      <c r="A30" s="8">
        <v>41183</v>
      </c>
      <c r="B30" s="11">
        <f>IF(VLOOKUP(A30,'DB Country PMI'!$A:$W,MATCH($A$1,'DB Country PMI'!$A$1:$W$1,),)=0,#N/A,VLOOKUP(A30,'DB Country PMI'!$A:$W,MATCH($A$1,'DB Country PMI'!$A$1:$W$1,),))</f>
        <v>50.4</v>
      </c>
      <c r="C30" s="14">
        <f>Table1346811345671012[[#This Row],[PMI]]-B29</f>
        <v>-2.3999999999999986</v>
      </c>
    </row>
    <row r="31" spans="1:3" x14ac:dyDescent="0.35">
      <c r="A31" s="8">
        <v>41214</v>
      </c>
      <c r="B31" s="11">
        <f>IF(VLOOKUP(A31,'DB Country PMI'!$A:$W,MATCH($A$1,'DB Country PMI'!$A$1:$W$1,),)=0,#N/A,VLOOKUP(A31,'DB Country PMI'!$A:$W,MATCH($A$1,'DB Country PMI'!$A$1:$W$1,),))</f>
        <v>52.5</v>
      </c>
      <c r="C31" s="14">
        <f>Table1346811345671012[[#This Row],[PMI]]-B30</f>
        <v>2.1000000000000014</v>
      </c>
    </row>
    <row r="32" spans="1:3" x14ac:dyDescent="0.35">
      <c r="A32" s="8">
        <v>41244</v>
      </c>
      <c r="B32" s="11">
        <f>IF(VLOOKUP(A32,'DB Country PMI'!$A:$W,MATCH($A$1,'DB Country PMI'!$A$1:$W$1,),)=0,#N/A,VLOOKUP(A32,'DB Country PMI'!$A:$W,MATCH($A$1,'DB Country PMI'!$A$1:$W$1,),))</f>
        <v>53.2</v>
      </c>
      <c r="C32" s="14">
        <f>Table1346811345671012[[#This Row],[PMI]]-B31</f>
        <v>0.70000000000000284</v>
      </c>
    </row>
    <row r="33" spans="1:3" x14ac:dyDescent="0.35">
      <c r="A33" s="8">
        <v>41275</v>
      </c>
      <c r="B33" s="11">
        <f>IF(VLOOKUP(A33,'DB Country PMI'!$A:$W,MATCH($A$1,'DB Country PMI'!$A$1:$W$1,),)=0,#N/A,VLOOKUP(A33,'DB Country PMI'!$A:$W,MATCH($A$1,'DB Country PMI'!$A$1:$W$1,),))</f>
        <v>54.5</v>
      </c>
      <c r="C33" s="14">
        <f>Table1346811345671012[[#This Row],[PMI]]-B32</f>
        <v>1.2999999999999972</v>
      </c>
    </row>
    <row r="34" spans="1:3" x14ac:dyDescent="0.35">
      <c r="A34" s="8">
        <v>41306</v>
      </c>
      <c r="B34" s="11">
        <f>IF(VLOOKUP(A34,'DB Country PMI'!$A:$W,MATCH($A$1,'DB Country PMI'!$A$1:$W$1,),)=0,#N/A,VLOOKUP(A34,'DB Country PMI'!$A:$W,MATCH($A$1,'DB Country PMI'!$A$1:$W$1,),))</f>
        <v>52.1</v>
      </c>
      <c r="C34" s="14">
        <f>Table1346811345671012[[#This Row],[PMI]]-B33</f>
        <v>-2.3999999999999986</v>
      </c>
    </row>
    <row r="35" spans="1:3" x14ac:dyDescent="0.35">
      <c r="A35" s="8">
        <v>41334</v>
      </c>
      <c r="B35" s="11">
        <f>IF(VLOOKUP(A35,'DB Country PMI'!$A:$W,MATCH($A$1,'DB Country PMI'!$A$1:$W$1,),)=0,#N/A,VLOOKUP(A35,'DB Country PMI'!$A:$W,MATCH($A$1,'DB Country PMI'!$A$1:$W$1,),))</f>
        <v>50.3</v>
      </c>
      <c r="C35" s="14">
        <f>Table1346811345671012[[#This Row],[PMI]]-B34</f>
        <v>-1.8000000000000043</v>
      </c>
    </row>
    <row r="36" spans="1:3" x14ac:dyDescent="0.35">
      <c r="A36" s="8">
        <v>41365</v>
      </c>
      <c r="B36" s="11">
        <f>IF(VLOOKUP(A36,'DB Country PMI'!$A:$W,MATCH($A$1,'DB Country PMI'!$A$1:$W$1,),)=0,#N/A,VLOOKUP(A36,'DB Country PMI'!$A:$W,MATCH($A$1,'DB Country PMI'!$A$1:$W$1,),))</f>
        <v>51</v>
      </c>
      <c r="C36" s="14">
        <f>Table1346811345671012[[#This Row],[PMI]]-B35</f>
        <v>0.70000000000000284</v>
      </c>
    </row>
    <row r="37" spans="1:3" x14ac:dyDescent="0.35">
      <c r="A37" s="8">
        <v>41395</v>
      </c>
      <c r="B37" s="11">
        <f>IF(VLOOKUP(A37,'DB Country PMI'!$A:$W,MATCH($A$1,'DB Country PMI'!$A$1:$W$1,),)=0,#N/A,VLOOKUP(A37,'DB Country PMI'!$A:$W,MATCH($A$1,'DB Country PMI'!$A$1:$W$1,),))</f>
        <v>51</v>
      </c>
      <c r="C37" s="14">
        <f>Table1346811345671012[[#This Row],[PMI]]-B36</f>
        <v>0</v>
      </c>
    </row>
    <row r="38" spans="1:3" x14ac:dyDescent="0.35">
      <c r="A38" s="8">
        <v>41426</v>
      </c>
      <c r="B38" s="11">
        <f>IF(VLOOKUP(A38,'DB Country PMI'!$A:$W,MATCH($A$1,'DB Country PMI'!$A$1:$W$1,),)=0,#N/A,VLOOKUP(A38,'DB Country PMI'!$A:$W,MATCH($A$1,'DB Country PMI'!$A$1:$W$1,),))</f>
        <v>50.3</v>
      </c>
      <c r="C38" s="14">
        <f>Table1346811345671012[[#This Row],[PMI]]-B37</f>
        <v>-0.70000000000000284</v>
      </c>
    </row>
    <row r="39" spans="1:3" x14ac:dyDescent="0.35">
      <c r="A39" s="8">
        <v>41456</v>
      </c>
      <c r="B39" s="11">
        <f>IF(VLOOKUP(A39,'DB Country PMI'!$A:$W,MATCH($A$1,'DB Country PMI'!$A$1:$W$1,),)=0,#N/A,VLOOKUP(A39,'DB Country PMI'!$A:$W,MATCH($A$1,'DB Country PMI'!$A$1:$W$1,),))</f>
        <v>49.7</v>
      </c>
      <c r="C39" s="14">
        <f>Table1346811345671012[[#This Row],[PMI]]-B38</f>
        <v>-0.59999999999999432</v>
      </c>
    </row>
    <row r="40" spans="1:3" x14ac:dyDescent="0.35">
      <c r="A40" s="8">
        <v>41487</v>
      </c>
      <c r="B40" s="11">
        <f>IF(VLOOKUP(A40,'DB Country PMI'!$A:$W,MATCH($A$1,'DB Country PMI'!$A$1:$W$1,),)=0,#N/A,VLOOKUP(A40,'DB Country PMI'!$A:$W,MATCH($A$1,'DB Country PMI'!$A$1:$W$1,),))</f>
        <v>50.7</v>
      </c>
      <c r="C40" s="14">
        <f>Table1346811345671012[[#This Row],[PMI]]-B39</f>
        <v>1</v>
      </c>
    </row>
    <row r="41" spans="1:3" x14ac:dyDescent="0.35">
      <c r="A41" s="8">
        <v>41518</v>
      </c>
      <c r="B41" s="11">
        <f>IF(VLOOKUP(A41,'DB Country PMI'!$A:$W,MATCH($A$1,'DB Country PMI'!$A$1:$W$1,),)=0,#N/A,VLOOKUP(A41,'DB Country PMI'!$A:$W,MATCH($A$1,'DB Country PMI'!$A$1:$W$1,),))</f>
        <v>52.1</v>
      </c>
      <c r="C41" s="14">
        <f>Table1346811345671012[[#This Row],[PMI]]-B40</f>
        <v>1.3999999999999986</v>
      </c>
    </row>
    <row r="42" spans="1:3" x14ac:dyDescent="0.35">
      <c r="A42" s="8">
        <v>41548</v>
      </c>
      <c r="B42" s="11">
        <f>IF(VLOOKUP(A42,'DB Country PMI'!$A:$W,MATCH($A$1,'DB Country PMI'!$A$1:$W$1,),)=0,#N/A,VLOOKUP(A42,'DB Country PMI'!$A:$W,MATCH($A$1,'DB Country PMI'!$A$1:$W$1,),))</f>
        <v>52.3</v>
      </c>
      <c r="C42" s="14">
        <f>Table1346811345671012[[#This Row],[PMI]]-B41</f>
        <v>0.19999999999999574</v>
      </c>
    </row>
    <row r="43" spans="1:3" x14ac:dyDescent="0.35">
      <c r="A43" s="8">
        <v>41579</v>
      </c>
      <c r="B43" s="11">
        <f>IF(VLOOKUP(A43,'DB Country PMI'!$A:$W,MATCH($A$1,'DB Country PMI'!$A$1:$W$1,),)=0,#N/A,VLOOKUP(A43,'DB Country PMI'!$A:$W,MATCH($A$1,'DB Country PMI'!$A$1:$W$1,),))</f>
        <v>51.7</v>
      </c>
      <c r="C43" s="14">
        <f>Table1346811345671012[[#This Row],[PMI]]-B42</f>
        <v>-0.59999999999999432</v>
      </c>
    </row>
    <row r="44" spans="1:3" x14ac:dyDescent="0.35">
      <c r="A44" s="8">
        <v>41609</v>
      </c>
      <c r="B44" s="11">
        <f>IF(VLOOKUP(A44,'DB Country PMI'!$A:$W,MATCH($A$1,'DB Country PMI'!$A$1:$W$1,),)=0,#N/A,VLOOKUP(A44,'DB Country PMI'!$A:$W,MATCH($A$1,'DB Country PMI'!$A$1:$W$1,),))</f>
        <v>50.5</v>
      </c>
      <c r="C44" s="14">
        <f>Table1346811345671012[[#This Row],[PMI]]-B43</f>
        <v>-1.2000000000000028</v>
      </c>
    </row>
    <row r="45" spans="1:3" x14ac:dyDescent="0.35">
      <c r="A45" s="8">
        <v>41640</v>
      </c>
      <c r="B45" s="11">
        <f>IF(VLOOKUP(A45,'DB Country PMI'!$A:$W,MATCH($A$1,'DB Country PMI'!$A$1:$W$1,),)=0,#N/A,VLOOKUP(A45,'DB Country PMI'!$A:$W,MATCH($A$1,'DB Country PMI'!$A$1:$W$1,),))</f>
        <v>49.6</v>
      </c>
      <c r="C45" s="14">
        <f>Table1346811345671012[[#This Row],[PMI]]-B44</f>
        <v>-0.89999999999999858</v>
      </c>
    </row>
    <row r="46" spans="1:3" x14ac:dyDescent="0.35">
      <c r="A46" s="8">
        <v>41671</v>
      </c>
      <c r="B46" s="11">
        <f>IF(VLOOKUP(A46,'DB Country PMI'!$A:$W,MATCH($A$1,'DB Country PMI'!$A$1:$W$1,),)=0,#N/A,VLOOKUP(A46,'DB Country PMI'!$A:$W,MATCH($A$1,'DB Country PMI'!$A$1:$W$1,),))</f>
        <v>50.8</v>
      </c>
      <c r="C46" s="14">
        <f>Table1346811345671012[[#This Row],[PMI]]-B45</f>
        <v>1.1999999999999957</v>
      </c>
    </row>
    <row r="47" spans="1:3" x14ac:dyDescent="0.35">
      <c r="A47" s="8">
        <v>41699</v>
      </c>
      <c r="B47" s="11">
        <f>IF(VLOOKUP(A47,'DB Country PMI'!$A:$W,MATCH($A$1,'DB Country PMI'!$A$1:$W$1,),)=0,#N/A,VLOOKUP(A47,'DB Country PMI'!$A:$W,MATCH($A$1,'DB Country PMI'!$A$1:$W$1,),))</f>
        <v>51</v>
      </c>
      <c r="C47" s="14">
        <f>Table1346811345671012[[#This Row],[PMI]]-B46</f>
        <v>0.20000000000000284</v>
      </c>
    </row>
    <row r="48" spans="1:3" x14ac:dyDescent="0.35">
      <c r="A48" s="8">
        <v>41730</v>
      </c>
      <c r="B48" s="11">
        <f>IF(VLOOKUP(A48,'DB Country PMI'!$A:$W,MATCH($A$1,'DB Country PMI'!$A$1:$W$1,),)=0,#N/A,VLOOKUP(A48,'DB Country PMI'!$A:$W,MATCH($A$1,'DB Country PMI'!$A$1:$W$1,),))</f>
        <v>48.6</v>
      </c>
      <c r="C48" s="14">
        <f>Table1346811345671012[[#This Row],[PMI]]-B47</f>
        <v>-2.3999999999999986</v>
      </c>
    </row>
    <row r="49" spans="1:3" x14ac:dyDescent="0.35">
      <c r="A49" s="8">
        <v>41760</v>
      </c>
      <c r="B49" s="11">
        <f>IF(VLOOKUP(A49,'DB Country PMI'!$A:$W,MATCH($A$1,'DB Country PMI'!$A$1:$W$1,),)=0,#N/A,VLOOKUP(A49,'DB Country PMI'!$A:$W,MATCH($A$1,'DB Country PMI'!$A$1:$W$1,),))</f>
        <v>50.6</v>
      </c>
      <c r="C49" s="14">
        <f>Table1346811345671012[[#This Row],[PMI]]-B48</f>
        <v>2</v>
      </c>
    </row>
    <row r="50" spans="1:3" x14ac:dyDescent="0.35">
      <c r="A50" s="8">
        <v>41791</v>
      </c>
      <c r="B50" s="11">
        <f>IF(VLOOKUP(A50,'DB Country PMI'!$A:$W,MATCH($A$1,'DB Country PMI'!$A$1:$W$1,),)=0,#N/A,VLOOKUP(A50,'DB Country PMI'!$A:$W,MATCH($A$1,'DB Country PMI'!$A$1:$W$1,),))</f>
        <v>51.4</v>
      </c>
      <c r="C50" s="14">
        <f>Table1346811345671012[[#This Row],[PMI]]-B49</f>
        <v>0.79999999999999716</v>
      </c>
    </row>
    <row r="51" spans="1:3" x14ac:dyDescent="0.35">
      <c r="A51" s="8">
        <v>41821</v>
      </c>
      <c r="B51" s="11">
        <f>IF(VLOOKUP(A51,'DB Country PMI'!$A:$W,MATCH($A$1,'DB Country PMI'!$A$1:$W$1,),)=0,#N/A,VLOOKUP(A51,'DB Country PMI'!$A:$W,MATCH($A$1,'DB Country PMI'!$A$1:$W$1,),))</f>
        <v>50.2</v>
      </c>
      <c r="C51" s="14">
        <f>Table1346811345671012[[#This Row],[PMI]]-B50</f>
        <v>-1.1999999999999957</v>
      </c>
    </row>
    <row r="52" spans="1:3" x14ac:dyDescent="0.35">
      <c r="A52" s="8">
        <v>41852</v>
      </c>
      <c r="B52" s="11">
        <f>IF(VLOOKUP(A52,'DB Country PMI'!$A:$W,MATCH($A$1,'DB Country PMI'!$A$1:$W$1,),)=0,#N/A,VLOOKUP(A52,'DB Country PMI'!$A:$W,MATCH($A$1,'DB Country PMI'!$A$1:$W$1,),))</f>
        <v>49.2</v>
      </c>
      <c r="C52" s="14">
        <f>Table1346811345671012[[#This Row],[PMI]]-B51</f>
        <v>-1</v>
      </c>
    </row>
    <row r="53" spans="1:3" x14ac:dyDescent="0.35">
      <c r="A53" s="8">
        <v>41883</v>
      </c>
      <c r="B53" s="11">
        <f>IF(VLOOKUP(A53,'DB Country PMI'!$A:$W,MATCH($A$1,'DB Country PMI'!$A$1:$W$1,),)=0,#N/A,VLOOKUP(A53,'DB Country PMI'!$A:$W,MATCH($A$1,'DB Country PMI'!$A$1:$W$1,),))</f>
        <v>51.2</v>
      </c>
      <c r="C53" s="14">
        <f>Table1346811345671012[[#This Row],[PMI]]-B52</f>
        <v>2</v>
      </c>
    </row>
    <row r="54" spans="1:3" x14ac:dyDescent="0.35">
      <c r="A54" s="8">
        <v>41913</v>
      </c>
      <c r="B54" s="11">
        <f>IF(VLOOKUP(A54,'DB Country PMI'!$A:$W,MATCH($A$1,'DB Country PMI'!$A$1:$W$1,),)=0,#N/A,VLOOKUP(A54,'DB Country PMI'!$A:$W,MATCH($A$1,'DB Country PMI'!$A$1:$W$1,),))</f>
        <v>48.2</v>
      </c>
      <c r="C54" s="14">
        <f>Table1346811345671012[[#This Row],[PMI]]-B53</f>
        <v>-3</v>
      </c>
    </row>
    <row r="55" spans="1:3" x14ac:dyDescent="0.35">
      <c r="A55" s="8">
        <v>41944</v>
      </c>
      <c r="B55" s="11">
        <f>IF(VLOOKUP(A55,'DB Country PMI'!$A:$W,MATCH($A$1,'DB Country PMI'!$A$1:$W$1,),)=0,#N/A,VLOOKUP(A55,'DB Country PMI'!$A:$W,MATCH($A$1,'DB Country PMI'!$A$1:$W$1,),))</f>
        <v>48.5</v>
      </c>
      <c r="C55" s="14">
        <f>Table1346811345671012[[#This Row],[PMI]]-B54</f>
        <v>0.29999999999999716</v>
      </c>
    </row>
    <row r="56" spans="1:3" x14ac:dyDescent="0.35">
      <c r="A56" s="8">
        <v>41974</v>
      </c>
      <c r="B56" s="11">
        <f>IF(VLOOKUP(A56,'DB Country PMI'!$A:$W,MATCH($A$1,'DB Country PMI'!$A$1:$W$1,),)=0,#N/A,VLOOKUP(A56,'DB Country PMI'!$A:$W,MATCH($A$1,'DB Country PMI'!$A$1:$W$1,),))</f>
        <v>49.1</v>
      </c>
      <c r="C56" s="14">
        <f>Table1346811345671012[[#This Row],[PMI]]-B55</f>
        <v>0.60000000000000142</v>
      </c>
    </row>
    <row r="57" spans="1:3" x14ac:dyDescent="0.35">
      <c r="A57" s="8">
        <v>42005</v>
      </c>
      <c r="B57" s="11">
        <f>IF(VLOOKUP(A57,'DB Country PMI'!$A:$W,MATCH($A$1,'DB Country PMI'!$A$1:$W$1,),)=0,#N/A,VLOOKUP(A57,'DB Country PMI'!$A:$W,MATCH($A$1,'DB Country PMI'!$A$1:$W$1,),))</f>
        <v>48.4</v>
      </c>
      <c r="C57" s="14">
        <f>Table1346811345671012[[#This Row],[PMI]]-B56</f>
        <v>-0.70000000000000284</v>
      </c>
    </row>
    <row r="58" spans="1:3" x14ac:dyDescent="0.35">
      <c r="A58" s="8">
        <v>42036</v>
      </c>
      <c r="B58" s="11">
        <f>IF(VLOOKUP(A58,'DB Country PMI'!$A:$W,MATCH($A$1,'DB Country PMI'!$A$1:$W$1,),)=0,#N/A,VLOOKUP(A58,'DB Country PMI'!$A:$W,MATCH($A$1,'DB Country PMI'!$A$1:$W$1,),))</f>
        <v>52.3</v>
      </c>
      <c r="C58" s="14">
        <f>Table1346811345671012[[#This Row],[PMI]]-B57</f>
        <v>3.8999999999999986</v>
      </c>
    </row>
    <row r="59" spans="1:3" x14ac:dyDescent="0.35">
      <c r="A59" s="8">
        <v>42064</v>
      </c>
      <c r="B59" s="11">
        <f>IF(VLOOKUP(A59,'DB Country PMI'!$A:$W,MATCH($A$1,'DB Country PMI'!$A$1:$W$1,),)=0,#N/A,VLOOKUP(A59,'DB Country PMI'!$A:$W,MATCH($A$1,'DB Country PMI'!$A$1:$W$1,),))</f>
        <v>47.9</v>
      </c>
      <c r="C59" s="14">
        <f>Table1346811345671012[[#This Row],[PMI]]-B58</f>
        <v>-4.3999999999999986</v>
      </c>
    </row>
    <row r="60" spans="1:3" x14ac:dyDescent="0.35">
      <c r="A60" s="8">
        <v>42095</v>
      </c>
      <c r="B60" s="11">
        <f>IF(VLOOKUP(A60,'DB Country PMI'!$A:$W,MATCH($A$1,'DB Country PMI'!$A$1:$W$1,),)=0,#N/A,VLOOKUP(A60,'DB Country PMI'!$A:$W,MATCH($A$1,'DB Country PMI'!$A$1:$W$1,),))</f>
        <v>44.6</v>
      </c>
      <c r="C60" s="14">
        <f>Table1346811345671012[[#This Row],[PMI]]-B59</f>
        <v>-3.2999999999999972</v>
      </c>
    </row>
    <row r="61" spans="1:3" x14ac:dyDescent="0.35">
      <c r="A61" s="8">
        <v>42125</v>
      </c>
      <c r="B61" s="11">
        <f>IF(VLOOKUP(A61,'DB Country PMI'!$A:$W,MATCH($A$1,'DB Country PMI'!$A$1:$W$1,),)=0,#N/A,VLOOKUP(A61,'DB Country PMI'!$A:$W,MATCH($A$1,'DB Country PMI'!$A$1:$W$1,),))</f>
        <v>42.5</v>
      </c>
      <c r="C61" s="14">
        <f>Table1346811345671012[[#This Row],[PMI]]-B60</f>
        <v>-2.1000000000000014</v>
      </c>
    </row>
    <row r="62" spans="1:3" x14ac:dyDescent="0.35">
      <c r="A62" s="8">
        <v>42156</v>
      </c>
      <c r="B62" s="11">
        <f>IF(VLOOKUP(A62,'DB Country PMI'!$A:$W,MATCH($A$1,'DB Country PMI'!$A$1:$W$1,),)=0,#N/A,VLOOKUP(A62,'DB Country PMI'!$A:$W,MATCH($A$1,'DB Country PMI'!$A$1:$W$1,),))</f>
        <v>39.9</v>
      </c>
      <c r="C62" s="14">
        <f>Table1346811345671012[[#This Row],[PMI]]-B61</f>
        <v>-2.6000000000000014</v>
      </c>
    </row>
    <row r="63" spans="1:3" x14ac:dyDescent="0.35">
      <c r="A63" s="8">
        <v>42186</v>
      </c>
      <c r="B63" s="11">
        <f>IF(VLOOKUP(A63,'DB Country PMI'!$A:$W,MATCH($A$1,'DB Country PMI'!$A$1:$W$1,),)=0,#N/A,VLOOKUP(A63,'DB Country PMI'!$A:$W,MATCH($A$1,'DB Country PMI'!$A$1:$W$1,),))</f>
        <v>39.1</v>
      </c>
      <c r="C63" s="14">
        <f>Table1346811345671012[[#This Row],[PMI]]-B62</f>
        <v>-0.79999999999999716</v>
      </c>
    </row>
    <row r="64" spans="1:3" x14ac:dyDescent="0.35">
      <c r="A64" s="8">
        <v>42217</v>
      </c>
      <c r="B64" s="11">
        <f>IF(VLOOKUP(A64,'DB Country PMI'!$A:$W,MATCH($A$1,'DB Country PMI'!$A$1:$W$1,),)=0,#N/A,VLOOKUP(A64,'DB Country PMI'!$A:$W,MATCH($A$1,'DB Country PMI'!$A$1:$W$1,),))</f>
        <v>44.8</v>
      </c>
      <c r="C64" s="14">
        <f>Table1346811345671012[[#This Row],[PMI]]-B63</f>
        <v>5.6999999999999957</v>
      </c>
    </row>
    <row r="65" spans="1:3" x14ac:dyDescent="0.35">
      <c r="A65" s="8">
        <v>42248</v>
      </c>
      <c r="B65" s="11">
        <f>IF(VLOOKUP(A65,'DB Country PMI'!$A:$W,MATCH($A$1,'DB Country PMI'!$A$1:$W$1,),)=0,#N/A,VLOOKUP(A65,'DB Country PMI'!$A:$W,MATCH($A$1,'DB Country PMI'!$A$1:$W$1,),))</f>
        <v>41.7</v>
      </c>
      <c r="C65" s="14">
        <f>Table1346811345671012[[#This Row],[PMI]]-B64</f>
        <v>-3.0999999999999943</v>
      </c>
    </row>
    <row r="66" spans="1:3" x14ac:dyDescent="0.35">
      <c r="A66" s="8">
        <v>42278</v>
      </c>
      <c r="B66" s="11">
        <f>IF(VLOOKUP(A66,'DB Country PMI'!$A:$W,MATCH($A$1,'DB Country PMI'!$A$1:$W$1,),)=0,#N/A,VLOOKUP(A66,'DB Country PMI'!$A:$W,MATCH($A$1,'DB Country PMI'!$A$1:$W$1,),))</f>
        <v>43</v>
      </c>
      <c r="C66" s="14">
        <f>Table1346811345671012[[#This Row],[PMI]]-B65</f>
        <v>1.2999999999999972</v>
      </c>
    </row>
    <row r="67" spans="1:3" x14ac:dyDescent="0.35">
      <c r="A67" s="8">
        <v>42309</v>
      </c>
      <c r="B67" s="11">
        <f>IF(VLOOKUP(A67,'DB Country PMI'!$A:$W,MATCH($A$1,'DB Country PMI'!$A$1:$W$1,),)=0,#N/A,VLOOKUP(A67,'DB Country PMI'!$A:$W,MATCH($A$1,'DB Country PMI'!$A$1:$W$1,),))</f>
        <v>45.5</v>
      </c>
      <c r="C67" s="14">
        <f>Table1346811345671012[[#This Row],[PMI]]-B66</f>
        <v>2.5</v>
      </c>
    </row>
    <row r="68" spans="1:3" x14ac:dyDescent="0.35">
      <c r="A68" s="8">
        <v>42339</v>
      </c>
      <c r="B68" s="11">
        <f>IF(VLOOKUP(A68,'DB Country PMI'!$A:$W,MATCH($A$1,'DB Country PMI'!$A$1:$W$1,),)=0,#N/A,VLOOKUP(A68,'DB Country PMI'!$A:$W,MATCH($A$1,'DB Country PMI'!$A$1:$W$1,),))</f>
        <v>43.5</v>
      </c>
      <c r="C68" s="14">
        <f>Table1346811345671012[[#This Row],[PMI]]-B67</f>
        <v>-2</v>
      </c>
    </row>
    <row r="69" spans="1:3" x14ac:dyDescent="0.35">
      <c r="A69" s="8">
        <v>42370</v>
      </c>
      <c r="B69" s="11">
        <f>IF(VLOOKUP(A69,'DB Country PMI'!$A:$W,MATCH($A$1,'DB Country PMI'!$A$1:$W$1,),)=0,#N/A,VLOOKUP(A69,'DB Country PMI'!$A:$W,MATCH($A$1,'DB Country PMI'!$A$1:$W$1,),))</f>
        <v>44.4</v>
      </c>
      <c r="C69" s="14">
        <f>Table1346811345671012[[#This Row],[PMI]]-B68</f>
        <v>0.89999999999999858</v>
      </c>
    </row>
    <row r="70" spans="1:3" x14ac:dyDescent="0.35">
      <c r="A70" s="8">
        <v>42401</v>
      </c>
      <c r="B70" s="11">
        <f>IF(VLOOKUP(A70,'DB Country PMI'!$A:$W,MATCH($A$1,'DB Country PMI'!$A$1:$W$1,),)=0,#N/A,VLOOKUP(A70,'DB Country PMI'!$A:$W,MATCH($A$1,'DB Country PMI'!$A$1:$W$1,),))</f>
        <v>36.9</v>
      </c>
      <c r="C70" s="14">
        <f>Table1346811345671012[[#This Row],[PMI]]-B69</f>
        <v>-7.5</v>
      </c>
    </row>
    <row r="71" spans="1:3" x14ac:dyDescent="0.35">
      <c r="A71" s="8">
        <v>42430</v>
      </c>
      <c r="B71" s="11">
        <f>IF(VLOOKUP(A71,'DB Country PMI'!$A:$W,MATCH($A$1,'DB Country PMI'!$A$1:$W$1,),)=0,#N/A,VLOOKUP(A71,'DB Country PMI'!$A:$W,MATCH($A$1,'DB Country PMI'!$A$1:$W$1,),))</f>
        <v>38.6</v>
      </c>
      <c r="C71" s="14">
        <f>Table1346811345671012[[#This Row],[PMI]]-B70</f>
        <v>1.7000000000000028</v>
      </c>
    </row>
    <row r="72" spans="1:3" x14ac:dyDescent="0.35">
      <c r="A72" s="8">
        <v>42461</v>
      </c>
      <c r="B72" s="11">
        <f>IF(VLOOKUP(A72,'DB Country PMI'!$A:$W,MATCH($A$1,'DB Country PMI'!$A$1:$W$1,),)=0,#N/A,VLOOKUP(A72,'DB Country PMI'!$A:$W,MATCH($A$1,'DB Country PMI'!$A$1:$W$1,),))</f>
        <v>37.4</v>
      </c>
      <c r="C72" s="14">
        <f>Table1346811345671012[[#This Row],[PMI]]-B71</f>
        <v>-1.2000000000000028</v>
      </c>
    </row>
    <row r="73" spans="1:3" x14ac:dyDescent="0.35">
      <c r="A73" s="8">
        <v>42491</v>
      </c>
      <c r="B73" s="11">
        <f>IF(VLOOKUP(A73,'DB Country PMI'!$A:$W,MATCH($A$1,'DB Country PMI'!$A$1:$W$1,),)=0,#N/A,VLOOKUP(A73,'DB Country PMI'!$A:$W,MATCH($A$1,'DB Country PMI'!$A$1:$W$1,),))</f>
        <v>37.299999999999997</v>
      </c>
      <c r="C73" s="14">
        <f>Table1346811345671012[[#This Row],[PMI]]-B72</f>
        <v>-0.10000000000000142</v>
      </c>
    </row>
    <row r="74" spans="1:3" x14ac:dyDescent="0.35">
      <c r="A74" s="8">
        <v>42522</v>
      </c>
      <c r="B74" s="11">
        <f>IF(VLOOKUP(A74,'DB Country PMI'!$A:$W,MATCH($A$1,'DB Country PMI'!$A$1:$W$1,),)=0,#N/A,VLOOKUP(A74,'DB Country PMI'!$A:$W,MATCH($A$1,'DB Country PMI'!$A$1:$W$1,),))</f>
        <v>41.4</v>
      </c>
      <c r="C74" s="14">
        <f>Table1346811345671012[[#This Row],[PMI]]-B73</f>
        <v>4.1000000000000014</v>
      </c>
    </row>
    <row r="75" spans="1:3" x14ac:dyDescent="0.35">
      <c r="A75" s="8">
        <v>42552</v>
      </c>
      <c r="B75" s="11">
        <f>IF(VLOOKUP(A75,'DB Country PMI'!$A:$W,MATCH($A$1,'DB Country PMI'!$A$1:$W$1,),)=0,#N/A,VLOOKUP(A75,'DB Country PMI'!$A:$W,MATCH($A$1,'DB Country PMI'!$A$1:$W$1,),))</f>
        <v>45.6</v>
      </c>
      <c r="C75" s="14">
        <f>Table1346811345671012[[#This Row],[PMI]]-B74</f>
        <v>4.2000000000000028</v>
      </c>
    </row>
    <row r="76" spans="1:3" x14ac:dyDescent="0.35">
      <c r="A76" s="8">
        <v>42583</v>
      </c>
      <c r="B76" s="11">
        <f>IF(VLOOKUP(A76,'DB Country PMI'!$A:$W,MATCH($A$1,'DB Country PMI'!$A$1:$W$1,),)=0,#N/A,VLOOKUP(A76,'DB Country PMI'!$A:$W,MATCH($A$1,'DB Country PMI'!$A$1:$W$1,),))</f>
        <v>42.7</v>
      </c>
      <c r="C76" s="14">
        <f>Table1346811345671012[[#This Row],[PMI]]-B75</f>
        <v>-2.8999999999999986</v>
      </c>
    </row>
    <row r="77" spans="1:3" x14ac:dyDescent="0.35">
      <c r="A77" s="8">
        <v>42614</v>
      </c>
      <c r="B77" s="11">
        <f>IF(VLOOKUP(A77,'DB Country PMI'!$A:$W,MATCH($A$1,'DB Country PMI'!$A$1:$W$1,),)=0,#N/A,VLOOKUP(A77,'DB Country PMI'!$A:$W,MATCH($A$1,'DB Country PMI'!$A$1:$W$1,),))</f>
        <v>45.3</v>
      </c>
      <c r="C77" s="14">
        <f>Table1346811345671012[[#This Row],[PMI]]-B76</f>
        <v>2.5999999999999943</v>
      </c>
    </row>
    <row r="78" spans="1:3" x14ac:dyDescent="0.35">
      <c r="A78" s="8">
        <v>42644</v>
      </c>
      <c r="B78" s="11">
        <f>IF(VLOOKUP(A78,'DB Country PMI'!$A:$W,MATCH($A$1,'DB Country PMI'!$A$1:$W$1,),)=0,#N/A,VLOOKUP(A78,'DB Country PMI'!$A:$W,MATCH($A$1,'DB Country PMI'!$A$1:$W$1,),))</f>
        <v>43.9</v>
      </c>
      <c r="C78" s="14">
        <f>Table1346811345671012[[#This Row],[PMI]]-B77</f>
        <v>-1.3999999999999986</v>
      </c>
    </row>
    <row r="79" spans="1:3" x14ac:dyDescent="0.35">
      <c r="A79" s="8">
        <v>42675</v>
      </c>
      <c r="B79" s="11">
        <f>IF(VLOOKUP(A79,'DB Country PMI'!$A:$W,MATCH($A$1,'DB Country PMI'!$A$1:$W$1,),)=0,#N/A,VLOOKUP(A79,'DB Country PMI'!$A:$W,MATCH($A$1,'DB Country PMI'!$A$1:$W$1,),))</f>
        <v>44.4</v>
      </c>
      <c r="C79" s="14">
        <f>Table1346811345671012[[#This Row],[PMI]]-B78</f>
        <v>0.5</v>
      </c>
    </row>
    <row r="80" spans="1:3" x14ac:dyDescent="0.35">
      <c r="A80" s="8">
        <v>42705</v>
      </c>
      <c r="B80" s="11">
        <f>IF(VLOOKUP(A80,'DB Country PMI'!$A:$W,MATCH($A$1,'DB Country PMI'!$A$1:$W$1,),)=0,#N/A,VLOOKUP(A80,'DB Country PMI'!$A:$W,MATCH($A$1,'DB Country PMI'!$A$1:$W$1,),))</f>
        <v>45.1</v>
      </c>
      <c r="C80" s="14">
        <f>Table1346811345671012[[#This Row],[PMI]]-B79</f>
        <v>0.70000000000000284</v>
      </c>
    </row>
    <row r="81" spans="1:3" x14ac:dyDescent="0.35">
      <c r="A81" s="8">
        <v>42736</v>
      </c>
      <c r="B81" s="11">
        <f>IF(VLOOKUP(A81,'DB Country PMI'!$A:$W,MATCH($A$1,'DB Country PMI'!$A$1:$W$1,),)=0,#N/A,VLOOKUP(A81,'DB Country PMI'!$A:$W,MATCH($A$1,'DB Country PMI'!$A$1:$W$1,),))</f>
        <v>45.1</v>
      </c>
      <c r="C81" s="14">
        <f>Table1346811345671012[[#This Row],[PMI]]-B80</f>
        <v>0</v>
      </c>
    </row>
    <row r="82" spans="1:3" x14ac:dyDescent="0.35">
      <c r="A82" s="8">
        <v>42767</v>
      </c>
      <c r="B82" s="11">
        <f>IF(VLOOKUP(A82,'DB Country PMI'!$A:$W,MATCH($A$1,'DB Country PMI'!$A$1:$W$1,),)=0,#N/A,VLOOKUP(A82,'DB Country PMI'!$A:$W,MATCH($A$1,'DB Country PMI'!$A$1:$W$1,),))</f>
        <v>46.4</v>
      </c>
      <c r="C82" s="14">
        <f>Table1346811345671012[[#This Row],[PMI]]-B81</f>
        <v>1.2999999999999972</v>
      </c>
    </row>
    <row r="83" spans="1:3" x14ac:dyDescent="0.35">
      <c r="A83" s="8">
        <v>42795</v>
      </c>
      <c r="B83" s="11">
        <f>IF(VLOOKUP(A83,'DB Country PMI'!$A:$W,MATCH($A$1,'DB Country PMI'!$A$1:$W$1,),)=0,#N/A,VLOOKUP(A83,'DB Country PMI'!$A:$W,MATCH($A$1,'DB Country PMI'!$A$1:$W$1,),))</f>
        <v>47.7</v>
      </c>
      <c r="C83" s="14">
        <f>Table1346811345671012[[#This Row],[PMI]]-B82</f>
        <v>1.3000000000000043</v>
      </c>
    </row>
    <row r="84" spans="1:3" x14ac:dyDescent="0.35">
      <c r="A84" s="8">
        <v>42826</v>
      </c>
      <c r="B84" s="11">
        <f>IF(VLOOKUP(A84,'DB Country PMI'!$A:$W,MATCH($A$1,'DB Country PMI'!$A$1:$W$1,),)=0,#N/A,VLOOKUP(A84,'DB Country PMI'!$A:$W,MATCH($A$1,'DB Country PMI'!$A$1:$W$1,),))</f>
        <v>50.3</v>
      </c>
      <c r="C84" s="14">
        <f>Table1346811345671012[[#This Row],[PMI]]-B83</f>
        <v>2.5999999999999943</v>
      </c>
    </row>
    <row r="85" spans="1:3" x14ac:dyDescent="0.35">
      <c r="A85" s="8">
        <v>42856</v>
      </c>
      <c r="B85" s="11">
        <f>IF(VLOOKUP(A85,'DB Country PMI'!$A:$W,MATCH($A$1,'DB Country PMI'!$A$1:$W$1,),)=0,#N/A,VLOOKUP(A85,'DB Country PMI'!$A:$W,MATCH($A$1,'DB Country PMI'!$A$1:$W$1,),))</f>
        <v>49.2</v>
      </c>
      <c r="C85" s="14">
        <f>Table1346811345671012[[#This Row],[PMI]]-B84</f>
        <v>-1.0999999999999943</v>
      </c>
    </row>
    <row r="86" spans="1:3" x14ac:dyDescent="0.35">
      <c r="A86" s="8">
        <v>42887</v>
      </c>
      <c r="B86" s="11">
        <f>IF(VLOOKUP(A86,'DB Country PMI'!$A:$W,MATCH($A$1,'DB Country PMI'!$A$1:$W$1,),)=0,#N/A,VLOOKUP(A86,'DB Country PMI'!$A:$W,MATCH($A$1,'DB Country PMI'!$A$1:$W$1,),))</f>
        <v>47.4</v>
      </c>
      <c r="C86" s="14">
        <f>Table1346811345671012[[#This Row],[PMI]]-B85</f>
        <v>-1.8000000000000043</v>
      </c>
    </row>
    <row r="87" spans="1:3" x14ac:dyDescent="0.35">
      <c r="A87" s="8">
        <v>42917</v>
      </c>
      <c r="B87" s="11">
        <f>IF(VLOOKUP(A87,'DB Country PMI'!$A:$W,MATCH($A$1,'DB Country PMI'!$A$1:$W$1,),)=0,#N/A,VLOOKUP(A87,'DB Country PMI'!$A:$W,MATCH($A$1,'DB Country PMI'!$A$1:$W$1,),))</f>
        <v>48.8</v>
      </c>
      <c r="C87" s="14">
        <f>Table1346811345671012[[#This Row],[PMI]]-B86</f>
        <v>1.3999999999999986</v>
      </c>
    </row>
    <row r="88" spans="1:3" x14ac:dyDescent="0.35">
      <c r="A88" s="8">
        <v>42948</v>
      </c>
      <c r="B88" s="11">
        <f>IF(VLOOKUP(A88,'DB Country PMI'!$A:$W,MATCH($A$1,'DB Country PMI'!$A$1:$W$1,),)=0,#N/A,VLOOKUP(A88,'DB Country PMI'!$A:$W,MATCH($A$1,'DB Country PMI'!$A$1:$W$1,),))</f>
        <v>49</v>
      </c>
      <c r="C88" s="14">
        <f>Table1346811345671012[[#This Row],[PMI]]-B87</f>
        <v>0.20000000000000284</v>
      </c>
    </row>
    <row r="89" spans="1:3" x14ac:dyDescent="0.35">
      <c r="A89" s="8">
        <v>42979</v>
      </c>
      <c r="B89" s="11">
        <f>IF(VLOOKUP(A89,'DB Country PMI'!$A:$W,MATCH($A$1,'DB Country PMI'!$A$1:$W$1,),)=0,#N/A,VLOOKUP(A89,'DB Country PMI'!$A:$W,MATCH($A$1,'DB Country PMI'!$A$1:$W$1,),))</f>
        <v>50.7</v>
      </c>
      <c r="C89" s="14">
        <f>Table1346811345671012[[#This Row],[PMI]]-B88</f>
        <v>1.7000000000000028</v>
      </c>
    </row>
    <row r="90" spans="1:3" x14ac:dyDescent="0.35">
      <c r="A90" s="8">
        <v>43009</v>
      </c>
      <c r="B90" s="11">
        <f>IF(VLOOKUP(A90,'DB Country PMI'!$A:$W,MATCH($A$1,'DB Country PMI'!$A$1:$W$1,),)=0,#N/A,VLOOKUP(A90,'DB Country PMI'!$A:$W,MATCH($A$1,'DB Country PMI'!$A$1:$W$1,),))</f>
        <v>48.8</v>
      </c>
      <c r="C90" s="14">
        <f>Table1346811345671012[[#This Row],[PMI]]-B89</f>
        <v>-1.9000000000000057</v>
      </c>
    </row>
    <row r="91" spans="1:3" x14ac:dyDescent="0.35">
      <c r="A91" s="8">
        <v>43040</v>
      </c>
      <c r="B91" s="11">
        <f>IF(VLOOKUP(A91,'DB Country PMI'!$A:$W,MATCH($A$1,'DB Country PMI'!$A$1:$W$1,),)=0,#N/A,VLOOKUP(A91,'DB Country PMI'!$A:$W,MATCH($A$1,'DB Country PMI'!$A$1:$W$1,),))</f>
        <v>46.9</v>
      </c>
      <c r="C91" s="14">
        <f>Table1346811345671012[[#This Row],[PMI]]-B90</f>
        <v>-1.8999999999999986</v>
      </c>
    </row>
    <row r="92" spans="1:3" x14ac:dyDescent="0.35">
      <c r="A92" s="8">
        <v>43070</v>
      </c>
      <c r="B92" s="11">
        <f>IF(VLOOKUP(A92,'DB Country PMI'!$A:$W,MATCH($A$1,'DB Country PMI'!$A$1:$W$1,),)=0,#N/A,VLOOKUP(A92,'DB Country PMI'!$A:$W,MATCH($A$1,'DB Country PMI'!$A$1:$W$1,),))</f>
        <v>47.4</v>
      </c>
      <c r="C92" s="14">
        <f>Table1346811345671012[[#This Row],[PMI]]-B91</f>
        <v>0.5</v>
      </c>
    </row>
    <row r="93" spans="1:3" x14ac:dyDescent="0.35">
      <c r="A93" s="8">
        <v>43101</v>
      </c>
      <c r="B93" s="11">
        <f>IF(VLOOKUP(A93,'DB Country PMI'!$A:$W,MATCH($A$1,'DB Country PMI'!$A$1:$W$1,),)=0,#N/A,VLOOKUP(A93,'DB Country PMI'!$A:$W,MATCH($A$1,'DB Country PMI'!$A$1:$W$1,),))</f>
        <v>50</v>
      </c>
      <c r="C93" s="14">
        <f>Table1346811345671012[[#This Row],[PMI]]-B92</f>
        <v>2.6000000000000014</v>
      </c>
    </row>
    <row r="94" spans="1:3" x14ac:dyDescent="0.35">
      <c r="A94" s="8">
        <v>43132</v>
      </c>
      <c r="B94" s="11">
        <f>IF(VLOOKUP(A94,'DB Country PMI'!$A:$W,MATCH($A$1,'DB Country PMI'!$A$1:$W$1,),)=0,#N/A,VLOOKUP(A94,'DB Country PMI'!$A:$W,MATCH($A$1,'DB Country PMI'!$A$1:$W$1,),))</f>
        <v>52.7</v>
      </c>
      <c r="C94" s="14">
        <f>Table1346811345671012[[#This Row],[PMI]]-B93</f>
        <v>2.7000000000000028</v>
      </c>
    </row>
    <row r="95" spans="1:3" x14ac:dyDescent="0.35">
      <c r="A95" s="8">
        <v>43160</v>
      </c>
      <c r="B95" s="11">
        <f>IF(VLOOKUP(A95,'DB Country PMI'!$A:$W,MATCH($A$1,'DB Country PMI'!$A$1:$W$1,),)=0,#N/A,VLOOKUP(A95,'DB Country PMI'!$A:$W,MATCH($A$1,'DB Country PMI'!$A$1:$W$1,),))</f>
        <v>50.4</v>
      </c>
      <c r="C95" s="14">
        <f>Table1346811345671012[[#This Row],[PMI]]-B94</f>
        <v>-2.3000000000000043</v>
      </c>
    </row>
    <row r="96" spans="1:3" x14ac:dyDescent="0.35">
      <c r="A96" s="8">
        <v>43191</v>
      </c>
      <c r="B96" s="11">
        <f>IF(VLOOKUP(A96,'DB Country PMI'!$A:$W,MATCH($A$1,'DB Country PMI'!$A$1:$W$1,),)=0,#N/A,VLOOKUP(A96,'DB Country PMI'!$A:$W,MATCH($A$1,'DB Country PMI'!$A$1:$W$1,),))</f>
        <v>50</v>
      </c>
      <c r="C96" s="14">
        <f>Table1346811345671012[[#This Row],[PMI]]-B95</f>
        <v>-0.39999999999999858</v>
      </c>
    </row>
    <row r="97" spans="1:3" x14ac:dyDescent="0.35">
      <c r="A97" s="8">
        <v>43221</v>
      </c>
      <c r="B97" s="11">
        <f>IF(VLOOKUP(A97,'DB Country PMI'!$A:$W,MATCH($A$1,'DB Country PMI'!$A$1:$W$1,),)=0,#N/A,VLOOKUP(A97,'DB Country PMI'!$A:$W,MATCH($A$1,'DB Country PMI'!$A$1:$W$1,),))</f>
        <v>49.5</v>
      </c>
      <c r="C97" s="14">
        <f>Table1346811345671012[[#This Row],[PMI]]-B96</f>
        <v>-0.5</v>
      </c>
    </row>
    <row r="98" spans="1:3" x14ac:dyDescent="0.35">
      <c r="A98" s="8">
        <v>43252</v>
      </c>
      <c r="B98" s="11">
        <f>IF(VLOOKUP(A98,'DB Country PMI'!$A:$W,MATCH($A$1,'DB Country PMI'!$A$1:$W$1,),)=0,#N/A,VLOOKUP(A98,'DB Country PMI'!$A:$W,MATCH($A$1,'DB Country PMI'!$A$1:$W$1,),))</f>
        <v>47</v>
      </c>
      <c r="C98" s="14">
        <f>Table1346811345671012[[#This Row],[PMI]]-B97</f>
        <v>-2.5</v>
      </c>
    </row>
    <row r="99" spans="1:3" x14ac:dyDescent="0.35">
      <c r="A99" s="8">
        <v>43282</v>
      </c>
      <c r="B99" s="11">
        <f>IF(VLOOKUP(A99,'DB Country PMI'!$A:$W,MATCH($A$1,'DB Country PMI'!$A$1:$W$1,),)=0,#N/A,VLOOKUP(A99,'DB Country PMI'!$A:$W,MATCH($A$1,'DB Country PMI'!$A$1:$W$1,),))</f>
        <v>50.4</v>
      </c>
      <c r="C99" s="14">
        <f>Table1346811345671012[[#This Row],[PMI]]-B98</f>
        <v>3.3999999999999986</v>
      </c>
    </row>
    <row r="100" spans="1:3" x14ac:dyDescent="0.35">
      <c r="A100" s="8">
        <v>43313</v>
      </c>
      <c r="B100" s="11">
        <f>IF(VLOOKUP(A100,'DB Country PMI'!$A:$W,MATCH($A$1,'DB Country PMI'!$A$1:$W$1,),)=0,#N/A,VLOOKUP(A100,'DB Country PMI'!$A:$W,MATCH($A$1,'DB Country PMI'!$A$1:$W$1,),))</f>
        <v>46.8</v>
      </c>
      <c r="C100" s="14">
        <f>Table1346811345671012[[#This Row],[PMI]]-B99</f>
        <v>-3.6000000000000014</v>
      </c>
    </row>
    <row r="101" spans="1:3" x14ac:dyDescent="0.35">
      <c r="A101" s="8">
        <v>43344</v>
      </c>
      <c r="B101" s="11">
        <f>IF(VLOOKUP(A101,'DB Country PMI'!$A:$W,MATCH($A$1,'DB Country PMI'!$A$1:$W$1,),)=0,#N/A,VLOOKUP(A101,'DB Country PMI'!$A:$W,MATCH($A$1,'DB Country PMI'!$A$1:$W$1,),))</f>
        <v>46.4</v>
      </c>
      <c r="C101" s="14">
        <f>Table1346811345671012[[#This Row],[PMI]]-B100</f>
        <v>-0.39999999999999858</v>
      </c>
    </row>
    <row r="102" spans="1:3" x14ac:dyDescent="0.35">
      <c r="A102" s="8">
        <v>43374</v>
      </c>
      <c r="B102" s="11">
        <f>IF(VLOOKUP(A102,'DB Country PMI'!$A:$W,MATCH($A$1,'DB Country PMI'!$A$1:$W$1,),)=0,#N/A,VLOOKUP(A102,'DB Country PMI'!$A:$W,MATCH($A$1,'DB Country PMI'!$A$1:$W$1,),))</f>
        <v>50.5</v>
      </c>
      <c r="C102" s="14">
        <f>Table1346811345671012[[#This Row],[PMI]]-B101</f>
        <v>4.1000000000000014</v>
      </c>
    </row>
    <row r="103" spans="1:3" x14ac:dyDescent="0.35">
      <c r="A103" s="8">
        <v>43405</v>
      </c>
      <c r="B103" s="11">
        <f>IF(VLOOKUP(A103,'DB Country PMI'!$A:$W,MATCH($A$1,'DB Country PMI'!$A$1:$W$1,),)=0,#N/A,VLOOKUP(A103,'DB Country PMI'!$A:$W,MATCH($A$1,'DB Country PMI'!$A$1:$W$1,),))</f>
        <v>51.3</v>
      </c>
      <c r="C103" s="14">
        <f>Table1346811345671012[[#This Row],[PMI]]-B102</f>
        <v>0.79999999999999716</v>
      </c>
    </row>
    <row r="104" spans="1:3" x14ac:dyDescent="0.35">
      <c r="A104" s="8">
        <v>43435</v>
      </c>
      <c r="B104" s="11">
        <f>IF(VLOOKUP(A104,'DB Country PMI'!$A:$W,MATCH($A$1,'DB Country PMI'!$A$1:$W$1,),)=0,#N/A,VLOOKUP(A104,'DB Country PMI'!$A:$W,MATCH($A$1,'DB Country PMI'!$A$1:$W$1,),))</f>
        <v>51.9</v>
      </c>
      <c r="C104" s="14">
        <f>Table1346811345671012[[#This Row],[PMI]]-B103</f>
        <v>0.60000000000000142</v>
      </c>
    </row>
    <row r="105" spans="1:3" x14ac:dyDescent="0.35">
      <c r="A105" s="8">
        <v>43466</v>
      </c>
      <c r="B105" s="11">
        <f>IF(VLOOKUP(A105,'DB Country PMI'!$A:$W,MATCH($A$1,'DB Country PMI'!$A$1:$W$1,),)=0,#N/A,VLOOKUP(A105,'DB Country PMI'!$A:$W,MATCH($A$1,'DB Country PMI'!$A$1:$W$1,),))</f>
        <v>52</v>
      </c>
      <c r="C105" s="14">
        <f>Table1346811345671012[[#This Row],[PMI]]-B104</f>
        <v>0.10000000000000142</v>
      </c>
    </row>
    <row r="106" spans="1:3" x14ac:dyDescent="0.35">
      <c r="A106" s="8">
        <v>43497</v>
      </c>
      <c r="B106" s="11">
        <f>IF(VLOOKUP(A106,'DB Country PMI'!$A:$W,MATCH($A$1,'DB Country PMI'!$A$1:$W$1,),)=0,#N/A,VLOOKUP(A106,'DB Country PMI'!$A:$W,MATCH($A$1,'DB Country PMI'!$A$1:$W$1,),))</f>
        <v>52.2</v>
      </c>
      <c r="C106" s="14">
        <f>Table1346811345671012[[#This Row],[PMI]]-B105</f>
        <v>0.20000000000000284</v>
      </c>
    </row>
    <row r="107" spans="1:3" x14ac:dyDescent="0.35">
      <c r="A107" s="8">
        <v>43525</v>
      </c>
      <c r="B107" s="11">
        <f>IF(VLOOKUP(A107,'DB Country PMI'!$A:$W,MATCH($A$1,'DB Country PMI'!$A$1:$W$1,),)=0,#N/A,VLOOKUP(A107,'DB Country PMI'!$A:$W,MATCH($A$1,'DB Country PMI'!$A$1:$W$1,),))</f>
        <v>52.7</v>
      </c>
      <c r="C107" s="14">
        <f>Table1346811345671012[[#This Row],[PMI]]-B106</f>
        <v>0.5</v>
      </c>
    </row>
    <row r="108" spans="1:3" x14ac:dyDescent="0.35">
      <c r="A108" s="8">
        <v>43556</v>
      </c>
      <c r="B108" s="11">
        <f>IF(VLOOKUP(A108,'DB Country PMI'!$A:$W,MATCH($A$1,'DB Country PMI'!$A$1:$W$1,),)=0,#N/A,VLOOKUP(A108,'DB Country PMI'!$A:$W,MATCH($A$1,'DB Country PMI'!$A$1:$W$1,),))</f>
        <v>49.9</v>
      </c>
      <c r="C108" s="14">
        <f>Table1346811345671012[[#This Row],[PMI]]-B107</f>
        <v>-2.8000000000000043</v>
      </c>
    </row>
    <row r="109" spans="1:3" x14ac:dyDescent="0.35">
      <c r="A109" s="8">
        <v>43586</v>
      </c>
      <c r="B109" s="11">
        <f>IF(VLOOKUP(A109,'DB Country PMI'!$A:$W,MATCH($A$1,'DB Country PMI'!$A$1:$W$1,),)=0,#N/A,VLOOKUP(A109,'DB Country PMI'!$A:$W,MATCH($A$1,'DB Country PMI'!$A$1:$W$1,),))</f>
        <v>47.8</v>
      </c>
      <c r="C109" s="14">
        <f>Table1346811345671012[[#This Row],[PMI]]-B108</f>
        <v>-2.1000000000000014</v>
      </c>
    </row>
    <row r="110" spans="1:3" x14ac:dyDescent="0.35">
      <c r="A110" s="8">
        <v>43617</v>
      </c>
      <c r="B110" s="11">
        <f>IF(VLOOKUP(A110,'DB Country PMI'!$A:$W,MATCH($A$1,'DB Country PMI'!$A$1:$W$1,),)=0,#N/A,VLOOKUP(A110,'DB Country PMI'!$A:$W,MATCH($A$1,'DB Country PMI'!$A$1:$W$1,),))</f>
        <v>48.2</v>
      </c>
      <c r="C110" s="14">
        <f>Table1346811345671012[[#This Row],[PMI]]-B109</f>
        <v>0.40000000000000568</v>
      </c>
    </row>
    <row r="111" spans="1:3" x14ac:dyDescent="0.35">
      <c r="A111" s="8">
        <v>43647</v>
      </c>
      <c r="B111" s="11">
        <f>IF(VLOOKUP(A111,'DB Country PMI'!$A:$W,MATCH($A$1,'DB Country PMI'!$A$1:$W$1,),)=0,#N/A,VLOOKUP(A111,'DB Country PMI'!$A:$W,MATCH($A$1,'DB Country PMI'!$A$1:$W$1,),))</f>
        <v>52.2</v>
      </c>
      <c r="C111" s="14">
        <f>Table1346811345671012[[#This Row],[PMI]]-B110</f>
        <v>4</v>
      </c>
    </row>
    <row r="112" spans="1:3" x14ac:dyDescent="0.35">
      <c r="A112" s="8">
        <v>43678</v>
      </c>
      <c r="B112" s="11">
        <f>IF(VLOOKUP(A112,'DB Country PMI'!$A:$W,MATCH($A$1,'DB Country PMI'!$A$1:$W$1,),)=0,#N/A,VLOOKUP(A112,'DB Country PMI'!$A:$W,MATCH($A$1,'DB Country PMI'!$A$1:$W$1,),))</f>
        <v>51.4</v>
      </c>
      <c r="C112" s="14">
        <f>Table1346811345671012[[#This Row],[PMI]]-B111</f>
        <v>-0.80000000000000426</v>
      </c>
    </row>
    <row r="113" spans="1:3" x14ac:dyDescent="0.35">
      <c r="A113" s="8">
        <v>43709</v>
      </c>
      <c r="B113" s="11">
        <f>IF(VLOOKUP(A113,'DB Country PMI'!$A:$W,MATCH($A$1,'DB Country PMI'!$A$1:$W$1,),)=0,#N/A,VLOOKUP(A113,'DB Country PMI'!$A:$W,MATCH($A$1,'DB Country PMI'!$A$1:$W$1,),))</f>
        <v>51.8</v>
      </c>
      <c r="C113" s="14">
        <f>Table1346811345671012[[#This Row],[PMI]]-B112</f>
        <v>0.39999999999999858</v>
      </c>
    </row>
    <row r="114" spans="1:3" x14ac:dyDescent="0.35">
      <c r="A114" s="8">
        <v>43739</v>
      </c>
      <c r="B114" s="11">
        <f>IF(VLOOKUP(A114,'DB Country PMI'!$A:$W,MATCH($A$1,'DB Country PMI'!$A$1:$W$1,),)=0,#N/A,VLOOKUP(A114,'DB Country PMI'!$A:$W,MATCH($A$1,'DB Country PMI'!$A$1:$W$1,),))</f>
        <v>51.2</v>
      </c>
      <c r="C114" s="14">
        <f>Table1346811345671012[[#This Row],[PMI]]-B113</f>
        <v>-0.59999999999999432</v>
      </c>
    </row>
    <row r="115" spans="1:3" x14ac:dyDescent="0.35">
      <c r="A115" s="8">
        <v>43770</v>
      </c>
      <c r="B115" s="11">
        <f>IF(VLOOKUP(A115,'DB Country PMI'!$A:$W,MATCH($A$1,'DB Country PMI'!$A$1:$W$1,),)=0,#N/A,VLOOKUP(A115,'DB Country PMI'!$A:$W,MATCH($A$1,'DB Country PMI'!$A$1:$W$1,),))</f>
        <v>50.9</v>
      </c>
      <c r="C115" s="14">
        <f>Table1346811345671012[[#This Row],[PMI]]-B114</f>
        <v>-0.30000000000000426</v>
      </c>
    </row>
    <row r="116" spans="1:3" x14ac:dyDescent="0.35">
      <c r="A116" s="8">
        <v>43800</v>
      </c>
      <c r="B116" s="11">
        <f>IF(VLOOKUP(A116,'DB Country PMI'!$A:$W,MATCH($A$1,'DB Country PMI'!$A$1:$W$1,),)=0,#N/A,VLOOKUP(A116,'DB Country PMI'!$A:$W,MATCH($A$1,'DB Country PMI'!$A$1:$W$1,),))</f>
        <v>51</v>
      </c>
      <c r="C116" s="14">
        <f>Table1346811345671012[[#This Row],[PMI]]-B115</f>
        <v>0.10000000000000142</v>
      </c>
    </row>
    <row r="117" spans="1:3" x14ac:dyDescent="0.35">
      <c r="A117" s="8">
        <v>43831</v>
      </c>
      <c r="B117" s="11">
        <f>IF(VLOOKUP(A117,'DB Country PMI'!$A:$W,MATCH($A$1,'DB Country PMI'!$A$1:$W$1,),)=0,#N/A,VLOOKUP(A117,'DB Country PMI'!$A:$W,MATCH($A$1,'DB Country PMI'!$A$1:$W$1,),))</f>
        <v>52.7</v>
      </c>
      <c r="C117" s="14">
        <f>Table1346811345671012[[#This Row],[PMI]]-B116</f>
        <v>1.7000000000000028</v>
      </c>
    </row>
    <row r="118" spans="1:3" x14ac:dyDescent="0.35">
      <c r="A118" s="8">
        <v>43862</v>
      </c>
      <c r="B118" s="11">
        <f>IF(VLOOKUP(A118,'DB Country PMI'!$A:$W,MATCH($A$1,'DB Country PMI'!$A$1:$W$1,),)=0,#N/A,VLOOKUP(A118,'DB Country PMI'!$A:$W,MATCH($A$1,'DB Country PMI'!$A$1:$W$1,),))</f>
        <v>50.4</v>
      </c>
      <c r="C118" s="14">
        <f>Table1346811345671012[[#This Row],[PMI]]-B117</f>
        <v>-2.3000000000000043</v>
      </c>
    </row>
    <row r="119" spans="1:3" x14ac:dyDescent="0.35">
      <c r="A119" s="8">
        <v>43891</v>
      </c>
      <c r="B119" s="11">
        <f>IF(VLOOKUP(A119,'DB Country PMI'!$A:$W,MATCH($A$1,'DB Country PMI'!$A$1:$W$1,),)=0,#N/A,VLOOKUP(A119,'DB Country PMI'!$A:$W,MATCH($A$1,'DB Country PMI'!$A$1:$W$1,),))</f>
        <v>34.5</v>
      </c>
      <c r="C119" s="14">
        <f>Table1346811345671012[[#This Row],[PMI]]-B118</f>
        <v>-15.899999999999999</v>
      </c>
    </row>
    <row r="120" spans="1:3" x14ac:dyDescent="0.35">
      <c r="A120" s="8">
        <v>43922</v>
      </c>
      <c r="B120" s="11">
        <f>IF(VLOOKUP(A120,'DB Country PMI'!$A:$W,MATCH($A$1,'DB Country PMI'!$A$1:$W$1,),)=0,#N/A,VLOOKUP(A120,'DB Country PMI'!$A:$W,MATCH($A$1,'DB Country PMI'!$A$1:$W$1,),))</f>
        <v>27.4</v>
      </c>
      <c r="C120" s="14">
        <f>Table1346811345671012[[#This Row],[PMI]]-B119</f>
        <v>-7.1000000000000014</v>
      </c>
    </row>
    <row r="121" spans="1:3" x14ac:dyDescent="0.35">
      <c r="A121" s="8">
        <v>43952</v>
      </c>
      <c r="B121" s="11">
        <f>IF(VLOOKUP(A121,'DB Country PMI'!$A:$W,MATCH($A$1,'DB Country PMI'!$A$1:$W$1,),)=0,#N/A,VLOOKUP(A121,'DB Country PMI'!$A:$W,MATCH($A$1,'DB Country PMI'!$A$1:$W$1,),))</f>
        <v>27.6</v>
      </c>
      <c r="C121" s="14">
        <f>Table1346811345671012[[#This Row],[PMI]]-B120</f>
        <v>0.20000000000000284</v>
      </c>
    </row>
    <row r="122" spans="1:3" x14ac:dyDescent="0.35">
      <c r="A122" s="8">
        <v>43983</v>
      </c>
      <c r="B122" s="11">
        <f>IF(VLOOKUP(A122,'DB Country PMI'!$A:$W,MATCH($A$1,'DB Country PMI'!$A$1:$W$1,),)=0,#N/A,VLOOKUP(A122,'DB Country PMI'!$A:$W,MATCH($A$1,'DB Country PMI'!$A$1:$W$1,),))</f>
        <v>35.9</v>
      </c>
      <c r="C122" s="14">
        <f>Table1346811345671012[[#This Row],[PMI]]-B121</f>
        <v>8.2999999999999972</v>
      </c>
    </row>
    <row r="123" spans="1:3" x14ac:dyDescent="0.35">
      <c r="A123" s="8">
        <v>44013</v>
      </c>
      <c r="B123" s="11">
        <f>IF(VLOOKUP(A123,'DB Country PMI'!$A:$W,MATCH($A$1,'DB Country PMI'!$A$1:$W$1,),)=0,#N/A,VLOOKUP(A123,'DB Country PMI'!$A:$W,MATCH($A$1,'DB Country PMI'!$A$1:$W$1,),))</f>
        <v>42.5</v>
      </c>
      <c r="C123" s="14">
        <f>Table1346811345671012[[#This Row],[PMI]]-B122</f>
        <v>6.6000000000000014</v>
      </c>
    </row>
    <row r="124" spans="1:3" x14ac:dyDescent="0.35">
      <c r="A124" s="8">
        <v>44044</v>
      </c>
      <c r="B124" s="11">
        <f>IF(VLOOKUP(A124,'DB Country PMI'!$A:$W,MATCH($A$1,'DB Country PMI'!$A$1:$W$1,),)=0,#N/A,VLOOKUP(A124,'DB Country PMI'!$A:$W,MATCH($A$1,'DB Country PMI'!$A$1:$W$1,),))</f>
        <v>49.5</v>
      </c>
      <c r="C124" s="14">
        <f>Table1346811345671012[[#This Row],[PMI]]-B123</f>
        <v>7</v>
      </c>
    </row>
    <row r="125" spans="1:3" x14ac:dyDescent="0.35">
      <c r="A125" s="8">
        <v>44075</v>
      </c>
      <c r="B125" s="11">
        <f>IF(VLOOKUP(A125,'DB Country PMI'!$A:$W,MATCH($A$1,'DB Country PMI'!$A$1:$W$1,),)=0,#N/A,VLOOKUP(A125,'DB Country PMI'!$A:$W,MATCH($A$1,'DB Country PMI'!$A$1:$W$1,),))</f>
        <v>50.4</v>
      </c>
      <c r="C125" s="14">
        <f>Table1346811345671012[[#This Row],[PMI]]-B124</f>
        <v>0.89999999999999858</v>
      </c>
    </row>
    <row r="126" spans="1:3" x14ac:dyDescent="0.35">
      <c r="A126" s="8">
        <v>44105</v>
      </c>
      <c r="B126" s="11">
        <f>IF(VLOOKUP(A126,'DB Country PMI'!$A:$W,MATCH($A$1,'DB Country PMI'!$A$1:$W$1,),)=0,#N/A,VLOOKUP(A126,'DB Country PMI'!$A:$W,MATCH($A$1,'DB Country PMI'!$A$1:$W$1,),))</f>
        <v>52.3</v>
      </c>
      <c r="C126" s="14">
        <f>Table1346811345671012[[#This Row],[PMI]]-B125</f>
        <v>1.8999999999999986</v>
      </c>
    </row>
    <row r="127" spans="1:3" x14ac:dyDescent="0.35">
      <c r="A127" s="8">
        <v>44136</v>
      </c>
      <c r="B127" s="11">
        <f>IF(VLOOKUP(A127,'DB Country PMI'!$A:$W,MATCH($A$1,'DB Country PMI'!$A$1:$W$1,),)=0,#N/A,VLOOKUP(A127,'DB Country PMI'!$A:$W,MATCH($A$1,'DB Country PMI'!$A$1:$W$1,),))</f>
        <v>50.9</v>
      </c>
      <c r="C127" s="14">
        <f>Table1346811345671012[[#This Row],[PMI]]-B126</f>
        <v>-1.3999999999999986</v>
      </c>
    </row>
    <row r="128" spans="1:3" x14ac:dyDescent="0.35">
      <c r="A128" s="8">
        <v>44166</v>
      </c>
      <c r="B128" s="11">
        <f>IF(VLOOKUP(A128,'DB Country PMI'!$A:$W,MATCH($A$1,'DB Country PMI'!$A$1:$W$1,),)=0,#N/A,VLOOKUP(A128,'DB Country PMI'!$A:$W,MATCH($A$1,'DB Country PMI'!$A$1:$W$1,),))</f>
        <v>51.1</v>
      </c>
      <c r="C128" s="14">
        <f>Table1346811345671012[[#This Row],[PMI]]-B127</f>
        <v>0.20000000000000284</v>
      </c>
    </row>
    <row r="129" spans="1:3" x14ac:dyDescent="0.35">
      <c r="A129" s="8">
        <v>44197</v>
      </c>
      <c r="B129" s="11">
        <f>IF(VLOOKUP(A129,'DB Country PMI'!$A:$W,MATCH($A$1,'DB Country PMI'!$A$1:$W$1,),)=0,#N/A,VLOOKUP(A129,'DB Country PMI'!$A:$W,MATCH($A$1,'DB Country PMI'!$A$1:$W$1,),))</f>
        <v>47</v>
      </c>
      <c r="C129" s="14">
        <f>Table1346811345671012[[#This Row],[PMI]]-B128</f>
        <v>-4.1000000000000014</v>
      </c>
    </row>
    <row r="130" spans="1:3" x14ac:dyDescent="0.35">
      <c r="A130" s="8">
        <v>44228</v>
      </c>
      <c r="B130" s="11">
        <f>IF(VLOOKUP(A130,'DB Country PMI'!$A:$W,MATCH($A$1,'DB Country PMI'!$A$1:$W$1,),)=0,#N/A,VLOOKUP(A130,'DB Country PMI'!$A:$W,MATCH($A$1,'DB Country PMI'!$A$1:$W$1,),))</f>
        <v>47.1</v>
      </c>
      <c r="C130" s="14">
        <f>Table1346811345671012[[#This Row],[PMI]]-B129</f>
        <v>0.10000000000000142</v>
      </c>
    </row>
    <row r="131" spans="1:3" x14ac:dyDescent="0.35">
      <c r="A131" s="8">
        <v>44256</v>
      </c>
      <c r="B131" s="11">
        <f>IF(VLOOKUP(A131,'DB Country PMI'!$A:$W,MATCH($A$1,'DB Country PMI'!$A$1:$W$1,),)=0,#N/A,VLOOKUP(A131,'DB Country PMI'!$A:$W,MATCH($A$1,'DB Country PMI'!$A$1:$W$1,),))</f>
        <v>44.1</v>
      </c>
      <c r="C131" s="14">
        <f>Table1346811345671012[[#This Row],[PMI]]-B130</f>
        <v>-3</v>
      </c>
    </row>
    <row r="132" spans="1:3" x14ac:dyDescent="0.35">
      <c r="A132" s="8">
        <v>44287</v>
      </c>
      <c r="B132" s="11">
        <f>IF(VLOOKUP(A132,'DB Country PMI'!$A:$W,MATCH($A$1,'DB Country PMI'!$A$1:$W$1,),)=0,#N/A,VLOOKUP(A132,'DB Country PMI'!$A:$W,MATCH($A$1,'DB Country PMI'!$A$1:$W$1,),))</f>
        <v>42.9</v>
      </c>
      <c r="C132" s="14">
        <f>Table1346811345671012[[#This Row],[PMI]]-B131</f>
        <v>-1.2000000000000028</v>
      </c>
    </row>
    <row r="133" spans="1:3" x14ac:dyDescent="0.35">
      <c r="A133" s="8">
        <v>44317</v>
      </c>
      <c r="B133" s="11">
        <f>IF(VLOOKUP(A133,'DB Country PMI'!$A:$W,MATCH($A$1,'DB Country PMI'!$A$1:$W$1,),)=0,#N/A,VLOOKUP(A133,'DB Country PMI'!$A:$W,MATCH($A$1,'DB Country PMI'!$A$1:$W$1,),))</f>
        <v>48.3</v>
      </c>
      <c r="C133" s="14">
        <f>Table1346811345671012[[#This Row],[PMI]]-B132</f>
        <v>5.3999999999999986</v>
      </c>
    </row>
    <row r="134" spans="1:3" x14ac:dyDescent="0.35">
      <c r="A134" s="8">
        <v>44348</v>
      </c>
      <c r="B134" s="11">
        <f>IF(VLOOKUP(A134,'DB Country PMI'!$A:$W,MATCH($A$1,'DB Country PMI'!$A$1:$W$1,),)=0,#N/A,VLOOKUP(A134,'DB Country PMI'!$A:$W,MATCH($A$1,'DB Country PMI'!$A$1:$W$1,),))</f>
        <v>53.9</v>
      </c>
      <c r="C134" s="14">
        <f>Table1346811345671012[[#This Row],[PMI]]-B133</f>
        <v>5.6000000000000014</v>
      </c>
    </row>
    <row r="135" spans="1:3" x14ac:dyDescent="0.35">
      <c r="A135" s="8">
        <v>44378</v>
      </c>
      <c r="B135" s="11">
        <f>IF(VLOOKUP(A135,'DB Country PMI'!$A:$W,MATCH($A$1,'DB Country PMI'!$A$1:$W$1,),)=0,#N/A,VLOOKUP(A135,'DB Country PMI'!$A:$W,MATCH($A$1,'DB Country PMI'!$A$1:$W$1,),))</f>
        <v>54.4</v>
      </c>
      <c r="C135" s="14">
        <f>Table1346811345671012[[#This Row],[PMI]]-B134</f>
        <v>0.5</v>
      </c>
    </row>
    <row r="136" spans="1:3" x14ac:dyDescent="0.35">
      <c r="A136" s="8">
        <v>44409</v>
      </c>
      <c r="B136" s="11">
        <f>IF(VLOOKUP(A136,'DB Country PMI'!$A:$W,MATCH($A$1,'DB Country PMI'!$A$1:$W$1,),)=0,#N/A,VLOOKUP(A136,'DB Country PMI'!$A:$W,MATCH($A$1,'DB Country PMI'!$A$1:$W$1,),))</f>
        <v>55.1</v>
      </c>
      <c r="C136" s="14">
        <f>Table1346811345671012[[#This Row],[PMI]]-B135</f>
        <v>0.70000000000000284</v>
      </c>
    </row>
    <row r="137" spans="1:3" x14ac:dyDescent="0.35">
      <c r="A137" s="8">
        <v>44440</v>
      </c>
      <c r="B137" s="11">
        <f>IF(VLOOKUP(A137,'DB Country PMI'!$A:$W,MATCH($A$1,'DB Country PMI'!$A$1:$W$1,),)=0,#N/A,VLOOKUP(A137,'DB Country PMI'!$A:$W,MATCH($A$1,'DB Country PMI'!$A$1:$W$1,),))</f>
        <v>54.6</v>
      </c>
      <c r="C137" s="14">
        <f>Table1346811345671012[[#This Row],[PMI]]-B136</f>
        <v>-0.5</v>
      </c>
    </row>
    <row r="138" spans="1:3" x14ac:dyDescent="0.35">
      <c r="A138" s="8">
        <v>44470</v>
      </c>
      <c r="B138" s="11">
        <f>IF(VLOOKUP(A138,'DB Country PMI'!$A:$W,MATCH($A$1,'DB Country PMI'!$A$1:$W$1,),)=0,#N/A,VLOOKUP(A138,'DB Country PMI'!$A:$W,MATCH($A$1,'DB Country PMI'!$A$1:$W$1,),))</f>
        <v>54.9</v>
      </c>
      <c r="C138" s="14">
        <f>Table1346811345671012[[#This Row],[PMI]]-B137</f>
        <v>0.29999999999999716</v>
      </c>
    </row>
    <row r="139" spans="1:3" x14ac:dyDescent="0.35">
      <c r="A139" s="8">
        <v>44501</v>
      </c>
      <c r="B139" s="11">
        <f>IF(VLOOKUP(A139,'DB Country PMI'!$A:$W,MATCH($A$1,'DB Country PMI'!$A$1:$W$1,),)=0,#N/A,VLOOKUP(A139,'DB Country PMI'!$A:$W,MATCH($A$1,'DB Country PMI'!$A$1:$W$1,),))</f>
        <v>53.6</v>
      </c>
      <c r="C139" s="14">
        <f>Table1346811345671012[[#This Row],[PMI]]-B138</f>
        <v>-1.2999999999999972</v>
      </c>
    </row>
    <row r="140" spans="1:3" x14ac:dyDescent="0.35">
      <c r="A140" s="8">
        <v>44531</v>
      </c>
      <c r="B140" s="11">
        <f>IF(VLOOKUP(A140,'DB Country PMI'!$A:$W,MATCH($A$1,'DB Country PMI'!$A$1:$W$1,),)=0,#N/A,VLOOKUP(A140,'DB Country PMI'!$A:$W,MATCH($A$1,'DB Country PMI'!$A$1:$W$1,),))</f>
        <v>53.6</v>
      </c>
      <c r="C140" s="14">
        <f>Table1346811345671012[[#This Row],[PMI]]-B139</f>
        <v>0</v>
      </c>
    </row>
    <row r="141" spans="1:3" x14ac:dyDescent="0.35">
      <c r="A141" s="8">
        <v>44562</v>
      </c>
      <c r="B141" s="11">
        <f>IF(VLOOKUP(A141,'DB Country PMI'!$A:$W,MATCH($A$1,'DB Country PMI'!$A$1:$W$1,),)=0,#N/A,VLOOKUP(A141,'DB Country PMI'!$A:$W,MATCH($A$1,'DB Country PMI'!$A$1:$W$1,),))</f>
        <v>52.8</v>
      </c>
      <c r="C141" s="14">
        <f>Table1346811345671012[[#This Row],[PMI]]-B140</f>
        <v>-0.80000000000000426</v>
      </c>
    </row>
    <row r="142" spans="1:3" x14ac:dyDescent="0.35">
      <c r="A142" s="8">
        <v>44593</v>
      </c>
      <c r="B142" s="11">
        <f>IF(VLOOKUP(A142,'DB Country PMI'!$A:$W,MATCH($A$1,'DB Country PMI'!$A$1:$W$1,),)=0,#N/A,VLOOKUP(A142,'DB Country PMI'!$A:$W,MATCH($A$1,'DB Country PMI'!$A$1:$W$1,),))</f>
        <v>54.7</v>
      </c>
      <c r="C142" s="14">
        <f>Table1346811345671012[[#This Row],[PMI]]-B141</f>
        <v>1.9000000000000057</v>
      </c>
    </row>
    <row r="143" spans="1:3" x14ac:dyDescent="0.35">
      <c r="A143" s="8">
        <v>44621</v>
      </c>
      <c r="B143" s="11">
        <f>IF(VLOOKUP(A143,'DB Country PMI'!$A:$W,MATCH($A$1,'DB Country PMI'!$A$1:$W$1,),)=0,#N/A,VLOOKUP(A143,'DB Country PMI'!$A:$W,MATCH($A$1,'DB Country PMI'!$A$1:$W$1,),))</f>
        <v>58.1</v>
      </c>
      <c r="C143" s="14">
        <f>Table1346811345671012[[#This Row],[PMI]]-B142</f>
        <v>3.3999999999999986</v>
      </c>
    </row>
    <row r="144" spans="1:3" x14ac:dyDescent="0.35">
      <c r="A144" s="8">
        <v>44652</v>
      </c>
      <c r="B144" s="11">
        <f>IF(VLOOKUP(A144,'DB Country PMI'!$A:$W,MATCH($A$1,'DB Country PMI'!$A$1:$W$1,),)=0,#N/A,VLOOKUP(A144,'DB Country PMI'!$A:$W,MATCH($A$1,'DB Country PMI'!$A$1:$W$1,),))</f>
        <v>60.6</v>
      </c>
      <c r="C144" s="14">
        <f>Table1346811345671012[[#This Row],[PMI]]-B143</f>
        <v>2.5</v>
      </c>
    </row>
    <row r="145" spans="1:3" x14ac:dyDescent="0.35">
      <c r="A145" s="8">
        <v>44682</v>
      </c>
      <c r="B145" s="11">
        <f>IF(VLOOKUP(A145,'DB Country PMI'!$A:$W,MATCH($A$1,'DB Country PMI'!$A$1:$W$1,),)=0,#N/A,VLOOKUP(A145,'DB Country PMI'!$A:$W,MATCH($A$1,'DB Country PMI'!$A$1:$W$1,),))</f>
        <v>58.6</v>
      </c>
      <c r="C145" s="14">
        <f>Table1346811345671012[[#This Row],[PMI]]-B144</f>
        <v>-2</v>
      </c>
    </row>
    <row r="146" spans="1:3" x14ac:dyDescent="0.35">
      <c r="A146" s="8">
        <v>44713</v>
      </c>
      <c r="B146" s="11">
        <f>IF(VLOOKUP(A146,'DB Country PMI'!$A:$W,MATCH($A$1,'DB Country PMI'!$A$1:$W$1,),)=0,#N/A,VLOOKUP(A146,'DB Country PMI'!$A:$W,MATCH($A$1,'DB Country PMI'!$A$1:$W$1,),))</f>
        <v>60.8</v>
      </c>
      <c r="C146" s="14">
        <f>Table1346811345671012[[#This Row],[PMI]]-B145</f>
        <v>2.1999999999999957</v>
      </c>
    </row>
    <row r="147" spans="1:3" x14ac:dyDescent="0.35">
      <c r="A147" s="8">
        <v>44743</v>
      </c>
      <c r="B147" s="11">
        <f>IF(VLOOKUP(A147,'DB Country PMI'!$A:$W,MATCH($A$1,'DB Country PMI'!$A$1:$W$1,),)=0,#N/A,VLOOKUP(A147,'DB Country PMI'!$A:$W,MATCH($A$1,'DB Country PMI'!$A$1:$W$1,),))</f>
        <v>55.8</v>
      </c>
      <c r="C147" s="14">
        <f>Table1346811345671012[[#This Row],[PMI]]-B146</f>
        <v>-5</v>
      </c>
    </row>
    <row r="148" spans="1:3" x14ac:dyDescent="0.35">
      <c r="A148" s="8">
        <v>44774</v>
      </c>
      <c r="B148" s="11">
        <f>IF(VLOOKUP(A148,'DB Country PMI'!$A:$W,MATCH($A$1,'DB Country PMI'!$A$1:$W$1,),)=0,#N/A,VLOOKUP(A148,'DB Country PMI'!$A:$W,MATCH($A$1,'DB Country PMI'!$A$1:$W$1,),))</f>
        <v>53.9</v>
      </c>
      <c r="C148" s="14">
        <f>Table1346811345671012[[#This Row],[PMI]]-B147</f>
        <v>-1.8999999999999986</v>
      </c>
    </row>
    <row r="149" spans="1:3" x14ac:dyDescent="0.35">
      <c r="A149" s="8">
        <v>44805</v>
      </c>
      <c r="B149" s="11">
        <f>IF(VLOOKUP(A149,'DB Country PMI'!$A:$W,MATCH($A$1,'DB Country PMI'!$A$1:$W$1,),)=0,#N/A,VLOOKUP(A149,'DB Country PMI'!$A:$W,MATCH($A$1,'DB Country PMI'!$A$1:$W$1,),))</f>
        <v>51.9</v>
      </c>
      <c r="C149" s="14">
        <f>Table1346811345671012[[#This Row],[PMI]]-B148</f>
        <v>-2</v>
      </c>
    </row>
    <row r="150" spans="1:3" x14ac:dyDescent="0.35">
      <c r="A150" s="8">
        <v>44835</v>
      </c>
      <c r="B150" s="11">
        <f>IF(VLOOKUP(A150,'DB Country PMI'!$A:$W,MATCH($A$1,'DB Country PMI'!$A$1:$W$1,),)=0,#N/A,VLOOKUP(A150,'DB Country PMI'!$A:$W,MATCH($A$1,'DB Country PMI'!$A$1:$W$1,),))</f>
        <v>54</v>
      </c>
      <c r="C150" s="14">
        <f>Table1346811345671012[[#This Row],[PMI]]-B149</f>
        <v>2.1000000000000014</v>
      </c>
    </row>
    <row r="151" spans="1:3" x14ac:dyDescent="0.35">
      <c r="A151" s="8">
        <v>44866</v>
      </c>
      <c r="B151" s="11">
        <f>IF(VLOOKUP(A151,'DB Country PMI'!$A:$W,MATCH($A$1,'DB Country PMI'!$A$1:$W$1,),)=0,#N/A,VLOOKUP(A151,'DB Country PMI'!$A:$W,MATCH($A$1,'DB Country PMI'!$A$1:$W$1,),))</f>
        <v>51.6</v>
      </c>
      <c r="C151" s="14">
        <f>Table1346811345671012[[#This Row],[PMI]]-B150</f>
        <v>-2.3999999999999986</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1"/>
  <sheetViews>
    <sheetView zoomScale="160" zoomScaleNormal="160" workbookViewId="0">
      <pane ySplit="5" topLeftCell="A135" activePane="bottomLeft" state="frozen"/>
      <selection pane="bottomLeft" activeCell="A138" sqref="A138:C151"/>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29</v>
      </c>
      <c r="J1" s="47" t="s">
        <v>62</v>
      </c>
    </row>
    <row r="2" spans="1:10" x14ac:dyDescent="0.35">
      <c r="J2" s="47" t="s">
        <v>75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54.7</v>
      </c>
      <c r="C6" s="11"/>
    </row>
    <row r="7" spans="1:10" x14ac:dyDescent="0.35">
      <c r="A7" s="8">
        <v>40483</v>
      </c>
      <c r="B7" s="11">
        <f>IF(VLOOKUP(A7,'DB Country PMI'!$A:$W,MATCH($A$1,'DB Country PMI'!$A$1:$W$1,),)=0,#N/A,VLOOKUP(A7,'DB Country PMI'!$A:$W,MATCH($A$1,'DB Country PMI'!$A$1:$W$1,),))</f>
        <v>54.1</v>
      </c>
      <c r="C7" s="14">
        <f>Table134681134567101213[[#This Row],[PMI]]-B6</f>
        <v>-0.60000000000000142</v>
      </c>
    </row>
    <row r="8" spans="1:10" x14ac:dyDescent="0.35">
      <c r="A8" s="8">
        <v>40513</v>
      </c>
      <c r="B8" s="11">
        <f>IF(VLOOKUP(A8,'DB Country PMI'!$A:$W,MATCH($A$1,'DB Country PMI'!$A$1:$W$1,),)=0,#N/A,VLOOKUP(A8,'DB Country PMI'!$A:$W,MATCH($A$1,'DB Country PMI'!$A$1:$W$1,),))</f>
        <v>53.4</v>
      </c>
      <c r="C8" s="14">
        <f>Table134681134567101213[[#This Row],[PMI]]-B7</f>
        <v>-0.70000000000000284</v>
      </c>
    </row>
    <row r="9" spans="1:10" x14ac:dyDescent="0.35">
      <c r="A9" s="8">
        <v>40544</v>
      </c>
      <c r="B9" s="11">
        <f>IF(VLOOKUP(A9,'DB Country PMI'!$A:$W,MATCH($A$1,'DB Country PMI'!$A$1:$W$1,),)=0,#N/A,VLOOKUP(A9,'DB Country PMI'!$A:$W,MATCH($A$1,'DB Country PMI'!$A$1:$W$1,),))</f>
        <v>52.4</v>
      </c>
      <c r="C9" s="14">
        <f>Table134681134567101213[[#This Row],[PMI]]-B8</f>
        <v>-1</v>
      </c>
    </row>
    <row r="10" spans="1:10" x14ac:dyDescent="0.35">
      <c r="A10" s="8">
        <v>40575</v>
      </c>
      <c r="B10" s="11">
        <f>IF(VLOOKUP(A10,'DB Country PMI'!$A:$W,MATCH($A$1,'DB Country PMI'!$A$1:$W$1,),)=0,#N/A,VLOOKUP(A10,'DB Country PMI'!$A:$W,MATCH($A$1,'DB Country PMI'!$A$1:$W$1,),))</f>
        <v>53.4</v>
      </c>
      <c r="C10" s="14">
        <f>Table134681134567101213[[#This Row],[PMI]]-B9</f>
        <v>1</v>
      </c>
    </row>
    <row r="11" spans="1:10" x14ac:dyDescent="0.35">
      <c r="A11" s="8">
        <v>40603</v>
      </c>
      <c r="B11" s="11">
        <f>IF(VLOOKUP(A11,'DB Country PMI'!$A:$W,MATCH($A$1,'DB Country PMI'!$A$1:$W$1,),)=0,#N/A,VLOOKUP(A11,'DB Country PMI'!$A:$W,MATCH($A$1,'DB Country PMI'!$A$1:$W$1,),))</f>
        <v>53.3</v>
      </c>
      <c r="C11" s="14">
        <f>Table134681134567101213[[#This Row],[PMI]]-B10</f>
        <v>-0.10000000000000142</v>
      </c>
    </row>
    <row r="12" spans="1:10" x14ac:dyDescent="0.35">
      <c r="A12" s="8">
        <v>40634</v>
      </c>
      <c r="B12" s="11">
        <f>IF(VLOOKUP(A12,'DB Country PMI'!$A:$W,MATCH($A$1,'DB Country PMI'!$A$1:$W$1,),)=0,#N/A,VLOOKUP(A12,'DB Country PMI'!$A:$W,MATCH($A$1,'DB Country PMI'!$A$1:$W$1,),))</f>
        <v>55.8</v>
      </c>
      <c r="C12" s="14">
        <f>Table134681134567101213[[#This Row],[PMI]]-B11</f>
        <v>2.5</v>
      </c>
    </row>
    <row r="13" spans="1:10" x14ac:dyDescent="0.35">
      <c r="A13" s="8">
        <v>40664</v>
      </c>
      <c r="B13" s="11">
        <f>IF(VLOOKUP(A13,'DB Country PMI'!$A:$W,MATCH($A$1,'DB Country PMI'!$A$1:$W$1,),)=0,#N/A,VLOOKUP(A13,'DB Country PMI'!$A:$W,MATCH($A$1,'DB Country PMI'!$A$1:$W$1,),))</f>
        <v>57.6</v>
      </c>
      <c r="C13" s="14">
        <f>Table134681134567101213[[#This Row],[PMI]]-B12</f>
        <v>1.8000000000000043</v>
      </c>
    </row>
    <row r="14" spans="1:10" x14ac:dyDescent="0.35">
      <c r="A14" s="8">
        <v>40695</v>
      </c>
      <c r="B14" s="11">
        <f>IF(VLOOKUP(A14,'DB Country PMI'!$A:$W,MATCH($A$1,'DB Country PMI'!$A$1:$W$1,),)=0,#N/A,VLOOKUP(A14,'DB Country PMI'!$A:$W,MATCH($A$1,'DB Country PMI'!$A$1:$W$1,),))</f>
        <v>55.1</v>
      </c>
      <c r="C14" s="14">
        <f>Table134681134567101213[[#This Row],[PMI]]-B13</f>
        <v>-2.5</v>
      </c>
    </row>
    <row r="15" spans="1:10" x14ac:dyDescent="0.35">
      <c r="A15" s="8">
        <v>40725</v>
      </c>
      <c r="B15" s="11">
        <f>IF(VLOOKUP(A15,'DB Country PMI'!$A:$W,MATCH($A$1,'DB Country PMI'!$A$1:$W$1,),)=0,#N/A,VLOOKUP(A15,'DB Country PMI'!$A:$W,MATCH($A$1,'DB Country PMI'!$A$1:$W$1,),))</f>
        <v>56.9</v>
      </c>
      <c r="C15" s="14">
        <f>Table134681134567101213[[#This Row],[PMI]]-B14</f>
        <v>1.7999999999999972</v>
      </c>
    </row>
    <row r="16" spans="1:10" x14ac:dyDescent="0.35">
      <c r="A16" s="8">
        <v>40756</v>
      </c>
      <c r="B16" s="11">
        <f>IF(VLOOKUP(A16,'DB Country PMI'!$A:$W,MATCH($A$1,'DB Country PMI'!$A$1:$W$1,),)=0,#N/A,VLOOKUP(A16,'DB Country PMI'!$A:$W,MATCH($A$1,'DB Country PMI'!$A$1:$W$1,),))</f>
        <v>55.1</v>
      </c>
      <c r="C16" s="14">
        <f>Table134681134567101213[[#This Row],[PMI]]-B15</f>
        <v>-1.7999999999999972</v>
      </c>
    </row>
    <row r="17" spans="1:3" x14ac:dyDescent="0.35">
      <c r="A17" s="8">
        <v>40787</v>
      </c>
      <c r="B17" s="11">
        <f>IF(VLOOKUP(A17,'DB Country PMI'!$A:$W,MATCH($A$1,'DB Country PMI'!$A$1:$W$1,),)=0,#N/A,VLOOKUP(A17,'DB Country PMI'!$A:$W,MATCH($A$1,'DB Country PMI'!$A$1:$W$1,),))</f>
        <v>53.3</v>
      </c>
      <c r="C17" s="14">
        <f>Table134681134567101213[[#This Row],[PMI]]-B16</f>
        <v>-1.8000000000000043</v>
      </c>
    </row>
    <row r="18" spans="1:3" x14ac:dyDescent="0.35">
      <c r="A18" s="8">
        <v>40817</v>
      </c>
      <c r="B18" s="11">
        <f>IF(VLOOKUP(A18,'DB Country PMI'!$A:$W,MATCH($A$1,'DB Country PMI'!$A$1:$W$1,),)=0,#N/A,VLOOKUP(A18,'DB Country PMI'!$A:$W,MATCH($A$1,'DB Country PMI'!$A$1:$W$1,),))</f>
        <v>53.5</v>
      </c>
      <c r="C18" s="14">
        <f>Table134681134567101213[[#This Row],[PMI]]-B17</f>
        <v>0.20000000000000284</v>
      </c>
    </row>
    <row r="19" spans="1:3" x14ac:dyDescent="0.35">
      <c r="A19" s="8">
        <v>40848</v>
      </c>
      <c r="B19" s="11">
        <f>IF(VLOOKUP(A19,'DB Country PMI'!$A:$W,MATCH($A$1,'DB Country PMI'!$A$1:$W$1,),)=0,#N/A,VLOOKUP(A19,'DB Country PMI'!$A:$W,MATCH($A$1,'DB Country PMI'!$A$1:$W$1,),))</f>
        <v>54.8</v>
      </c>
      <c r="C19" s="14">
        <f>Table134681134567101213[[#This Row],[PMI]]-B18</f>
        <v>1.2999999999999972</v>
      </c>
    </row>
    <row r="20" spans="1:3" x14ac:dyDescent="0.35">
      <c r="A20" s="8">
        <v>40878</v>
      </c>
      <c r="B20" s="11">
        <f>IF(VLOOKUP(A20,'DB Country PMI'!$A:$W,MATCH($A$1,'DB Country PMI'!$A$1:$W$1,),)=0,#N/A,VLOOKUP(A20,'DB Country PMI'!$A:$W,MATCH($A$1,'DB Country PMI'!$A$1:$W$1,),))</f>
        <v>53.8</v>
      </c>
      <c r="C20" s="14">
        <f>Table134681134567101213[[#This Row],[PMI]]-B19</f>
        <v>-1</v>
      </c>
    </row>
    <row r="21" spans="1:3" x14ac:dyDescent="0.35">
      <c r="A21" s="8">
        <v>40909</v>
      </c>
      <c r="B21" s="11">
        <f>IF(VLOOKUP(A21,'DB Country PMI'!$A:$W,MATCH($A$1,'DB Country PMI'!$A$1:$W$1,),)=0,#N/A,VLOOKUP(A21,'DB Country PMI'!$A:$W,MATCH($A$1,'DB Country PMI'!$A$1:$W$1,),))</f>
        <v>56.5</v>
      </c>
      <c r="C21" s="14">
        <f>Table134681134567101213[[#This Row],[PMI]]-B20</f>
        <v>2.7000000000000028</v>
      </c>
    </row>
    <row r="22" spans="1:3" x14ac:dyDescent="0.35">
      <c r="A22" s="8">
        <v>40940</v>
      </c>
      <c r="B22" s="11">
        <f>IF(VLOOKUP(A22,'DB Country PMI'!$A:$W,MATCH($A$1,'DB Country PMI'!$A$1:$W$1,),)=0,#N/A,VLOOKUP(A22,'DB Country PMI'!$A:$W,MATCH($A$1,'DB Country PMI'!$A$1:$W$1,),))</f>
        <v>55.3</v>
      </c>
      <c r="C22" s="14">
        <f>Table134681134567101213[[#This Row],[PMI]]-B21</f>
        <v>-1.2000000000000028</v>
      </c>
    </row>
    <row r="23" spans="1:3" x14ac:dyDescent="0.35">
      <c r="A23" s="8">
        <v>40969</v>
      </c>
      <c r="B23" s="11">
        <f>IF(VLOOKUP(A23,'DB Country PMI'!$A:$W,MATCH($A$1,'DB Country PMI'!$A$1:$W$1,),)=0,#N/A,VLOOKUP(A23,'DB Country PMI'!$A:$W,MATCH($A$1,'DB Country PMI'!$A$1:$W$1,),))</f>
        <v>54.4</v>
      </c>
      <c r="C23" s="14">
        <f>Table134681134567101213[[#This Row],[PMI]]-B22</f>
        <v>-0.89999999999999858</v>
      </c>
    </row>
    <row r="24" spans="1:3" x14ac:dyDescent="0.35">
      <c r="A24" s="8">
        <v>41000</v>
      </c>
      <c r="B24" s="11">
        <f>IF(VLOOKUP(A24,'DB Country PMI'!$A:$W,MATCH($A$1,'DB Country PMI'!$A$1:$W$1,),)=0,#N/A,VLOOKUP(A24,'DB Country PMI'!$A:$W,MATCH($A$1,'DB Country PMI'!$A$1:$W$1,),))</f>
        <v>52.6</v>
      </c>
      <c r="C24" s="14">
        <f>Table134681134567101213[[#This Row],[PMI]]-B23</f>
        <v>-1.7999999999999972</v>
      </c>
    </row>
    <row r="25" spans="1:3" x14ac:dyDescent="0.35">
      <c r="A25" s="8">
        <v>41030</v>
      </c>
      <c r="B25" s="11">
        <f>IF(VLOOKUP(A25,'DB Country PMI'!$A:$W,MATCH($A$1,'DB Country PMI'!$A$1:$W$1,),)=0,#N/A,VLOOKUP(A25,'DB Country PMI'!$A:$W,MATCH($A$1,'DB Country PMI'!$A$1:$W$1,),))</f>
        <v>54.9</v>
      </c>
      <c r="C25" s="14">
        <f>Table134681134567101213[[#This Row],[PMI]]-B24</f>
        <v>2.2999999999999972</v>
      </c>
    </row>
    <row r="26" spans="1:3" x14ac:dyDescent="0.35">
      <c r="A26" s="8">
        <v>41061</v>
      </c>
      <c r="B26" s="11">
        <f>IF(VLOOKUP(A26,'DB Country PMI'!$A:$W,MATCH($A$1,'DB Country PMI'!$A$1:$W$1,),)=0,#N/A,VLOOKUP(A26,'DB Country PMI'!$A:$W,MATCH($A$1,'DB Country PMI'!$A$1:$W$1,),))</f>
        <v>53.2</v>
      </c>
      <c r="C26" s="14">
        <f>Table134681134567101213[[#This Row],[PMI]]-B25</f>
        <v>-1.6999999999999957</v>
      </c>
    </row>
    <row r="27" spans="1:3" x14ac:dyDescent="0.35">
      <c r="A27" s="8">
        <v>41091</v>
      </c>
      <c r="B27" s="11">
        <f>IF(VLOOKUP(A27,'DB Country PMI'!$A:$W,MATCH($A$1,'DB Country PMI'!$A$1:$W$1,),)=0,#N/A,VLOOKUP(A27,'DB Country PMI'!$A:$W,MATCH($A$1,'DB Country PMI'!$A$1:$W$1,),))</f>
        <v>52</v>
      </c>
      <c r="C27" s="14">
        <f>Table134681134567101213[[#This Row],[PMI]]-B26</f>
        <v>-1.2000000000000028</v>
      </c>
    </row>
    <row r="28" spans="1:3" x14ac:dyDescent="0.35">
      <c r="A28" s="8">
        <v>41122</v>
      </c>
      <c r="B28" s="11">
        <f>IF(VLOOKUP(A28,'DB Country PMI'!$A:$W,MATCH($A$1,'DB Country PMI'!$A$1:$W$1,),)=0,#N/A,VLOOKUP(A28,'DB Country PMI'!$A:$W,MATCH($A$1,'DB Country PMI'!$A$1:$W$1,),))</f>
        <v>52.6</v>
      </c>
      <c r="C28" s="14">
        <f>Table134681134567101213[[#This Row],[PMI]]-B27</f>
        <v>0.60000000000000142</v>
      </c>
    </row>
    <row r="29" spans="1:3" x14ac:dyDescent="0.35">
      <c r="A29" s="8">
        <v>41153</v>
      </c>
      <c r="B29" s="11">
        <f>IF(VLOOKUP(A29,'DB Country PMI'!$A:$W,MATCH($A$1,'DB Country PMI'!$A$1:$W$1,),)=0,#N/A,VLOOKUP(A29,'DB Country PMI'!$A:$W,MATCH($A$1,'DB Country PMI'!$A$1:$W$1,),))</f>
        <v>54.5</v>
      </c>
      <c r="C29" s="14">
        <f>Table134681134567101213[[#This Row],[PMI]]-B28</f>
        <v>1.8999999999999986</v>
      </c>
    </row>
    <row r="30" spans="1:3" x14ac:dyDescent="0.35">
      <c r="A30" s="8">
        <v>41183</v>
      </c>
      <c r="B30" s="11">
        <f>IF(VLOOKUP(A30,'DB Country PMI'!$A:$W,MATCH($A$1,'DB Country PMI'!$A$1:$W$1,),)=0,#N/A,VLOOKUP(A30,'DB Country PMI'!$A:$W,MATCH($A$1,'DB Country PMI'!$A$1:$W$1,),))</f>
        <v>57.3</v>
      </c>
      <c r="C30" s="14">
        <f>Table134681134567101213[[#This Row],[PMI]]-B29</f>
        <v>2.7999999999999972</v>
      </c>
    </row>
    <row r="31" spans="1:3" x14ac:dyDescent="0.35">
      <c r="A31" s="8">
        <v>41214</v>
      </c>
      <c r="B31" s="11">
        <f>IF(VLOOKUP(A31,'DB Country PMI'!$A:$W,MATCH($A$1,'DB Country PMI'!$A$1:$W$1,),)=0,#N/A,VLOOKUP(A31,'DB Country PMI'!$A:$W,MATCH($A$1,'DB Country PMI'!$A$1:$W$1,),))</f>
        <v>57.1</v>
      </c>
      <c r="C31" s="14">
        <f>Table134681134567101213[[#This Row],[PMI]]-B30</f>
        <v>-0.19999999999999574</v>
      </c>
    </row>
    <row r="32" spans="1:3" x14ac:dyDescent="0.35">
      <c r="A32" s="8">
        <v>41244</v>
      </c>
      <c r="B32" s="11">
        <f>IF(VLOOKUP(A32,'DB Country PMI'!$A:$W,MATCH($A$1,'DB Country PMI'!$A$1:$W$1,),)=0,#N/A,VLOOKUP(A32,'DB Country PMI'!$A:$W,MATCH($A$1,'DB Country PMI'!$A$1:$W$1,),))</f>
        <v>56.1</v>
      </c>
      <c r="C32" s="14">
        <f>Table134681134567101213[[#This Row],[PMI]]-B31</f>
        <v>-1</v>
      </c>
    </row>
    <row r="33" spans="1:3" x14ac:dyDescent="0.35">
      <c r="A33" s="8">
        <v>41275</v>
      </c>
      <c r="B33" s="11">
        <f>IF(VLOOKUP(A33,'DB Country PMI'!$A:$W,MATCH($A$1,'DB Country PMI'!$A$1:$W$1,),)=0,#N/A,VLOOKUP(A33,'DB Country PMI'!$A:$W,MATCH($A$1,'DB Country PMI'!$A$1:$W$1,),))</f>
        <v>55.7</v>
      </c>
      <c r="C33" s="14">
        <f>Table134681134567101213[[#This Row],[PMI]]-B32</f>
        <v>-0.39999999999999858</v>
      </c>
    </row>
    <row r="34" spans="1:3" x14ac:dyDescent="0.35">
      <c r="A34" s="8">
        <v>41306</v>
      </c>
      <c r="B34" s="11">
        <f>IF(VLOOKUP(A34,'DB Country PMI'!$A:$W,MATCH($A$1,'DB Country PMI'!$A$1:$W$1,),)=0,#N/A,VLOOKUP(A34,'DB Country PMI'!$A:$W,MATCH($A$1,'DB Country PMI'!$A$1:$W$1,),))</f>
        <v>56.1</v>
      </c>
      <c r="C34" s="14">
        <f>Table134681134567101213[[#This Row],[PMI]]-B33</f>
        <v>0.39999999999999858</v>
      </c>
    </row>
    <row r="35" spans="1:3" x14ac:dyDescent="0.35">
      <c r="A35" s="8">
        <v>41334</v>
      </c>
      <c r="B35" s="11">
        <f>IF(VLOOKUP(A35,'DB Country PMI'!$A:$W,MATCH($A$1,'DB Country PMI'!$A$1:$W$1,),)=0,#N/A,VLOOKUP(A35,'DB Country PMI'!$A:$W,MATCH($A$1,'DB Country PMI'!$A$1:$W$1,),))</f>
        <v>54.6</v>
      </c>
      <c r="C35" s="14">
        <f>Table134681134567101213[[#This Row],[PMI]]-B34</f>
        <v>-1.5</v>
      </c>
    </row>
    <row r="36" spans="1:3" x14ac:dyDescent="0.35">
      <c r="A36" s="8">
        <v>41365</v>
      </c>
      <c r="B36" s="11">
        <f>IF(VLOOKUP(A36,'DB Country PMI'!$A:$W,MATCH($A$1,'DB Country PMI'!$A$1:$W$1,),)=0,#N/A,VLOOKUP(A36,'DB Country PMI'!$A:$W,MATCH($A$1,'DB Country PMI'!$A$1:$W$1,),))</f>
        <v>53</v>
      </c>
      <c r="C36" s="14">
        <f>Table134681134567101213[[#This Row],[PMI]]-B35</f>
        <v>-1.6000000000000014</v>
      </c>
    </row>
    <row r="37" spans="1:3" x14ac:dyDescent="0.35">
      <c r="A37" s="8">
        <v>41395</v>
      </c>
      <c r="B37" s="11">
        <f>IF(VLOOKUP(A37,'DB Country PMI'!$A:$W,MATCH($A$1,'DB Country PMI'!$A$1:$W$1,),)=0,#N/A,VLOOKUP(A37,'DB Country PMI'!$A:$W,MATCH($A$1,'DB Country PMI'!$A$1:$W$1,),))</f>
        <v>51.4</v>
      </c>
      <c r="C37" s="14">
        <f>Table134681134567101213[[#This Row],[PMI]]-B36</f>
        <v>-1.6000000000000014</v>
      </c>
    </row>
    <row r="38" spans="1:3" x14ac:dyDescent="0.35">
      <c r="A38" s="8">
        <v>41426</v>
      </c>
      <c r="B38" s="11">
        <f>IF(VLOOKUP(A38,'DB Country PMI'!$A:$W,MATCH($A$1,'DB Country PMI'!$A$1:$W$1,),)=0,#N/A,VLOOKUP(A38,'DB Country PMI'!$A:$W,MATCH($A$1,'DB Country PMI'!$A$1:$W$1,),))</f>
        <v>48.8</v>
      </c>
      <c r="C38" s="14">
        <f>Table134681134567101213[[#This Row],[PMI]]-B37</f>
        <v>-2.6000000000000014</v>
      </c>
    </row>
    <row r="39" spans="1:3" x14ac:dyDescent="0.35">
      <c r="A39" s="8">
        <v>41456</v>
      </c>
      <c r="B39" s="11">
        <f>IF(VLOOKUP(A39,'DB Country PMI'!$A:$W,MATCH($A$1,'DB Country PMI'!$A$1:$W$1,),)=0,#N/A,VLOOKUP(A39,'DB Country PMI'!$A:$W,MATCH($A$1,'DB Country PMI'!$A$1:$W$1,),))</f>
        <v>48.7</v>
      </c>
      <c r="C39" s="14">
        <f>Table134681134567101213[[#This Row],[PMI]]-B38</f>
        <v>-9.9999999999994316E-2</v>
      </c>
    </row>
    <row r="40" spans="1:3" x14ac:dyDescent="0.35">
      <c r="A40" s="8">
        <v>41487</v>
      </c>
      <c r="B40" s="11">
        <f>IF(VLOOKUP(A40,'DB Country PMI'!$A:$W,MATCH($A$1,'DB Country PMI'!$A$1:$W$1,),)=0,#N/A,VLOOKUP(A40,'DB Country PMI'!$A:$W,MATCH($A$1,'DB Country PMI'!$A$1:$W$1,),))</f>
        <v>51.8</v>
      </c>
      <c r="C40" s="14">
        <f>Table134681134567101213[[#This Row],[PMI]]-B39</f>
        <v>3.0999999999999943</v>
      </c>
    </row>
    <row r="41" spans="1:3" x14ac:dyDescent="0.35">
      <c r="A41" s="8">
        <v>41518</v>
      </c>
      <c r="B41" s="11">
        <f>IF(VLOOKUP(A41,'DB Country PMI'!$A:$W,MATCH($A$1,'DB Country PMI'!$A$1:$W$1,),)=0,#N/A,VLOOKUP(A41,'DB Country PMI'!$A:$W,MATCH($A$1,'DB Country PMI'!$A$1:$W$1,),))</f>
        <v>51.5</v>
      </c>
      <c r="C41" s="14">
        <f>Table134681134567101213[[#This Row],[PMI]]-B40</f>
        <v>-0.29999999999999716</v>
      </c>
    </row>
    <row r="42" spans="1:3" x14ac:dyDescent="0.35">
      <c r="A42" s="8">
        <v>41548</v>
      </c>
      <c r="B42" s="11">
        <f>IF(VLOOKUP(A42,'DB Country PMI'!$A:$W,MATCH($A$1,'DB Country PMI'!$A$1:$W$1,),)=0,#N/A,VLOOKUP(A42,'DB Country PMI'!$A:$W,MATCH($A$1,'DB Country PMI'!$A$1:$W$1,),))</f>
        <v>52.5</v>
      </c>
      <c r="C42" s="14">
        <f>Table134681134567101213[[#This Row],[PMI]]-B41</f>
        <v>1</v>
      </c>
    </row>
    <row r="43" spans="1:3" x14ac:dyDescent="0.35">
      <c r="A43" s="8">
        <v>41579</v>
      </c>
      <c r="B43" s="11">
        <f>IF(VLOOKUP(A43,'DB Country PMI'!$A:$W,MATCH($A$1,'DB Country PMI'!$A$1:$W$1,),)=0,#N/A,VLOOKUP(A43,'DB Country PMI'!$A:$W,MATCH($A$1,'DB Country PMI'!$A$1:$W$1,),))</f>
        <v>52.9</v>
      </c>
      <c r="C43" s="14">
        <f>Table134681134567101213[[#This Row],[PMI]]-B42</f>
        <v>0.39999999999999858</v>
      </c>
    </row>
    <row r="44" spans="1:3" x14ac:dyDescent="0.35">
      <c r="A44" s="8">
        <v>41609</v>
      </c>
      <c r="B44" s="11">
        <f>IF(VLOOKUP(A44,'DB Country PMI'!$A:$W,MATCH($A$1,'DB Country PMI'!$A$1:$W$1,),)=0,#N/A,VLOOKUP(A44,'DB Country PMI'!$A:$W,MATCH($A$1,'DB Country PMI'!$A$1:$W$1,),))</f>
        <v>51.4</v>
      </c>
      <c r="C44" s="14">
        <f>Table134681134567101213[[#This Row],[PMI]]-B43</f>
        <v>-1.5</v>
      </c>
    </row>
    <row r="45" spans="1:3" x14ac:dyDescent="0.35">
      <c r="A45" s="8">
        <v>41640</v>
      </c>
      <c r="B45" s="11">
        <f>IF(VLOOKUP(A45,'DB Country PMI'!$A:$W,MATCH($A$1,'DB Country PMI'!$A$1:$W$1,),)=0,#N/A,VLOOKUP(A45,'DB Country PMI'!$A:$W,MATCH($A$1,'DB Country PMI'!$A$1:$W$1,),))</f>
        <v>50.2</v>
      </c>
      <c r="C45" s="14">
        <f>Table134681134567101213[[#This Row],[PMI]]-B44</f>
        <v>-1.1999999999999957</v>
      </c>
    </row>
    <row r="46" spans="1:3" x14ac:dyDescent="0.35">
      <c r="A46" s="8">
        <v>41671</v>
      </c>
      <c r="B46" s="11">
        <f>IF(VLOOKUP(A46,'DB Country PMI'!$A:$W,MATCH($A$1,'DB Country PMI'!$A$1:$W$1,),)=0,#N/A,VLOOKUP(A46,'DB Country PMI'!$A:$W,MATCH($A$1,'DB Country PMI'!$A$1:$W$1,),))</f>
        <v>50.8</v>
      </c>
      <c r="C46" s="14">
        <f>Table134681134567101213[[#This Row],[PMI]]-B45</f>
        <v>0.59999999999999432</v>
      </c>
    </row>
    <row r="47" spans="1:3" x14ac:dyDescent="0.35">
      <c r="A47" s="8">
        <v>41699</v>
      </c>
      <c r="B47" s="11">
        <f>IF(VLOOKUP(A47,'DB Country PMI'!$A:$W,MATCH($A$1,'DB Country PMI'!$A$1:$W$1,),)=0,#N/A,VLOOKUP(A47,'DB Country PMI'!$A:$W,MATCH($A$1,'DB Country PMI'!$A$1:$W$1,),))</f>
        <v>47.7</v>
      </c>
      <c r="C47" s="14">
        <f>Table134681134567101213[[#This Row],[PMI]]-B46</f>
        <v>-3.0999999999999943</v>
      </c>
    </row>
    <row r="48" spans="1:3" x14ac:dyDescent="0.35">
      <c r="A48" s="8">
        <v>41730</v>
      </c>
      <c r="B48" s="11">
        <f>IF(VLOOKUP(A48,'DB Country PMI'!$A:$W,MATCH($A$1,'DB Country PMI'!$A$1:$W$1,),)=0,#N/A,VLOOKUP(A48,'DB Country PMI'!$A:$W,MATCH($A$1,'DB Country PMI'!$A$1:$W$1,),))</f>
        <v>46.8</v>
      </c>
      <c r="C48" s="14">
        <f>Table134681134567101213[[#This Row],[PMI]]-B47</f>
        <v>-0.90000000000000568</v>
      </c>
    </row>
    <row r="49" spans="1:3" x14ac:dyDescent="0.35">
      <c r="A49" s="8">
        <v>41760</v>
      </c>
      <c r="B49" s="11">
        <f>IF(VLOOKUP(A49,'DB Country PMI'!$A:$W,MATCH($A$1,'DB Country PMI'!$A$1:$W$1,),)=0,#N/A,VLOOKUP(A49,'DB Country PMI'!$A:$W,MATCH($A$1,'DB Country PMI'!$A$1:$W$1,),))</f>
        <v>46.1</v>
      </c>
      <c r="C49" s="14">
        <f>Table134681134567101213[[#This Row],[PMI]]-B48</f>
        <v>-0.69999999999999574</v>
      </c>
    </row>
    <row r="50" spans="1:3" x14ac:dyDescent="0.35">
      <c r="A50" s="8">
        <v>41791</v>
      </c>
      <c r="B50" s="11">
        <f>IF(VLOOKUP(A50,'DB Country PMI'!$A:$W,MATCH($A$1,'DB Country PMI'!$A$1:$W$1,),)=0,#N/A,VLOOKUP(A50,'DB Country PMI'!$A:$W,MATCH($A$1,'DB Country PMI'!$A$1:$W$1,),))</f>
        <v>49.8</v>
      </c>
      <c r="C50" s="14">
        <f>Table134681134567101213[[#This Row],[PMI]]-B49</f>
        <v>3.6999999999999957</v>
      </c>
    </row>
    <row r="51" spans="1:3" x14ac:dyDescent="0.35">
      <c r="A51" s="8">
        <v>41821</v>
      </c>
      <c r="B51" s="11">
        <f>IF(VLOOKUP(A51,'DB Country PMI'!$A:$W,MATCH($A$1,'DB Country PMI'!$A$1:$W$1,),)=0,#N/A,VLOOKUP(A51,'DB Country PMI'!$A:$W,MATCH($A$1,'DB Country PMI'!$A$1:$W$1,),))</f>
        <v>49.7</v>
      </c>
      <c r="C51" s="14">
        <f>Table134681134567101213[[#This Row],[PMI]]-B50</f>
        <v>-9.9999999999994316E-2</v>
      </c>
    </row>
    <row r="52" spans="1:3" x14ac:dyDescent="0.35">
      <c r="A52" s="8">
        <v>41852</v>
      </c>
      <c r="B52" s="11">
        <f>IF(VLOOKUP(A52,'DB Country PMI'!$A:$W,MATCH($A$1,'DB Country PMI'!$A$1:$W$1,),)=0,#N/A,VLOOKUP(A52,'DB Country PMI'!$A:$W,MATCH($A$1,'DB Country PMI'!$A$1:$W$1,),))</f>
        <v>50.3</v>
      </c>
      <c r="C52" s="14">
        <f>Table134681134567101213[[#This Row],[PMI]]-B51</f>
        <v>0.59999999999999432</v>
      </c>
    </row>
    <row r="53" spans="1:3" x14ac:dyDescent="0.35">
      <c r="A53" s="8">
        <v>41883</v>
      </c>
      <c r="B53" s="11">
        <f>IF(VLOOKUP(A53,'DB Country PMI'!$A:$W,MATCH($A$1,'DB Country PMI'!$A$1:$W$1,),)=0,#N/A,VLOOKUP(A53,'DB Country PMI'!$A:$W,MATCH($A$1,'DB Country PMI'!$A$1:$W$1,),))</f>
        <v>50.5</v>
      </c>
      <c r="C53" s="14">
        <f>Table134681134567101213[[#This Row],[PMI]]-B52</f>
        <v>0.20000000000000284</v>
      </c>
    </row>
    <row r="54" spans="1:3" x14ac:dyDescent="0.35">
      <c r="A54" s="8">
        <v>41913</v>
      </c>
      <c r="B54" s="11">
        <f>IF(VLOOKUP(A54,'DB Country PMI'!$A:$W,MATCH($A$1,'DB Country PMI'!$A$1:$W$1,),)=0,#N/A,VLOOKUP(A54,'DB Country PMI'!$A:$W,MATCH($A$1,'DB Country PMI'!$A$1:$W$1,),))</f>
        <v>47.4</v>
      </c>
      <c r="C54" s="14">
        <f>Table134681134567101213[[#This Row],[PMI]]-B53</f>
        <v>-3.1000000000000014</v>
      </c>
    </row>
    <row r="55" spans="1:3" x14ac:dyDescent="0.35">
      <c r="A55" s="8">
        <v>41944</v>
      </c>
      <c r="B55" s="11">
        <f>IF(VLOOKUP(A55,'DB Country PMI'!$A:$W,MATCH($A$1,'DB Country PMI'!$A$1:$W$1,),)=0,#N/A,VLOOKUP(A55,'DB Country PMI'!$A:$W,MATCH($A$1,'DB Country PMI'!$A$1:$W$1,),))</f>
        <v>44.5</v>
      </c>
      <c r="C55" s="14">
        <f>Table134681134567101213[[#This Row],[PMI]]-B54</f>
        <v>-2.8999999999999986</v>
      </c>
    </row>
    <row r="56" spans="1:3" x14ac:dyDescent="0.35">
      <c r="A56" s="8">
        <v>41974</v>
      </c>
      <c r="B56" s="11">
        <f>IF(VLOOKUP(A56,'DB Country PMI'!$A:$W,MATCH($A$1,'DB Country PMI'!$A$1:$W$1,),)=0,#N/A,VLOOKUP(A56,'DB Country PMI'!$A:$W,MATCH($A$1,'DB Country PMI'!$A$1:$W$1,),))</f>
        <v>45.8</v>
      </c>
      <c r="C56" s="14">
        <f>Table134681134567101213[[#This Row],[PMI]]-B55</f>
        <v>1.2999999999999972</v>
      </c>
    </row>
    <row r="57" spans="1:3" x14ac:dyDescent="0.35">
      <c r="A57" s="8">
        <v>42005</v>
      </c>
      <c r="B57" s="11">
        <f>IF(VLOOKUP(A57,'DB Country PMI'!$A:$W,MATCH($A$1,'DB Country PMI'!$A$1:$W$1,),)=0,#N/A,VLOOKUP(A57,'DB Country PMI'!$A:$W,MATCH($A$1,'DB Country PMI'!$A$1:$W$1,),))</f>
        <v>43.9</v>
      </c>
      <c r="C57" s="14">
        <f>Table134681134567101213[[#This Row],[PMI]]-B56</f>
        <v>-1.8999999999999986</v>
      </c>
    </row>
    <row r="58" spans="1:3" x14ac:dyDescent="0.35">
      <c r="A58" s="8">
        <v>42036</v>
      </c>
      <c r="B58" s="11">
        <f>IF(VLOOKUP(A58,'DB Country PMI'!$A:$W,MATCH($A$1,'DB Country PMI'!$A$1:$W$1,),)=0,#N/A,VLOOKUP(A58,'DB Country PMI'!$A:$W,MATCH($A$1,'DB Country PMI'!$A$1:$W$1,),))</f>
        <v>41.3</v>
      </c>
      <c r="C58" s="14">
        <f>Table134681134567101213[[#This Row],[PMI]]-B57</f>
        <v>-2.6000000000000014</v>
      </c>
    </row>
    <row r="59" spans="1:3" x14ac:dyDescent="0.35">
      <c r="A59" s="8">
        <v>42064</v>
      </c>
      <c r="B59" s="11">
        <f>IF(VLOOKUP(A59,'DB Country PMI'!$A:$W,MATCH($A$1,'DB Country PMI'!$A$1:$W$1,),)=0,#N/A,VLOOKUP(A59,'DB Country PMI'!$A:$W,MATCH($A$1,'DB Country PMI'!$A$1:$W$1,),))</f>
        <v>46.1</v>
      </c>
      <c r="C59" s="14">
        <f>Table134681134567101213[[#This Row],[PMI]]-B58</f>
        <v>4.8000000000000043</v>
      </c>
    </row>
    <row r="60" spans="1:3" x14ac:dyDescent="0.35">
      <c r="A60" s="8">
        <v>42095</v>
      </c>
      <c r="B60" s="11">
        <f>IF(VLOOKUP(A60,'DB Country PMI'!$A:$W,MATCH($A$1,'DB Country PMI'!$A$1:$W$1,),)=0,#N/A,VLOOKUP(A60,'DB Country PMI'!$A:$W,MATCH($A$1,'DB Country PMI'!$A$1:$W$1,),))</f>
        <v>50.7</v>
      </c>
      <c r="C60" s="14">
        <f>Table134681134567101213[[#This Row],[PMI]]-B59</f>
        <v>4.6000000000000014</v>
      </c>
    </row>
    <row r="61" spans="1:3" x14ac:dyDescent="0.35">
      <c r="A61" s="8">
        <v>42125</v>
      </c>
      <c r="B61" s="11">
        <f>IF(VLOOKUP(A61,'DB Country PMI'!$A:$W,MATCH($A$1,'DB Country PMI'!$A$1:$W$1,),)=0,#N/A,VLOOKUP(A61,'DB Country PMI'!$A:$W,MATCH($A$1,'DB Country PMI'!$A$1:$W$1,),))</f>
        <v>52.8</v>
      </c>
      <c r="C61" s="14">
        <f>Table134681134567101213[[#This Row],[PMI]]-B60</f>
        <v>2.0999999999999943</v>
      </c>
    </row>
    <row r="62" spans="1:3" x14ac:dyDescent="0.35">
      <c r="A62" s="8">
        <v>42156</v>
      </c>
      <c r="B62" s="11">
        <f>IF(VLOOKUP(A62,'DB Country PMI'!$A:$W,MATCH($A$1,'DB Country PMI'!$A$1:$W$1,),)=0,#N/A,VLOOKUP(A62,'DB Country PMI'!$A:$W,MATCH($A$1,'DB Country PMI'!$A$1:$W$1,),))</f>
        <v>49.5</v>
      </c>
      <c r="C62" s="14">
        <f>Table134681134567101213[[#This Row],[PMI]]-B61</f>
        <v>-3.2999999999999972</v>
      </c>
    </row>
    <row r="63" spans="1:3" x14ac:dyDescent="0.35">
      <c r="A63" s="8">
        <v>42186</v>
      </c>
      <c r="B63" s="11">
        <f>IF(VLOOKUP(A63,'DB Country PMI'!$A:$W,MATCH($A$1,'DB Country PMI'!$A$1:$W$1,),)=0,#N/A,VLOOKUP(A63,'DB Country PMI'!$A:$W,MATCH($A$1,'DB Country PMI'!$A$1:$W$1,),))</f>
        <v>51.6</v>
      </c>
      <c r="C63" s="14">
        <f>Table134681134567101213[[#This Row],[PMI]]-B62</f>
        <v>2.1000000000000014</v>
      </c>
    </row>
    <row r="64" spans="1:3" x14ac:dyDescent="0.35">
      <c r="A64" s="8">
        <v>42217</v>
      </c>
      <c r="B64" s="11">
        <f>IF(VLOOKUP(A64,'DB Country PMI'!$A:$W,MATCH($A$1,'DB Country PMI'!$A$1:$W$1,),)=0,#N/A,VLOOKUP(A64,'DB Country PMI'!$A:$W,MATCH($A$1,'DB Country PMI'!$A$1:$W$1,),))</f>
        <v>49.1</v>
      </c>
      <c r="C64" s="14">
        <f>Table134681134567101213[[#This Row],[PMI]]-B63</f>
        <v>-2.5</v>
      </c>
    </row>
    <row r="65" spans="1:3" x14ac:dyDescent="0.35">
      <c r="A65" s="8">
        <v>42248</v>
      </c>
      <c r="B65" s="11">
        <f>IF(VLOOKUP(A65,'DB Country PMI'!$A:$W,MATCH($A$1,'DB Country PMI'!$A$1:$W$1,),)=0,#N/A,VLOOKUP(A65,'DB Country PMI'!$A:$W,MATCH($A$1,'DB Country PMI'!$A$1:$W$1,),))</f>
        <v>51.3</v>
      </c>
      <c r="C65" s="14">
        <f>Table134681134567101213[[#This Row],[PMI]]-B64</f>
        <v>2.1999999999999957</v>
      </c>
    </row>
    <row r="66" spans="1:3" x14ac:dyDescent="0.35">
      <c r="A66" s="8">
        <v>42278</v>
      </c>
      <c r="B66" s="11">
        <f>IF(VLOOKUP(A66,'DB Country PMI'!$A:$W,MATCH($A$1,'DB Country PMI'!$A$1:$W$1,),)=0,#N/A,VLOOKUP(A66,'DB Country PMI'!$A:$W,MATCH($A$1,'DB Country PMI'!$A$1:$W$1,),))</f>
        <v>47.8</v>
      </c>
      <c r="C66" s="14">
        <f>Table134681134567101213[[#This Row],[PMI]]-B65</f>
        <v>-3.5</v>
      </c>
    </row>
    <row r="67" spans="1:3" x14ac:dyDescent="0.35">
      <c r="A67" s="8">
        <v>42309</v>
      </c>
      <c r="B67" s="11">
        <f>IF(VLOOKUP(A67,'DB Country PMI'!$A:$W,MATCH($A$1,'DB Country PMI'!$A$1:$W$1,),)=0,#N/A,VLOOKUP(A67,'DB Country PMI'!$A:$W,MATCH($A$1,'DB Country PMI'!$A$1:$W$1,),))</f>
        <v>49.8</v>
      </c>
      <c r="C67" s="14">
        <f>Table134681134567101213[[#This Row],[PMI]]-B66</f>
        <v>2</v>
      </c>
    </row>
    <row r="68" spans="1:3" x14ac:dyDescent="0.35">
      <c r="A68" s="8">
        <v>42339</v>
      </c>
      <c r="B68" s="11">
        <f>IF(VLOOKUP(A68,'DB Country PMI'!$A:$W,MATCH($A$1,'DB Country PMI'!$A$1:$W$1,),)=0,#N/A,VLOOKUP(A68,'DB Country PMI'!$A:$W,MATCH($A$1,'DB Country PMI'!$A$1:$W$1,),))</f>
        <v>47.8</v>
      </c>
      <c r="C68" s="14">
        <f>Table134681134567101213[[#This Row],[PMI]]-B67</f>
        <v>-2</v>
      </c>
    </row>
    <row r="69" spans="1:3" x14ac:dyDescent="0.35">
      <c r="A69" s="8">
        <v>42370</v>
      </c>
      <c r="B69" s="11">
        <f>IF(VLOOKUP(A69,'DB Country PMI'!$A:$W,MATCH($A$1,'DB Country PMI'!$A$1:$W$1,),)=0,#N/A,VLOOKUP(A69,'DB Country PMI'!$A:$W,MATCH($A$1,'DB Country PMI'!$A$1:$W$1,),))</f>
        <v>47.1</v>
      </c>
      <c r="C69" s="14">
        <f>Table134681134567101213[[#This Row],[PMI]]-B68</f>
        <v>-0.69999999999999574</v>
      </c>
    </row>
    <row r="70" spans="1:3" x14ac:dyDescent="0.35">
      <c r="A70" s="8">
        <v>42401</v>
      </c>
      <c r="B70" s="11">
        <f>IF(VLOOKUP(A70,'DB Country PMI'!$A:$W,MATCH($A$1,'DB Country PMI'!$A$1:$W$1,),)=0,#N/A,VLOOKUP(A70,'DB Country PMI'!$A:$W,MATCH($A$1,'DB Country PMI'!$A$1:$W$1,),))</f>
        <v>50.9</v>
      </c>
      <c r="C70" s="14">
        <f>Table134681134567101213[[#This Row],[PMI]]-B69</f>
        <v>3.7999999999999972</v>
      </c>
    </row>
    <row r="71" spans="1:3" x14ac:dyDescent="0.35">
      <c r="A71" s="8">
        <v>42430</v>
      </c>
      <c r="B71" s="11">
        <f>IF(VLOOKUP(A71,'DB Country PMI'!$A:$W,MATCH($A$1,'DB Country PMI'!$A$1:$W$1,),)=0,#N/A,VLOOKUP(A71,'DB Country PMI'!$A:$W,MATCH($A$1,'DB Country PMI'!$A$1:$W$1,),))</f>
        <v>52</v>
      </c>
      <c r="C71" s="14">
        <f>Table134681134567101213[[#This Row],[PMI]]-B70</f>
        <v>1.1000000000000014</v>
      </c>
    </row>
    <row r="72" spans="1:3" x14ac:dyDescent="0.35">
      <c r="A72" s="8">
        <v>42461</v>
      </c>
      <c r="B72" s="11">
        <f>IF(VLOOKUP(A72,'DB Country PMI'!$A:$W,MATCH($A$1,'DB Country PMI'!$A$1:$W$1,),)=0,#N/A,VLOOKUP(A72,'DB Country PMI'!$A:$W,MATCH($A$1,'DB Country PMI'!$A$1:$W$1,),))</f>
        <v>54.2</v>
      </c>
      <c r="C72" s="14">
        <f>Table134681134567101213[[#This Row],[PMI]]-B71</f>
        <v>2.2000000000000028</v>
      </c>
    </row>
    <row r="73" spans="1:3" x14ac:dyDescent="0.35">
      <c r="A73" s="8">
        <v>42491</v>
      </c>
      <c r="B73" s="11">
        <f>IF(VLOOKUP(A73,'DB Country PMI'!$A:$W,MATCH($A$1,'DB Country PMI'!$A$1:$W$1,),)=0,#N/A,VLOOKUP(A73,'DB Country PMI'!$A:$W,MATCH($A$1,'DB Country PMI'!$A$1:$W$1,),))</f>
        <v>51.8</v>
      </c>
      <c r="C73" s="14">
        <f>Table134681134567101213[[#This Row],[PMI]]-B72</f>
        <v>-2.4000000000000057</v>
      </c>
    </row>
    <row r="74" spans="1:3" x14ac:dyDescent="0.35">
      <c r="A74" s="8">
        <v>42522</v>
      </c>
      <c r="B74" s="11">
        <f>IF(VLOOKUP(A74,'DB Country PMI'!$A:$W,MATCH($A$1,'DB Country PMI'!$A$1:$W$1,),)=0,#N/A,VLOOKUP(A74,'DB Country PMI'!$A:$W,MATCH($A$1,'DB Country PMI'!$A$1:$W$1,),))</f>
        <v>53.8</v>
      </c>
      <c r="C74" s="14">
        <f>Table134681134567101213[[#This Row],[PMI]]-B73</f>
        <v>2</v>
      </c>
    </row>
    <row r="75" spans="1:3" x14ac:dyDescent="0.35">
      <c r="A75" s="8">
        <v>42552</v>
      </c>
      <c r="B75" s="11">
        <f>IF(VLOOKUP(A75,'DB Country PMI'!$A:$W,MATCH($A$1,'DB Country PMI'!$A$1:$W$1,),)=0,#N/A,VLOOKUP(A75,'DB Country PMI'!$A:$W,MATCH($A$1,'DB Country PMI'!$A$1:$W$1,),))</f>
        <v>55</v>
      </c>
      <c r="C75" s="14">
        <f>Table134681134567101213[[#This Row],[PMI]]-B74</f>
        <v>1.2000000000000028</v>
      </c>
    </row>
    <row r="76" spans="1:3" x14ac:dyDescent="0.35">
      <c r="A76" s="8">
        <v>42583</v>
      </c>
      <c r="B76" s="11">
        <f>IF(VLOOKUP(A76,'DB Country PMI'!$A:$W,MATCH($A$1,'DB Country PMI'!$A$1:$W$1,),)=0,#N/A,VLOOKUP(A76,'DB Country PMI'!$A:$W,MATCH($A$1,'DB Country PMI'!$A$1:$W$1,),))</f>
        <v>53.5</v>
      </c>
      <c r="C76" s="14">
        <f>Table134681134567101213[[#This Row],[PMI]]-B75</f>
        <v>-1.5</v>
      </c>
    </row>
    <row r="77" spans="1:3" x14ac:dyDescent="0.35">
      <c r="A77" s="8">
        <v>42614</v>
      </c>
      <c r="B77" s="11">
        <f>IF(VLOOKUP(A77,'DB Country PMI'!$A:$W,MATCH($A$1,'DB Country PMI'!$A$1:$W$1,),)=0,#N/A,VLOOKUP(A77,'DB Country PMI'!$A:$W,MATCH($A$1,'DB Country PMI'!$A$1:$W$1,),))</f>
        <v>53</v>
      </c>
      <c r="C77" s="14">
        <f>Table134681134567101213[[#This Row],[PMI]]-B76</f>
        <v>-0.5</v>
      </c>
    </row>
    <row r="78" spans="1:3" x14ac:dyDescent="0.35">
      <c r="A78" s="8">
        <v>42644</v>
      </c>
      <c r="B78" s="11">
        <f>IF(VLOOKUP(A78,'DB Country PMI'!$A:$W,MATCH($A$1,'DB Country PMI'!$A$1:$W$1,),)=0,#N/A,VLOOKUP(A78,'DB Country PMI'!$A:$W,MATCH($A$1,'DB Country PMI'!$A$1:$W$1,),))</f>
        <v>52.7</v>
      </c>
      <c r="C78" s="14">
        <f>Table134681134567101213[[#This Row],[PMI]]-B77</f>
        <v>-0.29999999999999716</v>
      </c>
    </row>
    <row r="79" spans="1:3" x14ac:dyDescent="0.35">
      <c r="A79" s="8">
        <v>42675</v>
      </c>
      <c r="B79" s="11">
        <f>IF(VLOOKUP(A79,'DB Country PMI'!$A:$W,MATCH($A$1,'DB Country PMI'!$A$1:$W$1,),)=0,#N/A,VLOOKUP(A79,'DB Country PMI'!$A:$W,MATCH($A$1,'DB Country PMI'!$A$1:$W$1,),))</f>
        <v>54.7</v>
      </c>
      <c r="C79" s="14">
        <f>Table134681134567101213[[#This Row],[PMI]]-B78</f>
        <v>2</v>
      </c>
    </row>
    <row r="80" spans="1:3" x14ac:dyDescent="0.35">
      <c r="A80" s="8">
        <v>42705</v>
      </c>
      <c r="B80" s="11">
        <f>IF(VLOOKUP(A80,'DB Country PMI'!$A:$W,MATCH($A$1,'DB Country PMI'!$A$1:$W$1,),)=0,#N/A,VLOOKUP(A80,'DB Country PMI'!$A:$W,MATCH($A$1,'DB Country PMI'!$A$1:$W$1,),))</f>
        <v>56.5</v>
      </c>
      <c r="C80" s="14">
        <f>Table134681134567101213[[#This Row],[PMI]]-B79</f>
        <v>1.7999999999999972</v>
      </c>
    </row>
    <row r="81" spans="1:3" x14ac:dyDescent="0.35">
      <c r="A81" s="8">
        <v>42736</v>
      </c>
      <c r="B81" s="11">
        <f>IF(VLOOKUP(A81,'DB Country PMI'!$A:$W,MATCH($A$1,'DB Country PMI'!$A$1:$W$1,),)=0,#N/A,VLOOKUP(A81,'DB Country PMI'!$A:$W,MATCH($A$1,'DB Country PMI'!$A$1:$W$1,),))</f>
        <v>58.4</v>
      </c>
      <c r="C81" s="14">
        <f>Table134681134567101213[[#This Row],[PMI]]-B80</f>
        <v>1.8999999999999986</v>
      </c>
    </row>
    <row r="82" spans="1:3" x14ac:dyDescent="0.35">
      <c r="A82" s="8">
        <v>42767</v>
      </c>
      <c r="B82" s="11">
        <f>IF(VLOOKUP(A82,'DB Country PMI'!$A:$W,MATCH($A$1,'DB Country PMI'!$A$1:$W$1,),)=0,#N/A,VLOOKUP(A82,'DB Country PMI'!$A:$W,MATCH($A$1,'DB Country PMI'!$A$1:$W$1,),))</f>
        <v>55.5</v>
      </c>
      <c r="C82" s="14">
        <f>Table134681134567101213[[#This Row],[PMI]]-B81</f>
        <v>-2.8999999999999986</v>
      </c>
    </row>
    <row r="83" spans="1:3" x14ac:dyDescent="0.35">
      <c r="A83" s="8">
        <v>42795</v>
      </c>
      <c r="B83" s="11">
        <f>IF(VLOOKUP(A83,'DB Country PMI'!$A:$W,MATCH($A$1,'DB Country PMI'!$A$1:$W$1,),)=0,#N/A,VLOOKUP(A83,'DB Country PMI'!$A:$W,MATCH($A$1,'DB Country PMI'!$A$1:$W$1,),))</f>
        <v>56.6</v>
      </c>
      <c r="C83" s="14">
        <f>Table134681134567101213[[#This Row],[PMI]]-B82</f>
        <v>1.1000000000000014</v>
      </c>
    </row>
    <row r="84" spans="1:3" x14ac:dyDescent="0.35">
      <c r="A84" s="8">
        <v>42826</v>
      </c>
      <c r="B84" s="11">
        <f>IF(VLOOKUP(A84,'DB Country PMI'!$A:$W,MATCH($A$1,'DB Country PMI'!$A$1:$W$1,),)=0,#N/A,VLOOKUP(A84,'DB Country PMI'!$A:$W,MATCH($A$1,'DB Country PMI'!$A$1:$W$1,),))</f>
        <v>56.1</v>
      </c>
      <c r="C84" s="14">
        <f>Table134681134567101213[[#This Row],[PMI]]-B83</f>
        <v>-0.5</v>
      </c>
    </row>
    <row r="85" spans="1:3" x14ac:dyDescent="0.35">
      <c r="A85" s="8">
        <v>42856</v>
      </c>
      <c r="B85" s="11">
        <f>IF(VLOOKUP(A85,'DB Country PMI'!$A:$W,MATCH($A$1,'DB Country PMI'!$A$1:$W$1,),)=0,#N/A,VLOOKUP(A85,'DB Country PMI'!$A:$W,MATCH($A$1,'DB Country PMI'!$A$1:$W$1,),))</f>
        <v>56.3</v>
      </c>
      <c r="C85" s="14">
        <f>Table134681134567101213[[#This Row],[PMI]]-B84</f>
        <v>0.19999999999999574</v>
      </c>
    </row>
    <row r="86" spans="1:3" x14ac:dyDescent="0.35">
      <c r="A86" s="8">
        <v>42887</v>
      </c>
      <c r="B86" s="11">
        <f>IF(VLOOKUP(A86,'DB Country PMI'!$A:$W,MATCH($A$1,'DB Country PMI'!$A$1:$W$1,),)=0,#N/A,VLOOKUP(A86,'DB Country PMI'!$A:$W,MATCH($A$1,'DB Country PMI'!$A$1:$W$1,),))</f>
        <v>55.5</v>
      </c>
      <c r="C86" s="14">
        <f>Table134681134567101213[[#This Row],[PMI]]-B85</f>
        <v>-0.79999999999999716</v>
      </c>
    </row>
    <row r="87" spans="1:3" x14ac:dyDescent="0.35">
      <c r="A87" s="8">
        <v>42917</v>
      </c>
      <c r="B87" s="11">
        <f>IF(VLOOKUP(A87,'DB Country PMI'!$A:$W,MATCH($A$1,'DB Country PMI'!$A$1:$W$1,),)=0,#N/A,VLOOKUP(A87,'DB Country PMI'!$A:$W,MATCH($A$1,'DB Country PMI'!$A$1:$W$1,),))</f>
        <v>52.6</v>
      </c>
      <c r="C87" s="14">
        <f>Table134681134567101213[[#This Row],[PMI]]-B86</f>
        <v>-2.8999999999999986</v>
      </c>
    </row>
    <row r="88" spans="1:3" x14ac:dyDescent="0.35">
      <c r="A88" s="8">
        <v>42948</v>
      </c>
      <c r="B88" s="11">
        <f>IF(VLOOKUP(A88,'DB Country PMI'!$A:$W,MATCH($A$1,'DB Country PMI'!$A$1:$W$1,),)=0,#N/A,VLOOKUP(A88,'DB Country PMI'!$A:$W,MATCH($A$1,'DB Country PMI'!$A$1:$W$1,),))</f>
        <v>54.2</v>
      </c>
      <c r="C88" s="14">
        <f>Table134681134567101213[[#This Row],[PMI]]-B87</f>
        <v>1.6000000000000014</v>
      </c>
    </row>
    <row r="89" spans="1:3" x14ac:dyDescent="0.35">
      <c r="A89" s="8">
        <v>42979</v>
      </c>
      <c r="B89" s="11">
        <f>IF(VLOOKUP(A89,'DB Country PMI'!$A:$W,MATCH($A$1,'DB Country PMI'!$A$1:$W$1,),)=0,#N/A,VLOOKUP(A89,'DB Country PMI'!$A:$W,MATCH($A$1,'DB Country PMI'!$A$1:$W$1,),))</f>
        <v>55.2</v>
      </c>
      <c r="C89" s="14">
        <f>Table134681134567101213[[#This Row],[PMI]]-B88</f>
        <v>1</v>
      </c>
    </row>
    <row r="90" spans="1:3" x14ac:dyDescent="0.35">
      <c r="A90" s="8">
        <v>43009</v>
      </c>
      <c r="B90" s="11">
        <f>IF(VLOOKUP(A90,'DB Country PMI'!$A:$W,MATCH($A$1,'DB Country PMI'!$A$1:$W$1,),)=0,#N/A,VLOOKUP(A90,'DB Country PMI'!$A:$W,MATCH($A$1,'DB Country PMI'!$A$1:$W$1,),))</f>
        <v>53.9</v>
      </c>
      <c r="C90" s="14">
        <f>Table134681134567101213[[#This Row],[PMI]]-B89</f>
        <v>-1.3000000000000043</v>
      </c>
    </row>
    <row r="91" spans="1:3" x14ac:dyDescent="0.35">
      <c r="A91" s="8">
        <v>43040</v>
      </c>
      <c r="B91" s="11">
        <f>IF(VLOOKUP(A91,'DB Country PMI'!$A:$W,MATCH($A$1,'DB Country PMI'!$A$1:$W$1,),)=0,#N/A,VLOOKUP(A91,'DB Country PMI'!$A:$W,MATCH($A$1,'DB Country PMI'!$A$1:$W$1,),))</f>
        <v>57.4</v>
      </c>
      <c r="C91" s="14">
        <f>Table134681134567101213[[#This Row],[PMI]]-B90</f>
        <v>3.5</v>
      </c>
    </row>
    <row r="92" spans="1:3" x14ac:dyDescent="0.35">
      <c r="A92" s="8">
        <v>43070</v>
      </c>
      <c r="B92" s="11">
        <f>IF(VLOOKUP(A92,'DB Country PMI'!$A:$W,MATCH($A$1,'DB Country PMI'!$A$1:$W$1,),)=0,#N/A,VLOOKUP(A92,'DB Country PMI'!$A:$W,MATCH($A$1,'DB Country PMI'!$A$1:$W$1,),))</f>
        <v>56.8</v>
      </c>
      <c r="C92" s="14">
        <f>Table134681134567101213[[#This Row],[PMI]]-B91</f>
        <v>-0.60000000000000142</v>
      </c>
    </row>
    <row r="93" spans="1:3" x14ac:dyDescent="0.35">
      <c r="A93" s="8">
        <v>43101</v>
      </c>
      <c r="B93" s="11">
        <f>IF(VLOOKUP(A93,'DB Country PMI'!$A:$W,MATCH($A$1,'DB Country PMI'!$A$1:$W$1,),)=0,#N/A,VLOOKUP(A93,'DB Country PMI'!$A:$W,MATCH($A$1,'DB Country PMI'!$A$1:$W$1,),))</f>
        <v>55.1</v>
      </c>
      <c r="C93" s="14">
        <f>Table134681134567101213[[#This Row],[PMI]]-B92</f>
        <v>-1.6999999999999957</v>
      </c>
    </row>
    <row r="94" spans="1:3" x14ac:dyDescent="0.35">
      <c r="A94" s="8">
        <v>43132</v>
      </c>
      <c r="B94" s="11">
        <f>IF(VLOOKUP(A94,'DB Country PMI'!$A:$W,MATCH($A$1,'DB Country PMI'!$A$1:$W$1,),)=0,#N/A,VLOOKUP(A94,'DB Country PMI'!$A:$W,MATCH($A$1,'DB Country PMI'!$A$1:$W$1,),))</f>
        <v>56.5</v>
      </c>
      <c r="C94" s="14">
        <f>Table134681134567101213[[#This Row],[PMI]]-B93</f>
        <v>1.3999999999999986</v>
      </c>
    </row>
    <row r="95" spans="1:3" x14ac:dyDescent="0.35">
      <c r="A95" s="8">
        <v>43160</v>
      </c>
      <c r="B95" s="11">
        <f>IF(VLOOKUP(A95,'DB Country PMI'!$A:$W,MATCH($A$1,'DB Country PMI'!$A$1:$W$1,),)=0,#N/A,VLOOKUP(A95,'DB Country PMI'!$A:$W,MATCH($A$1,'DB Country PMI'!$A$1:$W$1,),))</f>
        <v>53.7</v>
      </c>
      <c r="C95" s="14">
        <f>Table134681134567101213[[#This Row],[PMI]]-B94</f>
        <v>-2.7999999999999972</v>
      </c>
    </row>
    <row r="96" spans="1:3" x14ac:dyDescent="0.35">
      <c r="A96" s="8">
        <v>43191</v>
      </c>
      <c r="B96" s="11">
        <f>IF(VLOOKUP(A96,'DB Country PMI'!$A:$W,MATCH($A$1,'DB Country PMI'!$A$1:$W$1,),)=0,#N/A,VLOOKUP(A96,'DB Country PMI'!$A:$W,MATCH($A$1,'DB Country PMI'!$A$1:$W$1,),))</f>
        <v>55.5</v>
      </c>
      <c r="C96" s="14">
        <f>Table134681134567101213[[#This Row],[PMI]]-B95</f>
        <v>1.7999999999999972</v>
      </c>
    </row>
    <row r="97" spans="1:3" x14ac:dyDescent="0.35">
      <c r="A97" s="8">
        <v>43221</v>
      </c>
      <c r="B97" s="11">
        <f>IF(VLOOKUP(A97,'DB Country PMI'!$A:$W,MATCH($A$1,'DB Country PMI'!$A$1:$W$1,),)=0,#N/A,VLOOKUP(A97,'DB Country PMI'!$A:$W,MATCH($A$1,'DB Country PMI'!$A$1:$W$1,),))</f>
        <v>54.1</v>
      </c>
      <c r="C97" s="14">
        <f>Table134681134567101213[[#This Row],[PMI]]-B96</f>
        <v>-1.3999999999999986</v>
      </c>
    </row>
    <row r="98" spans="1:3" x14ac:dyDescent="0.35">
      <c r="A98" s="8">
        <v>43252</v>
      </c>
      <c r="B98" s="11">
        <f>IF(VLOOKUP(A98,'DB Country PMI'!$A:$W,MATCH($A$1,'DB Country PMI'!$A$1:$W$1,),)=0,#N/A,VLOOKUP(A98,'DB Country PMI'!$A:$W,MATCH($A$1,'DB Country PMI'!$A$1:$W$1,),))</f>
        <v>52.3</v>
      </c>
      <c r="C98" s="14">
        <f>Table134681134567101213[[#This Row],[PMI]]-B97</f>
        <v>-1.8000000000000043</v>
      </c>
    </row>
    <row r="99" spans="1:3" x14ac:dyDescent="0.35">
      <c r="A99" s="8">
        <v>43282</v>
      </c>
      <c r="B99" s="11">
        <f>IF(VLOOKUP(A99,'DB Country PMI'!$A:$W,MATCH($A$1,'DB Country PMI'!$A$1:$W$1,),)=0,#N/A,VLOOKUP(A99,'DB Country PMI'!$A:$W,MATCH($A$1,'DB Country PMI'!$A$1:$W$1,),))</f>
        <v>52.8</v>
      </c>
      <c r="C99" s="14">
        <f>Table134681134567101213[[#This Row],[PMI]]-B98</f>
        <v>0.5</v>
      </c>
    </row>
    <row r="100" spans="1:3" x14ac:dyDescent="0.35">
      <c r="A100" s="8">
        <v>43313</v>
      </c>
      <c r="B100" s="11">
        <f>IF(VLOOKUP(A100,'DB Country PMI'!$A:$W,MATCH($A$1,'DB Country PMI'!$A$1:$W$1,),)=0,#N/A,VLOOKUP(A100,'DB Country PMI'!$A:$W,MATCH($A$1,'DB Country PMI'!$A$1:$W$1,),))</f>
        <v>53.3</v>
      </c>
      <c r="C100" s="14">
        <f>Table134681134567101213[[#This Row],[PMI]]-B99</f>
        <v>0.5</v>
      </c>
    </row>
    <row r="101" spans="1:3" x14ac:dyDescent="0.35">
      <c r="A101" s="8">
        <v>43344</v>
      </c>
      <c r="B101" s="11">
        <f>IF(VLOOKUP(A101,'DB Country PMI'!$A:$W,MATCH($A$1,'DB Country PMI'!$A$1:$W$1,),)=0,#N/A,VLOOKUP(A101,'DB Country PMI'!$A:$W,MATCH($A$1,'DB Country PMI'!$A$1:$W$1,),))</f>
        <v>54.7</v>
      </c>
      <c r="C101" s="14">
        <f>Table134681134567101213[[#This Row],[PMI]]-B100</f>
        <v>1.4000000000000057</v>
      </c>
    </row>
    <row r="102" spans="1:3" x14ac:dyDescent="0.35">
      <c r="A102" s="8">
        <v>43374</v>
      </c>
      <c r="B102" s="11">
        <f>IF(VLOOKUP(A102,'DB Country PMI'!$A:$W,MATCH($A$1,'DB Country PMI'!$A$1:$W$1,),)=0,#N/A,VLOOKUP(A102,'DB Country PMI'!$A:$W,MATCH($A$1,'DB Country PMI'!$A$1:$W$1,),))</f>
        <v>56.9</v>
      </c>
      <c r="C102" s="14">
        <f>Table134681134567101213[[#This Row],[PMI]]-B101</f>
        <v>2.1999999999999957</v>
      </c>
    </row>
    <row r="103" spans="1:3" x14ac:dyDescent="0.35">
      <c r="A103" s="8">
        <v>43405</v>
      </c>
      <c r="B103" s="11">
        <f>IF(VLOOKUP(A103,'DB Country PMI'!$A:$W,MATCH($A$1,'DB Country PMI'!$A$1:$W$1,),)=0,#N/A,VLOOKUP(A103,'DB Country PMI'!$A:$W,MATCH($A$1,'DB Country PMI'!$A$1:$W$1,),))</f>
        <v>55.6</v>
      </c>
      <c r="C103" s="14">
        <f>Table134681134567101213[[#This Row],[PMI]]-B102</f>
        <v>-1.2999999999999972</v>
      </c>
    </row>
    <row r="104" spans="1:3" x14ac:dyDescent="0.35">
      <c r="A104" s="8">
        <v>43435</v>
      </c>
      <c r="B104" s="11">
        <f>IF(VLOOKUP(A104,'DB Country PMI'!$A:$W,MATCH($A$1,'DB Country PMI'!$A$1:$W$1,),)=0,#N/A,VLOOKUP(A104,'DB Country PMI'!$A:$W,MATCH($A$1,'DB Country PMI'!$A$1:$W$1,),))</f>
        <v>54.4</v>
      </c>
      <c r="C104" s="14">
        <f>Table134681134567101213[[#This Row],[PMI]]-B103</f>
        <v>-1.2000000000000028</v>
      </c>
    </row>
    <row r="105" spans="1:3" x14ac:dyDescent="0.35">
      <c r="A105" s="8">
        <v>43466</v>
      </c>
      <c r="B105" s="11">
        <f>IF(VLOOKUP(A105,'DB Country PMI'!$A:$W,MATCH($A$1,'DB Country PMI'!$A$1:$W$1,),)=0,#N/A,VLOOKUP(A105,'DB Country PMI'!$A:$W,MATCH($A$1,'DB Country PMI'!$A$1:$W$1,),))</f>
        <v>54.9</v>
      </c>
      <c r="C105" s="14">
        <f>Table134681134567101213[[#This Row],[PMI]]-B104</f>
        <v>0.5</v>
      </c>
    </row>
    <row r="106" spans="1:3" x14ac:dyDescent="0.35">
      <c r="A106" s="8">
        <v>43497</v>
      </c>
      <c r="B106" s="11">
        <f>IF(VLOOKUP(A106,'DB Country PMI'!$A:$W,MATCH($A$1,'DB Country PMI'!$A$1:$W$1,),)=0,#N/A,VLOOKUP(A106,'DB Country PMI'!$A:$W,MATCH($A$1,'DB Country PMI'!$A$1:$W$1,),))</f>
        <v>55.3</v>
      </c>
      <c r="C106" s="14">
        <f>Table134681134567101213[[#This Row],[PMI]]-B105</f>
        <v>0.39999999999999858</v>
      </c>
    </row>
    <row r="107" spans="1:3" x14ac:dyDescent="0.35">
      <c r="A107" s="8">
        <v>43525</v>
      </c>
      <c r="B107" s="11">
        <f>IF(VLOOKUP(A107,'DB Country PMI'!$A:$W,MATCH($A$1,'DB Country PMI'!$A$1:$W$1,),)=0,#N/A,VLOOKUP(A107,'DB Country PMI'!$A:$W,MATCH($A$1,'DB Country PMI'!$A$1:$W$1,),))</f>
        <v>54.4</v>
      </c>
      <c r="C107" s="14">
        <f>Table134681134567101213[[#This Row],[PMI]]-B106</f>
        <v>-0.89999999999999858</v>
      </c>
    </row>
    <row r="108" spans="1:3" x14ac:dyDescent="0.35">
      <c r="A108" s="8">
        <v>43556</v>
      </c>
      <c r="B108" s="11">
        <f>IF(VLOOKUP(A108,'DB Country PMI'!$A:$W,MATCH($A$1,'DB Country PMI'!$A$1:$W$1,),)=0,#N/A,VLOOKUP(A108,'DB Country PMI'!$A:$W,MATCH($A$1,'DB Country PMI'!$A$1:$W$1,),))</f>
        <v>52.6</v>
      </c>
      <c r="C108" s="14">
        <f>Table134681134567101213[[#This Row],[PMI]]-B107</f>
        <v>-1.7999999999999972</v>
      </c>
    </row>
    <row r="109" spans="1:3" x14ac:dyDescent="0.35">
      <c r="A109" s="8">
        <v>43586</v>
      </c>
      <c r="B109" s="11">
        <f>IF(VLOOKUP(A109,'DB Country PMI'!$A:$W,MATCH($A$1,'DB Country PMI'!$A$1:$W$1,),)=0,#N/A,VLOOKUP(A109,'DB Country PMI'!$A:$W,MATCH($A$1,'DB Country PMI'!$A$1:$W$1,),))</f>
        <v>52</v>
      </c>
      <c r="C109" s="14">
        <f>Table134681134567101213[[#This Row],[PMI]]-B108</f>
        <v>-0.60000000000000142</v>
      </c>
    </row>
    <row r="110" spans="1:3" x14ac:dyDescent="0.35">
      <c r="A110" s="8">
        <v>43617</v>
      </c>
      <c r="B110" s="11">
        <f>IF(VLOOKUP(A110,'DB Country PMI'!$A:$W,MATCH($A$1,'DB Country PMI'!$A$1:$W$1,),)=0,#N/A,VLOOKUP(A110,'DB Country PMI'!$A:$W,MATCH($A$1,'DB Country PMI'!$A$1:$W$1,),))</f>
        <v>49.7</v>
      </c>
      <c r="C110" s="14">
        <f>Table134681134567101213[[#This Row],[PMI]]-B109</f>
        <v>-2.2999999999999972</v>
      </c>
    </row>
    <row r="111" spans="1:3" x14ac:dyDescent="0.35">
      <c r="A111" s="8">
        <v>43647</v>
      </c>
      <c r="B111" s="11">
        <f>IF(VLOOKUP(A111,'DB Country PMI'!$A:$W,MATCH($A$1,'DB Country PMI'!$A$1:$W$1,),)=0,#N/A,VLOOKUP(A111,'DB Country PMI'!$A:$W,MATCH($A$1,'DB Country PMI'!$A$1:$W$1,),))</f>
        <v>50.4</v>
      </c>
      <c r="C111" s="14">
        <f>Table134681134567101213[[#This Row],[PMI]]-B110</f>
        <v>0.69999999999999574</v>
      </c>
    </row>
    <row r="112" spans="1:3" x14ac:dyDescent="0.35">
      <c r="A112" s="8">
        <v>43678</v>
      </c>
      <c r="B112" s="11">
        <f>IF(VLOOKUP(A112,'DB Country PMI'!$A:$W,MATCH($A$1,'DB Country PMI'!$A$1:$W$1,),)=0,#N/A,VLOOKUP(A112,'DB Country PMI'!$A:$W,MATCH($A$1,'DB Country PMI'!$A$1:$W$1,),))</f>
        <v>52.1</v>
      </c>
      <c r="C112" s="14">
        <f>Table134681134567101213[[#This Row],[PMI]]-B111</f>
        <v>1.7000000000000028</v>
      </c>
    </row>
    <row r="113" spans="1:3" x14ac:dyDescent="0.35">
      <c r="A113" s="8">
        <v>43709</v>
      </c>
      <c r="B113" s="11">
        <f>IF(VLOOKUP(A113,'DB Country PMI'!$A:$W,MATCH($A$1,'DB Country PMI'!$A$1:$W$1,),)=0,#N/A,VLOOKUP(A113,'DB Country PMI'!$A:$W,MATCH($A$1,'DB Country PMI'!$A$1:$W$1,),))</f>
        <v>53.6</v>
      </c>
      <c r="C113" s="14">
        <f>Table134681134567101213[[#This Row],[PMI]]-B112</f>
        <v>1.5</v>
      </c>
    </row>
    <row r="114" spans="1:3" x14ac:dyDescent="0.35">
      <c r="A114" s="8">
        <v>43739</v>
      </c>
      <c r="B114" s="11">
        <f>IF(VLOOKUP(A114,'DB Country PMI'!$A:$W,MATCH($A$1,'DB Country PMI'!$A$1:$W$1,),)=0,#N/A,VLOOKUP(A114,'DB Country PMI'!$A:$W,MATCH($A$1,'DB Country PMI'!$A$1:$W$1,),))</f>
        <v>55.8</v>
      </c>
      <c r="C114" s="14">
        <f>Table134681134567101213[[#This Row],[PMI]]-B113</f>
        <v>2.1999999999999957</v>
      </c>
    </row>
    <row r="115" spans="1:3" x14ac:dyDescent="0.35">
      <c r="A115" s="8">
        <v>43770</v>
      </c>
      <c r="B115" s="11">
        <f>IF(VLOOKUP(A115,'DB Country PMI'!$A:$W,MATCH($A$1,'DB Country PMI'!$A$1:$W$1,),)=0,#N/A,VLOOKUP(A115,'DB Country PMI'!$A:$W,MATCH($A$1,'DB Country PMI'!$A$1:$W$1,),))</f>
        <v>55.6</v>
      </c>
      <c r="C115" s="14">
        <f>Table134681134567101213[[#This Row],[PMI]]-B114</f>
        <v>-0.19999999999999574</v>
      </c>
    </row>
    <row r="116" spans="1:3" x14ac:dyDescent="0.35">
      <c r="A116" s="8">
        <v>43800</v>
      </c>
      <c r="B116" s="11">
        <f>IF(VLOOKUP(A116,'DB Country PMI'!$A:$W,MATCH($A$1,'DB Country PMI'!$A$1:$W$1,),)=0,#N/A,VLOOKUP(A116,'DB Country PMI'!$A:$W,MATCH($A$1,'DB Country PMI'!$A$1:$W$1,),))</f>
        <v>53.1</v>
      </c>
      <c r="C116" s="14">
        <f>Table134681134567101213[[#This Row],[PMI]]-B115</f>
        <v>-2.5</v>
      </c>
    </row>
    <row r="117" spans="1:3" x14ac:dyDescent="0.35">
      <c r="A117" s="8">
        <v>43831</v>
      </c>
      <c r="B117" s="11">
        <f>IF(VLOOKUP(A117,'DB Country PMI'!$A:$W,MATCH($A$1,'DB Country PMI'!$A$1:$W$1,),)=0,#N/A,VLOOKUP(A117,'DB Country PMI'!$A:$W,MATCH($A$1,'DB Country PMI'!$A$1:$W$1,),))</f>
        <v>54.1</v>
      </c>
      <c r="C117" s="14">
        <f>Table134681134567101213[[#This Row],[PMI]]-B116</f>
        <v>1</v>
      </c>
    </row>
    <row r="118" spans="1:3" x14ac:dyDescent="0.35">
      <c r="A118" s="8">
        <v>43862</v>
      </c>
      <c r="B118" s="11">
        <f>IF(VLOOKUP(A118,'DB Country PMI'!$A:$W,MATCH($A$1,'DB Country PMI'!$A$1:$W$1,),)=0,#N/A,VLOOKUP(A118,'DB Country PMI'!$A:$W,MATCH($A$1,'DB Country PMI'!$A$1:$W$1,),))</f>
        <v>52</v>
      </c>
      <c r="C118" s="14">
        <f>Table134681134567101213[[#This Row],[PMI]]-B117</f>
        <v>-2.1000000000000014</v>
      </c>
    </row>
    <row r="119" spans="1:3" x14ac:dyDescent="0.35">
      <c r="A119" s="8">
        <v>43891</v>
      </c>
      <c r="B119" s="11">
        <f>IF(VLOOKUP(A119,'DB Country PMI'!$A:$W,MATCH($A$1,'DB Country PMI'!$A$1:$W$1,),)=0,#N/A,VLOOKUP(A119,'DB Country PMI'!$A:$W,MATCH($A$1,'DB Country PMI'!$A$1:$W$1,),))</f>
        <v>37.1</v>
      </c>
      <c r="C119" s="14">
        <f>Table134681134567101213[[#This Row],[PMI]]-B118</f>
        <v>-14.899999999999999</v>
      </c>
    </row>
    <row r="120" spans="1:3" x14ac:dyDescent="0.35">
      <c r="A120" s="8">
        <v>43922</v>
      </c>
      <c r="B120" s="11">
        <f>IF(VLOOKUP(A120,'DB Country PMI'!$A:$W,MATCH($A$1,'DB Country PMI'!$A$1:$W$1,),)=0,#N/A,VLOOKUP(A120,'DB Country PMI'!$A:$W,MATCH($A$1,'DB Country PMI'!$A$1:$W$1,),))</f>
        <v>12.2</v>
      </c>
      <c r="C120" s="14">
        <f>Table134681134567101213[[#This Row],[PMI]]-B119</f>
        <v>-24.900000000000002</v>
      </c>
    </row>
    <row r="121" spans="1:3" x14ac:dyDescent="0.35">
      <c r="A121" s="8">
        <v>43952</v>
      </c>
      <c r="B121" s="11">
        <f>IF(VLOOKUP(A121,'DB Country PMI'!$A:$W,MATCH($A$1,'DB Country PMI'!$A$1:$W$1,),)=0,#N/A,VLOOKUP(A121,'DB Country PMI'!$A:$W,MATCH($A$1,'DB Country PMI'!$A$1:$W$1,),))</f>
        <v>35.9</v>
      </c>
      <c r="C121" s="14">
        <f>Table134681134567101213[[#This Row],[PMI]]-B120</f>
        <v>23.7</v>
      </c>
    </row>
    <row r="122" spans="1:3" x14ac:dyDescent="0.35">
      <c r="A122" s="8">
        <v>43983</v>
      </c>
      <c r="B122" s="11">
        <f>IF(VLOOKUP(A122,'DB Country PMI'!$A:$W,MATCH($A$1,'DB Country PMI'!$A$1:$W$1,),)=0,#N/A,VLOOKUP(A122,'DB Country PMI'!$A:$W,MATCH($A$1,'DB Country PMI'!$A$1:$W$1,),))</f>
        <v>47.8</v>
      </c>
      <c r="C122" s="14">
        <f>Table134681134567101213[[#This Row],[PMI]]-B121</f>
        <v>11.899999999999999</v>
      </c>
    </row>
    <row r="123" spans="1:3" x14ac:dyDescent="0.35">
      <c r="A123" s="8">
        <v>44013</v>
      </c>
      <c r="B123" s="11">
        <f>IF(VLOOKUP(A123,'DB Country PMI'!$A:$W,MATCH($A$1,'DB Country PMI'!$A$1:$W$1,),)=0,#N/A,VLOOKUP(A123,'DB Country PMI'!$A:$W,MATCH($A$1,'DB Country PMI'!$A$1:$W$1,),))</f>
        <v>58.5</v>
      </c>
      <c r="C123" s="14">
        <f>Table134681134567101213[[#This Row],[PMI]]-B122</f>
        <v>10.700000000000003</v>
      </c>
    </row>
    <row r="124" spans="1:3" x14ac:dyDescent="0.35">
      <c r="A124" s="8">
        <v>44044</v>
      </c>
      <c r="B124" s="11">
        <f>IF(VLOOKUP(A124,'DB Country PMI'!$A:$W,MATCH($A$1,'DB Country PMI'!$A$1:$W$1,),)=0,#N/A,VLOOKUP(A124,'DB Country PMI'!$A:$W,MATCH($A$1,'DB Country PMI'!$A$1:$W$1,),))</f>
        <v>58.2</v>
      </c>
      <c r="C124" s="14">
        <f>Table134681134567101213[[#This Row],[PMI]]-B123</f>
        <v>-0.29999999999999716</v>
      </c>
    </row>
    <row r="125" spans="1:3" x14ac:dyDescent="0.35">
      <c r="A125" s="8">
        <v>44075</v>
      </c>
      <c r="B125" s="11">
        <f>IF(VLOOKUP(A125,'DB Country PMI'!$A:$W,MATCH($A$1,'DB Country PMI'!$A$1:$W$1,),)=0,#N/A,VLOOKUP(A125,'DB Country PMI'!$A:$W,MATCH($A$1,'DB Country PMI'!$A$1:$W$1,),))</f>
        <v>53.7</v>
      </c>
      <c r="C125" s="14">
        <f>Table134681134567101213[[#This Row],[PMI]]-B124</f>
        <v>-4.5</v>
      </c>
    </row>
    <row r="126" spans="1:3" x14ac:dyDescent="0.35">
      <c r="A126" s="8">
        <v>44105</v>
      </c>
      <c r="B126" s="11">
        <f>IF(VLOOKUP(A126,'DB Country PMI'!$A:$W,MATCH($A$1,'DB Country PMI'!$A$1:$W$1,),)=0,#N/A,VLOOKUP(A126,'DB Country PMI'!$A:$W,MATCH($A$1,'DB Country PMI'!$A$1:$W$1,),))</f>
        <v>46.9</v>
      </c>
      <c r="C126" s="14">
        <f>Table134681134567101213[[#This Row],[PMI]]-B125</f>
        <v>-6.8000000000000043</v>
      </c>
    </row>
    <row r="127" spans="1:3" x14ac:dyDescent="0.35">
      <c r="A127" s="8">
        <v>44136</v>
      </c>
      <c r="B127" s="11">
        <f>IF(VLOOKUP(A127,'DB Country PMI'!$A:$W,MATCH($A$1,'DB Country PMI'!$A$1:$W$1,),)=0,#N/A,VLOOKUP(A127,'DB Country PMI'!$A:$W,MATCH($A$1,'DB Country PMI'!$A$1:$W$1,),))</f>
        <v>48.2</v>
      </c>
      <c r="C127" s="14">
        <f>Table134681134567101213[[#This Row],[PMI]]-B126</f>
        <v>1.3000000000000043</v>
      </c>
    </row>
    <row r="128" spans="1:3" x14ac:dyDescent="0.35">
      <c r="A128" s="8">
        <v>44166</v>
      </c>
      <c r="B128" s="11">
        <f>IF(VLOOKUP(A128,'DB Country PMI'!$A:$W,MATCH($A$1,'DB Country PMI'!$A$1:$W$1,),)=0,#N/A,VLOOKUP(A128,'DB Country PMI'!$A:$W,MATCH($A$1,'DB Country PMI'!$A$1:$W$1,),))</f>
        <v>48</v>
      </c>
      <c r="C128" s="14">
        <f>Table134681134567101213[[#This Row],[PMI]]-B127</f>
        <v>-0.20000000000000284</v>
      </c>
    </row>
    <row r="129" spans="1:3" x14ac:dyDescent="0.35">
      <c r="A129" s="8">
        <v>44197</v>
      </c>
      <c r="B129" s="11">
        <f>IF(VLOOKUP(A129,'DB Country PMI'!$A:$W,MATCH($A$1,'DB Country PMI'!$A$1:$W$1,),)=0,#N/A,VLOOKUP(A129,'DB Country PMI'!$A:$W,MATCH($A$1,'DB Country PMI'!$A$1:$W$1,),))</f>
        <v>52.7</v>
      </c>
      <c r="C129" s="14">
        <f>Table134681134567101213[[#This Row],[PMI]]-B128</f>
        <v>4.7000000000000028</v>
      </c>
    </row>
    <row r="130" spans="1:3" x14ac:dyDescent="0.35">
      <c r="A130" s="8">
        <v>44228</v>
      </c>
      <c r="B130" s="11">
        <f>IF(VLOOKUP(A130,'DB Country PMI'!$A:$W,MATCH($A$1,'DB Country PMI'!$A$1:$W$1,),)=0,#N/A,VLOOKUP(A130,'DB Country PMI'!$A:$W,MATCH($A$1,'DB Country PMI'!$A$1:$W$1,),))</f>
        <v>52.2</v>
      </c>
      <c r="C130" s="14">
        <f>Table134681134567101213[[#This Row],[PMI]]-B129</f>
        <v>-0.5</v>
      </c>
    </row>
    <row r="131" spans="1:3" x14ac:dyDescent="0.35">
      <c r="A131" s="8">
        <v>44256</v>
      </c>
      <c r="B131" s="11">
        <f>IF(VLOOKUP(A131,'DB Country PMI'!$A:$W,MATCH($A$1,'DB Country PMI'!$A$1:$W$1,),)=0,#N/A,VLOOKUP(A131,'DB Country PMI'!$A:$W,MATCH($A$1,'DB Country PMI'!$A$1:$W$1,),))</f>
        <v>55.8</v>
      </c>
      <c r="C131" s="14">
        <f>Table134681134567101213[[#This Row],[PMI]]-B130</f>
        <v>3.5999999999999943</v>
      </c>
    </row>
    <row r="132" spans="1:3" x14ac:dyDescent="0.35">
      <c r="A132" s="8">
        <v>44287</v>
      </c>
      <c r="B132" s="11">
        <f>IF(VLOOKUP(A132,'DB Country PMI'!$A:$W,MATCH($A$1,'DB Country PMI'!$A$1:$W$1,),)=0,#N/A,VLOOKUP(A132,'DB Country PMI'!$A:$W,MATCH($A$1,'DB Country PMI'!$A$1:$W$1,),))</f>
        <v>55.2</v>
      </c>
      <c r="C132" s="14">
        <f>Table134681134567101213[[#This Row],[PMI]]-B131</f>
        <v>-0.59999999999999432</v>
      </c>
    </row>
    <row r="133" spans="1:3" x14ac:dyDescent="0.35">
      <c r="A133" s="8">
        <v>44317</v>
      </c>
      <c r="B133" s="11">
        <f>IF(VLOOKUP(A133,'DB Country PMI'!$A:$W,MATCH($A$1,'DB Country PMI'!$A$1:$W$1,),)=0,#N/A,VLOOKUP(A133,'DB Country PMI'!$A:$W,MATCH($A$1,'DB Country PMI'!$A$1:$W$1,),))</f>
        <v>57.5</v>
      </c>
      <c r="C133" s="14">
        <f>Table134681134567101213[[#This Row],[PMI]]-B132</f>
        <v>2.2999999999999972</v>
      </c>
    </row>
    <row r="134" spans="1:3" x14ac:dyDescent="0.35">
      <c r="A134" s="8">
        <v>44348</v>
      </c>
      <c r="B134" s="11">
        <f>IF(VLOOKUP(A134,'DB Country PMI'!$A:$W,MATCH($A$1,'DB Country PMI'!$A$1:$W$1,),)=0,#N/A,VLOOKUP(A134,'DB Country PMI'!$A:$W,MATCH($A$1,'DB Country PMI'!$A$1:$W$1,),))</f>
        <v>56.5</v>
      </c>
      <c r="C134" s="14">
        <f>Table134681134567101213[[#This Row],[PMI]]-B133</f>
        <v>-1</v>
      </c>
    </row>
    <row r="135" spans="1:3" x14ac:dyDescent="0.35">
      <c r="A135" s="8">
        <v>44378</v>
      </c>
      <c r="B135" s="11">
        <f>IF(VLOOKUP(A135,'DB Country PMI'!$A:$W,MATCH($A$1,'DB Country PMI'!$A$1:$W$1,),)=0,#N/A,VLOOKUP(A135,'DB Country PMI'!$A:$W,MATCH($A$1,'DB Country PMI'!$A$1:$W$1,),))</f>
        <v>53.5</v>
      </c>
      <c r="C135" s="14">
        <f>Table134681134567101213[[#This Row],[PMI]]-B134</f>
        <v>-3</v>
      </c>
    </row>
    <row r="136" spans="1:3" x14ac:dyDescent="0.35">
      <c r="A136" s="8">
        <v>44409</v>
      </c>
      <c r="B136" s="11">
        <f>IF(VLOOKUP(A136,'DB Country PMI'!$A:$W,MATCH($A$1,'DB Country PMI'!$A$1:$W$1,),)=0,#N/A,VLOOKUP(A136,'DB Country PMI'!$A:$W,MATCH($A$1,'DB Country PMI'!$A$1:$W$1,),))</f>
        <v>49.3</v>
      </c>
      <c r="C136" s="14">
        <f>Table134681134567101213[[#This Row],[PMI]]-B135</f>
        <v>-4.2000000000000028</v>
      </c>
    </row>
    <row r="137" spans="1:3" x14ac:dyDescent="0.35">
      <c r="A137" s="8">
        <v>44440</v>
      </c>
      <c r="B137" s="11">
        <f>IF(VLOOKUP(A137,'DB Country PMI'!$A:$W,MATCH($A$1,'DB Country PMI'!$A$1:$W$1,),)=0,#N/A,VLOOKUP(A137,'DB Country PMI'!$A:$W,MATCH($A$1,'DB Country PMI'!$A$1:$W$1,),))</f>
        <v>50.5</v>
      </c>
      <c r="C137" s="14">
        <f>Table134681134567101213[[#This Row],[PMI]]-B136</f>
        <v>1.2000000000000028</v>
      </c>
    </row>
    <row r="138" spans="1:3" x14ac:dyDescent="0.35">
      <c r="A138" s="8">
        <v>44470</v>
      </c>
      <c r="B138" s="11">
        <f>IF(VLOOKUP(A138,'DB Country PMI'!$A:$W,MATCH($A$1,'DB Country PMI'!$A$1:$W$1,),)=0,#N/A,VLOOKUP(A138,'DB Country PMI'!$A:$W,MATCH($A$1,'DB Country PMI'!$A$1:$W$1,),))</f>
        <v>58.8</v>
      </c>
      <c r="C138" s="14">
        <f>Table134681134567101213[[#This Row],[PMI]]-B137</f>
        <v>8.2999999999999972</v>
      </c>
    </row>
    <row r="139" spans="1:3" x14ac:dyDescent="0.35">
      <c r="A139" s="8">
        <v>44501</v>
      </c>
      <c r="B139" s="11">
        <f>IF(VLOOKUP(A139,'DB Country PMI'!$A:$W,MATCH($A$1,'DB Country PMI'!$A$1:$W$1,),)=0,#N/A,VLOOKUP(A139,'DB Country PMI'!$A:$W,MATCH($A$1,'DB Country PMI'!$A$1:$W$1,),))</f>
        <v>47.1</v>
      </c>
      <c r="C139" s="14">
        <f>Table134681134567101213[[#This Row],[PMI]]-B138</f>
        <v>-11.699999999999996</v>
      </c>
    </row>
    <row r="140" spans="1:3" x14ac:dyDescent="0.35">
      <c r="A140" s="8">
        <v>44531</v>
      </c>
      <c r="B140" s="11">
        <f>IF(VLOOKUP(A140,'DB Country PMI'!$A:$W,MATCH($A$1,'DB Country PMI'!$A$1:$W$1,),)=0,#N/A,VLOOKUP(A140,'DB Country PMI'!$A:$W,MATCH($A$1,'DB Country PMI'!$A$1:$W$1,),))</f>
        <v>49.5</v>
      </c>
      <c r="C140" s="14">
        <f>Table134681134567101213[[#This Row],[PMI]]-B139</f>
        <v>2.3999999999999986</v>
      </c>
    </row>
    <row r="141" spans="1:3" x14ac:dyDescent="0.35">
      <c r="A141" s="8">
        <v>44562</v>
      </c>
      <c r="B141" s="11">
        <f>IF(VLOOKUP(A141,'DB Country PMI'!$A:$W,MATCH($A$1,'DB Country PMI'!$A$1:$W$1,),)=0,#N/A,VLOOKUP(A141,'DB Country PMI'!$A:$W,MATCH($A$1,'DB Country PMI'!$A$1:$W$1,),))</f>
        <v>49.8</v>
      </c>
      <c r="C141" s="14">
        <f>Table134681134567101213[[#This Row],[PMI]]-B140</f>
        <v>0.29999999999999716</v>
      </c>
    </row>
    <row r="142" spans="1:3" x14ac:dyDescent="0.35">
      <c r="A142" s="8">
        <v>44593</v>
      </c>
      <c r="B142" s="11">
        <f>IF(VLOOKUP(A142,'DB Country PMI'!$A:$W,MATCH($A$1,'DB Country PMI'!$A$1:$W$1,),)=0,#N/A,VLOOKUP(A142,'DB Country PMI'!$A:$W,MATCH($A$1,'DB Country PMI'!$A$1:$W$1,),))</f>
        <v>52.1</v>
      </c>
      <c r="C142" s="14">
        <f>Table134681134567101213[[#This Row],[PMI]]-B141</f>
        <v>2.3000000000000043</v>
      </c>
    </row>
    <row r="143" spans="1:3" x14ac:dyDescent="0.35">
      <c r="A143" s="8">
        <v>44621</v>
      </c>
      <c r="B143" s="11">
        <f>IF(VLOOKUP(A143,'DB Country PMI'!$A:$W,MATCH($A$1,'DB Country PMI'!$A$1:$W$1,),)=0,#N/A,VLOOKUP(A143,'DB Country PMI'!$A:$W,MATCH($A$1,'DB Country PMI'!$A$1:$W$1,),))</f>
        <v>38.1</v>
      </c>
      <c r="C143" s="14">
        <f>Table134681134567101213[[#This Row],[PMI]]-B142</f>
        <v>-14</v>
      </c>
    </row>
    <row r="144" spans="1:3" x14ac:dyDescent="0.35">
      <c r="A144" s="8">
        <v>44652</v>
      </c>
      <c r="B144" s="11">
        <f>IF(VLOOKUP(A144,'DB Country PMI'!$A:$W,MATCH($A$1,'DB Country PMI'!$A$1:$W$1,),)=0,#N/A,VLOOKUP(A144,'DB Country PMI'!$A:$W,MATCH($A$1,'DB Country PMI'!$A$1:$W$1,),))</f>
        <v>44.5</v>
      </c>
      <c r="C144" s="14">
        <f>Table134681134567101213[[#This Row],[PMI]]-B143</f>
        <v>6.3999999999999986</v>
      </c>
    </row>
    <row r="145" spans="1:3" x14ac:dyDescent="0.35">
      <c r="A145" s="8">
        <v>44682</v>
      </c>
      <c r="B145" s="11">
        <f>IF(VLOOKUP(A145,'DB Country PMI'!$A:$W,MATCH($A$1,'DB Country PMI'!$A$1:$W$1,),)=0,#N/A,VLOOKUP(A145,'DB Country PMI'!$A:$W,MATCH($A$1,'DB Country PMI'!$A$1:$W$1,),))</f>
        <v>48.5</v>
      </c>
      <c r="C145" s="14">
        <f>Table134681134567101213[[#This Row],[PMI]]-B144</f>
        <v>4</v>
      </c>
    </row>
    <row r="146" spans="1:3" x14ac:dyDescent="0.35">
      <c r="A146" s="8">
        <v>44713</v>
      </c>
      <c r="B146" s="11">
        <f>IF(VLOOKUP(A146,'DB Country PMI'!$A:$W,MATCH($A$1,'DB Country PMI'!$A$1:$W$1,),)=0,#N/A,VLOOKUP(A146,'DB Country PMI'!$A:$W,MATCH($A$1,'DB Country PMI'!$A$1:$W$1,),))</f>
        <v>51.7</v>
      </c>
      <c r="C146" s="14">
        <f>Table134681134567101213[[#This Row],[PMI]]-B145</f>
        <v>3.2000000000000028</v>
      </c>
    </row>
    <row r="147" spans="1:3" x14ac:dyDescent="0.35">
      <c r="A147" s="8">
        <v>44743</v>
      </c>
      <c r="B147" s="11">
        <f>IF(VLOOKUP(A147,'DB Country PMI'!$A:$W,MATCH($A$1,'DB Country PMI'!$A$1:$W$1,),)=0,#N/A,VLOOKUP(A147,'DB Country PMI'!$A:$W,MATCH($A$1,'DB Country PMI'!$A$1:$W$1,),))</f>
        <v>54.7</v>
      </c>
      <c r="C147" s="14">
        <f>Table134681134567101213[[#This Row],[PMI]]-B146</f>
        <v>3</v>
      </c>
    </row>
    <row r="148" spans="1:3" x14ac:dyDescent="0.35">
      <c r="A148" s="8">
        <v>44774</v>
      </c>
      <c r="B148" s="11">
        <f>IF(VLOOKUP(A148,'DB Country PMI'!$A:$W,MATCH($A$1,'DB Country PMI'!$A$1:$W$1,),)=0,#N/A,VLOOKUP(A148,'DB Country PMI'!$A:$W,MATCH($A$1,'DB Country PMI'!$A$1:$W$1,),))</f>
        <v>49.9</v>
      </c>
      <c r="C148" s="14">
        <f>Table134681134567101213[[#This Row],[PMI]]-B147</f>
        <v>-4.8000000000000043</v>
      </c>
    </row>
    <row r="149" spans="1:3" x14ac:dyDescent="0.35">
      <c r="A149" s="8">
        <v>44805</v>
      </c>
      <c r="B149" s="11">
        <f>IF(VLOOKUP(A149,'DB Country PMI'!$A:$W,MATCH($A$1,'DB Country PMI'!$A$1:$W$1,),)=0,#N/A,VLOOKUP(A149,'DB Country PMI'!$A:$W,MATCH($A$1,'DB Country PMI'!$A$1:$W$1,),))</f>
        <v>51.1</v>
      </c>
      <c r="C149" s="14">
        <f>Table134681134567101213[[#This Row],[PMI]]-B148</f>
        <v>1.2000000000000028</v>
      </c>
    </row>
    <row r="150" spans="1:3" x14ac:dyDescent="0.35">
      <c r="A150" s="8">
        <v>44835</v>
      </c>
      <c r="B150" s="11">
        <f>IF(VLOOKUP(A150,'DB Country PMI'!$A:$W,MATCH($A$1,'DB Country PMI'!$A$1:$W$1,),)=0,#N/A,VLOOKUP(A150,'DB Country PMI'!$A:$W,MATCH($A$1,'DB Country PMI'!$A$1:$W$1,),))</f>
        <v>43.7</v>
      </c>
      <c r="C150" s="14">
        <f>Table134681134567101213[[#This Row],[PMI]]-B149</f>
        <v>-7.3999999999999986</v>
      </c>
    </row>
    <row r="151" spans="1:3" x14ac:dyDescent="0.35">
      <c r="A151" s="8">
        <v>44866</v>
      </c>
      <c r="B151" s="11">
        <f>IF(VLOOKUP(A151,'DB Country PMI'!$A:$W,MATCH($A$1,'DB Country PMI'!$A$1:$W$1,),)=0,#N/A,VLOOKUP(A151,'DB Country PMI'!$A:$W,MATCH($A$1,'DB Country PMI'!$A$1:$W$1,),))</f>
        <v>48.3</v>
      </c>
      <c r="C151" s="14">
        <f>Table134681134567101213[[#This Row],[PMI]]-B150</f>
        <v>4.5999999999999943</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1"/>
  <sheetViews>
    <sheetView zoomScale="170" zoomScaleNormal="170" workbookViewId="0">
      <pane ySplit="5" topLeftCell="A136" activePane="bottomLeft" state="frozen"/>
      <selection pane="bottomLeft" activeCell="J152" sqref="J152"/>
    </sheetView>
  </sheetViews>
  <sheetFormatPr defaultColWidth="9.1796875" defaultRowHeight="14.5" x14ac:dyDescent="0.35"/>
  <cols>
    <col min="1" max="1" width="13.453125" style="47" customWidth="1"/>
    <col min="2" max="2" width="11.36328125" style="47" customWidth="1"/>
    <col min="3" max="13" width="9.1796875" style="47" customWidth="1"/>
    <col min="14" max="16384" width="9.1796875" style="47"/>
  </cols>
  <sheetData>
    <row r="1" spans="1:10" x14ac:dyDescent="0.35">
      <c r="A1" s="47" t="s">
        <v>27</v>
      </c>
      <c r="J1" s="47" t="s">
        <v>62</v>
      </c>
    </row>
    <row r="2" spans="1:10" x14ac:dyDescent="0.35">
      <c r="J2" s="47" t="s">
        <v>76</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46.5</v>
      </c>
      <c r="C6" s="11"/>
    </row>
    <row r="7" spans="1:10" x14ac:dyDescent="0.35">
      <c r="A7" s="8">
        <v>40483</v>
      </c>
      <c r="B7" s="11">
        <f>IF(VLOOKUP(A7,'DB Country PMI'!$A:$W,MATCH($A$1,'DB Country PMI'!$A$1:$W$1,),)=0,#N/A,VLOOKUP(A7,'DB Country PMI'!$A:$W,MATCH($A$1,'DB Country PMI'!$A$1:$W$1,),))</f>
        <v>48.3</v>
      </c>
      <c r="C7" s="14">
        <f>Table13468113456710121314[[#This Row],[PMI]]-B6</f>
        <v>1.7999999999999972</v>
      </c>
    </row>
    <row r="8" spans="1:10" x14ac:dyDescent="0.35">
      <c r="A8" s="8">
        <v>40513</v>
      </c>
      <c r="B8" s="11">
        <f>IF(VLOOKUP(A8,'DB Country PMI'!$A:$W,MATCH($A$1,'DB Country PMI'!$A$1:$W$1,),)=0,#N/A,VLOOKUP(A8,'DB Country PMI'!$A:$W,MATCH($A$1,'DB Country PMI'!$A$1:$W$1,),))</f>
        <v>49.1</v>
      </c>
      <c r="C8" s="14">
        <f>Table13468113456710121314[[#This Row],[PMI]]-B7</f>
        <v>0.80000000000000426</v>
      </c>
    </row>
    <row r="9" spans="1:10" x14ac:dyDescent="0.35">
      <c r="A9" s="8">
        <v>40544</v>
      </c>
      <c r="B9" s="11">
        <f>IF(VLOOKUP(A9,'DB Country PMI'!$A:$W,MATCH($A$1,'DB Country PMI'!$A$1:$W$1,),)=0,#N/A,VLOOKUP(A9,'DB Country PMI'!$A:$W,MATCH($A$1,'DB Country PMI'!$A$1:$W$1,),))</f>
        <v>50.1</v>
      </c>
      <c r="C9" s="14">
        <f>Table13468113456710121314[[#This Row],[PMI]]-B8</f>
        <v>1</v>
      </c>
    </row>
    <row r="10" spans="1:10" x14ac:dyDescent="0.35">
      <c r="A10" s="8">
        <v>40575</v>
      </c>
      <c r="B10" s="11">
        <f>IF(VLOOKUP(A10,'DB Country PMI'!$A:$W,MATCH($A$1,'DB Country PMI'!$A$1:$W$1,),)=0,#N/A,VLOOKUP(A10,'DB Country PMI'!$A:$W,MATCH($A$1,'DB Country PMI'!$A$1:$W$1,),))</f>
        <v>50.8</v>
      </c>
      <c r="C10" s="14">
        <f>Table13468113456710121314[[#This Row],[PMI]]-B9</f>
        <v>0.69999999999999574</v>
      </c>
    </row>
    <row r="11" spans="1:10" x14ac:dyDescent="0.35">
      <c r="A11" s="8">
        <v>40603</v>
      </c>
      <c r="B11" s="11">
        <f>IF(VLOOKUP(A11,'DB Country PMI'!$A:$W,MATCH($A$1,'DB Country PMI'!$A$1:$W$1,),)=0,#N/A,VLOOKUP(A11,'DB Country PMI'!$A:$W,MATCH($A$1,'DB Country PMI'!$A$1:$W$1,),))</f>
        <v>48.7</v>
      </c>
      <c r="C11" s="14">
        <f>Table13468113456710121314[[#This Row],[PMI]]-B10</f>
        <v>-2.0999999999999943</v>
      </c>
    </row>
    <row r="12" spans="1:10" x14ac:dyDescent="0.35">
      <c r="A12" s="8">
        <v>40634</v>
      </c>
      <c r="B12" s="11">
        <f>IF(VLOOKUP(A12,'DB Country PMI'!$A:$W,MATCH($A$1,'DB Country PMI'!$A$1:$W$1,),)=0,#N/A,VLOOKUP(A12,'DB Country PMI'!$A:$W,MATCH($A$1,'DB Country PMI'!$A$1:$W$1,),))</f>
        <v>50.4</v>
      </c>
      <c r="C12" s="14">
        <f>Table13468113456710121314[[#This Row],[PMI]]-B11</f>
        <v>1.6999999999999957</v>
      </c>
    </row>
    <row r="13" spans="1:10" x14ac:dyDescent="0.35">
      <c r="A13" s="8">
        <v>40664</v>
      </c>
      <c r="B13" s="11">
        <f>IF(VLOOKUP(A13,'DB Country PMI'!$A:$W,MATCH($A$1,'DB Country PMI'!$A$1:$W$1,),)=0,#N/A,VLOOKUP(A13,'DB Country PMI'!$A:$W,MATCH($A$1,'DB Country PMI'!$A$1:$W$1,),))</f>
        <v>50.9</v>
      </c>
      <c r="C13" s="14">
        <f>Table13468113456710121314[[#This Row],[PMI]]-B12</f>
        <v>0.5</v>
      </c>
    </row>
    <row r="14" spans="1:10" x14ac:dyDescent="0.35">
      <c r="A14" s="8">
        <v>40695</v>
      </c>
      <c r="B14" s="11">
        <f>IF(VLOOKUP(A14,'DB Country PMI'!$A:$W,MATCH($A$1,'DB Country PMI'!$A$1:$W$1,),)=0,#N/A,VLOOKUP(A14,'DB Country PMI'!$A:$W,MATCH($A$1,'DB Country PMI'!$A$1:$W$1,),))</f>
        <v>50.2</v>
      </c>
      <c r="C14" s="14">
        <f>Table13468113456710121314[[#This Row],[PMI]]-B13</f>
        <v>-0.69999999999999574</v>
      </c>
    </row>
    <row r="15" spans="1:10" x14ac:dyDescent="0.35">
      <c r="A15" s="8">
        <v>40725</v>
      </c>
      <c r="B15" s="11">
        <f>IF(VLOOKUP(A15,'DB Country PMI'!$A:$W,MATCH($A$1,'DB Country PMI'!$A$1:$W$1,),)=0,#N/A,VLOOKUP(A15,'DB Country PMI'!$A:$W,MATCH($A$1,'DB Country PMI'!$A$1:$W$1,),))</f>
        <v>46.5</v>
      </c>
      <c r="C15" s="14">
        <f>Table13468113456710121314[[#This Row],[PMI]]-B14</f>
        <v>-3.7000000000000028</v>
      </c>
    </row>
    <row r="16" spans="1:10" x14ac:dyDescent="0.35">
      <c r="A16" s="8">
        <v>40756</v>
      </c>
      <c r="B16" s="11">
        <f>IF(VLOOKUP(A16,'DB Country PMI'!$A:$W,MATCH($A$1,'DB Country PMI'!$A$1:$W$1,),)=0,#N/A,VLOOKUP(A16,'DB Country PMI'!$A:$W,MATCH($A$1,'DB Country PMI'!$A$1:$W$1,),))</f>
        <v>45.2</v>
      </c>
      <c r="C16" s="14">
        <f>Table13468113456710121314[[#This Row],[PMI]]-B15</f>
        <v>-1.2999999999999972</v>
      </c>
    </row>
    <row r="17" spans="1:3" x14ac:dyDescent="0.35">
      <c r="A17" s="8">
        <v>40787</v>
      </c>
      <c r="B17" s="11">
        <f>IF(VLOOKUP(A17,'DB Country PMI'!$A:$W,MATCH($A$1,'DB Country PMI'!$A$1:$W$1,),)=0,#N/A,VLOOKUP(A17,'DB Country PMI'!$A:$W,MATCH($A$1,'DB Country PMI'!$A$1:$W$1,),))</f>
        <v>44.8</v>
      </c>
      <c r="C17" s="14">
        <f>Table13468113456710121314[[#This Row],[PMI]]-B16</f>
        <v>-0.40000000000000568</v>
      </c>
    </row>
    <row r="18" spans="1:3" x14ac:dyDescent="0.35">
      <c r="A18" s="8">
        <v>40817</v>
      </c>
      <c r="B18" s="11">
        <f>IF(VLOOKUP(A18,'DB Country PMI'!$A:$W,MATCH($A$1,'DB Country PMI'!$A$1:$W$1,),)=0,#N/A,VLOOKUP(A18,'DB Country PMI'!$A:$W,MATCH($A$1,'DB Country PMI'!$A$1:$W$1,),))</f>
        <v>41.8</v>
      </c>
      <c r="C18" s="14">
        <f>Table13468113456710121314[[#This Row],[PMI]]-B17</f>
        <v>-3</v>
      </c>
    </row>
    <row r="19" spans="1:3" x14ac:dyDescent="0.35">
      <c r="A19" s="8">
        <v>40848</v>
      </c>
      <c r="B19" s="11">
        <f>IF(VLOOKUP(A19,'DB Country PMI'!$A:$W,MATCH($A$1,'DB Country PMI'!$A$1:$W$1,),)=0,#N/A,VLOOKUP(A19,'DB Country PMI'!$A:$W,MATCH($A$1,'DB Country PMI'!$A$1:$W$1,),))</f>
        <v>36.799999999999997</v>
      </c>
      <c r="C19" s="14">
        <f>Table13468113456710121314[[#This Row],[PMI]]-B18</f>
        <v>-5</v>
      </c>
    </row>
    <row r="20" spans="1:3" x14ac:dyDescent="0.35">
      <c r="A20" s="8">
        <v>40878</v>
      </c>
      <c r="B20" s="11">
        <f>IF(VLOOKUP(A20,'DB Country PMI'!$A:$W,MATCH($A$1,'DB Country PMI'!$A$1:$W$1,),)=0,#N/A,VLOOKUP(A20,'DB Country PMI'!$A:$W,MATCH($A$1,'DB Country PMI'!$A$1:$W$1,),))</f>
        <v>42.1</v>
      </c>
      <c r="C20" s="14">
        <f>Table13468113456710121314[[#This Row],[PMI]]-B19</f>
        <v>5.3000000000000043</v>
      </c>
    </row>
    <row r="21" spans="1:3" x14ac:dyDescent="0.35">
      <c r="A21" s="8">
        <v>40909</v>
      </c>
      <c r="B21" s="11">
        <f>IF(VLOOKUP(A21,'DB Country PMI'!$A:$W,MATCH($A$1,'DB Country PMI'!$A$1:$W$1,),)=0,#N/A,VLOOKUP(A21,'DB Country PMI'!$A:$W,MATCH($A$1,'DB Country PMI'!$A$1:$W$1,),))</f>
        <v>46.1</v>
      </c>
      <c r="C21" s="14">
        <f>Table13468113456710121314[[#This Row],[PMI]]-B20</f>
        <v>4</v>
      </c>
    </row>
    <row r="22" spans="1:3" x14ac:dyDescent="0.35">
      <c r="A22" s="8">
        <v>40940</v>
      </c>
      <c r="B22" s="11">
        <f>IF(VLOOKUP(A22,'DB Country PMI'!$A:$W,MATCH($A$1,'DB Country PMI'!$A$1:$W$1,),)=0,#N/A,VLOOKUP(A22,'DB Country PMI'!$A:$W,MATCH($A$1,'DB Country PMI'!$A$1:$W$1,),))</f>
        <v>41.9</v>
      </c>
      <c r="C22" s="14">
        <f>Table13468113456710121314[[#This Row],[PMI]]-B21</f>
        <v>-4.2000000000000028</v>
      </c>
    </row>
    <row r="23" spans="1:3" x14ac:dyDescent="0.35">
      <c r="A23" s="8">
        <v>40969</v>
      </c>
      <c r="B23" s="11">
        <f>IF(VLOOKUP(A23,'DB Country PMI'!$A:$W,MATCH($A$1,'DB Country PMI'!$A$1:$W$1,),)=0,#N/A,VLOOKUP(A23,'DB Country PMI'!$A:$W,MATCH($A$1,'DB Country PMI'!$A$1:$W$1,),))</f>
        <v>46.3</v>
      </c>
      <c r="C23" s="14">
        <f>Table13468113456710121314[[#This Row],[PMI]]-B22</f>
        <v>4.3999999999999986</v>
      </c>
    </row>
    <row r="24" spans="1:3" x14ac:dyDescent="0.35">
      <c r="A24" s="8">
        <v>41000</v>
      </c>
      <c r="B24" s="11">
        <f>IF(VLOOKUP(A24,'DB Country PMI'!$A:$W,MATCH($A$1,'DB Country PMI'!$A$1:$W$1,),)=0,#N/A,VLOOKUP(A24,'DB Country PMI'!$A:$W,MATCH($A$1,'DB Country PMI'!$A$1:$W$1,),))</f>
        <v>42.1</v>
      </c>
      <c r="C24" s="14">
        <f>Table13468113456710121314[[#This Row],[PMI]]-B23</f>
        <v>-4.1999999999999957</v>
      </c>
    </row>
    <row r="25" spans="1:3" x14ac:dyDescent="0.35">
      <c r="A25" s="8">
        <v>41030</v>
      </c>
      <c r="B25" s="11">
        <f>IF(VLOOKUP(A25,'DB Country PMI'!$A:$W,MATCH($A$1,'DB Country PMI'!$A$1:$W$1,),)=0,#N/A,VLOOKUP(A25,'DB Country PMI'!$A:$W,MATCH($A$1,'DB Country PMI'!$A$1:$W$1,),))</f>
        <v>41.8</v>
      </c>
      <c r="C25" s="14">
        <f>Table13468113456710121314[[#This Row],[PMI]]-B24</f>
        <v>-0.30000000000000426</v>
      </c>
    </row>
    <row r="26" spans="1:3" x14ac:dyDescent="0.35">
      <c r="A26" s="8">
        <v>41061</v>
      </c>
      <c r="B26" s="11">
        <f>IF(VLOOKUP(A26,'DB Country PMI'!$A:$W,MATCH($A$1,'DB Country PMI'!$A$1:$W$1,),)=0,#N/A,VLOOKUP(A26,'DB Country PMI'!$A:$W,MATCH($A$1,'DB Country PMI'!$A$1:$W$1,),))</f>
        <v>43.4</v>
      </c>
      <c r="C26" s="14">
        <f>Table13468113456710121314[[#This Row],[PMI]]-B25</f>
        <v>1.6000000000000014</v>
      </c>
    </row>
    <row r="27" spans="1:3" x14ac:dyDescent="0.35">
      <c r="A27" s="8">
        <v>41091</v>
      </c>
      <c r="B27" s="11">
        <f>IF(VLOOKUP(A27,'DB Country PMI'!$A:$W,MATCH($A$1,'DB Country PMI'!$A$1:$W$1,),)=0,#N/A,VLOOKUP(A27,'DB Country PMI'!$A:$W,MATCH($A$1,'DB Country PMI'!$A$1:$W$1,),))</f>
        <v>43.7</v>
      </c>
      <c r="C27" s="14">
        <f>Table13468113456710121314[[#This Row],[PMI]]-B26</f>
        <v>0.30000000000000426</v>
      </c>
    </row>
    <row r="28" spans="1:3" x14ac:dyDescent="0.35">
      <c r="A28" s="8">
        <v>41122</v>
      </c>
      <c r="B28" s="11">
        <f>IF(VLOOKUP(A28,'DB Country PMI'!$A:$W,MATCH($A$1,'DB Country PMI'!$A$1:$W$1,),)=0,#N/A,VLOOKUP(A28,'DB Country PMI'!$A:$W,MATCH($A$1,'DB Country PMI'!$A$1:$W$1,),))</f>
        <v>44</v>
      </c>
      <c r="C28" s="14">
        <f>Table13468113456710121314[[#This Row],[PMI]]-B27</f>
        <v>0.29999999999999716</v>
      </c>
    </row>
    <row r="29" spans="1:3" x14ac:dyDescent="0.35">
      <c r="A29" s="8">
        <v>41153</v>
      </c>
      <c r="B29" s="11">
        <f>IF(VLOOKUP(A29,'DB Country PMI'!$A:$W,MATCH($A$1,'DB Country PMI'!$A$1:$W$1,),)=0,#N/A,VLOOKUP(A29,'DB Country PMI'!$A:$W,MATCH($A$1,'DB Country PMI'!$A$1:$W$1,),))</f>
        <v>40.200000000000003</v>
      </c>
      <c r="C29" s="14">
        <f>Table13468113456710121314[[#This Row],[PMI]]-B28</f>
        <v>-3.7999999999999972</v>
      </c>
    </row>
    <row r="30" spans="1:3" x14ac:dyDescent="0.35">
      <c r="A30" s="8">
        <v>41183</v>
      </c>
      <c r="B30" s="11">
        <f>IF(VLOOKUP(A30,'DB Country PMI'!$A:$W,MATCH($A$1,'DB Country PMI'!$A$1:$W$1,),)=0,#N/A,VLOOKUP(A30,'DB Country PMI'!$A:$W,MATCH($A$1,'DB Country PMI'!$A$1:$W$1,),))</f>
        <v>41.2</v>
      </c>
      <c r="C30" s="14">
        <f>Table13468113456710121314[[#This Row],[PMI]]-B29</f>
        <v>1</v>
      </c>
    </row>
    <row r="31" spans="1:3" x14ac:dyDescent="0.35">
      <c r="A31" s="8">
        <v>41214</v>
      </c>
      <c r="B31" s="11">
        <f>IF(VLOOKUP(A31,'DB Country PMI'!$A:$W,MATCH($A$1,'DB Country PMI'!$A$1:$W$1,),)=0,#N/A,VLOOKUP(A31,'DB Country PMI'!$A:$W,MATCH($A$1,'DB Country PMI'!$A$1:$W$1,),))</f>
        <v>42.4</v>
      </c>
      <c r="C31" s="14">
        <f>Table13468113456710121314[[#This Row],[PMI]]-B30</f>
        <v>1.1999999999999957</v>
      </c>
    </row>
    <row r="32" spans="1:3" x14ac:dyDescent="0.35">
      <c r="A32" s="8">
        <v>41244</v>
      </c>
      <c r="B32" s="11">
        <f>IF(VLOOKUP(A32,'DB Country PMI'!$A:$W,MATCH($A$1,'DB Country PMI'!$A$1:$W$1,),)=0,#N/A,VLOOKUP(A32,'DB Country PMI'!$A:$W,MATCH($A$1,'DB Country PMI'!$A$1:$W$1,),))</f>
        <v>44.1</v>
      </c>
      <c r="C32" s="14">
        <f>Table13468113456710121314[[#This Row],[PMI]]-B31</f>
        <v>1.7000000000000028</v>
      </c>
    </row>
    <row r="33" spans="1:3" x14ac:dyDescent="0.35">
      <c r="A33" s="8">
        <v>41275</v>
      </c>
      <c r="B33" s="11">
        <f>IF(VLOOKUP(A33,'DB Country PMI'!$A:$W,MATCH($A$1,'DB Country PMI'!$A$1:$W$1,),)=0,#N/A,VLOOKUP(A33,'DB Country PMI'!$A:$W,MATCH($A$1,'DB Country PMI'!$A$1:$W$1,),))</f>
        <v>47</v>
      </c>
      <c r="C33" s="14">
        <f>Table13468113456710121314[[#This Row],[PMI]]-B32</f>
        <v>2.8999999999999986</v>
      </c>
    </row>
    <row r="34" spans="1:3" x14ac:dyDescent="0.35">
      <c r="A34" s="8">
        <v>41306</v>
      </c>
      <c r="B34" s="11">
        <f>IF(VLOOKUP(A34,'DB Country PMI'!$A:$W,MATCH($A$1,'DB Country PMI'!$A$1:$W$1,),)=0,#N/A,VLOOKUP(A34,'DB Country PMI'!$A:$W,MATCH($A$1,'DB Country PMI'!$A$1:$W$1,),))</f>
        <v>44.7</v>
      </c>
      <c r="C34" s="14">
        <f>Table13468113456710121314[[#This Row],[PMI]]-B33</f>
        <v>-2.2999999999999972</v>
      </c>
    </row>
    <row r="35" spans="1:3" x14ac:dyDescent="0.35">
      <c r="A35" s="8">
        <v>41334</v>
      </c>
      <c r="B35" s="11">
        <f>IF(VLOOKUP(A35,'DB Country PMI'!$A:$W,MATCH($A$1,'DB Country PMI'!$A$1:$W$1,),)=0,#N/A,VLOOKUP(A35,'DB Country PMI'!$A:$W,MATCH($A$1,'DB Country PMI'!$A$1:$W$1,),))</f>
        <v>45.3</v>
      </c>
      <c r="C35" s="14">
        <f>Table13468113456710121314[[#This Row],[PMI]]-B34</f>
        <v>0.59999999999999432</v>
      </c>
    </row>
    <row r="36" spans="1:3" x14ac:dyDescent="0.35">
      <c r="A36" s="8">
        <v>41365</v>
      </c>
      <c r="B36" s="11">
        <f>IF(VLOOKUP(A36,'DB Country PMI'!$A:$W,MATCH($A$1,'DB Country PMI'!$A$1:$W$1,),)=0,#N/A,VLOOKUP(A36,'DB Country PMI'!$A:$W,MATCH($A$1,'DB Country PMI'!$A$1:$W$1,),))</f>
        <v>44.4</v>
      </c>
      <c r="C36" s="14">
        <f>Table13468113456710121314[[#This Row],[PMI]]-B35</f>
        <v>-0.89999999999999858</v>
      </c>
    </row>
    <row r="37" spans="1:3" x14ac:dyDescent="0.35">
      <c r="A37" s="8">
        <v>41395</v>
      </c>
      <c r="B37" s="11">
        <f>IF(VLOOKUP(A37,'DB Country PMI'!$A:$W,MATCH($A$1,'DB Country PMI'!$A$1:$W$1,),)=0,#N/A,VLOOKUP(A37,'DB Country PMI'!$A:$W,MATCH($A$1,'DB Country PMI'!$A$1:$W$1,),))</f>
        <v>47.3</v>
      </c>
      <c r="C37" s="14">
        <f>Table13468113456710121314[[#This Row],[PMI]]-B36</f>
        <v>2.8999999999999986</v>
      </c>
    </row>
    <row r="38" spans="1:3" x14ac:dyDescent="0.35">
      <c r="A38" s="8">
        <v>41426</v>
      </c>
      <c r="B38" s="11">
        <f>IF(VLOOKUP(A38,'DB Country PMI'!$A:$W,MATCH($A$1,'DB Country PMI'!$A$1:$W$1,),)=0,#N/A,VLOOKUP(A38,'DB Country PMI'!$A:$W,MATCH($A$1,'DB Country PMI'!$A$1:$W$1,),))</f>
        <v>47.8</v>
      </c>
      <c r="C38" s="14">
        <f>Table13468113456710121314[[#This Row],[PMI]]-B37</f>
        <v>0.5</v>
      </c>
    </row>
    <row r="39" spans="1:3" x14ac:dyDescent="0.35">
      <c r="A39" s="8">
        <v>41456</v>
      </c>
      <c r="B39" s="11">
        <f>IF(VLOOKUP(A39,'DB Country PMI'!$A:$W,MATCH($A$1,'DB Country PMI'!$A$1:$W$1,),)=0,#N/A,VLOOKUP(A39,'DB Country PMI'!$A:$W,MATCH($A$1,'DB Country PMI'!$A$1:$W$1,),))</f>
        <v>48.5</v>
      </c>
      <c r="C39" s="14">
        <f>Table13468113456710121314[[#This Row],[PMI]]-B38</f>
        <v>0.70000000000000284</v>
      </c>
    </row>
    <row r="40" spans="1:3" x14ac:dyDescent="0.35">
      <c r="A40" s="8">
        <v>41487</v>
      </c>
      <c r="B40" s="11">
        <f>IF(VLOOKUP(A40,'DB Country PMI'!$A:$W,MATCH($A$1,'DB Country PMI'!$A$1:$W$1,),)=0,#N/A,VLOOKUP(A40,'DB Country PMI'!$A:$W,MATCH($A$1,'DB Country PMI'!$A$1:$W$1,),))</f>
        <v>50.5</v>
      </c>
      <c r="C40" s="14">
        <f>Table13468113456710121314[[#This Row],[PMI]]-B39</f>
        <v>2</v>
      </c>
    </row>
    <row r="41" spans="1:3" x14ac:dyDescent="0.35">
      <c r="A41" s="8">
        <v>41518</v>
      </c>
      <c r="B41" s="11">
        <f>IF(VLOOKUP(A41,'DB Country PMI'!$A:$W,MATCH($A$1,'DB Country PMI'!$A$1:$W$1,),)=0,#N/A,VLOOKUP(A41,'DB Country PMI'!$A:$W,MATCH($A$1,'DB Country PMI'!$A$1:$W$1,),))</f>
        <v>49</v>
      </c>
      <c r="C41" s="14">
        <f>Table13468113456710121314[[#This Row],[PMI]]-B40</f>
        <v>-1.5</v>
      </c>
    </row>
    <row r="42" spans="1:3" x14ac:dyDescent="0.35">
      <c r="A42" s="8">
        <v>41548</v>
      </c>
      <c r="B42" s="11">
        <f>IF(VLOOKUP(A42,'DB Country PMI'!$A:$W,MATCH($A$1,'DB Country PMI'!$A$1:$W$1,),)=0,#N/A,VLOOKUP(A42,'DB Country PMI'!$A:$W,MATCH($A$1,'DB Country PMI'!$A$1:$W$1,),))</f>
        <v>49.6</v>
      </c>
      <c r="C42" s="14">
        <f>Table13468113456710121314[[#This Row],[PMI]]-B41</f>
        <v>0.60000000000000142</v>
      </c>
    </row>
    <row r="43" spans="1:3" x14ac:dyDescent="0.35">
      <c r="A43" s="8">
        <v>41579</v>
      </c>
      <c r="B43" s="11">
        <f>IF(VLOOKUP(A43,'DB Country PMI'!$A:$W,MATCH($A$1,'DB Country PMI'!$A$1:$W$1,),)=0,#N/A,VLOOKUP(A43,'DB Country PMI'!$A:$W,MATCH($A$1,'DB Country PMI'!$A$1:$W$1,),))</f>
        <v>51.5</v>
      </c>
      <c r="C43" s="14">
        <f>Table13468113456710121314[[#This Row],[PMI]]-B42</f>
        <v>1.8999999999999986</v>
      </c>
    </row>
    <row r="44" spans="1:3" x14ac:dyDescent="0.35">
      <c r="A44" s="8">
        <v>41609</v>
      </c>
      <c r="B44" s="11">
        <f>IF(VLOOKUP(A44,'DB Country PMI'!$A:$W,MATCH($A$1,'DB Country PMI'!$A$1:$W$1,),)=0,#N/A,VLOOKUP(A44,'DB Country PMI'!$A:$W,MATCH($A$1,'DB Country PMI'!$A$1:$W$1,),))</f>
        <v>53.2</v>
      </c>
      <c r="C44" s="14">
        <f>Table13468113456710121314[[#This Row],[PMI]]-B43</f>
        <v>1.7000000000000028</v>
      </c>
    </row>
    <row r="45" spans="1:3" x14ac:dyDescent="0.35">
      <c r="A45" s="8">
        <v>41640</v>
      </c>
      <c r="B45" s="11">
        <f>IF(VLOOKUP(A45,'DB Country PMI'!$A:$W,MATCH($A$1,'DB Country PMI'!$A$1:$W$1,),)=0,#N/A,VLOOKUP(A45,'DB Country PMI'!$A:$W,MATCH($A$1,'DB Country PMI'!$A$1:$W$1,),))</f>
        <v>54.9</v>
      </c>
      <c r="C45" s="14">
        <f>Table13468113456710121314[[#This Row],[PMI]]-B44</f>
        <v>1.6999999999999957</v>
      </c>
    </row>
    <row r="46" spans="1:3" x14ac:dyDescent="0.35">
      <c r="A46" s="8">
        <v>41671</v>
      </c>
      <c r="B46" s="11">
        <f>IF(VLOOKUP(A46,'DB Country PMI'!$A:$W,MATCH($A$1,'DB Country PMI'!$A$1:$W$1,),)=0,#N/A,VLOOKUP(A46,'DB Country PMI'!$A:$W,MATCH($A$1,'DB Country PMI'!$A$1:$W$1,),))</f>
        <v>53.7</v>
      </c>
      <c r="C46" s="14">
        <f>Table13468113456710121314[[#This Row],[PMI]]-B45</f>
        <v>-1.1999999999999957</v>
      </c>
    </row>
    <row r="47" spans="1:3" x14ac:dyDescent="0.35">
      <c r="A47" s="8">
        <v>41699</v>
      </c>
      <c r="B47" s="11">
        <f>IF(VLOOKUP(A47,'DB Country PMI'!$A:$W,MATCH($A$1,'DB Country PMI'!$A$1:$W$1,),)=0,#N/A,VLOOKUP(A47,'DB Country PMI'!$A:$W,MATCH($A$1,'DB Country PMI'!$A$1:$W$1,),))</f>
        <v>54</v>
      </c>
      <c r="C47" s="14">
        <f>Table13468113456710121314[[#This Row],[PMI]]-B46</f>
        <v>0.29999999999999716</v>
      </c>
    </row>
    <row r="48" spans="1:3" x14ac:dyDescent="0.35">
      <c r="A48" s="8">
        <v>41730</v>
      </c>
      <c r="B48" s="11">
        <f>IF(VLOOKUP(A48,'DB Country PMI'!$A:$W,MATCH($A$1,'DB Country PMI'!$A$1:$W$1,),)=0,#N/A,VLOOKUP(A48,'DB Country PMI'!$A:$W,MATCH($A$1,'DB Country PMI'!$A$1:$W$1,),))</f>
        <v>56.5</v>
      </c>
      <c r="C48" s="14">
        <f>Table13468113456710121314[[#This Row],[PMI]]-B47</f>
        <v>2.5</v>
      </c>
    </row>
    <row r="49" spans="1:3" x14ac:dyDescent="0.35">
      <c r="A49" s="8">
        <v>41760</v>
      </c>
      <c r="B49" s="11">
        <f>IF(VLOOKUP(A49,'DB Country PMI'!$A:$W,MATCH($A$1,'DB Country PMI'!$A$1:$W$1,),)=0,#N/A,VLOOKUP(A49,'DB Country PMI'!$A:$W,MATCH($A$1,'DB Country PMI'!$A$1:$W$1,),))</f>
        <v>55.7</v>
      </c>
      <c r="C49" s="14">
        <f>Table13468113456710121314[[#This Row],[PMI]]-B48</f>
        <v>-0.79999999999999716</v>
      </c>
    </row>
    <row r="50" spans="1:3" x14ac:dyDescent="0.35">
      <c r="A50" s="8">
        <v>41791</v>
      </c>
      <c r="B50" s="11">
        <f>IF(VLOOKUP(A50,'DB Country PMI'!$A:$W,MATCH($A$1,'DB Country PMI'!$A$1:$W$1,),)=0,#N/A,VLOOKUP(A50,'DB Country PMI'!$A:$W,MATCH($A$1,'DB Country PMI'!$A$1:$W$1,),))</f>
        <v>54.8</v>
      </c>
      <c r="C50" s="14">
        <f>Table13468113456710121314[[#This Row],[PMI]]-B49</f>
        <v>-0.90000000000000568</v>
      </c>
    </row>
    <row r="51" spans="1:3" x14ac:dyDescent="0.35">
      <c r="A51" s="8">
        <v>41821</v>
      </c>
      <c r="B51" s="11">
        <f>IF(VLOOKUP(A51,'DB Country PMI'!$A:$W,MATCH($A$1,'DB Country PMI'!$A$1:$W$1,),)=0,#N/A,VLOOKUP(A51,'DB Country PMI'!$A:$W,MATCH($A$1,'DB Country PMI'!$A$1:$W$1,),))</f>
        <v>56.2</v>
      </c>
      <c r="C51" s="14">
        <f>Table13468113456710121314[[#This Row],[PMI]]-B50</f>
        <v>1.4000000000000057</v>
      </c>
    </row>
    <row r="52" spans="1:3" x14ac:dyDescent="0.35">
      <c r="A52" s="8">
        <v>41852</v>
      </c>
      <c r="B52" s="11">
        <f>IF(VLOOKUP(A52,'DB Country PMI'!$A:$W,MATCH($A$1,'DB Country PMI'!$A$1:$W$1,),)=0,#N/A,VLOOKUP(A52,'DB Country PMI'!$A:$W,MATCH($A$1,'DB Country PMI'!$A$1:$W$1,),))</f>
        <v>58.1</v>
      </c>
      <c r="C52" s="14">
        <f>Table13468113456710121314[[#This Row],[PMI]]-B51</f>
        <v>1.8999999999999986</v>
      </c>
    </row>
    <row r="53" spans="1:3" x14ac:dyDescent="0.35">
      <c r="A53" s="8">
        <v>41883</v>
      </c>
      <c r="B53" s="11">
        <f>IF(VLOOKUP(A53,'DB Country PMI'!$A:$W,MATCH($A$1,'DB Country PMI'!$A$1:$W$1,),)=0,#N/A,VLOOKUP(A53,'DB Country PMI'!$A:$W,MATCH($A$1,'DB Country PMI'!$A$1:$W$1,),))</f>
        <v>55.8</v>
      </c>
      <c r="C53" s="14">
        <f>Table13468113456710121314[[#This Row],[PMI]]-B52</f>
        <v>-2.3000000000000043</v>
      </c>
    </row>
    <row r="54" spans="1:3" x14ac:dyDescent="0.35">
      <c r="A54" s="8">
        <v>41913</v>
      </c>
      <c r="B54" s="11">
        <f>IF(VLOOKUP(A54,'DB Country PMI'!$A:$W,MATCH($A$1,'DB Country PMI'!$A$1:$W$1,),)=0,#N/A,VLOOKUP(A54,'DB Country PMI'!$A:$W,MATCH($A$1,'DB Country PMI'!$A$1:$W$1,),))</f>
        <v>55.9</v>
      </c>
      <c r="C54" s="14">
        <f>Table13468113456710121314[[#This Row],[PMI]]-B53</f>
        <v>0.10000000000000142</v>
      </c>
    </row>
    <row r="55" spans="1:3" x14ac:dyDescent="0.35">
      <c r="A55" s="8">
        <v>41944</v>
      </c>
      <c r="B55" s="11">
        <f>IF(VLOOKUP(A55,'DB Country PMI'!$A:$W,MATCH($A$1,'DB Country PMI'!$A$1:$W$1,),)=0,#N/A,VLOOKUP(A55,'DB Country PMI'!$A:$W,MATCH($A$1,'DB Country PMI'!$A$1:$W$1,),))</f>
        <v>52.7</v>
      </c>
      <c r="C55" s="14">
        <f>Table13468113456710121314[[#This Row],[PMI]]-B54</f>
        <v>-3.1999999999999957</v>
      </c>
    </row>
    <row r="56" spans="1:3" x14ac:dyDescent="0.35">
      <c r="A56" s="8">
        <v>41974</v>
      </c>
      <c r="B56" s="11">
        <f>IF(VLOOKUP(A56,'DB Country PMI'!$A:$W,MATCH($A$1,'DB Country PMI'!$A$1:$W$1,),)=0,#N/A,VLOOKUP(A56,'DB Country PMI'!$A:$W,MATCH($A$1,'DB Country PMI'!$A$1:$W$1,),))</f>
        <v>54.3</v>
      </c>
      <c r="C56" s="14">
        <f>Table13468113456710121314[[#This Row],[PMI]]-B55</f>
        <v>1.5999999999999943</v>
      </c>
    </row>
    <row r="57" spans="1:3" x14ac:dyDescent="0.35">
      <c r="A57" s="8">
        <v>42005</v>
      </c>
      <c r="B57" s="11">
        <f>IF(VLOOKUP(A57,'DB Country PMI'!$A:$W,MATCH($A$1,'DB Country PMI'!$A$1:$W$1,),)=0,#N/A,VLOOKUP(A57,'DB Country PMI'!$A:$W,MATCH($A$1,'DB Country PMI'!$A$1:$W$1,),))</f>
        <v>56.7</v>
      </c>
      <c r="C57" s="14">
        <f>Table13468113456710121314[[#This Row],[PMI]]-B56</f>
        <v>2.4000000000000057</v>
      </c>
    </row>
    <row r="58" spans="1:3" x14ac:dyDescent="0.35">
      <c r="A58" s="8">
        <v>42036</v>
      </c>
      <c r="B58" s="11">
        <f>IF(VLOOKUP(A58,'DB Country PMI'!$A:$W,MATCH($A$1,'DB Country PMI'!$A$1:$W$1,),)=0,#N/A,VLOOKUP(A58,'DB Country PMI'!$A:$W,MATCH($A$1,'DB Country PMI'!$A$1:$W$1,),))</f>
        <v>56.2</v>
      </c>
      <c r="C58" s="14">
        <f>Table13468113456710121314[[#This Row],[PMI]]-B57</f>
        <v>-0.5</v>
      </c>
    </row>
    <row r="59" spans="1:3" x14ac:dyDescent="0.35">
      <c r="A59" s="8">
        <v>42064</v>
      </c>
      <c r="B59" s="11">
        <f>IF(VLOOKUP(A59,'DB Country PMI'!$A:$W,MATCH($A$1,'DB Country PMI'!$A$1:$W$1,),)=0,#N/A,VLOOKUP(A59,'DB Country PMI'!$A:$W,MATCH($A$1,'DB Country PMI'!$A$1:$W$1,),))</f>
        <v>57.3</v>
      </c>
      <c r="C59" s="14">
        <f>Table13468113456710121314[[#This Row],[PMI]]-B58</f>
        <v>1.0999999999999943</v>
      </c>
    </row>
    <row r="60" spans="1:3" x14ac:dyDescent="0.35">
      <c r="A60" s="8">
        <v>42095</v>
      </c>
      <c r="B60" s="11">
        <f>IF(VLOOKUP(A60,'DB Country PMI'!$A:$W,MATCH($A$1,'DB Country PMI'!$A$1:$W$1,),)=0,#N/A,VLOOKUP(A60,'DB Country PMI'!$A:$W,MATCH($A$1,'DB Country PMI'!$A$1:$W$1,),))</f>
        <v>60.3</v>
      </c>
      <c r="C60" s="14">
        <f>Table13468113456710121314[[#This Row],[PMI]]-B59</f>
        <v>3</v>
      </c>
    </row>
    <row r="61" spans="1:3" x14ac:dyDescent="0.35">
      <c r="A61" s="8">
        <v>42125</v>
      </c>
      <c r="B61" s="11">
        <f>IF(VLOOKUP(A61,'DB Country PMI'!$A:$W,MATCH($A$1,'DB Country PMI'!$A$1:$W$1,),)=0,#N/A,VLOOKUP(A61,'DB Country PMI'!$A:$W,MATCH($A$1,'DB Country PMI'!$A$1:$W$1,),))</f>
        <v>58.4</v>
      </c>
      <c r="C61" s="14">
        <f>Table13468113456710121314[[#This Row],[PMI]]-B60</f>
        <v>-1.8999999999999986</v>
      </c>
    </row>
    <row r="62" spans="1:3" x14ac:dyDescent="0.35">
      <c r="A62" s="8">
        <v>42156</v>
      </c>
      <c r="B62" s="11">
        <f>IF(VLOOKUP(A62,'DB Country PMI'!$A:$W,MATCH($A$1,'DB Country PMI'!$A$1:$W$1,),)=0,#N/A,VLOOKUP(A62,'DB Country PMI'!$A:$W,MATCH($A$1,'DB Country PMI'!$A$1:$W$1,),))</f>
        <v>56.1</v>
      </c>
      <c r="C62" s="14">
        <f>Table13468113456710121314[[#This Row],[PMI]]-B61</f>
        <v>-2.2999999999999972</v>
      </c>
    </row>
    <row r="63" spans="1:3" x14ac:dyDescent="0.35">
      <c r="A63" s="8">
        <v>42186</v>
      </c>
      <c r="B63" s="11">
        <f>IF(VLOOKUP(A63,'DB Country PMI'!$A:$W,MATCH($A$1,'DB Country PMI'!$A$1:$W$1,),)=0,#N/A,VLOOKUP(A63,'DB Country PMI'!$A:$W,MATCH($A$1,'DB Country PMI'!$A$1:$W$1,),))</f>
        <v>59.7</v>
      </c>
      <c r="C63" s="14">
        <f>Table13468113456710121314[[#This Row],[PMI]]-B62</f>
        <v>3.6000000000000014</v>
      </c>
    </row>
    <row r="64" spans="1:3" x14ac:dyDescent="0.35">
      <c r="A64" s="8">
        <v>42217</v>
      </c>
      <c r="B64" s="11">
        <f>IF(VLOOKUP(A64,'DB Country PMI'!$A:$W,MATCH($A$1,'DB Country PMI'!$A$1:$W$1,),)=0,#N/A,VLOOKUP(A64,'DB Country PMI'!$A:$W,MATCH($A$1,'DB Country PMI'!$A$1:$W$1,),))</f>
        <v>59.6</v>
      </c>
      <c r="C64" s="14">
        <f>Table13468113456710121314[[#This Row],[PMI]]-B63</f>
        <v>-0.10000000000000142</v>
      </c>
    </row>
    <row r="65" spans="1:3" x14ac:dyDescent="0.35">
      <c r="A65" s="8">
        <v>42248</v>
      </c>
      <c r="B65" s="11">
        <f>IF(VLOOKUP(A65,'DB Country PMI'!$A:$W,MATCH($A$1,'DB Country PMI'!$A$1:$W$1,),)=0,#N/A,VLOOKUP(A65,'DB Country PMI'!$A:$W,MATCH($A$1,'DB Country PMI'!$A$1:$W$1,),))</f>
        <v>55.1</v>
      </c>
      <c r="C65" s="14">
        <f>Table13468113456710121314[[#This Row],[PMI]]-B64</f>
        <v>-4.5</v>
      </c>
    </row>
    <row r="66" spans="1:3" x14ac:dyDescent="0.35">
      <c r="A66" s="8">
        <v>42278</v>
      </c>
      <c r="B66" s="11">
        <f>IF(VLOOKUP(A66,'DB Country PMI'!$A:$W,MATCH($A$1,'DB Country PMI'!$A$1:$W$1,),)=0,#N/A,VLOOKUP(A66,'DB Country PMI'!$A:$W,MATCH($A$1,'DB Country PMI'!$A$1:$W$1,),))</f>
        <v>55.9</v>
      </c>
      <c r="C66" s="14">
        <f>Table13468113456710121314[[#This Row],[PMI]]-B65</f>
        <v>0.79999999999999716</v>
      </c>
    </row>
    <row r="67" spans="1:3" x14ac:dyDescent="0.35">
      <c r="A67" s="8">
        <v>42309</v>
      </c>
      <c r="B67" s="11">
        <f>IF(VLOOKUP(A67,'DB Country PMI'!$A:$W,MATCH($A$1,'DB Country PMI'!$A$1:$W$1,),)=0,#N/A,VLOOKUP(A67,'DB Country PMI'!$A:$W,MATCH($A$1,'DB Country PMI'!$A$1:$W$1,),))</f>
        <v>56.7</v>
      </c>
      <c r="C67" s="14">
        <f>Table13468113456710121314[[#This Row],[PMI]]-B66</f>
        <v>0.80000000000000426</v>
      </c>
    </row>
    <row r="68" spans="1:3" x14ac:dyDescent="0.35">
      <c r="A68" s="8">
        <v>42339</v>
      </c>
      <c r="B68" s="11">
        <f>IF(VLOOKUP(A68,'DB Country PMI'!$A:$W,MATCH($A$1,'DB Country PMI'!$A$1:$W$1,),)=0,#N/A,VLOOKUP(A68,'DB Country PMI'!$A:$W,MATCH($A$1,'DB Country PMI'!$A$1:$W$1,),))</f>
        <v>55.1</v>
      </c>
      <c r="C68" s="14">
        <f>Table13468113456710121314[[#This Row],[PMI]]-B67</f>
        <v>-1.6000000000000014</v>
      </c>
    </row>
    <row r="69" spans="1:3" x14ac:dyDescent="0.35">
      <c r="A69" s="8">
        <v>42370</v>
      </c>
      <c r="B69" s="11">
        <f>IF(VLOOKUP(A69,'DB Country PMI'!$A:$W,MATCH($A$1,'DB Country PMI'!$A$1:$W$1,),)=0,#N/A,VLOOKUP(A69,'DB Country PMI'!$A:$W,MATCH($A$1,'DB Country PMI'!$A$1:$W$1,),))</f>
        <v>54.6</v>
      </c>
      <c r="C69" s="14">
        <f>Table13468113456710121314[[#This Row],[PMI]]-B68</f>
        <v>-0.5</v>
      </c>
    </row>
    <row r="70" spans="1:3" x14ac:dyDescent="0.35">
      <c r="A70" s="8">
        <v>42401</v>
      </c>
      <c r="B70" s="11">
        <f>IF(VLOOKUP(A70,'DB Country PMI'!$A:$W,MATCH($A$1,'DB Country PMI'!$A$1:$W$1,),)=0,#N/A,VLOOKUP(A70,'DB Country PMI'!$A:$W,MATCH($A$1,'DB Country PMI'!$A$1:$W$1,),))</f>
        <v>54.1</v>
      </c>
      <c r="C70" s="14">
        <f>Table13468113456710121314[[#This Row],[PMI]]-B69</f>
        <v>-0.5</v>
      </c>
    </row>
    <row r="71" spans="1:3" x14ac:dyDescent="0.35">
      <c r="A71" s="8">
        <v>42430</v>
      </c>
      <c r="B71" s="11">
        <f>IF(VLOOKUP(A71,'DB Country PMI'!$A:$W,MATCH($A$1,'DB Country PMI'!$A$1:$W$1,),)=0,#N/A,VLOOKUP(A71,'DB Country PMI'!$A:$W,MATCH($A$1,'DB Country PMI'!$A$1:$W$1,),))</f>
        <v>55.3</v>
      </c>
      <c r="C71" s="14">
        <f>Table13468113456710121314[[#This Row],[PMI]]-B70</f>
        <v>1.1999999999999957</v>
      </c>
    </row>
    <row r="72" spans="1:3" x14ac:dyDescent="0.35">
      <c r="A72" s="8">
        <v>42461</v>
      </c>
      <c r="B72" s="11">
        <f>IF(VLOOKUP(A72,'DB Country PMI'!$A:$W,MATCH($A$1,'DB Country PMI'!$A$1:$W$1,),)=0,#N/A,VLOOKUP(A72,'DB Country PMI'!$A:$W,MATCH($A$1,'DB Country PMI'!$A$1:$W$1,),))</f>
        <v>55.1</v>
      </c>
      <c r="C72" s="14">
        <f>Table13468113456710121314[[#This Row],[PMI]]-B71</f>
        <v>-0.19999999999999574</v>
      </c>
    </row>
    <row r="73" spans="1:3" x14ac:dyDescent="0.35">
      <c r="A73" s="8">
        <v>42491</v>
      </c>
      <c r="B73" s="11">
        <f>IF(VLOOKUP(A73,'DB Country PMI'!$A:$W,MATCH($A$1,'DB Country PMI'!$A$1:$W$1,),)=0,#N/A,VLOOKUP(A73,'DB Country PMI'!$A:$W,MATCH($A$1,'DB Country PMI'!$A$1:$W$1,),))</f>
        <v>55.4</v>
      </c>
      <c r="C73" s="14">
        <f>Table13468113456710121314[[#This Row],[PMI]]-B72</f>
        <v>0.29999999999999716</v>
      </c>
    </row>
    <row r="74" spans="1:3" x14ac:dyDescent="0.35">
      <c r="A74" s="8">
        <v>42522</v>
      </c>
      <c r="B74" s="11">
        <f>IF(VLOOKUP(A74,'DB Country PMI'!$A:$W,MATCH($A$1,'DB Country PMI'!$A$1:$W$1,),)=0,#N/A,VLOOKUP(A74,'DB Country PMI'!$A:$W,MATCH($A$1,'DB Country PMI'!$A$1:$W$1,),))</f>
        <v>56</v>
      </c>
      <c r="C74" s="14">
        <f>Table13468113456710121314[[#This Row],[PMI]]-B73</f>
        <v>0.60000000000000142</v>
      </c>
    </row>
    <row r="75" spans="1:3" x14ac:dyDescent="0.35">
      <c r="A75" s="8">
        <v>42552</v>
      </c>
      <c r="B75" s="11">
        <f>IF(VLOOKUP(A75,'DB Country PMI'!$A:$W,MATCH($A$1,'DB Country PMI'!$A$1:$W$1,),)=0,#N/A,VLOOKUP(A75,'DB Country PMI'!$A:$W,MATCH($A$1,'DB Country PMI'!$A$1:$W$1,),))</f>
        <v>54.1</v>
      </c>
      <c r="C75" s="14">
        <f>Table13468113456710121314[[#This Row],[PMI]]-B74</f>
        <v>-1.8999999999999986</v>
      </c>
    </row>
    <row r="76" spans="1:3" x14ac:dyDescent="0.35">
      <c r="A76" s="8">
        <v>42583</v>
      </c>
      <c r="B76" s="11">
        <f>IF(VLOOKUP(A76,'DB Country PMI'!$A:$W,MATCH($A$1,'DB Country PMI'!$A$1:$W$1,),)=0,#N/A,VLOOKUP(A76,'DB Country PMI'!$A:$W,MATCH($A$1,'DB Country PMI'!$A$1:$W$1,),))</f>
        <v>56</v>
      </c>
      <c r="C76" s="14">
        <f>Table13468113456710121314[[#This Row],[PMI]]-B75</f>
        <v>1.8999999999999986</v>
      </c>
    </row>
    <row r="77" spans="1:3" x14ac:dyDescent="0.35">
      <c r="A77" s="8">
        <v>42614</v>
      </c>
      <c r="B77" s="11">
        <f>IF(VLOOKUP(A77,'DB Country PMI'!$A:$W,MATCH($A$1,'DB Country PMI'!$A$1:$W$1,),)=0,#N/A,VLOOKUP(A77,'DB Country PMI'!$A:$W,MATCH($A$1,'DB Country PMI'!$A$1:$W$1,),))</f>
        <v>54.7</v>
      </c>
      <c r="C77" s="14">
        <f>Table13468113456710121314[[#This Row],[PMI]]-B76</f>
        <v>-1.2999999999999972</v>
      </c>
    </row>
    <row r="78" spans="1:3" x14ac:dyDescent="0.35">
      <c r="A78" s="8">
        <v>42644</v>
      </c>
      <c r="B78" s="11">
        <f>IF(VLOOKUP(A78,'DB Country PMI'!$A:$W,MATCH($A$1,'DB Country PMI'!$A$1:$W$1,),)=0,#N/A,VLOOKUP(A78,'DB Country PMI'!$A:$W,MATCH($A$1,'DB Country PMI'!$A$1:$W$1,),))</f>
        <v>54.6</v>
      </c>
      <c r="C78" s="14">
        <f>Table13468113456710121314[[#This Row],[PMI]]-B77</f>
        <v>-0.10000000000000142</v>
      </c>
    </row>
    <row r="79" spans="1:3" x14ac:dyDescent="0.35">
      <c r="A79" s="8">
        <v>42675</v>
      </c>
      <c r="B79" s="11">
        <f>IF(VLOOKUP(A79,'DB Country PMI'!$A:$W,MATCH($A$1,'DB Country PMI'!$A$1:$W$1,),)=0,#N/A,VLOOKUP(A79,'DB Country PMI'!$A:$W,MATCH($A$1,'DB Country PMI'!$A$1:$W$1,),))</f>
        <v>55.1</v>
      </c>
      <c r="C79" s="14">
        <f>Table13468113456710121314[[#This Row],[PMI]]-B78</f>
        <v>0.5</v>
      </c>
    </row>
    <row r="80" spans="1:3" x14ac:dyDescent="0.35">
      <c r="A80" s="8">
        <v>42705</v>
      </c>
      <c r="B80" s="11">
        <f>IF(VLOOKUP(A80,'DB Country PMI'!$A:$W,MATCH($A$1,'DB Country PMI'!$A$1:$W$1,),)=0,#N/A,VLOOKUP(A80,'DB Country PMI'!$A:$W,MATCH($A$1,'DB Country PMI'!$A$1:$W$1,),))</f>
        <v>55</v>
      </c>
      <c r="C80" s="14">
        <f>Table13468113456710121314[[#This Row],[PMI]]-B79</f>
        <v>-0.10000000000000142</v>
      </c>
    </row>
    <row r="81" spans="1:3" x14ac:dyDescent="0.35">
      <c r="A81" s="8">
        <v>42736</v>
      </c>
      <c r="B81" s="11">
        <f>IF(VLOOKUP(A81,'DB Country PMI'!$A:$W,MATCH($A$1,'DB Country PMI'!$A$1:$W$1,),)=0,#N/A,VLOOKUP(A81,'DB Country PMI'!$A:$W,MATCH($A$1,'DB Country PMI'!$A$1:$W$1,),))</f>
        <v>54.2</v>
      </c>
      <c r="C81" s="14">
        <f>Table13468113456710121314[[#This Row],[PMI]]-B80</f>
        <v>-0.79999999999999716</v>
      </c>
    </row>
    <row r="82" spans="1:3" x14ac:dyDescent="0.35">
      <c r="A82" s="8">
        <v>42767</v>
      </c>
      <c r="B82" s="11">
        <f>IF(VLOOKUP(A82,'DB Country PMI'!$A:$W,MATCH($A$1,'DB Country PMI'!$A$1:$W$1,),)=0,#N/A,VLOOKUP(A82,'DB Country PMI'!$A:$W,MATCH($A$1,'DB Country PMI'!$A$1:$W$1,),))</f>
        <v>57</v>
      </c>
      <c r="C82" s="14">
        <f>Table13468113456710121314[[#This Row],[PMI]]-B81</f>
        <v>2.7999999999999972</v>
      </c>
    </row>
    <row r="83" spans="1:3" x14ac:dyDescent="0.35">
      <c r="A83" s="8">
        <v>42795</v>
      </c>
      <c r="B83" s="11">
        <f>IF(VLOOKUP(A83,'DB Country PMI'!$A:$W,MATCH($A$1,'DB Country PMI'!$A$1:$W$1,),)=0,#N/A,VLOOKUP(A83,'DB Country PMI'!$A:$W,MATCH($A$1,'DB Country PMI'!$A$1:$W$1,),))</f>
        <v>57.4</v>
      </c>
      <c r="C83" s="14">
        <f>Table13468113456710121314[[#This Row],[PMI]]-B82</f>
        <v>0.39999999999999858</v>
      </c>
    </row>
    <row r="84" spans="1:3" x14ac:dyDescent="0.35">
      <c r="A84" s="8">
        <v>42826</v>
      </c>
      <c r="B84" s="11">
        <f>IF(VLOOKUP(A84,'DB Country PMI'!$A:$W,MATCH($A$1,'DB Country PMI'!$A$1:$W$1,),)=0,#N/A,VLOOKUP(A84,'DB Country PMI'!$A:$W,MATCH($A$1,'DB Country PMI'!$A$1:$W$1,),))</f>
        <v>57.8</v>
      </c>
      <c r="C84" s="14">
        <f>Table13468113456710121314[[#This Row],[PMI]]-B83</f>
        <v>0.39999999999999858</v>
      </c>
    </row>
    <row r="85" spans="1:3" x14ac:dyDescent="0.35">
      <c r="A85" s="8">
        <v>42856</v>
      </c>
      <c r="B85" s="11">
        <f>IF(VLOOKUP(A85,'DB Country PMI'!$A:$W,MATCH($A$1,'DB Country PMI'!$A$1:$W$1,),)=0,#N/A,VLOOKUP(A85,'DB Country PMI'!$A:$W,MATCH($A$1,'DB Country PMI'!$A$1:$W$1,),))</f>
        <v>57.3</v>
      </c>
      <c r="C85" s="14">
        <f>Table13468113456710121314[[#This Row],[PMI]]-B84</f>
        <v>-0.5</v>
      </c>
    </row>
    <row r="86" spans="1:3" x14ac:dyDescent="0.35">
      <c r="A86" s="8">
        <v>42887</v>
      </c>
      <c r="B86" s="11">
        <f>IF(VLOOKUP(A86,'DB Country PMI'!$A:$W,MATCH($A$1,'DB Country PMI'!$A$1:$W$1,),)=0,#N/A,VLOOKUP(A86,'DB Country PMI'!$A:$W,MATCH($A$1,'DB Country PMI'!$A$1:$W$1,),))</f>
        <v>58.3</v>
      </c>
      <c r="C86" s="14">
        <f>Table13468113456710121314[[#This Row],[PMI]]-B85</f>
        <v>1</v>
      </c>
    </row>
    <row r="87" spans="1:3" x14ac:dyDescent="0.35">
      <c r="A87" s="8">
        <v>42917</v>
      </c>
      <c r="B87" s="11">
        <f>IF(VLOOKUP(A87,'DB Country PMI'!$A:$W,MATCH($A$1,'DB Country PMI'!$A$1:$W$1,),)=0,#N/A,VLOOKUP(A87,'DB Country PMI'!$A:$W,MATCH($A$1,'DB Country PMI'!$A$1:$W$1,),))</f>
        <v>57.6</v>
      </c>
      <c r="C87" s="14">
        <f>Table13468113456710121314[[#This Row],[PMI]]-B86</f>
        <v>-0.69999999999999574</v>
      </c>
    </row>
    <row r="88" spans="1:3" x14ac:dyDescent="0.35">
      <c r="A88" s="8">
        <v>42948</v>
      </c>
      <c r="B88" s="11">
        <f>IF(VLOOKUP(A88,'DB Country PMI'!$A:$W,MATCH($A$1,'DB Country PMI'!$A$1:$W$1,),)=0,#N/A,VLOOKUP(A88,'DB Country PMI'!$A:$W,MATCH($A$1,'DB Country PMI'!$A$1:$W$1,),))</f>
        <v>56</v>
      </c>
      <c r="C88" s="14">
        <f>Table13468113456710121314[[#This Row],[PMI]]-B87</f>
        <v>-1.6000000000000014</v>
      </c>
    </row>
    <row r="89" spans="1:3" x14ac:dyDescent="0.35">
      <c r="A89" s="8">
        <v>42979</v>
      </c>
      <c r="B89" s="11">
        <f>IF(VLOOKUP(A89,'DB Country PMI'!$A:$W,MATCH($A$1,'DB Country PMI'!$A$1:$W$1,),)=0,#N/A,VLOOKUP(A89,'DB Country PMI'!$A:$W,MATCH($A$1,'DB Country PMI'!$A$1:$W$1,),))</f>
        <v>56.7</v>
      </c>
      <c r="C89" s="14">
        <f>Table13468113456710121314[[#This Row],[PMI]]-B88</f>
        <v>0.70000000000000284</v>
      </c>
    </row>
    <row r="90" spans="1:3" x14ac:dyDescent="0.35">
      <c r="A90" s="8">
        <v>43009</v>
      </c>
      <c r="B90" s="11">
        <f>IF(VLOOKUP(A90,'DB Country PMI'!$A:$W,MATCH($A$1,'DB Country PMI'!$A$1:$W$1,),)=0,#N/A,VLOOKUP(A90,'DB Country PMI'!$A:$W,MATCH($A$1,'DB Country PMI'!$A$1:$W$1,),))</f>
        <v>54.6</v>
      </c>
      <c r="C90" s="14">
        <f>Table13468113456710121314[[#This Row],[PMI]]-B89</f>
        <v>-2.1000000000000014</v>
      </c>
    </row>
    <row r="91" spans="1:3" x14ac:dyDescent="0.35">
      <c r="A91" s="8">
        <v>43040</v>
      </c>
      <c r="B91" s="11">
        <f>IF(VLOOKUP(A91,'DB Country PMI'!$A:$W,MATCH($A$1,'DB Country PMI'!$A$1:$W$1,),)=0,#N/A,VLOOKUP(A91,'DB Country PMI'!$A:$W,MATCH($A$1,'DB Country PMI'!$A$1:$W$1,),))</f>
        <v>54.4</v>
      </c>
      <c r="C91" s="14">
        <f>Table13468113456710121314[[#This Row],[PMI]]-B90</f>
        <v>-0.20000000000000284</v>
      </c>
    </row>
    <row r="92" spans="1:3" x14ac:dyDescent="0.35">
      <c r="A92" s="8">
        <v>43070</v>
      </c>
      <c r="B92" s="11">
        <f>IF(VLOOKUP(A92,'DB Country PMI'!$A:$W,MATCH($A$1,'DB Country PMI'!$A$1:$W$1,),)=0,#N/A,VLOOKUP(A92,'DB Country PMI'!$A:$W,MATCH($A$1,'DB Country PMI'!$A$1:$W$1,),))</f>
        <v>54.6</v>
      </c>
      <c r="C92" s="14">
        <f>Table13468113456710121314[[#This Row],[PMI]]-B91</f>
        <v>0.20000000000000284</v>
      </c>
    </row>
    <row r="93" spans="1:3" x14ac:dyDescent="0.35">
      <c r="A93" s="8">
        <v>43101</v>
      </c>
      <c r="B93" s="11">
        <f>IF(VLOOKUP(A93,'DB Country PMI'!$A:$W,MATCH($A$1,'DB Country PMI'!$A$1:$W$1,),)=0,#N/A,VLOOKUP(A93,'DB Country PMI'!$A:$W,MATCH($A$1,'DB Country PMI'!$A$1:$W$1,),))</f>
        <v>56.9</v>
      </c>
      <c r="C93" s="14">
        <f>Table13468113456710121314[[#This Row],[PMI]]-B92</f>
        <v>2.2999999999999972</v>
      </c>
    </row>
    <row r="94" spans="1:3" x14ac:dyDescent="0.35">
      <c r="A94" s="8">
        <v>43132</v>
      </c>
      <c r="B94" s="11">
        <f>IF(VLOOKUP(A94,'DB Country PMI'!$A:$W,MATCH($A$1,'DB Country PMI'!$A$1:$W$1,),)=0,#N/A,VLOOKUP(A94,'DB Country PMI'!$A:$W,MATCH($A$1,'DB Country PMI'!$A$1:$W$1,),))</f>
        <v>57.3</v>
      </c>
      <c r="C94" s="14">
        <f>Table13468113456710121314[[#This Row],[PMI]]-B93</f>
        <v>0.39999999999999858</v>
      </c>
    </row>
    <row r="95" spans="1:3" x14ac:dyDescent="0.35">
      <c r="A95" s="8">
        <v>43160</v>
      </c>
      <c r="B95" s="11">
        <f>IF(VLOOKUP(A95,'DB Country PMI'!$A:$W,MATCH($A$1,'DB Country PMI'!$A$1:$W$1,),)=0,#N/A,VLOOKUP(A95,'DB Country PMI'!$A:$W,MATCH($A$1,'DB Country PMI'!$A$1:$W$1,),))</f>
        <v>56.2</v>
      </c>
      <c r="C95" s="14">
        <f>Table13468113456710121314[[#This Row],[PMI]]-B94</f>
        <v>-1.0999999999999943</v>
      </c>
    </row>
    <row r="96" spans="1:3" x14ac:dyDescent="0.35">
      <c r="A96" s="8">
        <v>43191</v>
      </c>
      <c r="B96" s="11">
        <f>IF(VLOOKUP(A96,'DB Country PMI'!$A:$W,MATCH($A$1,'DB Country PMI'!$A$1:$W$1,),)=0,#N/A,VLOOKUP(A96,'DB Country PMI'!$A:$W,MATCH($A$1,'DB Country PMI'!$A$1:$W$1,),))</f>
        <v>55.6</v>
      </c>
      <c r="C96" s="14">
        <f>Table13468113456710121314[[#This Row],[PMI]]-B95</f>
        <v>-0.60000000000000142</v>
      </c>
    </row>
    <row r="97" spans="1:3" x14ac:dyDescent="0.35">
      <c r="A97" s="8">
        <v>43221</v>
      </c>
      <c r="B97" s="11">
        <f>IF(VLOOKUP(A97,'DB Country PMI'!$A:$W,MATCH($A$1,'DB Country PMI'!$A$1:$W$1,),)=0,#N/A,VLOOKUP(A97,'DB Country PMI'!$A:$W,MATCH($A$1,'DB Country PMI'!$A$1:$W$1,),))</f>
        <v>56.4</v>
      </c>
      <c r="C97" s="14">
        <f>Table13468113456710121314[[#This Row],[PMI]]-B96</f>
        <v>0.79999999999999716</v>
      </c>
    </row>
    <row r="98" spans="1:3" x14ac:dyDescent="0.35">
      <c r="A98" s="8">
        <v>43252</v>
      </c>
      <c r="B98" s="11">
        <f>IF(VLOOKUP(A98,'DB Country PMI'!$A:$W,MATCH($A$1,'DB Country PMI'!$A$1:$W$1,),)=0,#N/A,VLOOKUP(A98,'DB Country PMI'!$A:$W,MATCH($A$1,'DB Country PMI'!$A$1:$W$1,),))</f>
        <v>55.4</v>
      </c>
      <c r="C98" s="14">
        <f>Table13468113456710121314[[#This Row],[PMI]]-B97</f>
        <v>-1</v>
      </c>
    </row>
    <row r="99" spans="1:3" x14ac:dyDescent="0.35">
      <c r="A99" s="8">
        <v>43282</v>
      </c>
      <c r="B99" s="11">
        <f>IF(VLOOKUP(A99,'DB Country PMI'!$A:$W,MATCH($A$1,'DB Country PMI'!$A$1:$W$1,),)=0,#N/A,VLOOKUP(A99,'DB Country PMI'!$A:$W,MATCH($A$1,'DB Country PMI'!$A$1:$W$1,),))</f>
        <v>52.6</v>
      </c>
      <c r="C99" s="14">
        <f>Table13468113456710121314[[#This Row],[PMI]]-B98</f>
        <v>-2.7999999999999972</v>
      </c>
    </row>
    <row r="100" spans="1:3" x14ac:dyDescent="0.35">
      <c r="A100" s="8">
        <v>43313</v>
      </c>
      <c r="B100" s="11">
        <f>IF(VLOOKUP(A100,'DB Country PMI'!$A:$W,MATCH($A$1,'DB Country PMI'!$A$1:$W$1,),)=0,#N/A,VLOOKUP(A100,'DB Country PMI'!$A:$W,MATCH($A$1,'DB Country PMI'!$A$1:$W$1,),))</f>
        <v>52.7</v>
      </c>
      <c r="C100" s="14">
        <f>Table13468113456710121314[[#This Row],[PMI]]-B99</f>
        <v>0.10000000000000142</v>
      </c>
    </row>
    <row r="101" spans="1:3" x14ac:dyDescent="0.35">
      <c r="A101" s="8">
        <v>43344</v>
      </c>
      <c r="B101" s="11">
        <f>IF(VLOOKUP(A101,'DB Country PMI'!$A:$W,MATCH($A$1,'DB Country PMI'!$A$1:$W$1,),)=0,#N/A,VLOOKUP(A101,'DB Country PMI'!$A:$W,MATCH($A$1,'DB Country PMI'!$A$1:$W$1,),))</f>
        <v>52.5</v>
      </c>
      <c r="C101" s="14">
        <f>Table13468113456710121314[[#This Row],[PMI]]-B100</f>
        <v>-0.20000000000000284</v>
      </c>
    </row>
    <row r="102" spans="1:3" x14ac:dyDescent="0.35">
      <c r="A102" s="8">
        <v>43374</v>
      </c>
      <c r="B102" s="11">
        <f>IF(VLOOKUP(A102,'DB Country PMI'!$A:$W,MATCH($A$1,'DB Country PMI'!$A$1:$W$1,),)=0,#N/A,VLOOKUP(A102,'DB Country PMI'!$A:$W,MATCH($A$1,'DB Country PMI'!$A$1:$W$1,),))</f>
        <v>54</v>
      </c>
      <c r="C102" s="14">
        <f>Table13468113456710121314[[#This Row],[PMI]]-B101</f>
        <v>1.5</v>
      </c>
    </row>
    <row r="103" spans="1:3" x14ac:dyDescent="0.35">
      <c r="A103" s="8">
        <v>43405</v>
      </c>
      <c r="B103" s="11">
        <f>IF(VLOOKUP(A103,'DB Country PMI'!$A:$W,MATCH($A$1,'DB Country PMI'!$A$1:$W$1,),)=0,#N/A,VLOOKUP(A103,'DB Country PMI'!$A:$W,MATCH($A$1,'DB Country PMI'!$A$1:$W$1,),))</f>
        <v>54</v>
      </c>
      <c r="C103" s="14">
        <f>Table13468113456710121314[[#This Row],[PMI]]-B102</f>
        <v>0</v>
      </c>
    </row>
    <row r="104" spans="1:3" x14ac:dyDescent="0.35">
      <c r="A104" s="8">
        <v>43435</v>
      </c>
      <c r="B104" s="11">
        <f>IF(VLOOKUP(A104,'DB Country PMI'!$A:$W,MATCH($A$1,'DB Country PMI'!$A$1:$W$1,),)=0,#N/A,VLOOKUP(A104,'DB Country PMI'!$A:$W,MATCH($A$1,'DB Country PMI'!$A$1:$W$1,),))</f>
        <v>54</v>
      </c>
      <c r="C104" s="14">
        <f>Table13468113456710121314[[#This Row],[PMI]]-B103</f>
        <v>0</v>
      </c>
    </row>
    <row r="105" spans="1:3" x14ac:dyDescent="0.35">
      <c r="A105" s="8">
        <v>43466</v>
      </c>
      <c r="B105" s="11">
        <f>IF(VLOOKUP(A105,'DB Country PMI'!$A:$W,MATCH($A$1,'DB Country PMI'!$A$1:$W$1,),)=0,#N/A,VLOOKUP(A105,'DB Country PMI'!$A:$W,MATCH($A$1,'DB Country PMI'!$A$1:$W$1,),))</f>
        <v>54.7</v>
      </c>
      <c r="C105" s="14">
        <f>Table13468113456710121314[[#This Row],[PMI]]-B104</f>
        <v>0.70000000000000284</v>
      </c>
    </row>
    <row r="106" spans="1:3" x14ac:dyDescent="0.35">
      <c r="A106" s="8">
        <v>43497</v>
      </c>
      <c r="B106" s="11">
        <f>IF(VLOOKUP(A106,'DB Country PMI'!$A:$W,MATCH($A$1,'DB Country PMI'!$A$1:$W$1,),)=0,#N/A,VLOOKUP(A106,'DB Country PMI'!$A:$W,MATCH($A$1,'DB Country PMI'!$A$1:$W$1,),))</f>
        <v>54.5</v>
      </c>
      <c r="C106" s="14">
        <f>Table13468113456710121314[[#This Row],[PMI]]-B105</f>
        <v>-0.20000000000000284</v>
      </c>
    </row>
    <row r="107" spans="1:3" x14ac:dyDescent="0.35">
      <c r="A107" s="8">
        <v>43525</v>
      </c>
      <c r="B107" s="11">
        <f>IF(VLOOKUP(A107,'DB Country PMI'!$A:$W,MATCH($A$1,'DB Country PMI'!$A$1:$W$1,),)=0,#N/A,VLOOKUP(A107,'DB Country PMI'!$A:$W,MATCH($A$1,'DB Country PMI'!$A$1:$W$1,),))</f>
        <v>56.8</v>
      </c>
      <c r="C107" s="14">
        <f>Table13468113456710121314[[#This Row],[PMI]]-B106</f>
        <v>2.2999999999999972</v>
      </c>
    </row>
    <row r="108" spans="1:3" x14ac:dyDescent="0.35">
      <c r="A108" s="8">
        <v>43556</v>
      </c>
      <c r="B108" s="11">
        <f>IF(VLOOKUP(A108,'DB Country PMI'!$A:$W,MATCH($A$1,'DB Country PMI'!$A$1:$W$1,),)=0,#N/A,VLOOKUP(A108,'DB Country PMI'!$A:$W,MATCH($A$1,'DB Country PMI'!$A$1:$W$1,),))</f>
        <v>53.1</v>
      </c>
      <c r="C108" s="14">
        <f>Table13468113456710121314[[#This Row],[PMI]]-B107</f>
        <v>-3.6999999999999957</v>
      </c>
    </row>
    <row r="109" spans="1:3" x14ac:dyDescent="0.35">
      <c r="A109" s="8">
        <v>43586</v>
      </c>
      <c r="B109" s="11">
        <f>IF(VLOOKUP(A109,'DB Country PMI'!$A:$W,MATCH($A$1,'DB Country PMI'!$A$1:$W$1,),)=0,#N/A,VLOOKUP(A109,'DB Country PMI'!$A:$W,MATCH($A$1,'DB Country PMI'!$A$1:$W$1,),))</f>
        <v>52.8</v>
      </c>
      <c r="C109" s="14">
        <f>Table13468113456710121314[[#This Row],[PMI]]-B108</f>
        <v>-0.30000000000000426</v>
      </c>
    </row>
    <row r="110" spans="1:3" x14ac:dyDescent="0.35">
      <c r="A110" s="8">
        <v>43617</v>
      </c>
      <c r="B110" s="11">
        <f>IF(VLOOKUP(A110,'DB Country PMI'!$A:$W,MATCH($A$1,'DB Country PMI'!$A$1:$W$1,),)=0,#N/A,VLOOKUP(A110,'DB Country PMI'!$A:$W,MATCH($A$1,'DB Country PMI'!$A$1:$W$1,),))</f>
        <v>53.6</v>
      </c>
      <c r="C110" s="14">
        <f>Table13468113456710121314[[#This Row],[PMI]]-B109</f>
        <v>0.80000000000000426</v>
      </c>
    </row>
    <row r="111" spans="1:3" x14ac:dyDescent="0.35">
      <c r="A111" s="8">
        <v>43647</v>
      </c>
      <c r="B111" s="11">
        <f>IF(VLOOKUP(A111,'DB Country PMI'!$A:$W,MATCH($A$1,'DB Country PMI'!$A$1:$W$1,),)=0,#N/A,VLOOKUP(A111,'DB Country PMI'!$A:$W,MATCH($A$1,'DB Country PMI'!$A$1:$W$1,),))</f>
        <v>52.9</v>
      </c>
      <c r="C111" s="14">
        <f>Table13468113456710121314[[#This Row],[PMI]]-B110</f>
        <v>-0.70000000000000284</v>
      </c>
    </row>
    <row r="112" spans="1:3" x14ac:dyDescent="0.35">
      <c r="A112" s="8">
        <v>43678</v>
      </c>
      <c r="B112" s="11">
        <f>IF(VLOOKUP(A112,'DB Country PMI'!$A:$W,MATCH($A$1,'DB Country PMI'!$A$1:$W$1,),)=0,#N/A,VLOOKUP(A112,'DB Country PMI'!$A:$W,MATCH($A$1,'DB Country PMI'!$A$1:$W$1,),))</f>
        <v>54.3</v>
      </c>
      <c r="C112" s="14">
        <f>Table13468113456710121314[[#This Row],[PMI]]-B111</f>
        <v>1.3999999999999986</v>
      </c>
    </row>
    <row r="113" spans="1:3" x14ac:dyDescent="0.35">
      <c r="A113" s="8">
        <v>43709</v>
      </c>
      <c r="B113" s="11">
        <f>IF(VLOOKUP(A113,'DB Country PMI'!$A:$W,MATCH($A$1,'DB Country PMI'!$A$1:$W$1,),)=0,#N/A,VLOOKUP(A113,'DB Country PMI'!$A:$W,MATCH($A$1,'DB Country PMI'!$A$1:$W$1,),))</f>
        <v>53.3</v>
      </c>
      <c r="C113" s="14">
        <f>Table13468113456710121314[[#This Row],[PMI]]-B112</f>
        <v>-1</v>
      </c>
    </row>
    <row r="114" spans="1:3" x14ac:dyDescent="0.35">
      <c r="A114" s="8">
        <v>43739</v>
      </c>
      <c r="B114" s="11">
        <f>IF(VLOOKUP(A114,'DB Country PMI'!$A:$W,MATCH($A$1,'DB Country PMI'!$A$1:$W$1,),)=0,#N/A,VLOOKUP(A114,'DB Country PMI'!$A:$W,MATCH($A$1,'DB Country PMI'!$A$1:$W$1,),))</f>
        <v>52.7</v>
      </c>
      <c r="C114" s="14">
        <f>Table13468113456710121314[[#This Row],[PMI]]-B113</f>
        <v>-0.59999999999999432</v>
      </c>
    </row>
    <row r="115" spans="1:3" x14ac:dyDescent="0.35">
      <c r="A115" s="8">
        <v>43770</v>
      </c>
      <c r="B115" s="11">
        <f>IF(VLOOKUP(A115,'DB Country PMI'!$A:$W,MATCH($A$1,'DB Country PMI'!$A$1:$W$1,),)=0,#N/A,VLOOKUP(A115,'DB Country PMI'!$A:$W,MATCH($A$1,'DB Country PMI'!$A$1:$W$1,),))</f>
        <v>53.2</v>
      </c>
      <c r="C115" s="14">
        <f>Table13468113456710121314[[#This Row],[PMI]]-B114</f>
        <v>0.5</v>
      </c>
    </row>
    <row r="116" spans="1:3" x14ac:dyDescent="0.35">
      <c r="A116" s="8">
        <v>43800</v>
      </c>
      <c r="B116" s="11">
        <f>IF(VLOOKUP(A116,'DB Country PMI'!$A:$W,MATCH($A$1,'DB Country PMI'!$A$1:$W$1,),)=0,#N/A,VLOOKUP(A116,'DB Country PMI'!$A:$W,MATCH($A$1,'DB Country PMI'!$A$1:$W$1,),))</f>
        <v>54.9</v>
      </c>
      <c r="C116" s="14">
        <f>Table13468113456710121314[[#This Row],[PMI]]-B115</f>
        <v>1.6999999999999957</v>
      </c>
    </row>
    <row r="117" spans="1:3" x14ac:dyDescent="0.35">
      <c r="A117" s="8">
        <v>43831</v>
      </c>
      <c r="B117" s="11">
        <f>IF(VLOOKUP(A117,'DB Country PMI'!$A:$W,MATCH($A$1,'DB Country PMI'!$A$1:$W$1,),)=0,#N/A,VLOOKUP(A117,'DB Country PMI'!$A:$W,MATCH($A$1,'DB Country PMI'!$A$1:$W$1,),))</f>
        <v>52.3</v>
      </c>
      <c r="C117" s="14">
        <f>Table13468113456710121314[[#This Row],[PMI]]-B116</f>
        <v>-2.6000000000000014</v>
      </c>
    </row>
    <row r="118" spans="1:3" x14ac:dyDescent="0.35">
      <c r="A118" s="8">
        <v>43862</v>
      </c>
      <c r="B118" s="11">
        <f>IF(VLOOKUP(A118,'DB Country PMI'!$A:$W,MATCH($A$1,'DB Country PMI'!$A$1:$W$1,),)=0,#N/A,VLOOKUP(A118,'DB Country PMI'!$A:$W,MATCH($A$1,'DB Country PMI'!$A$1:$W$1,),))</f>
        <v>52.1</v>
      </c>
      <c r="C118" s="14">
        <f>Table13468113456710121314[[#This Row],[PMI]]-B117</f>
        <v>-0.19999999999999574</v>
      </c>
    </row>
    <row r="119" spans="1:3" x14ac:dyDescent="0.35">
      <c r="A119" s="8">
        <v>43891</v>
      </c>
      <c r="B119" s="11">
        <f>IF(VLOOKUP(A119,'DB Country PMI'!$A:$W,MATCH($A$1,'DB Country PMI'!$A$1:$W$1,),)=0,#N/A,VLOOKUP(A119,'DB Country PMI'!$A:$W,MATCH($A$1,'DB Country PMI'!$A$1:$W$1,),))</f>
        <v>23</v>
      </c>
      <c r="C119" s="14">
        <f>Table13468113456710121314[[#This Row],[PMI]]-B118</f>
        <v>-29.1</v>
      </c>
    </row>
    <row r="120" spans="1:3" x14ac:dyDescent="0.35">
      <c r="A120" s="8">
        <v>43922</v>
      </c>
      <c r="B120" s="11">
        <f>IF(VLOOKUP(A120,'DB Country PMI'!$A:$W,MATCH($A$1,'DB Country PMI'!$A$1:$W$1,),)=0,#N/A,VLOOKUP(A120,'DB Country PMI'!$A:$W,MATCH($A$1,'DB Country PMI'!$A$1:$W$1,),))</f>
        <v>7.1</v>
      </c>
      <c r="C120" s="14">
        <f>Table13468113456710121314[[#This Row],[PMI]]-B119</f>
        <v>-15.9</v>
      </c>
    </row>
    <row r="121" spans="1:3" x14ac:dyDescent="0.35">
      <c r="A121" s="8">
        <v>43952</v>
      </c>
      <c r="B121" s="11">
        <f>IF(VLOOKUP(A121,'DB Country PMI'!$A:$W,MATCH($A$1,'DB Country PMI'!$A$1:$W$1,),)=0,#N/A,VLOOKUP(A121,'DB Country PMI'!$A:$W,MATCH($A$1,'DB Country PMI'!$A$1:$W$1,),))</f>
        <v>27.9</v>
      </c>
      <c r="C121" s="14">
        <f>Table13468113456710121314[[#This Row],[PMI]]-B120</f>
        <v>20.799999999999997</v>
      </c>
    </row>
    <row r="122" spans="1:3" x14ac:dyDescent="0.35">
      <c r="A122" s="8">
        <v>43983</v>
      </c>
      <c r="B122" s="11">
        <f>IF(VLOOKUP(A122,'DB Country PMI'!$A:$W,MATCH($A$1,'DB Country PMI'!$A$1:$W$1,),)=0,#N/A,VLOOKUP(A122,'DB Country PMI'!$A:$W,MATCH($A$1,'DB Country PMI'!$A$1:$W$1,),))</f>
        <v>50.2</v>
      </c>
      <c r="C122" s="14">
        <f>Table13468113456710121314[[#This Row],[PMI]]-B121</f>
        <v>22.300000000000004</v>
      </c>
    </row>
    <row r="123" spans="1:3" x14ac:dyDescent="0.35">
      <c r="A123" s="8">
        <v>44013</v>
      </c>
      <c r="B123" s="11">
        <f>IF(VLOOKUP(A123,'DB Country PMI'!$A:$W,MATCH($A$1,'DB Country PMI'!$A$1:$W$1,),)=0,#N/A,VLOOKUP(A123,'DB Country PMI'!$A:$W,MATCH($A$1,'DB Country PMI'!$A$1:$W$1,),))</f>
        <v>51.9</v>
      </c>
      <c r="C123" s="14">
        <f>Table13468113456710121314[[#This Row],[PMI]]-B122</f>
        <v>1.6999999999999957</v>
      </c>
    </row>
    <row r="124" spans="1:3" x14ac:dyDescent="0.35">
      <c r="A124" s="8">
        <v>44044</v>
      </c>
      <c r="B124" s="11">
        <f>IF(VLOOKUP(A124,'DB Country PMI'!$A:$W,MATCH($A$1,'DB Country PMI'!$A$1:$W$1,),)=0,#N/A,VLOOKUP(A124,'DB Country PMI'!$A:$W,MATCH($A$1,'DB Country PMI'!$A$1:$W$1,),))</f>
        <v>47.7</v>
      </c>
      <c r="C124" s="14">
        <f>Table13468113456710121314[[#This Row],[PMI]]-B123</f>
        <v>-4.1999999999999957</v>
      </c>
    </row>
    <row r="125" spans="1:3" x14ac:dyDescent="0.35">
      <c r="A125" s="8">
        <v>44075</v>
      </c>
      <c r="B125" s="11">
        <f>IF(VLOOKUP(A125,'DB Country PMI'!$A:$W,MATCH($A$1,'DB Country PMI'!$A$1:$W$1,),)=0,#N/A,VLOOKUP(A125,'DB Country PMI'!$A:$W,MATCH($A$1,'DB Country PMI'!$A$1:$W$1,),))</f>
        <v>42.4</v>
      </c>
      <c r="C125" s="14">
        <f>Table13468113456710121314[[#This Row],[PMI]]-B124</f>
        <v>-5.3000000000000043</v>
      </c>
    </row>
    <row r="126" spans="1:3" x14ac:dyDescent="0.35">
      <c r="A126" s="8">
        <v>44105</v>
      </c>
      <c r="B126" s="11">
        <f>IF(VLOOKUP(A126,'DB Country PMI'!$A:$W,MATCH($A$1,'DB Country PMI'!$A$1:$W$1,),)=0,#N/A,VLOOKUP(A126,'DB Country PMI'!$A:$W,MATCH($A$1,'DB Country PMI'!$A$1:$W$1,),))</f>
        <v>41.4</v>
      </c>
      <c r="C126" s="14">
        <f>Table13468113456710121314[[#This Row],[PMI]]-B125</f>
        <v>-1</v>
      </c>
    </row>
    <row r="127" spans="1:3" x14ac:dyDescent="0.35">
      <c r="A127" s="8">
        <v>44136</v>
      </c>
      <c r="B127" s="11">
        <f>IF(VLOOKUP(A127,'DB Country PMI'!$A:$W,MATCH($A$1,'DB Country PMI'!$A$1:$W$1,),)=0,#N/A,VLOOKUP(A127,'DB Country PMI'!$A:$W,MATCH($A$1,'DB Country PMI'!$A$1:$W$1,),))</f>
        <v>39.5</v>
      </c>
      <c r="C127" s="14">
        <f>Table13468113456710121314[[#This Row],[PMI]]-B126</f>
        <v>-1.8999999999999986</v>
      </c>
    </row>
    <row r="128" spans="1:3" x14ac:dyDescent="0.35">
      <c r="A128" s="8">
        <v>44166</v>
      </c>
      <c r="B128" s="11">
        <f>IF(VLOOKUP(A128,'DB Country PMI'!$A:$W,MATCH($A$1,'DB Country PMI'!$A$1:$W$1,),)=0,#N/A,VLOOKUP(A128,'DB Country PMI'!$A:$W,MATCH($A$1,'DB Country PMI'!$A$1:$W$1,),))</f>
        <v>48</v>
      </c>
      <c r="C128" s="14">
        <f>Table13468113456710121314[[#This Row],[PMI]]-B127</f>
        <v>8.5</v>
      </c>
    </row>
    <row r="129" spans="1:3" x14ac:dyDescent="0.35">
      <c r="A129" s="8">
        <v>44197</v>
      </c>
      <c r="B129" s="11">
        <f>IF(VLOOKUP(A129,'DB Country PMI'!$A:$W,MATCH($A$1,'DB Country PMI'!$A$1:$W$1,),)=0,#N/A,VLOOKUP(A129,'DB Country PMI'!$A:$W,MATCH($A$1,'DB Country PMI'!$A$1:$W$1,),))</f>
        <v>41.7</v>
      </c>
      <c r="C129" s="14">
        <f>Table13468113456710121314[[#This Row],[PMI]]-B128</f>
        <v>-6.2999999999999972</v>
      </c>
    </row>
    <row r="130" spans="1:3" x14ac:dyDescent="0.35">
      <c r="A130" s="8">
        <v>44228</v>
      </c>
      <c r="B130" s="11">
        <f>IF(VLOOKUP(A130,'DB Country PMI'!$A:$W,MATCH($A$1,'DB Country PMI'!$A$1:$W$1,),)=0,#N/A,VLOOKUP(A130,'DB Country PMI'!$A:$W,MATCH($A$1,'DB Country PMI'!$A$1:$W$1,),))</f>
        <v>43.1</v>
      </c>
      <c r="C130" s="14">
        <f>Table13468113456710121314[[#This Row],[PMI]]-B129</f>
        <v>1.3999999999999986</v>
      </c>
    </row>
    <row r="131" spans="1:3" x14ac:dyDescent="0.35">
      <c r="A131" s="8">
        <v>44256</v>
      </c>
      <c r="B131" s="11">
        <f>IF(VLOOKUP(A131,'DB Country PMI'!$A:$W,MATCH($A$1,'DB Country PMI'!$A$1:$W$1,),)=0,#N/A,VLOOKUP(A131,'DB Country PMI'!$A:$W,MATCH($A$1,'DB Country PMI'!$A$1:$W$1,),))</f>
        <v>48.1</v>
      </c>
      <c r="C131" s="14">
        <f>Table13468113456710121314[[#This Row],[PMI]]-B130</f>
        <v>5</v>
      </c>
    </row>
    <row r="132" spans="1:3" x14ac:dyDescent="0.35">
      <c r="A132" s="8">
        <v>44287</v>
      </c>
      <c r="B132" s="11">
        <f>IF(VLOOKUP(A132,'DB Country PMI'!$A:$W,MATCH($A$1,'DB Country PMI'!$A$1:$W$1,),)=0,#N/A,VLOOKUP(A132,'DB Country PMI'!$A:$W,MATCH($A$1,'DB Country PMI'!$A$1:$W$1,),))</f>
        <v>54.6</v>
      </c>
      <c r="C132" s="14">
        <f>Table13468113456710121314[[#This Row],[PMI]]-B131</f>
        <v>6.5</v>
      </c>
    </row>
    <row r="133" spans="1:3" x14ac:dyDescent="0.35">
      <c r="A133" s="8">
        <v>44317</v>
      </c>
      <c r="B133" s="11">
        <f>IF(VLOOKUP(A133,'DB Country PMI'!$A:$W,MATCH($A$1,'DB Country PMI'!$A$1:$W$1,),)=0,#N/A,VLOOKUP(A133,'DB Country PMI'!$A:$W,MATCH($A$1,'DB Country PMI'!$A$1:$W$1,),))</f>
        <v>59.4</v>
      </c>
      <c r="C133" s="14">
        <f>Table13468113456710121314[[#This Row],[PMI]]-B132</f>
        <v>4.7999999999999972</v>
      </c>
    </row>
    <row r="134" spans="1:3" x14ac:dyDescent="0.35">
      <c r="A134" s="8">
        <v>44348</v>
      </c>
      <c r="B134" s="11">
        <f>IF(VLOOKUP(A134,'DB Country PMI'!$A:$W,MATCH($A$1,'DB Country PMI'!$A$1:$W$1,),)=0,#N/A,VLOOKUP(A134,'DB Country PMI'!$A:$W,MATCH($A$1,'DB Country PMI'!$A$1:$W$1,),))</f>
        <v>62.5</v>
      </c>
      <c r="C134" s="14">
        <f>Table13468113456710121314[[#This Row],[PMI]]-B133</f>
        <v>3.1000000000000014</v>
      </c>
    </row>
    <row r="135" spans="1:3" x14ac:dyDescent="0.35">
      <c r="A135" s="8">
        <v>44378</v>
      </c>
      <c r="B135" s="11">
        <f>IF(VLOOKUP(A135,'DB Country PMI'!$A:$W,MATCH($A$1,'DB Country PMI'!$A$1:$W$1,),)=0,#N/A,VLOOKUP(A135,'DB Country PMI'!$A:$W,MATCH($A$1,'DB Country PMI'!$A$1:$W$1,),))</f>
        <v>61.9</v>
      </c>
      <c r="C135" s="14">
        <f>Table13468113456710121314[[#This Row],[PMI]]-B134</f>
        <v>-0.60000000000000142</v>
      </c>
    </row>
    <row r="136" spans="1:3" x14ac:dyDescent="0.35">
      <c r="A136" s="8">
        <v>44409</v>
      </c>
      <c r="B136" s="11">
        <f>IF(VLOOKUP(A136,'DB Country PMI'!$A:$W,MATCH($A$1,'DB Country PMI'!$A$1:$W$1,),)=0,#N/A,VLOOKUP(A136,'DB Country PMI'!$A:$W,MATCH($A$1,'DB Country PMI'!$A$1:$W$1,),))</f>
        <v>60.1</v>
      </c>
      <c r="C136" s="14">
        <f>Table13468113456710121314[[#This Row],[PMI]]-B135</f>
        <v>-1.7999999999999972</v>
      </c>
    </row>
    <row r="137" spans="1:3" x14ac:dyDescent="0.35">
      <c r="A137" s="8">
        <v>44440</v>
      </c>
      <c r="B137" s="11">
        <f>IF(VLOOKUP(A137,'DB Country PMI'!$A:$W,MATCH($A$1,'DB Country PMI'!$A$1:$W$1,),)=0,#N/A,VLOOKUP(A137,'DB Country PMI'!$A:$W,MATCH($A$1,'DB Country PMI'!$A$1:$W$1,),))</f>
        <v>56.9</v>
      </c>
      <c r="C137" s="14">
        <f>Table13468113456710121314[[#This Row],[PMI]]-B136</f>
        <v>-3.2000000000000028</v>
      </c>
    </row>
    <row r="138" spans="1:3" x14ac:dyDescent="0.35">
      <c r="A138" s="8">
        <v>44470</v>
      </c>
      <c r="B138" s="11">
        <f>IF(VLOOKUP(A138,'DB Country PMI'!$A:$W,MATCH($A$1,'DB Country PMI'!$A$1:$W$1,),)=0,#N/A,VLOOKUP(A138,'DB Country PMI'!$A:$W,MATCH($A$1,'DB Country PMI'!$A$1:$W$1,),))</f>
        <v>56.6</v>
      </c>
      <c r="C138" s="14">
        <f>Table13468113456710121314[[#This Row],[PMI]]-B137</f>
        <v>-0.29999999999999716</v>
      </c>
    </row>
    <row r="139" spans="1:3" x14ac:dyDescent="0.35">
      <c r="A139" s="8">
        <v>44501</v>
      </c>
      <c r="B139" s="11">
        <f>IF(VLOOKUP(A139,'DB Country PMI'!$A:$W,MATCH($A$1,'DB Country PMI'!$A$1:$W$1,),)=0,#N/A,VLOOKUP(A139,'DB Country PMI'!$A:$W,MATCH($A$1,'DB Country PMI'!$A$1:$W$1,),))</f>
        <v>59.8</v>
      </c>
      <c r="C139" s="14">
        <f>Table13468113456710121314[[#This Row],[PMI]]-B138</f>
        <v>3.1999999999999957</v>
      </c>
    </row>
    <row r="140" spans="1:3" x14ac:dyDescent="0.35">
      <c r="A140" s="8">
        <v>44531</v>
      </c>
      <c r="B140" s="11">
        <f>IF(VLOOKUP(A140,'DB Country PMI'!$A:$W,MATCH($A$1,'DB Country PMI'!$A$1:$W$1,),)=0,#N/A,VLOOKUP(A140,'DB Country PMI'!$A:$W,MATCH($A$1,'DB Country PMI'!$A$1:$W$1,),))</f>
        <v>55.8</v>
      </c>
      <c r="C140" s="14">
        <f>Table13468113456710121314[[#This Row],[PMI]]-B139</f>
        <v>-4</v>
      </c>
    </row>
    <row r="141" spans="1:3" x14ac:dyDescent="0.35">
      <c r="A141" s="8">
        <v>44562</v>
      </c>
      <c r="B141" s="11">
        <f>IF(VLOOKUP(A141,'DB Country PMI'!$A:$W,MATCH($A$1,'DB Country PMI'!$A$1:$W$1,),)=0,#N/A,VLOOKUP(A141,'DB Country PMI'!$A:$W,MATCH($A$1,'DB Country PMI'!$A$1:$W$1,),))</f>
        <v>46.6</v>
      </c>
      <c r="C141" s="14">
        <f>Table13468113456710121314[[#This Row],[PMI]]-B140</f>
        <v>-9.1999999999999957</v>
      </c>
    </row>
    <row r="142" spans="1:3" x14ac:dyDescent="0.35">
      <c r="A142" s="8">
        <v>44593</v>
      </c>
      <c r="B142" s="11">
        <f>IF(VLOOKUP(A142,'DB Country PMI'!$A:$W,MATCH($A$1,'DB Country PMI'!$A$1:$W$1,),)=0,#N/A,VLOOKUP(A142,'DB Country PMI'!$A:$W,MATCH($A$1,'DB Country PMI'!$A$1:$W$1,),))</f>
        <v>56.6</v>
      </c>
      <c r="C142" s="14">
        <f>Table13468113456710121314[[#This Row],[PMI]]-B141</f>
        <v>10</v>
      </c>
    </row>
    <row r="143" spans="1:3" x14ac:dyDescent="0.35">
      <c r="A143" s="8">
        <v>44621</v>
      </c>
      <c r="B143" s="11">
        <f>IF(VLOOKUP(A143,'DB Country PMI'!$A:$W,MATCH($A$1,'DB Country PMI'!$A$1:$W$1,),)=0,#N/A,VLOOKUP(A143,'DB Country PMI'!$A:$W,MATCH($A$1,'DB Country PMI'!$A$1:$W$1,),))</f>
        <v>53.4</v>
      </c>
      <c r="C143" s="14">
        <f>Table13468113456710121314[[#This Row],[PMI]]-B142</f>
        <v>-3.2000000000000028</v>
      </c>
    </row>
    <row r="144" spans="1:3" x14ac:dyDescent="0.35">
      <c r="A144" s="8">
        <v>44652</v>
      </c>
      <c r="B144" s="11">
        <f>IF(VLOOKUP(A144,'DB Country PMI'!$A:$W,MATCH($A$1,'DB Country PMI'!$A$1:$W$1,),)=0,#N/A,VLOOKUP(A144,'DB Country PMI'!$A:$W,MATCH($A$1,'DB Country PMI'!$A$1:$W$1,),))</f>
        <v>57.1</v>
      </c>
      <c r="C144" s="14">
        <f>Table13468113456710121314[[#This Row],[PMI]]-B143</f>
        <v>3.7000000000000028</v>
      </c>
    </row>
    <row r="145" spans="1:3" x14ac:dyDescent="0.35">
      <c r="A145" s="8">
        <v>44682</v>
      </c>
      <c r="B145" s="11">
        <f>IF(VLOOKUP(A145,'DB Country PMI'!$A:$W,MATCH($A$1,'DB Country PMI'!$A$1:$W$1,),)=0,#N/A,VLOOKUP(A145,'DB Country PMI'!$A:$W,MATCH($A$1,'DB Country PMI'!$A$1:$W$1,),))</f>
        <v>56.5</v>
      </c>
      <c r="C145" s="14">
        <f>Table13468113456710121314[[#This Row],[PMI]]-B144</f>
        <v>-0.60000000000000142</v>
      </c>
    </row>
    <row r="146" spans="1:3" x14ac:dyDescent="0.35">
      <c r="A146" s="8">
        <v>44713</v>
      </c>
      <c r="B146" s="11">
        <f>IF(VLOOKUP(A146,'DB Country PMI'!$A:$W,MATCH($A$1,'DB Country PMI'!$A$1:$W$1,),)=0,#N/A,VLOOKUP(A146,'DB Country PMI'!$A:$W,MATCH($A$1,'DB Country PMI'!$A$1:$W$1,),))</f>
        <v>54</v>
      </c>
      <c r="C146" s="14">
        <f>Table13468113456710121314[[#This Row],[PMI]]-B145</f>
        <v>-2.5</v>
      </c>
    </row>
    <row r="147" spans="1:3" x14ac:dyDescent="0.35">
      <c r="A147" s="8">
        <v>44743</v>
      </c>
      <c r="B147" s="11">
        <f>IF(VLOOKUP(A147,'DB Country PMI'!$A:$W,MATCH($A$1,'DB Country PMI'!$A$1:$W$1,),)=0,#N/A,VLOOKUP(A147,'DB Country PMI'!$A:$W,MATCH($A$1,'DB Country PMI'!$A$1:$W$1,),))</f>
        <v>53.8</v>
      </c>
      <c r="C147" s="14">
        <f>Table13468113456710121314[[#This Row],[PMI]]-B146</f>
        <v>-0.20000000000000284</v>
      </c>
    </row>
    <row r="148" spans="1:3" x14ac:dyDescent="0.35">
      <c r="A148" s="8">
        <v>44774</v>
      </c>
      <c r="B148" s="11">
        <f>IF(VLOOKUP(A148,'DB Country PMI'!$A:$W,MATCH($A$1,'DB Country PMI'!$A$1:$W$1,),)=0,#N/A,VLOOKUP(A148,'DB Country PMI'!$A:$W,MATCH($A$1,'DB Country PMI'!$A$1:$W$1,),))</f>
        <v>50.6</v>
      </c>
      <c r="C148" s="14">
        <f>Table13468113456710121314[[#This Row],[PMI]]-B147</f>
        <v>-3.1999999999999957</v>
      </c>
    </row>
    <row r="149" spans="1:3" x14ac:dyDescent="0.35">
      <c r="A149" s="8">
        <v>44805</v>
      </c>
      <c r="B149" s="11">
        <f>IF(VLOOKUP(A149,'DB Country PMI'!$A:$W,MATCH($A$1,'DB Country PMI'!$A$1:$W$1,),)=0,#N/A,VLOOKUP(A149,'DB Country PMI'!$A:$W,MATCH($A$1,'DB Country PMI'!$A$1:$W$1,),))</f>
        <v>48.5</v>
      </c>
      <c r="C149" s="14">
        <f>Table13468113456710121314[[#This Row],[PMI]]-B148</f>
        <v>-2.1000000000000014</v>
      </c>
    </row>
    <row r="150" spans="1:3" x14ac:dyDescent="0.35">
      <c r="A150" s="8">
        <v>44835</v>
      </c>
      <c r="B150" s="11">
        <f>IF(VLOOKUP(A150,'DB Country PMI'!$A:$W,MATCH($A$1,'DB Country PMI'!$A$1:$W$1,),)=0,#N/A,VLOOKUP(A150,'DB Country PMI'!$A:$W,MATCH($A$1,'DB Country PMI'!$A$1:$W$1,),))</f>
        <v>49.7</v>
      </c>
      <c r="C150" s="14">
        <f>Table13468113456710121314[[#This Row],[PMI]]-B149</f>
        <v>1.2000000000000028</v>
      </c>
    </row>
    <row r="151" spans="1:3" x14ac:dyDescent="0.35">
      <c r="A151" s="8">
        <v>44866</v>
      </c>
      <c r="B151" s="11">
        <f>IF(VLOOKUP(A151,'DB Country PMI'!$A:$W,MATCH($A$1,'DB Country PMI'!$A$1:$W$1,),)=0,#N/A,VLOOKUP(A151,'DB Country PMI'!$A:$W,MATCH($A$1,'DB Country PMI'!$A$1:$W$1,),))</f>
        <v>51.2</v>
      </c>
      <c r="C151" s="14">
        <f>Table13468113456710121314[[#This Row],[PMI]]-B150</f>
        <v>1.5</v>
      </c>
    </row>
  </sheetData>
  <conditionalFormatting sqref="C7:C151">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2022-12-10T03:36:14Z</dcterms:modified>
</cp:coreProperties>
</file>