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right/>
      <top style="medium">
        <color indexed="64"/>
      </top>
      <bottom/>
      <diagonal/>
    </border>
    <border>
      <left/>
      <right style="thin">
        <color indexed="64"/>
      </right>
      <top style="medium">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3" fillId="2"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17" applyAlignment="1" pivotButton="0" quotePrefix="0" xfId="0">
      <alignment horizontal="center"/>
    </xf>
    <xf numFmtId="0" fontId="0" fillId="0" borderId="2" pivotButton="0" quotePrefix="0" xfId="0"/>
    <xf numFmtId="0" fontId="0" fillId="0" borderId="3" pivotButton="0" quotePrefix="0" xfId="0"/>
    <xf numFmtId="0" fontId="3" fillId="4" borderId="18" applyAlignment="1" pivotButton="0" quotePrefix="0" xfId="0">
      <alignment horizontal="center"/>
    </xf>
    <xf numFmtId="0" fontId="0" fillId="0" borderId="29" pivotButton="0" quotePrefix="0" xfId="0"/>
    <xf numFmtId="0" fontId="3" fillId="4" borderId="21" applyAlignment="1" pivotButton="0" quotePrefix="0" xfId="0">
      <alignment horizontal="center"/>
    </xf>
    <xf numFmtId="0" fontId="0" fillId="0" borderId="5"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7" applyAlignment="1" pivotButton="0" quotePrefix="0" xfId="0">
      <alignment horizontal="center"/>
    </xf>
    <xf numFmtId="0" fontId="3" fillId="4" borderId="8" applyAlignment="1" pivotButton="0" quotePrefix="0" xfId="0">
      <alignment horizontal="center"/>
    </xf>
    <xf numFmtId="0" fontId="0" fillId="0" borderId="4" pivotButton="0" quotePrefix="0" xfId="0"/>
    <xf numFmtId="0" fontId="5" fillId="2" borderId="0" applyAlignment="1" pivotButton="0" quotePrefix="0" xfId="0">
      <alignment wrapText="1"/>
    </xf>
    <xf numFmtId="0" fontId="0" fillId="2" borderId="0" applyAlignment="1" pivotButton="0" quotePrefix="0" xfId="0">
      <alignment wrapText="1"/>
    </xf>
    <xf numFmtId="0" fontId="4" fillId="2" borderId="0" applyAlignment="1" pivotButton="0" quotePrefix="0" xfId="2">
      <alignment wrapText="1"/>
    </xf>
    <xf numFmtId="0" fontId="3" fillId="2" borderId="0" pivotButton="0" quotePrefix="0" xfId="0"/>
    <xf numFmtId="0" fontId="0" fillId="0" borderId="0" applyAlignment="1" pivotButton="0" quotePrefix="0" xfId="0">
      <alignment vertical="center"/>
    </xf>
    <xf numFmtId="0" fontId="3" fillId="4" borderId="25" applyAlignment="1" pivotButton="0" quotePrefix="0" xfId="0">
      <alignment horizontal="center"/>
    </xf>
    <xf numFmtId="0" fontId="0" fillId="0" borderId="28"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Global!$B$6:$B$142</f>
              <numCache>
                <formatCode>General</formatCode>
                <ptCount val="137"/>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US!$A$6:$A$107</f>
              <numCache>
                <formatCode>m/d/yy</formatCode>
                <ptCount val="102"/>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numCache>
            </numRef>
          </cat>
          <val>
            <numRef>
              <f>US!$B$6:$B$107</f>
              <numCache>
                <formatCode>General</formatCode>
                <ptCount val="102"/>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EuroArea!$B$6:$B$182</f>
              <numCache>
                <formatCode>General</formatCode>
                <ptCount val="177"/>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China!$B$6:$B$143</f>
              <numCache>
                <formatCode>General</formatCode>
                <ptCount val="138"/>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Germany!$B$6:$B$182</f>
              <numCache>
                <formatCode>General</formatCode>
                <ptCount val="177"/>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UK!$B$6:$B$143</f>
              <numCache>
                <formatCode>General</formatCode>
                <ptCount val="138"/>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India!$B$6:$B$143</f>
              <numCache>
                <formatCode>General</formatCode>
                <ptCount val="138"/>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Australia!$B$6:$B$143</f>
              <numCache>
                <formatCode>General</formatCode>
                <ptCount val="138"/>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Italy!$B$6:$B$143</f>
              <numCache>
                <formatCode>General</formatCode>
                <ptCount val="138"/>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Japan!$B$6:$B$143</f>
              <numCache>
                <formatCode>General</formatCode>
                <ptCount val="138"/>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Spain!$B$6:$B$143</f>
              <numCache>
                <formatCode>General</formatCode>
                <ptCount val="138"/>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2" headerRowCount="1" totalsRowShown="0" headerRowDxfId="129" dataDxfId="127" headerRowBorderDxfId="128" tableBorderDxfId="126" totalsRowBorderDxfId="125">
  <autoFilter ref="A5:C142"/>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07" headerRowCount="1" totalsRowShown="0" headerRowDxfId="121" dataDxfId="119" headerRowBorderDxfId="120" tableBorderDxfId="118" totalsRowBorderDxfId="117">
  <autoFilter ref="A5:C107"/>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2" headerRowCount="1" totalsRowShown="0" headerRowDxfId="113" dataDxfId="111" headerRowBorderDxfId="112" tableBorderDxfId="110" totalsRowBorderDxfId="109">
  <autoFilter ref="A5:C182"/>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3" headerRowCount="1" totalsRowShown="0" headerRowDxfId="105" dataDxfId="103" headerRowBorderDxfId="104" tableBorderDxfId="102" totalsRowBorderDxfId="101">
  <autoFilter ref="A5:C143"/>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69" headerRowCount="1" totalsRowShown="0" headerRowDxfId="97" dataDxfId="95" headerRowBorderDxfId="96" tableBorderDxfId="94" totalsRowBorderDxfId="93">
  <autoFilter ref="A5:C169"/>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2" headerRowCount="1" totalsRowShown="0" headerRowDxfId="89" dataDxfId="87" headerRowBorderDxfId="88" tableBorderDxfId="86" totalsRowBorderDxfId="85">
  <autoFilter ref="A5:C182"/>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3" headerRowCount="1" totalsRowShown="0" headerRowDxfId="81" dataDxfId="79" headerRowBorderDxfId="80" tableBorderDxfId="78" totalsRowBorderDxfId="77">
  <autoFilter ref="A5:C143"/>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3" headerRowCount="1" totalsRowShown="0" headerRowDxfId="73" dataDxfId="71" headerRowBorderDxfId="72" tableBorderDxfId="70" totalsRowBorderDxfId="69">
  <autoFilter ref="A5:C143"/>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3" headerRowCount="1" totalsRowShown="0" headerRowDxfId="65" dataDxfId="63" headerRowBorderDxfId="64" tableBorderDxfId="62" totalsRowBorderDxfId="61">
  <autoFilter ref="A5:C143"/>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3" headerRowCount="1" totalsRowShown="0" headerRowDxfId="57" dataDxfId="55" headerRowBorderDxfId="56" tableBorderDxfId="54" totalsRowBorderDxfId="53">
  <autoFilter ref="A5:C143"/>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3" headerRowCount="1" totalsRowShown="0" headerRowDxfId="49" dataDxfId="47" headerRowBorderDxfId="48" tableBorderDxfId="46" totalsRowBorderDxfId="45">
  <autoFilter ref="A5:C143"/>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3" headerRowCount="1" totalsRowShown="0" headerRowDxfId="41" dataDxfId="39" headerRowBorderDxfId="40" tableBorderDxfId="38" totalsRowBorderDxfId="37">
  <autoFilter ref="A5:C143"/>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3" headerRowCount="1" totalsRowShown="0" headerRowDxfId="33" dataDxfId="31" headerRowBorderDxfId="32" tableBorderDxfId="30" totalsRowBorderDxfId="29">
  <autoFilter ref="A5:C143"/>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3" headerRowCount="1" totalsRowShown="0" headerRowDxfId="25" dataDxfId="23" headerRowBorderDxfId="24" tableBorderDxfId="22" totalsRowBorderDxfId="21">
  <autoFilter ref="A5:C143"/>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3" headerRowCount="1" totalsRowShown="0" headerRowDxfId="17" dataDxfId="15" headerRowBorderDxfId="16" tableBorderDxfId="14" totalsRowBorderDxfId="13">
  <autoFilter ref="A5:C143"/>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opLeftCell="G11" zoomScale="150" zoomScaleNormal="150" workbookViewId="0">
      <selection activeCell="P14" sqref="P14"/>
    </sheetView>
  </sheetViews>
  <sheetFormatPr baseColWidth="10" defaultColWidth="9.1640625" defaultRowHeight="15"/>
  <cols>
    <col width="4" customWidth="1" style="60" min="1" max="1"/>
    <col width="12.83203125" customWidth="1" style="60" min="2" max="5"/>
    <col width="13.6640625" customWidth="1" style="60" min="6" max="6"/>
    <col width="12.83203125" customWidth="1" style="60" min="7" max="10"/>
    <col width="2" customWidth="1" style="60" min="11" max="13"/>
    <col width="9.1640625" customWidth="1" style="60" min="14" max="14"/>
    <col width="15.5" customWidth="1" style="60" min="15" max="15"/>
    <col width="12.6640625" customWidth="1" style="60" min="16" max="18"/>
    <col width="11.6640625" customWidth="1" style="60" min="19" max="19"/>
    <col width="9.1640625" customWidth="1" style="60" min="20" max="24"/>
    <col width="9.1640625" customWidth="1" style="60" min="25" max="16384"/>
  </cols>
  <sheetData>
    <row r="1">
      <c r="B1" s="59" t="n"/>
    </row>
    <row r="2" ht="16" customHeight="1" s="38" thickBot="1">
      <c r="B2" s="61" t="n"/>
      <c r="C2" s="61" t="n"/>
      <c r="D2" s="61" t="n"/>
      <c r="E2" s="61" t="n"/>
      <c r="F2" s="61" t="n"/>
      <c r="G2" s="61" t="n"/>
      <c r="H2" s="61" t="n"/>
      <c r="I2" s="61" t="n"/>
      <c r="J2" s="61" t="n"/>
    </row>
    <row r="3" ht="16" customHeight="1" s="38" thickBot="1">
      <c r="B3" s="62" t="inlineStr">
        <is>
          <t>PMI Services World</t>
        </is>
      </c>
      <c r="C3" s="53" t="n"/>
      <c r="D3" s="53" t="n"/>
      <c r="E3" s="53" t="n"/>
      <c r="F3" s="53" t="n"/>
      <c r="G3" s="53" t="n"/>
      <c r="H3" s="53" t="n"/>
      <c r="I3" s="53" t="n"/>
      <c r="J3" s="54" t="n"/>
    </row>
    <row r="5">
      <c r="B5" s="63" t="inlineStr">
        <is>
          <t>Definition</t>
        </is>
      </c>
      <c r="C5" s="64" t="n"/>
      <c r="D5" s="64" t="n"/>
      <c r="E5" s="64" t="n"/>
      <c r="F5" s="64" t="n"/>
      <c r="G5" s="64" t="n"/>
      <c r="H5" s="64" t="n"/>
      <c r="I5" s="64" t="n"/>
      <c r="J5" s="58" t="n"/>
    </row>
    <row r="7" ht="225.75" customHeight="1" s="38">
      <c r="B7" s="65"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66" t="n"/>
      <c r="D8" s="66" t="n"/>
      <c r="E8" s="66" t="n"/>
      <c r="F8" s="66" t="n"/>
      <c r="G8" s="66" t="n"/>
      <c r="H8" s="66" t="n"/>
      <c r="I8" s="66" t="n"/>
      <c r="J8" s="66" t="n"/>
    </row>
    <row r="9" ht="16" customHeight="1" s="38" thickBot="1">
      <c r="B9" s="1" t="n"/>
      <c r="C9" s="2" t="n"/>
      <c r="D9" s="2" t="n"/>
      <c r="E9" s="2" t="n"/>
    </row>
    <row r="10" ht="16" customHeight="1" s="38" thickBot="1">
      <c r="B10" s="63" t="inlineStr">
        <is>
          <t>Process / TO DO LIST</t>
        </is>
      </c>
      <c r="C10" s="64" t="n"/>
      <c r="D10" s="64" t="n"/>
      <c r="E10" s="64" t="n"/>
      <c r="F10" s="64" t="n"/>
      <c r="G10" s="64" t="n"/>
      <c r="H10" s="64" t="n"/>
      <c r="I10" s="64" t="n"/>
      <c r="J10" s="58" t="n"/>
      <c r="N10" s="52" t="inlineStr">
        <is>
          <t>Summary</t>
        </is>
      </c>
      <c r="O10" s="53" t="n"/>
      <c r="P10" s="53" t="n"/>
      <c r="Q10" s="53" t="n"/>
      <c r="R10" s="53" t="n"/>
      <c r="S10" s="54" t="n"/>
    </row>
    <row r="11">
      <c r="N11" s="3" t="inlineStr">
        <is>
          <t>* input new month</t>
        </is>
      </c>
    </row>
    <row r="12" ht="16" customHeight="1" s="38" thickBot="1">
      <c r="B12" s="63" t="inlineStr">
        <is>
          <t>TO DO LIST</t>
        </is>
      </c>
      <c r="C12" s="64" t="n"/>
      <c r="D12" s="64" t="n"/>
      <c r="E12" s="64" t="n"/>
      <c r="F12" s="58" t="n"/>
      <c r="G12" s="63" t="inlineStr">
        <is>
          <t>Comments</t>
        </is>
      </c>
      <c r="H12" s="64" t="n"/>
      <c r="I12" s="64" t="n"/>
      <c r="J12" s="58" t="n"/>
    </row>
    <row r="13">
      <c r="P13" s="4" t="n">
        <v>44593</v>
      </c>
      <c r="Q13" s="5">
        <f>DATE(YEAR(P13),MONTH(P13)-1,DAY(P13))</f>
        <v/>
      </c>
      <c r="R13" s="6" t="n"/>
      <c r="S13" s="15" t="inlineStr">
        <is>
          <t>%</t>
        </is>
      </c>
    </row>
    <row r="14" ht="16" customHeight="1" s="38" thickBot="1">
      <c r="B14" s="60" t="inlineStr">
        <is>
          <t>Global</t>
        </is>
      </c>
      <c r="G14" s="60" t="inlineStr">
        <is>
          <t>https://www.markiteconomics.com/Survey/Page.mvc/PressReleases</t>
        </is>
      </c>
      <c r="O14" s="60" t="inlineStr">
        <is>
          <t>Country</t>
        </is>
      </c>
      <c r="P14" s="39" t="inlineStr">
        <is>
          <t>ISM</t>
        </is>
      </c>
      <c r="Q14" s="39" t="inlineStr">
        <is>
          <t>ISM</t>
        </is>
      </c>
      <c r="R14" s="7" t="inlineStr">
        <is>
          <t>Change %</t>
        </is>
      </c>
      <c r="S14" s="32" t="inlineStr">
        <is>
          <t>World GDP</t>
        </is>
      </c>
    </row>
    <row r="15" ht="30.75" customHeight="1" s="38">
      <c r="G15" s="66" t="inlineStr">
        <is>
          <t>JPMorgan Global Services PMI</t>
        </is>
      </c>
      <c r="N15" s="55" t="inlineStr">
        <is>
          <t>Global</t>
        </is>
      </c>
      <c r="O15" s="56" t="n"/>
      <c r="P15" s="40">
        <f>VLOOKUP($P$13,Summary!$B:$AB,MATCH(Note!N15,Summary!$B$2:$AB$2,),)</f>
        <v/>
      </c>
      <c r="Q15" s="11">
        <f>VLOOKUP($Q$13,Summary!$B:$AB,MATCH(Note!N15,Summary!$B$2:$AB$2,),)</f>
        <v/>
      </c>
      <c r="R15" s="43" t="n">
        <v>-1</v>
      </c>
      <c r="S15" s="33" t="n"/>
    </row>
    <row r="16">
      <c r="B16" s="67" t="inlineStr">
        <is>
          <t>https://tradingeconomics.com/country-list/services-pmi</t>
        </is>
      </c>
      <c r="G16" s="60" t="inlineStr">
        <is>
          <t>Database</t>
        </is>
      </c>
      <c r="N16" s="57" t="inlineStr">
        <is>
          <t>US</t>
        </is>
      </c>
      <c r="O16" s="58" t="n"/>
      <c r="P16" s="41">
        <f>VLOOKUP($P$13,Summary!$B:$AB,MATCH(Note!N16,Summary!$B$2:$AB$2,),)</f>
        <v/>
      </c>
      <c r="Q16" s="14">
        <f>VLOOKUP($Q$13,Summary!$B:$AB,MATCH(Note!N16,Summary!$B$2:$AB$2,),)</f>
        <v/>
      </c>
      <c r="R16" s="44" t="n">
        <v>-0.3999999999999986</v>
      </c>
      <c r="S16" s="34" t="n">
        <v>0.241</v>
      </c>
    </row>
    <row r="17">
      <c r="B17" s="60" t="n"/>
      <c r="G17" s="60" t="inlineStr">
        <is>
          <t>Update each month for each country</t>
        </is>
      </c>
      <c r="N17" s="57" t="inlineStr">
        <is>
          <t xml:space="preserve">China </t>
        </is>
      </c>
      <c r="O17" s="58" t="n"/>
      <c r="P17" s="41">
        <f>VLOOKUP($P$13,Summary!$B:$AB,MATCH(Note!N17,Summary!$B$2:$AB$2,),)</f>
        <v/>
      </c>
      <c r="Q17" s="14">
        <f>VLOOKUP($Q$13,Summary!$B:$AB,MATCH(Note!N17,Summary!$B$2:$AB$2,),)</f>
        <v/>
      </c>
      <c r="R17" s="44" t="n">
        <v>1</v>
      </c>
      <c r="S17" s="34" t="n">
        <v>0.152</v>
      </c>
    </row>
    <row r="18">
      <c r="B18" s="60" t="n"/>
      <c r="N18" s="57" t="inlineStr">
        <is>
          <t>Eurozone</t>
        </is>
      </c>
      <c r="O18" s="58" t="n"/>
      <c r="P18" s="41">
        <f>VLOOKUP($P$13,Summary!$B:$AB,MATCH(Note!N18,Summary!$B$2:$AB$2,),)</f>
        <v/>
      </c>
      <c r="Q18" s="14">
        <f>VLOOKUP($Q$13,Summary!$B:$AB,MATCH(Note!N18,Summary!$B$2:$AB$2,),)</f>
        <v/>
      </c>
      <c r="R18" s="44" t="n">
        <v>-2.799999999999997</v>
      </c>
      <c r="S18" s="34" t="n">
        <v>0.156</v>
      </c>
    </row>
    <row r="19">
      <c r="N19" s="57" t="inlineStr">
        <is>
          <t xml:space="preserve">Japan </t>
        </is>
      </c>
      <c r="O19" s="58" t="n"/>
      <c r="P19" s="41">
        <f>VLOOKUP($P$13,Summary!$B:$AB,MATCH(Note!N19,Summary!$B$2:$AB$2,),)</f>
        <v/>
      </c>
      <c r="Q19" s="14">
        <f>VLOOKUP($Q$13,Summary!$B:$AB,MATCH(Note!N19,Summary!$B$2:$AB$2,),)</f>
        <v/>
      </c>
      <c r="R19" s="44" t="n">
        <v>-0.8999999999999986</v>
      </c>
      <c r="S19" s="34" t="n">
        <v>0.06</v>
      </c>
    </row>
    <row r="20">
      <c r="B20" s="60" t="n"/>
      <c r="G20" s="60" t="n"/>
      <c r="N20" s="57" t="inlineStr">
        <is>
          <t>Germany</t>
        </is>
      </c>
      <c r="O20" s="58" t="n"/>
      <c r="P20" s="41">
        <f>VLOOKUP($P$13,Summary!$B:$AB,MATCH(Note!N20,Summary!$B$2:$AB$2,),)</f>
        <v/>
      </c>
      <c r="Q20" s="14">
        <f>VLOOKUP($Q$13,Summary!$B:$AB,MATCH(Note!N20,Summary!$B$2:$AB$2,),)</f>
        <v/>
      </c>
      <c r="R20" s="44" t="n">
        <v>-4</v>
      </c>
      <c r="S20" s="34" t="n">
        <v>0.04564243244249699</v>
      </c>
    </row>
    <row r="21">
      <c r="B21" s="60" t="n"/>
      <c r="G21" s="60" t="n"/>
      <c r="N21" s="57" t="inlineStr">
        <is>
          <t>France</t>
        </is>
      </c>
      <c r="O21" s="58" t="n"/>
      <c r="P21" s="41">
        <f>VLOOKUP($P$13,Summary!$B:$AB,MATCH(Note!N21,Summary!$B$2:$AB$2,),)</f>
        <v/>
      </c>
      <c r="Q21" s="14">
        <f>VLOOKUP($Q$13,Summary!$B:$AB,MATCH(Note!N21,Summary!$B$2:$AB$2,),)</f>
        <v/>
      </c>
      <c r="R21" s="44" t="n">
        <v>-0.3999999999999986</v>
      </c>
      <c r="S21" s="34" t="n">
        <v>0.03206266059259443</v>
      </c>
    </row>
    <row r="22">
      <c r="B22" s="60" t="n"/>
      <c r="G22" s="60" t="n"/>
      <c r="N22" s="57" t="inlineStr">
        <is>
          <t>UK</t>
        </is>
      </c>
      <c r="O22" s="58" t="n"/>
      <c r="P22" s="41">
        <f>VLOOKUP($P$13,Summary!$B:$AB,MATCH(Note!N22,Summary!$B$2:$AB$2,),)</f>
        <v/>
      </c>
      <c r="Q22" s="14">
        <f>VLOOKUP($Q$13,Summary!$B:$AB,MATCH(Note!N22,Summary!$B$2:$AB$2,),)</f>
        <v/>
      </c>
      <c r="R22" s="44" t="n">
        <v>-4.899999999999999</v>
      </c>
      <c r="S22" s="34" t="n">
        <v>0.033</v>
      </c>
    </row>
    <row r="23">
      <c r="B23" s="60" t="n"/>
      <c r="N23" s="57" t="inlineStr">
        <is>
          <t xml:space="preserve">Italy </t>
        </is>
      </c>
      <c r="O23" s="58" t="n"/>
      <c r="P23" s="41">
        <f>VLOOKUP($P$13,Summary!$B:$AB,MATCH(Note!N23,Summary!$B$2:$AB$2,),)</f>
        <v/>
      </c>
      <c r="Q23" s="14">
        <f>VLOOKUP($Q$13,Summary!$B:$AB,MATCH(Note!N23,Summary!$B$2:$AB$2,),)</f>
        <v/>
      </c>
      <c r="R23" s="44" t="n">
        <v>-2.899999999999999</v>
      </c>
      <c r="S23" s="34" t="n">
        <v>0.024</v>
      </c>
    </row>
    <row r="24">
      <c r="B24" s="60" t="n"/>
      <c r="N24" s="57" t="inlineStr">
        <is>
          <t>Spain</t>
        </is>
      </c>
      <c r="O24" s="58" t="n"/>
      <c r="P24" s="41">
        <f>VLOOKUP($P$13,Summary!$B:$AB,MATCH(Note!N24,Summary!$B$2:$AB$2,),)</f>
        <v/>
      </c>
      <c r="Q24" s="14">
        <f>VLOOKUP($Q$13,Summary!$B:$AB,MATCH(Note!N24,Summary!$B$2:$AB$2,),)</f>
        <v/>
      </c>
      <c r="R24" s="44" t="n">
        <v>-4</v>
      </c>
      <c r="S24" s="34" t="n">
        <v>0.01627338290239694</v>
      </c>
    </row>
    <row r="25">
      <c r="N25" s="57" t="inlineStr">
        <is>
          <t>Brazil</t>
        </is>
      </c>
      <c r="O25" s="58" t="n"/>
      <c r="P25" s="41">
        <f>VLOOKUP($P$13,Summary!$B:$AB,MATCH(Note!N25,Summary!$B$2:$AB$2,),)</f>
        <v/>
      </c>
      <c r="Q25" s="14">
        <f>VLOOKUP($Q$13,Summary!$B:$AB,MATCH(Note!N25,Summary!$B$2:$AB$2,),)</f>
        <v/>
      </c>
      <c r="R25" s="44" t="n">
        <v>0</v>
      </c>
      <c r="S25" s="34" t="n">
        <v>0.02552103375082236</v>
      </c>
    </row>
    <row r="26">
      <c r="N26" s="57" t="inlineStr">
        <is>
          <t>Russia</t>
        </is>
      </c>
      <c r="O26" s="58" t="n"/>
      <c r="P26" s="41">
        <f>VLOOKUP($P$13,Summary!$B:$AB,MATCH(Note!N26,Summary!$B$2:$AB$2,),)</f>
        <v/>
      </c>
      <c r="Q26" s="14">
        <f>VLOOKUP($Q$13,Summary!$B:$AB,MATCH(Note!N26,Summary!$B$2:$AB$2,),)</f>
        <v/>
      </c>
      <c r="R26" s="44" t="n">
        <v>2.399999999999999</v>
      </c>
      <c r="S26" s="34" t="n">
        <v>0.01958764166283934</v>
      </c>
    </row>
    <row r="27">
      <c r="N27" s="57" t="inlineStr">
        <is>
          <t>India</t>
        </is>
      </c>
      <c r="O27" s="58" t="n"/>
      <c r="P27" s="41">
        <f>VLOOKUP($P$13,Summary!$B:$AB,MATCH(Note!N27,Summary!$B$2:$AB$2,),)</f>
        <v/>
      </c>
      <c r="Q27" s="14">
        <f>VLOOKUP($Q$13,Summary!$B:$AB,MATCH(Note!N27,Summary!$B$2:$AB$2,),)</f>
        <v/>
      </c>
      <c r="R27" s="44" t="n">
        <v>-2.600000000000001</v>
      </c>
      <c r="S27" s="34" t="n">
        <v>0.03228609376745572</v>
      </c>
    </row>
    <row r="28">
      <c r="N28" s="57" t="inlineStr">
        <is>
          <t>Australia</t>
        </is>
      </c>
      <c r="O28" s="58" t="n"/>
      <c r="P28" s="41">
        <f>VLOOKUP($P$13,Summary!$B:$AB,MATCH(Note!N28,Summary!$B$2:$AB$2,),)</f>
        <v/>
      </c>
      <c r="Q28" s="14">
        <f>VLOOKUP($Q$13,Summary!$B:$AB,MATCH(Note!N28,Summary!$B$2:$AB$2,),)</f>
        <v/>
      </c>
      <c r="R28" s="44" t="n">
        <v>2</v>
      </c>
      <c r="S28" s="34" t="n">
        <v>0.01642233835230446</v>
      </c>
    </row>
    <row r="29" ht="16" customHeight="1" s="38" thickBot="1">
      <c r="N29" s="70" t="inlineStr">
        <is>
          <t>Ireland</t>
        </is>
      </c>
      <c r="O29" s="71" t="n"/>
      <c r="P29" s="42">
        <f>VLOOKUP($P$13,Summary!$B:$AB,MATCH(Note!N29,Summary!$B$2:$AB$2,),)</f>
        <v/>
      </c>
      <c r="Q29" s="35">
        <f>VLOOKUP($Q$13,Summary!$B:$AB,MATCH(Note!N29,Summary!$B$2:$AB$2,),)</f>
        <v/>
      </c>
      <c r="R29" s="45" t="n">
        <v>-3.899999999999999</v>
      </c>
      <c r="S29" s="36" t="n">
        <v>0.004145926689092737</v>
      </c>
    </row>
    <row r="32">
      <c r="B32" s="68" t="n"/>
    </row>
    <row r="33">
      <c r="B33" s="66" t="n"/>
    </row>
    <row r="34">
      <c r="B34" s="69" t="n"/>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79"/>
  <sheetViews>
    <sheetView zoomScale="170" zoomScaleNormal="170" workbookViewId="0">
      <pane ySplit="1" topLeftCell="A157" activePane="bottomLeft" state="frozen"/>
      <selection activeCell="V1" sqref="V1"/>
      <selection pane="bottomLeft" activeCell="V1" sqref="V1"/>
    </sheetView>
  </sheetViews>
  <sheetFormatPr baseColWidth="10" defaultRowHeight="15"/>
  <cols>
    <col width="10.83203125" customWidth="1" style="38" min="1" max="5"/>
    <col width="10.83203125" customWidth="1" style="38" min="6"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
      </c>
      <c r="I177" t="n">
        <v>51.8</v>
      </c>
      <c r="J177" t="n">
        <v>61.8</v>
      </c>
      <c r="K177" t="n">
        <v>52.8</v>
      </c>
      <c r="L177" t="n">
        <v>42.7</v>
      </c>
      <c r="M177" t="n">
        <v>53.1</v>
      </c>
      <c r="N177" t="n">
        <v>48.6</v>
      </c>
      <c r="O177" t="n">
        <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
      </c>
      <c r="C179" t="n">
        <v/>
      </c>
      <c r="D179" t="n">
        <v/>
      </c>
      <c r="E179" t="n">
        <v>57.7</v>
      </c>
      <c r="F179" t="n">
        <v>58.8</v>
      </c>
      <c r="G179" t="n">
        <v>57.9</v>
      </c>
      <c r="H179" t="n">
        <v/>
      </c>
      <c r="I179" t="n">
        <v/>
      </c>
      <c r="J179" t="n">
        <v/>
      </c>
      <c r="K179" t="n">
        <v/>
      </c>
      <c r="L179" t="n">
        <v>50.5</v>
      </c>
      <c r="M179" t="n">
        <v/>
      </c>
      <c r="N179" t="n">
        <v/>
      </c>
      <c r="O179" t="n">
        <v/>
      </c>
      <c r="P179" t="n">
        <v/>
      </c>
      <c r="Q179" t="n">
        <v/>
      </c>
      <c r="R179" t="n">
        <v/>
      </c>
      <c r="S179" t="n">
        <v/>
      </c>
      <c r="T179" t="n">
        <v/>
      </c>
      <c r="U179" t="n">
        <v>58.3</v>
      </c>
      <c r="V179" t="n">
        <v>54.7</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5"/>
  <sheetViews>
    <sheetView zoomScale="170" zoomScaleNormal="170" workbookViewId="0">
      <pane xSplit="2" ySplit="11" topLeftCell="C91" activePane="bottomRight" state="frozen"/>
      <selection activeCell="V1" sqref="V1"/>
      <selection pane="topRight" activeCell="V1" sqref="V1"/>
      <selection pane="bottomLeft" activeCell="V1" sqref="V1"/>
      <selection pane="bottomRight" activeCell="V1" sqref="V1"/>
    </sheetView>
  </sheetViews>
  <sheetFormatPr baseColWidth="10" defaultColWidth="9.1640625" defaultRowHeight="15"/>
  <cols>
    <col width="9.1640625" customWidth="1" style="60" min="1" max="1"/>
    <col width="17.83203125" customWidth="1" style="38" min="2" max="2"/>
    <col width="6.1640625" customWidth="1" style="38" min="3" max="17"/>
    <col width="9.1640625" customWidth="1" style="60" min="18" max="18"/>
    <col width="12.33203125" customWidth="1" style="60" min="19" max="19"/>
    <col width="9.1640625" customWidth="1" style="60" min="20" max="20"/>
    <col width="10.5" customWidth="1" style="60" min="21" max="21"/>
    <col width="10.6640625" bestFit="1" customWidth="1" style="60" min="22" max="22"/>
    <col width="9.1640625" customWidth="1" style="60" min="23" max="63"/>
    <col width="9.1640625" customWidth="1" style="38" min="64" max="68"/>
    <col width="9.1640625" customWidth="1" style="38" min="69" max="16384"/>
  </cols>
  <sheetData>
    <row r="1" ht="16" customFormat="1" customHeight="1" s="60" thickBot="1">
      <c r="S1" s="16" t="inlineStr">
        <is>
          <t>*to update</t>
        </is>
      </c>
      <c r="T1" s="60" t="inlineStr">
        <is>
          <t>Last month</t>
        </is>
      </c>
      <c r="V1" s="47" t="n">
        <v>44593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60"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60"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60" t="n"/>
      <c r="C11" s="60" t="n"/>
      <c r="D11" s="60" t="n"/>
      <c r="E11" s="60" t="n"/>
      <c r="F11" s="60" t="n"/>
      <c r="G11" s="60" t="n"/>
      <c r="H11" s="60" t="n"/>
      <c r="I11" s="60" t="n"/>
      <c r="J11" s="60" t="n"/>
      <c r="K11" s="60" t="n"/>
      <c r="L11" s="60" t="n"/>
      <c r="M11" s="60" t="n"/>
      <c r="N11" s="60" t="n"/>
      <c r="O11" s="60" t="n"/>
      <c r="P11" s="60" t="n"/>
      <c r="Q11" s="60"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60">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60">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60">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60">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60">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60">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60">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60">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60">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60">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60">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60">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60">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60">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60">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60">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60">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60">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60">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60">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60">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60">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60">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60">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60">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60">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60">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60">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60">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60">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60">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60">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60">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60">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60">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60">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60">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60">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60">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60">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60">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60">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60">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60">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60">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60">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60"/>
    <row r="97" customFormat="1" s="60"/>
    <row r="98" customFormat="1" s="60"/>
    <row r="99" customFormat="1" s="60"/>
    <row r="100" customFormat="1" s="60"/>
    <row r="101" customFormat="1" s="60"/>
    <row r="102" customFormat="1" s="60"/>
    <row r="103" customFormat="1" s="60"/>
    <row r="104" customFormat="1" s="60"/>
    <row r="105" customFormat="1" s="60"/>
    <row r="106" customFormat="1" s="60"/>
    <row r="107" customFormat="1" s="60"/>
    <row r="108" customFormat="1" s="60"/>
    <row r="109" customFormat="1" s="60"/>
    <row r="110" customFormat="1" s="60"/>
    <row r="111" customFormat="1" s="60"/>
    <row r="112" customFormat="1" s="60"/>
    <row r="113" customFormat="1" s="60"/>
    <row r="114" customFormat="1" s="60"/>
    <row r="115" customFormat="1" s="60"/>
    <row r="116" customFormat="1" s="60"/>
    <row r="117" customFormat="1" s="60"/>
    <row r="118" customFormat="1" s="60"/>
    <row r="119" customFormat="1" s="60"/>
    <row r="120" customFormat="1" s="60"/>
    <row r="121" customFormat="1" s="60"/>
    <row r="122" customFormat="1" s="60"/>
    <row r="123" customFormat="1" s="60"/>
    <row r="124" customFormat="1" s="60"/>
    <row r="125" customFormat="1" s="60"/>
    <row r="126" customFormat="1" s="60"/>
    <row r="127" customFormat="1" s="60"/>
    <row r="128" customFormat="1" s="60"/>
    <row r="129" customFormat="1" s="60"/>
    <row r="130" customFormat="1" s="60"/>
    <row r="131" customFormat="1" s="60"/>
    <row r="132" customFormat="1" s="60"/>
    <row r="133" customFormat="1" s="60"/>
    <row r="134" customFormat="1" s="60"/>
    <row r="135" customFormat="1" s="60"/>
    <row r="136" customFormat="1" s="60"/>
    <row r="137" customFormat="1" s="60"/>
    <row r="138" customFormat="1" s="60"/>
    <row r="139" customFormat="1" s="60"/>
    <row r="140" customFormat="1" s="60"/>
    <row r="141" customFormat="1" s="60"/>
    <row r="142" customFormat="1" s="60"/>
    <row r="143" customFormat="1" s="60"/>
    <row r="144" customFormat="1" s="60"/>
    <row r="145" customFormat="1" s="60"/>
    <row r="146" customFormat="1" s="60"/>
    <row r="147" customFormat="1" s="60"/>
    <row r="148" customFormat="1" s="60"/>
    <row r="149" customFormat="1" s="60"/>
    <row r="150" customFormat="1" s="60"/>
    <row r="151" customFormat="1" s="60"/>
    <row r="152" customFormat="1" s="60"/>
    <row r="153" customFormat="1" s="60"/>
    <row r="154" customFormat="1" s="60"/>
    <row r="155" customFormat="1" s="60"/>
    <row r="156" customFormat="1" s="60"/>
    <row r="157" customFormat="1" s="60"/>
    <row r="158" customFormat="1" s="60"/>
    <row r="159" customFormat="1" s="60"/>
    <row r="160" customFormat="1" s="60"/>
    <row r="161" customFormat="1" s="60"/>
    <row r="162" customFormat="1" s="60"/>
    <row r="163" customFormat="1" s="60"/>
    <row r="164" customFormat="1" s="60"/>
    <row r="165" customFormat="1" s="60"/>
    <row r="166" customFormat="1" s="60"/>
    <row r="167" customFormat="1" s="60"/>
    <row r="168" customFormat="1" s="60"/>
    <row r="169" customFormat="1" s="60"/>
    <row r="170" customFormat="1" s="60"/>
    <row r="171" customFormat="1" s="60"/>
    <row r="172" customFormat="1" s="60"/>
    <row r="173" customFormat="1" s="60"/>
    <row r="174" customFormat="1" s="60"/>
    <row r="175" customFormat="1" s="60"/>
    <row r="176" customFormat="1" s="60"/>
    <row r="177" customFormat="1" s="60"/>
    <row r="178" customFormat="1" s="60"/>
    <row r="179" customFormat="1" s="60"/>
    <row r="180" customFormat="1" s="60"/>
    <row r="181" customFormat="1" s="60"/>
    <row r="182" customFormat="1" s="60"/>
    <row r="183" customFormat="1" s="60"/>
    <row r="184" customFormat="1" s="60"/>
    <row r="185" customFormat="1" s="60"/>
    <row r="186" customFormat="1" s="60"/>
    <row r="187" customFormat="1" s="60"/>
    <row r="188" customFormat="1" s="60"/>
    <row r="189" customFormat="1" s="60"/>
    <row r="190" customFormat="1" s="60"/>
    <row r="191" customFormat="1" s="60"/>
    <row r="192" customFormat="1" s="60"/>
    <row r="193" customFormat="1" s="60"/>
    <row r="194" customFormat="1" s="60"/>
    <row r="195" customFormat="1" s="60"/>
    <row r="196" customFormat="1" s="60"/>
    <row r="197" customFormat="1" s="60"/>
    <row r="198" customFormat="1" s="60"/>
    <row r="199" customFormat="1" s="60"/>
    <row r="200" customFormat="1" s="60"/>
    <row r="201" customFormat="1" s="60"/>
    <row r="202" customFormat="1" s="60"/>
    <row r="203" customFormat="1" s="60"/>
    <row r="204" customFormat="1" s="60"/>
    <row r="205" customFormat="1" s="60"/>
    <row r="206" customFormat="1" s="60"/>
    <row r="207" customFormat="1" s="60"/>
    <row r="208" customFormat="1" s="60"/>
    <row r="209" customFormat="1" s="60"/>
    <row r="210" customFormat="1" s="60"/>
    <row r="211" customFormat="1" s="60"/>
    <row r="212" customFormat="1" s="60"/>
    <row r="213" customFormat="1" s="60"/>
    <row r="214" customFormat="1" s="60"/>
    <row r="215" customFormat="1" s="60"/>
    <row r="216" customFormat="1" s="60"/>
    <row r="217" customFormat="1" s="60"/>
    <row r="218" customFormat="1" s="60"/>
    <row r="219" customFormat="1" s="60"/>
    <row r="220" customFormat="1" s="60"/>
    <row r="221" customFormat="1" s="60"/>
    <row r="222" customFormat="1" s="60"/>
    <row r="223" customFormat="1" s="60"/>
    <row r="224" customFormat="1" s="60"/>
    <row r="225" customFormat="1" s="60"/>
    <row r="226" customFormat="1" s="60"/>
    <row r="227" customFormat="1" s="60"/>
    <row r="228" customFormat="1" s="60"/>
    <row r="229" customFormat="1" s="60"/>
    <row r="230" customFormat="1" s="60"/>
    <row r="231" customFormat="1" s="60"/>
    <row r="232" customFormat="1" s="60"/>
    <row r="233" customFormat="1" s="60"/>
    <row r="234" customFormat="1" s="60"/>
    <row r="235" customFormat="1" s="60"/>
    <row r="236" customFormat="1" s="60"/>
    <row r="237" customFormat="1" s="60"/>
    <row r="238" customFormat="1" s="60"/>
    <row r="239" customFormat="1" s="60"/>
    <row r="240" customFormat="1" s="60"/>
    <row r="241" customFormat="1" s="60"/>
    <row r="242" customFormat="1" s="60"/>
    <row r="243" customFormat="1" s="60"/>
    <row r="244" customFormat="1" s="60"/>
    <row r="245" customFormat="1" s="60"/>
    <row r="246" customFormat="1" s="60"/>
    <row r="247" customFormat="1" s="60"/>
    <row r="248" customFormat="1" s="60"/>
    <row r="249" customFormat="1" s="60"/>
    <row r="250" customFormat="1" s="60"/>
    <row r="251" customFormat="1" s="60"/>
    <row r="252" customFormat="1" s="60"/>
    <row r="253" customFormat="1" s="60"/>
    <row r="254" customFormat="1" s="60"/>
    <row r="255" customFormat="1" s="60"/>
    <row r="256" customFormat="1" s="60"/>
    <row r="257" customFormat="1" s="60"/>
    <row r="258" customFormat="1" s="60"/>
    <row r="259" customFormat="1" s="60"/>
    <row r="260" customFormat="1" s="60"/>
    <row r="261" customFormat="1" s="60"/>
    <row r="262" customFormat="1" s="60"/>
    <row r="263" customFormat="1" s="60"/>
    <row r="264" customFormat="1" s="60"/>
    <row r="265" customFormat="1" s="60"/>
    <row r="266" customFormat="1" s="60"/>
    <row r="267" customFormat="1" s="60"/>
    <row r="268" customFormat="1" s="60"/>
    <row r="269" customFormat="1" s="60"/>
    <row r="270" customFormat="1" s="60"/>
    <row r="271" customFormat="1" s="60"/>
    <row r="272" customFormat="1" s="60"/>
    <row r="273" customFormat="1" s="60"/>
    <row r="274" customFormat="1" s="60"/>
    <row r="275" customFormat="1" s="60"/>
    <row r="276" customFormat="1" s="60"/>
    <row r="277" customFormat="1" s="60"/>
    <row r="278" customFormat="1" s="60"/>
    <row r="279" customFormat="1" s="60"/>
    <row r="280" customFormat="1" s="60"/>
    <row r="281" customFormat="1" s="60"/>
    <row r="282" customFormat="1" s="60"/>
    <row r="283" customFormat="1" s="60"/>
    <row r="284" customFormat="1" s="60"/>
    <row r="285" customFormat="1" s="60"/>
    <row r="286" customFormat="1" s="60"/>
    <row r="287" customFormat="1" s="60"/>
    <row r="288" customFormat="1" s="60"/>
    <row r="289" customFormat="1" s="60"/>
    <row r="290" customFormat="1" s="60"/>
    <row r="291" customFormat="1" s="60"/>
    <row r="292" customFormat="1" s="60"/>
    <row r="293" customFormat="1" s="60"/>
    <row r="294" customFormat="1" s="60"/>
    <row r="295" customFormat="1" s="60"/>
    <row r="296" customFormat="1" s="60"/>
    <row r="297" customFormat="1" s="60"/>
    <row r="298" customFormat="1" s="60"/>
    <row r="299" customFormat="1" s="60"/>
    <row r="300" customFormat="1" s="60"/>
    <row r="301" customFormat="1" s="60"/>
    <row r="302" customFormat="1" s="60"/>
    <row r="303" customFormat="1" s="60"/>
    <row r="304" customFormat="1" s="60"/>
    <row r="305" customFormat="1" s="60"/>
    <row r="306" customFormat="1" s="60"/>
    <row r="307" customFormat="1" s="60"/>
    <row r="308" customFormat="1" s="60"/>
    <row r="309" customFormat="1" s="60"/>
    <row r="310" customFormat="1" s="60"/>
    <row r="311" customFormat="1" s="60"/>
    <row r="312" customFormat="1" s="60"/>
    <row r="313" customFormat="1" s="60"/>
    <row r="314" customFormat="1" s="60"/>
    <row r="315" customFormat="1" s="60"/>
    <row r="316" customFormat="1" s="60"/>
    <row r="317" customFormat="1" s="60"/>
    <row r="318" customFormat="1" s="60"/>
    <row r="319" customFormat="1" s="60"/>
    <row r="320" customFormat="1" s="60"/>
    <row r="321" customFormat="1" s="60"/>
    <row r="322" customFormat="1" s="60"/>
    <row r="323" customFormat="1" s="60"/>
    <row r="324" customFormat="1" s="60"/>
    <row r="325" customFormat="1" s="60"/>
    <row r="326" customFormat="1" s="60"/>
    <row r="327" customFormat="1" s="60"/>
    <row r="328" customFormat="1" s="60"/>
    <row r="329" customFormat="1" s="60"/>
    <row r="330" customFormat="1" s="60"/>
    <row r="331" customFormat="1" s="60"/>
    <row r="332" customFormat="1" s="60"/>
    <row r="333" customFormat="1" s="60"/>
    <row r="334" customFormat="1" s="60"/>
    <row r="335" customFormat="1" s="60"/>
    <row r="336" customFormat="1" s="60"/>
    <row r="337" customFormat="1" s="60"/>
    <row r="338" customFormat="1" s="60"/>
    <row r="339" customFormat="1" s="60"/>
    <row r="340" customFormat="1" s="60"/>
    <row r="341" customFormat="1" s="60"/>
    <row r="342" customFormat="1" s="60"/>
    <row r="343" customFormat="1" s="60"/>
    <row r="344" customFormat="1" s="60"/>
    <row r="345" customFormat="1" s="60"/>
    <row r="346" customFormat="1" s="60"/>
    <row r="347" customFormat="1" s="60"/>
  </sheetData>
  <conditionalFormatting sqref="C12:Q95">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2"/>
  <sheetViews>
    <sheetView tabSelected="1" zoomScale="160" zoomScaleNormal="160" workbookViewId="0">
      <pane ySplit="5" topLeftCell="A113" activePane="bottomLeft" state="frozen"/>
      <selection pane="bottomLeft" activeCell="R139" sqref="R139"/>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Global</t>
        </is>
      </c>
    </row>
    <row r="2">
      <c r="H2" s="60"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sheetData>
  <conditionalFormatting sqref="B6:B142">
    <cfRule type="colorScale" priority="203">
      <colorScale>
        <cfvo type="min"/>
        <cfvo type="percentile" val="50"/>
        <cfvo type="max"/>
        <color rgb="FFF8696B"/>
        <color rgb="FFFFEB84"/>
        <color rgb="FF63BE7B"/>
      </colorScale>
    </cfRule>
  </conditionalFormatting>
  <conditionalFormatting sqref="C7:C142">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07"/>
  <sheetViews>
    <sheetView zoomScale="160" zoomScaleNormal="160" workbookViewId="0">
      <pane ySplit="5" topLeftCell="A93" activePane="bottomLeft" state="frozen"/>
      <selection pane="bottomLeft" activeCell="A103" sqref="A103:C107"/>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States</t>
        </is>
      </c>
      <c r="J1" s="60" t="inlineStr">
        <is>
          <t xml:space="preserve"> Services PMI</t>
        </is>
      </c>
    </row>
    <row r="2">
      <c r="J2" s="60"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sheetData>
  <conditionalFormatting sqref="B6:B107">
    <cfRule type="colorScale" priority="46">
      <colorScale>
        <cfvo type="min"/>
        <cfvo type="percentile" val="50"/>
        <cfvo type="max"/>
        <color rgb="FFF8696B"/>
        <color rgb="FFFFEB84"/>
        <color rgb="FF63BE7B"/>
      </colorScale>
    </cfRule>
  </conditionalFormatting>
  <conditionalFormatting sqref="C7:C107">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2"/>
  <sheetViews>
    <sheetView zoomScale="170" zoomScaleNormal="170" workbookViewId="0">
      <pane ySplit="5" topLeftCell="A166"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Euro Area</t>
        </is>
      </c>
      <c r="J1" s="60" t="inlineStr">
        <is>
          <t xml:space="preserve"> Services PMI</t>
        </is>
      </c>
    </row>
    <row r="2">
      <c r="J2" s="60"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sheetData>
  <conditionalFormatting sqref="B6:B182">
    <cfRule type="colorScale" priority="3">
      <colorScale>
        <cfvo type="min"/>
        <cfvo type="percentile" val="50"/>
        <cfvo type="max"/>
        <color rgb="FFF8696B"/>
        <color rgb="FFFFEB84"/>
        <color rgb="FF63BE7B"/>
      </colorScale>
    </cfRule>
  </conditionalFormatting>
  <conditionalFormatting sqref="C7:C18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4" sqref="A134: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China</t>
        </is>
      </c>
      <c r="J1" s="60" t="inlineStr">
        <is>
          <t xml:space="preserve"> Services PMI</t>
        </is>
      </c>
    </row>
    <row r="2">
      <c r="J2" s="60"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68"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sheetData>
  <conditionalFormatting sqref="C7:C143">
    <cfRule type="colorScale" priority="205">
      <colorScale>
        <cfvo type="min"/>
        <cfvo type="percentile" val="50"/>
        <cfvo type="max"/>
        <color rgb="FFF8696B"/>
        <color rgb="FFFCFCFF"/>
        <color rgb="FF5A8AC6"/>
      </colorScale>
    </cfRule>
  </conditionalFormatting>
  <conditionalFormatting sqref="B6:B143">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69"/>
  <sheetViews>
    <sheetView zoomScale="160" zoomScaleNormal="160" workbookViewId="0">
      <pane ySplit="5" topLeftCell="A151" activePane="bottomLeft" state="frozen"/>
      <selection pane="bottomLeft" activeCell="P162" sqref="P16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France</t>
        </is>
      </c>
      <c r="J1" s="60" t="inlineStr">
        <is>
          <t xml:space="preserve"> Services PMI</t>
        </is>
      </c>
    </row>
    <row r="2">
      <c r="J2" s="60"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sheetData>
  <conditionalFormatting sqref="C7:C169">
    <cfRule type="colorScale" priority="1">
      <colorScale>
        <cfvo type="min"/>
        <cfvo type="percentile" val="50"/>
        <cfvo type="max"/>
        <color rgb="FFF8696B"/>
        <color rgb="FFFCFCFF"/>
        <color rgb="FF5A8AC6"/>
      </colorScale>
    </cfRule>
  </conditionalFormatting>
  <conditionalFormatting sqref="B6:B16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2"/>
  <sheetViews>
    <sheetView zoomScale="150" zoomScaleNormal="150" workbookViewId="0">
      <pane ySplit="5" topLeftCell="A163"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Germany</t>
        </is>
      </c>
      <c r="J1" s="60" t="inlineStr">
        <is>
          <t xml:space="preserve"> Services PMI</t>
        </is>
      </c>
    </row>
    <row r="2">
      <c r="J2" s="60"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sheetData>
  <conditionalFormatting sqref="C7:C182">
    <cfRule type="colorScale" priority="1">
      <colorScale>
        <cfvo type="min"/>
        <cfvo type="percentile" val="50"/>
        <cfvo type="max"/>
        <color rgb="FFF8696B"/>
        <color rgb="FFFCFCFF"/>
        <color rgb="FF5A8AC6"/>
      </colorScale>
    </cfRule>
  </conditionalFormatting>
  <conditionalFormatting sqref="B6:B18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Kingdom</t>
        </is>
      </c>
      <c r="J1" s="60" t="inlineStr">
        <is>
          <t xml:space="preserve"> Services PMI</t>
        </is>
      </c>
    </row>
    <row r="2">
      <c r="J2" s="60"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3"/>
  <sheetViews>
    <sheetView zoomScale="160" zoomScaleNormal="160" workbookViewId="0">
      <pane ySplit="5" topLeftCell="A123"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India</t>
        </is>
      </c>
      <c r="J1" s="60" t="inlineStr">
        <is>
          <t xml:space="preserve"> Services PMI</t>
        </is>
      </c>
    </row>
    <row r="2">
      <c r="J2" s="60"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3"/>
  <sheetViews>
    <sheetView zoomScale="150" zoomScaleNormal="150" workbookViewId="0">
      <pane ySplit="5" topLeftCell="A120"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Australia</t>
        </is>
      </c>
      <c r="J1" s="60" t="inlineStr">
        <is>
          <t xml:space="preserve"> Services PMI</t>
        </is>
      </c>
    </row>
    <row r="2">
      <c r="J2" s="60"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sheetData>
  <conditionalFormatting sqref="C7:C143">
    <cfRule type="colorScale" priority="207">
      <colorScale>
        <cfvo type="min"/>
        <cfvo type="percentile" val="50"/>
        <cfvo type="max"/>
        <color rgb="FFF8696B"/>
        <color rgb="FFFCFCFF"/>
        <color rgb="FF5A8AC6"/>
      </colorScale>
    </cfRule>
  </conditionalFormatting>
  <conditionalFormatting sqref="B6:B143">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3"/>
  <sheetViews>
    <sheetView zoomScale="160" zoomScaleNormal="160" workbookViewId="0">
      <pane ySplit="5" topLeftCell="A118"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Ireland</t>
        </is>
      </c>
      <c r="J1" s="60" t="inlineStr">
        <is>
          <t xml:space="preserve"> Services PMI</t>
        </is>
      </c>
    </row>
    <row r="2">
      <c r="J2" s="60"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3"/>
  <sheetViews>
    <sheetView zoomScale="160" zoomScaleNormal="160" workbookViewId="0">
      <pane ySplit="5" topLeftCell="A128"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Italy</t>
        </is>
      </c>
      <c r="J1" s="60" t="inlineStr">
        <is>
          <t xml:space="preserve"> Services PMI</t>
        </is>
      </c>
    </row>
    <row r="2">
      <c r="J2" s="60"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3"/>
  <sheetViews>
    <sheetView zoomScale="150" zoomScaleNormal="150" workbookViewId="0">
      <pane ySplit="5" topLeftCell="A117" activePane="bottomLeft" state="frozen"/>
      <selection pane="bottomLeft" activeCell="A140" sqref="A140: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Japan</t>
        </is>
      </c>
      <c r="J1" s="60" t="inlineStr">
        <is>
          <t xml:space="preserve"> Services PMI</t>
        </is>
      </c>
    </row>
    <row r="2">
      <c r="J2" s="60"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Brazil</t>
        </is>
      </c>
      <c r="J1" s="60" t="inlineStr">
        <is>
          <t xml:space="preserve"> Services PMI</t>
        </is>
      </c>
    </row>
    <row r="2">
      <c r="J2" s="60"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3"/>
  <sheetViews>
    <sheetView zoomScale="160" zoomScaleNormal="160" workbookViewId="0">
      <pane ySplit="5" topLeftCell="A117"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Russia</t>
        </is>
      </c>
      <c r="J1" s="60" t="inlineStr">
        <is>
          <t xml:space="preserve"> Services PMI</t>
        </is>
      </c>
    </row>
    <row r="2">
      <c r="J2" s="60"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3"/>
  <sheetViews>
    <sheetView zoomScale="170" zoomScaleNormal="170" workbookViewId="0">
      <pane ySplit="5" topLeftCell="A116"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Spain</t>
        </is>
      </c>
      <c r="J1" s="60" t="inlineStr">
        <is>
          <t xml:space="preserve"> Services PMI</t>
        </is>
      </c>
    </row>
    <row r="2">
      <c r="J2" s="60"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2022-04-02T13:59:33Z</dcterms:modified>
  <cp:lastModifiedBy>Mark Mukherjee</cp:lastModifiedBy>
</cp:coreProperties>
</file>